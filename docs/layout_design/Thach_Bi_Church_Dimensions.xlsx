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104c88477143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mensions" sheetId="1" r:id="R1ad55436b5e14270"/>
    <x:sheet xmlns:r="http://schemas.openxmlformats.org/officeDocument/2006/relationships" name="Model grid" sheetId="2" r:id="R3eaad3192a564855"/>
    <x:sheet xmlns:r="http://schemas.openxmlformats.org/officeDocument/2006/relationships" name="Open items" sheetId="3" r:id="R563c0d89050a4c92"/>
    <x:sheet xmlns:r="http://schemas.openxmlformats.org/officeDocument/2006/relationships" name="Sources" sheetId="4" r:id="R236a0c0e615f4e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0"/>
    <x:numFmt numFmtId="202" formatCode="0"/>
  </x:numFmts>
  <x:fonts count="9">
    <x:font>
      <x:sz val="11"/>
      <x:name val="Carlito"/>
    </x:font>
    <x:font>
      <x:sz val="10"/>
      <x:color rgb="FF203342"/>
      <x:name val="Arial"/>
    </x:font>
    <x:font>
      <x:b/>
      <x:sz val="16"/>
      <x:color rgb="FF18324B"/>
      <x:name val="Arial"/>
    </x:font>
    <x:font>
      <x:i/>
      <x:sz val="10"/>
      <x:color rgb="FF657787"/>
      <x:name val="Arial"/>
    </x:font>
    <x:font>
      <x:b/>
      <x:sz val="10"/>
      <x:color rgb="FFFFFFFF"/>
      <x:name val="Arial"/>
    </x:font>
    <x:font>
      <x:sz val="10"/>
      <x:color rgb="FF176E72"/>
      <x:name val="Arial"/>
    </x:font>
    <x:font>
      <x:sz val="10"/>
      <x:color rgb="FF24619B"/>
      <x:name val="Arial"/>
    </x:font>
    <x:font>
      <x:b/>
      <x:sz val="14"/>
      <x:color rgb="FF18324B"/>
      <x:name val="Arial"/>
    </x:font>
    <x:font>
      <x:b/>
      <x:sz val="10"/>
      <x:color rgb="FF18324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8324B"/>
      </x:patternFill>
    </x:fill>
    <x:fill>
      <x:patternFill patternType="solid">
        <x:fgColor rgb="FFFFF0CF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176E72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FD9DF"/>
      </x:bottom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4" fillId="2" borderId="4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0" fontId="5" fillId="0" borderId="0" xfId="0" applyNumberFormat="1" applyFont="1" applyFill="1" applyBorder="1" applyAlignment="1">
      <x:alignment horizontal="right" vertical="center" wrapText="1"/>
    </x:xf>
    <x:xf numFmtId="201" fontId="5" fillId="0" borderId="0" xfId="0" applyNumberFormat="1" applyFont="1" applyFill="1" applyBorder="1" applyAlignment="1">
      <x:alignment horizontal="right" vertical="center" wrapText="1"/>
    </x:xf>
    <x:xf numFmtId="200" fontId="6" fillId="0" borderId="0" xfId="0" applyNumberFormat="1" applyFont="1" applyFill="1" applyBorder="1" applyAlignment="1">
      <x:alignment horizontal="right" vertical="center" wrapText="1"/>
    </x:xf>
    <x:xf numFmtId="0" fontId="6" fillId="0" borderId="0" xfId="0" applyNumberFormat="1" applyFont="1" applyFill="1" applyBorder="1" applyAlignment="1">
      <x:alignment horizontal="right" vertical="center" wrapText="1"/>
    </x:xf>
    <x:xf numFmtId="201" fontId="6" fillId="0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left" vertical="center" wrapText="1"/>
    </x:xf>
    <x:xf numFmtId="201" fontId="1" fillId="0" borderId="0" xfId="0" applyNumberFormat="1" applyFont="1" applyFill="1" applyBorder="1" applyAlignment="1">
      <x:alignment horizontal="lef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left"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3">
    <x:dxf>
      <x:font>
        <x:b/>
        <x:color rgb="FF9A5700"/>
      </x:font>
      <x:fill>
        <x:patternFill patternType="solid">
          <x:bgColor rgb="FFFFF0CF"/>
        </x:patternFill>
      </x:fill>
    </x:dxf>
    <x:dxf>
      <x:font>
        <x:color rgb="FF9A5700"/>
      </x:font>
      <x:fill>
        <x:patternFill patternType="solid">
          <x:bgColor rgb="FFFFF0CF"/>
        </x:patternFill>
      </x:fill>
    </x:dxf>
    <x:dxf>
      <x:font>
        <x:color rgb="FF9A5700"/>
      </x:font>
      <x:fill>
        <x:patternFill patternType="solid"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43a93d38654b6a" /><Relationship Type="http://schemas.openxmlformats.org/officeDocument/2006/relationships/theme" Target="/xl/theme/theme1.xml" Id="Rfcbd7a4cadc44da5" /><Relationship Type="http://schemas.openxmlformats.org/officeDocument/2006/relationships/sharedStrings" Target="/xl/sharedStrings.xml" Id="R56a357591ae9478c" /><Relationship Type="http://schemas.openxmlformats.org/officeDocument/2006/relationships/worksheet" Target="/xl/worksheets/sheet1.xml" Id="R1ad55436b5e14270" /><Relationship Type="http://schemas.openxmlformats.org/officeDocument/2006/relationships/worksheet" Target="/xl/worksheets/sheet2.xml" Id="R3eaad3192a564855" /><Relationship Type="http://schemas.openxmlformats.org/officeDocument/2006/relationships/worksheet" Target="/xl/worksheets/sheet3.xml" Id="R563c0d89050a4c92" /><Relationship Type="http://schemas.openxmlformats.org/officeDocument/2006/relationships/worksheet" Target="/xl/worksheets/sheet4.xml" Id="R236a0c0e615f4ed6" /></Relationships>
</file>

<file path=xl/tables/table1.xml><?xml version="1.0" encoding="utf-8"?>
<x:table xmlns:x="http://schemas.openxmlformats.org/spreadsheetml/2006/main" id="1" name="DimensionsSchedule" displayName="DimensionsSchedule" ref="A7:M470" headerRowCount="1" totalsRowCount="0" totalsRowShown="0">
  <x:autoFilter ref="A7:M470"/>
  <x:tableColumns count="13">
    <x:tableColumn id="1" name="Mã / ID"/>
    <x:tableColumn id="2" name="Bộ phận / Part"/>
    <x:tableColumn id="3" name="Thông số / Parameter"/>
    <x:tableColumn id="4" name="Trục và mốc / Axes and refs"/>
    <x:tableColumn id="5" name="Trị số gốc / Source value"/>
    <x:tableColumn id="6" name="ĐVT / Unit"/>
    <x:tableColumn id="7" name="Kích thước (mm)"/>
    <x:tableColumn id="8" name="Quy đổi (m)"/>
    <x:tableColumn id="9" name="Cơ sở / Basis"/>
    <x:tableColumn id="10" name="Tờ / Drawing"/>
    <x:tableColumn id="11" name="Vị trí / Locator"/>
    <x:tableColumn id="12" name="Nhãn gốc / Printed label"/>
    <x:tableColumn id="13" name="Ghi chú / Notes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ModelCoordinates" displayName="ModelCoordinates" ref="A7:H58" headerRowCount="1" totalsRowCount="0" totalsRowShown="0">
  <x:autoFilter ref="A7:H58"/>
  <x:tableColumns count="8">
    <x:tableColumn id="1" name="Trục 3D / Axis"/>
    <x:tableColumn id="2" name="Trục hoặc cao độ / Grid or level"/>
    <x:tableColumn id="3" name="Bước trục (mm)"/>
    <x:tableColumn id="4" name="Tọa độ (mm)"/>
    <x:tableColumn id="5" name="Tọa độ (m)"/>
    <x:tableColumn id="6" name="Mã nguồn / Source ID"/>
    <x:tableColumn id="7" name="Cơ sở / Basis"/>
    <x:tableColumn id="8" name="Ghi chú / Note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OpenDimensions" displayName="OpenDimensions" ref="A7:I29" headerRowCount="1" totalsRowCount="0" totalsRowShown="0">
  <x:autoFilter ref="A7:I29"/>
  <x:tableColumns count="9">
    <x:tableColumn id="1" name="Mã / ID"/>
    <x:tableColumn id="2" name="Vấn đề / Issue"/>
    <x:tableColumn id="3" name="Bằng chứng / Evidence"/>
    <x:tableColumn id="4" name="Mã nguồn / Source IDs"/>
    <x:tableColumn id="5" name="Chênh (mm)"/>
    <x:tableColumn id="6" name="Trạng thái / Status"/>
    <x:tableColumn id="7" name="Thông tin cần bổ sung / Required information"/>
    <x:tableColumn id="8" name="Giá trị xác nhận (mm)"/>
    <x:tableColumn id="9" name="Nguồn xác nhận / New reference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DrawingSources" displayName="DrawingSources" ref="A7:E16" headerRowCount="1" totalsRowCount="0" totalsRowShown="0">
  <x:autoFilter ref="A7:E16"/>
  <x:tableColumns count="5">
    <x:tableColumn id="1" name="File"/>
    <x:tableColumn id="2" name="Tờ in / Printed sheet"/>
    <x:tableColumn id="3" name="Nội dung / Drawing"/>
    <x:tableColumn id="4" name="Tên file gốc / Original filename"/>
    <x:tableColumn id="5" name="Trang PDF / Pag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731c1c676b4f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ba7f1e8099b4a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89095519535435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2209898cef34400" /></Relationships>
</file>

<file path=xl/worksheets/sheet1.xml><?xml version="1.0" encoding="utf-8"?>
<x:worksheet xmlns:x="http://schemas.openxmlformats.org/spreadsheetml/2006/main">
  <x:sheetPr>
    <x:tabColor rgb="FF18324B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9" hidden="0" customWidth="1"/>
    <x:col min="2" max="2" width="39" hidden="0" customWidth="1"/>
    <x:col min="3" max="3" width="46" hidden="0" customWidth="1"/>
    <x:col min="4" max="4" width="25" hidden="0" customWidth="1"/>
    <x:col min="5" max="5" width="15" hidden="0" customWidth="1"/>
    <x:col min="6" max="6" width="10" hidden="0" customWidth="1"/>
    <x:col min="7" max="7" width="17" hidden="0" customWidth="1"/>
    <x:col min="8" max="8" width="17" hidden="0" customWidth="1"/>
    <x:col min="9" max="9" width="23" hidden="0" customWidth="1"/>
    <x:col min="10" max="10" width="22" hidden="0" customWidth="1"/>
    <x:col min="11" max="11" width="45" hidden="0" customWidth="1"/>
    <x:col min="12" max="12" width="29" hidden="0" customWidth="1"/>
    <x:col min="13" max="13" width="64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NHÀ THỜ GIÁO XỨ THẠCH BI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25" customHeight="1">
      <x:c r="A4" s="5" t="str">
        <x:v>Kích thước bản vẽ và quy đổi cho mô hình 3D / Drawing dimensions and 3D model units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38" customHeight="1">
      <x:c r="A7" s="14" t="str">
        <x:v>Mã / ID</x:v>
      </x:c>
      <x:c r="B7" s="15" t="str">
        <x:v>Bộ phận / Part</x:v>
      </x:c>
      <x:c r="C7" s="15" t="str">
        <x:v>Thông số / Parameter</x:v>
      </x:c>
      <x:c r="D7" s="15" t="str">
        <x:v>Trục và mốc / Axes and refs</x:v>
      </x:c>
      <x:c r="E7" s="15" t="str">
        <x:v>Trị số gốc / Source value</x:v>
      </x:c>
      <x:c r="F7" s="15" t="str">
        <x:v>ĐVT / Unit</x:v>
      </x:c>
      <x:c r="G7" s="15" t="str">
        <x:v>Kích thước (mm)</x:v>
      </x:c>
      <x:c r="H7" s="15" t="str">
        <x:v>Quy đổi (m)</x:v>
      </x:c>
      <x:c r="I7" s="15" t="str">
        <x:v>Cơ sở / Basis</x:v>
      </x:c>
      <x:c r="J7" s="15" t="str">
        <x:v>Tờ / Drawing</x:v>
      </x:c>
      <x:c r="K7" s="15" t="str">
        <x:v>Vị trí / Locator</x:v>
      </x:c>
      <x:c r="L7" s="15" t="str">
        <x:v>Nhãn gốc / Printed label</x:v>
      </x:c>
      <x:c r="M7" s="16" t="str">
        <x:v>Ghi chú / Notes</x:v>
      </x:c>
    </x:row>
    <x:row r="8" ht="36" hidden="0" customHeight="1">
      <x:c r="A8" s="18" t="str">
        <x:v>P001</x:v>
      </x:c>
      <x:c r="B8" s="18" t="str">
        <x:v>Lưới trục dọc
Longitudinal grid</x:v>
      </x:c>
      <x:c r="C8" s="18" t="str">
        <x:v>axis_spacing</x:v>
      </x:c>
      <x:c r="D8" s="18" t="str">
        <x:v>Model: X
Source: longitudinal
1 → 2</x:v>
      </x:c>
      <x:c r="E8" s="24" t="n">
        <x:v>4900</x:v>
      </x:c>
      <x:c r="F8" s="25" t="str">
        <x:v>mm</x:v>
      </x:c>
      <x:c r="G8" s="22" t="n">
        <x:f>IF(COUNTBLANK(E8)&gt;0,"",E8)</x:f>
        <x:v>4900</x:v>
      </x:c>
      <x:c r="H8" s="23" t="n">
        <x:f>IF(COUNTBLANK(G8)&gt;0,"",G8/1000)</x:f>
        <x:v>4.9</x:v>
      </x:c>
      <x:c r="I8" s="18" t="str">
        <x:v>Ghi trên bản vẽ / Explicit</x:v>
      </x:c>
      <x:c r="J8" s="18" t="str">
        <x:v>Tờ 6
File 4</x:v>
      </x:c>
      <x:c r="K8" s="18" t="str">
        <x:v>Bottom longitudinal dimension chain</x:v>
      </x:c>
      <x:c r="L8" s="18" t="str">
        <x:v>4900</x:v>
      </x:c>
      <x:c r="M8" s="18" t="str"/>
    </x:row>
    <x:row r="9" ht="36" hidden="0" customHeight="1">
      <x:c r="A9" s="18" t="str">
        <x:v>P002</x:v>
      </x:c>
      <x:c r="B9" s="18" t="str">
        <x:v>Lưới trục dọc
Longitudinal grid</x:v>
      </x:c>
      <x:c r="C9" s="18" t="str">
        <x:v>axis_spacing</x:v>
      </x:c>
      <x:c r="D9" s="18" t="str">
        <x:v>Model: X
Source: longitudinal
2 → 2′</x:v>
      </x:c>
      <x:c r="E9" s="24" t="n">
        <x:v>575</x:v>
      </x:c>
      <x:c r="F9" s="25" t="str">
        <x:v>mm</x:v>
      </x:c>
      <x:c r="G9" s="22" t="n">
        <x:f>IF(COUNTBLANK(E9)&gt;0,"",E9)</x:f>
        <x:v>575</x:v>
      </x:c>
      <x:c r="H9" s="23" t="n">
        <x:f>IF(COUNTBLANK(G9)&gt;0,"",G9/1000)</x:f>
        <x:v>0.575</x:v>
      </x:c>
      <x:c r="I9" s="18" t="str">
        <x:v>Ghi trên bản vẽ / Explicit</x:v>
      </x:c>
      <x:c r="J9" s="18" t="str">
        <x:v>Tờ 6
File 4</x:v>
      </x:c>
      <x:c r="K9" s="18" t="str">
        <x:v>Bottom longitudinal dimension chain</x:v>
      </x:c>
      <x:c r="L9" s="18" t="str">
        <x:v>575</x:v>
      </x:c>
      <x:c r="M9" s="18" t="str"/>
    </x:row>
    <x:row r="10" ht="36" hidden="0" customHeight="1">
      <x:c r="A10" s="18" t="str">
        <x:v>P003</x:v>
      </x:c>
      <x:c r="B10" s="18" t="str">
        <x:v>Lưới trục dọc
Longitudinal grid</x:v>
      </x:c>
      <x:c r="C10" s="18" t="str">
        <x:v>axis_spacing</x:v>
      </x:c>
      <x:c r="D10" s="18" t="str">
        <x:v>Model: X
Source: longitudinal
2′ → 3</x:v>
      </x:c>
      <x:c r="E10" s="24" t="n">
        <x:v>4500</x:v>
      </x:c>
      <x:c r="F10" s="25" t="str">
        <x:v>mm</x:v>
      </x:c>
      <x:c r="G10" s="22" t="n">
        <x:f>IF(COUNTBLANK(E10)&gt;0,"",E10)</x:f>
        <x:v>4500</x:v>
      </x:c>
      <x:c r="H10" s="23" t="n">
        <x:f>IF(COUNTBLANK(G10)&gt;0,"",G10/1000)</x:f>
        <x:v>4.5</x:v>
      </x:c>
      <x:c r="I10" s="18" t="str">
        <x:v>Ghi trên bản vẽ / Explicit</x:v>
      </x:c>
      <x:c r="J10" s="18" t="str">
        <x:v>Tờ 6
File 4</x:v>
      </x:c>
      <x:c r="K10" s="18" t="str">
        <x:v>Bottom longitudinal dimension chain</x:v>
      </x:c>
      <x:c r="L10" s="18" t="str">
        <x:v>4500</x:v>
      </x:c>
      <x:c r="M10" s="18" t="str"/>
    </x:row>
    <x:row r="11" ht="36" hidden="0" customHeight="1">
      <x:c r="A11" s="18" t="str">
        <x:v>P004</x:v>
      </x:c>
      <x:c r="B11" s="18" t="str">
        <x:v>Lưới trục dọc
Longitudinal grid</x:v>
      </x:c>
      <x:c r="C11" s="18" t="str">
        <x:v>axis_spacing</x:v>
      </x:c>
      <x:c r="D11" s="18" t="str">
        <x:v>Model: X
Source: longitudinal
3 → 4</x:v>
      </x:c>
      <x:c r="E11" s="24" t="n">
        <x:v>4500</x:v>
      </x:c>
      <x:c r="F11" s="25" t="str">
        <x:v>mm</x:v>
      </x:c>
      <x:c r="G11" s="22" t="n">
        <x:f>IF(COUNTBLANK(E11)&gt;0,"",E11)</x:f>
        <x:v>4500</x:v>
      </x:c>
      <x:c r="H11" s="23" t="n">
        <x:f>IF(COUNTBLANK(G11)&gt;0,"",G11/1000)</x:f>
        <x:v>4.5</x:v>
      </x:c>
      <x:c r="I11" s="18" t="str">
        <x:v>Ghi trên bản vẽ / Explicit</x:v>
      </x:c>
      <x:c r="J11" s="18" t="str">
        <x:v>Tờ 6
File 4</x:v>
      </x:c>
      <x:c r="K11" s="18" t="str">
        <x:v>Bottom longitudinal dimension chain</x:v>
      </x:c>
      <x:c r="L11" s="18" t="str">
        <x:v>4500</x:v>
      </x:c>
      <x:c r="M11" s="18" t="str"/>
    </x:row>
    <x:row r="12" ht="36" hidden="0" customHeight="1">
      <x:c r="A12" s="18" t="str">
        <x:v>P005</x:v>
      </x:c>
      <x:c r="B12" s="18" t="str">
        <x:v>Lưới trục dọc
Longitudinal grid</x:v>
      </x:c>
      <x:c r="C12" s="18" t="str">
        <x:v>axis_spacing</x:v>
      </x:c>
      <x:c r="D12" s="18" t="str">
        <x:v>Model: X
Source: longitudinal
4 → 5</x:v>
      </x:c>
      <x:c r="E12" s="24" t="n">
        <x:v>4500</x:v>
      </x:c>
      <x:c r="F12" s="25" t="str">
        <x:v>mm</x:v>
      </x:c>
      <x:c r="G12" s="22" t="n">
        <x:f>IF(COUNTBLANK(E12)&gt;0,"",E12)</x:f>
        <x:v>4500</x:v>
      </x:c>
      <x:c r="H12" s="23" t="n">
        <x:f>IF(COUNTBLANK(G12)&gt;0,"",G12/1000)</x:f>
        <x:v>4.5</x:v>
      </x:c>
      <x:c r="I12" s="18" t="str">
        <x:v>Ghi trên bản vẽ / Explicit</x:v>
      </x:c>
      <x:c r="J12" s="18" t="str">
        <x:v>Tờ 6
File 4</x:v>
      </x:c>
      <x:c r="K12" s="18" t="str">
        <x:v>Bottom longitudinal dimension chain</x:v>
      </x:c>
      <x:c r="L12" s="18" t="str">
        <x:v>4500</x:v>
      </x:c>
      <x:c r="M12" s="18" t="str"/>
    </x:row>
    <x:row r="13" ht="36" hidden="0" customHeight="1">
      <x:c r="A13" s="18" t="str">
        <x:v>P006</x:v>
      </x:c>
      <x:c r="B13" s="18" t="str">
        <x:v>Lưới trục dọc
Longitudinal grid</x:v>
      </x:c>
      <x:c r="C13" s="18" t="str">
        <x:v>axis_spacing</x:v>
      </x:c>
      <x:c r="D13" s="18" t="str">
        <x:v>Model: X
Source: longitudinal
5 → 6</x:v>
      </x:c>
      <x:c r="E13" s="24" t="n">
        <x:v>4500</x:v>
      </x:c>
      <x:c r="F13" s="25" t="str">
        <x:v>mm</x:v>
      </x:c>
      <x:c r="G13" s="22" t="n">
        <x:f>IF(COUNTBLANK(E13)&gt;0,"",E13)</x:f>
        <x:v>4500</x:v>
      </x:c>
      <x:c r="H13" s="23" t="n">
        <x:f>IF(COUNTBLANK(G13)&gt;0,"",G13/1000)</x:f>
        <x:v>4.5</x:v>
      </x:c>
      <x:c r="I13" s="18" t="str">
        <x:v>Ghi trên bản vẽ / Explicit</x:v>
      </x:c>
      <x:c r="J13" s="18" t="str">
        <x:v>Tờ 6
File 4</x:v>
      </x:c>
      <x:c r="K13" s="18" t="str">
        <x:v>Bottom longitudinal dimension chain</x:v>
      </x:c>
      <x:c r="L13" s="18" t="str">
        <x:v>4500</x:v>
      </x:c>
      <x:c r="M13" s="18" t="str"/>
    </x:row>
    <x:row r="14" ht="36" hidden="0" customHeight="1">
      <x:c r="A14" s="18" t="str">
        <x:v>P007</x:v>
      </x:c>
      <x:c r="B14" s="18" t="str">
        <x:v>Lưới trục dọc
Longitudinal grid</x:v>
      </x:c>
      <x:c r="C14" s="18" t="str">
        <x:v>axis_spacing</x:v>
      </x:c>
      <x:c r="D14" s="18" t="str">
        <x:v>Model: X
Source: longitudinal
6 → 7</x:v>
      </x:c>
      <x:c r="E14" s="24" t="n">
        <x:v>4500</x:v>
      </x:c>
      <x:c r="F14" s="25" t="str">
        <x:v>mm</x:v>
      </x:c>
      <x:c r="G14" s="22" t="n">
        <x:f>IF(COUNTBLANK(E14)&gt;0,"",E14)</x:f>
        <x:v>4500</x:v>
      </x:c>
      <x:c r="H14" s="23" t="n">
        <x:f>IF(COUNTBLANK(G14)&gt;0,"",G14/1000)</x:f>
        <x:v>4.5</x:v>
      </x:c>
      <x:c r="I14" s="18" t="str">
        <x:v>Ghi trên bản vẽ / Explicit</x:v>
      </x:c>
      <x:c r="J14" s="18" t="str">
        <x:v>Tờ 6
File 4</x:v>
      </x:c>
      <x:c r="K14" s="18" t="str">
        <x:v>Bottom longitudinal dimension chain</x:v>
      </x:c>
      <x:c r="L14" s="18" t="str">
        <x:v>4500</x:v>
      </x:c>
      <x:c r="M14" s="18" t="str"/>
    </x:row>
    <x:row r="15" ht="36" hidden="0" customHeight="1">
      <x:c r="A15" s="18" t="str">
        <x:v>P008</x:v>
      </x:c>
      <x:c r="B15" s="18" t="str">
        <x:v>Lưới trục dọc
Longitudinal grid</x:v>
      </x:c>
      <x:c r="C15" s="18" t="str">
        <x:v>axis_spacing</x:v>
      </x:c>
      <x:c r="D15" s="18" t="str">
        <x:v>Model: X
Source: longitudinal
7 → 8</x:v>
      </x:c>
      <x:c r="E15" s="24" t="n">
        <x:v>4500</x:v>
      </x:c>
      <x:c r="F15" s="25" t="str">
        <x:v>mm</x:v>
      </x:c>
      <x:c r="G15" s="22" t="n">
        <x:f>IF(COUNTBLANK(E15)&gt;0,"",E15)</x:f>
        <x:v>4500</x:v>
      </x:c>
      <x:c r="H15" s="23" t="n">
        <x:f>IF(COUNTBLANK(G15)&gt;0,"",G15/1000)</x:f>
        <x:v>4.5</x:v>
      </x:c>
      <x:c r="I15" s="18" t="str">
        <x:v>Ghi trên bản vẽ / Explicit</x:v>
      </x:c>
      <x:c r="J15" s="18" t="str">
        <x:v>Tờ 6
File 4</x:v>
      </x:c>
      <x:c r="K15" s="18" t="str">
        <x:v>Bottom longitudinal dimension chain</x:v>
      </x:c>
      <x:c r="L15" s="18" t="str">
        <x:v>4500</x:v>
      </x:c>
      <x:c r="M15" s="18" t="str"/>
    </x:row>
    <x:row r="16" ht="36" hidden="0" customHeight="1">
      <x:c r="A16" s="18" t="str">
        <x:v>P009</x:v>
      </x:c>
      <x:c r="B16" s="18" t="str">
        <x:v>Lưới trục dọc
Longitudinal grid</x:v>
      </x:c>
      <x:c r="C16" s="18" t="str">
        <x:v>axis_spacing</x:v>
      </x:c>
      <x:c r="D16" s="18" t="str">
        <x:v>Model: X
Source: longitudinal
8 → 9</x:v>
      </x:c>
      <x:c r="E16" s="24" t="n">
        <x:v>4500</x:v>
      </x:c>
      <x:c r="F16" s="25" t="str">
        <x:v>mm</x:v>
      </x:c>
      <x:c r="G16" s="22" t="n">
        <x:f>IF(COUNTBLANK(E16)&gt;0,"",E16)</x:f>
        <x:v>4500</x:v>
      </x:c>
      <x:c r="H16" s="23" t="n">
        <x:f>IF(COUNTBLANK(G16)&gt;0,"",G16/1000)</x:f>
        <x:v>4.5</x:v>
      </x:c>
      <x:c r="I16" s="18" t="str">
        <x:v>Ghi trên bản vẽ / Explicit</x:v>
      </x:c>
      <x:c r="J16" s="18" t="str">
        <x:v>Tờ 6
File 4</x:v>
      </x:c>
      <x:c r="K16" s="18" t="str">
        <x:v>Bottom longitudinal dimension chain</x:v>
      </x:c>
      <x:c r="L16" s="18" t="str">
        <x:v>4500</x:v>
      </x:c>
      <x:c r="M16" s="18" t="str"/>
    </x:row>
    <x:row r="17" ht="36" hidden="0" customHeight="1">
      <x:c r="A17" s="18" t="str">
        <x:v>P010</x:v>
      </x:c>
      <x:c r="B17" s="18" t="str">
        <x:v>Lưới trục dọc
Longitudinal grid</x:v>
      </x:c>
      <x:c r="C17" s="18" t="str">
        <x:v>axis_spacing</x:v>
      </x:c>
      <x:c r="D17" s="18" t="str">
        <x:v>Model: X
Source: longitudinal
9 → 10</x:v>
      </x:c>
      <x:c r="E17" s="24" t="n">
        <x:v>7200</x:v>
      </x:c>
      <x:c r="F17" s="25" t="str">
        <x:v>mm</x:v>
      </x:c>
      <x:c r="G17" s="22" t="n">
        <x:f>IF(COUNTBLANK(E17)&gt;0,"",E17)</x:f>
        <x:v>7200</x:v>
      </x:c>
      <x:c r="H17" s="23" t="n">
        <x:f>IF(COUNTBLANK(G17)&gt;0,"",G17/1000)</x:f>
        <x:v>7.2</x:v>
      </x:c>
      <x:c r="I17" s="18" t="str">
        <x:v>Ghi trên bản vẽ / Explicit</x:v>
      </x:c>
      <x:c r="J17" s="18" t="str">
        <x:v>Tờ 6
File 4</x:v>
      </x:c>
      <x:c r="K17" s="18" t="str">
        <x:v>Bottom longitudinal dimension chain</x:v>
      </x:c>
      <x:c r="L17" s="18" t="str">
        <x:v>7200</x:v>
      </x:c>
      <x:c r="M17" s="18" t="str"/>
    </x:row>
    <x:row r="18" ht="36" hidden="0" customHeight="1">
      <x:c r="A18" s="18" t="str">
        <x:v>P011</x:v>
      </x:c>
      <x:c r="B18" s="18" t="str">
        <x:v>Lưới trục dọc
Longitudinal grid</x:v>
      </x:c>
      <x:c r="C18" s="18" t="str">
        <x:v>axis_spacing</x:v>
      </x:c>
      <x:c r="D18" s="18" t="str">
        <x:v>Model: X
Source: longitudinal
10 → 11</x:v>
      </x:c>
      <x:c r="E18" s="24" t="n">
        <x:v>4500</x:v>
      </x:c>
      <x:c r="F18" s="25" t="str">
        <x:v>mm</x:v>
      </x:c>
      <x:c r="G18" s="22" t="n">
        <x:f>IF(COUNTBLANK(E18)&gt;0,"",E18)</x:f>
        <x:v>4500</x:v>
      </x:c>
      <x:c r="H18" s="23" t="n">
        <x:f>IF(COUNTBLANK(G18)&gt;0,"",G18/1000)</x:f>
        <x:v>4.5</x:v>
      </x:c>
      <x:c r="I18" s="18" t="str">
        <x:v>Ghi trên bản vẽ / Explicit</x:v>
      </x:c>
      <x:c r="J18" s="18" t="str">
        <x:v>Tờ 6
File 4</x:v>
      </x:c>
      <x:c r="K18" s="18" t="str">
        <x:v>Bottom longitudinal dimension chain</x:v>
      </x:c>
      <x:c r="L18" s="18" t="str">
        <x:v>4500</x:v>
      </x:c>
      <x:c r="M18" s="18" t="str"/>
    </x:row>
    <x:row r="19" ht="36" hidden="0" customHeight="1">
      <x:c r="A19" s="18" t="str">
        <x:v>P012</x:v>
      </x:c>
      <x:c r="B19" s="18" t="str">
        <x:v>Lưới trục dọc
Longitudinal grid</x:v>
      </x:c>
      <x:c r="C19" s="18" t="str">
        <x:v>axis_spacing</x:v>
      </x:c>
      <x:c r="D19" s="18" t="str">
        <x:v>Model: X
Source: longitudinal
11 → 12</x:v>
      </x:c>
      <x:c r="E19" s="24" t="n">
        <x:v>4341</x:v>
      </x:c>
      <x:c r="F19" s="25" t="str">
        <x:v>mm</x:v>
      </x:c>
      <x:c r="G19" s="22" t="n">
        <x:f>IF(COUNTBLANK(E19)&gt;0,"",E19)</x:f>
        <x:v>4341</x:v>
      </x:c>
      <x:c r="H19" s="23" t="n">
        <x:f>IF(COUNTBLANK(G19)&gt;0,"",G19/1000)</x:f>
        <x:v>4.341</x:v>
      </x:c>
      <x:c r="I19" s="18" t="str">
        <x:v>Ghi trên bản vẽ / Explicit</x:v>
      </x:c>
      <x:c r="J19" s="18" t="str">
        <x:v>Tờ 6
File 4</x:v>
      </x:c>
      <x:c r="K19" s="18" t="str">
        <x:v>Bottom longitudinal dimension chain</x:v>
      </x:c>
      <x:c r="L19" s="18" t="str">
        <x:v>4341</x:v>
      </x:c>
      <x:c r="M19" s="18" t="str"/>
    </x:row>
    <x:row r="20" ht="36" hidden="0" customHeight="1">
      <x:c r="A20" s="18" t="str">
        <x:v>P013</x:v>
      </x:c>
      <x:c r="B20" s="18" t="str">
        <x:v>Lưới trục ngang
Transverse grid</x:v>
      </x:c>
      <x:c r="C20" s="18" t="str">
        <x:v>axis_spacing</x:v>
      </x:c>
      <x:c r="D20" s="18" t="str">
        <x:v>Model: Z
Source: transverse
A → B</x:v>
      </x:c>
      <x:c r="E20" s="24" t="n">
        <x:v>2835</x:v>
      </x:c>
      <x:c r="F20" s="25" t="str">
        <x:v>mm</x:v>
      </x:c>
      <x:c r="G20" s="22" t="n">
        <x:f>IF(COUNTBLANK(E20)&gt;0,"",E20)</x:f>
        <x:v>2835</x:v>
      </x:c>
      <x:c r="H20" s="23" t="n">
        <x:f>IF(COUNTBLANK(G20)&gt;0,"",G20/1000)</x:f>
        <x:v>2.835</x:v>
      </x:c>
      <x:c r="I20" s="18" t="str">
        <x:v>Ghi trên bản vẽ / Explicit</x:v>
      </x:c>
      <x:c r="J20" s="18" t="str">
        <x:v>Tờ 6
File 4</x:v>
      </x:c>
      <x:c r="K20" s="18" t="str">
        <x:v>Far-left transverse dimension chain</x:v>
      </x:c>
      <x:c r="L20" s="18" t="str">
        <x:v>2835</x:v>
      </x:c>
      <x:c r="M20" s="18" t="str">
        <x:v>Tiny CAD text recovered with a temporary reduced-stroke reading render; original PDF unchanged.</x:v>
      </x:c>
    </x:row>
    <x:row r="21" ht="36" hidden="0" customHeight="1">
      <x:c r="A21" s="18" t="str">
        <x:v>P014</x:v>
      </x:c>
      <x:c r="B21" s="18" t="str">
        <x:v>Lưới trục ngang
Transverse grid</x:v>
      </x:c>
      <x:c r="C21" s="18" t="str">
        <x:v>axis_spacing</x:v>
      </x:c>
      <x:c r="D21" s="18" t="str">
        <x:v>Model: Z
Source: transverse
B → C</x:v>
      </x:c>
      <x:c r="E21" s="24" t="n">
        <x:v>3054</x:v>
      </x:c>
      <x:c r="F21" s="25" t="str">
        <x:v>mm</x:v>
      </x:c>
      <x:c r="G21" s="22" t="n">
        <x:f>IF(COUNTBLANK(E21)&gt;0,"",E21)</x:f>
        <x:v>3054</x:v>
      </x:c>
      <x:c r="H21" s="23" t="n">
        <x:f>IF(COUNTBLANK(G21)&gt;0,"",G21/1000)</x:f>
        <x:v>3.054</x:v>
      </x:c>
      <x:c r="I21" s="18" t="str">
        <x:v>Ghi trên bản vẽ / Explicit</x:v>
      </x:c>
      <x:c r="J21" s="18" t="str">
        <x:v>Tờ 6
File 4</x:v>
      </x:c>
      <x:c r="K21" s="18" t="str">
        <x:v>Far-left transverse dimension chain</x:v>
      </x:c>
      <x:c r="L21" s="18" t="str">
        <x:v>3054</x:v>
      </x:c>
      <x:c r="M21" s="18" t="str"/>
    </x:row>
    <x:row r="22" ht="36" hidden="0" customHeight="1">
      <x:c r="A22" s="18" t="str">
        <x:v>P015</x:v>
      </x:c>
      <x:c r="B22" s="18" t="str">
        <x:v>Lưới trục ngang
Transverse grid</x:v>
      </x:c>
      <x:c r="C22" s="18" t="str">
        <x:v>axis_spacing</x:v>
      </x:c>
      <x:c r="D22" s="18" t="str">
        <x:v>Model: Z
Source: transverse
C → D</x:v>
      </x:c>
      <x:c r="E22" s="24" t="n">
        <x:v>3760</x:v>
      </x:c>
      <x:c r="F22" s="25" t="str">
        <x:v>mm</x:v>
      </x:c>
      <x:c r="G22" s="22" t="n">
        <x:f>IF(COUNTBLANK(E22)&gt;0,"",E22)</x:f>
        <x:v>3760</x:v>
      </x:c>
      <x:c r="H22" s="23" t="n">
        <x:f>IF(COUNTBLANK(G22)&gt;0,"",G22/1000)</x:f>
        <x:v>3.76</x:v>
      </x:c>
      <x:c r="I22" s="18" t="str">
        <x:v>Ghi trên bản vẽ / Explicit</x:v>
      </x:c>
      <x:c r="J22" s="18" t="str">
        <x:v>Tờ 6
File 4</x:v>
      </x:c>
      <x:c r="K22" s="18" t="str">
        <x:v>Far-left transverse dimension chain</x:v>
      </x:c>
      <x:c r="L22" s="18" t="str">
        <x:v>3760</x:v>
      </x:c>
      <x:c r="M22" s="18" t="str"/>
    </x:row>
    <x:row r="23" ht="36" hidden="0" customHeight="1">
      <x:c r="A23" s="18" t="str">
        <x:v>P016</x:v>
      </x:c>
      <x:c r="B23" s="18" t="str">
        <x:v>Lưới trục ngang
Transverse grid</x:v>
      </x:c>
      <x:c r="C23" s="18" t="str">
        <x:v>axis_spacing</x:v>
      </x:c>
      <x:c r="D23" s="18" t="str">
        <x:v>Model: Z
Source: transverse
D → E</x:v>
      </x:c>
      <x:c r="E23" s="24" t="n">
        <x:v>7200</x:v>
      </x:c>
      <x:c r="F23" s="25" t="str">
        <x:v>mm</x:v>
      </x:c>
      <x:c r="G23" s="22" t="n">
        <x:f>IF(COUNTBLANK(E23)&gt;0,"",E23)</x:f>
        <x:v>7200</x:v>
      </x:c>
      <x:c r="H23" s="23" t="n">
        <x:f>IF(COUNTBLANK(G23)&gt;0,"",G23/1000)</x:f>
        <x:v>7.2</x:v>
      </x:c>
      <x:c r="I23" s="18" t="str">
        <x:v>Ghi trên bản vẽ / Explicit</x:v>
      </x:c>
      <x:c r="J23" s="18" t="str">
        <x:v>Tờ 6
File 4</x:v>
      </x:c>
      <x:c r="K23" s="18" t="str">
        <x:v>Far-left transverse dimension chain</x:v>
      </x:c>
      <x:c r="L23" s="18" t="str">
        <x:v>7200</x:v>
      </x:c>
      <x:c r="M23" s="18" t="str"/>
    </x:row>
    <x:row r="24" ht="36" hidden="0" customHeight="1">
      <x:c r="A24" s="18" t="str">
        <x:v>P017</x:v>
      </x:c>
      <x:c r="B24" s="18" t="str">
        <x:v>Lưới trục ngang
Transverse grid</x:v>
      </x:c>
      <x:c r="C24" s="18" t="str">
        <x:v>axis_spacing</x:v>
      </x:c>
      <x:c r="D24" s="18" t="str">
        <x:v>Model: Z
Source: transverse
E → G</x:v>
      </x:c>
      <x:c r="E24" s="24" t="n">
        <x:v>3760</x:v>
      </x:c>
      <x:c r="F24" s="25" t="str">
        <x:v>mm</x:v>
      </x:c>
      <x:c r="G24" s="22" t="n">
        <x:f>IF(COUNTBLANK(E24)&gt;0,"",E24)</x:f>
        <x:v>3760</x:v>
      </x:c>
      <x:c r="H24" s="23" t="n">
        <x:f>IF(COUNTBLANK(G24)&gt;0,"",G24/1000)</x:f>
        <x:v>3.76</x:v>
      </x:c>
      <x:c r="I24" s="18" t="str">
        <x:v>Ghi trên bản vẽ / Explicit</x:v>
      </x:c>
      <x:c r="J24" s="18" t="str">
        <x:v>Tờ 6
File 4</x:v>
      </x:c>
      <x:c r="K24" s="18" t="str">
        <x:v>Far-left transverse dimension chain</x:v>
      </x:c>
      <x:c r="L24" s="18" t="str">
        <x:v>3760</x:v>
      </x:c>
      <x:c r="M24" s="18" t="str"/>
    </x:row>
    <x:row r="25" ht="36" hidden="0" customHeight="1">
      <x:c r="A25" s="18" t="str">
        <x:v>P018</x:v>
      </x:c>
      <x:c r="B25" s="18" t="str">
        <x:v>Lưới trục ngang
Transverse grid</x:v>
      </x:c>
      <x:c r="C25" s="18" t="str">
        <x:v>axis_spacing</x:v>
      </x:c>
      <x:c r="D25" s="18" t="str">
        <x:v>Model: Z
Source: transverse
G → H</x:v>
      </x:c>
      <x:c r="E25" s="24" t="n">
        <x:v>3054</x:v>
      </x:c>
      <x:c r="F25" s="25" t="str">
        <x:v>mm</x:v>
      </x:c>
      <x:c r="G25" s="22" t="n">
        <x:f>IF(COUNTBLANK(E25)&gt;0,"",E25)</x:f>
        <x:v>3054</x:v>
      </x:c>
      <x:c r="H25" s="23" t="n">
        <x:f>IF(COUNTBLANK(G25)&gt;0,"",G25/1000)</x:f>
        <x:v>3.054</x:v>
      </x:c>
      <x:c r="I25" s="18" t="str">
        <x:v>Ghi trên bản vẽ / Explicit</x:v>
      </x:c>
      <x:c r="J25" s="18" t="str">
        <x:v>Tờ 6
File 4</x:v>
      </x:c>
      <x:c r="K25" s="18" t="str">
        <x:v>Far-left transverse dimension chain</x:v>
      </x:c>
      <x:c r="L25" s="18" t="str">
        <x:v>3054</x:v>
      </x:c>
      <x:c r="M25" s="18" t="str"/>
    </x:row>
    <x:row r="26" ht="36" hidden="0" customHeight="1">
      <x:c r="A26" s="18" t="str">
        <x:v>P019</x:v>
      </x:c>
      <x:c r="B26" s="18" t="str">
        <x:v>Lưới trục ngang
Transverse grid</x:v>
      </x:c>
      <x:c r="C26" s="18" t="str">
        <x:v>axis_spacing</x:v>
      </x:c>
      <x:c r="D26" s="18" t="str">
        <x:v>Model: Z
Source: transverse
H → I</x:v>
      </x:c>
      <x:c r="E26" s="24" t="n">
        <x:v>2835</x:v>
      </x:c>
      <x:c r="F26" s="25" t="str">
        <x:v>mm</x:v>
      </x:c>
      <x:c r="G26" s="22" t="n">
        <x:f>IF(COUNTBLANK(E26)&gt;0,"",E26)</x:f>
        <x:v>2835</x:v>
      </x:c>
      <x:c r="H26" s="23" t="n">
        <x:f>IF(COUNTBLANK(G26)&gt;0,"",G26/1000)</x:f>
        <x:v>2.835</x:v>
      </x:c>
      <x:c r="I26" s="18" t="str">
        <x:v>Ghi trên bản vẽ / Explicit</x:v>
      </x:c>
      <x:c r="J26" s="18" t="str">
        <x:v>Tờ 6
File 4</x:v>
      </x:c>
      <x:c r="K26" s="18" t="str">
        <x:v>Far-left transverse dimension chain</x:v>
      </x:c>
      <x:c r="L26" s="18" t="str">
        <x:v>2835</x:v>
      </x:c>
      <x:c r="M26" s="18" t="str">
        <x:v>Tiny CAD text recovered with a temporary reduced-stroke reading render; original PDF unchanged.</x:v>
      </x:c>
    </x:row>
    <x:row r="27" ht="36" hidden="0" customHeight="1">
      <x:c r="A27" s="18" t="str">
        <x:v>P020</x:v>
      </x:c>
      <x:c r="B27" s="18" t="str">
        <x:v>Kích thước bao công trình
Exterior envelope</x:v>
      </x:c>
      <x:c r="C27" s="18" t="str">
        <x:v>overall_length</x:v>
      </x:c>
      <x:c r="D27" s="18" t="str">
        <x:v>Model: X
Source: longitudinal
forecourt/front landing outer end → 1</x:v>
      </x:c>
      <x:c r="E27" s="24" t="n">
        <x:v>13219</x:v>
      </x:c>
      <x:c r="F27" s="25" t="str">
        <x:v>mm</x:v>
      </x:c>
      <x:c r="G27" s="22" t="n">
        <x:f>IF(COUNTBLANK(E27)&gt;0,"",E27)</x:f>
        <x:v>13219</x:v>
      </x:c>
      <x:c r="H27" s="23" t="n">
        <x:f>IF(COUNTBLANK(G27)&gt;0,"",G27/1000)</x:f>
        <x:v>13.219</x:v>
      </x:c>
      <x:c r="I27" s="18" t="str">
        <x:v>Ghi trên bản vẽ / Explicit</x:v>
      </x:c>
      <x:c r="J27" s="18" t="str">
        <x:v>Tờ 6
File 4</x:v>
      </x:c>
      <x:c r="K27" s="18" t="str">
        <x:v>Bottom left chain</x:v>
      </x:c>
      <x:c r="L27" s="18" t="str">
        <x:v>13219</x:v>
      </x:c>
      <x:c r="M27" s="18" t="str"/>
    </x:row>
    <x:row r="28" ht="48" hidden="0" customHeight="1">
      <x:c r="A28" s="18" t="str">
        <x:v>P021</x:v>
      </x:c>
      <x:c r="B28" s="18" t="str">
        <x:v>Kích thước bao công trình
Exterior envelope</x:v>
      </x:c>
      <x:c r="C28" s="18" t="str">
        <x:v>overall_length</x:v>
      </x:c>
      <x:c r="D28" s="18" t="str">
        <x:v>Model: X
Source: longitudinal
forecourt/front landing outer end → rear exterior end</x:v>
      </x:c>
      <x:c r="E28" s="24" t="n">
        <x:v>67064</x:v>
      </x:c>
      <x:c r="F28" s="25" t="str">
        <x:v>mm</x:v>
      </x:c>
      <x:c r="G28" s="22" t="n">
        <x:f>IF(COUNTBLANK(E28)&gt;0,"",E28)</x:f>
        <x:v>67064</x:v>
      </x:c>
      <x:c r="H28" s="23" t="n">
        <x:f>IF(COUNTBLANK(G28)&gt;0,"",G28/1000)</x:f>
        <x:v>67.064</x:v>
      </x:c>
      <x:c r="I28" s="18" t="str">
        <x:v>Ghi trên bản vẽ / Explicit</x:v>
      </x:c>
      <x:c r="J28" s="18" t="str">
        <x:v>Tờ 6
File 4</x:v>
      </x:c>
      <x:c r="K28" s="18" t="str">
        <x:v>Bottom overall chain</x:v>
      </x:c>
      <x:c r="L28" s="18" t="str">
        <x:v>67064</x:v>
      </x:c>
      <x:c r="M28" s="18" t="str"/>
    </x:row>
    <x:row r="29" ht="48" hidden="0" customHeight="1">
      <x:c r="A29" s="18" t="str">
        <x:v>P022</x:v>
      </x:c>
      <x:c r="B29" s="18" t="str">
        <x:v>Kích thước bao công trình
Exterior envelope</x:v>
      </x:c>
      <x:c r="C29" s="18" t="str">
        <x:v>overall_length</x:v>
      </x:c>
      <x:c r="D29" s="18" t="str">
        <x:v>Model: X
Source: longitudinal
front tower exterior end → rear exterior end</x:v>
      </x:c>
      <x:c r="E29" s="24" t="n">
        <x:v>54794</x:v>
      </x:c>
      <x:c r="F29" s="25" t="str">
        <x:v>mm</x:v>
      </x:c>
      <x:c r="G29" s="22" t="n">
        <x:f>IF(COUNTBLANK(E29)&gt;0,"",E29)</x:f>
        <x:v>54794</x:v>
      </x:c>
      <x:c r="H29" s="23" t="n">
        <x:f>IF(COUNTBLANK(G29)&gt;0,"",G29/1000)</x:f>
        <x:v>54.794</x:v>
      </x:c>
      <x:c r="I29" s="18" t="str">
        <x:v>Ghi trên bản vẽ / Explicit</x:v>
      </x:c>
      <x:c r="J29" s="18" t="str">
        <x:v>Tờ 6
File 4</x:v>
      </x:c>
      <x:c r="K29" s="18" t="str">
        <x:v>Top overall chain</x:v>
      </x:c>
      <x:c r="L29" s="18" t="str">
        <x:v>54794</x:v>
      </x:c>
      <x:c r="M29" s="18" t="str">
        <x:v>Top overall label was recovered with a temporary reduced-stroke reading render.</x:v>
      </x:c>
    </x:row>
    <x:row r="30" ht="36" hidden="0" customHeight="1">
      <x:c r="A30" s="18" t="str">
        <x:v>P023</x:v>
      </x:c>
      <x:c r="B30" s="18" t="str">
        <x:v>Kích thước bao công trình
Exterior envelope</x:v>
      </x:c>
      <x:c r="C30" s="18" t="str">
        <x:v>edge_offset</x:v>
      </x:c>
      <x:c r="D30" s="18" t="str">
        <x:v>Model: Z
Source: transverse
upper outside edge near H → H</x:v>
      </x:c>
      <x:c r="E30" s="24" t="n">
        <x:v>832</x:v>
      </x:c>
      <x:c r="F30" s="25" t="str">
        <x:v>mm</x:v>
      </x:c>
      <x:c r="G30" s="22" t="n">
        <x:f>IF(COUNTBLANK(E30)&gt;0,"",E30)</x:f>
        <x:v>832</x:v>
      </x:c>
      <x:c r="H30" s="23" t="n">
        <x:f>IF(COUNTBLANK(G30)&gt;0,"",G30/1000)</x:f>
        <x:v>0.832</x:v>
      </x:c>
      <x:c r="I30" s="18" t="str">
        <x:v>Ghi trên bản vẽ / Explicit</x:v>
      </x:c>
      <x:c r="J30" s="18" t="str">
        <x:v>Tờ 6
File 4</x:v>
      </x:c>
      <x:c r="K30" s="18" t="str">
        <x:v>Right outer main-body margin, above H</x:v>
      </x:c>
      <x:c r="L30" s="18" t="str">
        <x:v>832</x:v>
      </x:c>
      <x:c r="M30" s="18" t="str"/>
    </x:row>
    <x:row r="31" ht="36" hidden="0" customHeight="1">
      <x:c r="A31" s="18" t="str">
        <x:v>P024</x:v>
      </x:c>
      <x:c r="B31" s="18" t="str">
        <x:v>Kích thước bao công trình
Exterior envelope</x:v>
      </x:c>
      <x:c r="C31" s="18" t="str">
        <x:v>edge_offset</x:v>
      </x:c>
      <x:c r="D31" s="18" t="str">
        <x:v>Model: Z
Source: transverse
B → lower outside edge near B</x:v>
      </x:c>
      <x:c r="E31" s="24" t="n">
        <x:v>829</x:v>
      </x:c>
      <x:c r="F31" s="25" t="str">
        <x:v>mm</x:v>
      </x:c>
      <x:c r="G31" s="22" t="n">
        <x:f>IF(COUNTBLANK(E31)&gt;0,"",E31)</x:f>
        <x:v>829</x:v>
      </x:c>
      <x:c r="H31" s="23" t="n">
        <x:f>IF(COUNTBLANK(G31)&gt;0,"",G31/1000)</x:f>
        <x:v>0.829</x:v>
      </x:c>
      <x:c r="I31" s="18" t="str">
        <x:v>Ghi trên bản vẽ / Explicit</x:v>
      </x:c>
      <x:c r="J31" s="18" t="str">
        <x:v>Tờ 6
File 4</x:v>
      </x:c>
      <x:c r="K31" s="18" t="str">
        <x:v>Right outer main-body margin, below B</x:v>
      </x:c>
      <x:c r="L31" s="18" t="str">
        <x:v>829</x:v>
      </x:c>
      <x:c r="M31" s="18" t="str"/>
    </x:row>
    <x:row r="32" ht="36" hidden="0" customHeight="1">
      <x:c r="A32" s="18" t="str">
        <x:v>P025</x:v>
      </x:c>
      <x:c r="B32" s="18" t="str">
        <x:v>Kích thước bao công trình
Exterior envelope</x:v>
      </x:c>
      <x:c r="C32" s="18" t="str">
        <x:v>edge_offset</x:v>
      </x:c>
      <x:c r="D32" s="18" t="str">
        <x:v>Model: Z
Source: transverse
A → lower transept exterior edge</x:v>
      </x:c>
      <x:c r="E32" s="24" t="n">
        <x:v>829</x:v>
      </x:c>
      <x:c r="F32" s="25" t="str">
        <x:v>mm</x:v>
      </x:c>
      <x:c r="G32" s="22" t="n">
        <x:f>IF(COUNTBLANK(E32)&gt;0,"",E32)</x:f>
        <x:v>829</x:v>
      </x:c>
      <x:c r="H32" s="23" t="n">
        <x:f>IF(COUNTBLANK(G32)&gt;0,"",G32/1000)</x:f>
        <x:v>0.829</x:v>
      </x:c>
      <x:c r="I32" s="18" t="str">
        <x:v>Ghi trên bản vẽ / Explicit</x:v>
      </x:c>
      <x:c r="J32" s="18" t="str">
        <x:v>Tờ 6
File 4</x:v>
      </x:c>
      <x:c r="K32" s="18" t="str">
        <x:v>Right lowermost short offset, below A</x:v>
      </x:c>
      <x:c r="L32" s="18" t="str">
        <x:v>829</x:v>
      </x:c>
      <x:c r="M32" s="18" t="str"/>
    </x:row>
    <x:row r="33" ht="48" hidden="0" customHeight="1">
      <x:c r="A33" s="18" t="str">
        <x:v>P026</x:v>
      </x:c>
      <x:c r="B33" s="18" t="str">
        <x:v>Kích thước mặt bằng
Main body</x:v>
      </x:c>
      <x:c r="C33" s="18" t="str">
        <x:v>overall_width</x:v>
      </x:c>
      <x:c r="D33" s="18" t="str">
        <x:v>Model: Z
Source: transverse
main upper exterior edge → main lower exterior edge</x:v>
      </x:c>
      <x:c r="E33" s="24" t="n">
        <x:v>22489</x:v>
      </x:c>
      <x:c r="F33" s="25" t="str">
        <x:v>mm</x:v>
      </x:c>
      <x:c r="G33" s="22" t="n">
        <x:f>IF(COUNTBLANK(E33)&gt;0,"",E33)</x:f>
        <x:v>22489</x:v>
      </x:c>
      <x:c r="H33" s="23" t="n">
        <x:f>IF(COUNTBLANK(G33)&gt;0,"",G33/1000)</x:f>
        <x:v>22.489</x:v>
      </x:c>
      <x:c r="I33" s="18" t="str">
        <x:v>Ghi trên bản vẽ / Explicit</x:v>
      </x:c>
      <x:c r="J33" s="18" t="str">
        <x:v>Tờ 6
File 4</x:v>
      </x:c>
      <x:c r="K33" s="18" t="str">
        <x:v>Right middle overall dimension</x:v>
      </x:c>
      <x:c r="L33" s="18" t="str">
        <x:v>22489</x:v>
      </x:c>
      <x:c r="M33" s="18" t="str">
        <x:v>832 + 3054 + 3760 + 7200 + 3760 + 3054 + 829 = 22489.</x:v>
      </x:c>
    </x:row>
    <x:row r="34" ht="48" hidden="0" customHeight="1">
      <x:c r="A34" s="18" t="str">
        <x:v>P027</x:v>
      </x:c>
      <x:c r="B34" s="18" t="str">
        <x:v>Kích thước mặt bằng
Transept wings</x:v>
      </x:c>
      <x:c r="C34" s="18" t="str">
        <x:v>overall_width</x:v>
      </x:c>
      <x:c r="D34" s="18" t="str">
        <x:v>Model: Z
Source: transverse
upper wing exterior edge → lower wing exterior edge</x:v>
      </x:c>
      <x:c r="E34" s="24" t="n">
        <x:v>28158</x:v>
      </x:c>
      <x:c r="F34" s="25" t="str">
        <x:v>mm</x:v>
      </x:c>
      <x:c r="G34" s="22" t="n">
        <x:f>IF(COUNTBLANK(E34)&gt;0,"",E34)</x:f>
        <x:v>28158</x:v>
      </x:c>
      <x:c r="H34" s="23" t="n">
        <x:f>IF(COUNTBLANK(G34)&gt;0,"",G34/1000)</x:f>
        <x:v>28.158</x:v>
      </x:c>
      <x:c r="I34" s="18" t="str">
        <x:v>Ghi trên bản vẽ / Explicit</x:v>
      </x:c>
      <x:c r="J34" s="18" t="str">
        <x:v>Tờ 6
File 4</x:v>
      </x:c>
      <x:c r="K34" s="18" t="str">
        <x:v>Right outermost overall dimension</x:v>
      </x:c>
      <x:c r="L34" s="18" t="str">
        <x:v>28158</x:v>
      </x:c>
      <x:c r="M34" s="18" t="str">
        <x:v>Do not replace with main-body width22489. Axis A–I total26498; assigning both832 and829 to wing edges would yield28159, 1mm above printed overall.</x:v>
      </x:c>
    </x:row>
    <x:row r="35" ht="48" hidden="0" customHeight="1">
      <x:c r="A35" s="18" t="str">
        <x:v>P028</x:v>
      </x:c>
      <x:c r="B35" s="18" t="str">
        <x:v>Kích thước mặt bằng
Transept interior</x:v>
      </x:c>
      <x:c r="C35" s="18" t="str">
        <x:v>clear_width</x:v>
      </x:c>
      <x:c r="D35" s="18" t="str">
        <x:v>Model: Z
Source: transverse
upper wing inner wall face → lower wing inner wall face</x:v>
      </x:c>
      <x:c r="E35" s="24" t="n">
        <x:v>26168</x:v>
      </x:c>
      <x:c r="F35" s="25" t="str">
        <x:v>mm</x:v>
      </x:c>
      <x:c r="G35" s="22" t="n">
        <x:f>IF(COUNTBLANK(E35)&gt;0,"",E35)</x:f>
        <x:v>26168</x:v>
      </x:c>
      <x:c r="H35" s="23" t="n">
        <x:f>IF(COUNTBLANK(G35)&gt;0,"",G35/1000)</x:f>
        <x:v>26.168</x:v>
      </x:c>
      <x:c r="I35" s="18" t="str">
        <x:v>Ghi trên bản vẽ / Explicit</x:v>
      </x:c>
      <x:c r="J35" s="18" t="str">
        <x:v>Tờ 6
File 4</x:v>
      </x:c>
      <x:c r="K35" s="18" t="str">
        <x:v>Vertical dimension inside bay9–10</x:v>
      </x:c>
      <x:c r="L35" s="18" t="str">
        <x:v>26168</x:v>
      </x:c>
      <x:c r="M35" s="18" t="str">
        <x:v>Dimension spans interior faces of opposing transverse wing walls.</x:v>
      </x:c>
    </x:row>
    <x:row r="36" ht="48" hidden="0" customHeight="1">
      <x:c r="A36" s="18" t="str">
        <x:v>P029</x:v>
      </x:c>
      <x:c r="B36" s="18" t="str">
        <x:v>Kích thước mặt bằng
Nave interior</x:v>
      </x:c>
      <x:c r="C36" s="18" t="str">
        <x:v>clear_width</x:v>
      </x:c>
      <x:c r="D36" s="18" t="str">
        <x:v>Model: Z
Source: transverse
inner face near G → inner face near C</x:v>
      </x:c>
      <x:c r="E36" s="24" t="n">
        <x:v>14500</x:v>
      </x:c>
      <x:c r="F36" s="25" t="str">
        <x:v>mm</x:v>
      </x:c>
      <x:c r="G36" s="22" t="n">
        <x:f>IF(COUNTBLANK(E36)&gt;0,"",E36)</x:f>
        <x:v>14500</x:v>
      </x:c>
      <x:c r="H36" s="23" t="n">
        <x:f>IF(COUNTBLANK(G36)&gt;0,"",G36/1000)</x:f>
        <x:v>14.5</x:v>
      </x:c>
      <x:c r="I36" s="18" t="str">
        <x:v>Ghi trên bản vẽ / Explicit</x:v>
      </x:c>
      <x:c r="J36" s="18" t="str">
        <x:v>Tờ 6
File 4</x:v>
      </x:c>
      <x:c r="K36" s="18" t="str">
        <x:v>Vertical dimension near bay5–6</x:v>
      </x:c>
      <x:c r="L36" s="18" t="str">
        <x:v>14500</x:v>
      </x:c>
      <x:c r="M36" s="18" t="str">
        <x:v>Grid G–C14720 is a different measurement.</x:v>
      </x:c>
    </x:row>
    <x:row r="37" ht="48" hidden="0" customHeight="1">
      <x:c r="A37" s="18" t="str">
        <x:v>P030</x:v>
      </x:c>
      <x:c r="B37" s="18" t="str">
        <x:v>Kích thước mặt bằng
Main interior</x:v>
      </x:c>
      <x:c r="C37" s="18" t="str">
        <x:v>clear_length</x:v>
      </x:c>
      <x:c r="D37" s="18" t="str">
        <x:v>Model: X
Source: longitudinal
inside front wall near2′ → inside rear wall near12</x:v>
      </x:c>
      <x:c r="E37" s="24" t="n">
        <x:v>47386</x:v>
      </x:c>
      <x:c r="F37" s="25" t="str">
        <x:v>mm</x:v>
      </x:c>
      <x:c r="G37" s="22" t="n">
        <x:f>IF(COUNTBLANK(E37)&gt;0,"",E37)</x:f>
        <x:v>47386</x:v>
      </x:c>
      <x:c r="H37" s="23" t="n">
        <x:f>IF(COUNTBLANK(G37)&gt;0,"",G37/1000)</x:f>
        <x:v>47.386</x:v>
      </x:c>
      <x:c r="I37" s="18" t="str">
        <x:v>Ghi trên bản vẽ / Explicit</x:v>
      </x:c>
      <x:c r="J37" s="18" t="str">
        <x:v>Tờ 6
File 4</x:v>
      </x:c>
      <x:c r="K37" s="18" t="str">
        <x:v>Horizontal internal dimension near lower nave</x:v>
      </x:c>
      <x:c r="L37" s="18" t="str">
        <x:v>47386</x:v>
      </x:c>
      <x:c r="M37" s="18" t="str">
        <x:v>This is a clear overall interior dimension, not an axis span.</x:v>
      </x:c>
    </x:row>
    <x:row r="38" ht="48" hidden="0" customHeight="1">
      <x:c r="A38" s="18" t="str">
        <x:v>P031</x:v>
      </x:c>
      <x:c r="B38" s="18" t="str">
        <x:v>Kích thước mặt bằng
Lower veranda</x:v>
      </x:c>
      <x:c r="C38" s="18" t="str">
        <x:v>clear_width</x:v>
      </x:c>
      <x:c r="D38" s="18" t="str">
        <x:v>Model: Z
Source: transverse
inner face near C → inner face near B</x:v>
      </x:c>
      <x:c r="E38" s="24" t="n">
        <x:v>2779</x:v>
      </x:c>
      <x:c r="F38" s="25" t="str">
        <x:v>mm</x:v>
      </x:c>
      <x:c r="G38" s="22" t="n">
        <x:f>IF(COUNTBLANK(E38)&gt;0,"",E38)</x:f>
        <x:v>2779</x:v>
      </x:c>
      <x:c r="H38" s="23" t="n">
        <x:f>IF(COUNTBLANK(G38)&gt;0,"",G38/1000)</x:f>
        <x:v>2.779</x:v>
      </x:c>
      <x:c r="I38" s="18" t="str">
        <x:v>Ghi trên bản vẽ / Explicit</x:v>
      </x:c>
      <x:c r="J38" s="18" t="str">
        <x:v>Tờ 6
File 4</x:v>
      </x:c>
      <x:c r="K38" s="18" t="str">
        <x:v>Lower veranda width dimension near bay3–4</x:v>
      </x:c>
      <x:c r="L38" s="18" t="str">
        <x:v>2779</x:v>
      </x:c>
      <x:c r="M38" s="18" t="str">
        <x:v>No identical opposite-veranda clear dimension printed.</x:v>
      </x:c>
    </x:row>
    <x:row r="39" ht="36" hidden="0" customHeight="1">
      <x:c r="A39" s="18" t="str">
        <x:v>P032</x:v>
      </x:c>
      <x:c r="B39" s="18" t="str">
        <x:v>Kích thước mặt bằng
Transverse wing at9–10</x:v>
      </x:c>
      <x:c r="C39" s="18" t="str">
        <x:v>longitudinal_span</x:v>
      </x:c>
      <x:c r="D39" s="18" t="str">
        <x:v>Model: X
Source: longitudinal
9 → 10</x:v>
      </x:c>
      <x:c r="E39" s="24" t="n">
        <x:v>7200</x:v>
      </x:c>
      <x:c r="F39" s="25" t="str">
        <x:v>mm</x:v>
      </x:c>
      <x:c r="G39" s="22" t="n">
        <x:f>IF(COUNTBLANK(E39)&gt;0,"",E39)</x:f>
        <x:v>7200</x:v>
      </x:c>
      <x:c r="H39" s="23" t="n">
        <x:f>IF(COUNTBLANK(G39)&gt;0,"",G39/1000)</x:f>
        <x:v>7.2</x:v>
      </x:c>
      <x:c r="I39" s="18" t="str">
        <x:v>Ghi trên bản vẽ / Explicit</x:v>
      </x:c>
      <x:c r="J39" s="18" t="str">
        <x:v>Tờ 6
File 4</x:v>
      </x:c>
      <x:c r="K39" s="18" t="str">
        <x:v>Top wing dimension chain; repeated inside lower wing</x:v>
      </x:c>
      <x:c r="L39" s="18" t="str">
        <x:v>7200</x:v>
      </x:c>
      <x:c r="M39" s="18" t="str">
        <x:v>Grid span, not clear room width.</x:v>
      </x:c>
    </x:row>
    <x:row r="40" ht="36" hidden="0" customHeight="1">
      <x:c r="A40" s="18" t="str">
        <x:v>P033</x:v>
      </x:c>
      <x:c r="B40" s="18" t="str">
        <x:v>Kích thước mặt bằng
Upper transverse wing</x:v>
      </x:c>
      <x:c r="C40" s="18" t="str">
        <x:v>front_end_projection</x:v>
      </x:c>
      <x:c r="D40" s="18" t="str">
        <x:v>Model: X
Source: longitudinal
wing front exterior edge → 9</x:v>
      </x:c>
      <x:c r="E40" s="24" t="n">
        <x:v>995</x:v>
      </x:c>
      <x:c r="F40" s="25" t="str">
        <x:v>mm</x:v>
      </x:c>
      <x:c r="G40" s="22" t="n">
        <x:f>IF(COUNTBLANK(E40)&gt;0,"",E40)</x:f>
        <x:v>995</x:v>
      </x:c>
      <x:c r="H40" s="23" t="n">
        <x:f>IF(COUNTBLANK(G40)&gt;0,"",G40/1000)</x:f>
        <x:v>0.995</x:v>
      </x:c>
      <x:c r="I40" s="18" t="str">
        <x:v>Ghi trên bản vẽ / Explicit</x:v>
      </x:c>
      <x:c r="J40" s="18" t="str">
        <x:v>Tờ 6
File 4</x:v>
      </x:c>
      <x:c r="K40" s="18" t="str">
        <x:v>Top wing outer dimension chain</x:v>
      </x:c>
      <x:c r="L40" s="18" t="str">
        <x:v>995</x:v>
      </x:c>
      <x:c r="M40" s="18" t="str"/>
    </x:row>
    <x:row r="41" ht="36" hidden="0" customHeight="1">
      <x:c r="A41" s="18" t="str">
        <x:v>P034</x:v>
      </x:c>
      <x:c r="B41" s="18" t="str">
        <x:v>Kích thước mặt bằng
Upper transverse wing</x:v>
      </x:c>
      <x:c r="C41" s="18" t="str">
        <x:v>rear_end_projection</x:v>
      </x:c>
      <x:c r="D41" s="18" t="str">
        <x:v>Model: X
Source: longitudinal
10 → wing rear exterior edge</x:v>
      </x:c>
      <x:c r="E41" s="24" t="n">
        <x:v>993</x:v>
      </x:c>
      <x:c r="F41" s="25" t="str">
        <x:v>mm</x:v>
      </x:c>
      <x:c r="G41" s="22" t="n">
        <x:f>IF(COUNTBLANK(E41)&gt;0,"",E41)</x:f>
        <x:v>993</x:v>
      </x:c>
      <x:c r="H41" s="23" t="n">
        <x:f>IF(COUNTBLANK(G41)&gt;0,"",G41/1000)</x:f>
        <x:v>0.993</x:v>
      </x:c>
      <x:c r="I41" s="18" t="str">
        <x:v>Ghi trên bản vẽ / Explicit</x:v>
      </x:c>
      <x:c r="J41" s="18" t="str">
        <x:v>Tờ 6
File 4</x:v>
      </x:c>
      <x:c r="K41" s="18" t="str">
        <x:v>Top wing outer dimension chain</x:v>
      </x:c>
      <x:c r="L41" s="18" t="str">
        <x:v>993</x:v>
      </x:c>
      <x:c r="M41" s="18" t="str"/>
    </x:row>
    <x:row r="42" ht="48" hidden="0" customHeight="1">
      <x:c r="A42" s="18" t="str">
        <x:v>P035</x:v>
      </x:c>
      <x:c r="B42" s="18" t="str">
        <x:v>Kích thước mặt bằng
Upper transverse wing</x:v>
      </x:c>
      <x:c r="C42" s="18" t="str">
        <x:v>overall_length</x:v>
      </x:c>
      <x:c r="D42" s="18" t="str">
        <x:v>Model: X
Source: longitudinal
wing front exterior edge → wing rear exterior edge</x:v>
      </x:c>
      <x:c r="E42" s="24" t="n">
        <x:v>9188</x:v>
      </x:c>
      <x:c r="F42" s="25" t="str">
        <x:v>mm</x:v>
      </x:c>
      <x:c r="G42" s="22" t="n">
        <x:f>IF(COUNTBLANK(E42)&gt;0,"",E42)</x:f>
        <x:v>9188</x:v>
      </x:c>
      <x:c r="H42" s="23" t="n">
        <x:f>IF(COUNTBLANK(G42)&gt;0,"",G42/1000)</x:f>
        <x:v>9.188</x:v>
      </x:c>
      <x:c r="I42" s="18" t="str">
        <x:v>Ghi trên bản vẽ / Explicit</x:v>
      </x:c>
      <x:c r="J42" s="18" t="str">
        <x:v>Tờ 6
File 4</x:v>
      </x:c>
      <x:c r="K42" s="18" t="str">
        <x:v>Top wing outer overall chain</x:v>
      </x:c>
      <x:c r="L42" s="18" t="str">
        <x:v>9188</x:v>
      </x:c>
      <x:c r="M42" s="18" t="str">
        <x:v>995 + 7200 + 993 = 9188.</x:v>
      </x:c>
    </x:row>
    <x:row r="43" ht="36" hidden="0" customHeight="1">
      <x:c r="A43" s="18" t="str">
        <x:v>P036</x:v>
      </x:c>
      <x:c r="B43" s="18" t="str">
        <x:v>Kích thước mặt bằng
Lower front tower/recess</x:v>
      </x:c>
      <x:c r="C43" s="18" t="str">
        <x:v>clear_width</x:v>
      </x:c>
      <x:c r="D43" s="18" t="str">
        <x:v>Model: X
Source: longitudinal
front inside face → rear inside face</x:v>
      </x:c>
      <x:c r="E43" s="24" t="n">
        <x:v>2770</x:v>
      </x:c>
      <x:c r="F43" s="25" t="str">
        <x:v>mm</x:v>
      </x:c>
      <x:c r="G43" s="22" t="n">
        <x:f>IF(COUNTBLANK(E43)&gt;0,"",E43)</x:f>
        <x:v>2770</x:v>
      </x:c>
      <x:c r="H43" s="23" t="n">
        <x:f>IF(COUNTBLANK(G43)&gt;0,"",G43/1000)</x:f>
        <x:v>2.77</x:v>
      </x:c>
      <x:c r="I43" s="18" t="str">
        <x:v>Ghi trên bản vẽ / Explicit</x:v>
      </x:c>
      <x:c r="J43" s="18" t="str">
        <x:v>Tờ 6
File 4</x:v>
      </x:c>
      <x:c r="K43" s="18" t="str">
        <x:v>Front lower tower horizontal dimension</x:v>
      </x:c>
      <x:c r="L43" s="18" t="str">
        <x:v>2770</x:v>
      </x:c>
      <x:c r="M43" s="18" t="str">
        <x:v>Use detail position in plan; not overall tower footprint.</x:v>
      </x:c>
    </x:row>
    <x:row r="44" ht="48" hidden="0" customHeight="1">
      <x:c r="A44" s="18" t="str">
        <x:v>P037</x:v>
      </x:c>
      <x:c r="B44" s="18" t="str">
        <x:v>Kích thước mặt bằng
Lower front tower/recess</x:v>
      </x:c>
      <x:c r="C44" s="18" t="str">
        <x:v>clear_depth</x:v>
      </x:c>
      <x:c r="D44" s="18" t="str">
        <x:v>Model: Z
Source: transverse
upper inside face → lower inside face</x:v>
      </x:c>
      <x:c r="E44" s="24" t="n">
        <x:v>2770</x:v>
      </x:c>
      <x:c r="F44" s="25" t="str">
        <x:v>mm</x:v>
      </x:c>
      <x:c r="G44" s="22" t="n">
        <x:f>IF(COUNTBLANK(E44)&gt;0,"",E44)</x:f>
        <x:v>2770</x:v>
      </x:c>
      <x:c r="H44" s="23" t="n">
        <x:f>IF(COUNTBLANK(G44)&gt;0,"",G44/1000)</x:f>
        <x:v>2.77</x:v>
      </x:c>
      <x:c r="I44" s="18" t="str">
        <x:v>Ghi trên bản vẽ / Explicit</x:v>
      </x:c>
      <x:c r="J44" s="18" t="str">
        <x:v>Tờ 6
File 4</x:v>
      </x:c>
      <x:c r="K44" s="18" t="str">
        <x:v>Front lower tower vertical dimension</x:v>
      </x:c>
      <x:c r="L44" s="18" t="str">
        <x:v>2770</x:v>
      </x:c>
      <x:c r="M44" s="18" t="str">
        <x:v>Use detail position in plan; not overall tower footprint.</x:v>
      </x:c>
    </x:row>
    <x:row r="45" ht="48" hidden="0" customHeight="1">
      <x:c r="A45" s="18" t="str">
        <x:v>P038</x:v>
      </x:c>
      <x:c r="B45" s="18" t="str">
        <x:v>Kích thước mặt bằng
Lower front connecting passage</x:v>
      </x:c>
      <x:c r="C45" s="18" t="str">
        <x:v>clear_width</x:v>
      </x:c>
      <x:c r="D45" s="18" t="str">
        <x:v>Model: X
Source: longitudinal
front recess corner → inside face near2′</x:v>
      </x:c>
      <x:c r="E45" s="24" t="n">
        <x:v>1500</x:v>
      </x:c>
      <x:c r="F45" s="25" t="str">
        <x:v>mm</x:v>
      </x:c>
      <x:c r="G45" s="22" t="n">
        <x:f>IF(COUNTBLANK(E45)&gt;0,"",E45)</x:f>
        <x:v>1500</x:v>
      </x:c>
      <x:c r="H45" s="23" t="n">
        <x:f>IF(COUNTBLANK(G45)&gt;0,"",G45/1000)</x:f>
        <x:v>1.5</x:v>
      </x:c>
      <x:c r="I45" s="18" t="str">
        <x:v>Ghi trên bản vẽ / Explicit</x:v>
      </x:c>
      <x:c r="J45" s="18" t="str">
        <x:v>Tờ 6
File 4</x:v>
      </x:c>
      <x:c r="K45" s="18" t="str">
        <x:v>Front near axis C, horizontal passage dimension</x:v>
      </x:c>
      <x:c r="L45" s="18" t="str">
        <x:v>1500</x:v>
      </x:c>
      <x:c r="M45" s="18" t="str">
        <x:v>Local passage opening; not the same as altar offset1500.</x:v>
      </x:c>
    </x:row>
    <x:row r="46" ht="60" hidden="0" customHeight="1">
      <x:c r="A46" s="18" t="str">
        <x:v>P039</x:v>
      </x:c>
      <x:c r="B46" s="18" t="str">
        <x:v>Kích thước mặt bằng
Lower front connecting passage</x:v>
      </x:c>
      <x:c r="C46" s="18" t="str">
        <x:v>opening_dimension</x:v>
      </x:c>
      <x:c r="D46" s="18" t="str">
        <x:v>Model: Z
Source: transverse
lower front passage upper endpoint → lower front passage lower endpoint</x:v>
      </x:c>
      <x:c r="E46" s="24" t="n">
        <x:v>1821</x:v>
      </x:c>
      <x:c r="F46" s="25" t="str">
        <x:v>mm</x:v>
      </x:c>
      <x:c r="G46" s="22" t="n">
        <x:f>IF(COUNTBLANK(E46)&gt;0,"",E46)</x:f>
        <x:v>1821</x:v>
      </x:c>
      <x:c r="H46" s="23" t="n">
        <x:f>IF(COUNTBLANK(G46)&gt;0,"",G46/1000)</x:f>
        <x:v>1.821</x:v>
      </x:c>
      <x:c r="I46" s="18" t="str">
        <x:v>Ghi trên bản vẽ / Explicit</x:v>
      </x:c>
      <x:c r="J46" s="18" t="str">
        <x:v>Tờ 6
File 4</x:v>
      </x:c>
      <x:c r="K46" s="18" t="str">
        <x:v>Front near axes B–C, vertical passage dimension</x:v>
      </x:c>
      <x:c r="L46" s="18" t="str">
        <x:v>1821</x:v>
      </x:c>
      <x:c r="M46" s="18" t="str"/>
    </x:row>
    <x:row r="47" ht="48" hidden="0" customHeight="1">
      <x:c r="A47" s="18" t="str">
        <x:v>P040</x:v>
      </x:c>
      <x:c r="B47" s="18" t="str">
        <x:v>Cửa và trụ mặt tiền
Front facade openings and pier zones</x:v>
      </x:c>
      <x:c r="C47" s="18" t="str">
        <x:v>chain_segment</x:v>
      </x:c>
      <x:c r="D47" s="18" t="str">
        <x:v>Model: Z
Source: transverse
front chain point0 → front chain point1</x:v>
      </x:c>
      <x:c r="E47" s="24" t="n">
        <x:v>935</x:v>
      </x:c>
      <x:c r="F47" s="25" t="str">
        <x:v>mm</x:v>
      </x:c>
      <x:c r="G47" s="22" t="n">
        <x:f>IF(COUNTBLANK(E47)&gt;0,"",E47)</x:f>
        <x:v>935</x:v>
      </x:c>
      <x:c r="H47" s="23" t="n">
        <x:f>IF(COUNTBLANK(G47)&gt;0,"",G47/1000)</x:f>
        <x:v>0.935</x:v>
      </x:c>
      <x:c r="I47" s="18" t="str">
        <x:v>Ghi trên bản vẽ / Explicit</x:v>
      </x:c>
      <x:c r="J47" s="18" t="str">
        <x:v>Tờ 6
File 4</x:v>
      </x:c>
      <x:c r="K47" s="18" t="str">
        <x:v>Inside front wall, near2′ between G and C</x:v>
      </x:c>
      <x:c r="L47" s="18" t="str">
        <x:v>935</x:v>
      </x:c>
      <x:c r="M47" s="18" t="str">
        <x:v>upper margin; chain ending margin at lower end is not explicitly labeled.</x:v>
      </x:c>
    </x:row>
    <x:row r="48" ht="48" hidden="0" customHeight="1">
      <x:c r="A48" s="18" t="str">
        <x:v>P041</x:v>
      </x:c>
      <x:c r="B48" s="18" t="str">
        <x:v>Cửa và trụ mặt tiền
Front facade openings and pier zones</x:v>
      </x:c>
      <x:c r="C48" s="18" t="str">
        <x:v>chain_segment</x:v>
      </x:c>
      <x:c r="D48" s="18" t="str">
        <x:v>Model: Z
Source: transverse
front chain point1 → front chain point2</x:v>
      </x:c>
      <x:c r="E48" s="24" t="n">
        <x:v>2150</x:v>
      </x:c>
      <x:c r="F48" s="25" t="str">
        <x:v>mm</x:v>
      </x:c>
      <x:c r="G48" s="22" t="n">
        <x:f>IF(COUNTBLANK(E48)&gt;0,"",E48)</x:f>
        <x:v>2150</x:v>
      </x:c>
      <x:c r="H48" s="23" t="n">
        <x:f>IF(COUNTBLANK(G48)&gt;0,"",G48/1000)</x:f>
        <x:v>2.15</x:v>
      </x:c>
      <x:c r="I48" s="18" t="str">
        <x:v>Ghi trên bản vẽ / Explicit</x:v>
      </x:c>
      <x:c r="J48" s="18" t="str">
        <x:v>Tờ 6
File 4</x:v>
      </x:c>
      <x:c r="K48" s="18" t="str">
        <x:v>Inside front wall, near2′ between G and C</x:v>
      </x:c>
      <x:c r="L48" s="18" t="str">
        <x:v>2150</x:v>
      </x:c>
      <x:c r="M48" s="18" t="str">
        <x:v>upper portal clear; chain ending margin at lower end is not explicitly labeled.</x:v>
      </x:c>
    </x:row>
    <x:row r="49" ht="48" hidden="0" customHeight="1">
      <x:c r="A49" s="18" t="str">
        <x:v>P042</x:v>
      </x:c>
      <x:c r="B49" s="18" t="str">
        <x:v>Cửa và trụ mặt tiền
Front facade openings and pier zones</x:v>
      </x:c>
      <x:c r="C49" s="18" t="str">
        <x:v>chain_segment</x:v>
      </x:c>
      <x:c r="D49" s="18" t="str">
        <x:v>Model: Z
Source: transverse
front chain point2 → front chain point3</x:v>
      </x:c>
      <x:c r="E49" s="24" t="n">
        <x:v>2725</x:v>
      </x:c>
      <x:c r="F49" s="25" t="str">
        <x:v>mm</x:v>
      </x:c>
      <x:c r="G49" s="22" t="n">
        <x:f>IF(COUNTBLANK(E49)&gt;0,"",E49)</x:f>
        <x:v>2725</x:v>
      </x:c>
      <x:c r="H49" s="23" t="n">
        <x:f>IF(COUNTBLANK(G49)&gt;0,"",G49/1000)</x:f>
        <x:v>2.725</x:v>
      </x:c>
      <x:c r="I49" s="18" t="str">
        <x:v>Ghi trên bản vẽ / Explicit</x:v>
      </x:c>
      <x:c r="J49" s="18" t="str">
        <x:v>Tờ 6
File 4</x:v>
      </x:c>
      <x:c r="K49" s="18" t="str">
        <x:v>Inside front wall, near2′ between G and C</x:v>
      </x:c>
      <x:c r="L49" s="18" t="str">
        <x:v>2725</x:v>
      </x:c>
      <x:c r="M49" s="18" t="str">
        <x:v>upper intermediate pier zone; chain ending margin at lower end is not explicitly labeled.</x:v>
      </x:c>
    </x:row>
    <x:row r="50" ht="48" hidden="0" customHeight="1">
      <x:c r="A50" s="18" t="str">
        <x:v>P043</x:v>
      </x:c>
      <x:c r="B50" s="18" t="str">
        <x:v>Cửa và trụ mặt tiền
Front facade openings and pier zones</x:v>
      </x:c>
      <x:c r="C50" s="18" t="str">
        <x:v>chain_segment</x:v>
      </x:c>
      <x:c r="D50" s="18" t="str">
        <x:v>Model: Z
Source: transverse
front chain point3 → front chain point4</x:v>
      </x:c>
      <x:c r="E50" s="24" t="n">
        <x:v>3100</x:v>
      </x:c>
      <x:c r="F50" s="25" t="str">
        <x:v>mm</x:v>
      </x:c>
      <x:c r="G50" s="22" t="n">
        <x:f>IF(COUNTBLANK(E50)&gt;0,"",E50)</x:f>
        <x:v>3100</x:v>
      </x:c>
      <x:c r="H50" s="23" t="n">
        <x:f>IF(COUNTBLANK(G50)&gt;0,"",G50/1000)</x:f>
        <x:v>3.1</x:v>
      </x:c>
      <x:c r="I50" s="18" t="str">
        <x:v>Ghi trên bản vẽ / Explicit</x:v>
      </x:c>
      <x:c r="J50" s="18" t="str">
        <x:v>Tờ 6
File 4</x:v>
      </x:c>
      <x:c r="K50" s="18" t="str">
        <x:v>Inside front wall, near2′ between G and C</x:v>
      </x:c>
      <x:c r="L50" s="18" t="str">
        <x:v>3100</x:v>
      </x:c>
      <x:c r="M50" s="18" t="str">
        <x:v>central portal clear; chain ending margin at lower end is not explicitly labeled.</x:v>
      </x:c>
    </x:row>
    <x:row r="51" ht="48" hidden="0" customHeight="1">
      <x:c r="A51" s="18" t="str">
        <x:v>P044</x:v>
      </x:c>
      <x:c r="B51" s="18" t="str">
        <x:v>Cửa và trụ mặt tiền
Front facade openings and pier zones</x:v>
      </x:c>
      <x:c r="C51" s="18" t="str">
        <x:v>chain_segment</x:v>
      </x:c>
      <x:c r="D51" s="18" t="str">
        <x:v>Model: Z
Source: transverse
front chain point4 → front chain point5</x:v>
      </x:c>
      <x:c r="E51" s="24" t="n">
        <x:v>2725</x:v>
      </x:c>
      <x:c r="F51" s="25" t="str">
        <x:v>mm</x:v>
      </x:c>
      <x:c r="G51" s="22" t="n">
        <x:f>IF(COUNTBLANK(E51)&gt;0,"",E51)</x:f>
        <x:v>2725</x:v>
      </x:c>
      <x:c r="H51" s="23" t="n">
        <x:f>IF(COUNTBLANK(G51)&gt;0,"",G51/1000)</x:f>
        <x:v>2.725</x:v>
      </x:c>
      <x:c r="I51" s="18" t="str">
        <x:v>Ghi trên bản vẽ / Explicit</x:v>
      </x:c>
      <x:c r="J51" s="18" t="str">
        <x:v>Tờ 6
File 4</x:v>
      </x:c>
      <x:c r="K51" s="18" t="str">
        <x:v>Inside front wall, near2′ between G and C</x:v>
      </x:c>
      <x:c r="L51" s="18" t="str">
        <x:v>2725</x:v>
      </x:c>
      <x:c r="M51" s="18" t="str">
        <x:v>lower intermediate pier zone; chain ending margin at lower end is not explicitly labeled.</x:v>
      </x:c>
    </x:row>
    <x:row r="52" ht="48" hidden="0" customHeight="1">
      <x:c r="A52" s="18" t="str">
        <x:v>P045</x:v>
      </x:c>
      <x:c r="B52" s="18" t="str">
        <x:v>Cửa và trụ mặt tiền
Front facade openings and pier zones</x:v>
      </x:c>
      <x:c r="C52" s="18" t="str">
        <x:v>chain_segment</x:v>
      </x:c>
      <x:c r="D52" s="18" t="str">
        <x:v>Model: Z
Source: transverse
front chain point5 → front chain point6</x:v>
      </x:c>
      <x:c r="E52" s="24" t="n">
        <x:v>2150</x:v>
      </x:c>
      <x:c r="F52" s="25" t="str">
        <x:v>mm</x:v>
      </x:c>
      <x:c r="G52" s="22" t="n">
        <x:f>IF(COUNTBLANK(E52)&gt;0,"",E52)</x:f>
        <x:v>2150</x:v>
      </x:c>
      <x:c r="H52" s="23" t="n">
        <x:f>IF(COUNTBLANK(G52)&gt;0,"",G52/1000)</x:f>
        <x:v>2.15</x:v>
      </x:c>
      <x:c r="I52" s="18" t="str">
        <x:v>Ghi trên bản vẽ / Explicit</x:v>
      </x:c>
      <x:c r="J52" s="18" t="str">
        <x:v>Tờ 6
File 4</x:v>
      </x:c>
      <x:c r="K52" s="18" t="str">
        <x:v>Inside front wall, near2′ between G and C</x:v>
      </x:c>
      <x:c r="L52" s="18" t="str">
        <x:v>2150</x:v>
      </x:c>
      <x:c r="M52" s="18" t="str">
        <x:v>lower portal clear; chain ending margin at lower end is not explicitly labeled.</x:v>
      </x:c>
    </x:row>
    <x:row r="53" ht="36" hidden="0" customHeight="1">
      <x:c r="A53" s="18" t="str">
        <x:v>P046</x:v>
      </x:c>
      <x:c r="B53" s="18" t="str">
        <x:v>Cao độ mặt bằng
Main nave datum</x:v>
      </x:c>
      <x:c r="C53" s="18" t="str">
        <x:v>elevation</x:v>
      </x:c>
      <x:c r="D53" s="18" t="str">
        <x:v>Model: Y
Source: vertical
±0.000 datum → Main nave datum</x:v>
      </x:c>
      <x:c r="E53" s="26" t="n">
        <x:v>0</x:v>
      </x:c>
      <x:c r="F53" s="25" t="str">
        <x:v>m</x:v>
      </x:c>
      <x:c r="G53" s="22" t="n">
        <x:f>IF(COUNTBLANK(E53)&gt;0,"",E53*1000)</x:f>
        <x:v>0</x:v>
      </x:c>
      <x:c r="H53" s="23" t="n">
        <x:f>IF(COUNTBLANK(G53)&gt;0,"",G53/1000)</x:f>
        <x:v>0</x:v>
      </x:c>
      <x:c r="I53" s="18" t="str">
        <x:v>Ghi trên bản vẽ / Explicit</x:v>
      </x:c>
      <x:c r="J53" s="18" t="str">
        <x:v>Tờ 6
File 4</x:v>
      </x:c>
      <x:c r="K53" s="18" t="str">
        <x:v>Main nave center</x:v>
      </x:c>
      <x:c r="L53" s="18" t="str">
        <x:v>+00 M</x:v>
      </x:c>
      <x:c r="M53" s="18" t="str"/>
    </x:row>
    <x:row r="54" ht="48" hidden="0" customHeight="1">
      <x:c r="A54" s="18" t="str">
        <x:v>P047</x:v>
      </x:c>
      <x:c r="B54" s="18" t="str">
        <x:v>Cao độ mặt bằng
Front forecourt/entrance landing</x:v>
      </x:c>
      <x:c r="C54" s="18" t="str">
        <x:v>elevation</x:v>
      </x:c>
      <x:c r="D54" s="18" t="str">
        <x:v>Model: Y
Source: vertical
±0.000 datum → Front forecourt/entrance landing</x:v>
      </x:c>
      <x:c r="E54" s="26" t="n">
        <x:v>-0.48</x:v>
      </x:c>
      <x:c r="F54" s="25" t="str">
        <x:v>m</x:v>
      </x:c>
      <x:c r="G54" s="22" t="n">
        <x:f>IF(COUNTBLANK(E54)&gt;0,"",E54*1000)</x:f>
        <x:v>-480</x:v>
      </x:c>
      <x:c r="H54" s="23" t="n">
        <x:f>IF(COUNTBLANK(G54)&gt;0,"",G54/1000)</x:f>
        <x:v>-0.48</x:v>
      </x:c>
      <x:c r="I54" s="18" t="str">
        <x:v>Ghi trên bản vẽ / Explicit</x:v>
      </x:c>
      <x:c r="J54" s="18" t="str">
        <x:v>Tờ 6
File 4</x:v>
      </x:c>
      <x:c r="K54" s="18" t="str">
        <x:v>Large front approach area</x:v>
      </x:c>
      <x:c r="L54" s="18" t="str">
        <x:v>-0,48 M</x:v>
      </x:c>
      <x:c r="M54" s="18" t="str"/>
    </x:row>
    <x:row r="55" ht="36" hidden="0" customHeight="1">
      <x:c r="A55" s="18" t="str">
        <x:v>P048</x:v>
      </x:c>
      <x:c r="B55" s="18" t="str">
        <x:v>Cao độ mặt bằng
Side stair landings</x:v>
      </x:c>
      <x:c r="C55" s="18" t="str">
        <x:v>elevation</x:v>
      </x:c>
      <x:c r="D55" s="18" t="str">
        <x:v>Model: Y
Source: vertical
±0.000 datum → Side stair landings</x:v>
      </x:c>
      <x:c r="E55" s="26" t="n">
        <x:v>-0.32</x:v>
      </x:c>
      <x:c r="F55" s="25" t="str">
        <x:v>m</x:v>
      </x:c>
      <x:c r="G55" s="22" t="n">
        <x:f>IF(COUNTBLANK(E55)&gt;0,"",E55*1000)</x:f>
        <x:v>-320</x:v>
      </x:c>
      <x:c r="H55" s="23" t="n">
        <x:f>IF(COUNTBLANK(G55)&gt;0,"",G55/1000)</x:f>
        <x:v>-0.32</x:v>
      </x:c>
      <x:c r="I55" s="18" t="str">
        <x:v>Ghi trên bản vẽ / Explicit</x:v>
      </x:c>
      <x:c r="J55" s="18" t="str">
        <x:v>Tờ 6
File 4</x:v>
      </x:c>
      <x:c r="K55" s="18" t="str">
        <x:v>Six side landing tags: upper/lower near3–5,7–9,10–12</x:v>
      </x:c>
      <x:c r="L55" s="18" t="str">
        <x:v>-0,32 M</x:v>
      </x:c>
      <x:c r="M55" s="18" t="str"/>
    </x:row>
    <x:row r="56" ht="48" hidden="0" customHeight="1">
      <x:c r="A56" s="18" t="str">
        <x:v>P049</x:v>
      </x:c>
      <x:c r="B56" s="18" t="str">
        <x:v>Cao độ mặt bằng
Sanctuary/altar platform</x:v>
      </x:c>
      <x:c r="C56" s="18" t="str">
        <x:v>elevation</x:v>
      </x:c>
      <x:c r="D56" s="18" t="str">
        <x:v>Model: Y
Source: vertical
±0.000 datum → Sanctuary/altar platform</x:v>
      </x:c>
      <x:c r="E56" s="26" t="n">
        <x:v>0.75</x:v>
      </x:c>
      <x:c r="F56" s="25" t="str">
        <x:v>m</x:v>
      </x:c>
      <x:c r="G56" s="22" t="n">
        <x:f>IF(COUNTBLANK(E56)&gt;0,"",E56*1000)</x:f>
        <x:v>750</x:v>
      </x:c>
      <x:c r="H56" s="23" t="n">
        <x:f>IF(COUNTBLANK(G56)&gt;0,"",G56/1000)</x:f>
        <x:v>0.75</x:v>
      </x:c>
      <x:c r="I56" s="18" t="str">
        <x:v>Ghi trên bản vẽ / Explicit</x:v>
      </x:c>
      <x:c r="J56" s="18" t="str">
        <x:v>Tờ 6
File 4</x:v>
      </x:c>
      <x:c r="K56" s="18" t="str">
        <x:v>Sanctuary between9–11</x:v>
      </x:c>
      <x:c r="L56" s="18" t="str">
        <x:v>+0,75 M</x:v>
      </x:c>
      <x:c r="M56" s="18" t="str"/>
    </x:row>
    <x:row r="57" ht="48" hidden="0" customHeight="1">
      <x:c r="A57" s="18" t="str">
        <x:v>P050</x:v>
      </x:c>
      <x:c r="B57" s="18" t="str">
        <x:v>Cao độ mặt bằng
Upper rear side room</x:v>
      </x:c>
      <x:c r="C57" s="18" t="str">
        <x:v>elevation</x:v>
      </x:c>
      <x:c r="D57" s="18" t="str">
        <x:v>Model: Y
Source: vertical
±0.000 datum → Upper rear side room</x:v>
      </x:c>
      <x:c r="E57" s="26" t="n">
        <x:v>0.15</x:v>
      </x:c>
      <x:c r="F57" s="25" t="str">
        <x:v>m</x:v>
      </x:c>
      <x:c r="G57" s="22" t="n">
        <x:f>IF(COUNTBLANK(E57)&gt;0,"",E57*1000)</x:f>
        <x:v>150</x:v>
      </x:c>
      <x:c r="H57" s="23" t="n">
        <x:f>IF(COUNTBLANK(G57)&gt;0,"",G57/1000)</x:f>
        <x:v>0.15</x:v>
      </x:c>
      <x:c r="I57" s="18" t="str">
        <x:v>Ghi trên bản vẽ / Explicit</x:v>
      </x:c>
      <x:c r="J57" s="18" t="str">
        <x:v>Tờ 6
File 4</x:v>
      </x:c>
      <x:c r="K57" s="18" t="str">
        <x:v>Room near10–12 between E and G</x:v>
      </x:c>
      <x:c r="L57" s="18" t="str">
        <x:v>+0,15 M</x:v>
      </x:c>
      <x:c r="M57" s="18" t="str"/>
    </x:row>
    <x:row r="58" ht="36" hidden="0" customHeight="1">
      <x:c r="A58" s="18" t="str">
        <x:v>P051</x:v>
      </x:c>
      <x:c r="B58" s="18" t="str">
        <x:v>Cao độ mặt bằng
Central rear room</x:v>
      </x:c>
      <x:c r="C58" s="18" t="str">
        <x:v>elevation</x:v>
      </x:c>
      <x:c r="D58" s="18" t="str">
        <x:v>Model: Y
Source: vertical
±0.000 datum → Central rear room</x:v>
      </x:c>
      <x:c r="E58" s="26" t="n">
        <x:v>0.15</x:v>
      </x:c>
      <x:c r="F58" s="25" t="str">
        <x:v>m</x:v>
      </x:c>
      <x:c r="G58" s="22" t="n">
        <x:f>IF(COUNTBLANK(E58)&gt;0,"",E58*1000)</x:f>
        <x:v>150</x:v>
      </x:c>
      <x:c r="H58" s="23" t="n">
        <x:f>IF(COUNTBLANK(G58)&gt;0,"",G58/1000)</x:f>
        <x:v>0.15</x:v>
      </x:c>
      <x:c r="I58" s="18" t="str">
        <x:v>Ghi trên bản vẽ / Explicit</x:v>
      </x:c>
      <x:c r="J58" s="18" t="str">
        <x:v>Tờ 6
File 4</x:v>
      </x:c>
      <x:c r="K58" s="18" t="str">
        <x:v>Room between11–12 and D–E</x:v>
      </x:c>
      <x:c r="L58" s="18" t="str">
        <x:v>+0,15 M</x:v>
      </x:c>
      <x:c r="M58" s="18" t="str"/>
    </x:row>
    <x:row r="59" ht="48" hidden="0" customHeight="1">
      <x:c r="A59" s="18" t="str">
        <x:v>P052</x:v>
      </x:c>
      <x:c r="B59" s="18" t="str">
        <x:v>Cao độ mặt bằng
Lower rear side room</x:v>
      </x:c>
      <x:c r="C59" s="18" t="str">
        <x:v>elevation</x:v>
      </x:c>
      <x:c r="D59" s="18" t="str">
        <x:v>Model: Y
Source: vertical
±0.000 datum → Lower rear side room</x:v>
      </x:c>
      <x:c r="E59" s="26" t="n">
        <x:v>0.15</x:v>
      </x:c>
      <x:c r="F59" s="25" t="str">
        <x:v>m</x:v>
      </x:c>
      <x:c r="G59" s="22" t="n">
        <x:f>IF(COUNTBLANK(E59)&gt;0,"",E59*1000)</x:f>
        <x:v>150</x:v>
      </x:c>
      <x:c r="H59" s="23" t="n">
        <x:f>IF(COUNTBLANK(G59)&gt;0,"",G59/1000)</x:f>
        <x:v>0.15</x:v>
      </x:c>
      <x:c r="I59" s="18" t="str">
        <x:v>Ghi trên bản vẽ / Explicit</x:v>
      </x:c>
      <x:c r="J59" s="18" t="str">
        <x:v>Tờ 6
File 4</x:v>
      </x:c>
      <x:c r="K59" s="18" t="str">
        <x:v>Room near10–12 between C and D</x:v>
      </x:c>
      <x:c r="L59" s="18" t="str">
        <x:v>+0,15 M</x:v>
      </x:c>
      <x:c r="M59" s="18" t="str"/>
    </x:row>
    <x:row r="60" ht="36" hidden="0" customHeight="1">
      <x:c r="A60" s="18" t="str">
        <x:v>P053</x:v>
      </x:c>
      <x:c r="B60" s="18" t="str">
        <x:v>Nhịp cửa hiên phía H
Veranda openings along axis H</x:v>
      </x:c>
      <x:c r="C60" s="18" t="str">
        <x:v>opening_chain_segment</x:v>
      </x:c>
      <x:c r="D60" s="18" t="str">
        <x:v>Model: X
Source: longitudinal
2′–3:point0 → 2′–3:point1</x:v>
      </x:c>
      <x:c r="E60" s="24" t="n">
        <x:v>735</x:v>
      </x:c>
      <x:c r="F60" s="25" t="str">
        <x:v>mm</x:v>
      </x:c>
      <x:c r="G60" s="22" t="n">
        <x:f>IF(COUNTBLANK(E60)&gt;0,"",E60)</x:f>
        <x:v>735</x:v>
      </x:c>
      <x:c r="H60" s="23" t="n">
        <x:f>IF(COUNTBLANK(G60)&gt;0,"",G60/1000)</x:f>
        <x:v>0.735</x:v>
      </x:c>
      <x:c r="I60" s="18" t="str">
        <x:v>Ghi trên bản vẽ / Explicit</x:v>
      </x:c>
      <x:c r="J60" s="18" t="str">
        <x:v>Tờ 6
File 4</x:v>
      </x:c>
      <x:c r="K60" s="18" t="str">
        <x:v>Upper veranda dimension chain, bay2′–3</x:v>
      </x:c>
      <x:c r="L60" s="18" t="str">
        <x:v>735</x:v>
      </x:c>
      <x:c r="M60" s="18" t="str">
        <x:v>Chain totals4500; 1000 sections correspond to two openings. 735/1030 portions are spacing/pier zones, not opening widths.</x:v>
      </x:c>
    </x:row>
    <x:row r="61" ht="36" hidden="0" customHeight="1">
      <x:c r="A61" s="18" t="str">
        <x:v>P054</x:v>
      </x:c>
      <x:c r="B61" s="18" t="str">
        <x:v>Nhịp cửa hiên phía H
Veranda openings along axis H</x:v>
      </x:c>
      <x:c r="C61" s="18" t="str">
        <x:v>opening_chain_segment</x:v>
      </x:c>
      <x:c r="D61" s="18" t="str">
        <x:v>Model: X
Source: longitudinal
2′–3:point1 → 2′–3:point2</x:v>
      </x:c>
      <x:c r="E61" s="24" t="n">
        <x:v>1000</x:v>
      </x:c>
      <x:c r="F61" s="25" t="str">
        <x:v>mm</x:v>
      </x:c>
      <x:c r="G61" s="22" t="n">
        <x:f>IF(COUNTBLANK(E61)&gt;0,"",E61)</x:f>
        <x:v>1000</x:v>
      </x:c>
      <x:c r="H61" s="23" t="n">
        <x:f>IF(COUNTBLANK(G61)&gt;0,"",G61/1000)</x:f>
        <x:v>1</x:v>
      </x:c>
      <x:c r="I61" s="18" t="str">
        <x:v>Ghi trên bản vẽ / Explicit</x:v>
      </x:c>
      <x:c r="J61" s="18" t="str">
        <x:v>Tờ 6
File 4</x:v>
      </x:c>
      <x:c r="K61" s="18" t="str">
        <x:v>Upper veranda dimension chain, bay2′–3</x:v>
      </x:c>
      <x:c r="L61" s="18" t="str">
        <x:v>1000</x:v>
      </x:c>
      <x:c r="M61" s="18" t="str">
        <x:v>Chain totals4500; 1000 sections correspond to two openings. 735/1030 portions are spacing/pier zones, not opening widths.</x:v>
      </x:c>
    </x:row>
    <x:row r="62" ht="36" hidden="0" customHeight="1">
      <x:c r="A62" s="18" t="str">
        <x:v>P055</x:v>
      </x:c>
      <x:c r="B62" s="18" t="str">
        <x:v>Nhịp cửa hiên phía H
Veranda openings along axis H</x:v>
      </x:c>
      <x:c r="C62" s="18" t="str">
        <x:v>opening_chain_segment</x:v>
      </x:c>
      <x:c r="D62" s="18" t="str">
        <x:v>Model: X
Source: longitudinal
2′–3:point2 → 2′–3:point3</x:v>
      </x:c>
      <x:c r="E62" s="24" t="n">
        <x:v>1030</x:v>
      </x:c>
      <x:c r="F62" s="25" t="str">
        <x:v>mm</x:v>
      </x:c>
      <x:c r="G62" s="22" t="n">
        <x:f>IF(COUNTBLANK(E62)&gt;0,"",E62)</x:f>
        <x:v>1030</x:v>
      </x:c>
      <x:c r="H62" s="23" t="n">
        <x:f>IF(COUNTBLANK(G62)&gt;0,"",G62/1000)</x:f>
        <x:v>1.03</x:v>
      </x:c>
      <x:c r="I62" s="18" t="str">
        <x:v>Ghi trên bản vẽ / Explicit</x:v>
      </x:c>
      <x:c r="J62" s="18" t="str">
        <x:v>Tờ 6
File 4</x:v>
      </x:c>
      <x:c r="K62" s="18" t="str">
        <x:v>Upper veranda dimension chain, bay2′–3</x:v>
      </x:c>
      <x:c r="L62" s="18" t="str">
        <x:v>1030</x:v>
      </x:c>
      <x:c r="M62" s="18" t="str">
        <x:v>Chain totals4500; 1000 sections correspond to two openings. 735/1030 portions are spacing/pier zones, not opening widths.</x:v>
      </x:c>
    </x:row>
    <x:row r="63" ht="36" hidden="0" customHeight="1">
      <x:c r="A63" s="18" t="str">
        <x:v>P056</x:v>
      </x:c>
      <x:c r="B63" s="18" t="str">
        <x:v>Nhịp cửa hiên phía H
Veranda openings along axis H</x:v>
      </x:c>
      <x:c r="C63" s="18" t="str">
        <x:v>opening_chain_segment</x:v>
      </x:c>
      <x:c r="D63" s="18" t="str">
        <x:v>Model: X
Source: longitudinal
2′–3:point3 → 2′–3:point4</x:v>
      </x:c>
      <x:c r="E63" s="24" t="n">
        <x:v>1000</x:v>
      </x:c>
      <x:c r="F63" s="25" t="str">
        <x:v>mm</x:v>
      </x:c>
      <x:c r="G63" s="22" t="n">
        <x:f>IF(COUNTBLANK(E63)&gt;0,"",E63)</x:f>
        <x:v>1000</x:v>
      </x:c>
      <x:c r="H63" s="23" t="n">
        <x:f>IF(COUNTBLANK(G63)&gt;0,"",G63/1000)</x:f>
        <x:v>1</x:v>
      </x:c>
      <x:c r="I63" s="18" t="str">
        <x:v>Ghi trên bản vẽ / Explicit</x:v>
      </x:c>
      <x:c r="J63" s="18" t="str">
        <x:v>Tờ 6
File 4</x:v>
      </x:c>
      <x:c r="K63" s="18" t="str">
        <x:v>Upper veranda dimension chain, bay2′–3</x:v>
      </x:c>
      <x:c r="L63" s="18" t="str">
        <x:v>1000</x:v>
      </x:c>
      <x:c r="M63" s="18" t="str">
        <x:v>Chain totals4500; 1000 sections correspond to two openings. 735/1030 portions are spacing/pier zones, not opening widths.</x:v>
      </x:c>
    </x:row>
    <x:row r="64" ht="36" hidden="0" customHeight="1">
      <x:c r="A64" s="18" t="str">
        <x:v>P057</x:v>
      </x:c>
      <x:c r="B64" s="18" t="str">
        <x:v>Nhịp cửa hiên phía H
Veranda openings along axis H</x:v>
      </x:c>
      <x:c r="C64" s="18" t="str">
        <x:v>opening_chain_segment</x:v>
      </x:c>
      <x:c r="D64" s="18" t="str">
        <x:v>Model: X
Source: longitudinal
2′–3:point4 → 2′–3:point5</x:v>
      </x:c>
      <x:c r="E64" s="24" t="n">
        <x:v>735</x:v>
      </x:c>
      <x:c r="F64" s="25" t="str">
        <x:v>mm</x:v>
      </x:c>
      <x:c r="G64" s="22" t="n">
        <x:f>IF(COUNTBLANK(E64)&gt;0,"",E64)</x:f>
        <x:v>735</x:v>
      </x:c>
      <x:c r="H64" s="23" t="n">
        <x:f>IF(COUNTBLANK(G64)&gt;0,"",G64/1000)</x:f>
        <x:v>0.735</x:v>
      </x:c>
      <x:c r="I64" s="18" t="str">
        <x:v>Ghi trên bản vẽ / Explicit</x:v>
      </x:c>
      <x:c r="J64" s="18" t="str">
        <x:v>Tờ 6
File 4</x:v>
      </x:c>
      <x:c r="K64" s="18" t="str">
        <x:v>Upper veranda dimension chain, bay2′–3</x:v>
      </x:c>
      <x:c r="L64" s="18" t="str">
        <x:v>735</x:v>
      </x:c>
      <x:c r="M64" s="18" t="str">
        <x:v>Chain totals4500; 1000 sections correspond to two openings. 735/1030 portions are spacing/pier zones, not opening widths.</x:v>
      </x:c>
    </x:row>
    <x:row r="65" ht="36" hidden="0" customHeight="1">
      <x:c r="A65" s="18" t="str">
        <x:v>P058</x:v>
      </x:c>
      <x:c r="B65" s="18" t="str">
        <x:v>Nhịp cửa hiên phía H
Veranda openings along axis H</x:v>
      </x:c>
      <x:c r="C65" s="18" t="str">
        <x:v>opening_chain_segment</x:v>
      </x:c>
      <x:c r="D65" s="18" t="str">
        <x:v>Model: X
Source: longitudinal
3–4:point0 → 3–4:point1</x:v>
      </x:c>
      <x:c r="E65" s="24" t="n">
        <x:v>735</x:v>
      </x:c>
      <x:c r="F65" s="25" t="str">
        <x:v>mm</x:v>
      </x:c>
      <x:c r="G65" s="22" t="n">
        <x:f>IF(COUNTBLANK(E65)&gt;0,"",E65)</x:f>
        <x:v>735</x:v>
      </x:c>
      <x:c r="H65" s="23" t="n">
        <x:f>IF(COUNTBLANK(G65)&gt;0,"",G65/1000)</x:f>
        <x:v>0.735</x:v>
      </x:c>
      <x:c r="I65" s="18" t="str">
        <x:v>Ghi trên bản vẽ / Explicit</x:v>
      </x:c>
      <x:c r="J65" s="18" t="str">
        <x:v>Tờ 6
File 4</x:v>
      </x:c>
      <x:c r="K65" s="18" t="str">
        <x:v>Upper veranda dimension chain, bay3–4</x:v>
      </x:c>
      <x:c r="L65" s="18" t="str">
        <x:v>735</x:v>
      </x:c>
      <x:c r="M65" s="18" t="str">
        <x:v>Chain totals4500; 1000 sections correspond to two openings. 735/1030 portions are spacing/pier zones, not opening widths.</x:v>
      </x:c>
    </x:row>
    <x:row r="66" ht="36" hidden="0" customHeight="1">
      <x:c r="A66" s="18" t="str">
        <x:v>P059</x:v>
      </x:c>
      <x:c r="B66" s="18" t="str">
        <x:v>Nhịp cửa hiên phía H
Veranda openings along axis H</x:v>
      </x:c>
      <x:c r="C66" s="18" t="str">
        <x:v>opening_chain_segment</x:v>
      </x:c>
      <x:c r="D66" s="18" t="str">
        <x:v>Model: X
Source: longitudinal
3–4:point1 → 3–4:point2</x:v>
      </x:c>
      <x:c r="E66" s="24" t="n">
        <x:v>1000</x:v>
      </x:c>
      <x:c r="F66" s="25" t="str">
        <x:v>mm</x:v>
      </x:c>
      <x:c r="G66" s="22" t="n">
        <x:f>IF(COUNTBLANK(E66)&gt;0,"",E66)</x:f>
        <x:v>1000</x:v>
      </x:c>
      <x:c r="H66" s="23" t="n">
        <x:f>IF(COUNTBLANK(G66)&gt;0,"",G66/1000)</x:f>
        <x:v>1</x:v>
      </x:c>
      <x:c r="I66" s="18" t="str">
        <x:v>Ghi trên bản vẽ / Explicit</x:v>
      </x:c>
      <x:c r="J66" s="18" t="str">
        <x:v>Tờ 6
File 4</x:v>
      </x:c>
      <x:c r="K66" s="18" t="str">
        <x:v>Upper veranda dimension chain, bay3–4</x:v>
      </x:c>
      <x:c r="L66" s="18" t="str">
        <x:v>1000</x:v>
      </x:c>
      <x:c r="M66" s="18" t="str">
        <x:v>Chain totals4500; 1000 sections correspond to two openings. 735/1030 portions are spacing/pier zones, not opening widths.</x:v>
      </x:c>
    </x:row>
    <x:row r="67" ht="36" hidden="0" customHeight="1">
      <x:c r="A67" s="18" t="str">
        <x:v>P060</x:v>
      </x:c>
      <x:c r="B67" s="18" t="str">
        <x:v>Nhịp cửa hiên phía H
Veranda openings along axis H</x:v>
      </x:c>
      <x:c r="C67" s="18" t="str">
        <x:v>opening_chain_segment</x:v>
      </x:c>
      <x:c r="D67" s="18" t="str">
        <x:v>Model: X
Source: longitudinal
3–4:point2 → 3–4:point3</x:v>
      </x:c>
      <x:c r="E67" s="24" t="n">
        <x:v>1030</x:v>
      </x:c>
      <x:c r="F67" s="25" t="str">
        <x:v>mm</x:v>
      </x:c>
      <x:c r="G67" s="22" t="n">
        <x:f>IF(COUNTBLANK(E67)&gt;0,"",E67)</x:f>
        <x:v>1030</x:v>
      </x:c>
      <x:c r="H67" s="23" t="n">
        <x:f>IF(COUNTBLANK(G67)&gt;0,"",G67/1000)</x:f>
        <x:v>1.03</x:v>
      </x:c>
      <x:c r="I67" s="18" t="str">
        <x:v>Ghi trên bản vẽ / Explicit</x:v>
      </x:c>
      <x:c r="J67" s="18" t="str">
        <x:v>Tờ 6
File 4</x:v>
      </x:c>
      <x:c r="K67" s="18" t="str">
        <x:v>Upper veranda dimension chain, bay3–4</x:v>
      </x:c>
      <x:c r="L67" s="18" t="str">
        <x:v>1030</x:v>
      </x:c>
      <x:c r="M67" s="18" t="str">
        <x:v>Chain totals4500; 1000 sections correspond to two openings. 735/1030 portions are spacing/pier zones, not opening widths.</x:v>
      </x:c>
    </x:row>
    <x:row r="68" ht="36" hidden="0" customHeight="1">
      <x:c r="A68" s="18" t="str">
        <x:v>P061</x:v>
      </x:c>
      <x:c r="B68" s="18" t="str">
        <x:v>Nhịp cửa hiên phía H
Veranda openings along axis H</x:v>
      </x:c>
      <x:c r="C68" s="18" t="str">
        <x:v>opening_chain_segment</x:v>
      </x:c>
      <x:c r="D68" s="18" t="str">
        <x:v>Model: X
Source: longitudinal
3–4:point3 → 3–4:point4</x:v>
      </x:c>
      <x:c r="E68" s="24" t="n">
        <x:v>1000</x:v>
      </x:c>
      <x:c r="F68" s="25" t="str">
        <x:v>mm</x:v>
      </x:c>
      <x:c r="G68" s="22" t="n">
        <x:f>IF(COUNTBLANK(E68)&gt;0,"",E68)</x:f>
        <x:v>1000</x:v>
      </x:c>
      <x:c r="H68" s="23" t="n">
        <x:f>IF(COUNTBLANK(G68)&gt;0,"",G68/1000)</x:f>
        <x:v>1</x:v>
      </x:c>
      <x:c r="I68" s="18" t="str">
        <x:v>Ghi trên bản vẽ / Explicit</x:v>
      </x:c>
      <x:c r="J68" s="18" t="str">
        <x:v>Tờ 6
File 4</x:v>
      </x:c>
      <x:c r="K68" s="18" t="str">
        <x:v>Upper veranda dimension chain, bay3–4</x:v>
      </x:c>
      <x:c r="L68" s="18" t="str">
        <x:v>1000</x:v>
      </x:c>
      <x:c r="M68" s="18" t="str">
        <x:v>Chain totals4500; 1000 sections correspond to two openings. 735/1030 portions are spacing/pier zones, not opening widths.</x:v>
      </x:c>
    </x:row>
    <x:row r="69" ht="36" hidden="0" customHeight="1">
      <x:c r="A69" s="18" t="str">
        <x:v>P062</x:v>
      </x:c>
      <x:c r="B69" s="18" t="str">
        <x:v>Nhịp cửa hiên phía H
Veranda openings along axis H</x:v>
      </x:c>
      <x:c r="C69" s="18" t="str">
        <x:v>opening_chain_segment</x:v>
      </x:c>
      <x:c r="D69" s="18" t="str">
        <x:v>Model: X
Source: longitudinal
3–4:point4 → 3–4:point5</x:v>
      </x:c>
      <x:c r="E69" s="24" t="n">
        <x:v>735</x:v>
      </x:c>
      <x:c r="F69" s="25" t="str">
        <x:v>mm</x:v>
      </x:c>
      <x:c r="G69" s="22" t="n">
        <x:f>IF(COUNTBLANK(E69)&gt;0,"",E69)</x:f>
        <x:v>735</x:v>
      </x:c>
      <x:c r="H69" s="23" t="n">
        <x:f>IF(COUNTBLANK(G69)&gt;0,"",G69/1000)</x:f>
        <x:v>0.735</x:v>
      </x:c>
      <x:c r="I69" s="18" t="str">
        <x:v>Ghi trên bản vẽ / Explicit</x:v>
      </x:c>
      <x:c r="J69" s="18" t="str">
        <x:v>Tờ 6
File 4</x:v>
      </x:c>
      <x:c r="K69" s="18" t="str">
        <x:v>Upper veranda dimension chain, bay3–4</x:v>
      </x:c>
      <x:c r="L69" s="18" t="str">
        <x:v>735</x:v>
      </x:c>
      <x:c r="M69" s="18" t="str">
        <x:v>Chain totals4500; 1000 sections correspond to two openings. 735/1030 portions are spacing/pier zones, not opening widths.</x:v>
      </x:c>
    </x:row>
    <x:row r="70" ht="36" hidden="0" customHeight="1">
      <x:c r="A70" s="18" t="str">
        <x:v>P063</x:v>
      </x:c>
      <x:c r="B70" s="18" t="str">
        <x:v>Nhịp cửa hiên phía H
Veranda openings along axis H</x:v>
      </x:c>
      <x:c r="C70" s="18" t="str">
        <x:v>opening_chain_segment</x:v>
      </x:c>
      <x:c r="D70" s="18" t="str">
        <x:v>Model: X
Source: longitudinal
5–6:point0 → 5–6:point1</x:v>
      </x:c>
      <x:c r="E70" s="24" t="n">
        <x:v>735</x:v>
      </x:c>
      <x:c r="F70" s="25" t="str">
        <x:v>mm</x:v>
      </x:c>
      <x:c r="G70" s="22" t="n">
        <x:f>IF(COUNTBLANK(E70)&gt;0,"",E70)</x:f>
        <x:v>735</x:v>
      </x:c>
      <x:c r="H70" s="23" t="n">
        <x:f>IF(COUNTBLANK(G70)&gt;0,"",G70/1000)</x:f>
        <x:v>0.735</x:v>
      </x:c>
      <x:c r="I70" s="18" t="str">
        <x:v>Ghi trên bản vẽ / Explicit</x:v>
      </x:c>
      <x:c r="J70" s="18" t="str">
        <x:v>Tờ 6
File 4</x:v>
      </x:c>
      <x:c r="K70" s="18" t="str">
        <x:v>Upper veranda dimension chain, bay5–6</x:v>
      </x:c>
      <x:c r="L70" s="18" t="str">
        <x:v>735</x:v>
      </x:c>
      <x:c r="M70" s="18" t="str">
        <x:v>Chain totals4500; 1000 sections correspond to two openings. 735/1030 portions are spacing/pier zones, not opening widths.</x:v>
      </x:c>
    </x:row>
    <x:row r="71" ht="36" hidden="0" customHeight="1">
      <x:c r="A71" s="18" t="str">
        <x:v>P064</x:v>
      </x:c>
      <x:c r="B71" s="18" t="str">
        <x:v>Nhịp cửa hiên phía H
Veranda openings along axis H</x:v>
      </x:c>
      <x:c r="C71" s="18" t="str">
        <x:v>opening_chain_segment</x:v>
      </x:c>
      <x:c r="D71" s="18" t="str">
        <x:v>Model: X
Source: longitudinal
5–6:point1 → 5–6:point2</x:v>
      </x:c>
      <x:c r="E71" s="24" t="n">
        <x:v>1000</x:v>
      </x:c>
      <x:c r="F71" s="25" t="str">
        <x:v>mm</x:v>
      </x:c>
      <x:c r="G71" s="22" t="n">
        <x:f>IF(COUNTBLANK(E71)&gt;0,"",E71)</x:f>
        <x:v>1000</x:v>
      </x:c>
      <x:c r="H71" s="23" t="n">
        <x:f>IF(COUNTBLANK(G71)&gt;0,"",G71/1000)</x:f>
        <x:v>1</x:v>
      </x:c>
      <x:c r="I71" s="18" t="str">
        <x:v>Ghi trên bản vẽ / Explicit</x:v>
      </x:c>
      <x:c r="J71" s="18" t="str">
        <x:v>Tờ 6
File 4</x:v>
      </x:c>
      <x:c r="K71" s="18" t="str">
        <x:v>Upper veranda dimension chain, bay5–6</x:v>
      </x:c>
      <x:c r="L71" s="18" t="str">
        <x:v>1000</x:v>
      </x:c>
      <x:c r="M71" s="18" t="str">
        <x:v>Chain totals4500; 1000 sections correspond to two openings. 735/1030 portions are spacing/pier zones, not opening widths.</x:v>
      </x:c>
    </x:row>
    <x:row r="72" ht="36" hidden="0" customHeight="1">
      <x:c r="A72" s="18" t="str">
        <x:v>P065</x:v>
      </x:c>
      <x:c r="B72" s="18" t="str">
        <x:v>Nhịp cửa hiên phía H
Veranda openings along axis H</x:v>
      </x:c>
      <x:c r="C72" s="18" t="str">
        <x:v>opening_chain_segment</x:v>
      </x:c>
      <x:c r="D72" s="18" t="str">
        <x:v>Model: X
Source: longitudinal
5–6:point2 → 5–6:point3</x:v>
      </x:c>
      <x:c r="E72" s="24" t="n">
        <x:v>1030</x:v>
      </x:c>
      <x:c r="F72" s="25" t="str">
        <x:v>mm</x:v>
      </x:c>
      <x:c r="G72" s="22" t="n">
        <x:f>IF(COUNTBLANK(E72)&gt;0,"",E72)</x:f>
        <x:v>1030</x:v>
      </x:c>
      <x:c r="H72" s="23" t="n">
        <x:f>IF(COUNTBLANK(G72)&gt;0,"",G72/1000)</x:f>
        <x:v>1.03</x:v>
      </x:c>
      <x:c r="I72" s="18" t="str">
        <x:v>Ghi trên bản vẽ / Explicit</x:v>
      </x:c>
      <x:c r="J72" s="18" t="str">
        <x:v>Tờ 6
File 4</x:v>
      </x:c>
      <x:c r="K72" s="18" t="str">
        <x:v>Upper veranda dimension chain, bay5–6</x:v>
      </x:c>
      <x:c r="L72" s="18" t="str">
        <x:v>1030</x:v>
      </x:c>
      <x:c r="M72" s="18" t="str">
        <x:v>Chain totals4500; 1000 sections correspond to two openings. 735/1030 portions are spacing/pier zones, not opening widths.</x:v>
      </x:c>
    </x:row>
    <x:row r="73" ht="36" hidden="0" customHeight="1">
      <x:c r="A73" s="18" t="str">
        <x:v>P066</x:v>
      </x:c>
      <x:c r="B73" s="18" t="str">
        <x:v>Nhịp cửa hiên phía H
Veranda openings along axis H</x:v>
      </x:c>
      <x:c r="C73" s="18" t="str">
        <x:v>opening_chain_segment</x:v>
      </x:c>
      <x:c r="D73" s="18" t="str">
        <x:v>Model: X
Source: longitudinal
5–6:point3 → 5–6:point4</x:v>
      </x:c>
      <x:c r="E73" s="24" t="n">
        <x:v>1000</x:v>
      </x:c>
      <x:c r="F73" s="25" t="str">
        <x:v>mm</x:v>
      </x:c>
      <x:c r="G73" s="22" t="n">
        <x:f>IF(COUNTBLANK(E73)&gt;0,"",E73)</x:f>
        <x:v>1000</x:v>
      </x:c>
      <x:c r="H73" s="23" t="n">
        <x:f>IF(COUNTBLANK(G73)&gt;0,"",G73/1000)</x:f>
        <x:v>1</x:v>
      </x:c>
      <x:c r="I73" s="18" t="str">
        <x:v>Ghi trên bản vẽ / Explicit</x:v>
      </x:c>
      <x:c r="J73" s="18" t="str">
        <x:v>Tờ 6
File 4</x:v>
      </x:c>
      <x:c r="K73" s="18" t="str">
        <x:v>Upper veranda dimension chain, bay5–6</x:v>
      </x:c>
      <x:c r="L73" s="18" t="str">
        <x:v>1000</x:v>
      </x:c>
      <x:c r="M73" s="18" t="str">
        <x:v>Chain totals4500; 1000 sections correspond to two openings. 735/1030 portions are spacing/pier zones, not opening widths.</x:v>
      </x:c>
    </x:row>
    <x:row r="74" ht="36" hidden="0" customHeight="1">
      <x:c r="A74" s="18" t="str">
        <x:v>P067</x:v>
      </x:c>
      <x:c r="B74" s="18" t="str">
        <x:v>Nhịp cửa hiên phía H
Veranda openings along axis H</x:v>
      </x:c>
      <x:c r="C74" s="18" t="str">
        <x:v>opening_chain_segment</x:v>
      </x:c>
      <x:c r="D74" s="18" t="str">
        <x:v>Model: X
Source: longitudinal
5–6:point4 → 5–6:point5</x:v>
      </x:c>
      <x:c r="E74" s="24" t="n">
        <x:v>735</x:v>
      </x:c>
      <x:c r="F74" s="25" t="str">
        <x:v>mm</x:v>
      </x:c>
      <x:c r="G74" s="22" t="n">
        <x:f>IF(COUNTBLANK(E74)&gt;0,"",E74)</x:f>
        <x:v>735</x:v>
      </x:c>
      <x:c r="H74" s="23" t="n">
        <x:f>IF(COUNTBLANK(G74)&gt;0,"",G74/1000)</x:f>
        <x:v>0.735</x:v>
      </x:c>
      <x:c r="I74" s="18" t="str">
        <x:v>Ghi trên bản vẽ / Explicit</x:v>
      </x:c>
      <x:c r="J74" s="18" t="str">
        <x:v>Tờ 6
File 4</x:v>
      </x:c>
      <x:c r="K74" s="18" t="str">
        <x:v>Upper veranda dimension chain, bay5–6</x:v>
      </x:c>
      <x:c r="L74" s="18" t="str">
        <x:v>735</x:v>
      </x:c>
      <x:c r="M74" s="18" t="str">
        <x:v>Chain totals4500; 1000 sections correspond to two openings. 735/1030 portions are spacing/pier zones, not opening widths.</x:v>
      </x:c>
    </x:row>
    <x:row r="75" ht="36" hidden="0" customHeight="1">
      <x:c r="A75" s="18" t="str">
        <x:v>P068</x:v>
      </x:c>
      <x:c r="B75" s="18" t="str">
        <x:v>Nhịp cửa hiên phía H
Veranda openings along axis H</x:v>
      </x:c>
      <x:c r="C75" s="18" t="str">
        <x:v>opening_chain_segment</x:v>
      </x:c>
      <x:c r="D75" s="18" t="str">
        <x:v>Model: X
Source: longitudinal
6–7:point0 → 6–7:point1</x:v>
      </x:c>
      <x:c r="E75" s="24" t="n">
        <x:v>735</x:v>
      </x:c>
      <x:c r="F75" s="25" t="str">
        <x:v>mm</x:v>
      </x:c>
      <x:c r="G75" s="22" t="n">
        <x:f>IF(COUNTBLANK(E75)&gt;0,"",E75)</x:f>
        <x:v>735</x:v>
      </x:c>
      <x:c r="H75" s="23" t="n">
        <x:f>IF(COUNTBLANK(G75)&gt;0,"",G75/1000)</x:f>
        <x:v>0.735</x:v>
      </x:c>
      <x:c r="I75" s="18" t="str">
        <x:v>Ghi trên bản vẽ / Explicit</x:v>
      </x:c>
      <x:c r="J75" s="18" t="str">
        <x:v>Tờ 6
File 4</x:v>
      </x:c>
      <x:c r="K75" s="18" t="str">
        <x:v>Upper veranda dimension chain, bay6–7</x:v>
      </x:c>
      <x:c r="L75" s="18" t="str">
        <x:v>735</x:v>
      </x:c>
      <x:c r="M75" s="18" t="str">
        <x:v>Chain totals4500; 1000 sections correspond to two openings. 735/1030 portions are spacing/pier zones, not opening widths.</x:v>
      </x:c>
    </x:row>
    <x:row r="76" ht="36" hidden="0" customHeight="1">
      <x:c r="A76" s="18" t="str">
        <x:v>P069</x:v>
      </x:c>
      <x:c r="B76" s="18" t="str">
        <x:v>Nhịp cửa hiên phía H
Veranda openings along axis H</x:v>
      </x:c>
      <x:c r="C76" s="18" t="str">
        <x:v>opening_chain_segment</x:v>
      </x:c>
      <x:c r="D76" s="18" t="str">
        <x:v>Model: X
Source: longitudinal
6–7:point1 → 6–7:point2</x:v>
      </x:c>
      <x:c r="E76" s="24" t="n">
        <x:v>1000</x:v>
      </x:c>
      <x:c r="F76" s="25" t="str">
        <x:v>mm</x:v>
      </x:c>
      <x:c r="G76" s="22" t="n">
        <x:f>IF(COUNTBLANK(E76)&gt;0,"",E76)</x:f>
        <x:v>1000</x:v>
      </x:c>
      <x:c r="H76" s="23" t="n">
        <x:f>IF(COUNTBLANK(G76)&gt;0,"",G76/1000)</x:f>
        <x:v>1</x:v>
      </x:c>
      <x:c r="I76" s="18" t="str">
        <x:v>Ghi trên bản vẽ / Explicit</x:v>
      </x:c>
      <x:c r="J76" s="18" t="str">
        <x:v>Tờ 6
File 4</x:v>
      </x:c>
      <x:c r="K76" s="18" t="str">
        <x:v>Upper veranda dimension chain, bay6–7</x:v>
      </x:c>
      <x:c r="L76" s="18" t="str">
        <x:v>1000</x:v>
      </x:c>
      <x:c r="M76" s="18" t="str">
        <x:v>Chain totals4500; 1000 sections correspond to two openings. 735/1030 portions are spacing/pier zones, not opening widths.</x:v>
      </x:c>
    </x:row>
    <x:row r="77" ht="36" hidden="0" customHeight="1">
      <x:c r="A77" s="18" t="str">
        <x:v>P070</x:v>
      </x:c>
      <x:c r="B77" s="18" t="str">
        <x:v>Nhịp cửa hiên phía H
Veranda openings along axis H</x:v>
      </x:c>
      <x:c r="C77" s="18" t="str">
        <x:v>opening_chain_segment</x:v>
      </x:c>
      <x:c r="D77" s="18" t="str">
        <x:v>Model: X
Source: longitudinal
6–7:point2 → 6–7:point3</x:v>
      </x:c>
      <x:c r="E77" s="24" t="n">
        <x:v>1030</x:v>
      </x:c>
      <x:c r="F77" s="25" t="str">
        <x:v>mm</x:v>
      </x:c>
      <x:c r="G77" s="22" t="n">
        <x:f>IF(COUNTBLANK(E77)&gt;0,"",E77)</x:f>
        <x:v>1030</x:v>
      </x:c>
      <x:c r="H77" s="23" t="n">
        <x:f>IF(COUNTBLANK(G77)&gt;0,"",G77/1000)</x:f>
        <x:v>1.03</x:v>
      </x:c>
      <x:c r="I77" s="18" t="str">
        <x:v>Ghi trên bản vẽ / Explicit</x:v>
      </x:c>
      <x:c r="J77" s="18" t="str">
        <x:v>Tờ 6
File 4</x:v>
      </x:c>
      <x:c r="K77" s="18" t="str">
        <x:v>Upper veranda dimension chain, bay6–7</x:v>
      </x:c>
      <x:c r="L77" s="18" t="str">
        <x:v>1030</x:v>
      </x:c>
      <x:c r="M77" s="18" t="str">
        <x:v>Chain totals4500; 1000 sections correspond to two openings. 735/1030 portions are spacing/pier zones, not opening widths.</x:v>
      </x:c>
    </x:row>
    <x:row r="78" ht="36" hidden="0" customHeight="1">
      <x:c r="A78" s="18" t="str">
        <x:v>P071</x:v>
      </x:c>
      <x:c r="B78" s="18" t="str">
        <x:v>Nhịp cửa hiên phía H
Veranda openings along axis H</x:v>
      </x:c>
      <x:c r="C78" s="18" t="str">
        <x:v>opening_chain_segment</x:v>
      </x:c>
      <x:c r="D78" s="18" t="str">
        <x:v>Model: X
Source: longitudinal
6–7:point3 → 6–7:point4</x:v>
      </x:c>
      <x:c r="E78" s="24" t="n">
        <x:v>1000</x:v>
      </x:c>
      <x:c r="F78" s="25" t="str">
        <x:v>mm</x:v>
      </x:c>
      <x:c r="G78" s="22" t="n">
        <x:f>IF(COUNTBLANK(E78)&gt;0,"",E78)</x:f>
        <x:v>1000</x:v>
      </x:c>
      <x:c r="H78" s="23" t="n">
        <x:f>IF(COUNTBLANK(G78)&gt;0,"",G78/1000)</x:f>
        <x:v>1</x:v>
      </x:c>
      <x:c r="I78" s="18" t="str">
        <x:v>Ghi trên bản vẽ / Explicit</x:v>
      </x:c>
      <x:c r="J78" s="18" t="str">
        <x:v>Tờ 6
File 4</x:v>
      </x:c>
      <x:c r="K78" s="18" t="str">
        <x:v>Upper veranda dimension chain, bay6–7</x:v>
      </x:c>
      <x:c r="L78" s="18" t="str">
        <x:v>1000</x:v>
      </x:c>
      <x:c r="M78" s="18" t="str">
        <x:v>Chain totals4500; 1000 sections correspond to two openings. 735/1030 portions are spacing/pier zones, not opening widths.</x:v>
      </x:c>
    </x:row>
    <x:row r="79" ht="36" hidden="0" customHeight="1">
      <x:c r="A79" s="18" t="str">
        <x:v>P072</x:v>
      </x:c>
      <x:c r="B79" s="18" t="str">
        <x:v>Nhịp cửa hiên phía H
Veranda openings along axis H</x:v>
      </x:c>
      <x:c r="C79" s="18" t="str">
        <x:v>opening_chain_segment</x:v>
      </x:c>
      <x:c r="D79" s="18" t="str">
        <x:v>Model: X
Source: longitudinal
6–7:point4 → 6–7:point5</x:v>
      </x:c>
      <x:c r="E79" s="24" t="n">
        <x:v>735</x:v>
      </x:c>
      <x:c r="F79" s="25" t="str">
        <x:v>mm</x:v>
      </x:c>
      <x:c r="G79" s="22" t="n">
        <x:f>IF(COUNTBLANK(E79)&gt;0,"",E79)</x:f>
        <x:v>735</x:v>
      </x:c>
      <x:c r="H79" s="23" t="n">
        <x:f>IF(COUNTBLANK(G79)&gt;0,"",G79/1000)</x:f>
        <x:v>0.735</x:v>
      </x:c>
      <x:c r="I79" s="18" t="str">
        <x:v>Ghi trên bản vẽ / Explicit</x:v>
      </x:c>
      <x:c r="J79" s="18" t="str">
        <x:v>Tờ 6
File 4</x:v>
      </x:c>
      <x:c r="K79" s="18" t="str">
        <x:v>Upper veranda dimension chain, bay6–7</x:v>
      </x:c>
      <x:c r="L79" s="18" t="str">
        <x:v>735</x:v>
      </x:c>
      <x:c r="M79" s="18" t="str">
        <x:v>Chain totals4500; 1000 sections correspond to two openings. 735/1030 portions are spacing/pier zones, not opening widths.</x:v>
      </x:c>
    </x:row>
    <x:row r="80" ht="36" hidden="0" customHeight="1">
      <x:c r="A80" s="18" t="str">
        <x:v>P073</x:v>
      </x:c>
      <x:c r="B80" s="18" t="str">
        <x:v>Nhịp cửa hiên phía H
Veranda openings along axis H</x:v>
      </x:c>
      <x:c r="C80" s="18" t="str">
        <x:v>opening_chain_segment</x:v>
      </x:c>
      <x:c r="D80" s="18" t="str">
        <x:v>Model: X
Source: longitudinal
7–8:point0 → 7–8:point1</x:v>
      </x:c>
      <x:c r="E80" s="24" t="n">
        <x:v>735</x:v>
      </x:c>
      <x:c r="F80" s="25" t="str">
        <x:v>mm</x:v>
      </x:c>
      <x:c r="G80" s="22" t="n">
        <x:f>IF(COUNTBLANK(E80)&gt;0,"",E80)</x:f>
        <x:v>735</x:v>
      </x:c>
      <x:c r="H80" s="23" t="n">
        <x:f>IF(COUNTBLANK(G80)&gt;0,"",G80/1000)</x:f>
        <x:v>0.735</x:v>
      </x:c>
      <x:c r="I80" s="18" t="str">
        <x:v>Ghi trên bản vẽ / Explicit</x:v>
      </x:c>
      <x:c r="J80" s="18" t="str">
        <x:v>Tờ 6
File 4</x:v>
      </x:c>
      <x:c r="K80" s="18" t="str">
        <x:v>Upper veranda dimension chain, bay7–8</x:v>
      </x:c>
      <x:c r="L80" s="18" t="str">
        <x:v>735</x:v>
      </x:c>
      <x:c r="M80" s="18" t="str">
        <x:v>Chain totals4500; 1000 sections correspond to two openings. 735/1030 portions are spacing/pier zones, not opening widths.</x:v>
      </x:c>
    </x:row>
    <x:row r="81" ht="36" hidden="0" customHeight="1">
      <x:c r="A81" s="18" t="str">
        <x:v>P074</x:v>
      </x:c>
      <x:c r="B81" s="18" t="str">
        <x:v>Nhịp cửa hiên phía H
Veranda openings along axis H</x:v>
      </x:c>
      <x:c r="C81" s="18" t="str">
        <x:v>opening_chain_segment</x:v>
      </x:c>
      <x:c r="D81" s="18" t="str">
        <x:v>Model: X
Source: longitudinal
7–8:point1 → 7–8:point2</x:v>
      </x:c>
      <x:c r="E81" s="24" t="n">
        <x:v>1000</x:v>
      </x:c>
      <x:c r="F81" s="25" t="str">
        <x:v>mm</x:v>
      </x:c>
      <x:c r="G81" s="22" t="n">
        <x:f>IF(COUNTBLANK(E81)&gt;0,"",E81)</x:f>
        <x:v>1000</x:v>
      </x:c>
      <x:c r="H81" s="23" t="n">
        <x:f>IF(COUNTBLANK(G81)&gt;0,"",G81/1000)</x:f>
        <x:v>1</x:v>
      </x:c>
      <x:c r="I81" s="18" t="str">
        <x:v>Ghi trên bản vẽ / Explicit</x:v>
      </x:c>
      <x:c r="J81" s="18" t="str">
        <x:v>Tờ 6
File 4</x:v>
      </x:c>
      <x:c r="K81" s="18" t="str">
        <x:v>Upper veranda dimension chain, bay7–8</x:v>
      </x:c>
      <x:c r="L81" s="18" t="str">
        <x:v>1000</x:v>
      </x:c>
      <x:c r="M81" s="18" t="str">
        <x:v>Chain totals4500; 1000 sections correspond to two openings. 735/1030 portions are spacing/pier zones, not opening widths.</x:v>
      </x:c>
    </x:row>
    <x:row r="82" ht="36" hidden="0" customHeight="1">
      <x:c r="A82" s="18" t="str">
        <x:v>P075</x:v>
      </x:c>
      <x:c r="B82" s="18" t="str">
        <x:v>Nhịp cửa hiên phía H
Veranda openings along axis H</x:v>
      </x:c>
      <x:c r="C82" s="18" t="str">
        <x:v>opening_chain_segment</x:v>
      </x:c>
      <x:c r="D82" s="18" t="str">
        <x:v>Model: X
Source: longitudinal
7–8:point2 → 7–8:point3</x:v>
      </x:c>
      <x:c r="E82" s="24" t="n">
        <x:v>1030</x:v>
      </x:c>
      <x:c r="F82" s="25" t="str">
        <x:v>mm</x:v>
      </x:c>
      <x:c r="G82" s="22" t="n">
        <x:f>IF(COUNTBLANK(E82)&gt;0,"",E82)</x:f>
        <x:v>1030</x:v>
      </x:c>
      <x:c r="H82" s="23" t="n">
        <x:f>IF(COUNTBLANK(G82)&gt;0,"",G82/1000)</x:f>
        <x:v>1.03</x:v>
      </x:c>
      <x:c r="I82" s="18" t="str">
        <x:v>Ghi trên bản vẽ / Explicit</x:v>
      </x:c>
      <x:c r="J82" s="18" t="str">
        <x:v>Tờ 6
File 4</x:v>
      </x:c>
      <x:c r="K82" s="18" t="str">
        <x:v>Upper veranda dimension chain, bay7–8</x:v>
      </x:c>
      <x:c r="L82" s="18" t="str">
        <x:v>1030</x:v>
      </x:c>
      <x:c r="M82" s="18" t="str">
        <x:v>Chain totals4500; 1000 sections correspond to two openings. 735/1030 portions are spacing/pier zones, not opening widths.</x:v>
      </x:c>
    </x:row>
    <x:row r="83" ht="36" hidden="0" customHeight="1">
      <x:c r="A83" s="18" t="str">
        <x:v>P076</x:v>
      </x:c>
      <x:c r="B83" s="18" t="str">
        <x:v>Nhịp cửa hiên phía H
Veranda openings along axis H</x:v>
      </x:c>
      <x:c r="C83" s="18" t="str">
        <x:v>opening_chain_segment</x:v>
      </x:c>
      <x:c r="D83" s="18" t="str">
        <x:v>Model: X
Source: longitudinal
7–8:point3 → 7–8:point4</x:v>
      </x:c>
      <x:c r="E83" s="24" t="n">
        <x:v>1000</x:v>
      </x:c>
      <x:c r="F83" s="25" t="str">
        <x:v>mm</x:v>
      </x:c>
      <x:c r="G83" s="22" t="n">
        <x:f>IF(COUNTBLANK(E83)&gt;0,"",E83)</x:f>
        <x:v>1000</x:v>
      </x:c>
      <x:c r="H83" s="23" t="n">
        <x:f>IF(COUNTBLANK(G83)&gt;0,"",G83/1000)</x:f>
        <x:v>1</x:v>
      </x:c>
      <x:c r="I83" s="18" t="str">
        <x:v>Ghi trên bản vẽ / Explicit</x:v>
      </x:c>
      <x:c r="J83" s="18" t="str">
        <x:v>Tờ 6
File 4</x:v>
      </x:c>
      <x:c r="K83" s="18" t="str">
        <x:v>Upper veranda dimension chain, bay7–8</x:v>
      </x:c>
      <x:c r="L83" s="18" t="str">
        <x:v>1000</x:v>
      </x:c>
      <x:c r="M83" s="18" t="str">
        <x:v>Chain totals4500; 1000 sections correspond to two openings. 735/1030 portions are spacing/pier zones, not opening widths.</x:v>
      </x:c>
    </x:row>
    <x:row r="84" ht="36" hidden="0" customHeight="1">
      <x:c r="A84" s="18" t="str">
        <x:v>P077</x:v>
      </x:c>
      <x:c r="B84" s="18" t="str">
        <x:v>Nhịp cửa hiên phía H
Veranda openings along axis H</x:v>
      </x:c>
      <x:c r="C84" s="18" t="str">
        <x:v>opening_chain_segment</x:v>
      </x:c>
      <x:c r="D84" s="18" t="str">
        <x:v>Model: X
Source: longitudinal
7–8:point4 → 7–8:point5</x:v>
      </x:c>
      <x:c r="E84" s="24" t="n">
        <x:v>735</x:v>
      </x:c>
      <x:c r="F84" s="25" t="str">
        <x:v>mm</x:v>
      </x:c>
      <x:c r="G84" s="22" t="n">
        <x:f>IF(COUNTBLANK(E84)&gt;0,"",E84)</x:f>
        <x:v>735</x:v>
      </x:c>
      <x:c r="H84" s="23" t="n">
        <x:f>IF(COUNTBLANK(G84)&gt;0,"",G84/1000)</x:f>
        <x:v>0.735</x:v>
      </x:c>
      <x:c r="I84" s="18" t="str">
        <x:v>Ghi trên bản vẽ / Explicit</x:v>
      </x:c>
      <x:c r="J84" s="18" t="str">
        <x:v>Tờ 6
File 4</x:v>
      </x:c>
      <x:c r="K84" s="18" t="str">
        <x:v>Upper veranda dimension chain, bay7–8</x:v>
      </x:c>
      <x:c r="L84" s="18" t="str">
        <x:v>735</x:v>
      </x:c>
      <x:c r="M84" s="18" t="str">
        <x:v>Chain totals4500; 1000 sections correspond to two openings. 735/1030 portions are spacing/pier zones, not opening widths.</x:v>
      </x:c>
    </x:row>
    <x:row r="85" ht="36" hidden="0" customHeight="1">
      <x:c r="A85" s="18" t="str">
        <x:v>P078</x:v>
      </x:c>
      <x:c r="B85" s="18" t="str">
        <x:v>Lối ra hiên phía H
Veranda access along axis H</x:v>
      </x:c>
      <x:c r="C85" s="18" t="str">
        <x:v>opening_chain_segment</x:v>
      </x:c>
      <x:c r="D85" s="18" t="str">
        <x:v>Model: X
Source: longitudinal
4–5:point0 → 4–5:point1</x:v>
      </x:c>
      <x:c r="E85" s="24" t="n">
        <x:v>1125</x:v>
      </x:c>
      <x:c r="F85" s="25" t="str">
        <x:v>mm</x:v>
      </x:c>
      <x:c r="G85" s="22" t="n">
        <x:f>IF(COUNTBLANK(E85)&gt;0,"",E85)</x:f>
        <x:v>1125</x:v>
      </x:c>
      <x:c r="H85" s="23" t="n">
        <x:f>IF(COUNTBLANK(G85)&gt;0,"",G85/1000)</x:f>
        <x:v>1.125</x:v>
      </x:c>
      <x:c r="I85" s="18" t="str">
        <x:v>Ghi trên bản vẽ / Explicit</x:v>
      </x:c>
      <x:c r="J85" s="18" t="str">
        <x:v>Tờ 6
File 4</x:v>
      </x:c>
      <x:c r="K85" s="18" t="str">
        <x:v>Upper veranda access chain, bay4–5</x:v>
      </x:c>
      <x:c r="L85" s="18" t="str">
        <x:v>1125</x:v>
      </x:c>
      <x:c r="M85" s="18" t="str">
        <x:v>2250 is the opening; other values are end offsets. Chain totals4500.</x:v>
      </x:c>
    </x:row>
    <x:row r="86" ht="36" hidden="0" customHeight="1">
      <x:c r="A86" s="18" t="str">
        <x:v>P079</x:v>
      </x:c>
      <x:c r="B86" s="18" t="str">
        <x:v>Lối ra hiên phía H
Veranda access along axis H</x:v>
      </x:c>
      <x:c r="C86" s="18" t="str">
        <x:v>opening_chain_segment</x:v>
      </x:c>
      <x:c r="D86" s="18" t="str">
        <x:v>Model: X
Source: longitudinal
4–5:point1 → 4–5:point2</x:v>
      </x:c>
      <x:c r="E86" s="24" t="n">
        <x:v>2250</x:v>
      </x:c>
      <x:c r="F86" s="25" t="str">
        <x:v>mm</x:v>
      </x:c>
      <x:c r="G86" s="22" t="n">
        <x:f>IF(COUNTBLANK(E86)&gt;0,"",E86)</x:f>
        <x:v>2250</x:v>
      </x:c>
      <x:c r="H86" s="23" t="n">
        <x:f>IF(COUNTBLANK(G86)&gt;0,"",G86/1000)</x:f>
        <x:v>2.25</x:v>
      </x:c>
      <x:c r="I86" s="18" t="str">
        <x:v>Ghi trên bản vẽ / Explicit</x:v>
      </x:c>
      <x:c r="J86" s="18" t="str">
        <x:v>Tờ 6
File 4</x:v>
      </x:c>
      <x:c r="K86" s="18" t="str">
        <x:v>Upper veranda access chain, bay4–5</x:v>
      </x:c>
      <x:c r="L86" s="18" t="str">
        <x:v>2250</x:v>
      </x:c>
      <x:c r="M86" s="18" t="str">
        <x:v>2250 is the opening; other values are end offsets. Chain totals4500.</x:v>
      </x:c>
    </x:row>
    <x:row r="87" ht="36" hidden="0" customHeight="1">
      <x:c r="A87" s="18" t="str">
        <x:v>P080</x:v>
      </x:c>
      <x:c r="B87" s="18" t="str">
        <x:v>Lối ra hiên phía H
Veranda access along axis H</x:v>
      </x:c>
      <x:c r="C87" s="18" t="str">
        <x:v>opening_chain_segment</x:v>
      </x:c>
      <x:c r="D87" s="18" t="str">
        <x:v>Model: X
Source: longitudinal
4–5:point2 → 4–5:point3</x:v>
      </x:c>
      <x:c r="E87" s="24" t="n">
        <x:v>1125</x:v>
      </x:c>
      <x:c r="F87" s="25" t="str">
        <x:v>mm</x:v>
      </x:c>
      <x:c r="G87" s="22" t="n">
        <x:f>IF(COUNTBLANK(E87)&gt;0,"",E87)</x:f>
        <x:v>1125</x:v>
      </x:c>
      <x:c r="H87" s="23" t="n">
        <x:f>IF(COUNTBLANK(G87)&gt;0,"",G87/1000)</x:f>
        <x:v>1.125</x:v>
      </x:c>
      <x:c r="I87" s="18" t="str">
        <x:v>Ghi trên bản vẽ / Explicit</x:v>
      </x:c>
      <x:c r="J87" s="18" t="str">
        <x:v>Tờ 6
File 4</x:v>
      </x:c>
      <x:c r="K87" s="18" t="str">
        <x:v>Upper veranda access chain, bay4–5</x:v>
      </x:c>
      <x:c r="L87" s="18" t="str">
        <x:v>1125</x:v>
      </x:c>
      <x:c r="M87" s="18" t="str">
        <x:v>2250 is the opening; other values are end offsets. Chain totals4500.</x:v>
      </x:c>
    </x:row>
    <x:row r="88" ht="36" hidden="0" customHeight="1">
      <x:c r="A88" s="18" t="str">
        <x:v>P081</x:v>
      </x:c>
      <x:c r="B88" s="18" t="str">
        <x:v>Lối ra hiên phía H
Veranda access along axis H</x:v>
      </x:c>
      <x:c r="C88" s="18" t="str">
        <x:v>opening_chain_segment</x:v>
      </x:c>
      <x:c r="D88" s="18" t="str">
        <x:v>Model: X
Source: longitudinal
8–9:point0 → 8–9:point1</x:v>
      </x:c>
      <x:c r="E88" s="24" t="n">
        <x:v>905</x:v>
      </x:c>
      <x:c r="F88" s="25" t="str">
        <x:v>mm</x:v>
      </x:c>
      <x:c r="G88" s="22" t="n">
        <x:f>IF(COUNTBLANK(E88)&gt;0,"",E88)</x:f>
        <x:v>905</x:v>
      </x:c>
      <x:c r="H88" s="23" t="n">
        <x:f>IF(COUNTBLANK(G88)&gt;0,"",G88/1000)</x:f>
        <x:v>0.905</x:v>
      </x:c>
      <x:c r="I88" s="18" t="str">
        <x:v>Ghi trên bản vẽ / Explicit</x:v>
      </x:c>
      <x:c r="J88" s="18" t="str">
        <x:v>Tờ 6
File 4</x:v>
      </x:c>
      <x:c r="K88" s="18" t="str">
        <x:v>Upper veranda access chain, bay8–9</x:v>
      </x:c>
      <x:c r="L88" s="18" t="str">
        <x:v>905</x:v>
      </x:c>
      <x:c r="M88" s="18" t="str">
        <x:v>2250 is the opening; other values are end offsets. Chain totals4500.</x:v>
      </x:c>
    </x:row>
    <x:row r="89" ht="36" hidden="0" customHeight="1">
      <x:c r="A89" s="18" t="str">
        <x:v>P082</x:v>
      </x:c>
      <x:c r="B89" s="18" t="str">
        <x:v>Lối ra hiên phía H
Veranda access along axis H</x:v>
      </x:c>
      <x:c r="C89" s="18" t="str">
        <x:v>opening_chain_segment</x:v>
      </x:c>
      <x:c r="D89" s="18" t="str">
        <x:v>Model: X
Source: longitudinal
8–9:point1 → 8–9:point2</x:v>
      </x:c>
      <x:c r="E89" s="24" t="n">
        <x:v>2250</x:v>
      </x:c>
      <x:c r="F89" s="25" t="str">
        <x:v>mm</x:v>
      </x:c>
      <x:c r="G89" s="22" t="n">
        <x:f>IF(COUNTBLANK(E89)&gt;0,"",E89)</x:f>
        <x:v>2250</x:v>
      </x:c>
      <x:c r="H89" s="23" t="n">
        <x:f>IF(COUNTBLANK(G89)&gt;0,"",G89/1000)</x:f>
        <x:v>2.25</x:v>
      </x:c>
      <x:c r="I89" s="18" t="str">
        <x:v>Ghi trên bản vẽ / Explicit</x:v>
      </x:c>
      <x:c r="J89" s="18" t="str">
        <x:v>Tờ 6
File 4</x:v>
      </x:c>
      <x:c r="K89" s="18" t="str">
        <x:v>Upper veranda access chain, bay8–9</x:v>
      </x:c>
      <x:c r="L89" s="18" t="str">
        <x:v>2250</x:v>
      </x:c>
      <x:c r="M89" s="18" t="str">
        <x:v>2250 is the opening; other values are end offsets. Chain totals4500.</x:v>
      </x:c>
    </x:row>
    <x:row r="90" ht="36" hidden="0" customHeight="1">
      <x:c r="A90" s="18" t="str">
        <x:v>P083</x:v>
      </x:c>
      <x:c r="B90" s="18" t="str">
        <x:v>Lối ra hiên phía H
Veranda access along axis H</x:v>
      </x:c>
      <x:c r="C90" s="18" t="str">
        <x:v>opening_chain_segment</x:v>
      </x:c>
      <x:c r="D90" s="18" t="str">
        <x:v>Model: X
Source: longitudinal
8–9:point2 → 8–9:point3</x:v>
      </x:c>
      <x:c r="E90" s="24" t="n">
        <x:v>1345</x:v>
      </x:c>
      <x:c r="F90" s="25" t="str">
        <x:v>mm</x:v>
      </x:c>
      <x:c r="G90" s="22" t="n">
        <x:f>IF(COUNTBLANK(E90)&gt;0,"",E90)</x:f>
        <x:v>1345</x:v>
      </x:c>
      <x:c r="H90" s="23" t="n">
        <x:f>IF(COUNTBLANK(G90)&gt;0,"",G90/1000)</x:f>
        <x:v>1.345</x:v>
      </x:c>
      <x:c r="I90" s="18" t="str">
        <x:v>Ghi trên bản vẽ / Explicit</x:v>
      </x:c>
      <x:c r="J90" s="18" t="str">
        <x:v>Tờ 6
File 4</x:v>
      </x:c>
      <x:c r="K90" s="18" t="str">
        <x:v>Upper veranda access chain, bay8–9</x:v>
      </x:c>
      <x:c r="L90" s="18" t="str">
        <x:v>1345</x:v>
      </x:c>
      <x:c r="M90" s="18" t="str">
        <x:v>2250 is the opening; other values are end offsets. Chain totals4500.</x:v>
      </x:c>
    </x:row>
    <x:row r="91" ht="36" hidden="0" customHeight="1">
      <x:c r="A91" s="18" t="str">
        <x:v>P084</x:v>
      </x:c>
      <x:c r="B91" s="18" t="str">
        <x:v>Cửa giữa lòng nhà và hiên phía C
Nave to veranda openings along axis C</x:v>
      </x:c>
      <x:c r="C91" s="18" t="str">
        <x:v>opening_chain_segment</x:v>
      </x:c>
      <x:c r="D91" s="18" t="str">
        <x:v>Model: X
Source: longitudinal
2′–3:point0 → 2′–3:point1</x:v>
      </x:c>
      <x:c r="E91" s="24" t="n">
        <x:v>1135</x:v>
      </x:c>
      <x:c r="F91" s="25" t="str">
        <x:v>mm</x:v>
      </x:c>
      <x:c r="G91" s="22" t="n">
        <x:f>IF(COUNTBLANK(E91)&gt;0,"",E91)</x:f>
        <x:v>1135</x:v>
      </x:c>
      <x:c r="H91" s="23" t="n">
        <x:f>IF(COUNTBLANK(G91)&gt;0,"",G91/1000)</x:f>
        <x:v>1.135</x:v>
      </x:c>
      <x:c r="I91" s="18" t="str">
        <x:v>Ghi trên bản vẽ / Explicit</x:v>
      </x:c>
      <x:c r="J91" s="18" t="str">
        <x:v>Tờ 6
File 4</x:v>
      </x:c>
      <x:c r="K91" s="18" t="str">
        <x:v>Lower nave/porch boundary chain, bay2′–3</x:v>
      </x:c>
      <x:c r="L91" s="18" t="str">
        <x:v>1135</x:v>
      </x:c>
      <x:c r="M91" s="18" t="str">
        <x:v>SOURCE CONFLICT: first bay prints1135+2250+1125=4510 while axis spacing4500; do not silently change1135.</x:v>
      </x:c>
    </x:row>
    <x:row r="92" ht="36" hidden="0" customHeight="1">
      <x:c r="A92" s="18" t="str">
        <x:v>P085</x:v>
      </x:c>
      <x:c r="B92" s="18" t="str">
        <x:v>Cửa giữa lòng nhà và hiên phía C
Nave to veranda openings along axis C</x:v>
      </x:c>
      <x:c r="C92" s="18" t="str">
        <x:v>opening_chain_segment</x:v>
      </x:c>
      <x:c r="D92" s="18" t="str">
        <x:v>Model: X
Source: longitudinal
2′–3:point1 → 2′–3:point2</x:v>
      </x:c>
      <x:c r="E92" s="24" t="n">
        <x:v>2250</x:v>
      </x:c>
      <x:c r="F92" s="25" t="str">
        <x:v>mm</x:v>
      </x:c>
      <x:c r="G92" s="22" t="n">
        <x:f>IF(COUNTBLANK(E92)&gt;0,"",E92)</x:f>
        <x:v>2250</x:v>
      </x:c>
      <x:c r="H92" s="23" t="n">
        <x:f>IF(COUNTBLANK(G92)&gt;0,"",G92/1000)</x:f>
        <x:v>2.25</x:v>
      </x:c>
      <x:c r="I92" s="18" t="str">
        <x:v>Ghi trên bản vẽ / Explicit</x:v>
      </x:c>
      <x:c r="J92" s="18" t="str">
        <x:v>Tờ 6
File 4</x:v>
      </x:c>
      <x:c r="K92" s="18" t="str">
        <x:v>Lower nave/porch boundary chain, bay2′–3</x:v>
      </x:c>
      <x:c r="L92" s="18" t="str">
        <x:v>2250</x:v>
      </x:c>
      <x:c r="M92" s="18" t="str">
        <x:v>SOURCE CONFLICT: first bay prints1135+2250+1125=4510 while axis spacing4500; do not silently change1135.</x:v>
      </x:c>
    </x:row>
    <x:row r="93" ht="36" hidden="0" customHeight="1">
      <x:c r="A93" s="18" t="str">
        <x:v>P086</x:v>
      </x:c>
      <x:c r="B93" s="18" t="str">
        <x:v>Cửa giữa lòng nhà và hiên phía C
Nave to veranda openings along axis C</x:v>
      </x:c>
      <x:c r="C93" s="18" t="str">
        <x:v>opening_chain_segment</x:v>
      </x:c>
      <x:c r="D93" s="18" t="str">
        <x:v>Model: X
Source: longitudinal
2′–3:point2 → 2′–3:point3</x:v>
      </x:c>
      <x:c r="E93" s="24" t="n">
        <x:v>1125</x:v>
      </x:c>
      <x:c r="F93" s="25" t="str">
        <x:v>mm</x:v>
      </x:c>
      <x:c r="G93" s="22" t="n">
        <x:f>IF(COUNTBLANK(E93)&gt;0,"",E93)</x:f>
        <x:v>1125</x:v>
      </x:c>
      <x:c r="H93" s="23" t="n">
        <x:f>IF(COUNTBLANK(G93)&gt;0,"",G93/1000)</x:f>
        <x:v>1.125</x:v>
      </x:c>
      <x:c r="I93" s="18" t="str">
        <x:v>Ghi trên bản vẽ / Explicit</x:v>
      </x:c>
      <x:c r="J93" s="18" t="str">
        <x:v>Tờ 6
File 4</x:v>
      </x:c>
      <x:c r="K93" s="18" t="str">
        <x:v>Lower nave/porch boundary chain, bay2′–3</x:v>
      </x:c>
      <x:c r="L93" s="18" t="str">
        <x:v>1125</x:v>
      </x:c>
      <x:c r="M93" s="18" t="str">
        <x:v>SOURCE CONFLICT: first bay prints1135+2250+1125=4510 while axis spacing4500; do not silently change1135.</x:v>
      </x:c>
    </x:row>
    <x:row r="94" ht="36" hidden="0" customHeight="1">
      <x:c r="A94" s="18" t="str">
        <x:v>P087</x:v>
      </x:c>
      <x:c r="B94" s="18" t="str">
        <x:v>Cửa giữa lòng nhà và hiên phía C
Nave to veranda openings along axis C</x:v>
      </x:c>
      <x:c r="C94" s="18" t="str">
        <x:v>opening_chain_segment</x:v>
      </x:c>
      <x:c r="D94" s="18" t="str">
        <x:v>Model: X
Source: longitudinal
3–4:point0 → 3–4:point1</x:v>
      </x:c>
      <x:c r="E94" s="24" t="n">
        <x:v>1125</x:v>
      </x:c>
      <x:c r="F94" s="25" t="str">
        <x:v>mm</x:v>
      </x:c>
      <x:c r="G94" s="22" t="n">
        <x:f>IF(COUNTBLANK(E94)&gt;0,"",E94)</x:f>
        <x:v>1125</x:v>
      </x:c>
      <x:c r="H94" s="23" t="n">
        <x:f>IF(COUNTBLANK(G94)&gt;0,"",G94/1000)</x:f>
        <x:v>1.125</x:v>
      </x:c>
      <x:c r="I94" s="18" t="str">
        <x:v>Ghi trên bản vẽ / Explicit</x:v>
      </x:c>
      <x:c r="J94" s="18" t="str">
        <x:v>Tờ 6
File 4</x:v>
      </x:c>
      <x:c r="K94" s="18" t="str">
        <x:v>Lower nave/porch boundary chain, bay3–4</x:v>
      </x:c>
      <x:c r="L94" s="18" t="str">
        <x:v>1125</x:v>
      </x:c>
      <x:c r="M94" s="18" t="str">
        <x:v>Chain totals4500; central opening2250.</x:v>
      </x:c>
    </x:row>
    <x:row r="95" ht="36" hidden="0" customHeight="1">
      <x:c r="A95" s="18" t="str">
        <x:v>P088</x:v>
      </x:c>
      <x:c r="B95" s="18" t="str">
        <x:v>Cửa giữa lòng nhà và hiên phía C
Nave to veranda openings along axis C</x:v>
      </x:c>
      <x:c r="C95" s="18" t="str">
        <x:v>opening_chain_segment</x:v>
      </x:c>
      <x:c r="D95" s="18" t="str">
        <x:v>Model: X
Source: longitudinal
3–4:point1 → 3–4:point2</x:v>
      </x:c>
      <x:c r="E95" s="24" t="n">
        <x:v>2250</x:v>
      </x:c>
      <x:c r="F95" s="25" t="str">
        <x:v>mm</x:v>
      </x:c>
      <x:c r="G95" s="22" t="n">
        <x:f>IF(COUNTBLANK(E95)&gt;0,"",E95)</x:f>
        <x:v>2250</x:v>
      </x:c>
      <x:c r="H95" s="23" t="n">
        <x:f>IF(COUNTBLANK(G95)&gt;0,"",G95/1000)</x:f>
        <x:v>2.25</x:v>
      </x:c>
      <x:c r="I95" s="18" t="str">
        <x:v>Ghi trên bản vẽ / Explicit</x:v>
      </x:c>
      <x:c r="J95" s="18" t="str">
        <x:v>Tờ 6
File 4</x:v>
      </x:c>
      <x:c r="K95" s="18" t="str">
        <x:v>Lower nave/porch boundary chain, bay3–4</x:v>
      </x:c>
      <x:c r="L95" s="18" t="str">
        <x:v>2250</x:v>
      </x:c>
      <x:c r="M95" s="18" t="str">
        <x:v>Chain totals4500; central opening2250.</x:v>
      </x:c>
    </x:row>
    <x:row r="96" ht="36" hidden="0" customHeight="1">
      <x:c r="A96" s="18" t="str">
        <x:v>P089</x:v>
      </x:c>
      <x:c r="B96" s="18" t="str">
        <x:v>Cửa giữa lòng nhà và hiên phía C
Nave to veranda openings along axis C</x:v>
      </x:c>
      <x:c r="C96" s="18" t="str">
        <x:v>opening_chain_segment</x:v>
      </x:c>
      <x:c r="D96" s="18" t="str">
        <x:v>Model: X
Source: longitudinal
3–4:point2 → 3–4:point3</x:v>
      </x:c>
      <x:c r="E96" s="24" t="n">
        <x:v>1125</x:v>
      </x:c>
      <x:c r="F96" s="25" t="str">
        <x:v>mm</x:v>
      </x:c>
      <x:c r="G96" s="22" t="n">
        <x:f>IF(COUNTBLANK(E96)&gt;0,"",E96)</x:f>
        <x:v>1125</x:v>
      </x:c>
      <x:c r="H96" s="23" t="n">
        <x:f>IF(COUNTBLANK(G96)&gt;0,"",G96/1000)</x:f>
        <x:v>1.125</x:v>
      </x:c>
      <x:c r="I96" s="18" t="str">
        <x:v>Ghi trên bản vẽ / Explicit</x:v>
      </x:c>
      <x:c r="J96" s="18" t="str">
        <x:v>Tờ 6
File 4</x:v>
      </x:c>
      <x:c r="K96" s="18" t="str">
        <x:v>Lower nave/porch boundary chain, bay3–4</x:v>
      </x:c>
      <x:c r="L96" s="18" t="str">
        <x:v>1125</x:v>
      </x:c>
      <x:c r="M96" s="18" t="str">
        <x:v>Chain totals4500; central opening2250.</x:v>
      </x:c>
    </x:row>
    <x:row r="97" ht="36" hidden="0" customHeight="1">
      <x:c r="A97" s="18" t="str">
        <x:v>P090</x:v>
      </x:c>
      <x:c r="B97" s="18" t="str">
        <x:v>Cửa giữa lòng nhà và hiên phía C
Nave to veranda openings along axis C</x:v>
      </x:c>
      <x:c r="C97" s="18" t="str">
        <x:v>opening_chain_segment</x:v>
      </x:c>
      <x:c r="D97" s="18" t="str">
        <x:v>Model: X
Source: longitudinal
4–5:point0 → 4–5:point1</x:v>
      </x:c>
      <x:c r="E97" s="24" t="n">
        <x:v>1125</x:v>
      </x:c>
      <x:c r="F97" s="25" t="str">
        <x:v>mm</x:v>
      </x:c>
      <x:c r="G97" s="22" t="n">
        <x:f>IF(COUNTBLANK(E97)&gt;0,"",E97)</x:f>
        <x:v>1125</x:v>
      </x:c>
      <x:c r="H97" s="23" t="n">
        <x:f>IF(COUNTBLANK(G97)&gt;0,"",G97/1000)</x:f>
        <x:v>1.125</x:v>
      </x:c>
      <x:c r="I97" s="18" t="str">
        <x:v>Ghi trên bản vẽ / Explicit</x:v>
      </x:c>
      <x:c r="J97" s="18" t="str">
        <x:v>Tờ 6
File 4</x:v>
      </x:c>
      <x:c r="K97" s="18" t="str">
        <x:v>Lower nave/porch boundary chain, bay4–5</x:v>
      </x:c>
      <x:c r="L97" s="18" t="str">
        <x:v>1125</x:v>
      </x:c>
      <x:c r="M97" s="18" t="str">
        <x:v>Chain totals4500; central opening2250.</x:v>
      </x:c>
    </x:row>
    <x:row r="98" ht="36" hidden="0" customHeight="1">
      <x:c r="A98" s="18" t="str">
        <x:v>P091</x:v>
      </x:c>
      <x:c r="B98" s="18" t="str">
        <x:v>Cửa giữa lòng nhà và hiên phía C
Nave to veranda openings along axis C</x:v>
      </x:c>
      <x:c r="C98" s="18" t="str">
        <x:v>opening_chain_segment</x:v>
      </x:c>
      <x:c r="D98" s="18" t="str">
        <x:v>Model: X
Source: longitudinal
4–5:point1 → 4–5:point2</x:v>
      </x:c>
      <x:c r="E98" s="24" t="n">
        <x:v>2250</x:v>
      </x:c>
      <x:c r="F98" s="25" t="str">
        <x:v>mm</x:v>
      </x:c>
      <x:c r="G98" s="22" t="n">
        <x:f>IF(COUNTBLANK(E98)&gt;0,"",E98)</x:f>
        <x:v>2250</x:v>
      </x:c>
      <x:c r="H98" s="23" t="n">
        <x:f>IF(COUNTBLANK(G98)&gt;0,"",G98/1000)</x:f>
        <x:v>2.25</x:v>
      </x:c>
      <x:c r="I98" s="18" t="str">
        <x:v>Ghi trên bản vẽ / Explicit</x:v>
      </x:c>
      <x:c r="J98" s="18" t="str">
        <x:v>Tờ 6
File 4</x:v>
      </x:c>
      <x:c r="K98" s="18" t="str">
        <x:v>Lower nave/porch boundary chain, bay4–5</x:v>
      </x:c>
      <x:c r="L98" s="18" t="str">
        <x:v>2250</x:v>
      </x:c>
      <x:c r="M98" s="18" t="str">
        <x:v>Chain totals4500; central opening2250.</x:v>
      </x:c>
    </x:row>
    <x:row r="99" ht="36" hidden="0" customHeight="1">
      <x:c r="A99" s="18" t="str">
        <x:v>P092</x:v>
      </x:c>
      <x:c r="B99" s="18" t="str">
        <x:v>Cửa giữa lòng nhà và hiên phía C
Nave to veranda openings along axis C</x:v>
      </x:c>
      <x:c r="C99" s="18" t="str">
        <x:v>opening_chain_segment</x:v>
      </x:c>
      <x:c r="D99" s="18" t="str">
        <x:v>Model: X
Source: longitudinal
4–5:point2 → 4–5:point3</x:v>
      </x:c>
      <x:c r="E99" s="24" t="n">
        <x:v>1125</x:v>
      </x:c>
      <x:c r="F99" s="25" t="str">
        <x:v>mm</x:v>
      </x:c>
      <x:c r="G99" s="22" t="n">
        <x:f>IF(COUNTBLANK(E99)&gt;0,"",E99)</x:f>
        <x:v>1125</x:v>
      </x:c>
      <x:c r="H99" s="23" t="n">
        <x:f>IF(COUNTBLANK(G99)&gt;0,"",G99/1000)</x:f>
        <x:v>1.125</x:v>
      </x:c>
      <x:c r="I99" s="18" t="str">
        <x:v>Ghi trên bản vẽ / Explicit</x:v>
      </x:c>
      <x:c r="J99" s="18" t="str">
        <x:v>Tờ 6
File 4</x:v>
      </x:c>
      <x:c r="K99" s="18" t="str">
        <x:v>Lower nave/porch boundary chain, bay4–5</x:v>
      </x:c>
      <x:c r="L99" s="18" t="str">
        <x:v>1125</x:v>
      </x:c>
      <x:c r="M99" s="18" t="str">
        <x:v>Chain totals4500; central opening2250.</x:v>
      </x:c>
    </x:row>
    <x:row r="100" ht="36" hidden="0" customHeight="1">
      <x:c r="A100" s="18" t="str">
        <x:v>P093</x:v>
      </x:c>
      <x:c r="B100" s="18" t="str">
        <x:v>Cửa giữa lòng nhà và hiên phía C
Nave to veranda openings along axis C</x:v>
      </x:c>
      <x:c r="C100" s="18" t="str">
        <x:v>opening_chain_segment</x:v>
      </x:c>
      <x:c r="D100" s="18" t="str">
        <x:v>Model: X
Source: longitudinal
5–6:point0 → 5–6:point1</x:v>
      </x:c>
      <x:c r="E100" s="24" t="n">
        <x:v>1125</x:v>
      </x:c>
      <x:c r="F100" s="25" t="str">
        <x:v>mm</x:v>
      </x:c>
      <x:c r="G100" s="22" t="n">
        <x:f>IF(COUNTBLANK(E100)&gt;0,"",E100)</x:f>
        <x:v>1125</x:v>
      </x:c>
      <x:c r="H100" s="23" t="n">
        <x:f>IF(COUNTBLANK(G100)&gt;0,"",G100/1000)</x:f>
        <x:v>1.125</x:v>
      </x:c>
      <x:c r="I100" s="18" t="str">
        <x:v>Ghi trên bản vẽ / Explicit</x:v>
      </x:c>
      <x:c r="J100" s="18" t="str">
        <x:v>Tờ 6
File 4</x:v>
      </x:c>
      <x:c r="K100" s="18" t="str">
        <x:v>Lower nave/porch boundary chain, bay5–6</x:v>
      </x:c>
      <x:c r="L100" s="18" t="str">
        <x:v>1125</x:v>
      </x:c>
      <x:c r="M100" s="18" t="str">
        <x:v>Chain totals4500; central opening2250.</x:v>
      </x:c>
    </x:row>
    <x:row r="101" ht="36" hidden="0" customHeight="1">
      <x:c r="A101" s="18" t="str">
        <x:v>P094</x:v>
      </x:c>
      <x:c r="B101" s="18" t="str">
        <x:v>Cửa giữa lòng nhà và hiên phía C
Nave to veranda openings along axis C</x:v>
      </x:c>
      <x:c r="C101" s="18" t="str">
        <x:v>opening_chain_segment</x:v>
      </x:c>
      <x:c r="D101" s="18" t="str">
        <x:v>Model: X
Source: longitudinal
5–6:point1 → 5–6:point2</x:v>
      </x:c>
      <x:c r="E101" s="24" t="n">
        <x:v>2250</x:v>
      </x:c>
      <x:c r="F101" s="25" t="str">
        <x:v>mm</x:v>
      </x:c>
      <x:c r="G101" s="22" t="n">
        <x:f>IF(COUNTBLANK(E101)&gt;0,"",E101)</x:f>
        <x:v>2250</x:v>
      </x:c>
      <x:c r="H101" s="23" t="n">
        <x:f>IF(COUNTBLANK(G101)&gt;0,"",G101/1000)</x:f>
        <x:v>2.25</x:v>
      </x:c>
      <x:c r="I101" s="18" t="str">
        <x:v>Ghi trên bản vẽ / Explicit</x:v>
      </x:c>
      <x:c r="J101" s="18" t="str">
        <x:v>Tờ 6
File 4</x:v>
      </x:c>
      <x:c r="K101" s="18" t="str">
        <x:v>Lower nave/porch boundary chain, bay5–6</x:v>
      </x:c>
      <x:c r="L101" s="18" t="str">
        <x:v>2250</x:v>
      </x:c>
      <x:c r="M101" s="18" t="str">
        <x:v>Chain totals4500; central opening2250.</x:v>
      </x:c>
    </x:row>
    <x:row r="102" ht="36" hidden="0" customHeight="1">
      <x:c r="A102" s="18" t="str">
        <x:v>P095</x:v>
      </x:c>
      <x:c r="B102" s="18" t="str">
        <x:v>Cửa giữa lòng nhà và hiên phía C
Nave to veranda openings along axis C</x:v>
      </x:c>
      <x:c r="C102" s="18" t="str">
        <x:v>opening_chain_segment</x:v>
      </x:c>
      <x:c r="D102" s="18" t="str">
        <x:v>Model: X
Source: longitudinal
5–6:point2 → 5–6:point3</x:v>
      </x:c>
      <x:c r="E102" s="24" t="n">
        <x:v>1125</x:v>
      </x:c>
      <x:c r="F102" s="25" t="str">
        <x:v>mm</x:v>
      </x:c>
      <x:c r="G102" s="22" t="n">
        <x:f>IF(COUNTBLANK(E102)&gt;0,"",E102)</x:f>
        <x:v>1125</x:v>
      </x:c>
      <x:c r="H102" s="23" t="n">
        <x:f>IF(COUNTBLANK(G102)&gt;0,"",G102/1000)</x:f>
        <x:v>1.125</x:v>
      </x:c>
      <x:c r="I102" s="18" t="str">
        <x:v>Ghi trên bản vẽ / Explicit</x:v>
      </x:c>
      <x:c r="J102" s="18" t="str">
        <x:v>Tờ 6
File 4</x:v>
      </x:c>
      <x:c r="K102" s="18" t="str">
        <x:v>Lower nave/porch boundary chain, bay5–6</x:v>
      </x:c>
      <x:c r="L102" s="18" t="str">
        <x:v>1125</x:v>
      </x:c>
      <x:c r="M102" s="18" t="str">
        <x:v>Chain totals4500; central opening2250.</x:v>
      </x:c>
    </x:row>
    <x:row r="103" ht="36" hidden="0" customHeight="1">
      <x:c r="A103" s="18" t="str">
        <x:v>P096</x:v>
      </x:c>
      <x:c r="B103" s="18" t="str">
        <x:v>Cửa giữa lòng nhà và hiên phía C
Nave to veranda openings along axis C</x:v>
      </x:c>
      <x:c r="C103" s="18" t="str">
        <x:v>opening_chain_segment</x:v>
      </x:c>
      <x:c r="D103" s="18" t="str">
        <x:v>Model: X
Source: longitudinal
6–7:point0 → 6–7:point1</x:v>
      </x:c>
      <x:c r="E103" s="24" t="n">
        <x:v>1125</x:v>
      </x:c>
      <x:c r="F103" s="25" t="str">
        <x:v>mm</x:v>
      </x:c>
      <x:c r="G103" s="22" t="n">
        <x:f>IF(COUNTBLANK(E103)&gt;0,"",E103)</x:f>
        <x:v>1125</x:v>
      </x:c>
      <x:c r="H103" s="23" t="n">
        <x:f>IF(COUNTBLANK(G103)&gt;0,"",G103/1000)</x:f>
        <x:v>1.125</x:v>
      </x:c>
      <x:c r="I103" s="18" t="str">
        <x:v>Ghi trên bản vẽ / Explicit</x:v>
      </x:c>
      <x:c r="J103" s="18" t="str">
        <x:v>Tờ 6
File 4</x:v>
      </x:c>
      <x:c r="K103" s="18" t="str">
        <x:v>Lower nave/porch boundary chain, bay6–7</x:v>
      </x:c>
      <x:c r="L103" s="18" t="str">
        <x:v>1125</x:v>
      </x:c>
      <x:c r="M103" s="18" t="str">
        <x:v>Chain totals4500; central opening2250.</x:v>
      </x:c>
    </x:row>
    <x:row r="104" ht="36" hidden="0" customHeight="1">
      <x:c r="A104" s="18" t="str">
        <x:v>P097</x:v>
      </x:c>
      <x:c r="B104" s="18" t="str">
        <x:v>Cửa giữa lòng nhà và hiên phía C
Nave to veranda openings along axis C</x:v>
      </x:c>
      <x:c r="C104" s="18" t="str">
        <x:v>opening_chain_segment</x:v>
      </x:c>
      <x:c r="D104" s="18" t="str">
        <x:v>Model: X
Source: longitudinal
6–7:point1 → 6–7:point2</x:v>
      </x:c>
      <x:c r="E104" s="24" t="n">
        <x:v>2250</x:v>
      </x:c>
      <x:c r="F104" s="25" t="str">
        <x:v>mm</x:v>
      </x:c>
      <x:c r="G104" s="22" t="n">
        <x:f>IF(COUNTBLANK(E104)&gt;0,"",E104)</x:f>
        <x:v>2250</x:v>
      </x:c>
      <x:c r="H104" s="23" t="n">
        <x:f>IF(COUNTBLANK(G104)&gt;0,"",G104/1000)</x:f>
        <x:v>2.25</x:v>
      </x:c>
      <x:c r="I104" s="18" t="str">
        <x:v>Ghi trên bản vẽ / Explicit</x:v>
      </x:c>
      <x:c r="J104" s="18" t="str">
        <x:v>Tờ 6
File 4</x:v>
      </x:c>
      <x:c r="K104" s="18" t="str">
        <x:v>Lower nave/porch boundary chain, bay6–7</x:v>
      </x:c>
      <x:c r="L104" s="18" t="str">
        <x:v>2250</x:v>
      </x:c>
      <x:c r="M104" s="18" t="str">
        <x:v>Chain totals4500; central opening2250.</x:v>
      </x:c>
    </x:row>
    <x:row r="105" ht="36" hidden="0" customHeight="1">
      <x:c r="A105" s="18" t="str">
        <x:v>P098</x:v>
      </x:c>
      <x:c r="B105" s="18" t="str">
        <x:v>Cửa giữa lòng nhà và hiên phía C
Nave to veranda openings along axis C</x:v>
      </x:c>
      <x:c r="C105" s="18" t="str">
        <x:v>opening_chain_segment</x:v>
      </x:c>
      <x:c r="D105" s="18" t="str">
        <x:v>Model: X
Source: longitudinal
6–7:point2 → 6–7:point3</x:v>
      </x:c>
      <x:c r="E105" s="24" t="n">
        <x:v>1125</x:v>
      </x:c>
      <x:c r="F105" s="25" t="str">
        <x:v>mm</x:v>
      </x:c>
      <x:c r="G105" s="22" t="n">
        <x:f>IF(COUNTBLANK(E105)&gt;0,"",E105)</x:f>
        <x:v>1125</x:v>
      </x:c>
      <x:c r="H105" s="23" t="n">
        <x:f>IF(COUNTBLANK(G105)&gt;0,"",G105/1000)</x:f>
        <x:v>1.125</x:v>
      </x:c>
      <x:c r="I105" s="18" t="str">
        <x:v>Ghi trên bản vẽ / Explicit</x:v>
      </x:c>
      <x:c r="J105" s="18" t="str">
        <x:v>Tờ 6
File 4</x:v>
      </x:c>
      <x:c r="K105" s="18" t="str">
        <x:v>Lower nave/porch boundary chain, bay6–7</x:v>
      </x:c>
      <x:c r="L105" s="18" t="str">
        <x:v>1125</x:v>
      </x:c>
      <x:c r="M105" s="18" t="str">
        <x:v>Chain totals4500; central opening2250.</x:v>
      </x:c>
    </x:row>
    <x:row r="106" ht="36" hidden="0" customHeight="1">
      <x:c r="A106" s="18" t="str">
        <x:v>P099</x:v>
      </x:c>
      <x:c r="B106" s="18" t="str">
        <x:v>Cửa giữa lòng nhà và hiên phía C
Nave to veranda openings along axis C</x:v>
      </x:c>
      <x:c r="C106" s="18" t="str">
        <x:v>opening_chain_segment</x:v>
      </x:c>
      <x:c r="D106" s="18" t="str">
        <x:v>Model: X
Source: longitudinal
7–8:point0 → 7–8:point1</x:v>
      </x:c>
      <x:c r="E106" s="24" t="n">
        <x:v>1125</x:v>
      </x:c>
      <x:c r="F106" s="25" t="str">
        <x:v>mm</x:v>
      </x:c>
      <x:c r="G106" s="22" t="n">
        <x:f>IF(COUNTBLANK(E106)&gt;0,"",E106)</x:f>
        <x:v>1125</x:v>
      </x:c>
      <x:c r="H106" s="23" t="n">
        <x:f>IF(COUNTBLANK(G106)&gt;0,"",G106/1000)</x:f>
        <x:v>1.125</x:v>
      </x:c>
      <x:c r="I106" s="18" t="str">
        <x:v>Ghi trên bản vẽ / Explicit</x:v>
      </x:c>
      <x:c r="J106" s="18" t="str">
        <x:v>Tờ 6
File 4</x:v>
      </x:c>
      <x:c r="K106" s="18" t="str">
        <x:v>Lower nave/porch boundary chain, bay7–8</x:v>
      </x:c>
      <x:c r="L106" s="18" t="str">
        <x:v>1125</x:v>
      </x:c>
      <x:c r="M106" s="18" t="str">
        <x:v>Chain totals4500; central opening2250.</x:v>
      </x:c>
    </x:row>
    <x:row r="107" ht="36" hidden="0" customHeight="1">
      <x:c r="A107" s="18" t="str">
        <x:v>P100</x:v>
      </x:c>
      <x:c r="B107" s="18" t="str">
        <x:v>Cửa giữa lòng nhà và hiên phía C
Nave to veranda openings along axis C</x:v>
      </x:c>
      <x:c r="C107" s="18" t="str">
        <x:v>opening_chain_segment</x:v>
      </x:c>
      <x:c r="D107" s="18" t="str">
        <x:v>Model: X
Source: longitudinal
7–8:point1 → 7–8:point2</x:v>
      </x:c>
      <x:c r="E107" s="24" t="n">
        <x:v>2250</x:v>
      </x:c>
      <x:c r="F107" s="25" t="str">
        <x:v>mm</x:v>
      </x:c>
      <x:c r="G107" s="22" t="n">
        <x:f>IF(COUNTBLANK(E107)&gt;0,"",E107)</x:f>
        <x:v>2250</x:v>
      </x:c>
      <x:c r="H107" s="23" t="n">
        <x:f>IF(COUNTBLANK(G107)&gt;0,"",G107/1000)</x:f>
        <x:v>2.25</x:v>
      </x:c>
      <x:c r="I107" s="18" t="str">
        <x:v>Ghi trên bản vẽ / Explicit</x:v>
      </x:c>
      <x:c r="J107" s="18" t="str">
        <x:v>Tờ 6
File 4</x:v>
      </x:c>
      <x:c r="K107" s="18" t="str">
        <x:v>Lower nave/porch boundary chain, bay7–8</x:v>
      </x:c>
      <x:c r="L107" s="18" t="str">
        <x:v>2250</x:v>
      </x:c>
      <x:c r="M107" s="18" t="str">
        <x:v>Chain totals4500; central opening2250.</x:v>
      </x:c>
    </x:row>
    <x:row r="108" ht="36" hidden="0" customHeight="1">
      <x:c r="A108" s="18" t="str">
        <x:v>P101</x:v>
      </x:c>
      <x:c r="B108" s="18" t="str">
        <x:v>Cửa giữa lòng nhà và hiên phía C
Nave to veranda openings along axis C</x:v>
      </x:c>
      <x:c r="C108" s="18" t="str">
        <x:v>opening_chain_segment</x:v>
      </x:c>
      <x:c r="D108" s="18" t="str">
        <x:v>Model: X
Source: longitudinal
7–8:point2 → 7–8:point3</x:v>
      </x:c>
      <x:c r="E108" s="24" t="n">
        <x:v>1125</x:v>
      </x:c>
      <x:c r="F108" s="25" t="str">
        <x:v>mm</x:v>
      </x:c>
      <x:c r="G108" s="22" t="n">
        <x:f>IF(COUNTBLANK(E108)&gt;0,"",E108)</x:f>
        <x:v>1125</x:v>
      </x:c>
      <x:c r="H108" s="23" t="n">
        <x:f>IF(COUNTBLANK(G108)&gt;0,"",G108/1000)</x:f>
        <x:v>1.125</x:v>
      </x:c>
      <x:c r="I108" s="18" t="str">
        <x:v>Ghi trên bản vẽ / Explicit</x:v>
      </x:c>
      <x:c r="J108" s="18" t="str">
        <x:v>Tờ 6
File 4</x:v>
      </x:c>
      <x:c r="K108" s="18" t="str">
        <x:v>Lower nave/porch boundary chain, bay7–8</x:v>
      </x:c>
      <x:c r="L108" s="18" t="str">
        <x:v>1125</x:v>
      </x:c>
      <x:c r="M108" s="18" t="str">
        <x:v>Chain totals4500; central opening2250.</x:v>
      </x:c>
    </x:row>
    <x:row r="109" ht="36" hidden="0" customHeight="1">
      <x:c r="A109" s="18" t="str">
        <x:v>P102</x:v>
      </x:c>
      <x:c r="B109" s="18" t="str">
        <x:v>Cửa giữa lòng nhà và hiên phía C
Nave to veranda openings along axis C</x:v>
      </x:c>
      <x:c r="C109" s="18" t="str">
        <x:v>opening_chain_segment</x:v>
      </x:c>
      <x:c r="D109" s="18" t="str">
        <x:v>Model: X
Source: longitudinal
8–9:point0 → 8–9:point1</x:v>
      </x:c>
      <x:c r="E109" s="24" t="n">
        <x:v>1125</x:v>
      </x:c>
      <x:c r="F109" s="25" t="str">
        <x:v>mm</x:v>
      </x:c>
      <x:c r="G109" s="22" t="n">
        <x:f>IF(COUNTBLANK(E109)&gt;0,"",E109)</x:f>
        <x:v>1125</x:v>
      </x:c>
      <x:c r="H109" s="23" t="n">
        <x:f>IF(COUNTBLANK(G109)&gt;0,"",G109/1000)</x:f>
        <x:v>1.125</x:v>
      </x:c>
      <x:c r="I109" s="18" t="str">
        <x:v>Ghi trên bản vẽ / Explicit</x:v>
      </x:c>
      <x:c r="J109" s="18" t="str">
        <x:v>Tờ 6
File 4</x:v>
      </x:c>
      <x:c r="K109" s="18" t="str">
        <x:v>Lower nave/porch boundary chain, bay8–9</x:v>
      </x:c>
      <x:c r="L109" s="18" t="str">
        <x:v>1125</x:v>
      </x:c>
      <x:c r="M109" s="18" t="str">
        <x:v>Chain totals4500; central opening2250.</x:v>
      </x:c>
    </x:row>
    <x:row r="110" ht="36" hidden="0" customHeight="1">
      <x:c r="A110" s="18" t="str">
        <x:v>P103</x:v>
      </x:c>
      <x:c r="B110" s="18" t="str">
        <x:v>Cửa giữa lòng nhà và hiên phía C
Nave to veranda openings along axis C</x:v>
      </x:c>
      <x:c r="C110" s="18" t="str">
        <x:v>opening_chain_segment</x:v>
      </x:c>
      <x:c r="D110" s="18" t="str">
        <x:v>Model: X
Source: longitudinal
8–9:point1 → 8–9:point2</x:v>
      </x:c>
      <x:c r="E110" s="24" t="n">
        <x:v>2250</x:v>
      </x:c>
      <x:c r="F110" s="25" t="str">
        <x:v>mm</x:v>
      </x:c>
      <x:c r="G110" s="22" t="n">
        <x:f>IF(COUNTBLANK(E110)&gt;0,"",E110)</x:f>
        <x:v>2250</x:v>
      </x:c>
      <x:c r="H110" s="23" t="n">
        <x:f>IF(COUNTBLANK(G110)&gt;0,"",G110/1000)</x:f>
        <x:v>2.25</x:v>
      </x:c>
      <x:c r="I110" s="18" t="str">
        <x:v>Ghi trên bản vẽ / Explicit</x:v>
      </x:c>
      <x:c r="J110" s="18" t="str">
        <x:v>Tờ 6
File 4</x:v>
      </x:c>
      <x:c r="K110" s="18" t="str">
        <x:v>Lower nave/porch boundary chain, bay8–9</x:v>
      </x:c>
      <x:c r="L110" s="18" t="str">
        <x:v>2250</x:v>
      </x:c>
      <x:c r="M110" s="18" t="str">
        <x:v>Chain totals4500; central opening2250.</x:v>
      </x:c>
    </x:row>
    <x:row r="111" ht="36" hidden="0" customHeight="1">
      <x:c r="A111" s="18" t="str">
        <x:v>P104</x:v>
      </x:c>
      <x:c r="B111" s="18" t="str">
        <x:v>Cửa giữa lòng nhà và hiên phía C
Nave to veranda openings along axis C</x:v>
      </x:c>
      <x:c r="C111" s="18" t="str">
        <x:v>opening_chain_segment</x:v>
      </x:c>
      <x:c r="D111" s="18" t="str">
        <x:v>Model: X
Source: longitudinal
8–9:point2 → 8–9:point3</x:v>
      </x:c>
      <x:c r="E111" s="24" t="n">
        <x:v>1125</x:v>
      </x:c>
      <x:c r="F111" s="25" t="str">
        <x:v>mm</x:v>
      </x:c>
      <x:c r="G111" s="22" t="n">
        <x:f>IF(COUNTBLANK(E111)&gt;0,"",E111)</x:f>
        <x:v>1125</x:v>
      </x:c>
      <x:c r="H111" s="23" t="n">
        <x:f>IF(COUNTBLANK(G111)&gt;0,"",G111/1000)</x:f>
        <x:v>1.125</x:v>
      </x:c>
      <x:c r="I111" s="18" t="str">
        <x:v>Ghi trên bản vẽ / Explicit</x:v>
      </x:c>
      <x:c r="J111" s="18" t="str">
        <x:v>Tờ 6
File 4</x:v>
      </x:c>
      <x:c r="K111" s="18" t="str">
        <x:v>Lower nave/porch boundary chain, bay8–9</x:v>
      </x:c>
      <x:c r="L111" s="18" t="str">
        <x:v>1125</x:v>
      </x:c>
      <x:c r="M111" s="18" t="str">
        <x:v>Chain totals4500; central opening2250.</x:v>
      </x:c>
    </x:row>
    <x:row r="112" ht="36" hidden="0" customHeight="1">
      <x:c r="A112" s="18" t="str">
        <x:v>P105</x:v>
      </x:c>
      <x:c r="B112" s="18" t="str">
        <x:v>Cửa giữa lòng nhà và hiên phía C
Nave to veranda openings along axis C</x:v>
      </x:c>
      <x:c r="C112" s="18" t="str">
        <x:v>opening_chain_segment</x:v>
      </x:c>
      <x:c r="D112" s="18" t="str">
        <x:v>Model: X
Source: longitudinal
10–11:point0 → 10–11:point1</x:v>
      </x:c>
      <x:c r="E112" s="24" t="n">
        <x:v>1125</x:v>
      </x:c>
      <x:c r="F112" s="25" t="str">
        <x:v>mm</x:v>
      </x:c>
      <x:c r="G112" s="22" t="n">
        <x:f>IF(COUNTBLANK(E112)&gt;0,"",E112)</x:f>
        <x:v>1125</x:v>
      </x:c>
      <x:c r="H112" s="23" t="n">
        <x:f>IF(COUNTBLANK(G112)&gt;0,"",G112/1000)</x:f>
        <x:v>1.125</x:v>
      </x:c>
      <x:c r="I112" s="18" t="str">
        <x:v>Ghi trên bản vẽ / Explicit</x:v>
      </x:c>
      <x:c r="J112" s="18" t="str">
        <x:v>Tờ 6
File 4</x:v>
      </x:c>
      <x:c r="K112" s="18" t="str">
        <x:v>Lower nave/porch boundary chain, bay10–11</x:v>
      </x:c>
      <x:c r="L112" s="18" t="str">
        <x:v>1125</x:v>
      </x:c>
      <x:c r="M112" s="18" t="str">
        <x:v>Chain totals4500; central opening2250.</x:v>
      </x:c>
    </x:row>
    <x:row r="113" ht="36" hidden="0" customHeight="1">
      <x:c r="A113" s="18" t="str">
        <x:v>P106</x:v>
      </x:c>
      <x:c r="B113" s="18" t="str">
        <x:v>Cửa giữa lòng nhà và hiên phía C
Nave to veranda openings along axis C</x:v>
      </x:c>
      <x:c r="C113" s="18" t="str">
        <x:v>opening_chain_segment</x:v>
      </x:c>
      <x:c r="D113" s="18" t="str">
        <x:v>Model: X
Source: longitudinal
10–11:point1 → 10–11:point2</x:v>
      </x:c>
      <x:c r="E113" s="24" t="n">
        <x:v>2250</x:v>
      </x:c>
      <x:c r="F113" s="25" t="str">
        <x:v>mm</x:v>
      </x:c>
      <x:c r="G113" s="22" t="n">
        <x:f>IF(COUNTBLANK(E113)&gt;0,"",E113)</x:f>
        <x:v>2250</x:v>
      </x:c>
      <x:c r="H113" s="23" t="n">
        <x:f>IF(COUNTBLANK(G113)&gt;0,"",G113/1000)</x:f>
        <x:v>2.25</x:v>
      </x:c>
      <x:c r="I113" s="18" t="str">
        <x:v>Ghi trên bản vẽ / Explicit</x:v>
      </x:c>
      <x:c r="J113" s="18" t="str">
        <x:v>Tờ 6
File 4</x:v>
      </x:c>
      <x:c r="K113" s="18" t="str">
        <x:v>Lower nave/porch boundary chain, bay10–11</x:v>
      </x:c>
      <x:c r="L113" s="18" t="str">
        <x:v>2250</x:v>
      </x:c>
      <x:c r="M113" s="18" t="str">
        <x:v>Chain totals4500; central opening2250.</x:v>
      </x:c>
    </x:row>
    <x:row r="114" ht="36" hidden="0" customHeight="1">
      <x:c r="A114" s="18" t="str">
        <x:v>P107</x:v>
      </x:c>
      <x:c r="B114" s="18" t="str">
        <x:v>Cửa giữa lòng nhà và hiên phía C
Nave to veranda openings along axis C</x:v>
      </x:c>
      <x:c r="C114" s="18" t="str">
        <x:v>opening_chain_segment</x:v>
      </x:c>
      <x:c r="D114" s="18" t="str">
        <x:v>Model: X
Source: longitudinal
10–11:point2 → 10–11:point3</x:v>
      </x:c>
      <x:c r="E114" s="24" t="n">
        <x:v>1125</x:v>
      </x:c>
      <x:c r="F114" s="25" t="str">
        <x:v>mm</x:v>
      </x:c>
      <x:c r="G114" s="22" t="n">
        <x:f>IF(COUNTBLANK(E114)&gt;0,"",E114)</x:f>
        <x:v>1125</x:v>
      </x:c>
      <x:c r="H114" s="23" t="n">
        <x:f>IF(COUNTBLANK(G114)&gt;0,"",G114/1000)</x:f>
        <x:v>1.125</x:v>
      </x:c>
      <x:c r="I114" s="18" t="str">
        <x:v>Ghi trên bản vẽ / Explicit</x:v>
      </x:c>
      <x:c r="J114" s="18" t="str">
        <x:v>Tờ 6
File 4</x:v>
      </x:c>
      <x:c r="K114" s="18" t="str">
        <x:v>Lower nave/porch boundary chain, bay10–11</x:v>
      </x:c>
      <x:c r="L114" s="18" t="str">
        <x:v>1125</x:v>
      </x:c>
      <x:c r="M114" s="18" t="str">
        <x:v>Chain totals4500; central opening2250.</x:v>
      </x:c>
    </x:row>
    <x:row r="115" ht="36" hidden="0" customHeight="1">
      <x:c r="A115" s="18" t="str">
        <x:v>P108</x:v>
      </x:c>
      <x:c r="B115" s="18" t="str">
        <x:v>Cửa phòng sau phía C
Rear side-room opening along axis C</x:v>
      </x:c>
      <x:c r="C115" s="18" t="str">
        <x:v>opening_chain_segment</x:v>
      </x:c>
      <x:c r="D115" s="18" t="str">
        <x:v>Model: X
Source: longitudinal
11–12:point0 → 11–12:point1</x:v>
      </x:c>
      <x:c r="E115" s="24" t="n">
        <x:v>1650</x:v>
      </x:c>
      <x:c r="F115" s="25" t="str">
        <x:v>mm</x:v>
      </x:c>
      <x:c r="G115" s="22" t="n">
        <x:f>IF(COUNTBLANK(E115)&gt;0,"",E115)</x:f>
        <x:v>1650</x:v>
      </x:c>
      <x:c r="H115" s="23" t="n">
        <x:f>IF(COUNTBLANK(G115)&gt;0,"",G115/1000)</x:f>
        <x:v>1.65</x:v>
      </x:c>
      <x:c r="I115" s="18" t="str">
        <x:v>Ghi trên bản vẽ / Explicit</x:v>
      </x:c>
      <x:c r="J115" s="18" t="str">
        <x:v>Tờ 6
File 4</x:v>
      </x:c>
      <x:c r="K115" s="18" t="str">
        <x:v>Rear lower room/veranda boundary, bay11–12</x:v>
      </x:c>
      <x:c r="L115" s="18" t="str">
        <x:v>1650</x:v>
      </x:c>
      <x:c r="M115" s="18" t="str">
        <x:v>1650+1200+1491=4341; central opening1200.</x:v>
      </x:c>
    </x:row>
    <x:row r="116" ht="36" hidden="0" customHeight="1">
      <x:c r="A116" s="18" t="str">
        <x:v>P109</x:v>
      </x:c>
      <x:c r="B116" s="18" t="str">
        <x:v>Cửa phòng sau phía C
Rear side-room opening along axis C</x:v>
      </x:c>
      <x:c r="C116" s="18" t="str">
        <x:v>opening_chain_segment</x:v>
      </x:c>
      <x:c r="D116" s="18" t="str">
        <x:v>Model: X
Source: longitudinal
11–12:point1 → 11–12:point2</x:v>
      </x:c>
      <x:c r="E116" s="24" t="n">
        <x:v>1200</x:v>
      </x:c>
      <x:c r="F116" s="25" t="str">
        <x:v>mm</x:v>
      </x:c>
      <x:c r="G116" s="22" t="n">
        <x:f>IF(COUNTBLANK(E116)&gt;0,"",E116)</x:f>
        <x:v>1200</x:v>
      </x:c>
      <x:c r="H116" s="23" t="n">
        <x:f>IF(COUNTBLANK(G116)&gt;0,"",G116/1000)</x:f>
        <x:v>1.2</x:v>
      </x:c>
      <x:c r="I116" s="18" t="str">
        <x:v>Ghi trên bản vẽ / Explicit</x:v>
      </x:c>
      <x:c r="J116" s="18" t="str">
        <x:v>Tờ 6
File 4</x:v>
      </x:c>
      <x:c r="K116" s="18" t="str">
        <x:v>Rear lower room/veranda boundary, bay11–12</x:v>
      </x:c>
      <x:c r="L116" s="18" t="str">
        <x:v>1200</x:v>
      </x:c>
      <x:c r="M116" s="18" t="str">
        <x:v>1650+1200+1491=4341; central opening1200.</x:v>
      </x:c>
    </x:row>
    <x:row r="117" ht="36" hidden="0" customHeight="1">
      <x:c r="A117" s="18" t="str">
        <x:v>P110</x:v>
      </x:c>
      <x:c r="B117" s="18" t="str">
        <x:v>Cửa phòng sau phía C
Rear side-room opening along axis C</x:v>
      </x:c>
      <x:c r="C117" s="18" t="str">
        <x:v>opening_chain_segment</x:v>
      </x:c>
      <x:c r="D117" s="18" t="str">
        <x:v>Model: X
Source: longitudinal
11–12:point2 → 11–12:point3</x:v>
      </x:c>
      <x:c r="E117" s="24" t="n">
        <x:v>1491</x:v>
      </x:c>
      <x:c r="F117" s="25" t="str">
        <x:v>mm</x:v>
      </x:c>
      <x:c r="G117" s="22" t="n">
        <x:f>IF(COUNTBLANK(E117)&gt;0,"",E117)</x:f>
        <x:v>1491</x:v>
      </x:c>
      <x:c r="H117" s="23" t="n">
        <x:f>IF(COUNTBLANK(G117)&gt;0,"",G117/1000)</x:f>
        <x:v>1.491</x:v>
      </x:c>
      <x:c r="I117" s="18" t="str">
        <x:v>Ghi trên bản vẽ / Explicit</x:v>
      </x:c>
      <x:c r="J117" s="18" t="str">
        <x:v>Tờ 6
File 4</x:v>
      </x:c>
      <x:c r="K117" s="18" t="str">
        <x:v>Rear lower room/veranda boundary, bay11–12</x:v>
      </x:c>
      <x:c r="L117" s="18" t="str">
        <x:v>1491</x:v>
      </x:c>
      <x:c r="M117" s="18" t="str">
        <x:v>1650+1200+1491=4341; central opening1200.</x:v>
      </x:c>
    </x:row>
    <x:row r="118" ht="36" hidden="0" customHeight="1">
      <x:c r="A118" s="18" t="str">
        <x:v>P111</x:v>
      </x:c>
      <x:c r="B118" s="18" t="str">
        <x:v>Cung thánh và phòng sau
Upper sanctuary outer margin</x:v>
      </x:c>
      <x:c r="C118" s="18" t="str">
        <x:v>offset</x:v>
      </x:c>
      <x:c r="D118" s="18" t="str">
        <x:v>Model: Z
Source: transverse
G → upper outer stage edge</x:v>
      </x:c>
      <x:c r="E118" s="24" t="n">
        <x:v>1860</x:v>
      </x:c>
      <x:c r="F118" s="25" t="str">
        <x:v>mm</x:v>
      </x:c>
      <x:c r="G118" s="22" t="n">
        <x:f>IF(COUNTBLANK(E118)&gt;0,"",E118)</x:f>
        <x:v>1860</x:v>
      </x:c>
      <x:c r="H118" s="23" t="n">
        <x:f>IF(COUNTBLANK(G118)&gt;0,"",G118/1000)</x:f>
        <x:v>1.86</x:v>
      </x:c>
      <x:c r="I118" s="18" t="str">
        <x:v>Ghi trên bản vẽ / Explicit</x:v>
      </x:c>
      <x:c r="J118" s="18" t="str">
        <x:v>Tờ 6
File 4</x:v>
      </x:c>
      <x:c r="K118" s="18" t="str">
        <x:v>Sanctuary upper dimension chain</x:v>
      </x:c>
      <x:c r="L118" s="18" t="str">
        <x:v>1860</x:v>
      </x:c>
      <x:c r="M118" s="18" t="str"/>
    </x:row>
    <x:row r="119" ht="48" hidden="0" customHeight="1">
      <x:c r="A119" s="18" t="str">
        <x:v>P112</x:v>
      </x:c>
      <x:c r="B119" s="18" t="str">
        <x:v>Cung thánh và phòng sau
Upper sanctuary step zone</x:v>
      </x:c>
      <x:c r="C119" s="18" t="str">
        <x:v>step_zone_width</x:v>
      </x:c>
      <x:c r="D119" s="18" t="str">
        <x:v>Model: Z
Source: transverse
upper outer stage edge → upper inner stage edge</x:v>
      </x:c>
      <x:c r="E119" s="24" t="n">
        <x:v>1000</x:v>
      </x:c>
      <x:c r="F119" s="25" t="str">
        <x:v>mm</x:v>
      </x:c>
      <x:c r="G119" s="22" t="n">
        <x:f>IF(COUNTBLANK(E119)&gt;0,"",E119)</x:f>
        <x:v>1000</x:v>
      </x:c>
      <x:c r="H119" s="23" t="n">
        <x:f>IF(COUNTBLANK(G119)&gt;0,"",G119/1000)</x:f>
        <x:v>1</x:v>
      </x:c>
      <x:c r="I119" s="18" t="str">
        <x:v>Ghi trên bản vẽ / Explicit</x:v>
      </x:c>
      <x:c r="J119" s="18" t="str">
        <x:v>Tờ 6
File 4</x:v>
      </x:c>
      <x:c r="K119" s="18" t="str">
        <x:v>Sanctuary upper chain</x:v>
      </x:c>
      <x:c r="L119" s="18" t="str">
        <x:v>1000</x:v>
      </x:c>
      <x:c r="M119" s="18" t="str"/>
    </x:row>
    <x:row r="120" ht="36" hidden="0" customHeight="1">
      <x:c r="A120" s="18" t="str">
        <x:v>P113</x:v>
      </x:c>
      <x:c r="B120" s="18" t="str">
        <x:v>Cung thánh và phòng sau
Upper sanctuary platform margin</x:v>
      </x:c>
      <x:c r="C120" s="18" t="str">
        <x:v>offset</x:v>
      </x:c>
      <x:c r="D120" s="18" t="str">
        <x:v>Model: Z
Source: transverse
upper inner stage edge → E</x:v>
      </x:c>
      <x:c r="E120" s="24" t="n">
        <x:v>900</x:v>
      </x:c>
      <x:c r="F120" s="25" t="str">
        <x:v>mm</x:v>
      </x:c>
      <x:c r="G120" s="22" t="n">
        <x:f>IF(COUNTBLANK(E120)&gt;0,"",E120)</x:f>
        <x:v>900</x:v>
      </x:c>
      <x:c r="H120" s="23" t="n">
        <x:f>IF(COUNTBLANK(G120)&gt;0,"",G120/1000)</x:f>
        <x:v>0.9</x:v>
      </x:c>
      <x:c r="I120" s="18" t="str">
        <x:v>Ghi trên bản vẽ / Explicit</x:v>
      </x:c>
      <x:c r="J120" s="18" t="str">
        <x:v>Tờ 6
File 4</x:v>
      </x:c>
      <x:c r="K120" s="18" t="str">
        <x:v>Sanctuary upper chain</x:v>
      </x:c>
      <x:c r="L120" s="18" t="str">
        <x:v>900</x:v>
      </x:c>
      <x:c r="M120" s="18" t="str"/>
    </x:row>
    <x:row r="121" ht="36" hidden="0" customHeight="1">
      <x:c r="A121" s="18" t="str">
        <x:v>P114</x:v>
      </x:c>
      <x:c r="B121" s="18" t="str">
        <x:v>Cung thánh và phòng sau
Sanctuary-front rectangular feature upper side spacing</x:v>
      </x:c>
      <x:c r="C121" s="18" t="str">
        <x:v>spacing</x:v>
      </x:c>
      <x:c r="D121" s="18" t="str">
        <x:v>Model: Z
Source: transverse
E → rectangular feature upper side</x:v>
      </x:c>
      <x:c r="E121" s="24" t="n">
        <x:v>2650</x:v>
      </x:c>
      <x:c r="F121" s="25" t="str">
        <x:v>mm</x:v>
      </x:c>
      <x:c r="G121" s="22" t="n">
        <x:f>IF(COUNTBLANK(E121)&gt;0,"",E121)</x:f>
        <x:v>2650</x:v>
      </x:c>
      <x:c r="H121" s="23" t="n">
        <x:f>IF(COUNTBLANK(G121)&gt;0,"",G121/1000)</x:f>
        <x:v>2.65</x:v>
      </x:c>
      <x:c r="I121" s="18" t="str">
        <x:v>Ghi trên bản vẽ / Explicit</x:v>
      </x:c>
      <x:c r="J121" s="18" t="str">
        <x:v>Tờ 6
File 4</x:v>
      </x:c>
      <x:c r="K121" s="18" t="str">
        <x:v>Sanctuary center dimension chain</x:v>
      </x:c>
      <x:c r="L121" s="18" t="str">
        <x:v>2650</x:v>
      </x:c>
      <x:c r="M121" s="18" t="str"/>
    </x:row>
    <x:row r="122" ht="48" hidden="0" customHeight="1">
      <x:c r="A122" s="18" t="str">
        <x:v>P115</x:v>
      </x:c>
      <x:c r="B122" s="18" t="str">
        <x:v>Chi tiết chữ nhật trước cung thánh, chưa có nhãn
Unlabeled sanctuary-front rectangular feature</x:v>
      </x:c>
      <x:c r="C122" s="18" t="str">
        <x:v>width</x:v>
      </x:c>
      <x:c r="D122" s="18" t="str">
        <x:v>Model: Z
Source: transverse
rectangular feature upper side → rectangular feature lower side</x:v>
      </x:c>
      <x:c r="E122" s="24" t="n">
        <x:v>1900</x:v>
      </x:c>
      <x:c r="F122" s="25" t="str">
        <x:v>mm</x:v>
      </x:c>
      <x:c r="G122" s="22" t="n">
        <x:f>IF(COUNTBLANK(E122)&gt;0,"",E122)</x:f>
        <x:v>1900</x:v>
      </x:c>
      <x:c r="H122" s="23" t="n">
        <x:f>IF(COUNTBLANK(G122)&gt;0,"",G122/1000)</x:f>
        <x:v>1.9</x:v>
      </x:c>
      <x:c r="I122" s="18" t="str">
        <x:v>Ghi trên bản vẽ / Explicit</x:v>
      </x:c>
      <x:c r="J122" s="18" t="str">
        <x:v>Tờ 6
File 4</x:v>
      </x:c>
      <x:c r="K122" s="18" t="str">
        <x:v>Sanctuary center dimension chain</x:v>
      </x:c>
      <x:c r="L122" s="18" t="str">
        <x:v>1900</x:v>
      </x:c>
      <x:c r="M122" s="18" t="str">
        <x:v> Dimension is printed, but identity is not labeled; drawn subdivisions may be steps. Do not use as a confirmed altar-table procurement dimension.</x:v>
      </x:c>
    </x:row>
    <x:row r="123" ht="36" hidden="0" customHeight="1">
      <x:c r="A123" s="18" t="str">
        <x:v>P116</x:v>
      </x:c>
      <x:c r="B123" s="18" t="str">
        <x:v>Cung thánh và phòng sau
Sanctuary-front rectangular feature lower side spacing</x:v>
      </x:c>
      <x:c r="C123" s="18" t="str">
        <x:v>spacing</x:v>
      </x:c>
      <x:c r="D123" s="18" t="str">
        <x:v>Model: Z
Source: transverse
rectangular feature lower side → D</x:v>
      </x:c>
      <x:c r="E123" s="24" t="n">
        <x:v>2650</x:v>
      </x:c>
      <x:c r="F123" s="25" t="str">
        <x:v>mm</x:v>
      </x:c>
      <x:c r="G123" s="22" t="n">
        <x:f>IF(COUNTBLANK(E123)&gt;0,"",E123)</x:f>
        <x:v>2650</x:v>
      </x:c>
      <x:c r="H123" s="23" t="n">
        <x:f>IF(COUNTBLANK(G123)&gt;0,"",G123/1000)</x:f>
        <x:v>2.65</x:v>
      </x:c>
      <x:c r="I123" s="18" t="str">
        <x:v>Ghi trên bản vẽ / Explicit</x:v>
      </x:c>
      <x:c r="J123" s="18" t="str">
        <x:v>Tờ 6
File 4</x:v>
      </x:c>
      <x:c r="K123" s="18" t="str">
        <x:v>Sanctuary center dimension chain</x:v>
      </x:c>
      <x:c r="L123" s="18" t="str">
        <x:v>2650</x:v>
      </x:c>
      <x:c r="M123" s="18" t="str"/>
    </x:row>
    <x:row r="124" ht="36" hidden="0" customHeight="1">
      <x:c r="A124" s="18" t="str">
        <x:v>P117</x:v>
      </x:c>
      <x:c r="B124" s="18" t="str">
        <x:v>Cung thánh và phòng sau
Lower sanctuary platform margin</x:v>
      </x:c>
      <x:c r="C124" s="18" t="str">
        <x:v>offset</x:v>
      </x:c>
      <x:c r="D124" s="18" t="str">
        <x:v>Model: Z
Source: transverse
D → lower inner stage edge</x:v>
      </x:c>
      <x:c r="E124" s="24" t="n">
        <x:v>900</x:v>
      </x:c>
      <x:c r="F124" s="25" t="str">
        <x:v>mm</x:v>
      </x:c>
      <x:c r="G124" s="22" t="n">
        <x:f>IF(COUNTBLANK(E124)&gt;0,"",E124)</x:f>
        <x:v>900</x:v>
      </x:c>
      <x:c r="H124" s="23" t="n">
        <x:f>IF(COUNTBLANK(G124)&gt;0,"",G124/1000)</x:f>
        <x:v>0.9</x:v>
      </x:c>
      <x:c r="I124" s="18" t="str">
        <x:v>Ghi trên bản vẽ / Explicit</x:v>
      </x:c>
      <x:c r="J124" s="18" t="str">
        <x:v>Tờ 6
File 4</x:v>
      </x:c>
      <x:c r="K124" s="18" t="str">
        <x:v>Sanctuary lower chain</x:v>
      </x:c>
      <x:c r="L124" s="18" t="str">
        <x:v>900</x:v>
      </x:c>
      <x:c r="M124" s="18" t="str"/>
    </x:row>
    <x:row r="125" ht="48" hidden="0" customHeight="1">
      <x:c r="A125" s="18" t="str">
        <x:v>P118</x:v>
      </x:c>
      <x:c r="B125" s="18" t="str">
        <x:v>Cung thánh và phòng sau
Lower sanctuary step zone</x:v>
      </x:c>
      <x:c r="C125" s="18" t="str">
        <x:v>step_zone_width</x:v>
      </x:c>
      <x:c r="D125" s="18" t="str">
        <x:v>Model: Z
Source: transverse
lower inner stage edge → lower outer stage edge</x:v>
      </x:c>
      <x:c r="E125" s="24" t="n">
        <x:v>1000</x:v>
      </x:c>
      <x:c r="F125" s="25" t="str">
        <x:v>mm</x:v>
      </x:c>
      <x:c r="G125" s="22" t="n">
        <x:f>IF(COUNTBLANK(E125)&gt;0,"",E125)</x:f>
        <x:v>1000</x:v>
      </x:c>
      <x:c r="H125" s="23" t="n">
        <x:f>IF(COUNTBLANK(G125)&gt;0,"",G125/1000)</x:f>
        <x:v>1</x:v>
      </x:c>
      <x:c r="I125" s="18" t="str">
        <x:v>Ghi trên bản vẽ / Explicit</x:v>
      </x:c>
      <x:c r="J125" s="18" t="str">
        <x:v>Tờ 6
File 4</x:v>
      </x:c>
      <x:c r="K125" s="18" t="str">
        <x:v>Sanctuary lower chain</x:v>
      </x:c>
      <x:c r="L125" s="18" t="str">
        <x:v>1000</x:v>
      </x:c>
      <x:c r="M125" s="18" t="str"/>
    </x:row>
    <x:row r="126" ht="36" hidden="0" customHeight="1">
      <x:c r="A126" s="18" t="str">
        <x:v>P119</x:v>
      </x:c>
      <x:c r="B126" s="18" t="str">
        <x:v>Cung thánh và phòng sau
Sanctuary outer front step</x:v>
      </x:c>
      <x:c r="C126" s="18" t="str">
        <x:v>front_offset</x:v>
      </x:c>
      <x:c r="D126" s="18" t="str">
        <x:v>Model: X
Source: longitudinal
9 → outer front stage edge</x:v>
      </x:c>
      <x:c r="E126" s="24" t="n">
        <x:v>500</x:v>
      </x:c>
      <x:c r="F126" s="25" t="str">
        <x:v>mm</x:v>
      </x:c>
      <x:c r="G126" s="22" t="n">
        <x:f>IF(COUNTBLANK(E126)&gt;0,"",E126)</x:f>
        <x:v>500</x:v>
      </x:c>
      <x:c r="H126" s="23" t="n">
        <x:f>IF(COUNTBLANK(G126)&gt;0,"",G126/1000)</x:f>
        <x:v>0.5</x:v>
      </x:c>
      <x:c r="I126" s="18" t="str">
        <x:v>Ghi trên bản vẽ / Explicit</x:v>
      </x:c>
      <x:c r="J126" s="18" t="str">
        <x:v>Tờ 6
File 4</x:v>
      </x:c>
      <x:c r="K126" s="18" t="str">
        <x:v>Front edge of sanctuary, just right of axis9</x:v>
      </x:c>
      <x:c r="L126" s="18" t="str">
        <x:v>500</x:v>
      </x:c>
      <x:c r="M126" s="18" t="str"/>
    </x:row>
    <x:row r="127" ht="48" hidden="0" customHeight="1">
      <x:c r="A127" s="18" t="str">
        <x:v>P120</x:v>
      </x:c>
      <x:c r="B127" s="18" t="str">
        <x:v>Cung thánh và phòng sau
Sanctuary front step zone</x:v>
      </x:c>
      <x:c r="C127" s="18" t="str">
        <x:v>step_zone_depth</x:v>
      </x:c>
      <x:c r="D127" s="18" t="str">
        <x:v>Model: X
Source: longitudinal
outer front stage edge → inner front stage edge</x:v>
      </x:c>
      <x:c r="E127" s="24" t="n">
        <x:v>1000</x:v>
      </x:c>
      <x:c r="F127" s="25" t="str">
        <x:v>mm</x:v>
      </x:c>
      <x:c r="G127" s="22" t="n">
        <x:f>IF(COUNTBLANK(E127)&gt;0,"",E127)</x:f>
        <x:v>1000</x:v>
      </x:c>
      <x:c r="H127" s="23" t="n">
        <x:f>IF(COUNTBLANK(G127)&gt;0,"",G127/1000)</x:f>
        <x:v>1</x:v>
      </x:c>
      <x:c r="I127" s="18" t="str">
        <x:v>Ghi trên bản vẽ / Explicit</x:v>
      </x:c>
      <x:c r="J127" s="18" t="str">
        <x:v>Tờ 6
File 4</x:v>
      </x:c>
      <x:c r="K127" s="18" t="str">
        <x:v>Front edge of sanctuary, just right of axis9</x:v>
      </x:c>
      <x:c r="L127" s="18" t="str">
        <x:v>1000</x:v>
      </x:c>
      <x:c r="M127" s="18" t="str"/>
    </x:row>
    <x:row r="128" ht="36" hidden="0" customHeight="1">
      <x:c r="A128" s="18" t="str">
        <x:v>P121</x:v>
      </x:c>
      <x:c r="B128" s="18" t="str">
        <x:v>Cung thánh và phòng sau
Sanctuary inner front edge</x:v>
      </x:c>
      <x:c r="C128" s="18" t="str">
        <x:v>front_offset</x:v>
      </x:c>
      <x:c r="D128" s="18" t="str">
        <x:v>Model: X
Source: longitudinal
9 → inner front stage edge</x:v>
      </x:c>
      <x:c r="E128" s="24" t="n">
        <x:v>1500</x:v>
      </x:c>
      <x:c r="F128" s="25" t="str">
        <x:v>mm</x:v>
      </x:c>
      <x:c r="G128" s="22" t="n">
        <x:f>IF(COUNTBLANK(E128)&gt;0,"",E128)</x:f>
        <x:v>1500</x:v>
      </x:c>
      <x:c r="H128" s="23" t="n">
        <x:f>IF(COUNTBLANK(G128)&gt;0,"",G128/1000)</x:f>
        <x:v>1.5</x:v>
      </x:c>
      <x:c r="I128" s="18" t="str">
        <x:v>Ghi trên bản vẽ / Explicit</x:v>
      </x:c>
      <x:c r="J128" s="18" t="str">
        <x:v>Tờ 6
File 4</x:v>
      </x:c>
      <x:c r="K128" s="18" t="str">
        <x:v>Lower sanctuary horizontal dimension chain</x:v>
      </x:c>
      <x:c r="L128" s="18" t="str">
        <x:v>1500</x:v>
      </x:c>
      <x:c r="M128" s="18" t="str">
        <x:v>500+1000=1500.</x:v>
      </x:c>
    </x:row>
    <x:row r="129" ht="36" hidden="0" customHeight="1">
      <x:c r="A129" s="18" t="str">
        <x:v>P122</x:v>
      </x:c>
      <x:c r="B129" s="18" t="str">
        <x:v>Cung thánh và phòng sau
Sanctuary front section</x:v>
      </x:c>
      <x:c r="C129" s="18" t="str">
        <x:v>depth</x:v>
      </x:c>
      <x:c r="D129" s="18" t="str">
        <x:v>Model: X
Source: longitudinal
inner front stage edge → 10</x:v>
      </x:c>
      <x:c r="E129" s="24" t="n">
        <x:v>5700</x:v>
      </x:c>
      <x:c r="F129" s="25" t="str">
        <x:v>mm</x:v>
      </x:c>
      <x:c r="G129" s="22" t="n">
        <x:f>IF(COUNTBLANK(E129)&gt;0,"",E129)</x:f>
        <x:v>5700</x:v>
      </x:c>
      <x:c r="H129" s="23" t="n">
        <x:f>IF(COUNTBLANK(G129)&gt;0,"",G129/1000)</x:f>
        <x:v>5.7</x:v>
      </x:c>
      <x:c r="I129" s="18" t="str">
        <x:v>Ghi trên bản vẽ / Explicit</x:v>
      </x:c>
      <x:c r="J129" s="18" t="str">
        <x:v>Tờ 6
File 4</x:v>
      </x:c>
      <x:c r="K129" s="18" t="str">
        <x:v>Lower sanctuary horizontal dimension chain</x:v>
      </x:c>
      <x:c r="L129" s="18" t="str">
        <x:v>5700</x:v>
      </x:c>
      <x:c r="M129" s="18" t="str">
        <x:v>1500+5700=7200, the9–10 bay.</x:v>
      </x:c>
    </x:row>
    <x:row r="130" ht="48" hidden="0" customHeight="1">
      <x:c r="A130" s="18" t="str">
        <x:v>P123</x:v>
      </x:c>
      <x:c r="B130" s="18" t="str">
        <x:v>Chi tiết chữ nhật trước cung thánh, chưa có nhãn
Unlabeled sanctuary-front rectangular feature</x:v>
      </x:c>
      <x:c r="C130" s="18" t="str">
        <x:v>depth</x:v>
      </x:c>
      <x:c r="D130" s="18" t="str">
        <x:v>Model: X
Source: longitudinal
rectangular feature front side → rectangular feature rear side</x:v>
      </x:c>
      <x:c r="E130" s="24" t="n">
        <x:v>870</x:v>
      </x:c>
      <x:c r="F130" s="25" t="str">
        <x:v>mm</x:v>
      </x:c>
      <x:c r="G130" s="22" t="n">
        <x:f>IF(COUNTBLANK(E130)&gt;0,"",E130)</x:f>
        <x:v>870</x:v>
      </x:c>
      <x:c r="H130" s="23" t="n">
        <x:f>IF(COUNTBLANK(G130)&gt;0,"",G130/1000)</x:f>
        <x:v>0.87</x:v>
      </x:c>
      <x:c r="I130" s="18" t="str">
        <x:v>Ghi trên bản vẽ / Explicit</x:v>
      </x:c>
      <x:c r="J130" s="18" t="str">
        <x:v>Tờ 6
File 4</x:v>
      </x:c>
      <x:c r="K130" s="18" t="str">
        <x:v>Unidentified sanctuary rectangle, horizontal dimension next to 9</x:v>
      </x:c>
      <x:c r="L130" s="18" t="str">
        <x:v>870</x:v>
      </x:c>
      <x:c r="M130" s="18" t="str">
        <x:v> Dimension is printed, but identity is not labeled; drawn subdivisions may be steps. Do not use as a confirmed altar-table procurement dimension.</x:v>
      </x:c>
    </x:row>
    <x:row r="131" ht="48" hidden="0" customHeight="1">
      <x:c r="A131" s="18" t="str">
        <x:v>P124</x:v>
      </x:c>
      <x:c r="B131" s="18" t="str">
        <x:v>Cung thánh và phòng sau
Rear central room front setback upper</x:v>
      </x:c>
      <x:c r="C131" s="18" t="str">
        <x:v>offset</x:v>
      </x:c>
      <x:c r="D131" s="18" t="str">
        <x:v>Model: X
Source: longitudinal
rear partition reference near11 → room front partition face</x:v>
      </x:c>
      <x:c r="E131" s="24" t="n">
        <x:v>1000</x:v>
      </x:c>
      <x:c r="F131" s="25" t="str">
        <x:v>mm</x:v>
      </x:c>
      <x:c r="G131" s="22" t="n">
        <x:f>IF(COUNTBLANK(E131)&gt;0,"",E131)</x:f>
        <x:v>1000</x:v>
      </x:c>
      <x:c r="H131" s="23" t="n">
        <x:f>IF(COUNTBLANK(G131)&gt;0,"",G131/1000)</x:f>
        <x:v>1</x:v>
      </x:c>
      <x:c r="I131" s="18" t="str">
        <x:v>Ghi trên bản vẽ / Explicit</x:v>
      </x:c>
      <x:c r="J131" s="18" t="str">
        <x:v>Tờ 6
File 4</x:v>
      </x:c>
      <x:c r="K131" s="18" t="str">
        <x:v>Rear central room upper horizontal local dimension</x:v>
      </x:c>
      <x:c r="L131" s="18" t="str">
        <x:v>1000</x:v>
      </x:c>
      <x:c r="M131" s="18" t="str">
        <x:v>Local endpoint should be taken from plan detail; not a wall-thickness specification.</x:v>
      </x:c>
    </x:row>
    <x:row r="132" ht="48" hidden="0" customHeight="1">
      <x:c r="A132" s="18" t="str">
        <x:v>P125</x:v>
      </x:c>
      <x:c r="B132" s="18" t="str">
        <x:v>Cung thánh và phòng sau
Rear central room</x:v>
      </x:c>
      <x:c r="C132" s="18" t="str">
        <x:v>clear_depth</x:v>
      </x:c>
      <x:c r="D132" s="18" t="str">
        <x:v>Model: X
Source: longitudinal
room front partition face → rear inside wall face</x:v>
      </x:c>
      <x:c r="E132" s="24" t="n">
        <x:v>3066</x:v>
      </x:c>
      <x:c r="F132" s="25" t="str">
        <x:v>mm</x:v>
      </x:c>
      <x:c r="G132" s="22" t="n">
        <x:f>IF(COUNTBLANK(E132)&gt;0,"",E132)</x:f>
        <x:v>3066</x:v>
      </x:c>
      <x:c r="H132" s="23" t="n">
        <x:f>IF(COUNTBLANK(G132)&gt;0,"",G132/1000)</x:f>
        <x:v>3.066</x:v>
      </x:c>
      <x:c r="I132" s="18" t="str">
        <x:v>Ghi trên bản vẽ / Explicit</x:v>
      </x:c>
      <x:c r="J132" s="18" t="str">
        <x:v>Tờ 6
File 4</x:v>
      </x:c>
      <x:c r="K132" s="18" t="str">
        <x:v>Rear room upper dimension along axis E</x:v>
      </x:c>
      <x:c r="L132" s="18" t="str">
        <x:v>3066</x:v>
      </x:c>
      <x:c r="M132" s="18" t="str"/>
    </x:row>
    <x:row r="133" ht="48" hidden="0" customHeight="1">
      <x:c r="A133" s="18" t="str">
        <x:v>P126</x:v>
      </x:c>
      <x:c r="B133" s="18" t="str">
        <x:v>Cung thánh và phòng sau
Rear central room front setback lower</x:v>
      </x:c>
      <x:c r="C133" s="18" t="str">
        <x:v>offset</x:v>
      </x:c>
      <x:c r="D133" s="18" t="str">
        <x:v>Model: X
Source: longitudinal
rear partition reference near11 → room front partition face</x:v>
      </x:c>
      <x:c r="E133" s="24" t="n">
        <x:v>1000</x:v>
      </x:c>
      <x:c r="F133" s="25" t="str">
        <x:v>mm</x:v>
      </x:c>
      <x:c r="G133" s="22" t="n">
        <x:f>IF(COUNTBLANK(E133)&gt;0,"",E133)</x:f>
        <x:v>1000</x:v>
      </x:c>
      <x:c r="H133" s="23" t="n">
        <x:f>IF(COUNTBLANK(G133)&gt;0,"",G133/1000)</x:f>
        <x:v>1</x:v>
      </x:c>
      <x:c r="I133" s="18" t="str">
        <x:v>Ghi trên bản vẽ / Explicit</x:v>
      </x:c>
      <x:c r="J133" s="18" t="str">
        <x:v>Tờ 6
File 4</x:v>
      </x:c>
      <x:c r="K133" s="18" t="str">
        <x:v>Rear central room lower horizontal local dimension</x:v>
      </x:c>
      <x:c r="L133" s="18" t="str">
        <x:v>1000</x:v>
      </x:c>
      <x:c r="M133" s="18" t="str">
        <x:v>Local endpoint should be taken from plan detail; not a wall-thickness specification.</x:v>
      </x:c>
    </x:row>
    <x:row r="134" ht="36" hidden="0" customHeight="1">
      <x:c r="A134" s="18" t="str">
        <x:v>P127</x:v>
      </x:c>
      <x:c r="B134" s="18" t="str">
        <x:v>Cung thánh và phòng sau
Lower rear room connecting door</x:v>
      </x:c>
      <x:c r="C134" s="18" t="str">
        <x:v>clear_opening</x:v>
      </x:c>
      <x:c r="D134" s="18" t="str">
        <x:v>Model: Z
Source: transverse
door upper edge → door lower edge</x:v>
      </x:c>
      <x:c r="E134" s="24" t="n">
        <x:v>1200</x:v>
      </x:c>
      <x:c r="F134" s="25" t="str">
        <x:v>mm</x:v>
      </x:c>
      <x:c r="G134" s="22" t="n">
        <x:f>IF(COUNTBLANK(E134)&gt;0,"",E134)</x:f>
        <x:v>1200</x:v>
      </x:c>
      <x:c r="H134" s="23" t="n">
        <x:f>IF(COUNTBLANK(G134)&gt;0,"",G134/1000)</x:f>
        <x:v>1.2</x:v>
      </x:c>
      <x:c r="I134" s="18" t="str">
        <x:v>Ghi trên bản vẽ / Explicit</x:v>
      </x:c>
      <x:c r="J134" s="18" t="str">
        <x:v>Tờ 6
File 4</x:v>
      </x:c>
      <x:c r="K134" s="18" t="str">
        <x:v>Rear lower room door along11, between C and D</x:v>
      </x:c>
      <x:c r="L134" s="18" t="str">
        <x:v>1200</x:v>
      </x:c>
      <x:c r="M134" s="18" t="str"/>
    </x:row>
    <x:row r="135" ht="36" hidden="0" customHeight="1">
      <x:c r="A135" s="18" t="str">
        <x:v>P128</x:v>
      </x:c>
      <x:c r="B135" s="18" t="str">
        <x:v>Tọa độ trục dọc
Longitudinal axis coordinate</x:v>
      </x:c>
      <x:c r="C135" s="18" t="str">
        <x:v>coordinate</x:v>
      </x:c>
      <x:c r="D135" s="18" t="str">
        <x:v>Model: X
Source: longitudinal
1 → 1</x:v>
      </x:c>
      <x:c r="E135" s="24"/>
      <x:c r="F135" s="25" t="str"/>
      <x:c r="G135" s="22" t="n">
        <x:f>0</x:f>
        <x:v>0</x:v>
      </x:c>
      <x:c r="H135" s="23" t="n">
        <x:f>IF(COUNTBLANK(G135)&gt;0,"",G135/1000)</x:f>
        <x:v>0</x:v>
      </x:c>
      <x:c r="I135" s="18" t="str">
        <x:v>Tính từ bản vẽ / Derived</x:v>
      </x:c>
      <x:c r="J135" s="18" t="str">
        <x:v>Tờ 6
File 4</x:v>
      </x:c>
      <x:c r="K135" s="18" t="str">
        <x:v>Derived from bottom grid chain</x:v>
      </x:c>
      <x:c r="L135" s="18" t="str"/>
      <x:c r="M135" s="18" t="str">
        <x:v>Positive toward rear. This is a data convention, not a surveyed north/east coordinate.
Calculation: Cumulative sum of printed longitudinal axis spacings; origin axis1=0mm.</x:v>
      </x:c>
    </x:row>
    <x:row r="136" ht="36" hidden="0" customHeight="1">
      <x:c r="A136" s="18" t="str">
        <x:v>P129</x:v>
      </x:c>
      <x:c r="B136" s="18" t="str">
        <x:v>Tọa độ trục dọc
Longitudinal axis coordinate</x:v>
      </x:c>
      <x:c r="C136" s="18" t="str">
        <x:v>coordinate</x:v>
      </x:c>
      <x:c r="D136" s="18" t="str">
        <x:v>Model: X
Source: longitudinal
1 → 2</x:v>
      </x:c>
      <x:c r="E136" s="24"/>
      <x:c r="F136" s="25" t="str"/>
      <x:c r="G136" s="22" t="n">
        <x:f>IF(OR(COUNTBLANK('Dimensions'!G135)&gt;0,COUNTBLANK('Dimensions'!G8)&gt;0),"",'Dimensions'!G135+'Dimensions'!G8)</x:f>
        <x:v>4900</x:v>
      </x:c>
      <x:c r="H136" s="23" t="n">
        <x:f>IF(COUNTBLANK(G136)&gt;0,"",G136/1000)</x:f>
        <x:v>4.9</x:v>
      </x:c>
      <x:c r="I136" s="18" t="str">
        <x:v>Tính từ bản vẽ / Derived</x:v>
      </x:c>
      <x:c r="J136" s="18" t="str">
        <x:v>Tờ 6
File 4</x:v>
      </x:c>
      <x:c r="K136" s="18" t="str">
        <x:v>Derived from bottom grid chain</x:v>
      </x:c>
      <x:c r="L136" s="18" t="str"/>
      <x:c r="M136" s="18" t="str">
        <x:v>Positive toward rear. This is a data convention, not a surveyed north/east coordinate.
Calculation: Cumulative sum of printed longitudinal axis spacings; origin axis1=0mm.</x:v>
      </x:c>
    </x:row>
    <x:row r="137" ht="36" hidden="0" customHeight="1">
      <x:c r="A137" s="18" t="str">
        <x:v>P130</x:v>
      </x:c>
      <x:c r="B137" s="18" t="str">
        <x:v>Tọa độ trục dọc
Longitudinal axis coordinate</x:v>
      </x:c>
      <x:c r="C137" s="18" t="str">
        <x:v>coordinate</x:v>
      </x:c>
      <x:c r="D137" s="18" t="str">
        <x:v>Model: X
Source: longitudinal
1 → 2′</x:v>
      </x:c>
      <x:c r="E137" s="24"/>
      <x:c r="F137" s="25" t="str"/>
      <x:c r="G137" s="22" t="n">
        <x:f>IF(OR(COUNTBLANK('Dimensions'!G136)&gt;0,COUNTBLANK('Dimensions'!G9)&gt;0),"",'Dimensions'!G136+'Dimensions'!G9)</x:f>
        <x:v>5475</x:v>
      </x:c>
      <x:c r="H137" s="23" t="n">
        <x:f>IF(COUNTBLANK(G137)&gt;0,"",G137/1000)</x:f>
        <x:v>5.475</x:v>
      </x:c>
      <x:c r="I137" s="18" t="str">
        <x:v>Tính từ bản vẽ / Derived</x:v>
      </x:c>
      <x:c r="J137" s="18" t="str">
        <x:v>Tờ 6
File 4</x:v>
      </x:c>
      <x:c r="K137" s="18" t="str">
        <x:v>Derived from bottom grid chain</x:v>
      </x:c>
      <x:c r="L137" s="18" t="str"/>
      <x:c r="M137" s="18" t="str">
        <x:v>Positive toward rear. This is a data convention, not a surveyed north/east coordinate.
Calculation: Cumulative sum of printed longitudinal axis spacings; origin axis1=0mm.</x:v>
      </x:c>
    </x:row>
    <x:row r="138" ht="36" hidden="0" customHeight="1">
      <x:c r="A138" s="18" t="str">
        <x:v>P131</x:v>
      </x:c>
      <x:c r="B138" s="18" t="str">
        <x:v>Tọa độ trục dọc
Longitudinal axis coordinate</x:v>
      </x:c>
      <x:c r="C138" s="18" t="str">
        <x:v>coordinate</x:v>
      </x:c>
      <x:c r="D138" s="18" t="str">
        <x:v>Model: X
Source: longitudinal
1 → 3</x:v>
      </x:c>
      <x:c r="E138" s="24"/>
      <x:c r="F138" s="25" t="str"/>
      <x:c r="G138" s="22" t="n">
        <x:f>IF(OR(COUNTBLANK('Dimensions'!G137)&gt;0,COUNTBLANK('Dimensions'!G10)&gt;0),"",'Dimensions'!G137+'Dimensions'!G10)</x:f>
        <x:v>9975</x:v>
      </x:c>
      <x:c r="H138" s="23" t="n">
        <x:f>IF(COUNTBLANK(G138)&gt;0,"",G138/1000)</x:f>
        <x:v>9.975</x:v>
      </x:c>
      <x:c r="I138" s="18" t="str">
        <x:v>Tính từ bản vẽ / Derived</x:v>
      </x:c>
      <x:c r="J138" s="18" t="str">
        <x:v>Tờ 6
File 4</x:v>
      </x:c>
      <x:c r="K138" s="18" t="str">
        <x:v>Derived from bottom grid chain</x:v>
      </x:c>
      <x:c r="L138" s="18" t="str"/>
      <x:c r="M138" s="18" t="str">
        <x:v>Positive toward rear. This is a data convention, not a surveyed north/east coordinate.
Calculation: Cumulative sum of printed longitudinal axis spacings; origin axis1=0mm.</x:v>
      </x:c>
    </x:row>
    <x:row r="139" ht="36" hidden="0" customHeight="1">
      <x:c r="A139" s="18" t="str">
        <x:v>P132</x:v>
      </x:c>
      <x:c r="B139" s="18" t="str">
        <x:v>Tọa độ trục dọc
Longitudinal axis coordinate</x:v>
      </x:c>
      <x:c r="C139" s="18" t="str">
        <x:v>coordinate</x:v>
      </x:c>
      <x:c r="D139" s="18" t="str">
        <x:v>Model: X
Source: longitudinal
1 → 4</x:v>
      </x:c>
      <x:c r="E139" s="24"/>
      <x:c r="F139" s="25" t="str"/>
      <x:c r="G139" s="22" t="n">
        <x:f>IF(OR(COUNTBLANK('Dimensions'!G138)&gt;0,COUNTBLANK('Dimensions'!G11)&gt;0),"",'Dimensions'!G138+'Dimensions'!G11)</x:f>
        <x:v>14475</x:v>
      </x:c>
      <x:c r="H139" s="23" t="n">
        <x:f>IF(COUNTBLANK(G139)&gt;0,"",G139/1000)</x:f>
        <x:v>14.475</x:v>
      </x:c>
      <x:c r="I139" s="18" t="str">
        <x:v>Tính từ bản vẽ / Derived</x:v>
      </x:c>
      <x:c r="J139" s="18" t="str">
        <x:v>Tờ 6
File 4</x:v>
      </x:c>
      <x:c r="K139" s="18" t="str">
        <x:v>Derived from bottom grid chain</x:v>
      </x:c>
      <x:c r="L139" s="18" t="str"/>
      <x:c r="M139" s="18" t="str">
        <x:v>Positive toward rear. This is a data convention, not a surveyed north/east coordinate.
Calculation: Cumulative sum of printed longitudinal axis spacings; origin axis1=0mm.</x:v>
      </x:c>
    </x:row>
    <x:row r="140" ht="36" hidden="0" customHeight="1">
      <x:c r="A140" s="18" t="str">
        <x:v>P133</x:v>
      </x:c>
      <x:c r="B140" s="18" t="str">
        <x:v>Tọa độ trục dọc
Longitudinal axis coordinate</x:v>
      </x:c>
      <x:c r="C140" s="18" t="str">
        <x:v>coordinate</x:v>
      </x:c>
      <x:c r="D140" s="18" t="str">
        <x:v>Model: X
Source: longitudinal
1 → 5</x:v>
      </x:c>
      <x:c r="E140" s="24"/>
      <x:c r="F140" s="25" t="str"/>
      <x:c r="G140" s="22" t="n">
        <x:f>IF(OR(COUNTBLANK('Dimensions'!G139)&gt;0,COUNTBLANK('Dimensions'!G12)&gt;0),"",'Dimensions'!G139+'Dimensions'!G12)</x:f>
        <x:v>18975</x:v>
      </x:c>
      <x:c r="H140" s="23" t="n">
        <x:f>IF(COUNTBLANK(G140)&gt;0,"",G140/1000)</x:f>
        <x:v>18.975</x:v>
      </x:c>
      <x:c r="I140" s="18" t="str">
        <x:v>Tính từ bản vẽ / Derived</x:v>
      </x:c>
      <x:c r="J140" s="18" t="str">
        <x:v>Tờ 6
File 4</x:v>
      </x:c>
      <x:c r="K140" s="18" t="str">
        <x:v>Derived from bottom grid chain</x:v>
      </x:c>
      <x:c r="L140" s="18" t="str"/>
      <x:c r="M140" s="18" t="str">
        <x:v>Positive toward rear. This is a data convention, not a surveyed north/east coordinate.
Calculation: Cumulative sum of printed longitudinal axis spacings; origin axis1=0mm.</x:v>
      </x:c>
    </x:row>
    <x:row r="141" ht="36" hidden="0" customHeight="1">
      <x:c r="A141" s="18" t="str">
        <x:v>P134</x:v>
      </x:c>
      <x:c r="B141" s="18" t="str">
        <x:v>Tọa độ trục dọc
Longitudinal axis coordinate</x:v>
      </x:c>
      <x:c r="C141" s="18" t="str">
        <x:v>coordinate</x:v>
      </x:c>
      <x:c r="D141" s="18" t="str">
        <x:v>Model: X
Source: longitudinal
1 → 6</x:v>
      </x:c>
      <x:c r="E141" s="24"/>
      <x:c r="F141" s="25" t="str"/>
      <x:c r="G141" s="22" t="n">
        <x:f>IF(OR(COUNTBLANK('Dimensions'!G140)&gt;0,COUNTBLANK('Dimensions'!G13)&gt;0),"",'Dimensions'!G140+'Dimensions'!G13)</x:f>
        <x:v>23475</x:v>
      </x:c>
      <x:c r="H141" s="23" t="n">
        <x:f>IF(COUNTBLANK(G141)&gt;0,"",G141/1000)</x:f>
        <x:v>23.475</x:v>
      </x:c>
      <x:c r="I141" s="18" t="str">
        <x:v>Tính từ bản vẽ / Derived</x:v>
      </x:c>
      <x:c r="J141" s="18" t="str">
        <x:v>Tờ 6
File 4</x:v>
      </x:c>
      <x:c r="K141" s="18" t="str">
        <x:v>Derived from bottom grid chain</x:v>
      </x:c>
      <x:c r="L141" s="18" t="str"/>
      <x:c r="M141" s="18" t="str">
        <x:v>Positive toward rear. This is a data convention, not a surveyed north/east coordinate.
Calculation: Cumulative sum of printed longitudinal axis spacings; origin axis1=0mm.</x:v>
      </x:c>
    </x:row>
    <x:row r="142" ht="36" hidden="0" customHeight="1">
      <x:c r="A142" s="18" t="str">
        <x:v>P135</x:v>
      </x:c>
      <x:c r="B142" s="18" t="str">
        <x:v>Tọa độ trục dọc
Longitudinal axis coordinate</x:v>
      </x:c>
      <x:c r="C142" s="18" t="str">
        <x:v>coordinate</x:v>
      </x:c>
      <x:c r="D142" s="18" t="str">
        <x:v>Model: X
Source: longitudinal
1 → 7</x:v>
      </x:c>
      <x:c r="E142" s="24"/>
      <x:c r="F142" s="25" t="str"/>
      <x:c r="G142" s="22" t="n">
        <x:f>IF(OR(COUNTBLANK('Dimensions'!G141)&gt;0,COUNTBLANK('Dimensions'!G14)&gt;0),"",'Dimensions'!G141+'Dimensions'!G14)</x:f>
        <x:v>27975</x:v>
      </x:c>
      <x:c r="H142" s="23" t="n">
        <x:f>IF(COUNTBLANK(G142)&gt;0,"",G142/1000)</x:f>
        <x:v>27.975</x:v>
      </x:c>
      <x:c r="I142" s="18" t="str">
        <x:v>Tính từ bản vẽ / Derived</x:v>
      </x:c>
      <x:c r="J142" s="18" t="str">
        <x:v>Tờ 6
File 4</x:v>
      </x:c>
      <x:c r="K142" s="18" t="str">
        <x:v>Derived from bottom grid chain</x:v>
      </x:c>
      <x:c r="L142" s="18" t="str"/>
      <x:c r="M142" s="18" t="str">
        <x:v>Positive toward rear. This is a data convention, not a surveyed north/east coordinate.
Calculation: Cumulative sum of printed longitudinal axis spacings; origin axis1=0mm.</x:v>
      </x:c>
    </x:row>
    <x:row r="143" ht="36" hidden="0" customHeight="1">
      <x:c r="A143" s="18" t="str">
        <x:v>P136</x:v>
      </x:c>
      <x:c r="B143" s="18" t="str">
        <x:v>Tọa độ trục dọc
Longitudinal axis coordinate</x:v>
      </x:c>
      <x:c r="C143" s="18" t="str">
        <x:v>coordinate</x:v>
      </x:c>
      <x:c r="D143" s="18" t="str">
        <x:v>Model: X
Source: longitudinal
1 → 8</x:v>
      </x:c>
      <x:c r="E143" s="24"/>
      <x:c r="F143" s="25" t="str"/>
      <x:c r="G143" s="22" t="n">
        <x:f>IF(OR(COUNTBLANK('Dimensions'!G142)&gt;0,COUNTBLANK('Dimensions'!G15)&gt;0),"",'Dimensions'!G142+'Dimensions'!G15)</x:f>
        <x:v>32475</x:v>
      </x:c>
      <x:c r="H143" s="23" t="n">
        <x:f>IF(COUNTBLANK(G143)&gt;0,"",G143/1000)</x:f>
        <x:v>32.475</x:v>
      </x:c>
      <x:c r="I143" s="18" t="str">
        <x:v>Tính từ bản vẽ / Derived</x:v>
      </x:c>
      <x:c r="J143" s="18" t="str">
        <x:v>Tờ 6
File 4</x:v>
      </x:c>
      <x:c r="K143" s="18" t="str">
        <x:v>Derived from bottom grid chain</x:v>
      </x:c>
      <x:c r="L143" s="18" t="str"/>
      <x:c r="M143" s="18" t="str">
        <x:v>Positive toward rear. This is a data convention, not a surveyed north/east coordinate.
Calculation: Cumulative sum of printed longitudinal axis spacings; origin axis1=0mm.</x:v>
      </x:c>
    </x:row>
    <x:row r="144" ht="36" hidden="0" customHeight="1">
      <x:c r="A144" s="18" t="str">
        <x:v>P137</x:v>
      </x:c>
      <x:c r="B144" s="18" t="str">
        <x:v>Tọa độ trục dọc
Longitudinal axis coordinate</x:v>
      </x:c>
      <x:c r="C144" s="18" t="str">
        <x:v>coordinate</x:v>
      </x:c>
      <x:c r="D144" s="18" t="str">
        <x:v>Model: X
Source: longitudinal
1 → 9</x:v>
      </x:c>
      <x:c r="E144" s="24"/>
      <x:c r="F144" s="25" t="str"/>
      <x:c r="G144" s="22" t="n">
        <x:f>IF(OR(COUNTBLANK('Dimensions'!G143)&gt;0,COUNTBLANK('Dimensions'!G16)&gt;0),"",'Dimensions'!G143+'Dimensions'!G16)</x:f>
        <x:v>36975</x:v>
      </x:c>
      <x:c r="H144" s="23" t="n">
        <x:f>IF(COUNTBLANK(G144)&gt;0,"",G144/1000)</x:f>
        <x:v>36.975</x:v>
      </x:c>
      <x:c r="I144" s="18" t="str">
        <x:v>Tính từ bản vẽ / Derived</x:v>
      </x:c>
      <x:c r="J144" s="18" t="str">
        <x:v>Tờ 6
File 4</x:v>
      </x:c>
      <x:c r="K144" s="18" t="str">
        <x:v>Derived from bottom grid chain</x:v>
      </x:c>
      <x:c r="L144" s="18" t="str"/>
      <x:c r="M144" s="18" t="str">
        <x:v>Positive toward rear. This is a data convention, not a surveyed north/east coordinate.
Calculation: Cumulative sum of printed longitudinal axis spacings; origin axis1=0mm.</x:v>
      </x:c>
    </x:row>
    <x:row r="145" ht="36" hidden="0" customHeight="1">
      <x:c r="A145" s="18" t="str">
        <x:v>P138</x:v>
      </x:c>
      <x:c r="B145" s="18" t="str">
        <x:v>Tọa độ trục dọc
Longitudinal axis coordinate</x:v>
      </x:c>
      <x:c r="C145" s="18" t="str">
        <x:v>coordinate</x:v>
      </x:c>
      <x:c r="D145" s="18" t="str">
        <x:v>Model: X
Source: longitudinal
1 → 10</x:v>
      </x:c>
      <x:c r="E145" s="24"/>
      <x:c r="F145" s="25" t="str"/>
      <x:c r="G145" s="22" t="n">
        <x:f>IF(OR(COUNTBLANK('Dimensions'!G144)&gt;0,COUNTBLANK('Dimensions'!G17)&gt;0),"",'Dimensions'!G144+'Dimensions'!G17)</x:f>
        <x:v>44175</x:v>
      </x:c>
      <x:c r="H145" s="23" t="n">
        <x:f>IF(COUNTBLANK(G145)&gt;0,"",G145/1000)</x:f>
        <x:v>44.175</x:v>
      </x:c>
      <x:c r="I145" s="18" t="str">
        <x:v>Tính từ bản vẽ / Derived</x:v>
      </x:c>
      <x:c r="J145" s="18" t="str">
        <x:v>Tờ 6
File 4</x:v>
      </x:c>
      <x:c r="K145" s="18" t="str">
        <x:v>Derived from bottom grid chain</x:v>
      </x:c>
      <x:c r="L145" s="18" t="str"/>
      <x:c r="M145" s="18" t="str">
        <x:v>Positive toward rear. This is a data convention, not a surveyed north/east coordinate.
Calculation: Cumulative sum of printed longitudinal axis spacings; origin axis1=0mm.</x:v>
      </x:c>
    </x:row>
    <x:row r="146" ht="36" hidden="0" customHeight="1">
      <x:c r="A146" s="18" t="str">
        <x:v>P139</x:v>
      </x:c>
      <x:c r="B146" s="18" t="str">
        <x:v>Tọa độ trục dọc
Longitudinal axis coordinate</x:v>
      </x:c>
      <x:c r="C146" s="18" t="str">
        <x:v>coordinate</x:v>
      </x:c>
      <x:c r="D146" s="18" t="str">
        <x:v>Model: X
Source: longitudinal
1 → 11</x:v>
      </x:c>
      <x:c r="E146" s="24"/>
      <x:c r="F146" s="25" t="str"/>
      <x:c r="G146" s="22" t="n">
        <x:f>IF(OR(COUNTBLANK('Dimensions'!G145)&gt;0,COUNTBLANK('Dimensions'!G18)&gt;0),"",'Dimensions'!G145+'Dimensions'!G18)</x:f>
        <x:v>48675</x:v>
      </x:c>
      <x:c r="H146" s="23" t="n">
        <x:f>IF(COUNTBLANK(G146)&gt;0,"",G146/1000)</x:f>
        <x:v>48.675</x:v>
      </x:c>
      <x:c r="I146" s="18" t="str">
        <x:v>Tính từ bản vẽ / Derived</x:v>
      </x:c>
      <x:c r="J146" s="18" t="str">
        <x:v>Tờ 6
File 4</x:v>
      </x:c>
      <x:c r="K146" s="18" t="str">
        <x:v>Derived from bottom grid chain</x:v>
      </x:c>
      <x:c r="L146" s="18" t="str"/>
      <x:c r="M146" s="18" t="str">
        <x:v>Positive toward rear. This is a data convention, not a surveyed north/east coordinate.
Calculation: Cumulative sum of printed longitudinal axis spacings; origin axis1=0mm.</x:v>
      </x:c>
    </x:row>
    <x:row r="147" ht="36" hidden="0" customHeight="1">
      <x:c r="A147" s="18" t="str">
        <x:v>P140</x:v>
      </x:c>
      <x:c r="B147" s="18" t="str">
        <x:v>Tọa độ trục dọc
Longitudinal axis coordinate</x:v>
      </x:c>
      <x:c r="C147" s="18" t="str">
        <x:v>coordinate</x:v>
      </x:c>
      <x:c r="D147" s="18" t="str">
        <x:v>Model: X
Source: longitudinal
1 → 12</x:v>
      </x:c>
      <x:c r="E147" s="24"/>
      <x:c r="F147" s="25" t="str"/>
      <x:c r="G147" s="22" t="n">
        <x:f>IF(OR(COUNTBLANK('Dimensions'!G146)&gt;0,COUNTBLANK('Dimensions'!G19)&gt;0),"",'Dimensions'!G146+'Dimensions'!G19)</x:f>
        <x:v>53016</x:v>
      </x:c>
      <x:c r="H147" s="23" t="n">
        <x:f>IF(COUNTBLANK(G147)&gt;0,"",G147/1000)</x:f>
        <x:v>53.016</x:v>
      </x:c>
      <x:c r="I147" s="18" t="str">
        <x:v>Tính từ bản vẽ / Derived</x:v>
      </x:c>
      <x:c r="J147" s="18" t="str">
        <x:v>Tờ 6
File 4</x:v>
      </x:c>
      <x:c r="K147" s="18" t="str">
        <x:v>Derived from bottom grid chain</x:v>
      </x:c>
      <x:c r="L147" s="18" t="str"/>
      <x:c r="M147" s="18" t="str">
        <x:v>Positive toward rear. This is a data convention, not a surveyed north/east coordinate.
Calculation: Cumulative sum of printed longitudinal axis spacings; origin axis1=0mm.</x:v>
      </x:c>
    </x:row>
    <x:row r="148" ht="36" hidden="0" customHeight="1">
      <x:c r="A148" s="18" t="str">
        <x:v>P141</x:v>
      </x:c>
      <x:c r="B148" s="18" t="str">
        <x:v>Tọa độ trục ngang
Transverse axis coordinate</x:v>
      </x:c>
      <x:c r="C148" s="18" t="str">
        <x:v>coordinate</x:v>
      </x:c>
      <x:c r="D148" s="18" t="str">
        <x:v>Model: Z
Source: transverse
A → A</x:v>
      </x:c>
      <x:c r="E148" s="24"/>
      <x:c r="F148" s="25" t="str"/>
      <x:c r="G148" s="22" t="n">
        <x:f>0</x:f>
        <x:v>0</x:v>
      </x:c>
      <x:c r="H148" s="23" t="n">
        <x:f>IF(COUNTBLANK(G148)&gt;0,"",G148/1000)</x:f>
        <x:v>0</x:v>
      </x:c>
      <x:c r="I148" s="18" t="str">
        <x:v>Tính từ bản vẽ / Derived</x:v>
      </x:c>
      <x:c r="J148" s="18" t="str">
        <x:v>Tờ 6
File 4</x:v>
      </x:c>
      <x:c r="K148" s="18" t="str">
        <x:v>Derived from transverse grid chain</x:v>
      </x:c>
      <x:c r="L148" s="18" t="str"/>
      <x:c r="M148" s="18" t="str">
        <x:v>Positive toward I. No axis F occurs in these sheets.
Calculation: Cumulative sum of printed transverse axis spacings; origin axisA=0mm.</x:v>
      </x:c>
    </x:row>
    <x:row r="149" ht="36" hidden="0" customHeight="1">
      <x:c r="A149" s="18" t="str">
        <x:v>P142</x:v>
      </x:c>
      <x:c r="B149" s="18" t="str">
        <x:v>Tọa độ trục ngang
Transverse axis coordinate</x:v>
      </x:c>
      <x:c r="C149" s="18" t="str">
        <x:v>coordinate</x:v>
      </x:c>
      <x:c r="D149" s="18" t="str">
        <x:v>Model: Z
Source: transverse
A → B</x:v>
      </x:c>
      <x:c r="E149" s="24"/>
      <x:c r="F149" s="25" t="str"/>
      <x:c r="G149" s="22" t="n">
        <x:f>IF(OR(COUNTBLANK('Dimensions'!G148)&gt;0,COUNTBLANK('Dimensions'!G20)&gt;0),"",'Dimensions'!G148+'Dimensions'!G20)</x:f>
        <x:v>2835</x:v>
      </x:c>
      <x:c r="H149" s="23" t="n">
        <x:f>IF(COUNTBLANK(G149)&gt;0,"",G149/1000)</x:f>
        <x:v>2.835</x:v>
      </x:c>
      <x:c r="I149" s="18" t="str">
        <x:v>Tính từ bản vẽ / Derived</x:v>
      </x:c>
      <x:c r="J149" s="18" t="str">
        <x:v>Tờ 6
File 4</x:v>
      </x:c>
      <x:c r="K149" s="18" t="str">
        <x:v>Derived from transverse grid chain</x:v>
      </x:c>
      <x:c r="L149" s="18" t="str"/>
      <x:c r="M149" s="18" t="str">
        <x:v>Positive toward I. No axis F occurs in these sheets.
Calculation: Cumulative sum of printed transverse axis spacings; origin axisA=0mm.</x:v>
      </x:c>
    </x:row>
    <x:row r="150" ht="36" hidden="0" customHeight="1">
      <x:c r="A150" s="18" t="str">
        <x:v>P143</x:v>
      </x:c>
      <x:c r="B150" s="18" t="str">
        <x:v>Tọa độ trục ngang
Transverse axis coordinate</x:v>
      </x:c>
      <x:c r="C150" s="18" t="str">
        <x:v>coordinate</x:v>
      </x:c>
      <x:c r="D150" s="18" t="str">
        <x:v>Model: Z
Source: transverse
A → C</x:v>
      </x:c>
      <x:c r="E150" s="24"/>
      <x:c r="F150" s="25" t="str"/>
      <x:c r="G150" s="22" t="n">
        <x:f>IF(OR(COUNTBLANK('Dimensions'!G149)&gt;0,COUNTBLANK('Dimensions'!G21)&gt;0),"",'Dimensions'!G149+'Dimensions'!G21)</x:f>
        <x:v>5889</x:v>
      </x:c>
      <x:c r="H150" s="23" t="n">
        <x:f>IF(COUNTBLANK(G150)&gt;0,"",G150/1000)</x:f>
        <x:v>5.889</x:v>
      </x:c>
      <x:c r="I150" s="18" t="str">
        <x:v>Tính từ bản vẽ / Derived</x:v>
      </x:c>
      <x:c r="J150" s="18" t="str">
        <x:v>Tờ 6
File 4</x:v>
      </x:c>
      <x:c r="K150" s="18" t="str">
        <x:v>Derived from transverse grid chain</x:v>
      </x:c>
      <x:c r="L150" s="18" t="str"/>
      <x:c r="M150" s="18" t="str">
        <x:v>Positive toward I. No axis F occurs in these sheets.
Calculation: Cumulative sum of printed transverse axis spacings; origin axisA=0mm.</x:v>
      </x:c>
    </x:row>
    <x:row r="151" ht="36" hidden="0" customHeight="1">
      <x:c r="A151" s="18" t="str">
        <x:v>P144</x:v>
      </x:c>
      <x:c r="B151" s="18" t="str">
        <x:v>Tọa độ trục ngang
Transverse axis coordinate</x:v>
      </x:c>
      <x:c r="C151" s="18" t="str">
        <x:v>coordinate</x:v>
      </x:c>
      <x:c r="D151" s="18" t="str">
        <x:v>Model: Z
Source: transverse
A → D</x:v>
      </x:c>
      <x:c r="E151" s="24"/>
      <x:c r="F151" s="25" t="str"/>
      <x:c r="G151" s="22" t="n">
        <x:f>IF(OR(COUNTBLANK('Dimensions'!G150)&gt;0,COUNTBLANK('Dimensions'!G22)&gt;0),"",'Dimensions'!G150+'Dimensions'!G22)</x:f>
        <x:v>9649</x:v>
      </x:c>
      <x:c r="H151" s="23" t="n">
        <x:f>IF(COUNTBLANK(G151)&gt;0,"",G151/1000)</x:f>
        <x:v>9.649</x:v>
      </x:c>
      <x:c r="I151" s="18" t="str">
        <x:v>Tính từ bản vẽ / Derived</x:v>
      </x:c>
      <x:c r="J151" s="18" t="str">
        <x:v>Tờ 6
File 4</x:v>
      </x:c>
      <x:c r="K151" s="18" t="str">
        <x:v>Derived from transverse grid chain</x:v>
      </x:c>
      <x:c r="L151" s="18" t="str"/>
      <x:c r="M151" s="18" t="str">
        <x:v>Positive toward I. No axis F occurs in these sheets.
Calculation: Cumulative sum of printed transverse axis spacings; origin axisA=0mm.</x:v>
      </x:c>
    </x:row>
    <x:row r="152" ht="36" hidden="0" customHeight="1">
      <x:c r="A152" s="18" t="str">
        <x:v>P145</x:v>
      </x:c>
      <x:c r="B152" s="18" t="str">
        <x:v>Tọa độ trục ngang
Transverse axis coordinate</x:v>
      </x:c>
      <x:c r="C152" s="18" t="str">
        <x:v>coordinate</x:v>
      </x:c>
      <x:c r="D152" s="18" t="str">
        <x:v>Model: Z
Source: transverse
A → E</x:v>
      </x:c>
      <x:c r="E152" s="24"/>
      <x:c r="F152" s="25" t="str"/>
      <x:c r="G152" s="22" t="n">
        <x:f>IF(OR(COUNTBLANK('Dimensions'!G151)&gt;0,COUNTBLANK('Dimensions'!G23)&gt;0),"",'Dimensions'!G151+'Dimensions'!G23)</x:f>
        <x:v>16849</x:v>
      </x:c>
      <x:c r="H152" s="23" t="n">
        <x:f>IF(COUNTBLANK(G152)&gt;0,"",G152/1000)</x:f>
        <x:v>16.849</x:v>
      </x:c>
      <x:c r="I152" s="18" t="str">
        <x:v>Tính từ bản vẽ / Derived</x:v>
      </x:c>
      <x:c r="J152" s="18" t="str">
        <x:v>Tờ 6
File 4</x:v>
      </x:c>
      <x:c r="K152" s="18" t="str">
        <x:v>Derived from transverse grid chain</x:v>
      </x:c>
      <x:c r="L152" s="18" t="str"/>
      <x:c r="M152" s="18" t="str">
        <x:v>Positive toward I. No axis F occurs in these sheets.
Calculation: Cumulative sum of printed transverse axis spacings; origin axisA=0mm.</x:v>
      </x:c>
    </x:row>
    <x:row r="153" ht="36" hidden="0" customHeight="1">
      <x:c r="A153" s="18" t="str">
        <x:v>P146</x:v>
      </x:c>
      <x:c r="B153" s="18" t="str">
        <x:v>Tọa độ trục ngang
Transverse axis coordinate</x:v>
      </x:c>
      <x:c r="C153" s="18" t="str">
        <x:v>coordinate</x:v>
      </x:c>
      <x:c r="D153" s="18" t="str">
        <x:v>Model: Z
Source: transverse
A → G</x:v>
      </x:c>
      <x:c r="E153" s="24"/>
      <x:c r="F153" s="25" t="str"/>
      <x:c r="G153" s="22" t="n">
        <x:f>IF(OR(COUNTBLANK('Dimensions'!G152)&gt;0,COUNTBLANK('Dimensions'!G24)&gt;0),"",'Dimensions'!G152+'Dimensions'!G24)</x:f>
        <x:v>20609</x:v>
      </x:c>
      <x:c r="H153" s="23" t="n">
        <x:f>IF(COUNTBLANK(G153)&gt;0,"",G153/1000)</x:f>
        <x:v>20.609</x:v>
      </x:c>
      <x:c r="I153" s="18" t="str">
        <x:v>Tính từ bản vẽ / Derived</x:v>
      </x:c>
      <x:c r="J153" s="18" t="str">
        <x:v>Tờ 6
File 4</x:v>
      </x:c>
      <x:c r="K153" s="18" t="str">
        <x:v>Derived from transverse grid chain</x:v>
      </x:c>
      <x:c r="L153" s="18" t="str"/>
      <x:c r="M153" s="18" t="str">
        <x:v>Positive toward I. No axis F occurs in these sheets.
Calculation: Cumulative sum of printed transverse axis spacings; origin axisA=0mm.</x:v>
      </x:c>
    </x:row>
    <x:row r="154" ht="36" hidden="0" customHeight="1">
      <x:c r="A154" s="18" t="str">
        <x:v>P147</x:v>
      </x:c>
      <x:c r="B154" s="18" t="str">
        <x:v>Tọa độ trục ngang
Transverse axis coordinate</x:v>
      </x:c>
      <x:c r="C154" s="18" t="str">
        <x:v>coordinate</x:v>
      </x:c>
      <x:c r="D154" s="18" t="str">
        <x:v>Model: Z
Source: transverse
A → H</x:v>
      </x:c>
      <x:c r="E154" s="24"/>
      <x:c r="F154" s="25" t="str"/>
      <x:c r="G154" s="22" t="n">
        <x:f>IF(OR(COUNTBLANK('Dimensions'!G153)&gt;0,COUNTBLANK('Dimensions'!G25)&gt;0),"",'Dimensions'!G153+'Dimensions'!G25)</x:f>
        <x:v>23663</x:v>
      </x:c>
      <x:c r="H154" s="23" t="n">
        <x:f>IF(COUNTBLANK(G154)&gt;0,"",G154/1000)</x:f>
        <x:v>23.663</x:v>
      </x:c>
      <x:c r="I154" s="18" t="str">
        <x:v>Tính từ bản vẽ / Derived</x:v>
      </x:c>
      <x:c r="J154" s="18" t="str">
        <x:v>Tờ 6
File 4</x:v>
      </x:c>
      <x:c r="K154" s="18" t="str">
        <x:v>Derived from transverse grid chain</x:v>
      </x:c>
      <x:c r="L154" s="18" t="str"/>
      <x:c r="M154" s="18" t="str">
        <x:v>Positive toward I. No axis F occurs in these sheets.
Calculation: Cumulative sum of printed transverse axis spacings; origin axisA=0mm.</x:v>
      </x:c>
    </x:row>
    <x:row r="155" ht="36" hidden="0" customHeight="1">
      <x:c r="A155" s="18" t="str">
        <x:v>P148</x:v>
      </x:c>
      <x:c r="B155" s="18" t="str">
        <x:v>Tọa độ trục ngang
Transverse axis coordinate</x:v>
      </x:c>
      <x:c r="C155" s="18" t="str">
        <x:v>coordinate</x:v>
      </x:c>
      <x:c r="D155" s="18" t="str">
        <x:v>Model: Z
Source: transverse
A → I</x:v>
      </x:c>
      <x:c r="E155" s="24"/>
      <x:c r="F155" s="25" t="str"/>
      <x:c r="G155" s="22" t="n">
        <x:f>IF(OR(COUNTBLANK('Dimensions'!G154)&gt;0,COUNTBLANK('Dimensions'!G26)&gt;0),"",'Dimensions'!G154+'Dimensions'!G26)</x:f>
        <x:v>26498</x:v>
      </x:c>
      <x:c r="H155" s="23" t="n">
        <x:f>IF(COUNTBLANK(G155)&gt;0,"",G155/1000)</x:f>
        <x:v>26.498</x:v>
      </x:c>
      <x:c r="I155" s="18" t="str">
        <x:v>Tính từ bản vẽ / Derived</x:v>
      </x:c>
      <x:c r="J155" s="18" t="str">
        <x:v>Tờ 6
File 4</x:v>
      </x:c>
      <x:c r="K155" s="18" t="str">
        <x:v>Derived from transverse grid chain</x:v>
      </x:c>
      <x:c r="L155" s="18" t="str"/>
      <x:c r="M155" s="18" t="str">
        <x:v>Positive toward I. No axis F occurs in these sheets.
Calculation: Cumulative sum of printed transverse axis spacings; origin axisA=0mm.</x:v>
      </x:c>
    </x:row>
    <x:row r="156" ht="36" hidden="0" customHeight="1">
      <x:c r="A156" s="18" t="str">
        <x:v>P149</x:v>
      </x:c>
      <x:c r="B156" s="18" t="str">
        <x:v>Kích thước suy ra
All longitudinal axes</x:v>
      </x:c>
      <x:c r="C156" s="18" t="str">
        <x:v>axis_span</x:v>
      </x:c>
      <x:c r="D156" s="18" t="str">
        <x:v>Model: X
Source: longitudinal
1 → 12</x:v>
      </x:c>
      <x:c r="E156" s="24"/>
      <x:c r="F156" s="25" t="str"/>
      <x:c r="G156" s="22" t="n">
        <x:f>IF(OR(COUNTBLANK('Dimensions'!G147)&gt;0,COUNTBLANK('Dimensions'!G135)&gt;0),"",'Dimensions'!G147-'Dimensions'!G135)</x:f>
        <x:v>53016</x:v>
      </x:c>
      <x:c r="H156" s="23" t="n">
        <x:f>IF(COUNTBLANK(G156)&gt;0,"",G156/1000)</x:f>
        <x:v>53.016</x:v>
      </x:c>
      <x:c r="I156" s="18" t="str">
        <x:v>Tính từ bản vẽ / Derived</x:v>
      </x:c>
      <x:c r="J156" s="18" t="str">
        <x:v>Tờ 6
File 4</x:v>
      </x:c>
      <x:c r="K156" s="18" t="str">
        <x:v>Derived from file4 printed dimensions</x:v>
      </x:c>
      <x:c r="L156" s="18" t="str"/>
      <x:c r="M156" s="18" t="str">
        <x:v>Use with the named source endpoints; derived, not independently measured.
Calculation: 4900+575+7*4500+7200+4500+4341</x:v>
      </x:c>
    </x:row>
    <x:row r="157" ht="36" hidden="0" customHeight="1">
      <x:c r="A157" s="18" t="str">
        <x:v>P150</x:v>
      </x:c>
      <x:c r="B157" s="18" t="str">
        <x:v>Kích thước suy ra
Nave grid span</x:v>
      </x:c>
      <x:c r="C157" s="18" t="str">
        <x:v>axis_span</x:v>
      </x:c>
      <x:c r="D157" s="18" t="str">
        <x:v>Model: X
Source: longitudinal
2′ → 12</x:v>
      </x:c>
      <x:c r="E157" s="24"/>
      <x:c r="F157" s="25" t="str"/>
      <x:c r="G157" s="22" t="n">
        <x:f>IF(OR(COUNTBLANK('Dimensions'!G147)&gt;0,COUNTBLANK('Dimensions'!G137)&gt;0),"",'Dimensions'!G147-'Dimensions'!G137)</x:f>
        <x:v>47541</x:v>
      </x:c>
      <x:c r="H157" s="23" t="n">
        <x:f>IF(COUNTBLANK(G157)&gt;0,"",G157/1000)</x:f>
        <x:v>47.541</x:v>
      </x:c>
      <x:c r="I157" s="18" t="str">
        <x:v>Tính từ bản vẽ / Derived</x:v>
      </x:c>
      <x:c r="J157" s="18" t="str">
        <x:v>Tờ 6
File 4</x:v>
      </x:c>
      <x:c r="K157" s="18" t="str">
        <x:v>Derived from file4 printed dimensions</x:v>
      </x:c>
      <x:c r="L157" s="18" t="str"/>
      <x:c r="M157" s="18" t="str">
        <x:v>Use with the named source endpoints; derived, not independently measured.
Calculation: 7*4500+7200+4500+4341</x:v>
      </x:c>
    </x:row>
    <x:row r="158" ht="36" hidden="0" customHeight="1">
      <x:c r="A158" s="18" t="str">
        <x:v>P151</x:v>
      </x:c>
      <x:c r="B158" s="18" t="str">
        <x:v>Kích thước suy ra
Main transverse grid span</x:v>
      </x:c>
      <x:c r="C158" s="18" t="str">
        <x:v>axis_span</x:v>
      </x:c>
      <x:c r="D158" s="18" t="str">
        <x:v>Model: Z
Source: transverse
B → H</x:v>
      </x:c>
      <x:c r="E158" s="24"/>
      <x:c r="F158" s="25" t="str"/>
      <x:c r="G158" s="22" t="n">
        <x:f>IF(OR(COUNTBLANK('Dimensions'!G154)&gt;0,COUNTBLANK('Dimensions'!G149)&gt;0),"",'Dimensions'!G154-'Dimensions'!G149)</x:f>
        <x:v>20828</x:v>
      </x:c>
      <x:c r="H158" s="23" t="n">
        <x:f>IF(COUNTBLANK(G158)&gt;0,"",G158/1000)</x:f>
        <x:v>20.828</x:v>
      </x:c>
      <x:c r="I158" s="18" t="str">
        <x:v>Tính từ bản vẽ / Derived</x:v>
      </x:c>
      <x:c r="J158" s="18" t="str">
        <x:v>Tờ 6
File 4</x:v>
      </x:c>
      <x:c r="K158" s="18" t="str">
        <x:v>Derived from file4 printed dimensions</x:v>
      </x:c>
      <x:c r="L158" s="18" t="str"/>
      <x:c r="M158" s="18" t="str">
        <x:v>Use with the named source endpoints; derived, not independently measured.
Calculation: 3054+3760+7200+3760+3054</x:v>
      </x:c>
    </x:row>
    <x:row r="159" ht="36" hidden="0" customHeight="1">
      <x:c r="A159" s="18" t="str">
        <x:v>P152</x:v>
      </x:c>
      <x:c r="B159" s="18" t="str">
        <x:v>Kích thước suy ra
Full transverse grid span</x:v>
      </x:c>
      <x:c r="C159" s="18" t="str">
        <x:v>axis_span</x:v>
      </x:c>
      <x:c r="D159" s="18" t="str">
        <x:v>Model: Z
Source: transverse
A → I</x:v>
      </x:c>
      <x:c r="E159" s="24"/>
      <x:c r="F159" s="25" t="str"/>
      <x:c r="G159" s="22" t="n">
        <x:f>IF(OR(COUNTBLANK('Dimensions'!G155)&gt;0,COUNTBLANK('Dimensions'!G148)&gt;0),"",'Dimensions'!G155-'Dimensions'!G148)</x:f>
        <x:v>26498</x:v>
      </x:c>
      <x:c r="H159" s="23" t="n">
        <x:f>IF(COUNTBLANK(G159)&gt;0,"",G159/1000)</x:f>
        <x:v>26.498</x:v>
      </x:c>
      <x:c r="I159" s="18" t="str">
        <x:v>Tính từ bản vẽ / Derived</x:v>
      </x:c>
      <x:c r="J159" s="18" t="str">
        <x:v>Tờ 6
File 4</x:v>
      </x:c>
      <x:c r="K159" s="18" t="str">
        <x:v>Derived from file4 printed dimensions</x:v>
      </x:c>
      <x:c r="L159" s="18" t="str"/>
      <x:c r="M159" s="18" t="str">
        <x:v>Use with the named source endpoints; derived, not independently measured.
Calculation: 2835+3054+3760+7200+3760+3054+2835</x:v>
      </x:c>
    </x:row>
    <x:row r="160" ht="36" hidden="0" customHeight="1">
      <x:c r="A160" s="18" t="str">
        <x:v>P153</x:v>
      </x:c>
      <x:c r="B160" s="18" t="str">
        <x:v>Kích thước suy ra
Nave inner column to side grid span</x:v>
      </x:c>
      <x:c r="C160" s="18" t="str">
        <x:v>axis_span</x:v>
      </x:c>
      <x:c r="D160" s="18" t="str">
        <x:v>Model: Z
Source: transverse
C → G</x:v>
      </x:c>
      <x:c r="E160" s="24"/>
      <x:c r="F160" s="25" t="str"/>
      <x:c r="G160" s="22" t="n">
        <x:f>IF(OR(COUNTBLANK('Dimensions'!G153)&gt;0,COUNTBLANK('Dimensions'!G150)&gt;0),"",'Dimensions'!G153-'Dimensions'!G150)</x:f>
        <x:v>14720</x:v>
      </x:c>
      <x:c r="H160" s="23" t="n">
        <x:f>IF(COUNTBLANK(G160)&gt;0,"",G160/1000)</x:f>
        <x:v>14.72</x:v>
      </x:c>
      <x:c r="I160" s="18" t="str">
        <x:v>Tính từ bản vẽ / Derived</x:v>
      </x:c>
      <x:c r="J160" s="18" t="str">
        <x:v>Tờ 6
File 4</x:v>
      </x:c>
      <x:c r="K160" s="18" t="str">
        <x:v>Derived from file4 printed dimensions</x:v>
      </x:c>
      <x:c r="L160" s="18" t="str"/>
      <x:c r="M160" s="18" t="str">
        <x:v>Use with the named source endpoints; derived, not independently measured.
Calculation: 3760+7200+3760</x:v>
      </x:c>
    </x:row>
    <x:row r="161" ht="36" hidden="0" customHeight="1">
      <x:c r="A161" s="18" t="str">
        <x:v>P154</x:v>
      </x:c>
      <x:c r="B161" s="18" t="str">
        <x:v>Kích thước suy ra
Centerline from A</x:v>
      </x:c>
      <x:c r="C161" s="18" t="str">
        <x:v>coordinate</x:v>
      </x:c>
      <x:c r="D161" s="18" t="str">
        <x:v>Model: Z
Source: transverse
A → midpoint D–E</x:v>
      </x:c>
      <x:c r="E161" s="24"/>
      <x:c r="F161" s="25" t="str"/>
      <x:c r="G161" s="22" t="n">
        <x:f>IF(OR(COUNTBLANK('Dimensions'!G151)&gt;0,COUNTBLANK('Dimensions'!G152)&gt;0),"",('Dimensions'!G151+'Dimensions'!G152)/2)</x:f>
        <x:v>13249</x:v>
      </x:c>
      <x:c r="H161" s="23" t="n">
        <x:f>IF(COUNTBLANK(G161)&gt;0,"",G161/1000)</x:f>
        <x:v>13.249</x:v>
      </x:c>
      <x:c r="I161" s="18" t="str">
        <x:v>Tính từ bản vẽ / Derived</x:v>
      </x:c>
      <x:c r="J161" s="18" t="str">
        <x:v>Tờ 6
File 4</x:v>
      </x:c>
      <x:c r="K161" s="18" t="str">
        <x:v>Derived from file4 printed dimensions</x:v>
      </x:c>
      <x:c r="L161" s="18" t="str"/>
      <x:c r="M161" s="18" t="str">
        <x:v>Use with the named source endpoints; derived, not independently measured.
Calculation: (9649+16849)/2</x:v>
      </x:c>
    </x:row>
    <x:row r="162" ht="36" hidden="0" customHeight="1">
      <x:c r="A162" s="18" t="str">
        <x:v>P155</x:v>
      </x:c>
      <x:c r="B162" s="18" t="str">
        <x:v>Kích thước suy ra
Ground rear exterior projection</x:v>
      </x:c>
      <x:c r="C162" s="18" t="str">
        <x:v>edge_offset</x:v>
      </x:c>
      <x:c r="D162" s="18" t="str">
        <x:v>Model: X
Source: longitudinal
12 → rear exterior edge</x:v>
      </x:c>
      <x:c r="E162" s="24"/>
      <x:c r="F162" s="25" t="str"/>
      <x:c r="G162" s="22" t="n">
        <x:f>IF(OR(COUNTBLANK('Dimensions'!G28)&gt;0,COUNTBLANK('Dimensions'!G27)&gt;0,COUNTBLANK('Dimensions'!G156)&gt;0),"",'Dimensions'!G28-'Dimensions'!G27-'Dimensions'!G156)</x:f>
        <x:v>829</x:v>
      </x:c>
      <x:c r="H162" s="23" t="n">
        <x:f>IF(COUNTBLANK(G162)&gt;0,"",G162/1000)</x:f>
        <x:v>0.829</x:v>
      </x:c>
      <x:c r="I162" s="18" t="str">
        <x:v>Tính từ bản vẽ / Derived</x:v>
      </x:c>
      <x:c r="J162" s="18" t="str">
        <x:v>Tờ 6
File 4</x:v>
      </x:c>
      <x:c r="K162" s="18" t="str">
        <x:v>Derived from file4 printed dimensions</x:v>
      </x:c>
      <x:c r="L162" s="18" t="str"/>
      <x:c r="M162" s="18" t="str">
        <x:v>Use with the named source endpoints; derived, not independently measured.
Calculation: 67064-13219-53016</x:v>
      </x:c>
    </x:row>
    <x:row r="163" ht="36" hidden="0" customHeight="1">
      <x:c r="A163" s="18" t="str">
        <x:v>P156</x:v>
      </x:c>
      <x:c r="B163" s="18" t="str">
        <x:v>Kích thước suy ra
Ground front exterior projection</x:v>
      </x:c>
      <x:c r="C163" s="18" t="str">
        <x:v>edge_offset</x:v>
      </x:c>
      <x:c r="D163" s="18" t="str">
        <x:v>Model: X
Source: longitudinal
front exterior edge → 1</x:v>
      </x:c>
      <x:c r="E163" s="24"/>
      <x:c r="F163" s="25" t="str"/>
      <x:c r="G163" s="22" t="n">
        <x:f>IF(OR(COUNTBLANK('Dimensions'!G29)&gt;0,COUNTBLANK('Dimensions'!G156)&gt;0,COUNTBLANK('Dimensions'!G162)&gt;0),"",'Dimensions'!G29-'Dimensions'!G156-'Dimensions'!G162)</x:f>
        <x:v>949</x:v>
      </x:c>
      <x:c r="H163" s="23" t="n">
        <x:f>IF(COUNTBLANK(G163)&gt;0,"",G163/1000)</x:f>
        <x:v>0.949</x:v>
      </x:c>
      <x:c r="I163" s="18" t="str">
        <x:v>Tính từ bản vẽ / Derived</x:v>
      </x:c>
      <x:c r="J163" s="18" t="str">
        <x:v>Tờ 6
File 4</x:v>
      </x:c>
      <x:c r="K163" s="18" t="str">
        <x:v>Derived from file4 printed dimensions</x:v>
      </x:c>
      <x:c r="L163" s="18" t="str"/>
      <x:c r="M163" s="18" t="str">
        <x:v>Use with the named source endpoints; derived, not independently measured.
Calculation: 54794-53016-829</x:v>
      </x:c>
    </x:row>
    <x:row r="164" ht="48" hidden="0" customHeight="1">
      <x:c r="A164" s="18" t="str">
        <x:v>P157</x:v>
      </x:c>
      <x:c r="B164" s="18" t="str">
        <x:v>Kích thước suy ra
Inner sanctuary stage width</x:v>
      </x:c>
      <x:c r="C164" s="18" t="str">
        <x:v>derived_width</x:v>
      </x:c>
      <x:c r="D164" s="18" t="str">
        <x:v>Model: Z
Source: transverse
upper inner stage edge → lower inner stage edge</x:v>
      </x:c>
      <x:c r="E164" s="24"/>
      <x:c r="F164" s="25" t="str"/>
      <x:c r="G164" s="22" t="n">
        <x:f>IF(OR(COUNTBLANK('Dimensions'!G120)&gt;0,COUNTBLANK('Dimensions'!G121)&gt;0,COUNTBLANK('Dimensions'!G122)&gt;0,COUNTBLANK('Dimensions'!G123)&gt;0,COUNTBLANK('Dimensions'!G124)&gt;0),"",'Dimensions'!G120+'Dimensions'!G121+'Dimensions'!G122+'Dimensions'!G123+'Dimensions'!G124)</x:f>
        <x:v>9000</x:v>
      </x:c>
      <x:c r="H164" s="23" t="n">
        <x:f>IF(COUNTBLANK(G164)&gt;0,"",G164/1000)</x:f>
        <x:v>9</x:v>
      </x:c>
      <x:c r="I164" s="18" t="str">
        <x:v>Tính từ bản vẽ / Derived</x:v>
      </x:c>
      <x:c r="J164" s="18" t="str">
        <x:v>Tờ 6
File 4</x:v>
      </x:c>
      <x:c r="K164" s="18" t="str">
        <x:v>Derived from file4 printed dimensions</x:v>
      </x:c>
      <x:c r="L164" s="18" t="str"/>
      <x:c r="M164" s="18" t="str">
        <x:v>Use with the named source endpoints; derived, not independently measured.
Calculation: 900+2650+1900+2650+900</x:v>
      </x:c>
    </x:row>
    <x:row r="165" ht="48" hidden="0" customHeight="1">
      <x:c r="A165" s="18" t="str">
        <x:v>P158</x:v>
      </x:c>
      <x:c r="B165" s="18" t="str">
        <x:v>Kích thước suy ra
Outer sanctuary stage width</x:v>
      </x:c>
      <x:c r="C165" s="18" t="str">
        <x:v>derived_width</x:v>
      </x:c>
      <x:c r="D165" s="18" t="str">
        <x:v>Model: Z
Source: transverse
upper outer stage edge → lower outer stage edge</x:v>
      </x:c>
      <x:c r="E165" s="24"/>
      <x:c r="F165" s="25" t="str"/>
      <x:c r="G165" s="22" t="n">
        <x:f>IF(OR(COUNTBLANK('Dimensions'!G119)&gt;0,COUNTBLANK('Dimensions'!G164)&gt;0,COUNTBLANK('Dimensions'!G125)&gt;0),"",'Dimensions'!G119+'Dimensions'!G164+'Dimensions'!G125)</x:f>
        <x:v>11000</x:v>
      </x:c>
      <x:c r="H165" s="23" t="n">
        <x:f>IF(COUNTBLANK(G165)&gt;0,"",G165/1000)</x:f>
        <x:v>11</x:v>
      </x:c>
      <x:c r="I165" s="18" t="str">
        <x:v>Tính từ bản vẽ / Derived</x:v>
      </x:c>
      <x:c r="J165" s="18" t="str">
        <x:v>Tờ 6
File 4</x:v>
      </x:c>
      <x:c r="K165" s="18" t="str">
        <x:v>Derived from file4 printed dimensions</x:v>
      </x:c>
      <x:c r="L165" s="18" t="str"/>
      <x:c r="M165" s="18" t="str">
        <x:v>Use with the named source endpoints; derived, not independently measured.
Calculation: 1000+900+2650+1900+2650+900+1000</x:v>
      </x:c>
    </x:row>
    <x:row r="166" ht="36" hidden="0" customHeight="1">
      <x:c r="A166" s="18" t="str">
        <x:v>P159</x:v>
      </x:c>
      <x:c r="B166" s="18" t="str">
        <x:v>Lưới trục mặt bằng mái
Roof-plan longitudinal grid</x:v>
      </x:c>
      <x:c r="C166" s="18" t="str">
        <x:v>axis_spacing</x:v>
      </x:c>
      <x:c r="D166" s="18" t="str">
        <x:v>Model: X
Source: longitudinal
1 → 2</x:v>
      </x:c>
      <x:c r="E166" s="24" t="n">
        <x:v>4900</x:v>
      </x:c>
      <x:c r="F166" s="25" t="str">
        <x:v>mm</x:v>
      </x:c>
      <x:c r="G166" s="22" t="n">
        <x:f>IF(COUNTBLANK(E166)&gt;0,"",E166)</x:f>
        <x:v>4900</x:v>
      </x:c>
      <x:c r="H166" s="23" t="n">
        <x:f>IF(COUNTBLANK(G166)&gt;0,"",G166/1000)</x:f>
        <x:v>4.9</x:v>
      </x:c>
      <x:c r="I166" s="18" t="str">
        <x:v>Ghi trên bản vẽ / Explicit</x:v>
      </x:c>
      <x:c r="J166" s="18" t="str">
        <x:v>Tờ 11
File 5</x:v>
      </x:c>
      <x:c r="K166" s="18" t="str">
        <x:v>Bottom longitudinal dimension chain</x:v>
      </x:c>
      <x:c r="L166" s="18" t="str">
        <x:v>4900</x:v>
      </x:c>
      <x:c r="M166" s="18" t="str">
        <x:v>Tiny labels recovered with a temporary reduced-stroke reading render; original unchanged.</x:v>
      </x:c>
    </x:row>
    <x:row r="167" ht="36" hidden="0" customHeight="1">
      <x:c r="A167" s="18" t="str">
        <x:v>P160</x:v>
      </x:c>
      <x:c r="B167" s="18" t="str">
        <x:v>Lưới trục mặt bằng mái
Roof-plan longitudinal grid</x:v>
      </x:c>
      <x:c r="C167" s="18" t="str">
        <x:v>axis_spacing</x:v>
      </x:c>
      <x:c r="D167" s="18" t="str">
        <x:v>Model: X
Source: longitudinal
2 → 2′</x:v>
      </x:c>
      <x:c r="E167" s="24" t="n">
        <x:v>575</x:v>
      </x:c>
      <x:c r="F167" s="25" t="str">
        <x:v>mm</x:v>
      </x:c>
      <x:c r="G167" s="22" t="n">
        <x:f>IF(COUNTBLANK(E167)&gt;0,"",E167)</x:f>
        <x:v>575</x:v>
      </x:c>
      <x:c r="H167" s="23" t="n">
        <x:f>IF(COUNTBLANK(G167)&gt;0,"",G167/1000)</x:f>
        <x:v>0.575</x:v>
      </x:c>
      <x:c r="I167" s="18" t="str">
        <x:v>Ghi trên bản vẽ / Explicit</x:v>
      </x:c>
      <x:c r="J167" s="18" t="str">
        <x:v>Tờ 11
File 5</x:v>
      </x:c>
      <x:c r="K167" s="18" t="str">
        <x:v>Bottom longitudinal dimension chain</x:v>
      </x:c>
      <x:c r="L167" s="18" t="str">
        <x:v>575</x:v>
      </x:c>
      <x:c r="M167" s="18" t="str">
        <x:v>Tiny labels recovered with a temporary reduced-stroke reading render; original unchanged.</x:v>
      </x:c>
    </x:row>
    <x:row r="168" ht="36" hidden="0" customHeight="1">
      <x:c r="A168" s="18" t="str">
        <x:v>P161</x:v>
      </x:c>
      <x:c r="B168" s="18" t="str">
        <x:v>Lưới trục mặt bằng mái
Roof-plan longitudinal grid</x:v>
      </x:c>
      <x:c r="C168" s="18" t="str">
        <x:v>axis_spacing</x:v>
      </x:c>
      <x:c r="D168" s="18" t="str">
        <x:v>Model: X
Source: longitudinal
2′ → 3</x:v>
      </x:c>
      <x:c r="E168" s="24" t="n">
        <x:v>4500</x:v>
      </x:c>
      <x:c r="F168" s="25" t="str">
        <x:v>mm</x:v>
      </x:c>
      <x:c r="G168" s="22" t="n">
        <x:f>IF(COUNTBLANK(E168)&gt;0,"",E168)</x:f>
        <x:v>4500</x:v>
      </x:c>
      <x:c r="H168" s="23" t="n">
        <x:f>IF(COUNTBLANK(G168)&gt;0,"",G168/1000)</x:f>
        <x:v>4.5</x:v>
      </x:c>
      <x:c r="I168" s="18" t="str">
        <x:v>Ghi trên bản vẽ / Explicit</x:v>
      </x:c>
      <x:c r="J168" s="18" t="str">
        <x:v>Tờ 11
File 5</x:v>
      </x:c>
      <x:c r="K168" s="18" t="str">
        <x:v>Bottom longitudinal dimension chain</x:v>
      </x:c>
      <x:c r="L168" s="18" t="str">
        <x:v>4500</x:v>
      </x:c>
      <x:c r="M168" s="18" t="str">
        <x:v>Tiny labels recovered with a temporary reduced-stroke reading render; original unchanged.</x:v>
      </x:c>
    </x:row>
    <x:row r="169" ht="36" hidden="0" customHeight="1">
      <x:c r="A169" s="18" t="str">
        <x:v>P162</x:v>
      </x:c>
      <x:c r="B169" s="18" t="str">
        <x:v>Lưới trục mặt bằng mái
Roof-plan longitudinal grid</x:v>
      </x:c>
      <x:c r="C169" s="18" t="str">
        <x:v>axis_spacing</x:v>
      </x:c>
      <x:c r="D169" s="18" t="str">
        <x:v>Model: X
Source: longitudinal
3 → 4</x:v>
      </x:c>
      <x:c r="E169" s="24" t="n">
        <x:v>4500</x:v>
      </x:c>
      <x:c r="F169" s="25" t="str">
        <x:v>mm</x:v>
      </x:c>
      <x:c r="G169" s="22" t="n">
        <x:f>IF(COUNTBLANK(E169)&gt;0,"",E169)</x:f>
        <x:v>4500</x:v>
      </x:c>
      <x:c r="H169" s="23" t="n">
        <x:f>IF(COUNTBLANK(G169)&gt;0,"",G169/1000)</x:f>
        <x:v>4.5</x:v>
      </x:c>
      <x:c r="I169" s="18" t="str">
        <x:v>Ghi trên bản vẽ / Explicit</x:v>
      </x:c>
      <x:c r="J169" s="18" t="str">
        <x:v>Tờ 11
File 5</x:v>
      </x:c>
      <x:c r="K169" s="18" t="str">
        <x:v>Bottom longitudinal dimension chain</x:v>
      </x:c>
      <x:c r="L169" s="18" t="str">
        <x:v>4500</x:v>
      </x:c>
      <x:c r="M169" s="18" t="str">
        <x:v>Tiny labels recovered with a temporary reduced-stroke reading render; original unchanged.</x:v>
      </x:c>
    </x:row>
    <x:row r="170" ht="36" hidden="0" customHeight="1">
      <x:c r="A170" s="18" t="str">
        <x:v>P163</x:v>
      </x:c>
      <x:c r="B170" s="18" t="str">
        <x:v>Lưới trục mặt bằng mái
Roof-plan longitudinal grid</x:v>
      </x:c>
      <x:c r="C170" s="18" t="str">
        <x:v>axis_spacing</x:v>
      </x:c>
      <x:c r="D170" s="18" t="str">
        <x:v>Model: X
Source: longitudinal
4 → 5</x:v>
      </x:c>
      <x:c r="E170" s="24" t="n">
        <x:v>4500</x:v>
      </x:c>
      <x:c r="F170" s="25" t="str">
        <x:v>mm</x:v>
      </x:c>
      <x:c r="G170" s="22" t="n">
        <x:f>IF(COUNTBLANK(E170)&gt;0,"",E170)</x:f>
        <x:v>4500</x:v>
      </x:c>
      <x:c r="H170" s="23" t="n">
        <x:f>IF(COUNTBLANK(G170)&gt;0,"",G170/1000)</x:f>
        <x:v>4.5</x:v>
      </x:c>
      <x:c r="I170" s="18" t="str">
        <x:v>Ghi trên bản vẽ / Explicit</x:v>
      </x:c>
      <x:c r="J170" s="18" t="str">
        <x:v>Tờ 11
File 5</x:v>
      </x:c>
      <x:c r="K170" s="18" t="str">
        <x:v>Bottom longitudinal dimension chain</x:v>
      </x:c>
      <x:c r="L170" s="18" t="str">
        <x:v>4500</x:v>
      </x:c>
      <x:c r="M170" s="18" t="str">
        <x:v>Tiny labels recovered with a temporary reduced-stroke reading render; original unchanged.</x:v>
      </x:c>
    </x:row>
    <x:row r="171" ht="36" hidden="0" customHeight="1">
      <x:c r="A171" s="18" t="str">
        <x:v>P164</x:v>
      </x:c>
      <x:c r="B171" s="18" t="str">
        <x:v>Lưới trục mặt bằng mái
Roof-plan longitudinal grid</x:v>
      </x:c>
      <x:c r="C171" s="18" t="str">
        <x:v>axis_spacing</x:v>
      </x:c>
      <x:c r="D171" s="18" t="str">
        <x:v>Model: X
Source: longitudinal
5 → 6</x:v>
      </x:c>
      <x:c r="E171" s="24" t="n">
        <x:v>4500</x:v>
      </x:c>
      <x:c r="F171" s="25" t="str">
        <x:v>mm</x:v>
      </x:c>
      <x:c r="G171" s="22" t="n">
        <x:f>IF(COUNTBLANK(E171)&gt;0,"",E171)</x:f>
        <x:v>4500</x:v>
      </x:c>
      <x:c r="H171" s="23" t="n">
        <x:f>IF(COUNTBLANK(G171)&gt;0,"",G171/1000)</x:f>
        <x:v>4.5</x:v>
      </x:c>
      <x:c r="I171" s="18" t="str">
        <x:v>Ghi trên bản vẽ / Explicit</x:v>
      </x:c>
      <x:c r="J171" s="18" t="str">
        <x:v>Tờ 11
File 5</x:v>
      </x:c>
      <x:c r="K171" s="18" t="str">
        <x:v>Bottom longitudinal dimension chain</x:v>
      </x:c>
      <x:c r="L171" s="18" t="str">
        <x:v>4500</x:v>
      </x:c>
      <x:c r="M171" s="18" t="str">
        <x:v>Tiny labels recovered with a temporary reduced-stroke reading render; original unchanged.</x:v>
      </x:c>
    </x:row>
    <x:row r="172" ht="36" hidden="0" customHeight="1">
      <x:c r="A172" s="18" t="str">
        <x:v>P165</x:v>
      </x:c>
      <x:c r="B172" s="18" t="str">
        <x:v>Lưới trục mặt bằng mái
Roof-plan longitudinal grid</x:v>
      </x:c>
      <x:c r="C172" s="18" t="str">
        <x:v>axis_spacing</x:v>
      </x:c>
      <x:c r="D172" s="18" t="str">
        <x:v>Model: X
Source: longitudinal
6 → 7</x:v>
      </x:c>
      <x:c r="E172" s="24" t="n">
        <x:v>4500</x:v>
      </x:c>
      <x:c r="F172" s="25" t="str">
        <x:v>mm</x:v>
      </x:c>
      <x:c r="G172" s="22" t="n">
        <x:f>IF(COUNTBLANK(E172)&gt;0,"",E172)</x:f>
        <x:v>4500</x:v>
      </x:c>
      <x:c r="H172" s="23" t="n">
        <x:f>IF(COUNTBLANK(G172)&gt;0,"",G172/1000)</x:f>
        <x:v>4.5</x:v>
      </x:c>
      <x:c r="I172" s="18" t="str">
        <x:v>Ghi trên bản vẽ / Explicit</x:v>
      </x:c>
      <x:c r="J172" s="18" t="str">
        <x:v>Tờ 11
File 5</x:v>
      </x:c>
      <x:c r="K172" s="18" t="str">
        <x:v>Bottom longitudinal dimension chain</x:v>
      </x:c>
      <x:c r="L172" s="18" t="str">
        <x:v>4500</x:v>
      </x:c>
      <x:c r="M172" s="18" t="str">
        <x:v>Tiny labels recovered with a temporary reduced-stroke reading render; original unchanged.</x:v>
      </x:c>
    </x:row>
    <x:row r="173" ht="36" hidden="0" customHeight="1">
      <x:c r="A173" s="18" t="str">
        <x:v>P166</x:v>
      </x:c>
      <x:c r="B173" s="18" t="str">
        <x:v>Lưới trục mặt bằng mái
Roof-plan longitudinal grid</x:v>
      </x:c>
      <x:c r="C173" s="18" t="str">
        <x:v>axis_spacing</x:v>
      </x:c>
      <x:c r="D173" s="18" t="str">
        <x:v>Model: X
Source: longitudinal
7 → 8</x:v>
      </x:c>
      <x:c r="E173" s="24" t="n">
        <x:v>4500</x:v>
      </x:c>
      <x:c r="F173" s="25" t="str">
        <x:v>mm</x:v>
      </x:c>
      <x:c r="G173" s="22" t="n">
        <x:f>IF(COUNTBLANK(E173)&gt;0,"",E173)</x:f>
        <x:v>4500</x:v>
      </x:c>
      <x:c r="H173" s="23" t="n">
        <x:f>IF(COUNTBLANK(G173)&gt;0,"",G173/1000)</x:f>
        <x:v>4.5</x:v>
      </x:c>
      <x:c r="I173" s="18" t="str">
        <x:v>Ghi trên bản vẽ / Explicit</x:v>
      </x:c>
      <x:c r="J173" s="18" t="str">
        <x:v>Tờ 11
File 5</x:v>
      </x:c>
      <x:c r="K173" s="18" t="str">
        <x:v>Bottom longitudinal dimension chain</x:v>
      </x:c>
      <x:c r="L173" s="18" t="str">
        <x:v>4500</x:v>
      </x:c>
      <x:c r="M173" s="18" t="str">
        <x:v>Tiny labels recovered with a temporary reduced-stroke reading render; original unchanged.</x:v>
      </x:c>
    </x:row>
    <x:row r="174" ht="36" hidden="0" customHeight="1">
      <x:c r="A174" s="18" t="str">
        <x:v>P167</x:v>
      </x:c>
      <x:c r="B174" s="18" t="str">
        <x:v>Lưới trục mặt bằng mái
Roof-plan longitudinal grid</x:v>
      </x:c>
      <x:c r="C174" s="18" t="str">
        <x:v>axis_spacing</x:v>
      </x:c>
      <x:c r="D174" s="18" t="str">
        <x:v>Model: X
Source: longitudinal
8 → 9</x:v>
      </x:c>
      <x:c r="E174" s="24" t="n">
        <x:v>4500</x:v>
      </x:c>
      <x:c r="F174" s="25" t="str">
        <x:v>mm</x:v>
      </x:c>
      <x:c r="G174" s="22" t="n">
        <x:f>IF(COUNTBLANK(E174)&gt;0,"",E174)</x:f>
        <x:v>4500</x:v>
      </x:c>
      <x:c r="H174" s="23" t="n">
        <x:f>IF(COUNTBLANK(G174)&gt;0,"",G174/1000)</x:f>
        <x:v>4.5</x:v>
      </x:c>
      <x:c r="I174" s="18" t="str">
        <x:v>Ghi trên bản vẽ / Explicit</x:v>
      </x:c>
      <x:c r="J174" s="18" t="str">
        <x:v>Tờ 11
File 5</x:v>
      </x:c>
      <x:c r="K174" s="18" t="str">
        <x:v>Bottom longitudinal dimension chain</x:v>
      </x:c>
      <x:c r="L174" s="18" t="str">
        <x:v>4500</x:v>
      </x:c>
      <x:c r="M174" s="18" t="str">
        <x:v>Tiny labels recovered with a temporary reduced-stroke reading render; original unchanged.</x:v>
      </x:c>
    </x:row>
    <x:row r="175" ht="36" hidden="0" customHeight="1">
      <x:c r="A175" s="18" t="str">
        <x:v>P168</x:v>
      </x:c>
      <x:c r="B175" s="18" t="str">
        <x:v>Lưới trục mặt bằng mái
Roof-plan longitudinal grid</x:v>
      </x:c>
      <x:c r="C175" s="18" t="str">
        <x:v>axis_spacing</x:v>
      </x:c>
      <x:c r="D175" s="18" t="str">
        <x:v>Model: X
Source: longitudinal
9 → 10</x:v>
      </x:c>
      <x:c r="E175" s="24" t="n">
        <x:v>7200</x:v>
      </x:c>
      <x:c r="F175" s="25" t="str">
        <x:v>mm</x:v>
      </x:c>
      <x:c r="G175" s="22" t="n">
        <x:f>IF(COUNTBLANK(E175)&gt;0,"",E175)</x:f>
        <x:v>7200</x:v>
      </x:c>
      <x:c r="H175" s="23" t="n">
        <x:f>IF(COUNTBLANK(G175)&gt;0,"",G175/1000)</x:f>
        <x:v>7.2</x:v>
      </x:c>
      <x:c r="I175" s="18" t="str">
        <x:v>Ghi trên bản vẽ / Explicit</x:v>
      </x:c>
      <x:c r="J175" s="18" t="str">
        <x:v>Tờ 11
File 5</x:v>
      </x:c>
      <x:c r="K175" s="18" t="str">
        <x:v>Bottom longitudinal dimension chain</x:v>
      </x:c>
      <x:c r="L175" s="18" t="str">
        <x:v>7200</x:v>
      </x:c>
      <x:c r="M175" s="18" t="str">
        <x:v>Tiny labels recovered with a temporary reduced-stroke reading render; original unchanged.</x:v>
      </x:c>
    </x:row>
    <x:row r="176" ht="36" hidden="0" customHeight="1">
      <x:c r="A176" s="18" t="str">
        <x:v>P169</x:v>
      </x:c>
      <x:c r="B176" s="18" t="str">
        <x:v>Lưới trục mặt bằng mái
Roof-plan longitudinal grid</x:v>
      </x:c>
      <x:c r="C176" s="18" t="str">
        <x:v>axis_spacing</x:v>
      </x:c>
      <x:c r="D176" s="18" t="str">
        <x:v>Model: X
Source: longitudinal
10 → 11</x:v>
      </x:c>
      <x:c r="E176" s="24" t="n">
        <x:v>4500</x:v>
      </x:c>
      <x:c r="F176" s="25" t="str">
        <x:v>mm</x:v>
      </x:c>
      <x:c r="G176" s="22" t="n">
        <x:f>IF(COUNTBLANK(E176)&gt;0,"",E176)</x:f>
        <x:v>4500</x:v>
      </x:c>
      <x:c r="H176" s="23" t="n">
        <x:f>IF(COUNTBLANK(G176)&gt;0,"",G176/1000)</x:f>
        <x:v>4.5</x:v>
      </x:c>
      <x:c r="I176" s="18" t="str">
        <x:v>Ghi trên bản vẽ / Explicit</x:v>
      </x:c>
      <x:c r="J176" s="18" t="str">
        <x:v>Tờ 11
File 5</x:v>
      </x:c>
      <x:c r="K176" s="18" t="str">
        <x:v>Bottom longitudinal dimension chain</x:v>
      </x:c>
      <x:c r="L176" s="18" t="str">
        <x:v>4500</x:v>
      </x:c>
      <x:c r="M176" s="18" t="str">
        <x:v>Tiny labels recovered with a temporary reduced-stroke reading render; original unchanged.</x:v>
      </x:c>
    </x:row>
    <x:row r="177" ht="36" hidden="0" customHeight="1">
      <x:c r="A177" s="18" t="str">
        <x:v>P170</x:v>
      </x:c>
      <x:c r="B177" s="18" t="str">
        <x:v>Lưới trục mặt bằng mái
Roof-plan longitudinal grid</x:v>
      </x:c>
      <x:c r="C177" s="18" t="str">
        <x:v>axis_spacing</x:v>
      </x:c>
      <x:c r="D177" s="18" t="str">
        <x:v>Model: X
Source: longitudinal
11 → 12</x:v>
      </x:c>
      <x:c r="E177" s="24" t="n">
        <x:v>4341</x:v>
      </x:c>
      <x:c r="F177" s="25" t="str">
        <x:v>mm</x:v>
      </x:c>
      <x:c r="G177" s="22" t="n">
        <x:f>IF(COUNTBLANK(E177)&gt;0,"",E177)</x:f>
        <x:v>4341</x:v>
      </x:c>
      <x:c r="H177" s="23" t="n">
        <x:f>IF(COUNTBLANK(G177)&gt;0,"",G177/1000)</x:f>
        <x:v>4.341</x:v>
      </x:c>
      <x:c r="I177" s="18" t="str">
        <x:v>Ghi trên bản vẽ / Explicit</x:v>
      </x:c>
      <x:c r="J177" s="18" t="str">
        <x:v>Tờ 11
File 5</x:v>
      </x:c>
      <x:c r="K177" s="18" t="str">
        <x:v>Bottom longitudinal dimension chain</x:v>
      </x:c>
      <x:c r="L177" s="18" t="str">
        <x:v>4341</x:v>
      </x:c>
      <x:c r="M177" s="18" t="str">
        <x:v>Tiny labels recovered with a temporary reduced-stroke reading render; original unchanged.</x:v>
      </x:c>
    </x:row>
    <x:row r="178" ht="36" hidden="0" customHeight="1">
      <x:c r="A178" s="18" t="str">
        <x:v>P171</x:v>
      </x:c>
      <x:c r="B178" s="18" t="str">
        <x:v>Kích thước bao mặt bằng mái
Roof-plan exterior length</x:v>
      </x:c>
      <x:c r="C178" s="18" t="str">
        <x:v>edge_offset</x:v>
      </x:c>
      <x:c r="D178" s="18" t="str">
        <x:v>Model: X
Source: longitudinal
front exterior edge → 1</x:v>
      </x:c>
      <x:c r="E178" s="24" t="n">
        <x:v>915</x:v>
      </x:c>
      <x:c r="F178" s="25" t="str">
        <x:v>mm</x:v>
      </x:c>
      <x:c r="G178" s="22" t="n">
        <x:f>IF(COUNTBLANK(E178)&gt;0,"",E178)</x:f>
        <x:v>915</x:v>
      </x:c>
      <x:c r="H178" s="23" t="n">
        <x:f>IF(COUNTBLANK(G178)&gt;0,"",G178/1000)</x:f>
        <x:v>0.915</x:v>
      </x:c>
      <x:c r="I178" s="18" t="str">
        <x:v>Ghi trên bản vẽ / Explicit</x:v>
      </x:c>
      <x:c r="J178" s="18" t="str">
        <x:v>Tờ 11
File 5</x:v>
      </x:c>
      <x:c r="K178" s="18" t="str">
        <x:v>Bottom roof chain, leftmost short segment</x:v>
      </x:c>
      <x:c r="L178" s="18" t="str">
        <x:v>915</x:v>
      </x:c>
      <x:c r="M178" s="18" t="str">
        <x:v>Explicit915, not945 or949.</x:v>
      </x:c>
    </x:row>
    <x:row r="179" ht="36" hidden="0" customHeight="1">
      <x:c r="A179" s="18" t="str">
        <x:v>P172</x:v>
      </x:c>
      <x:c r="B179" s="18" t="str">
        <x:v>Kích thước bao mặt bằng mái
Roof-plan exterior length</x:v>
      </x:c>
      <x:c r="C179" s="18" t="str">
        <x:v>edge_offset</x:v>
      </x:c>
      <x:c r="D179" s="18" t="str">
        <x:v>Model: X
Source: longitudinal
12 → rear exterior edge</x:v>
      </x:c>
      <x:c r="E179" s="24" t="n">
        <x:v>805</x:v>
      </x:c>
      <x:c r="F179" s="25" t="str">
        <x:v>mm</x:v>
      </x:c>
      <x:c r="G179" s="22" t="n">
        <x:f>IF(COUNTBLANK(E179)&gt;0,"",E179)</x:f>
        <x:v>805</x:v>
      </x:c>
      <x:c r="H179" s="23" t="n">
        <x:f>IF(COUNTBLANK(G179)&gt;0,"",G179/1000)</x:f>
        <x:v>0.805</x:v>
      </x:c>
      <x:c r="I179" s="18" t="str">
        <x:v>Ghi trên bản vẽ / Explicit</x:v>
      </x:c>
      <x:c r="J179" s="18" t="str">
        <x:v>Tờ 11
File 5</x:v>
      </x:c>
      <x:c r="K179" s="18" t="str">
        <x:v>Bottom roof chain, rightmost short segment</x:v>
      </x:c>
      <x:c r="L179" s="18" t="str">
        <x:v>805</x:v>
      </x:c>
      <x:c r="M179" s="18" t="str">
        <x:v>Explicit805, not829.</x:v>
      </x:c>
    </x:row>
    <x:row r="180" ht="48" hidden="0" customHeight="1">
      <x:c r="A180" s="18" t="str">
        <x:v>P173</x:v>
      </x:c>
      <x:c r="B180" s="18" t="str">
        <x:v>Kích thước bao mặt bằng mái
Roof-plan exterior length</x:v>
      </x:c>
      <x:c r="C180" s="18" t="str">
        <x:v>overall_length</x:v>
      </x:c>
      <x:c r="D180" s="18" t="str">
        <x:v>Model: X
Source: longitudinal
front exterior edge → rear exterior edge</x:v>
      </x:c>
      <x:c r="E180" s="24" t="n">
        <x:v>54736</x:v>
      </x:c>
      <x:c r="F180" s="25" t="str">
        <x:v>mm</x:v>
      </x:c>
      <x:c r="G180" s="22" t="n">
        <x:f>IF(COUNTBLANK(E180)&gt;0,"",E180)</x:f>
        <x:v>54736</x:v>
      </x:c>
      <x:c r="H180" s="23" t="n">
        <x:f>IF(COUNTBLANK(G180)&gt;0,"",G180/1000)</x:f>
        <x:v>54.736</x:v>
      </x:c>
      <x:c r="I180" s="18" t="str">
        <x:v>Ghi trên bản vẽ / Explicit</x:v>
      </x:c>
      <x:c r="J180" s="18" t="str">
        <x:v>Tờ 11
File 5</x:v>
      </x:c>
      <x:c r="K180" s="18" t="str">
        <x:v>Bottom roof overall dimension</x:v>
      </x:c>
      <x:c r="L180" s="18" t="str">
        <x:v>54736</x:v>
      </x:c>
      <x:c r="M180" s="18" t="str">
        <x:v>915+53016+805=54736. Conflicts with top overall54794 on the same sheet.</x:v>
      </x:c>
    </x:row>
    <x:row r="181" ht="48" hidden="0" customHeight="1">
      <x:c r="A181" s="18" t="str">
        <x:v>P174</x:v>
      </x:c>
      <x:c r="B181" s="18" t="str">
        <x:v>Kích thước bao mặt bằng mái
Roof-plan exterior length</x:v>
      </x:c>
      <x:c r="C181" s="18" t="str">
        <x:v>overall_length</x:v>
      </x:c>
      <x:c r="D181" s="18" t="str">
        <x:v>Model: X
Source: longitudinal
front exterior edge → rear exterior edge</x:v>
      </x:c>
      <x:c r="E181" s="24" t="n">
        <x:v>54794</x:v>
      </x:c>
      <x:c r="F181" s="25" t="str">
        <x:v>mm</x:v>
      </x:c>
      <x:c r="G181" s="22" t="n">
        <x:f>IF(COUNTBLANK(E181)&gt;0,"",E181)</x:f>
        <x:v>54794</x:v>
      </x:c>
      <x:c r="H181" s="23" t="n">
        <x:f>IF(COUNTBLANK(G181)&gt;0,"",G181/1000)</x:f>
        <x:v>54.794</x:v>
      </x:c>
      <x:c r="I181" s="18" t="str">
        <x:v>Ghi trên bản vẽ / Explicit</x:v>
      </x:c>
      <x:c r="J181" s="18" t="str">
        <x:v>Tờ 11
File 5</x:v>
      </x:c>
      <x:c r="K181" s="18" t="str">
        <x:v>Top roof overall dimension</x:v>
      </x:c>
      <x:c r="L181" s="18" t="str">
        <x:v>54794</x:v>
      </x:c>
      <x:c r="M181" s="18" t="str">
        <x:v>SOURCE CONFLICT: differs58mm from bottom overall54736. Preserve both pending architect confirmation.</x:v>
      </x:c>
    </x:row>
    <x:row r="182" ht="36" hidden="0" customHeight="1">
      <x:c r="A182" s="18" t="str">
        <x:v>P175</x:v>
      </x:c>
      <x:c r="B182" s="18" t="str">
        <x:v>Cánh ngang mái
Roof side projection</x:v>
      </x:c>
      <x:c r="C182" s="18" t="str">
        <x:v>longitudinal_dimension</x:v>
      </x:c>
      <x:c r="D182" s="18" t="str">
        <x:v>Model: X
Source: longitudinal
wing front edge → 9</x:v>
      </x:c>
      <x:c r="E182" s="24" t="n">
        <x:v>995</x:v>
      </x:c>
      <x:c r="F182" s="25" t="str">
        <x:v>mm</x:v>
      </x:c>
      <x:c r="G182" s="22" t="n">
        <x:f>IF(COUNTBLANK(E182)&gt;0,"",E182)</x:f>
        <x:v>995</x:v>
      </x:c>
      <x:c r="H182" s="23" t="n">
        <x:f>IF(COUNTBLANK(G182)&gt;0,"",G182/1000)</x:f>
        <x:v>0.995</x:v>
      </x:c>
      <x:c r="I182" s="18" t="str">
        <x:v>Ghi trên bản vẽ / Explicit</x:v>
      </x:c>
      <x:c r="J182" s="18" t="str">
        <x:v>Tờ 11
File 5</x:v>
      </x:c>
      <x:c r="K182" s="18" t="str">
        <x:v>Top dimensions at9–10 wing</x:v>
      </x:c>
      <x:c r="L182" s="18" t="str">
        <x:v>995</x:v>
      </x:c>
      <x:c r="M182" s="18" t="str">
        <x:v>995+7200+993=9188.</x:v>
      </x:c>
    </x:row>
    <x:row r="183" ht="36" hidden="0" customHeight="1">
      <x:c r="A183" s="18" t="str">
        <x:v>P176</x:v>
      </x:c>
      <x:c r="B183" s="18" t="str">
        <x:v>Cánh ngang mái
Roof side projection</x:v>
      </x:c>
      <x:c r="C183" s="18" t="str">
        <x:v>longitudinal_dimension</x:v>
      </x:c>
      <x:c r="D183" s="18" t="str">
        <x:v>Model: X
Source: longitudinal
9 → 10</x:v>
      </x:c>
      <x:c r="E183" s="24" t="n">
        <x:v>7200</x:v>
      </x:c>
      <x:c r="F183" s="25" t="str">
        <x:v>mm</x:v>
      </x:c>
      <x:c r="G183" s="22" t="n">
        <x:f>IF(COUNTBLANK(E183)&gt;0,"",E183)</x:f>
        <x:v>7200</x:v>
      </x:c>
      <x:c r="H183" s="23" t="n">
        <x:f>IF(COUNTBLANK(G183)&gt;0,"",G183/1000)</x:f>
        <x:v>7.2</x:v>
      </x:c>
      <x:c r="I183" s="18" t="str">
        <x:v>Ghi trên bản vẽ / Explicit</x:v>
      </x:c>
      <x:c r="J183" s="18" t="str">
        <x:v>Tờ 11
File 5</x:v>
      </x:c>
      <x:c r="K183" s="18" t="str">
        <x:v>Top dimensions at9–10 wing</x:v>
      </x:c>
      <x:c r="L183" s="18" t="str">
        <x:v>7200</x:v>
      </x:c>
      <x:c r="M183" s="18" t="str">
        <x:v>995+7200+993=9188.</x:v>
      </x:c>
    </x:row>
    <x:row r="184" ht="36" hidden="0" customHeight="1">
      <x:c r="A184" s="18" t="str">
        <x:v>P177</x:v>
      </x:c>
      <x:c r="B184" s="18" t="str">
        <x:v>Cánh ngang mái
Roof side projection</x:v>
      </x:c>
      <x:c r="C184" s="18" t="str">
        <x:v>longitudinal_dimension</x:v>
      </x:c>
      <x:c r="D184" s="18" t="str">
        <x:v>Model: X
Source: longitudinal
10 → wing rear edge</x:v>
      </x:c>
      <x:c r="E184" s="24" t="n">
        <x:v>993</x:v>
      </x:c>
      <x:c r="F184" s="25" t="str">
        <x:v>mm</x:v>
      </x:c>
      <x:c r="G184" s="22" t="n">
        <x:f>IF(COUNTBLANK(E184)&gt;0,"",E184)</x:f>
        <x:v>993</x:v>
      </x:c>
      <x:c r="H184" s="23" t="n">
        <x:f>IF(COUNTBLANK(G184)&gt;0,"",G184/1000)</x:f>
        <x:v>0.993</x:v>
      </x:c>
      <x:c r="I184" s="18" t="str">
        <x:v>Ghi trên bản vẽ / Explicit</x:v>
      </x:c>
      <x:c r="J184" s="18" t="str">
        <x:v>Tờ 11
File 5</x:v>
      </x:c>
      <x:c r="K184" s="18" t="str">
        <x:v>Top dimensions at9–10 wing</x:v>
      </x:c>
      <x:c r="L184" s="18" t="str">
        <x:v>993</x:v>
      </x:c>
      <x:c r="M184" s="18" t="str">
        <x:v>995+7200+993=9188.</x:v>
      </x:c>
    </x:row>
    <x:row r="185" ht="36" hidden="0" customHeight="1">
      <x:c r="A185" s="18" t="str">
        <x:v>P178</x:v>
      </x:c>
      <x:c r="B185" s="18" t="str">
        <x:v>Cánh ngang mái
Roof side projection</x:v>
      </x:c>
      <x:c r="C185" s="18" t="str">
        <x:v>longitudinal_dimension</x:v>
      </x:c>
      <x:c r="D185" s="18" t="str">
        <x:v>Model: X
Source: longitudinal
wing front edge → wing rear edge</x:v>
      </x:c>
      <x:c r="E185" s="24" t="n">
        <x:v>9188</x:v>
      </x:c>
      <x:c r="F185" s="25" t="str">
        <x:v>mm</x:v>
      </x:c>
      <x:c r="G185" s="22" t="n">
        <x:f>IF(COUNTBLANK(E185)&gt;0,"",E185)</x:f>
        <x:v>9188</x:v>
      </x:c>
      <x:c r="H185" s="23" t="n">
        <x:f>IF(COUNTBLANK(G185)&gt;0,"",G185/1000)</x:f>
        <x:v>9.188</x:v>
      </x:c>
      <x:c r="I185" s="18" t="str">
        <x:v>Ghi trên bản vẽ / Explicit</x:v>
      </x:c>
      <x:c r="J185" s="18" t="str">
        <x:v>Tờ 11
File 5</x:v>
      </x:c>
      <x:c r="K185" s="18" t="str">
        <x:v>Top dimensions at9–10 wing</x:v>
      </x:c>
      <x:c r="L185" s="18" t="str">
        <x:v>9188</x:v>
      </x:c>
      <x:c r="M185" s="18" t="str">
        <x:v>995+7200+993=9188.</x:v>
      </x:c>
    </x:row>
    <x:row r="186" ht="36" hidden="0" customHeight="1">
      <x:c r="A186" s="18" t="str">
        <x:v>P179</x:v>
      </x:c>
      <x:c r="B186" s="18" t="str">
        <x:v>Kích thước ngang mặt bằng mái
Roof-plan transverse dimensions</x:v>
      </x:c>
      <x:c r="C186" s="18" t="str">
        <x:v>edge_offset</x:v>
      </x:c>
      <x:c r="D186" s="18" t="str">
        <x:v>Model: Z
Source: transverse
upper main exterior edge → H</x:v>
      </x:c>
      <x:c r="E186" s="24" t="n">
        <x:v>832</x:v>
      </x:c>
      <x:c r="F186" s="25" t="str">
        <x:v>mm</x:v>
      </x:c>
      <x:c r="G186" s="22" t="n">
        <x:f>IF(COUNTBLANK(E186)&gt;0,"",E186)</x:f>
        <x:v>832</x:v>
      </x:c>
      <x:c r="H186" s="23" t="n">
        <x:f>IF(COUNTBLANK(G186)&gt;0,"",G186/1000)</x:f>
        <x:v>0.832</x:v>
      </x:c>
      <x:c r="I186" s="18" t="str">
        <x:v>Ghi trên bản vẽ / Explicit</x:v>
      </x:c>
      <x:c r="J186" s="18" t="str">
        <x:v>Tờ 11
File 5</x:v>
      </x:c>
      <x:c r="K186" s="18" t="str">
        <x:v>Right-side transverse dimension chains</x:v>
      </x:c>
      <x:c r="L186" s="18" t="str">
        <x:v>832</x:v>
      </x:c>
      <x:c r="M186" s="18" t="str"/>
    </x:row>
    <x:row r="187" ht="36" hidden="0" customHeight="1">
      <x:c r="A187" s="18" t="str">
        <x:v>P180</x:v>
      </x:c>
      <x:c r="B187" s="18" t="str">
        <x:v>Kích thước ngang mặt bằng mái
Roof-plan transverse dimensions</x:v>
      </x:c>
      <x:c r="C187" s="18" t="str">
        <x:v>axis_spacing</x:v>
      </x:c>
      <x:c r="D187" s="18" t="str">
        <x:v>Model: Z
Source: transverse
H → G</x:v>
      </x:c>
      <x:c r="E187" s="24" t="n">
        <x:v>3054</x:v>
      </x:c>
      <x:c r="F187" s="25" t="str">
        <x:v>mm</x:v>
      </x:c>
      <x:c r="G187" s="22" t="n">
        <x:f>IF(COUNTBLANK(E187)&gt;0,"",E187)</x:f>
        <x:v>3054</x:v>
      </x:c>
      <x:c r="H187" s="23" t="n">
        <x:f>IF(COUNTBLANK(G187)&gt;0,"",G187/1000)</x:f>
        <x:v>3.054</x:v>
      </x:c>
      <x:c r="I187" s="18" t="str">
        <x:v>Ghi trên bản vẽ / Explicit</x:v>
      </x:c>
      <x:c r="J187" s="18" t="str">
        <x:v>Tờ 11
File 5</x:v>
      </x:c>
      <x:c r="K187" s="18" t="str">
        <x:v>Right-side transverse dimension chains</x:v>
      </x:c>
      <x:c r="L187" s="18" t="str">
        <x:v>3054</x:v>
      </x:c>
      <x:c r="M187" s="18" t="str"/>
    </x:row>
    <x:row r="188" ht="36" hidden="0" customHeight="1">
      <x:c r="A188" s="18" t="str">
        <x:v>P181</x:v>
      </x:c>
      <x:c r="B188" s="18" t="str">
        <x:v>Kích thước ngang mặt bằng mái
Roof-plan transverse dimensions</x:v>
      </x:c>
      <x:c r="C188" s="18" t="str">
        <x:v>axis_spacing</x:v>
      </x:c>
      <x:c r="D188" s="18" t="str">
        <x:v>Model: Z
Source: transverse
G → E</x:v>
      </x:c>
      <x:c r="E188" s="24" t="n">
        <x:v>3760</x:v>
      </x:c>
      <x:c r="F188" s="25" t="str">
        <x:v>mm</x:v>
      </x:c>
      <x:c r="G188" s="22" t="n">
        <x:f>IF(COUNTBLANK(E188)&gt;0,"",E188)</x:f>
        <x:v>3760</x:v>
      </x:c>
      <x:c r="H188" s="23" t="n">
        <x:f>IF(COUNTBLANK(G188)&gt;0,"",G188/1000)</x:f>
        <x:v>3.76</x:v>
      </x:c>
      <x:c r="I188" s="18" t="str">
        <x:v>Ghi trên bản vẽ / Explicit</x:v>
      </x:c>
      <x:c r="J188" s="18" t="str">
        <x:v>Tờ 11
File 5</x:v>
      </x:c>
      <x:c r="K188" s="18" t="str">
        <x:v>Right-side transverse dimension chains</x:v>
      </x:c>
      <x:c r="L188" s="18" t="str">
        <x:v>3760</x:v>
      </x:c>
      <x:c r="M188" s="18" t="str"/>
    </x:row>
    <x:row r="189" ht="36" hidden="0" customHeight="1">
      <x:c r="A189" s="18" t="str">
        <x:v>P182</x:v>
      </x:c>
      <x:c r="B189" s="18" t="str">
        <x:v>Kích thước ngang mặt bằng mái
Roof-plan transverse dimensions</x:v>
      </x:c>
      <x:c r="C189" s="18" t="str">
        <x:v>axis_spacing</x:v>
      </x:c>
      <x:c r="D189" s="18" t="str">
        <x:v>Model: Z
Source: transverse
E → D</x:v>
      </x:c>
      <x:c r="E189" s="24" t="n">
        <x:v>7200</x:v>
      </x:c>
      <x:c r="F189" s="25" t="str">
        <x:v>mm</x:v>
      </x:c>
      <x:c r="G189" s="22" t="n">
        <x:f>IF(COUNTBLANK(E189)&gt;0,"",E189)</x:f>
        <x:v>7200</x:v>
      </x:c>
      <x:c r="H189" s="23" t="n">
        <x:f>IF(COUNTBLANK(G189)&gt;0,"",G189/1000)</x:f>
        <x:v>7.2</x:v>
      </x:c>
      <x:c r="I189" s="18" t="str">
        <x:v>Ghi trên bản vẽ / Explicit</x:v>
      </x:c>
      <x:c r="J189" s="18" t="str">
        <x:v>Tờ 11
File 5</x:v>
      </x:c>
      <x:c r="K189" s="18" t="str">
        <x:v>Right-side transverse dimension chains</x:v>
      </x:c>
      <x:c r="L189" s="18" t="str">
        <x:v>7200</x:v>
      </x:c>
      <x:c r="M189" s="18" t="str"/>
    </x:row>
    <x:row r="190" ht="36" hidden="0" customHeight="1">
      <x:c r="A190" s="18" t="str">
        <x:v>P183</x:v>
      </x:c>
      <x:c r="B190" s="18" t="str">
        <x:v>Kích thước ngang mặt bằng mái
Roof-plan transverse dimensions</x:v>
      </x:c>
      <x:c r="C190" s="18" t="str">
        <x:v>axis_spacing</x:v>
      </x:c>
      <x:c r="D190" s="18" t="str">
        <x:v>Model: Z
Source: transverse
D → C</x:v>
      </x:c>
      <x:c r="E190" s="24" t="n">
        <x:v>3760</x:v>
      </x:c>
      <x:c r="F190" s="25" t="str">
        <x:v>mm</x:v>
      </x:c>
      <x:c r="G190" s="22" t="n">
        <x:f>IF(COUNTBLANK(E190)&gt;0,"",E190)</x:f>
        <x:v>3760</x:v>
      </x:c>
      <x:c r="H190" s="23" t="n">
        <x:f>IF(COUNTBLANK(G190)&gt;0,"",G190/1000)</x:f>
        <x:v>3.76</x:v>
      </x:c>
      <x:c r="I190" s="18" t="str">
        <x:v>Ghi trên bản vẽ / Explicit</x:v>
      </x:c>
      <x:c r="J190" s="18" t="str">
        <x:v>Tờ 11
File 5</x:v>
      </x:c>
      <x:c r="K190" s="18" t="str">
        <x:v>Right-side transverse dimension chains</x:v>
      </x:c>
      <x:c r="L190" s="18" t="str">
        <x:v>3760</x:v>
      </x:c>
      <x:c r="M190" s="18" t="str"/>
    </x:row>
    <x:row r="191" ht="36" hidden="0" customHeight="1">
      <x:c r="A191" s="18" t="str">
        <x:v>P184</x:v>
      </x:c>
      <x:c r="B191" s="18" t="str">
        <x:v>Kích thước ngang mặt bằng mái
Roof-plan transverse dimensions</x:v>
      </x:c>
      <x:c r="C191" s="18" t="str">
        <x:v>axis_spacing</x:v>
      </x:c>
      <x:c r="D191" s="18" t="str">
        <x:v>Model: Z
Source: transverse
C → B</x:v>
      </x:c>
      <x:c r="E191" s="24" t="n">
        <x:v>3054</x:v>
      </x:c>
      <x:c r="F191" s="25" t="str">
        <x:v>mm</x:v>
      </x:c>
      <x:c r="G191" s="22" t="n">
        <x:f>IF(COUNTBLANK(E191)&gt;0,"",E191)</x:f>
        <x:v>3054</x:v>
      </x:c>
      <x:c r="H191" s="23" t="n">
        <x:f>IF(COUNTBLANK(G191)&gt;0,"",G191/1000)</x:f>
        <x:v>3.054</x:v>
      </x:c>
      <x:c r="I191" s="18" t="str">
        <x:v>Ghi trên bản vẽ / Explicit</x:v>
      </x:c>
      <x:c r="J191" s="18" t="str">
        <x:v>Tờ 11
File 5</x:v>
      </x:c>
      <x:c r="K191" s="18" t="str">
        <x:v>Right-side transverse dimension chains</x:v>
      </x:c>
      <x:c r="L191" s="18" t="str">
        <x:v>3054</x:v>
      </x:c>
      <x:c r="M191" s="18" t="str"/>
    </x:row>
    <x:row r="192" ht="36" hidden="0" customHeight="1">
      <x:c r="A192" s="18" t="str">
        <x:v>P185</x:v>
      </x:c>
      <x:c r="B192" s="18" t="str">
        <x:v>Kích thước ngang mặt bằng mái
Roof-plan transverse dimensions</x:v>
      </x:c>
      <x:c r="C192" s="18" t="str">
        <x:v>edge_offset</x:v>
      </x:c>
      <x:c r="D192" s="18" t="str">
        <x:v>Model: Z
Source: transverse
B → lower main exterior edge</x:v>
      </x:c>
      <x:c r="E192" s="24" t="n">
        <x:v>829</x:v>
      </x:c>
      <x:c r="F192" s="25" t="str">
        <x:v>mm</x:v>
      </x:c>
      <x:c r="G192" s="22" t="n">
        <x:f>IF(COUNTBLANK(E192)&gt;0,"",E192)</x:f>
        <x:v>829</x:v>
      </x:c>
      <x:c r="H192" s="23" t="n">
        <x:f>IF(COUNTBLANK(G192)&gt;0,"",G192/1000)</x:f>
        <x:v>0.829</x:v>
      </x:c>
      <x:c r="I192" s="18" t="str">
        <x:v>Ghi trên bản vẽ / Explicit</x:v>
      </x:c>
      <x:c r="J192" s="18" t="str">
        <x:v>Tờ 11
File 5</x:v>
      </x:c>
      <x:c r="K192" s="18" t="str">
        <x:v>Right-side transverse dimension chains</x:v>
      </x:c>
      <x:c r="L192" s="18" t="str">
        <x:v>829</x:v>
      </x:c>
      <x:c r="M192" s="18" t="str"/>
    </x:row>
    <x:row r="193" ht="48" hidden="0" customHeight="1">
      <x:c r="A193" s="18" t="str">
        <x:v>P186</x:v>
      </x:c>
      <x:c r="B193" s="18" t="str">
        <x:v>Kích thước ngang mặt bằng mái
Roof-plan transverse dimensions</x:v>
      </x:c>
      <x:c r="C193" s="18" t="str">
        <x:v>overall_width</x:v>
      </x:c>
      <x:c r="D193" s="18" t="str">
        <x:v>Model: Z
Source: transverse
upper main exterior edge → lower main exterior edge</x:v>
      </x:c>
      <x:c r="E193" s="24" t="n">
        <x:v>22489</x:v>
      </x:c>
      <x:c r="F193" s="25" t="str">
        <x:v>mm</x:v>
      </x:c>
      <x:c r="G193" s="22" t="n">
        <x:f>IF(COUNTBLANK(E193)&gt;0,"",E193)</x:f>
        <x:v>22489</x:v>
      </x:c>
      <x:c r="H193" s="23" t="n">
        <x:f>IF(COUNTBLANK(G193)&gt;0,"",G193/1000)</x:f>
        <x:v>22.489</x:v>
      </x:c>
      <x:c r="I193" s="18" t="str">
        <x:v>Ghi trên bản vẽ / Explicit</x:v>
      </x:c>
      <x:c r="J193" s="18" t="str">
        <x:v>Tờ 11
File 5</x:v>
      </x:c>
      <x:c r="K193" s="18" t="str">
        <x:v>Right-side transverse dimension chains</x:v>
      </x:c>
      <x:c r="L193" s="18" t="str">
        <x:v>22489</x:v>
      </x:c>
      <x:c r="M193" s="18" t="str"/>
    </x:row>
    <x:row r="194" ht="48" hidden="0" customHeight="1">
      <x:c r="A194" s="18" t="str">
        <x:v>P187</x:v>
      </x:c>
      <x:c r="B194" s="18" t="str">
        <x:v>Kích thước ngang mặt bằng mái
Roof-plan transverse dimensions</x:v>
      </x:c>
      <x:c r="C194" s="18" t="str">
        <x:v>overall_width</x:v>
      </x:c>
      <x:c r="D194" s="18" t="str">
        <x:v>Model: Z
Source: transverse
upper wing exterior edge → lower wing exterior edge</x:v>
      </x:c>
      <x:c r="E194" s="24" t="n">
        <x:v>28158</x:v>
      </x:c>
      <x:c r="F194" s="25" t="str">
        <x:v>mm</x:v>
      </x:c>
      <x:c r="G194" s="22" t="n">
        <x:f>IF(COUNTBLANK(E194)&gt;0,"",E194)</x:f>
        <x:v>28158</x:v>
      </x:c>
      <x:c r="H194" s="23" t="n">
        <x:f>IF(COUNTBLANK(G194)&gt;0,"",G194/1000)</x:f>
        <x:v>28.158</x:v>
      </x:c>
      <x:c r="I194" s="18" t="str">
        <x:v>Ghi trên bản vẽ / Explicit</x:v>
      </x:c>
      <x:c r="J194" s="18" t="str">
        <x:v>Tờ 11
File 5</x:v>
      </x:c>
      <x:c r="K194" s="18" t="str">
        <x:v>Right-side transverse dimension chains</x:v>
      </x:c>
      <x:c r="L194" s="18" t="str">
        <x:v>28158</x:v>
      </x:c>
      <x:c r="M194" s="18" t="str"/>
    </x:row>
    <x:row r="195" ht="36" hidden="0" customHeight="1">
      <x:c r="A195" s="18" t="str">
        <x:v>P188</x:v>
      </x:c>
      <x:c r="B195" s="18" t="str">
        <x:v>Mặt tiền tại cao độ mái
Front facade roof-level plan</x:v>
      </x:c>
      <x:c r="C195" s="18" t="str">
        <x:v>chain_segment</x:v>
      </x:c>
      <x:c r="D195" s="18" t="str">
        <x:v>Model: Z
Source: transverse
upper outside edge → I</x:v>
      </x:c>
      <x:c r="E195" s="24" t="n">
        <x:v>269</x:v>
      </x:c>
      <x:c r="F195" s="25" t="str">
        <x:v>mm</x:v>
      </x:c>
      <x:c r="G195" s="22" t="n">
        <x:f>IF(COUNTBLANK(E195)&gt;0,"",E195)</x:f>
        <x:v>269</x:v>
      </x:c>
      <x:c r="H195" s="23" t="n">
        <x:f>IF(COUNTBLANK(G195)&gt;0,"",G195/1000)</x:f>
        <x:v>0.269</x:v>
      </x:c>
      <x:c r="I195" s="18" t="str">
        <x:v>Ghi trên bản vẽ / Explicit</x:v>
      </x:c>
      <x:c r="J195" s="18" t="str">
        <x:v>Tờ 11
File 5</x:v>
      </x:c>
      <x:c r="K195" s="18" t="str">
        <x:v>Left roof-plan facade dimension chain</x:v>
      </x:c>
      <x:c r="L195" s="18" t="str">
        <x:v>269</x:v>
      </x:c>
      <x:c r="M195" s="18" t="str">
        <x:v>Independent front-facade chain, not the largest transept envelope.</x:v>
      </x:c>
    </x:row>
    <x:row r="196" ht="36" hidden="0" customHeight="1">
      <x:c r="A196" s="18" t="str">
        <x:v>P189</x:v>
      </x:c>
      <x:c r="B196" s="18" t="str">
        <x:v>Mặt tiền tại cao độ mái
Front facade roof-level plan</x:v>
      </x:c>
      <x:c r="C196" s="18" t="str">
        <x:v>chain_segment</x:v>
      </x:c>
      <x:c r="D196" s="18" t="str">
        <x:v>Model: Z
Source: transverse
I → upper tower column center</x:v>
      </x:c>
      <x:c r="E196" s="24" t="n">
        <x:v>711</x:v>
      </x:c>
      <x:c r="F196" s="25" t="str">
        <x:v>mm</x:v>
      </x:c>
      <x:c r="G196" s="22" t="n">
        <x:f>IF(COUNTBLANK(E196)&gt;0,"",E196)</x:f>
        <x:v>711</x:v>
      </x:c>
      <x:c r="H196" s="23" t="n">
        <x:f>IF(COUNTBLANK(G196)&gt;0,"",G196/1000)</x:f>
        <x:v>0.711</x:v>
      </x:c>
      <x:c r="I196" s="18" t="str">
        <x:v>Ghi trên bản vẽ / Explicit</x:v>
      </x:c>
      <x:c r="J196" s="18" t="str">
        <x:v>Tờ 11
File 5</x:v>
      </x:c>
      <x:c r="K196" s="18" t="str">
        <x:v>Left roof-plan facade dimension chain</x:v>
      </x:c>
      <x:c r="L196" s="18" t="str">
        <x:v>711</x:v>
      </x:c>
      <x:c r="M196" s="18" t="str">
        <x:v>Independent front-facade chain, not the largest transept envelope.</x:v>
      </x:c>
    </x:row>
    <x:row r="197" ht="36" hidden="0" customHeight="1">
      <x:c r="A197" s="18" t="str">
        <x:v>P190</x:v>
      </x:c>
      <x:c r="B197" s="18" t="str">
        <x:v>Mặt tiền tại cao độ mái
Front facade roof-level plan</x:v>
      </x:c>
      <x:c r="C197" s="18" t="str">
        <x:v>chain_segment</x:v>
      </x:c>
      <x:c r="D197" s="18" t="str">
        <x:v>Model: Z
Source: transverse
upper tower column center → H</x:v>
      </x:c>
      <x:c r="E197" s="24" t="n">
        <x:v>2124</x:v>
      </x:c>
      <x:c r="F197" s="25" t="str">
        <x:v>mm</x:v>
      </x:c>
      <x:c r="G197" s="22" t="n">
        <x:f>IF(COUNTBLANK(E197)&gt;0,"",E197)</x:f>
        <x:v>2124</x:v>
      </x:c>
      <x:c r="H197" s="23" t="n">
        <x:f>IF(COUNTBLANK(G197)&gt;0,"",G197/1000)</x:f>
        <x:v>2.124</x:v>
      </x:c>
      <x:c r="I197" s="18" t="str">
        <x:v>Ghi trên bản vẽ / Explicit</x:v>
      </x:c>
      <x:c r="J197" s="18" t="str">
        <x:v>Tờ 11
File 5</x:v>
      </x:c>
      <x:c r="K197" s="18" t="str">
        <x:v>Left roof-plan facade dimension chain</x:v>
      </x:c>
      <x:c r="L197" s="18" t="str">
        <x:v>2124</x:v>
      </x:c>
      <x:c r="M197" s="18" t="str">
        <x:v>Independent front-facade chain, not the largest transept envelope.</x:v>
      </x:c>
    </x:row>
    <x:row r="198" ht="48" hidden="0" customHeight="1">
      <x:c r="A198" s="18" t="str">
        <x:v>P191</x:v>
      </x:c>
      <x:c r="B198" s="18" t="str">
        <x:v>Mặt tiền tại cao độ mái
Front facade roof-level plan</x:v>
      </x:c>
      <x:c r="C198" s="18" t="str">
        <x:v>chain_segment</x:v>
      </x:c>
      <x:c r="D198" s="18" t="str">
        <x:v>Model: Z
Source: transverse
H → upper tower inner column center</x:v>
      </x:c>
      <x:c r="E198" s="24" t="n">
        <x:v>2711</x:v>
      </x:c>
      <x:c r="F198" s="25" t="str">
        <x:v>mm</x:v>
      </x:c>
      <x:c r="G198" s="22" t="n">
        <x:f>IF(COUNTBLANK(E198)&gt;0,"",E198)</x:f>
        <x:v>2711</x:v>
      </x:c>
      <x:c r="H198" s="23" t="n">
        <x:f>IF(COUNTBLANK(G198)&gt;0,"",G198/1000)</x:f>
        <x:v>2.711</x:v>
      </x:c>
      <x:c r="I198" s="18" t="str">
        <x:v>Ghi trên bản vẽ / Explicit</x:v>
      </x:c>
      <x:c r="J198" s="18" t="str">
        <x:v>Tờ 11
File 5</x:v>
      </x:c>
      <x:c r="K198" s="18" t="str">
        <x:v>Left roof-plan facade dimension chain</x:v>
      </x:c>
      <x:c r="L198" s="18" t="str">
        <x:v>2711</x:v>
      </x:c>
      <x:c r="M198" s="18" t="str">
        <x:v>Independent front-facade chain, not the largest transept envelope.</x:v>
      </x:c>
    </x:row>
    <x:row r="199" ht="48" hidden="0" customHeight="1">
      <x:c r="A199" s="18" t="str">
        <x:v>P192</x:v>
      </x:c>
      <x:c r="B199" s="18" t="str">
        <x:v>Mặt tiền tại cao độ mái
Front facade roof-level plan</x:v>
      </x:c>
      <x:c r="C199" s="18" t="str">
        <x:v>chain_segment</x:v>
      </x:c>
      <x:c r="D199" s="18" t="str">
        <x:v>Model: Z
Source: transverse
upper tower inner column center → G</x:v>
      </x:c>
      <x:c r="E199" s="24" t="n">
        <x:v>343</x:v>
      </x:c>
      <x:c r="F199" s="25" t="str">
        <x:v>mm</x:v>
      </x:c>
      <x:c r="G199" s="22" t="n">
        <x:f>IF(COUNTBLANK(E199)&gt;0,"",E199)</x:f>
        <x:v>343</x:v>
      </x:c>
      <x:c r="H199" s="23" t="n">
        <x:f>IF(COUNTBLANK(G199)&gt;0,"",G199/1000)</x:f>
        <x:v>0.343</x:v>
      </x:c>
      <x:c r="I199" s="18" t="str">
        <x:v>Ghi trên bản vẽ / Explicit</x:v>
      </x:c>
      <x:c r="J199" s="18" t="str">
        <x:v>Tờ 11
File 5</x:v>
      </x:c>
      <x:c r="K199" s="18" t="str">
        <x:v>Left roof-plan facade dimension chain</x:v>
      </x:c>
      <x:c r="L199" s="18" t="str">
        <x:v>343</x:v>
      </x:c>
      <x:c r="M199" s="18" t="str">
        <x:v>Independent front-facade chain, not the largest transept envelope.</x:v>
      </x:c>
    </x:row>
    <x:row r="200" ht="36" hidden="0" customHeight="1">
      <x:c r="A200" s="18" t="str">
        <x:v>P193</x:v>
      </x:c>
      <x:c r="B200" s="18" t="str">
        <x:v>Mặt tiền tại cao độ mái
Front facade roof-level plan</x:v>
      </x:c>
      <x:c r="C200" s="18" t="str">
        <x:v>chain_segment</x:v>
      </x:c>
      <x:c r="D200" s="18" t="str">
        <x:v>Model: Z
Source: transverse
G → E</x:v>
      </x:c>
      <x:c r="E200" s="24" t="n">
        <x:v>3760</x:v>
      </x:c>
      <x:c r="F200" s="25" t="str">
        <x:v>mm</x:v>
      </x:c>
      <x:c r="G200" s="22" t="n">
        <x:f>IF(COUNTBLANK(E200)&gt;0,"",E200)</x:f>
        <x:v>3760</x:v>
      </x:c>
      <x:c r="H200" s="23" t="n">
        <x:f>IF(COUNTBLANK(G200)&gt;0,"",G200/1000)</x:f>
        <x:v>3.76</x:v>
      </x:c>
      <x:c r="I200" s="18" t="str">
        <x:v>Ghi trên bản vẽ / Explicit</x:v>
      </x:c>
      <x:c r="J200" s="18" t="str">
        <x:v>Tờ 11
File 5</x:v>
      </x:c>
      <x:c r="K200" s="18" t="str">
        <x:v>Left roof-plan facade dimension chain</x:v>
      </x:c>
      <x:c r="L200" s="18" t="str">
        <x:v>3760</x:v>
      </x:c>
      <x:c r="M200" s="18" t="str">
        <x:v>Independent front-facade chain, not the largest transept envelope.</x:v>
      </x:c>
    </x:row>
    <x:row r="201" ht="36" hidden="0" customHeight="1">
      <x:c r="A201" s="18" t="str">
        <x:v>P194</x:v>
      </x:c>
      <x:c r="B201" s="18" t="str">
        <x:v>Mặt tiền tại cao độ mái
Front facade roof-level plan</x:v>
      </x:c>
      <x:c r="C201" s="18" t="str">
        <x:v>chain_segment</x:v>
      </x:c>
      <x:c r="D201" s="18" t="str">
        <x:v>Model: Z
Source: transverse
E → central facade upper corner</x:v>
      </x:c>
      <x:c r="E201" s="24" t="n">
        <x:v>621</x:v>
      </x:c>
      <x:c r="F201" s="25" t="str">
        <x:v>mm</x:v>
      </x:c>
      <x:c r="G201" s="22" t="n">
        <x:f>IF(COUNTBLANK(E201)&gt;0,"",E201)</x:f>
        <x:v>621</x:v>
      </x:c>
      <x:c r="H201" s="23" t="n">
        <x:f>IF(COUNTBLANK(G201)&gt;0,"",G201/1000)</x:f>
        <x:v>0.621</x:v>
      </x:c>
      <x:c r="I201" s="18" t="str">
        <x:v>Ghi trên bản vẽ / Explicit</x:v>
      </x:c>
      <x:c r="J201" s="18" t="str">
        <x:v>Tờ 11
File 5</x:v>
      </x:c>
      <x:c r="K201" s="18" t="str">
        <x:v>Left roof-plan facade dimension chain</x:v>
      </x:c>
      <x:c r="L201" s="18" t="str">
        <x:v>621</x:v>
      </x:c>
      <x:c r="M201" s="18" t="str">
        <x:v>Independent front-facade chain, not the largest transept envelope.</x:v>
      </x:c>
    </x:row>
    <x:row r="202" ht="48" hidden="0" customHeight="1">
      <x:c r="A202" s="18" t="str">
        <x:v>P195</x:v>
      </x:c>
      <x:c r="B202" s="18" t="str">
        <x:v>Mặt tiền tại cao độ mái
Front facade roof-level plan</x:v>
      </x:c>
      <x:c r="C202" s="18" t="str">
        <x:v>chain_segment</x:v>
      </x:c>
      <x:c r="D202" s="18" t="str">
        <x:v>Model: Z
Source: transverse
central facade upper corner → central facade lower corner</x:v>
      </x:c>
      <x:c r="E202" s="24" t="n">
        <x:v>5958</x:v>
      </x:c>
      <x:c r="F202" s="25" t="str">
        <x:v>mm</x:v>
      </x:c>
      <x:c r="G202" s="22" t="n">
        <x:f>IF(COUNTBLANK(E202)&gt;0,"",E202)</x:f>
        <x:v>5958</x:v>
      </x:c>
      <x:c r="H202" s="23" t="n">
        <x:f>IF(COUNTBLANK(G202)&gt;0,"",G202/1000)</x:f>
        <x:v>5.958</x:v>
      </x:c>
      <x:c r="I202" s="18" t="str">
        <x:v>Ghi trên bản vẽ / Explicit</x:v>
      </x:c>
      <x:c r="J202" s="18" t="str">
        <x:v>Tờ 11
File 5</x:v>
      </x:c>
      <x:c r="K202" s="18" t="str">
        <x:v>Left roof-plan facade dimension chain</x:v>
      </x:c>
      <x:c r="L202" s="18" t="str">
        <x:v>5958</x:v>
      </x:c>
      <x:c r="M202" s="18" t="str">
        <x:v>Independent front-facade chain, not the largest transept envelope.</x:v>
      </x:c>
    </x:row>
    <x:row r="203" ht="36" hidden="0" customHeight="1">
      <x:c r="A203" s="18" t="str">
        <x:v>P196</x:v>
      </x:c>
      <x:c r="B203" s="18" t="str">
        <x:v>Mặt tiền tại cao độ mái
Front facade roof-level plan</x:v>
      </x:c>
      <x:c r="C203" s="18" t="str">
        <x:v>chain_segment</x:v>
      </x:c>
      <x:c r="D203" s="18" t="str">
        <x:v>Model: Z
Source: transverse
central facade lower corner → D</x:v>
      </x:c>
      <x:c r="E203" s="24" t="n">
        <x:v>621</x:v>
      </x:c>
      <x:c r="F203" s="25" t="str">
        <x:v>mm</x:v>
      </x:c>
      <x:c r="G203" s="22" t="n">
        <x:f>IF(COUNTBLANK(E203)&gt;0,"",E203)</x:f>
        <x:v>621</x:v>
      </x:c>
      <x:c r="H203" s="23" t="n">
        <x:f>IF(COUNTBLANK(G203)&gt;0,"",G203/1000)</x:f>
        <x:v>0.621</x:v>
      </x:c>
      <x:c r="I203" s="18" t="str">
        <x:v>Ghi trên bản vẽ / Explicit</x:v>
      </x:c>
      <x:c r="J203" s="18" t="str">
        <x:v>Tờ 11
File 5</x:v>
      </x:c>
      <x:c r="K203" s="18" t="str">
        <x:v>Left roof-plan facade dimension chain</x:v>
      </x:c>
      <x:c r="L203" s="18" t="str">
        <x:v>621</x:v>
      </x:c>
      <x:c r="M203" s="18" t="str">
        <x:v>Independent front-facade chain, not the largest transept envelope.</x:v>
      </x:c>
    </x:row>
    <x:row r="204" ht="36" hidden="0" customHeight="1">
      <x:c r="A204" s="18" t="str">
        <x:v>P197</x:v>
      </x:c>
      <x:c r="B204" s="18" t="str">
        <x:v>Mặt tiền tại cao độ mái
Front facade roof-level plan</x:v>
      </x:c>
      <x:c r="C204" s="18" t="str">
        <x:v>chain_segment</x:v>
      </x:c>
      <x:c r="D204" s="18" t="str">
        <x:v>Model: Z
Source: transverse
D → C</x:v>
      </x:c>
      <x:c r="E204" s="24" t="n">
        <x:v>3760</x:v>
      </x:c>
      <x:c r="F204" s="25" t="str">
        <x:v>mm</x:v>
      </x:c>
      <x:c r="G204" s="22" t="n">
        <x:f>IF(COUNTBLANK(E204)&gt;0,"",E204)</x:f>
        <x:v>3760</x:v>
      </x:c>
      <x:c r="H204" s="23" t="n">
        <x:f>IF(COUNTBLANK(G204)&gt;0,"",G204/1000)</x:f>
        <x:v>3.76</x:v>
      </x:c>
      <x:c r="I204" s="18" t="str">
        <x:v>Ghi trên bản vẽ / Explicit</x:v>
      </x:c>
      <x:c r="J204" s="18" t="str">
        <x:v>Tờ 11
File 5</x:v>
      </x:c>
      <x:c r="K204" s="18" t="str">
        <x:v>Left roof-plan facade dimension chain</x:v>
      </x:c>
      <x:c r="L204" s="18" t="str">
        <x:v>3760</x:v>
      </x:c>
      <x:c r="M204" s="18" t="str">
        <x:v>Independent front-facade chain, not the largest transept envelope.</x:v>
      </x:c>
    </x:row>
    <x:row r="205" ht="36" hidden="0" customHeight="1">
      <x:c r="A205" s="18" t="str">
        <x:v>P198</x:v>
      </x:c>
      <x:c r="B205" s="18" t="str">
        <x:v>Mặt tiền tại cao độ mái
Front facade roof-level plan</x:v>
      </x:c>
      <x:c r="C205" s="18" t="str">
        <x:v>chain_segment</x:v>
      </x:c>
      <x:c r="D205" s="18" t="str">
        <x:v>Model: Z
Source: transverse
C → B</x:v>
      </x:c>
      <x:c r="E205" s="24" t="n">
        <x:v>3054</x:v>
      </x:c>
      <x:c r="F205" s="25" t="str">
        <x:v>mm</x:v>
      </x:c>
      <x:c r="G205" s="22" t="n">
        <x:f>IF(COUNTBLANK(E205)&gt;0,"",E205)</x:f>
        <x:v>3054</x:v>
      </x:c>
      <x:c r="H205" s="23" t="n">
        <x:f>IF(COUNTBLANK(G205)&gt;0,"",G205/1000)</x:f>
        <x:v>3.054</x:v>
      </x:c>
      <x:c r="I205" s="18" t="str">
        <x:v>Ghi trên bản vẽ / Explicit</x:v>
      </x:c>
      <x:c r="J205" s="18" t="str">
        <x:v>Tờ 11
File 5</x:v>
      </x:c>
      <x:c r="K205" s="18" t="str">
        <x:v>Left roof-plan facade dimension chain</x:v>
      </x:c>
      <x:c r="L205" s="18" t="str">
        <x:v>3054</x:v>
      </x:c>
      <x:c r="M205" s="18" t="str">
        <x:v>Independent front-facade chain, not the largest transept envelope.</x:v>
      </x:c>
    </x:row>
    <x:row r="206" ht="36" hidden="0" customHeight="1">
      <x:c r="A206" s="18" t="str">
        <x:v>P199</x:v>
      </x:c>
      <x:c r="B206" s="18" t="str">
        <x:v>Mặt tiền tại cao độ mái
Front facade roof-level plan</x:v>
      </x:c>
      <x:c r="C206" s="18" t="str">
        <x:v>chain_segment</x:v>
      </x:c>
      <x:c r="D206" s="18" t="str">
        <x:v>Model: Z
Source: transverse
B → A</x:v>
      </x:c>
      <x:c r="E206" s="24" t="n">
        <x:v>2835</x:v>
      </x:c>
      <x:c r="F206" s="25" t="str">
        <x:v>mm</x:v>
      </x:c>
      <x:c r="G206" s="22" t="n">
        <x:f>IF(COUNTBLANK(E206)&gt;0,"",E206)</x:f>
        <x:v>2835</x:v>
      </x:c>
      <x:c r="H206" s="23" t="n">
        <x:f>IF(COUNTBLANK(G206)&gt;0,"",G206/1000)</x:f>
        <x:v>2.835</x:v>
      </x:c>
      <x:c r="I206" s="18" t="str">
        <x:v>Ghi trên bản vẽ / Explicit</x:v>
      </x:c>
      <x:c r="J206" s="18" t="str">
        <x:v>Tờ 11
File 5</x:v>
      </x:c>
      <x:c r="K206" s="18" t="str">
        <x:v>Left roof-plan facade dimension chain</x:v>
      </x:c>
      <x:c r="L206" s="18" t="str">
        <x:v>2835</x:v>
      </x:c>
      <x:c r="M206" s="18" t="str">
        <x:v>Independent front-facade chain, not the largest transept envelope.</x:v>
      </x:c>
    </x:row>
    <x:row r="207" ht="36" hidden="0" customHeight="1">
      <x:c r="A207" s="18" t="str">
        <x:v>P200</x:v>
      </x:c>
      <x:c r="B207" s="18" t="str">
        <x:v>Mặt tiền tại cao độ mái
Front facade roof-level plan</x:v>
      </x:c>
      <x:c r="C207" s="18" t="str">
        <x:v>chain_segment</x:v>
      </x:c>
      <x:c r="D207" s="18" t="str">
        <x:v>Model: Z
Source: transverse
A → lower outside edge</x:v>
      </x:c>
      <x:c r="E207" s="24" t="n">
        <x:v>269</x:v>
      </x:c>
      <x:c r="F207" s="25" t="str">
        <x:v>mm</x:v>
      </x:c>
      <x:c r="G207" s="22" t="n">
        <x:f>IF(COUNTBLANK(E207)&gt;0,"",E207)</x:f>
        <x:v>269</x:v>
      </x:c>
      <x:c r="H207" s="23" t="n">
        <x:f>IF(COUNTBLANK(G207)&gt;0,"",G207/1000)</x:f>
        <x:v>0.269</x:v>
      </x:c>
      <x:c r="I207" s="18" t="str">
        <x:v>Ghi trên bản vẽ / Explicit</x:v>
      </x:c>
      <x:c r="J207" s="18" t="str">
        <x:v>Tờ 11
File 5</x:v>
      </x:c>
      <x:c r="K207" s="18" t="str">
        <x:v>Left roof-plan facade dimension chain</x:v>
      </x:c>
      <x:c r="L207" s="18" t="str">
        <x:v>269</x:v>
      </x:c>
      <x:c r="M207" s="18" t="str">
        <x:v>Independent front-facade chain, not the largest transept envelope.</x:v>
      </x:c>
    </x:row>
    <x:row r="208" ht="48" hidden="0" customHeight="1">
      <x:c r="A208" s="18" t="str">
        <x:v>P201</x:v>
      </x:c>
      <x:c r="B208" s="18" t="str">
        <x:v>Mặt tiền tại cao độ mái
Front facade roof-level envelope</x:v>
      </x:c>
      <x:c r="C208" s="18" t="str">
        <x:v>overall_width</x:v>
      </x:c>
      <x:c r="D208" s="18" t="str">
        <x:v>Model: Z
Source: transverse
upper outside edge → lower outside edge</x:v>
      </x:c>
      <x:c r="E208" s="24" t="n">
        <x:v>27036</x:v>
      </x:c>
      <x:c r="F208" s="25" t="str">
        <x:v>mm</x:v>
      </x:c>
      <x:c r="G208" s="22" t="n">
        <x:f>IF(COUNTBLANK(E208)&gt;0,"",E208)</x:f>
        <x:v>27036</x:v>
      </x:c>
      <x:c r="H208" s="23" t="n">
        <x:f>IF(COUNTBLANK(G208)&gt;0,"",G208/1000)</x:f>
        <x:v>27.036</x:v>
      </x:c>
      <x:c r="I208" s="18" t="str">
        <x:v>Ghi trên bản vẽ / Explicit</x:v>
      </x:c>
      <x:c r="J208" s="18" t="str">
        <x:v>Tờ 11
File 5</x:v>
      </x:c>
      <x:c r="K208" s="18" t="str">
        <x:v>Left outermost roof-plan dimension</x:v>
      </x:c>
      <x:c r="L208" s="18" t="str">
        <x:v>27036</x:v>
      </x:c>
      <x:c r="M208" s="18" t="str">
        <x:v>269+711+2124+2711+343+3760+621+5958+621+3760+3054+2835+269=27036.</x:v>
      </x:c>
    </x:row>
    <x:row r="209" ht="48" hidden="0" customHeight="1">
      <x:c r="A209" s="18" t="str">
        <x:v>P202</x:v>
      </x:c>
      <x:c r="B209" s="18" t="str">
        <x:v>Gờ và khoảng lùi mặt tiền
Front facade ledge/setback</x:v>
      </x:c>
      <x:c r="C209" s="18" t="str">
        <x:v>local_offset</x:v>
      </x:c>
      <x:c r="D209" s="18" t="str">
        <x:v>Model: X
Source: longitudinal
front facade internal ledge line → facade reference near2</x:v>
      </x:c>
      <x:c r="E209" s="24" t="n">
        <x:v>2295</x:v>
      </x:c>
      <x:c r="F209" s="25" t="str">
        <x:v>mm</x:v>
      </x:c>
      <x:c r="G209" s="22" t="n">
        <x:f>IF(COUNTBLANK(E209)&gt;0,"",E209)</x:f>
        <x:v>2295</x:v>
      </x:c>
      <x:c r="H209" s="23" t="n">
        <x:f>IF(COUNTBLANK(G209)&gt;0,"",G209/1000)</x:f>
        <x:v>2.295</x:v>
      </x:c>
      <x:c r="I209" s="18" t="str">
        <x:v>Ghi trên bản vẽ / Explicit</x:v>
      </x:c>
      <x:c r="J209" s="18" t="str">
        <x:v>Tờ 11
File 5</x:v>
      </x:c>
      <x:c r="K209" s="18" t="str">
        <x:v>Front lower facade horizontal local dimension beside tower</x:v>
      </x:c>
      <x:c r="L209" s="18" t="str">
        <x:v>2295</x:v>
      </x:c>
      <x:c r="M209" s="18" t="str">
        <x:v>Local dimensions2295 and565; do not equate565 to grid2–2′575.</x:v>
      </x:c>
    </x:row>
    <x:row r="210" ht="36" hidden="0" customHeight="1">
      <x:c r="A210" s="18" t="str">
        <x:v>P203</x:v>
      </x:c>
      <x:c r="B210" s="18" t="str">
        <x:v>Gờ và khoảng lùi mặt tiền
Front facade ledge/setback</x:v>
      </x:c>
      <x:c r="C210" s="18" t="str">
        <x:v>local_offset</x:v>
      </x:c>
      <x:c r="D210" s="18" t="str">
        <x:v>Model: X
Source: longitudinal
facade reference near2 → 2′</x:v>
      </x:c>
      <x:c r="E210" s="24" t="n">
        <x:v>565</x:v>
      </x:c>
      <x:c r="F210" s="25" t="str">
        <x:v>mm</x:v>
      </x:c>
      <x:c r="G210" s="22" t="n">
        <x:f>IF(COUNTBLANK(E210)&gt;0,"",E210)</x:f>
        <x:v>565</x:v>
      </x:c>
      <x:c r="H210" s="23" t="n">
        <x:f>IF(COUNTBLANK(G210)&gt;0,"",G210/1000)</x:f>
        <x:v>0.565</x:v>
      </x:c>
      <x:c r="I210" s="18" t="str">
        <x:v>Ghi trên bản vẽ / Explicit</x:v>
      </x:c>
      <x:c r="J210" s="18" t="str">
        <x:v>Tờ 11
File 5</x:v>
      </x:c>
      <x:c r="K210" s="18" t="str">
        <x:v>Front lower facade horizontal local dimension beside tower</x:v>
      </x:c>
      <x:c r="L210" s="18" t="str">
        <x:v>565</x:v>
      </x:c>
      <x:c r="M210" s="18" t="str">
        <x:v>Local dimensions2295 and565; do not equate565 to grid2–2′575.</x:v>
      </x:c>
    </x:row>
    <x:row r="211" ht="48" hidden="0" customHeight="1">
      <x:c r="A211" s="18" t="str">
        <x:v>P204</x:v>
      </x:c>
      <x:c r="B211" s="18" t="str">
        <x:v>Cao độ mặt bằng mái
Front tower upper zone</x:v>
      </x:c>
      <x:c r="C211" s="18" t="str">
        <x:v>elevation</x:v>
      </x:c>
      <x:c r="D211" s="18" t="str">
        <x:v>Model: Y
Source: vertical
±0.000 datum → Front tower upper zone</x:v>
      </x:c>
      <x:c r="E211" s="26" t="n">
        <x:v>8.39</x:v>
      </x:c>
      <x:c r="F211" s="25" t="str">
        <x:v>m</x:v>
      </x:c>
      <x:c r="G211" s="22" t="n">
        <x:f>IF(COUNTBLANK(E211)&gt;0,"",E211*1000)</x:f>
        <x:v>8390</x:v>
      </x:c>
      <x:c r="H211" s="23" t="n">
        <x:f>IF(COUNTBLANK(G211)&gt;0,"",G211/1000)</x:f>
        <x:v>8.39</x:v>
      </x:c>
      <x:c r="I211" s="18" t="str">
        <x:v>Ghi trên bản vẽ / Explicit</x:v>
      </x:c>
      <x:c r="J211" s="18" t="str">
        <x:v>Tờ 11
File 5</x:v>
      </x:c>
      <x:c r="K211" s="18" t="str">
        <x:v>Upper front tower roof-plan area</x:v>
      </x:c>
      <x:c r="L211" s="18" t="str">
        <x:v>+8,390M</x:v>
      </x:c>
      <x:c r="M211" s="18" t="str">
        <x:v>Local facade/tower deck level, not the main roof ridge elevation.</x:v>
      </x:c>
    </x:row>
    <x:row r="212" ht="48" hidden="0" customHeight="1">
      <x:c r="A212" s="18" t="str">
        <x:v>P205</x:v>
      </x:c>
      <x:c r="B212" s="18" t="str">
        <x:v>Cao độ mặt bằng mái
Front tower lower zone</x:v>
      </x:c>
      <x:c r="C212" s="18" t="str">
        <x:v>elevation</x:v>
      </x:c>
      <x:c r="D212" s="18" t="str">
        <x:v>Model: Y
Source: vertical
±0.000 datum → Front tower lower zone</x:v>
      </x:c>
      <x:c r="E212" s="26" t="n">
        <x:v>8.39</x:v>
      </x:c>
      <x:c r="F212" s="25" t="str">
        <x:v>m</x:v>
      </x:c>
      <x:c r="G212" s="22" t="n">
        <x:f>IF(COUNTBLANK(E212)&gt;0,"",E212*1000)</x:f>
        <x:v>8390</x:v>
      </x:c>
      <x:c r="H212" s="23" t="n">
        <x:f>IF(COUNTBLANK(G212)&gt;0,"",G212/1000)</x:f>
        <x:v>8.39</x:v>
      </x:c>
      <x:c r="I212" s="18" t="str">
        <x:v>Ghi trên bản vẽ / Explicit</x:v>
      </x:c>
      <x:c r="J212" s="18" t="str">
        <x:v>Tờ 11
File 5</x:v>
      </x:c>
      <x:c r="K212" s="18" t="str">
        <x:v>Lower front tower roof-plan area</x:v>
      </x:c>
      <x:c r="L212" s="18" t="str">
        <x:v>+8,390M</x:v>
      </x:c>
      <x:c r="M212" s="18" t="str">
        <x:v>Local facade/tower deck level, not the main roof ridge elevation.</x:v>
      </x:c>
    </x:row>
    <x:row r="213" ht="48" hidden="0" customHeight="1">
      <x:c r="A213" s="18" t="str">
        <x:v>P206</x:v>
      </x:c>
      <x:c r="B213" s="18" t="str">
        <x:v>Cao độ mặt bằng mái
Front facade upper side recess</x:v>
      </x:c>
      <x:c r="C213" s="18" t="str">
        <x:v>elevation</x:v>
      </x:c>
      <x:c r="D213" s="18" t="str">
        <x:v>Model: Y
Source: vertical
±0.000 datum → Front facade upper side recess</x:v>
      </x:c>
      <x:c r="E213" s="26" t="n">
        <x:v>9.53</x:v>
      </x:c>
      <x:c r="F213" s="25" t="str">
        <x:v>m</x:v>
      </x:c>
      <x:c r="G213" s="22" t="n">
        <x:f>IF(COUNTBLANK(E213)&gt;0,"",E213*1000)</x:f>
        <x:v>9530</x:v>
      </x:c>
      <x:c r="H213" s="23" t="n">
        <x:f>IF(COUNTBLANK(G213)&gt;0,"",G213/1000)</x:f>
        <x:v>9.53</x:v>
      </x:c>
      <x:c r="I213" s="18" t="str">
        <x:v>Ghi trên bản vẽ / Explicit</x:v>
      </x:c>
      <x:c r="J213" s="18" t="str">
        <x:v>Tờ 11
File 5</x:v>
      </x:c>
      <x:c r="K213" s="18" t="str">
        <x:v>Upper intermediate facade recess</x:v>
      </x:c>
      <x:c r="L213" s="18" t="str">
        <x:v>+9,530M</x:v>
      </x:c>
      <x:c r="M213" s="18" t="str">
        <x:v>Local facade/tower deck level, not the main roof ridge elevation.</x:v>
      </x:c>
    </x:row>
    <x:row r="214" ht="48" hidden="0" customHeight="1">
      <x:c r="A214" s="18" t="str">
        <x:v>P207</x:v>
      </x:c>
      <x:c r="B214" s="18" t="str">
        <x:v>Cao độ mặt bằng mái
Front facade lower side recess</x:v>
      </x:c>
      <x:c r="C214" s="18" t="str">
        <x:v>elevation</x:v>
      </x:c>
      <x:c r="D214" s="18" t="str">
        <x:v>Model: Y
Source: vertical
±0.000 datum → Front facade lower side recess</x:v>
      </x:c>
      <x:c r="E214" s="26" t="n">
        <x:v>9.53</x:v>
      </x:c>
      <x:c r="F214" s="25" t="str">
        <x:v>m</x:v>
      </x:c>
      <x:c r="G214" s="22" t="n">
        <x:f>IF(COUNTBLANK(E214)&gt;0,"",E214*1000)</x:f>
        <x:v>9530</x:v>
      </x:c>
      <x:c r="H214" s="23" t="n">
        <x:f>IF(COUNTBLANK(G214)&gt;0,"",G214/1000)</x:f>
        <x:v>9.53</x:v>
      </x:c>
      <x:c r="I214" s="18" t="str">
        <x:v>Ghi trên bản vẽ / Explicit</x:v>
      </x:c>
      <x:c r="J214" s="18" t="str">
        <x:v>Tờ 11
File 5</x:v>
      </x:c>
      <x:c r="K214" s="18" t="str">
        <x:v>Lower intermediate facade recess</x:v>
      </x:c>
      <x:c r="L214" s="18" t="str">
        <x:v>+9,530M</x:v>
      </x:c>
      <x:c r="M214" s="18" t="str">
        <x:v>Local facade/tower deck level, not the main roof ridge elevation.</x:v>
      </x:c>
    </x:row>
    <x:row r="215" ht="48" hidden="0" customHeight="1">
      <x:c r="A215" s="18" t="str">
        <x:v>P208</x:v>
      </x:c>
      <x:c r="B215" s="18" t="str">
        <x:v>Cao độ mặt bằng mái
Front central facade zone</x:v>
      </x:c>
      <x:c r="C215" s="18" t="str">
        <x:v>elevation</x:v>
      </x:c>
      <x:c r="D215" s="18" t="str">
        <x:v>Model: Y
Source: vertical
±0.000 datum → Front central facade zone</x:v>
      </x:c>
      <x:c r="E215" s="26" t="n">
        <x:v>11.03</x:v>
      </x:c>
      <x:c r="F215" s="25" t="str">
        <x:v>m</x:v>
      </x:c>
      <x:c r="G215" s="22" t="n">
        <x:f>IF(COUNTBLANK(E215)&gt;0,"",E215*1000)</x:f>
        <x:v>11030</x:v>
      </x:c>
      <x:c r="H215" s="23" t="n">
        <x:f>IF(COUNTBLANK(G215)&gt;0,"",G215/1000)</x:f>
        <x:v>11.03</x:v>
      </x:c>
      <x:c r="I215" s="18" t="str">
        <x:v>Ghi trên bản vẽ / Explicit</x:v>
      </x:c>
      <x:c r="J215" s="18" t="str">
        <x:v>Tờ 11
File 5</x:v>
      </x:c>
      <x:c r="K215" s="18" t="str">
        <x:v>Central facade zone, repeated twice</x:v>
      </x:c>
      <x:c r="L215" s="18" t="str">
        <x:v>+11,030M</x:v>
      </x:c>
      <x:c r="M215" s="18" t="str">
        <x:v>Local facade/tower deck level, not the main roof ridge elevation.</x:v>
      </x:c>
    </x:row>
    <x:row r="216" ht="24" hidden="0" customHeight="1">
      <x:c r="A216" s="18" t="str">
        <x:v>P209</x:v>
      </x:c>
      <x:c r="B216" s="18" t="str">
        <x:v>Cần xác nhận
Settlement joints at front</x:v>
      </x:c>
      <x:c r="C216" s="18" t="str">
        <x:v>joint_width</x:v>
      </x:c>
      <x:c r="D216" s="18" t="str">
        <x:v>Source: N/A</x:v>
      </x:c>
      <x:c r="E216" s="24"/>
      <x:c r="F216" s="25" t="str">
        <x:v>mm</x:v>
      </x:c>
      <x:c r="G216" s="22"/>
      <x:c r="H216" s="23" t="str">
        <x:f>IF(COUNTBLANK(G216)&gt;0,"",G216/1000)</x:f>
      </x:c>
      <x:c r="I216" s="18" t="str">
        <x:v>Cần xác nhận / Unresolved</x:v>
      </x:c>
      <x:c r="J216" s="18" t="str">
        <x:v>Tờ 11
File 5</x:v>
      </x:c>
      <x:c r="K216" s="18" t="str">
        <x:v>Near2′ at H and B, labeled khe lún</x:v>
      </x:c>
      <x:c r="L216" s="18" t="str"/>
      <x:c r="M216" s="18" t="str">
        <x:v>Both front-body joints are labeled but no width is printed in these plans.</x:v>
      </x:c>
    </x:row>
    <x:row r="217" ht="24" hidden="0" customHeight="1">
      <x:c r="A217" s="18" t="str">
        <x:v>P210</x:v>
      </x:c>
      <x:c r="B217" s="18" t="str">
        <x:v>Cần xác nhận
Wall and pier profiles</x:v>
      </x:c>
      <x:c r="C217" s="18" t="str">
        <x:v>complete_section_dimensions</x:v>
      </x:c>
      <x:c r="D217" s="18" t="str">
        <x:v>Source: N/A</x:v>
      </x:c>
      <x:c r="E217" s="24"/>
      <x:c r="F217" s="25" t="str">
        <x:v>mm</x:v>
      </x:c>
      <x:c r="G217" s="22"/>
      <x:c r="H217" s="23" t="str">
        <x:f>IF(COUNTBLANK(G217)&gt;0,"",G217/1000)</x:f>
      </x:c>
      <x:c r="I217" s="18" t="str">
        <x:v>Cần xác nhận / Unresolved</x:v>
      </x:c>
      <x:c r="J217" s="18" t="str">
        <x:v>Tờ 6
File 4</x:v>
      </x:c>
      <x:c r="K217" s="18" t="str">
        <x:v>Plan walls, columns, buttresses</x:v>
      </x:c>
      <x:c r="L217" s="18" t="str"/>
      <x:c r="M217" s="18" t="str">
        <x:v>Decorative profiles and many wall/pier sizes are not dimensioned in these two plans; do not obtain exact construction sizes by scaling pixels.</x:v>
      </x:c>
    </x:row>
    <x:row r="218" ht="24" hidden="0" customHeight="1">
      <x:c r="A218" s="18" t="str">
        <x:v>P211</x:v>
      </x:c>
      <x:c r="B218" s="18" t="str">
        <x:v>Cần xác nhận
Roof pitch</x:v>
      </x:c>
      <x:c r="C218" s="18" t="str">
        <x:v>slope_angle</x:v>
      </x:c>
      <x:c r="D218" s="18" t="str">
        <x:v>Source: N/A</x:v>
      </x:c>
      <x:c r="E218" s="24"/>
      <x:c r="F218" s="25" t="str">
        <x:v>mm</x:v>
      </x:c>
      <x:c r="G218" s="22"/>
      <x:c r="H218" s="23" t="str">
        <x:f>IF(COUNTBLANK(G218)&gt;0,"",G218/1000)</x:f>
      </x:c>
      <x:c r="I218" s="18" t="str">
        <x:v>Cần xác nhận / Unresolved</x:v>
      </x:c>
      <x:c r="J218" s="18" t="str">
        <x:v>Tờ 11
File 5</x:v>
      </x:c>
      <x:c r="K218" s="18" t="str">
        <x:v>Main and transverse roof slopes</x:v>
      </x:c>
      <x:c r="L218" s="18" t="str"/>
      <x:c r="M218" s="18" t="str">
        <x:v>Roof arrows show drainage/slope direction, but no pitch angle is labeled in the roof plan. Use section elevations.</x:v>
      </x:c>
    </x:row>
    <x:row r="219" ht="48" hidden="0" customHeight="1">
      <x:c r="A219" s="18" t="str">
        <x:v>P212</x:v>
      </x:c>
      <x:c r="B219" s="18" t="str">
        <x:v>Cần xác nhận
Roof central and side-wing ridges</x:v>
      </x:c>
      <x:c r="C219" s="18" t="str">
        <x:v>ridge_elevations</x:v>
      </x:c>
      <x:c r="D219" s="18" t="str">
        <x:v>Source: N/A</x:v>
      </x:c>
      <x:c r="E219" s="24"/>
      <x:c r="F219" s="25" t="str">
        <x:v>mm</x:v>
      </x:c>
      <x:c r="G219" s="22"/>
      <x:c r="H219" s="23" t="str">
        <x:f>IF(COUNTBLANK(G219)&gt;0,"",G219/1000)</x:f>
      </x:c>
      <x:c r="I219" s="18" t="str">
        <x:v>Cần xác nhận / Unresolved</x:v>
      </x:c>
      <x:c r="J219" s="18" t="str">
        <x:v>Tờ 11
File 5</x:v>
      </x:c>
      <x:c r="K219" s="18" t="str">
        <x:v>Roof plan</x:v>
      </x:c>
      <x:c r="L219" s="18" t="str"/>
      <x:c r="M219" s="18" t="str">
        <x:v>Ridge positions/topology are shown but heights must be cross-referenced to elevations/sections.
Cross-reference: Main ridge/reference +12.472m is explicitly available in E049/E071/S001. Side-wing ridge heights remain unspecified; preserve the original plan-only UNRESOLVED source status.</x:v>
      </x:c>
    </x:row>
    <x:row r="220" ht="60" hidden="0" customHeight="1">
      <x:c r="A220" s="18" t="str">
        <x:v>P213</x:v>
      </x:c>
      <x:c r="B220" s="18" t="str">
        <x:v>Cần xác nhận
Opening heights</x:v>
      </x:c>
      <x:c r="C220" s="18" t="str">
        <x:v>height</x:v>
      </x:c>
      <x:c r="D220" s="18" t="str">
        <x:v>Source: N/A</x:v>
      </x:c>
      <x:c r="E220" s="24"/>
      <x:c r="F220" s="25" t="str">
        <x:v>mm</x:v>
      </x:c>
      <x:c r="G220" s="22"/>
      <x:c r="H220" s="23" t="str">
        <x:f>IF(COUNTBLANK(G220)&gt;0,"",G220/1000)</x:f>
      </x:c>
      <x:c r="I220" s="18" t="str">
        <x:v>Cần xác nhận / Unresolved</x:v>
      </x:c>
      <x:c r="J220" s="18" t="str">
        <x:v>Tờ 6
File 4</x:v>
      </x:c>
      <x:c r="K220" s="18" t="str">
        <x:v>Ground plan</x:v>
      </x:c>
      <x:c r="L220" s="18" t="str"/>
      <x:c r="M220" s="18" t="str">
        <x:v>Widths are dimensioned for selected openings; heights must come from elevations/details.
Cross-reference: Uploaded files8/9, printed sheets12/13, provide selected window and doorway heights/chains. See S088–S134 and derived S150–S155. Mapping every detail to each plan opening and exact curve profiles still requires confirmation; original plan-only status remains unchanged.</x:v>
      </x:c>
    </x:row>
    <x:row r="221" ht="36" hidden="0" customHeight="1">
      <x:c r="A221" s="18" t="str">
        <x:v>E001</x:v>
      </x:c>
      <x:c r="B221" s="18" t="str">
        <x:v>Mặt sân
Courtyard grade</x:v>
      </x:c>
      <x:c r="C221" s="18" t="str">
        <x:v>elevation</x:v>
      </x:c>
      <x:c r="D221" s="18" t="str">
        <x:v>Model: Y
Source: vertical
FFL ±0.000 → Courtyard grade</x:v>
      </x:c>
      <x:c r="E221" s="26" t="n">
        <x:v>-2.08</x:v>
      </x:c>
      <x:c r="F221" s="25" t="str">
        <x:v>m</x:v>
      </x:c>
      <x:c r="G221" s="22" t="n">
        <x:f>IF(COUNTBLANK(E221)&gt;0,"",E221*1000)</x:f>
        <x:v>-2080</x:v>
      </x:c>
      <x:c r="H221" s="23" t="n">
        <x:f>IF(COUNTBLANK(G221)&gt;0,"",G221/1000)</x:f>
        <x:v>-2.08</x:v>
      </x:c>
      <x:c r="I221" s="18" t="str">
        <x:v>Ghi trên bản vẽ / Explicit</x:v>
      </x:c>
      <x:c r="J221" s="18" t="str">
        <x:v>Tờ 1
File 1</x:v>
      </x:c>
      <x:c r="K221" s="18" t="str">
        <x:v>Left elevation markers</x:v>
      </x:c>
      <x:c r="L221" s="18" t="str">
        <x:v>-2,08M</x:v>
      </x:c>
      <x:c r="M221" s="18" t="str">
        <x:v>Same levels also shown on sheet 2. The drawing titles the twin-tower end MẶT ĐỨNG CUỐI.</x:v>
      </x:c>
    </x:row>
    <x:row r="222" ht="36" hidden="0" customHeight="1">
      <x:c r="A222" s="18" t="str">
        <x:v>E002</x:v>
      </x:c>
      <x:c r="B222" s="18" t="str">
        <x:v>Cốt sàn chuẩn
Floor datum</x:v>
      </x:c>
      <x:c r="C222" s="18" t="str">
        <x:v>elevation</x:v>
      </x:c>
      <x:c r="D222" s="18" t="str">
        <x:v>Model: Y
Source: vertical
FFL ±0.000 → Floor datum</x:v>
      </x:c>
      <x:c r="E222" s="26" t="n">
        <x:v>0</x:v>
      </x:c>
      <x:c r="F222" s="25" t="str">
        <x:v>m</x:v>
      </x:c>
      <x:c r="G222" s="22" t="n">
        <x:f>IF(COUNTBLANK(E222)&gt;0,"",E222*1000)</x:f>
        <x:v>0</x:v>
      </x:c>
      <x:c r="H222" s="23" t="n">
        <x:f>IF(COUNTBLANK(G222)&gt;0,"",G222/1000)</x:f>
        <x:v>0</x:v>
      </x:c>
      <x:c r="I222" s="18" t="str">
        <x:v>Ghi trên bản vẽ / Explicit</x:v>
      </x:c>
      <x:c r="J222" s="18" t="str">
        <x:v>Tờ 1
File 1</x:v>
      </x:c>
      <x:c r="K222" s="18" t="str">
        <x:v>Left elevation markers</x:v>
      </x:c>
      <x:c r="L222" s="18" t="str">
        <x:v>+00M</x:v>
      </x:c>
      <x:c r="M222" s="18" t="str">
        <x:v>Same levels also shown on sheet 2. The drawing titles the twin-tower end MẶT ĐỨNG CUỐI.</x:v>
      </x:c>
    </x:row>
    <x:row r="223" ht="48" hidden="0" customHeight="1">
      <x:c r="A223" s="18" t="str">
        <x:v>E003</x:v>
      </x:c>
      <x:c r="B223" s="18" t="str">
        <x:v>Đỉnh tầng đế tháp
Tower base-stage upper level</x:v>
      </x:c>
      <x:c r="C223" s="18" t="str">
        <x:v>elevation</x:v>
      </x:c>
      <x:c r="D223" s="18" t="str">
        <x:v>Model: Y
Source: vertical
FFL ±0.000 → Tower base-stage upper level</x:v>
      </x:c>
      <x:c r="E223" s="26" t="n">
        <x:v>8.39</x:v>
      </x:c>
      <x:c r="F223" s="25" t="str">
        <x:v>m</x:v>
      </x:c>
      <x:c r="G223" s="22" t="n">
        <x:f>IF(COUNTBLANK(E223)&gt;0,"",E223*1000)</x:f>
        <x:v>8390</x:v>
      </x:c>
      <x:c r="H223" s="23" t="n">
        <x:f>IF(COUNTBLANK(G223)&gt;0,"",G223/1000)</x:f>
        <x:v>8.39</x:v>
      </x:c>
      <x:c r="I223" s="18" t="str">
        <x:v>Ghi trên bản vẽ / Explicit</x:v>
      </x:c>
      <x:c r="J223" s="18" t="str">
        <x:v>Tờ 1
File 1</x:v>
      </x:c>
      <x:c r="K223" s="18" t="str">
        <x:v>Left elevation markers</x:v>
      </x:c>
      <x:c r="L223" s="18" t="str">
        <x:v>+8,390M</x:v>
      </x:c>
      <x:c r="M223" s="18" t="str">
        <x:v>Same levels also shown on sheet 2. The drawing titles the twin-tower end MẶT ĐỨNG CUỐI.</x:v>
      </x:c>
    </x:row>
    <x:row r="224" ht="48" hidden="0" customHeight="1">
      <x:c r="A224" s="18" t="str">
        <x:v>E004</x:v>
      </x:c>
      <x:c r="B224" s="18" t="str">
        <x:v>Đỉnh tầng tháp 1
First upper tower stage level</x:v>
      </x:c>
      <x:c r="C224" s="18" t="str">
        <x:v>elevation</x:v>
      </x:c>
      <x:c r="D224" s="18" t="str">
        <x:v>Model: Y
Source: vertical
FFL ±0.000 → First upper tower stage level</x:v>
      </x:c>
      <x:c r="E224" s="26" t="n">
        <x:v>15.84</x:v>
      </x:c>
      <x:c r="F224" s="25" t="str">
        <x:v>m</x:v>
      </x:c>
      <x:c r="G224" s="22" t="n">
        <x:f>IF(COUNTBLANK(E224)&gt;0,"",E224*1000)</x:f>
        <x:v>15840</x:v>
      </x:c>
      <x:c r="H224" s="23" t="n">
        <x:f>IF(COUNTBLANK(G224)&gt;0,"",G224/1000)</x:f>
        <x:v>15.84</x:v>
      </x:c>
      <x:c r="I224" s="18" t="str">
        <x:v>Ghi trên bản vẽ / Explicit</x:v>
      </x:c>
      <x:c r="J224" s="18" t="str">
        <x:v>Tờ 1
File 1</x:v>
      </x:c>
      <x:c r="K224" s="18" t="str">
        <x:v>Left elevation markers</x:v>
      </x:c>
      <x:c r="L224" s="18" t="str">
        <x:v>+15,840M</x:v>
      </x:c>
      <x:c r="M224" s="18" t="str">
        <x:v>Same levels also shown on sheet 2. The drawing titles the twin-tower end MẶT ĐỨNG CUỐI.</x:v>
      </x:c>
    </x:row>
    <x:row r="225" ht="48" hidden="0" customHeight="1">
      <x:c r="A225" s="18" t="str">
        <x:v>E005</x:v>
      </x:c>
      <x:c r="B225" s="18" t="str">
        <x:v>Đỉnh tầng tháp 2
Second upper tower stage level</x:v>
      </x:c>
      <x:c r="C225" s="18" t="str">
        <x:v>elevation</x:v>
      </x:c>
      <x:c r="D225" s="18" t="str">
        <x:v>Model: Y
Source: vertical
FFL ±0.000 → Second upper tower stage level</x:v>
      </x:c>
      <x:c r="E225" s="26" t="n">
        <x:v>23.14</x:v>
      </x:c>
      <x:c r="F225" s="25" t="str">
        <x:v>m</x:v>
      </x:c>
      <x:c r="G225" s="22" t="n">
        <x:f>IF(COUNTBLANK(E225)&gt;0,"",E225*1000)</x:f>
        <x:v>23140</x:v>
      </x:c>
      <x:c r="H225" s="23" t="n">
        <x:f>IF(COUNTBLANK(G225)&gt;0,"",G225/1000)</x:f>
        <x:v>23.14</x:v>
      </x:c>
      <x:c r="I225" s="18" t="str">
        <x:v>Ghi trên bản vẽ / Explicit</x:v>
      </x:c>
      <x:c r="J225" s="18" t="str">
        <x:v>Tờ 1
File 1</x:v>
      </x:c>
      <x:c r="K225" s="18" t="str">
        <x:v>Left elevation markers</x:v>
      </x:c>
      <x:c r="L225" s="18" t="str">
        <x:v>+23,140M</x:v>
      </x:c>
      <x:c r="M225" s="18" t="str">
        <x:v>Same levels also shown on sheet 2. The drawing titles the twin-tower end MẶT ĐỨNG CUỐI.</x:v>
      </x:c>
    </x:row>
    <x:row r="226" ht="48" hidden="0" customHeight="1">
      <x:c r="A226" s="18" t="str">
        <x:v>E006</x:v>
      </x:c>
      <x:c r="B226" s="18" t="str">
        <x:v>Đáy mái cong tháp
Tower curved-cap base level</x:v>
      </x:c>
      <x:c r="C226" s="18" t="str">
        <x:v>elevation</x:v>
      </x:c>
      <x:c r="D226" s="18" t="str">
        <x:v>Model: Y
Source: vertical
FFL ±0.000 → Tower curved-cap base level</x:v>
      </x:c>
      <x:c r="E226" s="26" t="n">
        <x:v>29.09</x:v>
      </x:c>
      <x:c r="F226" s="25" t="str">
        <x:v>m</x:v>
      </x:c>
      <x:c r="G226" s="22" t="n">
        <x:f>IF(COUNTBLANK(E226)&gt;0,"",E226*1000)</x:f>
        <x:v>29090</x:v>
      </x:c>
      <x:c r="H226" s="23" t="n">
        <x:f>IF(COUNTBLANK(G226)&gt;0,"",G226/1000)</x:f>
        <x:v>29.09</x:v>
      </x:c>
      <x:c r="I226" s="18" t="str">
        <x:v>Ghi trên bản vẽ / Explicit</x:v>
      </x:c>
      <x:c r="J226" s="18" t="str">
        <x:v>Tờ 1
File 1</x:v>
      </x:c>
      <x:c r="K226" s="18" t="str">
        <x:v>Left elevation markers</x:v>
      </x:c>
      <x:c r="L226" s="18" t="str">
        <x:v>+29,09M</x:v>
      </x:c>
      <x:c r="M226" s="18" t="str">
        <x:v>Same levels also shown on sheet 2. The drawing titles the twin-tower end MẶT ĐỨNG CUỐI.</x:v>
      </x:c>
    </x:row>
    <x:row r="227" ht="36" hidden="0" customHeight="1">
      <x:c r="A227" s="18" t="str">
        <x:v>E007</x:v>
      </x:c>
      <x:c r="B227" s="18" t="str">
        <x:v>Đỉnh thánh giá tháp
Tower cross top</x:v>
      </x:c>
      <x:c r="C227" s="18" t="str">
        <x:v>elevation</x:v>
      </x:c>
      <x:c r="D227" s="18" t="str">
        <x:v>Model: Y
Source: vertical
FFL ±0.000 → Tower cross top</x:v>
      </x:c>
      <x:c r="E227" s="26" t="n">
        <x:v>36.92</x:v>
      </x:c>
      <x:c r="F227" s="25" t="str">
        <x:v>m</x:v>
      </x:c>
      <x:c r="G227" s="22" t="n">
        <x:f>IF(COUNTBLANK(E227)&gt;0,"",E227*1000)</x:f>
        <x:v>36920</x:v>
      </x:c>
      <x:c r="H227" s="23" t="n">
        <x:f>IF(COUNTBLANK(G227)&gt;0,"",G227/1000)</x:f>
        <x:v>36.92</x:v>
      </x:c>
      <x:c r="I227" s="18" t="str">
        <x:v>Ghi trên bản vẽ / Explicit</x:v>
      </x:c>
      <x:c r="J227" s="18" t="str">
        <x:v>Tờ 1
File 1</x:v>
      </x:c>
      <x:c r="K227" s="18" t="str">
        <x:v>Left elevation markers</x:v>
      </x:c>
      <x:c r="L227" s="18" t="str">
        <x:v>+36,920M</x:v>
      </x:c>
      <x:c r="M227" s="18" t="str">
        <x:v>Same levels also shown on sheet 2. The drawing titles the twin-tower end MẶT ĐỨNG CUỐI.</x:v>
      </x:c>
    </x:row>
    <x:row r="228" ht="36" hidden="0" customHeight="1">
      <x:c r="A228" s="18" t="str">
        <x:v>E008</x:v>
      </x:c>
      <x:c r="B228" s="18" t="str">
        <x:v>Chiều cao nền sân lên sàn
Courtyard-to-floor height</x:v>
      </x:c>
      <x:c r="C228" s="18" t="str">
        <x:v>vertical segment</x:v>
      </x:c>
      <x:c r="D228" s="18" t="str">
        <x:v>Model: Y
Source: vertical
Courtyard grade → FFL ±0.000</x:v>
      </x:c>
      <x:c r="E228" s="24" t="n">
        <x:v>2080</x:v>
      </x:c>
      <x:c r="F228" s="25" t="str">
        <x:v>mm</x:v>
      </x:c>
      <x:c r="G228" s="22" t="n">
        <x:f>IF(COUNTBLANK(E228)&gt;0,"",E228)</x:f>
        <x:v>2080</x:v>
      </x:c>
      <x:c r="H228" s="23" t="n">
        <x:f>IF(COUNTBLANK(G228)&gt;0,"",G228/1000)</x:f>
        <x:v>2.08</x:v>
      </x:c>
      <x:c r="I228" s="18" t="str">
        <x:v>Ghi trên bản vẽ / Explicit</x:v>
      </x:c>
      <x:c r="J228" s="18" t="str">
        <x:v>Tờ 1
File 1</x:v>
      </x:c>
      <x:c r="K228" s="18" t="str">
        <x:v>Right vertical dimension chain</x:v>
      </x:c>
      <x:c r="L228" s="18" t="str">
        <x:v>2080</x:v>
      </x:c>
      <x:c r="M228" s="18" t="str"/>
    </x:row>
    <x:row r="229" ht="36" hidden="0" customHeight="1">
      <x:c r="A229" s="18" t="str">
        <x:v>E009</x:v>
      </x:c>
      <x:c r="B229" s="18" t="str">
        <x:v>Tầng đế tháp
Tower base stage</x:v>
      </x:c>
      <x:c r="C229" s="18" t="str">
        <x:v>vertical segment</x:v>
      </x:c>
      <x:c r="D229" s="18" t="str">
        <x:v>Model: Y
Source: vertical
FFL ±0.000 → Tower level +8.390</x:v>
      </x:c>
      <x:c r="E229" s="24" t="n">
        <x:v>8390</x:v>
      </x:c>
      <x:c r="F229" s="25" t="str">
        <x:v>mm</x:v>
      </x:c>
      <x:c r="G229" s="22" t="n">
        <x:f>IF(COUNTBLANK(E229)&gt;0,"",E229)</x:f>
        <x:v>8390</x:v>
      </x:c>
      <x:c r="H229" s="23" t="n">
        <x:f>IF(COUNTBLANK(G229)&gt;0,"",G229/1000)</x:f>
        <x:v>8.39</x:v>
      </x:c>
      <x:c r="I229" s="18" t="str">
        <x:v>Ghi trên bản vẽ / Explicit</x:v>
      </x:c>
      <x:c r="J229" s="18" t="str">
        <x:v>Tờ 1
File 1</x:v>
      </x:c>
      <x:c r="K229" s="18" t="str">
        <x:v>Right vertical dimension chain</x:v>
      </x:c>
      <x:c r="L229" s="18" t="str">
        <x:v>8390</x:v>
      </x:c>
      <x:c r="M229" s="18" t="str"/>
    </x:row>
    <x:row r="230" ht="48" hidden="0" customHeight="1">
      <x:c r="A230" s="18" t="str">
        <x:v>E010</x:v>
      </x:c>
      <x:c r="B230" s="18" t="str">
        <x:v>Tầng tháp 1
First upper tower stage</x:v>
      </x:c>
      <x:c r="C230" s="18" t="str">
        <x:v>vertical segment</x:v>
      </x:c>
      <x:c r="D230" s="18" t="str">
        <x:v>Model: Y
Source: vertical
Tower level +8.390 → Tower level +15.840</x:v>
      </x:c>
      <x:c r="E230" s="24" t="n">
        <x:v>7450</x:v>
      </x:c>
      <x:c r="F230" s="25" t="str">
        <x:v>mm</x:v>
      </x:c>
      <x:c r="G230" s="22" t="n">
        <x:f>IF(COUNTBLANK(E230)&gt;0,"",E230)</x:f>
        <x:v>7450</x:v>
      </x:c>
      <x:c r="H230" s="23" t="n">
        <x:f>IF(COUNTBLANK(G230)&gt;0,"",G230/1000)</x:f>
        <x:v>7.45</x:v>
      </x:c>
      <x:c r="I230" s="18" t="str">
        <x:v>Ghi trên bản vẽ / Explicit</x:v>
      </x:c>
      <x:c r="J230" s="18" t="str">
        <x:v>Tờ 1
File 1</x:v>
      </x:c>
      <x:c r="K230" s="18" t="str">
        <x:v>Right vertical dimension chain</x:v>
      </x:c>
      <x:c r="L230" s="18" t="str">
        <x:v>7450</x:v>
      </x:c>
      <x:c r="M230" s="18" t="str"/>
    </x:row>
    <x:row r="231" ht="48" hidden="0" customHeight="1">
      <x:c r="A231" s="18" t="str">
        <x:v>E011</x:v>
      </x:c>
      <x:c r="B231" s="18" t="str">
        <x:v>Tầng tháp 2
Second upper tower stage</x:v>
      </x:c>
      <x:c r="C231" s="18" t="str">
        <x:v>vertical segment</x:v>
      </x:c>
      <x:c r="D231" s="18" t="str">
        <x:v>Model: Y
Source: vertical
Tower level +15.840 → Tower level +23.140</x:v>
      </x:c>
      <x:c r="E231" s="24" t="n">
        <x:v>7300</x:v>
      </x:c>
      <x:c r="F231" s="25" t="str">
        <x:v>mm</x:v>
      </x:c>
      <x:c r="G231" s="22" t="n">
        <x:f>IF(COUNTBLANK(E231)&gt;0,"",E231)</x:f>
        <x:v>7300</x:v>
      </x:c>
      <x:c r="H231" s="23" t="n">
        <x:f>IF(COUNTBLANK(G231)&gt;0,"",G231/1000)</x:f>
        <x:v>7.3</x:v>
      </x:c>
      <x:c r="I231" s="18" t="str">
        <x:v>Ghi trên bản vẽ / Explicit</x:v>
      </x:c>
      <x:c r="J231" s="18" t="str">
        <x:v>Tờ 1
File 1</x:v>
      </x:c>
      <x:c r="K231" s="18" t="str">
        <x:v>Right vertical dimension chain</x:v>
      </x:c>
      <x:c r="L231" s="18" t="str">
        <x:v>7300</x:v>
      </x:c>
      <x:c r="M231" s="18" t="str"/>
    </x:row>
    <x:row r="232" ht="48" hidden="0" customHeight="1">
      <x:c r="A232" s="18" t="str">
        <x:v>E012</x:v>
      </x:c>
      <x:c r="B232" s="18" t="str">
        <x:v>Tầng tháp 3
Third upper tower stage</x:v>
      </x:c>
      <x:c r="C232" s="18" t="str">
        <x:v>vertical segment</x:v>
      </x:c>
      <x:c r="D232" s="18" t="str">
        <x:v>Model: Y
Source: vertical
Tower level +23.140 → Tower level +29.090</x:v>
      </x:c>
      <x:c r="E232" s="24" t="n">
        <x:v>5950</x:v>
      </x:c>
      <x:c r="F232" s="25" t="str">
        <x:v>mm</x:v>
      </x:c>
      <x:c r="G232" s="22" t="n">
        <x:f>IF(COUNTBLANK(E232)&gt;0,"",E232)</x:f>
        <x:v>5950</x:v>
      </x:c>
      <x:c r="H232" s="23" t="n">
        <x:f>IF(COUNTBLANK(G232)&gt;0,"",G232/1000)</x:f>
        <x:v>5.95</x:v>
      </x:c>
      <x:c r="I232" s="18" t="str">
        <x:v>Ghi trên bản vẽ / Explicit</x:v>
      </x:c>
      <x:c r="J232" s="18" t="str">
        <x:v>Tờ 1
File 1</x:v>
      </x:c>
      <x:c r="K232" s="18" t="str">
        <x:v>Right vertical dimension chain</x:v>
      </x:c>
      <x:c r="L232" s="18" t="str">
        <x:v>5950</x:v>
      </x:c>
      <x:c r="M232" s="18" t="str"/>
    </x:row>
    <x:row r="233" ht="48" hidden="0" customHeight="1">
      <x:c r="A233" s="18" t="str">
        <x:v>E013</x:v>
      </x:c>
      <x:c r="B233" s="18" t="str">
        <x:v>Phần mái cong tháp
Tower curved-cap segment</x:v>
      </x:c>
      <x:c r="C233" s="18" t="str">
        <x:v>vertical segment</x:v>
      </x:c>
      <x:c r="D233" s="18" t="str">
        <x:v>Model: Y
Source: vertical
Tower level +29.090 → Shown cap shoulder witness line</x:v>
      </x:c>
      <x:c r="E233" s="24" t="n">
        <x:v>4125</x:v>
      </x:c>
      <x:c r="F233" s="25" t="str">
        <x:v>mm</x:v>
      </x:c>
      <x:c r="G233" s="22" t="n">
        <x:f>IF(COUNTBLANK(E233)&gt;0,"",E233)</x:f>
        <x:v>4125</x:v>
      </x:c>
      <x:c r="H233" s="23" t="n">
        <x:f>IF(COUNTBLANK(G233)&gt;0,"",G233/1000)</x:f>
        <x:v>4.125</x:v>
      </x:c>
      <x:c r="I233" s="18" t="str">
        <x:v>Ghi trên bản vẽ / Explicit</x:v>
      </x:c>
      <x:c r="J233" s="18" t="str">
        <x:v>Tờ 1
File 1</x:v>
      </x:c>
      <x:c r="K233" s="18" t="str">
        <x:v>Right vertical dimension chain</x:v>
      </x:c>
      <x:c r="L233" s="18" t="str">
        <x:v>4125</x:v>
      </x:c>
      <x:c r="M233" s="18" t="str">
        <x:v>Upper three segment dimensions sum to 7,831 mm; level markers give 7,830 mm. Preserve 1 mm drawing discrepancy.</x:v>
      </x:c>
    </x:row>
    <x:row r="234" ht="48" hidden="0" customHeight="1">
      <x:c r="A234" s="18" t="str">
        <x:v>E014</x:v>
      </x:c>
      <x:c r="B234" s="18" t="str">
        <x:v>Bệ đỉnh tháp
Tower upper pedestal segment</x:v>
      </x:c>
      <x:c r="C234" s="18" t="str">
        <x:v>vertical segment</x:v>
      </x:c>
      <x:c r="D234" s="18" t="str">
        <x:v>Model: Y
Source: vertical
Shown cap shoulder witness line → Shown cross-base witness line</x:v>
      </x:c>
      <x:c r="E234" s="24" t="n">
        <x:v>1814</x:v>
      </x:c>
      <x:c r="F234" s="25" t="str">
        <x:v>mm</x:v>
      </x:c>
      <x:c r="G234" s="22" t="n">
        <x:f>IF(COUNTBLANK(E234)&gt;0,"",E234)</x:f>
        <x:v>1814</x:v>
      </x:c>
      <x:c r="H234" s="23" t="n">
        <x:f>IF(COUNTBLANK(G234)&gt;0,"",G234/1000)</x:f>
        <x:v>1.814</x:v>
      </x:c>
      <x:c r="I234" s="18" t="str">
        <x:v>Ghi trên bản vẽ / Explicit</x:v>
      </x:c>
      <x:c r="J234" s="18" t="str">
        <x:v>Tờ 1
File 1</x:v>
      </x:c>
      <x:c r="K234" s="18" t="str">
        <x:v>Right vertical dimension chain</x:v>
      </x:c>
      <x:c r="L234" s="18" t="str">
        <x:v>1814</x:v>
      </x:c>
      <x:c r="M234" s="18" t="str">
        <x:v>Upper three segment dimensions sum to 7,831 mm; level markers give 7,830 mm. Preserve 1 mm drawing discrepancy.</x:v>
      </x:c>
    </x:row>
    <x:row r="235" ht="48" hidden="0" customHeight="1">
      <x:c r="A235" s="18" t="str">
        <x:v>E015</x:v>
      </x:c>
      <x:c r="B235" s="18" t="str">
        <x:v>Đoạn đỉnh thánh giá
Top cross segment</x:v>
      </x:c>
      <x:c r="C235" s="18" t="str">
        <x:v>vertical segment</x:v>
      </x:c>
      <x:c r="D235" s="18" t="str">
        <x:v>Model: Y
Source: vertical
Shown cross-base witness line → Top of tower cross</x:v>
      </x:c>
      <x:c r="E235" s="24" t="n">
        <x:v>1892</x:v>
      </x:c>
      <x:c r="F235" s="25" t="str">
        <x:v>mm</x:v>
      </x:c>
      <x:c r="G235" s="22" t="n">
        <x:f>IF(COUNTBLANK(E235)&gt;0,"",E235)</x:f>
        <x:v>1892</x:v>
      </x:c>
      <x:c r="H235" s="23" t="n">
        <x:f>IF(COUNTBLANK(G235)&gt;0,"",G235/1000)</x:f>
        <x:v>1.892</x:v>
      </x:c>
      <x:c r="I235" s="18" t="str">
        <x:v>Ghi trên bản vẽ / Explicit</x:v>
      </x:c>
      <x:c r="J235" s="18" t="str">
        <x:v>Tờ 1
File 1</x:v>
      </x:c>
      <x:c r="K235" s="18" t="str">
        <x:v>Right vertical dimension chain</x:v>
      </x:c>
      <x:c r="L235" s="18" t="str">
        <x:v>1892</x:v>
      </x:c>
      <x:c r="M235" s="18" t="str">
        <x:v>Upper three segment dimensions sum to 7,831 mm; level markers give 7,830 mm. Preserve 1 mm drawing discrepancy.</x:v>
      </x:c>
    </x:row>
    <x:row r="236" ht="48" hidden="0" customHeight="1">
      <x:c r="A236" s="18" t="str">
        <x:v>E016</x:v>
      </x:c>
      <x:c r="B236" s="18" t="str">
        <x:v>Chiều cao toàn bộ tháp từ sân
Overall tower height from courtyard</x:v>
      </x:c>
      <x:c r="C236" s="18" t="str">
        <x:v>overall height</x:v>
      </x:c>
      <x:c r="D236" s="18" t="str">
        <x:v>Model: Y
Source: vertical
Courtyard -2.080 → Tower cross top +36.920</x:v>
      </x:c>
      <x:c r="E236" s="24" t="n">
        <x:v>39000</x:v>
      </x:c>
      <x:c r="F236" s="25" t="str">
        <x:v>mm</x:v>
      </x:c>
      <x:c r="G236" s="22" t="n">
        <x:f>IF(COUNTBLANK(E236)&gt;0,"",E236)</x:f>
        <x:v>39000</x:v>
      </x:c>
      <x:c r="H236" s="23" t="n">
        <x:f>IF(COUNTBLANK(G236)&gt;0,"",G236/1000)</x:f>
        <x:v>39</x:v>
      </x:c>
      <x:c r="I236" s="18" t="str">
        <x:v>Ghi trên bản vẽ / Explicit</x:v>
      </x:c>
      <x:c r="J236" s="18" t="str">
        <x:v>Tờ 1
File 1</x:v>
      </x:c>
      <x:c r="K236" s="18" t="str">
        <x:v>Far-right overall vertical dimension</x:v>
      </x:c>
      <x:c r="L236" s="18" t="str">
        <x:v>39000</x:v>
      </x:c>
      <x:c r="M236" s="18" t="str">
        <x:v>Legible in diagnostic render after reducing PDF line width; original PDF untouched. Corroborated by 36,920 - (-2,080).</x:v>
      </x:c>
    </x:row>
    <x:row r="237" ht="48" hidden="0" customHeight="1">
      <x:c r="A237" s="18" t="str">
        <x:v>E017</x:v>
      </x:c>
      <x:c r="B237" s="18" t="str">
        <x:v>Chuỗi kích thước ngang mặt hai tháp
Twin-tower facade transverse dimension chain</x:v>
      </x:c>
      <x:c r="C237" s="18" t="str">
        <x:v>transverse span</x:v>
      </x:c>
      <x:c r="D237" s="18" t="str">
        <x:v>Model: Z
Source: transverse
Left outer overall witness → Left outer tower witness</x:v>
      </x:c>
      <x:c r="E237" s="24" t="n">
        <x:v>1024</x:v>
      </x:c>
      <x:c r="F237" s="25" t="str">
        <x:v>mm</x:v>
      </x:c>
      <x:c r="G237" s="22" t="n">
        <x:f>IF(COUNTBLANK(E237)&gt;0,"",E237)</x:f>
        <x:v>1024</x:v>
      </x:c>
      <x:c r="H237" s="23" t="n">
        <x:f>IF(COUNTBLANK(G237)&gt;0,"",G237/1000)</x:f>
        <x:v>1.024</x:v>
      </x:c>
      <x:c r="I237" s="18" t="str">
        <x:v>Ghi trên bản vẽ / Explicit</x:v>
      </x:c>
      <x:c r="J237" s="18" t="str">
        <x:v>Tờ 1
File 1</x:v>
      </x:c>
      <x:c r="K237" s="18" t="str">
        <x:v>Bottom middle dimension chain</x:v>
      </x:c>
      <x:c r="L237" s="18" t="str">
        <x:v>1024</x:v>
      </x:c>
      <x:c r="M237" s="18" t="str">
        <x:v>Read left-to-right in sheet 1; opposite end sheet 3 reverses the visible grid order.</x:v>
      </x:c>
    </x:row>
    <x:row r="238" ht="36" hidden="0" customHeight="1">
      <x:c r="A238" s="18" t="str">
        <x:v>E018</x:v>
      </x:c>
      <x:c r="B238" s="18" t="str">
        <x:v>Chuỗi kích thước ngang mặt hai tháp
Twin-tower facade transverse dimension chain</x:v>
      </x:c>
      <x:c r="C238" s="18" t="str">
        <x:v>transverse span</x:v>
      </x:c>
      <x:c r="D238" s="18" t="str">
        <x:v>Model: Z
Source: transverse
Left outer tower witness → Grid H</x:v>
      </x:c>
      <x:c r="E238" s="24" t="n">
        <x:v>2189</x:v>
      </x:c>
      <x:c r="F238" s="25" t="str">
        <x:v>mm</x:v>
      </x:c>
      <x:c r="G238" s="22" t="n">
        <x:f>IF(COUNTBLANK(E238)&gt;0,"",E238)</x:f>
        <x:v>2189</x:v>
      </x:c>
      <x:c r="H238" s="23" t="n">
        <x:f>IF(COUNTBLANK(G238)&gt;0,"",G238/1000)</x:f>
        <x:v>2.189</x:v>
      </x:c>
      <x:c r="I238" s="18" t="str">
        <x:v>Ghi trên bản vẽ / Explicit</x:v>
      </x:c>
      <x:c r="J238" s="18" t="str">
        <x:v>Tờ 1
File 1</x:v>
      </x:c>
      <x:c r="K238" s="18" t="str">
        <x:v>Bottom middle dimension chain</x:v>
      </x:c>
      <x:c r="L238" s="18" t="str">
        <x:v>2189</x:v>
      </x:c>
      <x:c r="M238" s="18" t="str">
        <x:v>Read left-to-right in sheet 1; opposite end sheet 3 reverses the visible grid order.</x:v>
      </x:c>
    </x:row>
    <x:row r="239" ht="36" hidden="0" customHeight="1">
      <x:c r="A239" s="18" t="str">
        <x:v>E019</x:v>
      </x:c>
      <x:c r="B239" s="18" t="str">
        <x:v>Chuỗi kích thước ngang mặt hai tháp
Twin-tower facade transverse dimension chain</x:v>
      </x:c>
      <x:c r="C239" s="18" t="str">
        <x:v>transverse span</x:v>
      </x:c>
      <x:c r="D239" s="18" t="str">
        <x:v>Model: Z
Source: transverse
Grid H → Grid G</x:v>
      </x:c>
      <x:c r="E239" s="24" t="n">
        <x:v>3054</x:v>
      </x:c>
      <x:c r="F239" s="25" t="str">
        <x:v>mm</x:v>
      </x:c>
      <x:c r="G239" s="22" t="n">
        <x:f>IF(COUNTBLANK(E239)&gt;0,"",E239)</x:f>
        <x:v>3054</x:v>
      </x:c>
      <x:c r="H239" s="23" t="n">
        <x:f>IF(COUNTBLANK(G239)&gt;0,"",G239/1000)</x:f>
        <x:v>3.054</x:v>
      </x:c>
      <x:c r="I239" s="18" t="str">
        <x:v>Ghi trên bản vẽ / Explicit</x:v>
      </x:c>
      <x:c r="J239" s="18" t="str">
        <x:v>Tờ 1
File 1</x:v>
      </x:c>
      <x:c r="K239" s="18" t="str">
        <x:v>Bottom middle dimension chain</x:v>
      </x:c>
      <x:c r="L239" s="18" t="str">
        <x:v>3054</x:v>
      </x:c>
      <x:c r="M239" s="18" t="str">
        <x:v>Read left-to-right in sheet 1; opposite end sheet 3 reverses the visible grid order.</x:v>
      </x:c>
    </x:row>
    <x:row r="240" ht="36" hidden="0" customHeight="1">
      <x:c r="A240" s="18" t="str">
        <x:v>E020</x:v>
      </x:c>
      <x:c r="B240" s="18" t="str">
        <x:v>Chuỗi kích thước ngang mặt hai tháp
Twin-tower facade transverse dimension chain</x:v>
      </x:c>
      <x:c r="C240" s="18" t="str">
        <x:v>transverse span</x:v>
      </x:c>
      <x:c r="D240" s="18" t="str">
        <x:v>Model: Z
Source: transverse
Grid G → Grid E</x:v>
      </x:c>
      <x:c r="E240" s="24" t="n">
        <x:v>3760</x:v>
      </x:c>
      <x:c r="F240" s="25" t="str">
        <x:v>mm</x:v>
      </x:c>
      <x:c r="G240" s="22" t="n">
        <x:f>IF(COUNTBLANK(E240)&gt;0,"",E240)</x:f>
        <x:v>3760</x:v>
      </x:c>
      <x:c r="H240" s="23" t="n">
        <x:f>IF(COUNTBLANK(G240)&gt;0,"",G240/1000)</x:f>
        <x:v>3.76</x:v>
      </x:c>
      <x:c r="I240" s="18" t="str">
        <x:v>Ghi trên bản vẽ / Explicit</x:v>
      </x:c>
      <x:c r="J240" s="18" t="str">
        <x:v>Tờ 1
File 1</x:v>
      </x:c>
      <x:c r="K240" s="18" t="str">
        <x:v>Bottom middle dimension chain</x:v>
      </x:c>
      <x:c r="L240" s="18" t="str">
        <x:v>3760</x:v>
      </x:c>
      <x:c r="M240" s="18" t="str">
        <x:v>Read left-to-right in sheet 1; opposite end sheet 3 reverses the visible grid order.</x:v>
      </x:c>
    </x:row>
    <x:row r="241" ht="36" hidden="0" customHeight="1">
      <x:c r="A241" s="18" t="str">
        <x:v>E021</x:v>
      </x:c>
      <x:c r="B241" s="18" t="str">
        <x:v>Chuỗi kích thước ngang mặt hai tháp
Twin-tower facade transverse dimension chain</x:v>
      </x:c>
      <x:c r="C241" s="18" t="str">
        <x:v>transverse span</x:v>
      </x:c>
      <x:c r="D241" s="18" t="str">
        <x:v>Model: Z
Source: transverse
Grid E → Grid D</x:v>
      </x:c>
      <x:c r="E241" s="24" t="n">
        <x:v>7200</x:v>
      </x:c>
      <x:c r="F241" s="25" t="str">
        <x:v>mm</x:v>
      </x:c>
      <x:c r="G241" s="22" t="n">
        <x:f>IF(COUNTBLANK(E241)&gt;0,"",E241)</x:f>
        <x:v>7200</x:v>
      </x:c>
      <x:c r="H241" s="23" t="n">
        <x:f>IF(COUNTBLANK(G241)&gt;0,"",G241/1000)</x:f>
        <x:v>7.2</x:v>
      </x:c>
      <x:c r="I241" s="18" t="str">
        <x:v>Ghi trên bản vẽ / Explicit</x:v>
      </x:c>
      <x:c r="J241" s="18" t="str">
        <x:v>Tờ 1
File 1</x:v>
      </x:c>
      <x:c r="K241" s="18" t="str">
        <x:v>Bottom middle dimension chain</x:v>
      </x:c>
      <x:c r="L241" s="18" t="str">
        <x:v>7200</x:v>
      </x:c>
      <x:c r="M241" s="18" t="str">
        <x:v>Read left-to-right in sheet 1; opposite end sheet 3 reverses the visible grid order.</x:v>
      </x:c>
    </x:row>
    <x:row r="242" ht="36" hidden="0" customHeight="1">
      <x:c r="A242" s="18" t="str">
        <x:v>E022</x:v>
      </x:c>
      <x:c r="B242" s="18" t="str">
        <x:v>Chuỗi kích thước ngang mặt hai tháp
Twin-tower facade transverse dimension chain</x:v>
      </x:c>
      <x:c r="C242" s="18" t="str">
        <x:v>transverse span</x:v>
      </x:c>
      <x:c r="D242" s="18" t="str">
        <x:v>Model: Z
Source: transverse
Grid D → Grid C</x:v>
      </x:c>
      <x:c r="E242" s="24" t="n">
        <x:v>3760</x:v>
      </x:c>
      <x:c r="F242" s="25" t="str">
        <x:v>mm</x:v>
      </x:c>
      <x:c r="G242" s="22" t="n">
        <x:f>IF(COUNTBLANK(E242)&gt;0,"",E242)</x:f>
        <x:v>3760</x:v>
      </x:c>
      <x:c r="H242" s="23" t="n">
        <x:f>IF(COUNTBLANK(G242)&gt;0,"",G242/1000)</x:f>
        <x:v>3.76</x:v>
      </x:c>
      <x:c r="I242" s="18" t="str">
        <x:v>Ghi trên bản vẽ / Explicit</x:v>
      </x:c>
      <x:c r="J242" s="18" t="str">
        <x:v>Tờ 1
File 1</x:v>
      </x:c>
      <x:c r="K242" s="18" t="str">
        <x:v>Bottom middle dimension chain</x:v>
      </x:c>
      <x:c r="L242" s="18" t="str">
        <x:v>3760</x:v>
      </x:c>
      <x:c r="M242" s="18" t="str">
        <x:v>Read left-to-right in sheet 1; opposite end sheet 3 reverses the visible grid order.</x:v>
      </x:c>
    </x:row>
    <x:row r="243" ht="36" hidden="0" customHeight="1">
      <x:c r="A243" s="18" t="str">
        <x:v>E023</x:v>
      </x:c>
      <x:c r="B243" s="18" t="str">
        <x:v>Chuỗi kích thước ngang mặt hai tháp
Twin-tower facade transverse dimension chain</x:v>
      </x:c>
      <x:c r="C243" s="18" t="str">
        <x:v>transverse span</x:v>
      </x:c>
      <x:c r="D243" s="18" t="str">
        <x:v>Model: Z
Source: transverse
Grid C → Grid B</x:v>
      </x:c>
      <x:c r="E243" s="24" t="n">
        <x:v>3054</x:v>
      </x:c>
      <x:c r="F243" s="25" t="str">
        <x:v>mm</x:v>
      </x:c>
      <x:c r="G243" s="22" t="n">
        <x:f>IF(COUNTBLANK(E243)&gt;0,"",E243)</x:f>
        <x:v>3054</x:v>
      </x:c>
      <x:c r="H243" s="23" t="n">
        <x:f>IF(COUNTBLANK(G243)&gt;0,"",G243/1000)</x:f>
        <x:v>3.054</x:v>
      </x:c>
      <x:c r="I243" s="18" t="str">
        <x:v>Ghi trên bản vẽ / Explicit</x:v>
      </x:c>
      <x:c r="J243" s="18" t="str">
        <x:v>Tờ 1
File 1</x:v>
      </x:c>
      <x:c r="K243" s="18" t="str">
        <x:v>Bottom middle dimension chain</x:v>
      </x:c>
      <x:c r="L243" s="18" t="str">
        <x:v>3054</x:v>
      </x:c>
      <x:c r="M243" s="18" t="str">
        <x:v>Read left-to-right in sheet 1; opposite end sheet 3 reverses the visible grid order.</x:v>
      </x:c>
    </x:row>
    <x:row r="244" ht="36" hidden="0" customHeight="1">
      <x:c r="A244" s="18" t="str">
        <x:v>E024</x:v>
      </x:c>
      <x:c r="B244" s="18" t="str">
        <x:v>Chuỗi kích thước ngang mặt hai tháp
Twin-tower facade transverse dimension chain</x:v>
      </x:c>
      <x:c r="C244" s="18" t="str">
        <x:v>transverse span</x:v>
      </x:c>
      <x:c r="D244" s="18" t="str">
        <x:v>Model: Z
Source: transverse
Grid B → Right outer tower witness</x:v>
      </x:c>
      <x:c r="E244" s="24" t="n">
        <x:v>2189</x:v>
      </x:c>
      <x:c r="F244" s="25" t="str">
        <x:v>mm</x:v>
      </x:c>
      <x:c r="G244" s="22" t="n">
        <x:f>IF(COUNTBLANK(E244)&gt;0,"",E244)</x:f>
        <x:v>2189</x:v>
      </x:c>
      <x:c r="H244" s="23" t="n">
        <x:f>IF(COUNTBLANK(G244)&gt;0,"",G244/1000)</x:f>
        <x:v>2.189</x:v>
      </x:c>
      <x:c r="I244" s="18" t="str">
        <x:v>Ghi trên bản vẽ / Explicit</x:v>
      </x:c>
      <x:c r="J244" s="18" t="str">
        <x:v>Tờ 1
File 1</x:v>
      </x:c>
      <x:c r="K244" s="18" t="str">
        <x:v>Bottom middle dimension chain</x:v>
      </x:c>
      <x:c r="L244" s="18" t="str">
        <x:v>2189</x:v>
      </x:c>
      <x:c r="M244" s="18" t="str">
        <x:v>Read left-to-right in sheet 1; opposite end sheet 3 reverses the visible grid order.</x:v>
      </x:c>
    </x:row>
    <x:row r="245" ht="48" hidden="0" customHeight="1">
      <x:c r="A245" s="18" t="str">
        <x:v>E025</x:v>
      </x:c>
      <x:c r="B245" s="18" t="str">
        <x:v>Chuỗi kích thước ngang mặt hai tháp
Twin-tower facade transverse dimension chain</x:v>
      </x:c>
      <x:c r="C245" s="18" t="str">
        <x:v>transverse span</x:v>
      </x:c>
      <x:c r="D245" s="18" t="str">
        <x:v>Model: Z
Source: transverse
Right outer tower witness → Right outer overall witness</x:v>
      </x:c>
      <x:c r="E245" s="24" t="n">
        <x:v>1024</x:v>
      </x:c>
      <x:c r="F245" s="25" t="str">
        <x:v>mm</x:v>
      </x:c>
      <x:c r="G245" s="22" t="n">
        <x:f>IF(COUNTBLANK(E245)&gt;0,"",E245)</x:f>
        <x:v>1024</x:v>
      </x:c>
      <x:c r="H245" s="23" t="n">
        <x:f>IF(COUNTBLANK(G245)&gt;0,"",G245/1000)</x:f>
        <x:v>1.024</x:v>
      </x:c>
      <x:c r="I245" s="18" t="str">
        <x:v>Ghi trên bản vẽ / Explicit</x:v>
      </x:c>
      <x:c r="J245" s="18" t="str">
        <x:v>Tờ 1
File 1</x:v>
      </x:c>
      <x:c r="K245" s="18" t="str">
        <x:v>Bottom middle dimension chain</x:v>
      </x:c>
      <x:c r="L245" s="18" t="str">
        <x:v>1024</x:v>
      </x:c>
      <x:c r="M245" s="18" t="str">
        <x:v>Read left-to-right in sheet 1; opposite end sheet 3 reverses the visible grid order.</x:v>
      </x:c>
    </x:row>
    <x:row r="246" ht="48" hidden="0" customHeight="1">
      <x:c r="A246" s="18" t="str">
        <x:v>E026</x:v>
      </x:c>
      <x:c r="B246" s="18" t="str">
        <x:v>Bề rộng tổng mặt hai tháp
Twin-tower facade overall width</x:v>
      </x:c>
      <x:c r="C246" s="18" t="str">
        <x:v>overall width</x:v>
      </x:c>
      <x:c r="D246" s="18" t="str">
        <x:v>Model: Z
Source: transverse
Left outer overall witness → Right outer overall witness</x:v>
      </x:c>
      <x:c r="E246" s="24" t="n">
        <x:v>27254</x:v>
      </x:c>
      <x:c r="F246" s="25" t="str">
        <x:v>mm</x:v>
      </x:c>
      <x:c r="G246" s="22" t="n">
        <x:f>IF(COUNTBLANK(E246)&gt;0,"",E246)</x:f>
        <x:v>27254</x:v>
      </x:c>
      <x:c r="H246" s="23" t="n">
        <x:f>IF(COUNTBLANK(G246)&gt;0,"",G246/1000)</x:f>
        <x:v>27.254</x:v>
      </x:c>
      <x:c r="I246" s="18" t="str">
        <x:v>Ghi trên bản vẽ / Explicit</x:v>
      </x:c>
      <x:c r="J246" s="18" t="str">
        <x:v>Tờ 1
File 1</x:v>
      </x:c>
      <x:c r="K246" s="18" t="str">
        <x:v>Bottom overall dimension</x:v>
      </x:c>
      <x:c r="L246" s="18" t="str">
        <x:v>27254</x:v>
      </x:c>
      <x:c r="M246" s="18" t="str">
        <x:v>The width includes projections outside grids H and B. It is not the width of every building cross-section.</x:v>
      </x:c>
    </x:row>
    <x:row r="247" ht="48" hidden="0" customHeight="1">
      <x:c r="A247" s="18" t="str">
        <x:v>E027</x:v>
      </x:c>
      <x:c r="B247" s="18" t="str">
        <x:v>Bề ngang tháp trái
Left tower facade dimension</x:v>
      </x:c>
      <x:c r="C247" s="18" t="str">
        <x:v>horizontal subdimension</x:v>
      </x:c>
      <x:c r="D247" s="18" t="str">
        <x:v>Model: Z
Source: transverse
Left outer tower witness → Left inner tower witness</x:v>
      </x:c>
      <x:c r="E247" s="24" t="n">
        <x:v>4900</x:v>
      </x:c>
      <x:c r="F247" s="25" t="str">
        <x:v>mm</x:v>
      </x:c>
      <x:c r="G247" s="22" t="n">
        <x:f>IF(COUNTBLANK(E247)&gt;0,"",E247)</x:f>
        <x:v>4900</x:v>
      </x:c>
      <x:c r="H247" s="23" t="n">
        <x:f>IF(COUNTBLANK(G247)&gt;0,"",G247/1000)</x:f>
        <x:v>4.9</x:v>
      </x:c>
      <x:c r="I247" s="18" t="str">
        <x:v>Ghi trên bản vẽ / Explicit</x:v>
      </x:c>
      <x:c r="J247" s="18" t="str">
        <x:v>Tờ 1
File 1</x:v>
      </x:c>
      <x:c r="K247" s="18" t="str">
        <x:v>Bottom upper partial dimension line</x:v>
      </x:c>
      <x:c r="L247" s="18" t="str">
        <x:v>4900</x:v>
      </x:c>
      <x:c r="M247" s="18" t="str">
        <x:v>Witness-line dimension; do not interpret as wall thickness or opening clear width without plan/detail.</x:v>
      </x:c>
    </x:row>
    <x:row r="248" ht="36" hidden="0" customHeight="1">
      <x:c r="A248" s="18" t="str">
        <x:v>E028</x:v>
      </x:c>
      <x:c r="B248" s="18" t="str">
        <x:v>Lệch mép tháp trái tới G
Left tower edge-to-grid G offset</x:v>
      </x:c>
      <x:c r="C248" s="18" t="str">
        <x:v>horizontal subdimension</x:v>
      </x:c>
      <x:c r="D248" s="18" t="str">
        <x:v>Model: Z
Source: transverse
Left inner tower witness → Grid G</x:v>
      </x:c>
      <x:c r="E248" s="24" t="n">
        <x:v>343</x:v>
      </x:c>
      <x:c r="F248" s="25" t="str">
        <x:v>mm</x:v>
      </x:c>
      <x:c r="G248" s="22" t="n">
        <x:f>IF(COUNTBLANK(E248)&gt;0,"",E248)</x:f>
        <x:v>343</x:v>
      </x:c>
      <x:c r="H248" s="23" t="n">
        <x:f>IF(COUNTBLANK(G248)&gt;0,"",G248/1000)</x:f>
        <x:v>0.343</x:v>
      </x:c>
      <x:c r="I248" s="18" t="str">
        <x:v>Ghi trên bản vẽ / Explicit</x:v>
      </x:c>
      <x:c r="J248" s="18" t="str">
        <x:v>Tờ 1
File 1</x:v>
      </x:c>
      <x:c r="K248" s="18" t="str">
        <x:v>Bottom upper partial dimension line</x:v>
      </x:c>
      <x:c r="L248" s="18" t="str">
        <x:v>343</x:v>
      </x:c>
      <x:c r="M248" s="18" t="str">
        <x:v>Witness-line dimension; do not interpret as wall thickness or opening clear width without plan/detail.</x:v>
      </x:c>
    </x:row>
    <x:row r="249" ht="36" hidden="0" customHeight="1">
      <x:c r="A249" s="18" t="str">
        <x:v>E029</x:v>
      </x:c>
      <x:c r="B249" s="18" t="str">
        <x:v>Lệch trục E vào mặt giữa
Grid E inward central-facade offset</x:v>
      </x:c>
      <x:c r="C249" s="18" t="str">
        <x:v>horizontal subdimension</x:v>
      </x:c>
      <x:c r="D249" s="18" t="str">
        <x:v>Model: Z
Source: transverse
Grid E → Left central facade witness</x:v>
      </x:c>
      <x:c r="E249" s="24" t="n">
        <x:v>621</x:v>
      </x:c>
      <x:c r="F249" s="25" t="str">
        <x:v>mm</x:v>
      </x:c>
      <x:c r="G249" s="22" t="n">
        <x:f>IF(COUNTBLANK(E249)&gt;0,"",E249)</x:f>
        <x:v>621</x:v>
      </x:c>
      <x:c r="H249" s="23" t="n">
        <x:f>IF(COUNTBLANK(G249)&gt;0,"",G249/1000)</x:f>
        <x:v>0.621</x:v>
      </x:c>
      <x:c r="I249" s="18" t="str">
        <x:v>Ghi trên bản vẽ / Explicit</x:v>
      </x:c>
      <x:c r="J249" s="18" t="str">
        <x:v>Tờ 1
File 1</x:v>
      </x:c>
      <x:c r="K249" s="18" t="str">
        <x:v>Bottom upper partial dimension line</x:v>
      </x:c>
      <x:c r="L249" s="18" t="str">
        <x:v>621</x:v>
      </x:c>
      <x:c r="M249" s="18" t="str">
        <x:v>These are witness-line dimensions, not automatically clear door widths. Central 621 + 5,959 + 621 = 7,201 mm, differing by 1 mm from the E-D 7,200 mm span.</x:v>
      </x:c>
    </x:row>
    <x:row r="250" ht="48" hidden="0" customHeight="1">
      <x:c r="A250" s="18" t="str">
        <x:v>E030</x:v>
      </x:c>
      <x:c r="B250" s="18" t="str">
        <x:v>Bề ngang phần mặt giữa
Central facade witness-line span</x:v>
      </x:c>
      <x:c r="C250" s="18" t="str">
        <x:v>horizontal subdimension</x:v>
      </x:c>
      <x:c r="D250" s="18" t="str">
        <x:v>Model: Z
Source: transverse
Left central facade witness → Right central facade witness</x:v>
      </x:c>
      <x:c r="E250" s="24" t="n">
        <x:v>5959</x:v>
      </x:c>
      <x:c r="F250" s="25" t="str">
        <x:v>mm</x:v>
      </x:c>
      <x:c r="G250" s="22" t="n">
        <x:f>IF(COUNTBLANK(E250)&gt;0,"",E250)</x:f>
        <x:v>5959</x:v>
      </x:c>
      <x:c r="H250" s="23" t="n">
        <x:f>IF(COUNTBLANK(G250)&gt;0,"",G250/1000)</x:f>
        <x:v>5.959</x:v>
      </x:c>
      <x:c r="I250" s="18" t="str">
        <x:v>Ghi trên bản vẽ / Explicit</x:v>
      </x:c>
      <x:c r="J250" s="18" t="str">
        <x:v>Tờ 1
File 1</x:v>
      </x:c>
      <x:c r="K250" s="18" t="str">
        <x:v>Bottom upper partial dimension line</x:v>
      </x:c>
      <x:c r="L250" s="18" t="str">
        <x:v>5959</x:v>
      </x:c>
      <x:c r="M250" s="18" t="str">
        <x:v>These are witness-line dimensions, not automatically clear door widths. Central 621 + 5,959 + 621 = 7,201 mm, differing by 1 mm from the E-D 7,200 mm span.</x:v>
      </x:c>
    </x:row>
    <x:row r="251" ht="48" hidden="0" customHeight="1">
      <x:c r="A251" s="18" t="str">
        <x:v>E031</x:v>
      </x:c>
      <x:c r="B251" s="18" t="str">
        <x:v>Lệch mép mặt giữa tới D
Central-facade edge-to-grid D offset</x:v>
      </x:c>
      <x:c r="C251" s="18" t="str">
        <x:v>horizontal subdimension</x:v>
      </x:c>
      <x:c r="D251" s="18" t="str">
        <x:v>Model: Z
Source: transverse
Right central facade witness → Grid D</x:v>
      </x:c>
      <x:c r="E251" s="24" t="n">
        <x:v>621</x:v>
      </x:c>
      <x:c r="F251" s="25" t="str">
        <x:v>mm</x:v>
      </x:c>
      <x:c r="G251" s="22" t="n">
        <x:f>IF(COUNTBLANK(E251)&gt;0,"",E251)</x:f>
        <x:v>621</x:v>
      </x:c>
      <x:c r="H251" s="23" t="n">
        <x:f>IF(COUNTBLANK(G251)&gt;0,"",G251/1000)</x:f>
        <x:v>0.621</x:v>
      </x:c>
      <x:c r="I251" s="18" t="str">
        <x:v>Ghi trên bản vẽ / Explicit</x:v>
      </x:c>
      <x:c r="J251" s="18" t="str">
        <x:v>Tờ 1
File 1</x:v>
      </x:c>
      <x:c r="K251" s="18" t="str">
        <x:v>Bottom upper partial dimension line</x:v>
      </x:c>
      <x:c r="L251" s="18" t="str">
        <x:v>621</x:v>
      </x:c>
      <x:c r="M251" s="18" t="str">
        <x:v>These are witness-line dimensions, not automatically clear door widths. Central 621 + 5,959 + 621 = 7,201 mm, differing by 1 mm from the E-D 7,200 mm span.</x:v>
      </x:c>
    </x:row>
    <x:row r="252" ht="36" hidden="0" customHeight="1">
      <x:c r="A252" s="18" t="str">
        <x:v>E032</x:v>
      </x:c>
      <x:c r="B252" s="18" t="str">
        <x:v>Lệch C tới mép tháp phải
Grid C-to-right tower edge offset</x:v>
      </x:c>
      <x:c r="C252" s="18" t="str">
        <x:v>horizontal subdimension</x:v>
      </x:c>
      <x:c r="D252" s="18" t="str">
        <x:v>Model: Z
Source: transverse
Grid C → Right inner tower witness</x:v>
      </x:c>
      <x:c r="E252" s="24" t="n">
        <x:v>343</x:v>
      </x:c>
      <x:c r="F252" s="25" t="str">
        <x:v>mm</x:v>
      </x:c>
      <x:c r="G252" s="22" t="n">
        <x:f>IF(COUNTBLANK(E252)&gt;0,"",E252)</x:f>
        <x:v>343</x:v>
      </x:c>
      <x:c r="H252" s="23" t="n">
        <x:f>IF(COUNTBLANK(G252)&gt;0,"",G252/1000)</x:f>
        <x:v>0.343</x:v>
      </x:c>
      <x:c r="I252" s="18" t="str">
        <x:v>Ghi trên bản vẽ / Explicit</x:v>
      </x:c>
      <x:c r="J252" s="18" t="str">
        <x:v>Tờ 1
File 1</x:v>
      </x:c>
      <x:c r="K252" s="18" t="str">
        <x:v>Bottom upper partial dimension line</x:v>
      </x:c>
      <x:c r="L252" s="18" t="str">
        <x:v>343</x:v>
      </x:c>
      <x:c r="M252" s="18" t="str">
        <x:v>Witness-line dimension; do not interpret as wall thickness or opening clear width without plan/detail.</x:v>
      </x:c>
    </x:row>
    <x:row r="253" ht="48" hidden="0" customHeight="1">
      <x:c r="A253" s="18" t="str">
        <x:v>E033</x:v>
      </x:c>
      <x:c r="B253" s="18" t="str">
        <x:v>Bề ngang tháp phải
Right tower facade dimension</x:v>
      </x:c>
      <x:c r="C253" s="18" t="str">
        <x:v>horizontal subdimension</x:v>
      </x:c>
      <x:c r="D253" s="18" t="str">
        <x:v>Model: Z
Source: transverse
Right inner tower witness → Right outer tower witness</x:v>
      </x:c>
      <x:c r="E253" s="24" t="n">
        <x:v>4900</x:v>
      </x:c>
      <x:c r="F253" s="25" t="str">
        <x:v>mm</x:v>
      </x:c>
      <x:c r="G253" s="22" t="n">
        <x:f>IF(COUNTBLANK(E253)&gt;0,"",E253)</x:f>
        <x:v>4900</x:v>
      </x:c>
      <x:c r="H253" s="23" t="n">
        <x:f>IF(COUNTBLANK(G253)&gt;0,"",G253/1000)</x:f>
        <x:v>4.9</x:v>
      </x:c>
      <x:c r="I253" s="18" t="str">
        <x:v>Ghi trên bản vẽ / Explicit</x:v>
      </x:c>
      <x:c r="J253" s="18" t="str">
        <x:v>Tờ 1
File 1</x:v>
      </x:c>
      <x:c r="K253" s="18" t="str">
        <x:v>Bottom upper partial dimension line</x:v>
      </x:c>
      <x:c r="L253" s="18" t="str">
        <x:v>4900</x:v>
      </x:c>
      <x:c r="M253" s="18" t="str">
        <x:v>Witness-line dimension; do not interpret as wall thickness or opening clear width without plan/detail.</x:v>
      </x:c>
    </x:row>
    <x:row r="254" ht="48" hidden="0" customHeight="1">
      <x:c r="A254" s="18" t="str">
        <x:v>E034</x:v>
      </x:c>
      <x:c r="B254" s="18" t="str">
        <x:v>Chiều cao phần thẳng cửa giữa
Central entrance straight opening height</x:v>
      </x:c>
      <x:c r="C254" s="18" t="str">
        <x:v>height between shown witnesses</x:v>
      </x:c>
      <x:c r="D254" s="18" t="str">
        <x:v>Model: Y
Source: vertical
FFL ±0.000 → Shown flat transom witness</x:v>
      </x:c>
      <x:c r="E254" s="24" t="n">
        <x:v>4900</x:v>
      </x:c>
      <x:c r="F254" s="25" t="str">
        <x:v>mm</x:v>
      </x:c>
      <x:c r="G254" s="22" t="n">
        <x:f>IF(COUNTBLANK(E254)&gt;0,"",E254)</x:f>
        <x:v>4900</x:v>
      </x:c>
      <x:c r="H254" s="23" t="n">
        <x:f>IF(COUNTBLANK(G254)&gt;0,"",G254/1000)</x:f>
        <x:v>4.9</x:v>
      </x:c>
      <x:c r="I254" s="18" t="str">
        <x:v>Ghi trên bản vẽ / Explicit</x:v>
      </x:c>
      <x:c r="J254" s="18" t="str">
        <x:v>Tờ 1
File 1</x:v>
      </x:c>
      <x:c r="K254" s="18" t="str">
        <x:v>Central ground-level entrance</x:v>
      </x:c>
      <x:c r="L254" s="18" t="str">
        <x:v>4900</x:v>
      </x:c>
      <x:c r="M254" s="18" t="str">
        <x:v>Read from tiny outlined numerals using diagnostic line-width-reduced rendering. The endpoints differ: central/intermediate dimensions end at a flat transom; tower dimension ends at the arch apex. Do not treat all as a door schedule.</x:v>
      </x:c>
    </x:row>
    <x:row r="255" ht="48" hidden="0" customHeight="1">
      <x:c r="A255" s="18" t="str">
        <x:v>E035</x:v>
      </x:c>
      <x:c r="B255" s="18" t="str">
        <x:v>Chiều cao phần thẳng cửa giữa và tháp
Intermediate entrance straight opening height</x:v>
      </x:c>
      <x:c r="C255" s="18" t="str">
        <x:v>height between shown witnesses</x:v>
      </x:c>
      <x:c r="D255" s="18" t="str">
        <x:v>Model: Y
Source: vertical
FFL ±0.000 → Shown flat transom witness</x:v>
      </x:c>
      <x:c r="E255" s="24" t="n">
        <x:v>3756</x:v>
      </x:c>
      <x:c r="F255" s="25" t="str">
        <x:v>mm</x:v>
      </x:c>
      <x:c r="G255" s="22" t="n">
        <x:f>IF(COUNTBLANK(E255)&gt;0,"",E255)</x:f>
        <x:v>3756</x:v>
      </x:c>
      <x:c r="H255" s="23" t="n">
        <x:f>IF(COUNTBLANK(G255)&gt;0,"",G255/1000)</x:f>
        <x:v>3.756</x:v>
      </x:c>
      <x:c r="I255" s="18" t="str">
        <x:v>Ghi trên bản vẽ / Explicit</x:v>
      </x:c>
      <x:c r="J255" s="18" t="str">
        <x:v>Tờ 1
File 1</x:v>
      </x:c>
      <x:c r="K255" s="18" t="str">
        <x:v>Right intermediate ground-level arch</x:v>
      </x:c>
      <x:c r="L255" s="18" t="str">
        <x:v>3756</x:v>
      </x:c>
      <x:c r="M255" s="18" t="str">
        <x:v>Read from tiny outlined numerals using diagnostic line-width-reduced rendering. The endpoints differ: central/intermediate dimensions end at a flat transom; tower dimension ends at the arch apex. Do not treat all as a door schedule.</x:v>
      </x:c>
    </x:row>
    <x:row r="256" ht="48" hidden="0" customHeight="1">
      <x:c r="A256" s="18" t="str">
        <x:v>E036</x:v>
      </x:c>
      <x:c r="B256" s="18" t="str">
        <x:v>Chiều cao vòm dưới tháp
Outer tower portal arch height</x:v>
      </x:c>
      <x:c r="C256" s="18" t="str">
        <x:v>height between shown witnesses</x:v>
      </x:c>
      <x:c r="D256" s="18" t="str">
        <x:v>Model: Y
Source: vertical
FFL ±0.000 → Shown arch apex witness</x:v>
      </x:c>
      <x:c r="E256" s="24" t="n">
        <x:v>5370</x:v>
      </x:c>
      <x:c r="F256" s="25" t="str">
        <x:v>mm</x:v>
      </x:c>
      <x:c r="G256" s="22" t="n">
        <x:f>IF(COUNTBLANK(E256)&gt;0,"",E256)</x:f>
        <x:v>5370</x:v>
      </x:c>
      <x:c r="H256" s="23" t="n">
        <x:f>IF(COUNTBLANK(G256)&gt;0,"",G256/1000)</x:f>
        <x:v>5.37</x:v>
      </x:c>
      <x:c r="I256" s="18" t="str">
        <x:v>Ghi trên bản vẽ / Explicit</x:v>
      </x:c>
      <x:c r="J256" s="18" t="str">
        <x:v>Tờ 1
File 1</x:v>
      </x:c>
      <x:c r="K256" s="18" t="str">
        <x:v>Right tower ground-level portal</x:v>
      </x:c>
      <x:c r="L256" s="18" t="str">
        <x:v>5370</x:v>
      </x:c>
      <x:c r="M256" s="18" t="str">
        <x:v>Read from tiny outlined numerals using diagnostic line-width-reduced rendering. The endpoints differ: central/intermediate dimensions end at a flat transom; tower dimension ends at the arch apex. Do not treat all as a door schedule.</x:v>
      </x:c>
    </x:row>
    <x:row r="257" ht="48" hidden="0" customHeight="1">
      <x:c r="A257" s="18" t="str">
        <x:v>E037</x:v>
      </x:c>
      <x:c r="B257" s="18" t="str">
        <x:v>Kích thước đứng hốc giữa
Central upper niche dimension</x:v>
      </x:c>
      <x:c r="C257" s="18" t="str">
        <x:v>height between shown witnesses</x:v>
      </x:c>
      <x:c r="D257" s="18" t="str">
        <x:v>Model: Y
Source: vertical
Top of shown pedestal witness → Upper shown niche witness</x:v>
      </x:c>
      <x:c r="E257" s="24" t="n">
        <x:v>2930</x:v>
      </x:c>
      <x:c r="F257" s="25" t="str">
        <x:v>mm</x:v>
      </x:c>
      <x:c r="G257" s="22" t="n">
        <x:f>IF(COUNTBLANK(E257)&gt;0,"",E257)</x:f>
        <x:v>2930</x:v>
      </x:c>
      <x:c r="H257" s="23" t="n">
        <x:f>IF(COUNTBLANK(G257)&gt;0,"",G257/1000)</x:f>
        <x:v>2.93</x:v>
      </x:c>
      <x:c r="I257" s="18" t="str">
        <x:v>Ghi trên bản vẽ / Explicit</x:v>
      </x:c>
      <x:c r="J257" s="18" t="str">
        <x:v>Tờ 1
File 1</x:v>
      </x:c>
      <x:c r="K257" s="18" t="str">
        <x:v>Upper central ornamental niche</x:v>
      </x:c>
      <x:c r="L257" s="18" t="str">
        <x:v>2930</x:v>
      </x:c>
      <x:c r="M257" s="18" t="str">
        <x:v>Dimension line is inside the niche; record as shown witness-line height. It is not the full outside height of the ornamental assembly.</x:v>
      </x:c>
    </x:row>
    <x:row r="258" ht="48" hidden="0" customHeight="1">
      <x:c r="A258" s="18" t="str">
        <x:v>E038</x:v>
      </x:c>
      <x:c r="B258" s="18" t="str">
        <x:v>Kích thước đứng hốc trái
Left upper niche dimension</x:v>
      </x:c>
      <x:c r="C258" s="18" t="str">
        <x:v>height between shown witnesses</x:v>
      </x:c>
      <x:c r="D258" s="18" t="str">
        <x:v>Model: Y
Source: vertical
Top of shown pedestal witness → Upper shown niche witness</x:v>
      </x:c>
      <x:c r="E258" s="24" t="n">
        <x:v>1950</x:v>
      </x:c>
      <x:c r="F258" s="25" t="str">
        <x:v>mm</x:v>
      </x:c>
      <x:c r="G258" s="22" t="n">
        <x:f>IF(COUNTBLANK(E258)&gt;0,"",E258)</x:f>
        <x:v>1950</x:v>
      </x:c>
      <x:c r="H258" s="23" t="n">
        <x:f>IF(COUNTBLANK(G258)&gt;0,"",G258/1000)</x:f>
        <x:v>1.95</x:v>
      </x:c>
      <x:c r="I258" s="18" t="str">
        <x:v>Ghi trên bản vẽ / Explicit</x:v>
      </x:c>
      <x:c r="J258" s="18" t="str">
        <x:v>Tờ 1
File 1</x:v>
      </x:c>
      <x:c r="K258" s="18" t="str">
        <x:v>Upper left ornamental niche</x:v>
      </x:c>
      <x:c r="L258" s="18" t="str">
        <x:v>1950</x:v>
      </x:c>
      <x:c r="M258" s="18" t="str">
        <x:v>Dimension line is inside the niche; record as shown witness-line height. It is not the full outside height of the ornamental assembly.</x:v>
      </x:c>
    </x:row>
    <x:row r="259" ht="48" hidden="0" customHeight="1">
      <x:c r="A259" s="18" t="str">
        <x:v>E039</x:v>
      </x:c>
      <x:c r="B259" s="18" t="str">
        <x:v>Kích thước đứng hốc phải
Right upper niche dimension</x:v>
      </x:c>
      <x:c r="C259" s="18" t="str">
        <x:v>height between shown witnesses</x:v>
      </x:c>
      <x:c r="D259" s="18" t="str">
        <x:v>Model: Y
Source: vertical
Top of shown pedestal witness → Upper shown niche witness</x:v>
      </x:c>
      <x:c r="E259" s="24" t="n">
        <x:v>1950</x:v>
      </x:c>
      <x:c r="F259" s="25" t="str">
        <x:v>mm</x:v>
      </x:c>
      <x:c r="G259" s="22" t="n">
        <x:f>IF(COUNTBLANK(E259)&gt;0,"",E259)</x:f>
        <x:v>1950</x:v>
      </x:c>
      <x:c r="H259" s="23" t="n">
        <x:f>IF(COUNTBLANK(G259)&gt;0,"",G259/1000)</x:f>
        <x:v>1.95</x:v>
      </x:c>
      <x:c r="I259" s="18" t="str">
        <x:v>Ghi trên bản vẽ / Explicit</x:v>
      </x:c>
      <x:c r="J259" s="18" t="str">
        <x:v>Tờ 1
File 1</x:v>
      </x:c>
      <x:c r="K259" s="18" t="str">
        <x:v>Upper right ornamental niche</x:v>
      </x:c>
      <x:c r="L259" s="18" t="str">
        <x:v>1950</x:v>
      </x:c>
      <x:c r="M259" s="18" t="str">
        <x:v>Dimension line is inside the niche; record as shown witness-line height. It is not the full outside height of the ornamental assembly.</x:v>
      </x:c>
    </x:row>
    <x:row r="260" ht="36" hidden="0" customHeight="1">
      <x:c r="A260" s="18" t="str">
        <x:v>E040</x:v>
      </x:c>
      <x:c r="B260" s="18" t="str">
        <x:v>Mặt sân
Courtyard grade</x:v>
      </x:c>
      <x:c r="C260" s="18" t="str">
        <x:v>elevation</x:v>
      </x:c>
      <x:c r="D260" s="18" t="str">
        <x:v>Model: Y
Source: vertical
FFL ±0.000 → Courtyard grade</x:v>
      </x:c>
      <x:c r="E260" s="26" t="n">
        <x:v>-2.08</x:v>
      </x:c>
      <x:c r="F260" s="25" t="str">
        <x:v>m</x:v>
      </x:c>
      <x:c r="G260" s="22" t="n">
        <x:f>IF(COUNTBLANK(E260)&gt;0,"",E260*1000)</x:f>
        <x:v>-2080</x:v>
      </x:c>
      <x:c r="H260" s="23" t="n">
        <x:f>IF(COUNTBLANK(G260)&gt;0,"",G260/1000)</x:f>
        <x:v>-2.08</x:v>
      </x:c>
      <x:c r="I260" s="18" t="str">
        <x:v>Ghi trên bản vẽ / Explicit</x:v>
      </x:c>
      <x:c r="J260" s="18" t="str">
        <x:v>Tờ 2
File 2</x:v>
      </x:c>
      <x:c r="K260" s="18" t="str">
        <x:v>Left elevation markers</x:v>
      </x:c>
      <x:c r="L260" s="18" t="str">
        <x:v>-2,08M</x:v>
      </x:c>
      <x:c r="M260" s="18" t="str">
        <x:v>Cross-check of sheet 1. Sheet 2 title is MẶT ĐỨNG HAI BÊN, a common elevation for both sides.</x:v>
      </x:c>
    </x:row>
    <x:row r="261" ht="36" hidden="0" customHeight="1">
      <x:c r="A261" s="18" t="str">
        <x:v>E041</x:v>
      </x:c>
      <x:c r="B261" s="18" t="str">
        <x:v>Cốt sàn chuẩn
Floor datum</x:v>
      </x:c>
      <x:c r="C261" s="18" t="str">
        <x:v>elevation</x:v>
      </x:c>
      <x:c r="D261" s="18" t="str">
        <x:v>Model: Y
Source: vertical
FFL ±0.000 → Floor datum</x:v>
      </x:c>
      <x:c r="E261" s="26" t="n">
        <x:v>0</x:v>
      </x:c>
      <x:c r="F261" s="25" t="str">
        <x:v>m</x:v>
      </x:c>
      <x:c r="G261" s="22" t="n">
        <x:f>IF(COUNTBLANK(E261)&gt;0,"",E261*1000)</x:f>
        <x:v>0</x:v>
      </x:c>
      <x:c r="H261" s="23" t="n">
        <x:f>IF(COUNTBLANK(G261)&gt;0,"",G261/1000)</x:f>
        <x:v>0</x:v>
      </x:c>
      <x:c r="I261" s="18" t="str">
        <x:v>Ghi trên bản vẽ / Explicit</x:v>
      </x:c>
      <x:c r="J261" s="18" t="str">
        <x:v>Tờ 2
File 2</x:v>
      </x:c>
      <x:c r="K261" s="18" t="str">
        <x:v>Left elevation markers</x:v>
      </x:c>
      <x:c r="L261" s="18" t="str">
        <x:v>+00M</x:v>
      </x:c>
      <x:c r="M261" s="18" t="str">
        <x:v>Cross-check of sheet 1. Sheet 2 title is MẶT ĐỨNG HAI BÊN, a common elevation for both sides.</x:v>
      </x:c>
    </x:row>
    <x:row r="262" ht="48" hidden="0" customHeight="1">
      <x:c r="A262" s="18" t="str">
        <x:v>E042</x:v>
      </x:c>
      <x:c r="B262" s="18" t="str">
        <x:v>Đỉnh tầng đế tháp
Tower base-stage upper level</x:v>
      </x:c>
      <x:c r="C262" s="18" t="str">
        <x:v>elevation</x:v>
      </x:c>
      <x:c r="D262" s="18" t="str">
        <x:v>Model: Y
Source: vertical
FFL ±0.000 → Tower base-stage upper level</x:v>
      </x:c>
      <x:c r="E262" s="26" t="n">
        <x:v>8.39</x:v>
      </x:c>
      <x:c r="F262" s="25" t="str">
        <x:v>m</x:v>
      </x:c>
      <x:c r="G262" s="22" t="n">
        <x:f>IF(COUNTBLANK(E262)&gt;0,"",E262*1000)</x:f>
        <x:v>8390</x:v>
      </x:c>
      <x:c r="H262" s="23" t="n">
        <x:f>IF(COUNTBLANK(G262)&gt;0,"",G262/1000)</x:f>
        <x:v>8.39</x:v>
      </x:c>
      <x:c r="I262" s="18" t="str">
        <x:v>Ghi trên bản vẽ / Explicit</x:v>
      </x:c>
      <x:c r="J262" s="18" t="str">
        <x:v>Tờ 2
File 2</x:v>
      </x:c>
      <x:c r="K262" s="18" t="str">
        <x:v>Left elevation markers</x:v>
      </x:c>
      <x:c r="L262" s="18" t="str">
        <x:v>+8,390M</x:v>
      </x:c>
      <x:c r="M262" s="18" t="str">
        <x:v>Cross-check of sheet 1. Sheet 2 title is MẶT ĐỨNG HAI BÊN, a common elevation for both sides.</x:v>
      </x:c>
    </x:row>
    <x:row r="263" ht="48" hidden="0" customHeight="1">
      <x:c r="A263" s="18" t="str">
        <x:v>E043</x:v>
      </x:c>
      <x:c r="B263" s="18" t="str">
        <x:v>Đỉnh tầng tháp 1
First upper tower stage level</x:v>
      </x:c>
      <x:c r="C263" s="18" t="str">
        <x:v>elevation</x:v>
      </x:c>
      <x:c r="D263" s="18" t="str">
        <x:v>Model: Y
Source: vertical
FFL ±0.000 → First upper tower stage level</x:v>
      </x:c>
      <x:c r="E263" s="26" t="n">
        <x:v>15.84</x:v>
      </x:c>
      <x:c r="F263" s="25" t="str">
        <x:v>m</x:v>
      </x:c>
      <x:c r="G263" s="22" t="n">
        <x:f>IF(COUNTBLANK(E263)&gt;0,"",E263*1000)</x:f>
        <x:v>15840</x:v>
      </x:c>
      <x:c r="H263" s="23" t="n">
        <x:f>IF(COUNTBLANK(G263)&gt;0,"",G263/1000)</x:f>
        <x:v>15.84</x:v>
      </x:c>
      <x:c r="I263" s="18" t="str">
        <x:v>Ghi trên bản vẽ / Explicit</x:v>
      </x:c>
      <x:c r="J263" s="18" t="str">
        <x:v>Tờ 2
File 2</x:v>
      </x:c>
      <x:c r="K263" s="18" t="str">
        <x:v>Left elevation markers</x:v>
      </x:c>
      <x:c r="L263" s="18" t="str">
        <x:v>+15,840M</x:v>
      </x:c>
      <x:c r="M263" s="18" t="str">
        <x:v>Cross-check of sheet 1. Sheet 2 title is MẶT ĐỨNG HAI BÊN, a common elevation for both sides.</x:v>
      </x:c>
    </x:row>
    <x:row r="264" ht="48" hidden="0" customHeight="1">
      <x:c r="A264" s="18" t="str">
        <x:v>E044</x:v>
      </x:c>
      <x:c r="B264" s="18" t="str">
        <x:v>Đỉnh tầng tháp 2
Second upper tower stage level</x:v>
      </x:c>
      <x:c r="C264" s="18" t="str">
        <x:v>elevation</x:v>
      </x:c>
      <x:c r="D264" s="18" t="str">
        <x:v>Model: Y
Source: vertical
FFL ±0.000 → Second upper tower stage level</x:v>
      </x:c>
      <x:c r="E264" s="26" t="n">
        <x:v>23.14</x:v>
      </x:c>
      <x:c r="F264" s="25" t="str">
        <x:v>m</x:v>
      </x:c>
      <x:c r="G264" s="22" t="n">
        <x:f>IF(COUNTBLANK(E264)&gt;0,"",E264*1000)</x:f>
        <x:v>23140</x:v>
      </x:c>
      <x:c r="H264" s="23" t="n">
        <x:f>IF(COUNTBLANK(G264)&gt;0,"",G264/1000)</x:f>
        <x:v>23.14</x:v>
      </x:c>
      <x:c r="I264" s="18" t="str">
        <x:v>Ghi trên bản vẽ / Explicit</x:v>
      </x:c>
      <x:c r="J264" s="18" t="str">
        <x:v>Tờ 2
File 2</x:v>
      </x:c>
      <x:c r="K264" s="18" t="str">
        <x:v>Left elevation markers</x:v>
      </x:c>
      <x:c r="L264" s="18" t="str">
        <x:v>+23,140M</x:v>
      </x:c>
      <x:c r="M264" s="18" t="str">
        <x:v>Cross-check of sheet 1. Sheet 2 title is MẶT ĐỨNG HAI BÊN, a common elevation for both sides.</x:v>
      </x:c>
    </x:row>
    <x:row r="265" ht="48" hidden="0" customHeight="1">
      <x:c r="A265" s="18" t="str">
        <x:v>E045</x:v>
      </x:c>
      <x:c r="B265" s="18" t="str">
        <x:v>Đáy mái cong tháp
Tower curved-cap base level</x:v>
      </x:c>
      <x:c r="C265" s="18" t="str">
        <x:v>elevation</x:v>
      </x:c>
      <x:c r="D265" s="18" t="str">
        <x:v>Model: Y
Source: vertical
FFL ±0.000 → Tower curved-cap base level</x:v>
      </x:c>
      <x:c r="E265" s="26" t="n">
        <x:v>29.09</x:v>
      </x:c>
      <x:c r="F265" s="25" t="str">
        <x:v>m</x:v>
      </x:c>
      <x:c r="G265" s="22" t="n">
        <x:f>IF(COUNTBLANK(E265)&gt;0,"",E265*1000)</x:f>
        <x:v>29090</x:v>
      </x:c>
      <x:c r="H265" s="23" t="n">
        <x:f>IF(COUNTBLANK(G265)&gt;0,"",G265/1000)</x:f>
        <x:v>29.09</x:v>
      </x:c>
      <x:c r="I265" s="18" t="str">
        <x:v>Ghi trên bản vẽ / Explicit</x:v>
      </x:c>
      <x:c r="J265" s="18" t="str">
        <x:v>Tờ 2
File 2</x:v>
      </x:c>
      <x:c r="K265" s="18" t="str">
        <x:v>Left elevation markers</x:v>
      </x:c>
      <x:c r="L265" s="18" t="str">
        <x:v>+29,09M</x:v>
      </x:c>
      <x:c r="M265" s="18" t="str">
        <x:v>Cross-check of sheet 1. Sheet 2 title is MẶT ĐỨNG HAI BÊN, a common elevation for both sides.</x:v>
      </x:c>
    </x:row>
    <x:row r="266" ht="36" hidden="0" customHeight="1">
      <x:c r="A266" s="18" t="str">
        <x:v>E046</x:v>
      </x:c>
      <x:c r="B266" s="18" t="str">
        <x:v>Đỉnh thánh giá tháp
Tower cross top</x:v>
      </x:c>
      <x:c r="C266" s="18" t="str">
        <x:v>elevation</x:v>
      </x:c>
      <x:c r="D266" s="18" t="str">
        <x:v>Model: Y
Source: vertical
FFL ±0.000 → Tower cross top</x:v>
      </x:c>
      <x:c r="E266" s="26" t="n">
        <x:v>36.92</x:v>
      </x:c>
      <x:c r="F266" s="25" t="str">
        <x:v>m</x:v>
      </x:c>
      <x:c r="G266" s="22" t="n">
        <x:f>IF(COUNTBLANK(E266)&gt;0,"",E266*1000)</x:f>
        <x:v>36920</x:v>
      </x:c>
      <x:c r="H266" s="23" t="n">
        <x:f>IF(COUNTBLANK(G266)&gt;0,"",G266/1000)</x:f>
        <x:v>36.92</x:v>
      </x:c>
      <x:c r="I266" s="18" t="str">
        <x:v>Ghi trên bản vẽ / Explicit</x:v>
      </x:c>
      <x:c r="J266" s="18" t="str">
        <x:v>Tờ 2
File 2</x:v>
      </x:c>
      <x:c r="K266" s="18" t="str">
        <x:v>Left elevation markers</x:v>
      </x:c>
      <x:c r="L266" s="18" t="str">
        <x:v>+36,920M</x:v>
      </x:c>
      <x:c r="M266" s="18" t="str">
        <x:v>Cross-check of sheet 1. Sheet 2 title is MẶT ĐỨNG HAI BÊN, a common elevation for both sides.</x:v>
      </x:c>
    </x:row>
    <x:row r="267" ht="48" hidden="0" customHeight="1">
      <x:c r="A267" s="18" t="str">
        <x:v>E047</x:v>
      </x:c>
      <x:c r="B267" s="18" t="str">
        <x:v>Cao độ diềm mái
Eaves/cornice reference</x:v>
      </x:c>
      <x:c r="C267" s="18" t="str">
        <x:v>elevation</x:v>
      </x:c>
      <x:c r="D267" s="18" t="str">
        <x:v>Model: Y
Source: vertical
FFL ±0.000 → Eaves/cornice reference</x:v>
      </x:c>
      <x:c r="E267" s="26" t="n">
        <x:v>6.324</x:v>
      </x:c>
      <x:c r="F267" s="25" t="str">
        <x:v>m</x:v>
      </x:c>
      <x:c r="G267" s="22" t="n">
        <x:f>IF(COUNTBLANK(E267)&gt;0,"",E267*1000)</x:f>
        <x:v>6324</x:v>
      </x:c>
      <x:c r="H267" s="23" t="n">
        <x:f>IF(COUNTBLANK(G267)&gt;0,"",G267/1000)</x:f>
        <x:v>6.324</x:v>
      </x:c>
      <x:c r="I267" s="18" t="str">
        <x:v>Ghi trên bản vẽ / Explicit</x:v>
      </x:c>
      <x:c r="J267" s="18" t="str">
        <x:v>Tờ 2
File 2</x:v>
      </x:c>
      <x:c r="K267" s="18" t="str">
        <x:v>Right elevation markers</x:v>
      </x:c>
      <x:c r="L267" s="18" t="str">
        <x:v>+6,324M</x:v>
      </x:c>
      <x:c r="M267" s="18" t="str">
        <x:v>Also explicitly labeled on sheet 3. Match exact architectural witness on original drawing; no decorative geometry inferred from level alone.</x:v>
      </x:c>
    </x:row>
    <x:row r="268" ht="48" hidden="0" customHeight="1">
      <x:c r="A268" s="18" t="str">
        <x:v>E048</x:v>
      </x:c>
      <x:c r="B268" s="18" t="str">
        <x:v>Cao độ mặt đầu trung gian
Opposite-end intermediate facade reference</x:v>
      </x:c>
      <x:c r="C268" s="18" t="str">
        <x:v>elevation</x:v>
      </x:c>
      <x:c r="D268" s="18" t="str">
        <x:v>Model: Y
Source: vertical
FFL ±0.000 → Opposite-end intermediate facade reference</x:v>
      </x:c>
      <x:c r="E268" s="26" t="n">
        <x:v>8.575</x:v>
      </x:c>
      <x:c r="F268" s="25" t="str">
        <x:v>m</x:v>
      </x:c>
      <x:c r="G268" s="22" t="n">
        <x:f>IF(COUNTBLANK(E268)&gt;0,"",E268*1000)</x:f>
        <x:v>8575</x:v>
      </x:c>
      <x:c r="H268" s="23" t="n">
        <x:f>IF(COUNTBLANK(G268)&gt;0,"",G268/1000)</x:f>
        <x:v>8.575</x:v>
      </x:c>
      <x:c r="I268" s="18" t="str">
        <x:v>Ghi trên bản vẽ / Explicit</x:v>
      </x:c>
      <x:c r="J268" s="18" t="str">
        <x:v>Tờ 2
File 2</x:v>
      </x:c>
      <x:c r="K268" s="18" t="str">
        <x:v>Right elevation markers</x:v>
      </x:c>
      <x:c r="L268" s="18" t="str">
        <x:v>+8,575M</x:v>
      </x:c>
      <x:c r="M268" s="18" t="str">
        <x:v>Also explicitly labeled on sheet 3. Match exact architectural witness on original drawing; no decorative geometry inferred from level alone.</x:v>
      </x:c>
    </x:row>
    <x:row r="269" ht="48" hidden="0" customHeight="1">
      <x:c r="A269" s="18" t="str">
        <x:v>E049</x:v>
      </x:c>
      <x:c r="B269" s="18" t="str">
        <x:v>Cao độ đỉnh mái chính
Main roof ridge/reference</x:v>
      </x:c>
      <x:c r="C269" s="18" t="str">
        <x:v>elevation</x:v>
      </x:c>
      <x:c r="D269" s="18" t="str">
        <x:v>Model: Y
Source: vertical
FFL ±0.000 → Main roof ridge/reference</x:v>
      </x:c>
      <x:c r="E269" s="26" t="n">
        <x:v>12.472</x:v>
      </x:c>
      <x:c r="F269" s="25" t="str">
        <x:v>m</x:v>
      </x:c>
      <x:c r="G269" s="22" t="n">
        <x:f>IF(COUNTBLANK(E269)&gt;0,"",E269*1000)</x:f>
        <x:v>12472</x:v>
      </x:c>
      <x:c r="H269" s="23" t="n">
        <x:f>IF(COUNTBLANK(G269)&gt;0,"",G269/1000)</x:f>
        <x:v>12.472</x:v>
      </x:c>
      <x:c r="I269" s="18" t="str">
        <x:v>Ghi trên bản vẽ / Explicit</x:v>
      </x:c>
      <x:c r="J269" s="18" t="str">
        <x:v>Tờ 2
File 2</x:v>
      </x:c>
      <x:c r="K269" s="18" t="str">
        <x:v>Right elevation markers</x:v>
      </x:c>
      <x:c r="L269" s="18" t="str">
        <x:v>+12,472M</x:v>
      </x:c>
      <x:c r="M269" s="18" t="str">
        <x:v>Also explicitly labeled on sheet 3. Match exact architectural witness on original drawing; no decorative geometry inferred from level alone.</x:v>
      </x:c>
    </x:row>
    <x:row r="270" ht="48" hidden="0" customHeight="1">
      <x:c r="A270" s="18" t="str">
        <x:v>E050</x:v>
      </x:c>
      <x:c r="B270" s="18" t="str">
        <x:v>Đỉnh thánh giá đầu nhà
Opposite-end cross top</x:v>
      </x:c>
      <x:c r="C270" s="18" t="str">
        <x:v>elevation</x:v>
      </x:c>
      <x:c r="D270" s="18" t="str">
        <x:v>Model: Y
Source: vertical
FFL ±0.000 → Opposite-end cross top</x:v>
      </x:c>
      <x:c r="E270" s="26" t="n">
        <x:v>17.829</x:v>
      </x:c>
      <x:c r="F270" s="25" t="str">
        <x:v>m</x:v>
      </x:c>
      <x:c r="G270" s="22" t="n">
        <x:f>IF(COUNTBLANK(E270)&gt;0,"",E270*1000)</x:f>
        <x:v>17829</x:v>
      </x:c>
      <x:c r="H270" s="23" t="n">
        <x:f>IF(COUNTBLANK(G270)&gt;0,"",G270/1000)</x:f>
        <x:v>17.829</x:v>
      </x:c>
      <x:c r="I270" s="18" t="str">
        <x:v>Ghi trên bản vẽ / Explicit</x:v>
      </x:c>
      <x:c r="J270" s="18" t="str">
        <x:v>Tờ 2
File 2</x:v>
      </x:c>
      <x:c r="K270" s="18" t="str">
        <x:v>Right elevation markers</x:v>
      </x:c>
      <x:c r="L270" s="18" t="str">
        <x:v>+17,829M</x:v>
      </x:c>
      <x:c r="M270" s="18" t="str">
        <x:v>Also explicitly labeled on sheet 3. Match exact architectural witness on original drawing; no decorative geometry inferred from level alone.</x:v>
      </x:c>
    </x:row>
    <x:row r="271" ht="48" hidden="0" customHeight="1">
      <x:c r="A271" s="18" t="str">
        <x:v>E051</x:v>
      </x:c>
      <x:c r="B271" s="18" t="str">
        <x:v>Chuỗi kích thước dọc nhà
Longitudinal elevation chain</x:v>
      </x:c>
      <x:c r="C271" s="18" t="str">
        <x:v>longitudinal span</x:v>
      </x:c>
      <x:c r="D271" s="18" t="str">
        <x:v>Model: X
Source: longitudinal
Front ramp/approach toe witness → Grid 1</x:v>
      </x:c>
      <x:c r="E271" s="24" t="n">
        <x:v>13194</x:v>
      </x:c>
      <x:c r="F271" s="25" t="str">
        <x:v>mm</x:v>
      </x:c>
      <x:c r="G271" s="22" t="n">
        <x:f>IF(COUNTBLANK(E271)&gt;0,"",E271)</x:f>
        <x:v>13194</x:v>
      </x:c>
      <x:c r="H271" s="23" t="n">
        <x:f>IF(COUNTBLANK(G271)&gt;0,"",G271/1000)</x:f>
        <x:v>13.194</x:v>
      </x:c>
      <x:c r="I271" s="18" t="str">
        <x:v>Ghi trên bản vẽ / Explicit</x:v>
      </x:c>
      <x:c r="J271" s="18" t="str">
        <x:v>Tờ 2
File 2</x:v>
      </x:c>
      <x:c r="K271" s="18" t="str">
        <x:v>Bottom dimension chain</x:v>
      </x:c>
      <x:c r="L271" s="18" t="str">
        <x:v>13194</x:v>
      </x:c>
      <x:c r="M271" s="18" t="str">
        <x:v>13,194 mm is the approach/ramp segment outside grid 1, not a building room.</x:v>
      </x:c>
    </x:row>
    <x:row r="272" ht="36" hidden="0" customHeight="1">
      <x:c r="A272" s="18" t="str">
        <x:v>E052</x:v>
      </x:c>
      <x:c r="B272" s="18" t="str">
        <x:v>Chuỗi kích thước dọc nhà
Longitudinal elevation chain</x:v>
      </x:c>
      <x:c r="C272" s="18" t="str">
        <x:v>longitudinal span</x:v>
      </x:c>
      <x:c r="D272" s="18" t="str">
        <x:v>Model: X
Source: longitudinal
Grid 1 → Grid 2</x:v>
      </x:c>
      <x:c r="E272" s="24" t="n">
        <x:v>4900</x:v>
      </x:c>
      <x:c r="F272" s="25" t="str">
        <x:v>mm</x:v>
      </x:c>
      <x:c r="G272" s="22" t="n">
        <x:f>IF(COUNTBLANK(E272)&gt;0,"",E272)</x:f>
        <x:v>4900</x:v>
      </x:c>
      <x:c r="H272" s="23" t="n">
        <x:f>IF(COUNTBLANK(G272)&gt;0,"",G272/1000)</x:f>
        <x:v>4.9</x:v>
      </x:c>
      <x:c r="I272" s="18" t="str">
        <x:v>Ghi trên bản vẽ / Explicit</x:v>
      </x:c>
      <x:c r="J272" s="18" t="str">
        <x:v>Tờ 2
File 2</x:v>
      </x:c>
      <x:c r="K272" s="18" t="str">
        <x:v>Bottom dimension chain</x:v>
      </x:c>
      <x:c r="L272" s="18" t="str">
        <x:v>4900</x:v>
      </x:c>
      <x:c r="M272" s="18" t="str"/>
    </x:row>
    <x:row r="273" ht="36" hidden="0" customHeight="1">
      <x:c r="A273" s="18" t="str">
        <x:v>E053</x:v>
      </x:c>
      <x:c r="B273" s="18" t="str">
        <x:v>Chuỗi kích thước dọc nhà
Longitudinal elevation chain</x:v>
      </x:c>
      <x:c r="C273" s="18" t="str">
        <x:v>longitudinal span</x:v>
      </x:c>
      <x:c r="D273" s="18" t="str">
        <x:v>Model: X
Source: longitudinal
Grid 2 → Grid 2*</x:v>
      </x:c>
      <x:c r="E273" s="24" t="n">
        <x:v>575</x:v>
      </x:c>
      <x:c r="F273" s="25" t="str">
        <x:v>mm</x:v>
      </x:c>
      <x:c r="G273" s="22" t="n">
        <x:f>IF(COUNTBLANK(E273)&gt;0,"",E273)</x:f>
        <x:v>575</x:v>
      </x:c>
      <x:c r="H273" s="23" t="n">
        <x:f>IF(COUNTBLANK(G273)&gt;0,"",G273/1000)</x:f>
        <x:v>0.575</x:v>
      </x:c>
      <x:c r="I273" s="18" t="str">
        <x:v>Ghi trên bản vẽ / Explicit</x:v>
      </x:c>
      <x:c r="J273" s="18" t="str">
        <x:v>Tờ 2
File 2</x:v>
      </x:c>
      <x:c r="K273" s="18" t="str">
        <x:v>Bottom dimension chain</x:v>
      </x:c>
      <x:c r="L273" s="18" t="str">
        <x:v>575</x:v>
      </x:c>
      <x:c r="M273" s="18" t="str"/>
    </x:row>
    <x:row r="274" ht="36" hidden="0" customHeight="1">
      <x:c r="A274" s="18" t="str">
        <x:v>E054</x:v>
      </x:c>
      <x:c r="B274" s="18" t="str">
        <x:v>Chuỗi kích thước dọc nhà
Longitudinal elevation chain</x:v>
      </x:c>
      <x:c r="C274" s="18" t="str">
        <x:v>longitudinal span</x:v>
      </x:c>
      <x:c r="D274" s="18" t="str">
        <x:v>Model: X
Source: longitudinal
Grid 2* → Grid 3</x:v>
      </x:c>
      <x:c r="E274" s="24" t="n">
        <x:v>4500</x:v>
      </x:c>
      <x:c r="F274" s="25" t="str">
        <x:v>mm</x:v>
      </x:c>
      <x:c r="G274" s="22" t="n">
        <x:f>IF(COUNTBLANK(E274)&gt;0,"",E274)</x:f>
        <x:v>4500</x:v>
      </x:c>
      <x:c r="H274" s="23" t="n">
        <x:f>IF(COUNTBLANK(G274)&gt;0,"",G274/1000)</x:f>
        <x:v>4.5</x:v>
      </x:c>
      <x:c r="I274" s="18" t="str">
        <x:v>Ghi trên bản vẽ / Explicit</x:v>
      </x:c>
      <x:c r="J274" s="18" t="str">
        <x:v>Tờ 2
File 2</x:v>
      </x:c>
      <x:c r="K274" s="18" t="str">
        <x:v>Bottom dimension chain</x:v>
      </x:c>
      <x:c r="L274" s="18" t="str">
        <x:v>4500</x:v>
      </x:c>
      <x:c r="M274" s="18" t="str"/>
    </x:row>
    <x:row r="275" ht="36" hidden="0" customHeight="1">
      <x:c r="A275" s="18" t="str">
        <x:v>E055</x:v>
      </x:c>
      <x:c r="B275" s="18" t="str">
        <x:v>Chuỗi kích thước dọc nhà
Longitudinal elevation chain</x:v>
      </x:c>
      <x:c r="C275" s="18" t="str">
        <x:v>longitudinal span</x:v>
      </x:c>
      <x:c r="D275" s="18" t="str">
        <x:v>Model: X
Source: longitudinal
Grid 3 → Grid 4</x:v>
      </x:c>
      <x:c r="E275" s="24" t="n">
        <x:v>4500</x:v>
      </x:c>
      <x:c r="F275" s="25" t="str">
        <x:v>mm</x:v>
      </x:c>
      <x:c r="G275" s="22" t="n">
        <x:f>IF(COUNTBLANK(E275)&gt;0,"",E275)</x:f>
        <x:v>4500</x:v>
      </x:c>
      <x:c r="H275" s="23" t="n">
        <x:f>IF(COUNTBLANK(G275)&gt;0,"",G275/1000)</x:f>
        <x:v>4.5</x:v>
      </x:c>
      <x:c r="I275" s="18" t="str">
        <x:v>Ghi trên bản vẽ / Explicit</x:v>
      </x:c>
      <x:c r="J275" s="18" t="str">
        <x:v>Tờ 2
File 2</x:v>
      </x:c>
      <x:c r="K275" s="18" t="str">
        <x:v>Bottom dimension chain</x:v>
      </x:c>
      <x:c r="L275" s="18" t="str">
        <x:v>4500</x:v>
      </x:c>
      <x:c r="M275" s="18" t="str"/>
    </x:row>
    <x:row r="276" ht="36" hidden="0" customHeight="1">
      <x:c r="A276" s="18" t="str">
        <x:v>E056</x:v>
      </x:c>
      <x:c r="B276" s="18" t="str">
        <x:v>Chuỗi kích thước dọc nhà
Longitudinal elevation chain</x:v>
      </x:c>
      <x:c r="C276" s="18" t="str">
        <x:v>longitudinal span</x:v>
      </x:c>
      <x:c r="D276" s="18" t="str">
        <x:v>Model: X
Source: longitudinal
Grid 4 → Grid 5</x:v>
      </x:c>
      <x:c r="E276" s="24" t="n">
        <x:v>4500</x:v>
      </x:c>
      <x:c r="F276" s="25" t="str">
        <x:v>mm</x:v>
      </x:c>
      <x:c r="G276" s="22" t="n">
        <x:f>IF(COUNTBLANK(E276)&gt;0,"",E276)</x:f>
        <x:v>4500</x:v>
      </x:c>
      <x:c r="H276" s="23" t="n">
        <x:f>IF(COUNTBLANK(G276)&gt;0,"",G276/1000)</x:f>
        <x:v>4.5</x:v>
      </x:c>
      <x:c r="I276" s="18" t="str">
        <x:v>Ghi trên bản vẽ / Explicit</x:v>
      </x:c>
      <x:c r="J276" s="18" t="str">
        <x:v>Tờ 2
File 2</x:v>
      </x:c>
      <x:c r="K276" s="18" t="str">
        <x:v>Bottom dimension chain</x:v>
      </x:c>
      <x:c r="L276" s="18" t="str">
        <x:v>4500</x:v>
      </x:c>
      <x:c r="M276" s="18" t="str"/>
    </x:row>
    <x:row r="277" ht="36" hidden="0" customHeight="1">
      <x:c r="A277" s="18" t="str">
        <x:v>E057</x:v>
      </x:c>
      <x:c r="B277" s="18" t="str">
        <x:v>Chuỗi kích thước dọc nhà
Longitudinal elevation chain</x:v>
      </x:c>
      <x:c r="C277" s="18" t="str">
        <x:v>longitudinal span</x:v>
      </x:c>
      <x:c r="D277" s="18" t="str">
        <x:v>Model: X
Source: longitudinal
Grid 5 → Grid 6</x:v>
      </x:c>
      <x:c r="E277" s="24" t="n">
        <x:v>4500</x:v>
      </x:c>
      <x:c r="F277" s="25" t="str">
        <x:v>mm</x:v>
      </x:c>
      <x:c r="G277" s="22" t="n">
        <x:f>IF(COUNTBLANK(E277)&gt;0,"",E277)</x:f>
        <x:v>4500</x:v>
      </x:c>
      <x:c r="H277" s="23" t="n">
        <x:f>IF(COUNTBLANK(G277)&gt;0,"",G277/1000)</x:f>
        <x:v>4.5</x:v>
      </x:c>
      <x:c r="I277" s="18" t="str">
        <x:v>Ghi trên bản vẽ / Explicit</x:v>
      </x:c>
      <x:c r="J277" s="18" t="str">
        <x:v>Tờ 2
File 2</x:v>
      </x:c>
      <x:c r="K277" s="18" t="str">
        <x:v>Bottom dimension chain</x:v>
      </x:c>
      <x:c r="L277" s="18" t="str">
        <x:v>4500</x:v>
      </x:c>
      <x:c r="M277" s="18" t="str"/>
    </x:row>
    <x:row r="278" ht="36" hidden="0" customHeight="1">
      <x:c r="A278" s="18" t="str">
        <x:v>E058</x:v>
      </x:c>
      <x:c r="B278" s="18" t="str">
        <x:v>Chuỗi kích thước dọc nhà
Longitudinal elevation chain</x:v>
      </x:c>
      <x:c r="C278" s="18" t="str">
        <x:v>longitudinal span</x:v>
      </x:c>
      <x:c r="D278" s="18" t="str">
        <x:v>Model: X
Source: longitudinal
Grid 6 → Grid 7</x:v>
      </x:c>
      <x:c r="E278" s="24" t="n">
        <x:v>4500</x:v>
      </x:c>
      <x:c r="F278" s="25" t="str">
        <x:v>mm</x:v>
      </x:c>
      <x:c r="G278" s="22" t="n">
        <x:f>IF(COUNTBLANK(E278)&gt;0,"",E278)</x:f>
        <x:v>4500</x:v>
      </x:c>
      <x:c r="H278" s="23" t="n">
        <x:f>IF(COUNTBLANK(G278)&gt;0,"",G278/1000)</x:f>
        <x:v>4.5</x:v>
      </x:c>
      <x:c r="I278" s="18" t="str">
        <x:v>Ghi trên bản vẽ / Explicit</x:v>
      </x:c>
      <x:c r="J278" s="18" t="str">
        <x:v>Tờ 2
File 2</x:v>
      </x:c>
      <x:c r="K278" s="18" t="str">
        <x:v>Bottom dimension chain</x:v>
      </x:c>
      <x:c r="L278" s="18" t="str">
        <x:v>4500</x:v>
      </x:c>
      <x:c r="M278" s="18" t="str"/>
    </x:row>
    <x:row r="279" ht="36" hidden="0" customHeight="1">
      <x:c r="A279" s="18" t="str">
        <x:v>E059</x:v>
      </x:c>
      <x:c r="B279" s="18" t="str">
        <x:v>Chuỗi kích thước dọc nhà
Longitudinal elevation chain</x:v>
      </x:c>
      <x:c r="C279" s="18" t="str">
        <x:v>longitudinal span</x:v>
      </x:c>
      <x:c r="D279" s="18" t="str">
        <x:v>Model: X
Source: longitudinal
Grid 7 → Grid 8</x:v>
      </x:c>
      <x:c r="E279" s="24" t="n">
        <x:v>4500</x:v>
      </x:c>
      <x:c r="F279" s="25" t="str">
        <x:v>mm</x:v>
      </x:c>
      <x:c r="G279" s="22" t="n">
        <x:f>IF(COUNTBLANK(E279)&gt;0,"",E279)</x:f>
        <x:v>4500</x:v>
      </x:c>
      <x:c r="H279" s="23" t="n">
        <x:f>IF(COUNTBLANK(G279)&gt;0,"",G279/1000)</x:f>
        <x:v>4.5</x:v>
      </x:c>
      <x:c r="I279" s="18" t="str">
        <x:v>Ghi trên bản vẽ / Explicit</x:v>
      </x:c>
      <x:c r="J279" s="18" t="str">
        <x:v>Tờ 2
File 2</x:v>
      </x:c>
      <x:c r="K279" s="18" t="str">
        <x:v>Bottom dimension chain</x:v>
      </x:c>
      <x:c r="L279" s="18" t="str">
        <x:v>4500</x:v>
      </x:c>
      <x:c r="M279" s="18" t="str"/>
    </x:row>
    <x:row r="280" ht="36" hidden="0" customHeight="1">
      <x:c r="A280" s="18" t="str">
        <x:v>E060</x:v>
      </x:c>
      <x:c r="B280" s="18" t="str">
        <x:v>Chuỗi kích thước dọc nhà
Longitudinal elevation chain</x:v>
      </x:c>
      <x:c r="C280" s="18" t="str">
        <x:v>longitudinal span</x:v>
      </x:c>
      <x:c r="D280" s="18" t="str">
        <x:v>Model: X
Source: longitudinal
Grid 8 → Grid 9</x:v>
      </x:c>
      <x:c r="E280" s="24" t="n">
        <x:v>4500</x:v>
      </x:c>
      <x:c r="F280" s="25" t="str">
        <x:v>mm</x:v>
      </x:c>
      <x:c r="G280" s="22" t="n">
        <x:f>IF(COUNTBLANK(E280)&gt;0,"",E280)</x:f>
        <x:v>4500</x:v>
      </x:c>
      <x:c r="H280" s="23" t="n">
        <x:f>IF(COUNTBLANK(G280)&gt;0,"",G280/1000)</x:f>
        <x:v>4.5</x:v>
      </x:c>
      <x:c r="I280" s="18" t="str">
        <x:v>Ghi trên bản vẽ / Explicit</x:v>
      </x:c>
      <x:c r="J280" s="18" t="str">
        <x:v>Tờ 2
File 2</x:v>
      </x:c>
      <x:c r="K280" s="18" t="str">
        <x:v>Bottom dimension chain</x:v>
      </x:c>
      <x:c r="L280" s="18" t="str">
        <x:v>4500</x:v>
      </x:c>
      <x:c r="M280" s="18" t="str"/>
    </x:row>
    <x:row r="281" ht="36" hidden="0" customHeight="1">
      <x:c r="A281" s="18" t="str">
        <x:v>E061</x:v>
      </x:c>
      <x:c r="B281" s="18" t="str">
        <x:v>Chuỗi kích thước dọc nhà
Longitudinal elevation chain</x:v>
      </x:c>
      <x:c r="C281" s="18" t="str">
        <x:v>longitudinal span</x:v>
      </x:c>
      <x:c r="D281" s="18" t="str">
        <x:v>Model: X
Source: longitudinal
Grid 9 → Grid 10</x:v>
      </x:c>
      <x:c r="E281" s="24" t="n">
        <x:v>7200</x:v>
      </x:c>
      <x:c r="F281" s="25" t="str">
        <x:v>mm</x:v>
      </x:c>
      <x:c r="G281" s="22" t="n">
        <x:f>IF(COUNTBLANK(E281)&gt;0,"",E281)</x:f>
        <x:v>7200</x:v>
      </x:c>
      <x:c r="H281" s="23" t="n">
        <x:f>IF(COUNTBLANK(G281)&gt;0,"",G281/1000)</x:f>
        <x:v>7.2</x:v>
      </x:c>
      <x:c r="I281" s="18" t="str">
        <x:v>Ghi trên bản vẽ / Explicit</x:v>
      </x:c>
      <x:c r="J281" s="18" t="str">
        <x:v>Tờ 2
File 2</x:v>
      </x:c>
      <x:c r="K281" s="18" t="str">
        <x:v>Bottom dimension chain</x:v>
      </x:c>
      <x:c r="L281" s="18" t="str">
        <x:v>7200</x:v>
      </x:c>
      <x:c r="M281" s="18" t="str"/>
    </x:row>
    <x:row r="282" ht="36" hidden="0" customHeight="1">
      <x:c r="A282" s="18" t="str">
        <x:v>E062</x:v>
      </x:c>
      <x:c r="B282" s="18" t="str">
        <x:v>Chuỗi kích thước dọc nhà
Longitudinal elevation chain</x:v>
      </x:c>
      <x:c r="C282" s="18" t="str">
        <x:v>longitudinal span</x:v>
      </x:c>
      <x:c r="D282" s="18" t="str">
        <x:v>Model: X
Source: longitudinal
Grid 10 → Grid 11</x:v>
      </x:c>
      <x:c r="E282" s="24" t="n">
        <x:v>4500</x:v>
      </x:c>
      <x:c r="F282" s="25" t="str">
        <x:v>mm</x:v>
      </x:c>
      <x:c r="G282" s="22" t="n">
        <x:f>IF(COUNTBLANK(E282)&gt;0,"",E282)</x:f>
        <x:v>4500</x:v>
      </x:c>
      <x:c r="H282" s="23" t="n">
        <x:f>IF(COUNTBLANK(G282)&gt;0,"",G282/1000)</x:f>
        <x:v>4.5</x:v>
      </x:c>
      <x:c r="I282" s="18" t="str">
        <x:v>Ghi trên bản vẽ / Explicit</x:v>
      </x:c>
      <x:c r="J282" s="18" t="str">
        <x:v>Tờ 2
File 2</x:v>
      </x:c>
      <x:c r="K282" s="18" t="str">
        <x:v>Bottom dimension chain</x:v>
      </x:c>
      <x:c r="L282" s="18" t="str">
        <x:v>4500</x:v>
      </x:c>
      <x:c r="M282" s="18" t="str"/>
    </x:row>
    <x:row r="283" ht="36" hidden="0" customHeight="1">
      <x:c r="A283" s="18" t="str">
        <x:v>E063</x:v>
      </x:c>
      <x:c r="B283" s="18" t="str">
        <x:v>Chuỗi kích thước dọc nhà
Longitudinal elevation chain</x:v>
      </x:c>
      <x:c r="C283" s="18" t="str">
        <x:v>longitudinal span</x:v>
      </x:c>
      <x:c r="D283" s="18" t="str">
        <x:v>Model: X
Source: longitudinal
Grid 11 → Grid 12</x:v>
      </x:c>
      <x:c r="E283" s="24" t="n">
        <x:v>4341</x:v>
      </x:c>
      <x:c r="F283" s="25" t="str">
        <x:v>mm</x:v>
      </x:c>
      <x:c r="G283" s="22" t="n">
        <x:f>IF(COUNTBLANK(E283)&gt;0,"",E283)</x:f>
        <x:v>4341</x:v>
      </x:c>
      <x:c r="H283" s="23" t="n">
        <x:f>IF(COUNTBLANK(G283)&gt;0,"",G283/1000)</x:f>
        <x:v>4.341</x:v>
      </x:c>
      <x:c r="I283" s="18" t="str">
        <x:v>Ghi trên bản vẽ / Explicit</x:v>
      </x:c>
      <x:c r="J283" s="18" t="str">
        <x:v>Tờ 2
File 2</x:v>
      </x:c>
      <x:c r="K283" s="18" t="str">
        <x:v>Bottom dimension chain</x:v>
      </x:c>
      <x:c r="L283" s="18" t="str">
        <x:v>4341</x:v>
      </x:c>
      <x:c r="M283" s="18" t="str"/>
    </x:row>
    <x:row r="284" ht="36" hidden="0" customHeight="1">
      <x:c r="A284" s="18" t="str">
        <x:v>E064</x:v>
      </x:c>
      <x:c r="B284" s="18" t="str">
        <x:v>Chuỗi kích thước dọc nhà
Longitudinal elevation chain</x:v>
      </x:c>
      <x:c r="C284" s="18" t="str">
        <x:v>longitudinal span</x:v>
      </x:c>
      <x:c r="D284" s="18" t="str">
        <x:v>Model: X
Source: longitudinal
Grid 12 → Far-end overall witness</x:v>
      </x:c>
      <x:c r="E284" s="24" t="n">
        <x:v>939</x:v>
      </x:c>
      <x:c r="F284" s="25" t="str">
        <x:v>mm</x:v>
      </x:c>
      <x:c r="G284" s="22" t="n">
        <x:f>IF(COUNTBLANK(E284)&gt;0,"",E284)</x:f>
        <x:v>939</x:v>
      </x:c>
      <x:c r="H284" s="23" t="n">
        <x:f>IF(COUNTBLANK(G284)&gt;0,"",G284/1000)</x:f>
        <x:v>0.939</x:v>
      </x:c>
      <x:c r="I284" s="18" t="str">
        <x:v>Ghi trên bản vẽ / Explicit</x:v>
      </x:c>
      <x:c r="J284" s="18" t="str">
        <x:v>Tờ 2
File 2</x:v>
      </x:c>
      <x:c r="K284" s="18" t="str">
        <x:v>Bottom dimension chain</x:v>
      </x:c>
      <x:c r="L284" s="18" t="str">
        <x:v>939</x:v>
      </x:c>
      <x:c r="M284" s="18" t="str"/>
    </x:row>
    <x:row r="285" ht="48" hidden="0" customHeight="1">
      <x:c r="A285" s="18" t="str">
        <x:v>E065</x:v>
      </x:c>
      <x:c r="B285" s="18" t="str">
        <x:v>Chiều dài tổng gồm đoạn tiếp cận
Overall elevation length including approach</x:v>
      </x:c>
      <x:c r="C285" s="18" t="str">
        <x:v>overall length</x:v>
      </x:c>
      <x:c r="D285" s="18" t="str">
        <x:v>Model: X
Source: longitudinal
Front ramp/approach toe witness → Far-end overall witness</x:v>
      </x:c>
      <x:c r="E285" s="24" t="n">
        <x:v>67149</x:v>
      </x:c>
      <x:c r="F285" s="25" t="str">
        <x:v>mm</x:v>
      </x:c>
      <x:c r="G285" s="22" t="n">
        <x:f>IF(COUNTBLANK(E285)&gt;0,"",E285)</x:f>
        <x:v>67149</x:v>
      </x:c>
      <x:c r="H285" s="23" t="n">
        <x:f>IF(COUNTBLANK(G285)&gt;0,"",G285/1000)</x:f>
        <x:v>67.149</x:v>
      </x:c>
      <x:c r="I285" s="18" t="str">
        <x:v>Ghi trên bản vẽ / Explicit</x:v>
      </x:c>
      <x:c r="J285" s="18" t="str">
        <x:v>Tờ 2
File 2</x:v>
      </x:c>
      <x:c r="K285" s="18" t="str">
        <x:v>Bottom overall dimension</x:v>
      </x:c>
      <x:c r="L285" s="18" t="str">
        <x:v>67149</x:v>
      </x:c>
      <x:c r="M285" s="18" t="str">
        <x:v>14 chain segments sum exactly to 67,149 mm; includes 13,194 mm before grid 1 and 939 mm after grid 12.</x:v>
      </x:c>
    </x:row>
    <x:row r="286" ht="48" hidden="0" customHeight="1">
      <x:c r="A286" s="18" t="str">
        <x:v>E066</x:v>
      </x:c>
      <x:c r="B286" s="18" t="str">
        <x:v>Kích thước hốc trang trí bên
Side ornamental niche dimension</x:v>
      </x:c>
      <x:c r="C286" s="18" t="str">
        <x:v>height between shown witnesses</x:v>
      </x:c>
      <x:c r="D286" s="18" t="str">
        <x:v>Model: Y
Source: vertical
Top of shown pedestal witness → Upper shown niche witness</x:v>
      </x:c>
      <x:c r="E286" s="24" t="n">
        <x:v>1730</x:v>
      </x:c>
      <x:c r="F286" s="25" t="str">
        <x:v>mm</x:v>
      </x:c>
      <x:c r="G286" s="22" t="n">
        <x:f>IF(COUNTBLANK(E286)&gt;0,"",E286)</x:f>
        <x:v>1730</x:v>
      </x:c>
      <x:c r="H286" s="23" t="n">
        <x:f>IF(COUNTBLANK(G286)&gt;0,"",G286/1000)</x:f>
        <x:v>1.73</x:v>
      </x:c>
      <x:c r="I286" s="18" t="str">
        <x:v>Ghi trên bản vẽ / Explicit</x:v>
      </x:c>
      <x:c r="J286" s="18" t="str">
        <x:v>Tờ 2
File 2</x:v>
      </x:c>
      <x:c r="K286" s="18" t="str">
        <x:v>Niche over gabled side bay between grids 9 and 10</x:v>
      </x:c>
      <x:c r="L286" s="18" t="str">
        <x:v>1730</x:v>
      </x:c>
      <x:c r="M286" s="18" t="str">
        <x:v>Read with diagnostic thin-line rendering; not full outside assembly height.</x:v>
      </x:c>
    </x:row>
    <x:row r="287" ht="36" hidden="0" customHeight="1">
      <x:c r="A287" s="18" t="str">
        <x:v>E067</x:v>
      </x:c>
      <x:c r="B287" s="18" t="str">
        <x:v>Mặt sân
Courtyard grade</x:v>
      </x:c>
      <x:c r="C287" s="18" t="str">
        <x:v>elevation</x:v>
      </x:c>
      <x:c r="D287" s="18" t="str">
        <x:v>Model: Y
Source: vertical
FFL ±0.000 → Courtyard grade</x:v>
      </x:c>
      <x:c r="E287" s="26" t="n">
        <x:v>-2.08</x:v>
      </x:c>
      <x:c r="F287" s="25" t="str">
        <x:v>m</x:v>
      </x:c>
      <x:c r="G287" s="22" t="n">
        <x:f>IF(COUNTBLANK(E287)&gt;0,"",E287*1000)</x:f>
        <x:v>-2080</x:v>
      </x:c>
      <x:c r="H287" s="23" t="n">
        <x:f>IF(COUNTBLANK(G287)&gt;0,"",G287/1000)</x:f>
        <x:v>-2.08</x:v>
      </x:c>
      <x:c r="I287" s="18" t="str">
        <x:v>Ghi trên bản vẽ / Explicit</x:v>
      </x:c>
      <x:c r="J287" s="18" t="str">
        <x:v>Tờ 3
File 3</x:v>
      </x:c>
      <x:c r="K287" s="18" t="str">
        <x:v>Left elevation markers</x:v>
      </x:c>
      <x:c r="L287" s="18" t="str">
        <x:v>MẶT SÂN -2,08M</x:v>
      </x:c>
      <x:c r="M287" s="18" t="str">
        <x:v>The drawing titles this end MẶT ĐỨNG ĐẦU. This is the ornate gabled end opposite the twin towers.</x:v>
      </x:c>
    </x:row>
    <x:row r="288" ht="36" hidden="0" customHeight="1">
      <x:c r="A288" s="18" t="str">
        <x:v>E068</x:v>
      </x:c>
      <x:c r="B288" s="18" t="str">
        <x:v>Cốt sàn chuẩn
Floor datum</x:v>
      </x:c>
      <x:c r="C288" s="18" t="str">
        <x:v>elevation</x:v>
      </x:c>
      <x:c r="D288" s="18" t="str">
        <x:v>Model: Y
Source: vertical
FFL ±0.000 → Floor datum</x:v>
      </x:c>
      <x:c r="E288" s="26" t="n">
        <x:v>0</x:v>
      </x:c>
      <x:c r="F288" s="25" t="str">
        <x:v>m</x:v>
      </x:c>
      <x:c r="G288" s="22" t="n">
        <x:f>IF(COUNTBLANK(E288)&gt;0,"",E288*1000)</x:f>
        <x:v>0</x:v>
      </x:c>
      <x:c r="H288" s="23" t="n">
        <x:f>IF(COUNTBLANK(G288)&gt;0,"",G288/1000)</x:f>
        <x:v>0</x:v>
      </x:c>
      <x:c r="I288" s="18" t="str">
        <x:v>Ghi trên bản vẽ / Explicit</x:v>
      </x:c>
      <x:c r="J288" s="18" t="str">
        <x:v>Tờ 3
File 3</x:v>
      </x:c>
      <x:c r="K288" s="18" t="str">
        <x:v>Left elevation markers</x:v>
      </x:c>
      <x:c r="L288" s="18" t="str">
        <x:v>+00</x:v>
      </x:c>
      <x:c r="M288" s="18" t="str">
        <x:v>The drawing titles this end MẶT ĐỨNG ĐẦU. This is the ornate gabled end opposite the twin towers.</x:v>
      </x:c>
    </x:row>
    <x:row r="289" ht="48" hidden="0" customHeight="1">
      <x:c r="A289" s="18" t="str">
        <x:v>E069</x:v>
      </x:c>
      <x:c r="B289" s="18" t="str">
        <x:v>Cao độ diềm mái
Eaves/cornice reference</x:v>
      </x:c>
      <x:c r="C289" s="18" t="str">
        <x:v>elevation</x:v>
      </x:c>
      <x:c r="D289" s="18" t="str">
        <x:v>Model: Y
Source: vertical
FFL ±0.000 → Eaves/cornice reference</x:v>
      </x:c>
      <x:c r="E289" s="26" t="n">
        <x:v>6.324</x:v>
      </x:c>
      <x:c r="F289" s="25" t="str">
        <x:v>m</x:v>
      </x:c>
      <x:c r="G289" s="22" t="n">
        <x:f>IF(COUNTBLANK(E289)&gt;0,"",E289*1000)</x:f>
        <x:v>6324</x:v>
      </x:c>
      <x:c r="H289" s="23" t="n">
        <x:f>IF(COUNTBLANK(G289)&gt;0,"",G289/1000)</x:f>
        <x:v>6.324</x:v>
      </x:c>
      <x:c r="I289" s="18" t="str">
        <x:v>Ghi trên bản vẽ / Explicit</x:v>
      </x:c>
      <x:c r="J289" s="18" t="str">
        <x:v>Tờ 3
File 3</x:v>
      </x:c>
      <x:c r="K289" s="18" t="str">
        <x:v>Left elevation markers</x:v>
      </x:c>
      <x:c r="L289" s="18" t="str">
        <x:v>+6,324M</x:v>
      </x:c>
      <x:c r="M289" s="18" t="str">
        <x:v>The drawing titles this end MẶT ĐỨNG ĐẦU. This is the ornate gabled end opposite the twin towers.</x:v>
      </x:c>
    </x:row>
    <x:row r="290" ht="48" hidden="0" customHeight="1">
      <x:c r="A290" s="18" t="str">
        <x:v>E070</x:v>
      </x:c>
      <x:c r="B290" s="18" t="str">
        <x:v>Cao độ mặt đầu trung gian
Opposite-end intermediate facade reference</x:v>
      </x:c>
      <x:c r="C290" s="18" t="str">
        <x:v>elevation</x:v>
      </x:c>
      <x:c r="D290" s="18" t="str">
        <x:v>Model: Y
Source: vertical
FFL ±0.000 → Opposite-end intermediate facade reference</x:v>
      </x:c>
      <x:c r="E290" s="26" t="n">
        <x:v>8.575</x:v>
      </x:c>
      <x:c r="F290" s="25" t="str">
        <x:v>m</x:v>
      </x:c>
      <x:c r="G290" s="22" t="n">
        <x:f>IF(COUNTBLANK(E290)&gt;0,"",E290*1000)</x:f>
        <x:v>8575</x:v>
      </x:c>
      <x:c r="H290" s="23" t="n">
        <x:f>IF(COUNTBLANK(G290)&gt;0,"",G290/1000)</x:f>
        <x:v>8.575</x:v>
      </x:c>
      <x:c r="I290" s="18" t="str">
        <x:v>Ghi trên bản vẽ / Explicit</x:v>
      </x:c>
      <x:c r="J290" s="18" t="str">
        <x:v>Tờ 3
File 3</x:v>
      </x:c>
      <x:c r="K290" s="18" t="str">
        <x:v>Left elevation markers</x:v>
      </x:c>
      <x:c r="L290" s="18" t="str">
        <x:v>+8,575M</x:v>
      </x:c>
      <x:c r="M290" s="18" t="str">
        <x:v>The drawing titles this end MẶT ĐỨNG ĐẦU. This is the ornate gabled end opposite the twin towers.</x:v>
      </x:c>
    </x:row>
    <x:row r="291" ht="48" hidden="0" customHeight="1">
      <x:c r="A291" s="18" t="str">
        <x:v>E071</x:v>
      </x:c>
      <x:c r="B291" s="18" t="str">
        <x:v>Cao độ đỉnh mái chính
Main roof ridge/reference</x:v>
      </x:c>
      <x:c r="C291" s="18" t="str">
        <x:v>elevation</x:v>
      </x:c>
      <x:c r="D291" s="18" t="str">
        <x:v>Model: Y
Source: vertical
FFL ±0.000 → Main roof ridge/reference</x:v>
      </x:c>
      <x:c r="E291" s="26" t="n">
        <x:v>12.472</x:v>
      </x:c>
      <x:c r="F291" s="25" t="str">
        <x:v>m</x:v>
      </x:c>
      <x:c r="G291" s="22" t="n">
        <x:f>IF(COUNTBLANK(E291)&gt;0,"",E291*1000)</x:f>
        <x:v>12472</x:v>
      </x:c>
      <x:c r="H291" s="23" t="n">
        <x:f>IF(COUNTBLANK(G291)&gt;0,"",G291/1000)</x:f>
        <x:v>12.472</x:v>
      </x:c>
      <x:c r="I291" s="18" t="str">
        <x:v>Ghi trên bản vẽ / Explicit</x:v>
      </x:c>
      <x:c r="J291" s="18" t="str">
        <x:v>Tờ 3
File 3</x:v>
      </x:c>
      <x:c r="K291" s="18" t="str">
        <x:v>Left elevation markers</x:v>
      </x:c>
      <x:c r="L291" s="18" t="str">
        <x:v>+12,472M</x:v>
      </x:c>
      <x:c r="M291" s="18" t="str">
        <x:v>The drawing titles this end MẶT ĐỨNG ĐẦU. This is the ornate gabled end opposite the twin towers.</x:v>
      </x:c>
    </x:row>
    <x:row r="292" ht="48" hidden="0" customHeight="1">
      <x:c r="A292" s="18" t="str">
        <x:v>E072</x:v>
      </x:c>
      <x:c r="B292" s="18" t="str">
        <x:v>Đỉnh thánh giá đầu nhà
Opposite-end cross top</x:v>
      </x:c>
      <x:c r="C292" s="18" t="str">
        <x:v>elevation</x:v>
      </x:c>
      <x:c r="D292" s="18" t="str">
        <x:v>Model: Y
Source: vertical
FFL ±0.000 → Opposite-end cross top</x:v>
      </x:c>
      <x:c r="E292" s="26" t="n">
        <x:v>17.829</x:v>
      </x:c>
      <x:c r="F292" s="25" t="str">
        <x:v>m</x:v>
      </x:c>
      <x:c r="G292" s="22" t="n">
        <x:f>IF(COUNTBLANK(E292)&gt;0,"",E292*1000)</x:f>
        <x:v>17829</x:v>
      </x:c>
      <x:c r="H292" s="23" t="n">
        <x:f>IF(COUNTBLANK(G292)&gt;0,"",G292/1000)</x:f>
        <x:v>17.829</x:v>
      </x:c>
      <x:c r="I292" s="18" t="str">
        <x:v>Ghi trên bản vẽ / Explicit</x:v>
      </x:c>
      <x:c r="J292" s="18" t="str">
        <x:v>Tờ 3
File 3</x:v>
      </x:c>
      <x:c r="K292" s="18" t="str">
        <x:v>Left elevation markers</x:v>
      </x:c>
      <x:c r="L292" s="18" t="str">
        <x:v>+17,829M</x:v>
      </x:c>
      <x:c r="M292" s="18" t="str">
        <x:v>The drawing titles this end MẶT ĐỨNG ĐẦU. This is the ornate gabled end opposite the twin towers.</x:v>
      </x:c>
    </x:row>
    <x:row r="293" ht="36" hidden="0" customHeight="1">
      <x:c r="A293" s="18" t="str">
        <x:v>E073</x:v>
      </x:c>
      <x:c r="B293" s="18" t="str">
        <x:v>Chuỗi kích thước ngang mặt đầu
Opposite-end transverse dimension chain</x:v>
      </x:c>
      <x:c r="C293" s="18" t="str">
        <x:v>transverse span</x:v>
      </x:c>
      <x:c r="D293" s="18" t="str">
        <x:v>Model: Z
Source: transverse
Grid B → Grid C</x:v>
      </x:c>
      <x:c r="E293" s="24" t="n">
        <x:v>3054</x:v>
      </x:c>
      <x:c r="F293" s="25" t="str">
        <x:v>mm</x:v>
      </x:c>
      <x:c r="G293" s="22" t="n">
        <x:f>IF(COUNTBLANK(E293)&gt;0,"",E293)</x:f>
        <x:v>3054</x:v>
      </x:c>
      <x:c r="H293" s="23" t="n">
        <x:f>IF(COUNTBLANK(G293)&gt;0,"",G293/1000)</x:f>
        <x:v>3.054</x:v>
      </x:c>
      <x:c r="I293" s="18" t="str">
        <x:v>Ghi trên bản vẽ / Explicit</x:v>
      </x:c>
      <x:c r="J293" s="18" t="str">
        <x:v>Tờ 3
File 3</x:v>
      </x:c>
      <x:c r="K293" s="18" t="str">
        <x:v>Bottom upper dimension chain</x:v>
      </x:c>
      <x:c r="L293" s="18" t="str">
        <x:v>3054</x:v>
      </x:c>
      <x:c r="M293" s="18" t="str">
        <x:v>Looking at the opposite end reverses the horizontal order compared with sheet 1.</x:v>
      </x:c>
    </x:row>
    <x:row r="294" ht="36" hidden="0" customHeight="1">
      <x:c r="A294" s="18" t="str">
        <x:v>E074</x:v>
      </x:c>
      <x:c r="B294" s="18" t="str">
        <x:v>Chuỗi kích thước ngang mặt đầu
Opposite-end transverse dimension chain</x:v>
      </x:c>
      <x:c r="C294" s="18" t="str">
        <x:v>transverse span</x:v>
      </x:c>
      <x:c r="D294" s="18" t="str">
        <x:v>Model: Z
Source: transverse
Grid C → Grid D</x:v>
      </x:c>
      <x:c r="E294" s="24" t="n">
        <x:v>3760</x:v>
      </x:c>
      <x:c r="F294" s="25" t="str">
        <x:v>mm</x:v>
      </x:c>
      <x:c r="G294" s="22" t="n">
        <x:f>IF(COUNTBLANK(E294)&gt;0,"",E294)</x:f>
        <x:v>3760</x:v>
      </x:c>
      <x:c r="H294" s="23" t="n">
        <x:f>IF(COUNTBLANK(G294)&gt;0,"",G294/1000)</x:f>
        <x:v>3.76</x:v>
      </x:c>
      <x:c r="I294" s="18" t="str">
        <x:v>Ghi trên bản vẽ / Explicit</x:v>
      </x:c>
      <x:c r="J294" s="18" t="str">
        <x:v>Tờ 3
File 3</x:v>
      </x:c>
      <x:c r="K294" s="18" t="str">
        <x:v>Bottom upper dimension chain</x:v>
      </x:c>
      <x:c r="L294" s="18" t="str">
        <x:v>3760</x:v>
      </x:c>
      <x:c r="M294" s="18" t="str">
        <x:v>Looking at the opposite end reverses the horizontal order compared with sheet 1.</x:v>
      </x:c>
    </x:row>
    <x:row r="295" ht="36" hidden="0" customHeight="1">
      <x:c r="A295" s="18" t="str">
        <x:v>E075</x:v>
      </x:c>
      <x:c r="B295" s="18" t="str">
        <x:v>Chuỗi kích thước ngang mặt đầu
Opposite-end transverse dimension chain</x:v>
      </x:c>
      <x:c r="C295" s="18" t="str">
        <x:v>transverse span</x:v>
      </x:c>
      <x:c r="D295" s="18" t="str">
        <x:v>Model: Z
Source: transverse
Grid D → Grid E</x:v>
      </x:c>
      <x:c r="E295" s="24" t="n">
        <x:v>7200</x:v>
      </x:c>
      <x:c r="F295" s="25" t="str">
        <x:v>mm</x:v>
      </x:c>
      <x:c r="G295" s="22" t="n">
        <x:f>IF(COUNTBLANK(E295)&gt;0,"",E295)</x:f>
        <x:v>7200</x:v>
      </x:c>
      <x:c r="H295" s="23" t="n">
        <x:f>IF(COUNTBLANK(G295)&gt;0,"",G295/1000)</x:f>
        <x:v>7.2</x:v>
      </x:c>
      <x:c r="I295" s="18" t="str">
        <x:v>Ghi trên bản vẽ / Explicit</x:v>
      </x:c>
      <x:c r="J295" s="18" t="str">
        <x:v>Tờ 3
File 3</x:v>
      </x:c>
      <x:c r="K295" s="18" t="str">
        <x:v>Bottom upper dimension chain</x:v>
      </x:c>
      <x:c r="L295" s="18" t="str">
        <x:v>7200</x:v>
      </x:c>
      <x:c r="M295" s="18" t="str">
        <x:v>Looking at the opposite end reverses the horizontal order compared with sheet 1.</x:v>
      </x:c>
    </x:row>
    <x:row r="296" ht="36" hidden="0" customHeight="1">
      <x:c r="A296" s="18" t="str">
        <x:v>E076</x:v>
      </x:c>
      <x:c r="B296" s="18" t="str">
        <x:v>Chuỗi kích thước ngang mặt đầu
Opposite-end transverse dimension chain</x:v>
      </x:c>
      <x:c r="C296" s="18" t="str">
        <x:v>transverse span</x:v>
      </x:c>
      <x:c r="D296" s="18" t="str">
        <x:v>Model: Z
Source: transverse
Grid E → Grid G</x:v>
      </x:c>
      <x:c r="E296" s="24" t="n">
        <x:v>3760</x:v>
      </x:c>
      <x:c r="F296" s="25" t="str">
        <x:v>mm</x:v>
      </x:c>
      <x:c r="G296" s="22" t="n">
        <x:f>IF(COUNTBLANK(E296)&gt;0,"",E296)</x:f>
        <x:v>3760</x:v>
      </x:c>
      <x:c r="H296" s="23" t="n">
        <x:f>IF(COUNTBLANK(G296)&gt;0,"",G296/1000)</x:f>
        <x:v>3.76</x:v>
      </x:c>
      <x:c r="I296" s="18" t="str">
        <x:v>Ghi trên bản vẽ / Explicit</x:v>
      </x:c>
      <x:c r="J296" s="18" t="str">
        <x:v>Tờ 3
File 3</x:v>
      </x:c>
      <x:c r="K296" s="18" t="str">
        <x:v>Bottom upper dimension chain</x:v>
      </x:c>
      <x:c r="L296" s="18" t="str">
        <x:v>3760</x:v>
      </x:c>
      <x:c r="M296" s="18" t="str">
        <x:v>Looking at the opposite end reverses the horizontal order compared with sheet 1.</x:v>
      </x:c>
    </x:row>
    <x:row r="297" ht="36" hidden="0" customHeight="1">
      <x:c r="A297" s="18" t="str">
        <x:v>E077</x:v>
      </x:c>
      <x:c r="B297" s="18" t="str">
        <x:v>Chuỗi kích thước ngang mặt đầu
Opposite-end transverse dimension chain</x:v>
      </x:c>
      <x:c r="C297" s="18" t="str">
        <x:v>transverse span</x:v>
      </x:c>
      <x:c r="D297" s="18" t="str">
        <x:v>Model: Z
Source: transverse
Grid G → Grid H</x:v>
      </x:c>
      <x:c r="E297" s="24" t="n">
        <x:v>3054</x:v>
      </x:c>
      <x:c r="F297" s="25" t="str">
        <x:v>mm</x:v>
      </x:c>
      <x:c r="G297" s="22" t="n">
        <x:f>IF(COUNTBLANK(E297)&gt;0,"",E297)</x:f>
        <x:v>3054</x:v>
      </x:c>
      <x:c r="H297" s="23" t="n">
        <x:f>IF(COUNTBLANK(G297)&gt;0,"",G297/1000)</x:f>
        <x:v>3.054</x:v>
      </x:c>
      <x:c r="I297" s="18" t="str">
        <x:v>Ghi trên bản vẽ / Explicit</x:v>
      </x:c>
      <x:c r="J297" s="18" t="str">
        <x:v>Tờ 3
File 3</x:v>
      </x:c>
      <x:c r="K297" s="18" t="str">
        <x:v>Bottom upper dimension chain</x:v>
      </x:c>
      <x:c r="L297" s="18" t="str">
        <x:v>3054</x:v>
      </x:c>
      <x:c r="M297" s="18" t="str">
        <x:v>Looking at the opposite end reverses the horizontal order compared with sheet 1.</x:v>
      </x:c>
    </x:row>
    <x:row r="298" ht="48" hidden="0" customHeight="1">
      <x:c r="A298" s="18" t="str">
        <x:v>E078</x:v>
      </x:c>
      <x:c r="B298" s="18" t="str">
        <x:v>Bề rộng tổng mặt đầu
Opposite-end overall width</x:v>
      </x:c>
      <x:c r="C298" s="18" t="str">
        <x:v>overall width</x:v>
      </x:c>
      <x:c r="D298" s="18" t="str">
        <x:v>Model: Z
Source: transverse
Left outer overall witness → Right outer overall witness</x:v>
      </x:c>
      <x:c r="E298" s="24" t="n">
        <x:v>22486</x:v>
      </x:c>
      <x:c r="F298" s="25" t="str">
        <x:v>mm</x:v>
      </x:c>
      <x:c r="G298" s="22" t="n">
        <x:f>IF(COUNTBLANK(E298)&gt;0,"",E298)</x:f>
        <x:v>22486</x:v>
      </x:c>
      <x:c r="H298" s="23" t="n">
        <x:f>IF(COUNTBLANK(G298)&gt;0,"",G298/1000)</x:f>
        <x:v>22.486</x:v>
      </x:c>
      <x:c r="I298" s="18" t="str">
        <x:v>Ghi trên bản vẽ / Explicit</x:v>
      </x:c>
      <x:c r="J298" s="18" t="str">
        <x:v>Tờ 3
File 3</x:v>
      </x:c>
      <x:c r="K298" s="18" t="str">
        <x:v>Bottom overall dimension</x:v>
      </x:c>
      <x:c r="L298" s="18" t="str">
        <x:v>22486</x:v>
      </x:c>
      <x:c r="M298" s="18" t="str">
        <x:v>Exterior overall witness span differs from the 20,828 mm B-H grid span. Individual outer offsets are not dimensioned on this elevation; do not assume them symmetric without plan confirmation.</x:v>
      </x:c>
    </x:row>
    <x:row r="299" ht="48" hidden="0" customHeight="1">
      <x:c r="A299" s="18" t="str">
        <x:v>E079</x:v>
      </x:c>
      <x:c r="B299" s="18" t="str">
        <x:v>Chiều cao mặt đầu từ sân
Opposite-end total height above courtyard</x:v>
      </x:c>
      <x:c r="C299" s="18" t="str">
        <x:v>overall height</x:v>
      </x:c>
      <x:c r="D299" s="18" t="str">
        <x:v>Model: Y
Source: vertical
Courtyard -2.080 → Opposite-end cross top +17.829</x:v>
      </x:c>
      <x:c r="E299" s="24" t="n">
        <x:v>19909</x:v>
      </x:c>
      <x:c r="F299" s="25" t="str">
        <x:v>mm</x:v>
      </x:c>
      <x:c r="G299" s="22" t="n">
        <x:f>IF(COUNTBLANK(E299)&gt;0,"",E299)</x:f>
        <x:v>19909</x:v>
      </x:c>
      <x:c r="H299" s="23" t="n">
        <x:f>IF(COUNTBLANK(G299)&gt;0,"",G299/1000)</x:f>
        <x:v>19.909</x:v>
      </x:c>
      <x:c r="I299" s="18" t="str">
        <x:v>Ghi trên bản vẽ / Explicit</x:v>
      </x:c>
      <x:c r="J299" s="18" t="str">
        <x:v>Tờ 3
File 3</x:v>
      </x:c>
      <x:c r="K299" s="18" t="str">
        <x:v>Right overall vertical dimension</x:v>
      </x:c>
      <x:c r="L299" s="18" t="str">
        <x:v>19909</x:v>
      </x:c>
      <x:c r="M299" s="18" t="str">
        <x:v>Equals 17,829 - (-2,080).</x:v>
      </x:c>
    </x:row>
    <x:row r="300" ht="48" hidden="0" customHeight="1">
      <x:c r="A300" s="18" t="str">
        <x:v>E080</x:v>
      </x:c>
      <x:c r="B300" s="18" t="str">
        <x:v>Kích thước hốc trên mặt đầu
Opposite-end upper niche dimension</x:v>
      </x:c>
      <x:c r="C300" s="18" t="str">
        <x:v>height between shown witnesses</x:v>
      </x:c>
      <x:c r="D300" s="18" t="str">
        <x:v>Model: Y
Source: vertical
Top of shown pedestal witness → Upper shown niche witness</x:v>
      </x:c>
      <x:c r="E300" s="24" t="n">
        <x:v>1730</x:v>
      </x:c>
      <x:c r="F300" s="25" t="str">
        <x:v>mm</x:v>
      </x:c>
      <x:c r="G300" s="22" t="n">
        <x:f>IF(COUNTBLANK(E300)&gt;0,"",E300)</x:f>
        <x:v>1730</x:v>
      </x:c>
      <x:c r="H300" s="23" t="n">
        <x:f>IF(COUNTBLANK(G300)&gt;0,"",G300/1000)</x:f>
        <x:v>1.73</x:v>
      </x:c>
      <x:c r="I300" s="18" t="str">
        <x:v>Ghi trên bản vẽ / Explicit</x:v>
      </x:c>
      <x:c r="J300" s="18" t="str">
        <x:v>Tờ 3
File 3</x:v>
      </x:c>
      <x:c r="K300" s="18" t="str">
        <x:v>Central niche at top of gabled end</x:v>
      </x:c>
      <x:c r="L300" s="18" t="str">
        <x:v>1730</x:v>
      </x:c>
      <x:c r="M300" s="18" t="str">
        <x:v>Not the total height of the exterior niche or cross assembly.</x:v>
      </x:c>
    </x:row>
    <x:row r="301" ht="36" hidden="0" customHeight="1">
      <x:c r="A301" s="18" t="str">
        <x:v>E081</x:v>
      </x:c>
      <x:c r="B301" s="18" t="str">
        <x:v>Khoảng cách trục B-H
Transverse core grid span B-H</x:v>
      </x:c>
      <x:c r="C301" s="18" t="str">
        <x:v>grid span</x:v>
      </x:c>
      <x:c r="D301" s="18" t="str">
        <x:v>Model: Z
Source: transverse
Grid B → Grid H</x:v>
      </x:c>
      <x:c r="E301" s="24"/>
      <x:c r="F301" s="25" t="str"/>
      <x:c r="G301" s="22" t="n">
        <x:f>IF(OR(COUNTBLANK('Dimensions'!G243)&gt;0,COUNTBLANK('Dimensions'!G242)&gt;0,COUNTBLANK('Dimensions'!G241)&gt;0,COUNTBLANK('Dimensions'!G240)&gt;0,COUNTBLANK('Dimensions'!G239)&gt;0),"",'Dimensions'!G243+'Dimensions'!G242+'Dimensions'!G241+'Dimensions'!G240+'Dimensions'!G239)</x:f>
        <x:v>20828</x:v>
      </x:c>
      <x:c r="H301" s="23" t="n">
        <x:f>IF(COUNTBLANK(G301)&gt;0,"",G301/1000)</x:f>
        <x:v>20.828</x:v>
      </x:c>
      <x:c r="I301" s="18" t="str">
        <x:v>Tính từ bản vẽ / Derived</x:v>
      </x:c>
      <x:c r="J301" s="18" t="str">
        <x:v>Tờ 1
File 1</x:v>
      </x:c>
      <x:c r="K301" s="18" t="str">
        <x:v>Bottom chain, also sheet 3</x:v>
      </x:c>
      <x:c r="L301" s="18" t="str"/>
      <x:c r="M301" s="18" t="str">
        <x:v>Grid span only, not the outer building width.
Calculation: 3054 + 3760 + 7200 + 3760 + 3054 = 20828</x:v>
      </x:c>
    </x:row>
    <x:row r="302" ht="36" hidden="0" customHeight="1">
      <x:c r="A302" s="18" t="str">
        <x:v>E082</x:v>
      </x:c>
      <x:c r="B302" s="18" t="str">
        <x:v>Khoảng cách trục 1-12
Longitudinal core grid span 1-12</x:v>
      </x:c>
      <x:c r="C302" s="18" t="str">
        <x:v>grid span</x:v>
      </x:c>
      <x:c r="D302" s="18" t="str">
        <x:v>Model: X
Source: longitudinal
Grid 1 → Grid 12</x:v>
      </x:c>
      <x:c r="E302" s="24"/>
      <x:c r="F302" s="25" t="str"/>
      <x:c r="G302" s="22" t="n">
        <x:f>IF(OR(COUNTBLANK('Dimensions'!G272)&gt;0,COUNTBLANK('Dimensions'!G273)&gt;0,COUNTBLANK('Dimensions'!G274)&gt;0,COUNTBLANK('Dimensions'!G275)&gt;0,COUNTBLANK('Dimensions'!G276)&gt;0,COUNTBLANK('Dimensions'!G277)&gt;0,COUNTBLANK('Dimensions'!G278)&gt;0,COUNTBLANK('Dimensions'!G279)&gt;0,COUNTBLANK('Dimensions'!G280)&gt;0,COUNTBLANK('Dimensions'!G281)&gt;0,COUNTBLANK('Dimensions'!G282)&gt;0,COUNTBLANK('Dimensions'!G283)&gt;0),"",'Dimensions'!G272+'Dimensions'!G273+'Dimensions'!G274+'Dimensions'!G275+'Dimensions'!G276+'Dimensions'!G277+'Dimensions'!G278+'Dimensions'!G279+'Dimensions'!G280+'Dimensions'!G281+'Dimensions'!G282+'Dimensions'!G283)</x:f>
        <x:v>53016</x:v>
      </x:c>
      <x:c r="H302" s="23" t="n">
        <x:f>IF(COUNTBLANK(G302)&gt;0,"",G302/1000)</x:f>
        <x:v>53.016</x:v>
      </x:c>
      <x:c r="I302" s="18" t="str">
        <x:v>Tính từ bản vẽ / Derived</x:v>
      </x:c>
      <x:c r="J302" s="18" t="str">
        <x:v>Tờ 2
File 2</x:v>
      </x:c>
      <x:c r="K302" s="18" t="str">
        <x:v>Bottom chain</x:v>
      </x:c>
      <x:c r="L302" s="18" t="str"/>
      <x:c r="M302" s="18" t="str">
        <x:v>Dimension chain differs from the overall 67,149 mm extent because approach and rear projections lie outside these grids.
Calculation: 4900 + 575 + 7*4500 + 7200 + 4500 + 4341 = 53016</x:v>
      </x:c>
    </x:row>
    <x:row r="303" ht="48" hidden="0" customHeight="1">
      <x:c r="A303" s="18" t="str">
        <x:v>E083</x:v>
      </x:c>
      <x:c r="B303" s="18" t="str">
        <x:v>Độ vươn cao mái theo cao độ
Roof vertical rise from labeled eaves to ridge</x:v>
      </x:c>
      <x:c r="C303" s="18" t="str">
        <x:v>vertical rise</x:v>
      </x:c>
      <x:c r="D303" s="18" t="str">
        <x:v>Model: Y
Source: vertical
Labeled eaves +6.324 → Labeled ridge +12.472</x:v>
      </x:c>
      <x:c r="E303" s="24"/>
      <x:c r="F303" s="25" t="str"/>
      <x:c r="G303" s="22" t="n">
        <x:f>IF(OR(COUNTBLANK('Dimensions'!G269)&gt;0,COUNTBLANK('Dimensions'!G267)&gt;0),"",'Dimensions'!G269-'Dimensions'!G267)</x:f>
        <x:v>6148</x:v>
      </x:c>
      <x:c r="H303" s="23" t="n">
        <x:f>IF(COUNTBLANK(G303)&gt;0,"",G303/1000)</x:f>
        <x:v>6.148</x:v>
      </x:c>
      <x:c r="I303" s="18" t="str">
        <x:v>Tính từ bản vẽ / Derived</x:v>
      </x:c>
      <x:c r="J303" s="18" t="str">
        <x:v>Tờ 2
File 2</x:v>
      </x:c>
      <x:c r="K303" s="18" t="str">
        <x:v>Right elevation markers, also sheet 3</x:v>
      </x:c>
      <x:c r="L303" s="18" t="str"/>
      <x:c r="M303" s="18" t="str">
        <x:v>This alone does not define roof slope; horizontal run/roof section must also be confirmed.
Calculation: 12472 - 6324 = 6148</x:v>
      </x:c>
    </x:row>
    <x:row r="304" ht="36" hidden="0" customHeight="1">
      <x:c r="A304" s="18" t="str">
        <x:v>E084</x:v>
      </x:c>
      <x:c r="B304" s="18" t="str">
        <x:v>Cao độ vai mái tháp theo chuỗi
Tower cap shoulder elevation from chain</x:v>
      </x:c>
      <x:c r="C304" s="18" t="str">
        <x:v>elevation</x:v>
      </x:c>
      <x:c r="D304" s="18" t="str">
        <x:v>Model: Y
Source: vertical
FFL ±0.000 → Cap shoulder witness</x:v>
      </x:c>
      <x:c r="E304" s="24"/>
      <x:c r="F304" s="25" t="str"/>
      <x:c r="G304" s="22" t="n">
        <x:f>IF(OR(COUNTBLANK('Dimensions'!G226)&gt;0,COUNTBLANK('Dimensions'!G233)&gt;0),"",'Dimensions'!G226+'Dimensions'!G233)</x:f>
        <x:v>33215</x:v>
      </x:c>
      <x:c r="H304" s="23" t="n">
        <x:f>IF(COUNTBLANK(G304)&gt;0,"",G304/1000)</x:f>
        <x:v>33.215</x:v>
      </x:c>
      <x:c r="I304" s="18" t="str">
        <x:v>Tính từ bản vẽ / Derived</x:v>
      </x:c>
      <x:c r="J304" s="18" t="str">
        <x:v>Tờ 1
File 1</x:v>
      </x:c>
      <x:c r="K304" s="18" t="str">
        <x:v>Right vertical chain</x:v>
      </x:c>
      <x:c r="L304" s="18" t="str"/>
      <x:c r="M304" s="18" t="str">
        <x:v>Dependent on explicit chain; 1 mm top closure discrepancy is unresolved.
Calculation: 29090 + 4125 = 33215</x:v>
      </x:c>
    </x:row>
    <x:row r="305" ht="36" hidden="0" customHeight="1">
      <x:c r="A305" s="18" t="str">
        <x:v>E085</x:v>
      </x:c>
      <x:c r="B305" s="18" t="str">
        <x:v>Cao độ bệ thánh giá theo chuỗi
Tower cross-base elevation from chain</x:v>
      </x:c>
      <x:c r="C305" s="18" t="str">
        <x:v>elevation</x:v>
      </x:c>
      <x:c r="D305" s="18" t="str">
        <x:v>Model: Y
Source: vertical
FFL ±0.000 → Cross-base witness</x:v>
      </x:c>
      <x:c r="E305" s="24"/>
      <x:c r="F305" s="25" t="str"/>
      <x:c r="G305" s="22" t="n">
        <x:f>IF(OR(COUNTBLANK('Dimensions'!G226)&gt;0,COUNTBLANK('Dimensions'!G233)&gt;0,COUNTBLANK('Dimensions'!G234)&gt;0),"",'Dimensions'!G226+'Dimensions'!G233+'Dimensions'!G234)</x:f>
        <x:v>35029</x:v>
      </x:c>
      <x:c r="H305" s="23" t="n">
        <x:f>IF(COUNTBLANK(G305)&gt;0,"",G305/1000)</x:f>
        <x:v>35.029</x:v>
      </x:c>
      <x:c r="I305" s="18" t="str">
        <x:v>Tính từ bản vẽ / Derived</x:v>
      </x:c>
      <x:c r="J305" s="18" t="str">
        <x:v>Tờ 1
File 1</x:v>
      </x:c>
      <x:c r="K305" s="18" t="str">
        <x:v>Right vertical chain</x:v>
      </x:c>
      <x:c r="L305" s="18" t="str"/>
      <x:c r="M305" s="18" t="str">
        <x:v>Dependent on explicit chain; 1 mm top closure discrepancy is unresolved.
Calculation: 29090 + 4125 + 1814 = 35029</x:v>
      </x:c>
    </x:row>
    <x:row r="306" ht="36" hidden="0" customHeight="1">
      <x:c r="A306" s="18" t="str">
        <x:v>S001</x:v>
      </x:c>
      <x:c r="B306" s="18" t="str">
        <x:v>Cao độ mặt cắt thân nhà thờ
Nave section levels</x:v>
      </x:c>
      <x:c r="C306" s="18" t="str">
        <x:v>ridge_elevation</x:v>
      </x:c>
      <x:c r="D306" s="18" t="str">
        <x:v>Model: Y
Source: Y
±0.000 → ridge decoration top</x:v>
      </x:c>
      <x:c r="E306" s="26" t="n">
        <x:v>12.472</x:v>
      </x:c>
      <x:c r="F306" s="25" t="str">
        <x:v>m</x:v>
      </x:c>
      <x:c r="G306" s="22" t="n">
        <x:f>IF(COUNTBLANK(E306)&gt;0,"",E306*1000)</x:f>
        <x:v>12472</x:v>
      </x:c>
      <x:c r="H306" s="23" t="n">
        <x:f>IF(COUNTBLANK(G306)&gt;0,"",G306/1000)</x:f>
        <x:v>12.472</x:v>
      </x:c>
      <x:c r="I306" s="18" t="str">
        <x:v>Ghi trên bản vẽ / Explicit</x:v>
      </x:c>
      <x:c r="J306" s="18" t="str">
        <x:v>Tờ 4
File 6</x:v>
      </x:c>
      <x:c r="K306" s="18" t="str">
        <x:v>left-side level symbols</x:v>
      </x:c>
      <x:c r="L306" s="18" t="str">
        <x:v>+ 12,472M</x:v>
      </x:c>
      <x:c r="M306" s="18" t="str"/>
    </x:row>
    <x:row r="307" ht="48" hidden="0" customHeight="1">
      <x:c r="A307" s="18" t="str">
        <x:v>S002</x:v>
      </x:c>
      <x:c r="B307" s="18" t="str">
        <x:v>Cao độ mặt cắt thân nhà thờ
Nave section levels</x:v>
      </x:c>
      <x:c r="C307" s="18" t="str">
        <x:v>intermediate_roof_level</x:v>
      </x:c>
      <x:c r="D307" s="18" t="str">
        <x:v>Model: Y
Source: Y
±0.000 → marked upper eave/roof level</x:v>
      </x:c>
      <x:c r="E307" s="26" t="n">
        <x:v>7.13</x:v>
      </x:c>
      <x:c r="F307" s="25" t="str">
        <x:v>m</x:v>
      </x:c>
      <x:c r="G307" s="22" t="n">
        <x:f>IF(COUNTBLANK(E307)&gt;0,"",E307*1000)</x:f>
        <x:v>7130</x:v>
      </x:c>
      <x:c r="H307" s="23" t="n">
        <x:f>IF(COUNTBLANK(G307)&gt;0,"",G307/1000)</x:f>
        <x:v>7.13</x:v>
      </x:c>
      <x:c r="I307" s="18" t="str">
        <x:v>Ghi trên bản vẽ / Explicit</x:v>
      </x:c>
      <x:c r="J307" s="18" t="str">
        <x:v>Tờ 4
File 6</x:v>
      </x:c>
      <x:c r="K307" s="18" t="str">
        <x:v>left-side level symbols</x:v>
      </x:c>
      <x:c r="L307" s="18" t="str">
        <x:v>+ 7,13M</x:v>
      </x:c>
      <x:c r="M307" s="18" t="str">
        <x:v>Dimension is preserved as printed. +7.13 reference is a level marker near the main-roof eave; detailed contact surfaces need CAD confirmation.</x:v>
      </x:c>
    </x:row>
    <x:row r="308" ht="36" hidden="0" customHeight="1">
      <x:c r="A308" s="18" t="str">
        <x:v>S003</x:v>
      </x:c>
      <x:c r="B308" s="18" t="str">
        <x:v>Cao độ mặt cắt thân nhà thờ
Nave section levels</x:v>
      </x:c>
      <x:c r="C308" s="18" t="str">
        <x:v>outer_cornice_elevation</x:v>
      </x:c>
      <x:c r="D308" s="18" t="str">
        <x:v>Model: Y
Source: Y
±0.000 → veranda exterior cornice</x:v>
      </x:c>
      <x:c r="E308" s="26" t="n">
        <x:v>6.325</x:v>
      </x:c>
      <x:c r="F308" s="25" t="str">
        <x:v>m</x:v>
      </x:c>
      <x:c r="G308" s="22" t="n">
        <x:f>IF(COUNTBLANK(E308)&gt;0,"",E308*1000)</x:f>
        <x:v>6325</x:v>
      </x:c>
      <x:c r="H308" s="23" t="n">
        <x:f>IF(COUNTBLANK(G308)&gt;0,"",G308/1000)</x:f>
        <x:v>6.325</x:v>
      </x:c>
      <x:c r="I308" s="18" t="str">
        <x:v>Ghi trên bản vẽ / Explicit</x:v>
      </x:c>
      <x:c r="J308" s="18" t="str">
        <x:v>Tờ 4
File 6</x:v>
      </x:c>
      <x:c r="K308" s="18" t="str">
        <x:v>left-side level symbols</x:v>
      </x:c>
      <x:c r="L308" s="18" t="str">
        <x:v>+ 6,325M</x:v>
      </x:c>
      <x:c r="M308" s="18" t="str"/>
    </x:row>
    <x:row r="309" ht="36" hidden="0" customHeight="1">
      <x:c r="A309" s="18" t="str">
        <x:v>S004</x:v>
      </x:c>
      <x:c r="B309" s="18" t="str">
        <x:v>Cao độ mặt cắt thân nhà thờ
Nave section levels</x:v>
      </x:c>
      <x:c r="C309" s="18" t="str">
        <x:v>finished_floor_elevation</x:v>
      </x:c>
      <x:c r="D309" s="18" t="str">
        <x:v>Model: Y
Source: Y
±0.000 → finished church floor</x:v>
      </x:c>
      <x:c r="E309" s="26" t="n">
        <x:v>0</x:v>
      </x:c>
      <x:c r="F309" s="25" t="str">
        <x:v>m</x:v>
      </x:c>
      <x:c r="G309" s="22" t="n">
        <x:f>IF(COUNTBLANK(E309)&gt;0,"",E309*1000)</x:f>
        <x:v>0</x:v>
      </x:c>
      <x:c r="H309" s="23" t="n">
        <x:f>IF(COUNTBLANK(G309)&gt;0,"",G309/1000)</x:f>
        <x:v>0</x:v>
      </x:c>
      <x:c r="I309" s="18" t="str">
        <x:v>Ghi trên bản vẽ / Explicit</x:v>
      </x:c>
      <x:c r="J309" s="18" t="str">
        <x:v>Tờ 4
File 6</x:v>
      </x:c>
      <x:c r="K309" s="18" t="str">
        <x:v>left-side level symbols</x:v>
      </x:c>
      <x:c r="L309" s="18" t="str">
        <x:v>+ 00</x:v>
      </x:c>
      <x:c r="M309" s="18" t="str"/>
    </x:row>
    <x:row r="310" ht="36" hidden="0" customHeight="1">
      <x:c r="A310" s="18" t="str">
        <x:v>S005</x:v>
      </x:c>
      <x:c r="B310" s="18" t="str">
        <x:v>Cao độ mặt cắt thân nhà thờ
Nave section levels</x:v>
      </x:c>
      <x:c r="C310" s="18" t="str">
        <x:v>courtyard_elevation</x:v>
      </x:c>
      <x:c r="D310" s="18" t="str">
        <x:v>Model: Y
Source: Y
±0.000 → courtyard / MẶT SÂN</x:v>
      </x:c>
      <x:c r="E310" s="26" t="n">
        <x:v>-2.08</x:v>
      </x:c>
      <x:c r="F310" s="25" t="str">
        <x:v>m</x:v>
      </x:c>
      <x:c r="G310" s="22" t="n">
        <x:f>IF(COUNTBLANK(E310)&gt;0,"",E310*1000)</x:f>
        <x:v>-2080</x:v>
      </x:c>
      <x:c r="H310" s="23" t="n">
        <x:f>IF(COUNTBLANK(G310)&gt;0,"",G310/1000)</x:f>
        <x:v>-2.08</x:v>
      </x:c>
      <x:c r="I310" s="18" t="str">
        <x:v>Ghi trên bản vẽ / Explicit</x:v>
      </x:c>
      <x:c r="J310" s="18" t="str">
        <x:v>Tờ 4
File 6</x:v>
      </x:c>
      <x:c r="K310" s="18" t="str">
        <x:v>left-side level symbols</x:v>
      </x:c>
      <x:c r="L310" s="18" t="str">
        <x:v>MẶT SÂN - 2,08M</x:v>
      </x:c>
      <x:c r="M310" s="18" t="str"/>
    </x:row>
    <x:row r="311" ht="36" hidden="0" customHeight="1">
      <x:c r="A311" s="18" t="str">
        <x:v>S006</x:v>
      </x:c>
      <x:c r="B311" s="18" t="str">
        <x:v>Tổng cao mặt cắt
Section overall height</x:v>
      </x:c>
      <x:c r="C311" s="18" t="str">
        <x:v>overall_height</x:v>
      </x:c>
      <x:c r="D311" s="18" t="str">
        <x:v>Model: Y
Source: Y
courtyard baseline → ridge top</x:v>
      </x:c>
      <x:c r="E311" s="24" t="n">
        <x:v>14476</x:v>
      </x:c>
      <x:c r="F311" s="25" t="str">
        <x:v>mm</x:v>
      </x:c>
      <x:c r="G311" s="22" t="n">
        <x:f>IF(COUNTBLANK(E311)&gt;0,"",E311)</x:f>
        <x:v>14476</x:v>
      </x:c>
      <x:c r="H311" s="23" t="n">
        <x:f>IF(COUNTBLANK(G311)&gt;0,"",G311/1000)</x:f>
        <x:v>14.476</x:v>
      </x:c>
      <x:c r="I311" s="18" t="str">
        <x:v>Ghi trên bản vẽ / Explicit</x:v>
      </x:c>
      <x:c r="J311" s="18" t="str">
        <x:v>Tờ 4
File 6</x:v>
      </x:c>
      <x:c r="K311" s="18" t="str">
        <x:v>far right overall dimension</x:v>
      </x:c>
      <x:c r="L311" s="18" t="str">
        <x:v>14476</x:v>
      </x:c>
      <x:c r="M311" s="18" t="str">
        <x:v>Conflicts with elevation arithmetic: 12472 - (-2080) = 14552, a 76 mm discrepancy. Do not silently replace either value.</x:v>
      </x:c>
    </x:row>
    <x:row r="312" ht="36" hidden="0" customHeight="1">
      <x:c r="A312" s="18" t="str">
        <x:v>S007</x:v>
      </x:c>
      <x:c r="B312" s="18" t="str">
        <x:v>Khoảng cách trục mặt cắt
Transverse section grid span</x:v>
      </x:c>
      <x:c r="C312" s="18" t="str">
        <x:v>grid_B_C</x:v>
      </x:c>
      <x:c r="D312" s="18" t="str">
        <x:v>Model: Z
Source: X
B → C</x:v>
      </x:c>
      <x:c r="E312" s="24" t="n">
        <x:v>3054</x:v>
      </x:c>
      <x:c r="F312" s="25" t="str">
        <x:v>mm</x:v>
      </x:c>
      <x:c r="G312" s="22" t="n">
        <x:f>IF(COUNTBLANK(E312)&gt;0,"",E312)</x:f>
        <x:v>3054</x:v>
      </x:c>
      <x:c r="H312" s="23" t="n">
        <x:f>IF(COUNTBLANK(G312)&gt;0,"",G312/1000)</x:f>
        <x:v>3.054</x:v>
      </x:c>
      <x:c r="I312" s="18" t="str">
        <x:v>Ghi trên bản vẽ / Explicit</x:v>
      </x:c>
      <x:c r="J312" s="18" t="str">
        <x:v>Tờ 4
File 6</x:v>
      </x:c>
      <x:c r="K312" s="18" t="str">
        <x:v>bottom transverse dimension chain</x:v>
      </x:c>
      <x:c r="L312" s="18" t="str">
        <x:v>3054</x:v>
      </x:c>
      <x:c r="M312" s="18" t="str">
        <x:v>Printed sequence is B,C,D,E,G,H; no F axis is shown in this section.</x:v>
      </x:c>
    </x:row>
    <x:row r="313" ht="36" hidden="0" customHeight="1">
      <x:c r="A313" s="18" t="str">
        <x:v>S008</x:v>
      </x:c>
      <x:c r="B313" s="18" t="str">
        <x:v>Khoảng cách trục mặt cắt
Transverse section grid span</x:v>
      </x:c>
      <x:c r="C313" s="18" t="str">
        <x:v>grid_C_D</x:v>
      </x:c>
      <x:c r="D313" s="18" t="str">
        <x:v>Model: Z
Source: X
C → D</x:v>
      </x:c>
      <x:c r="E313" s="24" t="n">
        <x:v>3760</x:v>
      </x:c>
      <x:c r="F313" s="25" t="str">
        <x:v>mm</x:v>
      </x:c>
      <x:c r="G313" s="22" t="n">
        <x:f>IF(COUNTBLANK(E313)&gt;0,"",E313)</x:f>
        <x:v>3760</x:v>
      </x:c>
      <x:c r="H313" s="23" t="n">
        <x:f>IF(COUNTBLANK(G313)&gt;0,"",G313/1000)</x:f>
        <x:v>3.76</x:v>
      </x:c>
      <x:c r="I313" s="18" t="str">
        <x:v>Ghi trên bản vẽ / Explicit</x:v>
      </x:c>
      <x:c r="J313" s="18" t="str">
        <x:v>Tờ 4
File 6</x:v>
      </x:c>
      <x:c r="K313" s="18" t="str">
        <x:v>bottom transverse dimension chain</x:v>
      </x:c>
      <x:c r="L313" s="18" t="str">
        <x:v>3760</x:v>
      </x:c>
      <x:c r="M313" s="18" t="str">
        <x:v>Printed sequence is B,C,D,E,G,H; no F axis is shown in this section.</x:v>
      </x:c>
    </x:row>
    <x:row r="314" ht="36" hidden="0" customHeight="1">
      <x:c r="A314" s="18" t="str">
        <x:v>S009</x:v>
      </x:c>
      <x:c r="B314" s="18" t="str">
        <x:v>Khoảng cách trục mặt cắt
Transverse section grid span</x:v>
      </x:c>
      <x:c r="C314" s="18" t="str">
        <x:v>grid_D_E</x:v>
      </x:c>
      <x:c r="D314" s="18" t="str">
        <x:v>Model: Z
Source: X
D → E</x:v>
      </x:c>
      <x:c r="E314" s="24" t="n">
        <x:v>7200</x:v>
      </x:c>
      <x:c r="F314" s="25" t="str">
        <x:v>mm</x:v>
      </x:c>
      <x:c r="G314" s="22" t="n">
        <x:f>IF(COUNTBLANK(E314)&gt;0,"",E314)</x:f>
        <x:v>7200</x:v>
      </x:c>
      <x:c r="H314" s="23" t="n">
        <x:f>IF(COUNTBLANK(G314)&gt;0,"",G314/1000)</x:f>
        <x:v>7.2</x:v>
      </x:c>
      <x:c r="I314" s="18" t="str">
        <x:v>Ghi trên bản vẽ / Explicit</x:v>
      </x:c>
      <x:c r="J314" s="18" t="str">
        <x:v>Tờ 4
File 6</x:v>
      </x:c>
      <x:c r="K314" s="18" t="str">
        <x:v>bottom transverse dimension chain</x:v>
      </x:c>
      <x:c r="L314" s="18" t="str">
        <x:v>7200</x:v>
      </x:c>
      <x:c r="M314" s="18" t="str">
        <x:v>Printed sequence is B,C,D,E,G,H; no F axis is shown in this section.</x:v>
      </x:c>
    </x:row>
    <x:row r="315" ht="36" hidden="0" customHeight="1">
      <x:c r="A315" s="18" t="str">
        <x:v>S010</x:v>
      </x:c>
      <x:c r="B315" s="18" t="str">
        <x:v>Khoảng cách trục mặt cắt
Transverse section grid span</x:v>
      </x:c>
      <x:c r="C315" s="18" t="str">
        <x:v>grid_E_G</x:v>
      </x:c>
      <x:c r="D315" s="18" t="str">
        <x:v>Model: Z
Source: X
E → G</x:v>
      </x:c>
      <x:c r="E315" s="24" t="n">
        <x:v>3760</x:v>
      </x:c>
      <x:c r="F315" s="25" t="str">
        <x:v>mm</x:v>
      </x:c>
      <x:c r="G315" s="22" t="n">
        <x:f>IF(COUNTBLANK(E315)&gt;0,"",E315)</x:f>
        <x:v>3760</x:v>
      </x:c>
      <x:c r="H315" s="23" t="n">
        <x:f>IF(COUNTBLANK(G315)&gt;0,"",G315/1000)</x:f>
        <x:v>3.76</x:v>
      </x:c>
      <x:c r="I315" s="18" t="str">
        <x:v>Ghi trên bản vẽ / Explicit</x:v>
      </x:c>
      <x:c r="J315" s="18" t="str">
        <x:v>Tờ 4
File 6</x:v>
      </x:c>
      <x:c r="K315" s="18" t="str">
        <x:v>bottom transverse dimension chain</x:v>
      </x:c>
      <x:c r="L315" s="18" t="str">
        <x:v>3760</x:v>
      </x:c>
      <x:c r="M315" s="18" t="str">
        <x:v>Printed sequence is B,C,D,E,G,H; no F axis is shown in this section.</x:v>
      </x:c>
    </x:row>
    <x:row r="316" ht="36" hidden="0" customHeight="1">
      <x:c r="A316" s="18" t="str">
        <x:v>S011</x:v>
      </x:c>
      <x:c r="B316" s="18" t="str">
        <x:v>Khoảng cách trục mặt cắt
Transverse section grid span</x:v>
      </x:c>
      <x:c r="C316" s="18" t="str">
        <x:v>grid_G_H</x:v>
      </x:c>
      <x:c r="D316" s="18" t="str">
        <x:v>Model: Z
Source: X
G → H</x:v>
      </x:c>
      <x:c r="E316" s="24" t="n">
        <x:v>3054</x:v>
      </x:c>
      <x:c r="F316" s="25" t="str">
        <x:v>mm</x:v>
      </x:c>
      <x:c r="G316" s="22" t="n">
        <x:f>IF(COUNTBLANK(E316)&gt;0,"",E316)</x:f>
        <x:v>3054</x:v>
      </x:c>
      <x:c r="H316" s="23" t="n">
        <x:f>IF(COUNTBLANK(G316)&gt;0,"",G316/1000)</x:f>
        <x:v>3.054</x:v>
      </x:c>
      <x:c r="I316" s="18" t="str">
        <x:v>Ghi trên bản vẽ / Explicit</x:v>
      </x:c>
      <x:c r="J316" s="18" t="str">
        <x:v>Tờ 4
File 6</x:v>
      </x:c>
      <x:c r="K316" s="18" t="str">
        <x:v>bottom transverse dimension chain</x:v>
      </x:c>
      <x:c r="L316" s="18" t="str">
        <x:v>3054</x:v>
      </x:c>
      <x:c r="M316" s="18" t="str">
        <x:v>Printed sequence is B,C,D,E,G,H; no F axis is shown in this section.</x:v>
      </x:c>
    </x:row>
    <x:row r="317" ht="36" hidden="0" customHeight="1">
      <x:c r="A317" s="18" t="str">
        <x:v>S012</x:v>
      </x:c>
      <x:c r="B317" s="18" t="str">
        <x:v>Tổng bề ngang mặt cắt
Overall transverse section width</x:v>
      </x:c>
      <x:c r="C317" s="18" t="str">
        <x:v>outside_width</x:v>
      </x:c>
      <x:c r="D317" s="18" t="str">
        <x:v>Model: Z
Source: X
left outer extent → right outer extent</x:v>
      </x:c>
      <x:c r="E317" s="24" t="n">
        <x:v>22388</x:v>
      </x:c>
      <x:c r="F317" s="25" t="str">
        <x:v>mm</x:v>
      </x:c>
      <x:c r="G317" s="22" t="n">
        <x:f>IF(COUNTBLANK(E317)&gt;0,"",E317)</x:f>
        <x:v>22388</x:v>
      </x:c>
      <x:c r="H317" s="23" t="n">
        <x:f>IF(COUNTBLANK(G317)&gt;0,"",G317/1000)</x:f>
        <x:v>22.388</x:v>
      </x:c>
      <x:c r="I317" s="18" t="str">
        <x:v>Ghi trên bản vẽ / Explicit</x:v>
      </x:c>
      <x:c r="J317" s="18" t="str">
        <x:v>Tờ 4
File 6</x:v>
      </x:c>
      <x:c r="K317" s="18" t="str">
        <x:v>bottom overall dimension</x:v>
      </x:c>
      <x:c r="L317" s="18" t="str">
        <x:v>22388</x:v>
      </x:c>
      <x:c r="M317" s="18" t="str"/>
    </x:row>
    <x:row r="318" ht="36" hidden="0" customHeight="1">
      <x:c r="A318" s="18" t="str">
        <x:v>S013</x:v>
      </x:c>
      <x:c r="B318" s="18" t="str">
        <x:v>Móng cột chính
Central column foundation</x:v>
      </x:c>
      <x:c r="C318" s="18" t="str">
        <x:v>foundation_offset</x:v>
      </x:c>
      <x:c r="D318" s="18" t="str">
        <x:v>Model: Z
Source: X
E foundation left face → E axis</x:v>
      </x:c>
      <x:c r="E318" s="24" t="n">
        <x:v>500</x:v>
      </x:c>
      <x:c r="F318" s="25" t="str">
        <x:v>mm</x:v>
      </x:c>
      <x:c r="G318" s="22" t="n">
        <x:f>IF(COUNTBLANK(E318)&gt;0,"",E318)</x:f>
        <x:v>500</x:v>
      </x:c>
      <x:c r="H318" s="23" t="n">
        <x:f>IF(COUNTBLANK(G318)&gt;0,"",G318/1000)</x:f>
        <x:v>0.5</x:v>
      </x:c>
      <x:c r="I318" s="18" t="str">
        <x:v>Ghi trên bản vẽ / Explicit</x:v>
      </x:c>
      <x:c r="J318" s="18" t="str">
        <x:v>Tờ 4
File 6</x:v>
      </x:c>
      <x:c r="K318" s="18" t="str">
        <x:v>bottom right local foundation dimension chain</x:v>
      </x:c>
      <x:c r="L318" s="18" t="str">
        <x:v>500</x:v>
      </x:c>
      <x:c r="M318" s="18" t="str">
        <x:v>These dimensions describe foundation/section extents, not column shaft diameters.</x:v>
      </x:c>
    </x:row>
    <x:row r="319" ht="36" hidden="0" customHeight="1">
      <x:c r="A319" s="18" t="str">
        <x:v>S014</x:v>
      </x:c>
      <x:c r="B319" s="18" t="str">
        <x:v>Móng cột chính
Central column foundation</x:v>
      </x:c>
      <x:c r="C319" s="18" t="str">
        <x:v>foundation_offset</x:v>
      </x:c>
      <x:c r="D319" s="18" t="str">
        <x:v>Model: Z
Source: X
E axis → E foundation right face</x:v>
      </x:c>
      <x:c r="E319" s="24" t="n">
        <x:v>500</x:v>
      </x:c>
      <x:c r="F319" s="25" t="str">
        <x:v>mm</x:v>
      </x:c>
      <x:c r="G319" s="22" t="n">
        <x:f>IF(COUNTBLANK(E319)&gt;0,"",E319)</x:f>
        <x:v>500</x:v>
      </x:c>
      <x:c r="H319" s="23" t="n">
        <x:f>IF(COUNTBLANK(G319)&gt;0,"",G319/1000)</x:f>
        <x:v>0.5</x:v>
      </x:c>
      <x:c r="I319" s="18" t="str">
        <x:v>Ghi trên bản vẽ / Explicit</x:v>
      </x:c>
      <x:c r="J319" s="18" t="str">
        <x:v>Tờ 4
File 6</x:v>
      </x:c>
      <x:c r="K319" s="18" t="str">
        <x:v>bottom right local foundation dimension chain</x:v>
      </x:c>
      <x:c r="L319" s="18" t="str">
        <x:v>500</x:v>
      </x:c>
      <x:c r="M319" s="18" t="str">
        <x:v>These dimensions describe foundation/section extents, not column shaft diameters.</x:v>
      </x:c>
    </x:row>
    <x:row r="320" ht="36" hidden="0" customHeight="1">
      <x:c r="A320" s="18" t="str">
        <x:v>S015</x:v>
      </x:c>
      <x:c r="B320" s="18" t="str">
        <x:v>Móng trục G
Inner side support foundation</x:v>
      </x:c>
      <x:c r="C320" s="18" t="str">
        <x:v>foundation_offset</x:v>
      </x:c>
      <x:c r="D320" s="18" t="str">
        <x:v>Model: Z
Source: X
G foundation left face → G axis</x:v>
      </x:c>
      <x:c r="E320" s="24" t="n">
        <x:v>560</x:v>
      </x:c>
      <x:c r="F320" s="25" t="str">
        <x:v>mm</x:v>
      </x:c>
      <x:c r="G320" s="22" t="n">
        <x:f>IF(COUNTBLANK(E320)&gt;0,"",E320)</x:f>
        <x:v>560</x:v>
      </x:c>
      <x:c r="H320" s="23" t="n">
        <x:f>IF(COUNTBLANK(G320)&gt;0,"",G320/1000)</x:f>
        <x:v>0.56</x:v>
      </x:c>
      <x:c r="I320" s="18" t="str">
        <x:v>Ghi trên bản vẽ / Explicit</x:v>
      </x:c>
      <x:c r="J320" s="18" t="str">
        <x:v>Tờ 4
File 6</x:v>
      </x:c>
      <x:c r="K320" s="18" t="str">
        <x:v>bottom right local foundation dimension chain</x:v>
      </x:c>
      <x:c r="L320" s="18" t="str">
        <x:v>560</x:v>
      </x:c>
      <x:c r="M320" s="18" t="str">
        <x:v>These dimensions describe foundation/section extents, not column shaft diameters.</x:v>
      </x:c>
    </x:row>
    <x:row r="321" ht="36" hidden="0" customHeight="1">
      <x:c r="A321" s="18" t="str">
        <x:v>S016</x:v>
      </x:c>
      <x:c r="B321" s="18" t="str">
        <x:v>Móng trục G
Inner side support foundation</x:v>
      </x:c>
      <x:c r="C321" s="18" t="str">
        <x:v>foundation_offset</x:v>
      </x:c>
      <x:c r="D321" s="18" t="str">
        <x:v>Model: Z
Source: X
G axis → G foundation right face</x:v>
      </x:c>
      <x:c r="E321" s="24" t="n">
        <x:v>330</x:v>
      </x:c>
      <x:c r="F321" s="25" t="str">
        <x:v>mm</x:v>
      </x:c>
      <x:c r="G321" s="22" t="n">
        <x:f>IF(COUNTBLANK(E321)&gt;0,"",E321)</x:f>
        <x:v>330</x:v>
      </x:c>
      <x:c r="H321" s="23" t="n">
        <x:f>IF(COUNTBLANK(G321)&gt;0,"",G321/1000)</x:f>
        <x:v>0.33</x:v>
      </x:c>
      <x:c r="I321" s="18" t="str">
        <x:v>Ghi trên bản vẽ / Explicit</x:v>
      </x:c>
      <x:c r="J321" s="18" t="str">
        <x:v>Tờ 4
File 6</x:v>
      </x:c>
      <x:c r="K321" s="18" t="str">
        <x:v>bottom right local foundation dimension chain</x:v>
      </x:c>
      <x:c r="L321" s="18" t="str">
        <x:v>330</x:v>
      </x:c>
      <x:c r="M321" s="18" t="str">
        <x:v>These dimensions describe foundation/section extents, not column shaft diameters.</x:v>
      </x:c>
    </x:row>
    <x:row r="322" ht="36" hidden="0" customHeight="1">
      <x:c r="A322" s="18" t="str">
        <x:v>S017</x:v>
      </x:c>
      <x:c r="B322" s="18" t="str">
        <x:v>Móng trục H
Exterior veranda foundation</x:v>
      </x:c>
      <x:c r="C322" s="18" t="str">
        <x:v>foundation_offset</x:v>
      </x:c>
      <x:c r="D322" s="18" t="str">
        <x:v>Model: Z
Source: X
H foundation inner face → H axis</x:v>
      </x:c>
      <x:c r="E322" s="24" t="n">
        <x:v>385</x:v>
      </x:c>
      <x:c r="F322" s="25" t="str">
        <x:v>mm</x:v>
      </x:c>
      <x:c r="G322" s="22" t="n">
        <x:f>IF(COUNTBLANK(E322)&gt;0,"",E322)</x:f>
        <x:v>385</x:v>
      </x:c>
      <x:c r="H322" s="23" t="n">
        <x:f>IF(COUNTBLANK(G322)&gt;0,"",G322/1000)</x:f>
        <x:v>0.385</x:v>
      </x:c>
      <x:c r="I322" s="18" t="str">
        <x:v>Ghi trên bản vẽ / Explicit</x:v>
      </x:c>
      <x:c r="J322" s="18" t="str">
        <x:v>Tờ 4
File 6</x:v>
      </x:c>
      <x:c r="K322" s="18" t="str">
        <x:v>bottom right local foundation dimension chain</x:v>
      </x:c>
      <x:c r="L322" s="18" t="str">
        <x:v>385</x:v>
      </x:c>
      <x:c r="M322" s="18" t="str">
        <x:v>These dimensions describe foundation/section extents, not column shaft diameters.</x:v>
      </x:c>
    </x:row>
    <x:row r="323" ht="36" hidden="0" customHeight="1">
      <x:c r="A323" s="18" t="str">
        <x:v>S018</x:v>
      </x:c>
      <x:c r="B323" s="18" t="str">
        <x:v>Móng trục H
Exterior veranda foundation</x:v>
      </x:c>
      <x:c r="C323" s="18" t="str">
        <x:v>foundation_offset</x:v>
      </x:c>
      <x:c r="D323" s="18" t="str">
        <x:v>Model: Z
Source: X
H axis → H foundation outer face</x:v>
      </x:c>
      <x:c r="E323" s="24" t="n">
        <x:v>780</x:v>
      </x:c>
      <x:c r="F323" s="25" t="str">
        <x:v>mm</x:v>
      </x:c>
      <x:c r="G323" s="22" t="n">
        <x:f>IF(COUNTBLANK(E323)&gt;0,"",E323)</x:f>
        <x:v>780</x:v>
      </x:c>
      <x:c r="H323" s="23" t="n">
        <x:f>IF(COUNTBLANK(G323)&gt;0,"",G323/1000)</x:f>
        <x:v>0.78</x:v>
      </x:c>
      <x:c r="I323" s="18" t="str">
        <x:v>Ghi trên bản vẽ / Explicit</x:v>
      </x:c>
      <x:c r="J323" s="18" t="str">
        <x:v>Tờ 4
File 6</x:v>
      </x:c>
      <x:c r="K323" s="18" t="str">
        <x:v>bottom right local foundation dimension chain</x:v>
      </x:c>
      <x:c r="L323" s="18" t="str">
        <x:v>780</x:v>
      </x:c>
      <x:c r="M323" s="18" t="str">
        <x:v>These dimensions describe foundation/section extents, not column shaft diameters.</x:v>
      </x:c>
    </x:row>
    <x:row r="324" ht="36" hidden="0" customHeight="1">
      <x:c r="A324" s="18" t="str">
        <x:v>S019</x:v>
      </x:c>
      <x:c r="B324" s="18" t="str">
        <x:v>Chân cột chính
Central column base</x:v>
      </x:c>
      <x:c r="C324" s="18" t="str">
        <x:v>base_height</x:v>
      </x:c>
      <x:c r="D324" s="18" t="str">
        <x:v>Model: Y
Source: Y
finished floor → base top</x:v>
      </x:c>
      <x:c r="E324" s="24" t="n">
        <x:v>600</x:v>
      </x:c>
      <x:c r="F324" s="25" t="str">
        <x:v>mm</x:v>
      </x:c>
      <x:c r="G324" s="22" t="n">
        <x:f>IF(COUNTBLANK(E324)&gt;0,"",E324)</x:f>
        <x:v>600</x:v>
      </x:c>
      <x:c r="H324" s="23" t="n">
        <x:f>IF(COUNTBLANK(G324)&gt;0,"",G324/1000)</x:f>
        <x:v>0.6</x:v>
      </x:c>
      <x:c r="I324" s="18" t="str">
        <x:v>Ghi trên bản vẽ / Explicit</x:v>
      </x:c>
      <x:c r="J324" s="18" t="str">
        <x:v>Tờ 4
File 6</x:v>
      </x:c>
      <x:c r="K324" s="18" t="str">
        <x:v>right interior column vertical dimensions</x:v>
      </x:c>
      <x:c r="L324" s="18" t="str">
        <x:v>600</x:v>
      </x:c>
      <x:c r="M324" s="18" t="str"/>
    </x:row>
    <x:row r="325" ht="48" hidden="0" customHeight="1">
      <x:c r="A325" s="18" t="str">
        <x:v>S020</x:v>
      </x:c>
      <x:c r="B325" s="18" t="str">
        <x:v>Thân cột chính
Central column shaft</x:v>
      </x:c>
      <x:c r="C325" s="18" t="str">
        <x:v>shaft_height</x:v>
      </x:c>
      <x:c r="D325" s="18" t="str">
        <x:v>Model: Y
Source: Y
base top → dimensioned top of central post</x:v>
      </x:c>
      <x:c r="E325" s="24" t="n">
        <x:v>8802</x:v>
      </x:c>
      <x:c r="F325" s="25" t="str">
        <x:v>mm</x:v>
      </x:c>
      <x:c r="G325" s="22" t="n">
        <x:f>IF(COUNTBLANK(E325)&gt;0,"",E325)</x:f>
        <x:v>8802</x:v>
      </x:c>
      <x:c r="H325" s="23" t="n">
        <x:f>IF(COUNTBLANK(G325)&gt;0,"",G325/1000)</x:f>
        <x:v>8.802</x:v>
      </x:c>
      <x:c r="I325" s="18" t="str">
        <x:v>Ghi trên bản vẽ / Explicit</x:v>
      </x:c>
      <x:c r="J325" s="18" t="str">
        <x:v>Tờ 4
File 6</x:v>
      </x:c>
      <x:c r="K325" s="18" t="str">
        <x:v>right interior column vertical dimensions</x:v>
      </x:c>
      <x:c r="L325" s="18" t="str">
        <x:v>8802</x:v>
      </x:c>
      <x:c r="M325" s="18" t="str"/>
    </x:row>
    <x:row r="326" ht="36" hidden="0" customHeight="1">
      <x:c r="A326" s="18" t="str">
        <x:v>S021</x:v>
      </x:c>
      <x:c r="B326" s="18" t="str">
        <x:v>Chân cột phụ
Side column base</x:v>
      </x:c>
      <x:c r="C326" s="18" t="str">
        <x:v>base_height</x:v>
      </x:c>
      <x:c r="D326" s="18" t="str">
        <x:v>Model: Y
Source: Y
finished floor → base top</x:v>
      </x:c>
      <x:c r="E326" s="24" t="n">
        <x:v>600</x:v>
      </x:c>
      <x:c r="F326" s="25" t="str">
        <x:v>mm</x:v>
      </x:c>
      <x:c r="G326" s="22" t="n">
        <x:f>IF(COUNTBLANK(E326)&gt;0,"",E326)</x:f>
        <x:v>600</x:v>
      </x:c>
      <x:c r="H326" s="23" t="n">
        <x:f>IF(COUNTBLANK(G326)&gt;0,"",G326/1000)</x:f>
        <x:v>0.6</x:v>
      </x:c>
      <x:c r="I326" s="18" t="str">
        <x:v>Ghi trên bản vẽ / Explicit</x:v>
      </x:c>
      <x:c r="J326" s="18" t="str">
        <x:v>Tờ 4
File 6</x:v>
      </x:c>
      <x:c r="K326" s="18" t="str">
        <x:v>right interior column vertical dimensions</x:v>
      </x:c>
      <x:c r="L326" s="18" t="str">
        <x:v>600</x:v>
      </x:c>
      <x:c r="M326" s="18" t="str"/>
    </x:row>
    <x:row r="327" ht="48" hidden="0" customHeight="1">
      <x:c r="A327" s="18" t="str">
        <x:v>S022</x:v>
      </x:c>
      <x:c r="B327" s="18" t="str">
        <x:v>Thân cột phụ
Side column shaft</x:v>
      </x:c>
      <x:c r="C327" s="18" t="str">
        <x:v>shaft_height</x:v>
      </x:c>
      <x:c r="D327" s="18" t="str">
        <x:v>Model: Y
Source: Y
base top → dimensioned top of side post</x:v>
      </x:c>
      <x:c r="E327" s="24" t="n">
        <x:v>6390</x:v>
      </x:c>
      <x:c r="F327" s="25" t="str">
        <x:v>mm</x:v>
      </x:c>
      <x:c r="G327" s="22" t="n">
        <x:f>IF(COUNTBLANK(E327)&gt;0,"",E327)</x:f>
        <x:v>6390</x:v>
      </x:c>
      <x:c r="H327" s="23" t="n">
        <x:f>IF(COUNTBLANK(G327)&gt;0,"",G327/1000)</x:f>
        <x:v>6.39</x:v>
      </x:c>
      <x:c r="I327" s="18" t="str">
        <x:v>Ghi trên bản vẽ / Explicit</x:v>
      </x:c>
      <x:c r="J327" s="18" t="str">
        <x:v>Tờ 4
File 6</x:v>
      </x:c>
      <x:c r="K327" s="18" t="str">
        <x:v>right interior column vertical dimensions</x:v>
      </x:c>
      <x:c r="L327" s="18" t="str">
        <x:v>6390</x:v>
      </x:c>
      <x:c r="M327" s="18" t="str"/>
    </x:row>
    <x:row r="328" ht="48" hidden="0" customHeight="1">
      <x:c r="A328" s="18" t="str">
        <x:v>S023</x:v>
      </x:c>
      <x:c r="B328" s="18" t="str">
        <x:v>Mái hiên BTCT
Reinforced concrete veranda roof</x:v>
      </x:c>
      <x:c r="C328" s="18" t="str">
        <x:v>concrete_thickness</x:v>
      </x:c>
      <x:c r="D328" s="18" t="str">
        <x:v>Model: LOCAL_NORMAL
Source: NORMAL
concrete lower face → concrete upper face</x:v>
      </x:c>
      <x:c r="E328" s="24" t="n">
        <x:v>130</x:v>
      </x:c>
      <x:c r="F328" s="25" t="str">
        <x:v>mm</x:v>
      </x:c>
      <x:c r="G328" s="22" t="n">
        <x:f>IF(COUNTBLANK(E328)&gt;0,"",E328)</x:f>
        <x:v>130</x:v>
      </x:c>
      <x:c r="H328" s="23" t="n">
        <x:f>IF(COUNTBLANK(G328)&gt;0,"",G328/1000)</x:f>
        <x:v>0.13</x:v>
      </x:c>
      <x:c r="I328" s="18" t="str">
        <x:v>Ghi trên bản vẽ / Explicit</x:v>
      </x:c>
      <x:c r="J328" s="18" t="str">
        <x:v>Tờ 4
File 6</x:v>
      </x:c>
      <x:c r="K328" s="18" t="str">
        <x:v>right veranda roof diagonal thickness dimension</x:v>
      </x:c>
      <x:c r="L328" s="18" t="str">
        <x:v>130</x:v>
      </x:c>
      <x:c r="M328" s="18" t="str">
        <x:v>Also written in material note: bt ct đổ dày 13cm.</x:v>
      </x:c>
    </x:row>
    <x:row r="329" ht="48" hidden="0" customHeight="1">
      <x:c r="A329" s="18" t="str">
        <x:v>S024</x:v>
      </x:c>
      <x:c r="B329" s="18" t="str">
        <x:v>Khoảng dưới mái hiên
Veranda roof zone</x:v>
      </x:c>
      <x:c r="C329" s="18" t="str">
        <x:v>sloping_reference_separation</x:v>
      </x:c>
      <x:c r="D329" s="18" t="str">
        <x:v>Model: LOCAL_NORMAL
Source: NORMAL
lower sloping arch/wall reference → upper sloping roof reference</x:v>
      </x:c>
      <x:c r="E329" s="24" t="n">
        <x:v>461</x:v>
      </x:c>
      <x:c r="F329" s="25" t="str">
        <x:v>mm</x:v>
      </x:c>
      <x:c r="G329" s="22" t="n">
        <x:f>IF(COUNTBLANK(E329)&gt;0,"",E329)</x:f>
        <x:v>461</x:v>
      </x:c>
      <x:c r="H329" s="23" t="n">
        <x:f>IF(COUNTBLANK(G329)&gt;0,"",G329/1000)</x:f>
        <x:v>0.461</x:v>
      </x:c>
      <x:c r="I329" s="18" t="str">
        <x:v>Ghi trên bản vẽ / Explicit</x:v>
      </x:c>
      <x:c r="J329" s="18" t="str">
        <x:v>Tờ 4
File 6</x:v>
      </x:c>
      <x:c r="K329" s="18" t="str">
        <x:v>right veranda roof diagonal dimension</x:v>
      </x:c>
      <x:c r="L329" s="18" t="str">
        <x:v>461</x:v>
      </x:c>
      <x:c r="M329" s="18" t="str">
        <x:v>The two witness points are across the roof/upper arch zone. Layer attribution is not specified; do not treat this as insulation or a structural beam size.</x:v>
      </x:c>
    </x:row>
    <x:row r="330" ht="48" hidden="0" customHeight="1">
      <x:c r="A330" s="18" t="str">
        <x:v>S025</x:v>
      </x:c>
      <x:c r="B330" s="18" t="str">
        <x:v>Liên kết tường và mái hiên tại G
G wall/veranda roof junction</x:v>
      </x:c>
      <x:c r="C330" s="18" t="str">
        <x:v>horizontal_junction_offset</x:v>
      </x:c>
      <x:c r="D330" s="18" t="str">
        <x:v>Model: Z
Source: X
G-side wall inner reference → G support axis/reference</x:v>
      </x:c>
      <x:c r="E330" s="24" t="n">
        <x:v>110</x:v>
      </x:c>
      <x:c r="F330" s="25" t="str">
        <x:v>mm</x:v>
      </x:c>
      <x:c r="G330" s="22" t="n">
        <x:f>IF(COUNTBLANK(E330)&gt;0,"",E330)</x:f>
        <x:v>110</x:v>
      </x:c>
      <x:c r="H330" s="23" t="n">
        <x:f>IF(COUNTBLANK(G330)&gt;0,"",G330/1000)</x:f>
        <x:v>0.11</x:v>
      </x:c>
      <x:c r="I330" s="18" t="str">
        <x:v>Ghi trên bản vẽ / Explicit</x:v>
      </x:c>
      <x:c r="J330" s="18" t="str">
        <x:v>Tờ 4
File 6</x:v>
      </x:c>
      <x:c r="K330" s="18" t="str">
        <x:v>right upper junction beside side post</x:v>
      </x:c>
      <x:c r="L330" s="18" t="str">
        <x:v>110</x:v>
      </x:c>
      <x:c r="M330" s="18" t="str">
        <x:v>These are horizontal dimensions; they are not vertical beam depths.</x:v>
      </x:c>
    </x:row>
    <x:row r="331" ht="48" hidden="0" customHeight="1">
      <x:c r="A331" s="18" t="str">
        <x:v>S026</x:v>
      </x:c>
      <x:c r="B331" s="18" t="str">
        <x:v>Liên kết tường và mái hiên tại G
G wall/veranda roof junction</x:v>
      </x:c>
      <x:c r="C331" s="18" t="str">
        <x:v>horizontal_junction_offset</x:v>
      </x:c>
      <x:c r="D331" s="18" t="str">
        <x:v>Model: Z
Source: X
G support axis/reference → G-side wall outer reference</x:v>
      </x:c>
      <x:c r="E331" s="24" t="n">
        <x:v>220</x:v>
      </x:c>
      <x:c r="F331" s="25" t="str">
        <x:v>mm</x:v>
      </x:c>
      <x:c r="G331" s="22" t="n">
        <x:f>IF(COUNTBLANK(E331)&gt;0,"",E331)</x:f>
        <x:v>220</x:v>
      </x:c>
      <x:c r="H331" s="23" t="n">
        <x:f>IF(COUNTBLANK(G331)&gt;0,"",G331/1000)</x:f>
        <x:v>0.22</x:v>
      </x:c>
      <x:c r="I331" s="18" t="str">
        <x:v>Ghi trên bản vẽ / Explicit</x:v>
      </x:c>
      <x:c r="J331" s="18" t="str">
        <x:v>Tờ 4
File 6</x:v>
      </x:c>
      <x:c r="K331" s="18" t="str">
        <x:v>right upper junction beside side post</x:v>
      </x:c>
      <x:c r="L331" s="18" t="str">
        <x:v>220</x:v>
      </x:c>
      <x:c r="M331" s="18" t="str">
        <x:v>These are horizontal dimensions; they are not vertical beam depths.</x:v>
      </x:c>
    </x:row>
    <x:row r="332" ht="48" hidden="0" customHeight="1">
      <x:c r="A332" s="18" t="str">
        <x:v>S027</x:v>
      </x:c>
      <x:c r="B332" s="18" t="str">
        <x:v>Cuốn/tường hiên
Veranda arch wall</x:v>
      </x:c>
      <x:c r="C332" s="18" t="str">
        <x:v>local_wall_return_width</x:v>
      </x:c>
      <x:c r="D332" s="18" t="str">
        <x:v>Model: Z
Source: X
arch wall/return inner face → arch wall/return outer face</x:v>
      </x:c>
      <x:c r="E332" s="24" t="n">
        <x:v>235</x:v>
      </x:c>
      <x:c r="F332" s="25" t="str">
        <x:v>mm</x:v>
      </x:c>
      <x:c r="G332" s="22" t="n">
        <x:f>IF(COUNTBLANK(E332)&gt;0,"",E332)</x:f>
        <x:v>235</x:v>
      </x:c>
      <x:c r="H332" s="23" t="n">
        <x:f>IF(COUNTBLANK(G332)&gt;0,"",G332/1000)</x:f>
        <x:v>0.235</x:v>
      </x:c>
      <x:c r="I332" s="18" t="str">
        <x:v>Ghi trên bản vẽ / Explicit</x:v>
      </x:c>
      <x:c r="J332" s="18" t="str">
        <x:v>Tờ 4
File 6</x:v>
      </x:c>
      <x:c r="K332" s="18" t="str">
        <x:v>left outer veranda roof junction</x:v>
      </x:c>
      <x:c r="L332" s="18" t="str">
        <x:v>235</x:v>
      </x:c>
      <x:c r="M332" s="18" t="str">
        <x:v>235 is drawn horizontally across the local wall/return beneath the concrete roof.</x:v>
      </x:c>
    </x:row>
    <x:row r="333" ht="48" hidden="0" customHeight="1">
      <x:c r="A333" s="18" t="str">
        <x:v>S028</x:v>
      </x:c>
      <x:c r="B333" s="18" t="str">
        <x:v>Cuốn/tường hiên
Veranda arch wall</x:v>
      </x:c>
      <x:c r="C333" s="18" t="str">
        <x:v>local_wall_return_width</x:v>
      </x:c>
      <x:c r="D333" s="18" t="str">
        <x:v>Model: Z
Source: X
arch wall/return inner face → arch wall/return outer face</x:v>
      </x:c>
      <x:c r="E333" s="24" t="n">
        <x:v>235</x:v>
      </x:c>
      <x:c r="F333" s="25" t="str">
        <x:v>mm</x:v>
      </x:c>
      <x:c r="G333" s="22" t="n">
        <x:f>IF(COUNTBLANK(E333)&gt;0,"",E333)</x:f>
        <x:v>235</x:v>
      </x:c>
      <x:c r="H333" s="23" t="n">
        <x:f>IF(COUNTBLANK(G333)&gt;0,"",G333/1000)</x:f>
        <x:v>0.235</x:v>
      </x:c>
      <x:c r="I333" s="18" t="str">
        <x:v>Ghi trên bản vẽ / Explicit</x:v>
      </x:c>
      <x:c r="J333" s="18" t="str">
        <x:v>Tờ 4
File 6</x:v>
      </x:c>
      <x:c r="K333" s="18" t="str">
        <x:v>right outer veranda roof junction</x:v>
      </x:c>
      <x:c r="L333" s="18" t="str">
        <x:v>235</x:v>
      </x:c>
      <x:c r="M333" s="18" t="str">
        <x:v>235 is drawn horizontally across the local wall/return beneath the concrete roof.</x:v>
      </x:c>
    </x:row>
    <x:row r="334" ht="48" hidden="0" customHeight="1">
      <x:c r="A334" s="18" t="str">
        <x:v>S029</x:v>
      </x:c>
      <x:c r="B334" s="18" t="str">
        <x:v>Chân chóp trang trí hiên
Veranda pinnacle base</x:v>
      </x:c>
      <x:c r="C334" s="18" t="str">
        <x:v>base_width</x:v>
      </x:c>
      <x:c r="D334" s="18" t="str">
        <x:v>Model: Z
Source: X
left base reference → right base reference</x:v>
      </x:c>
      <x:c r="E334" s="24" t="n">
        <x:v>806</x:v>
      </x:c>
      <x:c r="F334" s="25" t="str">
        <x:v>mm</x:v>
      </x:c>
      <x:c r="G334" s="22" t="n">
        <x:f>IF(COUNTBLANK(E334)&gt;0,"",E334)</x:f>
        <x:v>806</x:v>
      </x:c>
      <x:c r="H334" s="23" t="n">
        <x:f>IF(COUNTBLANK(G334)&gt;0,"",G334/1000)</x:f>
        <x:v>0.806</x:v>
      </x:c>
      <x:c r="I334" s="18" t="str">
        <x:v>Ghi trên bản vẽ / Explicit</x:v>
      </x:c>
      <x:c r="J334" s="18" t="str">
        <x:v>Tờ 4
File 6</x:v>
      </x:c>
      <x:c r="K334" s="18" t="str">
        <x:v>right veranda finial near roof edge</x:v>
      </x:c>
      <x:c r="L334" s="18" t="str">
        <x:v>806</x:v>
      </x:c>
      <x:c r="M334" s="18" t="str"/>
    </x:row>
    <x:row r="335" ht="36" hidden="0" customHeight="1">
      <x:c r="A335" s="18" t="str">
        <x:v>S030</x:v>
      </x:c>
      <x:c r="B335" s="18" t="str">
        <x:v>Chuỗi cao tường ngoài
Exterior wall vertical chain</x:v>
      </x:c>
      <x:c r="C335" s="18" t="str">
        <x:v>vertical_segment</x:v>
      </x:c>
      <x:c r="D335" s="18" t="str">
        <x:v>Model: Y
Source: Y
floor → rectangular opening head</x:v>
      </x:c>
      <x:c r="E335" s="24" t="n">
        <x:v>2951</x:v>
      </x:c>
      <x:c r="F335" s="25" t="str">
        <x:v>mm</x:v>
      </x:c>
      <x:c r="G335" s="22" t="n">
        <x:f>IF(COUNTBLANK(E335)&gt;0,"",E335)</x:f>
        <x:v>2951</x:v>
      </x:c>
      <x:c r="H335" s="23" t="n">
        <x:f>IF(COUNTBLANK(G335)&gt;0,"",G335/1000)</x:f>
        <x:v>2.951</x:v>
      </x:c>
      <x:c r="I335" s="18" t="str">
        <x:v>Ghi trên bản vẽ / Explicit</x:v>
      </x:c>
      <x:c r="J335" s="18" t="str">
        <x:v>Tờ 4
File 6</x:v>
      </x:c>
      <x:c r="K335" s="18" t="str">
        <x:v>far left exterior vertical dimension chain</x:v>
      </x:c>
      <x:c r="L335" s="18" t="str">
        <x:v>2951</x:v>
      </x:c>
      <x:c r="M335" s="18" t="str"/>
    </x:row>
    <x:row r="336" ht="48" hidden="0" customHeight="1">
      <x:c r="A336" s="18" t="str">
        <x:v>S031</x:v>
      </x:c>
      <x:c r="B336" s="18" t="str">
        <x:v>Chuỗi cao tường ngoài
Exterior wall vertical chain</x:v>
      </x:c>
      <x:c r="C336" s="18" t="str">
        <x:v>vertical_segment</x:v>
      </x:c>
      <x:c r="D336" s="18" t="str">
        <x:v>Model: Y
Source: Y
rectangular opening head → arch spring reference</x:v>
      </x:c>
      <x:c r="E336" s="24" t="n">
        <x:v>150</x:v>
      </x:c>
      <x:c r="F336" s="25" t="str">
        <x:v>mm</x:v>
      </x:c>
      <x:c r="G336" s="22" t="n">
        <x:f>IF(COUNTBLANK(E336)&gt;0,"",E336)</x:f>
        <x:v>150</x:v>
      </x:c>
      <x:c r="H336" s="23" t="n">
        <x:f>IF(COUNTBLANK(G336)&gt;0,"",G336/1000)</x:f>
        <x:v>0.15</x:v>
      </x:c>
      <x:c r="I336" s="18" t="str">
        <x:v>Ghi trên bản vẽ / Explicit</x:v>
      </x:c>
      <x:c r="J336" s="18" t="str">
        <x:v>Tờ 4
File 6</x:v>
      </x:c>
      <x:c r="K336" s="18" t="str">
        <x:v>far left exterior vertical dimension chain</x:v>
      </x:c>
      <x:c r="L336" s="18" t="str">
        <x:v>150</x:v>
      </x:c>
      <x:c r="M336" s="18" t="str"/>
    </x:row>
    <x:row r="337" ht="48" hidden="0" customHeight="1">
      <x:c r="A337" s="18" t="str">
        <x:v>S032</x:v>
      </x:c>
      <x:c r="B337" s="18" t="str">
        <x:v>Chuỗi cao tường ngoài
Exterior wall vertical chain</x:v>
      </x:c>
      <x:c r="C337" s="18" t="str">
        <x:v>vertical_segment</x:v>
      </x:c>
      <x:c r="D337" s="18" t="str">
        <x:v>Model: Y
Source: Y
arch spring reference → inner arch crown</x:v>
      </x:c>
      <x:c r="E337" s="24" t="n">
        <x:v>507</x:v>
      </x:c>
      <x:c r="F337" s="25" t="str">
        <x:v>mm</x:v>
      </x:c>
      <x:c r="G337" s="22" t="n">
        <x:f>IF(COUNTBLANK(E337)&gt;0,"",E337)</x:f>
        <x:v>507</x:v>
      </x:c>
      <x:c r="H337" s="23" t="n">
        <x:f>IF(COUNTBLANK(G337)&gt;0,"",G337/1000)</x:f>
        <x:v>0.507</x:v>
      </x:c>
      <x:c r="I337" s="18" t="str">
        <x:v>Ghi trên bản vẽ / Explicit</x:v>
      </x:c>
      <x:c r="J337" s="18" t="str">
        <x:v>Tờ 4
File 6</x:v>
      </x:c>
      <x:c r="K337" s="18" t="str">
        <x:v>far left exterior vertical dimension chain</x:v>
      </x:c>
      <x:c r="L337" s="18" t="str">
        <x:v>507</x:v>
      </x:c>
      <x:c r="M337" s="18" t="str"/>
    </x:row>
    <x:row r="338" ht="48" hidden="0" customHeight="1">
      <x:c r="A338" s="18" t="str">
        <x:v>S033</x:v>
      </x:c>
      <x:c r="B338" s="18" t="str">
        <x:v>Chuỗi cao tường ngoài
Exterior wall vertical chain</x:v>
      </x:c>
      <x:c r="C338" s="18" t="str">
        <x:v>vertical_segment</x:v>
      </x:c>
      <x:c r="D338" s="18" t="str">
        <x:v>Model: Y
Source: Y
inner arch crown → outer arch mold crown</x:v>
      </x:c>
      <x:c r="E338" s="24" t="n">
        <x:v>302</x:v>
      </x:c>
      <x:c r="F338" s="25" t="str">
        <x:v>mm</x:v>
      </x:c>
      <x:c r="G338" s="22" t="n">
        <x:f>IF(COUNTBLANK(E338)&gt;0,"",E338)</x:f>
        <x:v>302</x:v>
      </x:c>
      <x:c r="H338" s="23" t="n">
        <x:f>IF(COUNTBLANK(G338)&gt;0,"",G338/1000)</x:f>
        <x:v>0.302</x:v>
      </x:c>
      <x:c r="I338" s="18" t="str">
        <x:v>Ghi trên bản vẽ / Explicit</x:v>
      </x:c>
      <x:c r="J338" s="18" t="str">
        <x:v>Tờ 4
File 6</x:v>
      </x:c>
      <x:c r="K338" s="18" t="str">
        <x:v>far left exterior vertical dimension chain</x:v>
      </x:c>
      <x:c r="L338" s="18" t="str">
        <x:v>302</x:v>
      </x:c>
      <x:c r="M338" s="18" t="str"/>
    </x:row>
    <x:row r="339" ht="48" hidden="0" customHeight="1">
      <x:c r="A339" s="18" t="str">
        <x:v>S034</x:v>
      </x:c>
      <x:c r="B339" s="18" t="str">
        <x:v>Chuỗi cao tường ngoài
Exterior wall vertical chain</x:v>
      </x:c>
      <x:c r="C339" s="18" t="str">
        <x:v>vertical_segment</x:v>
      </x:c>
      <x:c r="D339" s="18" t="str">
        <x:v>Model: Y
Source: Y
outer arch mold crown → upper circular/detail reference</x:v>
      </x:c>
      <x:c r="E339" s="24" t="n">
        <x:v>837</x:v>
      </x:c>
      <x:c r="F339" s="25" t="str">
        <x:v>mm</x:v>
      </x:c>
      <x:c r="G339" s="22" t="n">
        <x:f>IF(COUNTBLANK(E339)&gt;0,"",E339)</x:f>
        <x:v>837</x:v>
      </x:c>
      <x:c r="H339" s="23" t="n">
        <x:f>IF(COUNTBLANK(G339)&gt;0,"",G339/1000)</x:f>
        <x:v>0.837</x:v>
      </x:c>
      <x:c r="I339" s="18" t="str">
        <x:v>Ghi trên bản vẽ / Explicit</x:v>
      </x:c>
      <x:c r="J339" s="18" t="str">
        <x:v>Tờ 4
File 6</x:v>
      </x:c>
      <x:c r="K339" s="18" t="str">
        <x:v>far left exterior vertical dimension chain</x:v>
      </x:c>
      <x:c r="L339" s="18" t="str">
        <x:v>837</x:v>
      </x:c>
      <x:c r="M339" s="18" t="str"/>
    </x:row>
    <x:row r="340" ht="48" hidden="0" customHeight="1">
      <x:c r="A340" s="18" t="str">
        <x:v>S035</x:v>
      </x:c>
      <x:c r="B340" s="18" t="str">
        <x:v>Chuỗi cao tường ngoài
Exterior wall vertical chain</x:v>
      </x:c>
      <x:c r="C340" s="18" t="str">
        <x:v>vertical_segment</x:v>
      </x:c>
      <x:c r="D340" s="18" t="str">
        <x:v>Model: Y
Source: Y
upper circular/detail reference → upper wall/soffit reference</x:v>
      </x:c>
      <x:c r="E340" s="24" t="n">
        <x:v>1178</x:v>
      </x:c>
      <x:c r="F340" s="25" t="str">
        <x:v>mm</x:v>
      </x:c>
      <x:c r="G340" s="22" t="n">
        <x:f>IF(COUNTBLANK(E340)&gt;0,"",E340)</x:f>
        <x:v>1178</x:v>
      </x:c>
      <x:c r="H340" s="23" t="n">
        <x:f>IF(COUNTBLANK(G340)&gt;0,"",G340/1000)</x:f>
        <x:v>1.178</x:v>
      </x:c>
      <x:c r="I340" s="18" t="str">
        <x:v>Ghi trên bản vẽ / Explicit</x:v>
      </x:c>
      <x:c r="J340" s="18" t="str">
        <x:v>Tờ 4
File 6</x:v>
      </x:c>
      <x:c r="K340" s="18" t="str">
        <x:v>far left exterior vertical dimension chain</x:v>
      </x:c>
      <x:c r="L340" s="18" t="str">
        <x:v>1178</x:v>
      </x:c>
      <x:c r="M340" s="18" t="str"/>
    </x:row>
    <x:row r="341" ht="48" hidden="0" customHeight="1">
      <x:c r="A341" s="18" t="str">
        <x:v>S036</x:v>
      </x:c>
      <x:c r="B341" s="18" t="str">
        <x:v>Chuỗi cao tường ngoài
Exterior wall vertical chain</x:v>
      </x:c>
      <x:c r="C341" s="18" t="str">
        <x:v>vertical_segment</x:v>
      </x:c>
      <x:c r="D341" s="18" t="str">
        <x:v>Model: Y
Source: Y
upper wall/soffit reference → cornice lower step</x:v>
      </x:c>
      <x:c r="E341" s="24" t="n">
        <x:v>304</x:v>
      </x:c>
      <x:c r="F341" s="25" t="str">
        <x:v>mm</x:v>
      </x:c>
      <x:c r="G341" s="22" t="n">
        <x:f>IF(COUNTBLANK(E341)&gt;0,"",E341)</x:f>
        <x:v>304</x:v>
      </x:c>
      <x:c r="H341" s="23" t="n">
        <x:f>IF(COUNTBLANK(G341)&gt;0,"",G341/1000)</x:f>
        <x:v>0.304</x:v>
      </x:c>
      <x:c r="I341" s="18" t="str">
        <x:v>Ghi trên bản vẽ / Explicit</x:v>
      </x:c>
      <x:c r="J341" s="18" t="str">
        <x:v>Tờ 4
File 6</x:v>
      </x:c>
      <x:c r="K341" s="18" t="str">
        <x:v>far left exterior vertical dimension chain</x:v>
      </x:c>
      <x:c r="L341" s="18" t="str">
        <x:v>304</x:v>
      </x:c>
      <x:c r="M341" s="18" t="str"/>
    </x:row>
    <x:row r="342" ht="48" hidden="0" customHeight="1">
      <x:c r="A342" s="18" t="str">
        <x:v>S037</x:v>
      </x:c>
      <x:c r="B342" s="18" t="str">
        <x:v>Chuỗi cao tường ngoài
Exterior wall vertical chain</x:v>
      </x:c>
      <x:c r="C342" s="18" t="str">
        <x:v>vertical_segment</x:v>
      </x:c>
      <x:c r="D342" s="18" t="str">
        <x:v>Model: Y
Source: Y
cornice lower step → outer cornice top</x:v>
      </x:c>
      <x:c r="E342" s="24" t="n">
        <x:v>96</x:v>
      </x:c>
      <x:c r="F342" s="25" t="str">
        <x:v>mm</x:v>
      </x:c>
      <x:c r="G342" s="22" t="n">
        <x:f>IF(COUNTBLANK(E342)&gt;0,"",E342)</x:f>
        <x:v>96</x:v>
      </x:c>
      <x:c r="H342" s="23" t="n">
        <x:f>IF(COUNTBLANK(G342)&gt;0,"",G342/1000)</x:f>
        <x:v>0.096</x:v>
      </x:c>
      <x:c r="I342" s="18" t="str">
        <x:v>Ghi trên bản vẽ / Explicit</x:v>
      </x:c>
      <x:c r="J342" s="18" t="str">
        <x:v>Tờ 4
File 6</x:v>
      </x:c>
      <x:c r="K342" s="18" t="str">
        <x:v>far left exterior vertical dimension chain</x:v>
      </x:c>
      <x:c r="L342" s="18" t="str">
        <x:v>96</x:v>
      </x:c>
      <x:c r="M342" s="18" t="str"/>
    </x:row>
    <x:row r="343" ht="36" hidden="0" customHeight="1">
      <x:c r="A343" s="18" t="str">
        <x:v>S038</x:v>
      </x:c>
      <x:c r="B343" s="18" t="str">
        <x:v>Chuỗi cao tường trong
Interior side wall vertical chain</x:v>
      </x:c>
      <x:c r="C343" s="18" t="str">
        <x:v>vertical_segment</x:v>
      </x:c>
      <x:c r="D343" s="18" t="str">
        <x:v>Model: Y
Source: Y
floor → window sill</x:v>
      </x:c>
      <x:c r="E343" s="24" t="n">
        <x:v>650</x:v>
      </x:c>
      <x:c r="F343" s="25" t="str">
        <x:v>mm</x:v>
      </x:c>
      <x:c r="G343" s="22" t="n">
        <x:f>IF(COUNTBLANK(E343)&gt;0,"",E343)</x:f>
        <x:v>650</x:v>
      </x:c>
      <x:c r="H343" s="23" t="n">
        <x:f>IF(COUNTBLANK(G343)&gt;0,"",G343/1000)</x:f>
        <x:v>0.65</x:v>
      </x:c>
      <x:c r="I343" s="18" t="str">
        <x:v>Ghi trên bản vẽ / Explicit</x:v>
      </x:c>
      <x:c r="J343" s="18" t="str">
        <x:v>Tờ 4
File 6</x:v>
      </x:c>
      <x:c r="K343" s="18" t="str">
        <x:v>left inner support/window vertical dimension chain</x:v>
      </x:c>
      <x:c r="L343" s="18" t="str">
        <x:v>650</x:v>
      </x:c>
      <x:c r="M343" s="18" t="str"/>
    </x:row>
    <x:row r="344" ht="48" hidden="0" customHeight="1">
      <x:c r="A344" s="18" t="str">
        <x:v>S039</x:v>
      </x:c>
      <x:c r="B344" s="18" t="str">
        <x:v>Chuỗi cao tường trong
Interior side wall vertical chain</x:v>
      </x:c>
      <x:c r="C344" s="18" t="str">
        <x:v>vertical_segment</x:v>
      </x:c>
      <x:c r="D344" s="18" t="str">
        <x:v>Model: Y
Source: Y
window sill → rectangular opening head</x:v>
      </x:c>
      <x:c r="E344" s="24" t="n">
        <x:v>2301</x:v>
      </x:c>
      <x:c r="F344" s="25" t="str">
        <x:v>mm</x:v>
      </x:c>
      <x:c r="G344" s="22" t="n">
        <x:f>IF(COUNTBLANK(E344)&gt;0,"",E344)</x:f>
        <x:v>2301</x:v>
      </x:c>
      <x:c r="H344" s="23" t="n">
        <x:f>IF(COUNTBLANK(G344)&gt;0,"",G344/1000)</x:f>
        <x:v>2.301</x:v>
      </x:c>
      <x:c r="I344" s="18" t="str">
        <x:v>Ghi trên bản vẽ / Explicit</x:v>
      </x:c>
      <x:c r="J344" s="18" t="str">
        <x:v>Tờ 4
File 6</x:v>
      </x:c>
      <x:c r="K344" s="18" t="str">
        <x:v>left inner support/window vertical dimension chain</x:v>
      </x:c>
      <x:c r="L344" s="18" t="str">
        <x:v>2301</x:v>
      </x:c>
      <x:c r="M344" s="18" t="str"/>
    </x:row>
    <x:row r="345" ht="48" hidden="0" customHeight="1">
      <x:c r="A345" s="18" t="str">
        <x:v>S040</x:v>
      </x:c>
      <x:c r="B345" s="18" t="str">
        <x:v>Chuỗi cao tường trong
Interior side wall vertical chain</x:v>
      </x:c>
      <x:c r="C345" s="18" t="str">
        <x:v>vertical_segment</x:v>
      </x:c>
      <x:c r="D345" s="18" t="str">
        <x:v>Model: Y
Source: Y
rectangular opening head → arch base</x:v>
      </x:c>
      <x:c r="E345" s="24" t="n">
        <x:v>220</x:v>
      </x:c>
      <x:c r="F345" s="25" t="str">
        <x:v>mm</x:v>
      </x:c>
      <x:c r="G345" s="22" t="n">
        <x:f>IF(COUNTBLANK(E345)&gt;0,"",E345)</x:f>
        <x:v>220</x:v>
      </x:c>
      <x:c r="H345" s="23" t="n">
        <x:f>IF(COUNTBLANK(G345)&gt;0,"",G345/1000)</x:f>
        <x:v>0.22</x:v>
      </x:c>
      <x:c r="I345" s="18" t="str">
        <x:v>Ghi trên bản vẽ / Explicit</x:v>
      </x:c>
      <x:c r="J345" s="18" t="str">
        <x:v>Tờ 4
File 6</x:v>
      </x:c>
      <x:c r="K345" s="18" t="str">
        <x:v>left inner support/window vertical dimension chain</x:v>
      </x:c>
      <x:c r="L345" s="18" t="str">
        <x:v>220</x:v>
      </x:c>
      <x:c r="M345" s="18" t="str"/>
    </x:row>
    <x:row r="346" ht="36" hidden="0" customHeight="1">
      <x:c r="A346" s="18" t="str">
        <x:v>S041</x:v>
      </x:c>
      <x:c r="B346" s="18" t="str">
        <x:v>Chuỗi cao tường trong
Interior side wall vertical chain</x:v>
      </x:c>
      <x:c r="C346" s="18" t="str">
        <x:v>vertical_segment</x:v>
      </x:c>
      <x:c r="D346" s="18" t="str">
        <x:v>Model: Y
Source: Y
arch base → arch crown</x:v>
      </x:c>
      <x:c r="E346" s="24" t="n">
        <x:v>1140</x:v>
      </x:c>
      <x:c r="F346" s="25" t="str">
        <x:v>mm</x:v>
      </x:c>
      <x:c r="G346" s="22" t="n">
        <x:f>IF(COUNTBLANK(E346)&gt;0,"",E346)</x:f>
        <x:v>1140</x:v>
      </x:c>
      <x:c r="H346" s="23" t="n">
        <x:f>IF(COUNTBLANK(G346)&gt;0,"",G346/1000)</x:f>
        <x:v>1.14</x:v>
      </x:c>
      <x:c r="I346" s="18" t="str">
        <x:v>Ghi trên bản vẽ / Explicit</x:v>
      </x:c>
      <x:c r="J346" s="18" t="str">
        <x:v>Tờ 4
File 6</x:v>
      </x:c>
      <x:c r="K346" s="18" t="str">
        <x:v>left inner support/window vertical dimension chain</x:v>
      </x:c>
      <x:c r="L346" s="18" t="str">
        <x:v>1140</x:v>
      </x:c>
      <x:c r="M346" s="18" t="str"/>
    </x:row>
    <x:row r="347" ht="36" hidden="0" customHeight="1">
      <x:c r="A347" s="18" t="str">
        <x:v>S042</x:v>
      </x:c>
      <x:c r="B347" s="18" t="str">
        <x:v>Chuỗi cao tường trong
Interior side wall vertical chain</x:v>
      </x:c>
      <x:c r="C347" s="18" t="str">
        <x:v>vertical_segment</x:v>
      </x:c>
      <x:c r="D347" s="18" t="str">
        <x:v>Model: Y
Source: Y
arch crown → upper wall reference</x:v>
      </x:c>
      <x:c r="E347" s="24" t="n">
        <x:v>2177</x:v>
      </x:c>
      <x:c r="F347" s="25" t="str">
        <x:v>mm</x:v>
      </x:c>
      <x:c r="G347" s="22" t="n">
        <x:f>IF(COUNTBLANK(E347)&gt;0,"",E347)</x:f>
        <x:v>2177</x:v>
      </x:c>
      <x:c r="H347" s="23" t="n">
        <x:f>IF(COUNTBLANK(G347)&gt;0,"",G347/1000)</x:f>
        <x:v>2.177</x:v>
      </x:c>
      <x:c r="I347" s="18" t="str">
        <x:v>Ghi trên bản vẽ / Explicit</x:v>
      </x:c>
      <x:c r="J347" s="18" t="str">
        <x:v>Tờ 4
File 6</x:v>
      </x:c>
      <x:c r="K347" s="18" t="str">
        <x:v>left inner support/window vertical dimension chain</x:v>
      </x:c>
      <x:c r="L347" s="18" t="str">
        <x:v>2177</x:v>
      </x:c>
      <x:c r="M347" s="18" t="str"/>
    </x:row>
    <x:row r="348" ht="48" hidden="0" customHeight="1">
      <x:c r="A348" s="18" t="str">
        <x:v>S043</x:v>
      </x:c>
      <x:c r="B348" s="18" t="str">
        <x:v>Chuỗi cao tường trong
Interior side wall vertical chain</x:v>
      </x:c>
      <x:c r="C348" s="18" t="str">
        <x:v>vertical_segment</x:v>
      </x:c>
      <x:c r="D348" s="18" t="str">
        <x:v>Model: Y
Source: Y
upper wall reference → beam/top wall intermediate reference</x:v>
      </x:c>
      <x:c r="E348" s="24" t="n">
        <x:v>400</x:v>
      </x:c>
      <x:c r="F348" s="25" t="str">
        <x:v>mm</x:v>
      </x:c>
      <x:c r="G348" s="22" t="n">
        <x:f>IF(COUNTBLANK(E348)&gt;0,"",E348)</x:f>
        <x:v>400</x:v>
      </x:c>
      <x:c r="H348" s="23" t="n">
        <x:f>IF(COUNTBLANK(G348)&gt;0,"",G348/1000)</x:f>
        <x:v>0.4</x:v>
      </x:c>
      <x:c r="I348" s="18" t="str">
        <x:v>Ghi trên bản vẽ / Explicit</x:v>
      </x:c>
      <x:c r="J348" s="18" t="str">
        <x:v>Tờ 4
File 6</x:v>
      </x:c>
      <x:c r="K348" s="18" t="str">
        <x:v>left inner support/window vertical dimension chain</x:v>
      </x:c>
      <x:c r="L348" s="18" t="str">
        <x:v>400</x:v>
      </x:c>
      <x:c r="M348" s="18" t="str"/>
    </x:row>
    <x:row r="349" ht="48" hidden="0" customHeight="1">
      <x:c r="A349" s="18" t="str">
        <x:v>S044</x:v>
      </x:c>
      <x:c r="B349" s="18" t="str">
        <x:v>Chuỗi cao tường trong
Interior side wall vertical chain</x:v>
      </x:c>
      <x:c r="C349" s="18" t="str">
        <x:v>vertical_segment</x:v>
      </x:c>
      <x:c r="D349" s="18" t="str">
        <x:v>Model: Y
Source: Y
beam/top wall intermediate reference → top side-post reference</x:v>
      </x:c>
      <x:c r="E349" s="24" t="n">
        <x:v>102</x:v>
      </x:c>
      <x:c r="F349" s="25" t="str">
        <x:v>mm</x:v>
      </x:c>
      <x:c r="G349" s="22" t="n">
        <x:f>IF(COUNTBLANK(E349)&gt;0,"",E349)</x:f>
        <x:v>102</x:v>
      </x:c>
      <x:c r="H349" s="23" t="n">
        <x:f>IF(COUNTBLANK(G349)&gt;0,"",G349/1000)</x:f>
        <x:v>0.102</x:v>
      </x:c>
      <x:c r="I349" s="18" t="str">
        <x:v>Ghi trên bản vẽ / Explicit</x:v>
      </x:c>
      <x:c r="J349" s="18" t="str">
        <x:v>Tờ 4
File 6</x:v>
      </x:c>
      <x:c r="K349" s="18" t="str">
        <x:v>left inner support/window vertical dimension chain</x:v>
      </x:c>
      <x:c r="L349" s="18" t="str">
        <x:v>102</x:v>
      </x:c>
      <x:c r="M349" s="18" t="str"/>
    </x:row>
    <x:row r="350" ht="48" hidden="0" customHeight="1">
      <x:c r="A350" s="18" t="str">
        <x:v>S045</x:v>
      </x:c>
      <x:c r="B350" s="18" t="str">
        <x:v>Nền nhà thờ
Church floor</x:v>
      </x:c>
      <x:c r="C350" s="18" t="str">
        <x:v>reinforced_concrete_floor_thickness</x:v>
      </x:c>
      <x:c r="D350" s="18" t="str">
        <x:v>Model: Y
Source: Y
concrete slab bottom → concrete slab top</x:v>
      </x:c>
      <x:c r="E350" s="24" t="n">
        <x:v>80</x:v>
      </x:c>
      <x:c r="F350" s="25" t="str">
        <x:v>mm</x:v>
      </x:c>
      <x:c r="G350" s="22" t="n">
        <x:f>IF(COUNTBLANK(E350)&gt;0,"",E350)</x:f>
        <x:v>80</x:v>
      </x:c>
      <x:c r="H350" s="23" t="n">
        <x:f>IF(COUNTBLANK(G350)&gt;0,"",G350/1000)</x:f>
        <x:v>0.08</x:v>
      </x:c>
      <x:c r="I350" s="18" t="str">
        <x:v>Ghi trên bản vẽ / Explicit</x:v>
      </x:c>
      <x:c r="J350" s="18" t="str">
        <x:v>Tờ 4
File 6</x:v>
      </x:c>
      <x:c r="K350" s="18" t="str">
        <x:v>center floor build-up note</x:v>
      </x:c>
      <x:c r="L350" s="18" t="str">
        <x:v>bt ct dày 8cm</x:v>
      </x:c>
      <x:c r="M350" s="18" t="str">
        <x:v>Explicit 8 cm converted to 80 mm. Floor notes also specify natural stone paving and compacted sand fill; their thicknesses are not supplied.</x:v>
      </x:c>
    </x:row>
    <x:row r="351" ht="36" hidden="0" customHeight="1">
      <x:c r="A351" s="18" t="str">
        <x:v>S046</x:v>
      </x:c>
      <x:c r="B351" s="18" t="str">
        <x:v>Cao độ mặt cắt cung thánh
Sanctuary section levels</x:v>
      </x:c>
      <x:c r="C351" s="18" t="str">
        <x:v>ridge_elevation</x:v>
      </x:c>
      <x:c r="D351" s="18" t="str">
        <x:v>Model: Y
Source: Y
±0.000 → ridge decoration top</x:v>
      </x:c>
      <x:c r="E351" s="26" t="n">
        <x:v>12.472</x:v>
      </x:c>
      <x:c r="F351" s="25" t="str">
        <x:v>m</x:v>
      </x:c>
      <x:c r="G351" s="22" t="n">
        <x:f>IF(COUNTBLANK(E351)&gt;0,"",E351*1000)</x:f>
        <x:v>12472</x:v>
      </x:c>
      <x:c r="H351" s="23" t="n">
        <x:f>IF(COUNTBLANK(G351)&gt;0,"",G351/1000)</x:f>
        <x:v>12.472</x:v>
      </x:c>
      <x:c r="I351" s="18" t="str">
        <x:v>Ghi trên bản vẽ / Explicit</x:v>
      </x:c>
      <x:c r="J351" s="18" t="str">
        <x:v>Tờ 5
File 7</x:v>
      </x:c>
      <x:c r="K351" s="18" t="str">
        <x:v>left-side level symbols</x:v>
      </x:c>
      <x:c r="L351" s="18" t="str">
        <x:v>+ 12,472M</x:v>
      </x:c>
      <x:c r="M351" s="18" t="str"/>
    </x:row>
    <x:row r="352" ht="48" hidden="0" customHeight="1">
      <x:c r="A352" s="18" t="str">
        <x:v>S047</x:v>
      </x:c>
      <x:c r="B352" s="18" t="str">
        <x:v>Cao độ mặt cắt cung thánh
Sanctuary section levels</x:v>
      </x:c>
      <x:c r="C352" s="18" t="str">
        <x:v>intermediate_roof_level</x:v>
      </x:c>
      <x:c r="D352" s="18" t="str">
        <x:v>Model: Y
Source: Y
±0.000 → marked upper eave/roof level</x:v>
      </x:c>
      <x:c r="E352" s="26" t="n">
        <x:v>7.13</x:v>
      </x:c>
      <x:c r="F352" s="25" t="str">
        <x:v>m</x:v>
      </x:c>
      <x:c r="G352" s="22" t="n">
        <x:f>IF(COUNTBLANK(E352)&gt;0,"",E352*1000)</x:f>
        <x:v>7130</x:v>
      </x:c>
      <x:c r="H352" s="23" t="n">
        <x:f>IF(COUNTBLANK(G352)&gt;0,"",G352/1000)</x:f>
        <x:v>7.13</x:v>
      </x:c>
      <x:c r="I352" s="18" t="str">
        <x:v>Ghi trên bản vẽ / Explicit</x:v>
      </x:c>
      <x:c r="J352" s="18" t="str">
        <x:v>Tờ 5
File 7</x:v>
      </x:c>
      <x:c r="K352" s="18" t="str">
        <x:v>left-side level symbols</x:v>
      </x:c>
      <x:c r="L352" s="18" t="str">
        <x:v>+ 7,13M</x:v>
      </x:c>
      <x:c r="M352" s="18" t="str"/>
    </x:row>
    <x:row r="353" ht="36" hidden="0" customHeight="1">
      <x:c r="A353" s="18" t="str">
        <x:v>S048</x:v>
      </x:c>
      <x:c r="B353" s="18" t="str">
        <x:v>Cao độ mặt cắt cung thánh
Sanctuary section levels</x:v>
      </x:c>
      <x:c r="C353" s="18" t="str">
        <x:v>outer_cornice_elevation</x:v>
      </x:c>
      <x:c r="D353" s="18" t="str">
        <x:v>Model: Y
Source: Y
±0.000 → veranda exterior cornice</x:v>
      </x:c>
      <x:c r="E353" s="26" t="n">
        <x:v>6.325</x:v>
      </x:c>
      <x:c r="F353" s="25" t="str">
        <x:v>m</x:v>
      </x:c>
      <x:c r="G353" s="22" t="n">
        <x:f>IF(COUNTBLANK(E353)&gt;0,"",E353*1000)</x:f>
        <x:v>6325</x:v>
      </x:c>
      <x:c r="H353" s="23" t="n">
        <x:f>IF(COUNTBLANK(G353)&gt;0,"",G353/1000)</x:f>
        <x:v>6.325</x:v>
      </x:c>
      <x:c r="I353" s="18" t="str">
        <x:v>Ghi trên bản vẽ / Explicit</x:v>
      </x:c>
      <x:c r="J353" s="18" t="str">
        <x:v>Tờ 5
File 7</x:v>
      </x:c>
      <x:c r="K353" s="18" t="str">
        <x:v>left-side level symbols</x:v>
      </x:c>
      <x:c r="L353" s="18" t="str">
        <x:v>+ 6,325M</x:v>
      </x:c>
      <x:c r="M353" s="18" t="str"/>
    </x:row>
    <x:row r="354" ht="36" hidden="0" customHeight="1">
      <x:c r="A354" s="18" t="str">
        <x:v>S049</x:v>
      </x:c>
      <x:c r="B354" s="18" t="str">
        <x:v>Cao độ mặt cắt cung thánh
Sanctuary section levels</x:v>
      </x:c>
      <x:c r="C354" s="18" t="str">
        <x:v>finished_floor_elevation</x:v>
      </x:c>
      <x:c r="D354" s="18" t="str">
        <x:v>Model: Y
Source: Y
±0.000 → finished church floor</x:v>
      </x:c>
      <x:c r="E354" s="26" t="n">
        <x:v>0</x:v>
      </x:c>
      <x:c r="F354" s="25" t="str">
        <x:v>m</x:v>
      </x:c>
      <x:c r="G354" s="22" t="n">
        <x:f>IF(COUNTBLANK(E354)&gt;0,"",E354*1000)</x:f>
        <x:v>0</x:v>
      </x:c>
      <x:c r="H354" s="23" t="n">
        <x:f>IF(COUNTBLANK(G354)&gt;0,"",G354/1000)</x:f>
        <x:v>0</x:v>
      </x:c>
      <x:c r="I354" s="18" t="str">
        <x:v>Ghi trên bản vẽ / Explicit</x:v>
      </x:c>
      <x:c r="J354" s="18" t="str">
        <x:v>Tờ 5
File 7</x:v>
      </x:c>
      <x:c r="K354" s="18" t="str">
        <x:v>left-side level symbols</x:v>
      </x:c>
      <x:c r="L354" s="18" t="str">
        <x:v>+ 00</x:v>
      </x:c>
      <x:c r="M354" s="18" t="str"/>
    </x:row>
    <x:row r="355" ht="36" hidden="0" customHeight="1">
      <x:c r="A355" s="18" t="str">
        <x:v>S050</x:v>
      </x:c>
      <x:c r="B355" s="18" t="str">
        <x:v>Cao độ mặt cắt cung thánh
Sanctuary section levels</x:v>
      </x:c>
      <x:c r="C355" s="18" t="str">
        <x:v>courtyard_elevation</x:v>
      </x:c>
      <x:c r="D355" s="18" t="str">
        <x:v>Model: Y
Source: Y
±0.000 → courtyard / MẶT SÂN</x:v>
      </x:c>
      <x:c r="E355" s="26" t="n">
        <x:v>-2.08</x:v>
      </x:c>
      <x:c r="F355" s="25" t="str">
        <x:v>m</x:v>
      </x:c>
      <x:c r="G355" s="22" t="n">
        <x:f>IF(COUNTBLANK(E355)&gt;0,"",E355*1000)</x:f>
        <x:v>-2080</x:v>
      </x:c>
      <x:c r="H355" s="23" t="n">
        <x:f>IF(COUNTBLANK(G355)&gt;0,"",G355/1000)</x:f>
        <x:v>-2.08</x:v>
      </x:c>
      <x:c r="I355" s="18" t="str">
        <x:v>Ghi trên bản vẽ / Explicit</x:v>
      </x:c>
      <x:c r="J355" s="18" t="str">
        <x:v>Tờ 5
File 7</x:v>
      </x:c>
      <x:c r="K355" s="18" t="str">
        <x:v>left-side level symbols</x:v>
      </x:c>
      <x:c r="L355" s="18" t="str">
        <x:v>MẶT SÂN - 2,08M</x:v>
      </x:c>
      <x:c r="M355" s="18" t="str"/>
    </x:row>
    <x:row r="356" ht="36" hidden="0" customHeight="1">
      <x:c r="A356" s="18" t="str">
        <x:v>S051</x:v>
      </x:c>
      <x:c r="B356" s="18" t="str">
        <x:v>Tổng cao mặt cắt cung thánh
Sanctuary overall height</x:v>
      </x:c>
      <x:c r="C356" s="18" t="str">
        <x:v>overall_height</x:v>
      </x:c>
      <x:c r="D356" s="18" t="str">
        <x:v>Model: Y
Source: Y
courtyard baseline → ridge top</x:v>
      </x:c>
      <x:c r="E356" s="24" t="n">
        <x:v>14476</x:v>
      </x:c>
      <x:c r="F356" s="25" t="str">
        <x:v>mm</x:v>
      </x:c>
      <x:c r="G356" s="22" t="n">
        <x:f>IF(COUNTBLANK(E356)&gt;0,"",E356)</x:f>
        <x:v>14476</x:v>
      </x:c>
      <x:c r="H356" s="23" t="n">
        <x:f>IF(COUNTBLANK(G356)&gt;0,"",G356/1000)</x:f>
        <x:v>14.476</x:v>
      </x:c>
      <x:c r="I356" s="18" t="str">
        <x:v>Ghi trên bản vẽ / Explicit</x:v>
      </x:c>
      <x:c r="J356" s="18" t="str">
        <x:v>Tờ 5
File 7</x:v>
      </x:c>
      <x:c r="K356" s="18" t="str">
        <x:v>far right overall dimension</x:v>
      </x:c>
      <x:c r="L356" s="18" t="str">
        <x:v>14476</x:v>
      </x:c>
      <x:c r="M356" s="18" t="str">
        <x:v>Same conflict as printed sheet 4: expected 14552 from labeled levels; difference76 mm.</x:v>
      </x:c>
    </x:row>
    <x:row r="357" ht="36" hidden="0" customHeight="1">
      <x:c r="A357" s="18" t="str">
        <x:v>S052</x:v>
      </x:c>
      <x:c r="B357" s="18" t="str">
        <x:v>Khoảng cách trục mặt cắt cung thánh
Sanctuary transverse grid span</x:v>
      </x:c>
      <x:c r="C357" s="18" t="str">
        <x:v>grid_B_C</x:v>
      </x:c>
      <x:c r="D357" s="18" t="str">
        <x:v>Model: Z
Source: X
B → C</x:v>
      </x:c>
      <x:c r="E357" s="24" t="n">
        <x:v>3054</x:v>
      </x:c>
      <x:c r="F357" s="25" t="str">
        <x:v>mm</x:v>
      </x:c>
      <x:c r="G357" s="22" t="n">
        <x:f>IF(COUNTBLANK(E357)&gt;0,"",E357)</x:f>
        <x:v>3054</x:v>
      </x:c>
      <x:c r="H357" s="23" t="n">
        <x:f>IF(COUNTBLANK(G357)&gt;0,"",G357/1000)</x:f>
        <x:v>3.054</x:v>
      </x:c>
      <x:c r="I357" s="18" t="str">
        <x:v>Ghi trên bản vẽ / Explicit</x:v>
      </x:c>
      <x:c r="J357" s="18" t="str">
        <x:v>Tờ 5
File 7</x:v>
      </x:c>
      <x:c r="K357" s="18" t="str">
        <x:v>bottom transverse dimension chain</x:v>
      </x:c>
      <x:c r="L357" s="18" t="str">
        <x:v>3054</x:v>
      </x:c>
      <x:c r="M357" s="18" t="str"/>
    </x:row>
    <x:row r="358" ht="36" hidden="0" customHeight="1">
      <x:c r="A358" s="18" t="str">
        <x:v>S053</x:v>
      </x:c>
      <x:c r="B358" s="18" t="str">
        <x:v>Khoảng cách trục mặt cắt cung thánh
Sanctuary transverse grid span</x:v>
      </x:c>
      <x:c r="C358" s="18" t="str">
        <x:v>grid_C_D</x:v>
      </x:c>
      <x:c r="D358" s="18" t="str">
        <x:v>Model: Z
Source: X
C → D</x:v>
      </x:c>
      <x:c r="E358" s="24" t="n">
        <x:v>3760</x:v>
      </x:c>
      <x:c r="F358" s="25" t="str">
        <x:v>mm</x:v>
      </x:c>
      <x:c r="G358" s="22" t="n">
        <x:f>IF(COUNTBLANK(E358)&gt;0,"",E358)</x:f>
        <x:v>3760</x:v>
      </x:c>
      <x:c r="H358" s="23" t="n">
        <x:f>IF(COUNTBLANK(G358)&gt;0,"",G358/1000)</x:f>
        <x:v>3.76</x:v>
      </x:c>
      <x:c r="I358" s="18" t="str">
        <x:v>Ghi trên bản vẽ / Explicit</x:v>
      </x:c>
      <x:c r="J358" s="18" t="str">
        <x:v>Tờ 5
File 7</x:v>
      </x:c>
      <x:c r="K358" s="18" t="str">
        <x:v>bottom transverse dimension chain</x:v>
      </x:c>
      <x:c r="L358" s="18" t="str">
        <x:v>3760</x:v>
      </x:c>
      <x:c r="M358" s="18" t="str"/>
    </x:row>
    <x:row r="359" ht="36" hidden="0" customHeight="1">
      <x:c r="A359" s="18" t="str">
        <x:v>S054</x:v>
      </x:c>
      <x:c r="B359" s="18" t="str">
        <x:v>Khoảng cách trục mặt cắt cung thánh
Sanctuary transverse grid span</x:v>
      </x:c>
      <x:c r="C359" s="18" t="str">
        <x:v>grid_D_E</x:v>
      </x:c>
      <x:c r="D359" s="18" t="str">
        <x:v>Model: Z
Source: X
D → E</x:v>
      </x:c>
      <x:c r="E359" s="24" t="n">
        <x:v>7200</x:v>
      </x:c>
      <x:c r="F359" s="25" t="str">
        <x:v>mm</x:v>
      </x:c>
      <x:c r="G359" s="22" t="n">
        <x:f>IF(COUNTBLANK(E359)&gt;0,"",E359)</x:f>
        <x:v>7200</x:v>
      </x:c>
      <x:c r="H359" s="23" t="n">
        <x:f>IF(COUNTBLANK(G359)&gt;0,"",G359/1000)</x:f>
        <x:v>7.2</x:v>
      </x:c>
      <x:c r="I359" s="18" t="str">
        <x:v>Ghi trên bản vẽ / Explicit</x:v>
      </x:c>
      <x:c r="J359" s="18" t="str">
        <x:v>Tờ 5
File 7</x:v>
      </x:c>
      <x:c r="K359" s="18" t="str">
        <x:v>bottom transverse dimension chain</x:v>
      </x:c>
      <x:c r="L359" s="18" t="str">
        <x:v>7200</x:v>
      </x:c>
      <x:c r="M359" s="18" t="str"/>
    </x:row>
    <x:row r="360" ht="36" hidden="0" customHeight="1">
      <x:c r="A360" s="18" t="str">
        <x:v>S055</x:v>
      </x:c>
      <x:c r="B360" s="18" t="str">
        <x:v>Khoảng cách trục mặt cắt cung thánh
Sanctuary transverse grid span</x:v>
      </x:c>
      <x:c r="C360" s="18" t="str">
        <x:v>grid_E_G</x:v>
      </x:c>
      <x:c r="D360" s="18" t="str">
        <x:v>Model: Z
Source: X
E → G</x:v>
      </x:c>
      <x:c r="E360" s="24" t="n">
        <x:v>3760</x:v>
      </x:c>
      <x:c r="F360" s="25" t="str">
        <x:v>mm</x:v>
      </x:c>
      <x:c r="G360" s="22" t="n">
        <x:f>IF(COUNTBLANK(E360)&gt;0,"",E360)</x:f>
        <x:v>3760</x:v>
      </x:c>
      <x:c r="H360" s="23" t="n">
        <x:f>IF(COUNTBLANK(G360)&gt;0,"",G360/1000)</x:f>
        <x:v>3.76</x:v>
      </x:c>
      <x:c r="I360" s="18" t="str">
        <x:v>Ghi trên bản vẽ / Explicit</x:v>
      </x:c>
      <x:c r="J360" s="18" t="str">
        <x:v>Tờ 5
File 7</x:v>
      </x:c>
      <x:c r="K360" s="18" t="str">
        <x:v>bottom transverse dimension chain</x:v>
      </x:c>
      <x:c r="L360" s="18" t="str">
        <x:v>3760</x:v>
      </x:c>
      <x:c r="M360" s="18" t="str"/>
    </x:row>
    <x:row r="361" ht="36" hidden="0" customHeight="1">
      <x:c r="A361" s="18" t="str">
        <x:v>S056</x:v>
      </x:c>
      <x:c r="B361" s="18" t="str">
        <x:v>Khoảng cách trục mặt cắt cung thánh
Sanctuary transverse grid span</x:v>
      </x:c>
      <x:c r="C361" s="18" t="str">
        <x:v>grid_G_H</x:v>
      </x:c>
      <x:c r="D361" s="18" t="str">
        <x:v>Model: Z
Source: X
G → H</x:v>
      </x:c>
      <x:c r="E361" s="24" t="n">
        <x:v>3054</x:v>
      </x:c>
      <x:c r="F361" s="25" t="str">
        <x:v>mm</x:v>
      </x:c>
      <x:c r="G361" s="22" t="n">
        <x:f>IF(COUNTBLANK(E361)&gt;0,"",E361)</x:f>
        <x:v>3054</x:v>
      </x:c>
      <x:c r="H361" s="23" t="n">
        <x:f>IF(COUNTBLANK(G361)&gt;0,"",G361/1000)</x:f>
        <x:v>3.054</x:v>
      </x:c>
      <x:c r="I361" s="18" t="str">
        <x:v>Ghi trên bản vẽ / Explicit</x:v>
      </x:c>
      <x:c r="J361" s="18" t="str">
        <x:v>Tờ 5
File 7</x:v>
      </x:c>
      <x:c r="K361" s="18" t="str">
        <x:v>bottom transverse dimension chain</x:v>
      </x:c>
      <x:c r="L361" s="18" t="str">
        <x:v>3054</x:v>
      </x:c>
      <x:c r="M361" s="18" t="str"/>
    </x:row>
    <x:row r="362" ht="36" hidden="0" customHeight="1">
      <x:c r="A362" s="18" t="str">
        <x:v>S057</x:v>
      </x:c>
      <x:c r="B362" s="18" t="str">
        <x:v>Tổng bề ngang mặt cắt cung thánh
Sanctuary overall transverse width</x:v>
      </x:c>
      <x:c r="C362" s="18" t="str">
        <x:v>outside_width</x:v>
      </x:c>
      <x:c r="D362" s="18" t="str">
        <x:v>Model: Z
Source: X
left outer extent → right outer extent</x:v>
      </x:c>
      <x:c r="E362" s="24" t="n">
        <x:v>22388</x:v>
      </x:c>
      <x:c r="F362" s="25" t="str">
        <x:v>mm</x:v>
      </x:c>
      <x:c r="G362" s="22" t="n">
        <x:f>IF(COUNTBLANK(E362)&gt;0,"",E362)</x:f>
        <x:v>22388</x:v>
      </x:c>
      <x:c r="H362" s="23" t="n">
        <x:f>IF(COUNTBLANK(G362)&gt;0,"",G362/1000)</x:f>
        <x:v>22.388</x:v>
      </x:c>
      <x:c r="I362" s="18" t="str">
        <x:v>Ghi trên bản vẽ / Explicit</x:v>
      </x:c>
      <x:c r="J362" s="18" t="str">
        <x:v>Tờ 5
File 7</x:v>
      </x:c>
      <x:c r="K362" s="18" t="str">
        <x:v>bottom overall dimension</x:v>
      </x:c>
      <x:c r="L362" s="18" t="str">
        <x:v>22388</x:v>
      </x:c>
      <x:c r="M362" s="18" t="str"/>
    </x:row>
    <x:row r="363" ht="36" hidden="0" customHeight="1">
      <x:c r="A363" s="18" t="str">
        <x:v>S058</x:v>
      </x:c>
      <x:c r="B363" s="18" t="str">
        <x:v>Kích thước móng trên mặt cắt
Foundation section offsets</x:v>
      </x:c>
      <x:c r="C363" s="18" t="str">
        <x:v>foundation_offset</x:v>
      </x:c>
      <x:c r="D363" s="18" t="str">
        <x:v>Model: Z
Source: X
E foundation left face → E axis</x:v>
      </x:c>
      <x:c r="E363" s="24" t="n">
        <x:v>500</x:v>
      </x:c>
      <x:c r="F363" s="25" t="str">
        <x:v>mm</x:v>
      </x:c>
      <x:c r="G363" s="22" t="n">
        <x:f>IF(COUNTBLANK(E363)&gt;0,"",E363)</x:f>
        <x:v>500</x:v>
      </x:c>
      <x:c r="H363" s="23" t="n">
        <x:f>IF(COUNTBLANK(G363)&gt;0,"",G363/1000)</x:f>
        <x:v>0.5</x:v>
      </x:c>
      <x:c r="I363" s="18" t="str">
        <x:v>Ghi trên bản vẽ / Explicit</x:v>
      </x:c>
      <x:c r="J363" s="18" t="str">
        <x:v>Tờ 5
File 7</x:v>
      </x:c>
      <x:c r="K363" s="18" t="str">
        <x:v>bottom right local foundation dimension chain</x:v>
      </x:c>
      <x:c r="L363" s="18" t="str">
        <x:v>500</x:v>
      </x:c>
      <x:c r="M363" s="18" t="str">
        <x:v>Foundation/section extents; not column shaft size.</x:v>
      </x:c>
    </x:row>
    <x:row r="364" ht="36" hidden="0" customHeight="1">
      <x:c r="A364" s="18" t="str">
        <x:v>S059</x:v>
      </x:c>
      <x:c r="B364" s="18" t="str">
        <x:v>Kích thước móng trên mặt cắt
Foundation section offsets</x:v>
      </x:c>
      <x:c r="C364" s="18" t="str">
        <x:v>foundation_offset</x:v>
      </x:c>
      <x:c r="D364" s="18" t="str">
        <x:v>Model: Z
Source: X
E axis → E foundation right face</x:v>
      </x:c>
      <x:c r="E364" s="24" t="n">
        <x:v>500</x:v>
      </x:c>
      <x:c r="F364" s="25" t="str">
        <x:v>mm</x:v>
      </x:c>
      <x:c r="G364" s="22" t="n">
        <x:f>IF(COUNTBLANK(E364)&gt;0,"",E364)</x:f>
        <x:v>500</x:v>
      </x:c>
      <x:c r="H364" s="23" t="n">
        <x:f>IF(COUNTBLANK(G364)&gt;0,"",G364/1000)</x:f>
        <x:v>0.5</x:v>
      </x:c>
      <x:c r="I364" s="18" t="str">
        <x:v>Ghi trên bản vẽ / Explicit</x:v>
      </x:c>
      <x:c r="J364" s="18" t="str">
        <x:v>Tờ 5
File 7</x:v>
      </x:c>
      <x:c r="K364" s="18" t="str">
        <x:v>bottom right local foundation dimension chain</x:v>
      </x:c>
      <x:c r="L364" s="18" t="str">
        <x:v>500</x:v>
      </x:c>
      <x:c r="M364" s="18" t="str">
        <x:v>Foundation/section extents; not column shaft size.</x:v>
      </x:c>
    </x:row>
    <x:row r="365" ht="36" hidden="0" customHeight="1">
      <x:c r="A365" s="18" t="str">
        <x:v>S060</x:v>
      </x:c>
      <x:c r="B365" s="18" t="str">
        <x:v>Kích thước móng trên mặt cắt
Foundation section offsets</x:v>
      </x:c>
      <x:c r="C365" s="18" t="str">
        <x:v>foundation_offset</x:v>
      </x:c>
      <x:c r="D365" s="18" t="str">
        <x:v>Model: Z
Source: X
G foundation left face → G axis</x:v>
      </x:c>
      <x:c r="E365" s="24" t="n">
        <x:v>560</x:v>
      </x:c>
      <x:c r="F365" s="25" t="str">
        <x:v>mm</x:v>
      </x:c>
      <x:c r="G365" s="22" t="n">
        <x:f>IF(COUNTBLANK(E365)&gt;0,"",E365)</x:f>
        <x:v>560</x:v>
      </x:c>
      <x:c r="H365" s="23" t="n">
        <x:f>IF(COUNTBLANK(G365)&gt;0,"",G365/1000)</x:f>
        <x:v>0.56</x:v>
      </x:c>
      <x:c r="I365" s="18" t="str">
        <x:v>Ghi trên bản vẽ / Explicit</x:v>
      </x:c>
      <x:c r="J365" s="18" t="str">
        <x:v>Tờ 5
File 7</x:v>
      </x:c>
      <x:c r="K365" s="18" t="str">
        <x:v>bottom right local foundation dimension chain</x:v>
      </x:c>
      <x:c r="L365" s="18" t="str">
        <x:v>560</x:v>
      </x:c>
      <x:c r="M365" s="18" t="str">
        <x:v>Foundation/section extents; not column shaft size.</x:v>
      </x:c>
    </x:row>
    <x:row r="366" ht="36" hidden="0" customHeight="1">
      <x:c r="A366" s="18" t="str">
        <x:v>S061</x:v>
      </x:c>
      <x:c r="B366" s="18" t="str">
        <x:v>Kích thước móng trên mặt cắt
Foundation section offsets</x:v>
      </x:c>
      <x:c r="C366" s="18" t="str">
        <x:v>foundation_offset</x:v>
      </x:c>
      <x:c r="D366" s="18" t="str">
        <x:v>Model: Z
Source: X
G axis → G foundation right face</x:v>
      </x:c>
      <x:c r="E366" s="24" t="n">
        <x:v>330</x:v>
      </x:c>
      <x:c r="F366" s="25" t="str">
        <x:v>mm</x:v>
      </x:c>
      <x:c r="G366" s="22" t="n">
        <x:f>IF(COUNTBLANK(E366)&gt;0,"",E366)</x:f>
        <x:v>330</x:v>
      </x:c>
      <x:c r="H366" s="23" t="n">
        <x:f>IF(COUNTBLANK(G366)&gt;0,"",G366/1000)</x:f>
        <x:v>0.33</x:v>
      </x:c>
      <x:c r="I366" s="18" t="str">
        <x:v>Ghi trên bản vẽ / Explicit</x:v>
      </x:c>
      <x:c r="J366" s="18" t="str">
        <x:v>Tờ 5
File 7</x:v>
      </x:c>
      <x:c r="K366" s="18" t="str">
        <x:v>bottom right local foundation dimension chain</x:v>
      </x:c>
      <x:c r="L366" s="18" t="str">
        <x:v>330</x:v>
      </x:c>
      <x:c r="M366" s="18" t="str">
        <x:v>Foundation/section extents; not column shaft size.</x:v>
      </x:c>
    </x:row>
    <x:row r="367" ht="36" hidden="0" customHeight="1">
      <x:c r="A367" s="18" t="str">
        <x:v>S062</x:v>
      </x:c>
      <x:c r="B367" s="18" t="str">
        <x:v>Kích thước móng trên mặt cắt
Foundation section offsets</x:v>
      </x:c>
      <x:c r="C367" s="18" t="str">
        <x:v>foundation_offset</x:v>
      </x:c>
      <x:c r="D367" s="18" t="str">
        <x:v>Model: Z
Source: X
H foundation inner face → H axis</x:v>
      </x:c>
      <x:c r="E367" s="24" t="n">
        <x:v>385</x:v>
      </x:c>
      <x:c r="F367" s="25" t="str">
        <x:v>mm</x:v>
      </x:c>
      <x:c r="G367" s="22" t="n">
        <x:f>IF(COUNTBLANK(E367)&gt;0,"",E367)</x:f>
        <x:v>385</x:v>
      </x:c>
      <x:c r="H367" s="23" t="n">
        <x:f>IF(COUNTBLANK(G367)&gt;0,"",G367/1000)</x:f>
        <x:v>0.385</x:v>
      </x:c>
      <x:c r="I367" s="18" t="str">
        <x:v>Ghi trên bản vẽ / Explicit</x:v>
      </x:c>
      <x:c r="J367" s="18" t="str">
        <x:v>Tờ 5
File 7</x:v>
      </x:c>
      <x:c r="K367" s="18" t="str">
        <x:v>bottom right local foundation dimension chain</x:v>
      </x:c>
      <x:c r="L367" s="18" t="str">
        <x:v>385</x:v>
      </x:c>
      <x:c r="M367" s="18" t="str">
        <x:v>Foundation/section extents; not column shaft size.</x:v>
      </x:c>
    </x:row>
    <x:row r="368" ht="36" hidden="0" customHeight="1">
      <x:c r="A368" s="18" t="str">
        <x:v>S063</x:v>
      </x:c>
      <x:c r="B368" s="18" t="str">
        <x:v>Kích thước móng trên mặt cắt
Foundation section offsets</x:v>
      </x:c>
      <x:c r="C368" s="18" t="str">
        <x:v>foundation_offset</x:v>
      </x:c>
      <x:c r="D368" s="18" t="str">
        <x:v>Model: Z
Source: X
H axis → H foundation outer face</x:v>
      </x:c>
      <x:c r="E368" s="24" t="n">
        <x:v>780</x:v>
      </x:c>
      <x:c r="F368" s="25" t="str">
        <x:v>mm</x:v>
      </x:c>
      <x:c r="G368" s="22" t="n">
        <x:f>IF(COUNTBLANK(E368)&gt;0,"",E368)</x:f>
        <x:v>780</x:v>
      </x:c>
      <x:c r="H368" s="23" t="n">
        <x:f>IF(COUNTBLANK(G368)&gt;0,"",G368/1000)</x:f>
        <x:v>0.78</x:v>
      </x:c>
      <x:c r="I368" s="18" t="str">
        <x:v>Ghi trên bản vẽ / Explicit</x:v>
      </x:c>
      <x:c r="J368" s="18" t="str">
        <x:v>Tờ 5
File 7</x:v>
      </x:c>
      <x:c r="K368" s="18" t="str">
        <x:v>bottom right local foundation dimension chain</x:v>
      </x:c>
      <x:c r="L368" s="18" t="str">
        <x:v>780</x:v>
      </x:c>
      <x:c r="M368" s="18" t="str">
        <x:v>Foundation/section extents; not column shaft size.</x:v>
      </x:c>
    </x:row>
    <x:row r="369" ht="36" hidden="0" customHeight="1">
      <x:c r="A369" s="18" t="str">
        <x:v>S064</x:v>
      </x:c>
      <x:c r="B369" s="18" t="str">
        <x:v>Cốt sân và sàn
Floor and courtyard</x:v>
      </x:c>
      <x:c r="C369" s="18" t="str">
        <x:v>floor_to_courtyard</x:v>
      </x:c>
      <x:c r="D369" s="18" t="str">
        <x:v>Model: Y
Source: Y
courtyard baseline → finished floor</x:v>
      </x:c>
      <x:c r="E369" s="24" t="n">
        <x:v>2080</x:v>
      </x:c>
      <x:c r="F369" s="25" t="str">
        <x:v>mm</x:v>
      </x:c>
      <x:c r="G369" s="22" t="n">
        <x:f>IF(COUNTBLANK(E369)&gt;0,"",E369)</x:f>
        <x:v>2080</x:v>
      </x:c>
      <x:c r="H369" s="23" t="n">
        <x:f>IF(COUNTBLANK(G369)&gt;0,"",G369/1000)</x:f>
        <x:v>2.08</x:v>
      </x:c>
      <x:c r="I369" s="18" t="str">
        <x:v>Ghi trên bản vẽ / Explicit</x:v>
      </x:c>
      <x:c r="J369" s="18" t="str">
        <x:v>Tờ 5
File 7</x:v>
      </x:c>
      <x:c r="K369" s="18" t="str">
        <x:v>left sanctuary aisle below floor</x:v>
      </x:c>
      <x:c r="L369" s="18" t="str">
        <x:v>2080</x:v>
      </x:c>
      <x:c r="M369" s="18" t="str"/>
    </x:row>
    <x:row r="370" ht="36" hidden="0" customHeight="1">
      <x:c r="A370" s="18" t="str">
        <x:v>S065</x:v>
      </x:c>
      <x:c r="B370" s="18" t="str">
        <x:v>Bậc nền cung thánh
Sanctuary lower platform</x:v>
      </x:c>
      <x:c r="C370" s="18" t="str">
        <x:v>lower_step_height</x:v>
      </x:c>
      <x:c r="D370" s="18" t="str">
        <x:v>Model: Y
Source: Y
finished floor → raised aisle/platform</x:v>
      </x:c>
      <x:c r="E370" s="24" t="n">
        <x:v>150</x:v>
      </x:c>
      <x:c r="F370" s="25" t="str">
        <x:v>mm</x:v>
      </x:c>
      <x:c r="G370" s="22" t="n">
        <x:f>IF(COUNTBLANK(E370)&gt;0,"",E370)</x:f>
        <x:v>150</x:v>
      </x:c>
      <x:c r="H370" s="23" t="n">
        <x:f>IF(COUNTBLANK(G370)&gt;0,"",G370/1000)</x:f>
        <x:v>0.15</x:v>
      </x:c>
      <x:c r="I370" s="18" t="str">
        <x:v>Ghi trên bản vẽ / Explicit</x:v>
      </x:c>
      <x:c r="J370" s="18" t="str">
        <x:v>Tờ 5
File 7</x:v>
      </x:c>
      <x:c r="K370" s="18" t="str">
        <x:v>left sanctuary aisle floor</x:v>
      </x:c>
      <x:c r="L370" s="18" t="str">
        <x:v>150</x:v>
      </x:c>
      <x:c r="M370" s="18" t="str"/>
    </x:row>
    <x:row r="371" ht="36" hidden="0" customHeight="1">
      <x:c r="A371" s="18" t="str">
        <x:v>S066</x:v>
      </x:c>
      <x:c r="B371" s="18" t="str">
        <x:v>Bệ cung thánh
Sanctuary dais</x:v>
      </x:c>
      <x:c r="C371" s="18" t="str">
        <x:v>dais_rise_above_lower_platform</x:v>
      </x:c>
      <x:c r="D371" s="18" t="str">
        <x:v>Model: Y
Source: Y
raised aisle/platform → dais top</x:v>
      </x:c>
      <x:c r="E371" s="24" t="n">
        <x:v>600</x:v>
      </x:c>
      <x:c r="F371" s="25" t="str">
        <x:v>mm</x:v>
      </x:c>
      <x:c r="G371" s="22" t="n">
        <x:f>IF(COUNTBLANK(E371)&gt;0,"",E371)</x:f>
        <x:v>600</x:v>
      </x:c>
      <x:c r="H371" s="23" t="n">
        <x:f>IF(COUNTBLANK(G371)&gt;0,"",G371/1000)</x:f>
        <x:v>0.6</x:v>
      </x:c>
      <x:c r="I371" s="18" t="str">
        <x:v>Ghi trên bản vẽ / Explicit</x:v>
      </x:c>
      <x:c r="J371" s="18" t="str">
        <x:v>Tờ 5
File 7</x:v>
      </x:c>
      <x:c r="K371" s="18" t="str">
        <x:v>left central column base</x:v>
      </x:c>
      <x:c r="L371" s="18" t="str">
        <x:v>600</x:v>
      </x:c>
      <x:c r="M371" s="18" t="str"/>
    </x:row>
    <x:row r="372" ht="36" hidden="0" customHeight="1">
      <x:c r="A372" s="18" t="str">
        <x:v>S067</x:v>
      </x:c>
      <x:c r="B372" s="18" t="str">
        <x:v>Bệ cung thánh
Sanctuary dais</x:v>
      </x:c>
      <x:c r="C372" s="18" t="str">
        <x:v>dais_elevation_above_main_floor</x:v>
      </x:c>
      <x:c r="D372" s="18" t="str">
        <x:v>Model: Y
Source: Y
finished floor → dais top</x:v>
      </x:c>
      <x:c r="E372" s="24" t="n">
        <x:v>750</x:v>
      </x:c>
      <x:c r="F372" s="25" t="str">
        <x:v>mm</x:v>
      </x:c>
      <x:c r="G372" s="22" t="n">
        <x:f>IF(COUNTBLANK(E372)&gt;0,"",E372)</x:f>
        <x:v>750</x:v>
      </x:c>
      <x:c r="H372" s="23" t="n">
        <x:f>IF(COUNTBLANK(G372)&gt;0,"",G372/1000)</x:f>
        <x:v>0.75</x:v>
      </x:c>
      <x:c r="I372" s="18" t="str">
        <x:v>Ghi trên bản vẽ / Explicit</x:v>
      </x:c>
      <x:c r="J372" s="18" t="str">
        <x:v>Tờ 5
File 7</x:v>
      </x:c>
      <x:c r="K372" s="18" t="str">
        <x:v>right central column base</x:v>
      </x:c>
      <x:c r="L372" s="18" t="str">
        <x:v>750</x:v>
      </x:c>
      <x:c r="M372" s="18" t="str"/>
    </x:row>
    <x:row r="373" ht="36" hidden="0" customHeight="1">
      <x:c r="A373" s="18" t="str">
        <x:v>S068</x:v>
      </x:c>
      <x:c r="B373" s="18" t="str">
        <x:v>Chân cột cung thánh trái
Left sanctuary column plinth</x:v>
      </x:c>
      <x:c r="C373" s="18" t="str">
        <x:v>plinth_height</x:v>
      </x:c>
      <x:c r="D373" s="18" t="str">
        <x:v>Model: Y
Source: Y
dais top → plinth top</x:v>
      </x:c>
      <x:c r="E373" s="24" t="n">
        <x:v>200</x:v>
      </x:c>
      <x:c r="F373" s="25" t="str">
        <x:v>mm</x:v>
      </x:c>
      <x:c r="G373" s="22" t="n">
        <x:f>IF(COUNTBLANK(E373)&gt;0,"",E373)</x:f>
        <x:v>200</x:v>
      </x:c>
      <x:c r="H373" s="23" t="n">
        <x:f>IF(COUNTBLANK(G373)&gt;0,"",G373/1000)</x:f>
        <x:v>0.2</x:v>
      </x:c>
      <x:c r="I373" s="18" t="str">
        <x:v>Ghi trên bản vẽ / Explicit</x:v>
      </x:c>
      <x:c r="J373" s="18" t="str">
        <x:v>Tờ 5
File 7</x:v>
      </x:c>
      <x:c r="K373" s="18" t="str">
        <x:v>left central column base</x:v>
      </x:c>
      <x:c r="L373" s="18" t="str">
        <x:v>200</x:v>
      </x:c>
      <x:c r="M373" s="18" t="str"/>
    </x:row>
    <x:row r="374" ht="36" hidden="0" customHeight="1">
      <x:c r="A374" s="18" t="str">
        <x:v>S069</x:v>
      </x:c>
      <x:c r="B374" s="18" t="str">
        <x:v>Chân cột cung thánh phải
Right sanctuary column plinth</x:v>
      </x:c>
      <x:c r="C374" s="18" t="str">
        <x:v>plinth_height</x:v>
      </x:c>
      <x:c r="D374" s="18" t="str">
        <x:v>Model: Y
Source: Y
dais top → plinth top</x:v>
      </x:c>
      <x:c r="E374" s="24" t="n">
        <x:v>200</x:v>
      </x:c>
      <x:c r="F374" s="25" t="str">
        <x:v>mm</x:v>
      </x:c>
      <x:c r="G374" s="22" t="n">
        <x:f>IF(COUNTBLANK(E374)&gt;0,"",E374)</x:f>
        <x:v>200</x:v>
      </x:c>
      <x:c r="H374" s="23" t="n">
        <x:f>IF(COUNTBLANK(G374)&gt;0,"",G374/1000)</x:f>
        <x:v>0.2</x:v>
      </x:c>
      <x:c r="I374" s="18" t="str">
        <x:v>Ghi trên bản vẽ / Explicit</x:v>
      </x:c>
      <x:c r="J374" s="18" t="str">
        <x:v>Tờ 5
File 7</x:v>
      </x:c>
      <x:c r="K374" s="18" t="str">
        <x:v>right central column base</x:v>
      </x:c>
      <x:c r="L374" s="18" t="str">
        <x:v>200</x:v>
      </x:c>
      <x:c r="M374" s="18" t="str"/>
    </x:row>
    <x:row r="375" ht="48" hidden="0" customHeight="1">
      <x:c r="A375" s="18" t="str">
        <x:v>S070</x:v>
      </x:c>
      <x:c r="B375" s="18" t="str">
        <x:v>Thân cột cung thánh
Sanctuary central column shaft</x:v>
      </x:c>
      <x:c r="C375" s="18" t="str">
        <x:v>shaft_height</x:v>
      </x:c>
      <x:c r="D375" s="18" t="str">
        <x:v>Model: Y
Source: Y
plinth top → top central column reference</x:v>
      </x:c>
      <x:c r="E375" s="24" t="n">
        <x:v>8452</x:v>
      </x:c>
      <x:c r="F375" s="25" t="str">
        <x:v>mm</x:v>
      </x:c>
      <x:c r="G375" s="22" t="n">
        <x:f>IF(COUNTBLANK(E375)&gt;0,"",E375)</x:f>
        <x:v>8452</x:v>
      </x:c>
      <x:c r="H375" s="23" t="n">
        <x:f>IF(COUNTBLANK(G375)&gt;0,"",G375/1000)</x:f>
        <x:v>8.452</x:v>
      </x:c>
      <x:c r="I375" s="18" t="str">
        <x:v>Ghi trên bản vẽ / Explicit</x:v>
      </x:c>
      <x:c r="J375" s="18" t="str">
        <x:v>Tờ 5
File 7</x:v>
      </x:c>
      <x:c r="K375" s="18" t="str">
        <x:v>right side of central sanctuary opening</x:v>
      </x:c>
      <x:c r="L375" s="18" t="str">
        <x:v>8452</x:v>
      </x:c>
      <x:c r="M375" s="18" t="str"/>
    </x:row>
    <x:row r="376" ht="48" hidden="0" customHeight="1">
      <x:c r="A376" s="18" t="str">
        <x:v>S071</x:v>
      </x:c>
      <x:c r="B376" s="18" t="str">
        <x:v>Phân đoạn cao cung thánh
Sanctuary column height chain</x:v>
      </x:c>
      <x:c r="C376" s="18" t="str">
        <x:v>lower_height_segment</x:v>
      </x:c>
      <x:c r="D376" s="18" t="str">
        <x:v>Model: Y
Source: Y
plinth top → horizontal intermediate line</x:v>
      </x:c>
      <x:c r="E376" s="24" t="n">
        <x:v>2151</x:v>
      </x:c>
      <x:c r="F376" s="25" t="str">
        <x:v>mm</x:v>
      </x:c>
      <x:c r="G376" s="22" t="n">
        <x:f>IF(COUNTBLANK(E376)&gt;0,"",E376)</x:f>
        <x:v>2151</x:v>
      </x:c>
      <x:c r="H376" s="23" t="n">
        <x:f>IF(COUNTBLANK(G376)&gt;0,"",G376/1000)</x:f>
        <x:v>2.151</x:v>
      </x:c>
      <x:c r="I376" s="18" t="str">
        <x:v>Ghi trên bản vẽ / Explicit</x:v>
      </x:c>
      <x:c r="J376" s="18" t="str">
        <x:v>Tờ 5
File 7</x:v>
      </x:c>
      <x:c r="K376" s="18" t="str">
        <x:v>left side of central sanctuary opening</x:v>
      </x:c>
      <x:c r="L376" s="18" t="str">
        <x:v>2151</x:v>
      </x:c>
      <x:c r="M376" s="18" t="str"/>
    </x:row>
    <x:row r="377" ht="48" hidden="0" customHeight="1">
      <x:c r="A377" s="18" t="str">
        <x:v>S072</x:v>
      </x:c>
      <x:c r="B377" s="18" t="str">
        <x:v>Phân đoạn cao cung thánh
Sanctuary column height chain</x:v>
      </x:c>
      <x:c r="C377" s="18" t="str">
        <x:v>upper_height_segment</x:v>
      </x:c>
      <x:c r="D377" s="18" t="str">
        <x:v>Model: Y
Source: Y
horizontal intermediate line → top central column reference</x:v>
      </x:c>
      <x:c r="E377" s="24" t="n">
        <x:v>6301</x:v>
      </x:c>
      <x:c r="F377" s="25" t="str">
        <x:v>mm</x:v>
      </x:c>
      <x:c r="G377" s="22" t="n">
        <x:f>IF(COUNTBLANK(E377)&gt;0,"",E377)</x:f>
        <x:v>6301</x:v>
      </x:c>
      <x:c r="H377" s="23" t="n">
        <x:f>IF(COUNTBLANK(G377)&gt;0,"",G377/1000)</x:f>
        <x:v>6.301</x:v>
      </x:c>
      <x:c r="I377" s="18" t="str">
        <x:v>Ghi trên bản vẽ / Explicit</x:v>
      </x:c>
      <x:c r="J377" s="18" t="str">
        <x:v>Tờ 5
File 7</x:v>
      </x:c>
      <x:c r="K377" s="18" t="str">
        <x:v>left side of central sanctuary opening</x:v>
      </x:c>
      <x:c r="L377" s="18" t="str">
        <x:v>6301</x:v>
      </x:c>
      <x:c r="M377" s="18" t="str"/>
    </x:row>
    <x:row r="378" ht="48" hidden="0" customHeight="1">
      <x:c r="A378" s="18" t="str">
        <x:v>S073</x:v>
      </x:c>
      <x:c r="B378" s="18" t="str">
        <x:v>Vòm gian bên cung thánh
Sanctuary side-aisle arch</x:v>
      </x:c>
      <x:c r="C378" s="18" t="str">
        <x:v>arch_crown_relative_height</x:v>
      </x:c>
      <x:c r="D378" s="18" t="str">
        <x:v>Model: Y
Source: Y
horizontal intermediate line → side arch crown</x:v>
      </x:c>
      <x:c r="E378" s="24" t="n">
        <x:v>4462</x:v>
      </x:c>
      <x:c r="F378" s="25" t="str">
        <x:v>mm</x:v>
      </x:c>
      <x:c r="G378" s="22" t="n">
        <x:f>IF(COUNTBLANK(E378)&gt;0,"",E378)</x:f>
        <x:v>4462</x:v>
      </x:c>
      <x:c r="H378" s="23" t="n">
        <x:f>IF(COUNTBLANK(G378)&gt;0,"",G378/1000)</x:f>
        <x:v>4.462</x:v>
      </x:c>
      <x:c r="I378" s="18" t="str">
        <x:v>Ghi trên bản vẽ / Explicit</x:v>
      </x:c>
      <x:c r="J378" s="18" t="str">
        <x:v>Tờ 5
File 7</x:v>
      </x:c>
      <x:c r="K378" s="18" t="str">
        <x:v>left sanctuary side-aisle arch</x:v>
      </x:c>
      <x:c r="L378" s="18" t="str">
        <x:v>4462</x:v>
      </x:c>
      <x:c r="M378" s="18" t="str"/>
    </x:row>
    <x:row r="379" ht="48" hidden="0" customHeight="1">
      <x:c r="A379" s="18" t="str">
        <x:v>S074</x:v>
      </x:c>
      <x:c r="B379" s="18" t="str">
        <x:v>Cửa sau cung thánh
Sanctuary rear side opening</x:v>
      </x:c>
      <x:c r="C379" s="18" t="str">
        <x:v>rectangular_opening_height</x:v>
      </x:c>
      <x:c r="D379" s="18" t="str">
        <x:v>Model: Y
Source: Y
raised aisle/platform → rectangular opening head</x:v>
      </x:c>
      <x:c r="E379" s="24" t="n">
        <x:v>2554</x:v>
      </x:c>
      <x:c r="F379" s="25" t="str">
        <x:v>mm</x:v>
      </x:c>
      <x:c r="G379" s="22" t="n">
        <x:f>IF(COUNTBLANK(E379)&gt;0,"",E379)</x:f>
        <x:v>2554</x:v>
      </x:c>
      <x:c r="H379" s="23" t="n">
        <x:f>IF(COUNTBLANK(G379)&gt;0,"",G379/1000)</x:f>
        <x:v>2.554</x:v>
      </x:c>
      <x:c r="I379" s="18" t="str">
        <x:v>Ghi trên bản vẽ / Explicit</x:v>
      </x:c>
      <x:c r="J379" s="18" t="str">
        <x:v>Tờ 5
File 7</x:v>
      </x:c>
      <x:c r="K379" s="18" t="str">
        <x:v>left side aisle opening</x:v>
      </x:c>
      <x:c r="L379" s="18" t="str">
        <x:v>2554</x:v>
      </x:c>
      <x:c r="M379" s="18" t="str"/>
    </x:row>
    <x:row r="380" ht="48" hidden="0" customHeight="1">
      <x:c r="A380" s="18" t="str">
        <x:v>S075</x:v>
      </x:c>
      <x:c r="B380" s="18" t="str">
        <x:v>Khoảng trên cửa sau
Gap above sanctuary rear opening</x:v>
      </x:c>
      <x:c r="C380" s="18" t="str">
        <x:v>vertical_clearance</x:v>
      </x:c>
      <x:c r="D380" s="18" t="str">
        <x:v>Model: Y
Source: Y
rectangular opening head → horizontal intermediate line</x:v>
      </x:c>
      <x:c r="E380" s="24" t="n">
        <x:v>396</x:v>
      </x:c>
      <x:c r="F380" s="25" t="str">
        <x:v>mm</x:v>
      </x:c>
      <x:c r="G380" s="22" t="n">
        <x:f>IF(COUNTBLANK(E380)&gt;0,"",E380)</x:f>
        <x:v>396</x:v>
      </x:c>
      <x:c r="H380" s="23" t="n">
        <x:f>IF(COUNTBLANK(G380)&gt;0,"",G380/1000)</x:f>
        <x:v>0.396</x:v>
      </x:c>
      <x:c r="I380" s="18" t="str">
        <x:v>Ghi trên bản vẽ / Explicit</x:v>
      </x:c>
      <x:c r="J380" s="18" t="str">
        <x:v>Tờ 5
File 7</x:v>
      </x:c>
      <x:c r="K380" s="18" t="str">
        <x:v>left side aisle opening</x:v>
      </x:c>
      <x:c r="L380" s="18" t="str">
        <x:v>396</x:v>
      </x:c>
      <x:c r="M380" s="18" t="str"/>
    </x:row>
    <x:row r="381" ht="48" hidden="0" customHeight="1">
      <x:c r="A381" s="18" t="str">
        <x:v>S076</x:v>
      </x:c>
      <x:c r="B381" s="18" t="str">
        <x:v>Đường tham chiếu gian bên
Side-aisle reference height</x:v>
      </x:c>
      <x:c r="C381" s="18" t="str">
        <x:v>reference_height</x:v>
      </x:c>
      <x:c r="D381" s="18" t="str">
        <x:v>Model: Y
Source: Y
raised aisle/platform → horizontal intermediate line</x:v>
      </x:c>
      <x:c r="E381" s="24" t="n">
        <x:v>2951</x:v>
      </x:c>
      <x:c r="F381" s="25" t="str">
        <x:v>mm</x:v>
      </x:c>
      <x:c r="G381" s="22" t="n">
        <x:f>IF(COUNTBLANK(E381)&gt;0,"",E381)</x:f>
        <x:v>2951</x:v>
      </x:c>
      <x:c r="H381" s="23" t="n">
        <x:f>IF(COUNTBLANK(G381)&gt;0,"",G381/1000)</x:f>
        <x:v>2.951</x:v>
      </x:c>
      <x:c r="I381" s="18" t="str">
        <x:v>Ghi trên bản vẽ / Explicit</x:v>
      </x:c>
      <x:c r="J381" s="18" t="str">
        <x:v>Tờ 5
File 7</x:v>
      </x:c>
      <x:c r="K381" s="18" t="str">
        <x:v>right sanctuary side aisle</x:v>
      </x:c>
      <x:c r="L381" s="18" t="str">
        <x:v>2951</x:v>
      </x:c>
      <x:c r="M381" s="18" t="str"/>
    </x:row>
    <x:row r="382" ht="48" hidden="0" customHeight="1">
      <x:c r="A382" s="18" t="str">
        <x:v>S077</x:v>
      </x:c>
      <x:c r="B382" s="18" t="str">
        <x:v>Đà chân tường hiên
Exterior wall footing/drop</x:v>
      </x:c>
      <x:c r="C382" s="18" t="str">
        <x:v>upper_foundation_drop</x:v>
      </x:c>
      <x:c r="D382" s="18" t="str">
        <x:v>Model: Y
Source: Y
finished floor → foundation change reference</x:v>
      </x:c>
      <x:c r="E382" s="24" t="n">
        <x:v>380</x:v>
      </x:c>
      <x:c r="F382" s="25" t="str">
        <x:v>mm</x:v>
      </x:c>
      <x:c r="G382" s="22" t="n">
        <x:f>IF(COUNTBLANK(E382)&gt;0,"",E382)</x:f>
        <x:v>380</x:v>
      </x:c>
      <x:c r="H382" s="23" t="n">
        <x:f>IF(COUNTBLANK(G382)&gt;0,"",G382/1000)</x:f>
        <x:v>0.38</x:v>
      </x:c>
      <x:c r="I382" s="18" t="str">
        <x:v>Ghi trên bản vẽ / Explicit</x:v>
      </x:c>
      <x:c r="J382" s="18" t="str">
        <x:v>Tờ 5
File 7</x:v>
      </x:c>
      <x:c r="K382" s="18" t="str">
        <x:v>far right below floor</x:v>
      </x:c>
      <x:c r="L382" s="18" t="str">
        <x:v>380</x:v>
      </x:c>
      <x:c r="M382" s="18" t="str"/>
    </x:row>
    <x:row r="383" ht="48" hidden="0" customHeight="1">
      <x:c r="A383" s="18" t="str">
        <x:v>S078</x:v>
      </x:c>
      <x:c r="B383" s="18" t="str">
        <x:v>Đế tường hiên
Exterior foundation base</x:v>
      </x:c>
      <x:c r="C383" s="18" t="str">
        <x:v>lower_foundation_height</x:v>
      </x:c>
      <x:c r="D383" s="18" t="str">
        <x:v>Model: Y
Source: Y
courtyard baseline → foundation change reference</x:v>
      </x:c>
      <x:c r="E383" s="24" t="n">
        <x:v>1700</x:v>
      </x:c>
      <x:c r="F383" s="25" t="str">
        <x:v>mm</x:v>
      </x:c>
      <x:c r="G383" s="22" t="n">
        <x:f>IF(COUNTBLANK(E383)&gt;0,"",E383)</x:f>
        <x:v>1700</x:v>
      </x:c>
      <x:c r="H383" s="23" t="n">
        <x:f>IF(COUNTBLANK(G383)&gt;0,"",G383/1000)</x:f>
        <x:v>1.7</x:v>
      </x:c>
      <x:c r="I383" s="18" t="str">
        <x:v>Ghi trên bản vẽ / Explicit</x:v>
      </x:c>
      <x:c r="J383" s="18" t="str">
        <x:v>Tờ 5
File 7</x:v>
      </x:c>
      <x:c r="K383" s="18" t="str">
        <x:v>far right foundation</x:v>
      </x:c>
      <x:c r="L383" s="18" t="str">
        <x:v>1700</x:v>
      </x:c>
      <x:c r="M383" s="18" t="str"/>
    </x:row>
    <x:row r="384" ht="48" hidden="0" customHeight="1">
      <x:c r="A384" s="18" t="str">
        <x:v>S079</x:v>
      </x:c>
      <x:c r="B384" s="18" t="str">
        <x:v>Cửa sau cung thánh
Sanctuary rear side opening</x:v>
      </x:c>
      <x:c r="C384" s="18" t="str">
        <x:v>opening_width</x:v>
      </x:c>
      <x:c r="D384" s="18" t="str">
        <x:v>Model: Z
Source: X
opening left jamb → opening right jamb</x:v>
      </x:c>
      <x:c r="E384" s="24" t="n">
        <x:v>1200</x:v>
      </x:c>
      <x:c r="F384" s="25" t="str">
        <x:v>mm</x:v>
      </x:c>
      <x:c r="G384" s="22" t="n">
        <x:f>IF(COUNTBLANK(E384)&gt;0,"",E384)</x:f>
        <x:v>1200</x:v>
      </x:c>
      <x:c r="H384" s="23" t="n">
        <x:f>IF(COUNTBLANK(G384)&gt;0,"",G384/1000)</x:f>
        <x:v>1.2</x:v>
      </x:c>
      <x:c r="I384" s="18" t="str">
        <x:v>Ghi trên bản vẽ / Explicit</x:v>
      </x:c>
      <x:c r="J384" s="18" t="str">
        <x:v>Tờ 5
File 7</x:v>
      </x:c>
      <x:c r="K384" s="18" t="str">
        <x:v>right side aisle opening at floor</x:v>
      </x:c>
      <x:c r="L384" s="18" t="str">
        <x:v>1200</x:v>
      </x:c>
      <x:c r="M384" s="18" t="str">
        <x:v>The opening is drawn as a plain rectangle; frame depth and door construction are not dimensioned.</x:v>
      </x:c>
    </x:row>
    <x:row r="385" ht="36" hidden="0" customHeight="1">
      <x:c r="A385" s="18" t="str">
        <x:v>S080</x:v>
      </x:c>
      <x:c r="B385" s="18" t="str">
        <x:v>Sàn bê tông
Concrete floor</x:v>
      </x:c>
      <x:c r="C385" s="18" t="str">
        <x:v>floor_thickness</x:v>
      </x:c>
      <x:c r="D385" s="18" t="str">
        <x:v>Model: Y
Source: Y
floor slab bottom → floor slab top</x:v>
      </x:c>
      <x:c r="E385" s="24" t="n">
        <x:v>80</x:v>
      </x:c>
      <x:c r="F385" s="25" t="str">
        <x:v>mm</x:v>
      </x:c>
      <x:c r="G385" s="22" t="n">
        <x:f>IF(COUNTBLANK(E385)&gt;0,"",E385)</x:f>
        <x:v>80</x:v>
      </x:c>
      <x:c r="H385" s="23" t="n">
        <x:f>IF(COUNTBLANK(G385)&gt;0,"",G385/1000)</x:f>
        <x:v>0.08</x:v>
      </x:c>
      <x:c r="I385" s="18" t="str">
        <x:v>Ghi trên bản vẽ / Explicit</x:v>
      </x:c>
      <x:c r="J385" s="18" t="str">
        <x:v>Tờ 5
File 7</x:v>
      </x:c>
      <x:c r="K385" s="18" t="str">
        <x:v>right veranda floor local dimension</x:v>
      </x:c>
      <x:c r="L385" s="18" t="str">
        <x:v>80</x:v>
      </x:c>
      <x:c r="M385" s="18" t="str"/>
    </x:row>
    <x:row r="386" ht="48" hidden="0" customHeight="1">
      <x:c r="A386" s="18" t="str">
        <x:v>S081</x:v>
      </x:c>
      <x:c r="B386" s="18" t="str">
        <x:v>Mái hiên BTCT
Reinforced concrete veranda roof</x:v>
      </x:c>
      <x:c r="C386" s="18" t="str">
        <x:v>concrete_thickness</x:v>
      </x:c>
      <x:c r="D386" s="18" t="str">
        <x:v>Model: LOCAL_NORMAL
Source: NORMAL
concrete lower face → concrete upper face</x:v>
      </x:c>
      <x:c r="E386" s="24" t="n">
        <x:v>130</x:v>
      </x:c>
      <x:c r="F386" s="25" t="str">
        <x:v>mm</x:v>
      </x:c>
      <x:c r="G386" s="22" t="n">
        <x:f>IF(COUNTBLANK(E386)&gt;0,"",E386)</x:f>
        <x:v>130</x:v>
      </x:c>
      <x:c r="H386" s="23" t="n">
        <x:f>IF(COUNTBLANK(G386)&gt;0,"",G386/1000)</x:f>
        <x:v>0.13</x:v>
      </x:c>
      <x:c r="I386" s="18" t="str">
        <x:v>Ghi trên bản vẽ / Explicit</x:v>
      </x:c>
      <x:c r="J386" s="18" t="str">
        <x:v>Tờ 5
File 7</x:v>
      </x:c>
      <x:c r="K386" s="18" t="str">
        <x:v>left and right veranda material note</x:v>
      </x:c>
      <x:c r="L386" s="18" t="str">
        <x:v>bt ct đổ dày 13cm</x:v>
      </x:c>
      <x:c r="M386" s="18" t="str">
        <x:v>13 cm explicitly written; normalized to130 mm.</x:v>
      </x:c>
    </x:row>
    <x:row r="387" ht="36" hidden="0" customHeight="1">
      <x:c r="A387" s="18" t="str">
        <x:v>S082</x:v>
      </x:c>
      <x:c r="B387" s="18" t="str">
        <x:v>Một gian cửa sổ ngoài
Exterior double-window bay</x:v>
      </x:c>
      <x:c r="C387" s="18" t="str">
        <x:v>bay_width</x:v>
      </x:c>
      <x:c r="D387" s="18" t="str">
        <x:v>Model: X
Source: Z
axis3 → axis4</x:v>
      </x:c>
      <x:c r="E387" s="24" t="n">
        <x:v>4500</x:v>
      </x:c>
      <x:c r="F387" s="25" t="str">
        <x:v>mm</x:v>
      </x:c>
      <x:c r="G387" s="22" t="n">
        <x:f>IF(COUNTBLANK(E387)&gt;0,"",E387)</x:f>
        <x:v>4500</x:v>
      </x:c>
      <x:c r="H387" s="23" t="n">
        <x:f>IF(COUNTBLANK(G387)&gt;0,"",G387/1000)</x:f>
        <x:v>4.5</x:v>
      </x:c>
      <x:c r="I387" s="18" t="str">
        <x:v>Ghi trên bản vẽ / Explicit</x:v>
      </x:c>
      <x:c r="J387" s="18" t="str">
        <x:v>Tờ 12
File 8</x:v>
      </x:c>
      <x:c r="K387" s="18" t="str">
        <x:v>left drawing bottom horizontal chain</x:v>
      </x:c>
      <x:c r="L387" s="18" t="str">
        <x:v>4500</x:v>
      </x:c>
      <x:c r="M387" s="18" t="str"/>
    </x:row>
    <x:row r="388" ht="36" hidden="0" customHeight="1">
      <x:c r="A388" s="18" t="str">
        <x:v>S083</x:v>
      </x:c>
      <x:c r="B388" s="18" t="str">
        <x:v>Một gian cửa sổ ngoài
Exterior double-window bay</x:v>
      </x:c>
      <x:c r="C388" s="18" t="str">
        <x:v>left_margin</x:v>
      </x:c>
      <x:c r="D388" s="18" t="str">
        <x:v>Model: X
Source: Z
axis3 → left opening left jamb</x:v>
      </x:c>
      <x:c r="E388" s="24" t="n">
        <x:v>750</x:v>
      </x:c>
      <x:c r="F388" s="25" t="str">
        <x:v>mm</x:v>
      </x:c>
      <x:c r="G388" s="22" t="n">
        <x:f>IF(COUNTBLANK(E388)&gt;0,"",E388)</x:f>
        <x:v>750</x:v>
      </x:c>
      <x:c r="H388" s="23" t="n">
        <x:f>IF(COUNTBLANK(G388)&gt;0,"",G388/1000)</x:f>
        <x:v>0.75</x:v>
      </x:c>
      <x:c r="I388" s="18" t="str">
        <x:v>Ghi trên bản vẽ / Explicit</x:v>
      </x:c>
      <x:c r="J388" s="18" t="str">
        <x:v>Tờ 12
File 8</x:v>
      </x:c>
      <x:c r="K388" s="18" t="str">
        <x:v>left drawing bottom horizontal chain</x:v>
      </x:c>
      <x:c r="L388" s="18" t="str">
        <x:v>750</x:v>
      </x:c>
      <x:c r="M388" s="18" t="str"/>
    </x:row>
    <x:row r="389" ht="48" hidden="0" customHeight="1">
      <x:c r="A389" s="18" t="str">
        <x:v>S084</x:v>
      </x:c>
      <x:c r="B389" s="18" t="str">
        <x:v>Một gian cửa sổ ngoài
Exterior double-window bay</x:v>
      </x:c>
      <x:c r="C389" s="18" t="str">
        <x:v>left_opening_width</x:v>
      </x:c>
      <x:c r="D389" s="18" t="str">
        <x:v>Model: X
Source: Z
left opening left jamb → left opening right jamb</x:v>
      </x:c>
      <x:c r="E389" s="24" t="n">
        <x:v>1000</x:v>
      </x:c>
      <x:c r="F389" s="25" t="str">
        <x:v>mm</x:v>
      </x:c>
      <x:c r="G389" s="22" t="n">
        <x:f>IF(COUNTBLANK(E389)&gt;0,"",E389)</x:f>
        <x:v>1000</x:v>
      </x:c>
      <x:c r="H389" s="23" t="n">
        <x:f>IF(COUNTBLANK(G389)&gt;0,"",G389/1000)</x:f>
        <x:v>1</x:v>
      </x:c>
      <x:c r="I389" s="18" t="str">
        <x:v>Ghi trên bản vẽ / Explicit</x:v>
      </x:c>
      <x:c r="J389" s="18" t="str">
        <x:v>Tờ 12
File 8</x:v>
      </x:c>
      <x:c r="K389" s="18" t="str">
        <x:v>left drawing bottom horizontal chain</x:v>
      </x:c>
      <x:c r="L389" s="18" t="str">
        <x:v>1000</x:v>
      </x:c>
      <x:c r="M389" s="18" t="str"/>
    </x:row>
    <x:row r="390" ht="48" hidden="0" customHeight="1">
      <x:c r="A390" s="18" t="str">
        <x:v>S085</x:v>
      </x:c>
      <x:c r="B390" s="18" t="str">
        <x:v>Một gian cửa sổ ngoài
Exterior double-window bay</x:v>
      </x:c>
      <x:c r="C390" s="18" t="str">
        <x:v>between_openings</x:v>
      </x:c>
      <x:c r="D390" s="18" t="str">
        <x:v>Model: X
Source: Z
left opening right jamb → right opening left jamb</x:v>
      </x:c>
      <x:c r="E390" s="24" t="n">
        <x:v>1000</x:v>
      </x:c>
      <x:c r="F390" s="25" t="str">
        <x:v>mm</x:v>
      </x:c>
      <x:c r="G390" s="22" t="n">
        <x:f>IF(COUNTBLANK(E390)&gt;0,"",E390)</x:f>
        <x:v>1000</x:v>
      </x:c>
      <x:c r="H390" s="23" t="n">
        <x:f>IF(COUNTBLANK(G390)&gt;0,"",G390/1000)</x:f>
        <x:v>1</x:v>
      </x:c>
      <x:c r="I390" s="18" t="str">
        <x:v>Ghi trên bản vẽ / Explicit</x:v>
      </x:c>
      <x:c r="J390" s="18" t="str">
        <x:v>Tờ 12
File 8</x:v>
      </x:c>
      <x:c r="K390" s="18" t="str">
        <x:v>left drawing bottom horizontal chain</x:v>
      </x:c>
      <x:c r="L390" s="18" t="str">
        <x:v>1000</x:v>
      </x:c>
      <x:c r="M390" s="18" t="str"/>
    </x:row>
    <x:row r="391" ht="48" hidden="0" customHeight="1">
      <x:c r="A391" s="18" t="str">
        <x:v>S086</x:v>
      </x:c>
      <x:c r="B391" s="18" t="str">
        <x:v>Một gian cửa sổ ngoài
Exterior double-window bay</x:v>
      </x:c>
      <x:c r="C391" s="18" t="str">
        <x:v>right_opening_width</x:v>
      </x:c>
      <x:c r="D391" s="18" t="str">
        <x:v>Model: X
Source: Z
right opening left jamb → right opening right jamb</x:v>
      </x:c>
      <x:c r="E391" s="24" t="n">
        <x:v>1000</x:v>
      </x:c>
      <x:c r="F391" s="25" t="str">
        <x:v>mm</x:v>
      </x:c>
      <x:c r="G391" s="22" t="n">
        <x:f>IF(COUNTBLANK(E391)&gt;0,"",E391)</x:f>
        <x:v>1000</x:v>
      </x:c>
      <x:c r="H391" s="23" t="n">
        <x:f>IF(COUNTBLANK(G391)&gt;0,"",G391/1000)</x:f>
        <x:v>1</x:v>
      </x:c>
      <x:c r="I391" s="18" t="str">
        <x:v>Ghi trên bản vẽ / Explicit</x:v>
      </x:c>
      <x:c r="J391" s="18" t="str">
        <x:v>Tờ 12
File 8</x:v>
      </x:c>
      <x:c r="K391" s="18" t="str">
        <x:v>left drawing bottom horizontal chain</x:v>
      </x:c>
      <x:c r="L391" s="18" t="str">
        <x:v>1000</x:v>
      </x:c>
      <x:c r="M391" s="18" t="str"/>
    </x:row>
    <x:row r="392" ht="36" hidden="0" customHeight="1">
      <x:c r="A392" s="18" t="str">
        <x:v>S087</x:v>
      </x:c>
      <x:c r="B392" s="18" t="str">
        <x:v>Một gian cửa sổ ngoài
Exterior double-window bay</x:v>
      </x:c>
      <x:c r="C392" s="18" t="str">
        <x:v>right_margin</x:v>
      </x:c>
      <x:c r="D392" s="18" t="str">
        <x:v>Model: X
Source: Z
right opening right jamb → axis4</x:v>
      </x:c>
      <x:c r="E392" s="24" t="n">
        <x:v>750</x:v>
      </x:c>
      <x:c r="F392" s="25" t="str">
        <x:v>mm</x:v>
      </x:c>
      <x:c r="G392" s="22" t="n">
        <x:f>IF(COUNTBLANK(E392)&gt;0,"",E392)</x:f>
        <x:v>750</x:v>
      </x:c>
      <x:c r="H392" s="23" t="n">
        <x:f>IF(COUNTBLANK(G392)&gt;0,"",G392/1000)</x:f>
        <x:v>0.75</x:v>
      </x:c>
      <x:c r="I392" s="18" t="str">
        <x:v>Ghi trên bản vẽ / Explicit</x:v>
      </x:c>
      <x:c r="J392" s="18" t="str">
        <x:v>Tờ 12
File 8</x:v>
      </x:c>
      <x:c r="K392" s="18" t="str">
        <x:v>left drawing bottom horizontal chain</x:v>
      </x:c>
      <x:c r="L392" s="18" t="str">
        <x:v>750</x:v>
      </x:c>
      <x:c r="M392" s="18" t="str"/>
    </x:row>
    <x:row r="393" ht="36" hidden="0" customHeight="1">
      <x:c r="A393" s="18" t="str">
        <x:v>S088</x:v>
      </x:c>
      <x:c r="B393" s="18" t="str">
        <x:v>Cột và đỉnh trang trí ngoài
Exterior pilaster and finial</x:v>
      </x:c>
      <x:c r="C393" s="18" t="str">
        <x:v>cornice_height</x:v>
      </x:c>
      <x:c r="D393" s="18" t="str">
        <x:v>Model: Y
Source: Y
floor → main exterior cornice top</x:v>
      </x:c>
      <x:c r="E393" s="24" t="n">
        <x:v>6324</x:v>
      </x:c>
      <x:c r="F393" s="25" t="str">
        <x:v>mm</x:v>
      </x:c>
      <x:c r="G393" s="22" t="n">
        <x:f>IF(COUNTBLANK(E393)&gt;0,"",E393)</x:f>
        <x:v>6324</x:v>
      </x:c>
      <x:c r="H393" s="23" t="n">
        <x:f>IF(COUNTBLANK(G393)&gt;0,"",G393/1000)</x:f>
        <x:v>6.324</x:v>
      </x:c>
      <x:c r="I393" s="18" t="str">
        <x:v>Ghi trên bản vẽ / Explicit</x:v>
      </x:c>
      <x:c r="J393" s="18" t="str">
        <x:v>Tờ 12
File 8</x:v>
      </x:c>
      <x:c r="K393" s="18" t="str">
        <x:v>left drawing far left vertical chain</x:v>
      </x:c>
      <x:c r="L393" s="18" t="str">
        <x:v>6324</x:v>
      </x:c>
      <x:c r="M393" s="18" t="str">
        <x:v>6324 conflicts by1 mm with detailed sum6325 and section level+6.325 m.</x:v>
      </x:c>
    </x:row>
    <x:row r="394" ht="48" hidden="0" customHeight="1">
      <x:c r="A394" s="18" t="str">
        <x:v>S089</x:v>
      </x:c>
      <x:c r="B394" s="18" t="str">
        <x:v>Cột và đỉnh trang trí ngoài
Exterior pilaster and finial</x:v>
      </x:c>
      <x:c r="C394" s="18" t="str">
        <x:v>pinnacle_lower_segment</x:v>
      </x:c>
      <x:c r="D394" s="18" t="str">
        <x:v>Model: Y
Source: Y
main exterior cornice top → pinnacle lower-head/top railing reference</x:v>
      </x:c>
      <x:c r="E394" s="24" t="n">
        <x:v>750</x:v>
      </x:c>
      <x:c r="F394" s="25" t="str">
        <x:v>mm</x:v>
      </x:c>
      <x:c r="G394" s="22" t="n">
        <x:f>IF(COUNTBLANK(E394)&gt;0,"",E394)</x:f>
        <x:v>750</x:v>
      </x:c>
      <x:c r="H394" s="23" t="n">
        <x:f>IF(COUNTBLANK(G394)&gt;0,"",G394/1000)</x:f>
        <x:v>0.75</x:v>
      </x:c>
      <x:c r="I394" s="18" t="str">
        <x:v>Ghi trên bản vẽ / Explicit</x:v>
      </x:c>
      <x:c r="J394" s="18" t="str">
        <x:v>Tờ 12
File 8</x:v>
      </x:c>
      <x:c r="K394" s="18" t="str">
        <x:v>left drawing far left vertical chain</x:v>
      </x:c>
      <x:c r="L394" s="18" t="str">
        <x:v>750</x:v>
      </x:c>
      <x:c r="M394" s="18" t="str"/>
    </x:row>
    <x:row r="395" ht="48" hidden="0" customHeight="1">
      <x:c r="A395" s="18" t="str">
        <x:v>S090</x:v>
      </x:c>
      <x:c r="B395" s="18" t="str">
        <x:v>Cột và đỉnh trang trí ngoài
Exterior pilaster and finial</x:v>
      </x:c>
      <x:c r="C395" s="18" t="str">
        <x:v>pinnacle_upper_segment</x:v>
      </x:c>
      <x:c r="D395" s="18" t="str">
        <x:v>Model: Y
Source: Y
pinnacle lower-head/top railing reference → finial tip</x:v>
      </x:c>
      <x:c r="E395" s="24" t="n">
        <x:v>952</x:v>
      </x:c>
      <x:c r="F395" s="25" t="str">
        <x:v>mm</x:v>
      </x:c>
      <x:c r="G395" s="22" t="n">
        <x:f>IF(COUNTBLANK(E395)&gt;0,"",E395)</x:f>
        <x:v>952</x:v>
      </x:c>
      <x:c r="H395" s="23" t="n">
        <x:f>IF(COUNTBLANK(G395)&gt;0,"",G395/1000)</x:f>
        <x:v>0.952</x:v>
      </x:c>
      <x:c r="I395" s="18" t="str">
        <x:v>Ghi trên bản vẽ / Explicit</x:v>
      </x:c>
      <x:c r="J395" s="18" t="str">
        <x:v>Tờ 12
File 8</x:v>
      </x:c>
      <x:c r="K395" s="18" t="str">
        <x:v>left drawing far left vertical chain</x:v>
      </x:c>
      <x:c r="L395" s="18" t="str">
        <x:v>952</x:v>
      </x:c>
      <x:c r="M395" s="18" t="str"/>
    </x:row>
    <x:row r="396" ht="36" hidden="0" customHeight="1">
      <x:c r="A396" s="18" t="str">
        <x:v>S091</x:v>
      </x:c>
      <x:c r="B396" s="18" t="str">
        <x:v>Chi tiết cửa sổ ngoài
Exterior window and ornament</x:v>
      </x:c>
      <x:c r="C396" s="18" t="str">
        <x:v>sill_height</x:v>
      </x:c>
      <x:c r="D396" s="18" t="str">
        <x:v>Model: Y
Source: Y
floor → window sill</x:v>
      </x:c>
      <x:c r="E396" s="24" t="n">
        <x:v>850</x:v>
      </x:c>
      <x:c r="F396" s="25" t="str">
        <x:v>mm</x:v>
      </x:c>
      <x:c r="G396" s="22" t="n">
        <x:f>IF(COUNTBLANK(E396)&gt;0,"",E396)</x:f>
        <x:v>850</x:v>
      </x:c>
      <x:c r="H396" s="23" t="n">
        <x:f>IF(COUNTBLANK(G396)&gt;0,"",G396/1000)</x:f>
        <x:v>0.85</x:v>
      </x:c>
      <x:c r="I396" s="18" t="str">
        <x:v>Ghi trên bản vẽ / Explicit</x:v>
      </x:c>
      <x:c r="J396" s="18" t="str">
        <x:v>Tờ 12
File 8</x:v>
      </x:c>
      <x:c r="K396" s="18" t="str">
        <x:v>left drawing center vertical detail chain</x:v>
      </x:c>
      <x:c r="L396" s="18" t="str">
        <x:v>850</x:v>
      </x:c>
      <x:c r="M396" s="18" t="str"/>
    </x:row>
    <x:row r="397" ht="48" hidden="0" customHeight="1">
      <x:c r="A397" s="18" t="str">
        <x:v>S092</x:v>
      </x:c>
      <x:c r="B397" s="18" t="str">
        <x:v>Chi tiết cửa sổ ngoài
Exterior window and ornament</x:v>
      </x:c>
      <x:c r="C397" s="18" t="str">
        <x:v>rectangular_opening_height</x:v>
      </x:c>
      <x:c r="D397" s="18" t="str">
        <x:v>Model: Y
Source: Y
window sill → rectangular opening head</x:v>
      </x:c>
      <x:c r="E397" s="24" t="n">
        <x:v>2101</x:v>
      </x:c>
      <x:c r="F397" s="25" t="str">
        <x:v>mm</x:v>
      </x:c>
      <x:c r="G397" s="22" t="n">
        <x:f>IF(COUNTBLANK(E397)&gt;0,"",E397)</x:f>
        <x:v>2101</x:v>
      </x:c>
      <x:c r="H397" s="23" t="n">
        <x:f>IF(COUNTBLANK(G397)&gt;0,"",G397/1000)</x:f>
        <x:v>2.101</x:v>
      </x:c>
      <x:c r="I397" s="18" t="str">
        <x:v>Ghi trên bản vẽ / Explicit</x:v>
      </x:c>
      <x:c r="J397" s="18" t="str">
        <x:v>Tờ 12
File 8</x:v>
      </x:c>
      <x:c r="K397" s="18" t="str">
        <x:v>left drawing center vertical detail chain</x:v>
      </x:c>
      <x:c r="L397" s="18" t="str">
        <x:v>2101</x:v>
      </x:c>
      <x:c r="M397" s="18" t="str"/>
    </x:row>
    <x:row r="398" ht="48" hidden="0" customHeight="1">
      <x:c r="A398" s="18" t="str">
        <x:v>S093</x:v>
      </x:c>
      <x:c r="B398" s="18" t="str">
        <x:v>Chi tiết cửa sổ ngoài
Exterior window and ornament</x:v>
      </x:c>
      <x:c r="C398" s="18" t="str">
        <x:v>arch_head_band</x:v>
      </x:c>
      <x:c r="D398" s="18" t="str">
        <x:v>Model: Y
Source: Y
rectangular opening head → arch spring</x:v>
      </x:c>
      <x:c r="E398" s="24" t="n">
        <x:v>150</x:v>
      </x:c>
      <x:c r="F398" s="25" t="str">
        <x:v>mm</x:v>
      </x:c>
      <x:c r="G398" s="22" t="n">
        <x:f>IF(COUNTBLANK(E398)&gt;0,"",E398)</x:f>
        <x:v>150</x:v>
      </x:c>
      <x:c r="H398" s="23" t="n">
        <x:f>IF(COUNTBLANK(G398)&gt;0,"",G398/1000)</x:f>
        <x:v>0.15</x:v>
      </x:c>
      <x:c r="I398" s="18" t="str">
        <x:v>Ghi trên bản vẽ / Explicit</x:v>
      </x:c>
      <x:c r="J398" s="18" t="str">
        <x:v>Tờ 12
File 8</x:v>
      </x:c>
      <x:c r="K398" s="18" t="str">
        <x:v>left drawing center vertical detail chain</x:v>
      </x:c>
      <x:c r="L398" s="18" t="str">
        <x:v>150</x:v>
      </x:c>
      <x:c r="M398" s="18" t="str"/>
    </x:row>
    <x:row r="399" ht="36" hidden="0" customHeight="1">
      <x:c r="A399" s="18" t="str">
        <x:v>S094</x:v>
      </x:c>
      <x:c r="B399" s="18" t="str">
        <x:v>Chi tiết cửa sổ ngoài
Exterior window and ornament</x:v>
      </x:c>
      <x:c r="C399" s="18" t="str">
        <x:v>arch_rise</x:v>
      </x:c>
      <x:c r="D399" s="18" t="str">
        <x:v>Model: Y
Source: Y
arch spring → inner arch crown</x:v>
      </x:c>
      <x:c r="E399" s="24" t="n">
        <x:v>507</x:v>
      </x:c>
      <x:c r="F399" s="25" t="str">
        <x:v>mm</x:v>
      </x:c>
      <x:c r="G399" s="22" t="n">
        <x:f>IF(COUNTBLANK(E399)&gt;0,"",E399)</x:f>
        <x:v>507</x:v>
      </x:c>
      <x:c r="H399" s="23" t="n">
        <x:f>IF(COUNTBLANK(G399)&gt;0,"",G399/1000)</x:f>
        <x:v>0.507</x:v>
      </x:c>
      <x:c r="I399" s="18" t="str">
        <x:v>Ghi trên bản vẽ / Explicit</x:v>
      </x:c>
      <x:c r="J399" s="18" t="str">
        <x:v>Tờ 12
File 8</x:v>
      </x:c>
      <x:c r="K399" s="18" t="str">
        <x:v>left drawing center vertical detail chain</x:v>
      </x:c>
      <x:c r="L399" s="18" t="str">
        <x:v>507</x:v>
      </x:c>
      <x:c r="M399" s="18" t="str"/>
    </x:row>
    <x:row r="400" ht="48" hidden="0" customHeight="1">
      <x:c r="A400" s="18" t="str">
        <x:v>S095</x:v>
      </x:c>
      <x:c r="B400" s="18" t="str">
        <x:v>Chi tiết cửa sổ ngoài
Exterior window and ornament</x:v>
      </x:c>
      <x:c r="C400" s="18" t="str">
        <x:v>arch_molding_height</x:v>
      </x:c>
      <x:c r="D400" s="18" t="str">
        <x:v>Model: Y
Source: Y
inner arch crown → outer arch molding crown</x:v>
      </x:c>
      <x:c r="E400" s="24" t="n">
        <x:v>302</x:v>
      </x:c>
      <x:c r="F400" s="25" t="str">
        <x:v>mm</x:v>
      </x:c>
      <x:c r="G400" s="22" t="n">
        <x:f>IF(COUNTBLANK(E400)&gt;0,"",E400)</x:f>
        <x:v>302</x:v>
      </x:c>
      <x:c r="H400" s="23" t="n">
        <x:f>IF(COUNTBLANK(G400)&gt;0,"",G400/1000)</x:f>
        <x:v>0.302</x:v>
      </x:c>
      <x:c r="I400" s="18" t="str">
        <x:v>Ghi trên bản vẽ / Explicit</x:v>
      </x:c>
      <x:c r="J400" s="18" t="str">
        <x:v>Tờ 12
File 8</x:v>
      </x:c>
      <x:c r="K400" s="18" t="str">
        <x:v>left drawing center vertical detail chain</x:v>
      </x:c>
      <x:c r="L400" s="18" t="str">
        <x:v>302</x:v>
      </x:c>
      <x:c r="M400" s="18" t="str"/>
    </x:row>
    <x:row r="401" ht="60" hidden="0" customHeight="1">
      <x:c r="A401" s="18" t="str">
        <x:v>S096</x:v>
      </x:c>
      <x:c r="B401" s="18" t="str">
        <x:v>Chi tiết cửa sổ ngoài
Exterior window and ornament</x:v>
      </x:c>
      <x:c r="C401" s="18" t="str">
        <x:v>roundel_vertical_reference_span</x:v>
      </x:c>
      <x:c r="D401" s="18" t="str">
        <x:v>Model: Y
Source: Y
outer arch molding crown/lower roundel reference → upper roundel reference</x:v>
      </x:c>
      <x:c r="E401" s="24" t="n">
        <x:v>837</x:v>
      </x:c>
      <x:c r="F401" s="25" t="str">
        <x:v>mm</x:v>
      </x:c>
      <x:c r="G401" s="22" t="n">
        <x:f>IF(COUNTBLANK(E401)&gt;0,"",E401)</x:f>
        <x:v>837</x:v>
      </x:c>
      <x:c r="H401" s="23" t="n">
        <x:f>IF(COUNTBLANK(G401)&gt;0,"",G401/1000)</x:f>
        <x:v>0.837</x:v>
      </x:c>
      <x:c r="I401" s="18" t="str">
        <x:v>Ghi trên bản vẽ / Explicit</x:v>
      </x:c>
      <x:c r="J401" s="18" t="str">
        <x:v>Tờ 12
File 8</x:v>
      </x:c>
      <x:c r="K401" s="18" t="str">
        <x:v>left drawing center vertical detail chain</x:v>
      </x:c>
      <x:c r="L401" s="18" t="str">
        <x:v>837</x:v>
      </x:c>
      <x:c r="M401" s="18" t="str">
        <x:v>837 spans the inner roundel/rose reference lines; no diameter symbol or ring thickness is printed. Do not assume this is the outermost rosette diameter.</x:v>
      </x:c>
    </x:row>
    <x:row r="402" ht="48" hidden="0" customHeight="1">
      <x:c r="A402" s="18" t="str">
        <x:v>S097</x:v>
      </x:c>
      <x:c r="B402" s="18" t="str">
        <x:v>Chi tiết cửa sổ ngoài
Exterior window and ornament</x:v>
      </x:c>
      <x:c r="C402" s="18" t="str">
        <x:v>gap_to_corbel</x:v>
      </x:c>
      <x:c r="D402" s="18" t="str">
        <x:v>Model: Y
Source: Y
upper roundel reference → corbel bottom</x:v>
      </x:c>
      <x:c r="E402" s="24" t="n">
        <x:v>288</x:v>
      </x:c>
      <x:c r="F402" s="25" t="str">
        <x:v>mm</x:v>
      </x:c>
      <x:c r="G402" s="22" t="n">
        <x:f>IF(COUNTBLANK(E402)&gt;0,"",E402)</x:f>
        <x:v>288</x:v>
      </x:c>
      <x:c r="H402" s="23" t="n">
        <x:f>IF(COUNTBLANK(G402)&gt;0,"",G402/1000)</x:f>
        <x:v>0.288</x:v>
      </x:c>
      <x:c r="I402" s="18" t="str">
        <x:v>Ghi trên bản vẽ / Explicit</x:v>
      </x:c>
      <x:c r="J402" s="18" t="str">
        <x:v>Tờ 12
File 8</x:v>
      </x:c>
      <x:c r="K402" s="18" t="str">
        <x:v>left drawing center vertical detail chain</x:v>
      </x:c>
      <x:c r="L402" s="18" t="str">
        <x:v>288</x:v>
      </x:c>
      <x:c r="M402" s="18" t="str"/>
    </x:row>
    <x:row r="403" ht="36" hidden="0" customHeight="1">
      <x:c r="A403" s="18" t="str">
        <x:v>S098</x:v>
      </x:c>
      <x:c r="B403" s="18" t="str">
        <x:v>Chi tiết cửa sổ ngoài
Exterior window and ornament</x:v>
      </x:c>
      <x:c r="C403" s="18" t="str">
        <x:v>corbel_height</x:v>
      </x:c>
      <x:c r="D403" s="18" t="str">
        <x:v>Model: Y
Source: Y
corbel bottom → corbel top</x:v>
      </x:c>
      <x:c r="E403" s="24" t="n">
        <x:v>343</x:v>
      </x:c>
      <x:c r="F403" s="25" t="str">
        <x:v>mm</x:v>
      </x:c>
      <x:c r="G403" s="22" t="n">
        <x:f>IF(COUNTBLANK(E403)&gt;0,"",E403)</x:f>
        <x:v>343</x:v>
      </x:c>
      <x:c r="H403" s="23" t="n">
        <x:f>IF(COUNTBLANK(G403)&gt;0,"",G403/1000)</x:f>
        <x:v>0.343</x:v>
      </x:c>
      <x:c r="I403" s="18" t="str">
        <x:v>Ghi trên bản vẽ / Explicit</x:v>
      </x:c>
      <x:c r="J403" s="18" t="str">
        <x:v>Tờ 12
File 8</x:v>
      </x:c>
      <x:c r="K403" s="18" t="str">
        <x:v>left drawing center vertical detail chain</x:v>
      </x:c>
      <x:c r="L403" s="18" t="str">
        <x:v>343</x:v>
      </x:c>
      <x:c r="M403" s="18" t="str"/>
    </x:row>
    <x:row r="404" ht="36" hidden="0" customHeight="1">
      <x:c r="A404" s="18" t="str">
        <x:v>S099</x:v>
      </x:c>
      <x:c r="B404" s="18" t="str">
        <x:v>Chi tiết cửa sổ ngoài
Exterior window and ornament</x:v>
      </x:c>
      <x:c r="C404" s="18" t="str">
        <x:v>lower_band_height</x:v>
      </x:c>
      <x:c r="D404" s="18" t="str">
        <x:v>Model: Y
Source: Y
corbel top → lower cornice band top</x:v>
      </x:c>
      <x:c r="E404" s="24" t="n">
        <x:v>140</x:v>
      </x:c>
      <x:c r="F404" s="25" t="str">
        <x:v>mm</x:v>
      </x:c>
      <x:c r="G404" s="22" t="n">
        <x:f>IF(COUNTBLANK(E404)&gt;0,"",E404)</x:f>
        <x:v>140</x:v>
      </x:c>
      <x:c r="H404" s="23" t="n">
        <x:f>IF(COUNTBLANK(G404)&gt;0,"",G404/1000)</x:f>
        <x:v>0.14</x:v>
      </x:c>
      <x:c r="I404" s="18" t="str">
        <x:v>Ghi trên bản vẽ / Explicit</x:v>
      </x:c>
      <x:c r="J404" s="18" t="str">
        <x:v>Tờ 12
File 8</x:v>
      </x:c>
      <x:c r="K404" s="18" t="str">
        <x:v>left drawing center vertical detail chain</x:v>
      </x:c>
      <x:c r="L404" s="18" t="str">
        <x:v>140</x:v>
      </x:c>
      <x:c r="M404" s="18" t="str"/>
    </x:row>
    <x:row r="405" ht="36" hidden="0" customHeight="1">
      <x:c r="A405" s="18" t="str">
        <x:v>S100</x:v>
      </x:c>
      <x:c r="B405" s="18" t="str">
        <x:v>Chi tiết cửa sổ ngoài
Exterior window and ornament</x:v>
      </x:c>
      <x:c r="C405" s="18" t="str">
        <x:v>frieze_height</x:v>
      </x:c>
      <x:c r="D405" s="18" t="str">
        <x:v>Model: Y
Source: Y
lower cornice band top → frieze top</x:v>
      </x:c>
      <x:c r="E405" s="24" t="n">
        <x:v>250</x:v>
      </x:c>
      <x:c r="F405" s="25" t="str">
        <x:v>mm</x:v>
      </x:c>
      <x:c r="G405" s="22" t="n">
        <x:f>IF(COUNTBLANK(E405)&gt;0,"",E405)</x:f>
        <x:v>250</x:v>
      </x:c>
      <x:c r="H405" s="23" t="n">
        <x:f>IF(COUNTBLANK(G405)&gt;0,"",G405/1000)</x:f>
        <x:v>0.25</x:v>
      </x:c>
      <x:c r="I405" s="18" t="str">
        <x:v>Ghi trên bản vẽ / Explicit</x:v>
      </x:c>
      <x:c r="J405" s="18" t="str">
        <x:v>Tờ 12
File 8</x:v>
      </x:c>
      <x:c r="K405" s="18" t="str">
        <x:v>left drawing center vertical detail chain</x:v>
      </x:c>
      <x:c r="L405" s="18" t="str">
        <x:v>250</x:v>
      </x:c>
      <x:c r="M405" s="18" t="str"/>
    </x:row>
    <x:row r="406" ht="48" hidden="0" customHeight="1">
      <x:c r="A406" s="18" t="str">
        <x:v>S101</x:v>
      </x:c>
      <x:c r="B406" s="18" t="str">
        <x:v>Chi tiết cửa sổ ngoài
Exterior window and ornament</x:v>
      </x:c>
      <x:c r="C406" s="18" t="str">
        <x:v>upper_cornice_height</x:v>
      </x:c>
      <x:c r="D406" s="18" t="str">
        <x:v>Model: Y
Source: Y
frieze top → main exterior cornice top</x:v>
      </x:c>
      <x:c r="E406" s="24" t="n">
        <x:v>557</x:v>
      </x:c>
      <x:c r="F406" s="25" t="str">
        <x:v>mm</x:v>
      </x:c>
      <x:c r="G406" s="22" t="n">
        <x:f>IF(COUNTBLANK(E406)&gt;0,"",E406)</x:f>
        <x:v>557</x:v>
      </x:c>
      <x:c r="H406" s="23" t="n">
        <x:f>IF(COUNTBLANK(G406)&gt;0,"",G406/1000)</x:f>
        <x:v>0.557</x:v>
      </x:c>
      <x:c r="I406" s="18" t="str">
        <x:v>Ghi trên bản vẽ / Explicit</x:v>
      </x:c>
      <x:c r="J406" s="18" t="str">
        <x:v>Tờ 12
File 8</x:v>
      </x:c>
      <x:c r="K406" s="18" t="str">
        <x:v>left drawing center vertical detail chain</x:v>
      </x:c>
      <x:c r="L406" s="18" t="str">
        <x:v>557</x:v>
      </x:c>
      <x:c r="M406" s="18" t="str"/>
    </x:row>
    <x:row r="407" ht="36" hidden="0" customHeight="1">
      <x:c r="A407" s="18" t="str">
        <x:v>S102</x:v>
      </x:c>
      <x:c r="B407" s="18" t="str">
        <x:v>Cửa sổ tường trong
Interior window opening</x:v>
      </x:c>
      <x:c r="C407" s="18" t="str">
        <x:v>left_margin</x:v>
      </x:c>
      <x:c r="D407" s="18" t="str">
        <x:v>Model: X
Source: Z
axis3 → interior opening left jamb</x:v>
      </x:c>
      <x:c r="E407" s="24" t="n">
        <x:v>1125</x:v>
      </x:c>
      <x:c r="F407" s="25" t="str">
        <x:v>mm</x:v>
      </x:c>
      <x:c r="G407" s="22" t="n">
        <x:f>IF(COUNTBLANK(E407)&gt;0,"",E407)</x:f>
        <x:v>1125</x:v>
      </x:c>
      <x:c r="H407" s="23" t="n">
        <x:f>IF(COUNTBLANK(G407)&gt;0,"",G407/1000)</x:f>
        <x:v>1.125</x:v>
      </x:c>
      <x:c r="I407" s="18" t="str">
        <x:v>Ghi trên bản vẽ / Explicit</x:v>
      </x:c>
      <x:c r="J407" s="18" t="str">
        <x:v>Tờ 12
File 8</x:v>
      </x:c>
      <x:c r="K407" s="18" t="str">
        <x:v>right drawing bottom horizontal dimension chain</x:v>
      </x:c>
      <x:c r="L407" s="18" t="str">
        <x:v>1125</x:v>
      </x:c>
      <x:c r="M407" s="18" t="str"/>
    </x:row>
    <x:row r="408" ht="48" hidden="0" customHeight="1">
      <x:c r="A408" s="18" t="str">
        <x:v>S103</x:v>
      </x:c>
      <x:c r="B408" s="18" t="str">
        <x:v>Cửa sổ tường trong
Interior window opening</x:v>
      </x:c>
      <x:c r="C408" s="18" t="str">
        <x:v>opening_width</x:v>
      </x:c>
      <x:c r="D408" s="18" t="str">
        <x:v>Model: X
Source: Z
interior opening left jamb → interior opening right jamb</x:v>
      </x:c>
      <x:c r="E408" s="24" t="n">
        <x:v>2250</x:v>
      </x:c>
      <x:c r="F408" s="25" t="str">
        <x:v>mm</x:v>
      </x:c>
      <x:c r="G408" s="22" t="n">
        <x:f>IF(COUNTBLANK(E408)&gt;0,"",E408)</x:f>
        <x:v>2250</x:v>
      </x:c>
      <x:c r="H408" s="23" t="n">
        <x:f>IF(COUNTBLANK(G408)&gt;0,"",G408/1000)</x:f>
        <x:v>2.25</x:v>
      </x:c>
      <x:c r="I408" s="18" t="str">
        <x:v>Ghi trên bản vẽ / Explicit</x:v>
      </x:c>
      <x:c r="J408" s="18" t="str">
        <x:v>Tờ 12
File 8</x:v>
      </x:c>
      <x:c r="K408" s="18" t="str">
        <x:v>right drawing bottom horizontal dimension chain</x:v>
      </x:c>
      <x:c r="L408" s="18" t="str">
        <x:v>2250</x:v>
      </x:c>
      <x:c r="M408" s="18" t="str"/>
    </x:row>
    <x:row r="409" ht="36" hidden="0" customHeight="1">
      <x:c r="A409" s="18" t="str">
        <x:v>S104</x:v>
      </x:c>
      <x:c r="B409" s="18" t="str">
        <x:v>Cửa sổ tường trong
Interior window opening</x:v>
      </x:c>
      <x:c r="C409" s="18" t="str">
        <x:v>right_margin</x:v>
      </x:c>
      <x:c r="D409" s="18" t="str">
        <x:v>Model: X
Source: Z
interior opening right jamb → axis4</x:v>
      </x:c>
      <x:c r="E409" s="24" t="n">
        <x:v>1125</x:v>
      </x:c>
      <x:c r="F409" s="25" t="str">
        <x:v>mm</x:v>
      </x:c>
      <x:c r="G409" s="22" t="n">
        <x:f>IF(COUNTBLANK(E409)&gt;0,"",E409)</x:f>
        <x:v>1125</x:v>
      </x:c>
      <x:c r="H409" s="23" t="n">
        <x:f>IF(COUNTBLANK(G409)&gt;0,"",G409/1000)</x:f>
        <x:v>1.125</x:v>
      </x:c>
      <x:c r="I409" s="18" t="str">
        <x:v>Ghi trên bản vẽ / Explicit</x:v>
      </x:c>
      <x:c r="J409" s="18" t="str">
        <x:v>Tờ 12
File 8</x:v>
      </x:c>
      <x:c r="K409" s="18" t="str">
        <x:v>right drawing bottom horizontal dimension chain</x:v>
      </x:c>
      <x:c r="L409" s="18" t="str">
        <x:v>1125</x:v>
      </x:c>
      <x:c r="M409" s="18" t="str"/>
    </x:row>
    <x:row r="410" ht="36" hidden="0" customHeight="1">
      <x:c r="A410" s="18" t="str">
        <x:v>S105</x:v>
      </x:c>
      <x:c r="B410" s="18" t="str">
        <x:v>Cửa sổ tường trong
Interior window opening</x:v>
      </x:c>
      <x:c r="C410" s="18" t="str">
        <x:v>sill_height</x:v>
      </x:c>
      <x:c r="D410" s="18" t="str">
        <x:v>Model: Y
Source: Y
floor → rectangular opening sill</x:v>
      </x:c>
      <x:c r="E410" s="24" t="n">
        <x:v>650</x:v>
      </x:c>
      <x:c r="F410" s="25" t="str">
        <x:v>mm</x:v>
      </x:c>
      <x:c r="G410" s="22" t="n">
        <x:f>IF(COUNTBLANK(E410)&gt;0,"",E410)</x:f>
        <x:v>650</x:v>
      </x:c>
      <x:c r="H410" s="23" t="n">
        <x:f>IF(COUNTBLANK(G410)&gt;0,"",G410/1000)</x:f>
        <x:v>0.65</x:v>
      </x:c>
      <x:c r="I410" s="18" t="str">
        <x:v>Ghi trên bản vẽ / Explicit</x:v>
      </x:c>
      <x:c r="J410" s="18" t="str">
        <x:v>Tờ 12
File 8</x:v>
      </x:c>
      <x:c r="K410" s="18" t="str">
        <x:v>right drawing center vertical chain</x:v>
      </x:c>
      <x:c r="L410" s="18" t="str">
        <x:v>650</x:v>
      </x:c>
      <x:c r="M410" s="18" t="str"/>
    </x:row>
    <x:row r="411" ht="48" hidden="0" customHeight="1">
      <x:c r="A411" s="18" t="str">
        <x:v>S106</x:v>
      </x:c>
      <x:c r="B411" s="18" t="str">
        <x:v>Cửa sổ tường trong
Interior window opening</x:v>
      </x:c>
      <x:c r="C411" s="18" t="str">
        <x:v>rectangular_opening_height</x:v>
      </x:c>
      <x:c r="D411" s="18" t="str">
        <x:v>Model: Y
Source: Y
rectangular opening sill → rectangular opening head</x:v>
      </x:c>
      <x:c r="E411" s="24" t="n">
        <x:v>2301</x:v>
      </x:c>
      <x:c r="F411" s="25" t="str">
        <x:v>mm</x:v>
      </x:c>
      <x:c r="G411" s="22" t="n">
        <x:f>IF(COUNTBLANK(E411)&gt;0,"",E411)</x:f>
        <x:v>2301</x:v>
      </x:c>
      <x:c r="H411" s="23" t="n">
        <x:f>IF(COUNTBLANK(G411)&gt;0,"",G411/1000)</x:f>
        <x:v>2.301</x:v>
      </x:c>
      <x:c r="I411" s="18" t="str">
        <x:v>Ghi trên bản vẽ / Explicit</x:v>
      </x:c>
      <x:c r="J411" s="18" t="str">
        <x:v>Tờ 12
File 8</x:v>
      </x:c>
      <x:c r="K411" s="18" t="str">
        <x:v>right drawing center vertical chain</x:v>
      </x:c>
      <x:c r="L411" s="18" t="str">
        <x:v>2301</x:v>
      </x:c>
      <x:c r="M411" s="18" t="str"/>
    </x:row>
    <x:row r="412" ht="48" hidden="0" customHeight="1">
      <x:c r="A412" s="18" t="str">
        <x:v>S107</x:v>
      </x:c>
      <x:c r="B412" s="18" t="str">
        <x:v>Cửa sổ tường trong
Interior window opening</x:v>
      </x:c>
      <x:c r="C412" s="18" t="str">
        <x:v>head_band_height</x:v>
      </x:c>
      <x:c r="D412" s="18" t="str">
        <x:v>Model: Y
Source: Y
rectangular opening head → fanlight base</x:v>
      </x:c>
      <x:c r="E412" s="24" t="n">
        <x:v>220</x:v>
      </x:c>
      <x:c r="F412" s="25" t="str">
        <x:v>mm</x:v>
      </x:c>
      <x:c r="G412" s="22" t="n">
        <x:f>IF(COUNTBLANK(E412)&gt;0,"",E412)</x:f>
        <x:v>220</x:v>
      </x:c>
      <x:c r="H412" s="23" t="n">
        <x:f>IF(COUNTBLANK(G412)&gt;0,"",G412/1000)</x:f>
        <x:v>0.22</x:v>
      </x:c>
      <x:c r="I412" s="18" t="str">
        <x:v>Ghi trên bản vẽ / Explicit</x:v>
      </x:c>
      <x:c r="J412" s="18" t="str">
        <x:v>Tờ 12
File 8</x:v>
      </x:c>
      <x:c r="K412" s="18" t="str">
        <x:v>right drawing center vertical chain</x:v>
      </x:c>
      <x:c r="L412" s="18" t="str">
        <x:v>220</x:v>
      </x:c>
      <x:c r="M412" s="18" t="str"/>
    </x:row>
    <x:row r="413" ht="36" hidden="0" customHeight="1">
      <x:c r="A413" s="18" t="str">
        <x:v>S108</x:v>
      </x:c>
      <x:c r="B413" s="18" t="str">
        <x:v>Cửa sổ tường trong
Interior window opening</x:v>
      </x:c>
      <x:c r="C413" s="18" t="str">
        <x:v>arch_rise</x:v>
      </x:c>
      <x:c r="D413" s="18" t="str">
        <x:v>Model: Y
Source: Y
fanlight base → fanlight arch crown</x:v>
      </x:c>
      <x:c r="E413" s="24" t="n">
        <x:v>1140</x:v>
      </x:c>
      <x:c r="F413" s="25" t="str">
        <x:v>mm</x:v>
      </x:c>
      <x:c r="G413" s="22" t="n">
        <x:f>IF(COUNTBLANK(E413)&gt;0,"",E413)</x:f>
        <x:v>1140</x:v>
      </x:c>
      <x:c r="H413" s="23" t="n">
        <x:f>IF(COUNTBLANK(G413)&gt;0,"",G413/1000)</x:f>
        <x:v>1.14</x:v>
      </x:c>
      <x:c r="I413" s="18" t="str">
        <x:v>Ghi trên bản vẽ / Explicit</x:v>
      </x:c>
      <x:c r="J413" s="18" t="str">
        <x:v>Tờ 12
File 8</x:v>
      </x:c>
      <x:c r="K413" s="18" t="str">
        <x:v>right drawing center vertical chain</x:v>
      </x:c>
      <x:c r="L413" s="18" t="str">
        <x:v>1140</x:v>
      </x:c>
      <x:c r="M413" s="18" t="str"/>
    </x:row>
    <x:row r="414" ht="48" hidden="0" customHeight="1">
      <x:c r="A414" s="18" t="str">
        <x:v>S109</x:v>
      </x:c>
      <x:c r="B414" s="18" t="str">
        <x:v>Cửa sổ tường trong
Interior window opening</x:v>
      </x:c>
      <x:c r="C414" s="18" t="str">
        <x:v>gap_above_arch</x:v>
      </x:c>
      <x:c r="D414" s="18" t="str">
        <x:v>Model: Y
Source: Y
fanlight arch crown → upper wall horizontal reference</x:v>
      </x:c>
      <x:c r="E414" s="24" t="n">
        <x:v>394</x:v>
      </x:c>
      <x:c r="F414" s="25" t="str">
        <x:v>mm</x:v>
      </x:c>
      <x:c r="G414" s="22" t="n">
        <x:f>IF(COUNTBLANK(E414)&gt;0,"",E414)</x:f>
        <x:v>394</x:v>
      </x:c>
      <x:c r="H414" s="23" t="n">
        <x:f>IF(COUNTBLANK(G414)&gt;0,"",G414/1000)</x:f>
        <x:v>0.394</x:v>
      </x:c>
      <x:c r="I414" s="18" t="str">
        <x:v>Ghi trên bản vẽ / Explicit</x:v>
      </x:c>
      <x:c r="J414" s="18" t="str">
        <x:v>Tờ 12
File 8</x:v>
      </x:c>
      <x:c r="K414" s="18" t="str">
        <x:v>right drawing center vertical chain</x:v>
      </x:c>
      <x:c r="L414" s="18" t="str">
        <x:v>394</x:v>
      </x:c>
      <x:c r="M414" s="18" t="str"/>
    </x:row>
    <x:row r="415" ht="48" hidden="0" customHeight="1">
      <x:c r="A415" s="18" t="str">
        <x:v>S110</x:v>
      </x:c>
      <x:c r="B415" s="18" t="str">
        <x:v>Cửa sổ tường trong
Interior window opening</x:v>
      </x:c>
      <x:c r="C415" s="18" t="str">
        <x:v>upper_wall_height</x:v>
      </x:c>
      <x:c r="D415" s="18" t="str">
        <x:v>Model: Y
Source: Y
upper wall horizontal reference → wall top</x:v>
      </x:c>
      <x:c r="E415" s="24" t="n">
        <x:v>2352</x:v>
      </x:c>
      <x:c r="F415" s="25" t="str">
        <x:v>mm</x:v>
      </x:c>
      <x:c r="G415" s="22" t="n">
        <x:f>IF(COUNTBLANK(E415)&gt;0,"",E415)</x:f>
        <x:v>2352</x:v>
      </x:c>
      <x:c r="H415" s="23" t="n">
        <x:f>IF(COUNTBLANK(G415)&gt;0,"",G415/1000)</x:f>
        <x:v>2.352</x:v>
      </x:c>
      <x:c r="I415" s="18" t="str">
        <x:v>Ghi trên bản vẽ / Explicit</x:v>
      </x:c>
      <x:c r="J415" s="18" t="str">
        <x:v>Tờ 12
File 8</x:v>
      </x:c>
      <x:c r="K415" s="18" t="str">
        <x:v>right drawing center vertical chain</x:v>
      </x:c>
      <x:c r="L415" s="18" t="str">
        <x:v>2352</x:v>
      </x:c>
      <x:c r="M415" s="18" t="str"/>
    </x:row>
    <x:row r="416" ht="36" hidden="0" customHeight="1">
      <x:c r="A416" s="18" t="str">
        <x:v>S111</x:v>
      </x:c>
      <x:c r="B416" s="18" t="str">
        <x:v>Chuỗi cao tường trong
Interior wall outer dimension chain</x:v>
      </x:c>
      <x:c r="C416" s="18" t="str">
        <x:v>sill_height_repeat</x:v>
      </x:c>
      <x:c r="D416" s="18" t="str">
        <x:v>Model: Y
Source: Y
floor → rectangular opening sill</x:v>
      </x:c>
      <x:c r="E416" s="24" t="n">
        <x:v>650</x:v>
      </x:c>
      <x:c r="F416" s="25" t="str">
        <x:v>mm</x:v>
      </x:c>
      <x:c r="G416" s="22" t="n">
        <x:f>IF(COUNTBLANK(E416)&gt;0,"",E416)</x:f>
        <x:v>650</x:v>
      </x:c>
      <x:c r="H416" s="23" t="n">
        <x:f>IF(COUNTBLANK(G416)&gt;0,"",G416/1000)</x:f>
        <x:v>0.65</x:v>
      </x:c>
      <x:c r="I416" s="18" t="str">
        <x:v>Ghi trên bản vẽ / Explicit</x:v>
      </x:c>
      <x:c r="J416" s="18" t="str">
        <x:v>Tờ 12
File 8</x:v>
      </x:c>
      <x:c r="K416" s="18" t="str">
        <x:v>right drawing left-side vertical chain</x:v>
      </x:c>
      <x:c r="L416" s="18" t="str">
        <x:v>650</x:v>
      </x:c>
      <x:c r="M416" s="18" t="str"/>
    </x:row>
    <x:row r="417" ht="48" hidden="0" customHeight="1">
      <x:c r="A417" s="18" t="str">
        <x:v>S112</x:v>
      </x:c>
      <x:c r="B417" s="18" t="str">
        <x:v>Chuỗi cao tường trong
Interior wall outer dimension chain</x:v>
      </x:c>
      <x:c r="C417" s="18" t="str">
        <x:v>rectangular_height_repeat</x:v>
      </x:c>
      <x:c r="D417" s="18" t="str">
        <x:v>Model: Y
Source: Y
rectangular opening sill → rectangular opening head</x:v>
      </x:c>
      <x:c r="E417" s="24" t="n">
        <x:v>2301</x:v>
      </x:c>
      <x:c r="F417" s="25" t="str">
        <x:v>mm</x:v>
      </x:c>
      <x:c r="G417" s="22" t="n">
        <x:f>IF(COUNTBLANK(E417)&gt;0,"",E417)</x:f>
        <x:v>2301</x:v>
      </x:c>
      <x:c r="H417" s="23" t="n">
        <x:f>IF(COUNTBLANK(G417)&gt;0,"",G417/1000)</x:f>
        <x:v>2.301</x:v>
      </x:c>
      <x:c r="I417" s="18" t="str">
        <x:v>Ghi trên bản vẽ / Explicit</x:v>
      </x:c>
      <x:c r="J417" s="18" t="str">
        <x:v>Tờ 12
File 8</x:v>
      </x:c>
      <x:c r="K417" s="18" t="str">
        <x:v>right drawing left-side vertical chain</x:v>
      </x:c>
      <x:c r="L417" s="18" t="str">
        <x:v>2301</x:v>
      </x:c>
      <x:c r="M417" s="18" t="str"/>
    </x:row>
    <x:row r="418" ht="48" hidden="0" customHeight="1">
      <x:c r="A418" s="18" t="str">
        <x:v>S113</x:v>
      </x:c>
      <x:c r="B418" s="18" t="str">
        <x:v>Chuỗi cao tường trong
Interior wall outer dimension chain</x:v>
      </x:c>
      <x:c r="C418" s="18" t="str">
        <x:v>head_band_repeat</x:v>
      </x:c>
      <x:c r="D418" s="18" t="str">
        <x:v>Model: Y
Source: Y
rectangular opening head → fanlight base</x:v>
      </x:c>
      <x:c r="E418" s="24" t="n">
        <x:v>220</x:v>
      </x:c>
      <x:c r="F418" s="25" t="str">
        <x:v>mm</x:v>
      </x:c>
      <x:c r="G418" s="22" t="n">
        <x:f>IF(COUNTBLANK(E418)&gt;0,"",E418)</x:f>
        <x:v>220</x:v>
      </x:c>
      <x:c r="H418" s="23" t="n">
        <x:f>IF(COUNTBLANK(G418)&gt;0,"",G418/1000)</x:f>
        <x:v>0.22</x:v>
      </x:c>
      <x:c r="I418" s="18" t="str">
        <x:v>Ghi trên bản vẽ / Explicit</x:v>
      </x:c>
      <x:c r="J418" s="18" t="str">
        <x:v>Tờ 12
File 8</x:v>
      </x:c>
      <x:c r="K418" s="18" t="str">
        <x:v>right drawing left-side vertical chain</x:v>
      </x:c>
      <x:c r="L418" s="18" t="str">
        <x:v>220</x:v>
      </x:c>
      <x:c r="M418" s="18" t="str"/>
    </x:row>
    <x:row r="419" ht="48" hidden="0" customHeight="1">
      <x:c r="A419" s="18" t="str">
        <x:v>S114</x:v>
      </x:c>
      <x:c r="B419" s="18" t="str">
        <x:v>Chuỗi cao tường trong
Interior wall outer dimension chain</x:v>
      </x:c>
      <x:c r="C419" s="18" t="str">
        <x:v>arch_and_gap_height</x:v>
      </x:c>
      <x:c r="D419" s="18" t="str">
        <x:v>Model: Y
Source: Y
fanlight base → upper wall horizontal reference</x:v>
      </x:c>
      <x:c r="E419" s="24" t="n">
        <x:v>1534</x:v>
      </x:c>
      <x:c r="F419" s="25" t="str">
        <x:v>mm</x:v>
      </x:c>
      <x:c r="G419" s="22" t="n">
        <x:f>IF(COUNTBLANK(E419)&gt;0,"",E419)</x:f>
        <x:v>1534</x:v>
      </x:c>
      <x:c r="H419" s="23" t="n">
        <x:f>IF(COUNTBLANK(G419)&gt;0,"",G419/1000)</x:f>
        <x:v>1.534</x:v>
      </x:c>
      <x:c r="I419" s="18" t="str">
        <x:v>Ghi trên bản vẽ / Explicit</x:v>
      </x:c>
      <x:c r="J419" s="18" t="str">
        <x:v>Tờ 12
File 8</x:v>
      </x:c>
      <x:c r="K419" s="18" t="str">
        <x:v>right drawing left-side vertical chain</x:v>
      </x:c>
      <x:c r="L419" s="18" t="str">
        <x:v>1534</x:v>
      </x:c>
      <x:c r="M419" s="18" t="str"/>
    </x:row>
    <x:row r="420" ht="48" hidden="0" customHeight="1">
      <x:c r="A420" s="18" t="str">
        <x:v>S115</x:v>
      </x:c>
      <x:c r="B420" s="18" t="str">
        <x:v>Chuỗi cao tường trong
Interior wall outer dimension chain</x:v>
      </x:c>
      <x:c r="C420" s="18" t="str">
        <x:v>upper_wall_lower_segment</x:v>
      </x:c>
      <x:c r="D420" s="18" t="str">
        <x:v>Model: Y
Source: Y
upper wall horizontal reference → upper band reference</x:v>
      </x:c>
      <x:c r="E420" s="24" t="n">
        <x:v>1280</x:v>
      </x:c>
      <x:c r="F420" s="25" t="str">
        <x:v>mm</x:v>
      </x:c>
      <x:c r="G420" s="22" t="n">
        <x:f>IF(COUNTBLANK(E420)&gt;0,"",E420)</x:f>
        <x:v>1280</x:v>
      </x:c>
      <x:c r="H420" s="23" t="n">
        <x:f>IF(COUNTBLANK(G420)&gt;0,"",G420/1000)</x:f>
        <x:v>1.28</x:v>
      </x:c>
      <x:c r="I420" s="18" t="str">
        <x:v>Ghi trên bản vẽ / Explicit</x:v>
      </x:c>
      <x:c r="J420" s="18" t="str">
        <x:v>Tờ 12
File 8</x:v>
      </x:c>
      <x:c r="K420" s="18" t="str">
        <x:v>right drawing left-side vertical chain</x:v>
      </x:c>
      <x:c r="L420" s="18" t="str">
        <x:v>1280</x:v>
      </x:c>
      <x:c r="M420" s="18" t="str"/>
    </x:row>
    <x:row r="421" ht="36" hidden="0" customHeight="1">
      <x:c r="A421" s="18" t="str">
        <x:v>S116</x:v>
      </x:c>
      <x:c r="B421" s="18" t="str">
        <x:v>Chuỗi cao tường trong
Interior wall outer dimension chain</x:v>
      </x:c>
      <x:c r="C421" s="18" t="str">
        <x:v>upper_wall_upper_segment</x:v>
      </x:c>
      <x:c r="D421" s="18" t="str">
        <x:v>Model: Y
Source: Y
upper band reference → wall top</x:v>
      </x:c>
      <x:c r="E421" s="24" t="n">
        <x:v>1072</x:v>
      </x:c>
      <x:c r="F421" s="25" t="str">
        <x:v>mm</x:v>
      </x:c>
      <x:c r="G421" s="22" t="n">
        <x:f>IF(COUNTBLANK(E421)&gt;0,"",E421)</x:f>
        <x:v>1072</x:v>
      </x:c>
      <x:c r="H421" s="23" t="n">
        <x:f>IF(COUNTBLANK(G421)&gt;0,"",G421/1000)</x:f>
        <x:v>1.072</x:v>
      </x:c>
      <x:c r="I421" s="18" t="str">
        <x:v>Ghi trên bản vẽ / Explicit</x:v>
      </x:c>
      <x:c r="J421" s="18" t="str">
        <x:v>Tờ 12
File 8</x:v>
      </x:c>
      <x:c r="K421" s="18" t="str">
        <x:v>right drawing left-side vertical chain</x:v>
      </x:c>
      <x:c r="L421" s="18" t="str">
        <x:v>1072</x:v>
      </x:c>
      <x:c r="M421" s="18" t="str"/>
    </x:row>
    <x:row r="422" ht="36" hidden="0" customHeight="1">
      <x:c r="A422" s="18" t="str">
        <x:v>S117</x:v>
      </x:c>
      <x:c r="B422" s="18" t="str">
        <x:v>Một gian cửa đi ngoài
Exterior doorway bay</x:v>
      </x:c>
      <x:c r="C422" s="18" t="str">
        <x:v>bay_width</x:v>
      </x:c>
      <x:c r="D422" s="18" t="str">
        <x:v>Model: X
Source: Z
axis3 → axis4</x:v>
      </x:c>
      <x:c r="E422" s="24" t="n">
        <x:v>4500</x:v>
      </x:c>
      <x:c r="F422" s="25" t="str">
        <x:v>mm</x:v>
      </x:c>
      <x:c r="G422" s="22" t="n">
        <x:f>IF(COUNTBLANK(E422)&gt;0,"",E422)</x:f>
        <x:v>4500</x:v>
      </x:c>
      <x:c r="H422" s="23" t="n">
        <x:f>IF(COUNTBLANK(G422)&gt;0,"",G422/1000)</x:f>
        <x:v>4.5</x:v>
      </x:c>
      <x:c r="I422" s="18" t="str">
        <x:v>Ghi trên bản vẽ / Explicit</x:v>
      </x:c>
      <x:c r="J422" s="18" t="str">
        <x:v>Tờ 13
File 9</x:v>
      </x:c>
      <x:c r="K422" s="18" t="str">
        <x:v>left drawing bottom horizontal dimension chain</x:v>
      </x:c>
      <x:c r="L422" s="18" t="str">
        <x:v>4500</x:v>
      </x:c>
      <x:c r="M422" s="18" t="str"/>
    </x:row>
    <x:row r="423" ht="36" hidden="0" customHeight="1">
      <x:c r="A423" s="18" t="str">
        <x:v>S118</x:v>
      </x:c>
      <x:c r="B423" s="18" t="str">
        <x:v>Một gian cửa đi ngoài
Exterior doorway bay</x:v>
      </x:c>
      <x:c r="C423" s="18" t="str">
        <x:v>left_margin</x:v>
      </x:c>
      <x:c r="D423" s="18" t="str">
        <x:v>Model: X
Source: Z
axis3 → door left jamb</x:v>
      </x:c>
      <x:c r="E423" s="24" t="n">
        <x:v>1125</x:v>
      </x:c>
      <x:c r="F423" s="25" t="str">
        <x:v>mm</x:v>
      </x:c>
      <x:c r="G423" s="22" t="n">
        <x:f>IF(COUNTBLANK(E423)&gt;0,"",E423)</x:f>
        <x:v>1125</x:v>
      </x:c>
      <x:c r="H423" s="23" t="n">
        <x:f>IF(COUNTBLANK(G423)&gt;0,"",G423/1000)</x:f>
        <x:v>1.125</x:v>
      </x:c>
      <x:c r="I423" s="18" t="str">
        <x:v>Ghi trên bản vẽ / Explicit</x:v>
      </x:c>
      <x:c r="J423" s="18" t="str">
        <x:v>Tờ 13
File 9</x:v>
      </x:c>
      <x:c r="K423" s="18" t="str">
        <x:v>left drawing bottom horizontal dimension chain</x:v>
      </x:c>
      <x:c r="L423" s="18" t="str">
        <x:v>1125</x:v>
      </x:c>
      <x:c r="M423" s="18" t="str"/>
    </x:row>
    <x:row r="424" ht="36" hidden="0" customHeight="1">
      <x:c r="A424" s="18" t="str">
        <x:v>S119</x:v>
      </x:c>
      <x:c r="B424" s="18" t="str">
        <x:v>Một gian cửa đi ngoài
Exterior doorway bay</x:v>
      </x:c>
      <x:c r="C424" s="18" t="str">
        <x:v>opening_width</x:v>
      </x:c>
      <x:c r="D424" s="18" t="str">
        <x:v>Model: X
Source: Z
door left jamb → door right jamb</x:v>
      </x:c>
      <x:c r="E424" s="24" t="n">
        <x:v>2250</x:v>
      </x:c>
      <x:c r="F424" s="25" t="str">
        <x:v>mm</x:v>
      </x:c>
      <x:c r="G424" s="22" t="n">
        <x:f>IF(COUNTBLANK(E424)&gt;0,"",E424)</x:f>
        <x:v>2250</x:v>
      </x:c>
      <x:c r="H424" s="23" t="n">
        <x:f>IF(COUNTBLANK(G424)&gt;0,"",G424/1000)</x:f>
        <x:v>2.25</x:v>
      </x:c>
      <x:c r="I424" s="18" t="str">
        <x:v>Ghi trên bản vẽ / Explicit</x:v>
      </x:c>
      <x:c r="J424" s="18" t="str">
        <x:v>Tờ 13
File 9</x:v>
      </x:c>
      <x:c r="K424" s="18" t="str">
        <x:v>left drawing bottom horizontal dimension chain</x:v>
      </x:c>
      <x:c r="L424" s="18" t="str">
        <x:v>2250</x:v>
      </x:c>
      <x:c r="M424" s="18" t="str"/>
    </x:row>
    <x:row r="425" ht="36" hidden="0" customHeight="1">
      <x:c r="A425" s="18" t="str">
        <x:v>S120</x:v>
      </x:c>
      <x:c r="B425" s="18" t="str">
        <x:v>Một gian cửa đi ngoài
Exterior doorway bay</x:v>
      </x:c>
      <x:c r="C425" s="18" t="str">
        <x:v>right_margin</x:v>
      </x:c>
      <x:c r="D425" s="18" t="str">
        <x:v>Model: X
Source: Z
door right jamb → axis4</x:v>
      </x:c>
      <x:c r="E425" s="24" t="n">
        <x:v>1125</x:v>
      </x:c>
      <x:c r="F425" s="25" t="str">
        <x:v>mm</x:v>
      </x:c>
      <x:c r="G425" s="22" t="n">
        <x:f>IF(COUNTBLANK(E425)&gt;0,"",E425)</x:f>
        <x:v>1125</x:v>
      </x:c>
      <x:c r="H425" s="23" t="n">
        <x:f>IF(COUNTBLANK(G425)&gt;0,"",G425/1000)</x:f>
        <x:v>1.125</x:v>
      </x:c>
      <x:c r="I425" s="18" t="str">
        <x:v>Ghi trên bản vẽ / Explicit</x:v>
      </x:c>
      <x:c r="J425" s="18" t="str">
        <x:v>Tờ 13
File 9</x:v>
      </x:c>
      <x:c r="K425" s="18" t="str">
        <x:v>left drawing bottom horizontal dimension chain</x:v>
      </x:c>
      <x:c r="L425" s="18" t="str">
        <x:v>1125</x:v>
      </x:c>
      <x:c r="M425" s="18" t="str"/>
    </x:row>
    <x:row r="426" ht="36" hidden="0" customHeight="1">
      <x:c r="A426" s="18" t="str">
        <x:v>S121</x:v>
      </x:c>
      <x:c r="B426" s="18" t="str">
        <x:v>Một gian cửa đi ngoài
Exterior doorway bay</x:v>
      </x:c>
      <x:c r="C426" s="18" t="str">
        <x:v>cornice_height</x:v>
      </x:c>
      <x:c r="D426" s="18" t="str">
        <x:v>Model: Y
Source: Y
floor → main exterior cornice top</x:v>
      </x:c>
      <x:c r="E426" s="24" t="n">
        <x:v>6324</x:v>
      </x:c>
      <x:c r="F426" s="25" t="str">
        <x:v>mm</x:v>
      </x:c>
      <x:c r="G426" s="22" t="n">
        <x:f>IF(COUNTBLANK(E426)&gt;0,"",E426)</x:f>
        <x:v>6324</x:v>
      </x:c>
      <x:c r="H426" s="23" t="n">
        <x:f>IF(COUNTBLANK(G426)&gt;0,"",G426/1000)</x:f>
        <x:v>6.324</x:v>
      </x:c>
      <x:c r="I426" s="18" t="str">
        <x:v>Ghi trên bản vẽ / Explicit</x:v>
      </x:c>
      <x:c r="J426" s="18" t="str">
        <x:v>Tờ 13
File 9</x:v>
      </x:c>
      <x:c r="K426" s="18" t="str">
        <x:v>left drawing vertical dimension chains</x:v>
      </x:c>
      <x:c r="L426" s="18" t="str">
        <x:v>6324</x:v>
      </x:c>
      <x:c r="M426" s="18" t="str">
        <x:v>6324 conflicts by1 mm with the detailed exterior cornice sum6325 on printed sheet12.</x:v>
      </x:c>
    </x:row>
    <x:row r="427" ht="48" hidden="0" customHeight="1">
      <x:c r="A427" s="18" t="str">
        <x:v>S122</x:v>
      </x:c>
      <x:c r="B427" s="18" t="str">
        <x:v>Một gian cửa đi ngoài
Exterior doorway bay</x:v>
      </x:c>
      <x:c r="C427" s="18" t="str">
        <x:v>pinnacle_lower_segment</x:v>
      </x:c>
      <x:c r="D427" s="18" t="str">
        <x:v>Model: Y
Source: Y
main exterior cornice top → pinnacle lower-head/top railing reference</x:v>
      </x:c>
      <x:c r="E427" s="24" t="n">
        <x:v>750</x:v>
      </x:c>
      <x:c r="F427" s="25" t="str">
        <x:v>mm</x:v>
      </x:c>
      <x:c r="G427" s="22" t="n">
        <x:f>IF(COUNTBLANK(E427)&gt;0,"",E427)</x:f>
        <x:v>750</x:v>
      </x:c>
      <x:c r="H427" s="23" t="n">
        <x:f>IF(COUNTBLANK(G427)&gt;0,"",G427/1000)</x:f>
        <x:v>0.75</x:v>
      </x:c>
      <x:c r="I427" s="18" t="str">
        <x:v>Ghi trên bản vẽ / Explicit</x:v>
      </x:c>
      <x:c r="J427" s="18" t="str">
        <x:v>Tờ 13
File 9</x:v>
      </x:c>
      <x:c r="K427" s="18" t="str">
        <x:v>left drawing vertical dimension chains</x:v>
      </x:c>
      <x:c r="L427" s="18" t="str">
        <x:v>750</x:v>
      </x:c>
      <x:c r="M427" s="18" t="str"/>
    </x:row>
    <x:row r="428" ht="48" hidden="0" customHeight="1">
      <x:c r="A428" s="18" t="str">
        <x:v>S123</x:v>
      </x:c>
      <x:c r="B428" s="18" t="str">
        <x:v>Một gian cửa đi ngoài
Exterior doorway bay</x:v>
      </x:c>
      <x:c r="C428" s="18" t="str">
        <x:v>pinnacle_upper_segment</x:v>
      </x:c>
      <x:c r="D428" s="18" t="str">
        <x:v>Model: Y
Source: Y
pinnacle lower-head/top railing reference → finial tip</x:v>
      </x:c>
      <x:c r="E428" s="24" t="n">
        <x:v>952</x:v>
      </x:c>
      <x:c r="F428" s="25" t="str">
        <x:v>mm</x:v>
      </x:c>
      <x:c r="G428" s="22" t="n">
        <x:f>IF(COUNTBLANK(E428)&gt;0,"",E428)</x:f>
        <x:v>952</x:v>
      </x:c>
      <x:c r="H428" s="23" t="n">
        <x:f>IF(COUNTBLANK(G428)&gt;0,"",G428/1000)</x:f>
        <x:v>0.952</x:v>
      </x:c>
      <x:c r="I428" s="18" t="str">
        <x:v>Ghi trên bản vẽ / Explicit</x:v>
      </x:c>
      <x:c r="J428" s="18" t="str">
        <x:v>Tờ 13
File 9</x:v>
      </x:c>
      <x:c r="K428" s="18" t="str">
        <x:v>left drawing vertical dimension chains</x:v>
      </x:c>
      <x:c r="L428" s="18" t="str">
        <x:v>952</x:v>
      </x:c>
      <x:c r="M428" s="18" t="str"/>
    </x:row>
    <x:row r="429" ht="36" hidden="0" customHeight="1">
      <x:c r="A429" s="18" t="str">
        <x:v>S124</x:v>
      </x:c>
      <x:c r="B429" s="18" t="str">
        <x:v>Một gian cửa đi ngoài
Exterior doorway bay</x:v>
      </x:c>
      <x:c r="C429" s="18" t="str">
        <x:v>springline_height</x:v>
      </x:c>
      <x:c r="D429" s="18" t="str">
        <x:v>Model: Y
Source: Y
floor → door arch spring</x:v>
      </x:c>
      <x:c r="E429" s="24" t="n">
        <x:v>3101</x:v>
      </x:c>
      <x:c r="F429" s="25" t="str">
        <x:v>mm</x:v>
      </x:c>
      <x:c r="G429" s="22" t="n">
        <x:f>IF(COUNTBLANK(E429)&gt;0,"",E429)</x:f>
        <x:v>3101</x:v>
      </x:c>
      <x:c r="H429" s="23" t="n">
        <x:f>IF(COUNTBLANK(G429)&gt;0,"",G429/1000)</x:f>
        <x:v>3.101</x:v>
      </x:c>
      <x:c r="I429" s="18" t="str">
        <x:v>Ghi trên bản vẽ / Explicit</x:v>
      </x:c>
      <x:c r="J429" s="18" t="str">
        <x:v>Tờ 13
File 9</x:v>
      </x:c>
      <x:c r="K429" s="18" t="str">
        <x:v>left drawing vertical dimension chains</x:v>
      </x:c>
      <x:c r="L429" s="18" t="str">
        <x:v>3101</x:v>
      </x:c>
      <x:c r="M429" s="18" t="str"/>
    </x:row>
    <x:row r="430" ht="36" hidden="0" customHeight="1">
      <x:c r="A430" s="18" t="str">
        <x:v>S125</x:v>
      </x:c>
      <x:c r="B430" s="18" t="str">
        <x:v>Một gian cửa đi ngoài
Exterior doorway bay</x:v>
      </x:c>
      <x:c r="C430" s="18" t="str">
        <x:v>arch_rise</x:v>
      </x:c>
      <x:c r="D430" s="18" t="str">
        <x:v>Model: Y
Source: Y
door arch spring → door arch crown</x:v>
      </x:c>
      <x:c r="E430" s="24" t="n">
        <x:v>1140</x:v>
      </x:c>
      <x:c r="F430" s="25" t="str">
        <x:v>mm</x:v>
      </x:c>
      <x:c r="G430" s="22" t="n">
        <x:f>IF(COUNTBLANK(E430)&gt;0,"",E430)</x:f>
        <x:v>1140</x:v>
      </x:c>
      <x:c r="H430" s="23" t="n">
        <x:f>IF(COUNTBLANK(G430)&gt;0,"",G430/1000)</x:f>
        <x:v>1.14</x:v>
      </x:c>
      <x:c r="I430" s="18" t="str">
        <x:v>Ghi trên bản vẽ / Explicit</x:v>
      </x:c>
      <x:c r="J430" s="18" t="str">
        <x:v>Tờ 13
File 9</x:v>
      </x:c>
      <x:c r="K430" s="18" t="str">
        <x:v>left drawing vertical dimension chains</x:v>
      </x:c>
      <x:c r="L430" s="18" t="str">
        <x:v>1140</x:v>
      </x:c>
      <x:c r="M430" s="18" t="str"/>
    </x:row>
    <x:row r="431" ht="36" hidden="0" customHeight="1">
      <x:c r="A431" s="18" t="str">
        <x:v>S126</x:v>
      </x:c>
      <x:c r="B431" s="18" t="str">
        <x:v>Một gian cửa đi trong
Interior doorway bay</x:v>
      </x:c>
      <x:c r="C431" s="18" t="str">
        <x:v>bay_width</x:v>
      </x:c>
      <x:c r="D431" s="18" t="str">
        <x:v>Model: X
Source: Z
axis3 → axis4</x:v>
      </x:c>
      <x:c r="E431" s="24" t="n">
        <x:v>4500</x:v>
      </x:c>
      <x:c r="F431" s="25" t="str">
        <x:v>mm</x:v>
      </x:c>
      <x:c r="G431" s="22" t="n">
        <x:f>IF(COUNTBLANK(E431)&gt;0,"",E431)</x:f>
        <x:v>4500</x:v>
      </x:c>
      <x:c r="H431" s="23" t="n">
        <x:f>IF(COUNTBLANK(G431)&gt;0,"",G431/1000)</x:f>
        <x:v>4.5</x:v>
      </x:c>
      <x:c r="I431" s="18" t="str">
        <x:v>Ghi trên bản vẽ / Explicit</x:v>
      </x:c>
      <x:c r="J431" s="18" t="str">
        <x:v>Tờ 13
File 9</x:v>
      </x:c>
      <x:c r="K431" s="18" t="str">
        <x:v>right drawing bottom horizontal dimension chain</x:v>
      </x:c>
      <x:c r="L431" s="18" t="str">
        <x:v>4500</x:v>
      </x:c>
      <x:c r="M431" s="18" t="str"/>
    </x:row>
    <x:row r="432" ht="36" hidden="0" customHeight="1">
      <x:c r="A432" s="18" t="str">
        <x:v>S127</x:v>
      </x:c>
      <x:c r="B432" s="18" t="str">
        <x:v>Một gian cửa đi trong
Interior doorway bay</x:v>
      </x:c>
      <x:c r="C432" s="18" t="str">
        <x:v>left_margin</x:v>
      </x:c>
      <x:c r="D432" s="18" t="str">
        <x:v>Model: X
Source: Z
axis3 → door left jamb</x:v>
      </x:c>
      <x:c r="E432" s="24" t="n">
        <x:v>1125</x:v>
      </x:c>
      <x:c r="F432" s="25" t="str">
        <x:v>mm</x:v>
      </x:c>
      <x:c r="G432" s="22" t="n">
        <x:f>IF(COUNTBLANK(E432)&gt;0,"",E432)</x:f>
        <x:v>1125</x:v>
      </x:c>
      <x:c r="H432" s="23" t="n">
        <x:f>IF(COUNTBLANK(G432)&gt;0,"",G432/1000)</x:f>
        <x:v>1.125</x:v>
      </x:c>
      <x:c r="I432" s="18" t="str">
        <x:v>Ghi trên bản vẽ / Explicit</x:v>
      </x:c>
      <x:c r="J432" s="18" t="str">
        <x:v>Tờ 13
File 9</x:v>
      </x:c>
      <x:c r="K432" s="18" t="str">
        <x:v>right drawing bottom horizontal dimension chain</x:v>
      </x:c>
      <x:c r="L432" s="18" t="str">
        <x:v>1125</x:v>
      </x:c>
      <x:c r="M432" s="18" t="str"/>
    </x:row>
    <x:row r="433" ht="36" hidden="0" customHeight="1">
      <x:c r="A433" s="18" t="str">
        <x:v>S128</x:v>
      </x:c>
      <x:c r="B433" s="18" t="str">
        <x:v>Một gian cửa đi trong
Interior doorway bay</x:v>
      </x:c>
      <x:c r="C433" s="18" t="str">
        <x:v>opening_width</x:v>
      </x:c>
      <x:c r="D433" s="18" t="str">
        <x:v>Model: X
Source: Z
door left jamb → door right jamb</x:v>
      </x:c>
      <x:c r="E433" s="24" t="n">
        <x:v>2250</x:v>
      </x:c>
      <x:c r="F433" s="25" t="str">
        <x:v>mm</x:v>
      </x:c>
      <x:c r="G433" s="22" t="n">
        <x:f>IF(COUNTBLANK(E433)&gt;0,"",E433)</x:f>
        <x:v>2250</x:v>
      </x:c>
      <x:c r="H433" s="23" t="n">
        <x:f>IF(COUNTBLANK(G433)&gt;0,"",G433/1000)</x:f>
        <x:v>2.25</x:v>
      </x:c>
      <x:c r="I433" s="18" t="str">
        <x:v>Ghi trên bản vẽ / Explicit</x:v>
      </x:c>
      <x:c r="J433" s="18" t="str">
        <x:v>Tờ 13
File 9</x:v>
      </x:c>
      <x:c r="K433" s="18" t="str">
        <x:v>right drawing bottom horizontal dimension chain</x:v>
      </x:c>
      <x:c r="L433" s="18" t="str">
        <x:v>2250</x:v>
      </x:c>
      <x:c r="M433" s="18" t="str"/>
    </x:row>
    <x:row r="434" ht="36" hidden="0" customHeight="1">
      <x:c r="A434" s="18" t="str">
        <x:v>S129</x:v>
      </x:c>
      <x:c r="B434" s="18" t="str">
        <x:v>Một gian cửa đi trong
Interior doorway bay</x:v>
      </x:c>
      <x:c r="C434" s="18" t="str">
        <x:v>right_margin</x:v>
      </x:c>
      <x:c r="D434" s="18" t="str">
        <x:v>Model: X
Source: Z
door right jamb → axis4</x:v>
      </x:c>
      <x:c r="E434" s="24" t="n">
        <x:v>1125</x:v>
      </x:c>
      <x:c r="F434" s="25" t="str">
        <x:v>mm</x:v>
      </x:c>
      <x:c r="G434" s="22" t="n">
        <x:f>IF(COUNTBLANK(E434)&gt;0,"",E434)</x:f>
        <x:v>1125</x:v>
      </x:c>
      <x:c r="H434" s="23" t="n">
        <x:f>IF(COUNTBLANK(G434)&gt;0,"",G434/1000)</x:f>
        <x:v>1.125</x:v>
      </x:c>
      <x:c r="I434" s="18" t="str">
        <x:v>Ghi trên bản vẽ / Explicit</x:v>
      </x:c>
      <x:c r="J434" s="18" t="str">
        <x:v>Tờ 13
File 9</x:v>
      </x:c>
      <x:c r="K434" s="18" t="str">
        <x:v>right drawing bottom horizontal dimension chain</x:v>
      </x:c>
      <x:c r="L434" s="18" t="str">
        <x:v>1125</x:v>
      </x:c>
      <x:c r="M434" s="18" t="str"/>
    </x:row>
    <x:row r="435" ht="36" hidden="0" customHeight="1">
      <x:c r="A435" s="18" t="str">
        <x:v>S130</x:v>
      </x:c>
      <x:c r="B435" s="18" t="str">
        <x:v>Một gian cửa đi trong
Interior doorway bay</x:v>
      </x:c>
      <x:c r="C435" s="18" t="str">
        <x:v>rectangular_door_height</x:v>
      </x:c>
      <x:c r="D435" s="18" t="str">
        <x:v>Model: Y
Source: Y
floor → rectangular door head</x:v>
      </x:c>
      <x:c r="E435" s="24" t="n">
        <x:v>2951</x:v>
      </x:c>
      <x:c r="F435" s="25" t="str">
        <x:v>mm</x:v>
      </x:c>
      <x:c r="G435" s="22" t="n">
        <x:f>IF(COUNTBLANK(E435)&gt;0,"",E435)</x:f>
        <x:v>2951</x:v>
      </x:c>
      <x:c r="H435" s="23" t="n">
        <x:f>IF(COUNTBLANK(G435)&gt;0,"",G435/1000)</x:f>
        <x:v>2.951</x:v>
      </x:c>
      <x:c r="I435" s="18" t="str">
        <x:v>Ghi trên bản vẽ / Explicit</x:v>
      </x:c>
      <x:c r="J435" s="18" t="str">
        <x:v>Tờ 13
File 9</x:v>
      </x:c>
      <x:c r="K435" s="18" t="str">
        <x:v>right drawing vertical dimension chain</x:v>
      </x:c>
      <x:c r="L435" s="18" t="str">
        <x:v>2951</x:v>
      </x:c>
      <x:c r="M435" s="18" t="str"/>
    </x:row>
    <x:row r="436" ht="48" hidden="0" customHeight="1">
      <x:c r="A436" s="18" t="str">
        <x:v>S131</x:v>
      </x:c>
      <x:c r="B436" s="18" t="str">
        <x:v>Một gian cửa đi trong
Interior doorway bay</x:v>
      </x:c>
      <x:c r="C436" s="18" t="str">
        <x:v>head_band_height</x:v>
      </x:c>
      <x:c r="D436" s="18" t="str">
        <x:v>Model: Y
Source: Y
rectangular door head → fanlight base</x:v>
      </x:c>
      <x:c r="E436" s="24" t="n">
        <x:v>220</x:v>
      </x:c>
      <x:c r="F436" s="25" t="str">
        <x:v>mm</x:v>
      </x:c>
      <x:c r="G436" s="22" t="n">
        <x:f>IF(COUNTBLANK(E436)&gt;0,"",E436)</x:f>
        <x:v>220</x:v>
      </x:c>
      <x:c r="H436" s="23" t="n">
        <x:f>IF(COUNTBLANK(G436)&gt;0,"",G436/1000)</x:f>
        <x:v>0.22</x:v>
      </x:c>
      <x:c r="I436" s="18" t="str">
        <x:v>Ghi trên bản vẽ / Explicit</x:v>
      </x:c>
      <x:c r="J436" s="18" t="str">
        <x:v>Tờ 13
File 9</x:v>
      </x:c>
      <x:c r="K436" s="18" t="str">
        <x:v>right drawing vertical dimension chain</x:v>
      </x:c>
      <x:c r="L436" s="18" t="str">
        <x:v>220</x:v>
      </x:c>
      <x:c r="M436" s="18" t="str"/>
    </x:row>
    <x:row r="437" ht="36" hidden="0" customHeight="1">
      <x:c r="A437" s="18" t="str">
        <x:v>S132</x:v>
      </x:c>
      <x:c r="B437" s="18" t="str">
        <x:v>Một gian cửa đi trong
Interior doorway bay</x:v>
      </x:c>
      <x:c r="C437" s="18" t="str">
        <x:v>arch_rise</x:v>
      </x:c>
      <x:c r="D437" s="18" t="str">
        <x:v>Model: Y
Source: Y
fanlight base → fanlight crown</x:v>
      </x:c>
      <x:c r="E437" s="24" t="n">
        <x:v>1140</x:v>
      </x:c>
      <x:c r="F437" s="25" t="str">
        <x:v>mm</x:v>
      </x:c>
      <x:c r="G437" s="22" t="n">
        <x:f>IF(COUNTBLANK(E437)&gt;0,"",E437)</x:f>
        <x:v>1140</x:v>
      </x:c>
      <x:c r="H437" s="23" t="n">
        <x:f>IF(COUNTBLANK(G437)&gt;0,"",G437/1000)</x:f>
        <x:v>1.14</x:v>
      </x:c>
      <x:c r="I437" s="18" t="str">
        <x:v>Ghi trên bản vẽ / Explicit</x:v>
      </x:c>
      <x:c r="J437" s="18" t="str">
        <x:v>Tờ 13
File 9</x:v>
      </x:c>
      <x:c r="K437" s="18" t="str">
        <x:v>right drawing vertical dimension chain</x:v>
      </x:c>
      <x:c r="L437" s="18" t="str">
        <x:v>1140</x:v>
      </x:c>
      <x:c r="M437" s="18" t="str"/>
    </x:row>
    <x:row r="438" ht="48" hidden="0" customHeight="1">
      <x:c r="A438" s="18" t="str">
        <x:v>S133</x:v>
      </x:c>
      <x:c r="B438" s="18" t="str">
        <x:v>Một gian cửa đi trong
Interior doorway bay</x:v>
      </x:c>
      <x:c r="C438" s="18" t="str">
        <x:v>gap_above_arch</x:v>
      </x:c>
      <x:c r="D438" s="18" t="str">
        <x:v>Model: Y
Source: Y
fanlight crown → upper wall horizontal reference</x:v>
      </x:c>
      <x:c r="E438" s="24" t="n">
        <x:v>394</x:v>
      </x:c>
      <x:c r="F438" s="25" t="str">
        <x:v>mm</x:v>
      </x:c>
      <x:c r="G438" s="22" t="n">
        <x:f>IF(COUNTBLANK(E438)&gt;0,"",E438)</x:f>
        <x:v>394</x:v>
      </x:c>
      <x:c r="H438" s="23" t="n">
        <x:f>IF(COUNTBLANK(G438)&gt;0,"",G438/1000)</x:f>
        <x:v>0.394</x:v>
      </x:c>
      <x:c r="I438" s="18" t="str">
        <x:v>Ghi trên bản vẽ / Explicit</x:v>
      </x:c>
      <x:c r="J438" s="18" t="str">
        <x:v>Tờ 13
File 9</x:v>
      </x:c>
      <x:c r="K438" s="18" t="str">
        <x:v>right drawing vertical dimension chain</x:v>
      </x:c>
      <x:c r="L438" s="18" t="str">
        <x:v>394</x:v>
      </x:c>
      <x:c r="M438" s="18" t="str"/>
    </x:row>
    <x:row r="439" ht="48" hidden="0" customHeight="1">
      <x:c r="A439" s="18" t="str">
        <x:v>S134</x:v>
      </x:c>
      <x:c r="B439" s="18" t="str">
        <x:v>Một gian cửa đi trong
Interior doorway bay</x:v>
      </x:c>
      <x:c r="C439" s="18" t="str">
        <x:v>upper_wall_height</x:v>
      </x:c>
      <x:c r="D439" s="18" t="str">
        <x:v>Model: Y
Source: Y
upper wall horizontal reference → wall top</x:v>
      </x:c>
      <x:c r="E439" s="24" t="n">
        <x:v>2352</x:v>
      </x:c>
      <x:c r="F439" s="25" t="str">
        <x:v>mm</x:v>
      </x:c>
      <x:c r="G439" s="22" t="n">
        <x:f>IF(COUNTBLANK(E439)&gt;0,"",E439)</x:f>
        <x:v>2352</x:v>
      </x:c>
      <x:c r="H439" s="23" t="n">
        <x:f>IF(COUNTBLANK(G439)&gt;0,"",G439/1000)</x:f>
        <x:v>2.352</x:v>
      </x:c>
      <x:c r="I439" s="18" t="str">
        <x:v>Ghi trên bản vẽ / Explicit</x:v>
      </x:c>
      <x:c r="J439" s="18" t="str">
        <x:v>Tờ 13
File 9</x:v>
      </x:c>
      <x:c r="K439" s="18" t="str">
        <x:v>right drawing vertical dimension chain</x:v>
      </x:c>
      <x:c r="L439" s="18" t="str">
        <x:v>2352</x:v>
      </x:c>
      <x:c r="M439" s="18" t="str"/>
    </x:row>
    <x:row r="440" ht="36" hidden="0" customHeight="1">
      <x:c r="A440" s="18" t="str">
        <x:v>S135</x:v>
      </x:c>
      <x:c r="B440" s="18" t="str">
        <x:v>Bề ngang trục B-H
Grid B-H width</x:v>
      </x:c>
      <x:c r="C440" s="18" t="str">
        <x:v>grid_total</x:v>
      </x:c>
      <x:c r="D440" s="18" t="str">
        <x:v>Model: Z
Source: X
B → H</x:v>
      </x:c>
      <x:c r="E440" s="24"/>
      <x:c r="F440" s="25" t="str"/>
      <x:c r="G440" s="22" t="n">
        <x:f>IF(OR(COUNTBLANK('Dimensions'!G312)&gt;0,COUNTBLANK('Dimensions'!G313)&gt;0,COUNTBLANK('Dimensions'!G314)&gt;0,COUNTBLANK('Dimensions'!G315)&gt;0,COUNTBLANK('Dimensions'!G316)&gt;0),"",'Dimensions'!G312+'Dimensions'!G313+'Dimensions'!G314+'Dimensions'!G315+'Dimensions'!G316)</x:f>
        <x:v>20828</x:v>
      </x:c>
      <x:c r="H440" s="23" t="n">
        <x:f>IF(COUNTBLANK(G440)&gt;0,"",G440/1000)</x:f>
        <x:v>20.828</x:v>
      </x:c>
      <x:c r="I440" s="18" t="str">
        <x:v>Tính từ bản vẽ / Derived</x:v>
      </x:c>
      <x:c r="J440" s="18" t="str">
        <x:v>Tờ 4
File 6</x:v>
      </x:c>
      <x:c r="K440" s="18" t="str">
        <x:v>calculated from printed dimensions</x:v>
      </x:c>
      <x:c r="L440" s="18" t="str"/>
      <x:c r="M440" s="18" t="str">
        <x:v>Dimensions are grid distances, not clear room widths.
Calculation: 3054+3760+7200+3760+3054</x:v>
      </x:c>
    </x:row>
    <x:row r="441" ht="36" hidden="0" customHeight="1">
      <x:c r="A441" s="18" t="str">
        <x:v>S136</x:v>
      </x:c>
      <x:c r="B441" s="18" t="str">
        <x:v>Bề ngang mái chính theo trục
Main-roof support grid span</x:v>
      </x:c>
      <x:c r="C441" s="18" t="str">
        <x:v>main_roof_grid_span</x:v>
      </x:c>
      <x:c r="D441" s="18" t="str">
        <x:v>Model: Z
Source: X
C → G</x:v>
      </x:c>
      <x:c r="E441" s="24"/>
      <x:c r="F441" s="25" t="str"/>
      <x:c r="G441" s="22" t="n">
        <x:f>IF(OR(COUNTBLANK('Dimensions'!G313)&gt;0,COUNTBLANK('Dimensions'!G314)&gt;0,COUNTBLANK('Dimensions'!G315)&gt;0),"",'Dimensions'!G313+'Dimensions'!G314+'Dimensions'!G315)</x:f>
        <x:v>14720</x:v>
      </x:c>
      <x:c r="H441" s="23" t="n">
        <x:f>IF(COUNTBLANK(G441)&gt;0,"",G441/1000)</x:f>
        <x:v>14.72</x:v>
      </x:c>
      <x:c r="I441" s="18" t="str">
        <x:v>Tính từ bản vẽ / Derived</x:v>
      </x:c>
      <x:c r="J441" s="18" t="str">
        <x:v>Tờ 4
File 6</x:v>
      </x:c>
      <x:c r="K441" s="18" t="str">
        <x:v>calculated from printed dimensions</x:v>
      </x:c>
      <x:c r="L441" s="18" t="str"/>
      <x:c r="M441" s="18" t="str">
        <x:v>C/G are support axes. Roof edge/overhang location is not fully specified.
Calculation: 3760+7200+3760</x:v>
      </x:c>
    </x:row>
    <x:row r="442" ht="48" hidden="0" customHeight="1">
      <x:c r="A442" s="18" t="str">
        <x:v>S137</x:v>
      </x:c>
      <x:c r="B442" s="18" t="str">
        <x:v>Độ vươn biên đối xứng
Symmetric outer extent</x:v>
      </x:c>
      <x:c r="C442" s="18" t="str">
        <x:v>symmetric_outer_offset</x:v>
      </x:c>
      <x:c r="D442" s="18" t="str">
        <x:v>Model: Z
Source: X
B/H grid → corresponding outermost edge</x:v>
      </x:c>
      <x:c r="E442" s="24"/>
      <x:c r="F442" s="25" t="str"/>
      <x:c r="G442" s="22" t="n">
        <x:f>IF(OR(COUNTBLANK('Dimensions'!G317)&gt;0,COUNTBLANK('Dimensions'!G440)&gt;0),"",('Dimensions'!G317-'Dimensions'!G440)/2)</x:f>
        <x:v>780</x:v>
      </x:c>
      <x:c r="H442" s="23" t="n">
        <x:f>IF(COUNTBLANK(G442)&gt;0,"",G442/1000)</x:f>
        <x:v>0.78</x:v>
      </x:c>
      <x:c r="I442" s="18" t="str">
        <x:v>Tính từ bản vẽ / Derived</x:v>
      </x:c>
      <x:c r="J442" s="18" t="str">
        <x:v>Tờ 4
File 6</x:v>
      </x:c>
      <x:c r="K442" s="18" t="str">
        <x:v>calculated from printed dimensions</x:v>
      </x:c>
      <x:c r="L442" s="18" t="str"/>
      <x:c r="M442" s="18" t="str">
        <x:v>Symmetry assumption supported by right-side explicit780; verify against ground plan.
Calculation: (22388-20828)/2</x:v>
      </x:c>
    </x:row>
    <x:row r="443" ht="48" hidden="0" customHeight="1">
      <x:c r="A443" s="18" t="str">
        <x:v>S138</x:v>
      </x:c>
      <x:c r="B443" s="18" t="str">
        <x:v>Chiều cao cột chính tổng
Central column total</x:v>
      </x:c>
      <x:c r="C443" s="18" t="str">
        <x:v>column_top_height</x:v>
      </x:c>
      <x:c r="D443" s="18" t="str">
        <x:v>Model: Y
Source: Y
finished floor → dimensioned central post top</x:v>
      </x:c>
      <x:c r="E443" s="24"/>
      <x:c r="F443" s="25" t="str"/>
      <x:c r="G443" s="22" t="n">
        <x:f>IF(OR(COUNTBLANK('Dimensions'!G324)&gt;0,COUNTBLANK('Dimensions'!G325)&gt;0),"",'Dimensions'!G324+'Dimensions'!G325)</x:f>
        <x:v>9402</x:v>
      </x:c>
      <x:c r="H443" s="23" t="n">
        <x:f>IF(COUNTBLANK(G443)&gt;0,"",G443/1000)</x:f>
        <x:v>9.402</x:v>
      </x:c>
      <x:c r="I443" s="18" t="str">
        <x:v>Tính từ bản vẽ / Derived</x:v>
      </x:c>
      <x:c r="J443" s="18" t="str">
        <x:v>Tờ 4
File 6</x:v>
      </x:c>
      <x:c r="K443" s="18" t="str">
        <x:v>calculated from printed dimensions</x:v>
      </x:c>
      <x:c r="L443" s="18" t="str"/>
      <x:c r="M443" s="18" t="str">
        <x:v>Structural contact/ridge relationships still need original CAD details.
Calculation: 600+8802</x:v>
      </x:c>
    </x:row>
    <x:row r="444" ht="48" hidden="0" customHeight="1">
      <x:c r="A444" s="18" t="str">
        <x:v>S139</x:v>
      </x:c>
      <x:c r="B444" s="18" t="str">
        <x:v>Chiều cao cột phụ tổng
Side column total</x:v>
      </x:c>
      <x:c r="C444" s="18" t="str">
        <x:v>side_column_top_height</x:v>
      </x:c>
      <x:c r="D444" s="18" t="str">
        <x:v>Model: Y
Source: Y
finished floor → dimensioned side post top</x:v>
      </x:c>
      <x:c r="E444" s="24"/>
      <x:c r="F444" s="25" t="str"/>
      <x:c r="G444" s="22" t="n">
        <x:f>IF(OR(COUNTBLANK('Dimensions'!G326)&gt;0,COUNTBLANK('Dimensions'!G327)&gt;0),"",'Dimensions'!G326+'Dimensions'!G327)</x:f>
        <x:v>6990</x:v>
      </x:c>
      <x:c r="H444" s="23" t="n">
        <x:f>IF(COUNTBLANK(G444)&gt;0,"",G444/1000)</x:f>
        <x:v>6.99</x:v>
      </x:c>
      <x:c r="I444" s="18" t="str">
        <x:v>Tính từ bản vẽ / Derived</x:v>
      </x:c>
      <x:c r="J444" s="18" t="str">
        <x:v>Tờ 4
File 6</x:v>
      </x:c>
      <x:c r="K444" s="18" t="str">
        <x:v>calculated from printed dimensions</x:v>
      </x:c>
      <x:c r="L444" s="18" t="str"/>
      <x:c r="M444" s="18" t="str">
        <x:v>Matches left side vertical chain650+2301+220+1140+2177+400+102.
Calculation: 600+6390</x:v>
      </x:c>
    </x:row>
    <x:row r="445" ht="36" hidden="0" customHeight="1">
      <x:c r="A445" s="18" t="str">
        <x:v>S140</x:v>
      </x:c>
      <x:c r="B445" s="18" t="str">
        <x:v>Bề rộng móng chính
Central foundation width</x:v>
      </x:c>
      <x:c r="C445" s="18" t="str">
        <x:v>foundation_width</x:v>
      </x:c>
      <x:c r="D445" s="18" t="str">
        <x:v>Model: Z
Source: X
foundation left → foundation right</x:v>
      </x:c>
      <x:c r="E445" s="24"/>
      <x:c r="F445" s="25" t="str"/>
      <x:c r="G445" s="22" t="n">
        <x:f>IF(OR(COUNTBLANK('Dimensions'!G318)&gt;0,COUNTBLANK('Dimensions'!G319)&gt;0),"",'Dimensions'!G318+'Dimensions'!G319)</x:f>
        <x:v>1000</x:v>
      </x:c>
      <x:c r="H445" s="23" t="n">
        <x:f>IF(COUNTBLANK(G445)&gt;0,"",G445/1000)</x:f>
        <x:v>1</x:v>
      </x:c>
      <x:c r="I445" s="18" t="str">
        <x:v>Tính từ bản vẽ / Derived</x:v>
      </x:c>
      <x:c r="J445" s="18" t="str">
        <x:v>Tờ 4
File 6</x:v>
      </x:c>
      <x:c r="K445" s="18" t="str">
        <x:v>calculated from printed dimensions</x:v>
      </x:c>
      <x:c r="L445" s="18" t="str"/>
      <x:c r="M445" s="18" t="str">
        <x:v>Not column shaft width.
Calculation: 500+500</x:v>
      </x:c>
    </x:row>
    <x:row r="446" ht="36" hidden="0" customHeight="1">
      <x:c r="A446" s="18" t="str">
        <x:v>S141</x:v>
      </x:c>
      <x:c r="B446" s="18" t="str">
        <x:v>Bề rộng móng trục G
G foundation width</x:v>
      </x:c>
      <x:c r="C446" s="18" t="str">
        <x:v>foundation_width</x:v>
      </x:c>
      <x:c r="D446" s="18" t="str">
        <x:v>Model: Z
Source: X
foundation left → foundation right</x:v>
      </x:c>
      <x:c r="E446" s="24"/>
      <x:c r="F446" s="25" t="str"/>
      <x:c r="G446" s="22" t="n">
        <x:f>IF(OR(COUNTBLANK('Dimensions'!G320)&gt;0,COUNTBLANK('Dimensions'!G321)&gt;0),"",'Dimensions'!G320+'Dimensions'!G321)</x:f>
        <x:v>890</x:v>
      </x:c>
      <x:c r="H446" s="23" t="n">
        <x:f>IF(COUNTBLANK(G446)&gt;0,"",G446/1000)</x:f>
        <x:v>0.89</x:v>
      </x:c>
      <x:c r="I446" s="18" t="str">
        <x:v>Tính từ bản vẽ / Derived</x:v>
      </x:c>
      <x:c r="J446" s="18" t="str">
        <x:v>Tờ 4
File 6</x:v>
      </x:c>
      <x:c r="K446" s="18" t="str">
        <x:v>calculated from printed dimensions</x:v>
      </x:c>
      <x:c r="L446" s="18" t="str"/>
      <x:c r="M446" s="18" t="str">
        <x:v>Not column shaft width.
Calculation: 560+330</x:v>
      </x:c>
    </x:row>
    <x:row r="447" ht="36" hidden="0" customHeight="1">
      <x:c r="A447" s="18" t="str">
        <x:v>S142</x:v>
      </x:c>
      <x:c r="B447" s="18" t="str">
        <x:v>Bề rộng móng trục H
H foundation width</x:v>
      </x:c>
      <x:c r="C447" s="18" t="str">
        <x:v>foundation_width</x:v>
      </x:c>
      <x:c r="D447" s="18" t="str">
        <x:v>Model: Z
Source: X
foundation inner → foundation outer</x:v>
      </x:c>
      <x:c r="E447" s="24"/>
      <x:c r="F447" s="25" t="str"/>
      <x:c r="G447" s="22" t="n">
        <x:f>IF(OR(COUNTBLANK('Dimensions'!G322)&gt;0,COUNTBLANK('Dimensions'!G323)&gt;0),"",'Dimensions'!G322+'Dimensions'!G323)</x:f>
        <x:v>1165</x:v>
      </x:c>
      <x:c r="H447" s="23" t="n">
        <x:f>IF(COUNTBLANK(G447)&gt;0,"",G447/1000)</x:f>
        <x:v>1.165</x:v>
      </x:c>
      <x:c r="I447" s="18" t="str">
        <x:v>Tính từ bản vẽ / Derived</x:v>
      </x:c>
      <x:c r="J447" s="18" t="str">
        <x:v>Tờ 4
File 6</x:v>
      </x:c>
      <x:c r="K447" s="18" t="str">
        <x:v>calculated from printed dimensions</x:v>
      </x:c>
      <x:c r="L447" s="18" t="str"/>
      <x:c r="M447" s="18" t="str">
        <x:v>Section drawing local width; foundation depth and reinforcement unspecified.
Calculation: 385+780</x:v>
      </x:c>
    </x:row>
    <x:row r="448" ht="48" hidden="0" customHeight="1">
      <x:c r="A448" s="18" t="str">
        <x:v>S143</x:v>
      </x:c>
      <x:c r="B448" s="18" t="str">
        <x:v>Cao đỉnh so với sân theo cao độ
Ridge-to-courtyard from levels</x:v>
      </x:c>
      <x:c r="C448" s="18" t="str">
        <x:v>ridge_height_from_level_arithmetic</x:v>
      </x:c>
      <x:c r="D448" s="18" t="str">
        <x:v>Model: Y
Source: Y
courtyard -2.080 m → ridge +12.472 m</x:v>
      </x:c>
      <x:c r="E448" s="24"/>
      <x:c r="F448" s="25" t="str"/>
      <x:c r="G448" s="22" t="n">
        <x:f>IF(OR(COUNTBLANK('Dimensions'!G306)&gt;0,COUNTBLANK('Dimensions'!G310)&gt;0),"",'Dimensions'!G306-'Dimensions'!G310)</x:f>
        <x:v>14552</x:v>
      </x:c>
      <x:c r="H448" s="23" t="n">
        <x:f>IF(COUNTBLANK(G448)&gt;0,"",G448/1000)</x:f>
        <x:v>14.552</x:v>
      </x:c>
      <x:c r="I448" s="18" t="str">
        <x:v>Tính từ bản vẽ / Derived</x:v>
      </x:c>
      <x:c r="J448" s="18" t="str">
        <x:v>Tờ 4
File 6</x:v>
      </x:c>
      <x:c r="K448" s="18" t="str">
        <x:v>calculated from printed dimensions</x:v>
      </x:c>
      <x:c r="L448" s="18" t="str"/>
      <x:c r="M448" s="18" t="str">
        <x:v>Conflicts with explicit14476 by76 mm; not approved replacement.
Calculation: 12472-(-2080)</x:v>
      </x:c>
    </x:row>
    <x:row r="449" ht="36" hidden="0" customHeight="1">
      <x:c r="A449" s="18" t="str">
        <x:v>S144</x:v>
      </x:c>
      <x:c r="B449" s="18" t="str">
        <x:v>Cốt đỉnh chân cột cung thánh
Sanctuary plinth top</x:v>
      </x:c>
      <x:c r="C449" s="18" t="str">
        <x:v>plinth_top_elevation</x:v>
      </x:c>
      <x:c r="D449" s="18" t="str">
        <x:v>Model: Y
Source: Y
finished floor → plinth top</x:v>
      </x:c>
      <x:c r="E449" s="24"/>
      <x:c r="F449" s="25" t="str"/>
      <x:c r="G449" s="22" t="n">
        <x:f>IF(OR(COUNTBLANK('Dimensions'!G370)&gt;0,COUNTBLANK('Dimensions'!G371)&gt;0,COUNTBLANK('Dimensions'!G373)&gt;0),"",'Dimensions'!G370+'Dimensions'!G371+'Dimensions'!G373)</x:f>
        <x:v>950</x:v>
      </x:c>
      <x:c r="H449" s="23" t="n">
        <x:f>IF(COUNTBLANK(G449)&gt;0,"",G449/1000)</x:f>
        <x:v>0.95</x:v>
      </x:c>
      <x:c r="I449" s="18" t="str">
        <x:v>Tính từ bản vẽ / Derived</x:v>
      </x:c>
      <x:c r="J449" s="18" t="str">
        <x:v>Tờ 5
File 7</x:v>
      </x:c>
      <x:c r="K449" s="18" t="str">
        <x:v>calculated from printed dimensions</x:v>
      </x:c>
      <x:c r="L449" s="18" t="str"/>
      <x:c r="M449" s="18" t="str">
        <x:v>Also750+200.
Calculation: 150+600+200</x:v>
      </x:c>
    </x:row>
    <x:row r="450" ht="36" hidden="0" customHeight="1">
      <x:c r="A450" s="18" t="str">
        <x:v>S145</x:v>
      </x:c>
      <x:c r="B450" s="18" t="str">
        <x:v>Đỉnh cột cung thánh
Sanctuary post top</x:v>
      </x:c>
      <x:c r="C450" s="18" t="str">
        <x:v>column_top_elevation</x:v>
      </x:c>
      <x:c r="D450" s="18" t="str">
        <x:v>Model: Y
Source: Y
finished floor → central post top</x:v>
      </x:c>
      <x:c r="E450" s="24"/>
      <x:c r="F450" s="25" t="str"/>
      <x:c r="G450" s="22" t="n">
        <x:f>IF(OR(COUNTBLANK('Dimensions'!G372)&gt;0,COUNTBLANK('Dimensions'!G374)&gt;0,COUNTBLANK('Dimensions'!G375)&gt;0),"",'Dimensions'!G372+'Dimensions'!G374+'Dimensions'!G375)</x:f>
        <x:v>9402</x:v>
      </x:c>
      <x:c r="H450" s="23" t="n">
        <x:f>IF(COUNTBLANK(G450)&gt;0,"",G450/1000)</x:f>
        <x:v>9.402</x:v>
      </x:c>
      <x:c r="I450" s="18" t="str">
        <x:v>Tính từ bản vẽ / Derived</x:v>
      </x:c>
      <x:c r="J450" s="18" t="str">
        <x:v>Tờ 5
File 7</x:v>
      </x:c>
      <x:c r="K450" s="18" t="str">
        <x:v>calculated from printed dimensions</x:v>
      </x:c>
      <x:c r="L450" s="18" t="str"/>
      <x:c r="M450" s="18" t="str">
        <x:v>Matches nave section600+8802.
Calculation: 750+200+8452</x:v>
      </x:c>
    </x:row>
    <x:row r="451" ht="48" hidden="0" customHeight="1">
      <x:c r="A451" s="18" t="str">
        <x:v>S146</x:v>
      </x:c>
      <x:c r="B451" s="18" t="str">
        <x:v>Đường tham chiếu gian bên
Sanctuary horizontal reference</x:v>
      </x:c>
      <x:c r="C451" s="18" t="str">
        <x:v>reference_elevation</x:v>
      </x:c>
      <x:c r="D451" s="18" t="str">
        <x:v>Model: Y
Source: Y
finished floor → horizontal intermediate line</x:v>
      </x:c>
      <x:c r="E451" s="24"/>
      <x:c r="F451" s="25" t="str"/>
      <x:c r="G451" s="22" t="n">
        <x:f>IF(OR(COUNTBLANK('Dimensions'!G370)&gt;0,COUNTBLANK('Dimensions'!G381)&gt;0),"",'Dimensions'!G370+'Dimensions'!G381)</x:f>
        <x:v>3101</x:v>
      </x:c>
      <x:c r="H451" s="23" t="n">
        <x:f>IF(COUNTBLANK(G451)&gt;0,"",G451/1000)</x:f>
        <x:v>3.101</x:v>
      </x:c>
      <x:c r="I451" s="18" t="str">
        <x:v>Tính từ bản vẽ / Derived</x:v>
      </x:c>
      <x:c r="J451" s="18" t="str">
        <x:v>Tờ 5
File 7</x:v>
      </x:c>
      <x:c r="K451" s="18" t="str">
        <x:v>calculated from printed dimensions</x:v>
      </x:c>
      <x:c r="L451" s="18" t="str"/>
      <x:c r="M451" s="18" t="str">
        <x:v>Left side door2554+396+150=3100 differs1 mm.
Calculation: 150+2951</x:v>
      </x:c>
    </x:row>
    <x:row r="452" ht="36" hidden="0" customHeight="1">
      <x:c r="A452" s="18" t="str">
        <x:v>S147</x:v>
      </x:c>
      <x:c r="B452" s="18" t="str">
        <x:v>Đỉnh vòm gian bên
Sanctuary side arch crown</x:v>
      </x:c>
      <x:c r="C452" s="18" t="str">
        <x:v>arch_crown_elevation</x:v>
      </x:c>
      <x:c r="D452" s="18" t="str">
        <x:v>Model: Y
Source: Y
finished floor → side arch crown</x:v>
      </x:c>
      <x:c r="E452" s="24"/>
      <x:c r="F452" s="25" t="str"/>
      <x:c r="G452" s="22" t="n">
        <x:f>IF(OR(COUNTBLANK('Dimensions'!G370)&gt;0,COUNTBLANK('Dimensions'!G381)&gt;0,COUNTBLANK('Dimensions'!G378)&gt;0),"",'Dimensions'!G370+'Dimensions'!G381+'Dimensions'!G378)</x:f>
        <x:v>7563</x:v>
      </x:c>
      <x:c r="H452" s="23" t="n">
        <x:f>IF(COUNTBLANK(G452)&gt;0,"",G452/1000)</x:f>
        <x:v>7.563</x:v>
      </x:c>
      <x:c r="I452" s="18" t="str">
        <x:v>Tính từ bản vẽ / Derived</x:v>
      </x:c>
      <x:c r="J452" s="18" t="str">
        <x:v>Tờ 5
File 7</x:v>
      </x:c>
      <x:c r="K452" s="18" t="str">
        <x:v>calculated from printed dimensions</x:v>
      </x:c>
      <x:c r="L452" s="18" t="str"/>
      <x:c r="M452" s="18" t="str">
        <x:v>One-mm uncertainty from adjacent left door2554+396 chain.
Calculation: 150+2951+4462</x:v>
      </x:c>
    </x:row>
    <x:row r="453" ht="36" hidden="0" customHeight="1">
      <x:c r="A453" s="18" t="str">
        <x:v>S148</x:v>
      </x:c>
      <x:c r="B453" s="18" t="str">
        <x:v>Tổng chuỗi cao tường ngoài
Exterior detailed cornice sum</x:v>
      </x:c>
      <x:c r="C453" s="18" t="str">
        <x:v>cornice_height_from_chain</x:v>
      </x:c>
      <x:c r="D453" s="18" t="str">
        <x:v>Model: Y
Source: Y
floor → cornice top</x:v>
      </x:c>
      <x:c r="E453" s="24"/>
      <x:c r="F453" s="25" t="str"/>
      <x:c r="G453" s="22" t="n">
        <x:f>IF(OR(COUNTBLANK('Dimensions'!G396)&gt;0,COUNTBLANK('Dimensions'!G397)&gt;0,COUNTBLANK('Dimensions'!G398)&gt;0,COUNTBLANK('Dimensions'!G399)&gt;0,COUNTBLANK('Dimensions'!G400)&gt;0,COUNTBLANK('Dimensions'!G401)&gt;0,COUNTBLANK('Dimensions'!G402)&gt;0,COUNTBLANK('Dimensions'!G403)&gt;0,COUNTBLANK('Dimensions'!G404)&gt;0,COUNTBLANK('Dimensions'!G405)&gt;0,COUNTBLANK('Dimensions'!G406)&gt;0),"",'Dimensions'!G396+'Dimensions'!G397+'Dimensions'!G398+'Dimensions'!G399+'Dimensions'!G400+'Dimensions'!G401+'Dimensions'!G402+'Dimensions'!G403+'Dimensions'!G404+'Dimensions'!G405+'Dimensions'!G406)</x:f>
        <x:v>6325</x:v>
      </x:c>
      <x:c r="H453" s="23" t="n">
        <x:f>IF(COUNTBLANK(G453)&gt;0,"",G453/1000)</x:f>
        <x:v>6.325</x:v>
      </x:c>
      <x:c r="I453" s="18" t="str">
        <x:v>Tính từ bản vẽ / Derived</x:v>
      </x:c>
      <x:c r="J453" s="18" t="str">
        <x:v>Tờ 12
File 8</x:v>
      </x:c>
      <x:c r="K453" s="18" t="str">
        <x:v>calculated from printed dimensions</x:v>
      </x:c>
      <x:c r="L453" s="18" t="str"/>
      <x:c r="M453" s="18" t="str">
        <x:v>Overall label6324; section level6325. Requires designer resolution.
Calculation: 850+2101+150+507+302+837+288+343+140+250+557</x:v>
      </x:c>
    </x:row>
    <x:row r="454" ht="36" hidden="0" customHeight="1">
      <x:c r="A454" s="18" t="str">
        <x:v>S149</x:v>
      </x:c>
      <x:c r="B454" s="18" t="str">
        <x:v>Đỉnh trang trí theo tổng cao
Finial tip from labeled total</x:v>
      </x:c>
      <x:c r="C454" s="18" t="str">
        <x:v>finial_top_elevation</x:v>
      </x:c>
      <x:c r="D454" s="18" t="str">
        <x:v>Model: Y
Source: Y
floor → finial tip</x:v>
      </x:c>
      <x:c r="E454" s="24"/>
      <x:c r="F454" s="25" t="str"/>
      <x:c r="G454" s="22" t="n">
        <x:f>IF(OR(COUNTBLANK('Dimensions'!G393)&gt;0,COUNTBLANK('Dimensions'!G394)&gt;0,COUNTBLANK('Dimensions'!G395)&gt;0),"",'Dimensions'!G393+'Dimensions'!G394+'Dimensions'!G395)</x:f>
        <x:v>8026</x:v>
      </x:c>
      <x:c r="H454" s="23" t="n">
        <x:f>IF(COUNTBLANK(G454)&gt;0,"",G454/1000)</x:f>
        <x:v>8.026</x:v>
      </x:c>
      <x:c r="I454" s="18" t="str">
        <x:v>Tính từ bản vẽ / Derived</x:v>
      </x:c>
      <x:c r="J454" s="18" t="str">
        <x:v>Tờ 12
File 8</x:v>
      </x:c>
      <x:c r="K454" s="18" t="str">
        <x:v>calculated from printed dimensions</x:v>
      </x:c>
      <x:c r="L454" s="18" t="str"/>
      <x:c r="M454" s="18" t="str">
        <x:v>If6325 cornice is used, tip becomes8027. Neither should override the source conflict.
Calculation: 6324+750+952</x:v>
      </x:c>
    </x:row>
    <x:row r="455" ht="36" hidden="0" customHeight="1">
      <x:c r="A455" s="18" t="str">
        <x:v>S150</x:v>
      </x:c>
      <x:c r="B455" s="18" t="str">
        <x:v>Đỉnh vòm cửa sổ ngoài
Exterior window inner arch crown</x:v>
      </x:c>
      <x:c r="C455" s="18" t="str">
        <x:v>arch_crown_height</x:v>
      </x:c>
      <x:c r="D455" s="18" t="str">
        <x:v>Model: Y
Source: Y
floor → inner arch crown</x:v>
      </x:c>
      <x:c r="E455" s="24"/>
      <x:c r="F455" s="25" t="str"/>
      <x:c r="G455" s="22" t="n">
        <x:f>IF(OR(COUNTBLANK('Dimensions'!G396)&gt;0,COUNTBLANK('Dimensions'!G397)&gt;0,COUNTBLANK('Dimensions'!G398)&gt;0,COUNTBLANK('Dimensions'!G399)&gt;0),"",'Dimensions'!G396+'Dimensions'!G397+'Dimensions'!G398+'Dimensions'!G399)</x:f>
        <x:v>3608</x:v>
      </x:c>
      <x:c r="H455" s="23" t="n">
        <x:f>IF(COUNTBLANK(G455)&gt;0,"",G455/1000)</x:f>
        <x:v>3.608</x:v>
      </x:c>
      <x:c r="I455" s="18" t="str">
        <x:v>Tính từ bản vẽ / Derived</x:v>
      </x:c>
      <x:c r="J455" s="18" t="str">
        <x:v>Tờ 12
File 8</x:v>
      </x:c>
      <x:c r="K455" s="18" t="str">
        <x:v>calculated from printed dimensions</x:v>
      </x:c>
      <x:c r="L455" s="18" t="str"/>
      <x:c r="M455" s="18" t="str">
        <x:v>Exterior veranda opening; not same opening geometry as interior2250-wide window.
Calculation: 850+2101+150+507</x:v>
      </x:c>
    </x:row>
    <x:row r="456" ht="36" hidden="0" customHeight="1">
      <x:c r="A456" s="18" t="str">
        <x:v>S151</x:v>
      </x:c>
      <x:c r="B456" s="18" t="str">
        <x:v>Cao đỉnh vòm cửa sổ trong
Interior window fanlight crown</x:v>
      </x:c>
      <x:c r="C456" s="18" t="str">
        <x:v>fanlight_crown_height</x:v>
      </x:c>
      <x:c r="D456" s="18" t="str">
        <x:v>Model: Y
Source: Y
floor → fanlight crown</x:v>
      </x:c>
      <x:c r="E456" s="24"/>
      <x:c r="F456" s="25" t="str"/>
      <x:c r="G456" s="22" t="n">
        <x:f>IF(OR(COUNTBLANK('Dimensions'!G410)&gt;0,COUNTBLANK('Dimensions'!G411)&gt;0,COUNTBLANK('Dimensions'!G412)&gt;0,COUNTBLANK('Dimensions'!G413)&gt;0),"",'Dimensions'!G410+'Dimensions'!G411+'Dimensions'!G412+'Dimensions'!G413)</x:f>
        <x:v>4311</x:v>
      </x:c>
      <x:c r="H456" s="23" t="n">
        <x:f>IF(COUNTBLANK(G456)&gt;0,"",G456/1000)</x:f>
        <x:v>4.311</x:v>
      </x:c>
      <x:c r="I456" s="18" t="str">
        <x:v>Tính từ bản vẽ / Derived</x:v>
      </x:c>
      <x:c r="J456" s="18" t="str">
        <x:v>Tờ 12
File 8</x:v>
      </x:c>
      <x:c r="K456" s="18" t="str">
        <x:v>calculated from printed dimensions</x:v>
      </x:c>
      <x:c r="L456" s="18" t="str"/>
      <x:c r="M456" s="18" t="str">
        <x:v>Arch curve radii are not supplied.
Calculation: 650+2301+220+1140</x:v>
      </x:c>
    </x:row>
    <x:row r="457" ht="36" hidden="0" customHeight="1">
      <x:c r="A457" s="18" t="str">
        <x:v>S152</x:v>
      </x:c>
      <x:c r="B457" s="18" t="str">
        <x:v>Cao đỉnh tường trong
Interior side wall top</x:v>
      </x:c>
      <x:c r="C457" s="18" t="str">
        <x:v>wall_top_height</x:v>
      </x:c>
      <x:c r="D457" s="18" t="str">
        <x:v>Model: Y
Source: Y
floor → wall top</x:v>
      </x:c>
      <x:c r="E457" s="24"/>
      <x:c r="F457" s="25" t="str"/>
      <x:c r="G457" s="22" t="n">
        <x:f>IF(OR(COUNTBLANK('Dimensions'!G410)&gt;0,COUNTBLANK('Dimensions'!G411)&gt;0,COUNTBLANK('Dimensions'!G412)&gt;0,COUNTBLANK('Dimensions'!G413)&gt;0,COUNTBLANK('Dimensions'!G414)&gt;0,COUNTBLANK('Dimensions'!G415)&gt;0),"",'Dimensions'!G410+'Dimensions'!G411+'Dimensions'!G412+'Dimensions'!G413+'Dimensions'!G414+'Dimensions'!G415)</x:f>
        <x:v>7057</x:v>
      </x:c>
      <x:c r="H457" s="23" t="n">
        <x:f>IF(COUNTBLANK(G457)&gt;0,"",G457/1000)</x:f>
        <x:v>7.057</x:v>
      </x:c>
      <x:c r="I457" s="18" t="str">
        <x:v>Tính từ bản vẽ / Derived</x:v>
      </x:c>
      <x:c r="J457" s="18" t="str">
        <x:v>Tờ 12
File 8</x:v>
      </x:c>
      <x:c r="K457" s="18" t="str">
        <x:v>calculated from printed dimensions</x:v>
      </x:c>
      <x:c r="L457" s="18" t="str"/>
      <x:c r="M457" s="18" t="str">
        <x:v>Top of wall in detail; do not conflate with exterior cornice6324/6325 or section roof level7130.
Calculation: 650+2301+220+1140+394+2352</x:v>
      </x:c>
    </x:row>
    <x:row r="458" ht="36" hidden="0" customHeight="1">
      <x:c r="A458" s="18" t="str">
        <x:v>S153</x:v>
      </x:c>
      <x:c r="B458" s="18" t="str">
        <x:v>Đỉnh vòm cửa đi ngoài
Exterior doorway crown</x:v>
      </x:c>
      <x:c r="C458" s="18" t="str">
        <x:v>arch_crown_height</x:v>
      </x:c>
      <x:c r="D458" s="18" t="str">
        <x:v>Model: Y
Source: Y
floor → arch crown</x:v>
      </x:c>
      <x:c r="E458" s="24"/>
      <x:c r="F458" s="25" t="str"/>
      <x:c r="G458" s="22" t="n">
        <x:f>IF(OR(COUNTBLANK('Dimensions'!G429)&gt;0,COUNTBLANK('Dimensions'!G430)&gt;0),"",'Dimensions'!G429+'Dimensions'!G430)</x:f>
        <x:v>4241</x:v>
      </x:c>
      <x:c r="H458" s="23" t="n">
        <x:f>IF(COUNTBLANK(G458)&gt;0,"",G458/1000)</x:f>
        <x:v>4.241</x:v>
      </x:c>
      <x:c r="I458" s="18" t="str">
        <x:v>Tính từ bản vẽ / Derived</x:v>
      </x:c>
      <x:c r="J458" s="18" t="str">
        <x:v>Tờ 13
File 9</x:v>
      </x:c>
      <x:c r="K458" s="18" t="str">
        <x:v>calculated from printed dimensions</x:v>
      </x:c>
      <x:c r="L458" s="18" t="str"/>
      <x:c r="M458" s="18" t="str">
        <x:v>Interior fanlight crown is4311:70 mm difference; surfaces/details must be reconciled.
Calculation: 3101+1140</x:v>
      </x:c>
    </x:row>
    <x:row r="459" ht="36" hidden="0" customHeight="1">
      <x:c r="A459" s="18" t="str">
        <x:v>S154</x:v>
      </x:c>
      <x:c r="B459" s="18" t="str">
        <x:v>Đỉnh vòm cửa đi trong
Interior doorway fanlight crown</x:v>
      </x:c>
      <x:c r="C459" s="18" t="str">
        <x:v>arch_crown_height</x:v>
      </x:c>
      <x:c r="D459" s="18" t="str">
        <x:v>Model: Y
Source: Y
floor → fanlight crown</x:v>
      </x:c>
      <x:c r="E459" s="24"/>
      <x:c r="F459" s="25" t="str"/>
      <x:c r="G459" s="22" t="n">
        <x:f>IF(OR(COUNTBLANK('Dimensions'!G435)&gt;0,COUNTBLANK('Dimensions'!G436)&gt;0,COUNTBLANK('Dimensions'!G437)&gt;0),"",'Dimensions'!G435+'Dimensions'!G436+'Dimensions'!G437)</x:f>
        <x:v>4311</x:v>
      </x:c>
      <x:c r="H459" s="23" t="n">
        <x:f>IF(COUNTBLANK(G459)&gt;0,"",G459/1000)</x:f>
        <x:v>4.311</x:v>
      </x:c>
      <x:c r="I459" s="18" t="str">
        <x:v>Tính từ bản vẽ / Derived</x:v>
      </x:c>
      <x:c r="J459" s="18" t="str">
        <x:v>Tờ 13
File 9</x:v>
      </x:c>
      <x:c r="K459" s="18" t="str">
        <x:v>calculated from printed dimensions</x:v>
      </x:c>
      <x:c r="L459" s="18" t="str"/>
      <x:c r="M459" s="18" t="str">
        <x:v>Exterior arch crown is4241. Retain the separate source dimensions.
Calculation: 2951+220+1140</x:v>
      </x:c>
    </x:row>
    <x:row r="460" ht="36" hidden="0" customHeight="1">
      <x:c r="A460" s="18" t="str">
        <x:v>S155</x:v>
      </x:c>
      <x:c r="B460" s="18" t="str">
        <x:v>Đỉnh tường trong cửa đi
Interior doorway wall top</x:v>
      </x:c>
      <x:c r="C460" s="18" t="str">
        <x:v>wall_top_height</x:v>
      </x:c>
      <x:c r="D460" s="18" t="str">
        <x:v>Model: Y
Source: Y
floor → wall top</x:v>
      </x:c>
      <x:c r="E460" s="24"/>
      <x:c r="F460" s="25" t="str"/>
      <x:c r="G460" s="22" t="n">
        <x:f>IF(OR(COUNTBLANK('Dimensions'!G435)&gt;0,COUNTBLANK('Dimensions'!G436)&gt;0,COUNTBLANK('Dimensions'!G437)&gt;0,COUNTBLANK('Dimensions'!G438)&gt;0,COUNTBLANK('Dimensions'!G439)&gt;0),"",'Dimensions'!G435+'Dimensions'!G436+'Dimensions'!G437+'Dimensions'!G438+'Dimensions'!G439)</x:f>
        <x:v>7057</x:v>
      </x:c>
      <x:c r="H460" s="23" t="n">
        <x:f>IF(COUNTBLANK(G460)&gt;0,"",G460/1000)</x:f>
        <x:v>7.057</x:v>
      </x:c>
      <x:c r="I460" s="18" t="str">
        <x:v>Tính từ bản vẽ / Derived</x:v>
      </x:c>
      <x:c r="J460" s="18" t="str">
        <x:v>Tờ 13
File 9</x:v>
      </x:c>
      <x:c r="K460" s="18" t="str">
        <x:v>calculated from printed dimensions</x:v>
      </x:c>
      <x:c r="L460" s="18" t="str"/>
      <x:c r="M460" s="18" t="str">
        <x:v>Agrees with the window interior detail sum.
Calculation: 2951+220+1140+394+2352</x:v>
      </x:c>
    </x:row>
    <x:row r="461" ht="36" hidden="0" customHeight="1">
      <x:c r="A461" s="18" t="str">
        <x:v>S156</x:v>
      </x:c>
      <x:c r="B461" s="18" t="str">
        <x:v>Cần xác nhận thiết kế
Designer clarification required</x:v>
      </x:c>
      <x:c r="C461" s="18" t="str">
        <x:v>RFI-S01</x:v>
      </x:c>
      <x:c r="D461" s="18" t="str">
        <x:v>source drawing → designer confirmation</x:v>
      </x:c>
      <x:c r="E461" s="24"/>
      <x:c r="F461" s="25" t="str">
        <x:v>mm</x:v>
      </x:c>
      <x:c r="G461" s="22"/>
      <x:c r="H461" s="23" t="str">
        <x:f>IF(COUNTBLANK(G461)&gt;0,"",G461/1000)</x:f>
      </x:c>
      <x:c r="I461" s="18" t="str">
        <x:v>Cần xác nhận / Unresolved</x:v>
      </x:c>
      <x:c r="J461" s="18" t="str">
        <x:v>Tờ 4
File 6</x:v>
      </x:c>
      <x:c r="K461" s="18" t="str">
        <x:v>see RFI register</x:v>
      </x:c>
      <x:c r="L461" s="18" t="str"/>
      <x:c r="M461" s="18" t="str">
        <x:v>76 mm section height conflict: Both section sheets label ridge +12.472 m and courtyard −2.08 m, giving14552 mm; overall dimension14476 mm differs76 mm. Obtain corrected level/overall dimension from designer.</x:v>
      </x:c>
    </x:row>
    <x:row r="462" ht="24" hidden="0" customHeight="1">
      <x:c r="A462" s="18" t="str">
        <x:v>S157</x:v>
      </x:c>
      <x:c r="B462" s="18" t="str">
        <x:v>Cần xác nhận thiết kế
Designer clarification required</x:v>
      </x:c>
      <x:c r="C462" s="18" t="str">
        <x:v>RFI-S02</x:v>
      </x:c>
      <x:c r="D462" s="18" t="str">
        <x:v>source drawing → designer confirmation</x:v>
      </x:c>
      <x:c r="E462" s="24"/>
      <x:c r="F462" s="25" t="str">
        <x:v>mm</x:v>
      </x:c>
      <x:c r="G462" s="22"/>
      <x:c r="H462" s="23" t="str">
        <x:f>IF(COUNTBLANK(G462)&gt;0,"",G462/1000)</x:f>
      </x:c>
      <x:c r="I462" s="18" t="str">
        <x:v>Cần xác nhận / Unresolved</x:v>
      </x:c>
      <x:c r="J462" s="18" t="str">
        <x:v>Tờ 4
File 6</x:v>
      </x:c>
      <x:c r="K462" s="18" t="str">
        <x:v>see RFI register</x:v>
      </x:c>
      <x:c r="L462" s="18" t="str"/>
      <x:c r="M462" s="18" t="str">
        <x:v>1 mm exterior cornice conflict: Section +6.325 m and exterior detail chain6325 mm conflict with overall6324 mm on printed sheets12/13.</x:v>
      </x:c>
    </x:row>
    <x:row r="463" ht="24" hidden="0" customHeight="1">
      <x:c r="A463" s="18" t="str">
        <x:v>S158</x:v>
      </x:c>
      <x:c r="B463" s="18" t="str">
        <x:v>Cần xác nhận thiết kế
Designer clarification required</x:v>
      </x:c>
      <x:c r="C463" s="18" t="str">
        <x:v>RFI-S03</x:v>
      </x:c>
      <x:c r="D463" s="18" t="str">
        <x:v>source drawing → designer confirmation</x:v>
      </x:c>
      <x:c r="E463" s="24"/>
      <x:c r="F463" s="25" t="str">
        <x:v>mm</x:v>
      </x:c>
      <x:c r="G463" s="22"/>
      <x:c r="H463" s="23" t="str">
        <x:f>IF(COUNTBLANK(G463)&gt;0,"",G463/1000)</x:f>
      </x:c>
      <x:c r="I463" s="18" t="str">
        <x:v>Cần xác nhận / Unresolved</x:v>
      </x:c>
      <x:c r="J463" s="18" t="str">
        <x:v>Tờ 4
File 6</x:v>
      </x:c>
      <x:c r="K463" s="18" t="str">
        <x:v>see RFI register</x:v>
      </x:c>
      <x:c r="L463" s="18" t="str"/>
      <x:c r="M463" s="18" t="str">
        <x:v>1 mm sanctuary doorway chain conflict: Printed2554+396=2950 mm, while aligned right-side dimension is2951 mm. Verify reference surfaces/tolerance.</x:v>
      </x:c>
    </x:row>
    <x:row r="464" ht="36" hidden="0" customHeight="1">
      <x:c r="A464" s="18" t="str">
        <x:v>S159</x:v>
      </x:c>
      <x:c r="B464" s="18" t="str">
        <x:v>Cần xác nhận thiết kế
Designer clarification required</x:v>
      </x:c>
      <x:c r="C464" s="18" t="str">
        <x:v>RFI-S04</x:v>
      </x:c>
      <x:c r="D464" s="18" t="str">
        <x:v>source drawing → designer confirmation</x:v>
      </x:c>
      <x:c r="E464" s="24"/>
      <x:c r="F464" s="25" t="str">
        <x:v>mm</x:v>
      </x:c>
      <x:c r="G464" s="22"/>
      <x:c r="H464" s="23" t="str">
        <x:f>IF(COUNTBLANK(G464)&gt;0,"",G464/1000)</x:f>
      </x:c>
      <x:c r="I464" s="18" t="str">
        <x:v>Cần xác nhận / Unresolved</x:v>
      </x:c>
      <x:c r="J464" s="18" t="str">
        <x:v>Tờ 4
File 6</x:v>
      </x:c>
      <x:c r="K464" s="18" t="str">
        <x:v>see RFI register</x:v>
      </x:c>
      <x:c r="L464" s="18" t="str"/>
      <x:c r="M464" s="18" t="str">
        <x:v>Interior/exterior door head relationship: Exterior doorway springline3101+rise1140 gives4241 mm; interior doorway2951+band220+rise1140 gives4311 mm. Clarify70 mm offset and wall locations before modeling a shared opening.</x:v>
      </x:c>
    </x:row>
    <x:row r="465" ht="48" hidden="0" customHeight="1">
      <x:c r="A465" s="18" t="str">
        <x:v>S160</x:v>
      </x:c>
      <x:c r="B465" s="18" t="str">
        <x:v>Cần xác nhận thiết kế
Designer clarification required</x:v>
      </x:c>
      <x:c r="C465" s="18" t="str">
        <x:v>RFI-S05</x:v>
      </x:c>
      <x:c r="D465" s="18" t="str">
        <x:v>source drawing → designer confirmation</x:v>
      </x:c>
      <x:c r="E465" s="24"/>
      <x:c r="F465" s="25" t="str">
        <x:v>mm</x:v>
      </x:c>
      <x:c r="G465" s="22"/>
      <x:c r="H465" s="23" t="str">
        <x:f>IF(COUNTBLANK(G465)&gt;0,"",G465/1000)</x:f>
      </x:c>
      <x:c r="I465" s="18" t="str">
        <x:v>Cần xác nhận / Unresolved</x:v>
      </x:c>
      <x:c r="J465" s="18" t="str">
        <x:v>Tờ 4
File 6</x:v>
      </x:c>
      <x:c r="K465" s="18" t="str">
        <x:v>see RFI register</x:v>
      </x:c>
      <x:c r="L465" s="18" t="str"/>
      <x:c r="M465" s="18" t="str">
        <x:v>Roof pitch, member sections and overhang: Roof form and material notes are supplied, but no pitch angle, purlin spacing/section, truss joints, tile thickness, roof overhang dimensions, or complete support contact elevations are given in these four sheets. Need roof framing/details or CAD geometry.</x:v>
      </x:c>
    </x:row>
    <x:row r="466" ht="48" hidden="0" customHeight="1">
      <x:c r="A466" s="18" t="str">
        <x:v>S161</x:v>
      </x:c>
      <x:c r="B466" s="18" t="str">
        <x:v>Cần xác nhận thiết kế
Designer clarification required</x:v>
      </x:c>
      <x:c r="C466" s="18" t="str">
        <x:v>RFI-S06</x:v>
      </x:c>
      <x:c r="D466" s="18" t="str">
        <x:v>source drawing → designer confirmation</x:v>
      </x:c>
      <x:c r="E466" s="24"/>
      <x:c r="F466" s="25" t="str">
        <x:v>mm</x:v>
      </x:c>
      <x:c r="G466" s="22"/>
      <x:c r="H466" s="23" t="str">
        <x:f>IF(COUNTBLANK(G466)&gt;0,"",G466/1000)</x:f>
      </x:c>
      <x:c r="I466" s="18" t="str">
        <x:v>Cần xác nhận / Unresolved</x:v>
      </x:c>
      <x:c r="J466" s="18" t="str">
        <x:v>Tờ 4
File 6</x:v>
      </x:c>
      <x:c r="K466" s="18" t="str">
        <x:v>see RFI register</x:v>
      </x:c>
      <x:c r="L466" s="18" t="str"/>
      <x:c r="M466" s="18" t="str">
        <x:v>Arches, rosette and ornament surfaces: 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x:v>
      </x:c>
    </x:row>
    <x:row r="467" ht="36" hidden="0" customHeight="1">
      <x:c r="A467" s="18" t="str">
        <x:v>S162</x:v>
      </x:c>
      <x:c r="B467" s="18" t="str">
        <x:v>Cần xác nhận thiết kế
Designer clarification required</x:v>
      </x:c>
      <x:c r="C467" s="18" t="str">
        <x:v>RFI-S07</x:v>
      </x:c>
      <x:c r="D467" s="18" t="str">
        <x:v>source drawing → designer confirmation</x:v>
      </x:c>
      <x:c r="E467" s="24"/>
      <x:c r="F467" s="25" t="str">
        <x:v>mm</x:v>
      </x:c>
      <x:c r="G467" s="22"/>
      <x:c r="H467" s="23" t="str">
        <x:f>IF(COUNTBLANK(G467)&gt;0,"",G467/1000)</x:f>
      </x:c>
      <x:c r="I467" s="18" t="str">
        <x:v>Cần xác nhận / Unresolved</x:v>
      </x:c>
      <x:c r="J467" s="18" t="str">
        <x:v>Tờ 4
File 6</x:v>
      </x:c>
      <x:c r="K467" s="18" t="str">
        <x:v>see RFI register</x:v>
      </x:c>
      <x:c r="L467" s="18" t="str"/>
      <x:c r="M467" s="18" t="str">
        <x:v>Column and foundation engineering details: Shown foundation offsets are not column shaft sizes; exact post cross-sections, taper, footing depth, concrete grades and reinforcing details are absent from these architectural sections.</x:v>
      </x:c>
    </x:row>
    <x:row r="468" ht="36" hidden="0" customHeight="1">
      <x:c r="A468" s="18" t="str">
        <x:v>S163</x:v>
      </x:c>
      <x:c r="B468" s="18" t="str">
        <x:v>Cần xác nhận thiết kế
Designer clarification required</x:v>
      </x:c>
      <x:c r="C468" s="18" t="str">
        <x:v>RFI-S08</x:v>
      </x:c>
      <x:c r="D468" s="18" t="str">
        <x:v>source drawing → designer confirmation</x:v>
      </x:c>
      <x:c r="E468" s="24"/>
      <x:c r="F468" s="25" t="str">
        <x:v>mm</x:v>
      </x:c>
      <x:c r="G468" s="22"/>
      <x:c r="H468" s="23" t="str">
        <x:f>IF(COUNTBLANK(G468)&gt;0,"",G468/1000)</x:f>
      </x:c>
      <x:c r="I468" s="18" t="str">
        <x:v>Cần xác nhận / Unresolved</x:v>
      </x:c>
      <x:c r="J468" s="18" t="str">
        <x:v>Tờ 4
File 6</x:v>
      </x:c>
      <x:c r="K468" s="18" t="str">
        <x:v>see RFI register</x:v>
      </x:c>
      <x:c r="L468" s="18" t="str"/>
      <x:c r="M468" s="18" t="str">
        <x:v>Floor and finish thicknesses: Concrete floor slab8 cm, veranda roof RC13 cm and material descriptions exist, but natural-stone thickness, sand-fill depth, waterproofing, roof-tile thickness and finish buildup are unspecified.</x:v>
      </x:c>
    </x:row>
    <x:row r="469" ht="60" hidden="0" customHeight="1">
      <x:c r="A469" s="18" t="str">
        <x:v>S164</x:v>
      </x:c>
      <x:c r="B469" s="18" t="str">
        <x:v>Cần xác nhận thiết kế
Designer clarification required</x:v>
      </x:c>
      <x:c r="C469" s="18" t="str">
        <x:v>RFI-S09</x:v>
      </x:c>
      <x:c r="D469" s="18" t="str">
        <x:v>source drawing → designer confirmation</x:v>
      </x:c>
      <x:c r="E469" s="24"/>
      <x:c r="F469" s="25" t="str">
        <x:v>mm</x:v>
      </x:c>
      <x:c r="G469" s="22"/>
      <x:c r="H469" s="23" t="str">
        <x:f>IF(COUNTBLANK(G469)&gt;0,"",G469/1000)</x:f>
      </x:c>
      <x:c r="I469" s="18" t="str">
        <x:v>Cần xác nhận / Unresolved</x:v>
      </x:c>
      <x:c r="J469" s="18" t="str">
        <x:v>Tờ 4
File 6</x:v>
      </x:c>
      <x:c r="K469" s="18" t="str">
        <x:v>see RFI register</x:v>
      </x:c>
      <x:c r="L469" s="18" t="str"/>
      <x:c r="M469" s="18" t="str">
        <x:v>Sanctuary steps and altar furniture: Dais elevations are supplied; stair width/run/treads, altar dimensions/location, liturgical furniture and detailed handrails are not dimensioned in these four sheets.
Cross-reference: Ground plan contains selected stage offsets and a1900×870 unlabeled feature in P111–P127. Exact furniture identity, all step details and handrails remain unspecified.</x:v>
      </x:c>
    </x:row>
    <x:row r="470" ht="36" hidden="0" customHeight="1">
      <x:c r="A470" s="18" t="str">
        <x:v>S165</x:v>
      </x:c>
      <x:c r="B470" s="18" t="str">
        <x:v>Cần xác nhận thiết kế
Designer clarification required</x:v>
      </x:c>
      <x:c r="C470" s="18" t="str">
        <x:v>RFI-S10</x:v>
      </x:c>
      <x:c r="D470" s="18" t="str">
        <x:v>source drawing → designer confirmation</x:v>
      </x:c>
      <x:c r="E470" s="24"/>
      <x:c r="F470" s="25" t="str">
        <x:v>mm</x:v>
      </x:c>
      <x:c r="G470" s="22"/>
      <x:c r="H470" s="23" t="str">
        <x:f>IF(COUNTBLANK(G470)&gt;0,"",G470/1000)</x:f>
      </x:c>
      <x:c r="I470" s="18" t="str">
        <x:v>Cần xác nhận / Unresolved</x:v>
      </x:c>
      <x:c r="J470" s="18" t="str">
        <x:v>Tờ 4
File 6</x:v>
      </x:c>
      <x:c r="K470" s="18" t="str">
        <x:v>see RFI register</x:v>
      </x:c>
      <x:c r="L470" s="18" t="str"/>
      <x:c r="M470" s="18" t="str">
        <x:v>Interior versus exterior window identity: Printed sheet12 exterior is a pair of1000-wide openings with850 sill; interior is one2250-wide opening with650 sill. They correspond to different wall/arcade planes. Do not fuse them into one window without plan confirmation.</x:v>
      </x:c>
    </x:row>
  </x:sheetData>
  <x:conditionalFormatting sqref="I8:I470">
    <x:cfRule type="containsText" dxfId="0" priority="1" operator="containsText" text="Unresolved"/>
  </x:conditionalFormatting>
  <x:pageMargins left="0.7" right="0.7" top="0.75" bottom="0.75" header="0.3" footer="0.3"/>
  <x:tableParts count="1">
    <x:tablePart xmlns:r="http://schemas.openxmlformats.org/officeDocument/2006/relationships" r:id="R03731c1c676b4f82"/>
  </x:tableParts>
</x:worksheet>
</file>

<file path=xl/worksheets/sheet2.xml><?xml version="1.0" encoding="utf-8"?>
<x:worksheet xmlns:x="http://schemas.openxmlformats.org/spreadsheetml/2006/main">
  <x:sheetPr>
    <x:tabColor rgb="FF176E72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2" hidden="0" customWidth="1"/>
    <x:col min="2" max="2" width="40" hidden="0" customWidth="1"/>
    <x:col min="3" max="3" width="18" hidden="0" customWidth="1"/>
    <x:col min="4" max="4" width="18" hidden="0" customWidth="1"/>
    <x:col min="5" max="5" width="18" hidden="0" customWidth="1"/>
    <x:col min="6" max="6" width="28" hidden="0" customWidth="1"/>
    <x:col min="7" max="7" width="31" hidden="0" customWidth="1"/>
    <x:col min="8" max="8" width="74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3" t="str">
        <x:v>TỌA ĐỘ MÔ HÌNH / MODEL COORDINATES</x:v>
      </x:c>
      <x:c r="B2" s="2"/>
      <x:c r="C2" s="2"/>
      <x:c r="D2" s="2"/>
      <x:c r="E2" s="2"/>
      <x:c r="F2" s="2"/>
      <x:c r="G2" s="2"/>
      <x:c r="H2" s="2"/>
    </x:row>
    <x:row r="3" ht="25" customHeight="1">
      <x:c r="A3" s="4"/>
      <x:c r="B3" s="4"/>
      <x:c r="C3" s="4"/>
      <x:c r="D3" s="4"/>
      <x:c r="E3" s="4"/>
      <x:c r="F3" s="4"/>
      <x:c r="G3" s="4"/>
      <x:c r="H3" s="4"/>
    </x:row>
    <x:row r="4" ht="25" customHeight="1">
      <x:c r="A4" s="5" t="str">
        <x:v>X=0 tại trục 1. Y=0 tại sàn gian chính. Z=0 tại trung điểm D–E; Z dương về H/I.</x:v>
      </x:c>
      <x:c r="B4" s="2"/>
      <x:c r="C4" s="2"/>
      <x:c r="D4" s="2"/>
      <x:c r="E4" s="2"/>
      <x:c r="F4" s="2"/>
      <x:c r="G4" s="2"/>
      <x:c r="H4" s="2"/>
    </x:row>
    <x:row r="5" ht="25" customHeight="1">
      <x:c r="A5" s="2"/>
      <x:c r="B5" s="2"/>
      <x:c r="C5" s="2"/>
      <x:c r="D5" s="2"/>
      <x:c r="E5" s="2"/>
      <x:c r="F5" s="2"/>
      <x:c r="G5" s="2"/>
      <x:c r="H5" s="2"/>
    </x:row>
    <x:row r="6" ht="25" customHeight="1">
      <x:c r="A6" s="2"/>
      <x:c r="B6" s="2"/>
      <x:c r="C6" s="2"/>
      <x:c r="D6" s="2"/>
      <x:c r="E6" s="2"/>
      <x:c r="F6" s="2"/>
      <x:c r="G6" s="2"/>
      <x:c r="H6" s="2"/>
    </x:row>
    <x:row r="7" ht="38" customHeight="1">
      <x:c r="A7" s="14" t="str">
        <x:v>Trục 3D / Axis</x:v>
      </x:c>
      <x:c r="B7" s="15" t="str">
        <x:v>Trục hoặc cao độ / Grid or level</x:v>
      </x:c>
      <x:c r="C7" s="15" t="str">
        <x:v>Bước trục (mm)</x:v>
      </x:c>
      <x:c r="D7" s="15" t="str">
        <x:v>Tọa độ (mm)</x:v>
      </x:c>
      <x:c r="E7" s="15" t="str">
        <x:v>Tọa độ (m)</x:v>
      </x:c>
      <x:c r="F7" s="15" t="str">
        <x:v>Mã nguồn / Source ID</x:v>
      </x:c>
      <x:c r="G7" s="15" t="str">
        <x:v>Cơ sở / Basis</x:v>
      </x:c>
      <x:c r="H7" s="16" t="str">
        <x:v>Ghi chú / Notes</x:v>
      </x:c>
    </x:row>
    <x:row r="8" ht="15" hidden="0" customHeight="1">
      <x:c r="A8" s="18" t="str">
        <x:v>X</x:v>
      </x:c>
      <x:c r="B8" s="18" t="str">
        <x:v>1</x:v>
      </x:c>
      <x:c r="C8" s="22"/>
      <x:c r="D8" s="22" t="n">
        <x:f>IF(OR(COUNTBLANK('Dimensions'!G135)&gt;0),"",'Dimensions'!G135)</x:f>
        <x:v>0</x:v>
      </x:c>
      <x:c r="E8" s="23" t="n">
        <x:f>IF(COUNTBLANK(D8)&gt;0,"",D8/1000)</x:f>
        <x:v>0</x:v>
      </x:c>
      <x:c r="F8" s="18" t="str">
        <x:v>P128</x:v>
      </x:c>
      <x:c r="G8" s="18" t="str">
        <x:v>Model coordinate origin</x:v>
      </x:c>
      <x:c r="H8" s="18" t="str">
        <x:v>X=0 tại trục 1. Y=0 tại sàn gian chính. Z=0 tại trung điểm D–E; Z dương về H/I.</x:v>
      </x:c>
    </x:row>
    <x:row r="9" ht="15" hidden="0" customHeight="1">
      <x:c r="A9" s="18" t="str">
        <x:v>X</x:v>
      </x:c>
      <x:c r="B9" s="18" t="str">
        <x:v>2</x:v>
      </x:c>
      <x:c r="C9" s="22" t="n">
        <x:f>IF(OR(COUNTBLANK('Dimensions'!G8)&gt;0),"",'Dimensions'!G8)</x:f>
        <x:v>4900</x:v>
      </x:c>
      <x:c r="D9" s="22" t="n">
        <x:f>IF(OR(COUNTBLANK('Dimensions'!G136)&gt;0),"",'Dimensions'!G136)</x:f>
        <x:v>4900</x:v>
      </x:c>
      <x:c r="E9" s="23" t="n">
        <x:f>IF(COUNTBLANK(D9)&gt;0,"",D9/1000)</x:f>
        <x:v>4.9</x:v>
      </x:c>
      <x:c r="F9" s="18" t="str">
        <x:v>P001, P129</x:v>
      </x:c>
      <x:c r="G9" s="18" t="str">
        <x:v>Cumulative plan grid</x:v>
      </x:c>
      <x:c r="H9" s="18" t="str">
        <x:v>Tâm trục / Grid centerline</x:v>
      </x:c>
    </x:row>
    <x:row r="10" ht="15" hidden="0" customHeight="1">
      <x:c r="A10" s="18" t="str">
        <x:v>X</x:v>
      </x:c>
      <x:c r="B10" s="18" t="str">
        <x:v>2′</x:v>
      </x:c>
      <x:c r="C10" s="22" t="n">
        <x:f>IF(OR(COUNTBLANK('Dimensions'!G9)&gt;0),"",'Dimensions'!G9)</x:f>
        <x:v>575</x:v>
      </x:c>
      <x:c r="D10" s="22" t="n">
        <x:f>IF(OR(COUNTBLANK('Dimensions'!G137)&gt;0),"",'Dimensions'!G137)</x:f>
        <x:v>5475</x:v>
      </x:c>
      <x:c r="E10" s="23" t="n">
        <x:f>IF(COUNTBLANK(D10)&gt;0,"",D10/1000)</x:f>
        <x:v>5.475</x:v>
      </x:c>
      <x:c r="F10" s="18" t="str">
        <x:v>P002, P130</x:v>
      </x:c>
      <x:c r="G10" s="18" t="str">
        <x:v>Cumulative plan grid</x:v>
      </x:c>
      <x:c r="H10" s="18" t="str">
        <x:v>Tâm trục / Grid centerline</x:v>
      </x:c>
    </x:row>
    <x:row r="11" ht="15" hidden="0" customHeight="1">
      <x:c r="A11" s="18" t="str">
        <x:v>X</x:v>
      </x:c>
      <x:c r="B11" s="18" t="str">
        <x:v>3</x:v>
      </x:c>
      <x:c r="C11" s="22" t="n">
        <x:f>IF(OR(COUNTBLANK('Dimensions'!G10)&gt;0),"",'Dimensions'!G10)</x:f>
        <x:v>4500</x:v>
      </x:c>
      <x:c r="D11" s="22" t="n">
        <x:f>IF(OR(COUNTBLANK('Dimensions'!G138)&gt;0),"",'Dimensions'!G138)</x:f>
        <x:v>9975</x:v>
      </x:c>
      <x:c r="E11" s="23" t="n">
        <x:f>IF(COUNTBLANK(D11)&gt;0,"",D11/1000)</x:f>
        <x:v>9.975</x:v>
      </x:c>
      <x:c r="F11" s="18" t="str">
        <x:v>P003, P131</x:v>
      </x:c>
      <x:c r="G11" s="18" t="str">
        <x:v>Cumulative plan grid</x:v>
      </x:c>
      <x:c r="H11" s="18" t="str">
        <x:v>Tâm trục / Grid centerline</x:v>
      </x:c>
    </x:row>
    <x:row r="12" ht="15" hidden="0" customHeight="1">
      <x:c r="A12" s="18" t="str">
        <x:v>X</x:v>
      </x:c>
      <x:c r="B12" s="18" t="str">
        <x:v>4</x:v>
      </x:c>
      <x:c r="C12" s="22" t="n">
        <x:f>IF(OR(COUNTBLANK('Dimensions'!G11)&gt;0),"",'Dimensions'!G11)</x:f>
        <x:v>4500</x:v>
      </x:c>
      <x:c r="D12" s="22" t="n">
        <x:f>IF(OR(COUNTBLANK('Dimensions'!G139)&gt;0),"",'Dimensions'!G139)</x:f>
        <x:v>14475</x:v>
      </x:c>
      <x:c r="E12" s="23" t="n">
        <x:f>IF(COUNTBLANK(D12)&gt;0,"",D12/1000)</x:f>
        <x:v>14.475</x:v>
      </x:c>
      <x:c r="F12" s="18" t="str">
        <x:v>P004, P132</x:v>
      </x:c>
      <x:c r="G12" s="18" t="str">
        <x:v>Cumulative plan grid</x:v>
      </x:c>
      <x:c r="H12" s="18" t="str">
        <x:v>Tâm trục / Grid centerline</x:v>
      </x:c>
    </x:row>
    <x:row r="13" ht="15" hidden="0" customHeight="1">
      <x:c r="A13" s="18" t="str">
        <x:v>X</x:v>
      </x:c>
      <x:c r="B13" s="18" t="str">
        <x:v>5</x:v>
      </x:c>
      <x:c r="C13" s="22" t="n">
        <x:f>IF(OR(COUNTBLANK('Dimensions'!G12)&gt;0),"",'Dimensions'!G12)</x:f>
        <x:v>4500</x:v>
      </x:c>
      <x:c r="D13" s="22" t="n">
        <x:f>IF(OR(COUNTBLANK('Dimensions'!G140)&gt;0),"",'Dimensions'!G140)</x:f>
        <x:v>18975</x:v>
      </x:c>
      <x:c r="E13" s="23" t="n">
        <x:f>IF(COUNTBLANK(D13)&gt;0,"",D13/1000)</x:f>
        <x:v>18.975</x:v>
      </x:c>
      <x:c r="F13" s="18" t="str">
        <x:v>P005, P133</x:v>
      </x:c>
      <x:c r="G13" s="18" t="str">
        <x:v>Cumulative plan grid</x:v>
      </x:c>
      <x:c r="H13" s="18" t="str">
        <x:v>Tâm trục / Grid centerline</x:v>
      </x:c>
    </x:row>
    <x:row r="14" ht="15" hidden="0" customHeight="1">
      <x:c r="A14" s="18" t="str">
        <x:v>X</x:v>
      </x:c>
      <x:c r="B14" s="18" t="str">
        <x:v>6</x:v>
      </x:c>
      <x:c r="C14" s="22" t="n">
        <x:f>IF(OR(COUNTBLANK('Dimensions'!G13)&gt;0),"",'Dimensions'!G13)</x:f>
        <x:v>4500</x:v>
      </x:c>
      <x:c r="D14" s="22" t="n">
        <x:f>IF(OR(COUNTBLANK('Dimensions'!G141)&gt;0),"",'Dimensions'!G141)</x:f>
        <x:v>23475</x:v>
      </x:c>
      <x:c r="E14" s="23" t="n">
        <x:f>IF(COUNTBLANK(D14)&gt;0,"",D14/1000)</x:f>
        <x:v>23.475</x:v>
      </x:c>
      <x:c r="F14" s="18" t="str">
        <x:v>P006, P134</x:v>
      </x:c>
      <x:c r="G14" s="18" t="str">
        <x:v>Cumulative plan grid</x:v>
      </x:c>
      <x:c r="H14" s="18" t="str">
        <x:v>Tâm trục / Grid centerline</x:v>
      </x:c>
    </x:row>
    <x:row r="15" ht="15" hidden="0" customHeight="1">
      <x:c r="A15" s="18" t="str">
        <x:v>X</x:v>
      </x:c>
      <x:c r="B15" s="18" t="str">
        <x:v>7</x:v>
      </x:c>
      <x:c r="C15" s="22" t="n">
        <x:f>IF(OR(COUNTBLANK('Dimensions'!G14)&gt;0),"",'Dimensions'!G14)</x:f>
        <x:v>4500</x:v>
      </x:c>
      <x:c r="D15" s="22" t="n">
        <x:f>IF(OR(COUNTBLANK('Dimensions'!G142)&gt;0),"",'Dimensions'!G142)</x:f>
        <x:v>27975</x:v>
      </x:c>
      <x:c r="E15" s="23" t="n">
        <x:f>IF(COUNTBLANK(D15)&gt;0,"",D15/1000)</x:f>
        <x:v>27.975</x:v>
      </x:c>
      <x:c r="F15" s="18" t="str">
        <x:v>P007, P135</x:v>
      </x:c>
      <x:c r="G15" s="18" t="str">
        <x:v>Cumulative plan grid</x:v>
      </x:c>
      <x:c r="H15" s="18" t="str">
        <x:v>Tâm trục / Grid centerline</x:v>
      </x:c>
    </x:row>
    <x:row r="16" ht="15" hidden="0" customHeight="1">
      <x:c r="A16" s="18" t="str">
        <x:v>X</x:v>
      </x:c>
      <x:c r="B16" s="18" t="str">
        <x:v>8</x:v>
      </x:c>
      <x:c r="C16" s="22" t="n">
        <x:f>IF(OR(COUNTBLANK('Dimensions'!G15)&gt;0),"",'Dimensions'!G15)</x:f>
        <x:v>4500</x:v>
      </x:c>
      <x:c r="D16" s="22" t="n">
        <x:f>IF(OR(COUNTBLANK('Dimensions'!G143)&gt;0),"",'Dimensions'!G143)</x:f>
        <x:v>32475</x:v>
      </x:c>
      <x:c r="E16" s="23" t="n">
        <x:f>IF(COUNTBLANK(D16)&gt;0,"",D16/1000)</x:f>
        <x:v>32.475</x:v>
      </x:c>
      <x:c r="F16" s="18" t="str">
        <x:v>P008, P136</x:v>
      </x:c>
      <x:c r="G16" s="18" t="str">
        <x:v>Cumulative plan grid</x:v>
      </x:c>
      <x:c r="H16" s="18" t="str">
        <x:v>Tâm trục / Grid centerline</x:v>
      </x:c>
    </x:row>
    <x:row r="17" ht="15" hidden="0" customHeight="1">
      <x:c r="A17" s="18" t="str">
        <x:v>X</x:v>
      </x:c>
      <x:c r="B17" s="18" t="str">
        <x:v>9</x:v>
      </x:c>
      <x:c r="C17" s="22" t="n">
        <x:f>IF(OR(COUNTBLANK('Dimensions'!G16)&gt;0),"",'Dimensions'!G16)</x:f>
        <x:v>4500</x:v>
      </x:c>
      <x:c r="D17" s="22" t="n">
        <x:f>IF(OR(COUNTBLANK('Dimensions'!G144)&gt;0),"",'Dimensions'!G144)</x:f>
        <x:v>36975</x:v>
      </x:c>
      <x:c r="E17" s="23" t="n">
        <x:f>IF(COUNTBLANK(D17)&gt;0,"",D17/1000)</x:f>
        <x:v>36.975</x:v>
      </x:c>
      <x:c r="F17" s="18" t="str">
        <x:v>P009, P137</x:v>
      </x:c>
      <x:c r="G17" s="18" t="str">
        <x:v>Cumulative plan grid</x:v>
      </x:c>
      <x:c r="H17" s="18" t="str">
        <x:v>Tâm trục / Grid centerline</x:v>
      </x:c>
    </x:row>
    <x:row r="18" ht="15" hidden="0" customHeight="1">
      <x:c r="A18" s="18" t="str">
        <x:v>X</x:v>
      </x:c>
      <x:c r="B18" s="18" t="str">
        <x:v>10</x:v>
      </x:c>
      <x:c r="C18" s="22" t="n">
        <x:f>IF(OR(COUNTBLANK('Dimensions'!G17)&gt;0),"",'Dimensions'!G17)</x:f>
        <x:v>7200</x:v>
      </x:c>
      <x:c r="D18" s="22" t="n">
        <x:f>IF(OR(COUNTBLANK('Dimensions'!G145)&gt;0),"",'Dimensions'!G145)</x:f>
        <x:v>44175</x:v>
      </x:c>
      <x:c r="E18" s="23" t="n">
        <x:f>IF(COUNTBLANK(D18)&gt;0,"",D18/1000)</x:f>
        <x:v>44.175</x:v>
      </x:c>
      <x:c r="F18" s="18" t="str">
        <x:v>P010, P138</x:v>
      </x:c>
      <x:c r="G18" s="18" t="str">
        <x:v>Cumulative plan grid</x:v>
      </x:c>
      <x:c r="H18" s="18" t="str">
        <x:v>Tâm trục / Grid centerline</x:v>
      </x:c>
    </x:row>
    <x:row r="19" ht="15" hidden="0" customHeight="1">
      <x:c r="A19" s="18" t="str">
        <x:v>X</x:v>
      </x:c>
      <x:c r="B19" s="18" t="str">
        <x:v>11</x:v>
      </x:c>
      <x:c r="C19" s="22" t="n">
        <x:f>IF(OR(COUNTBLANK('Dimensions'!G18)&gt;0),"",'Dimensions'!G18)</x:f>
        <x:v>4500</x:v>
      </x:c>
      <x:c r="D19" s="22" t="n">
        <x:f>IF(OR(COUNTBLANK('Dimensions'!G146)&gt;0),"",'Dimensions'!G146)</x:f>
        <x:v>48675</x:v>
      </x:c>
      <x:c r="E19" s="23" t="n">
        <x:f>IF(COUNTBLANK(D19)&gt;0,"",D19/1000)</x:f>
        <x:v>48.675</x:v>
      </x:c>
      <x:c r="F19" s="18" t="str">
        <x:v>P011, P139</x:v>
      </x:c>
      <x:c r="G19" s="18" t="str">
        <x:v>Cumulative plan grid</x:v>
      </x:c>
      <x:c r="H19" s="18" t="str">
        <x:v>Tâm trục / Grid centerline</x:v>
      </x:c>
    </x:row>
    <x:row r="20" ht="15" hidden="0" customHeight="1">
      <x:c r="A20" s="18" t="str">
        <x:v>X</x:v>
      </x:c>
      <x:c r="B20" s="18" t="str">
        <x:v>12</x:v>
      </x:c>
      <x:c r="C20" s="22" t="n">
        <x:f>IF(OR(COUNTBLANK('Dimensions'!G19)&gt;0),"",'Dimensions'!G19)</x:f>
        <x:v>4341</x:v>
      </x:c>
      <x:c r="D20" s="22" t="n">
        <x:f>IF(OR(COUNTBLANK('Dimensions'!G147)&gt;0),"",'Dimensions'!G147)</x:f>
        <x:v>53016</x:v>
      </x:c>
      <x:c r="E20" s="23" t="n">
        <x:f>IF(COUNTBLANK(D20)&gt;0,"",D20/1000)</x:f>
        <x:v>53.016</x:v>
      </x:c>
      <x:c r="F20" s="18" t="str">
        <x:v>P012, P140</x:v>
      </x:c>
      <x:c r="G20" s="18" t="str">
        <x:v>Cumulative plan grid</x:v>
      </x:c>
      <x:c r="H20" s="18" t="str">
        <x:v>Tâm trục / Grid centerline</x:v>
      </x:c>
    </x:row>
    <x:row r="21" ht="15" hidden="0" customHeight="1">
      <x:c r="A21" s="18" t="str">
        <x:v>X</x:v>
      </x:c>
      <x:c r="B21" s="18" t="str">
        <x:v>Approach toe (plan)</x:v>
      </x:c>
      <x:c r="C21" s="22"/>
      <x:c r="D21" s="22" t="n">
        <x:f>IF(OR(COUNTBLANK('Dimensions'!G27)&gt;0),"",-'Dimensions'!G27)</x:f>
        <x:v>-13219</x:v>
      </x:c>
      <x:c r="E21" s="23" t="n">
        <x:f>IF(COUNTBLANK(D21)&gt;0,"",D21/1000)</x:f>
        <x:v>-13.219</x:v>
      </x:c>
      <x:c r="F21" s="18" t="str">
        <x:v>P020</x:v>
      </x:c>
      <x:c r="G21" s="18" t="str">
        <x:v>Ground plan extent</x:v>
      </x:c>
      <x:c r="H21" s="18" t="str">
        <x:v>Tờ 6. Điểm đầu của chuỗi 67,064 mm / Start of 67,064 mm overall chain</x:v>
      </x:c>
    </x:row>
    <x:row r="22" ht="15" hidden="0" customHeight="1">
      <x:c r="A22" s="18" t="str">
        <x:v>X</x:v>
      </x:c>
      <x:c r="B22" s="18" t="str">
        <x:v>Rear edge (plan)</x:v>
      </x:c>
      <x:c r="C22" s="22"/>
      <x:c r="D22" s="22" t="n">
        <x:f>IF(OR(COUNTBLANK('Dimensions'!G147)&gt;0,COUNTBLANK('Dimensions'!G162)&gt;0),"",'Dimensions'!G147+'Dimensions'!G162)</x:f>
        <x:v>53845</x:v>
      </x:c>
      <x:c r="E22" s="23" t="n">
        <x:f>IF(COUNTBLANK(D22)&gt;0,"",D22/1000)</x:f>
        <x:v>53.845</x:v>
      </x:c>
      <x:c r="F22" s="18" t="str">
        <x:v>P140, P155</x:v>
      </x:c>
      <x:c r="G22" s="18" t="str">
        <x:v>Ground plan extent</x:v>
      </x:c>
      <x:c r="H22" s="18" t="str">
        <x:v>Tờ 6. Biên sau nhà theo chuỗi mặt bằng / Rear exterior plan edge</x:v>
      </x:c>
    </x:row>
    <x:row r="23" ht="15" hidden="0" customHeight="1">
      <x:c r="A23" s="18" t="str">
        <x:v>X</x:v>
      </x:c>
      <x:c r="B23" s="18" t="str">
        <x:v>Tower front edge (plan)</x:v>
      </x:c>
      <x:c r="C23" s="22"/>
      <x:c r="D23" s="22" t="n">
        <x:f>IF(OR(COUNTBLANK('Dimensions'!G163)&gt;0),"",-'Dimensions'!G163)</x:f>
        <x:v>-949</x:v>
      </x:c>
      <x:c r="E23" s="23" t="n">
        <x:f>IF(COUNTBLANK(D23)&gt;0,"",D23/1000)</x:f>
        <x:v>-0.949</x:v>
      </x:c>
      <x:c r="F23" s="18" t="str">
        <x:v>P156</x:v>
      </x:c>
      <x:c r="G23" s="18" t="str">
        <x:v>Ground plan extent</x:v>
      </x:c>
      <x:c r="H23" s="18" t="str">
        <x:v>Tờ 6. Giới hạn tháp trong chuỗi 54,794 mm / Tower front edge in 54,794 mm chain</x:v>
      </x:c>
    </x:row>
    <x:row r="24" ht="15" hidden="0" customHeight="1">
      <x:c r="A24" s="18" t="str">
        <x:v>X</x:v>
      </x:c>
      <x:c r="B24" s="18" t="str">
        <x:v>Front edge (roof)</x:v>
      </x:c>
      <x:c r="C24" s="22"/>
      <x:c r="D24" s="22" t="n">
        <x:f>IF(OR(COUNTBLANK('Dimensions'!G178)&gt;0),"",-'Dimensions'!G178)</x:f>
        <x:v>-915</x:v>
      </x:c>
      <x:c r="E24" s="23" t="n">
        <x:f>IF(COUNTBLANK(D24)&gt;0,"",D24/1000)</x:f>
        <x:v>-0.915</x:v>
      </x:c>
      <x:c r="F24" s="18" t="str">
        <x:v>P171</x:v>
      </x:c>
      <x:c r="G24" s="18" t="str">
        <x:v>Roof plan lower chain</x:v>
      </x:c>
      <x:c r="H24" s="18" t="str">
        <x:v>Tờ 11. Chuỗi dưới 54,736 mm / Lower 54,736 mm dimension chain</x:v>
      </x:c>
    </x:row>
    <x:row r="25" ht="15" hidden="0" customHeight="1">
      <x:c r="A25" s="18" t="str">
        <x:v>X</x:v>
      </x:c>
      <x:c r="B25" s="18" t="str">
        <x:v>Rear edge (roof)</x:v>
      </x:c>
      <x:c r="C25" s="22"/>
      <x:c r="D25" s="22" t="n">
        <x:f>IF(OR(COUNTBLANK('Dimensions'!G147)&gt;0,COUNTBLANK('Dimensions'!G179)&gt;0),"",'Dimensions'!G147+'Dimensions'!G179)</x:f>
        <x:v>53821</x:v>
      </x:c>
      <x:c r="E25" s="23" t="n">
        <x:f>IF(COUNTBLANK(D25)&gt;0,"",D25/1000)</x:f>
        <x:v>53.821</x:v>
      </x:c>
      <x:c r="F25" s="18" t="str">
        <x:v>P140, P172</x:v>
      </x:c>
      <x:c r="G25" s="18" t="str">
        <x:v>Roof plan lower chain</x:v>
      </x:c>
      <x:c r="H25" s="18" t="str">
        <x:v>Tờ 11. Chuỗi dưới 54,736 mm / Lower 54,736 mm dimension chain</x:v>
      </x:c>
    </x:row>
    <x:row r="26" ht="15" hidden="0" customHeight="1">
      <x:c r="A26" s="18" t="str">
        <x:v>X</x:v>
      </x:c>
      <x:c r="B26" s="18" t="str">
        <x:v>Approach toe (elevation)</x:v>
      </x:c>
      <x:c r="C26" s="22"/>
      <x:c r="D26" s="22" t="n">
        <x:f>IF(OR(COUNTBLANK('Dimensions'!G271)&gt;0),"",-'Dimensions'!G271)</x:f>
        <x:v>-13194</x:v>
      </x:c>
      <x:c r="E26" s="23" t="n">
        <x:f>IF(COUNTBLANK(D26)&gt;0,"",D26/1000)</x:f>
        <x:v>-13.194</x:v>
      </x:c>
      <x:c r="F26" s="18" t="str">
        <x:v>E051</x:v>
      </x:c>
      <x:c r="G26" s="18" t="str">
        <x:v>Side elevation extent</x:v>
      </x:c>
      <x:c r="H26" s="18" t="str">
        <x:v>Tờ 2. Chuỗi riêng 67,149 mm / Separate 67,149 mm dimension chain</x:v>
      </x:c>
    </x:row>
    <x:row r="27" ht="15" hidden="0" customHeight="1">
      <x:c r="A27" s="18" t="str">
        <x:v>X</x:v>
      </x:c>
      <x:c r="B27" s="18" t="str">
        <x:v>Far-end edge (elevation)</x:v>
      </x:c>
      <x:c r="C27" s="22"/>
      <x:c r="D27" s="22" t="n">
        <x:f>IF(OR(COUNTBLANK('Dimensions'!G302)&gt;0,COUNTBLANK('Dimensions'!G284)&gt;0),"",'Dimensions'!G302+'Dimensions'!G284)</x:f>
        <x:v>53955</x:v>
      </x:c>
      <x:c r="E27" s="23" t="n">
        <x:f>IF(COUNTBLANK(D27)&gt;0,"",D27/1000)</x:f>
        <x:v>53.955</x:v>
      </x:c>
      <x:c r="F27" s="18" t="str">
        <x:v>E082, E064</x:v>
      </x:c>
      <x:c r="G27" s="18" t="str">
        <x:v>Side elevation extent</x:v>
      </x:c>
      <x:c r="H27" s="18" t="str">
        <x:v>Tờ 2. Điểm cuối khác mặt bằng / End witness differs from plan</x:v>
      </x:c>
    </x:row>
    <x:row r="28" ht="15" hidden="0" customHeight="1">
      <x:c r="A28" s="18" t="str">
        <x:v>Z</x:v>
      </x:c>
      <x:c r="B28" s="18" t="str">
        <x:v>A</x:v>
      </x:c>
      <x:c r="C28" s="22"/>
      <x:c r="D28" s="22" t="n">
        <x:f>IF(OR(COUNTBLANK('Dimensions'!G148)&gt;0,COUNTBLANK('Dimensions'!G161)&gt;0),"",'Dimensions'!G148-'Dimensions'!G161)</x:f>
        <x:v>-13249</x:v>
      </x:c>
      <x:c r="E28" s="23" t="n">
        <x:f>IF(COUNTBLANK(D28)&gt;0,"",D28/1000)</x:f>
        <x:v>-13.249</x:v>
      </x:c>
      <x:c r="F28" s="18" t="str">
        <x:v>P141, P154</x:v>
      </x:c>
      <x:c r="G28" s="18" t="str">
        <x:v>Centered plan grid</x:v>
      </x:c>
      <x:c r="H28" s="18" t="str">
        <x:v>Tâm trục / Grid centerline</x:v>
      </x:c>
    </x:row>
    <x:row r="29" ht="15" hidden="0" customHeight="1">
      <x:c r="A29" s="18" t="str">
        <x:v>Z</x:v>
      </x:c>
      <x:c r="B29" s="18" t="str">
        <x:v>B</x:v>
      </x:c>
      <x:c r="C29" s="22" t="n">
        <x:f>IF(OR(COUNTBLANK('Dimensions'!G20)&gt;0),"",'Dimensions'!G20)</x:f>
        <x:v>2835</x:v>
      </x:c>
      <x:c r="D29" s="22" t="n">
        <x:f>IF(OR(COUNTBLANK('Dimensions'!G149)&gt;0,COUNTBLANK('Dimensions'!G161)&gt;0),"",'Dimensions'!G149-'Dimensions'!G161)</x:f>
        <x:v>-10414</x:v>
      </x:c>
      <x:c r="E29" s="23" t="n">
        <x:f>IF(COUNTBLANK(D29)&gt;0,"",D29/1000)</x:f>
        <x:v>-10.414</x:v>
      </x:c>
      <x:c r="F29" s="18" t="str">
        <x:v>P013, P142, P154</x:v>
      </x:c>
      <x:c r="G29" s="18" t="str">
        <x:v>Centered plan grid</x:v>
      </x:c>
      <x:c r="H29" s="18" t="str">
        <x:v>Z dương về H/I. Không có trục F / Positive toward H/I. No F axis</x:v>
      </x:c>
    </x:row>
    <x:row r="30" ht="15" hidden="0" customHeight="1">
      <x:c r="A30" s="18" t="str">
        <x:v>Z</x:v>
      </x:c>
      <x:c r="B30" s="18" t="str">
        <x:v>C</x:v>
      </x:c>
      <x:c r="C30" s="22" t="n">
        <x:f>IF(OR(COUNTBLANK('Dimensions'!G21)&gt;0),"",'Dimensions'!G21)</x:f>
        <x:v>3054</x:v>
      </x:c>
      <x:c r="D30" s="22" t="n">
        <x:f>IF(OR(COUNTBLANK('Dimensions'!G150)&gt;0,COUNTBLANK('Dimensions'!G161)&gt;0),"",'Dimensions'!G150-'Dimensions'!G161)</x:f>
        <x:v>-7360</x:v>
      </x:c>
      <x:c r="E30" s="23" t="n">
        <x:f>IF(COUNTBLANK(D30)&gt;0,"",D30/1000)</x:f>
        <x:v>-7.36</x:v>
      </x:c>
      <x:c r="F30" s="18" t="str">
        <x:v>P014, P143, P154</x:v>
      </x:c>
      <x:c r="G30" s="18" t="str">
        <x:v>Centered plan grid</x:v>
      </x:c>
      <x:c r="H30" s="18" t="str">
        <x:v>Z dương về H/I. Không có trục F / Positive toward H/I. No F axis</x:v>
      </x:c>
    </x:row>
    <x:row r="31" ht="15" hidden="0" customHeight="1">
      <x:c r="A31" s="18" t="str">
        <x:v>Z</x:v>
      </x:c>
      <x:c r="B31" s="18" t="str">
        <x:v>D</x:v>
      </x:c>
      <x:c r="C31" s="22" t="n">
        <x:f>IF(OR(COUNTBLANK('Dimensions'!G22)&gt;0),"",'Dimensions'!G22)</x:f>
        <x:v>3760</x:v>
      </x:c>
      <x:c r="D31" s="22" t="n">
        <x:f>IF(OR(COUNTBLANK('Dimensions'!G151)&gt;0,COUNTBLANK('Dimensions'!G161)&gt;0),"",'Dimensions'!G151-'Dimensions'!G161)</x:f>
        <x:v>-3600</x:v>
      </x:c>
      <x:c r="E31" s="23" t="n">
        <x:f>IF(COUNTBLANK(D31)&gt;0,"",D31/1000)</x:f>
        <x:v>-3.6</x:v>
      </x:c>
      <x:c r="F31" s="18" t="str">
        <x:v>P015, P144, P154</x:v>
      </x:c>
      <x:c r="G31" s="18" t="str">
        <x:v>Centered plan grid</x:v>
      </x:c>
      <x:c r="H31" s="18" t="str">
        <x:v>Z dương về H/I. Không có trục F / Positive toward H/I. No F axis</x:v>
      </x:c>
    </x:row>
    <x:row r="32" ht="15" hidden="0" customHeight="1">
      <x:c r="A32" s="18" t="str">
        <x:v>Z</x:v>
      </x:c>
      <x:c r="B32" s="18" t="str">
        <x:v>E</x:v>
      </x:c>
      <x:c r="C32" s="22" t="n">
        <x:f>IF(OR(COUNTBLANK('Dimensions'!G23)&gt;0),"",'Dimensions'!G23)</x:f>
        <x:v>7200</x:v>
      </x:c>
      <x:c r="D32" s="22" t="n">
        <x:f>IF(OR(COUNTBLANK('Dimensions'!G152)&gt;0,COUNTBLANK('Dimensions'!G161)&gt;0),"",'Dimensions'!G152-'Dimensions'!G161)</x:f>
        <x:v>3600</x:v>
      </x:c>
      <x:c r="E32" s="23" t="n">
        <x:f>IF(COUNTBLANK(D32)&gt;0,"",D32/1000)</x:f>
        <x:v>3.6</x:v>
      </x:c>
      <x:c r="F32" s="18" t="str">
        <x:v>P016, P145, P154</x:v>
      </x:c>
      <x:c r="G32" s="18" t="str">
        <x:v>Centered plan grid</x:v>
      </x:c>
      <x:c r="H32" s="18" t="str">
        <x:v>Z dương về H/I. Không có trục F / Positive toward H/I. No F axis</x:v>
      </x:c>
    </x:row>
    <x:row r="33" ht="15" hidden="0" customHeight="1">
      <x:c r="A33" s="18" t="str">
        <x:v>Z</x:v>
      </x:c>
      <x:c r="B33" s="18" t="str">
        <x:v>G</x:v>
      </x:c>
      <x:c r="C33" s="22" t="n">
        <x:f>IF(OR(COUNTBLANK('Dimensions'!G24)&gt;0),"",'Dimensions'!G24)</x:f>
        <x:v>3760</x:v>
      </x:c>
      <x:c r="D33" s="22" t="n">
        <x:f>IF(OR(COUNTBLANK('Dimensions'!G153)&gt;0,COUNTBLANK('Dimensions'!G161)&gt;0),"",'Dimensions'!G153-'Dimensions'!G161)</x:f>
        <x:v>7360</x:v>
      </x:c>
      <x:c r="E33" s="23" t="n">
        <x:f>IF(COUNTBLANK(D33)&gt;0,"",D33/1000)</x:f>
        <x:v>7.36</x:v>
      </x:c>
      <x:c r="F33" s="18" t="str">
        <x:v>P017, P146, P154</x:v>
      </x:c>
      <x:c r="G33" s="18" t="str">
        <x:v>Centered plan grid</x:v>
      </x:c>
      <x:c r="H33" s="18" t="str">
        <x:v>Z dương về H/I. Không có trục F / Positive toward H/I. No F axis</x:v>
      </x:c>
    </x:row>
    <x:row r="34" ht="15" hidden="0" customHeight="1">
      <x:c r="A34" s="18" t="str">
        <x:v>Z</x:v>
      </x:c>
      <x:c r="B34" s="18" t="str">
        <x:v>H</x:v>
      </x:c>
      <x:c r="C34" s="22" t="n">
        <x:f>IF(OR(COUNTBLANK('Dimensions'!G25)&gt;0),"",'Dimensions'!G25)</x:f>
        <x:v>3054</x:v>
      </x:c>
      <x:c r="D34" s="22" t="n">
        <x:f>IF(OR(COUNTBLANK('Dimensions'!G154)&gt;0,COUNTBLANK('Dimensions'!G161)&gt;0),"",'Dimensions'!G154-'Dimensions'!G161)</x:f>
        <x:v>10414</x:v>
      </x:c>
      <x:c r="E34" s="23" t="n">
        <x:f>IF(COUNTBLANK(D34)&gt;0,"",D34/1000)</x:f>
        <x:v>10.414</x:v>
      </x:c>
      <x:c r="F34" s="18" t="str">
        <x:v>P018, P147, P154</x:v>
      </x:c>
      <x:c r="G34" s="18" t="str">
        <x:v>Centered plan grid</x:v>
      </x:c>
      <x:c r="H34" s="18" t="str">
        <x:v>Z dương về H/I. Không có trục F / Positive toward H/I. No F axis</x:v>
      </x:c>
    </x:row>
    <x:row r="35" ht="15" hidden="0" customHeight="1">
      <x:c r="A35" s="18" t="str">
        <x:v>Z</x:v>
      </x:c>
      <x:c r="B35" s="18" t="str">
        <x:v>I</x:v>
      </x:c>
      <x:c r="C35" s="22" t="n">
        <x:f>IF(OR(COUNTBLANK('Dimensions'!G26)&gt;0),"",'Dimensions'!G26)</x:f>
        <x:v>2835</x:v>
      </x:c>
      <x:c r="D35" s="22" t="n">
        <x:f>IF(OR(COUNTBLANK('Dimensions'!G155)&gt;0,COUNTBLANK('Dimensions'!G161)&gt;0),"",'Dimensions'!G155-'Dimensions'!G161)</x:f>
        <x:v>13249</x:v>
      </x:c>
      <x:c r="E35" s="23" t="n">
        <x:f>IF(COUNTBLANK(D35)&gt;0,"",D35/1000)</x:f>
        <x:v>13.249</x:v>
      </x:c>
      <x:c r="F35" s="18" t="str">
        <x:v>P019, P148, P154</x:v>
      </x:c>
      <x:c r="G35" s="18" t="str">
        <x:v>Centered plan grid</x:v>
      </x:c>
      <x:c r="H35" s="18" t="str">
        <x:v>Z dương về H/I. Không có trục F / Positive toward H/I. No F axis</x:v>
      </x:c>
    </x:row>
    <x:row r="36" ht="15" hidden="0" customHeight="1">
      <x:c r="A36" s="18" t="str">
        <x:v>Y</x:v>
      </x:c>
      <x:c r="B36" s="18" t="str">
        <x:v>Front forecourt/entrance landing</x:v>
      </x:c>
      <x:c r="C36" s="22"/>
      <x:c r="D36" s="22" t="n">
        <x:f>IF(OR(COUNTBLANK('Dimensions'!G54)&gt;0),"",'Dimensions'!G54)</x:f>
        <x:v>-480</x:v>
      </x:c>
      <x:c r="E36" s="23" t="n">
        <x:f>IF(COUNTBLANK(D36)&gt;0,"",D36/1000)</x:f>
        <x:v>-0.48</x:v>
      </x:c>
      <x:c r="F36" s="18" t="str">
        <x:v>P047</x:v>
      </x:c>
      <x:c r="G36" s="18" t="str">
        <x:v>Printed elevation</x:v>
      </x:c>
      <x:c r="H36" s="18" t="str"/>
    </x:row>
    <x:row r="37" ht="15" hidden="0" customHeight="1">
      <x:c r="A37" s="18" t="str">
        <x:v>Y</x:v>
      </x:c>
      <x:c r="B37" s="18" t="str">
        <x:v>Side stair landings</x:v>
      </x:c>
      <x:c r="C37" s="22"/>
      <x:c r="D37" s="22" t="n">
        <x:f>IF(OR(COUNTBLANK('Dimensions'!G55)&gt;0),"",'Dimensions'!G55)</x:f>
        <x:v>-320</x:v>
      </x:c>
      <x:c r="E37" s="23" t="n">
        <x:f>IF(COUNTBLANK(D37)&gt;0,"",D37/1000)</x:f>
        <x:v>-0.32</x:v>
      </x:c>
      <x:c r="F37" s="18" t="str">
        <x:v>P048</x:v>
      </x:c>
      <x:c r="G37" s="18" t="str">
        <x:v>Printed elevation</x:v>
      </x:c>
      <x:c r="H37" s="18" t="str"/>
    </x:row>
    <x:row r="38" ht="15" hidden="0" customHeight="1">
      <x:c r="A38" s="18" t="str">
        <x:v>Y</x:v>
      </x:c>
      <x:c r="B38" s="18" t="str">
        <x:v>Sanctuary/altar platform</x:v>
      </x:c>
      <x:c r="C38" s="22"/>
      <x:c r="D38" s="22" t="n">
        <x:f>IF(OR(COUNTBLANK('Dimensions'!G56)&gt;0),"",'Dimensions'!G56)</x:f>
        <x:v>750</x:v>
      </x:c>
      <x:c r="E38" s="23" t="n">
        <x:f>IF(COUNTBLANK(D38)&gt;0,"",D38/1000)</x:f>
        <x:v>0.75</x:v>
      </x:c>
      <x:c r="F38" s="18" t="str">
        <x:v>P049</x:v>
      </x:c>
      <x:c r="G38" s="18" t="str">
        <x:v>Printed elevation</x:v>
      </x:c>
      <x:c r="H38" s="18" t="str"/>
    </x:row>
    <x:row r="39" ht="15" hidden="0" customHeight="1">
      <x:c r="A39" s="18" t="str">
        <x:v>Y</x:v>
      </x:c>
      <x:c r="B39" s="18" t="str">
        <x:v>Upper rear side room</x:v>
      </x:c>
      <x:c r="C39" s="22"/>
      <x:c r="D39" s="22" t="n">
        <x:f>IF(OR(COUNTBLANK('Dimensions'!G57)&gt;0),"",'Dimensions'!G57)</x:f>
        <x:v>150</x:v>
      </x:c>
      <x:c r="E39" s="23" t="n">
        <x:f>IF(COUNTBLANK(D39)&gt;0,"",D39/1000)</x:f>
        <x:v>0.15</x:v>
      </x:c>
      <x:c r="F39" s="18" t="str">
        <x:v>P050</x:v>
      </x:c>
      <x:c r="G39" s="18" t="str">
        <x:v>Printed elevation</x:v>
      </x:c>
      <x:c r="H39" s="18" t="str"/>
    </x:row>
    <x:row r="40" ht="15" hidden="0" customHeight="1">
      <x:c r="A40" s="18" t="str">
        <x:v>Y</x:v>
      </x:c>
      <x:c r="B40" s="18" t="str">
        <x:v>Central rear room</x:v>
      </x:c>
      <x:c r="C40" s="22"/>
      <x:c r="D40" s="22" t="n">
        <x:f>IF(OR(COUNTBLANK('Dimensions'!G58)&gt;0),"",'Dimensions'!G58)</x:f>
        <x:v>150</x:v>
      </x:c>
      <x:c r="E40" s="23" t="n">
        <x:f>IF(COUNTBLANK(D40)&gt;0,"",D40/1000)</x:f>
        <x:v>0.15</x:v>
      </x:c>
      <x:c r="F40" s="18" t="str">
        <x:v>P051</x:v>
      </x:c>
      <x:c r="G40" s="18" t="str">
        <x:v>Printed elevation</x:v>
      </x:c>
      <x:c r="H40" s="18" t="str"/>
    </x:row>
    <x:row r="41" ht="15" hidden="0" customHeight="1">
      <x:c r="A41" s="18" t="str">
        <x:v>Y</x:v>
      </x:c>
      <x:c r="B41" s="18" t="str">
        <x:v>Lower rear side room</x:v>
      </x:c>
      <x:c r="C41" s="22"/>
      <x:c r="D41" s="22" t="n">
        <x:f>IF(OR(COUNTBLANK('Dimensions'!G59)&gt;0),"",'Dimensions'!G59)</x:f>
        <x:v>150</x:v>
      </x:c>
      <x:c r="E41" s="23" t="n">
        <x:f>IF(COUNTBLANK(D41)&gt;0,"",D41/1000)</x:f>
        <x:v>0.15</x:v>
      </x:c>
      <x:c r="F41" s="18" t="str">
        <x:v>P052</x:v>
      </x:c>
      <x:c r="G41" s="18" t="str">
        <x:v>Printed elevation</x:v>
      </x:c>
      <x:c r="H41" s="18" t="str"/>
    </x:row>
    <x:row r="42" ht="15" hidden="0" customHeight="1">
      <x:c r="A42" s="18" t="str">
        <x:v>Y</x:v>
      </x:c>
      <x:c r="B42" s="18" t="str">
        <x:v>Courtyard grade</x:v>
      </x:c>
      <x:c r="C42" s="22"/>
      <x:c r="D42" s="22" t="n">
        <x:f>IF(OR(COUNTBLANK('Dimensions'!G221)&gt;0),"",'Dimensions'!G221)</x:f>
        <x:v>-2080</x:v>
      </x:c>
      <x:c r="E42" s="23" t="n">
        <x:f>IF(COUNTBLANK(D42)&gt;0,"",D42/1000)</x:f>
        <x:v>-2.08</x:v>
      </x:c>
      <x:c r="F42" s="18" t="str">
        <x:v>E001</x:v>
      </x:c>
      <x:c r="G42" s="18" t="str">
        <x:v>Printed elevation</x:v>
      </x:c>
      <x:c r="H42" s="18" t="str">
        <x:v>Same levels also shown on sheet 2. The drawing titles the twin-tower end MẶT ĐỨNG CUỐI.</x:v>
      </x:c>
    </x:row>
    <x:row r="43" ht="15" hidden="0" customHeight="1">
      <x:c r="A43" s="18" t="str">
        <x:v>Y</x:v>
      </x:c>
      <x:c r="B43" s="18" t="str">
        <x:v>Floor datum</x:v>
      </x:c>
      <x:c r="C43" s="22"/>
      <x:c r="D43" s="22" t="n">
        <x:f>IF(OR(COUNTBLANK('Dimensions'!G222)&gt;0),"",'Dimensions'!G222)</x:f>
        <x:v>0</x:v>
      </x:c>
      <x:c r="E43" s="23" t="n">
        <x:f>IF(COUNTBLANK(D43)&gt;0,"",D43/1000)</x:f>
        <x:v>0</x:v>
      </x:c>
      <x:c r="F43" s="18" t="str">
        <x:v>E002</x:v>
      </x:c>
      <x:c r="G43" s="18" t="str">
        <x:v>Printed elevation</x:v>
      </x:c>
      <x:c r="H43" s="18" t="str">
        <x:v>Same levels also shown on sheet 2. The drawing titles the twin-tower end MẶT ĐỨNG CUỐI.</x:v>
      </x:c>
    </x:row>
    <x:row r="44" ht="15" hidden="0" customHeight="1">
      <x:c r="A44" s="18" t="str">
        <x:v>Y</x:v>
      </x:c>
      <x:c r="B44" s="18" t="str">
        <x:v>Tower base-stage upper level</x:v>
      </x:c>
      <x:c r="C44" s="22"/>
      <x:c r="D44" s="22" t="n">
        <x:f>IF(OR(COUNTBLANK('Dimensions'!G223)&gt;0),"",'Dimensions'!G223)</x:f>
        <x:v>8390</x:v>
      </x:c>
      <x:c r="E44" s="23" t="n">
        <x:f>IF(COUNTBLANK(D44)&gt;0,"",D44/1000)</x:f>
        <x:v>8.39</x:v>
      </x:c>
      <x:c r="F44" s="18" t="str">
        <x:v>E003</x:v>
      </x:c>
      <x:c r="G44" s="18" t="str">
        <x:v>Printed elevation</x:v>
      </x:c>
      <x:c r="H44" s="18" t="str">
        <x:v>Same levels also shown on sheet 2. The drawing titles the twin-tower end MẶT ĐỨNG CUỐI.</x:v>
      </x:c>
    </x:row>
    <x:row r="45" ht="15" hidden="0" customHeight="1">
      <x:c r="A45" s="18" t="str">
        <x:v>Y</x:v>
      </x:c>
      <x:c r="B45" s="18" t="str">
        <x:v>First upper tower stage level</x:v>
      </x:c>
      <x:c r="C45" s="22"/>
      <x:c r="D45" s="22" t="n">
        <x:f>IF(OR(COUNTBLANK('Dimensions'!G224)&gt;0),"",'Dimensions'!G224)</x:f>
        <x:v>15840</x:v>
      </x:c>
      <x:c r="E45" s="23" t="n">
        <x:f>IF(COUNTBLANK(D45)&gt;0,"",D45/1000)</x:f>
        <x:v>15.84</x:v>
      </x:c>
      <x:c r="F45" s="18" t="str">
        <x:v>E004</x:v>
      </x:c>
      <x:c r="G45" s="18" t="str">
        <x:v>Printed elevation</x:v>
      </x:c>
      <x:c r="H45" s="18" t="str">
        <x:v>Same levels also shown on sheet 2. The drawing titles the twin-tower end MẶT ĐỨNG CUỐI.</x:v>
      </x:c>
    </x:row>
    <x:row r="46" ht="15" hidden="0" customHeight="1">
      <x:c r="A46" s="18" t="str">
        <x:v>Y</x:v>
      </x:c>
      <x:c r="B46" s="18" t="str">
        <x:v>Second upper tower stage level</x:v>
      </x:c>
      <x:c r="C46" s="22"/>
      <x:c r="D46" s="22" t="n">
        <x:f>IF(OR(COUNTBLANK('Dimensions'!G225)&gt;0),"",'Dimensions'!G225)</x:f>
        <x:v>23140</x:v>
      </x:c>
      <x:c r="E46" s="23" t="n">
        <x:f>IF(COUNTBLANK(D46)&gt;0,"",D46/1000)</x:f>
        <x:v>23.14</x:v>
      </x:c>
      <x:c r="F46" s="18" t="str">
        <x:v>E005</x:v>
      </x:c>
      <x:c r="G46" s="18" t="str">
        <x:v>Printed elevation</x:v>
      </x:c>
      <x:c r="H46" s="18" t="str">
        <x:v>Same levels also shown on sheet 2. The drawing titles the twin-tower end MẶT ĐỨNG CUỐI.</x:v>
      </x:c>
    </x:row>
    <x:row r="47" ht="15" hidden="0" customHeight="1">
      <x:c r="A47" s="18" t="str">
        <x:v>Y</x:v>
      </x:c>
      <x:c r="B47" s="18" t="str">
        <x:v>Tower curved-cap base level</x:v>
      </x:c>
      <x:c r="C47" s="22"/>
      <x:c r="D47" s="22" t="n">
        <x:f>IF(OR(COUNTBLANK('Dimensions'!G226)&gt;0),"",'Dimensions'!G226)</x:f>
        <x:v>29090</x:v>
      </x:c>
      <x:c r="E47" s="23" t="n">
        <x:f>IF(COUNTBLANK(D47)&gt;0,"",D47/1000)</x:f>
        <x:v>29.09</x:v>
      </x:c>
      <x:c r="F47" s="18" t="str">
        <x:v>E006</x:v>
      </x:c>
      <x:c r="G47" s="18" t="str">
        <x:v>Printed elevation</x:v>
      </x:c>
      <x:c r="H47" s="18" t="str">
        <x:v>Same levels also shown on sheet 2. The drawing titles the twin-tower end MẶT ĐỨNG CUỐI.</x:v>
      </x:c>
    </x:row>
    <x:row r="48" ht="15" hidden="0" customHeight="1">
      <x:c r="A48" s="18" t="str">
        <x:v>Y</x:v>
      </x:c>
      <x:c r="B48" s="18" t="str">
        <x:v>Tower cross top</x:v>
      </x:c>
      <x:c r="C48" s="22"/>
      <x:c r="D48" s="22" t="n">
        <x:f>IF(OR(COUNTBLANK('Dimensions'!G227)&gt;0),"",'Dimensions'!G227)</x:f>
        <x:v>36920</x:v>
      </x:c>
      <x:c r="E48" s="23" t="n">
        <x:f>IF(COUNTBLANK(D48)&gt;0,"",D48/1000)</x:f>
        <x:v>36.92</x:v>
      </x:c>
      <x:c r="F48" s="18" t="str">
        <x:v>E007</x:v>
      </x:c>
      <x:c r="G48" s="18" t="str">
        <x:v>Printed elevation</x:v>
      </x:c>
      <x:c r="H48" s="18" t="str">
        <x:v>Same levels also shown on sheet 2. The drawing titles the twin-tower end MẶT ĐỨNG CUỐI.</x:v>
      </x:c>
    </x:row>
    <x:row r="49" ht="24" hidden="0" customHeight="1">
      <x:c r="A49" s="18" t="str">
        <x:v>Y</x:v>
      </x:c>
      <x:c r="B49" s="18" t="str">
        <x:v>Eaves/cornice reference</x:v>
      </x:c>
      <x:c r="C49" s="22"/>
      <x:c r="D49" s="22" t="n">
        <x:f>IF(OR(COUNTBLANK('Dimensions'!G267)&gt;0),"",'Dimensions'!G267)</x:f>
        <x:v>6324</x:v>
      </x:c>
      <x:c r="E49" s="23" t="n">
        <x:f>IF(COUNTBLANK(D49)&gt;0,"",D49/1000)</x:f>
        <x:v>6.324</x:v>
      </x:c>
      <x:c r="F49" s="18" t="str">
        <x:v>E047</x:v>
      </x:c>
      <x:c r="G49" s="18" t="str">
        <x:v>Printed elevation</x:v>
      </x:c>
      <x:c r="H49" s="18" t="str">
        <x:v>Also explicitly labeled on sheet 3. Match exact architectural witness on original drawing; no decorative geometry inferred from level alone.</x:v>
      </x:c>
    </x:row>
    <x:row r="50" ht="24" hidden="0" customHeight="1">
      <x:c r="A50" s="18" t="str">
        <x:v>Y</x:v>
      </x:c>
      <x:c r="B50" s="18" t="str">
        <x:v>Opposite-end intermediate facade reference</x:v>
      </x:c>
      <x:c r="C50" s="22"/>
      <x:c r="D50" s="22" t="n">
        <x:f>IF(OR(COUNTBLANK('Dimensions'!G268)&gt;0),"",'Dimensions'!G268)</x:f>
        <x:v>8575</x:v>
      </x:c>
      <x:c r="E50" s="23" t="n">
        <x:f>IF(COUNTBLANK(D50)&gt;0,"",D50/1000)</x:f>
        <x:v>8.575</x:v>
      </x:c>
      <x:c r="F50" s="18" t="str">
        <x:v>E048</x:v>
      </x:c>
      <x:c r="G50" s="18" t="str">
        <x:v>Printed elevation</x:v>
      </x:c>
      <x:c r="H50" s="18" t="str">
        <x:v>Also explicitly labeled on sheet 3. Match exact architectural witness on original drawing; no decorative geometry inferred from level alone.</x:v>
      </x:c>
    </x:row>
    <x:row r="51" ht="24" hidden="0" customHeight="1">
      <x:c r="A51" s="18" t="str">
        <x:v>Y</x:v>
      </x:c>
      <x:c r="B51" s="18" t="str">
        <x:v>Main roof ridge/reference</x:v>
      </x:c>
      <x:c r="C51" s="22"/>
      <x:c r="D51" s="22" t="n">
        <x:f>IF(OR(COUNTBLANK('Dimensions'!G269)&gt;0),"",'Dimensions'!G269)</x:f>
        <x:v>12472</x:v>
      </x:c>
      <x:c r="E51" s="23" t="n">
        <x:f>IF(COUNTBLANK(D51)&gt;0,"",D51/1000)</x:f>
        <x:v>12.472</x:v>
      </x:c>
      <x:c r="F51" s="18" t="str">
        <x:v>E049</x:v>
      </x:c>
      <x:c r="G51" s="18" t="str">
        <x:v>Printed elevation</x:v>
      </x:c>
      <x:c r="H51" s="18" t="str">
        <x:v>Also explicitly labeled on sheet 3. Match exact architectural witness on original drawing; no decorative geometry inferred from level alone.</x:v>
      </x:c>
    </x:row>
    <x:row r="52" ht="24" hidden="0" customHeight="1">
      <x:c r="A52" s="18" t="str">
        <x:v>Y</x:v>
      </x:c>
      <x:c r="B52" s="18" t="str">
        <x:v>Opposite-end cross top</x:v>
      </x:c>
      <x:c r="C52" s="22"/>
      <x:c r="D52" s="22" t="n">
        <x:f>IF(OR(COUNTBLANK('Dimensions'!G270)&gt;0),"",'Dimensions'!G270)</x:f>
        <x:v>17829</x:v>
      </x:c>
      <x:c r="E52" s="23" t="n">
        <x:f>IF(COUNTBLANK(D52)&gt;0,"",D52/1000)</x:f>
        <x:v>17.829</x:v>
      </x:c>
      <x:c r="F52" s="18" t="str">
        <x:v>E050</x:v>
      </x:c>
      <x:c r="G52" s="18" t="str">
        <x:v>Printed elevation</x:v>
      </x:c>
      <x:c r="H52" s="18" t="str">
        <x:v>Also explicitly labeled on sheet 3. Match exact architectural witness on original drawing; no decorative geometry inferred from level alone.</x:v>
      </x:c>
    </x:row>
    <x:row r="53" ht="15" hidden="0" customHeight="1">
      <x:c r="A53" s="18" t="str">
        <x:v>Y</x:v>
      </x:c>
      <x:c r="B53" s="18" t="str">
        <x:v>Front facade upper side recess</x:v>
      </x:c>
      <x:c r="C53" s="22"/>
      <x:c r="D53" s="22" t="n">
        <x:f>IF(OR(COUNTBLANK('Dimensions'!G213)&gt;0),"",'Dimensions'!G213)</x:f>
        <x:v>9530</x:v>
      </x:c>
      <x:c r="E53" s="23" t="n">
        <x:f>IF(COUNTBLANK(D53)&gt;0,"",D53/1000)</x:f>
        <x:v>9.53</x:v>
      </x:c>
      <x:c r="F53" s="18" t="str">
        <x:v>P206</x:v>
      </x:c>
      <x:c r="G53" s="18" t="str">
        <x:v>Printed elevation</x:v>
      </x:c>
      <x:c r="H53" s="18" t="str">
        <x:v>Local facade/tower deck level, not the main roof ridge elevation.</x:v>
      </x:c>
    </x:row>
    <x:row r="54" ht="15" hidden="0" customHeight="1">
      <x:c r="A54" s="18" t="str">
        <x:v>Y</x:v>
      </x:c>
      <x:c r="B54" s="18" t="str">
        <x:v>Front central facade zone</x:v>
      </x:c>
      <x:c r="C54" s="22"/>
      <x:c r="D54" s="22" t="n">
        <x:f>IF(OR(COUNTBLANK('Dimensions'!G215)&gt;0),"",'Dimensions'!G215)</x:f>
        <x:v>11030</x:v>
      </x:c>
      <x:c r="E54" s="23" t="n">
        <x:f>IF(COUNTBLANK(D54)&gt;0,"",D54/1000)</x:f>
        <x:v>11.03</x:v>
      </x:c>
      <x:c r="F54" s="18" t="str">
        <x:v>P208</x:v>
      </x:c>
      <x:c r="G54" s="18" t="str">
        <x:v>Printed elevation</x:v>
      </x:c>
      <x:c r="H54" s="18" t="str">
        <x:v>Local facade/tower deck level, not the main roof ridge elevation.</x:v>
      </x:c>
    </x:row>
    <x:row r="55" ht="24" hidden="0" customHeight="1">
      <x:c r="A55" s="18" t="str">
        <x:v>Y</x:v>
      </x:c>
      <x:c r="B55" s="18" t="str">
        <x:v>Upper roof reference (section)</x:v>
      </x:c>
      <x:c r="C55" s="22"/>
      <x:c r="D55" s="22" t="n">
        <x:f>IF(OR(COUNTBLANK('Dimensions'!G307)&gt;0),"",'Dimensions'!G307)</x:f>
        <x:v>7130</x:v>
      </x:c>
      <x:c r="E55" s="23" t="n">
        <x:f>IF(COUNTBLANK(D55)&gt;0,"",D55/1000)</x:f>
        <x:v>7.13</x:v>
      </x:c>
      <x:c r="F55" s="18" t="str">
        <x:v>S002</x:v>
      </x:c>
      <x:c r="G55" s="18" t="str">
        <x:v>Printed elevation</x:v>
      </x:c>
      <x:c r="H55" s="18" t="str">
        <x:v>Dimension is preserved as printed. +7.13 reference is a level marker near the main-roof eave; detailed contact surfaces need CAD confirmation.</x:v>
      </x:c>
    </x:row>
    <x:row r="56" ht="15" hidden="0" customHeight="1">
      <x:c r="A56" s="18" t="str">
        <x:v>Y</x:v>
      </x:c>
      <x:c r="B56" s="18" t="str">
        <x:v>Exterior cornice (section)</x:v>
      </x:c>
      <x:c r="C56" s="22"/>
      <x:c r="D56" s="22" t="n">
        <x:f>IF(OR(COUNTBLANK('Dimensions'!G308)&gt;0),"",'Dimensions'!G308)</x:f>
        <x:v>6325</x:v>
      </x:c>
      <x:c r="E56" s="23" t="n">
        <x:f>IF(COUNTBLANK(D56)&gt;0,"",D56/1000)</x:f>
        <x:v>6.325</x:v>
      </x:c>
      <x:c r="F56" s="18" t="str">
        <x:v>S003</x:v>
      </x:c>
      <x:c r="G56" s="18" t="str">
        <x:v>Printed elevation</x:v>
      </x:c>
      <x:c r="H56" s="18" t="str"/>
    </x:row>
    <x:row r="57" ht="15" hidden="0" customHeight="1">
      <x:c r="A57" s="18" t="str">
        <x:v>Y</x:v>
      </x:c>
      <x:c r="B57" s="18" t="str">
        <x:v>Tower cap shoulder elevation from chain</x:v>
      </x:c>
      <x:c r="C57" s="22"/>
      <x:c r="D57" s="22" t="n">
        <x:f>IF(OR(COUNTBLANK('Dimensions'!G304)&gt;0),"",'Dimensions'!G304)</x:f>
        <x:v>33215</x:v>
      </x:c>
      <x:c r="E57" s="23" t="n">
        <x:f>IF(COUNTBLANK(D57)&gt;0,"",D57/1000)</x:f>
        <x:v>33.215</x:v>
      </x:c>
      <x:c r="F57" s="18" t="str">
        <x:v>E084</x:v>
      </x:c>
      <x:c r="G57" s="18" t="str">
        <x:v>Derived level</x:v>
      </x:c>
      <x:c r="H57" s="18" t="str">
        <x:v>Dependent on explicit chain; 1 mm top closure discrepancy is unresolved.</x:v>
      </x:c>
    </x:row>
    <x:row r="58" ht="15" hidden="0" customHeight="1">
      <x:c r="A58" s="18" t="str">
        <x:v>Y</x:v>
      </x:c>
      <x:c r="B58" s="18" t="str">
        <x:v>Tower cross-base elevation from chain</x:v>
      </x:c>
      <x:c r="C58" s="22"/>
      <x:c r="D58" s="22" t="n">
        <x:f>IF(OR(COUNTBLANK('Dimensions'!G305)&gt;0),"",'Dimensions'!G305)</x:f>
        <x:v>35029</x:v>
      </x:c>
      <x:c r="E58" s="23" t="n">
        <x:f>IF(COUNTBLANK(D58)&gt;0,"",D58/1000)</x:f>
        <x:v>35.029</x:v>
      </x:c>
      <x:c r="F58" s="18" t="str">
        <x:v>E085</x:v>
      </x:c>
      <x:c r="G58" s="18" t="str">
        <x:v>Derived level</x:v>
      </x:c>
      <x:c r="H58" s="18" t="str">
        <x:v>Dependent on explicit chain; 1 mm top closure discrepancy is unresolved.</x:v>
      </x:c>
    </x:row>
  </x:sheetData>
  <x:pageMargins left="0.7" right="0.7" top="0.75" bottom="0.75" header="0.3" footer="0.3"/>
  <x:tableParts count="1">
    <x:tablePart xmlns:r="http://schemas.openxmlformats.org/officeDocument/2006/relationships" r:id="Rbba7f1e8099b4a3d"/>
  </x:tableParts>
</x:worksheet>
</file>

<file path=xl/worksheets/sheet3.xml><?xml version="1.0" encoding="utf-8"?>
<x:worksheet xmlns:x="http://schemas.openxmlformats.org/spreadsheetml/2006/main">
  <x:sheetPr>
    <x:tabColor rgb="FFBB782A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20" hidden="0" customWidth="1"/>
    <x:col min="2" max="2" width="50" hidden="0" customWidth="1"/>
    <x:col min="3" max="3" width="78" hidden="0" customWidth="1"/>
    <x:col min="4" max="4" width="35" hidden="0" customWidth="1"/>
    <x:col min="5" max="5" width="16" hidden="0" customWidth="1"/>
    <x:col min="6" max="6" width="26" hidden="0" customWidth="1"/>
    <x:col min="7" max="7" width="66" hidden="0" customWidth="1"/>
    <x:col min="8" max="8" width="22" hidden="0" customWidth="1"/>
    <x:col min="9" max="9" width="4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3" t="str">
        <x:v>KÍCH THƯỚC CẦN XÁC NHẬN / OPEN DIMENSIONS</x:v>
      </x:c>
      <x:c r="B2" s="2"/>
      <x:c r="C2" s="2"/>
      <x:c r="D2" s="2"/>
      <x:c r="E2" s="2"/>
      <x:c r="F2" s="2"/>
      <x:c r="G2" s="2"/>
      <x:c r="H2" s="2"/>
      <x:c r="I2" s="2"/>
    </x:row>
    <x:row r="3" ht="25" customHeight="1">
      <x:c r="A3" s="4"/>
      <x:c r="B3" s="4"/>
      <x:c r="C3" s="4"/>
      <x:c r="D3" s="4"/>
      <x:c r="E3" s="4"/>
      <x:c r="F3" s="4"/>
      <x:c r="G3" s="4"/>
      <x:c r="H3" s="4"/>
      <x:c r="I3" s="4"/>
    </x:row>
    <x:row r="4" ht="25" customHeight="1">
      <x:c r="A4" s="5" t="str">
        <x:v>Giữ nguyên các số ghi khác nhau. Ghi câu trả lời và nguồn mới ở hai cột cuối. / Preserve differing source values.</x:v>
      </x:c>
      <x:c r="B4" s="2"/>
      <x:c r="C4" s="2"/>
      <x:c r="D4" s="2"/>
      <x:c r="E4" s="2"/>
      <x:c r="F4" s="2"/>
      <x:c r="G4" s="2"/>
      <x:c r="H4" s="2"/>
      <x:c r="I4" s="2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</x:row>
    <x:row r="7" ht="38" customHeight="1">
      <x:c r="A7" s="14" t="str">
        <x:v>Mã / ID</x:v>
      </x:c>
      <x:c r="B7" s="15" t="str">
        <x:v>Vấn đề / Issue</x:v>
      </x:c>
      <x:c r="C7" s="15" t="str">
        <x:v>Bằng chứng / Evidence</x:v>
      </x:c>
      <x:c r="D7" s="15" t="str">
        <x:v>Mã nguồn / Source IDs</x:v>
      </x:c>
      <x:c r="E7" s="15" t="str">
        <x:v>Chênh (mm)</x:v>
      </x:c>
      <x:c r="F7" s="15" t="str">
        <x:v>Trạng thái / Status</x:v>
      </x:c>
      <x:c r="G7" s="15" t="str">
        <x:v>Thông tin cần bổ sung / Required information</x:v>
      </x:c>
      <x:c r="H7" s="15" t="str">
        <x:v>Giá trị xác nhận (mm)</x:v>
      </x:c>
      <x:c r="I7" s="16" t="str">
        <x:v>Nguồn xác nhận / New reference</x:v>
      </x:c>
    </x:row>
    <x:row r="8" ht="15" hidden="0" customHeight="1">
      <x:c r="A8" s="18" t="str">
        <x:v>ISSUE-P01</x:v>
      </x:c>
      <x:c r="B8" s="18" t="str">
        <x:v>Hai chiều dài tổng của mặt bằng mái / Roof overall lengths</x:v>
      </x:c>
      <x:c r="C8" s="18" t="str">
        <x:v>Roof same-sheet overall54794 at top versus54736 at bottom, difference58mm.</x:v>
      </x:c>
      <x:c r="D8" s="18" t="str">
        <x:v>P173, P174</x:v>
      </x:c>
      <x:c r="E8" s="20" t="n">
        <x:f>IF(OR(COUNTBLANK('Dimensions'!G181)&gt;0,COUNTBLANK('Dimensions'!G180)&gt;0),"",'Dimensions'!G181-'Dimensions'!G180)</x:f>
        <x:v>58</x:v>
      </x:c>
      <x:c r="F8" s="18" t="str">
        <x:v>Chưa xác nhận / Open</x:v>
      </x:c>
      <x:c r="G8" s="18" t="str">
        <x:v>Xác định mốc đầu/cuối cho chuỗi trên và dưới. / Confirm endpoints of both roof chains.</x:v>
      </x:c>
      <x:c r="H8" s="29"/>
      <x:c r="I8" s="30"/>
    </x:row>
    <x:row r="9" ht="15" hidden="0" customHeight="1">
      <x:c r="A9" s="18" t="str">
        <x:v>ISSUE-P02</x:v>
      </x:c>
      <x:c r="B9" s="18" t="str">
        <x:v>Chuỗi cửa gian 2′–3 lệch 10 mm / First opening-bay chain</x:v>
      </x:c>
      <x:c r="C9" s="18" t="str">
        <x:v>First lower nave-opening bay printed1135+2250+1125 gives4510 against4500 axis spacing.</x:v>
      </x:c>
      <x:c r="D9" s="18" t="str">
        <x:v>P084, P085, P086, P003</x:v>
      </x:c>
      <x:c r="E9" s="20" t="n">
        <x:f>IF(OR(COUNTBLANK('Dimensions'!G91)&gt;0,COUNTBLANK('Dimensions'!G92)&gt;0,COUNTBLANK('Dimensions'!G93)&gt;0,COUNTBLANK('Dimensions'!G10)&gt;0),"",'Dimensions'!G91+'Dimensions'!G92+'Dimensions'!G93-'Dimensions'!G10)</x:f>
        <x:v>10</x:v>
      </x:c>
      <x:c r="F9" s="18" t="str">
        <x:v>Chưa xác nhận / Open</x:v>
      </x:c>
      <x:c r="G9" s="18" t="str">
        <x:v>Xác nhận số 1,135 hoặc các mốc cửa. / Confirm 1,135 or the opening witnesses.</x:v>
      </x:c>
      <x:c r="H9" s="29"/>
      <x:c r="I9" s="30"/>
    </x:row>
    <x:row r="10" ht="24" hidden="0" customHeight="1">
      <x:c r="A10" s="18" t="str">
        <x:v>ISSUE-P03</x:v>
      </x:c>
      <x:c r="B10" s="18" t="str">
        <x:v>Biên ngoài cánh nhà / Side-wing outer envelope</x:v>
      </x:c>
      <x:c r="C10" s="18" t="str">
        <x:v>Wing envelope28158 differs1mm from26498 axis span plus main-body end margins832+829; wing-specific edge geometry must govern.</x:v>
      </x:c>
      <x:c r="D10" s="18" t="str">
        <x:v>P152, P023, P024, P027</x:v>
      </x:c>
      <x:c r="E10" s="20" t="n">
        <x:f>IF(OR(COUNTBLANK('Dimensions'!G159)&gt;0,COUNTBLANK('Dimensions'!G30)&gt;0,COUNTBLANK('Dimensions'!G31)&gt;0,COUNTBLANK('Dimensions'!G34)&gt;0),"",'Dimensions'!G159+'Dimensions'!G30+'Dimensions'!G31-'Dimensions'!G34)</x:f>
        <x:v>1</x:v>
      </x:c>
      <x:c r="F10" s="18" t="str">
        <x:v>Chưa xác nhận / Open</x:v>
      </x:c>
      <x:c r="G10" s="18" t="str">
        <x:v>Cần mốc biên riêng của cánh. / Obtain wing-specific edge offsets.</x:v>
      </x:c>
      <x:c r="H10" s="29"/>
      <x:c r="I10" s="30"/>
    </x:row>
    <x:row r="11" ht="24" hidden="0" customHeight="1">
      <x:c r="A11" s="18" t="str">
        <x:v>ISSUE-P04</x:v>
      </x:c>
      <x:c r="B11" s="18" t="str">
        <x:v>Đối chiếu các tờ bản vẽ / Drawing-to-drawing comparison</x:v>
      </x:c>
      <x:c r="C11" s="18" t="str">
        <x:v>Resolve drawing-to-drawing differences using the current coordinated revision. Keep each reported dimension tied to its own endpoints.</x:v>
      </x:c>
      <x:c r="D11" s="18" t="str">
        <x:v>Files 4–5</x:v>
      </x:c>
      <x:c r="E11" s="20"/>
      <x:c r="F11" s="18" t="str">
        <x:v>Chưa xác nhận / Open</x:v>
      </x:c>
      <x:c r="G11" s="18" t="str">
        <x:v>Xác nhận bộ bản vẽ cùng phiên bản. / Confirm the coordinated drawing revision.</x:v>
      </x:c>
      <x:c r="H11" s="29"/>
      <x:c r="I11" s="30"/>
    </x:row>
    <x:row r="12" ht="24" hidden="0" customHeight="1">
      <x:c r="A12" s="18" t="str">
        <x:v>ISSUE-P05</x:v>
      </x:c>
      <x:c r="B12" s="18" t="str">
        <x:v>Nhận dạng hình chữ nhật cung thánh / Sanctuary rectangle identity</x:v>
      </x:c>
      <x:c r="C12" s="18" t="str">
        <x:v>Unlabeled sanctuary-front rectangular feature has explicit1900×870mm dimensions but may be a step detail; do not assume it is an altar table.</x:v>
      </x:c>
      <x:c r="D12" s="18" t="str">
        <x:v>P115, P123</x:v>
      </x:c>
      <x:c r="E12" s="20"/>
      <x:c r="F12" s="18" t="str">
        <x:v>Chưa xác nhận / Open</x:v>
      </x:c>
      <x:c r="G12" s="18" t="str">
        <x:v>Xác nhận đây là bậc, đồ nội thất hay cấu kiện khác. / Identify the rectangular feature.</x:v>
      </x:c>
      <x:c r="H12" s="29"/>
      <x:c r="I12" s="30"/>
    </x:row>
    <x:row r="13" ht="36" hidden="0" customHeight="1">
      <x:c r="A13" s="18" t="str">
        <x:v>EI01</x:v>
      </x:c>
      <x:c r="B13" s="18" t="str">
        <x:v>Chuỗi đỉnh tháp lệch 1 mm / Tower-cap closure</x:v>
      </x:c>
      <x:c r="C13" s="18" t="str">
        <x:v>4125+1814+1892 = 7831; 36920-29090 = 7830
Cap segment closure is 1 mm greater than overall datum difference. Preserve printed inputs and flag; do not silently move cross top or change a segment.</x:v>
      </x:c>
      <x:c r="D13" s="18" t="str">
        <x:v>E006, E007, E013, E014, E015</x:v>
      </x:c>
      <x:c r="E13" s="20" t="n">
        <x:f>IF(OR(COUNTBLANK('Dimensions'!G233)&gt;0,COUNTBLANK('Dimensions'!G234)&gt;0,COUNTBLANK('Dimensions'!G235)&gt;0,COUNTBLANK('Dimensions'!G227)&gt;0,COUNTBLANK('Dimensions'!G226)&gt;0),"",'Dimensions'!G233+'Dimensions'!G234+'Dimensions'!G235-('Dimensions'!G227-'Dimensions'!G226))</x:f>
        <x:v>1</x:v>
      </x:c>
      <x:c r="F13" s="18" t="str">
        <x:v>Chưa xác nhận / Open</x:v>
      </x:c>
      <x:c r="G13" s="18" t="str">
        <x:v>Xác nhận chuỗi đỉnh tháp hoặc cốt thánh giá. / Confirm cap segments or cross level.</x:v>
      </x:c>
      <x:c r="H13" s="29"/>
      <x:c r="I13" s="30"/>
    </x:row>
    <x:row r="14" ht="36" hidden="0" customHeight="1">
      <x:c r="A14" s="18" t="str">
        <x:v>EI02</x:v>
      </x:c>
      <x:c r="B14" s="18" t="str">
        <x:v>Chuỗi mặt đứng trung tâm lệch 1 mm / Central facade closure</x:v>
      </x:c>
      <x:c r="C14" s="18" t="str">
        <x:v>621+5959+621 = 7201 versus grid E-D = 7200
Central facade subdimension closure differs by 1 mm. Preserve values and flag; do not silently use 5958 in place of printed 5959.</x:v>
      </x:c>
      <x:c r="D14" s="18" t="str">
        <x:v>E021, E029, E030, E031</x:v>
      </x:c>
      <x:c r="E14" s="20" t="n">
        <x:f>IF(OR(COUNTBLANK('Dimensions'!G249)&gt;0,COUNTBLANK('Dimensions'!G250)&gt;0,COUNTBLANK('Dimensions'!G251)&gt;0,COUNTBLANK('Dimensions'!G241)&gt;0),"",'Dimensions'!G249+'Dimensions'!G250+'Dimensions'!G251-'Dimensions'!G241)</x:f>
        <x:v>1</x:v>
      </x:c>
      <x:c r="F14" s="18" t="str">
        <x:v>Chưa xác nhận / Open</x:v>
      </x:c>
      <x:c r="G14" s="18" t="str">
        <x:v>Xác nhận 5,959 mm và hai khoảng 621 mm. / Confirm 5,959 and the two 621 mm offsets.</x:v>
      </x:c>
      <x:c r="H14" s="29"/>
      <x:c r="I14" s="30"/>
    </x:row>
    <x:row r="15" ht="24" hidden="0" customHeight="1">
      <x:c r="A15" s="18" t="str">
        <x:v>RFI-S01</x:v>
      </x:c>
      <x:c r="B15" s="18" t="str">
        <x:v>Tổng cao mặt cắt lệch 76 mm / Section overall height</x:v>
      </x:c>
      <x:c r="C15" s="18" t="str">
        <x:v>Both section sheets label ridge +12.472 m and courtyard −2.08 m, giving14552 mm; overall dimension14476 mm differs76 mm. Obtain corrected level/overall dimension from designer.</x:v>
      </x:c>
      <x:c r="D15" s="18" t="str">
        <x:v>S001, S005, S006, S143</x:v>
      </x:c>
      <x:c r="E15" s="20" t="n">
        <x:f>IF(OR(COUNTBLANK('Dimensions'!G448)&gt;0,COUNTBLANK('Dimensions'!G311)&gt;0),"",'Dimensions'!G448-'Dimensions'!G311)</x:f>
        <x:v>76</x:v>
      </x:c>
      <x:c r="F15" s="18" t="str">
        <x:v>Chưa xác nhận / Open</x:v>
      </x:c>
      <x:c r="G15" s="18" t="str">
        <x:v>Xác nhận cốt sân, cốt nóc và tổng cao. / Resolve the level and overall-height conflict.</x:v>
      </x:c>
      <x:c r="H15" s="29"/>
      <x:c r="I15" s="30"/>
    </x:row>
    <x:row r="16" ht="15" hidden="0" customHeight="1">
      <x:c r="A16" s="18" t="str">
        <x:v>RFI-S02</x:v>
      </x:c>
      <x:c r="B16" s="18" t="str">
        <x:v>Cao độ phào ngoài lệch 1 mm / Exterior cornice level</x:v>
      </x:c>
      <x:c r="C16" s="18" t="str">
        <x:v>Section +6.325 m and exterior detail chain6325 mm conflict with overall6324 mm on printed sheets12/13.</x:v>
      </x:c>
      <x:c r="D16" s="18" t="str">
        <x:v>S003, S088, S148</x:v>
      </x:c>
      <x:c r="E16" s="20" t="n">
        <x:f>IF(OR(COUNTBLANK('Dimensions'!G453)&gt;0,COUNTBLANK('Dimensions'!G393)&gt;0),"",'Dimensions'!G453-'Dimensions'!G393)</x:f>
        <x:v>1</x:v>
      </x:c>
      <x:c r="F16" s="18" t="str">
        <x:v>Chưa xác nhận / Open</x:v>
      </x:c>
      <x:c r="G16" s="18" t="str">
        <x:v>Xác nhận 6,324 hoặc 6,325 mm theo mốc. / Confirm cornice level and witness.</x:v>
      </x:c>
      <x:c r="H16" s="29"/>
      <x:c r="I16" s="30"/>
    </x:row>
    <x:row r="17" ht="15" hidden="0" customHeight="1">
      <x:c r="A17" s="18" t="str">
        <x:v>RFI-S03</x:v>
      </x:c>
      <x:c r="B17" s="18" t="str">
        <x:v>Chuỗi cửa cung thánh lệch 1 mm / Sanctuary doorway chain</x:v>
      </x:c>
      <x:c r="C17" s="18" t="str">
        <x:v>Printed2554+396=2950 mm, while aligned right-side dimension is2951 mm. Verify reference surfaces/tolerance.</x:v>
      </x:c>
      <x:c r="D17" s="18" t="str">
        <x:v>S074, S075, S076</x:v>
      </x:c>
      <x:c r="E17" s="20" t="n">
        <x:f>IF(OR(COUNTBLANK('Dimensions'!G381)&gt;0,COUNTBLANK('Dimensions'!G379)&gt;0,COUNTBLANK('Dimensions'!G380)&gt;0),"",'Dimensions'!G381-'Dimensions'!G379-'Dimensions'!G380)</x:f>
        <x:v>1</x:v>
      </x:c>
      <x:c r="F17" s="18" t="str">
        <x:v>Chưa xác nhận / Open</x:v>
      </x:c>
      <x:c r="G17" s="18" t="str">
        <x:v>Xác nhận các mặt chuẩn của chuỗi cửa. / Confirm doorway reference surfaces.</x:v>
      </x:c>
      <x:c r="H17" s="29"/>
      <x:c r="I17" s="30"/>
    </x:row>
    <x:row r="18" ht="24" hidden="0" customHeight="1">
      <x:c r="A18" s="18" t="str">
        <x:v>RFI-S04</x:v>
      </x:c>
      <x:c r="B18" s="18" t="str">
        <x:v>Vòm cửa trong và ngoài lệch 70 mm / Inner and outer door heads</x:v>
      </x:c>
      <x:c r="C18" s="18" t="str">
        <x:v>Exterior doorway springline3101+rise1140 gives4241 mm; interior doorway2951+band220+rise1140 gives4311 mm. Clarify70 mm offset and wall locations before modeling a shared opening.</x:v>
      </x:c>
      <x:c r="D18" s="18" t="str">
        <x:v>S124, S125, S130, S131, S132, S153, S154</x:v>
      </x:c>
      <x:c r="E18" s="20" t="n">
        <x:f>IF(OR(COUNTBLANK('Dimensions'!G459)&gt;0,COUNTBLANK('Dimensions'!G458)&gt;0),"",'Dimensions'!G459-'Dimensions'!G458)</x:f>
        <x:v>70</x:v>
      </x:c>
      <x:c r="F18" s="18" t="str">
        <x:v>Chưa xác nhận / Open</x:v>
      </x:c>
      <x:c r="G18" s="18" t="str">
        <x:v>Xác nhận hai lớp tường và độ lệch vòm. / Confirm wall planes and arch offset.</x:v>
      </x:c>
      <x:c r="H18" s="29"/>
      <x:c r="I18" s="30"/>
    </x:row>
    <x:row r="19" ht="36" hidden="0" customHeight="1">
      <x:c r="A19" s="18" t="str">
        <x:v>RFI-S05</x:v>
      </x:c>
      <x:c r="B19" s="18" t="str">
        <x:v>Độ dốc và kết cấu mái / Roof pitch and structure</x:v>
      </x:c>
      <x:c r="C19" s="18" t="str">
        <x:v>Roof form and material notes are supplied, but no pitch angle, purlin spacing/section, truss joints, tile thickness, roof overhang dimensions, or complete support contact elevations are given in these four sheets. Need roof framing/details or CAD geometry.</x:v>
      </x:c>
      <x:c r="D19" s="18" t="str">
        <x:v>P212, S002, S023, S081</x:v>
      </x:c>
      <x:c r="E19" s="20"/>
      <x:c r="F19" s="18" t="str">
        <x:v>Chưa xác nhận / Open</x:v>
      </x:c>
      <x:c r="G19" s="18" t="str">
        <x:v>Bổ sung chi tiết hoặc hình học CAD tương ứng. / Supply the relevant dimensioned detail or CAD geometry.</x:v>
      </x:c>
      <x:c r="H19" s="29"/>
      <x:c r="I19" s="30"/>
    </x:row>
    <x:row r="20" ht="36" hidden="0" customHeight="1">
      <x:c r="A20" s="18" t="str">
        <x:v>RFI-S06</x:v>
      </x:c>
      <x:c r="B20" s="18" t="str">
        <x:v>Đường cong và hoa văn / Curves and ornaments</x:v>
      </x:c>
      <x:c r="C20" s="18" t="str">
        <x:v>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x:v>
      </x:c>
      <x:c r="D20" s="18" t="str">
        <x:v>Files 6–9</x:v>
      </x:c>
      <x:c r="E20" s="20"/>
      <x:c r="F20" s="18" t="str">
        <x:v>Chưa xác nhận / Open</x:v>
      </x:c>
      <x:c r="G20" s="18" t="str">
        <x:v>Bổ sung chi tiết hoặc hình học CAD tương ứng. / Supply the relevant dimensioned detail or CAD geometry.</x:v>
      </x:c>
      <x:c r="H20" s="29"/>
      <x:c r="I20" s="30"/>
    </x:row>
    <x:row r="21" ht="24" hidden="0" customHeight="1">
      <x:c r="A21" s="18" t="str">
        <x:v>RFI-S07</x:v>
      </x:c>
      <x:c r="B21" s="18" t="str">
        <x:v>Tiết diện cột và móng / Column and footing sections</x:v>
      </x:c>
      <x:c r="C21" s="18" t="str">
        <x:v>Shown foundation offsets are not column shaft sizes; exact post cross-sections, taper, footing depth, concrete grades and reinforcing details are absent from these architectural sections.</x:v>
      </x:c>
      <x:c r="D21" s="18" t="str">
        <x:v>Files 6–9</x:v>
      </x:c>
      <x:c r="E21" s="20"/>
      <x:c r="F21" s="18" t="str">
        <x:v>Chưa xác nhận / Open</x:v>
      </x:c>
      <x:c r="G21" s="18" t="str">
        <x:v>Bổ sung chi tiết hoặc hình học CAD tương ứng. / Supply the relevant dimensioned detail or CAD geometry.</x:v>
      </x:c>
      <x:c r="H21" s="29"/>
      <x:c r="I21" s="30"/>
    </x:row>
    <x:row r="22" ht="24" hidden="0" customHeight="1">
      <x:c r="A22" s="18" t="str">
        <x:v>RFI-S08</x:v>
      </x:c>
      <x:c r="B22" s="18" t="str">
        <x:v>Chiều dày lớp hoàn thiện / Finish thicknesses</x:v>
      </x:c>
      <x:c r="C22" s="18" t="str">
        <x:v>Concrete floor slab8 cm, veranda roof RC13 cm and material descriptions exist, but natural-stone thickness, sand-fill depth, waterproofing, roof-tile thickness and finish buildup are unspecified.</x:v>
      </x:c>
      <x:c r="D22" s="18" t="str">
        <x:v>S045, S080, S081</x:v>
      </x:c>
      <x:c r="E22" s="20"/>
      <x:c r="F22" s="18" t="str">
        <x:v>Chưa xác nhận / Open</x:v>
      </x:c>
      <x:c r="G22" s="18" t="str">
        <x:v>Bổ sung chi tiết hoặc hình học CAD tương ứng. / Supply the relevant dimensioned detail or CAD geometry.</x:v>
      </x:c>
      <x:c r="H22" s="29"/>
      <x:c r="I22" s="30"/>
    </x:row>
    <x:row r="23" ht="24" hidden="0" customHeight="1">
      <x:c r="A23" s="18" t="str">
        <x:v>RFI-S09</x:v>
      </x:c>
      <x:c r="B23" s="18" t="str">
        <x:v>Bậc cung thánh và đồ phụng vụ / Sanctuary steps and furniture</x:v>
      </x:c>
      <x:c r="C23" s="18" t="str">
        <x:v>Dais elevations are supplied; stair width/run/treads, altar dimensions/location, liturgical furniture and detailed handrails are not dimensioned in these four sheets.</x:v>
      </x:c>
      <x:c r="D23" s="18" t="str">
        <x:v>Files 6–9</x:v>
      </x:c>
      <x:c r="E23" s="20"/>
      <x:c r="F23" s="18" t="str">
        <x:v>Chưa xác nhận / Open</x:v>
      </x:c>
      <x:c r="G23" s="18" t="str">
        <x:v>Bổ sung chi tiết hoặc hình học CAD tương ứng. / Supply the relevant dimensioned detail or CAD geometry.</x:v>
      </x:c>
      <x:c r="H23" s="29"/>
      <x:c r="I23" s="30"/>
    </x:row>
    <x:row r="24" ht="24" hidden="0" customHeight="1">
      <x:c r="A24" s="18" t="str">
        <x:v>RFI-S10</x:v>
      </x:c>
      <x:c r="B24" s="18" t="str">
        <x:v>Phân biệt hai lớp cửa sổ / Inner and outer window identity</x:v>
      </x:c>
      <x:c r="C24" s="18" t="str">
        <x:v>Printed sheet12 exterior is a pair of1000-wide openings with850 sill; interior is one2250-wide opening with650 sill. They correspond to different wall/arcade planes. Do not fuse them into one window without plan confirmation.</x:v>
      </x:c>
      <x:c r="D24" s="18" t="str">
        <x:v>S084, S086, S091, S103, S105</x:v>
      </x:c>
      <x:c r="E24" s="20"/>
      <x:c r="F24" s="18" t="str">
        <x:v>Chưa xác nhận / Open</x:v>
      </x:c>
      <x:c r="G24" s="18" t="str">
        <x:v>Bổ sung chi tiết hoặc hình học CAD tương ứng. / Supply the relevant dimensioned detail or CAD geometry.</x:v>
      </x:c>
      <x:c r="H24" s="29"/>
      <x:c r="I24" s="30"/>
    </x:row>
    <x:row r="25" ht="24" hidden="0" customHeight="1">
      <x:c r="A25" s="18" t="str">
        <x:v>ISSUE-C01</x:v>
      </x:c>
      <x:c r="B25" s="18" t="str">
        <x:v>Khác biệt chiều dài mặt bằng và mặt đứng / Plan and elevation length</x:v>
      </x:c>
      <x:c r="C25" s="18" t="str">
        <x:v>Floor overall67064 and side-elevation67149 differ85mm; the printed/derived endpoint differences are−25mm at approach and+110mm at far end. Geometry/revision intent is not confirmed. Preserve both source chains.</x:v>
      </x:c>
      <x:c r="D25" s="18" t="str">
        <x:v>P021, E065, P020, E051, P155, E064</x:v>
      </x:c>
      <x:c r="E25" s="20" t="n">
        <x:f>IF(OR(COUNTBLANK('Dimensions'!G285)&gt;0,COUNTBLANK('Dimensions'!G28)&gt;0),"",'Dimensions'!G285-'Dimensions'!G28)</x:f>
        <x:v>85</x:v>
      </x:c>
      <x:c r="F25" s="18" t="str">
        <x:v>Chưa xác nhận / Open</x:v>
      </x:c>
      <x:c r="G25" s="18" t="str">
        <x:v>Xác nhận hai mốc biên và phiên bản bản vẽ. / Confirm extent witnesses and drawing revision.</x:v>
      </x:c>
      <x:c r="H25" s="29"/>
      <x:c r="I25" s="30"/>
    </x:row>
    <x:row r="26" ht="24" hidden="0" customHeight="1">
      <x:c r="A26" s="18" t="str">
        <x:v>ISSUE-C02</x:v>
      </x:c>
      <x:c r="B26" s="18" t="str">
        <x:v>Cao độ nóc mái cánh / Side-wing ridge heights</x:v>
      </x:c>
      <x:c r="C26" s="18" t="str">
        <x:v>Main ridge/reference+12.472m is confirmed by other sheets. No exact side-wing ridge height is supplied. Do not assign the main ridge height to the short side-wing ridges.</x:v>
      </x:c>
      <x:c r="D26" s="18" t="str">
        <x:v>P212</x:v>
      </x:c>
      <x:c r="E26" s="20"/>
      <x:c r="F26" s="18" t="str">
        <x:v>Chưa xác nhận / Open</x:v>
      </x:c>
      <x:c r="G26" s="18" t="str">
        <x:v>Cần cao độ nóc riêng cho từng cánh. / Supply each side-wing ridge level.</x:v>
      </x:c>
      <x:c r="H26" s="29"/>
      <x:c r="I26" s="30"/>
    </x:row>
    <x:row r="27" ht="24" hidden="0" customHeight="1">
      <x:c r="A27" s="18" t="str">
        <x:v>ISSUE-C03</x:v>
      </x:c>
      <x:c r="B27" s="18" t="str">
        <x:v>Giả thiết đối xứng mặt cắt / Section symmetry assumption</x:v>
      </x:c>
      <x:c r="C27" s="18" t="str">
        <x:v>780mm symmetric offset is derived from section widths. Equality of two offsets is an explicit assumption, not independent measurements and not a replacement for differing ground-plan/elevation projections.</x:v>
      </x:c>
      <x:c r="D27" s="18" t="str">
        <x:v>S137</x:v>
      </x:c>
      <x:c r="E27" s="20"/>
      <x:c r="F27" s="18" t="str">
        <x:v>Giả thiết / Assumption</x:v>
      </x:c>
      <x:c r="G27" s="18" t="str">
        <x:v>Xác nhận hai biên có đối xứng hay không. / Confirm whether the section edges are symmetric.</x:v>
      </x:c>
      <x:c r="H27" s="29"/>
      <x:c r="I27" s="30"/>
    </x:row>
    <x:row r="28" ht="36" hidden="0" customHeight="1">
      <x:c r="A28" s="18" t="str">
        <x:v>ISSUE-C04</x:v>
      </x:c>
      <x:c r="B28" s="18" t="str">
        <x:v>Gán loại cửa vào mặt bằng / Map opening details to locations</x:v>
      </x:c>
      <x:c r="C28" s="18" t="str">
        <x:v>Files8/9 provide heights for selected opening types. Exterior paired1000mm openings and inner2250mm openings belong to different facade/arcade planes. Map detail types to exact plan instances; preserve70mm interior/exterior crown difference and unknown curve radii.</x:v>
      </x:c>
      <x:c r="D28" s="18" t="str">
        <x:v>P213, S105, S124, S130, S150, S151, S153, S154</x:v>
      </x:c>
      <x:c r="E28" s="20"/>
      <x:c r="F28" s="18" t="str">
        <x:v>Còn một phần / Partial</x:v>
      </x:c>
      <x:c r="G28" s="18" t="str">
        <x:v>Cần mã loại cửa và vị trí từng cửa. / Map detail types to opening instances.</x:v>
      </x:c>
      <x:c r="H28" s="29"/>
      <x:c r="I28" s="30"/>
    </x:row>
    <x:row r="29" ht="24" hidden="0" customHeight="1">
      <x:c r="A29" s="18" t="str">
        <x:v>ISSUE-C05</x:v>
      </x:c>
      <x:c r="B29" s="18" t="str">
        <x:v>Khác biệt bề ngang theo mốc đo / Widths by source witness</x:v>
      </x:c>
      <x:c r="C29" s="18" t="str">
        <x:v>Floor main exterior22489, opposite elevation22486, and section exterior22388 are different printed dimensions. Do not force these to one dimension without architectural witness confirmation.</x:v>
      </x:c>
      <x:c r="D29" s="18" t="str">
        <x:v>P026, E078, S012</x:v>
      </x:c>
      <x:c r="E29" s="20"/>
      <x:c r="F29" s="18" t="str">
        <x:v>Chưa xác nhận / Open</x:v>
      </x:c>
      <x:c r="G29" s="18" t="str">
        <x:v>Xác nhận mốc tường, phào và biên mái. / Confirm wall, molding and roof witnesses.</x:v>
      </x:c>
      <x:c r="H29" s="29"/>
      <x:c r="I29" s="30"/>
    </x:row>
  </x:sheetData>
  <x:conditionalFormatting sqref="F8:F29">
    <x:cfRule type="containsText" dxfId="1" priority="1" operator="containsText" text="Open"/>
    <x:cfRule type="containsText" dxfId="2" priority="2" operator="containsText" text="Assumption"/>
  </x:conditionalFormatting>
  <x:pageMargins left="0.7" right="0.7" top="0.75" bottom="0.75" header="0.3" footer="0.3"/>
  <x:tableParts count="1">
    <x:tablePart xmlns:r="http://schemas.openxmlformats.org/officeDocument/2006/relationships" r:id="R8890955195354351"/>
  </x:tableParts>
</x:worksheet>
</file>

<file path=xl/worksheets/sheet4.xml><?xml version="1.0" encoding="utf-8"?>
<x:worksheet xmlns:x="http://schemas.openxmlformats.org/spreadsheetml/2006/main">
  <x:sheetPr>
    <x:tabColor rgb="FF7B8B94"/>
  </x:sheetPr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48" hidden="0" customWidth="1"/>
    <x:col min="4" max="4" width="88" hidden="0" customWidth="1"/>
    <x:col min="5" max="5" width="16" hidden="0" customWidth="1"/>
  </x:cols>
  <x:sheetData>
    <x:row r="1" ht="25" customHeight="1">
      <x:c r="A1" s="2"/>
      <x:c r="B1" s="2"/>
      <x:c r="C1" s="2"/>
      <x:c r="D1" s="2"/>
      <x:c r="E1" s="2"/>
    </x:row>
    <x:row r="2" ht="25" customHeight="1">
      <x:c r="A2" s="3" t="str">
        <x:v>NGUỒN BẢN VẼ / DRAWING SOURCES</x:v>
      </x:c>
      <x:c r="B2" s="2"/>
      <x:c r="C2" s="2"/>
      <x:c r="D2" s="2"/>
      <x:c r="E2" s="2"/>
    </x:row>
    <x:row r="3" ht="25" customHeight="1">
      <x:c r="A3" s="4"/>
      <x:c r="B3" s="4"/>
      <x:c r="C3" s="4"/>
      <x:c r="D3" s="4"/>
      <x:c r="E3" s="4"/>
    </x:row>
    <x:row r="4" ht="25" customHeight="1">
      <x:c r="A4" s="5" t="str">
        <x:v>Số cuối tên file khác số tờ in trên bản vẽ. / The filename suffix and printed sheet number are different.</x:v>
      </x:c>
      <x:c r="B4" s="2"/>
      <x:c r="C4" s="2"/>
      <x:c r="D4" s="2"/>
      <x:c r="E4" s="2"/>
    </x:row>
    <x:row r="5" ht="25" customHeight="1">
      <x:c r="A5" s="2"/>
      <x:c r="B5" s="2"/>
      <x:c r="C5" s="2"/>
      <x:c r="D5" s="2"/>
      <x:c r="E5" s="2"/>
    </x:row>
    <x:row r="6" ht="25" customHeight="1">
      <x:c r="A6" s="2"/>
      <x:c r="B6" s="2"/>
      <x:c r="C6" s="2"/>
      <x:c r="D6" s="2"/>
      <x:c r="E6" s="2"/>
    </x:row>
    <x:row r="7" ht="38" customHeight="1">
      <x:c r="A7" s="14" t="str">
        <x:v>File</x:v>
      </x:c>
      <x:c r="B7" s="15" t="str">
        <x:v>Tờ in / Printed sheet</x:v>
      </x:c>
      <x:c r="C7" s="15" t="str">
        <x:v>Nội dung / Drawing</x:v>
      </x:c>
      <x:c r="D7" s="15" t="str">
        <x:v>Tên file gốc / Original filename</x:v>
      </x:c>
      <x:c r="E7" s="16" t="str">
        <x:v>Trang PDF / Page</x:v>
      </x:c>
    </x:row>
    <x:row r="8" ht="24" hidden="0" customHeight="1">
      <x:c r="A8" s="32" t="n">
        <x:v>1</x:v>
      </x:c>
      <x:c r="B8" s="32" t="n">
        <x:v>1</x:v>
      </x:c>
      <x:c r="C8" s="18" t="str">
        <x:v>MẶT ĐỨNG CUỐI
Twin-tower end</x:v>
      </x:c>
      <x:c r="D8" s="18" t="str">
        <x:v>MẶT BẰNG NHÀ THỜ GIÁO XỨ THẠCH BI-Model.pdf 1.pdf</x:v>
      </x:c>
      <x:c r="E8" s="32" t="n">
        <x:v>1</x:v>
      </x:c>
    </x:row>
    <x:row r="9" ht="24" hidden="0" customHeight="1">
      <x:c r="A9" s="32" t="n">
        <x:v>2</x:v>
      </x:c>
      <x:c r="B9" s="32" t="n">
        <x:v>2</x:v>
      </x:c>
      <x:c r="C9" s="18" t="str">
        <x:v>MẶT ĐỨNG HAI BÊN
Both side elevations</x:v>
      </x:c>
      <x:c r="D9" s="18" t="str">
        <x:v>MẶT BẰNG NHÀ THỜ GIÁO XỨ THẠCH BI-Model.pdf 2.pdf</x:v>
      </x:c>
      <x:c r="E9" s="32" t="n">
        <x:v>1</x:v>
      </x:c>
    </x:row>
    <x:row r="10" ht="24" hidden="0" customHeight="1">
      <x:c r="A10" s="32" t="n">
        <x:v>3</x:v>
      </x:c>
      <x:c r="B10" s="32" t="n">
        <x:v>3</x:v>
      </x:c>
      <x:c r="C10" s="18" t="str">
        <x:v>MẶT ĐỨNG ĐẦU
Opposite gabled end</x:v>
      </x:c>
      <x:c r="D10" s="18" t="str">
        <x:v>MẶT BẰNG NHÀ THỜ GIÁO XỨ THẠCH BI-Model.pdf 3.pdf</x:v>
      </x:c>
      <x:c r="E10" s="32" t="n">
        <x:v>1</x:v>
      </x:c>
    </x:row>
    <x:row r="11" ht="24" hidden="0" customHeight="1">
      <x:c r="A11" s="32" t="n">
        <x:v>4</x:v>
      </x:c>
      <x:c r="B11" s="32" t="n">
        <x:v>6</x:v>
      </x:c>
      <x:c r="C11" s="18" t="str">
        <x:v>MẶT BẰNG +00
Ground-floor plan</x:v>
      </x:c>
      <x:c r="D11" s="18" t="str">
        <x:v>MẶT BẰNG NHÀ THỜ GIÁO XỨ THẠCH BI-Model.pdf 4.pdf</x:v>
      </x:c>
      <x:c r="E11" s="32" t="n">
        <x:v>1</x:v>
      </x:c>
    </x:row>
    <x:row r="12" ht="24" hidden="0" customHeight="1">
      <x:c r="A12" s="32" t="n">
        <x:v>5</x:v>
      </x:c>
      <x:c r="B12" s="32" t="n">
        <x:v>11</x:v>
      </x:c>
      <x:c r="C12" s="18" t="str">
        <x:v>MẶT BẰNG MÁI CHẢY
Roof plan</x:v>
      </x:c>
      <x:c r="D12" s="18" t="str">
        <x:v>MẶT BẰNG NHÀ THỜ GIÁO XỨ THẠCH BI-Model.pdf 5.pdf</x:v>
      </x:c>
      <x:c r="E12" s="32" t="n">
        <x:v>1</x:v>
      </x:c>
    </x:row>
    <x:row r="13" ht="24" hidden="0" customHeight="1">
      <x:c r="A13" s="32" t="n">
        <x:v>6</x:v>
      </x:c>
      <x:c r="B13" s="32" t="n">
        <x:v>4</x:v>
      </x:c>
      <x:c r="C13" s="18" t="str">
        <x:v>Mặt cắt thân nhà thờ
Nave transverse section</x:v>
      </x:c>
      <x:c r="D13" s="18" t="str">
        <x:v>MẶT BẰNG NHÀ THỜ GIÁO XỨ THẠCH BI-Model.pdf 6.pdf</x:v>
      </x:c>
      <x:c r="E13" s="32" t="n">
        <x:v>1</x:v>
      </x:c>
    </x:row>
    <x:row r="14" ht="24" hidden="0" customHeight="1">
      <x:c r="A14" s="32" t="n">
        <x:v>7</x:v>
      </x:c>
      <x:c r="B14" s="32" t="n">
        <x:v>5</x:v>
      </x:c>
      <x:c r="C14" s="18" t="str">
        <x:v>Mặt cắt cung thánh
Sanctuary transverse section</x:v>
      </x:c>
      <x:c r="D14" s="18" t="str">
        <x:v>MẶT BẰNG NHÀ THỜ GIÁO XỨ THẠCH BI-Model.pdf 7.pdf</x:v>
      </x:c>
      <x:c r="E14" s="32" t="n">
        <x:v>1</x:v>
      </x:c>
    </x:row>
    <x:row r="15" ht="24" hidden="0" customHeight="1">
      <x:c r="A15" s="32" t="n">
        <x:v>8</x:v>
      </x:c>
      <x:c r="B15" s="32" t="n">
        <x:v>12</x:v>
      </x:c>
      <x:c r="C15" s="18" t="str">
        <x:v>Chi tiết cửa sổ, cột và đỉnh
Window, pilaster and finial details</x:v>
      </x:c>
      <x:c r="D15" s="18" t="str">
        <x:v>MẶT BẰNG NHÀ THỜ GIÁO XỨ THẠCH BI-Model.pdf 8.pdf</x:v>
      </x:c>
      <x:c r="E15" s="32" t="n">
        <x:v>1</x:v>
      </x:c>
    </x:row>
    <x:row r="16" ht="24" hidden="0" customHeight="1">
      <x:c r="A16" s="32" t="n">
        <x:v>9</x:v>
      </x:c>
      <x:c r="B16" s="32" t="n">
        <x:v>13</x:v>
      </x:c>
      <x:c r="C16" s="18" t="str">
        <x:v>Chi tiết cửa đi
Doorway bay details</x:v>
      </x:c>
      <x:c r="D16" s="18" t="str">
        <x:v>MẶT BẰNG NHÀ THỜ GIÁO XỨ THẠCH BI-Model.pdf 9.pdf</x:v>
      </x:c>
      <x:c r="E16" s="32" t="n">
        <x:v>1</x:v>
      </x:c>
    </x:row>
    <x:row r="20" ht="31" customHeight="1">
      <x:c r="A20" s="33" t="str">
        <x:v>QUY ƯỚC MÔ HÌNH / MODEL CONVENTIONS</x:v>
      </x:c>
      <x:c r="B20" s="2"/>
      <x:c r="C20" s="2"/>
      <x:c r="D20" s="2"/>
      <x:c r="E20" s="2"/>
    </x:row>
    <x:row r="21" ht="31" customHeight="1">
      <x:c r="A21" s="34"/>
      <x:c r="B21" s="34"/>
      <x:c r="C21" s="34"/>
      <x:c r="D21" s="34"/>
      <x:c r="E21" s="34"/>
    </x:row>
    <x:row r="22" ht="31" customHeight="1">
      <x:c r="A22" s="35" t="str">
        <x:v>Đơn vị / Units</x:v>
      </x:c>
      <x:c r="B22" s="2"/>
      <x:c r="C22" s="36" t="str">
        <x:v>1 Three.js unit = 1 m. Cột mm và m được tính từ trị số gốc. / mm and m columns calculate from the original source value.</x:v>
      </x:c>
      <x:c r="D22" s="2"/>
      <x:c r="E22" s="2"/>
    </x:row>
    <x:row r="23" ht="31" customHeight="1">
      <x:c r="A23" s="35" t="str">
        <x:v>Trục X / X</x:v>
      </x:c>
      <x:c r="B23" s="2"/>
      <x:c r="C23" s="36" t="str">
        <x:v>Dọc nhà: trục 1 = 0; chiều dương về trục 12. / Longitudinal: axis 1 = 0, positive toward axis 12.</x:v>
      </x:c>
      <x:c r="D23" s="2"/>
      <x:c r="E23" s="2"/>
    </x:row>
    <x:row r="24" ht="31" customHeight="1">
      <x:c r="A24" s="35" t="str">
        <x:v>Trục Y / Y</x:v>
      </x:c>
      <x:c r="B24" s="2"/>
      <x:c r="C24" s="36" t="str">
        <x:v>Chiều cao: sàn gian chính ±0.000 = 0; chiều dương lên trên. / Vertical: main floor = 0, positive upward.</x:v>
      </x:c>
      <x:c r="D24" s="2"/>
      <x:c r="E24" s="2"/>
    </x:row>
    <x:row r="25" ht="31" customHeight="1">
      <x:c r="A25" s="35" t="str">
        <x:v>Trục Z / Z</x:v>
      </x:c>
      <x:c r="B25" s="2"/>
      <x:c r="C25" s="36" t="str">
        <x:v>Ngang nhà: trung điểm D–E = 0; chiều dương về G/H/I. / Transverse: midpoint D–E = 0, positive toward G/H/I.</x:v>
      </x:c>
      <x:c r="D25" s="2"/>
      <x:c r="E25" s="2"/>
    </x:row>
    <x:row r="26" ht="31" customHeight="1">
      <x:c r="A26" s="35" t="str">
        <x:v>Trục gốc / Axes</x:v>
      </x:c>
      <x:c r="B26" s="2"/>
      <x:c r="C26" s="36" t="str">
        <x:v>Mặt cắt gốc: X → Z mô hình; Y → Y; Z → X. NORMAL là độ dày theo pháp tuyến cục bộ. / Source section axes are remapped.</x:v>
      </x:c>
      <x:c r="D26" s="2"/>
      <x:c r="E26" s="2"/>
    </x:row>
    <x:row r="27" ht="31" customHeight="1">
      <x:c r="A27" s="35" t="str">
        <x:v>Tọa độ / Coords</x:v>
      </x:c>
      <x:c r="B27" s="2"/>
      <x:c r="C27" s="36" t="str">
        <x:v>P141–P148 giữ gốc A. Model grid trừ P154 = 13,249 mm để đặt gốc Z tại D–E. / Source A-based coordinates remain intact.</x:v>
      </x:c>
      <x:c r="D27" s="2"/>
      <x:c r="E27" s="2"/>
    </x:row>
    <x:row r="28" ht="31" customHeight="1">
      <x:c r="A28" s="35" t="str">
        <x:v>Ô trống / Blank</x:v>
      </x:c>
      <x:c r="B28" s="2"/>
      <x:c r="C28" s="36" t="str">
        <x:v>Chưa có kích thước thì để trống. Số 0 chỉ dùng cho cốt hoặc kết quả bằng 0. / Missing values are not filled with zero.</x:v>
      </x:c>
      <x:c r="D28" s="2"/>
      <x:c r="E28" s="2"/>
    </x:row>
    <x:row r="29" ht="31" customHeight="1">
      <x:c r="A29" s="35" t="str">
        <x:v>Khác biệt / Gaps</x:v>
      </x:c>
      <x:c r="B29" s="2"/>
      <x:c r="C29" s="36" t="str">
        <x:v>Giữ riêng các kích thước theo mốc của từng tờ. Xem Open items để xác nhận. / Distinct source witnesses stay separate.</x:v>
      </x:c>
      <x:c r="D29" s="2"/>
      <x:c r="E29" s="2"/>
    </x:row>
    <x:row r="30" ht="31" customHeight="1">
      <x:c r="A30" s="35" t="str">
        <x:v>Hình học / Shape</x:v>
      </x:c>
      <x:c r="B30" s="2"/>
      <x:c r="C30" s="36" t="str">
        <x:v>Bán kính vòm, tiết diện trang trí và vài cao độ giao mái còn thiếu. / Some curve, profile and roof-junction dimensions are absent.</x:v>
      </x:c>
      <x:c r="D30" s="2"/>
      <x:c r="E30" s="2"/>
    </x:row>
    <x:row r="31" ht="31" customHeight="1">
      <x:c r="A31" s="35" t="str">
        <x:v>Màu sắc / Finish</x:v>
      </x:c>
      <x:c r="B31" s="2"/>
      <x:c r="C31" s="36" t="str">
        <x:v>Các tờ kiến trúc đơn sắc chưa xác định màu sơn, mái hay chóp tháp. / Finish colors are not specified in these drawings.</x:v>
      </x:c>
      <x:c r="D31" s="2"/>
      <x:c r="E31" s="2"/>
    </x:row>
    <x:row r="32" ht="31" customHeight="1">
      <x:c r="A32" s="35" t="str">
        <x:v>Phương vị / CRS</x:v>
      </x:c>
      <x:c r="B32" s="2"/>
      <x:c r="C32" s="36" t="str">
        <x:v>Chưa có hướng Bắc, hệ tọa độ địa lý hoặc mốc khảo sát. / No north bearing, geographic CRS or surveyed origin is provided.</x:v>
      </x:c>
      <x:c r="D32" s="2"/>
      <x:c r="E32" s="2"/>
    </x:row>
    <x:row r="33" ht="31" customHeight="1">
      <x:c r="A33" s="2"/>
      <x:c r="B33" s="2"/>
      <x:c r="C33" s="2"/>
      <x:c r="D33" s="2"/>
      <x:c r="E33" s="2"/>
    </x:row>
  </x:sheetData>
  <x:pageMargins left="0.7" right="0.7" top="0.75" bottom="0.75" header="0.3" footer="0.3"/>
  <x:tableParts count="1">
    <x:tablePart xmlns:r="http://schemas.openxmlformats.org/officeDocument/2006/relationships" r:id="R02209898cef34400"/>
  </x:tableParts>
</x:worksheet>
</file>