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mensions" sheetId="1" state="visible" r:id="rId1"/>
    <sheet name="Model grid" sheetId="2" state="visible" r:id="rId2"/>
    <sheet name="Open items" sheetId="3" state="visible" r:id="rId3"/>
    <sheet name="Sources" sheetId="4" state="visible" r:id="rId4"/>
    <sheet name="DWG sheets" sheetId="5" state="visible" r:id="rId5"/>
    <sheet name="DWG dimensions" sheetId="6" state="visible" r:id="rId6"/>
    <sheet name="DWG levels" sheetId="7" state="visible" r:id="rId7"/>
    <sheet name="DWG grid check" sheetId="8" state="visible" r:id="rId8"/>
    <sheet name="DWG findings" sheetId="9" state="visible" r:id="rId9"/>
    <sheet name="DWG facade" sheetId="10" state="visible" r:id="rId10"/>
  </sheets>
  <definedNames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9">
    <font>
      <name val="Carlito"/>
      <sz val="11"/>
    </font>
    <font>
      <name val="Arial"/>
      <color rgb="FF203342"/>
      <sz val="10"/>
    </font>
    <font>
      <name val="Arial"/>
      <b val="1"/>
      <color rgb="FF18324B"/>
      <sz val="16"/>
    </font>
    <font>
      <name val="Arial"/>
      <i val="1"/>
      <color rgb="FF657787"/>
      <sz val="10"/>
    </font>
    <font>
      <name val="Arial"/>
      <b val="1"/>
      <color rgb="FFFFFFFF"/>
      <sz val="10"/>
    </font>
    <font>
      <name val="Arial"/>
      <color rgb="FF176E72"/>
      <sz val="10"/>
    </font>
    <font>
      <name val="Arial"/>
      <color rgb="FF24619B"/>
      <sz val="10"/>
    </font>
    <font>
      <name val="Arial"/>
      <b val="1"/>
      <color rgb="FF18324B"/>
      <sz val="14"/>
    </font>
    <font>
      <name val="Arial"/>
      <b val="1"/>
      <color rgb="FF18324B"/>
      <sz val="10"/>
    </font>
  </fonts>
  <fills count="4">
    <fill>
      <patternFill/>
    </fill>
    <fill>
      <patternFill patternType="gray125"/>
    </fill>
    <fill>
      <patternFill patternType="solid">
        <fgColor rgb="FF18324B"/>
      </patternFill>
    </fill>
    <fill>
      <patternFill patternType="solid">
        <fgColor rgb="FFFFF0CF"/>
      </patternFill>
    </fill>
  </fills>
  <borders count="6">
    <border>
      <left/>
      <right/>
      <top/>
      <bottom/>
      <diagonal/>
    </border>
    <border>
      <left/>
      <right/>
      <top/>
      <bottom style="thin">
        <color rgb="FF176E72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CFD9D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horizontal="right" vertical="center" wrapText="1"/>
    </xf>
    <xf numFmtId="3" fontId="5" fillId="0" borderId="0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right" vertical="center" wrapText="1"/>
    </xf>
    <xf numFmtId="3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left" vertical="center" wrapText="1"/>
    </xf>
    <xf numFmtId="3" fontId="1" fillId="3" borderId="0" applyAlignment="1" pivotButton="0" quotePrefix="0" xfId="0">
      <alignment horizontal="right" vertical="center" wrapText="1"/>
    </xf>
    <xf numFmtId="0" fontId="1" fillId="3" borderId="0" applyAlignment="1" pivotButton="0" quotePrefix="0" xfId="0">
      <alignment horizontal="left" vertical="center" wrapText="1"/>
    </xf>
    <xf numFmtId="1" fontId="1" fillId="0" borderId="0" applyAlignment="1" pivotButton="0" quotePrefix="0" xfId="0">
      <alignment horizontal="left" vertical="center" wrapText="1"/>
    </xf>
    <xf numFmtId="1" fontId="1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 wrapText="1"/>
    </xf>
    <xf numFmtId="3" fontId="5" fillId="0" borderId="0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right" vertical="center" wrapText="1"/>
    </xf>
    <xf numFmtId="3" fontId="1" fillId="3" borderId="0" applyAlignment="1" pivotButton="0" quotePrefix="0" xfId="0">
      <alignment horizontal="right" vertical="center" wrapText="1"/>
    </xf>
    <xf numFmtId="1" fontId="1" fillId="0" borderId="0" applyAlignment="1" pivotButton="0" quotePrefix="0" xfId="0">
      <alignment horizontal="right" vertical="center" wrapText="1"/>
    </xf>
    <xf numFmtId="165" fontId="5" fillId="0" borderId="0" applyAlignment="1" pivotButton="0" quotePrefix="0" xfId="0">
      <alignment horizontal="right" vertical="center" wrapText="1"/>
    </xf>
  </cellXfs>
  <cellStyles count="1">
    <cellStyle name="Normal" xfId="0"/>
  </cellStyles>
  <dxfs count="3">
    <dxf>
      <font>
        <b val="1"/>
        <color rgb="FF9A5700"/>
      </font>
      <fill>
        <patternFill patternType="solid">
          <bgColor rgb="FFFFF0CF"/>
        </patternFill>
      </fill>
    </dxf>
    <dxf>
      <font>
        <color rgb="FF9A5700"/>
      </font>
      <fill>
        <patternFill patternType="solid">
          <bgColor rgb="FFFFF0CF"/>
        </patternFill>
      </fill>
    </dxf>
    <dxf>
      <font>
        <color rgb="FF9A5700"/>
      </font>
      <fill>
        <patternFill patternType="solid">
          <bgColor rgb="FFFFF0C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DimensionsSchedule" displayName="DimensionsSchedule" ref="A7:M470" headerRowCount="1" totalsRowCount="0" totalsRowShown="0">
  <autoFilter ref="A7:M470"/>
  <tableColumns count="13">
    <tableColumn id="1" name="Mã / ID"/>
    <tableColumn id="2" name="Bộ phận / Part"/>
    <tableColumn id="3" name="Thông số / Parameter"/>
    <tableColumn id="4" name="Trục và mốc / Axes and refs"/>
    <tableColumn id="5" name="Trị số gốc / Source value"/>
    <tableColumn id="6" name="ĐVT / Unit"/>
    <tableColumn id="7" name="Kích thước (mm)"/>
    <tableColumn id="8" name="Quy đổi (m)"/>
    <tableColumn id="9" name="Cơ sở / Basis"/>
    <tableColumn id="10" name="Tờ / Drawing"/>
    <tableColumn id="11" name="Vị trí / Locator"/>
    <tableColumn id="12" name="Nhãn gốc / Printed label"/>
    <tableColumn id="13" name="Ghi chú / 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ModelCoordinates" displayName="ModelCoordinates" ref="A7:H58" headerRowCount="1" totalsRowCount="0" totalsRowShown="0">
  <autoFilter ref="A7:H58"/>
  <tableColumns count="8">
    <tableColumn id="1" name="Trục 3D / Axis"/>
    <tableColumn id="2" name="Trục hoặc cao độ / Grid or level"/>
    <tableColumn id="3" name="Bước trục (mm)"/>
    <tableColumn id="4" name="Tọa độ (mm)"/>
    <tableColumn id="5" name="Tọa độ (m)"/>
    <tableColumn id="6" name="Mã nguồn / Source ID"/>
    <tableColumn id="7" name="Cơ sở / Basis"/>
    <tableColumn id="8" name="Ghi chú / Not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OpenDimensions" displayName="OpenDimensions" ref="A7:I35" headerRowCount="1" totalsRowCount="0" totalsRowShown="0">
  <autoFilter ref="A7:I29"/>
  <tableColumns count="9">
    <tableColumn id="1" name="Mã / ID"/>
    <tableColumn id="2" name="Vấn đề / Issue"/>
    <tableColumn id="3" name="Bằng chứng / Evidence"/>
    <tableColumn id="4" name="Mã nguồn / Source IDs"/>
    <tableColumn id="5" name="Chênh (mm)"/>
    <tableColumn id="6" name="Trạng thái / Status"/>
    <tableColumn id="7" name="Thông tin cần bổ sung / Required information"/>
    <tableColumn id="8" name="Giá trị xác nhận (mm)"/>
    <tableColumn id="9" name="Nguồn xác nhận / New referenc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DrawingSources" displayName="DrawingSources" ref="A7:E17" headerRowCount="1" totalsRowCount="0" totalsRowShown="0">
  <autoFilter ref="A7:E16"/>
  <tableColumns count="5">
    <tableColumn id="1" name="File"/>
    <tableColumn id="2" name="Tờ in / Printed sheet"/>
    <tableColumn id="3" name="Nội dung / Drawing"/>
    <tableColumn id="4" name="Tên file gốc / Original filename"/>
    <tableColumn id="5" name="Trang PDF / Pag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wgSheets" displayName="DwgSheets" ref="A7:I34" headerRowCount="1">
  <autoFilter ref="A7:I34"/>
  <tableColumns count="9">
    <tableColumn id="1" name="Mã / ID"/>
    <tableColumn id="2" name="Tờ DWG / DWG sheet"/>
    <tableColumn id="3" name="Nhóm / Category"/>
    <tableColumn id="4" name="Tiêu đề / Title (VI)"/>
    <tableColumn id="5" name="Title (EN)"/>
    <tableColumn id="6" name="Trục mô hình / Model axes"/>
    <tableColumn id="7" name="PDF tương ứng / Register file"/>
    <tableColumn id="8" name="Số kích thước / Dimension objects"/>
    <tableColumn id="9" name="Ảnh (không commit) / Image (not committed)"/>
  </tableColumns>
  <tableStyleInfo name="TableStyleLight1" showRowStripes="1"/>
</table>
</file>

<file path=xl/tables/table6.xml><?xml version="1.0" encoding="utf-8"?>
<table xmlns="http://schemas.openxmlformats.org/spreadsheetml/2006/main" id="6" name="DwgDimensions" displayName="DwgDimensions" ref="A7:N733" headerRowCount="1">
  <autoFilter ref="A7:N733"/>
  <tableColumns count="14">
    <tableColumn id="1" name="Mã / ID"/>
    <tableColumn id="2" name="Bản vẽ / Drawing"/>
    <tableColumn id="3" name="Tờ DWG / Sheet"/>
    <tableColumn id="4" name="Loại / Kind"/>
    <tableColumn id="5" name="Đo được (mm) / Measured"/>
    <tableColumn id="6" name="Số in (mm) / Displayed"/>
    <tableColumn id="7" name="Trục / Axes"/>
    <tableColumn id="8" name="a1"/>
    <tableColumn id="9" name="a2"/>
    <tableColumn id="10" name="b1"/>
    <tableColumn id="11" name="b2"/>
    <tableColumn id="12" name="PDF file"/>
    <tableColumn id="13" name="Mã cùng trị số / Same-value register IDs"/>
    <tableColumn id="14" name="Handle"/>
  </tableColumns>
  <tableStyleInfo name="TableStyleLight1" showRowStripes="1"/>
</table>
</file>

<file path=xl/tables/table7.xml><?xml version="1.0" encoding="utf-8"?>
<table xmlns="http://schemas.openxmlformats.org/spreadsheetml/2006/main" id="7" name="DwgLevels" displayName="DwgLevels" ref="A7:G86" headerRowCount="1">
  <autoFilter ref="A7:G86"/>
  <tableColumns count="7">
    <tableColumn id="1" name="Bản vẽ / Drawing"/>
    <tableColumn id="2" name="Nhãn / Label"/>
    <tableColumn id="3" name="Ghi (mm) / Printed"/>
    <tableColumn id="4" name="Theo ký hiệu (mm) / Marker"/>
    <tableColumn id="5" name="Chênh (mm) / Δ"/>
    <tableColumn id="6" name="Kiểm tra / Check"/>
    <tableColumn id="7" name="Cơ sở / Basis"/>
  </tableColumns>
  <tableStyleInfo name="TableStyleLight1" showRowStripes="1"/>
</table>
</file>

<file path=xl/tables/table8.xml><?xml version="1.0" encoding="utf-8"?>
<table xmlns="http://schemas.openxmlformats.org/spreadsheetml/2006/main" id="8" name="DwgGridCheck" displayName="DwgGridCheck" ref="A7:F144" headerRowCount="1">
  <autoFilter ref="A7:F144"/>
  <tableColumns count="6">
    <tableColumn id="1" name="Bản vẽ / Drawing"/>
    <tableColumn id="2" name="Trục 3D / Axis"/>
    <tableColumn id="3" name="Trục / Grid"/>
    <tableColumn id="4" name="Register (mm)"/>
    <tableColumn id="5" name="DWG (mm)"/>
    <tableColumn id="6" name="Chênh (mm) / Δ"/>
  </tableColumns>
  <tableStyleInfo name="TableStyleLight1" showRowStripes="1"/>
</table>
</file>

<file path=xl/tables/table9.xml><?xml version="1.0" encoding="utf-8"?>
<table xmlns="http://schemas.openxmlformats.org/spreadsheetml/2006/main" id="9" name="DwgFindings" displayName="DwgFindings" ref="A7:F22" headerRowCount="1">
  <autoFilter ref="A7:F22"/>
  <tableColumns count="6">
    <tableColumn id="1" name="Tham chiếu / Reference"/>
    <tableColumn id="2" name="Phát hiện / Finding"/>
    <tableColumn id="3" name="DWG"/>
    <tableColumn id="4" name="Sổ đăng ký / Register or PDF"/>
    <tableColumn id="5" name="Chênh (mm) / Δ"/>
    <tableColumn id="6" name="Hệ quả / Implication"/>
  </tableColumns>
  <tableStyleInfo name="TableStyleLight1" showRowStripes="1"/>
</table>
</file>

<file path=xl/tables/table10.xml><?xml version="1.0" encoding="utf-8"?>
<table xmlns="http://schemas.openxmlformats.org/spreadsheetml/2006/main" id="10" name="DwgFacade" displayName="DwgFacade" ref="A7:L42" headerRowCount="1">
  <autoFilter ref="A7:L42"/>
  <tableColumns count="12">
    <tableColumn id="1" name="Mã / ID"/>
    <tableColumn id="2" name="Bộ phận / Element"/>
    <tableColumn id="3" name="Bản vẽ / Drawing"/>
    <tableColumn id="4" name="Loại / Kind"/>
    <tableColumn id="5" name="p1"/>
    <tableColumn id="6" name="p2"/>
    <tableColumn id="7" name="p3"/>
    <tableColumn id="8" name="p4"/>
    <tableColumn id="9" name="Giá trị (mm) / Value"/>
    <tableColumn id="10" name="Mô hình / Model (m)"/>
    <tableColumn id="11" name="Cơ sở / Basis"/>
    <tableColumn id="12" name="Ghi chú / Note"/>
  </tableColumns>
  <tableStyleInfo name="TableStyleLight1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FF18324B"/>
    <outlinePr summaryBelow="1" summaryRight="1"/>
    <pageSetUpPr/>
  </sheetPr>
  <dimension ref="A1:M470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39" customWidth="1" min="2" max="2"/>
    <col width="46" customWidth="1" min="3" max="3"/>
    <col width="25" customWidth="1" min="4" max="4"/>
    <col width="15" customWidth="1" min="5" max="5"/>
    <col width="10" customWidth="1" min="6" max="6"/>
    <col width="17" customWidth="1" min="7" max="7"/>
    <col width="17" customWidth="1" min="8" max="8"/>
    <col width="23" customWidth="1" min="9" max="9"/>
    <col width="22" customWidth="1" min="10" max="10"/>
    <col width="45" customWidth="1" min="11" max="11"/>
    <col width="29" customWidth="1" min="12" max="12"/>
    <col width="64" customWidth="1" min="13" max="13"/>
  </cols>
  <sheetData>
    <row r="1" ht="25" customHeight="1">
      <c r="A1" s="36" t="n"/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</row>
    <row r="2" ht="25" customHeight="1">
      <c r="A2" s="3" t="inlineStr">
        <is>
          <t>NHÀ THỜ GIÁO XỨ THẠCH BI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</row>
    <row r="3" ht="2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5" customHeight="1">
      <c r="A4" s="5" t="inlineStr">
        <is>
          <t>Kích thước bản vẽ và quy đổi cho mô hình 3D / Drawing dimensions and 3D model units</t>
        </is>
      </c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</row>
    <row r="5" ht="25" customHeight="1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</row>
    <row r="6" ht="25" customHeight="1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</row>
    <row r="7" ht="38" customHeight="1">
      <c r="A7" s="14" t="inlineStr">
        <is>
          <t>Mã / ID</t>
        </is>
      </c>
      <c r="B7" s="15" t="inlineStr">
        <is>
          <t>Bộ phận / Part</t>
        </is>
      </c>
      <c r="C7" s="15" t="inlineStr">
        <is>
          <t>Thông số / Parameter</t>
        </is>
      </c>
      <c r="D7" s="15" t="inlineStr">
        <is>
          <t>Trục và mốc / Axes and refs</t>
        </is>
      </c>
      <c r="E7" s="15" t="inlineStr">
        <is>
          <t>Trị số gốc / Source value</t>
        </is>
      </c>
      <c r="F7" s="15" t="inlineStr">
        <is>
          <t>ĐVT / Unit</t>
        </is>
      </c>
      <c r="G7" s="15" t="inlineStr">
        <is>
          <t>Kích thước (mm)</t>
        </is>
      </c>
      <c r="H7" s="15" t="inlineStr">
        <is>
          <t>Quy đổi (m)</t>
        </is>
      </c>
      <c r="I7" s="15" t="inlineStr">
        <is>
          <t>Cơ sở / Basis</t>
        </is>
      </c>
      <c r="J7" s="15" t="inlineStr">
        <is>
          <t>Tờ / Drawing</t>
        </is>
      </c>
      <c r="K7" s="15" t="inlineStr">
        <is>
          <t>Vị trí / Locator</t>
        </is>
      </c>
      <c r="L7" s="15" t="inlineStr">
        <is>
          <t>Nhãn gốc / Printed label</t>
        </is>
      </c>
      <c r="M7" s="16" t="inlineStr">
        <is>
          <t>Ghi chú / Notes</t>
        </is>
      </c>
    </row>
    <row r="8" ht="36" customHeight="1">
      <c r="A8" s="18" t="inlineStr">
        <is>
          <t>P001</t>
        </is>
      </c>
      <c r="B8" s="18" t="inlineStr">
        <is>
          <t>Lưới trục dọc
Longitudinal grid</t>
        </is>
      </c>
      <c r="C8" s="18" t="inlineStr">
        <is>
          <t>axis_spacing</t>
        </is>
      </c>
      <c r="D8" s="18" t="inlineStr">
        <is>
          <t>Model: X
Source: longitudinal
1 → 2</t>
        </is>
      </c>
      <c r="E8" s="37" t="n">
        <v>4900</v>
      </c>
      <c r="F8" s="25" t="inlineStr">
        <is>
          <t>mm</t>
        </is>
      </c>
      <c r="G8" s="38" t="n">
        <f>IF(COUNTBLANK(E8)&gt;0,"",E8)</f>
        <v>4900</v>
      </c>
      <c r="H8" s="39" t="n">
        <f>IF(COUNTBLANK(G8)&gt;0,"",G8/1000)</f>
        <v>4.9</v>
      </c>
      <c r="I8" s="18" t="inlineStr">
        <is>
          <t>Ghi trên bản vẽ / Explicit</t>
        </is>
      </c>
      <c r="J8" s="18" t="inlineStr">
        <is>
          <t>Tờ 6
File 4</t>
        </is>
      </c>
      <c r="K8" s="18" t="inlineStr">
        <is>
          <t>Bottom longitudinal dimension chain</t>
        </is>
      </c>
      <c r="L8" s="18" t="inlineStr">
        <is>
          <t>4900</t>
        </is>
      </c>
      <c r="M8" s="18" t="str"/>
    </row>
    <row r="9" ht="36" customHeight="1">
      <c r="A9" s="18" t="inlineStr">
        <is>
          <t>P002</t>
        </is>
      </c>
      <c r="B9" s="18" t="inlineStr">
        <is>
          <t>Lưới trục dọc
Longitudinal grid</t>
        </is>
      </c>
      <c r="C9" s="18" t="inlineStr">
        <is>
          <t>axis_spacing</t>
        </is>
      </c>
      <c r="D9" s="18" t="inlineStr">
        <is>
          <t>Model: X
Source: longitudinal
2 → 2′</t>
        </is>
      </c>
      <c r="E9" s="37" t="n">
        <v>575</v>
      </c>
      <c r="F9" s="25" t="inlineStr">
        <is>
          <t>mm</t>
        </is>
      </c>
      <c r="G9" s="38" t="n">
        <f>IF(COUNTBLANK(E9)&gt;0,"",E9)</f>
        <v>575</v>
      </c>
      <c r="H9" s="39" t="n">
        <f>IF(COUNTBLANK(G9)&gt;0,"",G9/1000)</f>
        <v>0.575</v>
      </c>
      <c r="I9" s="18" t="inlineStr">
        <is>
          <t>Ghi trên bản vẽ / Explicit</t>
        </is>
      </c>
      <c r="J9" s="18" t="inlineStr">
        <is>
          <t>Tờ 6
File 4</t>
        </is>
      </c>
      <c r="K9" s="18" t="inlineStr">
        <is>
          <t>Bottom longitudinal dimension chain</t>
        </is>
      </c>
      <c r="L9" s="18" t="inlineStr">
        <is>
          <t>575</t>
        </is>
      </c>
      <c r="M9" s="18" t="str"/>
    </row>
    <row r="10" ht="36" customHeight="1">
      <c r="A10" s="18" t="inlineStr">
        <is>
          <t>P003</t>
        </is>
      </c>
      <c r="B10" s="18" t="inlineStr">
        <is>
          <t>Lưới trục dọc
Longitudinal grid</t>
        </is>
      </c>
      <c r="C10" s="18" t="inlineStr">
        <is>
          <t>axis_spacing</t>
        </is>
      </c>
      <c r="D10" s="18" t="inlineStr">
        <is>
          <t>Model: X
Source: longitudinal
2′ → 3</t>
        </is>
      </c>
      <c r="E10" s="37" t="n">
        <v>4500</v>
      </c>
      <c r="F10" s="25" t="inlineStr">
        <is>
          <t>mm</t>
        </is>
      </c>
      <c r="G10" s="38" t="n">
        <f>IF(COUNTBLANK(E10)&gt;0,"",E10)</f>
        <v>4500</v>
      </c>
      <c r="H10" s="39" t="n">
        <f>IF(COUNTBLANK(G10)&gt;0,"",G10/1000)</f>
        <v>4.5</v>
      </c>
      <c r="I10" s="18" t="inlineStr">
        <is>
          <t>Ghi trên bản vẽ / Explicit</t>
        </is>
      </c>
      <c r="J10" s="18" t="inlineStr">
        <is>
          <t>Tờ 6
File 4</t>
        </is>
      </c>
      <c r="K10" s="18" t="inlineStr">
        <is>
          <t>Bottom longitudinal dimension chain</t>
        </is>
      </c>
      <c r="L10" s="18" t="inlineStr">
        <is>
          <t>4500</t>
        </is>
      </c>
      <c r="M10" s="18" t="str"/>
    </row>
    <row r="11" ht="36" customHeight="1">
      <c r="A11" s="18" t="inlineStr">
        <is>
          <t>P004</t>
        </is>
      </c>
      <c r="B11" s="18" t="inlineStr">
        <is>
          <t>Lưới trục dọc
Longitudinal grid</t>
        </is>
      </c>
      <c r="C11" s="18" t="inlineStr">
        <is>
          <t>axis_spacing</t>
        </is>
      </c>
      <c r="D11" s="18" t="inlineStr">
        <is>
          <t>Model: X
Source: longitudinal
3 → 4</t>
        </is>
      </c>
      <c r="E11" s="37" t="n">
        <v>4500</v>
      </c>
      <c r="F11" s="25" t="inlineStr">
        <is>
          <t>mm</t>
        </is>
      </c>
      <c r="G11" s="38" t="n">
        <f>IF(COUNTBLANK(E11)&gt;0,"",E11)</f>
        <v>4500</v>
      </c>
      <c r="H11" s="39" t="n">
        <f>IF(COUNTBLANK(G11)&gt;0,"",G11/1000)</f>
        <v>4.5</v>
      </c>
      <c r="I11" s="18" t="inlineStr">
        <is>
          <t>Ghi trên bản vẽ / Explicit</t>
        </is>
      </c>
      <c r="J11" s="18" t="inlineStr">
        <is>
          <t>Tờ 6
File 4</t>
        </is>
      </c>
      <c r="K11" s="18" t="inlineStr">
        <is>
          <t>Bottom longitudinal dimension chain</t>
        </is>
      </c>
      <c r="L11" s="18" t="inlineStr">
        <is>
          <t>4500</t>
        </is>
      </c>
      <c r="M11" s="18" t="str"/>
    </row>
    <row r="12" ht="36" customHeight="1">
      <c r="A12" s="18" t="inlineStr">
        <is>
          <t>P005</t>
        </is>
      </c>
      <c r="B12" s="18" t="inlineStr">
        <is>
          <t>Lưới trục dọc
Longitudinal grid</t>
        </is>
      </c>
      <c r="C12" s="18" t="inlineStr">
        <is>
          <t>axis_spacing</t>
        </is>
      </c>
      <c r="D12" s="18" t="inlineStr">
        <is>
          <t>Model: X
Source: longitudinal
4 → 5</t>
        </is>
      </c>
      <c r="E12" s="37" t="n">
        <v>4500</v>
      </c>
      <c r="F12" s="25" t="inlineStr">
        <is>
          <t>mm</t>
        </is>
      </c>
      <c r="G12" s="38" t="n">
        <f>IF(COUNTBLANK(E12)&gt;0,"",E12)</f>
        <v>4500</v>
      </c>
      <c r="H12" s="39" t="n">
        <f>IF(COUNTBLANK(G12)&gt;0,"",G12/1000)</f>
        <v>4.5</v>
      </c>
      <c r="I12" s="18" t="inlineStr">
        <is>
          <t>Ghi trên bản vẽ / Explicit</t>
        </is>
      </c>
      <c r="J12" s="18" t="inlineStr">
        <is>
          <t>Tờ 6
File 4</t>
        </is>
      </c>
      <c r="K12" s="18" t="inlineStr">
        <is>
          <t>Bottom longitudinal dimension chain</t>
        </is>
      </c>
      <c r="L12" s="18" t="inlineStr">
        <is>
          <t>4500</t>
        </is>
      </c>
      <c r="M12" s="18" t="str"/>
    </row>
    <row r="13" ht="36" customHeight="1">
      <c r="A13" s="18" t="inlineStr">
        <is>
          <t>P006</t>
        </is>
      </c>
      <c r="B13" s="18" t="inlineStr">
        <is>
          <t>Lưới trục dọc
Longitudinal grid</t>
        </is>
      </c>
      <c r="C13" s="18" t="inlineStr">
        <is>
          <t>axis_spacing</t>
        </is>
      </c>
      <c r="D13" s="18" t="inlineStr">
        <is>
          <t>Model: X
Source: longitudinal
5 → 6</t>
        </is>
      </c>
      <c r="E13" s="37" t="n">
        <v>4500</v>
      </c>
      <c r="F13" s="25" t="inlineStr">
        <is>
          <t>mm</t>
        </is>
      </c>
      <c r="G13" s="38" t="n">
        <f>IF(COUNTBLANK(E13)&gt;0,"",E13)</f>
        <v>4500</v>
      </c>
      <c r="H13" s="39" t="n">
        <f>IF(COUNTBLANK(G13)&gt;0,"",G13/1000)</f>
        <v>4.5</v>
      </c>
      <c r="I13" s="18" t="inlineStr">
        <is>
          <t>Ghi trên bản vẽ / Explicit</t>
        </is>
      </c>
      <c r="J13" s="18" t="inlineStr">
        <is>
          <t>Tờ 6
File 4</t>
        </is>
      </c>
      <c r="K13" s="18" t="inlineStr">
        <is>
          <t>Bottom longitudinal dimension chain</t>
        </is>
      </c>
      <c r="L13" s="18" t="inlineStr">
        <is>
          <t>4500</t>
        </is>
      </c>
      <c r="M13" s="18" t="str"/>
    </row>
    <row r="14" ht="36" customHeight="1">
      <c r="A14" s="18" t="inlineStr">
        <is>
          <t>P007</t>
        </is>
      </c>
      <c r="B14" s="18" t="inlineStr">
        <is>
          <t>Lưới trục dọc
Longitudinal grid</t>
        </is>
      </c>
      <c r="C14" s="18" t="inlineStr">
        <is>
          <t>axis_spacing</t>
        </is>
      </c>
      <c r="D14" s="18" t="inlineStr">
        <is>
          <t>Model: X
Source: longitudinal
6 → 7</t>
        </is>
      </c>
      <c r="E14" s="37" t="n">
        <v>4500</v>
      </c>
      <c r="F14" s="25" t="inlineStr">
        <is>
          <t>mm</t>
        </is>
      </c>
      <c r="G14" s="38" t="n">
        <f>IF(COUNTBLANK(E14)&gt;0,"",E14)</f>
        <v>4500</v>
      </c>
      <c r="H14" s="39" t="n">
        <f>IF(COUNTBLANK(G14)&gt;0,"",G14/1000)</f>
        <v>4.5</v>
      </c>
      <c r="I14" s="18" t="inlineStr">
        <is>
          <t>Ghi trên bản vẽ / Explicit</t>
        </is>
      </c>
      <c r="J14" s="18" t="inlineStr">
        <is>
          <t>Tờ 6
File 4</t>
        </is>
      </c>
      <c r="K14" s="18" t="inlineStr">
        <is>
          <t>Bottom longitudinal dimension chain</t>
        </is>
      </c>
      <c r="L14" s="18" t="inlineStr">
        <is>
          <t>4500</t>
        </is>
      </c>
      <c r="M14" s="18" t="str"/>
    </row>
    <row r="15" ht="36" customHeight="1">
      <c r="A15" s="18" t="inlineStr">
        <is>
          <t>P008</t>
        </is>
      </c>
      <c r="B15" s="18" t="inlineStr">
        <is>
          <t>Lưới trục dọc
Longitudinal grid</t>
        </is>
      </c>
      <c r="C15" s="18" t="inlineStr">
        <is>
          <t>axis_spacing</t>
        </is>
      </c>
      <c r="D15" s="18" t="inlineStr">
        <is>
          <t>Model: X
Source: longitudinal
7 → 8</t>
        </is>
      </c>
      <c r="E15" s="37" t="n">
        <v>4500</v>
      </c>
      <c r="F15" s="25" t="inlineStr">
        <is>
          <t>mm</t>
        </is>
      </c>
      <c r="G15" s="38" t="n">
        <f>IF(COUNTBLANK(E15)&gt;0,"",E15)</f>
        <v>4500</v>
      </c>
      <c r="H15" s="39" t="n">
        <f>IF(COUNTBLANK(G15)&gt;0,"",G15/1000)</f>
        <v>4.5</v>
      </c>
      <c r="I15" s="18" t="inlineStr">
        <is>
          <t>Ghi trên bản vẽ / Explicit</t>
        </is>
      </c>
      <c r="J15" s="18" t="inlineStr">
        <is>
          <t>Tờ 6
File 4</t>
        </is>
      </c>
      <c r="K15" s="18" t="inlineStr">
        <is>
          <t>Bottom longitudinal dimension chain</t>
        </is>
      </c>
      <c r="L15" s="18" t="inlineStr">
        <is>
          <t>4500</t>
        </is>
      </c>
      <c r="M15" s="18" t="str"/>
    </row>
    <row r="16" ht="36" customHeight="1">
      <c r="A16" s="18" t="inlineStr">
        <is>
          <t>P009</t>
        </is>
      </c>
      <c r="B16" s="18" t="inlineStr">
        <is>
          <t>Lưới trục dọc
Longitudinal grid</t>
        </is>
      </c>
      <c r="C16" s="18" t="inlineStr">
        <is>
          <t>axis_spacing</t>
        </is>
      </c>
      <c r="D16" s="18" t="inlineStr">
        <is>
          <t>Model: X
Source: longitudinal
8 → 9</t>
        </is>
      </c>
      <c r="E16" s="37" t="n">
        <v>4500</v>
      </c>
      <c r="F16" s="25" t="inlineStr">
        <is>
          <t>mm</t>
        </is>
      </c>
      <c r="G16" s="38" t="n">
        <f>IF(COUNTBLANK(E16)&gt;0,"",E16)</f>
        <v>4500</v>
      </c>
      <c r="H16" s="39" t="n">
        <f>IF(COUNTBLANK(G16)&gt;0,"",G16/1000)</f>
        <v>4.5</v>
      </c>
      <c r="I16" s="18" t="inlineStr">
        <is>
          <t>Ghi trên bản vẽ / Explicit</t>
        </is>
      </c>
      <c r="J16" s="18" t="inlineStr">
        <is>
          <t>Tờ 6
File 4</t>
        </is>
      </c>
      <c r="K16" s="18" t="inlineStr">
        <is>
          <t>Bottom longitudinal dimension chain</t>
        </is>
      </c>
      <c r="L16" s="18" t="inlineStr">
        <is>
          <t>4500</t>
        </is>
      </c>
      <c r="M16" s="18" t="str"/>
    </row>
    <row r="17" ht="36" customHeight="1">
      <c r="A17" s="18" t="inlineStr">
        <is>
          <t>P010</t>
        </is>
      </c>
      <c r="B17" s="18" t="inlineStr">
        <is>
          <t>Lưới trục dọc
Longitudinal grid</t>
        </is>
      </c>
      <c r="C17" s="18" t="inlineStr">
        <is>
          <t>axis_spacing</t>
        </is>
      </c>
      <c r="D17" s="18" t="inlineStr">
        <is>
          <t>Model: X
Source: longitudinal
9 → 10</t>
        </is>
      </c>
      <c r="E17" s="37" t="n">
        <v>7200</v>
      </c>
      <c r="F17" s="25" t="inlineStr">
        <is>
          <t>mm</t>
        </is>
      </c>
      <c r="G17" s="38" t="n">
        <f>IF(COUNTBLANK(E17)&gt;0,"",E17)</f>
        <v>7200</v>
      </c>
      <c r="H17" s="39" t="n">
        <f>IF(COUNTBLANK(G17)&gt;0,"",G17/1000)</f>
        <v>7.2</v>
      </c>
      <c r="I17" s="18" t="inlineStr">
        <is>
          <t>Ghi trên bản vẽ / Explicit</t>
        </is>
      </c>
      <c r="J17" s="18" t="inlineStr">
        <is>
          <t>Tờ 6
File 4</t>
        </is>
      </c>
      <c r="K17" s="18" t="inlineStr">
        <is>
          <t>Bottom longitudinal dimension chain</t>
        </is>
      </c>
      <c r="L17" s="18" t="inlineStr">
        <is>
          <t>7200</t>
        </is>
      </c>
      <c r="M17" s="18" t="str"/>
    </row>
    <row r="18" ht="36" customHeight="1">
      <c r="A18" s="18" t="inlineStr">
        <is>
          <t>P011</t>
        </is>
      </c>
      <c r="B18" s="18" t="inlineStr">
        <is>
          <t>Lưới trục dọc
Longitudinal grid</t>
        </is>
      </c>
      <c r="C18" s="18" t="inlineStr">
        <is>
          <t>axis_spacing</t>
        </is>
      </c>
      <c r="D18" s="18" t="inlineStr">
        <is>
          <t>Model: X
Source: longitudinal
10 → 11</t>
        </is>
      </c>
      <c r="E18" s="37" t="n">
        <v>4500</v>
      </c>
      <c r="F18" s="25" t="inlineStr">
        <is>
          <t>mm</t>
        </is>
      </c>
      <c r="G18" s="38" t="n">
        <f>IF(COUNTBLANK(E18)&gt;0,"",E18)</f>
        <v>4500</v>
      </c>
      <c r="H18" s="39" t="n">
        <f>IF(COUNTBLANK(G18)&gt;0,"",G18/1000)</f>
        <v>4.5</v>
      </c>
      <c r="I18" s="18" t="inlineStr">
        <is>
          <t>Ghi trên bản vẽ / Explicit</t>
        </is>
      </c>
      <c r="J18" s="18" t="inlineStr">
        <is>
          <t>Tờ 6
File 4</t>
        </is>
      </c>
      <c r="K18" s="18" t="inlineStr">
        <is>
          <t>Bottom longitudinal dimension chain</t>
        </is>
      </c>
      <c r="L18" s="18" t="inlineStr">
        <is>
          <t>4500</t>
        </is>
      </c>
      <c r="M18" s="18" t="str"/>
    </row>
    <row r="19" ht="36" customHeight="1">
      <c r="A19" s="18" t="inlineStr">
        <is>
          <t>P012</t>
        </is>
      </c>
      <c r="B19" s="18" t="inlineStr">
        <is>
          <t>Lưới trục dọc
Longitudinal grid</t>
        </is>
      </c>
      <c r="C19" s="18" t="inlineStr">
        <is>
          <t>axis_spacing</t>
        </is>
      </c>
      <c r="D19" s="18" t="inlineStr">
        <is>
          <t>Model: X
Source: longitudinal
11 → 12</t>
        </is>
      </c>
      <c r="E19" s="37" t="n">
        <v>4341</v>
      </c>
      <c r="F19" s="25" t="inlineStr">
        <is>
          <t>mm</t>
        </is>
      </c>
      <c r="G19" s="38" t="n">
        <f>IF(COUNTBLANK(E19)&gt;0,"",E19)</f>
        <v>4341</v>
      </c>
      <c r="H19" s="39" t="n">
        <f>IF(COUNTBLANK(G19)&gt;0,"",G19/1000)</f>
        <v>4.341</v>
      </c>
      <c r="I19" s="18" t="inlineStr">
        <is>
          <t>Ghi trên bản vẽ / Explicit</t>
        </is>
      </c>
      <c r="J19" s="18" t="inlineStr">
        <is>
          <t>Tờ 6
File 4</t>
        </is>
      </c>
      <c r="K19" s="18" t="inlineStr">
        <is>
          <t>Bottom longitudinal dimension chain</t>
        </is>
      </c>
      <c r="L19" s="18" t="inlineStr">
        <is>
          <t>4341</t>
        </is>
      </c>
      <c r="M19" s="18" t="str"/>
    </row>
    <row r="20" ht="36" customHeight="1">
      <c r="A20" s="18" t="inlineStr">
        <is>
          <t>P013</t>
        </is>
      </c>
      <c r="B20" s="18" t="inlineStr">
        <is>
          <t>Lưới trục ngang
Transverse grid</t>
        </is>
      </c>
      <c r="C20" s="18" t="inlineStr">
        <is>
          <t>axis_spacing</t>
        </is>
      </c>
      <c r="D20" s="18" t="inlineStr">
        <is>
          <t>Model: Z
Source: transverse
A → B</t>
        </is>
      </c>
      <c r="E20" s="37" t="n">
        <v>2835</v>
      </c>
      <c r="F20" s="25" t="inlineStr">
        <is>
          <t>mm</t>
        </is>
      </c>
      <c r="G20" s="38" t="n">
        <f>IF(COUNTBLANK(E20)&gt;0,"",E20)</f>
        <v>2835</v>
      </c>
      <c r="H20" s="39" t="n">
        <f>IF(COUNTBLANK(G20)&gt;0,"",G20/1000)</f>
        <v>2.835</v>
      </c>
      <c r="I20" s="18" t="inlineStr">
        <is>
          <t>Ghi trên bản vẽ / Explicit</t>
        </is>
      </c>
      <c r="J20" s="18" t="inlineStr">
        <is>
          <t>Tờ 6
File 4</t>
        </is>
      </c>
      <c r="K20" s="18" t="inlineStr">
        <is>
          <t>Far-left transverse dimension chain</t>
        </is>
      </c>
      <c r="L20" s="18" t="inlineStr">
        <is>
          <t>2835</t>
        </is>
      </c>
      <c r="M20" s="18" t="inlineStr">
        <is>
          <t>Tiny CAD text recovered with a temporary reduced-stroke reading render; original PDF unchanged.</t>
        </is>
      </c>
    </row>
    <row r="21" ht="36" customHeight="1">
      <c r="A21" s="18" t="inlineStr">
        <is>
          <t>P014</t>
        </is>
      </c>
      <c r="B21" s="18" t="inlineStr">
        <is>
          <t>Lưới trục ngang
Transverse grid</t>
        </is>
      </c>
      <c r="C21" s="18" t="inlineStr">
        <is>
          <t>axis_spacing</t>
        </is>
      </c>
      <c r="D21" s="18" t="inlineStr">
        <is>
          <t>Model: Z
Source: transverse
B → C</t>
        </is>
      </c>
      <c r="E21" s="37" t="n">
        <v>3054</v>
      </c>
      <c r="F21" s="25" t="inlineStr">
        <is>
          <t>mm</t>
        </is>
      </c>
      <c r="G21" s="38" t="n">
        <f>IF(COUNTBLANK(E21)&gt;0,"",E21)</f>
        <v>3054</v>
      </c>
      <c r="H21" s="39" t="n">
        <f>IF(COUNTBLANK(G21)&gt;0,"",G21/1000)</f>
        <v>3.054</v>
      </c>
      <c r="I21" s="18" t="inlineStr">
        <is>
          <t>Ghi trên bản vẽ / Explicit</t>
        </is>
      </c>
      <c r="J21" s="18" t="inlineStr">
        <is>
          <t>Tờ 6
File 4</t>
        </is>
      </c>
      <c r="K21" s="18" t="inlineStr">
        <is>
          <t>Far-left transverse dimension chain</t>
        </is>
      </c>
      <c r="L21" s="18" t="inlineStr">
        <is>
          <t>3054</t>
        </is>
      </c>
      <c r="M21" s="18" t="str"/>
    </row>
    <row r="22" ht="36" customHeight="1">
      <c r="A22" s="18" t="inlineStr">
        <is>
          <t>P015</t>
        </is>
      </c>
      <c r="B22" s="18" t="inlineStr">
        <is>
          <t>Lưới trục ngang
Transverse grid</t>
        </is>
      </c>
      <c r="C22" s="18" t="inlineStr">
        <is>
          <t>axis_spacing</t>
        </is>
      </c>
      <c r="D22" s="18" t="inlineStr">
        <is>
          <t>Model: Z
Source: transverse
C → D</t>
        </is>
      </c>
      <c r="E22" s="37" t="n">
        <v>3760</v>
      </c>
      <c r="F22" s="25" t="inlineStr">
        <is>
          <t>mm</t>
        </is>
      </c>
      <c r="G22" s="38" t="n">
        <f>IF(COUNTBLANK(E22)&gt;0,"",E22)</f>
        <v>3760</v>
      </c>
      <c r="H22" s="39" t="n">
        <f>IF(COUNTBLANK(G22)&gt;0,"",G22/1000)</f>
        <v>3.76</v>
      </c>
      <c r="I22" s="18" t="inlineStr">
        <is>
          <t>Ghi trên bản vẽ / Explicit</t>
        </is>
      </c>
      <c r="J22" s="18" t="inlineStr">
        <is>
          <t>Tờ 6
File 4</t>
        </is>
      </c>
      <c r="K22" s="18" t="inlineStr">
        <is>
          <t>Far-left transverse dimension chain</t>
        </is>
      </c>
      <c r="L22" s="18" t="inlineStr">
        <is>
          <t>3760</t>
        </is>
      </c>
      <c r="M22" s="18" t="str"/>
    </row>
    <row r="23" ht="36" customHeight="1">
      <c r="A23" s="18" t="inlineStr">
        <is>
          <t>P016</t>
        </is>
      </c>
      <c r="B23" s="18" t="inlineStr">
        <is>
          <t>Lưới trục ngang
Transverse grid</t>
        </is>
      </c>
      <c r="C23" s="18" t="inlineStr">
        <is>
          <t>axis_spacing</t>
        </is>
      </c>
      <c r="D23" s="18" t="inlineStr">
        <is>
          <t>Model: Z
Source: transverse
D → E</t>
        </is>
      </c>
      <c r="E23" s="37" t="n">
        <v>7200</v>
      </c>
      <c r="F23" s="25" t="inlineStr">
        <is>
          <t>mm</t>
        </is>
      </c>
      <c r="G23" s="38" t="n">
        <f>IF(COUNTBLANK(E23)&gt;0,"",E23)</f>
        <v>7200</v>
      </c>
      <c r="H23" s="39" t="n">
        <f>IF(COUNTBLANK(G23)&gt;0,"",G23/1000)</f>
        <v>7.2</v>
      </c>
      <c r="I23" s="18" t="inlineStr">
        <is>
          <t>Ghi trên bản vẽ / Explicit</t>
        </is>
      </c>
      <c r="J23" s="18" t="inlineStr">
        <is>
          <t>Tờ 6
File 4</t>
        </is>
      </c>
      <c r="K23" s="18" t="inlineStr">
        <is>
          <t>Far-left transverse dimension chain</t>
        </is>
      </c>
      <c r="L23" s="18" t="inlineStr">
        <is>
          <t>7200</t>
        </is>
      </c>
      <c r="M23" s="18" t="str"/>
    </row>
    <row r="24" ht="36" customHeight="1">
      <c r="A24" s="18" t="inlineStr">
        <is>
          <t>P017</t>
        </is>
      </c>
      <c r="B24" s="18" t="inlineStr">
        <is>
          <t>Lưới trục ngang
Transverse grid</t>
        </is>
      </c>
      <c r="C24" s="18" t="inlineStr">
        <is>
          <t>axis_spacing</t>
        </is>
      </c>
      <c r="D24" s="18" t="inlineStr">
        <is>
          <t>Model: Z
Source: transverse
E → G</t>
        </is>
      </c>
      <c r="E24" s="37" t="n">
        <v>3760</v>
      </c>
      <c r="F24" s="25" t="inlineStr">
        <is>
          <t>mm</t>
        </is>
      </c>
      <c r="G24" s="38" t="n">
        <f>IF(COUNTBLANK(E24)&gt;0,"",E24)</f>
        <v>3760</v>
      </c>
      <c r="H24" s="39" t="n">
        <f>IF(COUNTBLANK(G24)&gt;0,"",G24/1000)</f>
        <v>3.76</v>
      </c>
      <c r="I24" s="18" t="inlineStr">
        <is>
          <t>Ghi trên bản vẽ / Explicit</t>
        </is>
      </c>
      <c r="J24" s="18" t="inlineStr">
        <is>
          <t>Tờ 6
File 4</t>
        </is>
      </c>
      <c r="K24" s="18" t="inlineStr">
        <is>
          <t>Far-left transverse dimension chain</t>
        </is>
      </c>
      <c r="L24" s="18" t="inlineStr">
        <is>
          <t>3760</t>
        </is>
      </c>
      <c r="M24" s="18" t="str"/>
    </row>
    <row r="25" ht="36" customHeight="1">
      <c r="A25" s="18" t="inlineStr">
        <is>
          <t>P018</t>
        </is>
      </c>
      <c r="B25" s="18" t="inlineStr">
        <is>
          <t>Lưới trục ngang
Transverse grid</t>
        </is>
      </c>
      <c r="C25" s="18" t="inlineStr">
        <is>
          <t>axis_spacing</t>
        </is>
      </c>
      <c r="D25" s="18" t="inlineStr">
        <is>
          <t>Model: Z
Source: transverse
G → H</t>
        </is>
      </c>
      <c r="E25" s="37" t="n">
        <v>3054</v>
      </c>
      <c r="F25" s="25" t="inlineStr">
        <is>
          <t>mm</t>
        </is>
      </c>
      <c r="G25" s="38" t="n">
        <f>IF(COUNTBLANK(E25)&gt;0,"",E25)</f>
        <v>3054</v>
      </c>
      <c r="H25" s="39" t="n">
        <f>IF(COUNTBLANK(G25)&gt;0,"",G25/1000)</f>
        <v>3.054</v>
      </c>
      <c r="I25" s="18" t="inlineStr">
        <is>
          <t>Ghi trên bản vẽ / Explicit</t>
        </is>
      </c>
      <c r="J25" s="18" t="inlineStr">
        <is>
          <t>Tờ 6
File 4</t>
        </is>
      </c>
      <c r="K25" s="18" t="inlineStr">
        <is>
          <t>Far-left transverse dimension chain</t>
        </is>
      </c>
      <c r="L25" s="18" t="inlineStr">
        <is>
          <t>3054</t>
        </is>
      </c>
      <c r="M25" s="18" t="str"/>
    </row>
    <row r="26" ht="36" customHeight="1">
      <c r="A26" s="18" t="inlineStr">
        <is>
          <t>P019</t>
        </is>
      </c>
      <c r="B26" s="18" t="inlineStr">
        <is>
          <t>Lưới trục ngang
Transverse grid</t>
        </is>
      </c>
      <c r="C26" s="18" t="inlineStr">
        <is>
          <t>axis_spacing</t>
        </is>
      </c>
      <c r="D26" s="18" t="inlineStr">
        <is>
          <t>Model: Z
Source: transverse
H → I</t>
        </is>
      </c>
      <c r="E26" s="37" t="n">
        <v>2835</v>
      </c>
      <c r="F26" s="25" t="inlineStr">
        <is>
          <t>mm</t>
        </is>
      </c>
      <c r="G26" s="38" t="n">
        <f>IF(COUNTBLANK(E26)&gt;0,"",E26)</f>
        <v>2835</v>
      </c>
      <c r="H26" s="39" t="n">
        <f>IF(COUNTBLANK(G26)&gt;0,"",G26/1000)</f>
        <v>2.835</v>
      </c>
      <c r="I26" s="18" t="inlineStr">
        <is>
          <t>Ghi trên bản vẽ / Explicit</t>
        </is>
      </c>
      <c r="J26" s="18" t="inlineStr">
        <is>
          <t>Tờ 6
File 4</t>
        </is>
      </c>
      <c r="K26" s="18" t="inlineStr">
        <is>
          <t>Far-left transverse dimension chain</t>
        </is>
      </c>
      <c r="L26" s="18" t="inlineStr">
        <is>
          <t>2835</t>
        </is>
      </c>
      <c r="M26" s="18" t="inlineStr">
        <is>
          <t>Tiny CAD text recovered with a temporary reduced-stroke reading render; original PDF unchanged.</t>
        </is>
      </c>
    </row>
    <row r="27" ht="36" customHeight="1">
      <c r="A27" s="18" t="inlineStr">
        <is>
          <t>P020</t>
        </is>
      </c>
      <c r="B27" s="18" t="inlineStr">
        <is>
          <t>Kích thước bao công trình
Exterior envelope</t>
        </is>
      </c>
      <c r="C27" s="18" t="inlineStr">
        <is>
          <t>overall_length</t>
        </is>
      </c>
      <c r="D27" s="18" t="inlineStr">
        <is>
          <t>Model: X
Source: longitudinal
forecourt/front landing outer end → 1</t>
        </is>
      </c>
      <c r="E27" s="37" t="n">
        <v>13219</v>
      </c>
      <c r="F27" s="25" t="inlineStr">
        <is>
          <t>mm</t>
        </is>
      </c>
      <c r="G27" s="38" t="n">
        <f>IF(COUNTBLANK(E27)&gt;0,"",E27)</f>
        <v>13219</v>
      </c>
      <c r="H27" s="39" t="n">
        <f>IF(COUNTBLANK(G27)&gt;0,"",G27/1000)</f>
        <v>13.219</v>
      </c>
      <c r="I27" s="18" t="inlineStr">
        <is>
          <t>Ghi trên bản vẽ / Explicit</t>
        </is>
      </c>
      <c r="J27" s="18" t="inlineStr">
        <is>
          <t>Tờ 6
File 4</t>
        </is>
      </c>
      <c r="K27" s="18" t="inlineStr">
        <is>
          <t>Bottom left chain</t>
        </is>
      </c>
      <c r="L27" s="18" t="inlineStr">
        <is>
          <t>13219</t>
        </is>
      </c>
      <c r="M27" s="18" t="str"/>
    </row>
    <row r="28" ht="48" customHeight="1">
      <c r="A28" s="18" t="inlineStr">
        <is>
          <t>P021</t>
        </is>
      </c>
      <c r="B28" s="18" t="inlineStr">
        <is>
          <t>Kích thước bao công trình
Exterior envelope</t>
        </is>
      </c>
      <c r="C28" s="18" t="inlineStr">
        <is>
          <t>overall_length</t>
        </is>
      </c>
      <c r="D28" s="18" t="inlineStr">
        <is>
          <t>Model: X
Source: longitudinal
forecourt/front landing outer end → rear exterior end</t>
        </is>
      </c>
      <c r="E28" s="37" t="n">
        <v>67064</v>
      </c>
      <c r="F28" s="25" t="inlineStr">
        <is>
          <t>mm</t>
        </is>
      </c>
      <c r="G28" s="38" t="n">
        <f>IF(COUNTBLANK(E28)&gt;0,"",E28)</f>
        <v>67064</v>
      </c>
      <c r="H28" s="39" t="n">
        <f>IF(COUNTBLANK(G28)&gt;0,"",G28/1000)</f>
        <v>67.064</v>
      </c>
      <c r="I28" s="18" t="inlineStr">
        <is>
          <t>Ghi trên bản vẽ / Explicit</t>
        </is>
      </c>
      <c r="J28" s="18" t="inlineStr">
        <is>
          <t>Tờ 6
File 4</t>
        </is>
      </c>
      <c r="K28" s="18" t="inlineStr">
        <is>
          <t>Bottom overall chain</t>
        </is>
      </c>
      <c r="L28" s="18" t="inlineStr">
        <is>
          <t>67064</t>
        </is>
      </c>
      <c r="M28" s="18" t="str"/>
    </row>
    <row r="29" ht="48" customHeight="1">
      <c r="A29" s="18" t="inlineStr">
        <is>
          <t>P022</t>
        </is>
      </c>
      <c r="B29" s="18" t="inlineStr">
        <is>
          <t>Kích thước bao công trình
Exterior envelope</t>
        </is>
      </c>
      <c r="C29" s="18" t="inlineStr">
        <is>
          <t>overall_length</t>
        </is>
      </c>
      <c r="D29" s="18" t="inlineStr">
        <is>
          <t>Model: X
Source: longitudinal
front tower exterior end → rear exterior end</t>
        </is>
      </c>
      <c r="E29" s="37" t="n">
        <v>54794</v>
      </c>
      <c r="F29" s="25" t="inlineStr">
        <is>
          <t>mm</t>
        </is>
      </c>
      <c r="G29" s="38" t="n">
        <f>IF(COUNTBLANK(E29)&gt;0,"",E29)</f>
        <v>54794</v>
      </c>
      <c r="H29" s="39" t="n">
        <f>IF(COUNTBLANK(G29)&gt;0,"",G29/1000)</f>
        <v>54.794</v>
      </c>
      <c r="I29" s="18" t="inlineStr">
        <is>
          <t>Ghi trên bản vẽ / Explicit</t>
        </is>
      </c>
      <c r="J29" s="18" t="inlineStr">
        <is>
          <t>Tờ 6
File 4</t>
        </is>
      </c>
      <c r="K29" s="18" t="inlineStr">
        <is>
          <t>Top overall chain</t>
        </is>
      </c>
      <c r="L29" s="18" t="inlineStr">
        <is>
          <t>54794</t>
        </is>
      </c>
      <c r="M29" s="18" t="inlineStr">
        <is>
          <t>Top overall label was recovered with a temporary reduced-stroke reading render.</t>
        </is>
      </c>
    </row>
    <row r="30" ht="36" customHeight="1">
      <c r="A30" s="18" t="inlineStr">
        <is>
          <t>P023</t>
        </is>
      </c>
      <c r="B30" s="18" t="inlineStr">
        <is>
          <t>Kích thước bao công trình
Exterior envelope</t>
        </is>
      </c>
      <c r="C30" s="18" t="inlineStr">
        <is>
          <t>edge_offset</t>
        </is>
      </c>
      <c r="D30" s="18" t="inlineStr">
        <is>
          <t>Model: Z
Source: transverse
upper outside edge near H → H</t>
        </is>
      </c>
      <c r="E30" s="37" t="n">
        <v>832</v>
      </c>
      <c r="F30" s="25" t="inlineStr">
        <is>
          <t>mm</t>
        </is>
      </c>
      <c r="G30" s="38" t="n">
        <f>IF(COUNTBLANK(E30)&gt;0,"",E30)</f>
        <v>832</v>
      </c>
      <c r="H30" s="39" t="n">
        <f>IF(COUNTBLANK(G30)&gt;0,"",G30/1000)</f>
        <v>0.832</v>
      </c>
      <c r="I30" s="18" t="inlineStr">
        <is>
          <t>Ghi trên bản vẽ / Explicit</t>
        </is>
      </c>
      <c r="J30" s="18" t="inlineStr">
        <is>
          <t>Tờ 6
File 4</t>
        </is>
      </c>
      <c r="K30" s="18" t="inlineStr">
        <is>
          <t>Right outer main-body margin, above H</t>
        </is>
      </c>
      <c r="L30" s="18" t="inlineStr">
        <is>
          <t>832</t>
        </is>
      </c>
      <c r="M30" s="18" t="str"/>
    </row>
    <row r="31" ht="36" customHeight="1">
      <c r="A31" s="18" t="inlineStr">
        <is>
          <t>P024</t>
        </is>
      </c>
      <c r="B31" s="18" t="inlineStr">
        <is>
          <t>Kích thước bao công trình
Exterior envelope</t>
        </is>
      </c>
      <c r="C31" s="18" t="inlineStr">
        <is>
          <t>edge_offset</t>
        </is>
      </c>
      <c r="D31" s="18" t="inlineStr">
        <is>
          <t>Model: Z
Source: transverse
B → lower outside edge near B</t>
        </is>
      </c>
      <c r="E31" s="37" t="n">
        <v>829</v>
      </c>
      <c r="F31" s="25" t="inlineStr">
        <is>
          <t>mm</t>
        </is>
      </c>
      <c r="G31" s="38" t="n">
        <f>IF(COUNTBLANK(E31)&gt;0,"",E31)</f>
        <v>829</v>
      </c>
      <c r="H31" s="39" t="n">
        <f>IF(COUNTBLANK(G31)&gt;0,"",G31/1000)</f>
        <v>0.829</v>
      </c>
      <c r="I31" s="18" t="inlineStr">
        <is>
          <t>Ghi trên bản vẽ / Explicit</t>
        </is>
      </c>
      <c r="J31" s="18" t="inlineStr">
        <is>
          <t>Tờ 6
File 4</t>
        </is>
      </c>
      <c r="K31" s="18" t="inlineStr">
        <is>
          <t>Right outer main-body margin, below B</t>
        </is>
      </c>
      <c r="L31" s="18" t="inlineStr">
        <is>
          <t>829</t>
        </is>
      </c>
      <c r="M31" s="18" t="str"/>
    </row>
    <row r="32" ht="36" customHeight="1">
      <c r="A32" s="18" t="inlineStr">
        <is>
          <t>P025</t>
        </is>
      </c>
      <c r="B32" s="18" t="inlineStr">
        <is>
          <t>Kích thước bao công trình
Exterior envelope</t>
        </is>
      </c>
      <c r="C32" s="18" t="inlineStr">
        <is>
          <t>edge_offset</t>
        </is>
      </c>
      <c r="D32" s="18" t="inlineStr">
        <is>
          <t>Model: Z
Source: transverse
A → lower transept exterior edge</t>
        </is>
      </c>
      <c r="E32" s="37" t="n">
        <v>829</v>
      </c>
      <c r="F32" s="25" t="inlineStr">
        <is>
          <t>mm</t>
        </is>
      </c>
      <c r="G32" s="38" t="n">
        <f>IF(COUNTBLANK(E32)&gt;0,"",E32)</f>
        <v>829</v>
      </c>
      <c r="H32" s="39" t="n">
        <f>IF(COUNTBLANK(G32)&gt;0,"",G32/1000)</f>
        <v>0.829</v>
      </c>
      <c r="I32" s="18" t="inlineStr">
        <is>
          <t>Ghi trên bản vẽ / Explicit</t>
        </is>
      </c>
      <c r="J32" s="18" t="inlineStr">
        <is>
          <t>Tờ 6
File 4</t>
        </is>
      </c>
      <c r="K32" s="18" t="inlineStr">
        <is>
          <t>Right lowermost short offset, below A</t>
        </is>
      </c>
      <c r="L32" s="18" t="inlineStr">
        <is>
          <t>829</t>
        </is>
      </c>
      <c r="M32" s="18" t="str"/>
    </row>
    <row r="33" ht="48" customHeight="1">
      <c r="A33" s="18" t="inlineStr">
        <is>
          <t>P026</t>
        </is>
      </c>
      <c r="B33" s="18" t="inlineStr">
        <is>
          <t>Kích thước mặt bằng
Main body</t>
        </is>
      </c>
      <c r="C33" s="18" t="inlineStr">
        <is>
          <t>overall_width</t>
        </is>
      </c>
      <c r="D33" s="18" t="inlineStr">
        <is>
          <t>Model: Z
Source: transverse
main upper exterior edge → main lower exterior edge</t>
        </is>
      </c>
      <c r="E33" s="37" t="n">
        <v>22489</v>
      </c>
      <c r="F33" s="25" t="inlineStr">
        <is>
          <t>mm</t>
        </is>
      </c>
      <c r="G33" s="38" t="n">
        <f>IF(COUNTBLANK(E33)&gt;0,"",E33)</f>
        <v>22489</v>
      </c>
      <c r="H33" s="39" t="n">
        <f>IF(COUNTBLANK(G33)&gt;0,"",G33/1000)</f>
        <v>22.489</v>
      </c>
      <c r="I33" s="18" t="inlineStr">
        <is>
          <t>Ghi trên bản vẽ / Explicit</t>
        </is>
      </c>
      <c r="J33" s="18" t="inlineStr">
        <is>
          <t>Tờ 6
File 4</t>
        </is>
      </c>
      <c r="K33" s="18" t="inlineStr">
        <is>
          <t>Right middle overall dimension</t>
        </is>
      </c>
      <c r="L33" s="18" t="inlineStr">
        <is>
          <t>22489</t>
        </is>
      </c>
      <c r="M33" s="18" t="inlineStr">
        <is>
          <t>832 + 3054 + 3760 + 7200 + 3760 + 3054 + 829 = 22489.</t>
        </is>
      </c>
    </row>
    <row r="34" ht="48" customHeight="1">
      <c r="A34" s="18" t="inlineStr">
        <is>
          <t>P027</t>
        </is>
      </c>
      <c r="B34" s="18" t="inlineStr">
        <is>
          <t>Kích thước mặt bằng
Transept wings</t>
        </is>
      </c>
      <c r="C34" s="18" t="inlineStr">
        <is>
          <t>overall_width</t>
        </is>
      </c>
      <c r="D34" s="18" t="inlineStr">
        <is>
          <t>Model: Z
Source: transverse
upper wing exterior edge → lower wing exterior edge</t>
        </is>
      </c>
      <c r="E34" s="37" t="n">
        <v>28158</v>
      </c>
      <c r="F34" s="25" t="inlineStr">
        <is>
          <t>mm</t>
        </is>
      </c>
      <c r="G34" s="38" t="n">
        <f>IF(COUNTBLANK(E34)&gt;0,"",E34)</f>
        <v>28158</v>
      </c>
      <c r="H34" s="39" t="n">
        <f>IF(COUNTBLANK(G34)&gt;0,"",G34/1000)</f>
        <v>28.158</v>
      </c>
      <c r="I34" s="18" t="inlineStr">
        <is>
          <t>Ghi trên bản vẽ / Explicit</t>
        </is>
      </c>
      <c r="J34" s="18" t="inlineStr">
        <is>
          <t>Tờ 6
File 4</t>
        </is>
      </c>
      <c r="K34" s="18" t="inlineStr">
        <is>
          <t>Right outermost overall dimension</t>
        </is>
      </c>
      <c r="L34" s="18" t="inlineStr">
        <is>
          <t>28158</t>
        </is>
      </c>
      <c r="M34" s="18" t="inlineStr">
        <is>
          <t>Do not replace with main-body width22489. Axis A–I total26498; assigning both832 and829 to wing edges would yield28159, 1mm above printed overall.</t>
        </is>
      </c>
    </row>
    <row r="35" ht="48" customHeight="1">
      <c r="A35" s="18" t="inlineStr">
        <is>
          <t>P028</t>
        </is>
      </c>
      <c r="B35" s="18" t="inlineStr">
        <is>
          <t>Kích thước mặt bằng
Transept interior</t>
        </is>
      </c>
      <c r="C35" s="18" t="inlineStr">
        <is>
          <t>clear_width</t>
        </is>
      </c>
      <c r="D35" s="18" t="inlineStr">
        <is>
          <t>Model: Z
Source: transverse
upper wing inner wall face → lower wing inner wall face</t>
        </is>
      </c>
      <c r="E35" s="37" t="n">
        <v>26168</v>
      </c>
      <c r="F35" s="25" t="inlineStr">
        <is>
          <t>mm</t>
        </is>
      </c>
      <c r="G35" s="38" t="n">
        <f>IF(COUNTBLANK(E35)&gt;0,"",E35)</f>
        <v>26168</v>
      </c>
      <c r="H35" s="39" t="n">
        <f>IF(COUNTBLANK(G35)&gt;0,"",G35/1000)</f>
        <v>26.168</v>
      </c>
      <c r="I35" s="18" t="inlineStr">
        <is>
          <t>Ghi trên bản vẽ / Explicit</t>
        </is>
      </c>
      <c r="J35" s="18" t="inlineStr">
        <is>
          <t>Tờ 6
File 4</t>
        </is>
      </c>
      <c r="K35" s="18" t="inlineStr">
        <is>
          <t>Vertical dimension inside bay9–10</t>
        </is>
      </c>
      <c r="L35" s="18" t="inlineStr">
        <is>
          <t>26168</t>
        </is>
      </c>
      <c r="M35" s="18" t="inlineStr">
        <is>
          <t>Dimension spans interior faces of opposing transverse wing walls.</t>
        </is>
      </c>
    </row>
    <row r="36" ht="48" customHeight="1">
      <c r="A36" s="18" t="inlineStr">
        <is>
          <t>P029</t>
        </is>
      </c>
      <c r="B36" s="18" t="inlineStr">
        <is>
          <t>Kích thước mặt bằng
Nave interior</t>
        </is>
      </c>
      <c r="C36" s="18" t="inlineStr">
        <is>
          <t>clear_width</t>
        </is>
      </c>
      <c r="D36" s="18" t="inlineStr">
        <is>
          <t>Model: Z
Source: transverse
inner face near G → inner face near C</t>
        </is>
      </c>
      <c r="E36" s="37" t="n">
        <v>14500</v>
      </c>
      <c r="F36" s="25" t="inlineStr">
        <is>
          <t>mm</t>
        </is>
      </c>
      <c r="G36" s="38" t="n">
        <f>IF(COUNTBLANK(E36)&gt;0,"",E36)</f>
        <v>14500</v>
      </c>
      <c r="H36" s="39" t="n">
        <f>IF(COUNTBLANK(G36)&gt;0,"",G36/1000)</f>
        <v>14.5</v>
      </c>
      <c r="I36" s="18" t="inlineStr">
        <is>
          <t>Ghi trên bản vẽ / Explicit</t>
        </is>
      </c>
      <c r="J36" s="18" t="inlineStr">
        <is>
          <t>Tờ 6
File 4</t>
        </is>
      </c>
      <c r="K36" s="18" t="inlineStr">
        <is>
          <t>Vertical dimension near bay5–6</t>
        </is>
      </c>
      <c r="L36" s="18" t="inlineStr">
        <is>
          <t>14500</t>
        </is>
      </c>
      <c r="M36" s="18" t="inlineStr">
        <is>
          <t>Grid G–C14720 is a different measurement.</t>
        </is>
      </c>
    </row>
    <row r="37" ht="48" customHeight="1">
      <c r="A37" s="18" t="inlineStr">
        <is>
          <t>P030</t>
        </is>
      </c>
      <c r="B37" s="18" t="inlineStr">
        <is>
          <t>Kích thước mặt bằng
Main interior</t>
        </is>
      </c>
      <c r="C37" s="18" t="inlineStr">
        <is>
          <t>clear_length</t>
        </is>
      </c>
      <c r="D37" s="18" t="inlineStr">
        <is>
          <t>Model: X
Source: longitudinal
inside front wall near2′ → inside rear wall near12</t>
        </is>
      </c>
      <c r="E37" s="37" t="n">
        <v>47386</v>
      </c>
      <c r="F37" s="25" t="inlineStr">
        <is>
          <t>mm</t>
        </is>
      </c>
      <c r="G37" s="38" t="n">
        <f>IF(COUNTBLANK(E37)&gt;0,"",E37)</f>
        <v>47386</v>
      </c>
      <c r="H37" s="39" t="n">
        <f>IF(COUNTBLANK(G37)&gt;0,"",G37/1000)</f>
        <v>47.386</v>
      </c>
      <c r="I37" s="18" t="inlineStr">
        <is>
          <t>Ghi trên bản vẽ / Explicit</t>
        </is>
      </c>
      <c r="J37" s="18" t="inlineStr">
        <is>
          <t>Tờ 6
File 4</t>
        </is>
      </c>
      <c r="K37" s="18" t="inlineStr">
        <is>
          <t>Horizontal internal dimension near lower nave</t>
        </is>
      </c>
      <c r="L37" s="18" t="inlineStr">
        <is>
          <t>47386</t>
        </is>
      </c>
      <c r="M37" s="18" t="inlineStr">
        <is>
          <t>This is a clear overall interior dimension, not an axis span.</t>
        </is>
      </c>
    </row>
    <row r="38" ht="48" customHeight="1">
      <c r="A38" s="18" t="inlineStr">
        <is>
          <t>P031</t>
        </is>
      </c>
      <c r="B38" s="18" t="inlineStr">
        <is>
          <t>Kích thước mặt bằng
Lower veranda</t>
        </is>
      </c>
      <c r="C38" s="18" t="inlineStr">
        <is>
          <t>clear_width</t>
        </is>
      </c>
      <c r="D38" s="18" t="inlineStr">
        <is>
          <t>Model: Z
Source: transverse
inner face near C → inner face near B</t>
        </is>
      </c>
      <c r="E38" s="37" t="n">
        <v>2779</v>
      </c>
      <c r="F38" s="25" t="inlineStr">
        <is>
          <t>mm</t>
        </is>
      </c>
      <c r="G38" s="38" t="n">
        <f>IF(COUNTBLANK(E38)&gt;0,"",E38)</f>
        <v>2779</v>
      </c>
      <c r="H38" s="39" t="n">
        <f>IF(COUNTBLANK(G38)&gt;0,"",G38/1000)</f>
        <v>2.779</v>
      </c>
      <c r="I38" s="18" t="inlineStr">
        <is>
          <t>Ghi trên bản vẽ / Explicit</t>
        </is>
      </c>
      <c r="J38" s="18" t="inlineStr">
        <is>
          <t>Tờ 6
File 4</t>
        </is>
      </c>
      <c r="K38" s="18" t="inlineStr">
        <is>
          <t>Lower veranda width dimension near bay3–4</t>
        </is>
      </c>
      <c r="L38" s="18" t="inlineStr">
        <is>
          <t>2779</t>
        </is>
      </c>
      <c r="M38" s="18" t="inlineStr">
        <is>
          <t>No identical opposite-veranda clear dimension printed.</t>
        </is>
      </c>
    </row>
    <row r="39" ht="36" customHeight="1">
      <c r="A39" s="18" t="inlineStr">
        <is>
          <t>P032</t>
        </is>
      </c>
      <c r="B39" s="18" t="inlineStr">
        <is>
          <t>Kích thước mặt bằng
Transverse wing at9–10</t>
        </is>
      </c>
      <c r="C39" s="18" t="inlineStr">
        <is>
          <t>longitudinal_span</t>
        </is>
      </c>
      <c r="D39" s="18" t="inlineStr">
        <is>
          <t>Model: X
Source: longitudinal
9 → 10</t>
        </is>
      </c>
      <c r="E39" s="37" t="n">
        <v>7200</v>
      </c>
      <c r="F39" s="25" t="inlineStr">
        <is>
          <t>mm</t>
        </is>
      </c>
      <c r="G39" s="38" t="n">
        <f>IF(COUNTBLANK(E39)&gt;0,"",E39)</f>
        <v>7200</v>
      </c>
      <c r="H39" s="39" t="n">
        <f>IF(COUNTBLANK(G39)&gt;0,"",G39/1000)</f>
        <v>7.2</v>
      </c>
      <c r="I39" s="18" t="inlineStr">
        <is>
          <t>Ghi trên bản vẽ / Explicit</t>
        </is>
      </c>
      <c r="J39" s="18" t="inlineStr">
        <is>
          <t>Tờ 6
File 4</t>
        </is>
      </c>
      <c r="K39" s="18" t="inlineStr">
        <is>
          <t>Top wing dimension chain; repeated inside lower wing</t>
        </is>
      </c>
      <c r="L39" s="18" t="inlineStr">
        <is>
          <t>7200</t>
        </is>
      </c>
      <c r="M39" s="18" t="inlineStr">
        <is>
          <t>Grid span, not clear room width.</t>
        </is>
      </c>
    </row>
    <row r="40" ht="36" customHeight="1">
      <c r="A40" s="18" t="inlineStr">
        <is>
          <t>P033</t>
        </is>
      </c>
      <c r="B40" s="18" t="inlineStr">
        <is>
          <t>Kích thước mặt bằng
Upper transverse wing</t>
        </is>
      </c>
      <c r="C40" s="18" t="inlineStr">
        <is>
          <t>front_end_projection</t>
        </is>
      </c>
      <c r="D40" s="18" t="inlineStr">
        <is>
          <t>Model: X
Source: longitudinal
wing front exterior edge → 9</t>
        </is>
      </c>
      <c r="E40" s="37" t="n">
        <v>995</v>
      </c>
      <c r="F40" s="25" t="inlineStr">
        <is>
          <t>mm</t>
        </is>
      </c>
      <c r="G40" s="38" t="n">
        <f>IF(COUNTBLANK(E40)&gt;0,"",E40)</f>
        <v>995</v>
      </c>
      <c r="H40" s="39" t="n">
        <f>IF(COUNTBLANK(G40)&gt;0,"",G40/1000)</f>
        <v>0.995</v>
      </c>
      <c r="I40" s="18" t="inlineStr">
        <is>
          <t>Ghi trên bản vẽ / Explicit</t>
        </is>
      </c>
      <c r="J40" s="18" t="inlineStr">
        <is>
          <t>Tờ 6
File 4</t>
        </is>
      </c>
      <c r="K40" s="18" t="inlineStr">
        <is>
          <t>Top wing outer dimension chain</t>
        </is>
      </c>
      <c r="L40" s="18" t="inlineStr">
        <is>
          <t>995</t>
        </is>
      </c>
      <c r="M40" s="18" t="str"/>
    </row>
    <row r="41" ht="36" customHeight="1">
      <c r="A41" s="18" t="inlineStr">
        <is>
          <t>P034</t>
        </is>
      </c>
      <c r="B41" s="18" t="inlineStr">
        <is>
          <t>Kích thước mặt bằng
Upper transverse wing</t>
        </is>
      </c>
      <c r="C41" s="18" t="inlineStr">
        <is>
          <t>rear_end_projection</t>
        </is>
      </c>
      <c r="D41" s="18" t="inlineStr">
        <is>
          <t>Model: X
Source: longitudinal
10 → wing rear exterior edge</t>
        </is>
      </c>
      <c r="E41" s="37" t="n">
        <v>993</v>
      </c>
      <c r="F41" s="25" t="inlineStr">
        <is>
          <t>mm</t>
        </is>
      </c>
      <c r="G41" s="38" t="n">
        <f>IF(COUNTBLANK(E41)&gt;0,"",E41)</f>
        <v>993</v>
      </c>
      <c r="H41" s="39" t="n">
        <f>IF(COUNTBLANK(G41)&gt;0,"",G41/1000)</f>
        <v>0.993</v>
      </c>
      <c r="I41" s="18" t="inlineStr">
        <is>
          <t>Ghi trên bản vẽ / Explicit</t>
        </is>
      </c>
      <c r="J41" s="18" t="inlineStr">
        <is>
          <t>Tờ 6
File 4</t>
        </is>
      </c>
      <c r="K41" s="18" t="inlineStr">
        <is>
          <t>Top wing outer dimension chain</t>
        </is>
      </c>
      <c r="L41" s="18" t="inlineStr">
        <is>
          <t>993</t>
        </is>
      </c>
      <c r="M41" s="18" t="str"/>
    </row>
    <row r="42" ht="48" customHeight="1">
      <c r="A42" s="18" t="inlineStr">
        <is>
          <t>P035</t>
        </is>
      </c>
      <c r="B42" s="18" t="inlineStr">
        <is>
          <t>Kích thước mặt bằng
Upper transverse wing</t>
        </is>
      </c>
      <c r="C42" s="18" t="inlineStr">
        <is>
          <t>overall_length</t>
        </is>
      </c>
      <c r="D42" s="18" t="inlineStr">
        <is>
          <t>Model: X
Source: longitudinal
wing front exterior edge → wing rear exterior edge</t>
        </is>
      </c>
      <c r="E42" s="37" t="n">
        <v>9188</v>
      </c>
      <c r="F42" s="25" t="inlineStr">
        <is>
          <t>mm</t>
        </is>
      </c>
      <c r="G42" s="38" t="n">
        <f>IF(COUNTBLANK(E42)&gt;0,"",E42)</f>
        <v>9188</v>
      </c>
      <c r="H42" s="39" t="n">
        <f>IF(COUNTBLANK(G42)&gt;0,"",G42/1000)</f>
        <v>9.188</v>
      </c>
      <c r="I42" s="18" t="inlineStr">
        <is>
          <t>Ghi trên bản vẽ / Explicit</t>
        </is>
      </c>
      <c r="J42" s="18" t="inlineStr">
        <is>
          <t>Tờ 6
File 4</t>
        </is>
      </c>
      <c r="K42" s="18" t="inlineStr">
        <is>
          <t>Top wing outer overall chain</t>
        </is>
      </c>
      <c r="L42" s="18" t="inlineStr">
        <is>
          <t>9188</t>
        </is>
      </c>
      <c r="M42" s="18" t="inlineStr">
        <is>
          <t>995 + 7200 + 993 = 9188.</t>
        </is>
      </c>
    </row>
    <row r="43" ht="36" customHeight="1">
      <c r="A43" s="18" t="inlineStr">
        <is>
          <t>P036</t>
        </is>
      </c>
      <c r="B43" s="18" t="inlineStr">
        <is>
          <t>Kích thước mặt bằng
Lower front tower/recess</t>
        </is>
      </c>
      <c r="C43" s="18" t="inlineStr">
        <is>
          <t>clear_width</t>
        </is>
      </c>
      <c r="D43" s="18" t="inlineStr">
        <is>
          <t>Model: X
Source: longitudinal
front inside face → rear inside face</t>
        </is>
      </c>
      <c r="E43" s="37" t="n">
        <v>2770</v>
      </c>
      <c r="F43" s="25" t="inlineStr">
        <is>
          <t>mm</t>
        </is>
      </c>
      <c r="G43" s="38" t="n">
        <f>IF(COUNTBLANK(E43)&gt;0,"",E43)</f>
        <v>2770</v>
      </c>
      <c r="H43" s="39" t="n">
        <f>IF(COUNTBLANK(G43)&gt;0,"",G43/1000)</f>
        <v>2.77</v>
      </c>
      <c r="I43" s="18" t="inlineStr">
        <is>
          <t>Ghi trên bản vẽ / Explicit</t>
        </is>
      </c>
      <c r="J43" s="18" t="inlineStr">
        <is>
          <t>Tờ 6
File 4</t>
        </is>
      </c>
      <c r="K43" s="18" t="inlineStr">
        <is>
          <t>Front lower tower horizontal dimension</t>
        </is>
      </c>
      <c r="L43" s="18" t="inlineStr">
        <is>
          <t>2770</t>
        </is>
      </c>
      <c r="M43" s="18" t="inlineStr">
        <is>
          <t>Use detail position in plan; not overall tower footprint.</t>
        </is>
      </c>
    </row>
    <row r="44" ht="48" customHeight="1">
      <c r="A44" s="18" t="inlineStr">
        <is>
          <t>P037</t>
        </is>
      </c>
      <c r="B44" s="18" t="inlineStr">
        <is>
          <t>Kích thước mặt bằng
Lower front tower/recess</t>
        </is>
      </c>
      <c r="C44" s="18" t="inlineStr">
        <is>
          <t>clear_depth</t>
        </is>
      </c>
      <c r="D44" s="18" t="inlineStr">
        <is>
          <t>Model: Z
Source: transverse
upper inside face → lower inside face</t>
        </is>
      </c>
      <c r="E44" s="37" t="n">
        <v>2770</v>
      </c>
      <c r="F44" s="25" t="inlineStr">
        <is>
          <t>mm</t>
        </is>
      </c>
      <c r="G44" s="38" t="n">
        <f>IF(COUNTBLANK(E44)&gt;0,"",E44)</f>
        <v>2770</v>
      </c>
      <c r="H44" s="39" t="n">
        <f>IF(COUNTBLANK(G44)&gt;0,"",G44/1000)</f>
        <v>2.77</v>
      </c>
      <c r="I44" s="18" t="inlineStr">
        <is>
          <t>Ghi trên bản vẽ / Explicit</t>
        </is>
      </c>
      <c r="J44" s="18" t="inlineStr">
        <is>
          <t>Tờ 6
File 4</t>
        </is>
      </c>
      <c r="K44" s="18" t="inlineStr">
        <is>
          <t>Front lower tower vertical dimension</t>
        </is>
      </c>
      <c r="L44" s="18" t="inlineStr">
        <is>
          <t>2770</t>
        </is>
      </c>
      <c r="M44" s="18" t="inlineStr">
        <is>
          <t>Use detail position in plan; not overall tower footprint.</t>
        </is>
      </c>
    </row>
    <row r="45" ht="48" customHeight="1">
      <c r="A45" s="18" t="inlineStr">
        <is>
          <t>P038</t>
        </is>
      </c>
      <c r="B45" s="18" t="inlineStr">
        <is>
          <t>Kích thước mặt bằng
Lower front connecting passage</t>
        </is>
      </c>
      <c r="C45" s="18" t="inlineStr">
        <is>
          <t>clear_width</t>
        </is>
      </c>
      <c r="D45" s="18" t="inlineStr">
        <is>
          <t>Model: X
Source: longitudinal
front recess corner → inside face near2′</t>
        </is>
      </c>
      <c r="E45" s="37" t="n">
        <v>1500</v>
      </c>
      <c r="F45" s="25" t="inlineStr">
        <is>
          <t>mm</t>
        </is>
      </c>
      <c r="G45" s="38" t="n">
        <f>IF(COUNTBLANK(E45)&gt;0,"",E45)</f>
        <v>1500</v>
      </c>
      <c r="H45" s="39" t="n">
        <f>IF(COUNTBLANK(G45)&gt;0,"",G45/1000)</f>
        <v>1.5</v>
      </c>
      <c r="I45" s="18" t="inlineStr">
        <is>
          <t>Ghi trên bản vẽ / Explicit</t>
        </is>
      </c>
      <c r="J45" s="18" t="inlineStr">
        <is>
          <t>Tờ 6
File 4</t>
        </is>
      </c>
      <c r="K45" s="18" t="inlineStr">
        <is>
          <t>Front near axis C, horizontal passage dimension</t>
        </is>
      </c>
      <c r="L45" s="18" t="inlineStr">
        <is>
          <t>1500</t>
        </is>
      </c>
      <c r="M45" s="18" t="inlineStr">
        <is>
          <t>Local passage opening; not the same as altar offset1500.</t>
        </is>
      </c>
    </row>
    <row r="46" ht="60" customHeight="1">
      <c r="A46" s="18" t="inlineStr">
        <is>
          <t>P039</t>
        </is>
      </c>
      <c r="B46" s="18" t="inlineStr">
        <is>
          <t>Kích thước mặt bằng
Lower front connecting passage</t>
        </is>
      </c>
      <c r="C46" s="18" t="inlineStr">
        <is>
          <t>opening_dimension</t>
        </is>
      </c>
      <c r="D46" s="18" t="inlineStr">
        <is>
          <t>Model: Z
Source: transverse
lower front passage upper endpoint → lower front passage lower endpoint</t>
        </is>
      </c>
      <c r="E46" s="37" t="n">
        <v>1821</v>
      </c>
      <c r="F46" s="25" t="inlineStr">
        <is>
          <t>mm</t>
        </is>
      </c>
      <c r="G46" s="38" t="n">
        <f>IF(COUNTBLANK(E46)&gt;0,"",E46)</f>
        <v>1821</v>
      </c>
      <c r="H46" s="39" t="n">
        <f>IF(COUNTBLANK(G46)&gt;0,"",G46/1000)</f>
        <v>1.821</v>
      </c>
      <c r="I46" s="18" t="inlineStr">
        <is>
          <t>Ghi trên bản vẽ / Explicit</t>
        </is>
      </c>
      <c r="J46" s="18" t="inlineStr">
        <is>
          <t>Tờ 6
File 4</t>
        </is>
      </c>
      <c r="K46" s="18" t="inlineStr">
        <is>
          <t>Front near axes B–C, vertical passage dimension</t>
        </is>
      </c>
      <c r="L46" s="18" t="inlineStr">
        <is>
          <t>1821</t>
        </is>
      </c>
      <c r="M46" s="18" t="str"/>
    </row>
    <row r="47" ht="48" customHeight="1">
      <c r="A47" s="18" t="inlineStr">
        <is>
          <t>P040</t>
        </is>
      </c>
      <c r="B47" s="18" t="inlineStr">
        <is>
          <t>Cửa và trụ mặt tiền
Front facade openings and pier zones</t>
        </is>
      </c>
      <c r="C47" s="18" t="inlineStr">
        <is>
          <t>chain_segment</t>
        </is>
      </c>
      <c r="D47" s="18" t="inlineStr">
        <is>
          <t>Model: Z
Source: transverse
front chain point0 → front chain point1</t>
        </is>
      </c>
      <c r="E47" s="37" t="n">
        <v>935</v>
      </c>
      <c r="F47" s="25" t="inlineStr">
        <is>
          <t>mm</t>
        </is>
      </c>
      <c r="G47" s="38" t="n">
        <f>IF(COUNTBLANK(E47)&gt;0,"",E47)</f>
        <v>935</v>
      </c>
      <c r="H47" s="39" t="n">
        <f>IF(COUNTBLANK(G47)&gt;0,"",G47/1000)</f>
        <v>0.935</v>
      </c>
      <c r="I47" s="18" t="inlineStr">
        <is>
          <t>Ghi trên bản vẽ / Explicit</t>
        </is>
      </c>
      <c r="J47" s="18" t="inlineStr">
        <is>
          <t>Tờ 6
File 4</t>
        </is>
      </c>
      <c r="K47" s="18" t="inlineStr">
        <is>
          <t>Inside front wall, near2′ between G and C</t>
        </is>
      </c>
      <c r="L47" s="18" t="inlineStr">
        <is>
          <t>935</t>
        </is>
      </c>
      <c r="M47" s="18" t="inlineStr">
        <is>
          <t>upper margin; chain ending margin at lower end is not explicitly labeled.</t>
        </is>
      </c>
    </row>
    <row r="48" ht="48" customHeight="1">
      <c r="A48" s="18" t="inlineStr">
        <is>
          <t>P041</t>
        </is>
      </c>
      <c r="B48" s="18" t="inlineStr">
        <is>
          <t>Cửa và trụ mặt tiền
Front facade openings and pier zones</t>
        </is>
      </c>
      <c r="C48" s="18" t="inlineStr">
        <is>
          <t>chain_segment</t>
        </is>
      </c>
      <c r="D48" s="18" t="inlineStr">
        <is>
          <t>Model: Z
Source: transverse
front chain point1 → front chain point2</t>
        </is>
      </c>
      <c r="E48" s="37" t="n">
        <v>2150</v>
      </c>
      <c r="F48" s="25" t="inlineStr">
        <is>
          <t>mm</t>
        </is>
      </c>
      <c r="G48" s="38" t="n">
        <f>IF(COUNTBLANK(E48)&gt;0,"",E48)</f>
        <v>2150</v>
      </c>
      <c r="H48" s="39" t="n">
        <f>IF(COUNTBLANK(G48)&gt;0,"",G48/1000)</f>
        <v>2.15</v>
      </c>
      <c r="I48" s="18" t="inlineStr">
        <is>
          <t>Ghi trên bản vẽ / Explicit</t>
        </is>
      </c>
      <c r="J48" s="18" t="inlineStr">
        <is>
          <t>Tờ 6
File 4</t>
        </is>
      </c>
      <c r="K48" s="18" t="inlineStr">
        <is>
          <t>Inside front wall, near2′ between G and C</t>
        </is>
      </c>
      <c r="L48" s="18" t="inlineStr">
        <is>
          <t>2150</t>
        </is>
      </c>
      <c r="M48" s="18" t="inlineStr">
        <is>
          <t>upper portal clear; chain ending margin at lower end is not explicitly labeled.</t>
        </is>
      </c>
    </row>
    <row r="49" ht="48" customHeight="1">
      <c r="A49" s="18" t="inlineStr">
        <is>
          <t>P042</t>
        </is>
      </c>
      <c r="B49" s="18" t="inlineStr">
        <is>
          <t>Cửa và trụ mặt tiền
Front facade openings and pier zones</t>
        </is>
      </c>
      <c r="C49" s="18" t="inlineStr">
        <is>
          <t>chain_segment</t>
        </is>
      </c>
      <c r="D49" s="18" t="inlineStr">
        <is>
          <t>Model: Z
Source: transverse
front chain point2 → front chain point3</t>
        </is>
      </c>
      <c r="E49" s="37" t="n">
        <v>2725</v>
      </c>
      <c r="F49" s="25" t="inlineStr">
        <is>
          <t>mm</t>
        </is>
      </c>
      <c r="G49" s="38" t="n">
        <f>IF(COUNTBLANK(E49)&gt;0,"",E49)</f>
        <v>2725</v>
      </c>
      <c r="H49" s="39" t="n">
        <f>IF(COUNTBLANK(G49)&gt;0,"",G49/1000)</f>
        <v>2.725</v>
      </c>
      <c r="I49" s="18" t="inlineStr">
        <is>
          <t>Ghi trên bản vẽ / Explicit</t>
        </is>
      </c>
      <c r="J49" s="18" t="inlineStr">
        <is>
          <t>Tờ 6
File 4</t>
        </is>
      </c>
      <c r="K49" s="18" t="inlineStr">
        <is>
          <t>Inside front wall, near2′ between G and C</t>
        </is>
      </c>
      <c r="L49" s="18" t="inlineStr">
        <is>
          <t>2725</t>
        </is>
      </c>
      <c r="M49" s="18" t="inlineStr">
        <is>
          <t>upper intermediate pier zone; chain ending margin at lower end is not explicitly labeled.</t>
        </is>
      </c>
    </row>
    <row r="50" ht="48" customHeight="1">
      <c r="A50" s="18" t="inlineStr">
        <is>
          <t>P043</t>
        </is>
      </c>
      <c r="B50" s="18" t="inlineStr">
        <is>
          <t>Cửa và trụ mặt tiền
Front facade openings and pier zones</t>
        </is>
      </c>
      <c r="C50" s="18" t="inlineStr">
        <is>
          <t>chain_segment</t>
        </is>
      </c>
      <c r="D50" s="18" t="inlineStr">
        <is>
          <t>Model: Z
Source: transverse
front chain point3 → front chain point4</t>
        </is>
      </c>
      <c r="E50" s="37" t="n">
        <v>3100</v>
      </c>
      <c r="F50" s="25" t="inlineStr">
        <is>
          <t>mm</t>
        </is>
      </c>
      <c r="G50" s="38" t="n">
        <f>IF(COUNTBLANK(E50)&gt;0,"",E50)</f>
        <v>3100</v>
      </c>
      <c r="H50" s="39" t="n">
        <f>IF(COUNTBLANK(G50)&gt;0,"",G50/1000)</f>
        <v>3.1</v>
      </c>
      <c r="I50" s="18" t="inlineStr">
        <is>
          <t>Ghi trên bản vẽ / Explicit</t>
        </is>
      </c>
      <c r="J50" s="18" t="inlineStr">
        <is>
          <t>Tờ 6
File 4</t>
        </is>
      </c>
      <c r="K50" s="18" t="inlineStr">
        <is>
          <t>Inside front wall, near2′ between G and C</t>
        </is>
      </c>
      <c r="L50" s="18" t="inlineStr">
        <is>
          <t>3100</t>
        </is>
      </c>
      <c r="M50" s="18" t="inlineStr">
        <is>
          <t>central portal clear; chain ending margin at lower end is not explicitly labeled.</t>
        </is>
      </c>
    </row>
    <row r="51" ht="48" customHeight="1">
      <c r="A51" s="18" t="inlineStr">
        <is>
          <t>P044</t>
        </is>
      </c>
      <c r="B51" s="18" t="inlineStr">
        <is>
          <t>Cửa và trụ mặt tiền
Front facade openings and pier zones</t>
        </is>
      </c>
      <c r="C51" s="18" t="inlineStr">
        <is>
          <t>chain_segment</t>
        </is>
      </c>
      <c r="D51" s="18" t="inlineStr">
        <is>
          <t>Model: Z
Source: transverse
front chain point4 → front chain point5</t>
        </is>
      </c>
      <c r="E51" s="37" t="n">
        <v>2725</v>
      </c>
      <c r="F51" s="25" t="inlineStr">
        <is>
          <t>mm</t>
        </is>
      </c>
      <c r="G51" s="38" t="n">
        <f>IF(COUNTBLANK(E51)&gt;0,"",E51)</f>
        <v>2725</v>
      </c>
      <c r="H51" s="39" t="n">
        <f>IF(COUNTBLANK(G51)&gt;0,"",G51/1000)</f>
        <v>2.725</v>
      </c>
      <c r="I51" s="18" t="inlineStr">
        <is>
          <t>Ghi trên bản vẽ / Explicit</t>
        </is>
      </c>
      <c r="J51" s="18" t="inlineStr">
        <is>
          <t>Tờ 6
File 4</t>
        </is>
      </c>
      <c r="K51" s="18" t="inlineStr">
        <is>
          <t>Inside front wall, near2′ between G and C</t>
        </is>
      </c>
      <c r="L51" s="18" t="inlineStr">
        <is>
          <t>2725</t>
        </is>
      </c>
      <c r="M51" s="18" t="inlineStr">
        <is>
          <t>lower intermediate pier zone; chain ending margin at lower end is not explicitly labeled.</t>
        </is>
      </c>
    </row>
    <row r="52" ht="48" customHeight="1">
      <c r="A52" s="18" t="inlineStr">
        <is>
          <t>P045</t>
        </is>
      </c>
      <c r="B52" s="18" t="inlineStr">
        <is>
          <t>Cửa và trụ mặt tiền
Front facade openings and pier zones</t>
        </is>
      </c>
      <c r="C52" s="18" t="inlineStr">
        <is>
          <t>chain_segment</t>
        </is>
      </c>
      <c r="D52" s="18" t="inlineStr">
        <is>
          <t>Model: Z
Source: transverse
front chain point5 → front chain point6</t>
        </is>
      </c>
      <c r="E52" s="37" t="n">
        <v>2150</v>
      </c>
      <c r="F52" s="25" t="inlineStr">
        <is>
          <t>mm</t>
        </is>
      </c>
      <c r="G52" s="38" t="n">
        <f>IF(COUNTBLANK(E52)&gt;0,"",E52)</f>
        <v>2150</v>
      </c>
      <c r="H52" s="39" t="n">
        <f>IF(COUNTBLANK(G52)&gt;0,"",G52/1000)</f>
        <v>2.15</v>
      </c>
      <c r="I52" s="18" t="inlineStr">
        <is>
          <t>Ghi trên bản vẽ / Explicit</t>
        </is>
      </c>
      <c r="J52" s="18" t="inlineStr">
        <is>
          <t>Tờ 6
File 4</t>
        </is>
      </c>
      <c r="K52" s="18" t="inlineStr">
        <is>
          <t>Inside front wall, near2′ between G and C</t>
        </is>
      </c>
      <c r="L52" s="18" t="inlineStr">
        <is>
          <t>2150</t>
        </is>
      </c>
      <c r="M52" s="18" t="inlineStr">
        <is>
          <t>lower portal clear; chain ending margin at lower end is not explicitly labeled.</t>
        </is>
      </c>
    </row>
    <row r="53" ht="36" customHeight="1">
      <c r="A53" s="18" t="inlineStr">
        <is>
          <t>P046</t>
        </is>
      </c>
      <c r="B53" s="18" t="inlineStr">
        <is>
          <t>Cao độ mặt bằng
Main nave datum</t>
        </is>
      </c>
      <c r="C53" s="18" t="inlineStr">
        <is>
          <t>elevation</t>
        </is>
      </c>
      <c r="D53" s="18" t="inlineStr">
        <is>
          <t>Model: Y
Source: vertical
±0.000 datum → Main nave datum</t>
        </is>
      </c>
      <c r="E53" s="40" t="n">
        <v>0</v>
      </c>
      <c r="F53" s="25" t="inlineStr">
        <is>
          <t>m</t>
        </is>
      </c>
      <c r="G53" s="38" t="n">
        <f>IF(COUNTBLANK(E53)&gt;0,"",E53*1000)</f>
        <v>0</v>
      </c>
      <c r="H53" s="39" t="n">
        <f>IF(COUNTBLANK(G53)&gt;0,"",G53/1000)</f>
        <v>0</v>
      </c>
      <c r="I53" s="18" t="inlineStr">
        <is>
          <t>Ghi trên bản vẽ / Explicit</t>
        </is>
      </c>
      <c r="J53" s="18" t="inlineStr">
        <is>
          <t>Tờ 6
File 4</t>
        </is>
      </c>
      <c r="K53" s="18" t="inlineStr">
        <is>
          <t>Main nave center</t>
        </is>
      </c>
      <c r="L53" s="18" t="inlineStr">
        <is>
          <t>+00 M</t>
        </is>
      </c>
      <c r="M53" s="18" t="str"/>
    </row>
    <row r="54" ht="48" customHeight="1">
      <c r="A54" s="18" t="inlineStr">
        <is>
          <t>P047</t>
        </is>
      </c>
      <c r="B54" s="18" t="inlineStr">
        <is>
          <t>Cao độ mặt bằng
Front forecourt/entrance landing</t>
        </is>
      </c>
      <c r="C54" s="18" t="inlineStr">
        <is>
          <t>elevation</t>
        </is>
      </c>
      <c r="D54" s="18" t="inlineStr">
        <is>
          <t>Model: Y
Source: vertical
±0.000 datum → Front forecourt/entrance landing</t>
        </is>
      </c>
      <c r="E54" s="40" t="n">
        <v>-0.48</v>
      </c>
      <c r="F54" s="25" t="inlineStr">
        <is>
          <t>m</t>
        </is>
      </c>
      <c r="G54" s="38" t="n">
        <f>IF(COUNTBLANK(E54)&gt;0,"",E54*1000)</f>
        <v>-480</v>
      </c>
      <c r="H54" s="39" t="n">
        <f>IF(COUNTBLANK(G54)&gt;0,"",G54/1000)</f>
        <v>-0.48</v>
      </c>
      <c r="I54" s="18" t="inlineStr">
        <is>
          <t>Ghi trên bản vẽ / Explicit</t>
        </is>
      </c>
      <c r="J54" s="18" t="inlineStr">
        <is>
          <t>Tờ 6
File 4</t>
        </is>
      </c>
      <c r="K54" s="18" t="inlineStr">
        <is>
          <t>Large front approach area</t>
        </is>
      </c>
      <c r="L54" s="18" t="inlineStr">
        <is>
          <t>-0,48 M</t>
        </is>
      </c>
      <c r="M54" s="18" t="str"/>
    </row>
    <row r="55" ht="36" customHeight="1">
      <c r="A55" s="18" t="inlineStr">
        <is>
          <t>P048</t>
        </is>
      </c>
      <c r="B55" s="18" t="inlineStr">
        <is>
          <t>Cao độ mặt bằng
Side stair landings</t>
        </is>
      </c>
      <c r="C55" s="18" t="inlineStr">
        <is>
          <t>elevation</t>
        </is>
      </c>
      <c r="D55" s="18" t="inlineStr">
        <is>
          <t>Model: Y
Source: vertical
±0.000 datum → Side stair landings</t>
        </is>
      </c>
      <c r="E55" s="40" t="n">
        <v>-0.32</v>
      </c>
      <c r="F55" s="25" t="inlineStr">
        <is>
          <t>m</t>
        </is>
      </c>
      <c r="G55" s="38" t="n">
        <f>IF(COUNTBLANK(E55)&gt;0,"",E55*1000)</f>
        <v>-320</v>
      </c>
      <c r="H55" s="39" t="n">
        <f>IF(COUNTBLANK(G55)&gt;0,"",G55/1000)</f>
        <v>-0.32</v>
      </c>
      <c r="I55" s="18" t="inlineStr">
        <is>
          <t>Ghi trên bản vẽ / Explicit</t>
        </is>
      </c>
      <c r="J55" s="18" t="inlineStr">
        <is>
          <t>Tờ 6
File 4</t>
        </is>
      </c>
      <c r="K55" s="18" t="inlineStr">
        <is>
          <t>Six side landing tags: upper/lower near3–5,7–9,10–12</t>
        </is>
      </c>
      <c r="L55" s="18" t="inlineStr">
        <is>
          <t>-0,32 M</t>
        </is>
      </c>
      <c r="M55" s="18" t="str"/>
    </row>
    <row r="56" ht="48" customHeight="1">
      <c r="A56" s="18" t="inlineStr">
        <is>
          <t>P049</t>
        </is>
      </c>
      <c r="B56" s="18" t="inlineStr">
        <is>
          <t>Cao độ mặt bằng
Sanctuary/altar platform</t>
        </is>
      </c>
      <c r="C56" s="18" t="inlineStr">
        <is>
          <t>elevation</t>
        </is>
      </c>
      <c r="D56" s="18" t="inlineStr">
        <is>
          <t>Model: Y
Source: vertical
±0.000 datum → Sanctuary/altar platform</t>
        </is>
      </c>
      <c r="E56" s="40" t="n">
        <v>0.75</v>
      </c>
      <c r="F56" s="25" t="inlineStr">
        <is>
          <t>m</t>
        </is>
      </c>
      <c r="G56" s="38" t="n">
        <f>IF(COUNTBLANK(E56)&gt;0,"",E56*1000)</f>
        <v>750</v>
      </c>
      <c r="H56" s="39" t="n">
        <f>IF(COUNTBLANK(G56)&gt;0,"",G56/1000)</f>
        <v>0.75</v>
      </c>
      <c r="I56" s="18" t="inlineStr">
        <is>
          <t>Ghi trên bản vẽ / Explicit</t>
        </is>
      </c>
      <c r="J56" s="18" t="inlineStr">
        <is>
          <t>Tờ 6
File 4</t>
        </is>
      </c>
      <c r="K56" s="18" t="inlineStr">
        <is>
          <t>Sanctuary between9–11</t>
        </is>
      </c>
      <c r="L56" s="18" t="inlineStr">
        <is>
          <t>+0,75 M</t>
        </is>
      </c>
      <c r="M56" s="18" t="str"/>
    </row>
    <row r="57" ht="48" customHeight="1">
      <c r="A57" s="18" t="inlineStr">
        <is>
          <t>P050</t>
        </is>
      </c>
      <c r="B57" s="18" t="inlineStr">
        <is>
          <t>Cao độ mặt bằng
Upper rear side room</t>
        </is>
      </c>
      <c r="C57" s="18" t="inlineStr">
        <is>
          <t>elevation</t>
        </is>
      </c>
      <c r="D57" s="18" t="inlineStr">
        <is>
          <t>Model: Y
Source: vertical
±0.000 datum → Upper rear side room</t>
        </is>
      </c>
      <c r="E57" s="40" t="n">
        <v>0.15</v>
      </c>
      <c r="F57" s="25" t="inlineStr">
        <is>
          <t>m</t>
        </is>
      </c>
      <c r="G57" s="38" t="n">
        <f>IF(COUNTBLANK(E57)&gt;0,"",E57*1000)</f>
        <v>150</v>
      </c>
      <c r="H57" s="39" t="n">
        <f>IF(COUNTBLANK(G57)&gt;0,"",G57/1000)</f>
        <v>0.15</v>
      </c>
      <c r="I57" s="18" t="inlineStr">
        <is>
          <t>Ghi trên bản vẽ / Explicit</t>
        </is>
      </c>
      <c r="J57" s="18" t="inlineStr">
        <is>
          <t>Tờ 6
File 4</t>
        </is>
      </c>
      <c r="K57" s="18" t="inlineStr">
        <is>
          <t>Room near10–12 between E and G</t>
        </is>
      </c>
      <c r="L57" s="18" t="inlineStr">
        <is>
          <t>+0,15 M</t>
        </is>
      </c>
      <c r="M57" s="18" t="str"/>
    </row>
    <row r="58" ht="36" customHeight="1">
      <c r="A58" s="18" t="inlineStr">
        <is>
          <t>P051</t>
        </is>
      </c>
      <c r="B58" s="18" t="inlineStr">
        <is>
          <t>Cao độ mặt bằng
Central rear room</t>
        </is>
      </c>
      <c r="C58" s="18" t="inlineStr">
        <is>
          <t>elevation</t>
        </is>
      </c>
      <c r="D58" s="18" t="inlineStr">
        <is>
          <t>Model: Y
Source: vertical
±0.000 datum → Central rear room</t>
        </is>
      </c>
      <c r="E58" s="40" t="n">
        <v>0.15</v>
      </c>
      <c r="F58" s="25" t="inlineStr">
        <is>
          <t>m</t>
        </is>
      </c>
      <c r="G58" s="38" t="n">
        <f>IF(COUNTBLANK(E58)&gt;0,"",E58*1000)</f>
        <v>150</v>
      </c>
      <c r="H58" s="39" t="n">
        <f>IF(COUNTBLANK(G58)&gt;0,"",G58/1000)</f>
        <v>0.15</v>
      </c>
      <c r="I58" s="18" t="inlineStr">
        <is>
          <t>Ghi trên bản vẽ / Explicit</t>
        </is>
      </c>
      <c r="J58" s="18" t="inlineStr">
        <is>
          <t>Tờ 6
File 4</t>
        </is>
      </c>
      <c r="K58" s="18" t="inlineStr">
        <is>
          <t>Room between11–12 and D–E</t>
        </is>
      </c>
      <c r="L58" s="18" t="inlineStr">
        <is>
          <t>+0,15 M</t>
        </is>
      </c>
      <c r="M58" s="18" t="str"/>
    </row>
    <row r="59" ht="48" customHeight="1">
      <c r="A59" s="18" t="inlineStr">
        <is>
          <t>P052</t>
        </is>
      </c>
      <c r="B59" s="18" t="inlineStr">
        <is>
          <t>Cao độ mặt bằng
Lower rear side room</t>
        </is>
      </c>
      <c r="C59" s="18" t="inlineStr">
        <is>
          <t>elevation</t>
        </is>
      </c>
      <c r="D59" s="18" t="inlineStr">
        <is>
          <t>Model: Y
Source: vertical
±0.000 datum → Lower rear side room</t>
        </is>
      </c>
      <c r="E59" s="40" t="n">
        <v>0.15</v>
      </c>
      <c r="F59" s="25" t="inlineStr">
        <is>
          <t>m</t>
        </is>
      </c>
      <c r="G59" s="38" t="n">
        <f>IF(COUNTBLANK(E59)&gt;0,"",E59*1000)</f>
        <v>150</v>
      </c>
      <c r="H59" s="39" t="n">
        <f>IF(COUNTBLANK(G59)&gt;0,"",G59/1000)</f>
        <v>0.15</v>
      </c>
      <c r="I59" s="18" t="inlineStr">
        <is>
          <t>Ghi trên bản vẽ / Explicit</t>
        </is>
      </c>
      <c r="J59" s="18" t="inlineStr">
        <is>
          <t>Tờ 6
File 4</t>
        </is>
      </c>
      <c r="K59" s="18" t="inlineStr">
        <is>
          <t>Room near10–12 between C and D</t>
        </is>
      </c>
      <c r="L59" s="18" t="inlineStr">
        <is>
          <t>+0,15 M</t>
        </is>
      </c>
      <c r="M59" s="18" t="str"/>
    </row>
    <row r="60" ht="36" customHeight="1">
      <c r="A60" s="18" t="inlineStr">
        <is>
          <t>P053</t>
        </is>
      </c>
      <c r="B60" s="18" t="inlineStr">
        <is>
          <t>Nhịp cửa hiên phía H
Veranda openings along axis H</t>
        </is>
      </c>
      <c r="C60" s="18" t="inlineStr">
        <is>
          <t>opening_chain_segment</t>
        </is>
      </c>
      <c r="D60" s="18" t="inlineStr">
        <is>
          <t>Model: X
Source: longitudinal
2′–3:point0 → 2′–3:point1</t>
        </is>
      </c>
      <c r="E60" s="37" t="n">
        <v>735</v>
      </c>
      <c r="F60" s="25" t="inlineStr">
        <is>
          <t>mm</t>
        </is>
      </c>
      <c r="G60" s="38" t="n">
        <f>IF(COUNTBLANK(E60)&gt;0,"",E60)</f>
        <v>735</v>
      </c>
      <c r="H60" s="39" t="n">
        <f>IF(COUNTBLANK(G60)&gt;0,"",G60/1000)</f>
        <v>0.735</v>
      </c>
      <c r="I60" s="18" t="inlineStr">
        <is>
          <t>Ghi trên bản vẽ / Explicit</t>
        </is>
      </c>
      <c r="J60" s="18" t="inlineStr">
        <is>
          <t>Tờ 6
File 4</t>
        </is>
      </c>
      <c r="K60" s="18" t="inlineStr">
        <is>
          <t>Upper veranda dimension chain, bay2′–3</t>
        </is>
      </c>
      <c r="L60" s="18" t="inlineStr">
        <is>
          <t>735</t>
        </is>
      </c>
      <c r="M60" s="18" t="inlineStr">
        <is>
          <t>Chain totals4500; 1000 sections correspond to two openings. 735/1030 portions are spacing/pier zones, not opening widths.</t>
        </is>
      </c>
    </row>
    <row r="61" ht="36" customHeight="1">
      <c r="A61" s="18" t="inlineStr">
        <is>
          <t>P054</t>
        </is>
      </c>
      <c r="B61" s="18" t="inlineStr">
        <is>
          <t>Nhịp cửa hiên phía H
Veranda openings along axis H</t>
        </is>
      </c>
      <c r="C61" s="18" t="inlineStr">
        <is>
          <t>opening_chain_segment</t>
        </is>
      </c>
      <c r="D61" s="18" t="inlineStr">
        <is>
          <t>Model: X
Source: longitudinal
2′–3:point1 → 2′–3:point2</t>
        </is>
      </c>
      <c r="E61" s="37" t="n">
        <v>1000</v>
      </c>
      <c r="F61" s="25" t="inlineStr">
        <is>
          <t>mm</t>
        </is>
      </c>
      <c r="G61" s="38" t="n">
        <f>IF(COUNTBLANK(E61)&gt;0,"",E61)</f>
        <v>1000</v>
      </c>
      <c r="H61" s="39" t="n">
        <f>IF(COUNTBLANK(G61)&gt;0,"",G61/1000)</f>
        <v>1</v>
      </c>
      <c r="I61" s="18" t="inlineStr">
        <is>
          <t>Ghi trên bản vẽ / Explicit</t>
        </is>
      </c>
      <c r="J61" s="18" t="inlineStr">
        <is>
          <t>Tờ 6
File 4</t>
        </is>
      </c>
      <c r="K61" s="18" t="inlineStr">
        <is>
          <t>Upper veranda dimension chain, bay2′–3</t>
        </is>
      </c>
      <c r="L61" s="18" t="inlineStr">
        <is>
          <t>1000</t>
        </is>
      </c>
      <c r="M61" s="18" t="inlineStr">
        <is>
          <t>Chain totals4500; 1000 sections correspond to two openings. 735/1030 portions are spacing/pier zones, not opening widths.</t>
        </is>
      </c>
    </row>
    <row r="62" ht="36" customHeight="1">
      <c r="A62" s="18" t="inlineStr">
        <is>
          <t>P055</t>
        </is>
      </c>
      <c r="B62" s="18" t="inlineStr">
        <is>
          <t>Nhịp cửa hiên phía H
Veranda openings along axis H</t>
        </is>
      </c>
      <c r="C62" s="18" t="inlineStr">
        <is>
          <t>opening_chain_segment</t>
        </is>
      </c>
      <c r="D62" s="18" t="inlineStr">
        <is>
          <t>Model: X
Source: longitudinal
2′–3:point2 → 2′–3:point3</t>
        </is>
      </c>
      <c r="E62" s="37" t="n">
        <v>1030</v>
      </c>
      <c r="F62" s="25" t="inlineStr">
        <is>
          <t>mm</t>
        </is>
      </c>
      <c r="G62" s="38" t="n">
        <f>IF(COUNTBLANK(E62)&gt;0,"",E62)</f>
        <v>1030</v>
      </c>
      <c r="H62" s="39" t="n">
        <f>IF(COUNTBLANK(G62)&gt;0,"",G62/1000)</f>
        <v>1.03</v>
      </c>
      <c r="I62" s="18" t="inlineStr">
        <is>
          <t>Ghi trên bản vẽ / Explicit</t>
        </is>
      </c>
      <c r="J62" s="18" t="inlineStr">
        <is>
          <t>Tờ 6
File 4</t>
        </is>
      </c>
      <c r="K62" s="18" t="inlineStr">
        <is>
          <t>Upper veranda dimension chain, bay2′–3</t>
        </is>
      </c>
      <c r="L62" s="18" t="inlineStr">
        <is>
          <t>1030</t>
        </is>
      </c>
      <c r="M62" s="18" t="inlineStr">
        <is>
          <t>Chain totals4500; 1000 sections correspond to two openings. 735/1030 portions are spacing/pier zones, not opening widths.</t>
        </is>
      </c>
    </row>
    <row r="63" ht="36" customHeight="1">
      <c r="A63" s="18" t="inlineStr">
        <is>
          <t>P056</t>
        </is>
      </c>
      <c r="B63" s="18" t="inlineStr">
        <is>
          <t>Nhịp cửa hiên phía H
Veranda openings along axis H</t>
        </is>
      </c>
      <c r="C63" s="18" t="inlineStr">
        <is>
          <t>opening_chain_segment</t>
        </is>
      </c>
      <c r="D63" s="18" t="inlineStr">
        <is>
          <t>Model: X
Source: longitudinal
2′–3:point3 → 2′–3:point4</t>
        </is>
      </c>
      <c r="E63" s="37" t="n">
        <v>1000</v>
      </c>
      <c r="F63" s="25" t="inlineStr">
        <is>
          <t>mm</t>
        </is>
      </c>
      <c r="G63" s="38" t="n">
        <f>IF(COUNTBLANK(E63)&gt;0,"",E63)</f>
        <v>1000</v>
      </c>
      <c r="H63" s="39" t="n">
        <f>IF(COUNTBLANK(G63)&gt;0,"",G63/1000)</f>
        <v>1</v>
      </c>
      <c r="I63" s="18" t="inlineStr">
        <is>
          <t>Ghi trên bản vẽ / Explicit</t>
        </is>
      </c>
      <c r="J63" s="18" t="inlineStr">
        <is>
          <t>Tờ 6
File 4</t>
        </is>
      </c>
      <c r="K63" s="18" t="inlineStr">
        <is>
          <t>Upper veranda dimension chain, bay2′–3</t>
        </is>
      </c>
      <c r="L63" s="18" t="inlineStr">
        <is>
          <t>1000</t>
        </is>
      </c>
      <c r="M63" s="18" t="inlineStr">
        <is>
          <t>Chain totals4500; 1000 sections correspond to two openings. 735/1030 portions are spacing/pier zones, not opening widths.</t>
        </is>
      </c>
    </row>
    <row r="64" ht="36" customHeight="1">
      <c r="A64" s="18" t="inlineStr">
        <is>
          <t>P057</t>
        </is>
      </c>
      <c r="B64" s="18" t="inlineStr">
        <is>
          <t>Nhịp cửa hiên phía H
Veranda openings along axis H</t>
        </is>
      </c>
      <c r="C64" s="18" t="inlineStr">
        <is>
          <t>opening_chain_segment</t>
        </is>
      </c>
      <c r="D64" s="18" t="inlineStr">
        <is>
          <t>Model: X
Source: longitudinal
2′–3:point4 → 2′–3:point5</t>
        </is>
      </c>
      <c r="E64" s="37" t="n">
        <v>735</v>
      </c>
      <c r="F64" s="25" t="inlineStr">
        <is>
          <t>mm</t>
        </is>
      </c>
      <c r="G64" s="38" t="n">
        <f>IF(COUNTBLANK(E64)&gt;0,"",E64)</f>
        <v>735</v>
      </c>
      <c r="H64" s="39" t="n">
        <f>IF(COUNTBLANK(G64)&gt;0,"",G64/1000)</f>
        <v>0.735</v>
      </c>
      <c r="I64" s="18" t="inlineStr">
        <is>
          <t>Ghi trên bản vẽ / Explicit</t>
        </is>
      </c>
      <c r="J64" s="18" t="inlineStr">
        <is>
          <t>Tờ 6
File 4</t>
        </is>
      </c>
      <c r="K64" s="18" t="inlineStr">
        <is>
          <t>Upper veranda dimension chain, bay2′–3</t>
        </is>
      </c>
      <c r="L64" s="18" t="inlineStr">
        <is>
          <t>735</t>
        </is>
      </c>
      <c r="M64" s="18" t="inlineStr">
        <is>
          <t>Chain totals4500; 1000 sections correspond to two openings. 735/1030 portions are spacing/pier zones, not opening widths.</t>
        </is>
      </c>
    </row>
    <row r="65" ht="36" customHeight="1">
      <c r="A65" s="18" t="inlineStr">
        <is>
          <t>P058</t>
        </is>
      </c>
      <c r="B65" s="18" t="inlineStr">
        <is>
          <t>Nhịp cửa hiên phía H
Veranda openings along axis H</t>
        </is>
      </c>
      <c r="C65" s="18" t="inlineStr">
        <is>
          <t>opening_chain_segment</t>
        </is>
      </c>
      <c r="D65" s="18" t="inlineStr">
        <is>
          <t>Model: X
Source: longitudinal
3–4:point0 → 3–4:point1</t>
        </is>
      </c>
      <c r="E65" s="37" t="n">
        <v>735</v>
      </c>
      <c r="F65" s="25" t="inlineStr">
        <is>
          <t>mm</t>
        </is>
      </c>
      <c r="G65" s="38" t="n">
        <f>IF(COUNTBLANK(E65)&gt;0,"",E65)</f>
        <v>735</v>
      </c>
      <c r="H65" s="39" t="n">
        <f>IF(COUNTBLANK(G65)&gt;0,"",G65/1000)</f>
        <v>0.735</v>
      </c>
      <c r="I65" s="18" t="inlineStr">
        <is>
          <t>Ghi trên bản vẽ / Explicit</t>
        </is>
      </c>
      <c r="J65" s="18" t="inlineStr">
        <is>
          <t>Tờ 6
File 4</t>
        </is>
      </c>
      <c r="K65" s="18" t="inlineStr">
        <is>
          <t>Upper veranda dimension chain, bay3–4</t>
        </is>
      </c>
      <c r="L65" s="18" t="inlineStr">
        <is>
          <t>735</t>
        </is>
      </c>
      <c r="M65" s="18" t="inlineStr">
        <is>
          <t>Chain totals4500; 1000 sections correspond to two openings. 735/1030 portions are spacing/pier zones, not opening widths.</t>
        </is>
      </c>
    </row>
    <row r="66" ht="36" customHeight="1">
      <c r="A66" s="18" t="inlineStr">
        <is>
          <t>P059</t>
        </is>
      </c>
      <c r="B66" s="18" t="inlineStr">
        <is>
          <t>Nhịp cửa hiên phía H
Veranda openings along axis H</t>
        </is>
      </c>
      <c r="C66" s="18" t="inlineStr">
        <is>
          <t>opening_chain_segment</t>
        </is>
      </c>
      <c r="D66" s="18" t="inlineStr">
        <is>
          <t>Model: X
Source: longitudinal
3–4:point1 → 3–4:point2</t>
        </is>
      </c>
      <c r="E66" s="37" t="n">
        <v>1000</v>
      </c>
      <c r="F66" s="25" t="inlineStr">
        <is>
          <t>mm</t>
        </is>
      </c>
      <c r="G66" s="38" t="n">
        <f>IF(COUNTBLANK(E66)&gt;0,"",E66)</f>
        <v>1000</v>
      </c>
      <c r="H66" s="39" t="n">
        <f>IF(COUNTBLANK(G66)&gt;0,"",G66/1000)</f>
        <v>1</v>
      </c>
      <c r="I66" s="18" t="inlineStr">
        <is>
          <t>Ghi trên bản vẽ / Explicit</t>
        </is>
      </c>
      <c r="J66" s="18" t="inlineStr">
        <is>
          <t>Tờ 6
File 4</t>
        </is>
      </c>
      <c r="K66" s="18" t="inlineStr">
        <is>
          <t>Upper veranda dimension chain, bay3–4</t>
        </is>
      </c>
      <c r="L66" s="18" t="inlineStr">
        <is>
          <t>1000</t>
        </is>
      </c>
      <c r="M66" s="18" t="inlineStr">
        <is>
          <t>Chain totals4500; 1000 sections correspond to two openings. 735/1030 portions are spacing/pier zones, not opening widths.</t>
        </is>
      </c>
    </row>
    <row r="67" ht="36" customHeight="1">
      <c r="A67" s="18" t="inlineStr">
        <is>
          <t>P060</t>
        </is>
      </c>
      <c r="B67" s="18" t="inlineStr">
        <is>
          <t>Nhịp cửa hiên phía H
Veranda openings along axis H</t>
        </is>
      </c>
      <c r="C67" s="18" t="inlineStr">
        <is>
          <t>opening_chain_segment</t>
        </is>
      </c>
      <c r="D67" s="18" t="inlineStr">
        <is>
          <t>Model: X
Source: longitudinal
3–4:point2 → 3–4:point3</t>
        </is>
      </c>
      <c r="E67" s="37" t="n">
        <v>1030</v>
      </c>
      <c r="F67" s="25" t="inlineStr">
        <is>
          <t>mm</t>
        </is>
      </c>
      <c r="G67" s="38" t="n">
        <f>IF(COUNTBLANK(E67)&gt;0,"",E67)</f>
        <v>1030</v>
      </c>
      <c r="H67" s="39" t="n">
        <f>IF(COUNTBLANK(G67)&gt;0,"",G67/1000)</f>
        <v>1.03</v>
      </c>
      <c r="I67" s="18" t="inlineStr">
        <is>
          <t>Ghi trên bản vẽ / Explicit</t>
        </is>
      </c>
      <c r="J67" s="18" t="inlineStr">
        <is>
          <t>Tờ 6
File 4</t>
        </is>
      </c>
      <c r="K67" s="18" t="inlineStr">
        <is>
          <t>Upper veranda dimension chain, bay3–4</t>
        </is>
      </c>
      <c r="L67" s="18" t="inlineStr">
        <is>
          <t>1030</t>
        </is>
      </c>
      <c r="M67" s="18" t="inlineStr">
        <is>
          <t>Chain totals4500; 1000 sections correspond to two openings. 735/1030 portions are spacing/pier zones, not opening widths.</t>
        </is>
      </c>
    </row>
    <row r="68" ht="36" customHeight="1">
      <c r="A68" s="18" t="inlineStr">
        <is>
          <t>P061</t>
        </is>
      </c>
      <c r="B68" s="18" t="inlineStr">
        <is>
          <t>Nhịp cửa hiên phía H
Veranda openings along axis H</t>
        </is>
      </c>
      <c r="C68" s="18" t="inlineStr">
        <is>
          <t>opening_chain_segment</t>
        </is>
      </c>
      <c r="D68" s="18" t="inlineStr">
        <is>
          <t>Model: X
Source: longitudinal
3–4:point3 → 3–4:point4</t>
        </is>
      </c>
      <c r="E68" s="37" t="n">
        <v>1000</v>
      </c>
      <c r="F68" s="25" t="inlineStr">
        <is>
          <t>mm</t>
        </is>
      </c>
      <c r="G68" s="38" t="n">
        <f>IF(COUNTBLANK(E68)&gt;0,"",E68)</f>
        <v>1000</v>
      </c>
      <c r="H68" s="39" t="n">
        <f>IF(COUNTBLANK(G68)&gt;0,"",G68/1000)</f>
        <v>1</v>
      </c>
      <c r="I68" s="18" t="inlineStr">
        <is>
          <t>Ghi trên bản vẽ / Explicit</t>
        </is>
      </c>
      <c r="J68" s="18" t="inlineStr">
        <is>
          <t>Tờ 6
File 4</t>
        </is>
      </c>
      <c r="K68" s="18" t="inlineStr">
        <is>
          <t>Upper veranda dimension chain, bay3–4</t>
        </is>
      </c>
      <c r="L68" s="18" t="inlineStr">
        <is>
          <t>1000</t>
        </is>
      </c>
      <c r="M68" s="18" t="inlineStr">
        <is>
          <t>Chain totals4500; 1000 sections correspond to two openings. 735/1030 portions are spacing/pier zones, not opening widths.</t>
        </is>
      </c>
    </row>
    <row r="69" ht="36" customHeight="1">
      <c r="A69" s="18" t="inlineStr">
        <is>
          <t>P062</t>
        </is>
      </c>
      <c r="B69" s="18" t="inlineStr">
        <is>
          <t>Nhịp cửa hiên phía H
Veranda openings along axis H</t>
        </is>
      </c>
      <c r="C69" s="18" t="inlineStr">
        <is>
          <t>opening_chain_segment</t>
        </is>
      </c>
      <c r="D69" s="18" t="inlineStr">
        <is>
          <t>Model: X
Source: longitudinal
3–4:point4 → 3–4:point5</t>
        </is>
      </c>
      <c r="E69" s="37" t="n">
        <v>735</v>
      </c>
      <c r="F69" s="25" t="inlineStr">
        <is>
          <t>mm</t>
        </is>
      </c>
      <c r="G69" s="38" t="n">
        <f>IF(COUNTBLANK(E69)&gt;0,"",E69)</f>
        <v>735</v>
      </c>
      <c r="H69" s="39" t="n">
        <f>IF(COUNTBLANK(G69)&gt;0,"",G69/1000)</f>
        <v>0.735</v>
      </c>
      <c r="I69" s="18" t="inlineStr">
        <is>
          <t>Ghi trên bản vẽ / Explicit</t>
        </is>
      </c>
      <c r="J69" s="18" t="inlineStr">
        <is>
          <t>Tờ 6
File 4</t>
        </is>
      </c>
      <c r="K69" s="18" t="inlineStr">
        <is>
          <t>Upper veranda dimension chain, bay3–4</t>
        </is>
      </c>
      <c r="L69" s="18" t="inlineStr">
        <is>
          <t>735</t>
        </is>
      </c>
      <c r="M69" s="18" t="inlineStr">
        <is>
          <t>Chain totals4500; 1000 sections correspond to two openings. 735/1030 portions are spacing/pier zones, not opening widths.</t>
        </is>
      </c>
    </row>
    <row r="70" ht="36" customHeight="1">
      <c r="A70" s="18" t="inlineStr">
        <is>
          <t>P063</t>
        </is>
      </c>
      <c r="B70" s="18" t="inlineStr">
        <is>
          <t>Nhịp cửa hiên phía H
Veranda openings along axis H</t>
        </is>
      </c>
      <c r="C70" s="18" t="inlineStr">
        <is>
          <t>opening_chain_segment</t>
        </is>
      </c>
      <c r="D70" s="18" t="inlineStr">
        <is>
          <t>Model: X
Source: longitudinal
5–6:point0 → 5–6:point1</t>
        </is>
      </c>
      <c r="E70" s="37" t="n">
        <v>735</v>
      </c>
      <c r="F70" s="25" t="inlineStr">
        <is>
          <t>mm</t>
        </is>
      </c>
      <c r="G70" s="38" t="n">
        <f>IF(COUNTBLANK(E70)&gt;0,"",E70)</f>
        <v>735</v>
      </c>
      <c r="H70" s="39" t="n">
        <f>IF(COUNTBLANK(G70)&gt;0,"",G70/1000)</f>
        <v>0.735</v>
      </c>
      <c r="I70" s="18" t="inlineStr">
        <is>
          <t>Ghi trên bản vẽ / Explicit</t>
        </is>
      </c>
      <c r="J70" s="18" t="inlineStr">
        <is>
          <t>Tờ 6
File 4</t>
        </is>
      </c>
      <c r="K70" s="18" t="inlineStr">
        <is>
          <t>Upper veranda dimension chain, bay5–6</t>
        </is>
      </c>
      <c r="L70" s="18" t="inlineStr">
        <is>
          <t>735</t>
        </is>
      </c>
      <c r="M70" s="18" t="inlineStr">
        <is>
          <t>Chain totals4500; 1000 sections correspond to two openings. 735/1030 portions are spacing/pier zones, not opening widths.</t>
        </is>
      </c>
    </row>
    <row r="71" ht="36" customHeight="1">
      <c r="A71" s="18" t="inlineStr">
        <is>
          <t>P064</t>
        </is>
      </c>
      <c r="B71" s="18" t="inlineStr">
        <is>
          <t>Nhịp cửa hiên phía H
Veranda openings along axis H</t>
        </is>
      </c>
      <c r="C71" s="18" t="inlineStr">
        <is>
          <t>opening_chain_segment</t>
        </is>
      </c>
      <c r="D71" s="18" t="inlineStr">
        <is>
          <t>Model: X
Source: longitudinal
5–6:point1 → 5–6:point2</t>
        </is>
      </c>
      <c r="E71" s="37" t="n">
        <v>1000</v>
      </c>
      <c r="F71" s="25" t="inlineStr">
        <is>
          <t>mm</t>
        </is>
      </c>
      <c r="G71" s="38" t="n">
        <f>IF(COUNTBLANK(E71)&gt;0,"",E71)</f>
        <v>1000</v>
      </c>
      <c r="H71" s="39" t="n">
        <f>IF(COUNTBLANK(G71)&gt;0,"",G71/1000)</f>
        <v>1</v>
      </c>
      <c r="I71" s="18" t="inlineStr">
        <is>
          <t>Ghi trên bản vẽ / Explicit</t>
        </is>
      </c>
      <c r="J71" s="18" t="inlineStr">
        <is>
          <t>Tờ 6
File 4</t>
        </is>
      </c>
      <c r="K71" s="18" t="inlineStr">
        <is>
          <t>Upper veranda dimension chain, bay5–6</t>
        </is>
      </c>
      <c r="L71" s="18" t="inlineStr">
        <is>
          <t>1000</t>
        </is>
      </c>
      <c r="M71" s="18" t="inlineStr">
        <is>
          <t>Chain totals4500; 1000 sections correspond to two openings. 735/1030 portions are spacing/pier zones, not opening widths.</t>
        </is>
      </c>
    </row>
    <row r="72" ht="36" customHeight="1">
      <c r="A72" s="18" t="inlineStr">
        <is>
          <t>P065</t>
        </is>
      </c>
      <c r="B72" s="18" t="inlineStr">
        <is>
          <t>Nhịp cửa hiên phía H
Veranda openings along axis H</t>
        </is>
      </c>
      <c r="C72" s="18" t="inlineStr">
        <is>
          <t>opening_chain_segment</t>
        </is>
      </c>
      <c r="D72" s="18" t="inlineStr">
        <is>
          <t>Model: X
Source: longitudinal
5–6:point2 → 5–6:point3</t>
        </is>
      </c>
      <c r="E72" s="37" t="n">
        <v>1030</v>
      </c>
      <c r="F72" s="25" t="inlineStr">
        <is>
          <t>mm</t>
        </is>
      </c>
      <c r="G72" s="38" t="n">
        <f>IF(COUNTBLANK(E72)&gt;0,"",E72)</f>
        <v>1030</v>
      </c>
      <c r="H72" s="39" t="n">
        <f>IF(COUNTBLANK(G72)&gt;0,"",G72/1000)</f>
        <v>1.03</v>
      </c>
      <c r="I72" s="18" t="inlineStr">
        <is>
          <t>Ghi trên bản vẽ / Explicit</t>
        </is>
      </c>
      <c r="J72" s="18" t="inlineStr">
        <is>
          <t>Tờ 6
File 4</t>
        </is>
      </c>
      <c r="K72" s="18" t="inlineStr">
        <is>
          <t>Upper veranda dimension chain, bay5–6</t>
        </is>
      </c>
      <c r="L72" s="18" t="inlineStr">
        <is>
          <t>1030</t>
        </is>
      </c>
      <c r="M72" s="18" t="inlineStr">
        <is>
          <t>Chain totals4500; 1000 sections correspond to two openings. 735/1030 portions are spacing/pier zones, not opening widths.</t>
        </is>
      </c>
    </row>
    <row r="73" ht="36" customHeight="1">
      <c r="A73" s="18" t="inlineStr">
        <is>
          <t>P066</t>
        </is>
      </c>
      <c r="B73" s="18" t="inlineStr">
        <is>
          <t>Nhịp cửa hiên phía H
Veranda openings along axis H</t>
        </is>
      </c>
      <c r="C73" s="18" t="inlineStr">
        <is>
          <t>opening_chain_segment</t>
        </is>
      </c>
      <c r="D73" s="18" t="inlineStr">
        <is>
          <t>Model: X
Source: longitudinal
5–6:point3 → 5–6:point4</t>
        </is>
      </c>
      <c r="E73" s="37" t="n">
        <v>1000</v>
      </c>
      <c r="F73" s="25" t="inlineStr">
        <is>
          <t>mm</t>
        </is>
      </c>
      <c r="G73" s="38" t="n">
        <f>IF(COUNTBLANK(E73)&gt;0,"",E73)</f>
        <v>1000</v>
      </c>
      <c r="H73" s="39" t="n">
        <f>IF(COUNTBLANK(G73)&gt;0,"",G73/1000)</f>
        <v>1</v>
      </c>
      <c r="I73" s="18" t="inlineStr">
        <is>
          <t>Ghi trên bản vẽ / Explicit</t>
        </is>
      </c>
      <c r="J73" s="18" t="inlineStr">
        <is>
          <t>Tờ 6
File 4</t>
        </is>
      </c>
      <c r="K73" s="18" t="inlineStr">
        <is>
          <t>Upper veranda dimension chain, bay5–6</t>
        </is>
      </c>
      <c r="L73" s="18" t="inlineStr">
        <is>
          <t>1000</t>
        </is>
      </c>
      <c r="M73" s="18" t="inlineStr">
        <is>
          <t>Chain totals4500; 1000 sections correspond to two openings. 735/1030 portions are spacing/pier zones, not opening widths.</t>
        </is>
      </c>
    </row>
    <row r="74" ht="36" customHeight="1">
      <c r="A74" s="18" t="inlineStr">
        <is>
          <t>P067</t>
        </is>
      </c>
      <c r="B74" s="18" t="inlineStr">
        <is>
          <t>Nhịp cửa hiên phía H
Veranda openings along axis H</t>
        </is>
      </c>
      <c r="C74" s="18" t="inlineStr">
        <is>
          <t>opening_chain_segment</t>
        </is>
      </c>
      <c r="D74" s="18" t="inlineStr">
        <is>
          <t>Model: X
Source: longitudinal
5–6:point4 → 5–6:point5</t>
        </is>
      </c>
      <c r="E74" s="37" t="n">
        <v>735</v>
      </c>
      <c r="F74" s="25" t="inlineStr">
        <is>
          <t>mm</t>
        </is>
      </c>
      <c r="G74" s="38" t="n">
        <f>IF(COUNTBLANK(E74)&gt;0,"",E74)</f>
        <v>735</v>
      </c>
      <c r="H74" s="39" t="n">
        <f>IF(COUNTBLANK(G74)&gt;0,"",G74/1000)</f>
        <v>0.735</v>
      </c>
      <c r="I74" s="18" t="inlineStr">
        <is>
          <t>Ghi trên bản vẽ / Explicit</t>
        </is>
      </c>
      <c r="J74" s="18" t="inlineStr">
        <is>
          <t>Tờ 6
File 4</t>
        </is>
      </c>
      <c r="K74" s="18" t="inlineStr">
        <is>
          <t>Upper veranda dimension chain, bay5–6</t>
        </is>
      </c>
      <c r="L74" s="18" t="inlineStr">
        <is>
          <t>735</t>
        </is>
      </c>
      <c r="M74" s="18" t="inlineStr">
        <is>
          <t>Chain totals4500; 1000 sections correspond to two openings. 735/1030 portions are spacing/pier zones, not opening widths.</t>
        </is>
      </c>
    </row>
    <row r="75" ht="36" customHeight="1">
      <c r="A75" s="18" t="inlineStr">
        <is>
          <t>P068</t>
        </is>
      </c>
      <c r="B75" s="18" t="inlineStr">
        <is>
          <t>Nhịp cửa hiên phía H
Veranda openings along axis H</t>
        </is>
      </c>
      <c r="C75" s="18" t="inlineStr">
        <is>
          <t>opening_chain_segment</t>
        </is>
      </c>
      <c r="D75" s="18" t="inlineStr">
        <is>
          <t>Model: X
Source: longitudinal
6–7:point0 → 6–7:point1</t>
        </is>
      </c>
      <c r="E75" s="37" t="n">
        <v>735</v>
      </c>
      <c r="F75" s="25" t="inlineStr">
        <is>
          <t>mm</t>
        </is>
      </c>
      <c r="G75" s="38" t="n">
        <f>IF(COUNTBLANK(E75)&gt;0,"",E75)</f>
        <v>735</v>
      </c>
      <c r="H75" s="39" t="n">
        <f>IF(COUNTBLANK(G75)&gt;0,"",G75/1000)</f>
        <v>0.735</v>
      </c>
      <c r="I75" s="18" t="inlineStr">
        <is>
          <t>Ghi trên bản vẽ / Explicit</t>
        </is>
      </c>
      <c r="J75" s="18" t="inlineStr">
        <is>
          <t>Tờ 6
File 4</t>
        </is>
      </c>
      <c r="K75" s="18" t="inlineStr">
        <is>
          <t>Upper veranda dimension chain, bay6–7</t>
        </is>
      </c>
      <c r="L75" s="18" t="inlineStr">
        <is>
          <t>735</t>
        </is>
      </c>
      <c r="M75" s="18" t="inlineStr">
        <is>
          <t>Chain totals4500; 1000 sections correspond to two openings. 735/1030 portions are spacing/pier zones, not opening widths.</t>
        </is>
      </c>
    </row>
    <row r="76" ht="36" customHeight="1">
      <c r="A76" s="18" t="inlineStr">
        <is>
          <t>P069</t>
        </is>
      </c>
      <c r="B76" s="18" t="inlineStr">
        <is>
          <t>Nhịp cửa hiên phía H
Veranda openings along axis H</t>
        </is>
      </c>
      <c r="C76" s="18" t="inlineStr">
        <is>
          <t>opening_chain_segment</t>
        </is>
      </c>
      <c r="D76" s="18" t="inlineStr">
        <is>
          <t>Model: X
Source: longitudinal
6–7:point1 → 6–7:point2</t>
        </is>
      </c>
      <c r="E76" s="37" t="n">
        <v>1000</v>
      </c>
      <c r="F76" s="25" t="inlineStr">
        <is>
          <t>mm</t>
        </is>
      </c>
      <c r="G76" s="38" t="n">
        <f>IF(COUNTBLANK(E76)&gt;0,"",E76)</f>
        <v>1000</v>
      </c>
      <c r="H76" s="39" t="n">
        <f>IF(COUNTBLANK(G76)&gt;0,"",G76/1000)</f>
        <v>1</v>
      </c>
      <c r="I76" s="18" t="inlineStr">
        <is>
          <t>Ghi trên bản vẽ / Explicit</t>
        </is>
      </c>
      <c r="J76" s="18" t="inlineStr">
        <is>
          <t>Tờ 6
File 4</t>
        </is>
      </c>
      <c r="K76" s="18" t="inlineStr">
        <is>
          <t>Upper veranda dimension chain, bay6–7</t>
        </is>
      </c>
      <c r="L76" s="18" t="inlineStr">
        <is>
          <t>1000</t>
        </is>
      </c>
      <c r="M76" s="18" t="inlineStr">
        <is>
          <t>Chain totals4500; 1000 sections correspond to two openings. 735/1030 portions are spacing/pier zones, not opening widths.</t>
        </is>
      </c>
    </row>
    <row r="77" ht="36" customHeight="1">
      <c r="A77" s="18" t="inlineStr">
        <is>
          <t>P070</t>
        </is>
      </c>
      <c r="B77" s="18" t="inlineStr">
        <is>
          <t>Nhịp cửa hiên phía H
Veranda openings along axis H</t>
        </is>
      </c>
      <c r="C77" s="18" t="inlineStr">
        <is>
          <t>opening_chain_segment</t>
        </is>
      </c>
      <c r="D77" s="18" t="inlineStr">
        <is>
          <t>Model: X
Source: longitudinal
6–7:point2 → 6–7:point3</t>
        </is>
      </c>
      <c r="E77" s="37" t="n">
        <v>1030</v>
      </c>
      <c r="F77" s="25" t="inlineStr">
        <is>
          <t>mm</t>
        </is>
      </c>
      <c r="G77" s="38" t="n">
        <f>IF(COUNTBLANK(E77)&gt;0,"",E77)</f>
        <v>1030</v>
      </c>
      <c r="H77" s="39" t="n">
        <f>IF(COUNTBLANK(G77)&gt;0,"",G77/1000)</f>
        <v>1.03</v>
      </c>
      <c r="I77" s="18" t="inlineStr">
        <is>
          <t>Ghi trên bản vẽ / Explicit</t>
        </is>
      </c>
      <c r="J77" s="18" t="inlineStr">
        <is>
          <t>Tờ 6
File 4</t>
        </is>
      </c>
      <c r="K77" s="18" t="inlineStr">
        <is>
          <t>Upper veranda dimension chain, bay6–7</t>
        </is>
      </c>
      <c r="L77" s="18" t="inlineStr">
        <is>
          <t>1030</t>
        </is>
      </c>
      <c r="M77" s="18" t="inlineStr">
        <is>
          <t>Chain totals4500; 1000 sections correspond to two openings. 735/1030 portions are spacing/pier zones, not opening widths.</t>
        </is>
      </c>
    </row>
    <row r="78" ht="36" customHeight="1">
      <c r="A78" s="18" t="inlineStr">
        <is>
          <t>P071</t>
        </is>
      </c>
      <c r="B78" s="18" t="inlineStr">
        <is>
          <t>Nhịp cửa hiên phía H
Veranda openings along axis H</t>
        </is>
      </c>
      <c r="C78" s="18" t="inlineStr">
        <is>
          <t>opening_chain_segment</t>
        </is>
      </c>
      <c r="D78" s="18" t="inlineStr">
        <is>
          <t>Model: X
Source: longitudinal
6–7:point3 → 6–7:point4</t>
        </is>
      </c>
      <c r="E78" s="37" t="n">
        <v>1000</v>
      </c>
      <c r="F78" s="25" t="inlineStr">
        <is>
          <t>mm</t>
        </is>
      </c>
      <c r="G78" s="38" t="n">
        <f>IF(COUNTBLANK(E78)&gt;0,"",E78)</f>
        <v>1000</v>
      </c>
      <c r="H78" s="39" t="n">
        <f>IF(COUNTBLANK(G78)&gt;0,"",G78/1000)</f>
        <v>1</v>
      </c>
      <c r="I78" s="18" t="inlineStr">
        <is>
          <t>Ghi trên bản vẽ / Explicit</t>
        </is>
      </c>
      <c r="J78" s="18" t="inlineStr">
        <is>
          <t>Tờ 6
File 4</t>
        </is>
      </c>
      <c r="K78" s="18" t="inlineStr">
        <is>
          <t>Upper veranda dimension chain, bay6–7</t>
        </is>
      </c>
      <c r="L78" s="18" t="inlineStr">
        <is>
          <t>1000</t>
        </is>
      </c>
      <c r="M78" s="18" t="inlineStr">
        <is>
          <t>Chain totals4500; 1000 sections correspond to two openings. 735/1030 portions are spacing/pier zones, not opening widths.</t>
        </is>
      </c>
    </row>
    <row r="79" ht="36" customHeight="1">
      <c r="A79" s="18" t="inlineStr">
        <is>
          <t>P072</t>
        </is>
      </c>
      <c r="B79" s="18" t="inlineStr">
        <is>
          <t>Nhịp cửa hiên phía H
Veranda openings along axis H</t>
        </is>
      </c>
      <c r="C79" s="18" t="inlineStr">
        <is>
          <t>opening_chain_segment</t>
        </is>
      </c>
      <c r="D79" s="18" t="inlineStr">
        <is>
          <t>Model: X
Source: longitudinal
6–7:point4 → 6–7:point5</t>
        </is>
      </c>
      <c r="E79" s="37" t="n">
        <v>735</v>
      </c>
      <c r="F79" s="25" t="inlineStr">
        <is>
          <t>mm</t>
        </is>
      </c>
      <c r="G79" s="38" t="n">
        <f>IF(COUNTBLANK(E79)&gt;0,"",E79)</f>
        <v>735</v>
      </c>
      <c r="H79" s="39" t="n">
        <f>IF(COUNTBLANK(G79)&gt;0,"",G79/1000)</f>
        <v>0.735</v>
      </c>
      <c r="I79" s="18" t="inlineStr">
        <is>
          <t>Ghi trên bản vẽ / Explicit</t>
        </is>
      </c>
      <c r="J79" s="18" t="inlineStr">
        <is>
          <t>Tờ 6
File 4</t>
        </is>
      </c>
      <c r="K79" s="18" t="inlineStr">
        <is>
          <t>Upper veranda dimension chain, bay6–7</t>
        </is>
      </c>
      <c r="L79" s="18" t="inlineStr">
        <is>
          <t>735</t>
        </is>
      </c>
      <c r="M79" s="18" t="inlineStr">
        <is>
          <t>Chain totals4500; 1000 sections correspond to two openings. 735/1030 portions are spacing/pier zones, not opening widths.</t>
        </is>
      </c>
    </row>
    <row r="80" ht="36" customHeight="1">
      <c r="A80" s="18" t="inlineStr">
        <is>
          <t>P073</t>
        </is>
      </c>
      <c r="B80" s="18" t="inlineStr">
        <is>
          <t>Nhịp cửa hiên phía H
Veranda openings along axis H</t>
        </is>
      </c>
      <c r="C80" s="18" t="inlineStr">
        <is>
          <t>opening_chain_segment</t>
        </is>
      </c>
      <c r="D80" s="18" t="inlineStr">
        <is>
          <t>Model: X
Source: longitudinal
7–8:point0 → 7–8:point1</t>
        </is>
      </c>
      <c r="E80" s="37" t="n">
        <v>735</v>
      </c>
      <c r="F80" s="25" t="inlineStr">
        <is>
          <t>mm</t>
        </is>
      </c>
      <c r="G80" s="38" t="n">
        <f>IF(COUNTBLANK(E80)&gt;0,"",E80)</f>
        <v>735</v>
      </c>
      <c r="H80" s="39" t="n">
        <f>IF(COUNTBLANK(G80)&gt;0,"",G80/1000)</f>
        <v>0.735</v>
      </c>
      <c r="I80" s="18" t="inlineStr">
        <is>
          <t>Ghi trên bản vẽ / Explicit</t>
        </is>
      </c>
      <c r="J80" s="18" t="inlineStr">
        <is>
          <t>Tờ 6
File 4</t>
        </is>
      </c>
      <c r="K80" s="18" t="inlineStr">
        <is>
          <t>Upper veranda dimension chain, bay7–8</t>
        </is>
      </c>
      <c r="L80" s="18" t="inlineStr">
        <is>
          <t>735</t>
        </is>
      </c>
      <c r="M80" s="18" t="inlineStr">
        <is>
          <t>Chain totals4500; 1000 sections correspond to two openings. 735/1030 portions are spacing/pier zones, not opening widths.</t>
        </is>
      </c>
    </row>
    <row r="81" ht="36" customHeight="1">
      <c r="A81" s="18" t="inlineStr">
        <is>
          <t>P074</t>
        </is>
      </c>
      <c r="B81" s="18" t="inlineStr">
        <is>
          <t>Nhịp cửa hiên phía H
Veranda openings along axis H</t>
        </is>
      </c>
      <c r="C81" s="18" t="inlineStr">
        <is>
          <t>opening_chain_segment</t>
        </is>
      </c>
      <c r="D81" s="18" t="inlineStr">
        <is>
          <t>Model: X
Source: longitudinal
7–8:point1 → 7–8:point2</t>
        </is>
      </c>
      <c r="E81" s="37" t="n">
        <v>1000</v>
      </c>
      <c r="F81" s="25" t="inlineStr">
        <is>
          <t>mm</t>
        </is>
      </c>
      <c r="G81" s="38" t="n">
        <f>IF(COUNTBLANK(E81)&gt;0,"",E81)</f>
        <v>1000</v>
      </c>
      <c r="H81" s="39" t="n">
        <f>IF(COUNTBLANK(G81)&gt;0,"",G81/1000)</f>
        <v>1</v>
      </c>
      <c r="I81" s="18" t="inlineStr">
        <is>
          <t>Ghi trên bản vẽ / Explicit</t>
        </is>
      </c>
      <c r="J81" s="18" t="inlineStr">
        <is>
          <t>Tờ 6
File 4</t>
        </is>
      </c>
      <c r="K81" s="18" t="inlineStr">
        <is>
          <t>Upper veranda dimension chain, bay7–8</t>
        </is>
      </c>
      <c r="L81" s="18" t="inlineStr">
        <is>
          <t>1000</t>
        </is>
      </c>
      <c r="M81" s="18" t="inlineStr">
        <is>
          <t>Chain totals4500; 1000 sections correspond to two openings. 735/1030 portions are spacing/pier zones, not opening widths.</t>
        </is>
      </c>
    </row>
    <row r="82" ht="36" customHeight="1">
      <c r="A82" s="18" t="inlineStr">
        <is>
          <t>P075</t>
        </is>
      </c>
      <c r="B82" s="18" t="inlineStr">
        <is>
          <t>Nhịp cửa hiên phía H
Veranda openings along axis H</t>
        </is>
      </c>
      <c r="C82" s="18" t="inlineStr">
        <is>
          <t>opening_chain_segment</t>
        </is>
      </c>
      <c r="D82" s="18" t="inlineStr">
        <is>
          <t>Model: X
Source: longitudinal
7–8:point2 → 7–8:point3</t>
        </is>
      </c>
      <c r="E82" s="37" t="n">
        <v>1030</v>
      </c>
      <c r="F82" s="25" t="inlineStr">
        <is>
          <t>mm</t>
        </is>
      </c>
      <c r="G82" s="38" t="n">
        <f>IF(COUNTBLANK(E82)&gt;0,"",E82)</f>
        <v>1030</v>
      </c>
      <c r="H82" s="39" t="n">
        <f>IF(COUNTBLANK(G82)&gt;0,"",G82/1000)</f>
        <v>1.03</v>
      </c>
      <c r="I82" s="18" t="inlineStr">
        <is>
          <t>Ghi trên bản vẽ / Explicit</t>
        </is>
      </c>
      <c r="J82" s="18" t="inlineStr">
        <is>
          <t>Tờ 6
File 4</t>
        </is>
      </c>
      <c r="K82" s="18" t="inlineStr">
        <is>
          <t>Upper veranda dimension chain, bay7–8</t>
        </is>
      </c>
      <c r="L82" s="18" t="inlineStr">
        <is>
          <t>1030</t>
        </is>
      </c>
      <c r="M82" s="18" t="inlineStr">
        <is>
          <t>Chain totals4500; 1000 sections correspond to two openings. 735/1030 portions are spacing/pier zones, not opening widths.</t>
        </is>
      </c>
    </row>
    <row r="83" ht="36" customHeight="1">
      <c r="A83" s="18" t="inlineStr">
        <is>
          <t>P076</t>
        </is>
      </c>
      <c r="B83" s="18" t="inlineStr">
        <is>
          <t>Nhịp cửa hiên phía H
Veranda openings along axis H</t>
        </is>
      </c>
      <c r="C83" s="18" t="inlineStr">
        <is>
          <t>opening_chain_segment</t>
        </is>
      </c>
      <c r="D83" s="18" t="inlineStr">
        <is>
          <t>Model: X
Source: longitudinal
7–8:point3 → 7–8:point4</t>
        </is>
      </c>
      <c r="E83" s="37" t="n">
        <v>1000</v>
      </c>
      <c r="F83" s="25" t="inlineStr">
        <is>
          <t>mm</t>
        </is>
      </c>
      <c r="G83" s="38" t="n">
        <f>IF(COUNTBLANK(E83)&gt;0,"",E83)</f>
        <v>1000</v>
      </c>
      <c r="H83" s="39" t="n">
        <f>IF(COUNTBLANK(G83)&gt;0,"",G83/1000)</f>
        <v>1</v>
      </c>
      <c r="I83" s="18" t="inlineStr">
        <is>
          <t>Ghi trên bản vẽ / Explicit</t>
        </is>
      </c>
      <c r="J83" s="18" t="inlineStr">
        <is>
          <t>Tờ 6
File 4</t>
        </is>
      </c>
      <c r="K83" s="18" t="inlineStr">
        <is>
          <t>Upper veranda dimension chain, bay7–8</t>
        </is>
      </c>
      <c r="L83" s="18" t="inlineStr">
        <is>
          <t>1000</t>
        </is>
      </c>
      <c r="M83" s="18" t="inlineStr">
        <is>
          <t>Chain totals4500; 1000 sections correspond to two openings. 735/1030 portions are spacing/pier zones, not opening widths.</t>
        </is>
      </c>
    </row>
    <row r="84" ht="36" customHeight="1">
      <c r="A84" s="18" t="inlineStr">
        <is>
          <t>P077</t>
        </is>
      </c>
      <c r="B84" s="18" t="inlineStr">
        <is>
          <t>Nhịp cửa hiên phía H
Veranda openings along axis H</t>
        </is>
      </c>
      <c r="C84" s="18" t="inlineStr">
        <is>
          <t>opening_chain_segment</t>
        </is>
      </c>
      <c r="D84" s="18" t="inlineStr">
        <is>
          <t>Model: X
Source: longitudinal
7–8:point4 → 7–8:point5</t>
        </is>
      </c>
      <c r="E84" s="37" t="n">
        <v>735</v>
      </c>
      <c r="F84" s="25" t="inlineStr">
        <is>
          <t>mm</t>
        </is>
      </c>
      <c r="G84" s="38" t="n">
        <f>IF(COUNTBLANK(E84)&gt;0,"",E84)</f>
        <v>735</v>
      </c>
      <c r="H84" s="39" t="n">
        <f>IF(COUNTBLANK(G84)&gt;0,"",G84/1000)</f>
        <v>0.735</v>
      </c>
      <c r="I84" s="18" t="inlineStr">
        <is>
          <t>Ghi trên bản vẽ / Explicit</t>
        </is>
      </c>
      <c r="J84" s="18" t="inlineStr">
        <is>
          <t>Tờ 6
File 4</t>
        </is>
      </c>
      <c r="K84" s="18" t="inlineStr">
        <is>
          <t>Upper veranda dimension chain, bay7–8</t>
        </is>
      </c>
      <c r="L84" s="18" t="inlineStr">
        <is>
          <t>735</t>
        </is>
      </c>
      <c r="M84" s="18" t="inlineStr">
        <is>
          <t>Chain totals4500; 1000 sections correspond to two openings. 735/1030 portions are spacing/pier zones, not opening widths.</t>
        </is>
      </c>
    </row>
    <row r="85" ht="36" customHeight="1">
      <c r="A85" s="18" t="inlineStr">
        <is>
          <t>P078</t>
        </is>
      </c>
      <c r="B85" s="18" t="inlineStr">
        <is>
          <t>Lối ra hiên phía H
Veranda access along axis H</t>
        </is>
      </c>
      <c r="C85" s="18" t="inlineStr">
        <is>
          <t>opening_chain_segment</t>
        </is>
      </c>
      <c r="D85" s="18" t="inlineStr">
        <is>
          <t>Model: X
Source: longitudinal
4–5:point0 → 4–5:point1</t>
        </is>
      </c>
      <c r="E85" s="37" t="n">
        <v>1125</v>
      </c>
      <c r="F85" s="25" t="inlineStr">
        <is>
          <t>mm</t>
        </is>
      </c>
      <c r="G85" s="38" t="n">
        <f>IF(COUNTBLANK(E85)&gt;0,"",E85)</f>
        <v>1125</v>
      </c>
      <c r="H85" s="39" t="n">
        <f>IF(COUNTBLANK(G85)&gt;0,"",G85/1000)</f>
        <v>1.125</v>
      </c>
      <c r="I85" s="18" t="inlineStr">
        <is>
          <t>Ghi trên bản vẽ / Explicit</t>
        </is>
      </c>
      <c r="J85" s="18" t="inlineStr">
        <is>
          <t>Tờ 6
File 4</t>
        </is>
      </c>
      <c r="K85" s="18" t="inlineStr">
        <is>
          <t>Upper veranda access chain, bay4–5</t>
        </is>
      </c>
      <c r="L85" s="18" t="inlineStr">
        <is>
          <t>1125</t>
        </is>
      </c>
      <c r="M85" s="18" t="inlineStr">
        <is>
          <t>2250 is the opening; other values are end offsets. Chain totals4500.</t>
        </is>
      </c>
    </row>
    <row r="86" ht="36" customHeight="1">
      <c r="A86" s="18" t="inlineStr">
        <is>
          <t>P079</t>
        </is>
      </c>
      <c r="B86" s="18" t="inlineStr">
        <is>
          <t>Lối ra hiên phía H
Veranda access along axis H</t>
        </is>
      </c>
      <c r="C86" s="18" t="inlineStr">
        <is>
          <t>opening_chain_segment</t>
        </is>
      </c>
      <c r="D86" s="18" t="inlineStr">
        <is>
          <t>Model: X
Source: longitudinal
4–5:point1 → 4–5:point2</t>
        </is>
      </c>
      <c r="E86" s="37" t="n">
        <v>2250</v>
      </c>
      <c r="F86" s="25" t="inlineStr">
        <is>
          <t>mm</t>
        </is>
      </c>
      <c r="G86" s="38" t="n">
        <f>IF(COUNTBLANK(E86)&gt;0,"",E86)</f>
        <v>2250</v>
      </c>
      <c r="H86" s="39" t="n">
        <f>IF(COUNTBLANK(G86)&gt;0,"",G86/1000)</f>
        <v>2.25</v>
      </c>
      <c r="I86" s="18" t="inlineStr">
        <is>
          <t>Ghi trên bản vẽ / Explicit</t>
        </is>
      </c>
      <c r="J86" s="18" t="inlineStr">
        <is>
          <t>Tờ 6
File 4</t>
        </is>
      </c>
      <c r="K86" s="18" t="inlineStr">
        <is>
          <t>Upper veranda access chain, bay4–5</t>
        </is>
      </c>
      <c r="L86" s="18" t="inlineStr">
        <is>
          <t>2250</t>
        </is>
      </c>
      <c r="M86" s="18" t="inlineStr">
        <is>
          <t>2250 is the opening; other values are end offsets. Chain totals4500.</t>
        </is>
      </c>
    </row>
    <row r="87" ht="36" customHeight="1">
      <c r="A87" s="18" t="inlineStr">
        <is>
          <t>P080</t>
        </is>
      </c>
      <c r="B87" s="18" t="inlineStr">
        <is>
          <t>Lối ra hiên phía H
Veranda access along axis H</t>
        </is>
      </c>
      <c r="C87" s="18" t="inlineStr">
        <is>
          <t>opening_chain_segment</t>
        </is>
      </c>
      <c r="D87" s="18" t="inlineStr">
        <is>
          <t>Model: X
Source: longitudinal
4–5:point2 → 4–5:point3</t>
        </is>
      </c>
      <c r="E87" s="37" t="n">
        <v>1125</v>
      </c>
      <c r="F87" s="25" t="inlineStr">
        <is>
          <t>mm</t>
        </is>
      </c>
      <c r="G87" s="38" t="n">
        <f>IF(COUNTBLANK(E87)&gt;0,"",E87)</f>
        <v>1125</v>
      </c>
      <c r="H87" s="39" t="n">
        <f>IF(COUNTBLANK(G87)&gt;0,"",G87/1000)</f>
        <v>1.125</v>
      </c>
      <c r="I87" s="18" t="inlineStr">
        <is>
          <t>Ghi trên bản vẽ / Explicit</t>
        </is>
      </c>
      <c r="J87" s="18" t="inlineStr">
        <is>
          <t>Tờ 6
File 4</t>
        </is>
      </c>
      <c r="K87" s="18" t="inlineStr">
        <is>
          <t>Upper veranda access chain, bay4–5</t>
        </is>
      </c>
      <c r="L87" s="18" t="inlineStr">
        <is>
          <t>1125</t>
        </is>
      </c>
      <c r="M87" s="18" t="inlineStr">
        <is>
          <t>2250 is the opening; other values are end offsets. Chain totals4500.</t>
        </is>
      </c>
    </row>
    <row r="88" ht="36" customHeight="1">
      <c r="A88" s="18" t="inlineStr">
        <is>
          <t>P081</t>
        </is>
      </c>
      <c r="B88" s="18" t="inlineStr">
        <is>
          <t>Lối ra hiên phía H
Veranda access along axis H</t>
        </is>
      </c>
      <c r="C88" s="18" t="inlineStr">
        <is>
          <t>opening_chain_segment</t>
        </is>
      </c>
      <c r="D88" s="18" t="inlineStr">
        <is>
          <t>Model: X
Source: longitudinal
8–9:point0 → 8–9:point1</t>
        </is>
      </c>
      <c r="E88" s="37" t="n">
        <v>905</v>
      </c>
      <c r="F88" s="25" t="inlineStr">
        <is>
          <t>mm</t>
        </is>
      </c>
      <c r="G88" s="38" t="n">
        <f>IF(COUNTBLANK(E88)&gt;0,"",E88)</f>
        <v>905</v>
      </c>
      <c r="H88" s="39" t="n">
        <f>IF(COUNTBLANK(G88)&gt;0,"",G88/1000)</f>
        <v>0.905</v>
      </c>
      <c r="I88" s="18" t="inlineStr">
        <is>
          <t>Ghi trên bản vẽ / Explicit</t>
        </is>
      </c>
      <c r="J88" s="18" t="inlineStr">
        <is>
          <t>Tờ 6
File 4</t>
        </is>
      </c>
      <c r="K88" s="18" t="inlineStr">
        <is>
          <t>Upper veranda access chain, bay8–9</t>
        </is>
      </c>
      <c r="L88" s="18" t="inlineStr">
        <is>
          <t>905</t>
        </is>
      </c>
      <c r="M88" s="18" t="inlineStr">
        <is>
          <t>2250 is the opening; other values are end offsets. Chain totals4500.</t>
        </is>
      </c>
    </row>
    <row r="89" ht="36" customHeight="1">
      <c r="A89" s="18" t="inlineStr">
        <is>
          <t>P082</t>
        </is>
      </c>
      <c r="B89" s="18" t="inlineStr">
        <is>
          <t>Lối ra hiên phía H
Veranda access along axis H</t>
        </is>
      </c>
      <c r="C89" s="18" t="inlineStr">
        <is>
          <t>opening_chain_segment</t>
        </is>
      </c>
      <c r="D89" s="18" t="inlineStr">
        <is>
          <t>Model: X
Source: longitudinal
8–9:point1 → 8–9:point2</t>
        </is>
      </c>
      <c r="E89" s="37" t="n">
        <v>2250</v>
      </c>
      <c r="F89" s="25" t="inlineStr">
        <is>
          <t>mm</t>
        </is>
      </c>
      <c r="G89" s="38" t="n">
        <f>IF(COUNTBLANK(E89)&gt;0,"",E89)</f>
        <v>2250</v>
      </c>
      <c r="H89" s="39" t="n">
        <f>IF(COUNTBLANK(G89)&gt;0,"",G89/1000)</f>
        <v>2.25</v>
      </c>
      <c r="I89" s="18" t="inlineStr">
        <is>
          <t>Ghi trên bản vẽ / Explicit</t>
        </is>
      </c>
      <c r="J89" s="18" t="inlineStr">
        <is>
          <t>Tờ 6
File 4</t>
        </is>
      </c>
      <c r="K89" s="18" t="inlineStr">
        <is>
          <t>Upper veranda access chain, bay8–9</t>
        </is>
      </c>
      <c r="L89" s="18" t="inlineStr">
        <is>
          <t>2250</t>
        </is>
      </c>
      <c r="M89" s="18" t="inlineStr">
        <is>
          <t>2250 is the opening; other values are end offsets. Chain totals4500.</t>
        </is>
      </c>
    </row>
    <row r="90" ht="36" customHeight="1">
      <c r="A90" s="18" t="inlineStr">
        <is>
          <t>P083</t>
        </is>
      </c>
      <c r="B90" s="18" t="inlineStr">
        <is>
          <t>Lối ra hiên phía H
Veranda access along axis H</t>
        </is>
      </c>
      <c r="C90" s="18" t="inlineStr">
        <is>
          <t>opening_chain_segment</t>
        </is>
      </c>
      <c r="D90" s="18" t="inlineStr">
        <is>
          <t>Model: X
Source: longitudinal
8–9:point2 → 8–9:point3</t>
        </is>
      </c>
      <c r="E90" s="37" t="n">
        <v>1345</v>
      </c>
      <c r="F90" s="25" t="inlineStr">
        <is>
          <t>mm</t>
        </is>
      </c>
      <c r="G90" s="38" t="n">
        <f>IF(COUNTBLANK(E90)&gt;0,"",E90)</f>
        <v>1345</v>
      </c>
      <c r="H90" s="39" t="n">
        <f>IF(COUNTBLANK(G90)&gt;0,"",G90/1000)</f>
        <v>1.345</v>
      </c>
      <c r="I90" s="18" t="inlineStr">
        <is>
          <t>Ghi trên bản vẽ / Explicit</t>
        </is>
      </c>
      <c r="J90" s="18" t="inlineStr">
        <is>
          <t>Tờ 6
File 4</t>
        </is>
      </c>
      <c r="K90" s="18" t="inlineStr">
        <is>
          <t>Upper veranda access chain, bay8–9</t>
        </is>
      </c>
      <c r="L90" s="18" t="inlineStr">
        <is>
          <t>1345</t>
        </is>
      </c>
      <c r="M90" s="18" t="inlineStr">
        <is>
          <t>2250 is the opening; other values are end offsets. Chain totals4500.</t>
        </is>
      </c>
    </row>
    <row r="91" ht="36" customHeight="1">
      <c r="A91" s="18" t="inlineStr">
        <is>
          <t>P084</t>
        </is>
      </c>
      <c r="B91" s="18" t="inlineStr">
        <is>
          <t>Cửa giữa lòng nhà và hiên phía C
Nave to veranda openings along axis C</t>
        </is>
      </c>
      <c r="C91" s="18" t="inlineStr">
        <is>
          <t>opening_chain_segment</t>
        </is>
      </c>
      <c r="D91" s="18" t="inlineStr">
        <is>
          <t>Model: X
Source: longitudinal
2′–3:point0 → 2′–3:point1</t>
        </is>
      </c>
      <c r="E91" s="37" t="n">
        <v>1135</v>
      </c>
      <c r="F91" s="25" t="inlineStr">
        <is>
          <t>mm</t>
        </is>
      </c>
      <c r="G91" s="38" t="n">
        <f>IF(COUNTBLANK(E91)&gt;0,"",E91)</f>
        <v>1135</v>
      </c>
      <c r="H91" s="39" t="n">
        <f>IF(COUNTBLANK(G91)&gt;0,"",G91/1000)</f>
        <v>1.135</v>
      </c>
      <c r="I91" s="18" t="inlineStr">
        <is>
          <t>Ghi trên bản vẽ / Explicit</t>
        </is>
      </c>
      <c r="J91" s="18" t="inlineStr">
        <is>
          <t>Tờ 6
File 4</t>
        </is>
      </c>
      <c r="K91" s="18" t="inlineStr">
        <is>
          <t>Lower nave/porch boundary chain, bay2′–3</t>
        </is>
      </c>
      <c r="L91" s="18" t="inlineStr">
        <is>
          <t>1135</t>
        </is>
      </c>
      <c r="M91" s="18" t="inlineStr">
        <is>
          <t>SOURCE CONFLICT: first bay prints1135+2250+1125=4510 while axis spacing4500; do not silently change1135.</t>
        </is>
      </c>
    </row>
    <row r="92" ht="36" customHeight="1">
      <c r="A92" s="18" t="inlineStr">
        <is>
          <t>P085</t>
        </is>
      </c>
      <c r="B92" s="18" t="inlineStr">
        <is>
          <t>Cửa giữa lòng nhà và hiên phía C
Nave to veranda openings along axis C</t>
        </is>
      </c>
      <c r="C92" s="18" t="inlineStr">
        <is>
          <t>opening_chain_segment</t>
        </is>
      </c>
      <c r="D92" s="18" t="inlineStr">
        <is>
          <t>Model: X
Source: longitudinal
2′–3:point1 → 2′–3:point2</t>
        </is>
      </c>
      <c r="E92" s="37" t="n">
        <v>2250</v>
      </c>
      <c r="F92" s="25" t="inlineStr">
        <is>
          <t>mm</t>
        </is>
      </c>
      <c r="G92" s="38" t="n">
        <f>IF(COUNTBLANK(E92)&gt;0,"",E92)</f>
        <v>2250</v>
      </c>
      <c r="H92" s="39" t="n">
        <f>IF(COUNTBLANK(G92)&gt;0,"",G92/1000)</f>
        <v>2.25</v>
      </c>
      <c r="I92" s="18" t="inlineStr">
        <is>
          <t>Ghi trên bản vẽ / Explicit</t>
        </is>
      </c>
      <c r="J92" s="18" t="inlineStr">
        <is>
          <t>Tờ 6
File 4</t>
        </is>
      </c>
      <c r="K92" s="18" t="inlineStr">
        <is>
          <t>Lower nave/porch boundary chain, bay2′–3</t>
        </is>
      </c>
      <c r="L92" s="18" t="inlineStr">
        <is>
          <t>2250</t>
        </is>
      </c>
      <c r="M92" s="18" t="inlineStr">
        <is>
          <t>SOURCE CONFLICT: first bay prints1135+2250+1125=4510 while axis spacing4500; do not silently change1135.</t>
        </is>
      </c>
    </row>
    <row r="93" ht="36" customHeight="1">
      <c r="A93" s="18" t="inlineStr">
        <is>
          <t>P086</t>
        </is>
      </c>
      <c r="B93" s="18" t="inlineStr">
        <is>
          <t>Cửa giữa lòng nhà và hiên phía C
Nave to veranda openings along axis C</t>
        </is>
      </c>
      <c r="C93" s="18" t="inlineStr">
        <is>
          <t>opening_chain_segment</t>
        </is>
      </c>
      <c r="D93" s="18" t="inlineStr">
        <is>
          <t>Model: X
Source: longitudinal
2′–3:point2 → 2′–3:point3</t>
        </is>
      </c>
      <c r="E93" s="37" t="n">
        <v>1125</v>
      </c>
      <c r="F93" s="25" t="inlineStr">
        <is>
          <t>mm</t>
        </is>
      </c>
      <c r="G93" s="38" t="n">
        <f>IF(COUNTBLANK(E93)&gt;0,"",E93)</f>
        <v>1125</v>
      </c>
      <c r="H93" s="39" t="n">
        <f>IF(COUNTBLANK(G93)&gt;0,"",G93/1000)</f>
        <v>1.125</v>
      </c>
      <c r="I93" s="18" t="inlineStr">
        <is>
          <t>Ghi trên bản vẽ / Explicit</t>
        </is>
      </c>
      <c r="J93" s="18" t="inlineStr">
        <is>
          <t>Tờ 6
File 4</t>
        </is>
      </c>
      <c r="K93" s="18" t="inlineStr">
        <is>
          <t>Lower nave/porch boundary chain, bay2′–3</t>
        </is>
      </c>
      <c r="L93" s="18" t="inlineStr">
        <is>
          <t>1125</t>
        </is>
      </c>
      <c r="M93" s="18" t="inlineStr">
        <is>
          <t>SOURCE CONFLICT: first bay prints1135+2250+1125=4510 while axis spacing4500; do not silently change1135.</t>
        </is>
      </c>
    </row>
    <row r="94" ht="36" customHeight="1">
      <c r="A94" s="18" t="inlineStr">
        <is>
          <t>P087</t>
        </is>
      </c>
      <c r="B94" s="18" t="inlineStr">
        <is>
          <t>Cửa giữa lòng nhà và hiên phía C
Nave to veranda openings along axis C</t>
        </is>
      </c>
      <c r="C94" s="18" t="inlineStr">
        <is>
          <t>opening_chain_segment</t>
        </is>
      </c>
      <c r="D94" s="18" t="inlineStr">
        <is>
          <t>Model: X
Source: longitudinal
3–4:point0 → 3–4:point1</t>
        </is>
      </c>
      <c r="E94" s="37" t="n">
        <v>1125</v>
      </c>
      <c r="F94" s="25" t="inlineStr">
        <is>
          <t>mm</t>
        </is>
      </c>
      <c r="G94" s="38" t="n">
        <f>IF(COUNTBLANK(E94)&gt;0,"",E94)</f>
        <v>1125</v>
      </c>
      <c r="H94" s="39" t="n">
        <f>IF(COUNTBLANK(G94)&gt;0,"",G94/1000)</f>
        <v>1.125</v>
      </c>
      <c r="I94" s="18" t="inlineStr">
        <is>
          <t>Ghi trên bản vẽ / Explicit</t>
        </is>
      </c>
      <c r="J94" s="18" t="inlineStr">
        <is>
          <t>Tờ 6
File 4</t>
        </is>
      </c>
      <c r="K94" s="18" t="inlineStr">
        <is>
          <t>Lower nave/porch boundary chain, bay3–4</t>
        </is>
      </c>
      <c r="L94" s="18" t="inlineStr">
        <is>
          <t>1125</t>
        </is>
      </c>
      <c r="M94" s="18" t="inlineStr">
        <is>
          <t>Chain totals4500; central opening2250.</t>
        </is>
      </c>
    </row>
    <row r="95" ht="36" customHeight="1">
      <c r="A95" s="18" t="inlineStr">
        <is>
          <t>P088</t>
        </is>
      </c>
      <c r="B95" s="18" t="inlineStr">
        <is>
          <t>Cửa giữa lòng nhà và hiên phía C
Nave to veranda openings along axis C</t>
        </is>
      </c>
      <c r="C95" s="18" t="inlineStr">
        <is>
          <t>opening_chain_segment</t>
        </is>
      </c>
      <c r="D95" s="18" t="inlineStr">
        <is>
          <t>Model: X
Source: longitudinal
3–4:point1 → 3–4:point2</t>
        </is>
      </c>
      <c r="E95" s="37" t="n">
        <v>2250</v>
      </c>
      <c r="F95" s="25" t="inlineStr">
        <is>
          <t>mm</t>
        </is>
      </c>
      <c r="G95" s="38" t="n">
        <f>IF(COUNTBLANK(E95)&gt;0,"",E95)</f>
        <v>2250</v>
      </c>
      <c r="H95" s="39" t="n">
        <f>IF(COUNTBLANK(G95)&gt;0,"",G95/1000)</f>
        <v>2.25</v>
      </c>
      <c r="I95" s="18" t="inlineStr">
        <is>
          <t>Ghi trên bản vẽ / Explicit</t>
        </is>
      </c>
      <c r="J95" s="18" t="inlineStr">
        <is>
          <t>Tờ 6
File 4</t>
        </is>
      </c>
      <c r="K95" s="18" t="inlineStr">
        <is>
          <t>Lower nave/porch boundary chain, bay3–4</t>
        </is>
      </c>
      <c r="L95" s="18" t="inlineStr">
        <is>
          <t>2250</t>
        </is>
      </c>
      <c r="M95" s="18" t="inlineStr">
        <is>
          <t>Chain totals4500; central opening2250.</t>
        </is>
      </c>
    </row>
    <row r="96" ht="36" customHeight="1">
      <c r="A96" s="18" t="inlineStr">
        <is>
          <t>P089</t>
        </is>
      </c>
      <c r="B96" s="18" t="inlineStr">
        <is>
          <t>Cửa giữa lòng nhà và hiên phía C
Nave to veranda openings along axis C</t>
        </is>
      </c>
      <c r="C96" s="18" t="inlineStr">
        <is>
          <t>opening_chain_segment</t>
        </is>
      </c>
      <c r="D96" s="18" t="inlineStr">
        <is>
          <t>Model: X
Source: longitudinal
3–4:point2 → 3–4:point3</t>
        </is>
      </c>
      <c r="E96" s="37" t="n">
        <v>1125</v>
      </c>
      <c r="F96" s="25" t="inlineStr">
        <is>
          <t>mm</t>
        </is>
      </c>
      <c r="G96" s="38" t="n">
        <f>IF(COUNTBLANK(E96)&gt;0,"",E96)</f>
        <v>1125</v>
      </c>
      <c r="H96" s="39" t="n">
        <f>IF(COUNTBLANK(G96)&gt;0,"",G96/1000)</f>
        <v>1.125</v>
      </c>
      <c r="I96" s="18" t="inlineStr">
        <is>
          <t>Ghi trên bản vẽ / Explicit</t>
        </is>
      </c>
      <c r="J96" s="18" t="inlineStr">
        <is>
          <t>Tờ 6
File 4</t>
        </is>
      </c>
      <c r="K96" s="18" t="inlineStr">
        <is>
          <t>Lower nave/porch boundary chain, bay3–4</t>
        </is>
      </c>
      <c r="L96" s="18" t="inlineStr">
        <is>
          <t>1125</t>
        </is>
      </c>
      <c r="M96" s="18" t="inlineStr">
        <is>
          <t>Chain totals4500; central opening2250.</t>
        </is>
      </c>
    </row>
    <row r="97" ht="36" customHeight="1">
      <c r="A97" s="18" t="inlineStr">
        <is>
          <t>P090</t>
        </is>
      </c>
      <c r="B97" s="18" t="inlineStr">
        <is>
          <t>Cửa giữa lòng nhà và hiên phía C
Nave to veranda openings along axis C</t>
        </is>
      </c>
      <c r="C97" s="18" t="inlineStr">
        <is>
          <t>opening_chain_segment</t>
        </is>
      </c>
      <c r="D97" s="18" t="inlineStr">
        <is>
          <t>Model: X
Source: longitudinal
4–5:point0 → 4–5:point1</t>
        </is>
      </c>
      <c r="E97" s="37" t="n">
        <v>1125</v>
      </c>
      <c r="F97" s="25" t="inlineStr">
        <is>
          <t>mm</t>
        </is>
      </c>
      <c r="G97" s="38" t="n">
        <f>IF(COUNTBLANK(E97)&gt;0,"",E97)</f>
        <v>1125</v>
      </c>
      <c r="H97" s="39" t="n">
        <f>IF(COUNTBLANK(G97)&gt;0,"",G97/1000)</f>
        <v>1.125</v>
      </c>
      <c r="I97" s="18" t="inlineStr">
        <is>
          <t>Ghi trên bản vẽ / Explicit</t>
        </is>
      </c>
      <c r="J97" s="18" t="inlineStr">
        <is>
          <t>Tờ 6
File 4</t>
        </is>
      </c>
      <c r="K97" s="18" t="inlineStr">
        <is>
          <t>Lower nave/porch boundary chain, bay4–5</t>
        </is>
      </c>
      <c r="L97" s="18" t="inlineStr">
        <is>
          <t>1125</t>
        </is>
      </c>
      <c r="M97" s="18" t="inlineStr">
        <is>
          <t>Chain totals4500; central opening2250.</t>
        </is>
      </c>
    </row>
    <row r="98" ht="36" customHeight="1">
      <c r="A98" s="18" t="inlineStr">
        <is>
          <t>P091</t>
        </is>
      </c>
      <c r="B98" s="18" t="inlineStr">
        <is>
          <t>Cửa giữa lòng nhà và hiên phía C
Nave to veranda openings along axis C</t>
        </is>
      </c>
      <c r="C98" s="18" t="inlineStr">
        <is>
          <t>opening_chain_segment</t>
        </is>
      </c>
      <c r="D98" s="18" t="inlineStr">
        <is>
          <t>Model: X
Source: longitudinal
4–5:point1 → 4–5:point2</t>
        </is>
      </c>
      <c r="E98" s="37" t="n">
        <v>2250</v>
      </c>
      <c r="F98" s="25" t="inlineStr">
        <is>
          <t>mm</t>
        </is>
      </c>
      <c r="G98" s="38" t="n">
        <f>IF(COUNTBLANK(E98)&gt;0,"",E98)</f>
        <v>2250</v>
      </c>
      <c r="H98" s="39" t="n">
        <f>IF(COUNTBLANK(G98)&gt;0,"",G98/1000)</f>
        <v>2.25</v>
      </c>
      <c r="I98" s="18" t="inlineStr">
        <is>
          <t>Ghi trên bản vẽ / Explicit</t>
        </is>
      </c>
      <c r="J98" s="18" t="inlineStr">
        <is>
          <t>Tờ 6
File 4</t>
        </is>
      </c>
      <c r="K98" s="18" t="inlineStr">
        <is>
          <t>Lower nave/porch boundary chain, bay4–5</t>
        </is>
      </c>
      <c r="L98" s="18" t="inlineStr">
        <is>
          <t>2250</t>
        </is>
      </c>
      <c r="M98" s="18" t="inlineStr">
        <is>
          <t>Chain totals4500; central opening2250.</t>
        </is>
      </c>
    </row>
    <row r="99" ht="36" customHeight="1">
      <c r="A99" s="18" t="inlineStr">
        <is>
          <t>P092</t>
        </is>
      </c>
      <c r="B99" s="18" t="inlineStr">
        <is>
          <t>Cửa giữa lòng nhà và hiên phía C
Nave to veranda openings along axis C</t>
        </is>
      </c>
      <c r="C99" s="18" t="inlineStr">
        <is>
          <t>opening_chain_segment</t>
        </is>
      </c>
      <c r="D99" s="18" t="inlineStr">
        <is>
          <t>Model: X
Source: longitudinal
4–5:point2 → 4–5:point3</t>
        </is>
      </c>
      <c r="E99" s="37" t="n">
        <v>1125</v>
      </c>
      <c r="F99" s="25" t="inlineStr">
        <is>
          <t>mm</t>
        </is>
      </c>
      <c r="G99" s="38" t="n">
        <f>IF(COUNTBLANK(E99)&gt;0,"",E99)</f>
        <v>1125</v>
      </c>
      <c r="H99" s="39" t="n">
        <f>IF(COUNTBLANK(G99)&gt;0,"",G99/1000)</f>
        <v>1.125</v>
      </c>
      <c r="I99" s="18" t="inlineStr">
        <is>
          <t>Ghi trên bản vẽ / Explicit</t>
        </is>
      </c>
      <c r="J99" s="18" t="inlineStr">
        <is>
          <t>Tờ 6
File 4</t>
        </is>
      </c>
      <c r="K99" s="18" t="inlineStr">
        <is>
          <t>Lower nave/porch boundary chain, bay4–5</t>
        </is>
      </c>
      <c r="L99" s="18" t="inlineStr">
        <is>
          <t>1125</t>
        </is>
      </c>
      <c r="M99" s="18" t="inlineStr">
        <is>
          <t>Chain totals4500; central opening2250.</t>
        </is>
      </c>
    </row>
    <row r="100" ht="36" customHeight="1">
      <c r="A100" s="18" t="inlineStr">
        <is>
          <t>P093</t>
        </is>
      </c>
      <c r="B100" s="18" t="inlineStr">
        <is>
          <t>Cửa giữa lòng nhà và hiên phía C
Nave to veranda openings along axis C</t>
        </is>
      </c>
      <c r="C100" s="18" t="inlineStr">
        <is>
          <t>opening_chain_segment</t>
        </is>
      </c>
      <c r="D100" s="18" t="inlineStr">
        <is>
          <t>Model: X
Source: longitudinal
5–6:point0 → 5–6:point1</t>
        </is>
      </c>
      <c r="E100" s="37" t="n">
        <v>1125</v>
      </c>
      <c r="F100" s="25" t="inlineStr">
        <is>
          <t>mm</t>
        </is>
      </c>
      <c r="G100" s="38" t="n">
        <f>IF(COUNTBLANK(E100)&gt;0,"",E100)</f>
        <v>1125</v>
      </c>
      <c r="H100" s="39" t="n">
        <f>IF(COUNTBLANK(G100)&gt;0,"",G100/1000)</f>
        <v>1.125</v>
      </c>
      <c r="I100" s="18" t="inlineStr">
        <is>
          <t>Ghi trên bản vẽ / Explicit</t>
        </is>
      </c>
      <c r="J100" s="18" t="inlineStr">
        <is>
          <t>Tờ 6
File 4</t>
        </is>
      </c>
      <c r="K100" s="18" t="inlineStr">
        <is>
          <t>Lower nave/porch boundary chain, bay5–6</t>
        </is>
      </c>
      <c r="L100" s="18" t="inlineStr">
        <is>
          <t>1125</t>
        </is>
      </c>
      <c r="M100" s="18" t="inlineStr">
        <is>
          <t>Chain totals4500; central opening2250.</t>
        </is>
      </c>
    </row>
    <row r="101" ht="36" customHeight="1">
      <c r="A101" s="18" t="inlineStr">
        <is>
          <t>P094</t>
        </is>
      </c>
      <c r="B101" s="18" t="inlineStr">
        <is>
          <t>Cửa giữa lòng nhà và hiên phía C
Nave to veranda openings along axis C</t>
        </is>
      </c>
      <c r="C101" s="18" t="inlineStr">
        <is>
          <t>opening_chain_segment</t>
        </is>
      </c>
      <c r="D101" s="18" t="inlineStr">
        <is>
          <t>Model: X
Source: longitudinal
5–6:point1 → 5–6:point2</t>
        </is>
      </c>
      <c r="E101" s="37" t="n">
        <v>2250</v>
      </c>
      <c r="F101" s="25" t="inlineStr">
        <is>
          <t>mm</t>
        </is>
      </c>
      <c r="G101" s="38" t="n">
        <f>IF(COUNTBLANK(E101)&gt;0,"",E101)</f>
        <v>2250</v>
      </c>
      <c r="H101" s="39" t="n">
        <f>IF(COUNTBLANK(G101)&gt;0,"",G101/1000)</f>
        <v>2.25</v>
      </c>
      <c r="I101" s="18" t="inlineStr">
        <is>
          <t>Ghi trên bản vẽ / Explicit</t>
        </is>
      </c>
      <c r="J101" s="18" t="inlineStr">
        <is>
          <t>Tờ 6
File 4</t>
        </is>
      </c>
      <c r="K101" s="18" t="inlineStr">
        <is>
          <t>Lower nave/porch boundary chain, bay5–6</t>
        </is>
      </c>
      <c r="L101" s="18" t="inlineStr">
        <is>
          <t>2250</t>
        </is>
      </c>
      <c r="M101" s="18" t="inlineStr">
        <is>
          <t>Chain totals4500; central opening2250.</t>
        </is>
      </c>
    </row>
    <row r="102" ht="36" customHeight="1">
      <c r="A102" s="18" t="inlineStr">
        <is>
          <t>P095</t>
        </is>
      </c>
      <c r="B102" s="18" t="inlineStr">
        <is>
          <t>Cửa giữa lòng nhà và hiên phía C
Nave to veranda openings along axis C</t>
        </is>
      </c>
      <c r="C102" s="18" t="inlineStr">
        <is>
          <t>opening_chain_segment</t>
        </is>
      </c>
      <c r="D102" s="18" t="inlineStr">
        <is>
          <t>Model: X
Source: longitudinal
5–6:point2 → 5–6:point3</t>
        </is>
      </c>
      <c r="E102" s="37" t="n">
        <v>1125</v>
      </c>
      <c r="F102" s="25" t="inlineStr">
        <is>
          <t>mm</t>
        </is>
      </c>
      <c r="G102" s="38" t="n">
        <f>IF(COUNTBLANK(E102)&gt;0,"",E102)</f>
        <v>1125</v>
      </c>
      <c r="H102" s="39" t="n">
        <f>IF(COUNTBLANK(G102)&gt;0,"",G102/1000)</f>
        <v>1.125</v>
      </c>
      <c r="I102" s="18" t="inlineStr">
        <is>
          <t>Ghi trên bản vẽ / Explicit</t>
        </is>
      </c>
      <c r="J102" s="18" t="inlineStr">
        <is>
          <t>Tờ 6
File 4</t>
        </is>
      </c>
      <c r="K102" s="18" t="inlineStr">
        <is>
          <t>Lower nave/porch boundary chain, bay5–6</t>
        </is>
      </c>
      <c r="L102" s="18" t="inlineStr">
        <is>
          <t>1125</t>
        </is>
      </c>
      <c r="M102" s="18" t="inlineStr">
        <is>
          <t>Chain totals4500; central opening2250.</t>
        </is>
      </c>
    </row>
    <row r="103" ht="36" customHeight="1">
      <c r="A103" s="18" t="inlineStr">
        <is>
          <t>P096</t>
        </is>
      </c>
      <c r="B103" s="18" t="inlineStr">
        <is>
          <t>Cửa giữa lòng nhà và hiên phía C
Nave to veranda openings along axis C</t>
        </is>
      </c>
      <c r="C103" s="18" t="inlineStr">
        <is>
          <t>opening_chain_segment</t>
        </is>
      </c>
      <c r="D103" s="18" t="inlineStr">
        <is>
          <t>Model: X
Source: longitudinal
6–7:point0 → 6–7:point1</t>
        </is>
      </c>
      <c r="E103" s="37" t="n">
        <v>1125</v>
      </c>
      <c r="F103" s="25" t="inlineStr">
        <is>
          <t>mm</t>
        </is>
      </c>
      <c r="G103" s="38" t="n">
        <f>IF(COUNTBLANK(E103)&gt;0,"",E103)</f>
        <v>1125</v>
      </c>
      <c r="H103" s="39" t="n">
        <f>IF(COUNTBLANK(G103)&gt;0,"",G103/1000)</f>
        <v>1.125</v>
      </c>
      <c r="I103" s="18" t="inlineStr">
        <is>
          <t>Ghi trên bản vẽ / Explicit</t>
        </is>
      </c>
      <c r="J103" s="18" t="inlineStr">
        <is>
          <t>Tờ 6
File 4</t>
        </is>
      </c>
      <c r="K103" s="18" t="inlineStr">
        <is>
          <t>Lower nave/porch boundary chain, bay6–7</t>
        </is>
      </c>
      <c r="L103" s="18" t="inlineStr">
        <is>
          <t>1125</t>
        </is>
      </c>
      <c r="M103" s="18" t="inlineStr">
        <is>
          <t>Chain totals4500; central opening2250.</t>
        </is>
      </c>
    </row>
    <row r="104" ht="36" customHeight="1">
      <c r="A104" s="18" t="inlineStr">
        <is>
          <t>P097</t>
        </is>
      </c>
      <c r="B104" s="18" t="inlineStr">
        <is>
          <t>Cửa giữa lòng nhà và hiên phía C
Nave to veranda openings along axis C</t>
        </is>
      </c>
      <c r="C104" s="18" t="inlineStr">
        <is>
          <t>opening_chain_segment</t>
        </is>
      </c>
      <c r="D104" s="18" t="inlineStr">
        <is>
          <t>Model: X
Source: longitudinal
6–7:point1 → 6–7:point2</t>
        </is>
      </c>
      <c r="E104" s="37" t="n">
        <v>2250</v>
      </c>
      <c r="F104" s="25" t="inlineStr">
        <is>
          <t>mm</t>
        </is>
      </c>
      <c r="G104" s="38" t="n">
        <f>IF(COUNTBLANK(E104)&gt;0,"",E104)</f>
        <v>2250</v>
      </c>
      <c r="H104" s="39" t="n">
        <f>IF(COUNTBLANK(G104)&gt;0,"",G104/1000)</f>
        <v>2.25</v>
      </c>
      <c r="I104" s="18" t="inlineStr">
        <is>
          <t>Ghi trên bản vẽ / Explicit</t>
        </is>
      </c>
      <c r="J104" s="18" t="inlineStr">
        <is>
          <t>Tờ 6
File 4</t>
        </is>
      </c>
      <c r="K104" s="18" t="inlineStr">
        <is>
          <t>Lower nave/porch boundary chain, bay6–7</t>
        </is>
      </c>
      <c r="L104" s="18" t="inlineStr">
        <is>
          <t>2250</t>
        </is>
      </c>
      <c r="M104" s="18" t="inlineStr">
        <is>
          <t>Chain totals4500; central opening2250.</t>
        </is>
      </c>
    </row>
    <row r="105" ht="36" customHeight="1">
      <c r="A105" s="18" t="inlineStr">
        <is>
          <t>P098</t>
        </is>
      </c>
      <c r="B105" s="18" t="inlineStr">
        <is>
          <t>Cửa giữa lòng nhà và hiên phía C
Nave to veranda openings along axis C</t>
        </is>
      </c>
      <c r="C105" s="18" t="inlineStr">
        <is>
          <t>opening_chain_segment</t>
        </is>
      </c>
      <c r="D105" s="18" t="inlineStr">
        <is>
          <t>Model: X
Source: longitudinal
6–7:point2 → 6–7:point3</t>
        </is>
      </c>
      <c r="E105" s="37" t="n">
        <v>1125</v>
      </c>
      <c r="F105" s="25" t="inlineStr">
        <is>
          <t>mm</t>
        </is>
      </c>
      <c r="G105" s="38" t="n">
        <f>IF(COUNTBLANK(E105)&gt;0,"",E105)</f>
        <v>1125</v>
      </c>
      <c r="H105" s="39" t="n">
        <f>IF(COUNTBLANK(G105)&gt;0,"",G105/1000)</f>
        <v>1.125</v>
      </c>
      <c r="I105" s="18" t="inlineStr">
        <is>
          <t>Ghi trên bản vẽ / Explicit</t>
        </is>
      </c>
      <c r="J105" s="18" t="inlineStr">
        <is>
          <t>Tờ 6
File 4</t>
        </is>
      </c>
      <c r="K105" s="18" t="inlineStr">
        <is>
          <t>Lower nave/porch boundary chain, bay6–7</t>
        </is>
      </c>
      <c r="L105" s="18" t="inlineStr">
        <is>
          <t>1125</t>
        </is>
      </c>
      <c r="M105" s="18" t="inlineStr">
        <is>
          <t>Chain totals4500; central opening2250.</t>
        </is>
      </c>
    </row>
    <row r="106" ht="36" customHeight="1">
      <c r="A106" s="18" t="inlineStr">
        <is>
          <t>P099</t>
        </is>
      </c>
      <c r="B106" s="18" t="inlineStr">
        <is>
          <t>Cửa giữa lòng nhà và hiên phía C
Nave to veranda openings along axis C</t>
        </is>
      </c>
      <c r="C106" s="18" t="inlineStr">
        <is>
          <t>opening_chain_segment</t>
        </is>
      </c>
      <c r="D106" s="18" t="inlineStr">
        <is>
          <t>Model: X
Source: longitudinal
7–8:point0 → 7–8:point1</t>
        </is>
      </c>
      <c r="E106" s="37" t="n">
        <v>1125</v>
      </c>
      <c r="F106" s="25" t="inlineStr">
        <is>
          <t>mm</t>
        </is>
      </c>
      <c r="G106" s="38" t="n">
        <f>IF(COUNTBLANK(E106)&gt;0,"",E106)</f>
        <v>1125</v>
      </c>
      <c r="H106" s="39" t="n">
        <f>IF(COUNTBLANK(G106)&gt;0,"",G106/1000)</f>
        <v>1.125</v>
      </c>
      <c r="I106" s="18" t="inlineStr">
        <is>
          <t>Ghi trên bản vẽ / Explicit</t>
        </is>
      </c>
      <c r="J106" s="18" t="inlineStr">
        <is>
          <t>Tờ 6
File 4</t>
        </is>
      </c>
      <c r="K106" s="18" t="inlineStr">
        <is>
          <t>Lower nave/porch boundary chain, bay7–8</t>
        </is>
      </c>
      <c r="L106" s="18" t="inlineStr">
        <is>
          <t>1125</t>
        </is>
      </c>
      <c r="M106" s="18" t="inlineStr">
        <is>
          <t>Chain totals4500; central opening2250.</t>
        </is>
      </c>
    </row>
    <row r="107" ht="36" customHeight="1">
      <c r="A107" s="18" t="inlineStr">
        <is>
          <t>P100</t>
        </is>
      </c>
      <c r="B107" s="18" t="inlineStr">
        <is>
          <t>Cửa giữa lòng nhà và hiên phía C
Nave to veranda openings along axis C</t>
        </is>
      </c>
      <c r="C107" s="18" t="inlineStr">
        <is>
          <t>opening_chain_segment</t>
        </is>
      </c>
      <c r="D107" s="18" t="inlineStr">
        <is>
          <t>Model: X
Source: longitudinal
7–8:point1 → 7–8:point2</t>
        </is>
      </c>
      <c r="E107" s="37" t="n">
        <v>2250</v>
      </c>
      <c r="F107" s="25" t="inlineStr">
        <is>
          <t>mm</t>
        </is>
      </c>
      <c r="G107" s="38" t="n">
        <f>IF(COUNTBLANK(E107)&gt;0,"",E107)</f>
        <v>2250</v>
      </c>
      <c r="H107" s="39" t="n">
        <f>IF(COUNTBLANK(G107)&gt;0,"",G107/1000)</f>
        <v>2.25</v>
      </c>
      <c r="I107" s="18" t="inlineStr">
        <is>
          <t>Ghi trên bản vẽ / Explicit</t>
        </is>
      </c>
      <c r="J107" s="18" t="inlineStr">
        <is>
          <t>Tờ 6
File 4</t>
        </is>
      </c>
      <c r="K107" s="18" t="inlineStr">
        <is>
          <t>Lower nave/porch boundary chain, bay7–8</t>
        </is>
      </c>
      <c r="L107" s="18" t="inlineStr">
        <is>
          <t>2250</t>
        </is>
      </c>
      <c r="M107" s="18" t="inlineStr">
        <is>
          <t>Chain totals4500; central opening2250.</t>
        </is>
      </c>
    </row>
    <row r="108" ht="36" customHeight="1">
      <c r="A108" s="18" t="inlineStr">
        <is>
          <t>P101</t>
        </is>
      </c>
      <c r="B108" s="18" t="inlineStr">
        <is>
          <t>Cửa giữa lòng nhà và hiên phía C
Nave to veranda openings along axis C</t>
        </is>
      </c>
      <c r="C108" s="18" t="inlineStr">
        <is>
          <t>opening_chain_segment</t>
        </is>
      </c>
      <c r="D108" s="18" t="inlineStr">
        <is>
          <t>Model: X
Source: longitudinal
7–8:point2 → 7–8:point3</t>
        </is>
      </c>
      <c r="E108" s="37" t="n">
        <v>1125</v>
      </c>
      <c r="F108" s="25" t="inlineStr">
        <is>
          <t>mm</t>
        </is>
      </c>
      <c r="G108" s="38" t="n">
        <f>IF(COUNTBLANK(E108)&gt;0,"",E108)</f>
        <v>1125</v>
      </c>
      <c r="H108" s="39" t="n">
        <f>IF(COUNTBLANK(G108)&gt;0,"",G108/1000)</f>
        <v>1.125</v>
      </c>
      <c r="I108" s="18" t="inlineStr">
        <is>
          <t>Ghi trên bản vẽ / Explicit</t>
        </is>
      </c>
      <c r="J108" s="18" t="inlineStr">
        <is>
          <t>Tờ 6
File 4</t>
        </is>
      </c>
      <c r="K108" s="18" t="inlineStr">
        <is>
          <t>Lower nave/porch boundary chain, bay7–8</t>
        </is>
      </c>
      <c r="L108" s="18" t="inlineStr">
        <is>
          <t>1125</t>
        </is>
      </c>
      <c r="M108" s="18" t="inlineStr">
        <is>
          <t>Chain totals4500; central opening2250.</t>
        </is>
      </c>
    </row>
    <row r="109" ht="36" customHeight="1">
      <c r="A109" s="18" t="inlineStr">
        <is>
          <t>P102</t>
        </is>
      </c>
      <c r="B109" s="18" t="inlineStr">
        <is>
          <t>Cửa giữa lòng nhà và hiên phía C
Nave to veranda openings along axis C</t>
        </is>
      </c>
      <c r="C109" s="18" t="inlineStr">
        <is>
          <t>opening_chain_segment</t>
        </is>
      </c>
      <c r="D109" s="18" t="inlineStr">
        <is>
          <t>Model: X
Source: longitudinal
8–9:point0 → 8–9:point1</t>
        </is>
      </c>
      <c r="E109" s="37" t="n">
        <v>1125</v>
      </c>
      <c r="F109" s="25" t="inlineStr">
        <is>
          <t>mm</t>
        </is>
      </c>
      <c r="G109" s="38" t="n">
        <f>IF(COUNTBLANK(E109)&gt;0,"",E109)</f>
        <v>1125</v>
      </c>
      <c r="H109" s="39" t="n">
        <f>IF(COUNTBLANK(G109)&gt;0,"",G109/1000)</f>
        <v>1.125</v>
      </c>
      <c r="I109" s="18" t="inlineStr">
        <is>
          <t>Ghi trên bản vẽ / Explicit</t>
        </is>
      </c>
      <c r="J109" s="18" t="inlineStr">
        <is>
          <t>Tờ 6
File 4</t>
        </is>
      </c>
      <c r="K109" s="18" t="inlineStr">
        <is>
          <t>Lower nave/porch boundary chain, bay8–9</t>
        </is>
      </c>
      <c r="L109" s="18" t="inlineStr">
        <is>
          <t>1125</t>
        </is>
      </c>
      <c r="M109" s="18" t="inlineStr">
        <is>
          <t>Chain totals4500; central opening2250.</t>
        </is>
      </c>
    </row>
    <row r="110" ht="36" customHeight="1">
      <c r="A110" s="18" t="inlineStr">
        <is>
          <t>P103</t>
        </is>
      </c>
      <c r="B110" s="18" t="inlineStr">
        <is>
          <t>Cửa giữa lòng nhà và hiên phía C
Nave to veranda openings along axis C</t>
        </is>
      </c>
      <c r="C110" s="18" t="inlineStr">
        <is>
          <t>opening_chain_segment</t>
        </is>
      </c>
      <c r="D110" s="18" t="inlineStr">
        <is>
          <t>Model: X
Source: longitudinal
8–9:point1 → 8–9:point2</t>
        </is>
      </c>
      <c r="E110" s="37" t="n">
        <v>2250</v>
      </c>
      <c r="F110" s="25" t="inlineStr">
        <is>
          <t>mm</t>
        </is>
      </c>
      <c r="G110" s="38" t="n">
        <f>IF(COUNTBLANK(E110)&gt;0,"",E110)</f>
        <v>2250</v>
      </c>
      <c r="H110" s="39" t="n">
        <f>IF(COUNTBLANK(G110)&gt;0,"",G110/1000)</f>
        <v>2.25</v>
      </c>
      <c r="I110" s="18" t="inlineStr">
        <is>
          <t>Ghi trên bản vẽ / Explicit</t>
        </is>
      </c>
      <c r="J110" s="18" t="inlineStr">
        <is>
          <t>Tờ 6
File 4</t>
        </is>
      </c>
      <c r="K110" s="18" t="inlineStr">
        <is>
          <t>Lower nave/porch boundary chain, bay8–9</t>
        </is>
      </c>
      <c r="L110" s="18" t="inlineStr">
        <is>
          <t>2250</t>
        </is>
      </c>
      <c r="M110" s="18" t="inlineStr">
        <is>
          <t>Chain totals4500; central opening2250.</t>
        </is>
      </c>
    </row>
    <row r="111" ht="36" customHeight="1">
      <c r="A111" s="18" t="inlineStr">
        <is>
          <t>P104</t>
        </is>
      </c>
      <c r="B111" s="18" t="inlineStr">
        <is>
          <t>Cửa giữa lòng nhà và hiên phía C
Nave to veranda openings along axis C</t>
        </is>
      </c>
      <c r="C111" s="18" t="inlineStr">
        <is>
          <t>opening_chain_segment</t>
        </is>
      </c>
      <c r="D111" s="18" t="inlineStr">
        <is>
          <t>Model: X
Source: longitudinal
8–9:point2 → 8–9:point3</t>
        </is>
      </c>
      <c r="E111" s="37" t="n">
        <v>1125</v>
      </c>
      <c r="F111" s="25" t="inlineStr">
        <is>
          <t>mm</t>
        </is>
      </c>
      <c r="G111" s="38" t="n">
        <f>IF(COUNTBLANK(E111)&gt;0,"",E111)</f>
        <v>1125</v>
      </c>
      <c r="H111" s="39" t="n">
        <f>IF(COUNTBLANK(G111)&gt;0,"",G111/1000)</f>
        <v>1.125</v>
      </c>
      <c r="I111" s="18" t="inlineStr">
        <is>
          <t>Ghi trên bản vẽ / Explicit</t>
        </is>
      </c>
      <c r="J111" s="18" t="inlineStr">
        <is>
          <t>Tờ 6
File 4</t>
        </is>
      </c>
      <c r="K111" s="18" t="inlineStr">
        <is>
          <t>Lower nave/porch boundary chain, bay8–9</t>
        </is>
      </c>
      <c r="L111" s="18" t="inlineStr">
        <is>
          <t>1125</t>
        </is>
      </c>
      <c r="M111" s="18" t="inlineStr">
        <is>
          <t>Chain totals4500; central opening2250.</t>
        </is>
      </c>
    </row>
    <row r="112" ht="36" customHeight="1">
      <c r="A112" s="18" t="inlineStr">
        <is>
          <t>P105</t>
        </is>
      </c>
      <c r="B112" s="18" t="inlineStr">
        <is>
          <t>Cửa giữa lòng nhà và hiên phía C
Nave to veranda openings along axis C</t>
        </is>
      </c>
      <c r="C112" s="18" t="inlineStr">
        <is>
          <t>opening_chain_segment</t>
        </is>
      </c>
      <c r="D112" s="18" t="inlineStr">
        <is>
          <t>Model: X
Source: longitudinal
10–11:point0 → 10–11:point1</t>
        </is>
      </c>
      <c r="E112" s="37" t="n">
        <v>1125</v>
      </c>
      <c r="F112" s="25" t="inlineStr">
        <is>
          <t>mm</t>
        </is>
      </c>
      <c r="G112" s="38" t="n">
        <f>IF(COUNTBLANK(E112)&gt;0,"",E112)</f>
        <v>1125</v>
      </c>
      <c r="H112" s="39" t="n">
        <f>IF(COUNTBLANK(G112)&gt;0,"",G112/1000)</f>
        <v>1.125</v>
      </c>
      <c r="I112" s="18" t="inlineStr">
        <is>
          <t>Ghi trên bản vẽ / Explicit</t>
        </is>
      </c>
      <c r="J112" s="18" t="inlineStr">
        <is>
          <t>Tờ 6
File 4</t>
        </is>
      </c>
      <c r="K112" s="18" t="inlineStr">
        <is>
          <t>Lower nave/porch boundary chain, bay10–11</t>
        </is>
      </c>
      <c r="L112" s="18" t="inlineStr">
        <is>
          <t>1125</t>
        </is>
      </c>
      <c r="M112" s="18" t="inlineStr">
        <is>
          <t>Chain totals4500; central opening2250.</t>
        </is>
      </c>
    </row>
    <row r="113" ht="36" customHeight="1">
      <c r="A113" s="18" t="inlineStr">
        <is>
          <t>P106</t>
        </is>
      </c>
      <c r="B113" s="18" t="inlineStr">
        <is>
          <t>Cửa giữa lòng nhà và hiên phía C
Nave to veranda openings along axis C</t>
        </is>
      </c>
      <c r="C113" s="18" t="inlineStr">
        <is>
          <t>opening_chain_segment</t>
        </is>
      </c>
      <c r="D113" s="18" t="inlineStr">
        <is>
          <t>Model: X
Source: longitudinal
10–11:point1 → 10–11:point2</t>
        </is>
      </c>
      <c r="E113" s="37" t="n">
        <v>2250</v>
      </c>
      <c r="F113" s="25" t="inlineStr">
        <is>
          <t>mm</t>
        </is>
      </c>
      <c r="G113" s="38" t="n">
        <f>IF(COUNTBLANK(E113)&gt;0,"",E113)</f>
        <v>2250</v>
      </c>
      <c r="H113" s="39" t="n">
        <f>IF(COUNTBLANK(G113)&gt;0,"",G113/1000)</f>
        <v>2.25</v>
      </c>
      <c r="I113" s="18" t="inlineStr">
        <is>
          <t>Ghi trên bản vẽ / Explicit</t>
        </is>
      </c>
      <c r="J113" s="18" t="inlineStr">
        <is>
          <t>Tờ 6
File 4</t>
        </is>
      </c>
      <c r="K113" s="18" t="inlineStr">
        <is>
          <t>Lower nave/porch boundary chain, bay10–11</t>
        </is>
      </c>
      <c r="L113" s="18" t="inlineStr">
        <is>
          <t>2250</t>
        </is>
      </c>
      <c r="M113" s="18" t="inlineStr">
        <is>
          <t>Chain totals4500; central opening2250.</t>
        </is>
      </c>
    </row>
    <row r="114" ht="36" customHeight="1">
      <c r="A114" s="18" t="inlineStr">
        <is>
          <t>P107</t>
        </is>
      </c>
      <c r="B114" s="18" t="inlineStr">
        <is>
          <t>Cửa giữa lòng nhà và hiên phía C
Nave to veranda openings along axis C</t>
        </is>
      </c>
      <c r="C114" s="18" t="inlineStr">
        <is>
          <t>opening_chain_segment</t>
        </is>
      </c>
      <c r="D114" s="18" t="inlineStr">
        <is>
          <t>Model: X
Source: longitudinal
10–11:point2 → 10–11:point3</t>
        </is>
      </c>
      <c r="E114" s="37" t="n">
        <v>1125</v>
      </c>
      <c r="F114" s="25" t="inlineStr">
        <is>
          <t>mm</t>
        </is>
      </c>
      <c r="G114" s="38" t="n">
        <f>IF(COUNTBLANK(E114)&gt;0,"",E114)</f>
        <v>1125</v>
      </c>
      <c r="H114" s="39" t="n">
        <f>IF(COUNTBLANK(G114)&gt;0,"",G114/1000)</f>
        <v>1.125</v>
      </c>
      <c r="I114" s="18" t="inlineStr">
        <is>
          <t>Ghi trên bản vẽ / Explicit</t>
        </is>
      </c>
      <c r="J114" s="18" t="inlineStr">
        <is>
          <t>Tờ 6
File 4</t>
        </is>
      </c>
      <c r="K114" s="18" t="inlineStr">
        <is>
          <t>Lower nave/porch boundary chain, bay10–11</t>
        </is>
      </c>
      <c r="L114" s="18" t="inlineStr">
        <is>
          <t>1125</t>
        </is>
      </c>
      <c r="M114" s="18" t="inlineStr">
        <is>
          <t>Chain totals4500; central opening2250.</t>
        </is>
      </c>
    </row>
    <row r="115" ht="36" customHeight="1">
      <c r="A115" s="18" t="inlineStr">
        <is>
          <t>P108</t>
        </is>
      </c>
      <c r="B115" s="18" t="inlineStr">
        <is>
          <t>Cửa phòng sau phía C
Rear side-room opening along axis C</t>
        </is>
      </c>
      <c r="C115" s="18" t="inlineStr">
        <is>
          <t>opening_chain_segment</t>
        </is>
      </c>
      <c r="D115" s="18" t="inlineStr">
        <is>
          <t>Model: X
Source: longitudinal
11–12:point0 → 11–12:point1</t>
        </is>
      </c>
      <c r="E115" s="37" t="n">
        <v>1650</v>
      </c>
      <c r="F115" s="25" t="inlineStr">
        <is>
          <t>mm</t>
        </is>
      </c>
      <c r="G115" s="38" t="n">
        <f>IF(COUNTBLANK(E115)&gt;0,"",E115)</f>
        <v>1650</v>
      </c>
      <c r="H115" s="39" t="n">
        <f>IF(COUNTBLANK(G115)&gt;0,"",G115/1000)</f>
        <v>1.65</v>
      </c>
      <c r="I115" s="18" t="inlineStr">
        <is>
          <t>Ghi trên bản vẽ / Explicit</t>
        </is>
      </c>
      <c r="J115" s="18" t="inlineStr">
        <is>
          <t>Tờ 6
File 4</t>
        </is>
      </c>
      <c r="K115" s="18" t="inlineStr">
        <is>
          <t>Rear lower room/veranda boundary, bay11–12</t>
        </is>
      </c>
      <c r="L115" s="18" t="inlineStr">
        <is>
          <t>1650</t>
        </is>
      </c>
      <c r="M115" s="18" t="inlineStr">
        <is>
          <t>1650+1200+1491=4341; central opening1200.</t>
        </is>
      </c>
    </row>
    <row r="116" ht="36" customHeight="1">
      <c r="A116" s="18" t="inlineStr">
        <is>
          <t>P109</t>
        </is>
      </c>
      <c r="B116" s="18" t="inlineStr">
        <is>
          <t>Cửa phòng sau phía C
Rear side-room opening along axis C</t>
        </is>
      </c>
      <c r="C116" s="18" t="inlineStr">
        <is>
          <t>opening_chain_segment</t>
        </is>
      </c>
      <c r="D116" s="18" t="inlineStr">
        <is>
          <t>Model: X
Source: longitudinal
11–12:point1 → 11–12:point2</t>
        </is>
      </c>
      <c r="E116" s="37" t="n">
        <v>1200</v>
      </c>
      <c r="F116" s="25" t="inlineStr">
        <is>
          <t>mm</t>
        </is>
      </c>
      <c r="G116" s="38" t="n">
        <f>IF(COUNTBLANK(E116)&gt;0,"",E116)</f>
        <v>1200</v>
      </c>
      <c r="H116" s="39" t="n">
        <f>IF(COUNTBLANK(G116)&gt;0,"",G116/1000)</f>
        <v>1.2</v>
      </c>
      <c r="I116" s="18" t="inlineStr">
        <is>
          <t>Ghi trên bản vẽ / Explicit</t>
        </is>
      </c>
      <c r="J116" s="18" t="inlineStr">
        <is>
          <t>Tờ 6
File 4</t>
        </is>
      </c>
      <c r="K116" s="18" t="inlineStr">
        <is>
          <t>Rear lower room/veranda boundary, bay11–12</t>
        </is>
      </c>
      <c r="L116" s="18" t="inlineStr">
        <is>
          <t>1200</t>
        </is>
      </c>
      <c r="M116" s="18" t="inlineStr">
        <is>
          <t>1650+1200+1491=4341; central opening1200.</t>
        </is>
      </c>
    </row>
    <row r="117" ht="36" customHeight="1">
      <c r="A117" s="18" t="inlineStr">
        <is>
          <t>P110</t>
        </is>
      </c>
      <c r="B117" s="18" t="inlineStr">
        <is>
          <t>Cửa phòng sau phía C
Rear side-room opening along axis C</t>
        </is>
      </c>
      <c r="C117" s="18" t="inlineStr">
        <is>
          <t>opening_chain_segment</t>
        </is>
      </c>
      <c r="D117" s="18" t="inlineStr">
        <is>
          <t>Model: X
Source: longitudinal
11–12:point2 → 11–12:point3</t>
        </is>
      </c>
      <c r="E117" s="37" t="n">
        <v>1491</v>
      </c>
      <c r="F117" s="25" t="inlineStr">
        <is>
          <t>mm</t>
        </is>
      </c>
      <c r="G117" s="38" t="n">
        <f>IF(COUNTBLANK(E117)&gt;0,"",E117)</f>
        <v>1491</v>
      </c>
      <c r="H117" s="39" t="n">
        <f>IF(COUNTBLANK(G117)&gt;0,"",G117/1000)</f>
        <v>1.491</v>
      </c>
      <c r="I117" s="18" t="inlineStr">
        <is>
          <t>Ghi trên bản vẽ / Explicit</t>
        </is>
      </c>
      <c r="J117" s="18" t="inlineStr">
        <is>
          <t>Tờ 6
File 4</t>
        </is>
      </c>
      <c r="K117" s="18" t="inlineStr">
        <is>
          <t>Rear lower room/veranda boundary, bay11–12</t>
        </is>
      </c>
      <c r="L117" s="18" t="inlineStr">
        <is>
          <t>1491</t>
        </is>
      </c>
      <c r="M117" s="18" t="inlineStr">
        <is>
          <t>1650+1200+1491=4341; central opening1200.</t>
        </is>
      </c>
    </row>
    <row r="118" ht="36" customHeight="1">
      <c r="A118" s="18" t="inlineStr">
        <is>
          <t>P111</t>
        </is>
      </c>
      <c r="B118" s="18" t="inlineStr">
        <is>
          <t>Cung thánh và phòng sau
Upper sanctuary outer margin</t>
        </is>
      </c>
      <c r="C118" s="18" t="inlineStr">
        <is>
          <t>offset</t>
        </is>
      </c>
      <c r="D118" s="18" t="inlineStr">
        <is>
          <t>Model: Z
Source: transverse
G → upper outer stage edge</t>
        </is>
      </c>
      <c r="E118" s="37" t="n">
        <v>1860</v>
      </c>
      <c r="F118" s="25" t="inlineStr">
        <is>
          <t>mm</t>
        </is>
      </c>
      <c r="G118" s="38" t="n">
        <f>IF(COUNTBLANK(E118)&gt;0,"",E118)</f>
        <v>1860</v>
      </c>
      <c r="H118" s="39" t="n">
        <f>IF(COUNTBLANK(G118)&gt;0,"",G118/1000)</f>
        <v>1.86</v>
      </c>
      <c r="I118" s="18" t="inlineStr">
        <is>
          <t>Ghi trên bản vẽ / Explicit</t>
        </is>
      </c>
      <c r="J118" s="18" t="inlineStr">
        <is>
          <t>Tờ 6
File 4</t>
        </is>
      </c>
      <c r="K118" s="18" t="inlineStr">
        <is>
          <t>Sanctuary upper dimension chain</t>
        </is>
      </c>
      <c r="L118" s="18" t="inlineStr">
        <is>
          <t>1860</t>
        </is>
      </c>
      <c r="M118" s="18" t="str"/>
    </row>
    <row r="119" ht="48" customHeight="1">
      <c r="A119" s="18" t="inlineStr">
        <is>
          <t>P112</t>
        </is>
      </c>
      <c r="B119" s="18" t="inlineStr">
        <is>
          <t>Cung thánh và phòng sau
Upper sanctuary step zone</t>
        </is>
      </c>
      <c r="C119" s="18" t="inlineStr">
        <is>
          <t>step_zone_width</t>
        </is>
      </c>
      <c r="D119" s="18" t="inlineStr">
        <is>
          <t>Model: Z
Source: transverse
upper outer stage edge → upper inner stage edge</t>
        </is>
      </c>
      <c r="E119" s="37" t="n">
        <v>1000</v>
      </c>
      <c r="F119" s="25" t="inlineStr">
        <is>
          <t>mm</t>
        </is>
      </c>
      <c r="G119" s="38" t="n">
        <f>IF(COUNTBLANK(E119)&gt;0,"",E119)</f>
        <v>1000</v>
      </c>
      <c r="H119" s="39" t="n">
        <f>IF(COUNTBLANK(G119)&gt;0,"",G119/1000)</f>
        <v>1</v>
      </c>
      <c r="I119" s="18" t="inlineStr">
        <is>
          <t>Ghi trên bản vẽ / Explicit</t>
        </is>
      </c>
      <c r="J119" s="18" t="inlineStr">
        <is>
          <t>Tờ 6
File 4</t>
        </is>
      </c>
      <c r="K119" s="18" t="inlineStr">
        <is>
          <t>Sanctuary upper chain</t>
        </is>
      </c>
      <c r="L119" s="18" t="inlineStr">
        <is>
          <t>1000</t>
        </is>
      </c>
      <c r="M119" s="18" t="str"/>
    </row>
    <row r="120" ht="36" customHeight="1">
      <c r="A120" s="18" t="inlineStr">
        <is>
          <t>P113</t>
        </is>
      </c>
      <c r="B120" s="18" t="inlineStr">
        <is>
          <t>Cung thánh và phòng sau
Upper sanctuary platform margin</t>
        </is>
      </c>
      <c r="C120" s="18" t="inlineStr">
        <is>
          <t>offset</t>
        </is>
      </c>
      <c r="D120" s="18" t="inlineStr">
        <is>
          <t>Model: Z
Source: transverse
upper inner stage edge → E</t>
        </is>
      </c>
      <c r="E120" s="37" t="n">
        <v>900</v>
      </c>
      <c r="F120" s="25" t="inlineStr">
        <is>
          <t>mm</t>
        </is>
      </c>
      <c r="G120" s="38" t="n">
        <f>IF(COUNTBLANK(E120)&gt;0,"",E120)</f>
        <v>900</v>
      </c>
      <c r="H120" s="39" t="n">
        <f>IF(COUNTBLANK(G120)&gt;0,"",G120/1000)</f>
        <v>0.9</v>
      </c>
      <c r="I120" s="18" t="inlineStr">
        <is>
          <t>Ghi trên bản vẽ / Explicit</t>
        </is>
      </c>
      <c r="J120" s="18" t="inlineStr">
        <is>
          <t>Tờ 6
File 4</t>
        </is>
      </c>
      <c r="K120" s="18" t="inlineStr">
        <is>
          <t>Sanctuary upper chain</t>
        </is>
      </c>
      <c r="L120" s="18" t="inlineStr">
        <is>
          <t>900</t>
        </is>
      </c>
      <c r="M120" s="18" t="str"/>
    </row>
    <row r="121" ht="36" customHeight="1">
      <c r="A121" s="18" t="inlineStr">
        <is>
          <t>P114</t>
        </is>
      </c>
      <c r="B121" s="18" t="inlineStr">
        <is>
          <t>Cung thánh và phòng sau
Sanctuary-front rectangular feature upper side spacing</t>
        </is>
      </c>
      <c r="C121" s="18" t="inlineStr">
        <is>
          <t>spacing</t>
        </is>
      </c>
      <c r="D121" s="18" t="inlineStr">
        <is>
          <t>Model: Z
Source: transverse
E → rectangular feature upper side</t>
        </is>
      </c>
      <c r="E121" s="37" t="n">
        <v>2650</v>
      </c>
      <c r="F121" s="25" t="inlineStr">
        <is>
          <t>mm</t>
        </is>
      </c>
      <c r="G121" s="38" t="n">
        <f>IF(COUNTBLANK(E121)&gt;0,"",E121)</f>
        <v>2650</v>
      </c>
      <c r="H121" s="39" t="n">
        <f>IF(COUNTBLANK(G121)&gt;0,"",G121/1000)</f>
        <v>2.65</v>
      </c>
      <c r="I121" s="18" t="inlineStr">
        <is>
          <t>Ghi trên bản vẽ / Explicit</t>
        </is>
      </c>
      <c r="J121" s="18" t="inlineStr">
        <is>
          <t>Tờ 6
File 4</t>
        </is>
      </c>
      <c r="K121" s="18" t="inlineStr">
        <is>
          <t>Sanctuary center dimension chain</t>
        </is>
      </c>
      <c r="L121" s="18" t="inlineStr">
        <is>
          <t>2650</t>
        </is>
      </c>
      <c r="M121" s="18" t="str"/>
    </row>
    <row r="122" ht="48" customHeight="1">
      <c r="A122" s="18" t="inlineStr">
        <is>
          <t>P115</t>
        </is>
      </c>
      <c r="B122" s="18" t="inlineStr">
        <is>
          <t>Chi tiết chữ nhật trước cung thánh, chưa có nhãn
Unlabeled sanctuary-front rectangular feature</t>
        </is>
      </c>
      <c r="C122" s="18" t="inlineStr">
        <is>
          <t>width</t>
        </is>
      </c>
      <c r="D122" s="18" t="inlineStr">
        <is>
          <t>Model: Z
Source: transverse
rectangular feature upper side → rectangular feature lower side</t>
        </is>
      </c>
      <c r="E122" s="37" t="n">
        <v>1900</v>
      </c>
      <c r="F122" s="25" t="inlineStr">
        <is>
          <t>mm</t>
        </is>
      </c>
      <c r="G122" s="38" t="n">
        <f>IF(COUNTBLANK(E122)&gt;0,"",E122)</f>
        <v>1900</v>
      </c>
      <c r="H122" s="39" t="n">
        <f>IF(COUNTBLANK(G122)&gt;0,"",G122/1000)</f>
        <v>1.9</v>
      </c>
      <c r="I122" s="18" t="inlineStr">
        <is>
          <t>Ghi trên bản vẽ / Explicit</t>
        </is>
      </c>
      <c r="J122" s="18" t="inlineStr">
        <is>
          <t>Tờ 6
File 4</t>
        </is>
      </c>
      <c r="K122" s="18" t="inlineStr">
        <is>
          <t>Sanctuary center dimension chain</t>
        </is>
      </c>
      <c r="L122" s="18" t="inlineStr">
        <is>
          <t>1900</t>
        </is>
      </c>
      <c r="M122" s="18" t="inlineStr">
        <is>
          <t xml:space="preserve"> Dimension is printed, but identity is not labeled; drawn subdivisions may be steps. Do not use as a confirmed altar-table procurement dimension.</t>
        </is>
      </c>
    </row>
    <row r="123" ht="36" customHeight="1">
      <c r="A123" s="18" t="inlineStr">
        <is>
          <t>P116</t>
        </is>
      </c>
      <c r="B123" s="18" t="inlineStr">
        <is>
          <t>Cung thánh và phòng sau
Sanctuary-front rectangular feature lower side spacing</t>
        </is>
      </c>
      <c r="C123" s="18" t="inlineStr">
        <is>
          <t>spacing</t>
        </is>
      </c>
      <c r="D123" s="18" t="inlineStr">
        <is>
          <t>Model: Z
Source: transverse
rectangular feature lower side → D</t>
        </is>
      </c>
      <c r="E123" s="37" t="n">
        <v>2650</v>
      </c>
      <c r="F123" s="25" t="inlineStr">
        <is>
          <t>mm</t>
        </is>
      </c>
      <c r="G123" s="38" t="n">
        <f>IF(COUNTBLANK(E123)&gt;0,"",E123)</f>
        <v>2650</v>
      </c>
      <c r="H123" s="39" t="n">
        <f>IF(COUNTBLANK(G123)&gt;0,"",G123/1000)</f>
        <v>2.65</v>
      </c>
      <c r="I123" s="18" t="inlineStr">
        <is>
          <t>Ghi trên bản vẽ / Explicit</t>
        </is>
      </c>
      <c r="J123" s="18" t="inlineStr">
        <is>
          <t>Tờ 6
File 4</t>
        </is>
      </c>
      <c r="K123" s="18" t="inlineStr">
        <is>
          <t>Sanctuary center dimension chain</t>
        </is>
      </c>
      <c r="L123" s="18" t="inlineStr">
        <is>
          <t>2650</t>
        </is>
      </c>
      <c r="M123" s="18" t="str"/>
    </row>
    <row r="124" ht="36" customHeight="1">
      <c r="A124" s="18" t="inlineStr">
        <is>
          <t>P117</t>
        </is>
      </c>
      <c r="B124" s="18" t="inlineStr">
        <is>
          <t>Cung thánh và phòng sau
Lower sanctuary platform margin</t>
        </is>
      </c>
      <c r="C124" s="18" t="inlineStr">
        <is>
          <t>offset</t>
        </is>
      </c>
      <c r="D124" s="18" t="inlineStr">
        <is>
          <t>Model: Z
Source: transverse
D → lower inner stage edge</t>
        </is>
      </c>
      <c r="E124" s="37" t="n">
        <v>900</v>
      </c>
      <c r="F124" s="25" t="inlineStr">
        <is>
          <t>mm</t>
        </is>
      </c>
      <c r="G124" s="38" t="n">
        <f>IF(COUNTBLANK(E124)&gt;0,"",E124)</f>
        <v>900</v>
      </c>
      <c r="H124" s="39" t="n">
        <f>IF(COUNTBLANK(G124)&gt;0,"",G124/1000)</f>
        <v>0.9</v>
      </c>
      <c r="I124" s="18" t="inlineStr">
        <is>
          <t>Ghi trên bản vẽ / Explicit</t>
        </is>
      </c>
      <c r="J124" s="18" t="inlineStr">
        <is>
          <t>Tờ 6
File 4</t>
        </is>
      </c>
      <c r="K124" s="18" t="inlineStr">
        <is>
          <t>Sanctuary lower chain</t>
        </is>
      </c>
      <c r="L124" s="18" t="inlineStr">
        <is>
          <t>900</t>
        </is>
      </c>
      <c r="M124" s="18" t="str"/>
    </row>
    <row r="125" ht="48" customHeight="1">
      <c r="A125" s="18" t="inlineStr">
        <is>
          <t>P118</t>
        </is>
      </c>
      <c r="B125" s="18" t="inlineStr">
        <is>
          <t>Cung thánh và phòng sau
Lower sanctuary step zone</t>
        </is>
      </c>
      <c r="C125" s="18" t="inlineStr">
        <is>
          <t>step_zone_width</t>
        </is>
      </c>
      <c r="D125" s="18" t="inlineStr">
        <is>
          <t>Model: Z
Source: transverse
lower inner stage edge → lower outer stage edge</t>
        </is>
      </c>
      <c r="E125" s="37" t="n">
        <v>1000</v>
      </c>
      <c r="F125" s="25" t="inlineStr">
        <is>
          <t>mm</t>
        </is>
      </c>
      <c r="G125" s="38" t="n">
        <f>IF(COUNTBLANK(E125)&gt;0,"",E125)</f>
        <v>1000</v>
      </c>
      <c r="H125" s="39" t="n">
        <f>IF(COUNTBLANK(G125)&gt;0,"",G125/1000)</f>
        <v>1</v>
      </c>
      <c r="I125" s="18" t="inlineStr">
        <is>
          <t>Ghi trên bản vẽ / Explicit</t>
        </is>
      </c>
      <c r="J125" s="18" t="inlineStr">
        <is>
          <t>Tờ 6
File 4</t>
        </is>
      </c>
      <c r="K125" s="18" t="inlineStr">
        <is>
          <t>Sanctuary lower chain</t>
        </is>
      </c>
      <c r="L125" s="18" t="inlineStr">
        <is>
          <t>1000</t>
        </is>
      </c>
      <c r="M125" s="18" t="str"/>
    </row>
    <row r="126" ht="36" customHeight="1">
      <c r="A126" s="18" t="inlineStr">
        <is>
          <t>P119</t>
        </is>
      </c>
      <c r="B126" s="18" t="inlineStr">
        <is>
          <t>Cung thánh và phòng sau
Sanctuary outer front step</t>
        </is>
      </c>
      <c r="C126" s="18" t="inlineStr">
        <is>
          <t>front_offset</t>
        </is>
      </c>
      <c r="D126" s="18" t="inlineStr">
        <is>
          <t>Model: X
Source: longitudinal
9 → outer front stage edge</t>
        </is>
      </c>
      <c r="E126" s="37" t="n">
        <v>500</v>
      </c>
      <c r="F126" s="25" t="inlineStr">
        <is>
          <t>mm</t>
        </is>
      </c>
      <c r="G126" s="38" t="n">
        <f>IF(COUNTBLANK(E126)&gt;0,"",E126)</f>
        <v>500</v>
      </c>
      <c r="H126" s="39" t="n">
        <f>IF(COUNTBLANK(G126)&gt;0,"",G126/1000)</f>
        <v>0.5</v>
      </c>
      <c r="I126" s="18" t="inlineStr">
        <is>
          <t>Ghi trên bản vẽ / Explicit</t>
        </is>
      </c>
      <c r="J126" s="18" t="inlineStr">
        <is>
          <t>Tờ 6
File 4</t>
        </is>
      </c>
      <c r="K126" s="18" t="inlineStr">
        <is>
          <t>Front edge of sanctuary, just right of axis9</t>
        </is>
      </c>
      <c r="L126" s="18" t="inlineStr">
        <is>
          <t>500</t>
        </is>
      </c>
      <c r="M126" s="18" t="str"/>
    </row>
    <row r="127" ht="48" customHeight="1">
      <c r="A127" s="18" t="inlineStr">
        <is>
          <t>P120</t>
        </is>
      </c>
      <c r="B127" s="18" t="inlineStr">
        <is>
          <t>Cung thánh và phòng sau
Sanctuary front step zone</t>
        </is>
      </c>
      <c r="C127" s="18" t="inlineStr">
        <is>
          <t>step_zone_depth</t>
        </is>
      </c>
      <c r="D127" s="18" t="inlineStr">
        <is>
          <t>Model: X
Source: longitudinal
outer front stage edge → inner front stage edge</t>
        </is>
      </c>
      <c r="E127" s="37" t="n">
        <v>1000</v>
      </c>
      <c r="F127" s="25" t="inlineStr">
        <is>
          <t>mm</t>
        </is>
      </c>
      <c r="G127" s="38" t="n">
        <f>IF(COUNTBLANK(E127)&gt;0,"",E127)</f>
        <v>1000</v>
      </c>
      <c r="H127" s="39" t="n">
        <f>IF(COUNTBLANK(G127)&gt;0,"",G127/1000)</f>
        <v>1</v>
      </c>
      <c r="I127" s="18" t="inlineStr">
        <is>
          <t>Ghi trên bản vẽ / Explicit</t>
        </is>
      </c>
      <c r="J127" s="18" t="inlineStr">
        <is>
          <t>Tờ 6
File 4</t>
        </is>
      </c>
      <c r="K127" s="18" t="inlineStr">
        <is>
          <t>Front edge of sanctuary, just right of axis9</t>
        </is>
      </c>
      <c r="L127" s="18" t="inlineStr">
        <is>
          <t>1000</t>
        </is>
      </c>
      <c r="M127" s="18" t="str"/>
    </row>
    <row r="128" ht="36" customHeight="1">
      <c r="A128" s="18" t="inlineStr">
        <is>
          <t>P121</t>
        </is>
      </c>
      <c r="B128" s="18" t="inlineStr">
        <is>
          <t>Cung thánh và phòng sau
Sanctuary inner front edge</t>
        </is>
      </c>
      <c r="C128" s="18" t="inlineStr">
        <is>
          <t>front_offset</t>
        </is>
      </c>
      <c r="D128" s="18" t="inlineStr">
        <is>
          <t>Model: X
Source: longitudinal
9 → inner front stage edge</t>
        </is>
      </c>
      <c r="E128" s="37" t="n">
        <v>1500</v>
      </c>
      <c r="F128" s="25" t="inlineStr">
        <is>
          <t>mm</t>
        </is>
      </c>
      <c r="G128" s="38" t="n">
        <f>IF(COUNTBLANK(E128)&gt;0,"",E128)</f>
        <v>1500</v>
      </c>
      <c r="H128" s="39" t="n">
        <f>IF(COUNTBLANK(G128)&gt;0,"",G128/1000)</f>
        <v>1.5</v>
      </c>
      <c r="I128" s="18" t="inlineStr">
        <is>
          <t>Ghi trên bản vẽ / Explicit</t>
        </is>
      </c>
      <c r="J128" s="18" t="inlineStr">
        <is>
          <t>Tờ 6
File 4</t>
        </is>
      </c>
      <c r="K128" s="18" t="inlineStr">
        <is>
          <t>Lower sanctuary horizontal dimension chain</t>
        </is>
      </c>
      <c r="L128" s="18" t="inlineStr">
        <is>
          <t>1500</t>
        </is>
      </c>
      <c r="M128" s="18" t="inlineStr">
        <is>
          <t>500+1000=1500.</t>
        </is>
      </c>
    </row>
    <row r="129" ht="36" customHeight="1">
      <c r="A129" s="18" t="inlineStr">
        <is>
          <t>P122</t>
        </is>
      </c>
      <c r="B129" s="18" t="inlineStr">
        <is>
          <t>Cung thánh và phòng sau
Sanctuary front section</t>
        </is>
      </c>
      <c r="C129" s="18" t="inlineStr">
        <is>
          <t>depth</t>
        </is>
      </c>
      <c r="D129" s="18" t="inlineStr">
        <is>
          <t>Model: X
Source: longitudinal
inner front stage edge → 10</t>
        </is>
      </c>
      <c r="E129" s="37" t="n">
        <v>5700</v>
      </c>
      <c r="F129" s="25" t="inlineStr">
        <is>
          <t>mm</t>
        </is>
      </c>
      <c r="G129" s="38" t="n">
        <f>IF(COUNTBLANK(E129)&gt;0,"",E129)</f>
        <v>5700</v>
      </c>
      <c r="H129" s="39" t="n">
        <f>IF(COUNTBLANK(G129)&gt;0,"",G129/1000)</f>
        <v>5.7</v>
      </c>
      <c r="I129" s="18" t="inlineStr">
        <is>
          <t>Ghi trên bản vẽ / Explicit</t>
        </is>
      </c>
      <c r="J129" s="18" t="inlineStr">
        <is>
          <t>Tờ 6
File 4</t>
        </is>
      </c>
      <c r="K129" s="18" t="inlineStr">
        <is>
          <t>Lower sanctuary horizontal dimension chain</t>
        </is>
      </c>
      <c r="L129" s="18" t="inlineStr">
        <is>
          <t>5700</t>
        </is>
      </c>
      <c r="M129" s="18" t="inlineStr">
        <is>
          <t>1500+5700=7200, the9–10 bay.</t>
        </is>
      </c>
    </row>
    <row r="130" ht="48" customHeight="1">
      <c r="A130" s="18" t="inlineStr">
        <is>
          <t>P123</t>
        </is>
      </c>
      <c r="B130" s="18" t="inlineStr">
        <is>
          <t>Chi tiết chữ nhật trước cung thánh, chưa có nhãn
Unlabeled sanctuary-front rectangular feature</t>
        </is>
      </c>
      <c r="C130" s="18" t="inlineStr">
        <is>
          <t>depth</t>
        </is>
      </c>
      <c r="D130" s="18" t="inlineStr">
        <is>
          <t>Model: X
Source: longitudinal
rectangular feature front side → rectangular feature rear side</t>
        </is>
      </c>
      <c r="E130" s="37" t="n">
        <v>870</v>
      </c>
      <c r="F130" s="25" t="inlineStr">
        <is>
          <t>mm</t>
        </is>
      </c>
      <c r="G130" s="38" t="n">
        <f>IF(COUNTBLANK(E130)&gt;0,"",E130)</f>
        <v>870</v>
      </c>
      <c r="H130" s="39" t="n">
        <f>IF(COUNTBLANK(G130)&gt;0,"",G130/1000)</f>
        <v>0.87</v>
      </c>
      <c r="I130" s="18" t="inlineStr">
        <is>
          <t>Ghi trên bản vẽ / Explicit</t>
        </is>
      </c>
      <c r="J130" s="18" t="inlineStr">
        <is>
          <t>Tờ 6
File 4</t>
        </is>
      </c>
      <c r="K130" s="18" t="inlineStr">
        <is>
          <t>Unidentified sanctuary rectangle, horizontal dimension next to 9</t>
        </is>
      </c>
      <c r="L130" s="18" t="inlineStr">
        <is>
          <t>870</t>
        </is>
      </c>
      <c r="M130" s="18" t="inlineStr">
        <is>
          <t xml:space="preserve"> Dimension is printed, but identity is not labeled; drawn subdivisions may be steps. Do not use as a confirmed altar-table procurement dimension.</t>
        </is>
      </c>
    </row>
    <row r="131" ht="48" customHeight="1">
      <c r="A131" s="18" t="inlineStr">
        <is>
          <t>P124</t>
        </is>
      </c>
      <c r="B131" s="18" t="inlineStr">
        <is>
          <t>Cung thánh và phòng sau
Rear central room front setback upper</t>
        </is>
      </c>
      <c r="C131" s="18" t="inlineStr">
        <is>
          <t>offset</t>
        </is>
      </c>
      <c r="D131" s="18" t="inlineStr">
        <is>
          <t>Model: X
Source: longitudinal
rear partition reference near11 → room front partition face</t>
        </is>
      </c>
      <c r="E131" s="37" t="n">
        <v>1000</v>
      </c>
      <c r="F131" s="25" t="inlineStr">
        <is>
          <t>mm</t>
        </is>
      </c>
      <c r="G131" s="38" t="n">
        <f>IF(COUNTBLANK(E131)&gt;0,"",E131)</f>
        <v>1000</v>
      </c>
      <c r="H131" s="39" t="n">
        <f>IF(COUNTBLANK(G131)&gt;0,"",G131/1000)</f>
        <v>1</v>
      </c>
      <c r="I131" s="18" t="inlineStr">
        <is>
          <t>Ghi trên bản vẽ / Explicit</t>
        </is>
      </c>
      <c r="J131" s="18" t="inlineStr">
        <is>
          <t>Tờ 6
File 4</t>
        </is>
      </c>
      <c r="K131" s="18" t="inlineStr">
        <is>
          <t>Rear central room upper horizontal local dimension</t>
        </is>
      </c>
      <c r="L131" s="18" t="inlineStr">
        <is>
          <t>1000</t>
        </is>
      </c>
      <c r="M131" s="18" t="inlineStr">
        <is>
          <t>Local endpoint should be taken from plan detail; not a wall-thickness specification.</t>
        </is>
      </c>
    </row>
    <row r="132" ht="48" customHeight="1">
      <c r="A132" s="18" t="inlineStr">
        <is>
          <t>P125</t>
        </is>
      </c>
      <c r="B132" s="18" t="inlineStr">
        <is>
          <t>Cung thánh và phòng sau
Rear central room</t>
        </is>
      </c>
      <c r="C132" s="18" t="inlineStr">
        <is>
          <t>clear_depth</t>
        </is>
      </c>
      <c r="D132" s="18" t="inlineStr">
        <is>
          <t>Model: X
Source: longitudinal
room front partition face → rear inside wall face</t>
        </is>
      </c>
      <c r="E132" s="37" t="n">
        <v>3066</v>
      </c>
      <c r="F132" s="25" t="inlineStr">
        <is>
          <t>mm</t>
        </is>
      </c>
      <c r="G132" s="38" t="n">
        <f>IF(COUNTBLANK(E132)&gt;0,"",E132)</f>
        <v>3066</v>
      </c>
      <c r="H132" s="39" t="n">
        <f>IF(COUNTBLANK(G132)&gt;0,"",G132/1000)</f>
        <v>3.066</v>
      </c>
      <c r="I132" s="18" t="inlineStr">
        <is>
          <t>Ghi trên bản vẽ / Explicit</t>
        </is>
      </c>
      <c r="J132" s="18" t="inlineStr">
        <is>
          <t>Tờ 6
File 4</t>
        </is>
      </c>
      <c r="K132" s="18" t="inlineStr">
        <is>
          <t>Rear room upper dimension along axis E</t>
        </is>
      </c>
      <c r="L132" s="18" t="inlineStr">
        <is>
          <t>3066</t>
        </is>
      </c>
      <c r="M132" s="18" t="str"/>
    </row>
    <row r="133" ht="48" customHeight="1">
      <c r="A133" s="18" t="inlineStr">
        <is>
          <t>P126</t>
        </is>
      </c>
      <c r="B133" s="18" t="inlineStr">
        <is>
          <t>Cung thánh và phòng sau
Rear central room front setback lower</t>
        </is>
      </c>
      <c r="C133" s="18" t="inlineStr">
        <is>
          <t>offset</t>
        </is>
      </c>
      <c r="D133" s="18" t="inlineStr">
        <is>
          <t>Model: X
Source: longitudinal
rear partition reference near11 → room front partition face</t>
        </is>
      </c>
      <c r="E133" s="37" t="n">
        <v>1000</v>
      </c>
      <c r="F133" s="25" t="inlineStr">
        <is>
          <t>mm</t>
        </is>
      </c>
      <c r="G133" s="38" t="n">
        <f>IF(COUNTBLANK(E133)&gt;0,"",E133)</f>
        <v>1000</v>
      </c>
      <c r="H133" s="39" t="n">
        <f>IF(COUNTBLANK(G133)&gt;0,"",G133/1000)</f>
        <v>1</v>
      </c>
      <c r="I133" s="18" t="inlineStr">
        <is>
          <t>Ghi trên bản vẽ / Explicit</t>
        </is>
      </c>
      <c r="J133" s="18" t="inlineStr">
        <is>
          <t>Tờ 6
File 4</t>
        </is>
      </c>
      <c r="K133" s="18" t="inlineStr">
        <is>
          <t>Rear central room lower horizontal local dimension</t>
        </is>
      </c>
      <c r="L133" s="18" t="inlineStr">
        <is>
          <t>1000</t>
        </is>
      </c>
      <c r="M133" s="18" t="inlineStr">
        <is>
          <t>Local endpoint should be taken from plan detail; not a wall-thickness specification.</t>
        </is>
      </c>
    </row>
    <row r="134" ht="36" customHeight="1">
      <c r="A134" s="18" t="inlineStr">
        <is>
          <t>P127</t>
        </is>
      </c>
      <c r="B134" s="18" t="inlineStr">
        <is>
          <t>Cung thánh và phòng sau
Lower rear room connecting door</t>
        </is>
      </c>
      <c r="C134" s="18" t="inlineStr">
        <is>
          <t>clear_opening</t>
        </is>
      </c>
      <c r="D134" s="18" t="inlineStr">
        <is>
          <t>Model: Z
Source: transverse
door upper edge → door lower edge</t>
        </is>
      </c>
      <c r="E134" s="37" t="n">
        <v>1200</v>
      </c>
      <c r="F134" s="25" t="inlineStr">
        <is>
          <t>mm</t>
        </is>
      </c>
      <c r="G134" s="38" t="n">
        <f>IF(COUNTBLANK(E134)&gt;0,"",E134)</f>
        <v>1200</v>
      </c>
      <c r="H134" s="39" t="n">
        <f>IF(COUNTBLANK(G134)&gt;0,"",G134/1000)</f>
        <v>1.2</v>
      </c>
      <c r="I134" s="18" t="inlineStr">
        <is>
          <t>Ghi trên bản vẽ / Explicit</t>
        </is>
      </c>
      <c r="J134" s="18" t="inlineStr">
        <is>
          <t>Tờ 6
File 4</t>
        </is>
      </c>
      <c r="K134" s="18" t="inlineStr">
        <is>
          <t>Rear lower room door along11, between C and D</t>
        </is>
      </c>
      <c r="L134" s="18" t="inlineStr">
        <is>
          <t>1200</t>
        </is>
      </c>
      <c r="M134" s="18" t="str"/>
    </row>
    <row r="135" ht="36" customHeight="1">
      <c r="A135" s="18" t="inlineStr">
        <is>
          <t>P128</t>
        </is>
      </c>
      <c r="B135" s="18" t="inlineStr">
        <is>
          <t>Tọa độ trục dọc
Longitudinal axis coordinate</t>
        </is>
      </c>
      <c r="C135" s="18" t="inlineStr">
        <is>
          <t>coordinate</t>
        </is>
      </c>
      <c r="D135" s="18" t="inlineStr">
        <is>
          <t>Model: X
Source: longitudinal
1 → 1</t>
        </is>
      </c>
      <c r="E135" s="37" t="n"/>
      <c r="F135" s="25" t="str"/>
      <c r="G135" s="38" t="n">
        <f>0</f>
        <v>0</v>
      </c>
      <c r="H135" s="39" t="n">
        <f>IF(COUNTBLANK(G135)&gt;0,"",G135/1000)</f>
        <v>0</v>
      </c>
      <c r="I135" s="18" t="inlineStr">
        <is>
          <t>Tính từ bản vẽ / Derived</t>
        </is>
      </c>
      <c r="J135" s="18" t="inlineStr">
        <is>
          <t>Tờ 6
File 4</t>
        </is>
      </c>
      <c r="K135" s="18" t="inlineStr">
        <is>
          <t>Derived from bottom grid chain</t>
        </is>
      </c>
      <c r="L135" s="18" t="str"/>
      <c r="M135" s="18" t="inlineStr">
        <is>
          <t>Positive toward rear. This is a data convention, not a surveyed north/east coordinate.
Calculation: Cumulative sum of printed longitudinal axis spacings; origin axis1=0mm.</t>
        </is>
      </c>
    </row>
    <row r="136" ht="36" customHeight="1">
      <c r="A136" s="18" t="inlineStr">
        <is>
          <t>P129</t>
        </is>
      </c>
      <c r="B136" s="18" t="inlineStr">
        <is>
          <t>Tọa độ trục dọc
Longitudinal axis coordinate</t>
        </is>
      </c>
      <c r="C136" s="18" t="inlineStr">
        <is>
          <t>coordinate</t>
        </is>
      </c>
      <c r="D136" s="18" t="inlineStr">
        <is>
          <t>Model: X
Source: longitudinal
1 → 2</t>
        </is>
      </c>
      <c r="E136" s="37" t="n"/>
      <c r="F136" s="25" t="str"/>
      <c r="G136" s="38" t="n">
        <f>IF(OR(COUNTBLANK('Dimensions'!G135)&gt;0,COUNTBLANK('Dimensions'!G8)&gt;0),"",'Dimensions'!G135+'Dimensions'!G8)</f>
        <v>4900</v>
      </c>
      <c r="H136" s="39" t="n">
        <f>IF(COUNTBLANK(G136)&gt;0,"",G136/1000)</f>
        <v>4.9</v>
      </c>
      <c r="I136" s="18" t="inlineStr">
        <is>
          <t>Tính từ bản vẽ / Derived</t>
        </is>
      </c>
      <c r="J136" s="18" t="inlineStr">
        <is>
          <t>Tờ 6
File 4</t>
        </is>
      </c>
      <c r="K136" s="18" t="inlineStr">
        <is>
          <t>Derived from bottom grid chain</t>
        </is>
      </c>
      <c r="L136" s="18" t="str"/>
      <c r="M136" s="18" t="inlineStr">
        <is>
          <t>Positive toward rear. This is a data convention, not a surveyed north/east coordinate.
Calculation: Cumulative sum of printed longitudinal axis spacings; origin axis1=0mm.</t>
        </is>
      </c>
    </row>
    <row r="137" ht="36" customHeight="1">
      <c r="A137" s="18" t="inlineStr">
        <is>
          <t>P130</t>
        </is>
      </c>
      <c r="B137" s="18" t="inlineStr">
        <is>
          <t>Tọa độ trục dọc
Longitudinal axis coordinate</t>
        </is>
      </c>
      <c r="C137" s="18" t="inlineStr">
        <is>
          <t>coordinate</t>
        </is>
      </c>
      <c r="D137" s="18" t="inlineStr">
        <is>
          <t>Model: X
Source: longitudinal
1 → 2′</t>
        </is>
      </c>
      <c r="E137" s="37" t="n"/>
      <c r="F137" s="25" t="str"/>
      <c r="G137" s="38" t="n">
        <f>IF(OR(COUNTBLANK('Dimensions'!G136)&gt;0,COUNTBLANK('Dimensions'!G9)&gt;0),"",'Dimensions'!G136+'Dimensions'!G9)</f>
        <v>5475</v>
      </c>
      <c r="H137" s="39" t="n">
        <f>IF(COUNTBLANK(G137)&gt;0,"",G137/1000)</f>
        <v>5.475</v>
      </c>
      <c r="I137" s="18" t="inlineStr">
        <is>
          <t>Tính từ bản vẽ / Derived</t>
        </is>
      </c>
      <c r="J137" s="18" t="inlineStr">
        <is>
          <t>Tờ 6
File 4</t>
        </is>
      </c>
      <c r="K137" s="18" t="inlineStr">
        <is>
          <t>Derived from bottom grid chain</t>
        </is>
      </c>
      <c r="L137" s="18" t="str"/>
      <c r="M137" s="18" t="inlineStr">
        <is>
          <t>Positive toward rear. This is a data convention, not a surveyed north/east coordinate.
Calculation: Cumulative sum of printed longitudinal axis spacings; origin axis1=0mm.</t>
        </is>
      </c>
    </row>
    <row r="138" ht="36" customHeight="1">
      <c r="A138" s="18" t="inlineStr">
        <is>
          <t>P131</t>
        </is>
      </c>
      <c r="B138" s="18" t="inlineStr">
        <is>
          <t>Tọa độ trục dọc
Longitudinal axis coordinate</t>
        </is>
      </c>
      <c r="C138" s="18" t="inlineStr">
        <is>
          <t>coordinate</t>
        </is>
      </c>
      <c r="D138" s="18" t="inlineStr">
        <is>
          <t>Model: X
Source: longitudinal
1 → 3</t>
        </is>
      </c>
      <c r="E138" s="37" t="n"/>
      <c r="F138" s="25" t="str"/>
      <c r="G138" s="38" t="n">
        <f>IF(OR(COUNTBLANK('Dimensions'!G137)&gt;0,COUNTBLANK('Dimensions'!G10)&gt;0),"",'Dimensions'!G137+'Dimensions'!G10)</f>
        <v>9975</v>
      </c>
      <c r="H138" s="39" t="n">
        <f>IF(COUNTBLANK(G138)&gt;0,"",G138/1000)</f>
        <v>9.975</v>
      </c>
      <c r="I138" s="18" t="inlineStr">
        <is>
          <t>Tính từ bản vẽ / Derived</t>
        </is>
      </c>
      <c r="J138" s="18" t="inlineStr">
        <is>
          <t>Tờ 6
File 4</t>
        </is>
      </c>
      <c r="K138" s="18" t="inlineStr">
        <is>
          <t>Derived from bottom grid chain</t>
        </is>
      </c>
      <c r="L138" s="18" t="str"/>
      <c r="M138" s="18" t="inlineStr">
        <is>
          <t>Positive toward rear. This is a data convention, not a surveyed north/east coordinate.
Calculation: Cumulative sum of printed longitudinal axis spacings; origin axis1=0mm.</t>
        </is>
      </c>
    </row>
    <row r="139" ht="36" customHeight="1">
      <c r="A139" s="18" t="inlineStr">
        <is>
          <t>P132</t>
        </is>
      </c>
      <c r="B139" s="18" t="inlineStr">
        <is>
          <t>Tọa độ trục dọc
Longitudinal axis coordinate</t>
        </is>
      </c>
      <c r="C139" s="18" t="inlineStr">
        <is>
          <t>coordinate</t>
        </is>
      </c>
      <c r="D139" s="18" t="inlineStr">
        <is>
          <t>Model: X
Source: longitudinal
1 → 4</t>
        </is>
      </c>
      <c r="E139" s="37" t="n"/>
      <c r="F139" s="25" t="str"/>
      <c r="G139" s="38" t="n">
        <f>IF(OR(COUNTBLANK('Dimensions'!G138)&gt;0,COUNTBLANK('Dimensions'!G11)&gt;0),"",'Dimensions'!G138+'Dimensions'!G11)</f>
        <v>14475</v>
      </c>
      <c r="H139" s="39" t="n">
        <f>IF(COUNTBLANK(G139)&gt;0,"",G139/1000)</f>
        <v>14.475</v>
      </c>
      <c r="I139" s="18" t="inlineStr">
        <is>
          <t>Tính từ bản vẽ / Derived</t>
        </is>
      </c>
      <c r="J139" s="18" t="inlineStr">
        <is>
          <t>Tờ 6
File 4</t>
        </is>
      </c>
      <c r="K139" s="18" t="inlineStr">
        <is>
          <t>Derived from bottom grid chain</t>
        </is>
      </c>
      <c r="L139" s="18" t="str"/>
      <c r="M139" s="18" t="inlineStr">
        <is>
          <t>Positive toward rear. This is a data convention, not a surveyed north/east coordinate.
Calculation: Cumulative sum of printed longitudinal axis spacings; origin axis1=0mm.</t>
        </is>
      </c>
    </row>
    <row r="140" ht="36" customHeight="1">
      <c r="A140" s="18" t="inlineStr">
        <is>
          <t>P133</t>
        </is>
      </c>
      <c r="B140" s="18" t="inlineStr">
        <is>
          <t>Tọa độ trục dọc
Longitudinal axis coordinate</t>
        </is>
      </c>
      <c r="C140" s="18" t="inlineStr">
        <is>
          <t>coordinate</t>
        </is>
      </c>
      <c r="D140" s="18" t="inlineStr">
        <is>
          <t>Model: X
Source: longitudinal
1 → 5</t>
        </is>
      </c>
      <c r="E140" s="37" t="n"/>
      <c r="F140" s="25" t="str"/>
      <c r="G140" s="38" t="n">
        <f>IF(OR(COUNTBLANK('Dimensions'!G139)&gt;0,COUNTBLANK('Dimensions'!G12)&gt;0),"",'Dimensions'!G139+'Dimensions'!G12)</f>
        <v>18975</v>
      </c>
      <c r="H140" s="39" t="n">
        <f>IF(COUNTBLANK(G140)&gt;0,"",G140/1000)</f>
        <v>18.975</v>
      </c>
      <c r="I140" s="18" t="inlineStr">
        <is>
          <t>Tính từ bản vẽ / Derived</t>
        </is>
      </c>
      <c r="J140" s="18" t="inlineStr">
        <is>
          <t>Tờ 6
File 4</t>
        </is>
      </c>
      <c r="K140" s="18" t="inlineStr">
        <is>
          <t>Derived from bottom grid chain</t>
        </is>
      </c>
      <c r="L140" s="18" t="str"/>
      <c r="M140" s="18" t="inlineStr">
        <is>
          <t>Positive toward rear. This is a data convention, not a surveyed north/east coordinate.
Calculation: Cumulative sum of printed longitudinal axis spacings; origin axis1=0mm.</t>
        </is>
      </c>
    </row>
    <row r="141" ht="36" customHeight="1">
      <c r="A141" s="18" t="inlineStr">
        <is>
          <t>P134</t>
        </is>
      </c>
      <c r="B141" s="18" t="inlineStr">
        <is>
          <t>Tọa độ trục dọc
Longitudinal axis coordinate</t>
        </is>
      </c>
      <c r="C141" s="18" t="inlineStr">
        <is>
          <t>coordinate</t>
        </is>
      </c>
      <c r="D141" s="18" t="inlineStr">
        <is>
          <t>Model: X
Source: longitudinal
1 → 6</t>
        </is>
      </c>
      <c r="E141" s="37" t="n"/>
      <c r="F141" s="25" t="str"/>
      <c r="G141" s="38" t="n">
        <f>IF(OR(COUNTBLANK('Dimensions'!G140)&gt;0,COUNTBLANK('Dimensions'!G13)&gt;0),"",'Dimensions'!G140+'Dimensions'!G13)</f>
        <v>23475</v>
      </c>
      <c r="H141" s="39" t="n">
        <f>IF(COUNTBLANK(G141)&gt;0,"",G141/1000)</f>
        <v>23.475</v>
      </c>
      <c r="I141" s="18" t="inlineStr">
        <is>
          <t>Tính từ bản vẽ / Derived</t>
        </is>
      </c>
      <c r="J141" s="18" t="inlineStr">
        <is>
          <t>Tờ 6
File 4</t>
        </is>
      </c>
      <c r="K141" s="18" t="inlineStr">
        <is>
          <t>Derived from bottom grid chain</t>
        </is>
      </c>
      <c r="L141" s="18" t="str"/>
      <c r="M141" s="18" t="inlineStr">
        <is>
          <t>Positive toward rear. This is a data convention, not a surveyed north/east coordinate.
Calculation: Cumulative sum of printed longitudinal axis spacings; origin axis1=0mm.</t>
        </is>
      </c>
    </row>
    <row r="142" ht="36" customHeight="1">
      <c r="A142" s="18" t="inlineStr">
        <is>
          <t>P135</t>
        </is>
      </c>
      <c r="B142" s="18" t="inlineStr">
        <is>
          <t>Tọa độ trục dọc
Longitudinal axis coordinate</t>
        </is>
      </c>
      <c r="C142" s="18" t="inlineStr">
        <is>
          <t>coordinate</t>
        </is>
      </c>
      <c r="D142" s="18" t="inlineStr">
        <is>
          <t>Model: X
Source: longitudinal
1 → 7</t>
        </is>
      </c>
      <c r="E142" s="37" t="n"/>
      <c r="F142" s="25" t="str"/>
      <c r="G142" s="38" t="n">
        <f>IF(OR(COUNTBLANK('Dimensions'!G141)&gt;0,COUNTBLANK('Dimensions'!G14)&gt;0),"",'Dimensions'!G141+'Dimensions'!G14)</f>
        <v>27975</v>
      </c>
      <c r="H142" s="39" t="n">
        <f>IF(COUNTBLANK(G142)&gt;0,"",G142/1000)</f>
        <v>27.975</v>
      </c>
      <c r="I142" s="18" t="inlineStr">
        <is>
          <t>Tính từ bản vẽ / Derived</t>
        </is>
      </c>
      <c r="J142" s="18" t="inlineStr">
        <is>
          <t>Tờ 6
File 4</t>
        </is>
      </c>
      <c r="K142" s="18" t="inlineStr">
        <is>
          <t>Derived from bottom grid chain</t>
        </is>
      </c>
      <c r="L142" s="18" t="str"/>
      <c r="M142" s="18" t="inlineStr">
        <is>
          <t>Positive toward rear. This is a data convention, not a surveyed north/east coordinate.
Calculation: Cumulative sum of printed longitudinal axis spacings; origin axis1=0mm.</t>
        </is>
      </c>
    </row>
    <row r="143" ht="36" customHeight="1">
      <c r="A143" s="18" t="inlineStr">
        <is>
          <t>P136</t>
        </is>
      </c>
      <c r="B143" s="18" t="inlineStr">
        <is>
          <t>Tọa độ trục dọc
Longitudinal axis coordinate</t>
        </is>
      </c>
      <c r="C143" s="18" t="inlineStr">
        <is>
          <t>coordinate</t>
        </is>
      </c>
      <c r="D143" s="18" t="inlineStr">
        <is>
          <t>Model: X
Source: longitudinal
1 → 8</t>
        </is>
      </c>
      <c r="E143" s="37" t="n"/>
      <c r="F143" s="25" t="str"/>
      <c r="G143" s="38" t="n">
        <f>IF(OR(COUNTBLANK('Dimensions'!G142)&gt;0,COUNTBLANK('Dimensions'!G15)&gt;0),"",'Dimensions'!G142+'Dimensions'!G15)</f>
        <v>32475</v>
      </c>
      <c r="H143" s="39" t="n">
        <f>IF(COUNTBLANK(G143)&gt;0,"",G143/1000)</f>
        <v>32.475</v>
      </c>
      <c r="I143" s="18" t="inlineStr">
        <is>
          <t>Tính từ bản vẽ / Derived</t>
        </is>
      </c>
      <c r="J143" s="18" t="inlineStr">
        <is>
          <t>Tờ 6
File 4</t>
        </is>
      </c>
      <c r="K143" s="18" t="inlineStr">
        <is>
          <t>Derived from bottom grid chain</t>
        </is>
      </c>
      <c r="L143" s="18" t="str"/>
      <c r="M143" s="18" t="inlineStr">
        <is>
          <t>Positive toward rear. This is a data convention, not a surveyed north/east coordinate.
Calculation: Cumulative sum of printed longitudinal axis spacings; origin axis1=0mm.</t>
        </is>
      </c>
    </row>
    <row r="144" ht="36" customHeight="1">
      <c r="A144" s="18" t="inlineStr">
        <is>
          <t>P137</t>
        </is>
      </c>
      <c r="B144" s="18" t="inlineStr">
        <is>
          <t>Tọa độ trục dọc
Longitudinal axis coordinate</t>
        </is>
      </c>
      <c r="C144" s="18" t="inlineStr">
        <is>
          <t>coordinate</t>
        </is>
      </c>
      <c r="D144" s="18" t="inlineStr">
        <is>
          <t>Model: X
Source: longitudinal
1 → 9</t>
        </is>
      </c>
      <c r="E144" s="37" t="n"/>
      <c r="F144" s="25" t="str"/>
      <c r="G144" s="38" t="n">
        <f>IF(OR(COUNTBLANK('Dimensions'!G143)&gt;0,COUNTBLANK('Dimensions'!G16)&gt;0),"",'Dimensions'!G143+'Dimensions'!G16)</f>
        <v>36975</v>
      </c>
      <c r="H144" s="39" t="n">
        <f>IF(COUNTBLANK(G144)&gt;0,"",G144/1000)</f>
        <v>36.975</v>
      </c>
      <c r="I144" s="18" t="inlineStr">
        <is>
          <t>Tính từ bản vẽ / Derived</t>
        </is>
      </c>
      <c r="J144" s="18" t="inlineStr">
        <is>
          <t>Tờ 6
File 4</t>
        </is>
      </c>
      <c r="K144" s="18" t="inlineStr">
        <is>
          <t>Derived from bottom grid chain</t>
        </is>
      </c>
      <c r="L144" s="18" t="str"/>
      <c r="M144" s="18" t="inlineStr">
        <is>
          <t>Positive toward rear. This is a data convention, not a surveyed north/east coordinate.
Calculation: Cumulative sum of printed longitudinal axis spacings; origin axis1=0mm.</t>
        </is>
      </c>
    </row>
    <row r="145" ht="36" customHeight="1">
      <c r="A145" s="18" t="inlineStr">
        <is>
          <t>P138</t>
        </is>
      </c>
      <c r="B145" s="18" t="inlineStr">
        <is>
          <t>Tọa độ trục dọc
Longitudinal axis coordinate</t>
        </is>
      </c>
      <c r="C145" s="18" t="inlineStr">
        <is>
          <t>coordinate</t>
        </is>
      </c>
      <c r="D145" s="18" t="inlineStr">
        <is>
          <t>Model: X
Source: longitudinal
1 → 10</t>
        </is>
      </c>
      <c r="E145" s="37" t="n"/>
      <c r="F145" s="25" t="str"/>
      <c r="G145" s="38" t="n">
        <f>IF(OR(COUNTBLANK('Dimensions'!G144)&gt;0,COUNTBLANK('Dimensions'!G17)&gt;0),"",'Dimensions'!G144+'Dimensions'!G17)</f>
        <v>44175</v>
      </c>
      <c r="H145" s="39" t="n">
        <f>IF(COUNTBLANK(G145)&gt;0,"",G145/1000)</f>
        <v>44.175</v>
      </c>
      <c r="I145" s="18" t="inlineStr">
        <is>
          <t>Tính từ bản vẽ / Derived</t>
        </is>
      </c>
      <c r="J145" s="18" t="inlineStr">
        <is>
          <t>Tờ 6
File 4</t>
        </is>
      </c>
      <c r="K145" s="18" t="inlineStr">
        <is>
          <t>Derived from bottom grid chain</t>
        </is>
      </c>
      <c r="L145" s="18" t="str"/>
      <c r="M145" s="18" t="inlineStr">
        <is>
          <t>Positive toward rear. This is a data convention, not a surveyed north/east coordinate.
Calculation: Cumulative sum of printed longitudinal axis spacings; origin axis1=0mm.</t>
        </is>
      </c>
    </row>
    <row r="146" ht="36" customHeight="1">
      <c r="A146" s="18" t="inlineStr">
        <is>
          <t>P139</t>
        </is>
      </c>
      <c r="B146" s="18" t="inlineStr">
        <is>
          <t>Tọa độ trục dọc
Longitudinal axis coordinate</t>
        </is>
      </c>
      <c r="C146" s="18" t="inlineStr">
        <is>
          <t>coordinate</t>
        </is>
      </c>
      <c r="D146" s="18" t="inlineStr">
        <is>
          <t>Model: X
Source: longitudinal
1 → 11</t>
        </is>
      </c>
      <c r="E146" s="37" t="n"/>
      <c r="F146" s="25" t="str"/>
      <c r="G146" s="38" t="n">
        <f>IF(OR(COUNTBLANK('Dimensions'!G145)&gt;0,COUNTBLANK('Dimensions'!G18)&gt;0),"",'Dimensions'!G145+'Dimensions'!G18)</f>
        <v>48675</v>
      </c>
      <c r="H146" s="39" t="n">
        <f>IF(COUNTBLANK(G146)&gt;0,"",G146/1000)</f>
        <v>48.675</v>
      </c>
      <c r="I146" s="18" t="inlineStr">
        <is>
          <t>Tính từ bản vẽ / Derived</t>
        </is>
      </c>
      <c r="J146" s="18" t="inlineStr">
        <is>
          <t>Tờ 6
File 4</t>
        </is>
      </c>
      <c r="K146" s="18" t="inlineStr">
        <is>
          <t>Derived from bottom grid chain</t>
        </is>
      </c>
      <c r="L146" s="18" t="str"/>
      <c r="M146" s="18" t="inlineStr">
        <is>
          <t>Positive toward rear. This is a data convention, not a surveyed north/east coordinate.
Calculation: Cumulative sum of printed longitudinal axis spacings; origin axis1=0mm.</t>
        </is>
      </c>
    </row>
    <row r="147" ht="36" customHeight="1">
      <c r="A147" s="18" t="inlineStr">
        <is>
          <t>P140</t>
        </is>
      </c>
      <c r="B147" s="18" t="inlineStr">
        <is>
          <t>Tọa độ trục dọc
Longitudinal axis coordinate</t>
        </is>
      </c>
      <c r="C147" s="18" t="inlineStr">
        <is>
          <t>coordinate</t>
        </is>
      </c>
      <c r="D147" s="18" t="inlineStr">
        <is>
          <t>Model: X
Source: longitudinal
1 → 12</t>
        </is>
      </c>
      <c r="E147" s="37" t="n"/>
      <c r="F147" s="25" t="str"/>
      <c r="G147" s="38" t="n">
        <f>IF(OR(COUNTBLANK('Dimensions'!G146)&gt;0,COUNTBLANK('Dimensions'!G19)&gt;0),"",'Dimensions'!G146+'Dimensions'!G19)</f>
        <v>53016</v>
      </c>
      <c r="H147" s="39" t="n">
        <f>IF(COUNTBLANK(G147)&gt;0,"",G147/1000)</f>
        <v>53.016</v>
      </c>
      <c r="I147" s="18" t="inlineStr">
        <is>
          <t>Tính từ bản vẽ / Derived</t>
        </is>
      </c>
      <c r="J147" s="18" t="inlineStr">
        <is>
          <t>Tờ 6
File 4</t>
        </is>
      </c>
      <c r="K147" s="18" t="inlineStr">
        <is>
          <t>Derived from bottom grid chain</t>
        </is>
      </c>
      <c r="L147" s="18" t="str"/>
      <c r="M147" s="18" t="inlineStr">
        <is>
          <t>Positive toward rear. This is a data convention, not a surveyed north/east coordinate.
Calculation: Cumulative sum of printed longitudinal axis spacings; origin axis1=0mm.</t>
        </is>
      </c>
    </row>
    <row r="148" ht="36" customHeight="1">
      <c r="A148" s="18" t="inlineStr">
        <is>
          <t>P141</t>
        </is>
      </c>
      <c r="B148" s="18" t="inlineStr">
        <is>
          <t>Tọa độ trục ngang
Transverse axis coordinate</t>
        </is>
      </c>
      <c r="C148" s="18" t="inlineStr">
        <is>
          <t>coordinate</t>
        </is>
      </c>
      <c r="D148" s="18" t="inlineStr">
        <is>
          <t>Model: Z
Source: transverse
A → A</t>
        </is>
      </c>
      <c r="E148" s="37" t="n"/>
      <c r="F148" s="25" t="str"/>
      <c r="G148" s="38" t="n">
        <f>0</f>
        <v>0</v>
      </c>
      <c r="H148" s="39" t="n">
        <f>IF(COUNTBLANK(G148)&gt;0,"",G148/1000)</f>
        <v>0</v>
      </c>
      <c r="I148" s="18" t="inlineStr">
        <is>
          <t>Tính từ bản vẽ / Derived</t>
        </is>
      </c>
      <c r="J148" s="18" t="inlineStr">
        <is>
          <t>Tờ 6
File 4</t>
        </is>
      </c>
      <c r="K148" s="18" t="inlineStr">
        <is>
          <t>Derived from transverse grid chain</t>
        </is>
      </c>
      <c r="L148" s="18" t="str"/>
      <c r="M148" s="18" t="inlineStr">
        <is>
          <t>Positive toward I. No axis F occurs in these sheets.
Calculation: Cumulative sum of printed transverse axis spacings; origin axisA=0mm.</t>
        </is>
      </c>
    </row>
    <row r="149" ht="36" customHeight="1">
      <c r="A149" s="18" t="inlineStr">
        <is>
          <t>P142</t>
        </is>
      </c>
      <c r="B149" s="18" t="inlineStr">
        <is>
          <t>Tọa độ trục ngang
Transverse axis coordinate</t>
        </is>
      </c>
      <c r="C149" s="18" t="inlineStr">
        <is>
          <t>coordinate</t>
        </is>
      </c>
      <c r="D149" s="18" t="inlineStr">
        <is>
          <t>Model: Z
Source: transverse
A → B</t>
        </is>
      </c>
      <c r="E149" s="37" t="n"/>
      <c r="F149" s="25" t="str"/>
      <c r="G149" s="38" t="n">
        <f>IF(OR(COUNTBLANK('Dimensions'!G148)&gt;0,COUNTBLANK('Dimensions'!G20)&gt;0),"",'Dimensions'!G148+'Dimensions'!G20)</f>
        <v>2835</v>
      </c>
      <c r="H149" s="39" t="n">
        <f>IF(COUNTBLANK(G149)&gt;0,"",G149/1000)</f>
        <v>2.835</v>
      </c>
      <c r="I149" s="18" t="inlineStr">
        <is>
          <t>Tính từ bản vẽ / Derived</t>
        </is>
      </c>
      <c r="J149" s="18" t="inlineStr">
        <is>
          <t>Tờ 6
File 4</t>
        </is>
      </c>
      <c r="K149" s="18" t="inlineStr">
        <is>
          <t>Derived from transverse grid chain</t>
        </is>
      </c>
      <c r="L149" s="18" t="str"/>
      <c r="M149" s="18" t="inlineStr">
        <is>
          <t>Positive toward I. No axis F occurs in these sheets.
Calculation: Cumulative sum of printed transverse axis spacings; origin axisA=0mm.</t>
        </is>
      </c>
    </row>
    <row r="150" ht="36" customHeight="1">
      <c r="A150" s="18" t="inlineStr">
        <is>
          <t>P143</t>
        </is>
      </c>
      <c r="B150" s="18" t="inlineStr">
        <is>
          <t>Tọa độ trục ngang
Transverse axis coordinate</t>
        </is>
      </c>
      <c r="C150" s="18" t="inlineStr">
        <is>
          <t>coordinate</t>
        </is>
      </c>
      <c r="D150" s="18" t="inlineStr">
        <is>
          <t>Model: Z
Source: transverse
A → C</t>
        </is>
      </c>
      <c r="E150" s="37" t="n"/>
      <c r="F150" s="25" t="str"/>
      <c r="G150" s="38" t="n">
        <f>IF(OR(COUNTBLANK('Dimensions'!G149)&gt;0,COUNTBLANK('Dimensions'!G21)&gt;0),"",'Dimensions'!G149+'Dimensions'!G21)</f>
        <v>5889</v>
      </c>
      <c r="H150" s="39" t="n">
        <f>IF(COUNTBLANK(G150)&gt;0,"",G150/1000)</f>
        <v>5.889</v>
      </c>
      <c r="I150" s="18" t="inlineStr">
        <is>
          <t>Tính từ bản vẽ / Derived</t>
        </is>
      </c>
      <c r="J150" s="18" t="inlineStr">
        <is>
          <t>Tờ 6
File 4</t>
        </is>
      </c>
      <c r="K150" s="18" t="inlineStr">
        <is>
          <t>Derived from transverse grid chain</t>
        </is>
      </c>
      <c r="L150" s="18" t="str"/>
      <c r="M150" s="18" t="inlineStr">
        <is>
          <t>Positive toward I. No axis F occurs in these sheets.
Calculation: Cumulative sum of printed transverse axis spacings; origin axisA=0mm.</t>
        </is>
      </c>
    </row>
    <row r="151" ht="36" customHeight="1">
      <c r="A151" s="18" t="inlineStr">
        <is>
          <t>P144</t>
        </is>
      </c>
      <c r="B151" s="18" t="inlineStr">
        <is>
          <t>Tọa độ trục ngang
Transverse axis coordinate</t>
        </is>
      </c>
      <c r="C151" s="18" t="inlineStr">
        <is>
          <t>coordinate</t>
        </is>
      </c>
      <c r="D151" s="18" t="inlineStr">
        <is>
          <t>Model: Z
Source: transverse
A → D</t>
        </is>
      </c>
      <c r="E151" s="37" t="n"/>
      <c r="F151" s="25" t="str"/>
      <c r="G151" s="38" t="n">
        <f>IF(OR(COUNTBLANK('Dimensions'!G150)&gt;0,COUNTBLANK('Dimensions'!G22)&gt;0),"",'Dimensions'!G150+'Dimensions'!G22)</f>
        <v>9649</v>
      </c>
      <c r="H151" s="39" t="n">
        <f>IF(COUNTBLANK(G151)&gt;0,"",G151/1000)</f>
        <v>9.649</v>
      </c>
      <c r="I151" s="18" t="inlineStr">
        <is>
          <t>Tính từ bản vẽ / Derived</t>
        </is>
      </c>
      <c r="J151" s="18" t="inlineStr">
        <is>
          <t>Tờ 6
File 4</t>
        </is>
      </c>
      <c r="K151" s="18" t="inlineStr">
        <is>
          <t>Derived from transverse grid chain</t>
        </is>
      </c>
      <c r="L151" s="18" t="str"/>
      <c r="M151" s="18" t="inlineStr">
        <is>
          <t>Positive toward I. No axis F occurs in these sheets.
Calculation: Cumulative sum of printed transverse axis spacings; origin axisA=0mm.</t>
        </is>
      </c>
    </row>
    <row r="152" ht="36" customHeight="1">
      <c r="A152" s="18" t="inlineStr">
        <is>
          <t>P145</t>
        </is>
      </c>
      <c r="B152" s="18" t="inlineStr">
        <is>
          <t>Tọa độ trục ngang
Transverse axis coordinate</t>
        </is>
      </c>
      <c r="C152" s="18" t="inlineStr">
        <is>
          <t>coordinate</t>
        </is>
      </c>
      <c r="D152" s="18" t="inlineStr">
        <is>
          <t>Model: Z
Source: transverse
A → E</t>
        </is>
      </c>
      <c r="E152" s="37" t="n"/>
      <c r="F152" s="25" t="str"/>
      <c r="G152" s="38" t="n">
        <f>IF(OR(COUNTBLANK('Dimensions'!G151)&gt;0,COUNTBLANK('Dimensions'!G23)&gt;0),"",'Dimensions'!G151+'Dimensions'!G23)</f>
        <v>16849</v>
      </c>
      <c r="H152" s="39" t="n">
        <f>IF(COUNTBLANK(G152)&gt;0,"",G152/1000)</f>
        <v>16.849</v>
      </c>
      <c r="I152" s="18" t="inlineStr">
        <is>
          <t>Tính từ bản vẽ / Derived</t>
        </is>
      </c>
      <c r="J152" s="18" t="inlineStr">
        <is>
          <t>Tờ 6
File 4</t>
        </is>
      </c>
      <c r="K152" s="18" t="inlineStr">
        <is>
          <t>Derived from transverse grid chain</t>
        </is>
      </c>
      <c r="L152" s="18" t="str"/>
      <c r="M152" s="18" t="inlineStr">
        <is>
          <t>Positive toward I. No axis F occurs in these sheets.
Calculation: Cumulative sum of printed transverse axis spacings; origin axisA=0mm.</t>
        </is>
      </c>
    </row>
    <row r="153" ht="36" customHeight="1">
      <c r="A153" s="18" t="inlineStr">
        <is>
          <t>P146</t>
        </is>
      </c>
      <c r="B153" s="18" t="inlineStr">
        <is>
          <t>Tọa độ trục ngang
Transverse axis coordinate</t>
        </is>
      </c>
      <c r="C153" s="18" t="inlineStr">
        <is>
          <t>coordinate</t>
        </is>
      </c>
      <c r="D153" s="18" t="inlineStr">
        <is>
          <t>Model: Z
Source: transverse
A → G</t>
        </is>
      </c>
      <c r="E153" s="37" t="n"/>
      <c r="F153" s="25" t="str"/>
      <c r="G153" s="38" t="n">
        <f>IF(OR(COUNTBLANK('Dimensions'!G152)&gt;0,COUNTBLANK('Dimensions'!G24)&gt;0),"",'Dimensions'!G152+'Dimensions'!G24)</f>
        <v>20609</v>
      </c>
      <c r="H153" s="39" t="n">
        <f>IF(COUNTBLANK(G153)&gt;0,"",G153/1000)</f>
        <v>20.609</v>
      </c>
      <c r="I153" s="18" t="inlineStr">
        <is>
          <t>Tính từ bản vẽ / Derived</t>
        </is>
      </c>
      <c r="J153" s="18" t="inlineStr">
        <is>
          <t>Tờ 6
File 4</t>
        </is>
      </c>
      <c r="K153" s="18" t="inlineStr">
        <is>
          <t>Derived from transverse grid chain</t>
        </is>
      </c>
      <c r="L153" s="18" t="str"/>
      <c r="M153" s="18" t="inlineStr">
        <is>
          <t>Positive toward I. No axis F occurs in these sheets.
Calculation: Cumulative sum of printed transverse axis spacings; origin axisA=0mm.</t>
        </is>
      </c>
    </row>
    <row r="154" ht="36" customHeight="1">
      <c r="A154" s="18" t="inlineStr">
        <is>
          <t>P147</t>
        </is>
      </c>
      <c r="B154" s="18" t="inlineStr">
        <is>
          <t>Tọa độ trục ngang
Transverse axis coordinate</t>
        </is>
      </c>
      <c r="C154" s="18" t="inlineStr">
        <is>
          <t>coordinate</t>
        </is>
      </c>
      <c r="D154" s="18" t="inlineStr">
        <is>
          <t>Model: Z
Source: transverse
A → H</t>
        </is>
      </c>
      <c r="E154" s="37" t="n"/>
      <c r="F154" s="25" t="str"/>
      <c r="G154" s="38" t="n">
        <f>IF(OR(COUNTBLANK('Dimensions'!G153)&gt;0,COUNTBLANK('Dimensions'!G25)&gt;0),"",'Dimensions'!G153+'Dimensions'!G25)</f>
        <v>23663</v>
      </c>
      <c r="H154" s="39" t="n">
        <f>IF(COUNTBLANK(G154)&gt;0,"",G154/1000)</f>
        <v>23.663</v>
      </c>
      <c r="I154" s="18" t="inlineStr">
        <is>
          <t>Tính từ bản vẽ / Derived</t>
        </is>
      </c>
      <c r="J154" s="18" t="inlineStr">
        <is>
          <t>Tờ 6
File 4</t>
        </is>
      </c>
      <c r="K154" s="18" t="inlineStr">
        <is>
          <t>Derived from transverse grid chain</t>
        </is>
      </c>
      <c r="L154" s="18" t="str"/>
      <c r="M154" s="18" t="inlineStr">
        <is>
          <t>Positive toward I. No axis F occurs in these sheets.
Calculation: Cumulative sum of printed transverse axis spacings; origin axisA=0mm.</t>
        </is>
      </c>
    </row>
    <row r="155" ht="36" customHeight="1">
      <c r="A155" s="18" t="inlineStr">
        <is>
          <t>P148</t>
        </is>
      </c>
      <c r="B155" s="18" t="inlineStr">
        <is>
          <t>Tọa độ trục ngang
Transverse axis coordinate</t>
        </is>
      </c>
      <c r="C155" s="18" t="inlineStr">
        <is>
          <t>coordinate</t>
        </is>
      </c>
      <c r="D155" s="18" t="inlineStr">
        <is>
          <t>Model: Z
Source: transverse
A → I</t>
        </is>
      </c>
      <c r="E155" s="37" t="n"/>
      <c r="F155" s="25" t="str"/>
      <c r="G155" s="38" t="n">
        <f>IF(OR(COUNTBLANK('Dimensions'!G154)&gt;0,COUNTBLANK('Dimensions'!G26)&gt;0),"",'Dimensions'!G154+'Dimensions'!G26)</f>
        <v>26498</v>
      </c>
      <c r="H155" s="39" t="n">
        <f>IF(COUNTBLANK(G155)&gt;0,"",G155/1000)</f>
        <v>26.498</v>
      </c>
      <c r="I155" s="18" t="inlineStr">
        <is>
          <t>Tính từ bản vẽ / Derived</t>
        </is>
      </c>
      <c r="J155" s="18" t="inlineStr">
        <is>
          <t>Tờ 6
File 4</t>
        </is>
      </c>
      <c r="K155" s="18" t="inlineStr">
        <is>
          <t>Derived from transverse grid chain</t>
        </is>
      </c>
      <c r="L155" s="18" t="str"/>
      <c r="M155" s="18" t="inlineStr">
        <is>
          <t>Positive toward I. No axis F occurs in these sheets.
Calculation: Cumulative sum of printed transverse axis spacings; origin axisA=0mm.</t>
        </is>
      </c>
    </row>
    <row r="156" ht="36" customHeight="1">
      <c r="A156" s="18" t="inlineStr">
        <is>
          <t>P149</t>
        </is>
      </c>
      <c r="B156" s="18" t="inlineStr">
        <is>
          <t>Kích thước suy ra
All longitudinal axes</t>
        </is>
      </c>
      <c r="C156" s="18" t="inlineStr">
        <is>
          <t>axis_span</t>
        </is>
      </c>
      <c r="D156" s="18" t="inlineStr">
        <is>
          <t>Model: X
Source: longitudinal
1 → 12</t>
        </is>
      </c>
      <c r="E156" s="37" t="n"/>
      <c r="F156" s="25" t="str"/>
      <c r="G156" s="38" t="n">
        <f>IF(OR(COUNTBLANK('Dimensions'!G147)&gt;0,COUNTBLANK('Dimensions'!G135)&gt;0),"",'Dimensions'!G147-'Dimensions'!G135)</f>
        <v>53016</v>
      </c>
      <c r="H156" s="39" t="n">
        <f>IF(COUNTBLANK(G156)&gt;0,"",G156/1000)</f>
        <v>53.016</v>
      </c>
      <c r="I156" s="18" t="inlineStr">
        <is>
          <t>Tính từ bản vẽ / Derived</t>
        </is>
      </c>
      <c r="J156" s="18" t="inlineStr">
        <is>
          <t>Tờ 6
File 4</t>
        </is>
      </c>
      <c r="K156" s="18" t="inlineStr">
        <is>
          <t>Derived from file4 printed dimensions</t>
        </is>
      </c>
      <c r="L156" s="18" t="str"/>
      <c r="M156" s="18" t="inlineStr">
        <is>
          <t>Use with the named source endpoints; derived, not independently measured.
Calculation: 4900+575+7*4500+7200+4500+4341</t>
        </is>
      </c>
    </row>
    <row r="157" ht="36" customHeight="1">
      <c r="A157" s="18" t="inlineStr">
        <is>
          <t>P150</t>
        </is>
      </c>
      <c r="B157" s="18" t="inlineStr">
        <is>
          <t>Kích thước suy ra
Nave grid span</t>
        </is>
      </c>
      <c r="C157" s="18" t="inlineStr">
        <is>
          <t>axis_span</t>
        </is>
      </c>
      <c r="D157" s="18" t="inlineStr">
        <is>
          <t>Model: X
Source: longitudinal
2′ → 12</t>
        </is>
      </c>
      <c r="E157" s="37" t="n"/>
      <c r="F157" s="25" t="str"/>
      <c r="G157" s="38" t="n">
        <f>IF(OR(COUNTBLANK('Dimensions'!G147)&gt;0,COUNTBLANK('Dimensions'!G137)&gt;0),"",'Dimensions'!G147-'Dimensions'!G137)</f>
        <v>47541</v>
      </c>
      <c r="H157" s="39" t="n">
        <f>IF(COUNTBLANK(G157)&gt;0,"",G157/1000)</f>
        <v>47.541</v>
      </c>
      <c r="I157" s="18" t="inlineStr">
        <is>
          <t>Tính từ bản vẽ / Derived</t>
        </is>
      </c>
      <c r="J157" s="18" t="inlineStr">
        <is>
          <t>Tờ 6
File 4</t>
        </is>
      </c>
      <c r="K157" s="18" t="inlineStr">
        <is>
          <t>Derived from file4 printed dimensions</t>
        </is>
      </c>
      <c r="L157" s="18" t="str"/>
      <c r="M157" s="18" t="inlineStr">
        <is>
          <t>Use with the named source endpoints; derived, not independently measured.
Calculation: 7*4500+7200+4500+4341</t>
        </is>
      </c>
    </row>
    <row r="158" ht="36" customHeight="1">
      <c r="A158" s="18" t="inlineStr">
        <is>
          <t>P151</t>
        </is>
      </c>
      <c r="B158" s="18" t="inlineStr">
        <is>
          <t>Kích thước suy ra
Main transverse grid span</t>
        </is>
      </c>
      <c r="C158" s="18" t="inlineStr">
        <is>
          <t>axis_span</t>
        </is>
      </c>
      <c r="D158" s="18" t="inlineStr">
        <is>
          <t>Model: Z
Source: transverse
B → H</t>
        </is>
      </c>
      <c r="E158" s="37" t="n"/>
      <c r="F158" s="25" t="str"/>
      <c r="G158" s="38" t="n">
        <f>IF(OR(COUNTBLANK('Dimensions'!G154)&gt;0,COUNTBLANK('Dimensions'!G149)&gt;0),"",'Dimensions'!G154-'Dimensions'!G149)</f>
        <v>20828</v>
      </c>
      <c r="H158" s="39" t="n">
        <f>IF(COUNTBLANK(G158)&gt;0,"",G158/1000)</f>
        <v>20.828</v>
      </c>
      <c r="I158" s="18" t="inlineStr">
        <is>
          <t>Tính từ bản vẽ / Derived</t>
        </is>
      </c>
      <c r="J158" s="18" t="inlineStr">
        <is>
          <t>Tờ 6
File 4</t>
        </is>
      </c>
      <c r="K158" s="18" t="inlineStr">
        <is>
          <t>Derived from file4 printed dimensions</t>
        </is>
      </c>
      <c r="L158" s="18" t="str"/>
      <c r="M158" s="18" t="inlineStr">
        <is>
          <t>Use with the named source endpoints; derived, not independently measured.
Calculation: 3054+3760+7200+3760+3054</t>
        </is>
      </c>
    </row>
    <row r="159" ht="36" customHeight="1">
      <c r="A159" s="18" t="inlineStr">
        <is>
          <t>P152</t>
        </is>
      </c>
      <c r="B159" s="18" t="inlineStr">
        <is>
          <t>Kích thước suy ra
Full transverse grid span</t>
        </is>
      </c>
      <c r="C159" s="18" t="inlineStr">
        <is>
          <t>axis_span</t>
        </is>
      </c>
      <c r="D159" s="18" t="inlineStr">
        <is>
          <t>Model: Z
Source: transverse
A → I</t>
        </is>
      </c>
      <c r="E159" s="37" t="n"/>
      <c r="F159" s="25" t="str"/>
      <c r="G159" s="38" t="n">
        <f>IF(OR(COUNTBLANK('Dimensions'!G155)&gt;0,COUNTBLANK('Dimensions'!G148)&gt;0),"",'Dimensions'!G155-'Dimensions'!G148)</f>
        <v>26498</v>
      </c>
      <c r="H159" s="39" t="n">
        <f>IF(COUNTBLANK(G159)&gt;0,"",G159/1000)</f>
        <v>26.498</v>
      </c>
      <c r="I159" s="18" t="inlineStr">
        <is>
          <t>Tính từ bản vẽ / Derived</t>
        </is>
      </c>
      <c r="J159" s="18" t="inlineStr">
        <is>
          <t>Tờ 6
File 4</t>
        </is>
      </c>
      <c r="K159" s="18" t="inlineStr">
        <is>
          <t>Derived from file4 printed dimensions</t>
        </is>
      </c>
      <c r="L159" s="18" t="str"/>
      <c r="M159" s="18" t="inlineStr">
        <is>
          <t>Use with the named source endpoints; derived, not independently measured.
Calculation: 2835+3054+3760+7200+3760+3054+2835</t>
        </is>
      </c>
    </row>
    <row r="160" ht="36" customHeight="1">
      <c r="A160" s="18" t="inlineStr">
        <is>
          <t>P153</t>
        </is>
      </c>
      <c r="B160" s="18" t="inlineStr">
        <is>
          <t>Kích thước suy ra
Nave inner column to side grid span</t>
        </is>
      </c>
      <c r="C160" s="18" t="inlineStr">
        <is>
          <t>axis_span</t>
        </is>
      </c>
      <c r="D160" s="18" t="inlineStr">
        <is>
          <t>Model: Z
Source: transverse
C → G</t>
        </is>
      </c>
      <c r="E160" s="37" t="n"/>
      <c r="F160" s="25" t="str"/>
      <c r="G160" s="38" t="n">
        <f>IF(OR(COUNTBLANK('Dimensions'!G153)&gt;0,COUNTBLANK('Dimensions'!G150)&gt;0),"",'Dimensions'!G153-'Dimensions'!G150)</f>
        <v>14720</v>
      </c>
      <c r="H160" s="39" t="n">
        <f>IF(COUNTBLANK(G160)&gt;0,"",G160/1000)</f>
        <v>14.72</v>
      </c>
      <c r="I160" s="18" t="inlineStr">
        <is>
          <t>Tính từ bản vẽ / Derived</t>
        </is>
      </c>
      <c r="J160" s="18" t="inlineStr">
        <is>
          <t>Tờ 6
File 4</t>
        </is>
      </c>
      <c r="K160" s="18" t="inlineStr">
        <is>
          <t>Derived from file4 printed dimensions</t>
        </is>
      </c>
      <c r="L160" s="18" t="str"/>
      <c r="M160" s="18" t="inlineStr">
        <is>
          <t>Use with the named source endpoints; derived, not independently measured.
Calculation: 3760+7200+3760</t>
        </is>
      </c>
    </row>
    <row r="161" ht="36" customHeight="1">
      <c r="A161" s="18" t="inlineStr">
        <is>
          <t>P154</t>
        </is>
      </c>
      <c r="B161" s="18" t="inlineStr">
        <is>
          <t>Kích thước suy ra
Centerline from A</t>
        </is>
      </c>
      <c r="C161" s="18" t="inlineStr">
        <is>
          <t>coordinate</t>
        </is>
      </c>
      <c r="D161" s="18" t="inlineStr">
        <is>
          <t>Model: Z
Source: transverse
A → midpoint D–E</t>
        </is>
      </c>
      <c r="E161" s="37" t="n"/>
      <c r="F161" s="25" t="str"/>
      <c r="G161" s="38" t="n">
        <f>IF(OR(COUNTBLANK('Dimensions'!G151)&gt;0,COUNTBLANK('Dimensions'!G152)&gt;0),"",('Dimensions'!G151+'Dimensions'!G152)/2)</f>
        <v>13249</v>
      </c>
      <c r="H161" s="39" t="n">
        <f>IF(COUNTBLANK(G161)&gt;0,"",G161/1000)</f>
        <v>13.249</v>
      </c>
      <c r="I161" s="18" t="inlineStr">
        <is>
          <t>Tính từ bản vẽ / Derived</t>
        </is>
      </c>
      <c r="J161" s="18" t="inlineStr">
        <is>
          <t>Tờ 6
File 4</t>
        </is>
      </c>
      <c r="K161" s="18" t="inlineStr">
        <is>
          <t>Derived from file4 printed dimensions</t>
        </is>
      </c>
      <c r="L161" s="18" t="str"/>
      <c r="M161" s="18" t="inlineStr">
        <is>
          <t>Use with the named source endpoints; derived, not independently measured.
Calculation: (9649+16849)/2</t>
        </is>
      </c>
    </row>
    <row r="162" ht="36" customHeight="1">
      <c r="A162" s="18" t="inlineStr">
        <is>
          <t>P155</t>
        </is>
      </c>
      <c r="B162" s="18" t="inlineStr">
        <is>
          <t>Kích thước suy ra
Ground rear exterior projection</t>
        </is>
      </c>
      <c r="C162" s="18" t="inlineStr">
        <is>
          <t>edge_offset</t>
        </is>
      </c>
      <c r="D162" s="18" t="inlineStr">
        <is>
          <t>Model: X
Source: longitudinal
12 → rear exterior edge</t>
        </is>
      </c>
      <c r="E162" s="37" t="n"/>
      <c r="F162" s="25" t="str"/>
      <c r="G162" s="38" t="n">
        <f>IF(OR(COUNTBLANK('Dimensions'!G28)&gt;0,COUNTBLANK('Dimensions'!G27)&gt;0,COUNTBLANK('Dimensions'!G156)&gt;0),"",'Dimensions'!G28-'Dimensions'!G27-'Dimensions'!G156)</f>
        <v>829</v>
      </c>
      <c r="H162" s="39" t="n">
        <f>IF(COUNTBLANK(G162)&gt;0,"",G162/1000)</f>
        <v>0.829</v>
      </c>
      <c r="I162" s="18" t="inlineStr">
        <is>
          <t>Tính từ bản vẽ / Derived</t>
        </is>
      </c>
      <c r="J162" s="18" t="inlineStr">
        <is>
          <t>Tờ 6
File 4</t>
        </is>
      </c>
      <c r="K162" s="18" t="inlineStr">
        <is>
          <t>Derived from file4 printed dimensions</t>
        </is>
      </c>
      <c r="L162" s="18" t="str"/>
      <c r="M162" s="18" t="inlineStr">
        <is>
          <t>Use with the named source endpoints; derived, not independently measured.
Calculation: 67064-13219-53016</t>
        </is>
      </c>
    </row>
    <row r="163" ht="36" customHeight="1">
      <c r="A163" s="18" t="inlineStr">
        <is>
          <t>P156</t>
        </is>
      </c>
      <c r="B163" s="18" t="inlineStr">
        <is>
          <t>Kích thước suy ra
Ground front exterior projection</t>
        </is>
      </c>
      <c r="C163" s="18" t="inlineStr">
        <is>
          <t>edge_offset</t>
        </is>
      </c>
      <c r="D163" s="18" t="inlineStr">
        <is>
          <t>Model: X
Source: longitudinal
front exterior edge → 1</t>
        </is>
      </c>
      <c r="E163" s="37" t="n"/>
      <c r="F163" s="25" t="str"/>
      <c r="G163" s="38" t="n">
        <f>IF(OR(COUNTBLANK('Dimensions'!G29)&gt;0,COUNTBLANK('Dimensions'!G156)&gt;0,COUNTBLANK('Dimensions'!G162)&gt;0),"",'Dimensions'!G29-'Dimensions'!G156-'Dimensions'!G162)</f>
        <v>949</v>
      </c>
      <c r="H163" s="39" t="n">
        <f>IF(COUNTBLANK(G163)&gt;0,"",G163/1000)</f>
        <v>0.949</v>
      </c>
      <c r="I163" s="18" t="inlineStr">
        <is>
          <t>Tính từ bản vẽ / Derived</t>
        </is>
      </c>
      <c r="J163" s="18" t="inlineStr">
        <is>
          <t>Tờ 6
File 4</t>
        </is>
      </c>
      <c r="K163" s="18" t="inlineStr">
        <is>
          <t>Derived from file4 printed dimensions</t>
        </is>
      </c>
      <c r="L163" s="18" t="str"/>
      <c r="M163" s="18" t="inlineStr">
        <is>
          <t>Use with the named source endpoints; derived, not independently measured.
Calculation: 54794-53016-829</t>
        </is>
      </c>
    </row>
    <row r="164" ht="48" customHeight="1">
      <c r="A164" s="18" t="inlineStr">
        <is>
          <t>P157</t>
        </is>
      </c>
      <c r="B164" s="18" t="inlineStr">
        <is>
          <t>Kích thước suy ra
Inner sanctuary stage width</t>
        </is>
      </c>
      <c r="C164" s="18" t="inlineStr">
        <is>
          <t>derived_width</t>
        </is>
      </c>
      <c r="D164" s="18" t="inlineStr">
        <is>
          <t>Model: Z
Source: transverse
upper inner stage edge → lower inner stage edge</t>
        </is>
      </c>
      <c r="E164" s="37" t="n"/>
      <c r="F164" s="25" t="str"/>
      <c r="G164" s="38" t="n">
        <f>IF(OR(COUNTBLANK('Dimensions'!G120)&gt;0,COUNTBLANK('Dimensions'!G121)&gt;0,COUNTBLANK('Dimensions'!G122)&gt;0,COUNTBLANK('Dimensions'!G123)&gt;0,COUNTBLANK('Dimensions'!G124)&gt;0),"",'Dimensions'!G120+'Dimensions'!G121+'Dimensions'!G122+'Dimensions'!G123+'Dimensions'!G124)</f>
        <v>9000</v>
      </c>
      <c r="H164" s="39" t="n">
        <f>IF(COUNTBLANK(G164)&gt;0,"",G164/1000)</f>
        <v>9</v>
      </c>
      <c r="I164" s="18" t="inlineStr">
        <is>
          <t>Tính từ bản vẽ / Derived</t>
        </is>
      </c>
      <c r="J164" s="18" t="inlineStr">
        <is>
          <t>Tờ 6
File 4</t>
        </is>
      </c>
      <c r="K164" s="18" t="inlineStr">
        <is>
          <t>Derived from file4 printed dimensions</t>
        </is>
      </c>
      <c r="L164" s="18" t="str"/>
      <c r="M164" s="18" t="inlineStr">
        <is>
          <t>Use with the named source endpoints; derived, not independently measured.
Calculation: 900+2650+1900+2650+900</t>
        </is>
      </c>
    </row>
    <row r="165" ht="48" customHeight="1">
      <c r="A165" s="18" t="inlineStr">
        <is>
          <t>P158</t>
        </is>
      </c>
      <c r="B165" s="18" t="inlineStr">
        <is>
          <t>Kích thước suy ra
Outer sanctuary stage width</t>
        </is>
      </c>
      <c r="C165" s="18" t="inlineStr">
        <is>
          <t>derived_width</t>
        </is>
      </c>
      <c r="D165" s="18" t="inlineStr">
        <is>
          <t>Model: Z
Source: transverse
upper outer stage edge → lower outer stage edge</t>
        </is>
      </c>
      <c r="E165" s="37" t="n"/>
      <c r="F165" s="25" t="str"/>
      <c r="G165" s="38" t="n">
        <f>IF(OR(COUNTBLANK('Dimensions'!G119)&gt;0,COUNTBLANK('Dimensions'!G164)&gt;0,COUNTBLANK('Dimensions'!G125)&gt;0),"",'Dimensions'!G119+'Dimensions'!G164+'Dimensions'!G125)</f>
        <v>11000</v>
      </c>
      <c r="H165" s="39" t="n">
        <f>IF(COUNTBLANK(G165)&gt;0,"",G165/1000)</f>
        <v>11</v>
      </c>
      <c r="I165" s="18" t="inlineStr">
        <is>
          <t>Tính từ bản vẽ / Derived</t>
        </is>
      </c>
      <c r="J165" s="18" t="inlineStr">
        <is>
          <t>Tờ 6
File 4</t>
        </is>
      </c>
      <c r="K165" s="18" t="inlineStr">
        <is>
          <t>Derived from file4 printed dimensions</t>
        </is>
      </c>
      <c r="L165" s="18" t="str"/>
      <c r="M165" s="18" t="inlineStr">
        <is>
          <t>Use with the named source endpoints; derived, not independently measured.
Calculation: 1000+900+2650+1900+2650+900+1000</t>
        </is>
      </c>
    </row>
    <row r="166" ht="36" customHeight="1">
      <c r="A166" s="18" t="inlineStr">
        <is>
          <t>P159</t>
        </is>
      </c>
      <c r="B166" s="18" t="inlineStr">
        <is>
          <t>Lưới trục mặt bằng mái
Roof-plan longitudinal grid</t>
        </is>
      </c>
      <c r="C166" s="18" t="inlineStr">
        <is>
          <t>axis_spacing</t>
        </is>
      </c>
      <c r="D166" s="18" t="inlineStr">
        <is>
          <t>Model: X
Source: longitudinal
1 → 2</t>
        </is>
      </c>
      <c r="E166" s="37" t="n">
        <v>4900</v>
      </c>
      <c r="F166" s="25" t="inlineStr">
        <is>
          <t>mm</t>
        </is>
      </c>
      <c r="G166" s="38" t="n">
        <f>IF(COUNTBLANK(E166)&gt;0,"",E166)</f>
        <v>4900</v>
      </c>
      <c r="H166" s="39" t="n">
        <f>IF(COUNTBLANK(G166)&gt;0,"",G166/1000)</f>
        <v>4.9</v>
      </c>
      <c r="I166" s="18" t="inlineStr">
        <is>
          <t>Ghi trên bản vẽ / Explicit</t>
        </is>
      </c>
      <c r="J166" s="18" t="inlineStr">
        <is>
          <t>Tờ 11
File 5</t>
        </is>
      </c>
      <c r="K166" s="18" t="inlineStr">
        <is>
          <t>Bottom longitudinal dimension chain</t>
        </is>
      </c>
      <c r="L166" s="18" t="inlineStr">
        <is>
          <t>4900</t>
        </is>
      </c>
      <c r="M166" s="18" t="inlineStr">
        <is>
          <t>Tiny labels recovered with a temporary reduced-stroke reading render; original unchanged.</t>
        </is>
      </c>
    </row>
    <row r="167" ht="36" customHeight="1">
      <c r="A167" s="18" t="inlineStr">
        <is>
          <t>P160</t>
        </is>
      </c>
      <c r="B167" s="18" t="inlineStr">
        <is>
          <t>Lưới trục mặt bằng mái
Roof-plan longitudinal grid</t>
        </is>
      </c>
      <c r="C167" s="18" t="inlineStr">
        <is>
          <t>axis_spacing</t>
        </is>
      </c>
      <c r="D167" s="18" t="inlineStr">
        <is>
          <t>Model: X
Source: longitudinal
2 → 2′</t>
        </is>
      </c>
      <c r="E167" s="37" t="n">
        <v>575</v>
      </c>
      <c r="F167" s="25" t="inlineStr">
        <is>
          <t>mm</t>
        </is>
      </c>
      <c r="G167" s="38" t="n">
        <f>IF(COUNTBLANK(E167)&gt;0,"",E167)</f>
        <v>575</v>
      </c>
      <c r="H167" s="39" t="n">
        <f>IF(COUNTBLANK(G167)&gt;0,"",G167/1000)</f>
        <v>0.575</v>
      </c>
      <c r="I167" s="18" t="inlineStr">
        <is>
          <t>Ghi trên bản vẽ / Explicit</t>
        </is>
      </c>
      <c r="J167" s="18" t="inlineStr">
        <is>
          <t>Tờ 11
File 5</t>
        </is>
      </c>
      <c r="K167" s="18" t="inlineStr">
        <is>
          <t>Bottom longitudinal dimension chain</t>
        </is>
      </c>
      <c r="L167" s="18" t="inlineStr">
        <is>
          <t>575</t>
        </is>
      </c>
      <c r="M167" s="18" t="inlineStr">
        <is>
          <t>Tiny labels recovered with a temporary reduced-stroke reading render; original unchanged.</t>
        </is>
      </c>
    </row>
    <row r="168" ht="36" customHeight="1">
      <c r="A168" s="18" t="inlineStr">
        <is>
          <t>P161</t>
        </is>
      </c>
      <c r="B168" s="18" t="inlineStr">
        <is>
          <t>Lưới trục mặt bằng mái
Roof-plan longitudinal grid</t>
        </is>
      </c>
      <c r="C168" s="18" t="inlineStr">
        <is>
          <t>axis_spacing</t>
        </is>
      </c>
      <c r="D168" s="18" t="inlineStr">
        <is>
          <t>Model: X
Source: longitudinal
2′ → 3</t>
        </is>
      </c>
      <c r="E168" s="37" t="n">
        <v>4500</v>
      </c>
      <c r="F168" s="25" t="inlineStr">
        <is>
          <t>mm</t>
        </is>
      </c>
      <c r="G168" s="38" t="n">
        <f>IF(COUNTBLANK(E168)&gt;0,"",E168)</f>
        <v>4500</v>
      </c>
      <c r="H168" s="39" t="n">
        <f>IF(COUNTBLANK(G168)&gt;0,"",G168/1000)</f>
        <v>4.5</v>
      </c>
      <c r="I168" s="18" t="inlineStr">
        <is>
          <t>Ghi trên bản vẽ / Explicit</t>
        </is>
      </c>
      <c r="J168" s="18" t="inlineStr">
        <is>
          <t>Tờ 11
File 5</t>
        </is>
      </c>
      <c r="K168" s="18" t="inlineStr">
        <is>
          <t>Bottom longitudinal dimension chain</t>
        </is>
      </c>
      <c r="L168" s="18" t="inlineStr">
        <is>
          <t>4500</t>
        </is>
      </c>
      <c r="M168" s="18" t="inlineStr">
        <is>
          <t>Tiny labels recovered with a temporary reduced-stroke reading render; original unchanged.</t>
        </is>
      </c>
    </row>
    <row r="169" ht="36" customHeight="1">
      <c r="A169" s="18" t="inlineStr">
        <is>
          <t>P162</t>
        </is>
      </c>
      <c r="B169" s="18" t="inlineStr">
        <is>
          <t>Lưới trục mặt bằng mái
Roof-plan longitudinal grid</t>
        </is>
      </c>
      <c r="C169" s="18" t="inlineStr">
        <is>
          <t>axis_spacing</t>
        </is>
      </c>
      <c r="D169" s="18" t="inlineStr">
        <is>
          <t>Model: X
Source: longitudinal
3 → 4</t>
        </is>
      </c>
      <c r="E169" s="37" t="n">
        <v>4500</v>
      </c>
      <c r="F169" s="25" t="inlineStr">
        <is>
          <t>mm</t>
        </is>
      </c>
      <c r="G169" s="38" t="n">
        <f>IF(COUNTBLANK(E169)&gt;0,"",E169)</f>
        <v>4500</v>
      </c>
      <c r="H169" s="39" t="n">
        <f>IF(COUNTBLANK(G169)&gt;0,"",G169/1000)</f>
        <v>4.5</v>
      </c>
      <c r="I169" s="18" t="inlineStr">
        <is>
          <t>Ghi trên bản vẽ / Explicit</t>
        </is>
      </c>
      <c r="J169" s="18" t="inlineStr">
        <is>
          <t>Tờ 11
File 5</t>
        </is>
      </c>
      <c r="K169" s="18" t="inlineStr">
        <is>
          <t>Bottom longitudinal dimension chain</t>
        </is>
      </c>
      <c r="L169" s="18" t="inlineStr">
        <is>
          <t>4500</t>
        </is>
      </c>
      <c r="M169" s="18" t="inlineStr">
        <is>
          <t>Tiny labels recovered with a temporary reduced-stroke reading render; original unchanged.</t>
        </is>
      </c>
    </row>
    <row r="170" ht="36" customHeight="1">
      <c r="A170" s="18" t="inlineStr">
        <is>
          <t>P163</t>
        </is>
      </c>
      <c r="B170" s="18" t="inlineStr">
        <is>
          <t>Lưới trục mặt bằng mái
Roof-plan longitudinal grid</t>
        </is>
      </c>
      <c r="C170" s="18" t="inlineStr">
        <is>
          <t>axis_spacing</t>
        </is>
      </c>
      <c r="D170" s="18" t="inlineStr">
        <is>
          <t>Model: X
Source: longitudinal
4 → 5</t>
        </is>
      </c>
      <c r="E170" s="37" t="n">
        <v>4500</v>
      </c>
      <c r="F170" s="25" t="inlineStr">
        <is>
          <t>mm</t>
        </is>
      </c>
      <c r="G170" s="38" t="n">
        <f>IF(COUNTBLANK(E170)&gt;0,"",E170)</f>
        <v>4500</v>
      </c>
      <c r="H170" s="39" t="n">
        <f>IF(COUNTBLANK(G170)&gt;0,"",G170/1000)</f>
        <v>4.5</v>
      </c>
      <c r="I170" s="18" t="inlineStr">
        <is>
          <t>Ghi trên bản vẽ / Explicit</t>
        </is>
      </c>
      <c r="J170" s="18" t="inlineStr">
        <is>
          <t>Tờ 11
File 5</t>
        </is>
      </c>
      <c r="K170" s="18" t="inlineStr">
        <is>
          <t>Bottom longitudinal dimension chain</t>
        </is>
      </c>
      <c r="L170" s="18" t="inlineStr">
        <is>
          <t>4500</t>
        </is>
      </c>
      <c r="M170" s="18" t="inlineStr">
        <is>
          <t>Tiny labels recovered with a temporary reduced-stroke reading render; original unchanged.</t>
        </is>
      </c>
    </row>
    <row r="171" ht="36" customHeight="1">
      <c r="A171" s="18" t="inlineStr">
        <is>
          <t>P164</t>
        </is>
      </c>
      <c r="B171" s="18" t="inlineStr">
        <is>
          <t>Lưới trục mặt bằng mái
Roof-plan longitudinal grid</t>
        </is>
      </c>
      <c r="C171" s="18" t="inlineStr">
        <is>
          <t>axis_spacing</t>
        </is>
      </c>
      <c r="D171" s="18" t="inlineStr">
        <is>
          <t>Model: X
Source: longitudinal
5 → 6</t>
        </is>
      </c>
      <c r="E171" s="37" t="n">
        <v>4500</v>
      </c>
      <c r="F171" s="25" t="inlineStr">
        <is>
          <t>mm</t>
        </is>
      </c>
      <c r="G171" s="38" t="n">
        <f>IF(COUNTBLANK(E171)&gt;0,"",E171)</f>
        <v>4500</v>
      </c>
      <c r="H171" s="39" t="n">
        <f>IF(COUNTBLANK(G171)&gt;0,"",G171/1000)</f>
        <v>4.5</v>
      </c>
      <c r="I171" s="18" t="inlineStr">
        <is>
          <t>Ghi trên bản vẽ / Explicit</t>
        </is>
      </c>
      <c r="J171" s="18" t="inlineStr">
        <is>
          <t>Tờ 11
File 5</t>
        </is>
      </c>
      <c r="K171" s="18" t="inlineStr">
        <is>
          <t>Bottom longitudinal dimension chain</t>
        </is>
      </c>
      <c r="L171" s="18" t="inlineStr">
        <is>
          <t>4500</t>
        </is>
      </c>
      <c r="M171" s="18" t="inlineStr">
        <is>
          <t>Tiny labels recovered with a temporary reduced-stroke reading render; original unchanged.</t>
        </is>
      </c>
    </row>
    <row r="172" ht="36" customHeight="1">
      <c r="A172" s="18" t="inlineStr">
        <is>
          <t>P165</t>
        </is>
      </c>
      <c r="B172" s="18" t="inlineStr">
        <is>
          <t>Lưới trục mặt bằng mái
Roof-plan longitudinal grid</t>
        </is>
      </c>
      <c r="C172" s="18" t="inlineStr">
        <is>
          <t>axis_spacing</t>
        </is>
      </c>
      <c r="D172" s="18" t="inlineStr">
        <is>
          <t>Model: X
Source: longitudinal
6 → 7</t>
        </is>
      </c>
      <c r="E172" s="37" t="n">
        <v>4500</v>
      </c>
      <c r="F172" s="25" t="inlineStr">
        <is>
          <t>mm</t>
        </is>
      </c>
      <c r="G172" s="38" t="n">
        <f>IF(COUNTBLANK(E172)&gt;0,"",E172)</f>
        <v>4500</v>
      </c>
      <c r="H172" s="39" t="n">
        <f>IF(COUNTBLANK(G172)&gt;0,"",G172/1000)</f>
        <v>4.5</v>
      </c>
      <c r="I172" s="18" t="inlineStr">
        <is>
          <t>Ghi trên bản vẽ / Explicit</t>
        </is>
      </c>
      <c r="J172" s="18" t="inlineStr">
        <is>
          <t>Tờ 11
File 5</t>
        </is>
      </c>
      <c r="K172" s="18" t="inlineStr">
        <is>
          <t>Bottom longitudinal dimension chain</t>
        </is>
      </c>
      <c r="L172" s="18" t="inlineStr">
        <is>
          <t>4500</t>
        </is>
      </c>
      <c r="M172" s="18" t="inlineStr">
        <is>
          <t>Tiny labels recovered with a temporary reduced-stroke reading render; original unchanged.</t>
        </is>
      </c>
    </row>
    <row r="173" ht="36" customHeight="1">
      <c r="A173" s="18" t="inlineStr">
        <is>
          <t>P166</t>
        </is>
      </c>
      <c r="B173" s="18" t="inlineStr">
        <is>
          <t>Lưới trục mặt bằng mái
Roof-plan longitudinal grid</t>
        </is>
      </c>
      <c r="C173" s="18" t="inlineStr">
        <is>
          <t>axis_spacing</t>
        </is>
      </c>
      <c r="D173" s="18" t="inlineStr">
        <is>
          <t>Model: X
Source: longitudinal
7 → 8</t>
        </is>
      </c>
      <c r="E173" s="37" t="n">
        <v>4500</v>
      </c>
      <c r="F173" s="25" t="inlineStr">
        <is>
          <t>mm</t>
        </is>
      </c>
      <c r="G173" s="38" t="n">
        <f>IF(COUNTBLANK(E173)&gt;0,"",E173)</f>
        <v>4500</v>
      </c>
      <c r="H173" s="39" t="n">
        <f>IF(COUNTBLANK(G173)&gt;0,"",G173/1000)</f>
        <v>4.5</v>
      </c>
      <c r="I173" s="18" t="inlineStr">
        <is>
          <t>Ghi trên bản vẽ / Explicit</t>
        </is>
      </c>
      <c r="J173" s="18" t="inlineStr">
        <is>
          <t>Tờ 11
File 5</t>
        </is>
      </c>
      <c r="K173" s="18" t="inlineStr">
        <is>
          <t>Bottom longitudinal dimension chain</t>
        </is>
      </c>
      <c r="L173" s="18" t="inlineStr">
        <is>
          <t>4500</t>
        </is>
      </c>
      <c r="M173" s="18" t="inlineStr">
        <is>
          <t>Tiny labels recovered with a temporary reduced-stroke reading render; original unchanged.</t>
        </is>
      </c>
    </row>
    <row r="174" ht="36" customHeight="1">
      <c r="A174" s="18" t="inlineStr">
        <is>
          <t>P167</t>
        </is>
      </c>
      <c r="B174" s="18" t="inlineStr">
        <is>
          <t>Lưới trục mặt bằng mái
Roof-plan longitudinal grid</t>
        </is>
      </c>
      <c r="C174" s="18" t="inlineStr">
        <is>
          <t>axis_spacing</t>
        </is>
      </c>
      <c r="D174" s="18" t="inlineStr">
        <is>
          <t>Model: X
Source: longitudinal
8 → 9</t>
        </is>
      </c>
      <c r="E174" s="37" t="n">
        <v>4500</v>
      </c>
      <c r="F174" s="25" t="inlineStr">
        <is>
          <t>mm</t>
        </is>
      </c>
      <c r="G174" s="38" t="n">
        <f>IF(COUNTBLANK(E174)&gt;0,"",E174)</f>
        <v>4500</v>
      </c>
      <c r="H174" s="39" t="n">
        <f>IF(COUNTBLANK(G174)&gt;0,"",G174/1000)</f>
        <v>4.5</v>
      </c>
      <c r="I174" s="18" t="inlineStr">
        <is>
          <t>Ghi trên bản vẽ / Explicit</t>
        </is>
      </c>
      <c r="J174" s="18" t="inlineStr">
        <is>
          <t>Tờ 11
File 5</t>
        </is>
      </c>
      <c r="K174" s="18" t="inlineStr">
        <is>
          <t>Bottom longitudinal dimension chain</t>
        </is>
      </c>
      <c r="L174" s="18" t="inlineStr">
        <is>
          <t>4500</t>
        </is>
      </c>
      <c r="M174" s="18" t="inlineStr">
        <is>
          <t>Tiny labels recovered with a temporary reduced-stroke reading render; original unchanged.</t>
        </is>
      </c>
    </row>
    <row r="175" ht="36" customHeight="1">
      <c r="A175" s="18" t="inlineStr">
        <is>
          <t>P168</t>
        </is>
      </c>
      <c r="B175" s="18" t="inlineStr">
        <is>
          <t>Lưới trục mặt bằng mái
Roof-plan longitudinal grid</t>
        </is>
      </c>
      <c r="C175" s="18" t="inlineStr">
        <is>
          <t>axis_spacing</t>
        </is>
      </c>
      <c r="D175" s="18" t="inlineStr">
        <is>
          <t>Model: X
Source: longitudinal
9 → 10</t>
        </is>
      </c>
      <c r="E175" s="37" t="n">
        <v>7200</v>
      </c>
      <c r="F175" s="25" t="inlineStr">
        <is>
          <t>mm</t>
        </is>
      </c>
      <c r="G175" s="38" t="n">
        <f>IF(COUNTBLANK(E175)&gt;0,"",E175)</f>
        <v>7200</v>
      </c>
      <c r="H175" s="39" t="n">
        <f>IF(COUNTBLANK(G175)&gt;0,"",G175/1000)</f>
        <v>7.2</v>
      </c>
      <c r="I175" s="18" t="inlineStr">
        <is>
          <t>Ghi trên bản vẽ / Explicit</t>
        </is>
      </c>
      <c r="J175" s="18" t="inlineStr">
        <is>
          <t>Tờ 11
File 5</t>
        </is>
      </c>
      <c r="K175" s="18" t="inlineStr">
        <is>
          <t>Bottom longitudinal dimension chain</t>
        </is>
      </c>
      <c r="L175" s="18" t="inlineStr">
        <is>
          <t>7200</t>
        </is>
      </c>
      <c r="M175" s="18" t="inlineStr">
        <is>
          <t>Tiny labels recovered with a temporary reduced-stroke reading render; original unchanged.</t>
        </is>
      </c>
    </row>
    <row r="176" ht="36" customHeight="1">
      <c r="A176" s="18" t="inlineStr">
        <is>
          <t>P169</t>
        </is>
      </c>
      <c r="B176" s="18" t="inlineStr">
        <is>
          <t>Lưới trục mặt bằng mái
Roof-plan longitudinal grid</t>
        </is>
      </c>
      <c r="C176" s="18" t="inlineStr">
        <is>
          <t>axis_spacing</t>
        </is>
      </c>
      <c r="D176" s="18" t="inlineStr">
        <is>
          <t>Model: X
Source: longitudinal
10 → 11</t>
        </is>
      </c>
      <c r="E176" s="37" t="n">
        <v>4500</v>
      </c>
      <c r="F176" s="25" t="inlineStr">
        <is>
          <t>mm</t>
        </is>
      </c>
      <c r="G176" s="38" t="n">
        <f>IF(COUNTBLANK(E176)&gt;0,"",E176)</f>
        <v>4500</v>
      </c>
      <c r="H176" s="39" t="n">
        <f>IF(COUNTBLANK(G176)&gt;0,"",G176/1000)</f>
        <v>4.5</v>
      </c>
      <c r="I176" s="18" t="inlineStr">
        <is>
          <t>Ghi trên bản vẽ / Explicit</t>
        </is>
      </c>
      <c r="J176" s="18" t="inlineStr">
        <is>
          <t>Tờ 11
File 5</t>
        </is>
      </c>
      <c r="K176" s="18" t="inlineStr">
        <is>
          <t>Bottom longitudinal dimension chain</t>
        </is>
      </c>
      <c r="L176" s="18" t="inlineStr">
        <is>
          <t>4500</t>
        </is>
      </c>
      <c r="M176" s="18" t="inlineStr">
        <is>
          <t>Tiny labels recovered with a temporary reduced-stroke reading render; original unchanged.</t>
        </is>
      </c>
    </row>
    <row r="177" ht="36" customHeight="1">
      <c r="A177" s="18" t="inlineStr">
        <is>
          <t>P170</t>
        </is>
      </c>
      <c r="B177" s="18" t="inlineStr">
        <is>
          <t>Lưới trục mặt bằng mái
Roof-plan longitudinal grid</t>
        </is>
      </c>
      <c r="C177" s="18" t="inlineStr">
        <is>
          <t>axis_spacing</t>
        </is>
      </c>
      <c r="D177" s="18" t="inlineStr">
        <is>
          <t>Model: X
Source: longitudinal
11 → 12</t>
        </is>
      </c>
      <c r="E177" s="37" t="n">
        <v>4341</v>
      </c>
      <c r="F177" s="25" t="inlineStr">
        <is>
          <t>mm</t>
        </is>
      </c>
      <c r="G177" s="38" t="n">
        <f>IF(COUNTBLANK(E177)&gt;0,"",E177)</f>
        <v>4341</v>
      </c>
      <c r="H177" s="39" t="n">
        <f>IF(COUNTBLANK(G177)&gt;0,"",G177/1000)</f>
        <v>4.341</v>
      </c>
      <c r="I177" s="18" t="inlineStr">
        <is>
          <t>Ghi trên bản vẽ / Explicit</t>
        </is>
      </c>
      <c r="J177" s="18" t="inlineStr">
        <is>
          <t>Tờ 11
File 5</t>
        </is>
      </c>
      <c r="K177" s="18" t="inlineStr">
        <is>
          <t>Bottom longitudinal dimension chain</t>
        </is>
      </c>
      <c r="L177" s="18" t="inlineStr">
        <is>
          <t>4341</t>
        </is>
      </c>
      <c r="M177" s="18" t="inlineStr">
        <is>
          <t>Tiny labels recovered with a temporary reduced-stroke reading render; original unchanged.</t>
        </is>
      </c>
    </row>
    <row r="178" ht="36" customHeight="1">
      <c r="A178" s="18" t="inlineStr">
        <is>
          <t>P171</t>
        </is>
      </c>
      <c r="B178" s="18" t="inlineStr">
        <is>
          <t>Kích thước bao mặt bằng mái
Roof-plan exterior length</t>
        </is>
      </c>
      <c r="C178" s="18" t="inlineStr">
        <is>
          <t>edge_offset</t>
        </is>
      </c>
      <c r="D178" s="18" t="inlineStr">
        <is>
          <t>Model: X
Source: longitudinal
front exterior edge → 1</t>
        </is>
      </c>
      <c r="E178" s="37" t="n">
        <v>915</v>
      </c>
      <c r="F178" s="25" t="inlineStr">
        <is>
          <t>mm</t>
        </is>
      </c>
      <c r="G178" s="38" t="n">
        <f>IF(COUNTBLANK(E178)&gt;0,"",E178)</f>
        <v>915</v>
      </c>
      <c r="H178" s="39" t="n">
        <f>IF(COUNTBLANK(G178)&gt;0,"",G178/1000)</f>
        <v>0.915</v>
      </c>
      <c r="I178" s="18" t="inlineStr">
        <is>
          <t>Ghi trên bản vẽ / Explicit</t>
        </is>
      </c>
      <c r="J178" s="18" t="inlineStr">
        <is>
          <t>Tờ 11
File 5</t>
        </is>
      </c>
      <c r="K178" s="18" t="inlineStr">
        <is>
          <t>Bottom roof chain, leftmost short segment</t>
        </is>
      </c>
      <c r="L178" s="18" t="inlineStr">
        <is>
          <t>915</t>
        </is>
      </c>
      <c r="M178" s="18" t="inlineStr">
        <is>
          <t>Explicit915, not945 or949.</t>
        </is>
      </c>
    </row>
    <row r="179" ht="36" customHeight="1">
      <c r="A179" s="18" t="inlineStr">
        <is>
          <t>P172</t>
        </is>
      </c>
      <c r="B179" s="18" t="inlineStr">
        <is>
          <t>Kích thước bao mặt bằng mái
Roof-plan exterior length</t>
        </is>
      </c>
      <c r="C179" s="18" t="inlineStr">
        <is>
          <t>edge_offset</t>
        </is>
      </c>
      <c r="D179" s="18" t="inlineStr">
        <is>
          <t>Model: X
Source: longitudinal
12 → rear exterior edge</t>
        </is>
      </c>
      <c r="E179" s="37" t="n">
        <v>805</v>
      </c>
      <c r="F179" s="25" t="inlineStr">
        <is>
          <t>mm</t>
        </is>
      </c>
      <c r="G179" s="38" t="n">
        <f>IF(COUNTBLANK(E179)&gt;0,"",E179)</f>
        <v>805</v>
      </c>
      <c r="H179" s="39" t="n">
        <f>IF(COUNTBLANK(G179)&gt;0,"",G179/1000)</f>
        <v>0.805</v>
      </c>
      <c r="I179" s="18" t="inlineStr">
        <is>
          <t>Ghi trên bản vẽ / Explicit</t>
        </is>
      </c>
      <c r="J179" s="18" t="inlineStr">
        <is>
          <t>Tờ 11
File 5</t>
        </is>
      </c>
      <c r="K179" s="18" t="inlineStr">
        <is>
          <t>Bottom roof chain, rightmost short segment</t>
        </is>
      </c>
      <c r="L179" s="18" t="inlineStr">
        <is>
          <t>805</t>
        </is>
      </c>
      <c r="M179" s="18" t="inlineStr">
        <is>
          <t>Explicit805, not829.</t>
        </is>
      </c>
    </row>
    <row r="180" ht="48" customHeight="1">
      <c r="A180" s="18" t="inlineStr">
        <is>
          <t>P173</t>
        </is>
      </c>
      <c r="B180" s="18" t="inlineStr">
        <is>
          <t>Kích thước bao mặt bằng mái
Roof-plan exterior length</t>
        </is>
      </c>
      <c r="C180" s="18" t="inlineStr">
        <is>
          <t>overall_length</t>
        </is>
      </c>
      <c r="D180" s="18" t="inlineStr">
        <is>
          <t>Model: X
Source: longitudinal
front exterior edge → rear exterior edge</t>
        </is>
      </c>
      <c r="E180" s="37" t="n">
        <v>54736</v>
      </c>
      <c r="F180" s="25" t="inlineStr">
        <is>
          <t>mm</t>
        </is>
      </c>
      <c r="G180" s="38" t="n">
        <f>IF(COUNTBLANK(E180)&gt;0,"",E180)</f>
        <v>54736</v>
      </c>
      <c r="H180" s="39" t="n">
        <f>IF(COUNTBLANK(G180)&gt;0,"",G180/1000)</f>
        <v>54.736</v>
      </c>
      <c r="I180" s="18" t="inlineStr">
        <is>
          <t>Ghi trên bản vẽ / Explicit</t>
        </is>
      </c>
      <c r="J180" s="18" t="inlineStr">
        <is>
          <t>Tờ 11
File 5</t>
        </is>
      </c>
      <c r="K180" s="18" t="inlineStr">
        <is>
          <t>Bottom roof overall dimension</t>
        </is>
      </c>
      <c r="L180" s="18" t="inlineStr">
        <is>
          <t>54736</t>
        </is>
      </c>
      <c r="M180" s="18" t="inlineStr">
        <is>
          <t>915+53016+805=54736. Conflicts with top overall54794 on the same sheet.</t>
        </is>
      </c>
    </row>
    <row r="181" ht="48" customHeight="1">
      <c r="A181" s="18" t="inlineStr">
        <is>
          <t>P174</t>
        </is>
      </c>
      <c r="B181" s="18" t="inlineStr">
        <is>
          <t>Kích thước bao mặt bằng mái
Roof-plan exterior length</t>
        </is>
      </c>
      <c r="C181" s="18" t="inlineStr">
        <is>
          <t>overall_length</t>
        </is>
      </c>
      <c r="D181" s="18" t="inlineStr">
        <is>
          <t>Model: X
Source: longitudinal
front exterior edge → rear exterior edge</t>
        </is>
      </c>
      <c r="E181" s="37" t="n">
        <v>54794</v>
      </c>
      <c r="F181" s="25" t="inlineStr">
        <is>
          <t>mm</t>
        </is>
      </c>
      <c r="G181" s="38" t="n">
        <f>IF(COUNTBLANK(E181)&gt;0,"",E181)</f>
        <v>54794</v>
      </c>
      <c r="H181" s="39" t="n">
        <f>IF(COUNTBLANK(G181)&gt;0,"",G181/1000)</f>
        <v>54.794</v>
      </c>
      <c r="I181" s="18" t="inlineStr">
        <is>
          <t>Ghi trên bản vẽ / Explicit</t>
        </is>
      </c>
      <c r="J181" s="18" t="inlineStr">
        <is>
          <t>Tờ 11
File 5</t>
        </is>
      </c>
      <c r="K181" s="18" t="inlineStr">
        <is>
          <t>Top roof overall dimension</t>
        </is>
      </c>
      <c r="L181" s="18" t="inlineStr">
        <is>
          <t>54794</t>
        </is>
      </c>
      <c r="M181" s="18" t="inlineStr">
        <is>
          <t>SOURCE CONFLICT: differs58mm from bottom overall54736. Preserve both pending architect confirmation.</t>
        </is>
      </c>
    </row>
    <row r="182" ht="36" customHeight="1">
      <c r="A182" s="18" t="inlineStr">
        <is>
          <t>P175</t>
        </is>
      </c>
      <c r="B182" s="18" t="inlineStr">
        <is>
          <t>Cánh ngang mái
Roof side projection</t>
        </is>
      </c>
      <c r="C182" s="18" t="inlineStr">
        <is>
          <t>longitudinal_dimension</t>
        </is>
      </c>
      <c r="D182" s="18" t="inlineStr">
        <is>
          <t>Model: X
Source: longitudinal
wing front edge → 9</t>
        </is>
      </c>
      <c r="E182" s="37" t="n">
        <v>995</v>
      </c>
      <c r="F182" s="25" t="inlineStr">
        <is>
          <t>mm</t>
        </is>
      </c>
      <c r="G182" s="38" t="n">
        <f>IF(COUNTBLANK(E182)&gt;0,"",E182)</f>
        <v>995</v>
      </c>
      <c r="H182" s="39" t="n">
        <f>IF(COUNTBLANK(G182)&gt;0,"",G182/1000)</f>
        <v>0.995</v>
      </c>
      <c r="I182" s="18" t="inlineStr">
        <is>
          <t>Ghi trên bản vẽ / Explicit</t>
        </is>
      </c>
      <c r="J182" s="18" t="inlineStr">
        <is>
          <t>Tờ 11
File 5</t>
        </is>
      </c>
      <c r="K182" s="18" t="inlineStr">
        <is>
          <t>Top dimensions at9–10 wing</t>
        </is>
      </c>
      <c r="L182" s="18" t="inlineStr">
        <is>
          <t>995</t>
        </is>
      </c>
      <c r="M182" s="18" t="inlineStr">
        <is>
          <t>995+7200+993=9188.</t>
        </is>
      </c>
    </row>
    <row r="183" ht="36" customHeight="1">
      <c r="A183" s="18" t="inlineStr">
        <is>
          <t>P176</t>
        </is>
      </c>
      <c r="B183" s="18" t="inlineStr">
        <is>
          <t>Cánh ngang mái
Roof side projection</t>
        </is>
      </c>
      <c r="C183" s="18" t="inlineStr">
        <is>
          <t>longitudinal_dimension</t>
        </is>
      </c>
      <c r="D183" s="18" t="inlineStr">
        <is>
          <t>Model: X
Source: longitudinal
9 → 10</t>
        </is>
      </c>
      <c r="E183" s="37" t="n">
        <v>7200</v>
      </c>
      <c r="F183" s="25" t="inlineStr">
        <is>
          <t>mm</t>
        </is>
      </c>
      <c r="G183" s="38" t="n">
        <f>IF(COUNTBLANK(E183)&gt;0,"",E183)</f>
        <v>7200</v>
      </c>
      <c r="H183" s="39" t="n">
        <f>IF(COUNTBLANK(G183)&gt;0,"",G183/1000)</f>
        <v>7.2</v>
      </c>
      <c r="I183" s="18" t="inlineStr">
        <is>
          <t>Ghi trên bản vẽ / Explicit</t>
        </is>
      </c>
      <c r="J183" s="18" t="inlineStr">
        <is>
          <t>Tờ 11
File 5</t>
        </is>
      </c>
      <c r="K183" s="18" t="inlineStr">
        <is>
          <t>Top dimensions at9–10 wing</t>
        </is>
      </c>
      <c r="L183" s="18" t="inlineStr">
        <is>
          <t>7200</t>
        </is>
      </c>
      <c r="M183" s="18" t="inlineStr">
        <is>
          <t>995+7200+993=9188.</t>
        </is>
      </c>
    </row>
    <row r="184" ht="36" customHeight="1">
      <c r="A184" s="18" t="inlineStr">
        <is>
          <t>P177</t>
        </is>
      </c>
      <c r="B184" s="18" t="inlineStr">
        <is>
          <t>Cánh ngang mái
Roof side projection</t>
        </is>
      </c>
      <c r="C184" s="18" t="inlineStr">
        <is>
          <t>longitudinal_dimension</t>
        </is>
      </c>
      <c r="D184" s="18" t="inlineStr">
        <is>
          <t>Model: X
Source: longitudinal
10 → wing rear edge</t>
        </is>
      </c>
      <c r="E184" s="37" t="n">
        <v>993</v>
      </c>
      <c r="F184" s="25" t="inlineStr">
        <is>
          <t>mm</t>
        </is>
      </c>
      <c r="G184" s="38" t="n">
        <f>IF(COUNTBLANK(E184)&gt;0,"",E184)</f>
        <v>993</v>
      </c>
      <c r="H184" s="39" t="n">
        <f>IF(COUNTBLANK(G184)&gt;0,"",G184/1000)</f>
        <v>0.993</v>
      </c>
      <c r="I184" s="18" t="inlineStr">
        <is>
          <t>Ghi trên bản vẽ / Explicit</t>
        </is>
      </c>
      <c r="J184" s="18" t="inlineStr">
        <is>
          <t>Tờ 11
File 5</t>
        </is>
      </c>
      <c r="K184" s="18" t="inlineStr">
        <is>
          <t>Top dimensions at9–10 wing</t>
        </is>
      </c>
      <c r="L184" s="18" t="inlineStr">
        <is>
          <t>993</t>
        </is>
      </c>
      <c r="M184" s="18" t="inlineStr">
        <is>
          <t>995+7200+993=9188.</t>
        </is>
      </c>
    </row>
    <row r="185" ht="36" customHeight="1">
      <c r="A185" s="18" t="inlineStr">
        <is>
          <t>P178</t>
        </is>
      </c>
      <c r="B185" s="18" t="inlineStr">
        <is>
          <t>Cánh ngang mái
Roof side projection</t>
        </is>
      </c>
      <c r="C185" s="18" t="inlineStr">
        <is>
          <t>longitudinal_dimension</t>
        </is>
      </c>
      <c r="D185" s="18" t="inlineStr">
        <is>
          <t>Model: X
Source: longitudinal
wing front edge → wing rear edge</t>
        </is>
      </c>
      <c r="E185" s="37" t="n">
        <v>9188</v>
      </c>
      <c r="F185" s="25" t="inlineStr">
        <is>
          <t>mm</t>
        </is>
      </c>
      <c r="G185" s="38" t="n">
        <f>IF(COUNTBLANK(E185)&gt;0,"",E185)</f>
        <v>9188</v>
      </c>
      <c r="H185" s="39" t="n">
        <f>IF(COUNTBLANK(G185)&gt;0,"",G185/1000)</f>
        <v>9.188</v>
      </c>
      <c r="I185" s="18" t="inlineStr">
        <is>
          <t>Ghi trên bản vẽ / Explicit</t>
        </is>
      </c>
      <c r="J185" s="18" t="inlineStr">
        <is>
          <t>Tờ 11
File 5</t>
        </is>
      </c>
      <c r="K185" s="18" t="inlineStr">
        <is>
          <t>Top dimensions at9–10 wing</t>
        </is>
      </c>
      <c r="L185" s="18" t="inlineStr">
        <is>
          <t>9188</t>
        </is>
      </c>
      <c r="M185" s="18" t="inlineStr">
        <is>
          <t>995+7200+993=9188.</t>
        </is>
      </c>
    </row>
    <row r="186" ht="36" customHeight="1">
      <c r="A186" s="18" t="inlineStr">
        <is>
          <t>P179</t>
        </is>
      </c>
      <c r="B186" s="18" t="inlineStr">
        <is>
          <t>Kích thước ngang mặt bằng mái
Roof-plan transverse dimensions</t>
        </is>
      </c>
      <c r="C186" s="18" t="inlineStr">
        <is>
          <t>edge_offset</t>
        </is>
      </c>
      <c r="D186" s="18" t="inlineStr">
        <is>
          <t>Model: Z
Source: transverse
upper main exterior edge → H</t>
        </is>
      </c>
      <c r="E186" s="37" t="n">
        <v>832</v>
      </c>
      <c r="F186" s="25" t="inlineStr">
        <is>
          <t>mm</t>
        </is>
      </c>
      <c r="G186" s="38" t="n">
        <f>IF(COUNTBLANK(E186)&gt;0,"",E186)</f>
        <v>832</v>
      </c>
      <c r="H186" s="39" t="n">
        <f>IF(COUNTBLANK(G186)&gt;0,"",G186/1000)</f>
        <v>0.832</v>
      </c>
      <c r="I186" s="18" t="inlineStr">
        <is>
          <t>Ghi trên bản vẽ / Explicit</t>
        </is>
      </c>
      <c r="J186" s="18" t="inlineStr">
        <is>
          <t>Tờ 11
File 5</t>
        </is>
      </c>
      <c r="K186" s="18" t="inlineStr">
        <is>
          <t>Right-side transverse dimension chains</t>
        </is>
      </c>
      <c r="L186" s="18" t="inlineStr">
        <is>
          <t>832</t>
        </is>
      </c>
      <c r="M186" s="18" t="str"/>
    </row>
    <row r="187" ht="36" customHeight="1">
      <c r="A187" s="18" t="inlineStr">
        <is>
          <t>P180</t>
        </is>
      </c>
      <c r="B187" s="18" t="inlineStr">
        <is>
          <t>Kích thước ngang mặt bằng mái
Roof-plan transverse dimensions</t>
        </is>
      </c>
      <c r="C187" s="18" t="inlineStr">
        <is>
          <t>axis_spacing</t>
        </is>
      </c>
      <c r="D187" s="18" t="inlineStr">
        <is>
          <t>Model: Z
Source: transverse
H → G</t>
        </is>
      </c>
      <c r="E187" s="37" t="n">
        <v>3054</v>
      </c>
      <c r="F187" s="25" t="inlineStr">
        <is>
          <t>mm</t>
        </is>
      </c>
      <c r="G187" s="38" t="n">
        <f>IF(COUNTBLANK(E187)&gt;0,"",E187)</f>
        <v>3054</v>
      </c>
      <c r="H187" s="39" t="n">
        <f>IF(COUNTBLANK(G187)&gt;0,"",G187/1000)</f>
        <v>3.054</v>
      </c>
      <c r="I187" s="18" t="inlineStr">
        <is>
          <t>Ghi trên bản vẽ / Explicit</t>
        </is>
      </c>
      <c r="J187" s="18" t="inlineStr">
        <is>
          <t>Tờ 11
File 5</t>
        </is>
      </c>
      <c r="K187" s="18" t="inlineStr">
        <is>
          <t>Right-side transverse dimension chains</t>
        </is>
      </c>
      <c r="L187" s="18" t="inlineStr">
        <is>
          <t>3054</t>
        </is>
      </c>
      <c r="M187" s="18" t="str"/>
    </row>
    <row r="188" ht="36" customHeight="1">
      <c r="A188" s="18" t="inlineStr">
        <is>
          <t>P181</t>
        </is>
      </c>
      <c r="B188" s="18" t="inlineStr">
        <is>
          <t>Kích thước ngang mặt bằng mái
Roof-plan transverse dimensions</t>
        </is>
      </c>
      <c r="C188" s="18" t="inlineStr">
        <is>
          <t>axis_spacing</t>
        </is>
      </c>
      <c r="D188" s="18" t="inlineStr">
        <is>
          <t>Model: Z
Source: transverse
G → E</t>
        </is>
      </c>
      <c r="E188" s="37" t="n">
        <v>3760</v>
      </c>
      <c r="F188" s="25" t="inlineStr">
        <is>
          <t>mm</t>
        </is>
      </c>
      <c r="G188" s="38" t="n">
        <f>IF(COUNTBLANK(E188)&gt;0,"",E188)</f>
        <v>3760</v>
      </c>
      <c r="H188" s="39" t="n">
        <f>IF(COUNTBLANK(G188)&gt;0,"",G188/1000)</f>
        <v>3.76</v>
      </c>
      <c r="I188" s="18" t="inlineStr">
        <is>
          <t>Ghi trên bản vẽ / Explicit</t>
        </is>
      </c>
      <c r="J188" s="18" t="inlineStr">
        <is>
          <t>Tờ 11
File 5</t>
        </is>
      </c>
      <c r="K188" s="18" t="inlineStr">
        <is>
          <t>Right-side transverse dimension chains</t>
        </is>
      </c>
      <c r="L188" s="18" t="inlineStr">
        <is>
          <t>3760</t>
        </is>
      </c>
      <c r="M188" s="18" t="str"/>
    </row>
    <row r="189" ht="36" customHeight="1">
      <c r="A189" s="18" t="inlineStr">
        <is>
          <t>P182</t>
        </is>
      </c>
      <c r="B189" s="18" t="inlineStr">
        <is>
          <t>Kích thước ngang mặt bằng mái
Roof-plan transverse dimensions</t>
        </is>
      </c>
      <c r="C189" s="18" t="inlineStr">
        <is>
          <t>axis_spacing</t>
        </is>
      </c>
      <c r="D189" s="18" t="inlineStr">
        <is>
          <t>Model: Z
Source: transverse
E → D</t>
        </is>
      </c>
      <c r="E189" s="37" t="n">
        <v>7200</v>
      </c>
      <c r="F189" s="25" t="inlineStr">
        <is>
          <t>mm</t>
        </is>
      </c>
      <c r="G189" s="38" t="n">
        <f>IF(COUNTBLANK(E189)&gt;0,"",E189)</f>
        <v>7200</v>
      </c>
      <c r="H189" s="39" t="n">
        <f>IF(COUNTBLANK(G189)&gt;0,"",G189/1000)</f>
        <v>7.2</v>
      </c>
      <c r="I189" s="18" t="inlineStr">
        <is>
          <t>Ghi trên bản vẽ / Explicit</t>
        </is>
      </c>
      <c r="J189" s="18" t="inlineStr">
        <is>
          <t>Tờ 11
File 5</t>
        </is>
      </c>
      <c r="K189" s="18" t="inlineStr">
        <is>
          <t>Right-side transverse dimension chains</t>
        </is>
      </c>
      <c r="L189" s="18" t="inlineStr">
        <is>
          <t>7200</t>
        </is>
      </c>
      <c r="M189" s="18" t="str"/>
    </row>
    <row r="190" ht="36" customHeight="1">
      <c r="A190" s="18" t="inlineStr">
        <is>
          <t>P183</t>
        </is>
      </c>
      <c r="B190" s="18" t="inlineStr">
        <is>
          <t>Kích thước ngang mặt bằng mái
Roof-plan transverse dimensions</t>
        </is>
      </c>
      <c r="C190" s="18" t="inlineStr">
        <is>
          <t>axis_spacing</t>
        </is>
      </c>
      <c r="D190" s="18" t="inlineStr">
        <is>
          <t>Model: Z
Source: transverse
D → C</t>
        </is>
      </c>
      <c r="E190" s="37" t="n">
        <v>3760</v>
      </c>
      <c r="F190" s="25" t="inlineStr">
        <is>
          <t>mm</t>
        </is>
      </c>
      <c r="G190" s="38" t="n">
        <f>IF(COUNTBLANK(E190)&gt;0,"",E190)</f>
        <v>3760</v>
      </c>
      <c r="H190" s="39" t="n">
        <f>IF(COUNTBLANK(G190)&gt;0,"",G190/1000)</f>
        <v>3.76</v>
      </c>
      <c r="I190" s="18" t="inlineStr">
        <is>
          <t>Ghi trên bản vẽ / Explicit</t>
        </is>
      </c>
      <c r="J190" s="18" t="inlineStr">
        <is>
          <t>Tờ 11
File 5</t>
        </is>
      </c>
      <c r="K190" s="18" t="inlineStr">
        <is>
          <t>Right-side transverse dimension chains</t>
        </is>
      </c>
      <c r="L190" s="18" t="inlineStr">
        <is>
          <t>3760</t>
        </is>
      </c>
      <c r="M190" s="18" t="str"/>
    </row>
    <row r="191" ht="36" customHeight="1">
      <c r="A191" s="18" t="inlineStr">
        <is>
          <t>P184</t>
        </is>
      </c>
      <c r="B191" s="18" t="inlineStr">
        <is>
          <t>Kích thước ngang mặt bằng mái
Roof-plan transverse dimensions</t>
        </is>
      </c>
      <c r="C191" s="18" t="inlineStr">
        <is>
          <t>axis_spacing</t>
        </is>
      </c>
      <c r="D191" s="18" t="inlineStr">
        <is>
          <t>Model: Z
Source: transverse
C → B</t>
        </is>
      </c>
      <c r="E191" s="37" t="n">
        <v>3054</v>
      </c>
      <c r="F191" s="25" t="inlineStr">
        <is>
          <t>mm</t>
        </is>
      </c>
      <c r="G191" s="38" t="n">
        <f>IF(COUNTBLANK(E191)&gt;0,"",E191)</f>
        <v>3054</v>
      </c>
      <c r="H191" s="39" t="n">
        <f>IF(COUNTBLANK(G191)&gt;0,"",G191/1000)</f>
        <v>3.054</v>
      </c>
      <c r="I191" s="18" t="inlineStr">
        <is>
          <t>Ghi trên bản vẽ / Explicit</t>
        </is>
      </c>
      <c r="J191" s="18" t="inlineStr">
        <is>
          <t>Tờ 11
File 5</t>
        </is>
      </c>
      <c r="K191" s="18" t="inlineStr">
        <is>
          <t>Right-side transverse dimension chains</t>
        </is>
      </c>
      <c r="L191" s="18" t="inlineStr">
        <is>
          <t>3054</t>
        </is>
      </c>
      <c r="M191" s="18" t="str"/>
    </row>
    <row r="192" ht="36" customHeight="1">
      <c r="A192" s="18" t="inlineStr">
        <is>
          <t>P185</t>
        </is>
      </c>
      <c r="B192" s="18" t="inlineStr">
        <is>
          <t>Kích thước ngang mặt bằng mái
Roof-plan transverse dimensions</t>
        </is>
      </c>
      <c r="C192" s="18" t="inlineStr">
        <is>
          <t>edge_offset</t>
        </is>
      </c>
      <c r="D192" s="18" t="inlineStr">
        <is>
          <t>Model: Z
Source: transverse
B → lower main exterior edge</t>
        </is>
      </c>
      <c r="E192" s="37" t="n">
        <v>829</v>
      </c>
      <c r="F192" s="25" t="inlineStr">
        <is>
          <t>mm</t>
        </is>
      </c>
      <c r="G192" s="38" t="n">
        <f>IF(COUNTBLANK(E192)&gt;0,"",E192)</f>
        <v>829</v>
      </c>
      <c r="H192" s="39" t="n">
        <f>IF(COUNTBLANK(G192)&gt;0,"",G192/1000)</f>
        <v>0.829</v>
      </c>
      <c r="I192" s="18" t="inlineStr">
        <is>
          <t>Ghi trên bản vẽ / Explicit</t>
        </is>
      </c>
      <c r="J192" s="18" t="inlineStr">
        <is>
          <t>Tờ 11
File 5</t>
        </is>
      </c>
      <c r="K192" s="18" t="inlineStr">
        <is>
          <t>Right-side transverse dimension chains</t>
        </is>
      </c>
      <c r="L192" s="18" t="inlineStr">
        <is>
          <t>829</t>
        </is>
      </c>
      <c r="M192" s="18" t="str"/>
    </row>
    <row r="193" ht="48" customHeight="1">
      <c r="A193" s="18" t="inlineStr">
        <is>
          <t>P186</t>
        </is>
      </c>
      <c r="B193" s="18" t="inlineStr">
        <is>
          <t>Kích thước ngang mặt bằng mái
Roof-plan transverse dimensions</t>
        </is>
      </c>
      <c r="C193" s="18" t="inlineStr">
        <is>
          <t>overall_width</t>
        </is>
      </c>
      <c r="D193" s="18" t="inlineStr">
        <is>
          <t>Model: Z
Source: transverse
upper main exterior edge → lower main exterior edge</t>
        </is>
      </c>
      <c r="E193" s="37" t="n">
        <v>22489</v>
      </c>
      <c r="F193" s="25" t="inlineStr">
        <is>
          <t>mm</t>
        </is>
      </c>
      <c r="G193" s="38" t="n">
        <f>IF(COUNTBLANK(E193)&gt;0,"",E193)</f>
        <v>22489</v>
      </c>
      <c r="H193" s="39" t="n">
        <f>IF(COUNTBLANK(G193)&gt;0,"",G193/1000)</f>
        <v>22.489</v>
      </c>
      <c r="I193" s="18" t="inlineStr">
        <is>
          <t>Ghi trên bản vẽ / Explicit</t>
        </is>
      </c>
      <c r="J193" s="18" t="inlineStr">
        <is>
          <t>Tờ 11
File 5</t>
        </is>
      </c>
      <c r="K193" s="18" t="inlineStr">
        <is>
          <t>Right-side transverse dimension chains</t>
        </is>
      </c>
      <c r="L193" s="18" t="inlineStr">
        <is>
          <t>22489</t>
        </is>
      </c>
      <c r="M193" s="18" t="str"/>
    </row>
    <row r="194" ht="48" customHeight="1">
      <c r="A194" s="18" t="inlineStr">
        <is>
          <t>P187</t>
        </is>
      </c>
      <c r="B194" s="18" t="inlineStr">
        <is>
          <t>Kích thước ngang mặt bằng mái
Roof-plan transverse dimensions</t>
        </is>
      </c>
      <c r="C194" s="18" t="inlineStr">
        <is>
          <t>overall_width</t>
        </is>
      </c>
      <c r="D194" s="18" t="inlineStr">
        <is>
          <t>Model: Z
Source: transverse
upper wing exterior edge → lower wing exterior edge</t>
        </is>
      </c>
      <c r="E194" s="37" t="n">
        <v>28158</v>
      </c>
      <c r="F194" s="25" t="inlineStr">
        <is>
          <t>mm</t>
        </is>
      </c>
      <c r="G194" s="38" t="n">
        <f>IF(COUNTBLANK(E194)&gt;0,"",E194)</f>
        <v>28158</v>
      </c>
      <c r="H194" s="39" t="n">
        <f>IF(COUNTBLANK(G194)&gt;0,"",G194/1000)</f>
        <v>28.158</v>
      </c>
      <c r="I194" s="18" t="inlineStr">
        <is>
          <t>Ghi trên bản vẽ / Explicit</t>
        </is>
      </c>
      <c r="J194" s="18" t="inlineStr">
        <is>
          <t>Tờ 11
File 5</t>
        </is>
      </c>
      <c r="K194" s="18" t="inlineStr">
        <is>
          <t>Right-side transverse dimension chains</t>
        </is>
      </c>
      <c r="L194" s="18" t="inlineStr">
        <is>
          <t>28158</t>
        </is>
      </c>
      <c r="M194" s="18" t="str"/>
    </row>
    <row r="195" ht="36" customHeight="1">
      <c r="A195" s="18" t="inlineStr">
        <is>
          <t>P188</t>
        </is>
      </c>
      <c r="B195" s="18" t="inlineStr">
        <is>
          <t>Mặt tiền tại cao độ mái
Front facade roof-level plan</t>
        </is>
      </c>
      <c r="C195" s="18" t="inlineStr">
        <is>
          <t>chain_segment</t>
        </is>
      </c>
      <c r="D195" s="18" t="inlineStr">
        <is>
          <t>Model: Z
Source: transverse
upper outside edge → I</t>
        </is>
      </c>
      <c r="E195" s="37" t="n">
        <v>269</v>
      </c>
      <c r="F195" s="25" t="inlineStr">
        <is>
          <t>mm</t>
        </is>
      </c>
      <c r="G195" s="38" t="n">
        <f>IF(COUNTBLANK(E195)&gt;0,"",E195)</f>
        <v>269</v>
      </c>
      <c r="H195" s="39" t="n">
        <f>IF(COUNTBLANK(G195)&gt;0,"",G195/1000)</f>
        <v>0.269</v>
      </c>
      <c r="I195" s="18" t="inlineStr">
        <is>
          <t>Ghi trên bản vẽ / Explicit</t>
        </is>
      </c>
      <c r="J195" s="18" t="inlineStr">
        <is>
          <t>Tờ 11
File 5</t>
        </is>
      </c>
      <c r="K195" s="18" t="inlineStr">
        <is>
          <t>Left roof-plan facade dimension chain</t>
        </is>
      </c>
      <c r="L195" s="18" t="inlineStr">
        <is>
          <t>269</t>
        </is>
      </c>
      <c r="M195" s="18" t="inlineStr">
        <is>
          <t>Independent front-facade chain, not the largest transept envelope.</t>
        </is>
      </c>
    </row>
    <row r="196" ht="36" customHeight="1">
      <c r="A196" s="18" t="inlineStr">
        <is>
          <t>P189</t>
        </is>
      </c>
      <c r="B196" s="18" t="inlineStr">
        <is>
          <t>Mặt tiền tại cao độ mái
Front facade roof-level plan</t>
        </is>
      </c>
      <c r="C196" s="18" t="inlineStr">
        <is>
          <t>chain_segment</t>
        </is>
      </c>
      <c r="D196" s="18" t="inlineStr">
        <is>
          <t>Model: Z
Source: transverse
I → upper tower column center</t>
        </is>
      </c>
      <c r="E196" s="37" t="n">
        <v>711</v>
      </c>
      <c r="F196" s="25" t="inlineStr">
        <is>
          <t>mm</t>
        </is>
      </c>
      <c r="G196" s="38" t="n">
        <f>IF(COUNTBLANK(E196)&gt;0,"",E196)</f>
        <v>711</v>
      </c>
      <c r="H196" s="39" t="n">
        <f>IF(COUNTBLANK(G196)&gt;0,"",G196/1000)</f>
        <v>0.711</v>
      </c>
      <c r="I196" s="18" t="inlineStr">
        <is>
          <t>Ghi trên bản vẽ / Explicit</t>
        </is>
      </c>
      <c r="J196" s="18" t="inlineStr">
        <is>
          <t>Tờ 11
File 5</t>
        </is>
      </c>
      <c r="K196" s="18" t="inlineStr">
        <is>
          <t>Left roof-plan facade dimension chain</t>
        </is>
      </c>
      <c r="L196" s="18" t="inlineStr">
        <is>
          <t>711</t>
        </is>
      </c>
      <c r="M196" s="18" t="inlineStr">
        <is>
          <t>Independent front-facade chain, not the largest transept envelope.</t>
        </is>
      </c>
    </row>
    <row r="197" ht="36" customHeight="1">
      <c r="A197" s="18" t="inlineStr">
        <is>
          <t>P190</t>
        </is>
      </c>
      <c r="B197" s="18" t="inlineStr">
        <is>
          <t>Mặt tiền tại cao độ mái
Front facade roof-level plan</t>
        </is>
      </c>
      <c r="C197" s="18" t="inlineStr">
        <is>
          <t>chain_segment</t>
        </is>
      </c>
      <c r="D197" s="18" t="inlineStr">
        <is>
          <t>Model: Z
Source: transverse
upper tower column center → H</t>
        </is>
      </c>
      <c r="E197" s="37" t="n">
        <v>2124</v>
      </c>
      <c r="F197" s="25" t="inlineStr">
        <is>
          <t>mm</t>
        </is>
      </c>
      <c r="G197" s="38" t="n">
        <f>IF(COUNTBLANK(E197)&gt;0,"",E197)</f>
        <v>2124</v>
      </c>
      <c r="H197" s="39" t="n">
        <f>IF(COUNTBLANK(G197)&gt;0,"",G197/1000)</f>
        <v>2.124</v>
      </c>
      <c r="I197" s="18" t="inlineStr">
        <is>
          <t>Ghi trên bản vẽ / Explicit</t>
        </is>
      </c>
      <c r="J197" s="18" t="inlineStr">
        <is>
          <t>Tờ 11
File 5</t>
        </is>
      </c>
      <c r="K197" s="18" t="inlineStr">
        <is>
          <t>Left roof-plan facade dimension chain</t>
        </is>
      </c>
      <c r="L197" s="18" t="inlineStr">
        <is>
          <t>2124</t>
        </is>
      </c>
      <c r="M197" s="18" t="inlineStr">
        <is>
          <t>Independent front-facade chain, not the largest transept envelope.</t>
        </is>
      </c>
    </row>
    <row r="198" ht="48" customHeight="1">
      <c r="A198" s="18" t="inlineStr">
        <is>
          <t>P191</t>
        </is>
      </c>
      <c r="B198" s="18" t="inlineStr">
        <is>
          <t>Mặt tiền tại cao độ mái
Front facade roof-level plan</t>
        </is>
      </c>
      <c r="C198" s="18" t="inlineStr">
        <is>
          <t>chain_segment</t>
        </is>
      </c>
      <c r="D198" s="18" t="inlineStr">
        <is>
          <t>Model: Z
Source: transverse
H → upper tower inner column center</t>
        </is>
      </c>
      <c r="E198" s="37" t="n">
        <v>2711</v>
      </c>
      <c r="F198" s="25" t="inlineStr">
        <is>
          <t>mm</t>
        </is>
      </c>
      <c r="G198" s="38" t="n">
        <f>IF(COUNTBLANK(E198)&gt;0,"",E198)</f>
        <v>2711</v>
      </c>
      <c r="H198" s="39" t="n">
        <f>IF(COUNTBLANK(G198)&gt;0,"",G198/1000)</f>
        <v>2.711</v>
      </c>
      <c r="I198" s="18" t="inlineStr">
        <is>
          <t>Ghi trên bản vẽ / Explicit</t>
        </is>
      </c>
      <c r="J198" s="18" t="inlineStr">
        <is>
          <t>Tờ 11
File 5</t>
        </is>
      </c>
      <c r="K198" s="18" t="inlineStr">
        <is>
          <t>Left roof-plan facade dimension chain</t>
        </is>
      </c>
      <c r="L198" s="18" t="inlineStr">
        <is>
          <t>2711</t>
        </is>
      </c>
      <c r="M198" s="18" t="inlineStr">
        <is>
          <t>Independent front-facade chain, not the largest transept envelope.</t>
        </is>
      </c>
    </row>
    <row r="199" ht="48" customHeight="1">
      <c r="A199" s="18" t="inlineStr">
        <is>
          <t>P192</t>
        </is>
      </c>
      <c r="B199" s="18" t="inlineStr">
        <is>
          <t>Mặt tiền tại cao độ mái
Front facade roof-level plan</t>
        </is>
      </c>
      <c r="C199" s="18" t="inlineStr">
        <is>
          <t>chain_segment</t>
        </is>
      </c>
      <c r="D199" s="18" t="inlineStr">
        <is>
          <t>Model: Z
Source: transverse
upper tower inner column center → G</t>
        </is>
      </c>
      <c r="E199" s="37" t="n">
        <v>343</v>
      </c>
      <c r="F199" s="25" t="inlineStr">
        <is>
          <t>mm</t>
        </is>
      </c>
      <c r="G199" s="38" t="n">
        <f>IF(COUNTBLANK(E199)&gt;0,"",E199)</f>
        <v>343</v>
      </c>
      <c r="H199" s="39" t="n">
        <f>IF(COUNTBLANK(G199)&gt;0,"",G199/1000)</f>
        <v>0.343</v>
      </c>
      <c r="I199" s="18" t="inlineStr">
        <is>
          <t>Ghi trên bản vẽ / Explicit</t>
        </is>
      </c>
      <c r="J199" s="18" t="inlineStr">
        <is>
          <t>Tờ 11
File 5</t>
        </is>
      </c>
      <c r="K199" s="18" t="inlineStr">
        <is>
          <t>Left roof-plan facade dimension chain</t>
        </is>
      </c>
      <c r="L199" s="18" t="inlineStr">
        <is>
          <t>343</t>
        </is>
      </c>
      <c r="M199" s="18" t="inlineStr">
        <is>
          <t>Independent front-facade chain, not the largest transept envelope.</t>
        </is>
      </c>
    </row>
    <row r="200" ht="36" customHeight="1">
      <c r="A200" s="18" t="inlineStr">
        <is>
          <t>P193</t>
        </is>
      </c>
      <c r="B200" s="18" t="inlineStr">
        <is>
          <t>Mặt tiền tại cao độ mái
Front facade roof-level plan</t>
        </is>
      </c>
      <c r="C200" s="18" t="inlineStr">
        <is>
          <t>chain_segment</t>
        </is>
      </c>
      <c r="D200" s="18" t="inlineStr">
        <is>
          <t>Model: Z
Source: transverse
G → E</t>
        </is>
      </c>
      <c r="E200" s="37" t="n">
        <v>3760</v>
      </c>
      <c r="F200" s="25" t="inlineStr">
        <is>
          <t>mm</t>
        </is>
      </c>
      <c r="G200" s="38" t="n">
        <f>IF(COUNTBLANK(E200)&gt;0,"",E200)</f>
        <v>3760</v>
      </c>
      <c r="H200" s="39" t="n">
        <f>IF(COUNTBLANK(G200)&gt;0,"",G200/1000)</f>
        <v>3.76</v>
      </c>
      <c r="I200" s="18" t="inlineStr">
        <is>
          <t>Ghi trên bản vẽ / Explicit</t>
        </is>
      </c>
      <c r="J200" s="18" t="inlineStr">
        <is>
          <t>Tờ 11
File 5</t>
        </is>
      </c>
      <c r="K200" s="18" t="inlineStr">
        <is>
          <t>Left roof-plan facade dimension chain</t>
        </is>
      </c>
      <c r="L200" s="18" t="inlineStr">
        <is>
          <t>3760</t>
        </is>
      </c>
      <c r="M200" s="18" t="inlineStr">
        <is>
          <t>Independent front-facade chain, not the largest transept envelope.</t>
        </is>
      </c>
    </row>
    <row r="201" ht="36" customHeight="1">
      <c r="A201" s="18" t="inlineStr">
        <is>
          <t>P194</t>
        </is>
      </c>
      <c r="B201" s="18" t="inlineStr">
        <is>
          <t>Mặt tiền tại cao độ mái
Front facade roof-level plan</t>
        </is>
      </c>
      <c r="C201" s="18" t="inlineStr">
        <is>
          <t>chain_segment</t>
        </is>
      </c>
      <c r="D201" s="18" t="inlineStr">
        <is>
          <t>Model: Z
Source: transverse
E → central facade upper corner</t>
        </is>
      </c>
      <c r="E201" s="37" t="n">
        <v>621</v>
      </c>
      <c r="F201" s="25" t="inlineStr">
        <is>
          <t>mm</t>
        </is>
      </c>
      <c r="G201" s="38" t="n">
        <f>IF(COUNTBLANK(E201)&gt;0,"",E201)</f>
        <v>621</v>
      </c>
      <c r="H201" s="39" t="n">
        <f>IF(COUNTBLANK(G201)&gt;0,"",G201/1000)</f>
        <v>0.621</v>
      </c>
      <c r="I201" s="18" t="inlineStr">
        <is>
          <t>Ghi trên bản vẽ / Explicit</t>
        </is>
      </c>
      <c r="J201" s="18" t="inlineStr">
        <is>
          <t>Tờ 11
File 5</t>
        </is>
      </c>
      <c r="K201" s="18" t="inlineStr">
        <is>
          <t>Left roof-plan facade dimension chain</t>
        </is>
      </c>
      <c r="L201" s="18" t="inlineStr">
        <is>
          <t>621</t>
        </is>
      </c>
      <c r="M201" s="18" t="inlineStr">
        <is>
          <t>Independent front-facade chain, not the largest transept envelope.</t>
        </is>
      </c>
    </row>
    <row r="202" ht="48" customHeight="1">
      <c r="A202" s="18" t="inlineStr">
        <is>
          <t>P195</t>
        </is>
      </c>
      <c r="B202" s="18" t="inlineStr">
        <is>
          <t>Mặt tiền tại cao độ mái
Front facade roof-level plan</t>
        </is>
      </c>
      <c r="C202" s="18" t="inlineStr">
        <is>
          <t>chain_segment</t>
        </is>
      </c>
      <c r="D202" s="18" t="inlineStr">
        <is>
          <t>Model: Z
Source: transverse
central facade upper corner → central facade lower corner</t>
        </is>
      </c>
      <c r="E202" s="37" t="n">
        <v>5958</v>
      </c>
      <c r="F202" s="25" t="inlineStr">
        <is>
          <t>mm</t>
        </is>
      </c>
      <c r="G202" s="38" t="n">
        <f>IF(COUNTBLANK(E202)&gt;0,"",E202)</f>
        <v>5958</v>
      </c>
      <c r="H202" s="39" t="n">
        <f>IF(COUNTBLANK(G202)&gt;0,"",G202/1000)</f>
        <v>5.958</v>
      </c>
      <c r="I202" s="18" t="inlineStr">
        <is>
          <t>Ghi trên bản vẽ / Explicit</t>
        </is>
      </c>
      <c r="J202" s="18" t="inlineStr">
        <is>
          <t>Tờ 11
File 5</t>
        </is>
      </c>
      <c r="K202" s="18" t="inlineStr">
        <is>
          <t>Left roof-plan facade dimension chain</t>
        </is>
      </c>
      <c r="L202" s="18" t="inlineStr">
        <is>
          <t>5958</t>
        </is>
      </c>
      <c r="M202" s="18" t="inlineStr">
        <is>
          <t>Independent front-facade chain, not the largest transept envelope.</t>
        </is>
      </c>
    </row>
    <row r="203" ht="36" customHeight="1">
      <c r="A203" s="18" t="inlineStr">
        <is>
          <t>P196</t>
        </is>
      </c>
      <c r="B203" s="18" t="inlineStr">
        <is>
          <t>Mặt tiền tại cao độ mái
Front facade roof-level plan</t>
        </is>
      </c>
      <c r="C203" s="18" t="inlineStr">
        <is>
          <t>chain_segment</t>
        </is>
      </c>
      <c r="D203" s="18" t="inlineStr">
        <is>
          <t>Model: Z
Source: transverse
central facade lower corner → D</t>
        </is>
      </c>
      <c r="E203" s="37" t="n">
        <v>621</v>
      </c>
      <c r="F203" s="25" t="inlineStr">
        <is>
          <t>mm</t>
        </is>
      </c>
      <c r="G203" s="38" t="n">
        <f>IF(COUNTBLANK(E203)&gt;0,"",E203)</f>
        <v>621</v>
      </c>
      <c r="H203" s="39" t="n">
        <f>IF(COUNTBLANK(G203)&gt;0,"",G203/1000)</f>
        <v>0.621</v>
      </c>
      <c r="I203" s="18" t="inlineStr">
        <is>
          <t>Ghi trên bản vẽ / Explicit</t>
        </is>
      </c>
      <c r="J203" s="18" t="inlineStr">
        <is>
          <t>Tờ 11
File 5</t>
        </is>
      </c>
      <c r="K203" s="18" t="inlineStr">
        <is>
          <t>Left roof-plan facade dimension chain</t>
        </is>
      </c>
      <c r="L203" s="18" t="inlineStr">
        <is>
          <t>621</t>
        </is>
      </c>
      <c r="M203" s="18" t="inlineStr">
        <is>
          <t>Independent front-facade chain, not the largest transept envelope.</t>
        </is>
      </c>
    </row>
    <row r="204" ht="36" customHeight="1">
      <c r="A204" s="18" t="inlineStr">
        <is>
          <t>P197</t>
        </is>
      </c>
      <c r="B204" s="18" t="inlineStr">
        <is>
          <t>Mặt tiền tại cao độ mái
Front facade roof-level plan</t>
        </is>
      </c>
      <c r="C204" s="18" t="inlineStr">
        <is>
          <t>chain_segment</t>
        </is>
      </c>
      <c r="D204" s="18" t="inlineStr">
        <is>
          <t>Model: Z
Source: transverse
D → C</t>
        </is>
      </c>
      <c r="E204" s="37" t="n">
        <v>3760</v>
      </c>
      <c r="F204" s="25" t="inlineStr">
        <is>
          <t>mm</t>
        </is>
      </c>
      <c r="G204" s="38" t="n">
        <f>IF(COUNTBLANK(E204)&gt;0,"",E204)</f>
        <v>3760</v>
      </c>
      <c r="H204" s="39" t="n">
        <f>IF(COUNTBLANK(G204)&gt;0,"",G204/1000)</f>
        <v>3.76</v>
      </c>
      <c r="I204" s="18" t="inlineStr">
        <is>
          <t>Ghi trên bản vẽ / Explicit</t>
        </is>
      </c>
      <c r="J204" s="18" t="inlineStr">
        <is>
          <t>Tờ 11
File 5</t>
        </is>
      </c>
      <c r="K204" s="18" t="inlineStr">
        <is>
          <t>Left roof-plan facade dimension chain</t>
        </is>
      </c>
      <c r="L204" s="18" t="inlineStr">
        <is>
          <t>3760</t>
        </is>
      </c>
      <c r="M204" s="18" t="inlineStr">
        <is>
          <t>Independent front-facade chain, not the largest transept envelope.</t>
        </is>
      </c>
    </row>
    <row r="205" ht="36" customHeight="1">
      <c r="A205" s="18" t="inlineStr">
        <is>
          <t>P198</t>
        </is>
      </c>
      <c r="B205" s="18" t="inlineStr">
        <is>
          <t>Mặt tiền tại cao độ mái
Front facade roof-level plan</t>
        </is>
      </c>
      <c r="C205" s="18" t="inlineStr">
        <is>
          <t>chain_segment</t>
        </is>
      </c>
      <c r="D205" s="18" t="inlineStr">
        <is>
          <t>Model: Z
Source: transverse
C → B</t>
        </is>
      </c>
      <c r="E205" s="37" t="n">
        <v>3054</v>
      </c>
      <c r="F205" s="25" t="inlineStr">
        <is>
          <t>mm</t>
        </is>
      </c>
      <c r="G205" s="38" t="n">
        <f>IF(COUNTBLANK(E205)&gt;0,"",E205)</f>
        <v>3054</v>
      </c>
      <c r="H205" s="39" t="n">
        <f>IF(COUNTBLANK(G205)&gt;0,"",G205/1000)</f>
        <v>3.054</v>
      </c>
      <c r="I205" s="18" t="inlineStr">
        <is>
          <t>Ghi trên bản vẽ / Explicit</t>
        </is>
      </c>
      <c r="J205" s="18" t="inlineStr">
        <is>
          <t>Tờ 11
File 5</t>
        </is>
      </c>
      <c r="K205" s="18" t="inlineStr">
        <is>
          <t>Left roof-plan facade dimension chain</t>
        </is>
      </c>
      <c r="L205" s="18" t="inlineStr">
        <is>
          <t>3054</t>
        </is>
      </c>
      <c r="M205" s="18" t="inlineStr">
        <is>
          <t>Independent front-facade chain, not the largest transept envelope.</t>
        </is>
      </c>
    </row>
    <row r="206" ht="36" customHeight="1">
      <c r="A206" s="18" t="inlineStr">
        <is>
          <t>P199</t>
        </is>
      </c>
      <c r="B206" s="18" t="inlineStr">
        <is>
          <t>Mặt tiền tại cao độ mái
Front facade roof-level plan</t>
        </is>
      </c>
      <c r="C206" s="18" t="inlineStr">
        <is>
          <t>chain_segment</t>
        </is>
      </c>
      <c r="D206" s="18" t="inlineStr">
        <is>
          <t>Model: Z
Source: transverse
B → A</t>
        </is>
      </c>
      <c r="E206" s="37" t="n">
        <v>2835</v>
      </c>
      <c r="F206" s="25" t="inlineStr">
        <is>
          <t>mm</t>
        </is>
      </c>
      <c r="G206" s="38" t="n">
        <f>IF(COUNTBLANK(E206)&gt;0,"",E206)</f>
        <v>2835</v>
      </c>
      <c r="H206" s="39" t="n">
        <f>IF(COUNTBLANK(G206)&gt;0,"",G206/1000)</f>
        <v>2.835</v>
      </c>
      <c r="I206" s="18" t="inlineStr">
        <is>
          <t>Ghi trên bản vẽ / Explicit</t>
        </is>
      </c>
      <c r="J206" s="18" t="inlineStr">
        <is>
          <t>Tờ 11
File 5</t>
        </is>
      </c>
      <c r="K206" s="18" t="inlineStr">
        <is>
          <t>Left roof-plan facade dimension chain</t>
        </is>
      </c>
      <c r="L206" s="18" t="inlineStr">
        <is>
          <t>2835</t>
        </is>
      </c>
      <c r="M206" s="18" t="inlineStr">
        <is>
          <t>Independent front-facade chain, not the largest transept envelope.</t>
        </is>
      </c>
    </row>
    <row r="207" ht="36" customHeight="1">
      <c r="A207" s="18" t="inlineStr">
        <is>
          <t>P200</t>
        </is>
      </c>
      <c r="B207" s="18" t="inlineStr">
        <is>
          <t>Mặt tiền tại cao độ mái
Front facade roof-level plan</t>
        </is>
      </c>
      <c r="C207" s="18" t="inlineStr">
        <is>
          <t>chain_segment</t>
        </is>
      </c>
      <c r="D207" s="18" t="inlineStr">
        <is>
          <t>Model: Z
Source: transverse
A → lower outside edge</t>
        </is>
      </c>
      <c r="E207" s="37" t="n">
        <v>269</v>
      </c>
      <c r="F207" s="25" t="inlineStr">
        <is>
          <t>mm</t>
        </is>
      </c>
      <c r="G207" s="38" t="n">
        <f>IF(COUNTBLANK(E207)&gt;0,"",E207)</f>
        <v>269</v>
      </c>
      <c r="H207" s="39" t="n">
        <f>IF(COUNTBLANK(G207)&gt;0,"",G207/1000)</f>
        <v>0.269</v>
      </c>
      <c r="I207" s="18" t="inlineStr">
        <is>
          <t>Ghi trên bản vẽ / Explicit</t>
        </is>
      </c>
      <c r="J207" s="18" t="inlineStr">
        <is>
          <t>Tờ 11
File 5</t>
        </is>
      </c>
      <c r="K207" s="18" t="inlineStr">
        <is>
          <t>Left roof-plan facade dimension chain</t>
        </is>
      </c>
      <c r="L207" s="18" t="inlineStr">
        <is>
          <t>269</t>
        </is>
      </c>
      <c r="M207" s="18" t="inlineStr">
        <is>
          <t>Independent front-facade chain, not the largest transept envelope.</t>
        </is>
      </c>
    </row>
    <row r="208" ht="48" customHeight="1">
      <c r="A208" s="18" t="inlineStr">
        <is>
          <t>P201</t>
        </is>
      </c>
      <c r="B208" s="18" t="inlineStr">
        <is>
          <t>Mặt tiền tại cao độ mái
Front facade roof-level envelope</t>
        </is>
      </c>
      <c r="C208" s="18" t="inlineStr">
        <is>
          <t>overall_width</t>
        </is>
      </c>
      <c r="D208" s="18" t="inlineStr">
        <is>
          <t>Model: Z
Source: transverse
upper outside edge → lower outside edge</t>
        </is>
      </c>
      <c r="E208" s="37" t="n">
        <v>27036</v>
      </c>
      <c r="F208" s="25" t="inlineStr">
        <is>
          <t>mm</t>
        </is>
      </c>
      <c r="G208" s="38" t="n">
        <f>IF(COUNTBLANK(E208)&gt;0,"",E208)</f>
        <v>27036</v>
      </c>
      <c r="H208" s="39" t="n">
        <f>IF(COUNTBLANK(G208)&gt;0,"",G208/1000)</f>
        <v>27.036</v>
      </c>
      <c r="I208" s="18" t="inlineStr">
        <is>
          <t>Ghi trên bản vẽ / Explicit</t>
        </is>
      </c>
      <c r="J208" s="18" t="inlineStr">
        <is>
          <t>Tờ 11
File 5</t>
        </is>
      </c>
      <c r="K208" s="18" t="inlineStr">
        <is>
          <t>Left outermost roof-plan dimension</t>
        </is>
      </c>
      <c r="L208" s="18" t="inlineStr">
        <is>
          <t>27036</t>
        </is>
      </c>
      <c r="M208" s="18" t="inlineStr">
        <is>
          <t>269+711+2124+2711+343+3760+621+5958+621+3760+3054+2835+269=27036.</t>
        </is>
      </c>
    </row>
    <row r="209" ht="48" customHeight="1">
      <c r="A209" s="18" t="inlineStr">
        <is>
          <t>P202</t>
        </is>
      </c>
      <c r="B209" s="18" t="inlineStr">
        <is>
          <t>Gờ và khoảng lùi mặt tiền
Front facade ledge/setback</t>
        </is>
      </c>
      <c r="C209" s="18" t="inlineStr">
        <is>
          <t>local_offset</t>
        </is>
      </c>
      <c r="D209" s="18" t="inlineStr">
        <is>
          <t>Model: X
Source: longitudinal
front facade internal ledge line → facade reference near2</t>
        </is>
      </c>
      <c r="E209" s="37" t="n">
        <v>2295</v>
      </c>
      <c r="F209" s="25" t="inlineStr">
        <is>
          <t>mm</t>
        </is>
      </c>
      <c r="G209" s="38" t="n">
        <f>IF(COUNTBLANK(E209)&gt;0,"",E209)</f>
        <v>2295</v>
      </c>
      <c r="H209" s="39" t="n">
        <f>IF(COUNTBLANK(G209)&gt;0,"",G209/1000)</f>
        <v>2.295</v>
      </c>
      <c r="I209" s="18" t="inlineStr">
        <is>
          <t>Ghi trên bản vẽ / Explicit</t>
        </is>
      </c>
      <c r="J209" s="18" t="inlineStr">
        <is>
          <t>Tờ 11
File 5</t>
        </is>
      </c>
      <c r="K209" s="18" t="inlineStr">
        <is>
          <t>Front lower facade horizontal local dimension beside tower</t>
        </is>
      </c>
      <c r="L209" s="18" t="inlineStr">
        <is>
          <t>2295</t>
        </is>
      </c>
      <c r="M209" s="18" t="inlineStr">
        <is>
          <t>Local dimensions2295 and565; do not equate565 to grid2–2′575.</t>
        </is>
      </c>
    </row>
    <row r="210" ht="36" customHeight="1">
      <c r="A210" s="18" t="inlineStr">
        <is>
          <t>P203</t>
        </is>
      </c>
      <c r="B210" s="18" t="inlineStr">
        <is>
          <t>Gờ và khoảng lùi mặt tiền
Front facade ledge/setback</t>
        </is>
      </c>
      <c r="C210" s="18" t="inlineStr">
        <is>
          <t>local_offset</t>
        </is>
      </c>
      <c r="D210" s="18" t="inlineStr">
        <is>
          <t>Model: X
Source: longitudinal
facade reference near2 → 2′</t>
        </is>
      </c>
      <c r="E210" s="37" t="n">
        <v>565</v>
      </c>
      <c r="F210" s="25" t="inlineStr">
        <is>
          <t>mm</t>
        </is>
      </c>
      <c r="G210" s="38" t="n">
        <f>IF(COUNTBLANK(E210)&gt;0,"",E210)</f>
        <v>565</v>
      </c>
      <c r="H210" s="39" t="n">
        <f>IF(COUNTBLANK(G210)&gt;0,"",G210/1000)</f>
        <v>0.565</v>
      </c>
      <c r="I210" s="18" t="inlineStr">
        <is>
          <t>Ghi trên bản vẽ / Explicit</t>
        </is>
      </c>
      <c r="J210" s="18" t="inlineStr">
        <is>
          <t>Tờ 11
File 5</t>
        </is>
      </c>
      <c r="K210" s="18" t="inlineStr">
        <is>
          <t>Front lower facade horizontal local dimension beside tower</t>
        </is>
      </c>
      <c r="L210" s="18" t="inlineStr">
        <is>
          <t>565</t>
        </is>
      </c>
      <c r="M210" s="18" t="inlineStr">
        <is>
          <t>Local dimensions2295 and565; do not equate565 to grid2–2′575.</t>
        </is>
      </c>
    </row>
    <row r="211" ht="48" customHeight="1">
      <c r="A211" s="18" t="inlineStr">
        <is>
          <t>P204</t>
        </is>
      </c>
      <c r="B211" s="18" t="inlineStr">
        <is>
          <t>Cao độ mặt bằng mái
Front tower upper zone</t>
        </is>
      </c>
      <c r="C211" s="18" t="inlineStr">
        <is>
          <t>elevation</t>
        </is>
      </c>
      <c r="D211" s="18" t="inlineStr">
        <is>
          <t>Model: Y
Source: vertical
±0.000 datum → Front tower upper zone</t>
        </is>
      </c>
      <c r="E211" s="40" t="n">
        <v>8.39</v>
      </c>
      <c r="F211" s="25" t="inlineStr">
        <is>
          <t>m</t>
        </is>
      </c>
      <c r="G211" s="38" t="n">
        <f>IF(COUNTBLANK(E211)&gt;0,"",E211*1000)</f>
        <v>8390</v>
      </c>
      <c r="H211" s="39" t="n">
        <f>IF(COUNTBLANK(G211)&gt;0,"",G211/1000)</f>
        <v>8.39</v>
      </c>
      <c r="I211" s="18" t="inlineStr">
        <is>
          <t>Ghi trên bản vẽ / Explicit</t>
        </is>
      </c>
      <c r="J211" s="18" t="inlineStr">
        <is>
          <t>Tờ 11
File 5</t>
        </is>
      </c>
      <c r="K211" s="18" t="inlineStr">
        <is>
          <t>Upper front tower roof-plan area</t>
        </is>
      </c>
      <c r="L211" s="18" t="inlineStr">
        <is>
          <t>+8,390M</t>
        </is>
      </c>
      <c r="M211" s="18" t="inlineStr">
        <is>
          <t>Local facade/tower deck level, not the main roof ridge elevation.</t>
        </is>
      </c>
    </row>
    <row r="212" ht="48" customHeight="1">
      <c r="A212" s="18" t="inlineStr">
        <is>
          <t>P205</t>
        </is>
      </c>
      <c r="B212" s="18" t="inlineStr">
        <is>
          <t>Cao độ mặt bằng mái
Front tower lower zone</t>
        </is>
      </c>
      <c r="C212" s="18" t="inlineStr">
        <is>
          <t>elevation</t>
        </is>
      </c>
      <c r="D212" s="18" t="inlineStr">
        <is>
          <t>Model: Y
Source: vertical
±0.000 datum → Front tower lower zone</t>
        </is>
      </c>
      <c r="E212" s="40" t="n">
        <v>8.39</v>
      </c>
      <c r="F212" s="25" t="inlineStr">
        <is>
          <t>m</t>
        </is>
      </c>
      <c r="G212" s="38" t="n">
        <f>IF(COUNTBLANK(E212)&gt;0,"",E212*1000)</f>
        <v>8390</v>
      </c>
      <c r="H212" s="39" t="n">
        <f>IF(COUNTBLANK(G212)&gt;0,"",G212/1000)</f>
        <v>8.39</v>
      </c>
      <c r="I212" s="18" t="inlineStr">
        <is>
          <t>Ghi trên bản vẽ / Explicit</t>
        </is>
      </c>
      <c r="J212" s="18" t="inlineStr">
        <is>
          <t>Tờ 11
File 5</t>
        </is>
      </c>
      <c r="K212" s="18" t="inlineStr">
        <is>
          <t>Lower front tower roof-plan area</t>
        </is>
      </c>
      <c r="L212" s="18" t="inlineStr">
        <is>
          <t>+8,390M</t>
        </is>
      </c>
      <c r="M212" s="18" t="inlineStr">
        <is>
          <t>Local facade/tower deck level, not the main roof ridge elevation.</t>
        </is>
      </c>
    </row>
    <row r="213" ht="48" customHeight="1">
      <c r="A213" s="18" t="inlineStr">
        <is>
          <t>P206</t>
        </is>
      </c>
      <c r="B213" s="18" t="inlineStr">
        <is>
          <t>Cao độ mặt bằng mái
Front facade upper side recess</t>
        </is>
      </c>
      <c r="C213" s="18" t="inlineStr">
        <is>
          <t>elevation</t>
        </is>
      </c>
      <c r="D213" s="18" t="inlineStr">
        <is>
          <t>Model: Y
Source: vertical
±0.000 datum → Front facade upper side recess</t>
        </is>
      </c>
      <c r="E213" s="40" t="n">
        <v>9.53</v>
      </c>
      <c r="F213" s="25" t="inlineStr">
        <is>
          <t>m</t>
        </is>
      </c>
      <c r="G213" s="38" t="n">
        <f>IF(COUNTBLANK(E213)&gt;0,"",E213*1000)</f>
        <v>9530</v>
      </c>
      <c r="H213" s="39" t="n">
        <f>IF(COUNTBLANK(G213)&gt;0,"",G213/1000)</f>
        <v>9.53</v>
      </c>
      <c r="I213" s="18" t="inlineStr">
        <is>
          <t>Ghi trên bản vẽ / Explicit</t>
        </is>
      </c>
      <c r="J213" s="18" t="inlineStr">
        <is>
          <t>Tờ 11
File 5</t>
        </is>
      </c>
      <c r="K213" s="18" t="inlineStr">
        <is>
          <t>Upper intermediate facade recess</t>
        </is>
      </c>
      <c r="L213" s="18" t="inlineStr">
        <is>
          <t>+9,530M</t>
        </is>
      </c>
      <c r="M213" s="18" t="inlineStr">
        <is>
          <t>Local facade/tower deck level, not the main roof ridge elevation.</t>
        </is>
      </c>
    </row>
    <row r="214" ht="48" customHeight="1">
      <c r="A214" s="18" t="inlineStr">
        <is>
          <t>P207</t>
        </is>
      </c>
      <c r="B214" s="18" t="inlineStr">
        <is>
          <t>Cao độ mặt bằng mái
Front facade lower side recess</t>
        </is>
      </c>
      <c r="C214" s="18" t="inlineStr">
        <is>
          <t>elevation</t>
        </is>
      </c>
      <c r="D214" s="18" t="inlineStr">
        <is>
          <t>Model: Y
Source: vertical
±0.000 datum → Front facade lower side recess</t>
        </is>
      </c>
      <c r="E214" s="40" t="n">
        <v>9.53</v>
      </c>
      <c r="F214" s="25" t="inlineStr">
        <is>
          <t>m</t>
        </is>
      </c>
      <c r="G214" s="38" t="n">
        <f>IF(COUNTBLANK(E214)&gt;0,"",E214*1000)</f>
        <v>9530</v>
      </c>
      <c r="H214" s="39" t="n">
        <f>IF(COUNTBLANK(G214)&gt;0,"",G214/1000)</f>
        <v>9.53</v>
      </c>
      <c r="I214" s="18" t="inlineStr">
        <is>
          <t>Ghi trên bản vẽ / Explicit</t>
        </is>
      </c>
      <c r="J214" s="18" t="inlineStr">
        <is>
          <t>Tờ 11
File 5</t>
        </is>
      </c>
      <c r="K214" s="18" t="inlineStr">
        <is>
          <t>Lower intermediate facade recess</t>
        </is>
      </c>
      <c r="L214" s="18" t="inlineStr">
        <is>
          <t>+9,530M</t>
        </is>
      </c>
      <c r="M214" s="18" t="inlineStr">
        <is>
          <t>Local facade/tower deck level, not the main roof ridge elevation.</t>
        </is>
      </c>
    </row>
    <row r="215" ht="48" customHeight="1">
      <c r="A215" s="18" t="inlineStr">
        <is>
          <t>P208</t>
        </is>
      </c>
      <c r="B215" s="18" t="inlineStr">
        <is>
          <t>Cao độ mặt bằng mái
Front central facade zone</t>
        </is>
      </c>
      <c r="C215" s="18" t="inlineStr">
        <is>
          <t>elevation</t>
        </is>
      </c>
      <c r="D215" s="18" t="inlineStr">
        <is>
          <t>Model: Y
Source: vertical
±0.000 datum → Front central facade zone</t>
        </is>
      </c>
      <c r="E215" s="40" t="n">
        <v>11.03</v>
      </c>
      <c r="F215" s="25" t="inlineStr">
        <is>
          <t>m</t>
        </is>
      </c>
      <c r="G215" s="38" t="n">
        <f>IF(COUNTBLANK(E215)&gt;0,"",E215*1000)</f>
        <v>11030</v>
      </c>
      <c r="H215" s="39" t="n">
        <f>IF(COUNTBLANK(G215)&gt;0,"",G215/1000)</f>
        <v>11.03</v>
      </c>
      <c r="I215" s="18" t="inlineStr">
        <is>
          <t>Ghi trên bản vẽ / Explicit</t>
        </is>
      </c>
      <c r="J215" s="18" t="inlineStr">
        <is>
          <t>Tờ 11
File 5</t>
        </is>
      </c>
      <c r="K215" s="18" t="inlineStr">
        <is>
          <t>Central facade zone, repeated twice</t>
        </is>
      </c>
      <c r="L215" s="18" t="inlineStr">
        <is>
          <t>+11,030M</t>
        </is>
      </c>
      <c r="M215" s="18" t="inlineStr">
        <is>
          <t>Local facade/tower deck level, not the main roof ridge elevation.</t>
        </is>
      </c>
    </row>
    <row r="216" ht="24" customHeight="1">
      <c r="A216" s="18" t="inlineStr">
        <is>
          <t>P209</t>
        </is>
      </c>
      <c r="B216" s="18" t="inlineStr">
        <is>
          <t>Cần xác nhận
Settlement joints at front</t>
        </is>
      </c>
      <c r="C216" s="18" t="inlineStr">
        <is>
          <t>joint_width</t>
        </is>
      </c>
      <c r="D216" s="18" t="inlineStr">
        <is>
          <t>Source: N/A</t>
        </is>
      </c>
      <c r="E216" s="37" t="n"/>
      <c r="F216" s="25" t="inlineStr">
        <is>
          <t>mm</t>
        </is>
      </c>
      <c r="G216" s="38" t="n"/>
      <c r="H216" s="39" t="str">
        <f>IF(COUNTBLANK(G216)&gt;0,"",G216/1000)</f>
      </c>
      <c r="I216" s="18" t="inlineStr">
        <is>
          <t>Cần xác nhận / Unresolved</t>
        </is>
      </c>
      <c r="J216" s="18" t="inlineStr">
        <is>
          <t>Tờ 11
File 5</t>
        </is>
      </c>
      <c r="K216" s="18" t="inlineStr">
        <is>
          <t>Near2′ at H and B, labeled khe lún</t>
        </is>
      </c>
      <c r="L216" s="18" t="str"/>
      <c r="M216" s="18" t="inlineStr">
        <is>
          <t>Both front-body joints are labeled but no width is printed in these plans.</t>
        </is>
      </c>
    </row>
    <row r="217" ht="24" customHeight="1">
      <c r="A217" s="18" t="inlineStr">
        <is>
          <t>P210</t>
        </is>
      </c>
      <c r="B217" s="18" t="inlineStr">
        <is>
          <t>Cần xác nhận
Wall and pier profiles</t>
        </is>
      </c>
      <c r="C217" s="18" t="inlineStr">
        <is>
          <t>complete_section_dimensions</t>
        </is>
      </c>
      <c r="D217" s="18" t="inlineStr">
        <is>
          <t>Source: N/A</t>
        </is>
      </c>
      <c r="E217" s="37" t="n"/>
      <c r="F217" s="25" t="inlineStr">
        <is>
          <t>mm</t>
        </is>
      </c>
      <c r="G217" s="38" t="n"/>
      <c r="H217" s="39" t="str">
        <f>IF(COUNTBLANK(G217)&gt;0,"",G217/1000)</f>
      </c>
      <c r="I217" s="18" t="inlineStr">
        <is>
          <t>Cần xác nhận / Unresolved</t>
        </is>
      </c>
      <c r="J217" s="18" t="inlineStr">
        <is>
          <t>Tờ 6
File 4</t>
        </is>
      </c>
      <c r="K217" s="18" t="inlineStr">
        <is>
          <t>Plan walls, columns, buttresses</t>
        </is>
      </c>
      <c r="L217" s="18" t="str"/>
      <c r="M217" s="18" t="inlineStr">
        <is>
          <t>Decorative profiles and many wall/pier sizes are not dimensioned in these two plans; do not obtain exact construction sizes by scaling pixels.</t>
        </is>
      </c>
    </row>
    <row r="218" ht="24" customHeight="1">
      <c r="A218" s="18" t="inlineStr">
        <is>
          <t>P211</t>
        </is>
      </c>
      <c r="B218" s="18" t="inlineStr">
        <is>
          <t>Cần xác nhận
Roof pitch</t>
        </is>
      </c>
      <c r="C218" s="18" t="inlineStr">
        <is>
          <t>slope_angle</t>
        </is>
      </c>
      <c r="D218" s="18" t="inlineStr">
        <is>
          <t>Source: N/A</t>
        </is>
      </c>
      <c r="E218" s="37" t="n"/>
      <c r="F218" s="25" t="inlineStr">
        <is>
          <t>mm</t>
        </is>
      </c>
      <c r="G218" s="38" t="n"/>
      <c r="H218" s="39" t="str">
        <f>IF(COUNTBLANK(G218)&gt;0,"",G218/1000)</f>
      </c>
      <c r="I218" s="18" t="inlineStr">
        <is>
          <t>Cần xác nhận / Unresolved</t>
        </is>
      </c>
      <c r="J218" s="18" t="inlineStr">
        <is>
          <t>Tờ 11
File 5</t>
        </is>
      </c>
      <c r="K218" s="18" t="inlineStr">
        <is>
          <t>Main and transverse roof slopes</t>
        </is>
      </c>
      <c r="L218" s="18" t="str"/>
      <c r="M218" s="18" t="inlineStr">
        <is>
          <t>Roof arrows show drainage/slope direction, but no pitch angle is labeled in the roof plan. Use section elevations.</t>
        </is>
      </c>
    </row>
    <row r="219" ht="48" customHeight="1">
      <c r="A219" s="18" t="inlineStr">
        <is>
          <t>P212</t>
        </is>
      </c>
      <c r="B219" s="18" t="inlineStr">
        <is>
          <t>Cần xác nhận
Roof central and side-wing ridges</t>
        </is>
      </c>
      <c r="C219" s="18" t="inlineStr">
        <is>
          <t>ridge_elevations</t>
        </is>
      </c>
      <c r="D219" s="18" t="inlineStr">
        <is>
          <t>Source: N/A</t>
        </is>
      </c>
      <c r="E219" s="37" t="n"/>
      <c r="F219" s="25" t="inlineStr">
        <is>
          <t>mm</t>
        </is>
      </c>
      <c r="G219" s="38" t="n"/>
      <c r="H219" s="39" t="str">
        <f>IF(COUNTBLANK(G219)&gt;0,"",G219/1000)</f>
      </c>
      <c r="I219" s="18" t="inlineStr">
        <is>
          <t>Cần xác nhận / Unresolved</t>
        </is>
      </c>
      <c r="J219" s="18" t="inlineStr">
        <is>
          <t>Tờ 11
File 5</t>
        </is>
      </c>
      <c r="K219" s="18" t="inlineStr">
        <is>
          <t>Roof plan</t>
        </is>
      </c>
      <c r="L219" s="18" t="str"/>
      <c r="M219" s="18" t="inlineStr">
        <is>
          <t>Ridge positions/topology are shown but heights must be cross-referenced to elevations/sections.
Cross-reference: Main ridge/reference +12.472m is explicitly available in E049/E071/S001. Side-wing ridge heights remain unspecified; preserve the original plan-only UNRESOLVED source status.</t>
        </is>
      </c>
    </row>
    <row r="220" ht="60" customHeight="1">
      <c r="A220" s="18" t="inlineStr">
        <is>
          <t>P213</t>
        </is>
      </c>
      <c r="B220" s="18" t="inlineStr">
        <is>
          <t>Cần xác nhận
Opening heights</t>
        </is>
      </c>
      <c r="C220" s="18" t="inlineStr">
        <is>
          <t>height</t>
        </is>
      </c>
      <c r="D220" s="18" t="inlineStr">
        <is>
          <t>Source: N/A</t>
        </is>
      </c>
      <c r="E220" s="37" t="n"/>
      <c r="F220" s="25" t="inlineStr">
        <is>
          <t>mm</t>
        </is>
      </c>
      <c r="G220" s="38" t="n"/>
      <c r="H220" s="39" t="str">
        <f>IF(COUNTBLANK(G220)&gt;0,"",G220/1000)</f>
      </c>
      <c r="I220" s="18" t="inlineStr">
        <is>
          <t>Cần xác nhận / Unresolved</t>
        </is>
      </c>
      <c r="J220" s="18" t="inlineStr">
        <is>
          <t>Tờ 6
File 4</t>
        </is>
      </c>
      <c r="K220" s="18" t="inlineStr">
        <is>
          <t>Ground plan</t>
        </is>
      </c>
      <c r="L220" s="18" t="str"/>
      <c r="M220" s="18" t="inlineStr">
        <is>
          <t>Widths are dimensioned for selected openings; heights must come from elevations/details.
Cross-reference: Uploaded files8/9, printed sheets12/13, provide selected window and doorway heights/chains. See S088–S134 and derived S150–S155. Mapping every detail to each plan opening and exact curve profiles still requires confirmation; original plan-only status remains unchanged.</t>
        </is>
      </c>
    </row>
    <row r="221" ht="36" customHeight="1">
      <c r="A221" s="18" t="inlineStr">
        <is>
          <t>E001</t>
        </is>
      </c>
      <c r="B221" s="18" t="inlineStr">
        <is>
          <t>Mặt sân
Courtyard grade</t>
        </is>
      </c>
      <c r="C221" s="18" t="inlineStr">
        <is>
          <t>elevation</t>
        </is>
      </c>
      <c r="D221" s="18" t="inlineStr">
        <is>
          <t>Model: Y
Source: vertical
FFL ±0.000 → Courtyard grade</t>
        </is>
      </c>
      <c r="E221" s="40" t="n">
        <v>-2.08</v>
      </c>
      <c r="F221" s="25" t="inlineStr">
        <is>
          <t>m</t>
        </is>
      </c>
      <c r="G221" s="38" t="n">
        <f>IF(COUNTBLANK(E221)&gt;0,"",E221*1000)</f>
        <v>-2080</v>
      </c>
      <c r="H221" s="39" t="n">
        <f>IF(COUNTBLANK(G221)&gt;0,"",G221/1000)</f>
        <v>-2.08</v>
      </c>
      <c r="I221" s="18" t="inlineStr">
        <is>
          <t>Ghi trên bản vẽ / Explicit</t>
        </is>
      </c>
      <c r="J221" s="18" t="inlineStr">
        <is>
          <t>Tờ 1
File 1</t>
        </is>
      </c>
      <c r="K221" s="18" t="inlineStr">
        <is>
          <t>Left elevation markers</t>
        </is>
      </c>
      <c r="L221" s="18" t="inlineStr">
        <is>
          <t>-2,08M</t>
        </is>
      </c>
      <c r="M221" s="18" t="inlineStr">
        <is>
          <t>Same levels also shown on sheet 2. The drawing titles the twin-tower end MẶT ĐỨNG CUỐI.</t>
        </is>
      </c>
    </row>
    <row r="222" ht="36" customHeight="1">
      <c r="A222" s="18" t="inlineStr">
        <is>
          <t>E002</t>
        </is>
      </c>
      <c r="B222" s="18" t="inlineStr">
        <is>
          <t>Cốt sàn chuẩn
Floor datum</t>
        </is>
      </c>
      <c r="C222" s="18" t="inlineStr">
        <is>
          <t>elevation</t>
        </is>
      </c>
      <c r="D222" s="18" t="inlineStr">
        <is>
          <t>Model: Y
Source: vertical
FFL ±0.000 → Floor datum</t>
        </is>
      </c>
      <c r="E222" s="40" t="n">
        <v>0</v>
      </c>
      <c r="F222" s="25" t="inlineStr">
        <is>
          <t>m</t>
        </is>
      </c>
      <c r="G222" s="38" t="n">
        <f>IF(COUNTBLANK(E222)&gt;0,"",E222*1000)</f>
        <v>0</v>
      </c>
      <c r="H222" s="39" t="n">
        <f>IF(COUNTBLANK(G222)&gt;0,"",G222/1000)</f>
        <v>0</v>
      </c>
      <c r="I222" s="18" t="inlineStr">
        <is>
          <t>Ghi trên bản vẽ / Explicit</t>
        </is>
      </c>
      <c r="J222" s="18" t="inlineStr">
        <is>
          <t>Tờ 1
File 1</t>
        </is>
      </c>
      <c r="K222" s="18" t="inlineStr">
        <is>
          <t>Left elevation markers</t>
        </is>
      </c>
      <c r="L222" s="18" t="inlineStr">
        <is>
          <t>+00M</t>
        </is>
      </c>
      <c r="M222" s="18" t="inlineStr">
        <is>
          <t>Same levels also shown on sheet 2. The drawing titles the twin-tower end MẶT ĐỨNG CUỐI.</t>
        </is>
      </c>
    </row>
    <row r="223" ht="48" customHeight="1">
      <c r="A223" s="18" t="inlineStr">
        <is>
          <t>E003</t>
        </is>
      </c>
      <c r="B223" s="18" t="inlineStr">
        <is>
          <t>Đỉnh tầng đế tháp
Tower base-stage upper level</t>
        </is>
      </c>
      <c r="C223" s="18" t="inlineStr">
        <is>
          <t>elevation</t>
        </is>
      </c>
      <c r="D223" s="18" t="inlineStr">
        <is>
          <t>Model: Y
Source: vertical
FFL ±0.000 → Tower base-stage upper level</t>
        </is>
      </c>
      <c r="E223" s="40" t="n">
        <v>8.39</v>
      </c>
      <c r="F223" s="25" t="inlineStr">
        <is>
          <t>m</t>
        </is>
      </c>
      <c r="G223" s="38" t="n">
        <f>IF(COUNTBLANK(E223)&gt;0,"",E223*1000)</f>
        <v>8390</v>
      </c>
      <c r="H223" s="39" t="n">
        <f>IF(COUNTBLANK(G223)&gt;0,"",G223/1000)</f>
        <v>8.39</v>
      </c>
      <c r="I223" s="18" t="inlineStr">
        <is>
          <t>Ghi trên bản vẽ / Explicit</t>
        </is>
      </c>
      <c r="J223" s="18" t="inlineStr">
        <is>
          <t>Tờ 1
File 1</t>
        </is>
      </c>
      <c r="K223" s="18" t="inlineStr">
        <is>
          <t>Left elevation markers</t>
        </is>
      </c>
      <c r="L223" s="18" t="inlineStr">
        <is>
          <t>+8,390M</t>
        </is>
      </c>
      <c r="M223" s="18" t="inlineStr">
        <is>
          <t>Same levels also shown on sheet 2. The drawing titles the twin-tower end MẶT ĐỨNG CUỐI.</t>
        </is>
      </c>
    </row>
    <row r="224" ht="48" customHeight="1">
      <c r="A224" s="18" t="inlineStr">
        <is>
          <t>E004</t>
        </is>
      </c>
      <c r="B224" s="18" t="inlineStr">
        <is>
          <t>Đỉnh tầng tháp 1
First upper tower stage level</t>
        </is>
      </c>
      <c r="C224" s="18" t="inlineStr">
        <is>
          <t>elevation</t>
        </is>
      </c>
      <c r="D224" s="18" t="inlineStr">
        <is>
          <t>Model: Y
Source: vertical
FFL ±0.000 → First upper tower stage level</t>
        </is>
      </c>
      <c r="E224" s="40" t="n">
        <v>15.84</v>
      </c>
      <c r="F224" s="25" t="inlineStr">
        <is>
          <t>m</t>
        </is>
      </c>
      <c r="G224" s="38" t="n">
        <f>IF(COUNTBLANK(E224)&gt;0,"",E224*1000)</f>
        <v>15840</v>
      </c>
      <c r="H224" s="39" t="n">
        <f>IF(COUNTBLANK(G224)&gt;0,"",G224/1000)</f>
        <v>15.84</v>
      </c>
      <c r="I224" s="18" t="inlineStr">
        <is>
          <t>Ghi trên bản vẽ / Explicit</t>
        </is>
      </c>
      <c r="J224" s="18" t="inlineStr">
        <is>
          <t>Tờ 1
File 1</t>
        </is>
      </c>
      <c r="K224" s="18" t="inlineStr">
        <is>
          <t>Left elevation markers</t>
        </is>
      </c>
      <c r="L224" s="18" t="inlineStr">
        <is>
          <t>+15,840M</t>
        </is>
      </c>
      <c r="M224" s="18" t="inlineStr">
        <is>
          <t>Same levels also shown on sheet 2. The drawing titles the twin-tower end MẶT ĐỨNG CUỐI.</t>
        </is>
      </c>
    </row>
    <row r="225" ht="48" customHeight="1">
      <c r="A225" s="18" t="inlineStr">
        <is>
          <t>E005</t>
        </is>
      </c>
      <c r="B225" s="18" t="inlineStr">
        <is>
          <t>Đỉnh tầng tháp 2
Second upper tower stage level</t>
        </is>
      </c>
      <c r="C225" s="18" t="inlineStr">
        <is>
          <t>elevation</t>
        </is>
      </c>
      <c r="D225" s="18" t="inlineStr">
        <is>
          <t>Model: Y
Source: vertical
FFL ±0.000 → Second upper tower stage level</t>
        </is>
      </c>
      <c r="E225" s="40" t="n">
        <v>23.14</v>
      </c>
      <c r="F225" s="25" t="inlineStr">
        <is>
          <t>m</t>
        </is>
      </c>
      <c r="G225" s="38" t="n">
        <f>IF(COUNTBLANK(E225)&gt;0,"",E225*1000)</f>
        <v>23140</v>
      </c>
      <c r="H225" s="39" t="n">
        <f>IF(COUNTBLANK(G225)&gt;0,"",G225/1000)</f>
        <v>23.14</v>
      </c>
      <c r="I225" s="18" t="inlineStr">
        <is>
          <t>Ghi trên bản vẽ / Explicit</t>
        </is>
      </c>
      <c r="J225" s="18" t="inlineStr">
        <is>
          <t>Tờ 1
File 1</t>
        </is>
      </c>
      <c r="K225" s="18" t="inlineStr">
        <is>
          <t>Left elevation markers</t>
        </is>
      </c>
      <c r="L225" s="18" t="inlineStr">
        <is>
          <t>+23,140M</t>
        </is>
      </c>
      <c r="M225" s="18" t="inlineStr">
        <is>
          <t>Same levels also shown on sheet 2. The drawing titles the twin-tower end MẶT ĐỨNG CUỐI.</t>
        </is>
      </c>
    </row>
    <row r="226" ht="48" customHeight="1">
      <c r="A226" s="18" t="inlineStr">
        <is>
          <t>E006</t>
        </is>
      </c>
      <c r="B226" s="18" t="inlineStr">
        <is>
          <t>Đáy mái cong tháp
Tower curved-cap base level</t>
        </is>
      </c>
      <c r="C226" s="18" t="inlineStr">
        <is>
          <t>elevation</t>
        </is>
      </c>
      <c r="D226" s="18" t="inlineStr">
        <is>
          <t>Model: Y
Source: vertical
FFL ±0.000 → Tower curved-cap base level</t>
        </is>
      </c>
      <c r="E226" s="40" t="n">
        <v>29.09</v>
      </c>
      <c r="F226" s="25" t="inlineStr">
        <is>
          <t>m</t>
        </is>
      </c>
      <c r="G226" s="38" t="n">
        <f>IF(COUNTBLANK(E226)&gt;0,"",E226*1000)</f>
        <v>29090</v>
      </c>
      <c r="H226" s="39" t="n">
        <f>IF(COUNTBLANK(G226)&gt;0,"",G226/1000)</f>
        <v>29.09</v>
      </c>
      <c r="I226" s="18" t="inlineStr">
        <is>
          <t>Ghi trên bản vẽ / Explicit</t>
        </is>
      </c>
      <c r="J226" s="18" t="inlineStr">
        <is>
          <t>Tờ 1
File 1</t>
        </is>
      </c>
      <c r="K226" s="18" t="inlineStr">
        <is>
          <t>Left elevation markers</t>
        </is>
      </c>
      <c r="L226" s="18" t="inlineStr">
        <is>
          <t>+29,09M</t>
        </is>
      </c>
      <c r="M226" s="18" t="inlineStr">
        <is>
          <t>Same levels also shown on sheet 2. The drawing titles the twin-tower end MẶT ĐỨNG CUỐI.</t>
        </is>
      </c>
    </row>
    <row r="227" ht="36" customHeight="1">
      <c r="A227" s="18" t="inlineStr">
        <is>
          <t>E007</t>
        </is>
      </c>
      <c r="B227" s="18" t="inlineStr">
        <is>
          <t>Đỉnh thánh giá tháp
Tower cross top</t>
        </is>
      </c>
      <c r="C227" s="18" t="inlineStr">
        <is>
          <t>elevation</t>
        </is>
      </c>
      <c r="D227" s="18" t="inlineStr">
        <is>
          <t>Model: Y
Source: vertical
FFL ±0.000 → Tower cross top</t>
        </is>
      </c>
      <c r="E227" s="40" t="n">
        <v>36.92</v>
      </c>
      <c r="F227" s="25" t="inlineStr">
        <is>
          <t>m</t>
        </is>
      </c>
      <c r="G227" s="38" t="n">
        <f>IF(COUNTBLANK(E227)&gt;0,"",E227*1000)</f>
        <v>36920</v>
      </c>
      <c r="H227" s="39" t="n">
        <f>IF(COUNTBLANK(G227)&gt;0,"",G227/1000)</f>
        <v>36.92</v>
      </c>
      <c r="I227" s="18" t="inlineStr">
        <is>
          <t>Ghi trên bản vẽ / Explicit</t>
        </is>
      </c>
      <c r="J227" s="18" t="inlineStr">
        <is>
          <t>Tờ 1
File 1</t>
        </is>
      </c>
      <c r="K227" s="18" t="inlineStr">
        <is>
          <t>Left elevation markers</t>
        </is>
      </c>
      <c r="L227" s="18" t="inlineStr">
        <is>
          <t>+36,920M</t>
        </is>
      </c>
      <c r="M227" s="18" t="inlineStr">
        <is>
          <t>Same levels also shown on sheet 2. The drawing titles the twin-tower end MẶT ĐỨNG CUỐI.</t>
        </is>
      </c>
    </row>
    <row r="228" ht="36" customHeight="1">
      <c r="A228" s="18" t="inlineStr">
        <is>
          <t>E008</t>
        </is>
      </c>
      <c r="B228" s="18" t="inlineStr">
        <is>
          <t>Chiều cao nền sân lên sàn
Courtyard-to-floor height</t>
        </is>
      </c>
      <c r="C228" s="18" t="inlineStr">
        <is>
          <t>vertical segment</t>
        </is>
      </c>
      <c r="D228" s="18" t="inlineStr">
        <is>
          <t>Model: Y
Source: vertical
Courtyard grade → FFL ±0.000</t>
        </is>
      </c>
      <c r="E228" s="37" t="n">
        <v>2080</v>
      </c>
      <c r="F228" s="25" t="inlineStr">
        <is>
          <t>mm</t>
        </is>
      </c>
      <c r="G228" s="38" t="n">
        <f>IF(COUNTBLANK(E228)&gt;0,"",E228)</f>
        <v>2080</v>
      </c>
      <c r="H228" s="39" t="n">
        <f>IF(COUNTBLANK(G228)&gt;0,"",G228/1000)</f>
        <v>2.08</v>
      </c>
      <c r="I228" s="18" t="inlineStr">
        <is>
          <t>Ghi trên bản vẽ / Explicit</t>
        </is>
      </c>
      <c r="J228" s="18" t="inlineStr">
        <is>
          <t>Tờ 1
File 1</t>
        </is>
      </c>
      <c r="K228" s="18" t="inlineStr">
        <is>
          <t>Right vertical dimension chain</t>
        </is>
      </c>
      <c r="L228" s="18" t="inlineStr">
        <is>
          <t>2080</t>
        </is>
      </c>
      <c r="M228" s="18" t="str"/>
    </row>
    <row r="229" ht="36" customHeight="1">
      <c r="A229" s="18" t="inlineStr">
        <is>
          <t>E009</t>
        </is>
      </c>
      <c r="B229" s="18" t="inlineStr">
        <is>
          <t>Tầng đế tháp
Tower base stage</t>
        </is>
      </c>
      <c r="C229" s="18" t="inlineStr">
        <is>
          <t>vertical segment</t>
        </is>
      </c>
      <c r="D229" s="18" t="inlineStr">
        <is>
          <t>Model: Y
Source: vertical
FFL ±0.000 → Tower level +8.390</t>
        </is>
      </c>
      <c r="E229" s="37" t="n">
        <v>8390</v>
      </c>
      <c r="F229" s="25" t="inlineStr">
        <is>
          <t>mm</t>
        </is>
      </c>
      <c r="G229" s="38" t="n">
        <f>IF(COUNTBLANK(E229)&gt;0,"",E229)</f>
        <v>8390</v>
      </c>
      <c r="H229" s="39" t="n">
        <f>IF(COUNTBLANK(G229)&gt;0,"",G229/1000)</f>
        <v>8.39</v>
      </c>
      <c r="I229" s="18" t="inlineStr">
        <is>
          <t>Ghi trên bản vẽ / Explicit</t>
        </is>
      </c>
      <c r="J229" s="18" t="inlineStr">
        <is>
          <t>Tờ 1
File 1</t>
        </is>
      </c>
      <c r="K229" s="18" t="inlineStr">
        <is>
          <t>Right vertical dimension chain</t>
        </is>
      </c>
      <c r="L229" s="18" t="inlineStr">
        <is>
          <t>8390</t>
        </is>
      </c>
      <c r="M229" s="18" t="str"/>
    </row>
    <row r="230" ht="48" customHeight="1">
      <c r="A230" s="18" t="inlineStr">
        <is>
          <t>E010</t>
        </is>
      </c>
      <c r="B230" s="18" t="inlineStr">
        <is>
          <t>Tầng tháp 1
First upper tower stage</t>
        </is>
      </c>
      <c r="C230" s="18" t="inlineStr">
        <is>
          <t>vertical segment</t>
        </is>
      </c>
      <c r="D230" s="18" t="inlineStr">
        <is>
          <t>Model: Y
Source: vertical
Tower level +8.390 → Tower level +15.840</t>
        </is>
      </c>
      <c r="E230" s="37" t="n">
        <v>7450</v>
      </c>
      <c r="F230" s="25" t="inlineStr">
        <is>
          <t>mm</t>
        </is>
      </c>
      <c r="G230" s="38" t="n">
        <f>IF(COUNTBLANK(E230)&gt;0,"",E230)</f>
        <v>7450</v>
      </c>
      <c r="H230" s="39" t="n">
        <f>IF(COUNTBLANK(G230)&gt;0,"",G230/1000)</f>
        <v>7.45</v>
      </c>
      <c r="I230" s="18" t="inlineStr">
        <is>
          <t>Ghi trên bản vẽ / Explicit</t>
        </is>
      </c>
      <c r="J230" s="18" t="inlineStr">
        <is>
          <t>Tờ 1
File 1</t>
        </is>
      </c>
      <c r="K230" s="18" t="inlineStr">
        <is>
          <t>Right vertical dimension chain</t>
        </is>
      </c>
      <c r="L230" s="18" t="inlineStr">
        <is>
          <t>7450</t>
        </is>
      </c>
      <c r="M230" s="18" t="str"/>
    </row>
    <row r="231" ht="48" customHeight="1">
      <c r="A231" s="18" t="inlineStr">
        <is>
          <t>E011</t>
        </is>
      </c>
      <c r="B231" s="18" t="inlineStr">
        <is>
          <t>Tầng tháp 2
Second upper tower stage</t>
        </is>
      </c>
      <c r="C231" s="18" t="inlineStr">
        <is>
          <t>vertical segment</t>
        </is>
      </c>
      <c r="D231" s="18" t="inlineStr">
        <is>
          <t>Model: Y
Source: vertical
Tower level +15.840 → Tower level +23.140</t>
        </is>
      </c>
      <c r="E231" s="37" t="n">
        <v>7300</v>
      </c>
      <c r="F231" s="25" t="inlineStr">
        <is>
          <t>mm</t>
        </is>
      </c>
      <c r="G231" s="38" t="n">
        <f>IF(COUNTBLANK(E231)&gt;0,"",E231)</f>
        <v>7300</v>
      </c>
      <c r="H231" s="39" t="n">
        <f>IF(COUNTBLANK(G231)&gt;0,"",G231/1000)</f>
        <v>7.3</v>
      </c>
      <c r="I231" s="18" t="inlineStr">
        <is>
          <t>Ghi trên bản vẽ / Explicit</t>
        </is>
      </c>
      <c r="J231" s="18" t="inlineStr">
        <is>
          <t>Tờ 1
File 1</t>
        </is>
      </c>
      <c r="K231" s="18" t="inlineStr">
        <is>
          <t>Right vertical dimension chain</t>
        </is>
      </c>
      <c r="L231" s="18" t="inlineStr">
        <is>
          <t>7300</t>
        </is>
      </c>
      <c r="M231" s="18" t="str"/>
    </row>
    <row r="232" ht="48" customHeight="1">
      <c r="A232" s="18" t="inlineStr">
        <is>
          <t>E012</t>
        </is>
      </c>
      <c r="B232" s="18" t="inlineStr">
        <is>
          <t>Tầng tháp 3
Third upper tower stage</t>
        </is>
      </c>
      <c r="C232" s="18" t="inlineStr">
        <is>
          <t>vertical segment</t>
        </is>
      </c>
      <c r="D232" s="18" t="inlineStr">
        <is>
          <t>Model: Y
Source: vertical
Tower level +23.140 → Tower level +29.090</t>
        </is>
      </c>
      <c r="E232" s="37" t="n">
        <v>5950</v>
      </c>
      <c r="F232" s="25" t="inlineStr">
        <is>
          <t>mm</t>
        </is>
      </c>
      <c r="G232" s="38" t="n">
        <f>IF(COUNTBLANK(E232)&gt;0,"",E232)</f>
        <v>5950</v>
      </c>
      <c r="H232" s="39" t="n">
        <f>IF(COUNTBLANK(G232)&gt;0,"",G232/1000)</f>
        <v>5.95</v>
      </c>
      <c r="I232" s="18" t="inlineStr">
        <is>
          <t>Ghi trên bản vẽ / Explicit</t>
        </is>
      </c>
      <c r="J232" s="18" t="inlineStr">
        <is>
          <t>Tờ 1
File 1</t>
        </is>
      </c>
      <c r="K232" s="18" t="inlineStr">
        <is>
          <t>Right vertical dimension chain</t>
        </is>
      </c>
      <c r="L232" s="18" t="inlineStr">
        <is>
          <t>5950</t>
        </is>
      </c>
      <c r="M232" s="18" t="str"/>
    </row>
    <row r="233" ht="48" customHeight="1">
      <c r="A233" s="18" t="inlineStr">
        <is>
          <t>E013</t>
        </is>
      </c>
      <c r="B233" s="18" t="inlineStr">
        <is>
          <t>Phần mái cong tháp
Tower curved-cap segment</t>
        </is>
      </c>
      <c r="C233" s="18" t="inlineStr">
        <is>
          <t>vertical segment</t>
        </is>
      </c>
      <c r="D233" s="18" t="inlineStr">
        <is>
          <t>Model: Y
Source: vertical
Tower level +29.090 → Shown cap shoulder witness line</t>
        </is>
      </c>
      <c r="E233" s="37" t="n">
        <v>4125</v>
      </c>
      <c r="F233" s="25" t="inlineStr">
        <is>
          <t>mm</t>
        </is>
      </c>
      <c r="G233" s="38" t="n">
        <f>IF(COUNTBLANK(E233)&gt;0,"",E233)</f>
        <v>4125</v>
      </c>
      <c r="H233" s="39" t="n">
        <f>IF(COUNTBLANK(G233)&gt;0,"",G233/1000)</f>
        <v>4.125</v>
      </c>
      <c r="I233" s="18" t="inlineStr">
        <is>
          <t>Ghi trên bản vẽ / Explicit</t>
        </is>
      </c>
      <c r="J233" s="18" t="inlineStr">
        <is>
          <t>Tờ 1
File 1</t>
        </is>
      </c>
      <c r="K233" s="18" t="inlineStr">
        <is>
          <t>Right vertical dimension chain</t>
        </is>
      </c>
      <c r="L233" s="18" t="inlineStr">
        <is>
          <t>4125</t>
        </is>
      </c>
      <c r="M233" s="18" t="inlineStr">
        <is>
          <t>Upper three segment dimensions sum to 7,831 mm; level markers give 7,830 mm. Preserve 1 mm drawing discrepancy.</t>
        </is>
      </c>
    </row>
    <row r="234" ht="48" customHeight="1">
      <c r="A234" s="18" t="inlineStr">
        <is>
          <t>E014</t>
        </is>
      </c>
      <c r="B234" s="18" t="inlineStr">
        <is>
          <t>Bệ đỉnh tháp
Tower upper pedestal segment</t>
        </is>
      </c>
      <c r="C234" s="18" t="inlineStr">
        <is>
          <t>vertical segment</t>
        </is>
      </c>
      <c r="D234" s="18" t="inlineStr">
        <is>
          <t>Model: Y
Source: vertical
Shown cap shoulder witness line → Shown cross-base witness line</t>
        </is>
      </c>
      <c r="E234" s="37" t="n">
        <v>1814</v>
      </c>
      <c r="F234" s="25" t="inlineStr">
        <is>
          <t>mm</t>
        </is>
      </c>
      <c r="G234" s="38" t="n">
        <f>IF(COUNTBLANK(E234)&gt;0,"",E234)</f>
        <v>1814</v>
      </c>
      <c r="H234" s="39" t="n">
        <f>IF(COUNTBLANK(G234)&gt;0,"",G234/1000)</f>
        <v>1.814</v>
      </c>
      <c r="I234" s="18" t="inlineStr">
        <is>
          <t>Ghi trên bản vẽ / Explicit</t>
        </is>
      </c>
      <c r="J234" s="18" t="inlineStr">
        <is>
          <t>Tờ 1
File 1</t>
        </is>
      </c>
      <c r="K234" s="18" t="inlineStr">
        <is>
          <t>Right vertical dimension chain</t>
        </is>
      </c>
      <c r="L234" s="18" t="inlineStr">
        <is>
          <t>1814</t>
        </is>
      </c>
      <c r="M234" s="18" t="inlineStr">
        <is>
          <t>Upper three segment dimensions sum to 7,831 mm; level markers give 7,830 mm. Preserve 1 mm drawing discrepancy.</t>
        </is>
      </c>
    </row>
    <row r="235" ht="48" customHeight="1">
      <c r="A235" s="18" t="inlineStr">
        <is>
          <t>E015</t>
        </is>
      </c>
      <c r="B235" s="18" t="inlineStr">
        <is>
          <t>Đoạn đỉnh thánh giá
Top cross segment</t>
        </is>
      </c>
      <c r="C235" s="18" t="inlineStr">
        <is>
          <t>vertical segment</t>
        </is>
      </c>
      <c r="D235" s="18" t="inlineStr">
        <is>
          <t>Model: Y
Source: vertical
Shown cross-base witness line → Top of tower cross</t>
        </is>
      </c>
      <c r="E235" s="37" t="n">
        <v>1892</v>
      </c>
      <c r="F235" s="25" t="inlineStr">
        <is>
          <t>mm</t>
        </is>
      </c>
      <c r="G235" s="38" t="n">
        <f>IF(COUNTBLANK(E235)&gt;0,"",E235)</f>
        <v>1892</v>
      </c>
      <c r="H235" s="39" t="n">
        <f>IF(COUNTBLANK(G235)&gt;0,"",G235/1000)</f>
        <v>1.892</v>
      </c>
      <c r="I235" s="18" t="inlineStr">
        <is>
          <t>Ghi trên bản vẽ / Explicit</t>
        </is>
      </c>
      <c r="J235" s="18" t="inlineStr">
        <is>
          <t>Tờ 1
File 1</t>
        </is>
      </c>
      <c r="K235" s="18" t="inlineStr">
        <is>
          <t>Right vertical dimension chain</t>
        </is>
      </c>
      <c r="L235" s="18" t="inlineStr">
        <is>
          <t>1892</t>
        </is>
      </c>
      <c r="M235" s="18" t="inlineStr">
        <is>
          <t>Upper three segment dimensions sum to 7,831 mm; level markers give 7,830 mm. Preserve 1 mm drawing discrepancy.</t>
        </is>
      </c>
    </row>
    <row r="236" ht="48" customHeight="1">
      <c r="A236" s="18" t="inlineStr">
        <is>
          <t>E016</t>
        </is>
      </c>
      <c r="B236" s="18" t="inlineStr">
        <is>
          <t>Chiều cao toàn bộ tháp từ sân
Overall tower height from courtyard</t>
        </is>
      </c>
      <c r="C236" s="18" t="inlineStr">
        <is>
          <t>overall height</t>
        </is>
      </c>
      <c r="D236" s="18" t="inlineStr">
        <is>
          <t>Model: Y
Source: vertical
Courtyard -2.080 → Tower cross top +36.920</t>
        </is>
      </c>
      <c r="E236" s="37" t="n">
        <v>39000</v>
      </c>
      <c r="F236" s="25" t="inlineStr">
        <is>
          <t>mm</t>
        </is>
      </c>
      <c r="G236" s="38" t="n">
        <f>IF(COUNTBLANK(E236)&gt;0,"",E236)</f>
        <v>39000</v>
      </c>
      <c r="H236" s="39" t="n">
        <f>IF(COUNTBLANK(G236)&gt;0,"",G236/1000)</f>
        <v>39</v>
      </c>
      <c r="I236" s="18" t="inlineStr">
        <is>
          <t>Ghi trên bản vẽ / Explicit</t>
        </is>
      </c>
      <c r="J236" s="18" t="inlineStr">
        <is>
          <t>Tờ 1
File 1</t>
        </is>
      </c>
      <c r="K236" s="18" t="inlineStr">
        <is>
          <t>Far-right overall vertical dimension</t>
        </is>
      </c>
      <c r="L236" s="18" t="inlineStr">
        <is>
          <t>39000</t>
        </is>
      </c>
      <c r="M236" s="18" t="inlineStr">
        <is>
          <t>Legible in diagnostic render after reducing PDF line width; original PDF untouched. Corroborated by 36,920 - (-2,080).</t>
        </is>
      </c>
    </row>
    <row r="237" ht="48" customHeight="1">
      <c r="A237" s="18" t="inlineStr">
        <is>
          <t>E017</t>
        </is>
      </c>
      <c r="B237" s="18" t="inlineStr">
        <is>
          <t>Chuỗi kích thước ngang mặt hai tháp
Twin-tower facade transverse dimension chain</t>
        </is>
      </c>
      <c r="C237" s="18" t="inlineStr">
        <is>
          <t>transverse span</t>
        </is>
      </c>
      <c r="D237" s="18" t="inlineStr">
        <is>
          <t>Model: Z
Source: transverse
Left outer overall witness → Left outer tower witness</t>
        </is>
      </c>
      <c r="E237" s="37" t="n">
        <v>1024</v>
      </c>
      <c r="F237" s="25" t="inlineStr">
        <is>
          <t>mm</t>
        </is>
      </c>
      <c r="G237" s="38" t="n">
        <f>IF(COUNTBLANK(E237)&gt;0,"",E237)</f>
        <v>1024</v>
      </c>
      <c r="H237" s="39" t="n">
        <f>IF(COUNTBLANK(G237)&gt;0,"",G237/1000)</f>
        <v>1.024</v>
      </c>
      <c r="I237" s="18" t="inlineStr">
        <is>
          <t>Ghi trên bản vẽ / Explicit</t>
        </is>
      </c>
      <c r="J237" s="18" t="inlineStr">
        <is>
          <t>Tờ 1
File 1</t>
        </is>
      </c>
      <c r="K237" s="18" t="inlineStr">
        <is>
          <t>Bottom middle dimension chain</t>
        </is>
      </c>
      <c r="L237" s="18" t="inlineStr">
        <is>
          <t>1024</t>
        </is>
      </c>
      <c r="M237" s="18" t="inlineStr">
        <is>
          <t>Read left-to-right in sheet 1; opposite end sheet 3 reverses the visible grid order.</t>
        </is>
      </c>
    </row>
    <row r="238" ht="36" customHeight="1">
      <c r="A238" s="18" t="inlineStr">
        <is>
          <t>E018</t>
        </is>
      </c>
      <c r="B238" s="18" t="inlineStr">
        <is>
          <t>Chuỗi kích thước ngang mặt hai tháp
Twin-tower facade transverse dimension chain</t>
        </is>
      </c>
      <c r="C238" s="18" t="inlineStr">
        <is>
          <t>transverse span</t>
        </is>
      </c>
      <c r="D238" s="18" t="inlineStr">
        <is>
          <t>Model: Z
Source: transverse
Left outer tower witness → Grid H</t>
        </is>
      </c>
      <c r="E238" s="37" t="n">
        <v>2189</v>
      </c>
      <c r="F238" s="25" t="inlineStr">
        <is>
          <t>mm</t>
        </is>
      </c>
      <c r="G238" s="38" t="n">
        <f>IF(COUNTBLANK(E238)&gt;0,"",E238)</f>
        <v>2189</v>
      </c>
      <c r="H238" s="39" t="n">
        <f>IF(COUNTBLANK(G238)&gt;0,"",G238/1000)</f>
        <v>2.189</v>
      </c>
      <c r="I238" s="18" t="inlineStr">
        <is>
          <t>Ghi trên bản vẽ / Explicit</t>
        </is>
      </c>
      <c r="J238" s="18" t="inlineStr">
        <is>
          <t>Tờ 1
File 1</t>
        </is>
      </c>
      <c r="K238" s="18" t="inlineStr">
        <is>
          <t>Bottom middle dimension chain</t>
        </is>
      </c>
      <c r="L238" s="18" t="inlineStr">
        <is>
          <t>2189</t>
        </is>
      </c>
      <c r="M238" s="18" t="inlineStr">
        <is>
          <t>Read left-to-right in sheet 1; opposite end sheet 3 reverses the visible grid order.</t>
        </is>
      </c>
    </row>
    <row r="239" ht="36" customHeight="1">
      <c r="A239" s="18" t="inlineStr">
        <is>
          <t>E019</t>
        </is>
      </c>
      <c r="B239" s="18" t="inlineStr">
        <is>
          <t>Chuỗi kích thước ngang mặt hai tháp
Twin-tower facade transverse dimension chain</t>
        </is>
      </c>
      <c r="C239" s="18" t="inlineStr">
        <is>
          <t>transverse span</t>
        </is>
      </c>
      <c r="D239" s="18" t="inlineStr">
        <is>
          <t>Model: Z
Source: transverse
Grid H → Grid G</t>
        </is>
      </c>
      <c r="E239" s="37" t="n">
        <v>3054</v>
      </c>
      <c r="F239" s="25" t="inlineStr">
        <is>
          <t>mm</t>
        </is>
      </c>
      <c r="G239" s="38" t="n">
        <f>IF(COUNTBLANK(E239)&gt;0,"",E239)</f>
        <v>3054</v>
      </c>
      <c r="H239" s="39" t="n">
        <f>IF(COUNTBLANK(G239)&gt;0,"",G239/1000)</f>
        <v>3.054</v>
      </c>
      <c r="I239" s="18" t="inlineStr">
        <is>
          <t>Ghi trên bản vẽ / Explicit</t>
        </is>
      </c>
      <c r="J239" s="18" t="inlineStr">
        <is>
          <t>Tờ 1
File 1</t>
        </is>
      </c>
      <c r="K239" s="18" t="inlineStr">
        <is>
          <t>Bottom middle dimension chain</t>
        </is>
      </c>
      <c r="L239" s="18" t="inlineStr">
        <is>
          <t>3054</t>
        </is>
      </c>
      <c r="M239" s="18" t="inlineStr">
        <is>
          <t>Read left-to-right in sheet 1; opposite end sheet 3 reverses the visible grid order.</t>
        </is>
      </c>
    </row>
    <row r="240" ht="36" customHeight="1">
      <c r="A240" s="18" t="inlineStr">
        <is>
          <t>E020</t>
        </is>
      </c>
      <c r="B240" s="18" t="inlineStr">
        <is>
          <t>Chuỗi kích thước ngang mặt hai tháp
Twin-tower facade transverse dimension chain</t>
        </is>
      </c>
      <c r="C240" s="18" t="inlineStr">
        <is>
          <t>transverse span</t>
        </is>
      </c>
      <c r="D240" s="18" t="inlineStr">
        <is>
          <t>Model: Z
Source: transverse
Grid G → Grid E</t>
        </is>
      </c>
      <c r="E240" s="37" t="n">
        <v>3760</v>
      </c>
      <c r="F240" s="25" t="inlineStr">
        <is>
          <t>mm</t>
        </is>
      </c>
      <c r="G240" s="38" t="n">
        <f>IF(COUNTBLANK(E240)&gt;0,"",E240)</f>
        <v>3760</v>
      </c>
      <c r="H240" s="39" t="n">
        <f>IF(COUNTBLANK(G240)&gt;0,"",G240/1000)</f>
        <v>3.76</v>
      </c>
      <c r="I240" s="18" t="inlineStr">
        <is>
          <t>Ghi trên bản vẽ / Explicit</t>
        </is>
      </c>
      <c r="J240" s="18" t="inlineStr">
        <is>
          <t>Tờ 1
File 1</t>
        </is>
      </c>
      <c r="K240" s="18" t="inlineStr">
        <is>
          <t>Bottom middle dimension chain</t>
        </is>
      </c>
      <c r="L240" s="18" t="inlineStr">
        <is>
          <t>3760</t>
        </is>
      </c>
      <c r="M240" s="18" t="inlineStr">
        <is>
          <t>Read left-to-right in sheet 1; opposite end sheet 3 reverses the visible grid order.</t>
        </is>
      </c>
    </row>
    <row r="241" ht="36" customHeight="1">
      <c r="A241" s="18" t="inlineStr">
        <is>
          <t>E021</t>
        </is>
      </c>
      <c r="B241" s="18" t="inlineStr">
        <is>
          <t>Chuỗi kích thước ngang mặt hai tháp
Twin-tower facade transverse dimension chain</t>
        </is>
      </c>
      <c r="C241" s="18" t="inlineStr">
        <is>
          <t>transverse span</t>
        </is>
      </c>
      <c r="D241" s="18" t="inlineStr">
        <is>
          <t>Model: Z
Source: transverse
Grid E → Grid D</t>
        </is>
      </c>
      <c r="E241" s="37" t="n">
        <v>7200</v>
      </c>
      <c r="F241" s="25" t="inlineStr">
        <is>
          <t>mm</t>
        </is>
      </c>
      <c r="G241" s="38" t="n">
        <f>IF(COUNTBLANK(E241)&gt;0,"",E241)</f>
        <v>7200</v>
      </c>
      <c r="H241" s="39" t="n">
        <f>IF(COUNTBLANK(G241)&gt;0,"",G241/1000)</f>
        <v>7.2</v>
      </c>
      <c r="I241" s="18" t="inlineStr">
        <is>
          <t>Ghi trên bản vẽ / Explicit</t>
        </is>
      </c>
      <c r="J241" s="18" t="inlineStr">
        <is>
          <t>Tờ 1
File 1</t>
        </is>
      </c>
      <c r="K241" s="18" t="inlineStr">
        <is>
          <t>Bottom middle dimension chain</t>
        </is>
      </c>
      <c r="L241" s="18" t="inlineStr">
        <is>
          <t>7200</t>
        </is>
      </c>
      <c r="M241" s="18" t="inlineStr">
        <is>
          <t>Read left-to-right in sheet 1; opposite end sheet 3 reverses the visible grid order.</t>
        </is>
      </c>
    </row>
    <row r="242" ht="36" customHeight="1">
      <c r="A242" s="18" t="inlineStr">
        <is>
          <t>E022</t>
        </is>
      </c>
      <c r="B242" s="18" t="inlineStr">
        <is>
          <t>Chuỗi kích thước ngang mặt hai tháp
Twin-tower facade transverse dimension chain</t>
        </is>
      </c>
      <c r="C242" s="18" t="inlineStr">
        <is>
          <t>transverse span</t>
        </is>
      </c>
      <c r="D242" s="18" t="inlineStr">
        <is>
          <t>Model: Z
Source: transverse
Grid D → Grid C</t>
        </is>
      </c>
      <c r="E242" s="37" t="n">
        <v>3760</v>
      </c>
      <c r="F242" s="25" t="inlineStr">
        <is>
          <t>mm</t>
        </is>
      </c>
      <c r="G242" s="38" t="n">
        <f>IF(COUNTBLANK(E242)&gt;0,"",E242)</f>
        <v>3760</v>
      </c>
      <c r="H242" s="39" t="n">
        <f>IF(COUNTBLANK(G242)&gt;0,"",G242/1000)</f>
        <v>3.76</v>
      </c>
      <c r="I242" s="18" t="inlineStr">
        <is>
          <t>Ghi trên bản vẽ / Explicit</t>
        </is>
      </c>
      <c r="J242" s="18" t="inlineStr">
        <is>
          <t>Tờ 1
File 1</t>
        </is>
      </c>
      <c r="K242" s="18" t="inlineStr">
        <is>
          <t>Bottom middle dimension chain</t>
        </is>
      </c>
      <c r="L242" s="18" t="inlineStr">
        <is>
          <t>3760</t>
        </is>
      </c>
      <c r="M242" s="18" t="inlineStr">
        <is>
          <t>Read left-to-right in sheet 1; opposite end sheet 3 reverses the visible grid order.</t>
        </is>
      </c>
    </row>
    <row r="243" ht="36" customHeight="1">
      <c r="A243" s="18" t="inlineStr">
        <is>
          <t>E023</t>
        </is>
      </c>
      <c r="B243" s="18" t="inlineStr">
        <is>
          <t>Chuỗi kích thước ngang mặt hai tháp
Twin-tower facade transverse dimension chain</t>
        </is>
      </c>
      <c r="C243" s="18" t="inlineStr">
        <is>
          <t>transverse span</t>
        </is>
      </c>
      <c r="D243" s="18" t="inlineStr">
        <is>
          <t>Model: Z
Source: transverse
Grid C → Grid B</t>
        </is>
      </c>
      <c r="E243" s="37" t="n">
        <v>3054</v>
      </c>
      <c r="F243" s="25" t="inlineStr">
        <is>
          <t>mm</t>
        </is>
      </c>
      <c r="G243" s="38" t="n">
        <f>IF(COUNTBLANK(E243)&gt;0,"",E243)</f>
        <v>3054</v>
      </c>
      <c r="H243" s="39" t="n">
        <f>IF(COUNTBLANK(G243)&gt;0,"",G243/1000)</f>
        <v>3.054</v>
      </c>
      <c r="I243" s="18" t="inlineStr">
        <is>
          <t>Ghi trên bản vẽ / Explicit</t>
        </is>
      </c>
      <c r="J243" s="18" t="inlineStr">
        <is>
          <t>Tờ 1
File 1</t>
        </is>
      </c>
      <c r="K243" s="18" t="inlineStr">
        <is>
          <t>Bottom middle dimension chain</t>
        </is>
      </c>
      <c r="L243" s="18" t="inlineStr">
        <is>
          <t>3054</t>
        </is>
      </c>
      <c r="M243" s="18" t="inlineStr">
        <is>
          <t>Read left-to-right in sheet 1; opposite end sheet 3 reverses the visible grid order.</t>
        </is>
      </c>
    </row>
    <row r="244" ht="36" customHeight="1">
      <c r="A244" s="18" t="inlineStr">
        <is>
          <t>E024</t>
        </is>
      </c>
      <c r="B244" s="18" t="inlineStr">
        <is>
          <t>Chuỗi kích thước ngang mặt hai tháp
Twin-tower facade transverse dimension chain</t>
        </is>
      </c>
      <c r="C244" s="18" t="inlineStr">
        <is>
          <t>transverse span</t>
        </is>
      </c>
      <c r="D244" s="18" t="inlineStr">
        <is>
          <t>Model: Z
Source: transverse
Grid B → Right outer tower witness</t>
        </is>
      </c>
      <c r="E244" s="37" t="n">
        <v>2189</v>
      </c>
      <c r="F244" s="25" t="inlineStr">
        <is>
          <t>mm</t>
        </is>
      </c>
      <c r="G244" s="38" t="n">
        <f>IF(COUNTBLANK(E244)&gt;0,"",E244)</f>
        <v>2189</v>
      </c>
      <c r="H244" s="39" t="n">
        <f>IF(COUNTBLANK(G244)&gt;0,"",G244/1000)</f>
        <v>2.189</v>
      </c>
      <c r="I244" s="18" t="inlineStr">
        <is>
          <t>Ghi trên bản vẽ / Explicit</t>
        </is>
      </c>
      <c r="J244" s="18" t="inlineStr">
        <is>
          <t>Tờ 1
File 1</t>
        </is>
      </c>
      <c r="K244" s="18" t="inlineStr">
        <is>
          <t>Bottom middle dimension chain</t>
        </is>
      </c>
      <c r="L244" s="18" t="inlineStr">
        <is>
          <t>2189</t>
        </is>
      </c>
      <c r="M244" s="18" t="inlineStr">
        <is>
          <t>Read left-to-right in sheet 1; opposite end sheet 3 reverses the visible grid order.</t>
        </is>
      </c>
    </row>
    <row r="245" ht="48" customHeight="1">
      <c r="A245" s="18" t="inlineStr">
        <is>
          <t>E025</t>
        </is>
      </c>
      <c r="B245" s="18" t="inlineStr">
        <is>
          <t>Chuỗi kích thước ngang mặt hai tháp
Twin-tower facade transverse dimension chain</t>
        </is>
      </c>
      <c r="C245" s="18" t="inlineStr">
        <is>
          <t>transverse span</t>
        </is>
      </c>
      <c r="D245" s="18" t="inlineStr">
        <is>
          <t>Model: Z
Source: transverse
Right outer tower witness → Right outer overall witness</t>
        </is>
      </c>
      <c r="E245" s="37" t="n">
        <v>1024</v>
      </c>
      <c r="F245" s="25" t="inlineStr">
        <is>
          <t>mm</t>
        </is>
      </c>
      <c r="G245" s="38" t="n">
        <f>IF(COUNTBLANK(E245)&gt;0,"",E245)</f>
        <v>1024</v>
      </c>
      <c r="H245" s="39" t="n">
        <f>IF(COUNTBLANK(G245)&gt;0,"",G245/1000)</f>
        <v>1.024</v>
      </c>
      <c r="I245" s="18" t="inlineStr">
        <is>
          <t>Ghi trên bản vẽ / Explicit</t>
        </is>
      </c>
      <c r="J245" s="18" t="inlineStr">
        <is>
          <t>Tờ 1
File 1</t>
        </is>
      </c>
      <c r="K245" s="18" t="inlineStr">
        <is>
          <t>Bottom middle dimension chain</t>
        </is>
      </c>
      <c r="L245" s="18" t="inlineStr">
        <is>
          <t>1024</t>
        </is>
      </c>
      <c r="M245" s="18" t="inlineStr">
        <is>
          <t>Read left-to-right in sheet 1; opposite end sheet 3 reverses the visible grid order.</t>
        </is>
      </c>
    </row>
    <row r="246" ht="48" customHeight="1">
      <c r="A246" s="18" t="inlineStr">
        <is>
          <t>E026</t>
        </is>
      </c>
      <c r="B246" s="18" t="inlineStr">
        <is>
          <t>Bề rộng tổng mặt hai tháp
Twin-tower facade overall width</t>
        </is>
      </c>
      <c r="C246" s="18" t="inlineStr">
        <is>
          <t>overall width</t>
        </is>
      </c>
      <c r="D246" s="18" t="inlineStr">
        <is>
          <t>Model: Z
Source: transverse
Left outer overall witness → Right outer overall witness</t>
        </is>
      </c>
      <c r="E246" s="37" t="n">
        <v>27254</v>
      </c>
      <c r="F246" s="25" t="inlineStr">
        <is>
          <t>mm</t>
        </is>
      </c>
      <c r="G246" s="38" t="n">
        <f>IF(COUNTBLANK(E246)&gt;0,"",E246)</f>
        <v>27254</v>
      </c>
      <c r="H246" s="39" t="n">
        <f>IF(COUNTBLANK(G246)&gt;0,"",G246/1000)</f>
        <v>27.254</v>
      </c>
      <c r="I246" s="18" t="inlineStr">
        <is>
          <t>Ghi trên bản vẽ / Explicit</t>
        </is>
      </c>
      <c r="J246" s="18" t="inlineStr">
        <is>
          <t>Tờ 1
File 1</t>
        </is>
      </c>
      <c r="K246" s="18" t="inlineStr">
        <is>
          <t>Bottom overall dimension</t>
        </is>
      </c>
      <c r="L246" s="18" t="inlineStr">
        <is>
          <t>27254</t>
        </is>
      </c>
      <c r="M246" s="18" t="inlineStr">
        <is>
          <t>The width includes projections outside grids H and B. It is not the width of every building cross-section.</t>
        </is>
      </c>
    </row>
    <row r="247" ht="48" customHeight="1">
      <c r="A247" s="18" t="inlineStr">
        <is>
          <t>E027</t>
        </is>
      </c>
      <c r="B247" s="18" t="inlineStr">
        <is>
          <t>Bề ngang tháp trái
Left tower facade dimension</t>
        </is>
      </c>
      <c r="C247" s="18" t="inlineStr">
        <is>
          <t>horizontal subdimension</t>
        </is>
      </c>
      <c r="D247" s="18" t="inlineStr">
        <is>
          <t>Model: Z
Source: transverse
Left outer tower witness → Left inner tower witness</t>
        </is>
      </c>
      <c r="E247" s="37" t="n">
        <v>4900</v>
      </c>
      <c r="F247" s="25" t="inlineStr">
        <is>
          <t>mm</t>
        </is>
      </c>
      <c r="G247" s="38" t="n">
        <f>IF(COUNTBLANK(E247)&gt;0,"",E247)</f>
        <v>4900</v>
      </c>
      <c r="H247" s="39" t="n">
        <f>IF(COUNTBLANK(G247)&gt;0,"",G247/1000)</f>
        <v>4.9</v>
      </c>
      <c r="I247" s="18" t="inlineStr">
        <is>
          <t>Ghi trên bản vẽ / Explicit</t>
        </is>
      </c>
      <c r="J247" s="18" t="inlineStr">
        <is>
          <t>Tờ 1
File 1</t>
        </is>
      </c>
      <c r="K247" s="18" t="inlineStr">
        <is>
          <t>Bottom upper partial dimension line</t>
        </is>
      </c>
      <c r="L247" s="18" t="inlineStr">
        <is>
          <t>4900</t>
        </is>
      </c>
      <c r="M247" s="18" t="inlineStr">
        <is>
          <t>Witness-line dimension; do not interpret as wall thickness or opening clear width without plan/detail.</t>
        </is>
      </c>
    </row>
    <row r="248" ht="36" customHeight="1">
      <c r="A248" s="18" t="inlineStr">
        <is>
          <t>E028</t>
        </is>
      </c>
      <c r="B248" s="18" t="inlineStr">
        <is>
          <t>Lệch mép tháp trái tới G
Left tower edge-to-grid G offset</t>
        </is>
      </c>
      <c r="C248" s="18" t="inlineStr">
        <is>
          <t>horizontal subdimension</t>
        </is>
      </c>
      <c r="D248" s="18" t="inlineStr">
        <is>
          <t>Model: Z
Source: transverse
Left inner tower witness → Grid G</t>
        </is>
      </c>
      <c r="E248" s="37" t="n">
        <v>343</v>
      </c>
      <c r="F248" s="25" t="inlineStr">
        <is>
          <t>mm</t>
        </is>
      </c>
      <c r="G248" s="38" t="n">
        <f>IF(COUNTBLANK(E248)&gt;0,"",E248)</f>
        <v>343</v>
      </c>
      <c r="H248" s="39" t="n">
        <f>IF(COUNTBLANK(G248)&gt;0,"",G248/1000)</f>
        <v>0.343</v>
      </c>
      <c r="I248" s="18" t="inlineStr">
        <is>
          <t>Ghi trên bản vẽ / Explicit</t>
        </is>
      </c>
      <c r="J248" s="18" t="inlineStr">
        <is>
          <t>Tờ 1
File 1</t>
        </is>
      </c>
      <c r="K248" s="18" t="inlineStr">
        <is>
          <t>Bottom upper partial dimension line</t>
        </is>
      </c>
      <c r="L248" s="18" t="inlineStr">
        <is>
          <t>343</t>
        </is>
      </c>
      <c r="M248" s="18" t="inlineStr">
        <is>
          <t>Witness-line dimension; do not interpret as wall thickness or opening clear width without plan/detail.</t>
        </is>
      </c>
    </row>
    <row r="249" ht="36" customHeight="1">
      <c r="A249" s="18" t="inlineStr">
        <is>
          <t>E029</t>
        </is>
      </c>
      <c r="B249" s="18" t="inlineStr">
        <is>
          <t>Lệch trục E vào mặt giữa
Grid E inward central-facade offset</t>
        </is>
      </c>
      <c r="C249" s="18" t="inlineStr">
        <is>
          <t>horizontal subdimension</t>
        </is>
      </c>
      <c r="D249" s="18" t="inlineStr">
        <is>
          <t>Model: Z
Source: transverse
Grid E → Left central facade witness</t>
        </is>
      </c>
      <c r="E249" s="37" t="n">
        <v>621</v>
      </c>
      <c r="F249" s="25" t="inlineStr">
        <is>
          <t>mm</t>
        </is>
      </c>
      <c r="G249" s="38" t="n">
        <f>IF(COUNTBLANK(E249)&gt;0,"",E249)</f>
        <v>621</v>
      </c>
      <c r="H249" s="39" t="n">
        <f>IF(COUNTBLANK(G249)&gt;0,"",G249/1000)</f>
        <v>0.621</v>
      </c>
      <c r="I249" s="18" t="inlineStr">
        <is>
          <t>Ghi trên bản vẽ / Explicit</t>
        </is>
      </c>
      <c r="J249" s="18" t="inlineStr">
        <is>
          <t>Tờ 1
File 1</t>
        </is>
      </c>
      <c r="K249" s="18" t="inlineStr">
        <is>
          <t>Bottom upper partial dimension line</t>
        </is>
      </c>
      <c r="L249" s="18" t="inlineStr">
        <is>
          <t>621</t>
        </is>
      </c>
      <c r="M249" s="18" t="inlineStr">
        <is>
          <t>These are witness-line dimensions, not automatically clear door widths. Central 621 + 5,959 + 621 = 7,201 mm, differing by 1 mm from the E-D 7,200 mm span.</t>
        </is>
      </c>
    </row>
    <row r="250" ht="48" customHeight="1">
      <c r="A250" s="18" t="inlineStr">
        <is>
          <t>E030</t>
        </is>
      </c>
      <c r="B250" s="18" t="inlineStr">
        <is>
          <t>Bề ngang phần mặt giữa
Central facade witness-line span</t>
        </is>
      </c>
      <c r="C250" s="18" t="inlineStr">
        <is>
          <t>horizontal subdimension</t>
        </is>
      </c>
      <c r="D250" s="18" t="inlineStr">
        <is>
          <t>Model: Z
Source: transverse
Left central facade witness → Right central facade witness</t>
        </is>
      </c>
      <c r="E250" s="37" t="n">
        <v>5959</v>
      </c>
      <c r="F250" s="25" t="inlineStr">
        <is>
          <t>mm</t>
        </is>
      </c>
      <c r="G250" s="38" t="n">
        <f>IF(COUNTBLANK(E250)&gt;0,"",E250)</f>
        <v>5959</v>
      </c>
      <c r="H250" s="39" t="n">
        <f>IF(COUNTBLANK(G250)&gt;0,"",G250/1000)</f>
        <v>5.959</v>
      </c>
      <c r="I250" s="18" t="inlineStr">
        <is>
          <t>Ghi trên bản vẽ / Explicit</t>
        </is>
      </c>
      <c r="J250" s="18" t="inlineStr">
        <is>
          <t>Tờ 1
File 1</t>
        </is>
      </c>
      <c r="K250" s="18" t="inlineStr">
        <is>
          <t>Bottom upper partial dimension line</t>
        </is>
      </c>
      <c r="L250" s="18" t="inlineStr">
        <is>
          <t>5959</t>
        </is>
      </c>
      <c r="M250" s="18" t="inlineStr">
        <is>
          <t>These are witness-line dimensions, not automatically clear door widths. Central 621 + 5,959 + 621 = 7,201 mm, differing by 1 mm from the E-D 7,200 mm span.</t>
        </is>
      </c>
    </row>
    <row r="251" ht="48" customHeight="1">
      <c r="A251" s="18" t="inlineStr">
        <is>
          <t>E031</t>
        </is>
      </c>
      <c r="B251" s="18" t="inlineStr">
        <is>
          <t>Lệch mép mặt giữa tới D
Central-facade edge-to-grid D offset</t>
        </is>
      </c>
      <c r="C251" s="18" t="inlineStr">
        <is>
          <t>horizontal subdimension</t>
        </is>
      </c>
      <c r="D251" s="18" t="inlineStr">
        <is>
          <t>Model: Z
Source: transverse
Right central facade witness → Grid D</t>
        </is>
      </c>
      <c r="E251" s="37" t="n">
        <v>621</v>
      </c>
      <c r="F251" s="25" t="inlineStr">
        <is>
          <t>mm</t>
        </is>
      </c>
      <c r="G251" s="38" t="n">
        <f>IF(COUNTBLANK(E251)&gt;0,"",E251)</f>
        <v>621</v>
      </c>
      <c r="H251" s="39" t="n">
        <f>IF(COUNTBLANK(G251)&gt;0,"",G251/1000)</f>
        <v>0.621</v>
      </c>
      <c r="I251" s="18" t="inlineStr">
        <is>
          <t>Ghi trên bản vẽ / Explicit</t>
        </is>
      </c>
      <c r="J251" s="18" t="inlineStr">
        <is>
          <t>Tờ 1
File 1</t>
        </is>
      </c>
      <c r="K251" s="18" t="inlineStr">
        <is>
          <t>Bottom upper partial dimension line</t>
        </is>
      </c>
      <c r="L251" s="18" t="inlineStr">
        <is>
          <t>621</t>
        </is>
      </c>
      <c r="M251" s="18" t="inlineStr">
        <is>
          <t>These are witness-line dimensions, not automatically clear door widths. Central 621 + 5,959 + 621 = 7,201 mm, differing by 1 mm from the E-D 7,200 mm span.</t>
        </is>
      </c>
    </row>
    <row r="252" ht="36" customHeight="1">
      <c r="A252" s="18" t="inlineStr">
        <is>
          <t>E032</t>
        </is>
      </c>
      <c r="B252" s="18" t="inlineStr">
        <is>
          <t>Lệch C tới mép tháp phải
Grid C-to-right tower edge offset</t>
        </is>
      </c>
      <c r="C252" s="18" t="inlineStr">
        <is>
          <t>horizontal subdimension</t>
        </is>
      </c>
      <c r="D252" s="18" t="inlineStr">
        <is>
          <t>Model: Z
Source: transverse
Grid C → Right inner tower witness</t>
        </is>
      </c>
      <c r="E252" s="37" t="n">
        <v>343</v>
      </c>
      <c r="F252" s="25" t="inlineStr">
        <is>
          <t>mm</t>
        </is>
      </c>
      <c r="G252" s="38" t="n">
        <f>IF(COUNTBLANK(E252)&gt;0,"",E252)</f>
        <v>343</v>
      </c>
      <c r="H252" s="39" t="n">
        <f>IF(COUNTBLANK(G252)&gt;0,"",G252/1000)</f>
        <v>0.343</v>
      </c>
      <c r="I252" s="18" t="inlineStr">
        <is>
          <t>Ghi trên bản vẽ / Explicit</t>
        </is>
      </c>
      <c r="J252" s="18" t="inlineStr">
        <is>
          <t>Tờ 1
File 1</t>
        </is>
      </c>
      <c r="K252" s="18" t="inlineStr">
        <is>
          <t>Bottom upper partial dimension line</t>
        </is>
      </c>
      <c r="L252" s="18" t="inlineStr">
        <is>
          <t>343</t>
        </is>
      </c>
      <c r="M252" s="18" t="inlineStr">
        <is>
          <t>Witness-line dimension; do not interpret as wall thickness or opening clear width without plan/detail.</t>
        </is>
      </c>
    </row>
    <row r="253" ht="48" customHeight="1">
      <c r="A253" s="18" t="inlineStr">
        <is>
          <t>E033</t>
        </is>
      </c>
      <c r="B253" s="18" t="inlineStr">
        <is>
          <t>Bề ngang tháp phải
Right tower facade dimension</t>
        </is>
      </c>
      <c r="C253" s="18" t="inlineStr">
        <is>
          <t>horizontal subdimension</t>
        </is>
      </c>
      <c r="D253" s="18" t="inlineStr">
        <is>
          <t>Model: Z
Source: transverse
Right inner tower witness → Right outer tower witness</t>
        </is>
      </c>
      <c r="E253" s="37" t="n">
        <v>4900</v>
      </c>
      <c r="F253" s="25" t="inlineStr">
        <is>
          <t>mm</t>
        </is>
      </c>
      <c r="G253" s="38" t="n">
        <f>IF(COUNTBLANK(E253)&gt;0,"",E253)</f>
        <v>4900</v>
      </c>
      <c r="H253" s="39" t="n">
        <f>IF(COUNTBLANK(G253)&gt;0,"",G253/1000)</f>
        <v>4.9</v>
      </c>
      <c r="I253" s="18" t="inlineStr">
        <is>
          <t>Ghi trên bản vẽ / Explicit</t>
        </is>
      </c>
      <c r="J253" s="18" t="inlineStr">
        <is>
          <t>Tờ 1
File 1</t>
        </is>
      </c>
      <c r="K253" s="18" t="inlineStr">
        <is>
          <t>Bottom upper partial dimension line</t>
        </is>
      </c>
      <c r="L253" s="18" t="inlineStr">
        <is>
          <t>4900</t>
        </is>
      </c>
      <c r="M253" s="18" t="inlineStr">
        <is>
          <t>Witness-line dimension; do not interpret as wall thickness or opening clear width without plan/detail.</t>
        </is>
      </c>
    </row>
    <row r="254" ht="48" customHeight="1">
      <c r="A254" s="18" t="inlineStr">
        <is>
          <t>E034</t>
        </is>
      </c>
      <c r="B254" s="18" t="inlineStr">
        <is>
          <t>Chiều cao phần thẳng cửa giữa
Central entrance straight opening height</t>
        </is>
      </c>
      <c r="C254" s="18" t="inlineStr">
        <is>
          <t>height between shown witnesses</t>
        </is>
      </c>
      <c r="D254" s="18" t="inlineStr">
        <is>
          <t>Model: Y
Source: vertical
FFL ±0.000 → Shown flat transom witness</t>
        </is>
      </c>
      <c r="E254" s="37" t="n">
        <v>4900</v>
      </c>
      <c r="F254" s="25" t="inlineStr">
        <is>
          <t>mm</t>
        </is>
      </c>
      <c r="G254" s="38" t="n">
        <f>IF(COUNTBLANK(E254)&gt;0,"",E254)</f>
        <v>4900</v>
      </c>
      <c r="H254" s="39" t="n">
        <f>IF(COUNTBLANK(G254)&gt;0,"",G254/1000)</f>
        <v>4.9</v>
      </c>
      <c r="I254" s="18" t="inlineStr">
        <is>
          <t>Ghi trên bản vẽ / Explicit</t>
        </is>
      </c>
      <c r="J254" s="18" t="inlineStr">
        <is>
          <t>Tờ 1
File 1</t>
        </is>
      </c>
      <c r="K254" s="18" t="inlineStr">
        <is>
          <t>Central ground-level entrance</t>
        </is>
      </c>
      <c r="L254" s="18" t="inlineStr">
        <is>
          <t>4900</t>
        </is>
      </c>
      <c r="M254" s="18" t="inlineStr">
        <is>
          <t>Read from tiny outlined numerals using diagnostic line-width-reduced rendering. The endpoints differ: central/intermediate dimensions end at a flat transom; tower dimension ends at the arch apex. Do not treat all as a door schedule.</t>
        </is>
      </c>
    </row>
    <row r="255" ht="48" customHeight="1">
      <c r="A255" s="18" t="inlineStr">
        <is>
          <t>E035</t>
        </is>
      </c>
      <c r="B255" s="18" t="inlineStr">
        <is>
          <t>Chiều cao phần thẳng cửa giữa và tháp
Intermediate entrance straight opening height</t>
        </is>
      </c>
      <c r="C255" s="18" t="inlineStr">
        <is>
          <t>height between shown witnesses</t>
        </is>
      </c>
      <c r="D255" s="18" t="inlineStr">
        <is>
          <t>Model: Y
Source: vertical
FFL ±0.000 → Shown flat transom witness</t>
        </is>
      </c>
      <c r="E255" s="37" t="n">
        <v>3756</v>
      </c>
      <c r="F255" s="25" t="inlineStr">
        <is>
          <t>mm</t>
        </is>
      </c>
      <c r="G255" s="38" t="n">
        <f>IF(COUNTBLANK(E255)&gt;0,"",E255)</f>
        <v>3756</v>
      </c>
      <c r="H255" s="39" t="n">
        <f>IF(COUNTBLANK(G255)&gt;0,"",G255/1000)</f>
        <v>3.756</v>
      </c>
      <c r="I255" s="18" t="inlineStr">
        <is>
          <t>Ghi trên bản vẽ / Explicit</t>
        </is>
      </c>
      <c r="J255" s="18" t="inlineStr">
        <is>
          <t>Tờ 1
File 1</t>
        </is>
      </c>
      <c r="K255" s="18" t="inlineStr">
        <is>
          <t>Right intermediate ground-level arch</t>
        </is>
      </c>
      <c r="L255" s="18" t="inlineStr">
        <is>
          <t>3756</t>
        </is>
      </c>
      <c r="M255" s="18" t="inlineStr">
        <is>
          <t>Read from tiny outlined numerals using diagnostic line-width-reduced rendering. The endpoints differ: central/intermediate dimensions end at a flat transom; tower dimension ends at the arch apex. Do not treat all as a door schedule.</t>
        </is>
      </c>
    </row>
    <row r="256" ht="48" customHeight="1">
      <c r="A256" s="18" t="inlineStr">
        <is>
          <t>E036</t>
        </is>
      </c>
      <c r="B256" s="18" t="inlineStr">
        <is>
          <t>Chiều cao vòm dưới tháp
Outer tower portal arch height</t>
        </is>
      </c>
      <c r="C256" s="18" t="inlineStr">
        <is>
          <t>height between shown witnesses</t>
        </is>
      </c>
      <c r="D256" s="18" t="inlineStr">
        <is>
          <t>Model: Y
Source: vertical
FFL ±0.000 → Shown arch apex witness</t>
        </is>
      </c>
      <c r="E256" s="37" t="n">
        <v>5370</v>
      </c>
      <c r="F256" s="25" t="inlineStr">
        <is>
          <t>mm</t>
        </is>
      </c>
      <c r="G256" s="38" t="n">
        <f>IF(COUNTBLANK(E256)&gt;0,"",E256)</f>
        <v>5370</v>
      </c>
      <c r="H256" s="39" t="n">
        <f>IF(COUNTBLANK(G256)&gt;0,"",G256/1000)</f>
        <v>5.37</v>
      </c>
      <c r="I256" s="18" t="inlineStr">
        <is>
          <t>Ghi trên bản vẽ / Explicit</t>
        </is>
      </c>
      <c r="J256" s="18" t="inlineStr">
        <is>
          <t>Tờ 1
File 1</t>
        </is>
      </c>
      <c r="K256" s="18" t="inlineStr">
        <is>
          <t>Right tower ground-level portal</t>
        </is>
      </c>
      <c r="L256" s="18" t="inlineStr">
        <is>
          <t>5370</t>
        </is>
      </c>
      <c r="M256" s="18" t="inlineStr">
        <is>
          <t>Read from tiny outlined numerals using diagnostic line-width-reduced rendering. The endpoints differ: central/intermediate dimensions end at a flat transom; tower dimension ends at the arch apex. Do not treat all as a door schedule.</t>
        </is>
      </c>
    </row>
    <row r="257" ht="48" customHeight="1">
      <c r="A257" s="18" t="inlineStr">
        <is>
          <t>E037</t>
        </is>
      </c>
      <c r="B257" s="18" t="inlineStr">
        <is>
          <t>Kích thước đứng hốc giữa
Central upper niche dimension</t>
        </is>
      </c>
      <c r="C257" s="18" t="inlineStr">
        <is>
          <t>height between shown witnesses</t>
        </is>
      </c>
      <c r="D257" s="18" t="inlineStr">
        <is>
          <t>Model: Y
Source: vertical
Top of shown pedestal witness → Upper shown niche witness</t>
        </is>
      </c>
      <c r="E257" s="37" t="n">
        <v>2930</v>
      </c>
      <c r="F257" s="25" t="inlineStr">
        <is>
          <t>mm</t>
        </is>
      </c>
      <c r="G257" s="38" t="n">
        <f>IF(COUNTBLANK(E257)&gt;0,"",E257)</f>
        <v>2930</v>
      </c>
      <c r="H257" s="39" t="n">
        <f>IF(COUNTBLANK(G257)&gt;0,"",G257/1000)</f>
        <v>2.93</v>
      </c>
      <c r="I257" s="18" t="inlineStr">
        <is>
          <t>Ghi trên bản vẽ / Explicit</t>
        </is>
      </c>
      <c r="J257" s="18" t="inlineStr">
        <is>
          <t>Tờ 1
File 1</t>
        </is>
      </c>
      <c r="K257" s="18" t="inlineStr">
        <is>
          <t>Upper central ornamental niche</t>
        </is>
      </c>
      <c r="L257" s="18" t="inlineStr">
        <is>
          <t>2930</t>
        </is>
      </c>
      <c r="M257" s="18" t="inlineStr">
        <is>
          <t>Dimension line is inside the niche; record as shown witness-line height. It is not the full outside height of the ornamental assembly.</t>
        </is>
      </c>
    </row>
    <row r="258" ht="48" customHeight="1">
      <c r="A258" s="18" t="inlineStr">
        <is>
          <t>E038</t>
        </is>
      </c>
      <c r="B258" s="18" t="inlineStr">
        <is>
          <t>Kích thước đứng hốc trái
Left upper niche dimension</t>
        </is>
      </c>
      <c r="C258" s="18" t="inlineStr">
        <is>
          <t>height between shown witnesses</t>
        </is>
      </c>
      <c r="D258" s="18" t="inlineStr">
        <is>
          <t>Model: Y
Source: vertical
Top of shown pedestal witness → Upper shown niche witness</t>
        </is>
      </c>
      <c r="E258" s="37" t="n">
        <v>1950</v>
      </c>
      <c r="F258" s="25" t="inlineStr">
        <is>
          <t>mm</t>
        </is>
      </c>
      <c r="G258" s="38" t="n">
        <f>IF(COUNTBLANK(E258)&gt;0,"",E258)</f>
        <v>1950</v>
      </c>
      <c r="H258" s="39" t="n">
        <f>IF(COUNTBLANK(G258)&gt;0,"",G258/1000)</f>
        <v>1.95</v>
      </c>
      <c r="I258" s="18" t="inlineStr">
        <is>
          <t>Ghi trên bản vẽ / Explicit</t>
        </is>
      </c>
      <c r="J258" s="18" t="inlineStr">
        <is>
          <t>Tờ 1
File 1</t>
        </is>
      </c>
      <c r="K258" s="18" t="inlineStr">
        <is>
          <t>Upper left ornamental niche</t>
        </is>
      </c>
      <c r="L258" s="18" t="inlineStr">
        <is>
          <t>1950</t>
        </is>
      </c>
      <c r="M258" s="18" t="inlineStr">
        <is>
          <t>Dimension line is inside the niche; record as shown witness-line height. It is not the full outside height of the ornamental assembly.</t>
        </is>
      </c>
    </row>
    <row r="259" ht="48" customHeight="1">
      <c r="A259" s="18" t="inlineStr">
        <is>
          <t>E039</t>
        </is>
      </c>
      <c r="B259" s="18" t="inlineStr">
        <is>
          <t>Kích thước đứng hốc phải
Right upper niche dimension</t>
        </is>
      </c>
      <c r="C259" s="18" t="inlineStr">
        <is>
          <t>height between shown witnesses</t>
        </is>
      </c>
      <c r="D259" s="18" t="inlineStr">
        <is>
          <t>Model: Y
Source: vertical
Top of shown pedestal witness → Upper shown niche witness</t>
        </is>
      </c>
      <c r="E259" s="37" t="n">
        <v>1950</v>
      </c>
      <c r="F259" s="25" t="inlineStr">
        <is>
          <t>mm</t>
        </is>
      </c>
      <c r="G259" s="38" t="n">
        <f>IF(COUNTBLANK(E259)&gt;0,"",E259)</f>
        <v>1950</v>
      </c>
      <c r="H259" s="39" t="n">
        <f>IF(COUNTBLANK(G259)&gt;0,"",G259/1000)</f>
        <v>1.95</v>
      </c>
      <c r="I259" s="18" t="inlineStr">
        <is>
          <t>Ghi trên bản vẽ / Explicit</t>
        </is>
      </c>
      <c r="J259" s="18" t="inlineStr">
        <is>
          <t>Tờ 1
File 1</t>
        </is>
      </c>
      <c r="K259" s="18" t="inlineStr">
        <is>
          <t>Upper right ornamental niche</t>
        </is>
      </c>
      <c r="L259" s="18" t="inlineStr">
        <is>
          <t>1950</t>
        </is>
      </c>
      <c r="M259" s="18" t="inlineStr">
        <is>
          <t>Dimension line is inside the niche; record as shown witness-line height. It is not the full outside height of the ornamental assembly.</t>
        </is>
      </c>
    </row>
    <row r="260" ht="36" customHeight="1">
      <c r="A260" s="18" t="inlineStr">
        <is>
          <t>E040</t>
        </is>
      </c>
      <c r="B260" s="18" t="inlineStr">
        <is>
          <t>Mặt sân
Courtyard grade</t>
        </is>
      </c>
      <c r="C260" s="18" t="inlineStr">
        <is>
          <t>elevation</t>
        </is>
      </c>
      <c r="D260" s="18" t="inlineStr">
        <is>
          <t>Model: Y
Source: vertical
FFL ±0.000 → Courtyard grade</t>
        </is>
      </c>
      <c r="E260" s="40" t="n">
        <v>-2.08</v>
      </c>
      <c r="F260" s="25" t="inlineStr">
        <is>
          <t>m</t>
        </is>
      </c>
      <c r="G260" s="38" t="n">
        <f>IF(COUNTBLANK(E260)&gt;0,"",E260*1000)</f>
        <v>-2080</v>
      </c>
      <c r="H260" s="39" t="n">
        <f>IF(COUNTBLANK(G260)&gt;0,"",G260/1000)</f>
        <v>-2.08</v>
      </c>
      <c r="I260" s="18" t="inlineStr">
        <is>
          <t>Ghi trên bản vẽ / Explicit</t>
        </is>
      </c>
      <c r="J260" s="18" t="inlineStr">
        <is>
          <t>Tờ 2
File 2</t>
        </is>
      </c>
      <c r="K260" s="18" t="inlineStr">
        <is>
          <t>Left elevation markers</t>
        </is>
      </c>
      <c r="L260" s="18" t="inlineStr">
        <is>
          <t>-2,08M</t>
        </is>
      </c>
      <c r="M260" s="18" t="inlineStr">
        <is>
          <t>Cross-check of sheet 1. Sheet 2 title is MẶT ĐỨNG HAI BÊN, a common elevation for both sides.</t>
        </is>
      </c>
    </row>
    <row r="261" ht="36" customHeight="1">
      <c r="A261" s="18" t="inlineStr">
        <is>
          <t>E041</t>
        </is>
      </c>
      <c r="B261" s="18" t="inlineStr">
        <is>
          <t>Cốt sàn chuẩn
Floor datum</t>
        </is>
      </c>
      <c r="C261" s="18" t="inlineStr">
        <is>
          <t>elevation</t>
        </is>
      </c>
      <c r="D261" s="18" t="inlineStr">
        <is>
          <t>Model: Y
Source: vertical
FFL ±0.000 → Floor datum</t>
        </is>
      </c>
      <c r="E261" s="40" t="n">
        <v>0</v>
      </c>
      <c r="F261" s="25" t="inlineStr">
        <is>
          <t>m</t>
        </is>
      </c>
      <c r="G261" s="38" t="n">
        <f>IF(COUNTBLANK(E261)&gt;0,"",E261*1000)</f>
        <v>0</v>
      </c>
      <c r="H261" s="39" t="n">
        <f>IF(COUNTBLANK(G261)&gt;0,"",G261/1000)</f>
        <v>0</v>
      </c>
      <c r="I261" s="18" t="inlineStr">
        <is>
          <t>Ghi trên bản vẽ / Explicit</t>
        </is>
      </c>
      <c r="J261" s="18" t="inlineStr">
        <is>
          <t>Tờ 2
File 2</t>
        </is>
      </c>
      <c r="K261" s="18" t="inlineStr">
        <is>
          <t>Left elevation markers</t>
        </is>
      </c>
      <c r="L261" s="18" t="inlineStr">
        <is>
          <t>+00M</t>
        </is>
      </c>
      <c r="M261" s="18" t="inlineStr">
        <is>
          <t>Cross-check of sheet 1. Sheet 2 title is MẶT ĐỨNG HAI BÊN, a common elevation for both sides.</t>
        </is>
      </c>
    </row>
    <row r="262" ht="48" customHeight="1">
      <c r="A262" s="18" t="inlineStr">
        <is>
          <t>E042</t>
        </is>
      </c>
      <c r="B262" s="18" t="inlineStr">
        <is>
          <t>Đỉnh tầng đế tháp
Tower base-stage upper level</t>
        </is>
      </c>
      <c r="C262" s="18" t="inlineStr">
        <is>
          <t>elevation</t>
        </is>
      </c>
      <c r="D262" s="18" t="inlineStr">
        <is>
          <t>Model: Y
Source: vertical
FFL ±0.000 → Tower base-stage upper level</t>
        </is>
      </c>
      <c r="E262" s="40" t="n">
        <v>8.39</v>
      </c>
      <c r="F262" s="25" t="inlineStr">
        <is>
          <t>m</t>
        </is>
      </c>
      <c r="G262" s="38" t="n">
        <f>IF(COUNTBLANK(E262)&gt;0,"",E262*1000)</f>
        <v>8390</v>
      </c>
      <c r="H262" s="39" t="n">
        <f>IF(COUNTBLANK(G262)&gt;0,"",G262/1000)</f>
        <v>8.39</v>
      </c>
      <c r="I262" s="18" t="inlineStr">
        <is>
          <t>Ghi trên bản vẽ / Explicit</t>
        </is>
      </c>
      <c r="J262" s="18" t="inlineStr">
        <is>
          <t>Tờ 2
File 2</t>
        </is>
      </c>
      <c r="K262" s="18" t="inlineStr">
        <is>
          <t>Left elevation markers</t>
        </is>
      </c>
      <c r="L262" s="18" t="inlineStr">
        <is>
          <t>+8,390M</t>
        </is>
      </c>
      <c r="M262" s="18" t="inlineStr">
        <is>
          <t>Cross-check of sheet 1. Sheet 2 title is MẶT ĐỨNG HAI BÊN, a common elevation for both sides.</t>
        </is>
      </c>
    </row>
    <row r="263" ht="48" customHeight="1">
      <c r="A263" s="18" t="inlineStr">
        <is>
          <t>E043</t>
        </is>
      </c>
      <c r="B263" s="18" t="inlineStr">
        <is>
          <t>Đỉnh tầng tháp 1
First upper tower stage level</t>
        </is>
      </c>
      <c r="C263" s="18" t="inlineStr">
        <is>
          <t>elevation</t>
        </is>
      </c>
      <c r="D263" s="18" t="inlineStr">
        <is>
          <t>Model: Y
Source: vertical
FFL ±0.000 → First upper tower stage level</t>
        </is>
      </c>
      <c r="E263" s="40" t="n">
        <v>15.84</v>
      </c>
      <c r="F263" s="25" t="inlineStr">
        <is>
          <t>m</t>
        </is>
      </c>
      <c r="G263" s="38" t="n">
        <f>IF(COUNTBLANK(E263)&gt;0,"",E263*1000)</f>
        <v>15840</v>
      </c>
      <c r="H263" s="39" t="n">
        <f>IF(COUNTBLANK(G263)&gt;0,"",G263/1000)</f>
        <v>15.84</v>
      </c>
      <c r="I263" s="18" t="inlineStr">
        <is>
          <t>Ghi trên bản vẽ / Explicit</t>
        </is>
      </c>
      <c r="J263" s="18" t="inlineStr">
        <is>
          <t>Tờ 2
File 2</t>
        </is>
      </c>
      <c r="K263" s="18" t="inlineStr">
        <is>
          <t>Left elevation markers</t>
        </is>
      </c>
      <c r="L263" s="18" t="inlineStr">
        <is>
          <t>+15,840M</t>
        </is>
      </c>
      <c r="M263" s="18" t="inlineStr">
        <is>
          <t>Cross-check of sheet 1. Sheet 2 title is MẶT ĐỨNG HAI BÊN, a common elevation for both sides.</t>
        </is>
      </c>
    </row>
    <row r="264" ht="48" customHeight="1">
      <c r="A264" s="18" t="inlineStr">
        <is>
          <t>E044</t>
        </is>
      </c>
      <c r="B264" s="18" t="inlineStr">
        <is>
          <t>Đỉnh tầng tháp 2
Second upper tower stage level</t>
        </is>
      </c>
      <c r="C264" s="18" t="inlineStr">
        <is>
          <t>elevation</t>
        </is>
      </c>
      <c r="D264" s="18" t="inlineStr">
        <is>
          <t>Model: Y
Source: vertical
FFL ±0.000 → Second upper tower stage level</t>
        </is>
      </c>
      <c r="E264" s="40" t="n">
        <v>23.14</v>
      </c>
      <c r="F264" s="25" t="inlineStr">
        <is>
          <t>m</t>
        </is>
      </c>
      <c r="G264" s="38" t="n">
        <f>IF(COUNTBLANK(E264)&gt;0,"",E264*1000)</f>
        <v>23140</v>
      </c>
      <c r="H264" s="39" t="n">
        <f>IF(COUNTBLANK(G264)&gt;0,"",G264/1000)</f>
        <v>23.14</v>
      </c>
      <c r="I264" s="18" t="inlineStr">
        <is>
          <t>Ghi trên bản vẽ / Explicit</t>
        </is>
      </c>
      <c r="J264" s="18" t="inlineStr">
        <is>
          <t>Tờ 2
File 2</t>
        </is>
      </c>
      <c r="K264" s="18" t="inlineStr">
        <is>
          <t>Left elevation markers</t>
        </is>
      </c>
      <c r="L264" s="18" t="inlineStr">
        <is>
          <t>+23,140M</t>
        </is>
      </c>
      <c r="M264" s="18" t="inlineStr">
        <is>
          <t>Cross-check of sheet 1. Sheet 2 title is MẶT ĐỨNG HAI BÊN, a common elevation for both sides.</t>
        </is>
      </c>
    </row>
    <row r="265" ht="48" customHeight="1">
      <c r="A265" s="18" t="inlineStr">
        <is>
          <t>E045</t>
        </is>
      </c>
      <c r="B265" s="18" t="inlineStr">
        <is>
          <t>Đáy mái cong tháp
Tower curved-cap base level</t>
        </is>
      </c>
      <c r="C265" s="18" t="inlineStr">
        <is>
          <t>elevation</t>
        </is>
      </c>
      <c r="D265" s="18" t="inlineStr">
        <is>
          <t>Model: Y
Source: vertical
FFL ±0.000 → Tower curved-cap base level</t>
        </is>
      </c>
      <c r="E265" s="40" t="n">
        <v>29.09</v>
      </c>
      <c r="F265" s="25" t="inlineStr">
        <is>
          <t>m</t>
        </is>
      </c>
      <c r="G265" s="38" t="n">
        <f>IF(COUNTBLANK(E265)&gt;0,"",E265*1000)</f>
        <v>29090</v>
      </c>
      <c r="H265" s="39" t="n">
        <f>IF(COUNTBLANK(G265)&gt;0,"",G265/1000)</f>
        <v>29.09</v>
      </c>
      <c r="I265" s="18" t="inlineStr">
        <is>
          <t>Ghi trên bản vẽ / Explicit</t>
        </is>
      </c>
      <c r="J265" s="18" t="inlineStr">
        <is>
          <t>Tờ 2
File 2</t>
        </is>
      </c>
      <c r="K265" s="18" t="inlineStr">
        <is>
          <t>Left elevation markers</t>
        </is>
      </c>
      <c r="L265" s="18" t="inlineStr">
        <is>
          <t>+29,09M</t>
        </is>
      </c>
      <c r="M265" s="18" t="inlineStr">
        <is>
          <t>Cross-check of sheet 1. Sheet 2 title is MẶT ĐỨNG HAI BÊN, a common elevation for both sides.</t>
        </is>
      </c>
    </row>
    <row r="266" ht="36" customHeight="1">
      <c r="A266" s="18" t="inlineStr">
        <is>
          <t>E046</t>
        </is>
      </c>
      <c r="B266" s="18" t="inlineStr">
        <is>
          <t>Đỉnh thánh giá tháp
Tower cross top</t>
        </is>
      </c>
      <c r="C266" s="18" t="inlineStr">
        <is>
          <t>elevation</t>
        </is>
      </c>
      <c r="D266" s="18" t="inlineStr">
        <is>
          <t>Model: Y
Source: vertical
FFL ±0.000 → Tower cross top</t>
        </is>
      </c>
      <c r="E266" s="40" t="n">
        <v>36.92</v>
      </c>
      <c r="F266" s="25" t="inlineStr">
        <is>
          <t>m</t>
        </is>
      </c>
      <c r="G266" s="38" t="n">
        <f>IF(COUNTBLANK(E266)&gt;0,"",E266*1000)</f>
        <v>36920</v>
      </c>
      <c r="H266" s="39" t="n">
        <f>IF(COUNTBLANK(G266)&gt;0,"",G266/1000)</f>
        <v>36.92</v>
      </c>
      <c r="I266" s="18" t="inlineStr">
        <is>
          <t>Ghi trên bản vẽ / Explicit</t>
        </is>
      </c>
      <c r="J266" s="18" t="inlineStr">
        <is>
          <t>Tờ 2
File 2</t>
        </is>
      </c>
      <c r="K266" s="18" t="inlineStr">
        <is>
          <t>Left elevation markers</t>
        </is>
      </c>
      <c r="L266" s="18" t="inlineStr">
        <is>
          <t>+36,920M</t>
        </is>
      </c>
      <c r="M266" s="18" t="inlineStr">
        <is>
          <t>Cross-check of sheet 1. Sheet 2 title is MẶT ĐỨNG HAI BÊN, a common elevation for both sides.</t>
        </is>
      </c>
    </row>
    <row r="267" ht="48" customHeight="1">
      <c r="A267" s="18" t="inlineStr">
        <is>
          <t>E047</t>
        </is>
      </c>
      <c r="B267" s="18" t="inlineStr">
        <is>
          <t>Cao độ diềm mái
Eaves/cornice reference</t>
        </is>
      </c>
      <c r="C267" s="18" t="inlineStr">
        <is>
          <t>elevation</t>
        </is>
      </c>
      <c r="D267" s="18" t="inlineStr">
        <is>
          <t>Model: Y
Source: vertical
FFL ±0.000 → Eaves/cornice reference</t>
        </is>
      </c>
      <c r="E267" s="40" t="n">
        <v>6.324</v>
      </c>
      <c r="F267" s="25" t="inlineStr">
        <is>
          <t>m</t>
        </is>
      </c>
      <c r="G267" s="38" t="n">
        <f>IF(COUNTBLANK(E267)&gt;0,"",E267*1000)</f>
        <v>6324</v>
      </c>
      <c r="H267" s="39" t="n">
        <f>IF(COUNTBLANK(G267)&gt;0,"",G267/1000)</f>
        <v>6.324</v>
      </c>
      <c r="I267" s="18" t="inlineStr">
        <is>
          <t>Ghi trên bản vẽ / Explicit</t>
        </is>
      </c>
      <c r="J267" s="18" t="inlineStr">
        <is>
          <t>Tờ 2
File 2</t>
        </is>
      </c>
      <c r="K267" s="18" t="inlineStr">
        <is>
          <t>Right elevation markers</t>
        </is>
      </c>
      <c r="L267" s="18" t="inlineStr">
        <is>
          <t>+6,324M</t>
        </is>
      </c>
      <c r="M267" s="18" t="inlineStr">
        <is>
          <t>Also explicitly labeled on sheet 3. Match exact architectural witness on original drawing; no decorative geometry inferred from level alone.</t>
        </is>
      </c>
    </row>
    <row r="268" ht="48" customHeight="1">
      <c r="A268" s="18" t="inlineStr">
        <is>
          <t>E048</t>
        </is>
      </c>
      <c r="B268" s="18" t="inlineStr">
        <is>
          <t>Cao độ mặt đầu trung gian
Opposite-end intermediate facade reference</t>
        </is>
      </c>
      <c r="C268" s="18" t="inlineStr">
        <is>
          <t>elevation</t>
        </is>
      </c>
      <c r="D268" s="18" t="inlineStr">
        <is>
          <t>Model: Y
Source: vertical
FFL ±0.000 → Opposite-end intermediate facade reference</t>
        </is>
      </c>
      <c r="E268" s="40" t="n">
        <v>8.575</v>
      </c>
      <c r="F268" s="25" t="inlineStr">
        <is>
          <t>m</t>
        </is>
      </c>
      <c r="G268" s="38" t="n">
        <f>IF(COUNTBLANK(E268)&gt;0,"",E268*1000)</f>
        <v>8575</v>
      </c>
      <c r="H268" s="39" t="n">
        <f>IF(COUNTBLANK(G268)&gt;0,"",G268/1000)</f>
        <v>8.575</v>
      </c>
      <c r="I268" s="18" t="inlineStr">
        <is>
          <t>Ghi trên bản vẽ / Explicit</t>
        </is>
      </c>
      <c r="J268" s="18" t="inlineStr">
        <is>
          <t>Tờ 2
File 2</t>
        </is>
      </c>
      <c r="K268" s="18" t="inlineStr">
        <is>
          <t>Right elevation markers</t>
        </is>
      </c>
      <c r="L268" s="18" t="inlineStr">
        <is>
          <t>+8,575M</t>
        </is>
      </c>
      <c r="M268" s="18" t="inlineStr">
        <is>
          <t>Also explicitly labeled on sheet 3. Match exact architectural witness on original drawing; no decorative geometry inferred from level alone.</t>
        </is>
      </c>
    </row>
    <row r="269" ht="48" customHeight="1">
      <c r="A269" s="18" t="inlineStr">
        <is>
          <t>E049</t>
        </is>
      </c>
      <c r="B269" s="18" t="inlineStr">
        <is>
          <t>Cao độ đỉnh mái chính
Main roof ridge/reference</t>
        </is>
      </c>
      <c r="C269" s="18" t="inlineStr">
        <is>
          <t>elevation</t>
        </is>
      </c>
      <c r="D269" s="18" t="inlineStr">
        <is>
          <t>Model: Y
Source: vertical
FFL ±0.000 → Main roof ridge/reference</t>
        </is>
      </c>
      <c r="E269" s="40" t="n">
        <v>12.472</v>
      </c>
      <c r="F269" s="25" t="inlineStr">
        <is>
          <t>m</t>
        </is>
      </c>
      <c r="G269" s="38" t="n">
        <f>IF(COUNTBLANK(E269)&gt;0,"",E269*1000)</f>
        <v>12472</v>
      </c>
      <c r="H269" s="39" t="n">
        <f>IF(COUNTBLANK(G269)&gt;0,"",G269/1000)</f>
        <v>12.472</v>
      </c>
      <c r="I269" s="18" t="inlineStr">
        <is>
          <t>Ghi trên bản vẽ / Explicit</t>
        </is>
      </c>
      <c r="J269" s="18" t="inlineStr">
        <is>
          <t>Tờ 2
File 2</t>
        </is>
      </c>
      <c r="K269" s="18" t="inlineStr">
        <is>
          <t>Right elevation markers</t>
        </is>
      </c>
      <c r="L269" s="18" t="inlineStr">
        <is>
          <t>+12,472M</t>
        </is>
      </c>
      <c r="M269" s="18" t="inlineStr">
        <is>
          <t>Also explicitly labeled on sheet 3. Match exact architectural witness on original drawing; no decorative geometry inferred from level alone.</t>
        </is>
      </c>
    </row>
    <row r="270" ht="48" customHeight="1">
      <c r="A270" s="18" t="inlineStr">
        <is>
          <t>E050</t>
        </is>
      </c>
      <c r="B270" s="18" t="inlineStr">
        <is>
          <t>Đỉnh thánh giá đầu nhà
Opposite-end cross top</t>
        </is>
      </c>
      <c r="C270" s="18" t="inlineStr">
        <is>
          <t>elevation</t>
        </is>
      </c>
      <c r="D270" s="18" t="inlineStr">
        <is>
          <t>Model: Y
Source: vertical
FFL ±0.000 → Opposite-end cross top</t>
        </is>
      </c>
      <c r="E270" s="40" t="n">
        <v>17.829</v>
      </c>
      <c r="F270" s="25" t="inlineStr">
        <is>
          <t>m</t>
        </is>
      </c>
      <c r="G270" s="38" t="n">
        <f>IF(COUNTBLANK(E270)&gt;0,"",E270*1000)</f>
        <v>17829</v>
      </c>
      <c r="H270" s="39" t="n">
        <f>IF(COUNTBLANK(G270)&gt;0,"",G270/1000)</f>
        <v>17.829</v>
      </c>
      <c r="I270" s="18" t="inlineStr">
        <is>
          <t>Ghi trên bản vẽ / Explicit</t>
        </is>
      </c>
      <c r="J270" s="18" t="inlineStr">
        <is>
          <t>Tờ 2
File 2</t>
        </is>
      </c>
      <c r="K270" s="18" t="inlineStr">
        <is>
          <t>Right elevation markers</t>
        </is>
      </c>
      <c r="L270" s="18" t="inlineStr">
        <is>
          <t>+17,829M</t>
        </is>
      </c>
      <c r="M270" s="18" t="inlineStr">
        <is>
          <t>Also explicitly labeled on sheet 3. Match exact architectural witness on original drawing; no decorative geometry inferred from level alone.</t>
        </is>
      </c>
    </row>
    <row r="271" ht="48" customHeight="1">
      <c r="A271" s="18" t="inlineStr">
        <is>
          <t>E051</t>
        </is>
      </c>
      <c r="B271" s="18" t="inlineStr">
        <is>
          <t>Chuỗi kích thước dọc nhà
Longitudinal elevation chain</t>
        </is>
      </c>
      <c r="C271" s="18" t="inlineStr">
        <is>
          <t>longitudinal span</t>
        </is>
      </c>
      <c r="D271" s="18" t="inlineStr">
        <is>
          <t>Model: X
Source: longitudinal
Front ramp/approach toe witness → Grid 1</t>
        </is>
      </c>
      <c r="E271" s="37" t="n">
        <v>13194</v>
      </c>
      <c r="F271" s="25" t="inlineStr">
        <is>
          <t>mm</t>
        </is>
      </c>
      <c r="G271" s="38" t="n">
        <f>IF(COUNTBLANK(E271)&gt;0,"",E271)</f>
        <v>13194</v>
      </c>
      <c r="H271" s="39" t="n">
        <f>IF(COUNTBLANK(G271)&gt;0,"",G271/1000)</f>
        <v>13.194</v>
      </c>
      <c r="I271" s="18" t="inlineStr">
        <is>
          <t>Ghi trên bản vẽ / Explicit</t>
        </is>
      </c>
      <c r="J271" s="18" t="inlineStr">
        <is>
          <t>Tờ 2
File 2</t>
        </is>
      </c>
      <c r="K271" s="18" t="inlineStr">
        <is>
          <t>Bottom dimension chain</t>
        </is>
      </c>
      <c r="L271" s="18" t="inlineStr">
        <is>
          <t>13194</t>
        </is>
      </c>
      <c r="M271" s="18" t="inlineStr">
        <is>
          <t>13,194 mm is the approach/ramp segment outside grid 1, not a building room.</t>
        </is>
      </c>
    </row>
    <row r="272" ht="36" customHeight="1">
      <c r="A272" s="18" t="inlineStr">
        <is>
          <t>E052</t>
        </is>
      </c>
      <c r="B272" s="18" t="inlineStr">
        <is>
          <t>Chuỗi kích thước dọc nhà
Longitudinal elevation chain</t>
        </is>
      </c>
      <c r="C272" s="18" t="inlineStr">
        <is>
          <t>longitudinal span</t>
        </is>
      </c>
      <c r="D272" s="18" t="inlineStr">
        <is>
          <t>Model: X
Source: longitudinal
Grid 1 → Grid 2</t>
        </is>
      </c>
      <c r="E272" s="37" t="n">
        <v>4900</v>
      </c>
      <c r="F272" s="25" t="inlineStr">
        <is>
          <t>mm</t>
        </is>
      </c>
      <c r="G272" s="38" t="n">
        <f>IF(COUNTBLANK(E272)&gt;0,"",E272)</f>
        <v>4900</v>
      </c>
      <c r="H272" s="39" t="n">
        <f>IF(COUNTBLANK(G272)&gt;0,"",G272/1000)</f>
        <v>4.9</v>
      </c>
      <c r="I272" s="18" t="inlineStr">
        <is>
          <t>Ghi trên bản vẽ / Explicit</t>
        </is>
      </c>
      <c r="J272" s="18" t="inlineStr">
        <is>
          <t>Tờ 2
File 2</t>
        </is>
      </c>
      <c r="K272" s="18" t="inlineStr">
        <is>
          <t>Bottom dimension chain</t>
        </is>
      </c>
      <c r="L272" s="18" t="inlineStr">
        <is>
          <t>4900</t>
        </is>
      </c>
      <c r="M272" s="18" t="str"/>
    </row>
    <row r="273" ht="36" customHeight="1">
      <c r="A273" s="18" t="inlineStr">
        <is>
          <t>E053</t>
        </is>
      </c>
      <c r="B273" s="18" t="inlineStr">
        <is>
          <t>Chuỗi kích thước dọc nhà
Longitudinal elevation chain</t>
        </is>
      </c>
      <c r="C273" s="18" t="inlineStr">
        <is>
          <t>longitudinal span</t>
        </is>
      </c>
      <c r="D273" s="18" t="inlineStr">
        <is>
          <t>Model: X
Source: longitudinal
Grid 2 → Grid 2*</t>
        </is>
      </c>
      <c r="E273" s="37" t="n">
        <v>575</v>
      </c>
      <c r="F273" s="25" t="inlineStr">
        <is>
          <t>mm</t>
        </is>
      </c>
      <c r="G273" s="38" t="n">
        <f>IF(COUNTBLANK(E273)&gt;0,"",E273)</f>
        <v>575</v>
      </c>
      <c r="H273" s="39" t="n">
        <f>IF(COUNTBLANK(G273)&gt;0,"",G273/1000)</f>
        <v>0.575</v>
      </c>
      <c r="I273" s="18" t="inlineStr">
        <is>
          <t>Ghi trên bản vẽ / Explicit</t>
        </is>
      </c>
      <c r="J273" s="18" t="inlineStr">
        <is>
          <t>Tờ 2
File 2</t>
        </is>
      </c>
      <c r="K273" s="18" t="inlineStr">
        <is>
          <t>Bottom dimension chain</t>
        </is>
      </c>
      <c r="L273" s="18" t="inlineStr">
        <is>
          <t>575</t>
        </is>
      </c>
      <c r="M273" s="18" t="str"/>
    </row>
    <row r="274" ht="36" customHeight="1">
      <c r="A274" s="18" t="inlineStr">
        <is>
          <t>E054</t>
        </is>
      </c>
      <c r="B274" s="18" t="inlineStr">
        <is>
          <t>Chuỗi kích thước dọc nhà
Longitudinal elevation chain</t>
        </is>
      </c>
      <c r="C274" s="18" t="inlineStr">
        <is>
          <t>longitudinal span</t>
        </is>
      </c>
      <c r="D274" s="18" t="inlineStr">
        <is>
          <t>Model: X
Source: longitudinal
Grid 2* → Grid 3</t>
        </is>
      </c>
      <c r="E274" s="37" t="n">
        <v>4500</v>
      </c>
      <c r="F274" s="25" t="inlineStr">
        <is>
          <t>mm</t>
        </is>
      </c>
      <c r="G274" s="38" t="n">
        <f>IF(COUNTBLANK(E274)&gt;0,"",E274)</f>
        <v>4500</v>
      </c>
      <c r="H274" s="39" t="n">
        <f>IF(COUNTBLANK(G274)&gt;0,"",G274/1000)</f>
        <v>4.5</v>
      </c>
      <c r="I274" s="18" t="inlineStr">
        <is>
          <t>Ghi trên bản vẽ / Explicit</t>
        </is>
      </c>
      <c r="J274" s="18" t="inlineStr">
        <is>
          <t>Tờ 2
File 2</t>
        </is>
      </c>
      <c r="K274" s="18" t="inlineStr">
        <is>
          <t>Bottom dimension chain</t>
        </is>
      </c>
      <c r="L274" s="18" t="inlineStr">
        <is>
          <t>4500</t>
        </is>
      </c>
      <c r="M274" s="18" t="str"/>
    </row>
    <row r="275" ht="36" customHeight="1">
      <c r="A275" s="18" t="inlineStr">
        <is>
          <t>E055</t>
        </is>
      </c>
      <c r="B275" s="18" t="inlineStr">
        <is>
          <t>Chuỗi kích thước dọc nhà
Longitudinal elevation chain</t>
        </is>
      </c>
      <c r="C275" s="18" t="inlineStr">
        <is>
          <t>longitudinal span</t>
        </is>
      </c>
      <c r="D275" s="18" t="inlineStr">
        <is>
          <t>Model: X
Source: longitudinal
Grid 3 → Grid 4</t>
        </is>
      </c>
      <c r="E275" s="37" t="n">
        <v>4500</v>
      </c>
      <c r="F275" s="25" t="inlineStr">
        <is>
          <t>mm</t>
        </is>
      </c>
      <c r="G275" s="38" t="n">
        <f>IF(COUNTBLANK(E275)&gt;0,"",E275)</f>
        <v>4500</v>
      </c>
      <c r="H275" s="39" t="n">
        <f>IF(COUNTBLANK(G275)&gt;0,"",G275/1000)</f>
        <v>4.5</v>
      </c>
      <c r="I275" s="18" t="inlineStr">
        <is>
          <t>Ghi trên bản vẽ / Explicit</t>
        </is>
      </c>
      <c r="J275" s="18" t="inlineStr">
        <is>
          <t>Tờ 2
File 2</t>
        </is>
      </c>
      <c r="K275" s="18" t="inlineStr">
        <is>
          <t>Bottom dimension chain</t>
        </is>
      </c>
      <c r="L275" s="18" t="inlineStr">
        <is>
          <t>4500</t>
        </is>
      </c>
      <c r="M275" s="18" t="str"/>
    </row>
    <row r="276" ht="36" customHeight="1">
      <c r="A276" s="18" t="inlineStr">
        <is>
          <t>E056</t>
        </is>
      </c>
      <c r="B276" s="18" t="inlineStr">
        <is>
          <t>Chuỗi kích thước dọc nhà
Longitudinal elevation chain</t>
        </is>
      </c>
      <c r="C276" s="18" t="inlineStr">
        <is>
          <t>longitudinal span</t>
        </is>
      </c>
      <c r="D276" s="18" t="inlineStr">
        <is>
          <t>Model: X
Source: longitudinal
Grid 4 → Grid 5</t>
        </is>
      </c>
      <c r="E276" s="37" t="n">
        <v>4500</v>
      </c>
      <c r="F276" s="25" t="inlineStr">
        <is>
          <t>mm</t>
        </is>
      </c>
      <c r="G276" s="38" t="n">
        <f>IF(COUNTBLANK(E276)&gt;0,"",E276)</f>
        <v>4500</v>
      </c>
      <c r="H276" s="39" t="n">
        <f>IF(COUNTBLANK(G276)&gt;0,"",G276/1000)</f>
        <v>4.5</v>
      </c>
      <c r="I276" s="18" t="inlineStr">
        <is>
          <t>Ghi trên bản vẽ / Explicit</t>
        </is>
      </c>
      <c r="J276" s="18" t="inlineStr">
        <is>
          <t>Tờ 2
File 2</t>
        </is>
      </c>
      <c r="K276" s="18" t="inlineStr">
        <is>
          <t>Bottom dimension chain</t>
        </is>
      </c>
      <c r="L276" s="18" t="inlineStr">
        <is>
          <t>4500</t>
        </is>
      </c>
      <c r="M276" s="18" t="str"/>
    </row>
    <row r="277" ht="36" customHeight="1">
      <c r="A277" s="18" t="inlineStr">
        <is>
          <t>E057</t>
        </is>
      </c>
      <c r="B277" s="18" t="inlineStr">
        <is>
          <t>Chuỗi kích thước dọc nhà
Longitudinal elevation chain</t>
        </is>
      </c>
      <c r="C277" s="18" t="inlineStr">
        <is>
          <t>longitudinal span</t>
        </is>
      </c>
      <c r="D277" s="18" t="inlineStr">
        <is>
          <t>Model: X
Source: longitudinal
Grid 5 → Grid 6</t>
        </is>
      </c>
      <c r="E277" s="37" t="n">
        <v>4500</v>
      </c>
      <c r="F277" s="25" t="inlineStr">
        <is>
          <t>mm</t>
        </is>
      </c>
      <c r="G277" s="38" t="n">
        <f>IF(COUNTBLANK(E277)&gt;0,"",E277)</f>
        <v>4500</v>
      </c>
      <c r="H277" s="39" t="n">
        <f>IF(COUNTBLANK(G277)&gt;0,"",G277/1000)</f>
        <v>4.5</v>
      </c>
      <c r="I277" s="18" t="inlineStr">
        <is>
          <t>Ghi trên bản vẽ / Explicit</t>
        </is>
      </c>
      <c r="J277" s="18" t="inlineStr">
        <is>
          <t>Tờ 2
File 2</t>
        </is>
      </c>
      <c r="K277" s="18" t="inlineStr">
        <is>
          <t>Bottom dimension chain</t>
        </is>
      </c>
      <c r="L277" s="18" t="inlineStr">
        <is>
          <t>4500</t>
        </is>
      </c>
      <c r="M277" s="18" t="str"/>
    </row>
    <row r="278" ht="36" customHeight="1">
      <c r="A278" s="18" t="inlineStr">
        <is>
          <t>E058</t>
        </is>
      </c>
      <c r="B278" s="18" t="inlineStr">
        <is>
          <t>Chuỗi kích thước dọc nhà
Longitudinal elevation chain</t>
        </is>
      </c>
      <c r="C278" s="18" t="inlineStr">
        <is>
          <t>longitudinal span</t>
        </is>
      </c>
      <c r="D278" s="18" t="inlineStr">
        <is>
          <t>Model: X
Source: longitudinal
Grid 6 → Grid 7</t>
        </is>
      </c>
      <c r="E278" s="37" t="n">
        <v>4500</v>
      </c>
      <c r="F278" s="25" t="inlineStr">
        <is>
          <t>mm</t>
        </is>
      </c>
      <c r="G278" s="38" t="n">
        <f>IF(COUNTBLANK(E278)&gt;0,"",E278)</f>
        <v>4500</v>
      </c>
      <c r="H278" s="39" t="n">
        <f>IF(COUNTBLANK(G278)&gt;0,"",G278/1000)</f>
        <v>4.5</v>
      </c>
      <c r="I278" s="18" t="inlineStr">
        <is>
          <t>Ghi trên bản vẽ / Explicit</t>
        </is>
      </c>
      <c r="J278" s="18" t="inlineStr">
        <is>
          <t>Tờ 2
File 2</t>
        </is>
      </c>
      <c r="K278" s="18" t="inlineStr">
        <is>
          <t>Bottom dimension chain</t>
        </is>
      </c>
      <c r="L278" s="18" t="inlineStr">
        <is>
          <t>4500</t>
        </is>
      </c>
      <c r="M278" s="18" t="str"/>
    </row>
    <row r="279" ht="36" customHeight="1">
      <c r="A279" s="18" t="inlineStr">
        <is>
          <t>E059</t>
        </is>
      </c>
      <c r="B279" s="18" t="inlineStr">
        <is>
          <t>Chuỗi kích thước dọc nhà
Longitudinal elevation chain</t>
        </is>
      </c>
      <c r="C279" s="18" t="inlineStr">
        <is>
          <t>longitudinal span</t>
        </is>
      </c>
      <c r="D279" s="18" t="inlineStr">
        <is>
          <t>Model: X
Source: longitudinal
Grid 7 → Grid 8</t>
        </is>
      </c>
      <c r="E279" s="37" t="n">
        <v>4500</v>
      </c>
      <c r="F279" s="25" t="inlineStr">
        <is>
          <t>mm</t>
        </is>
      </c>
      <c r="G279" s="38" t="n">
        <f>IF(COUNTBLANK(E279)&gt;0,"",E279)</f>
        <v>4500</v>
      </c>
      <c r="H279" s="39" t="n">
        <f>IF(COUNTBLANK(G279)&gt;0,"",G279/1000)</f>
        <v>4.5</v>
      </c>
      <c r="I279" s="18" t="inlineStr">
        <is>
          <t>Ghi trên bản vẽ / Explicit</t>
        </is>
      </c>
      <c r="J279" s="18" t="inlineStr">
        <is>
          <t>Tờ 2
File 2</t>
        </is>
      </c>
      <c r="K279" s="18" t="inlineStr">
        <is>
          <t>Bottom dimension chain</t>
        </is>
      </c>
      <c r="L279" s="18" t="inlineStr">
        <is>
          <t>4500</t>
        </is>
      </c>
      <c r="M279" s="18" t="str"/>
    </row>
    <row r="280" ht="36" customHeight="1">
      <c r="A280" s="18" t="inlineStr">
        <is>
          <t>E060</t>
        </is>
      </c>
      <c r="B280" s="18" t="inlineStr">
        <is>
          <t>Chuỗi kích thước dọc nhà
Longitudinal elevation chain</t>
        </is>
      </c>
      <c r="C280" s="18" t="inlineStr">
        <is>
          <t>longitudinal span</t>
        </is>
      </c>
      <c r="D280" s="18" t="inlineStr">
        <is>
          <t>Model: X
Source: longitudinal
Grid 8 → Grid 9</t>
        </is>
      </c>
      <c r="E280" s="37" t="n">
        <v>4500</v>
      </c>
      <c r="F280" s="25" t="inlineStr">
        <is>
          <t>mm</t>
        </is>
      </c>
      <c r="G280" s="38" t="n">
        <f>IF(COUNTBLANK(E280)&gt;0,"",E280)</f>
        <v>4500</v>
      </c>
      <c r="H280" s="39" t="n">
        <f>IF(COUNTBLANK(G280)&gt;0,"",G280/1000)</f>
        <v>4.5</v>
      </c>
      <c r="I280" s="18" t="inlineStr">
        <is>
          <t>Ghi trên bản vẽ / Explicit</t>
        </is>
      </c>
      <c r="J280" s="18" t="inlineStr">
        <is>
          <t>Tờ 2
File 2</t>
        </is>
      </c>
      <c r="K280" s="18" t="inlineStr">
        <is>
          <t>Bottom dimension chain</t>
        </is>
      </c>
      <c r="L280" s="18" t="inlineStr">
        <is>
          <t>4500</t>
        </is>
      </c>
      <c r="M280" s="18" t="str"/>
    </row>
    <row r="281" ht="36" customHeight="1">
      <c r="A281" s="18" t="inlineStr">
        <is>
          <t>E061</t>
        </is>
      </c>
      <c r="B281" s="18" t="inlineStr">
        <is>
          <t>Chuỗi kích thước dọc nhà
Longitudinal elevation chain</t>
        </is>
      </c>
      <c r="C281" s="18" t="inlineStr">
        <is>
          <t>longitudinal span</t>
        </is>
      </c>
      <c r="D281" s="18" t="inlineStr">
        <is>
          <t>Model: X
Source: longitudinal
Grid 9 → Grid 10</t>
        </is>
      </c>
      <c r="E281" s="37" t="n">
        <v>7200</v>
      </c>
      <c r="F281" s="25" t="inlineStr">
        <is>
          <t>mm</t>
        </is>
      </c>
      <c r="G281" s="38" t="n">
        <f>IF(COUNTBLANK(E281)&gt;0,"",E281)</f>
        <v>7200</v>
      </c>
      <c r="H281" s="39" t="n">
        <f>IF(COUNTBLANK(G281)&gt;0,"",G281/1000)</f>
        <v>7.2</v>
      </c>
      <c r="I281" s="18" t="inlineStr">
        <is>
          <t>Ghi trên bản vẽ / Explicit</t>
        </is>
      </c>
      <c r="J281" s="18" t="inlineStr">
        <is>
          <t>Tờ 2
File 2</t>
        </is>
      </c>
      <c r="K281" s="18" t="inlineStr">
        <is>
          <t>Bottom dimension chain</t>
        </is>
      </c>
      <c r="L281" s="18" t="inlineStr">
        <is>
          <t>7200</t>
        </is>
      </c>
      <c r="M281" s="18" t="str"/>
    </row>
    <row r="282" ht="36" customHeight="1">
      <c r="A282" s="18" t="inlineStr">
        <is>
          <t>E062</t>
        </is>
      </c>
      <c r="B282" s="18" t="inlineStr">
        <is>
          <t>Chuỗi kích thước dọc nhà
Longitudinal elevation chain</t>
        </is>
      </c>
      <c r="C282" s="18" t="inlineStr">
        <is>
          <t>longitudinal span</t>
        </is>
      </c>
      <c r="D282" s="18" t="inlineStr">
        <is>
          <t>Model: X
Source: longitudinal
Grid 10 → Grid 11</t>
        </is>
      </c>
      <c r="E282" s="37" t="n">
        <v>4500</v>
      </c>
      <c r="F282" s="25" t="inlineStr">
        <is>
          <t>mm</t>
        </is>
      </c>
      <c r="G282" s="38" t="n">
        <f>IF(COUNTBLANK(E282)&gt;0,"",E282)</f>
        <v>4500</v>
      </c>
      <c r="H282" s="39" t="n">
        <f>IF(COUNTBLANK(G282)&gt;0,"",G282/1000)</f>
        <v>4.5</v>
      </c>
      <c r="I282" s="18" t="inlineStr">
        <is>
          <t>Ghi trên bản vẽ / Explicit</t>
        </is>
      </c>
      <c r="J282" s="18" t="inlineStr">
        <is>
          <t>Tờ 2
File 2</t>
        </is>
      </c>
      <c r="K282" s="18" t="inlineStr">
        <is>
          <t>Bottom dimension chain</t>
        </is>
      </c>
      <c r="L282" s="18" t="inlineStr">
        <is>
          <t>4500</t>
        </is>
      </c>
      <c r="M282" s="18" t="str"/>
    </row>
    <row r="283" ht="36" customHeight="1">
      <c r="A283" s="18" t="inlineStr">
        <is>
          <t>E063</t>
        </is>
      </c>
      <c r="B283" s="18" t="inlineStr">
        <is>
          <t>Chuỗi kích thước dọc nhà
Longitudinal elevation chain</t>
        </is>
      </c>
      <c r="C283" s="18" t="inlineStr">
        <is>
          <t>longitudinal span</t>
        </is>
      </c>
      <c r="D283" s="18" t="inlineStr">
        <is>
          <t>Model: X
Source: longitudinal
Grid 11 → Grid 12</t>
        </is>
      </c>
      <c r="E283" s="37" t="n">
        <v>4341</v>
      </c>
      <c r="F283" s="25" t="inlineStr">
        <is>
          <t>mm</t>
        </is>
      </c>
      <c r="G283" s="38" t="n">
        <f>IF(COUNTBLANK(E283)&gt;0,"",E283)</f>
        <v>4341</v>
      </c>
      <c r="H283" s="39" t="n">
        <f>IF(COUNTBLANK(G283)&gt;0,"",G283/1000)</f>
        <v>4.341</v>
      </c>
      <c r="I283" s="18" t="inlineStr">
        <is>
          <t>Ghi trên bản vẽ / Explicit</t>
        </is>
      </c>
      <c r="J283" s="18" t="inlineStr">
        <is>
          <t>Tờ 2
File 2</t>
        </is>
      </c>
      <c r="K283" s="18" t="inlineStr">
        <is>
          <t>Bottom dimension chain</t>
        </is>
      </c>
      <c r="L283" s="18" t="inlineStr">
        <is>
          <t>4341</t>
        </is>
      </c>
      <c r="M283" s="18" t="str"/>
    </row>
    <row r="284" ht="36" customHeight="1">
      <c r="A284" s="18" t="inlineStr">
        <is>
          <t>E064</t>
        </is>
      </c>
      <c r="B284" s="18" t="inlineStr">
        <is>
          <t>Chuỗi kích thước dọc nhà
Longitudinal elevation chain</t>
        </is>
      </c>
      <c r="C284" s="18" t="inlineStr">
        <is>
          <t>longitudinal span</t>
        </is>
      </c>
      <c r="D284" s="18" t="inlineStr">
        <is>
          <t>Model: X
Source: longitudinal
Grid 12 → Far-end overall witness</t>
        </is>
      </c>
      <c r="E284" s="37" t="n">
        <v>939</v>
      </c>
      <c r="F284" s="25" t="inlineStr">
        <is>
          <t>mm</t>
        </is>
      </c>
      <c r="G284" s="38" t="n">
        <f>IF(COUNTBLANK(E284)&gt;0,"",E284)</f>
        <v>939</v>
      </c>
      <c r="H284" s="39" t="n">
        <f>IF(COUNTBLANK(G284)&gt;0,"",G284/1000)</f>
        <v>0.939</v>
      </c>
      <c r="I284" s="18" t="inlineStr">
        <is>
          <t>Ghi trên bản vẽ / Explicit</t>
        </is>
      </c>
      <c r="J284" s="18" t="inlineStr">
        <is>
          <t>Tờ 2
File 2</t>
        </is>
      </c>
      <c r="K284" s="18" t="inlineStr">
        <is>
          <t>Bottom dimension chain</t>
        </is>
      </c>
      <c r="L284" s="18" t="inlineStr">
        <is>
          <t>939</t>
        </is>
      </c>
      <c r="M284" s="18" t="str"/>
    </row>
    <row r="285" ht="48" customHeight="1">
      <c r="A285" s="18" t="inlineStr">
        <is>
          <t>E065</t>
        </is>
      </c>
      <c r="B285" s="18" t="inlineStr">
        <is>
          <t>Chiều dài tổng gồm đoạn tiếp cận
Overall elevation length including approach</t>
        </is>
      </c>
      <c r="C285" s="18" t="inlineStr">
        <is>
          <t>overall length</t>
        </is>
      </c>
      <c r="D285" s="18" t="inlineStr">
        <is>
          <t>Model: X
Source: longitudinal
Front ramp/approach toe witness → Far-end overall witness</t>
        </is>
      </c>
      <c r="E285" s="37" t="n">
        <v>67149</v>
      </c>
      <c r="F285" s="25" t="inlineStr">
        <is>
          <t>mm</t>
        </is>
      </c>
      <c r="G285" s="38" t="n">
        <f>IF(COUNTBLANK(E285)&gt;0,"",E285)</f>
        <v>67149</v>
      </c>
      <c r="H285" s="39" t="n">
        <f>IF(COUNTBLANK(G285)&gt;0,"",G285/1000)</f>
        <v>67.149</v>
      </c>
      <c r="I285" s="18" t="inlineStr">
        <is>
          <t>Ghi trên bản vẽ / Explicit</t>
        </is>
      </c>
      <c r="J285" s="18" t="inlineStr">
        <is>
          <t>Tờ 2
File 2</t>
        </is>
      </c>
      <c r="K285" s="18" t="inlineStr">
        <is>
          <t>Bottom overall dimension</t>
        </is>
      </c>
      <c r="L285" s="18" t="inlineStr">
        <is>
          <t>67149</t>
        </is>
      </c>
      <c r="M285" s="18" t="inlineStr">
        <is>
          <t>14 chain segments sum exactly to 67,149 mm; includes 13,194 mm before grid 1 and 939 mm after grid 12.</t>
        </is>
      </c>
    </row>
    <row r="286" ht="48" customHeight="1">
      <c r="A286" s="18" t="inlineStr">
        <is>
          <t>E066</t>
        </is>
      </c>
      <c r="B286" s="18" t="inlineStr">
        <is>
          <t>Kích thước hốc trang trí bên
Side ornamental niche dimension</t>
        </is>
      </c>
      <c r="C286" s="18" t="inlineStr">
        <is>
          <t>height between shown witnesses</t>
        </is>
      </c>
      <c r="D286" s="18" t="inlineStr">
        <is>
          <t>Model: Y
Source: vertical
Top of shown pedestal witness → Upper shown niche witness</t>
        </is>
      </c>
      <c r="E286" s="37" t="n">
        <v>1730</v>
      </c>
      <c r="F286" s="25" t="inlineStr">
        <is>
          <t>mm</t>
        </is>
      </c>
      <c r="G286" s="38" t="n">
        <f>IF(COUNTBLANK(E286)&gt;0,"",E286)</f>
        <v>1730</v>
      </c>
      <c r="H286" s="39" t="n">
        <f>IF(COUNTBLANK(G286)&gt;0,"",G286/1000)</f>
        <v>1.73</v>
      </c>
      <c r="I286" s="18" t="inlineStr">
        <is>
          <t>Ghi trên bản vẽ / Explicit</t>
        </is>
      </c>
      <c r="J286" s="18" t="inlineStr">
        <is>
          <t>Tờ 2
File 2</t>
        </is>
      </c>
      <c r="K286" s="18" t="inlineStr">
        <is>
          <t>Niche over gabled side bay between grids 9 and 10</t>
        </is>
      </c>
      <c r="L286" s="18" t="inlineStr">
        <is>
          <t>1730</t>
        </is>
      </c>
      <c r="M286" s="18" t="inlineStr">
        <is>
          <t>Read with diagnostic thin-line rendering; not full outside assembly height.</t>
        </is>
      </c>
    </row>
    <row r="287" ht="36" customHeight="1">
      <c r="A287" s="18" t="inlineStr">
        <is>
          <t>E067</t>
        </is>
      </c>
      <c r="B287" s="18" t="inlineStr">
        <is>
          <t>Mặt sân
Courtyard grade</t>
        </is>
      </c>
      <c r="C287" s="18" t="inlineStr">
        <is>
          <t>elevation</t>
        </is>
      </c>
      <c r="D287" s="18" t="inlineStr">
        <is>
          <t>Model: Y
Source: vertical
FFL ±0.000 → Courtyard grade</t>
        </is>
      </c>
      <c r="E287" s="40" t="n">
        <v>-2.08</v>
      </c>
      <c r="F287" s="25" t="inlineStr">
        <is>
          <t>m</t>
        </is>
      </c>
      <c r="G287" s="38" t="n">
        <f>IF(COUNTBLANK(E287)&gt;0,"",E287*1000)</f>
        <v>-2080</v>
      </c>
      <c r="H287" s="39" t="n">
        <f>IF(COUNTBLANK(G287)&gt;0,"",G287/1000)</f>
        <v>-2.08</v>
      </c>
      <c r="I287" s="18" t="inlineStr">
        <is>
          <t>Ghi trên bản vẽ / Explicit</t>
        </is>
      </c>
      <c r="J287" s="18" t="inlineStr">
        <is>
          <t>Tờ 3
File 3</t>
        </is>
      </c>
      <c r="K287" s="18" t="inlineStr">
        <is>
          <t>Left elevation markers</t>
        </is>
      </c>
      <c r="L287" s="18" t="inlineStr">
        <is>
          <t>MẶT SÂN -2,08M</t>
        </is>
      </c>
      <c r="M287" s="18" t="inlineStr">
        <is>
          <t>The drawing titles this end MẶT ĐỨNG ĐẦU. This is the ornate gabled end opposite the twin towers.</t>
        </is>
      </c>
    </row>
    <row r="288" ht="36" customHeight="1">
      <c r="A288" s="18" t="inlineStr">
        <is>
          <t>E068</t>
        </is>
      </c>
      <c r="B288" s="18" t="inlineStr">
        <is>
          <t>Cốt sàn chuẩn
Floor datum</t>
        </is>
      </c>
      <c r="C288" s="18" t="inlineStr">
        <is>
          <t>elevation</t>
        </is>
      </c>
      <c r="D288" s="18" t="inlineStr">
        <is>
          <t>Model: Y
Source: vertical
FFL ±0.000 → Floor datum</t>
        </is>
      </c>
      <c r="E288" s="40" t="n">
        <v>0</v>
      </c>
      <c r="F288" s="25" t="inlineStr">
        <is>
          <t>m</t>
        </is>
      </c>
      <c r="G288" s="38" t="n">
        <f>IF(COUNTBLANK(E288)&gt;0,"",E288*1000)</f>
        <v>0</v>
      </c>
      <c r="H288" s="39" t="n">
        <f>IF(COUNTBLANK(G288)&gt;0,"",G288/1000)</f>
        <v>0</v>
      </c>
      <c r="I288" s="18" t="inlineStr">
        <is>
          <t>Ghi trên bản vẽ / Explicit</t>
        </is>
      </c>
      <c r="J288" s="18" t="inlineStr">
        <is>
          <t>Tờ 3
File 3</t>
        </is>
      </c>
      <c r="K288" s="18" t="inlineStr">
        <is>
          <t>Left elevation markers</t>
        </is>
      </c>
      <c r="L288" s="18" t="inlineStr">
        <is>
          <t>+00</t>
        </is>
      </c>
      <c r="M288" s="18" t="inlineStr">
        <is>
          <t>The drawing titles this end MẶT ĐỨNG ĐẦU. This is the ornate gabled end opposite the twin towers.</t>
        </is>
      </c>
    </row>
    <row r="289" ht="48" customHeight="1">
      <c r="A289" s="18" t="inlineStr">
        <is>
          <t>E069</t>
        </is>
      </c>
      <c r="B289" s="18" t="inlineStr">
        <is>
          <t>Cao độ diềm mái
Eaves/cornice reference</t>
        </is>
      </c>
      <c r="C289" s="18" t="inlineStr">
        <is>
          <t>elevation</t>
        </is>
      </c>
      <c r="D289" s="18" t="inlineStr">
        <is>
          <t>Model: Y
Source: vertical
FFL ±0.000 → Eaves/cornice reference</t>
        </is>
      </c>
      <c r="E289" s="40" t="n">
        <v>6.324</v>
      </c>
      <c r="F289" s="25" t="inlineStr">
        <is>
          <t>m</t>
        </is>
      </c>
      <c r="G289" s="38" t="n">
        <f>IF(COUNTBLANK(E289)&gt;0,"",E289*1000)</f>
        <v>6324</v>
      </c>
      <c r="H289" s="39" t="n">
        <f>IF(COUNTBLANK(G289)&gt;0,"",G289/1000)</f>
        <v>6.324</v>
      </c>
      <c r="I289" s="18" t="inlineStr">
        <is>
          <t>Ghi trên bản vẽ / Explicit</t>
        </is>
      </c>
      <c r="J289" s="18" t="inlineStr">
        <is>
          <t>Tờ 3
File 3</t>
        </is>
      </c>
      <c r="K289" s="18" t="inlineStr">
        <is>
          <t>Left elevation markers</t>
        </is>
      </c>
      <c r="L289" s="18" t="inlineStr">
        <is>
          <t>+6,324M</t>
        </is>
      </c>
      <c r="M289" s="18" t="inlineStr">
        <is>
          <t>The drawing titles this end MẶT ĐỨNG ĐẦU. This is the ornate gabled end opposite the twin towers.</t>
        </is>
      </c>
    </row>
    <row r="290" ht="48" customHeight="1">
      <c r="A290" s="18" t="inlineStr">
        <is>
          <t>E070</t>
        </is>
      </c>
      <c r="B290" s="18" t="inlineStr">
        <is>
          <t>Cao độ mặt đầu trung gian
Opposite-end intermediate facade reference</t>
        </is>
      </c>
      <c r="C290" s="18" t="inlineStr">
        <is>
          <t>elevation</t>
        </is>
      </c>
      <c r="D290" s="18" t="inlineStr">
        <is>
          <t>Model: Y
Source: vertical
FFL ±0.000 → Opposite-end intermediate facade reference</t>
        </is>
      </c>
      <c r="E290" s="40" t="n">
        <v>8.575</v>
      </c>
      <c r="F290" s="25" t="inlineStr">
        <is>
          <t>m</t>
        </is>
      </c>
      <c r="G290" s="38" t="n">
        <f>IF(COUNTBLANK(E290)&gt;0,"",E290*1000)</f>
        <v>8575</v>
      </c>
      <c r="H290" s="39" t="n">
        <f>IF(COUNTBLANK(G290)&gt;0,"",G290/1000)</f>
        <v>8.575</v>
      </c>
      <c r="I290" s="18" t="inlineStr">
        <is>
          <t>Ghi trên bản vẽ / Explicit</t>
        </is>
      </c>
      <c r="J290" s="18" t="inlineStr">
        <is>
          <t>Tờ 3
File 3</t>
        </is>
      </c>
      <c r="K290" s="18" t="inlineStr">
        <is>
          <t>Left elevation markers</t>
        </is>
      </c>
      <c r="L290" s="18" t="inlineStr">
        <is>
          <t>+8,575M</t>
        </is>
      </c>
      <c r="M290" s="18" t="inlineStr">
        <is>
          <t>The drawing titles this end MẶT ĐỨNG ĐẦU. This is the ornate gabled end opposite the twin towers.</t>
        </is>
      </c>
    </row>
    <row r="291" ht="48" customHeight="1">
      <c r="A291" s="18" t="inlineStr">
        <is>
          <t>E071</t>
        </is>
      </c>
      <c r="B291" s="18" t="inlineStr">
        <is>
          <t>Cao độ đỉnh mái chính
Main roof ridge/reference</t>
        </is>
      </c>
      <c r="C291" s="18" t="inlineStr">
        <is>
          <t>elevation</t>
        </is>
      </c>
      <c r="D291" s="18" t="inlineStr">
        <is>
          <t>Model: Y
Source: vertical
FFL ±0.000 → Main roof ridge/reference</t>
        </is>
      </c>
      <c r="E291" s="40" t="n">
        <v>12.472</v>
      </c>
      <c r="F291" s="25" t="inlineStr">
        <is>
          <t>m</t>
        </is>
      </c>
      <c r="G291" s="38" t="n">
        <f>IF(COUNTBLANK(E291)&gt;0,"",E291*1000)</f>
        <v>12472</v>
      </c>
      <c r="H291" s="39" t="n">
        <f>IF(COUNTBLANK(G291)&gt;0,"",G291/1000)</f>
        <v>12.472</v>
      </c>
      <c r="I291" s="18" t="inlineStr">
        <is>
          <t>Ghi trên bản vẽ / Explicit</t>
        </is>
      </c>
      <c r="J291" s="18" t="inlineStr">
        <is>
          <t>Tờ 3
File 3</t>
        </is>
      </c>
      <c r="K291" s="18" t="inlineStr">
        <is>
          <t>Left elevation markers</t>
        </is>
      </c>
      <c r="L291" s="18" t="inlineStr">
        <is>
          <t>+12,472M</t>
        </is>
      </c>
      <c r="M291" s="18" t="inlineStr">
        <is>
          <t>The drawing titles this end MẶT ĐỨNG ĐẦU. This is the ornate gabled end opposite the twin towers.</t>
        </is>
      </c>
    </row>
    <row r="292" ht="48" customHeight="1">
      <c r="A292" s="18" t="inlineStr">
        <is>
          <t>E072</t>
        </is>
      </c>
      <c r="B292" s="18" t="inlineStr">
        <is>
          <t>Đỉnh thánh giá đầu nhà
Opposite-end cross top</t>
        </is>
      </c>
      <c r="C292" s="18" t="inlineStr">
        <is>
          <t>elevation</t>
        </is>
      </c>
      <c r="D292" s="18" t="inlineStr">
        <is>
          <t>Model: Y
Source: vertical
FFL ±0.000 → Opposite-end cross top</t>
        </is>
      </c>
      <c r="E292" s="40" t="n">
        <v>17.829</v>
      </c>
      <c r="F292" s="25" t="inlineStr">
        <is>
          <t>m</t>
        </is>
      </c>
      <c r="G292" s="38" t="n">
        <f>IF(COUNTBLANK(E292)&gt;0,"",E292*1000)</f>
        <v>17829</v>
      </c>
      <c r="H292" s="39" t="n">
        <f>IF(COUNTBLANK(G292)&gt;0,"",G292/1000)</f>
        <v>17.829</v>
      </c>
      <c r="I292" s="18" t="inlineStr">
        <is>
          <t>Ghi trên bản vẽ / Explicit</t>
        </is>
      </c>
      <c r="J292" s="18" t="inlineStr">
        <is>
          <t>Tờ 3
File 3</t>
        </is>
      </c>
      <c r="K292" s="18" t="inlineStr">
        <is>
          <t>Left elevation markers</t>
        </is>
      </c>
      <c r="L292" s="18" t="inlineStr">
        <is>
          <t>+17,829M</t>
        </is>
      </c>
      <c r="M292" s="18" t="inlineStr">
        <is>
          <t>The drawing titles this end MẶT ĐỨNG ĐẦU. This is the ornate gabled end opposite the twin towers.</t>
        </is>
      </c>
    </row>
    <row r="293" ht="36" customHeight="1">
      <c r="A293" s="18" t="inlineStr">
        <is>
          <t>E073</t>
        </is>
      </c>
      <c r="B293" s="18" t="inlineStr">
        <is>
          <t>Chuỗi kích thước ngang mặt đầu
Opposite-end transverse dimension chain</t>
        </is>
      </c>
      <c r="C293" s="18" t="inlineStr">
        <is>
          <t>transverse span</t>
        </is>
      </c>
      <c r="D293" s="18" t="inlineStr">
        <is>
          <t>Model: Z
Source: transverse
Grid B → Grid C</t>
        </is>
      </c>
      <c r="E293" s="37" t="n">
        <v>3054</v>
      </c>
      <c r="F293" s="25" t="inlineStr">
        <is>
          <t>mm</t>
        </is>
      </c>
      <c r="G293" s="38" t="n">
        <f>IF(COUNTBLANK(E293)&gt;0,"",E293)</f>
        <v>3054</v>
      </c>
      <c r="H293" s="39" t="n">
        <f>IF(COUNTBLANK(G293)&gt;0,"",G293/1000)</f>
        <v>3.054</v>
      </c>
      <c r="I293" s="18" t="inlineStr">
        <is>
          <t>Ghi trên bản vẽ / Explicit</t>
        </is>
      </c>
      <c r="J293" s="18" t="inlineStr">
        <is>
          <t>Tờ 3
File 3</t>
        </is>
      </c>
      <c r="K293" s="18" t="inlineStr">
        <is>
          <t>Bottom upper dimension chain</t>
        </is>
      </c>
      <c r="L293" s="18" t="inlineStr">
        <is>
          <t>3054</t>
        </is>
      </c>
      <c r="M293" s="18" t="inlineStr">
        <is>
          <t>Looking at the opposite end reverses the horizontal order compared with sheet 1.</t>
        </is>
      </c>
    </row>
    <row r="294" ht="36" customHeight="1">
      <c r="A294" s="18" t="inlineStr">
        <is>
          <t>E074</t>
        </is>
      </c>
      <c r="B294" s="18" t="inlineStr">
        <is>
          <t>Chuỗi kích thước ngang mặt đầu
Opposite-end transverse dimension chain</t>
        </is>
      </c>
      <c r="C294" s="18" t="inlineStr">
        <is>
          <t>transverse span</t>
        </is>
      </c>
      <c r="D294" s="18" t="inlineStr">
        <is>
          <t>Model: Z
Source: transverse
Grid C → Grid D</t>
        </is>
      </c>
      <c r="E294" s="37" t="n">
        <v>3760</v>
      </c>
      <c r="F294" s="25" t="inlineStr">
        <is>
          <t>mm</t>
        </is>
      </c>
      <c r="G294" s="38" t="n">
        <f>IF(COUNTBLANK(E294)&gt;0,"",E294)</f>
        <v>3760</v>
      </c>
      <c r="H294" s="39" t="n">
        <f>IF(COUNTBLANK(G294)&gt;0,"",G294/1000)</f>
        <v>3.76</v>
      </c>
      <c r="I294" s="18" t="inlineStr">
        <is>
          <t>Ghi trên bản vẽ / Explicit</t>
        </is>
      </c>
      <c r="J294" s="18" t="inlineStr">
        <is>
          <t>Tờ 3
File 3</t>
        </is>
      </c>
      <c r="K294" s="18" t="inlineStr">
        <is>
          <t>Bottom upper dimension chain</t>
        </is>
      </c>
      <c r="L294" s="18" t="inlineStr">
        <is>
          <t>3760</t>
        </is>
      </c>
      <c r="M294" s="18" t="inlineStr">
        <is>
          <t>Looking at the opposite end reverses the horizontal order compared with sheet 1.</t>
        </is>
      </c>
    </row>
    <row r="295" ht="36" customHeight="1">
      <c r="A295" s="18" t="inlineStr">
        <is>
          <t>E075</t>
        </is>
      </c>
      <c r="B295" s="18" t="inlineStr">
        <is>
          <t>Chuỗi kích thước ngang mặt đầu
Opposite-end transverse dimension chain</t>
        </is>
      </c>
      <c r="C295" s="18" t="inlineStr">
        <is>
          <t>transverse span</t>
        </is>
      </c>
      <c r="D295" s="18" t="inlineStr">
        <is>
          <t>Model: Z
Source: transverse
Grid D → Grid E</t>
        </is>
      </c>
      <c r="E295" s="37" t="n">
        <v>7200</v>
      </c>
      <c r="F295" s="25" t="inlineStr">
        <is>
          <t>mm</t>
        </is>
      </c>
      <c r="G295" s="38" t="n">
        <f>IF(COUNTBLANK(E295)&gt;0,"",E295)</f>
        <v>7200</v>
      </c>
      <c r="H295" s="39" t="n">
        <f>IF(COUNTBLANK(G295)&gt;0,"",G295/1000)</f>
        <v>7.2</v>
      </c>
      <c r="I295" s="18" t="inlineStr">
        <is>
          <t>Ghi trên bản vẽ / Explicit</t>
        </is>
      </c>
      <c r="J295" s="18" t="inlineStr">
        <is>
          <t>Tờ 3
File 3</t>
        </is>
      </c>
      <c r="K295" s="18" t="inlineStr">
        <is>
          <t>Bottom upper dimension chain</t>
        </is>
      </c>
      <c r="L295" s="18" t="inlineStr">
        <is>
          <t>7200</t>
        </is>
      </c>
      <c r="M295" s="18" t="inlineStr">
        <is>
          <t>Looking at the opposite end reverses the horizontal order compared with sheet 1.</t>
        </is>
      </c>
    </row>
    <row r="296" ht="36" customHeight="1">
      <c r="A296" s="18" t="inlineStr">
        <is>
          <t>E076</t>
        </is>
      </c>
      <c r="B296" s="18" t="inlineStr">
        <is>
          <t>Chuỗi kích thước ngang mặt đầu
Opposite-end transverse dimension chain</t>
        </is>
      </c>
      <c r="C296" s="18" t="inlineStr">
        <is>
          <t>transverse span</t>
        </is>
      </c>
      <c r="D296" s="18" t="inlineStr">
        <is>
          <t>Model: Z
Source: transverse
Grid E → Grid G</t>
        </is>
      </c>
      <c r="E296" s="37" t="n">
        <v>3760</v>
      </c>
      <c r="F296" s="25" t="inlineStr">
        <is>
          <t>mm</t>
        </is>
      </c>
      <c r="G296" s="38" t="n">
        <f>IF(COUNTBLANK(E296)&gt;0,"",E296)</f>
        <v>3760</v>
      </c>
      <c r="H296" s="39" t="n">
        <f>IF(COUNTBLANK(G296)&gt;0,"",G296/1000)</f>
        <v>3.76</v>
      </c>
      <c r="I296" s="18" t="inlineStr">
        <is>
          <t>Ghi trên bản vẽ / Explicit</t>
        </is>
      </c>
      <c r="J296" s="18" t="inlineStr">
        <is>
          <t>Tờ 3
File 3</t>
        </is>
      </c>
      <c r="K296" s="18" t="inlineStr">
        <is>
          <t>Bottom upper dimension chain</t>
        </is>
      </c>
      <c r="L296" s="18" t="inlineStr">
        <is>
          <t>3760</t>
        </is>
      </c>
      <c r="M296" s="18" t="inlineStr">
        <is>
          <t>Looking at the opposite end reverses the horizontal order compared with sheet 1.</t>
        </is>
      </c>
    </row>
    <row r="297" ht="36" customHeight="1">
      <c r="A297" s="18" t="inlineStr">
        <is>
          <t>E077</t>
        </is>
      </c>
      <c r="B297" s="18" t="inlineStr">
        <is>
          <t>Chuỗi kích thước ngang mặt đầu
Opposite-end transverse dimension chain</t>
        </is>
      </c>
      <c r="C297" s="18" t="inlineStr">
        <is>
          <t>transverse span</t>
        </is>
      </c>
      <c r="D297" s="18" t="inlineStr">
        <is>
          <t>Model: Z
Source: transverse
Grid G → Grid H</t>
        </is>
      </c>
      <c r="E297" s="37" t="n">
        <v>3054</v>
      </c>
      <c r="F297" s="25" t="inlineStr">
        <is>
          <t>mm</t>
        </is>
      </c>
      <c r="G297" s="38" t="n">
        <f>IF(COUNTBLANK(E297)&gt;0,"",E297)</f>
        <v>3054</v>
      </c>
      <c r="H297" s="39" t="n">
        <f>IF(COUNTBLANK(G297)&gt;0,"",G297/1000)</f>
        <v>3.054</v>
      </c>
      <c r="I297" s="18" t="inlineStr">
        <is>
          <t>Ghi trên bản vẽ / Explicit</t>
        </is>
      </c>
      <c r="J297" s="18" t="inlineStr">
        <is>
          <t>Tờ 3
File 3</t>
        </is>
      </c>
      <c r="K297" s="18" t="inlineStr">
        <is>
          <t>Bottom upper dimension chain</t>
        </is>
      </c>
      <c r="L297" s="18" t="inlineStr">
        <is>
          <t>3054</t>
        </is>
      </c>
      <c r="M297" s="18" t="inlineStr">
        <is>
          <t>Looking at the opposite end reverses the horizontal order compared with sheet 1.</t>
        </is>
      </c>
    </row>
    <row r="298" ht="48" customHeight="1">
      <c r="A298" s="18" t="inlineStr">
        <is>
          <t>E078</t>
        </is>
      </c>
      <c r="B298" s="18" t="inlineStr">
        <is>
          <t>Bề rộng tổng mặt đầu
Opposite-end overall width</t>
        </is>
      </c>
      <c r="C298" s="18" t="inlineStr">
        <is>
          <t>overall width</t>
        </is>
      </c>
      <c r="D298" s="18" t="inlineStr">
        <is>
          <t>Model: Z
Source: transverse
Left outer overall witness → Right outer overall witness</t>
        </is>
      </c>
      <c r="E298" s="37" t="n">
        <v>22486</v>
      </c>
      <c r="F298" s="25" t="inlineStr">
        <is>
          <t>mm</t>
        </is>
      </c>
      <c r="G298" s="38" t="n">
        <f>IF(COUNTBLANK(E298)&gt;0,"",E298)</f>
        <v>22486</v>
      </c>
      <c r="H298" s="39" t="n">
        <f>IF(COUNTBLANK(G298)&gt;0,"",G298/1000)</f>
        <v>22.486</v>
      </c>
      <c r="I298" s="18" t="inlineStr">
        <is>
          <t>Ghi trên bản vẽ / Explicit</t>
        </is>
      </c>
      <c r="J298" s="18" t="inlineStr">
        <is>
          <t>Tờ 3
File 3</t>
        </is>
      </c>
      <c r="K298" s="18" t="inlineStr">
        <is>
          <t>Bottom overall dimension</t>
        </is>
      </c>
      <c r="L298" s="18" t="inlineStr">
        <is>
          <t>22486</t>
        </is>
      </c>
      <c r="M298" s="18" t="inlineStr">
        <is>
          <t>Exterior overall witness span differs from the 20,828 mm B-H grid span. Individual outer offsets are not dimensioned on this elevation; do not assume them symmetric without plan confirmation.</t>
        </is>
      </c>
    </row>
    <row r="299" ht="48" customHeight="1">
      <c r="A299" s="18" t="inlineStr">
        <is>
          <t>E079</t>
        </is>
      </c>
      <c r="B299" s="18" t="inlineStr">
        <is>
          <t>Chiều cao mặt đầu từ sân
Opposite-end total height above courtyard</t>
        </is>
      </c>
      <c r="C299" s="18" t="inlineStr">
        <is>
          <t>overall height</t>
        </is>
      </c>
      <c r="D299" s="18" t="inlineStr">
        <is>
          <t>Model: Y
Source: vertical
Courtyard -2.080 → Opposite-end cross top +17.829</t>
        </is>
      </c>
      <c r="E299" s="37" t="n">
        <v>19909</v>
      </c>
      <c r="F299" s="25" t="inlineStr">
        <is>
          <t>mm</t>
        </is>
      </c>
      <c r="G299" s="38" t="n">
        <f>IF(COUNTBLANK(E299)&gt;0,"",E299)</f>
        <v>19909</v>
      </c>
      <c r="H299" s="39" t="n">
        <f>IF(COUNTBLANK(G299)&gt;0,"",G299/1000)</f>
        <v>19.909</v>
      </c>
      <c r="I299" s="18" t="inlineStr">
        <is>
          <t>Ghi trên bản vẽ / Explicit</t>
        </is>
      </c>
      <c r="J299" s="18" t="inlineStr">
        <is>
          <t>Tờ 3
File 3</t>
        </is>
      </c>
      <c r="K299" s="18" t="inlineStr">
        <is>
          <t>Right overall vertical dimension</t>
        </is>
      </c>
      <c r="L299" s="18" t="inlineStr">
        <is>
          <t>19909</t>
        </is>
      </c>
      <c r="M299" s="18" t="inlineStr">
        <is>
          <t>Equals 17,829 - (-2,080).</t>
        </is>
      </c>
    </row>
    <row r="300" ht="48" customHeight="1">
      <c r="A300" s="18" t="inlineStr">
        <is>
          <t>E080</t>
        </is>
      </c>
      <c r="B300" s="18" t="inlineStr">
        <is>
          <t>Kích thước hốc trên mặt đầu
Opposite-end upper niche dimension</t>
        </is>
      </c>
      <c r="C300" s="18" t="inlineStr">
        <is>
          <t>height between shown witnesses</t>
        </is>
      </c>
      <c r="D300" s="18" t="inlineStr">
        <is>
          <t>Model: Y
Source: vertical
Top of shown pedestal witness → Upper shown niche witness</t>
        </is>
      </c>
      <c r="E300" s="37" t="n">
        <v>1730</v>
      </c>
      <c r="F300" s="25" t="inlineStr">
        <is>
          <t>mm</t>
        </is>
      </c>
      <c r="G300" s="38" t="n">
        <f>IF(COUNTBLANK(E300)&gt;0,"",E300)</f>
        <v>1730</v>
      </c>
      <c r="H300" s="39" t="n">
        <f>IF(COUNTBLANK(G300)&gt;0,"",G300/1000)</f>
        <v>1.73</v>
      </c>
      <c r="I300" s="18" t="inlineStr">
        <is>
          <t>Ghi trên bản vẽ / Explicit</t>
        </is>
      </c>
      <c r="J300" s="18" t="inlineStr">
        <is>
          <t>Tờ 3
File 3</t>
        </is>
      </c>
      <c r="K300" s="18" t="inlineStr">
        <is>
          <t>Central niche at top of gabled end</t>
        </is>
      </c>
      <c r="L300" s="18" t="inlineStr">
        <is>
          <t>1730</t>
        </is>
      </c>
      <c r="M300" s="18" t="inlineStr">
        <is>
          <t>Not the total height of the exterior niche or cross assembly.</t>
        </is>
      </c>
    </row>
    <row r="301" ht="36" customHeight="1">
      <c r="A301" s="18" t="inlineStr">
        <is>
          <t>E081</t>
        </is>
      </c>
      <c r="B301" s="18" t="inlineStr">
        <is>
          <t>Khoảng cách trục B-H
Transverse core grid span B-H</t>
        </is>
      </c>
      <c r="C301" s="18" t="inlineStr">
        <is>
          <t>grid span</t>
        </is>
      </c>
      <c r="D301" s="18" t="inlineStr">
        <is>
          <t>Model: Z
Source: transverse
Grid B → Grid H</t>
        </is>
      </c>
      <c r="E301" s="37" t="n"/>
      <c r="F301" s="25" t="str"/>
      <c r="G301" s="38" t="n">
        <f>IF(OR(COUNTBLANK('Dimensions'!G243)&gt;0,COUNTBLANK('Dimensions'!G242)&gt;0,COUNTBLANK('Dimensions'!G241)&gt;0,COUNTBLANK('Dimensions'!G240)&gt;0,COUNTBLANK('Dimensions'!G239)&gt;0),"",'Dimensions'!G243+'Dimensions'!G242+'Dimensions'!G241+'Dimensions'!G240+'Dimensions'!G239)</f>
        <v>20828</v>
      </c>
      <c r="H301" s="39" t="n">
        <f>IF(COUNTBLANK(G301)&gt;0,"",G301/1000)</f>
        <v>20.828</v>
      </c>
      <c r="I301" s="18" t="inlineStr">
        <is>
          <t>Tính từ bản vẽ / Derived</t>
        </is>
      </c>
      <c r="J301" s="18" t="inlineStr">
        <is>
          <t>Tờ 1
File 1</t>
        </is>
      </c>
      <c r="K301" s="18" t="inlineStr">
        <is>
          <t>Bottom chain, also sheet 3</t>
        </is>
      </c>
      <c r="L301" s="18" t="str"/>
      <c r="M301" s="18" t="inlineStr">
        <is>
          <t>Grid span only, not the outer building width.
Calculation: 3054 + 3760 + 7200 + 3760 + 3054 = 20828</t>
        </is>
      </c>
    </row>
    <row r="302" ht="36" customHeight="1">
      <c r="A302" s="18" t="inlineStr">
        <is>
          <t>E082</t>
        </is>
      </c>
      <c r="B302" s="18" t="inlineStr">
        <is>
          <t>Khoảng cách trục 1-12
Longitudinal core grid span 1-12</t>
        </is>
      </c>
      <c r="C302" s="18" t="inlineStr">
        <is>
          <t>grid span</t>
        </is>
      </c>
      <c r="D302" s="18" t="inlineStr">
        <is>
          <t>Model: X
Source: longitudinal
Grid 1 → Grid 12</t>
        </is>
      </c>
      <c r="E302" s="37" t="n"/>
      <c r="F302" s="25" t="str"/>
      <c r="G302" s="38" t="n">
        <f>IF(OR(COUNTBLANK('Dimensions'!G272)&gt;0,COUNTBLANK('Dimensions'!G273)&gt;0,COUNTBLANK('Dimensions'!G274)&gt;0,COUNTBLANK('Dimensions'!G275)&gt;0,COUNTBLANK('Dimensions'!G276)&gt;0,COUNTBLANK('Dimensions'!G277)&gt;0,COUNTBLANK('Dimensions'!G278)&gt;0,COUNTBLANK('Dimensions'!G279)&gt;0,COUNTBLANK('Dimensions'!G280)&gt;0,COUNTBLANK('Dimensions'!G281)&gt;0,COUNTBLANK('Dimensions'!G282)&gt;0,COUNTBLANK('Dimensions'!G283)&gt;0),"",'Dimensions'!G272+'Dimensions'!G273+'Dimensions'!G274+'Dimensions'!G275+'Dimensions'!G276+'Dimensions'!G277+'Dimensions'!G278+'Dimensions'!G279+'Dimensions'!G280+'Dimensions'!G281+'Dimensions'!G282+'Dimensions'!G283)</f>
        <v>53016</v>
      </c>
      <c r="H302" s="39" t="n">
        <f>IF(COUNTBLANK(G302)&gt;0,"",G302/1000)</f>
        <v>53.016</v>
      </c>
      <c r="I302" s="18" t="inlineStr">
        <is>
          <t>Tính từ bản vẽ / Derived</t>
        </is>
      </c>
      <c r="J302" s="18" t="inlineStr">
        <is>
          <t>Tờ 2
File 2</t>
        </is>
      </c>
      <c r="K302" s="18" t="inlineStr">
        <is>
          <t>Bottom chain</t>
        </is>
      </c>
      <c r="L302" s="18" t="str"/>
      <c r="M302" s="18" t="inlineStr">
        <is>
          <t>Dimension chain differs from the overall 67,149 mm extent because approach and rear projections lie outside these grids.
Calculation: 4900 + 575 + 7*4500 + 7200 + 4500 + 4341 = 53016</t>
        </is>
      </c>
    </row>
    <row r="303" ht="48" customHeight="1">
      <c r="A303" s="18" t="inlineStr">
        <is>
          <t>E083</t>
        </is>
      </c>
      <c r="B303" s="18" t="inlineStr">
        <is>
          <t>Độ vươn cao mái theo cao độ
Roof vertical rise from labeled eaves to ridge</t>
        </is>
      </c>
      <c r="C303" s="18" t="inlineStr">
        <is>
          <t>vertical rise</t>
        </is>
      </c>
      <c r="D303" s="18" t="inlineStr">
        <is>
          <t>Model: Y
Source: vertical
Labeled eaves +6.324 → Labeled ridge +12.472</t>
        </is>
      </c>
      <c r="E303" s="37" t="n"/>
      <c r="F303" s="25" t="str"/>
      <c r="G303" s="38" t="n">
        <f>IF(OR(COUNTBLANK('Dimensions'!G269)&gt;0,COUNTBLANK('Dimensions'!G267)&gt;0),"",'Dimensions'!G269-'Dimensions'!G267)</f>
        <v>6148</v>
      </c>
      <c r="H303" s="39" t="n">
        <f>IF(COUNTBLANK(G303)&gt;0,"",G303/1000)</f>
        <v>6.148</v>
      </c>
      <c r="I303" s="18" t="inlineStr">
        <is>
          <t>Tính từ bản vẽ / Derived</t>
        </is>
      </c>
      <c r="J303" s="18" t="inlineStr">
        <is>
          <t>Tờ 2
File 2</t>
        </is>
      </c>
      <c r="K303" s="18" t="inlineStr">
        <is>
          <t>Right elevation markers, also sheet 3</t>
        </is>
      </c>
      <c r="L303" s="18" t="str"/>
      <c r="M303" s="18" t="inlineStr">
        <is>
          <t>This alone does not define roof slope; horizontal run/roof section must also be confirmed.
Calculation: 12472 - 6324 = 6148</t>
        </is>
      </c>
    </row>
    <row r="304" ht="36" customHeight="1">
      <c r="A304" s="18" t="inlineStr">
        <is>
          <t>E084</t>
        </is>
      </c>
      <c r="B304" s="18" t="inlineStr">
        <is>
          <t>Cao độ vai mái tháp theo chuỗi
Tower cap shoulder elevation from chain</t>
        </is>
      </c>
      <c r="C304" s="18" t="inlineStr">
        <is>
          <t>elevation</t>
        </is>
      </c>
      <c r="D304" s="18" t="inlineStr">
        <is>
          <t>Model: Y
Source: vertical
FFL ±0.000 → Cap shoulder witness</t>
        </is>
      </c>
      <c r="E304" s="37" t="n"/>
      <c r="F304" s="25" t="str"/>
      <c r="G304" s="38" t="n">
        <f>IF(OR(COUNTBLANK('Dimensions'!G226)&gt;0,COUNTBLANK('Dimensions'!G233)&gt;0),"",'Dimensions'!G226+'Dimensions'!G233)</f>
        <v>33215</v>
      </c>
      <c r="H304" s="39" t="n">
        <f>IF(COUNTBLANK(G304)&gt;0,"",G304/1000)</f>
        <v>33.215</v>
      </c>
      <c r="I304" s="18" t="inlineStr">
        <is>
          <t>Tính từ bản vẽ / Derived</t>
        </is>
      </c>
      <c r="J304" s="18" t="inlineStr">
        <is>
          <t>Tờ 1
File 1</t>
        </is>
      </c>
      <c r="K304" s="18" t="inlineStr">
        <is>
          <t>Right vertical chain</t>
        </is>
      </c>
      <c r="L304" s="18" t="str"/>
      <c r="M304" s="18" t="inlineStr">
        <is>
          <t>Dependent on explicit chain; 1 mm top closure discrepancy is unresolved.
Calculation: 29090 + 4125 = 33215</t>
        </is>
      </c>
    </row>
    <row r="305" ht="36" customHeight="1">
      <c r="A305" s="18" t="inlineStr">
        <is>
          <t>E085</t>
        </is>
      </c>
      <c r="B305" s="18" t="inlineStr">
        <is>
          <t>Cao độ bệ thánh giá theo chuỗi
Tower cross-base elevation from chain</t>
        </is>
      </c>
      <c r="C305" s="18" t="inlineStr">
        <is>
          <t>elevation</t>
        </is>
      </c>
      <c r="D305" s="18" t="inlineStr">
        <is>
          <t>Model: Y
Source: vertical
FFL ±0.000 → Cross-base witness</t>
        </is>
      </c>
      <c r="E305" s="37" t="n"/>
      <c r="F305" s="25" t="str"/>
      <c r="G305" s="38" t="n">
        <f>IF(OR(COUNTBLANK('Dimensions'!G226)&gt;0,COUNTBLANK('Dimensions'!G233)&gt;0,COUNTBLANK('Dimensions'!G234)&gt;0),"",'Dimensions'!G226+'Dimensions'!G233+'Dimensions'!G234)</f>
        <v>35029</v>
      </c>
      <c r="H305" s="39" t="n">
        <f>IF(COUNTBLANK(G305)&gt;0,"",G305/1000)</f>
        <v>35.029</v>
      </c>
      <c r="I305" s="18" t="inlineStr">
        <is>
          <t>Tính từ bản vẽ / Derived</t>
        </is>
      </c>
      <c r="J305" s="18" t="inlineStr">
        <is>
          <t>Tờ 1
File 1</t>
        </is>
      </c>
      <c r="K305" s="18" t="inlineStr">
        <is>
          <t>Right vertical chain</t>
        </is>
      </c>
      <c r="L305" s="18" t="str"/>
      <c r="M305" s="18" t="inlineStr">
        <is>
          <t>Dependent on explicit chain; 1 mm top closure discrepancy is unresolved.
Calculation: 29090 + 4125 + 1814 = 35029</t>
        </is>
      </c>
    </row>
    <row r="306" ht="36" customHeight="1">
      <c r="A306" s="18" t="inlineStr">
        <is>
          <t>S001</t>
        </is>
      </c>
      <c r="B306" s="18" t="inlineStr">
        <is>
          <t>Cao độ mặt cắt thân nhà thờ
Nave section levels</t>
        </is>
      </c>
      <c r="C306" s="18" t="inlineStr">
        <is>
          <t>ridge_elevation</t>
        </is>
      </c>
      <c r="D306" s="18" t="inlineStr">
        <is>
          <t>Model: Y
Source: Y
±0.000 → ridge decoration top</t>
        </is>
      </c>
      <c r="E306" s="40" t="n">
        <v>12.472</v>
      </c>
      <c r="F306" s="25" t="inlineStr">
        <is>
          <t>m</t>
        </is>
      </c>
      <c r="G306" s="38" t="n">
        <f>IF(COUNTBLANK(E306)&gt;0,"",E306*1000)</f>
        <v>12472</v>
      </c>
      <c r="H306" s="39" t="n">
        <f>IF(COUNTBLANK(G306)&gt;0,"",G306/1000)</f>
        <v>12.472</v>
      </c>
      <c r="I306" s="18" t="inlineStr">
        <is>
          <t>Ghi trên bản vẽ / Explicit</t>
        </is>
      </c>
      <c r="J306" s="18" t="inlineStr">
        <is>
          <t>Tờ 4
File 6</t>
        </is>
      </c>
      <c r="K306" s="18" t="inlineStr">
        <is>
          <t>left-side level symbols</t>
        </is>
      </c>
      <c r="L306" s="18" t="inlineStr">
        <is>
          <t>+ 12,472M</t>
        </is>
      </c>
      <c r="M306" s="18" t="str"/>
    </row>
    <row r="307" ht="48" customHeight="1">
      <c r="A307" s="18" t="inlineStr">
        <is>
          <t>S002</t>
        </is>
      </c>
      <c r="B307" s="18" t="inlineStr">
        <is>
          <t>Cao độ mặt cắt thân nhà thờ
Nave section levels</t>
        </is>
      </c>
      <c r="C307" s="18" t="inlineStr">
        <is>
          <t>intermediate_roof_level</t>
        </is>
      </c>
      <c r="D307" s="18" t="inlineStr">
        <is>
          <t>Model: Y
Source: Y
±0.000 → marked upper eave/roof level</t>
        </is>
      </c>
      <c r="E307" s="40" t="n">
        <v>7.13</v>
      </c>
      <c r="F307" s="25" t="inlineStr">
        <is>
          <t>m</t>
        </is>
      </c>
      <c r="G307" s="38" t="n">
        <f>IF(COUNTBLANK(E307)&gt;0,"",E307*1000)</f>
        <v>7130</v>
      </c>
      <c r="H307" s="39" t="n">
        <f>IF(COUNTBLANK(G307)&gt;0,"",G307/1000)</f>
        <v>7.13</v>
      </c>
      <c r="I307" s="18" t="inlineStr">
        <is>
          <t>Ghi trên bản vẽ / Explicit</t>
        </is>
      </c>
      <c r="J307" s="18" t="inlineStr">
        <is>
          <t>Tờ 4
File 6</t>
        </is>
      </c>
      <c r="K307" s="18" t="inlineStr">
        <is>
          <t>left-side level symbols</t>
        </is>
      </c>
      <c r="L307" s="18" t="inlineStr">
        <is>
          <t>+ 7,13M</t>
        </is>
      </c>
      <c r="M307" s="18" t="inlineStr">
        <is>
          <t>Dimension is preserved as printed. +7.13 reference is a level marker near the main-roof eave; detailed contact surfaces need CAD confirmation.</t>
        </is>
      </c>
    </row>
    <row r="308" ht="36" customHeight="1">
      <c r="A308" s="18" t="inlineStr">
        <is>
          <t>S003</t>
        </is>
      </c>
      <c r="B308" s="18" t="inlineStr">
        <is>
          <t>Cao độ mặt cắt thân nhà thờ
Nave section levels</t>
        </is>
      </c>
      <c r="C308" s="18" t="inlineStr">
        <is>
          <t>outer_cornice_elevation</t>
        </is>
      </c>
      <c r="D308" s="18" t="inlineStr">
        <is>
          <t>Model: Y
Source: Y
±0.000 → veranda exterior cornice</t>
        </is>
      </c>
      <c r="E308" s="40" t="n">
        <v>6.325</v>
      </c>
      <c r="F308" s="25" t="inlineStr">
        <is>
          <t>m</t>
        </is>
      </c>
      <c r="G308" s="38" t="n">
        <f>IF(COUNTBLANK(E308)&gt;0,"",E308*1000)</f>
        <v>6325</v>
      </c>
      <c r="H308" s="39" t="n">
        <f>IF(COUNTBLANK(G308)&gt;0,"",G308/1000)</f>
        <v>6.325</v>
      </c>
      <c r="I308" s="18" t="inlineStr">
        <is>
          <t>Ghi trên bản vẽ / Explicit</t>
        </is>
      </c>
      <c r="J308" s="18" t="inlineStr">
        <is>
          <t>Tờ 4
File 6</t>
        </is>
      </c>
      <c r="K308" s="18" t="inlineStr">
        <is>
          <t>left-side level symbols</t>
        </is>
      </c>
      <c r="L308" s="18" t="inlineStr">
        <is>
          <t>+ 6,325M</t>
        </is>
      </c>
      <c r="M308" s="18" t="str"/>
    </row>
    <row r="309" ht="36" customHeight="1">
      <c r="A309" s="18" t="inlineStr">
        <is>
          <t>S004</t>
        </is>
      </c>
      <c r="B309" s="18" t="inlineStr">
        <is>
          <t>Cao độ mặt cắt thân nhà thờ
Nave section levels</t>
        </is>
      </c>
      <c r="C309" s="18" t="inlineStr">
        <is>
          <t>finished_floor_elevation</t>
        </is>
      </c>
      <c r="D309" s="18" t="inlineStr">
        <is>
          <t>Model: Y
Source: Y
±0.000 → finished church floor</t>
        </is>
      </c>
      <c r="E309" s="40" t="n">
        <v>0</v>
      </c>
      <c r="F309" s="25" t="inlineStr">
        <is>
          <t>m</t>
        </is>
      </c>
      <c r="G309" s="38" t="n">
        <f>IF(COUNTBLANK(E309)&gt;0,"",E309*1000)</f>
        <v>0</v>
      </c>
      <c r="H309" s="39" t="n">
        <f>IF(COUNTBLANK(G309)&gt;0,"",G309/1000)</f>
        <v>0</v>
      </c>
      <c r="I309" s="18" t="inlineStr">
        <is>
          <t>Ghi trên bản vẽ / Explicit</t>
        </is>
      </c>
      <c r="J309" s="18" t="inlineStr">
        <is>
          <t>Tờ 4
File 6</t>
        </is>
      </c>
      <c r="K309" s="18" t="inlineStr">
        <is>
          <t>left-side level symbols</t>
        </is>
      </c>
      <c r="L309" s="18" t="inlineStr">
        <is>
          <t>+ 00</t>
        </is>
      </c>
      <c r="M309" s="18" t="str"/>
    </row>
    <row r="310" ht="36" customHeight="1">
      <c r="A310" s="18" t="inlineStr">
        <is>
          <t>S005</t>
        </is>
      </c>
      <c r="B310" s="18" t="inlineStr">
        <is>
          <t>Cao độ mặt cắt thân nhà thờ
Nave section levels</t>
        </is>
      </c>
      <c r="C310" s="18" t="inlineStr">
        <is>
          <t>courtyard_elevation</t>
        </is>
      </c>
      <c r="D310" s="18" t="inlineStr">
        <is>
          <t>Model: Y
Source: Y
±0.000 → courtyard / MẶT SÂN</t>
        </is>
      </c>
      <c r="E310" s="40" t="n">
        <v>-2.08</v>
      </c>
      <c r="F310" s="25" t="inlineStr">
        <is>
          <t>m</t>
        </is>
      </c>
      <c r="G310" s="38" t="n">
        <f>IF(COUNTBLANK(E310)&gt;0,"",E310*1000)</f>
        <v>-2080</v>
      </c>
      <c r="H310" s="39" t="n">
        <f>IF(COUNTBLANK(G310)&gt;0,"",G310/1000)</f>
        <v>-2.08</v>
      </c>
      <c r="I310" s="18" t="inlineStr">
        <is>
          <t>Ghi trên bản vẽ / Explicit</t>
        </is>
      </c>
      <c r="J310" s="18" t="inlineStr">
        <is>
          <t>Tờ 4
File 6</t>
        </is>
      </c>
      <c r="K310" s="18" t="inlineStr">
        <is>
          <t>left-side level symbols</t>
        </is>
      </c>
      <c r="L310" s="18" t="inlineStr">
        <is>
          <t>MẶT SÂN - 2,08M</t>
        </is>
      </c>
      <c r="M310" s="18" t="str"/>
    </row>
    <row r="311" ht="36" customHeight="1">
      <c r="A311" s="18" t="inlineStr">
        <is>
          <t>S006</t>
        </is>
      </c>
      <c r="B311" s="18" t="inlineStr">
        <is>
          <t>Tổng cao mặt cắt
Section overall height</t>
        </is>
      </c>
      <c r="C311" s="18" t="inlineStr">
        <is>
          <t>overall_height</t>
        </is>
      </c>
      <c r="D311" s="18" t="inlineStr">
        <is>
          <t>Model: Y
Source: Y
courtyard baseline → ridge top</t>
        </is>
      </c>
      <c r="E311" s="37" t="n">
        <v>14476</v>
      </c>
      <c r="F311" s="25" t="inlineStr">
        <is>
          <t>mm</t>
        </is>
      </c>
      <c r="G311" s="38" t="n">
        <f>IF(COUNTBLANK(E311)&gt;0,"",E311)</f>
        <v>14476</v>
      </c>
      <c r="H311" s="39" t="n">
        <f>IF(COUNTBLANK(G311)&gt;0,"",G311/1000)</f>
        <v>14.476</v>
      </c>
      <c r="I311" s="18" t="inlineStr">
        <is>
          <t>Ghi trên bản vẽ / Explicit</t>
        </is>
      </c>
      <c r="J311" s="18" t="inlineStr">
        <is>
          <t>Tờ 4
File 6</t>
        </is>
      </c>
      <c r="K311" s="18" t="inlineStr">
        <is>
          <t>far right overall dimension</t>
        </is>
      </c>
      <c r="L311" s="18" t="inlineStr">
        <is>
          <t>14476</t>
        </is>
      </c>
      <c r="M311" s="18" t="inlineStr">
        <is>
          <t>Conflicts with elevation arithmetic: 12472 - (-2080) = 14552, a 76 mm discrepancy. Do not silently replace either value.</t>
        </is>
      </c>
    </row>
    <row r="312" ht="36" customHeight="1">
      <c r="A312" s="18" t="inlineStr">
        <is>
          <t>S007</t>
        </is>
      </c>
      <c r="B312" s="18" t="inlineStr">
        <is>
          <t>Khoảng cách trục mặt cắt
Transverse section grid span</t>
        </is>
      </c>
      <c r="C312" s="18" t="inlineStr">
        <is>
          <t>grid_B_C</t>
        </is>
      </c>
      <c r="D312" s="18" t="inlineStr">
        <is>
          <t>Model: Z
Source: X
B → C</t>
        </is>
      </c>
      <c r="E312" s="37" t="n">
        <v>3054</v>
      </c>
      <c r="F312" s="25" t="inlineStr">
        <is>
          <t>mm</t>
        </is>
      </c>
      <c r="G312" s="38" t="n">
        <f>IF(COUNTBLANK(E312)&gt;0,"",E312)</f>
        <v>3054</v>
      </c>
      <c r="H312" s="39" t="n">
        <f>IF(COUNTBLANK(G312)&gt;0,"",G312/1000)</f>
        <v>3.054</v>
      </c>
      <c r="I312" s="18" t="inlineStr">
        <is>
          <t>Ghi trên bản vẽ / Explicit</t>
        </is>
      </c>
      <c r="J312" s="18" t="inlineStr">
        <is>
          <t>Tờ 4
File 6</t>
        </is>
      </c>
      <c r="K312" s="18" t="inlineStr">
        <is>
          <t>bottom transverse dimension chain</t>
        </is>
      </c>
      <c r="L312" s="18" t="inlineStr">
        <is>
          <t>3054</t>
        </is>
      </c>
      <c r="M312" s="18" t="inlineStr">
        <is>
          <t>Printed sequence is B,C,D,E,G,H; no F axis is shown in this section.</t>
        </is>
      </c>
    </row>
    <row r="313" ht="36" customHeight="1">
      <c r="A313" s="18" t="inlineStr">
        <is>
          <t>S008</t>
        </is>
      </c>
      <c r="B313" s="18" t="inlineStr">
        <is>
          <t>Khoảng cách trục mặt cắt
Transverse section grid span</t>
        </is>
      </c>
      <c r="C313" s="18" t="inlineStr">
        <is>
          <t>grid_C_D</t>
        </is>
      </c>
      <c r="D313" s="18" t="inlineStr">
        <is>
          <t>Model: Z
Source: X
C → D</t>
        </is>
      </c>
      <c r="E313" s="37" t="n">
        <v>3760</v>
      </c>
      <c r="F313" s="25" t="inlineStr">
        <is>
          <t>mm</t>
        </is>
      </c>
      <c r="G313" s="38" t="n">
        <f>IF(COUNTBLANK(E313)&gt;0,"",E313)</f>
        <v>3760</v>
      </c>
      <c r="H313" s="39" t="n">
        <f>IF(COUNTBLANK(G313)&gt;0,"",G313/1000)</f>
        <v>3.76</v>
      </c>
      <c r="I313" s="18" t="inlineStr">
        <is>
          <t>Ghi trên bản vẽ / Explicit</t>
        </is>
      </c>
      <c r="J313" s="18" t="inlineStr">
        <is>
          <t>Tờ 4
File 6</t>
        </is>
      </c>
      <c r="K313" s="18" t="inlineStr">
        <is>
          <t>bottom transverse dimension chain</t>
        </is>
      </c>
      <c r="L313" s="18" t="inlineStr">
        <is>
          <t>3760</t>
        </is>
      </c>
      <c r="M313" s="18" t="inlineStr">
        <is>
          <t>Printed sequence is B,C,D,E,G,H; no F axis is shown in this section.</t>
        </is>
      </c>
    </row>
    <row r="314" ht="36" customHeight="1">
      <c r="A314" s="18" t="inlineStr">
        <is>
          <t>S009</t>
        </is>
      </c>
      <c r="B314" s="18" t="inlineStr">
        <is>
          <t>Khoảng cách trục mặt cắt
Transverse section grid span</t>
        </is>
      </c>
      <c r="C314" s="18" t="inlineStr">
        <is>
          <t>grid_D_E</t>
        </is>
      </c>
      <c r="D314" s="18" t="inlineStr">
        <is>
          <t>Model: Z
Source: X
D → E</t>
        </is>
      </c>
      <c r="E314" s="37" t="n">
        <v>7200</v>
      </c>
      <c r="F314" s="25" t="inlineStr">
        <is>
          <t>mm</t>
        </is>
      </c>
      <c r="G314" s="38" t="n">
        <f>IF(COUNTBLANK(E314)&gt;0,"",E314)</f>
        <v>7200</v>
      </c>
      <c r="H314" s="39" t="n">
        <f>IF(COUNTBLANK(G314)&gt;0,"",G314/1000)</f>
        <v>7.2</v>
      </c>
      <c r="I314" s="18" t="inlineStr">
        <is>
          <t>Ghi trên bản vẽ / Explicit</t>
        </is>
      </c>
      <c r="J314" s="18" t="inlineStr">
        <is>
          <t>Tờ 4
File 6</t>
        </is>
      </c>
      <c r="K314" s="18" t="inlineStr">
        <is>
          <t>bottom transverse dimension chain</t>
        </is>
      </c>
      <c r="L314" s="18" t="inlineStr">
        <is>
          <t>7200</t>
        </is>
      </c>
      <c r="M314" s="18" t="inlineStr">
        <is>
          <t>Printed sequence is B,C,D,E,G,H; no F axis is shown in this section.</t>
        </is>
      </c>
    </row>
    <row r="315" ht="36" customHeight="1">
      <c r="A315" s="18" t="inlineStr">
        <is>
          <t>S010</t>
        </is>
      </c>
      <c r="B315" s="18" t="inlineStr">
        <is>
          <t>Khoảng cách trục mặt cắt
Transverse section grid span</t>
        </is>
      </c>
      <c r="C315" s="18" t="inlineStr">
        <is>
          <t>grid_E_G</t>
        </is>
      </c>
      <c r="D315" s="18" t="inlineStr">
        <is>
          <t>Model: Z
Source: X
E → G</t>
        </is>
      </c>
      <c r="E315" s="37" t="n">
        <v>3760</v>
      </c>
      <c r="F315" s="25" t="inlineStr">
        <is>
          <t>mm</t>
        </is>
      </c>
      <c r="G315" s="38" t="n">
        <f>IF(COUNTBLANK(E315)&gt;0,"",E315)</f>
        <v>3760</v>
      </c>
      <c r="H315" s="39" t="n">
        <f>IF(COUNTBLANK(G315)&gt;0,"",G315/1000)</f>
        <v>3.76</v>
      </c>
      <c r="I315" s="18" t="inlineStr">
        <is>
          <t>Ghi trên bản vẽ / Explicit</t>
        </is>
      </c>
      <c r="J315" s="18" t="inlineStr">
        <is>
          <t>Tờ 4
File 6</t>
        </is>
      </c>
      <c r="K315" s="18" t="inlineStr">
        <is>
          <t>bottom transverse dimension chain</t>
        </is>
      </c>
      <c r="L315" s="18" t="inlineStr">
        <is>
          <t>3760</t>
        </is>
      </c>
      <c r="M315" s="18" t="inlineStr">
        <is>
          <t>Printed sequence is B,C,D,E,G,H; no F axis is shown in this section.</t>
        </is>
      </c>
    </row>
    <row r="316" ht="36" customHeight="1">
      <c r="A316" s="18" t="inlineStr">
        <is>
          <t>S011</t>
        </is>
      </c>
      <c r="B316" s="18" t="inlineStr">
        <is>
          <t>Khoảng cách trục mặt cắt
Transverse section grid span</t>
        </is>
      </c>
      <c r="C316" s="18" t="inlineStr">
        <is>
          <t>grid_G_H</t>
        </is>
      </c>
      <c r="D316" s="18" t="inlineStr">
        <is>
          <t>Model: Z
Source: X
G → H</t>
        </is>
      </c>
      <c r="E316" s="37" t="n">
        <v>3054</v>
      </c>
      <c r="F316" s="25" t="inlineStr">
        <is>
          <t>mm</t>
        </is>
      </c>
      <c r="G316" s="38" t="n">
        <f>IF(COUNTBLANK(E316)&gt;0,"",E316)</f>
        <v>3054</v>
      </c>
      <c r="H316" s="39" t="n">
        <f>IF(COUNTBLANK(G316)&gt;0,"",G316/1000)</f>
        <v>3.054</v>
      </c>
      <c r="I316" s="18" t="inlineStr">
        <is>
          <t>Ghi trên bản vẽ / Explicit</t>
        </is>
      </c>
      <c r="J316" s="18" t="inlineStr">
        <is>
          <t>Tờ 4
File 6</t>
        </is>
      </c>
      <c r="K316" s="18" t="inlineStr">
        <is>
          <t>bottom transverse dimension chain</t>
        </is>
      </c>
      <c r="L316" s="18" t="inlineStr">
        <is>
          <t>3054</t>
        </is>
      </c>
      <c r="M316" s="18" t="inlineStr">
        <is>
          <t>Printed sequence is B,C,D,E,G,H; no F axis is shown in this section.</t>
        </is>
      </c>
    </row>
    <row r="317" ht="36" customHeight="1">
      <c r="A317" s="18" t="inlineStr">
        <is>
          <t>S012</t>
        </is>
      </c>
      <c r="B317" s="18" t="inlineStr">
        <is>
          <t>Tổng bề ngang mặt cắt
Overall transverse section width</t>
        </is>
      </c>
      <c r="C317" s="18" t="inlineStr">
        <is>
          <t>outside_width</t>
        </is>
      </c>
      <c r="D317" s="18" t="inlineStr">
        <is>
          <t>Model: Z
Source: X
left outer extent → right outer extent</t>
        </is>
      </c>
      <c r="E317" s="37" t="n">
        <v>22388</v>
      </c>
      <c r="F317" s="25" t="inlineStr">
        <is>
          <t>mm</t>
        </is>
      </c>
      <c r="G317" s="38" t="n">
        <f>IF(COUNTBLANK(E317)&gt;0,"",E317)</f>
        <v>22388</v>
      </c>
      <c r="H317" s="39" t="n">
        <f>IF(COUNTBLANK(G317)&gt;0,"",G317/1000)</f>
        <v>22.388</v>
      </c>
      <c r="I317" s="18" t="inlineStr">
        <is>
          <t>Ghi trên bản vẽ / Explicit</t>
        </is>
      </c>
      <c r="J317" s="18" t="inlineStr">
        <is>
          <t>Tờ 4
File 6</t>
        </is>
      </c>
      <c r="K317" s="18" t="inlineStr">
        <is>
          <t>bottom overall dimension</t>
        </is>
      </c>
      <c r="L317" s="18" t="inlineStr">
        <is>
          <t>22388</t>
        </is>
      </c>
      <c r="M317" s="18" t="str"/>
    </row>
    <row r="318" ht="36" customHeight="1">
      <c r="A318" s="18" t="inlineStr">
        <is>
          <t>S013</t>
        </is>
      </c>
      <c r="B318" s="18" t="inlineStr">
        <is>
          <t>Móng cột chính
Central column foundation</t>
        </is>
      </c>
      <c r="C318" s="18" t="inlineStr">
        <is>
          <t>foundation_offset</t>
        </is>
      </c>
      <c r="D318" s="18" t="inlineStr">
        <is>
          <t>Model: Z
Source: X
E foundation left face → E axis</t>
        </is>
      </c>
      <c r="E318" s="37" t="n">
        <v>500</v>
      </c>
      <c r="F318" s="25" t="inlineStr">
        <is>
          <t>mm</t>
        </is>
      </c>
      <c r="G318" s="38" t="n">
        <f>IF(COUNTBLANK(E318)&gt;0,"",E318)</f>
        <v>500</v>
      </c>
      <c r="H318" s="39" t="n">
        <f>IF(COUNTBLANK(G318)&gt;0,"",G318/1000)</f>
        <v>0.5</v>
      </c>
      <c r="I318" s="18" t="inlineStr">
        <is>
          <t>Ghi trên bản vẽ / Explicit</t>
        </is>
      </c>
      <c r="J318" s="18" t="inlineStr">
        <is>
          <t>Tờ 4
File 6</t>
        </is>
      </c>
      <c r="K318" s="18" t="inlineStr">
        <is>
          <t>bottom right local foundation dimension chain</t>
        </is>
      </c>
      <c r="L318" s="18" t="inlineStr">
        <is>
          <t>500</t>
        </is>
      </c>
      <c r="M318" s="18" t="inlineStr">
        <is>
          <t>These dimensions describe foundation/section extents, not column shaft diameters.</t>
        </is>
      </c>
    </row>
    <row r="319" ht="36" customHeight="1">
      <c r="A319" s="18" t="inlineStr">
        <is>
          <t>S014</t>
        </is>
      </c>
      <c r="B319" s="18" t="inlineStr">
        <is>
          <t>Móng cột chính
Central column foundation</t>
        </is>
      </c>
      <c r="C319" s="18" t="inlineStr">
        <is>
          <t>foundation_offset</t>
        </is>
      </c>
      <c r="D319" s="18" t="inlineStr">
        <is>
          <t>Model: Z
Source: X
E axis → E foundation right face</t>
        </is>
      </c>
      <c r="E319" s="37" t="n">
        <v>500</v>
      </c>
      <c r="F319" s="25" t="inlineStr">
        <is>
          <t>mm</t>
        </is>
      </c>
      <c r="G319" s="38" t="n">
        <f>IF(COUNTBLANK(E319)&gt;0,"",E319)</f>
        <v>500</v>
      </c>
      <c r="H319" s="39" t="n">
        <f>IF(COUNTBLANK(G319)&gt;0,"",G319/1000)</f>
        <v>0.5</v>
      </c>
      <c r="I319" s="18" t="inlineStr">
        <is>
          <t>Ghi trên bản vẽ / Explicit</t>
        </is>
      </c>
      <c r="J319" s="18" t="inlineStr">
        <is>
          <t>Tờ 4
File 6</t>
        </is>
      </c>
      <c r="K319" s="18" t="inlineStr">
        <is>
          <t>bottom right local foundation dimension chain</t>
        </is>
      </c>
      <c r="L319" s="18" t="inlineStr">
        <is>
          <t>500</t>
        </is>
      </c>
      <c r="M319" s="18" t="inlineStr">
        <is>
          <t>These dimensions describe foundation/section extents, not column shaft diameters.</t>
        </is>
      </c>
    </row>
    <row r="320" ht="36" customHeight="1">
      <c r="A320" s="18" t="inlineStr">
        <is>
          <t>S015</t>
        </is>
      </c>
      <c r="B320" s="18" t="inlineStr">
        <is>
          <t>Móng trục G
Inner side support foundation</t>
        </is>
      </c>
      <c r="C320" s="18" t="inlineStr">
        <is>
          <t>foundation_offset</t>
        </is>
      </c>
      <c r="D320" s="18" t="inlineStr">
        <is>
          <t>Model: Z
Source: X
G foundation left face → G axis</t>
        </is>
      </c>
      <c r="E320" s="37" t="n">
        <v>560</v>
      </c>
      <c r="F320" s="25" t="inlineStr">
        <is>
          <t>mm</t>
        </is>
      </c>
      <c r="G320" s="38" t="n">
        <f>IF(COUNTBLANK(E320)&gt;0,"",E320)</f>
        <v>560</v>
      </c>
      <c r="H320" s="39" t="n">
        <f>IF(COUNTBLANK(G320)&gt;0,"",G320/1000)</f>
        <v>0.56</v>
      </c>
      <c r="I320" s="18" t="inlineStr">
        <is>
          <t>Ghi trên bản vẽ / Explicit</t>
        </is>
      </c>
      <c r="J320" s="18" t="inlineStr">
        <is>
          <t>Tờ 4
File 6</t>
        </is>
      </c>
      <c r="K320" s="18" t="inlineStr">
        <is>
          <t>bottom right local foundation dimension chain</t>
        </is>
      </c>
      <c r="L320" s="18" t="inlineStr">
        <is>
          <t>560</t>
        </is>
      </c>
      <c r="M320" s="18" t="inlineStr">
        <is>
          <t>These dimensions describe foundation/section extents, not column shaft diameters.</t>
        </is>
      </c>
    </row>
    <row r="321" ht="36" customHeight="1">
      <c r="A321" s="18" t="inlineStr">
        <is>
          <t>S016</t>
        </is>
      </c>
      <c r="B321" s="18" t="inlineStr">
        <is>
          <t>Móng trục G
Inner side support foundation</t>
        </is>
      </c>
      <c r="C321" s="18" t="inlineStr">
        <is>
          <t>foundation_offset</t>
        </is>
      </c>
      <c r="D321" s="18" t="inlineStr">
        <is>
          <t>Model: Z
Source: X
G axis → G foundation right face</t>
        </is>
      </c>
      <c r="E321" s="37" t="n">
        <v>330</v>
      </c>
      <c r="F321" s="25" t="inlineStr">
        <is>
          <t>mm</t>
        </is>
      </c>
      <c r="G321" s="38" t="n">
        <f>IF(COUNTBLANK(E321)&gt;0,"",E321)</f>
        <v>330</v>
      </c>
      <c r="H321" s="39" t="n">
        <f>IF(COUNTBLANK(G321)&gt;0,"",G321/1000)</f>
        <v>0.33</v>
      </c>
      <c r="I321" s="18" t="inlineStr">
        <is>
          <t>Ghi trên bản vẽ / Explicit</t>
        </is>
      </c>
      <c r="J321" s="18" t="inlineStr">
        <is>
          <t>Tờ 4
File 6</t>
        </is>
      </c>
      <c r="K321" s="18" t="inlineStr">
        <is>
          <t>bottom right local foundation dimension chain</t>
        </is>
      </c>
      <c r="L321" s="18" t="inlineStr">
        <is>
          <t>330</t>
        </is>
      </c>
      <c r="M321" s="18" t="inlineStr">
        <is>
          <t>These dimensions describe foundation/section extents, not column shaft diameters.</t>
        </is>
      </c>
    </row>
    <row r="322" ht="36" customHeight="1">
      <c r="A322" s="18" t="inlineStr">
        <is>
          <t>S017</t>
        </is>
      </c>
      <c r="B322" s="18" t="inlineStr">
        <is>
          <t>Móng trục H
Exterior veranda foundation</t>
        </is>
      </c>
      <c r="C322" s="18" t="inlineStr">
        <is>
          <t>foundation_offset</t>
        </is>
      </c>
      <c r="D322" s="18" t="inlineStr">
        <is>
          <t>Model: Z
Source: X
H foundation inner face → H axis</t>
        </is>
      </c>
      <c r="E322" s="37" t="n">
        <v>385</v>
      </c>
      <c r="F322" s="25" t="inlineStr">
        <is>
          <t>mm</t>
        </is>
      </c>
      <c r="G322" s="38" t="n">
        <f>IF(COUNTBLANK(E322)&gt;0,"",E322)</f>
        <v>385</v>
      </c>
      <c r="H322" s="39" t="n">
        <f>IF(COUNTBLANK(G322)&gt;0,"",G322/1000)</f>
        <v>0.385</v>
      </c>
      <c r="I322" s="18" t="inlineStr">
        <is>
          <t>Ghi trên bản vẽ / Explicit</t>
        </is>
      </c>
      <c r="J322" s="18" t="inlineStr">
        <is>
          <t>Tờ 4
File 6</t>
        </is>
      </c>
      <c r="K322" s="18" t="inlineStr">
        <is>
          <t>bottom right local foundation dimension chain</t>
        </is>
      </c>
      <c r="L322" s="18" t="inlineStr">
        <is>
          <t>385</t>
        </is>
      </c>
      <c r="M322" s="18" t="inlineStr">
        <is>
          <t>These dimensions describe foundation/section extents, not column shaft diameters.</t>
        </is>
      </c>
    </row>
    <row r="323" ht="36" customHeight="1">
      <c r="A323" s="18" t="inlineStr">
        <is>
          <t>S018</t>
        </is>
      </c>
      <c r="B323" s="18" t="inlineStr">
        <is>
          <t>Móng trục H
Exterior veranda foundation</t>
        </is>
      </c>
      <c r="C323" s="18" t="inlineStr">
        <is>
          <t>foundation_offset</t>
        </is>
      </c>
      <c r="D323" s="18" t="inlineStr">
        <is>
          <t>Model: Z
Source: X
H axis → H foundation outer face</t>
        </is>
      </c>
      <c r="E323" s="37" t="n">
        <v>780</v>
      </c>
      <c r="F323" s="25" t="inlineStr">
        <is>
          <t>mm</t>
        </is>
      </c>
      <c r="G323" s="38" t="n">
        <f>IF(COUNTBLANK(E323)&gt;0,"",E323)</f>
        <v>780</v>
      </c>
      <c r="H323" s="39" t="n">
        <f>IF(COUNTBLANK(G323)&gt;0,"",G323/1000)</f>
        <v>0.78</v>
      </c>
      <c r="I323" s="18" t="inlineStr">
        <is>
          <t>Ghi trên bản vẽ / Explicit</t>
        </is>
      </c>
      <c r="J323" s="18" t="inlineStr">
        <is>
          <t>Tờ 4
File 6</t>
        </is>
      </c>
      <c r="K323" s="18" t="inlineStr">
        <is>
          <t>bottom right local foundation dimension chain</t>
        </is>
      </c>
      <c r="L323" s="18" t="inlineStr">
        <is>
          <t>780</t>
        </is>
      </c>
      <c r="M323" s="18" t="inlineStr">
        <is>
          <t>These dimensions describe foundation/section extents, not column shaft diameters.</t>
        </is>
      </c>
    </row>
    <row r="324" ht="36" customHeight="1">
      <c r="A324" s="18" t="inlineStr">
        <is>
          <t>S019</t>
        </is>
      </c>
      <c r="B324" s="18" t="inlineStr">
        <is>
          <t>Chân cột chính
Central column base</t>
        </is>
      </c>
      <c r="C324" s="18" t="inlineStr">
        <is>
          <t>base_height</t>
        </is>
      </c>
      <c r="D324" s="18" t="inlineStr">
        <is>
          <t>Model: Y
Source: Y
finished floor → base top</t>
        </is>
      </c>
      <c r="E324" s="37" t="n">
        <v>600</v>
      </c>
      <c r="F324" s="25" t="inlineStr">
        <is>
          <t>mm</t>
        </is>
      </c>
      <c r="G324" s="38" t="n">
        <f>IF(COUNTBLANK(E324)&gt;0,"",E324)</f>
        <v>600</v>
      </c>
      <c r="H324" s="39" t="n">
        <f>IF(COUNTBLANK(G324)&gt;0,"",G324/1000)</f>
        <v>0.6</v>
      </c>
      <c r="I324" s="18" t="inlineStr">
        <is>
          <t>Ghi trên bản vẽ / Explicit</t>
        </is>
      </c>
      <c r="J324" s="18" t="inlineStr">
        <is>
          <t>Tờ 4
File 6</t>
        </is>
      </c>
      <c r="K324" s="18" t="inlineStr">
        <is>
          <t>right interior column vertical dimensions</t>
        </is>
      </c>
      <c r="L324" s="18" t="inlineStr">
        <is>
          <t>600</t>
        </is>
      </c>
      <c r="M324" s="18" t="str"/>
    </row>
    <row r="325" ht="48" customHeight="1">
      <c r="A325" s="18" t="inlineStr">
        <is>
          <t>S020</t>
        </is>
      </c>
      <c r="B325" s="18" t="inlineStr">
        <is>
          <t>Thân cột chính
Central column shaft</t>
        </is>
      </c>
      <c r="C325" s="18" t="inlineStr">
        <is>
          <t>shaft_height</t>
        </is>
      </c>
      <c r="D325" s="18" t="inlineStr">
        <is>
          <t>Model: Y
Source: Y
base top → dimensioned top of central post</t>
        </is>
      </c>
      <c r="E325" s="37" t="n">
        <v>8802</v>
      </c>
      <c r="F325" s="25" t="inlineStr">
        <is>
          <t>mm</t>
        </is>
      </c>
      <c r="G325" s="38" t="n">
        <f>IF(COUNTBLANK(E325)&gt;0,"",E325)</f>
        <v>8802</v>
      </c>
      <c r="H325" s="39" t="n">
        <f>IF(COUNTBLANK(G325)&gt;0,"",G325/1000)</f>
        <v>8.802</v>
      </c>
      <c r="I325" s="18" t="inlineStr">
        <is>
          <t>Ghi trên bản vẽ / Explicit</t>
        </is>
      </c>
      <c r="J325" s="18" t="inlineStr">
        <is>
          <t>Tờ 4
File 6</t>
        </is>
      </c>
      <c r="K325" s="18" t="inlineStr">
        <is>
          <t>right interior column vertical dimensions</t>
        </is>
      </c>
      <c r="L325" s="18" t="inlineStr">
        <is>
          <t>8802</t>
        </is>
      </c>
      <c r="M325" s="18" t="str"/>
    </row>
    <row r="326" ht="36" customHeight="1">
      <c r="A326" s="18" t="inlineStr">
        <is>
          <t>S021</t>
        </is>
      </c>
      <c r="B326" s="18" t="inlineStr">
        <is>
          <t>Chân cột phụ
Side column base</t>
        </is>
      </c>
      <c r="C326" s="18" t="inlineStr">
        <is>
          <t>base_height</t>
        </is>
      </c>
      <c r="D326" s="18" t="inlineStr">
        <is>
          <t>Model: Y
Source: Y
finished floor → base top</t>
        </is>
      </c>
      <c r="E326" s="37" t="n">
        <v>600</v>
      </c>
      <c r="F326" s="25" t="inlineStr">
        <is>
          <t>mm</t>
        </is>
      </c>
      <c r="G326" s="38" t="n">
        <f>IF(COUNTBLANK(E326)&gt;0,"",E326)</f>
        <v>600</v>
      </c>
      <c r="H326" s="39" t="n">
        <f>IF(COUNTBLANK(G326)&gt;0,"",G326/1000)</f>
        <v>0.6</v>
      </c>
      <c r="I326" s="18" t="inlineStr">
        <is>
          <t>Ghi trên bản vẽ / Explicit</t>
        </is>
      </c>
      <c r="J326" s="18" t="inlineStr">
        <is>
          <t>Tờ 4
File 6</t>
        </is>
      </c>
      <c r="K326" s="18" t="inlineStr">
        <is>
          <t>right interior column vertical dimensions</t>
        </is>
      </c>
      <c r="L326" s="18" t="inlineStr">
        <is>
          <t>600</t>
        </is>
      </c>
      <c r="M326" s="18" t="str"/>
    </row>
    <row r="327" ht="48" customHeight="1">
      <c r="A327" s="18" t="inlineStr">
        <is>
          <t>S022</t>
        </is>
      </c>
      <c r="B327" s="18" t="inlineStr">
        <is>
          <t>Thân cột phụ
Side column shaft</t>
        </is>
      </c>
      <c r="C327" s="18" t="inlineStr">
        <is>
          <t>shaft_height</t>
        </is>
      </c>
      <c r="D327" s="18" t="inlineStr">
        <is>
          <t>Model: Y
Source: Y
base top → dimensioned top of side post</t>
        </is>
      </c>
      <c r="E327" s="37" t="n">
        <v>6390</v>
      </c>
      <c r="F327" s="25" t="inlineStr">
        <is>
          <t>mm</t>
        </is>
      </c>
      <c r="G327" s="38" t="n">
        <f>IF(COUNTBLANK(E327)&gt;0,"",E327)</f>
        <v>6390</v>
      </c>
      <c r="H327" s="39" t="n">
        <f>IF(COUNTBLANK(G327)&gt;0,"",G327/1000)</f>
        <v>6.39</v>
      </c>
      <c r="I327" s="18" t="inlineStr">
        <is>
          <t>Ghi trên bản vẽ / Explicit</t>
        </is>
      </c>
      <c r="J327" s="18" t="inlineStr">
        <is>
          <t>Tờ 4
File 6</t>
        </is>
      </c>
      <c r="K327" s="18" t="inlineStr">
        <is>
          <t>right interior column vertical dimensions</t>
        </is>
      </c>
      <c r="L327" s="18" t="inlineStr">
        <is>
          <t>6390</t>
        </is>
      </c>
      <c r="M327" s="18" t="str"/>
    </row>
    <row r="328" ht="48" customHeight="1">
      <c r="A328" s="18" t="inlineStr">
        <is>
          <t>S023</t>
        </is>
      </c>
      <c r="B328" s="18" t="inlineStr">
        <is>
          <t>Mái hiên BTCT
Reinforced concrete veranda roof</t>
        </is>
      </c>
      <c r="C328" s="18" t="inlineStr">
        <is>
          <t>concrete_thickness</t>
        </is>
      </c>
      <c r="D328" s="18" t="inlineStr">
        <is>
          <t>Model: LOCAL_NORMAL
Source: NORMAL
concrete lower face → concrete upper face</t>
        </is>
      </c>
      <c r="E328" s="37" t="n">
        <v>130</v>
      </c>
      <c r="F328" s="25" t="inlineStr">
        <is>
          <t>mm</t>
        </is>
      </c>
      <c r="G328" s="38" t="n">
        <f>IF(COUNTBLANK(E328)&gt;0,"",E328)</f>
        <v>130</v>
      </c>
      <c r="H328" s="39" t="n">
        <f>IF(COUNTBLANK(G328)&gt;0,"",G328/1000)</f>
        <v>0.13</v>
      </c>
      <c r="I328" s="18" t="inlineStr">
        <is>
          <t>Ghi trên bản vẽ / Explicit</t>
        </is>
      </c>
      <c r="J328" s="18" t="inlineStr">
        <is>
          <t>Tờ 4
File 6</t>
        </is>
      </c>
      <c r="K328" s="18" t="inlineStr">
        <is>
          <t>right veranda roof diagonal thickness dimension</t>
        </is>
      </c>
      <c r="L328" s="18" t="inlineStr">
        <is>
          <t>130</t>
        </is>
      </c>
      <c r="M328" s="18" t="inlineStr">
        <is>
          <t>Also written in material note: bt ct đổ dày 13cm.</t>
        </is>
      </c>
    </row>
    <row r="329" ht="48" customHeight="1">
      <c r="A329" s="18" t="inlineStr">
        <is>
          <t>S024</t>
        </is>
      </c>
      <c r="B329" s="18" t="inlineStr">
        <is>
          <t>Khoảng dưới mái hiên
Veranda roof zone</t>
        </is>
      </c>
      <c r="C329" s="18" t="inlineStr">
        <is>
          <t>sloping_reference_separation</t>
        </is>
      </c>
      <c r="D329" s="18" t="inlineStr">
        <is>
          <t>Model: LOCAL_NORMAL
Source: NORMAL
lower sloping arch/wall reference → upper sloping roof reference</t>
        </is>
      </c>
      <c r="E329" s="37" t="n">
        <v>461</v>
      </c>
      <c r="F329" s="25" t="inlineStr">
        <is>
          <t>mm</t>
        </is>
      </c>
      <c r="G329" s="38" t="n">
        <f>IF(COUNTBLANK(E329)&gt;0,"",E329)</f>
        <v>461</v>
      </c>
      <c r="H329" s="39" t="n">
        <f>IF(COUNTBLANK(G329)&gt;0,"",G329/1000)</f>
        <v>0.461</v>
      </c>
      <c r="I329" s="18" t="inlineStr">
        <is>
          <t>Ghi trên bản vẽ / Explicit</t>
        </is>
      </c>
      <c r="J329" s="18" t="inlineStr">
        <is>
          <t>Tờ 4
File 6</t>
        </is>
      </c>
      <c r="K329" s="18" t="inlineStr">
        <is>
          <t>right veranda roof diagonal dimension</t>
        </is>
      </c>
      <c r="L329" s="18" t="inlineStr">
        <is>
          <t>461</t>
        </is>
      </c>
      <c r="M329" s="18" t="inlineStr">
        <is>
          <t>The two witness points are across the roof/upper arch zone. Layer attribution is not specified; do not treat this as insulation or a structural beam size.</t>
        </is>
      </c>
    </row>
    <row r="330" ht="48" customHeight="1">
      <c r="A330" s="18" t="inlineStr">
        <is>
          <t>S025</t>
        </is>
      </c>
      <c r="B330" s="18" t="inlineStr">
        <is>
          <t>Liên kết tường và mái hiên tại G
G wall/veranda roof junction</t>
        </is>
      </c>
      <c r="C330" s="18" t="inlineStr">
        <is>
          <t>horizontal_junction_offset</t>
        </is>
      </c>
      <c r="D330" s="18" t="inlineStr">
        <is>
          <t>Model: Z
Source: X
G-side wall inner reference → G support axis/reference</t>
        </is>
      </c>
      <c r="E330" s="37" t="n">
        <v>110</v>
      </c>
      <c r="F330" s="25" t="inlineStr">
        <is>
          <t>mm</t>
        </is>
      </c>
      <c r="G330" s="38" t="n">
        <f>IF(COUNTBLANK(E330)&gt;0,"",E330)</f>
        <v>110</v>
      </c>
      <c r="H330" s="39" t="n">
        <f>IF(COUNTBLANK(G330)&gt;0,"",G330/1000)</f>
        <v>0.11</v>
      </c>
      <c r="I330" s="18" t="inlineStr">
        <is>
          <t>Ghi trên bản vẽ / Explicit</t>
        </is>
      </c>
      <c r="J330" s="18" t="inlineStr">
        <is>
          <t>Tờ 4
File 6</t>
        </is>
      </c>
      <c r="K330" s="18" t="inlineStr">
        <is>
          <t>right upper junction beside side post</t>
        </is>
      </c>
      <c r="L330" s="18" t="inlineStr">
        <is>
          <t>110</t>
        </is>
      </c>
      <c r="M330" s="18" t="inlineStr">
        <is>
          <t>These are horizontal dimensions; they are not vertical beam depths.</t>
        </is>
      </c>
    </row>
    <row r="331" ht="48" customHeight="1">
      <c r="A331" s="18" t="inlineStr">
        <is>
          <t>S026</t>
        </is>
      </c>
      <c r="B331" s="18" t="inlineStr">
        <is>
          <t>Liên kết tường và mái hiên tại G
G wall/veranda roof junction</t>
        </is>
      </c>
      <c r="C331" s="18" t="inlineStr">
        <is>
          <t>horizontal_junction_offset</t>
        </is>
      </c>
      <c r="D331" s="18" t="inlineStr">
        <is>
          <t>Model: Z
Source: X
G support axis/reference → G-side wall outer reference</t>
        </is>
      </c>
      <c r="E331" s="37" t="n">
        <v>220</v>
      </c>
      <c r="F331" s="25" t="inlineStr">
        <is>
          <t>mm</t>
        </is>
      </c>
      <c r="G331" s="38" t="n">
        <f>IF(COUNTBLANK(E331)&gt;0,"",E331)</f>
        <v>220</v>
      </c>
      <c r="H331" s="39" t="n">
        <f>IF(COUNTBLANK(G331)&gt;0,"",G331/1000)</f>
        <v>0.22</v>
      </c>
      <c r="I331" s="18" t="inlineStr">
        <is>
          <t>Ghi trên bản vẽ / Explicit</t>
        </is>
      </c>
      <c r="J331" s="18" t="inlineStr">
        <is>
          <t>Tờ 4
File 6</t>
        </is>
      </c>
      <c r="K331" s="18" t="inlineStr">
        <is>
          <t>right upper junction beside side post</t>
        </is>
      </c>
      <c r="L331" s="18" t="inlineStr">
        <is>
          <t>220</t>
        </is>
      </c>
      <c r="M331" s="18" t="inlineStr">
        <is>
          <t>These are horizontal dimensions; they are not vertical beam depths.</t>
        </is>
      </c>
    </row>
    <row r="332" ht="48" customHeight="1">
      <c r="A332" s="18" t="inlineStr">
        <is>
          <t>S027</t>
        </is>
      </c>
      <c r="B332" s="18" t="inlineStr">
        <is>
          <t>Cuốn/tường hiên
Veranda arch wall</t>
        </is>
      </c>
      <c r="C332" s="18" t="inlineStr">
        <is>
          <t>local_wall_return_width</t>
        </is>
      </c>
      <c r="D332" s="18" t="inlineStr">
        <is>
          <t>Model: Z
Source: X
arch wall/return inner face → arch wall/return outer face</t>
        </is>
      </c>
      <c r="E332" s="37" t="n">
        <v>235</v>
      </c>
      <c r="F332" s="25" t="inlineStr">
        <is>
          <t>mm</t>
        </is>
      </c>
      <c r="G332" s="38" t="n">
        <f>IF(COUNTBLANK(E332)&gt;0,"",E332)</f>
        <v>235</v>
      </c>
      <c r="H332" s="39" t="n">
        <f>IF(COUNTBLANK(G332)&gt;0,"",G332/1000)</f>
        <v>0.235</v>
      </c>
      <c r="I332" s="18" t="inlineStr">
        <is>
          <t>Ghi trên bản vẽ / Explicit</t>
        </is>
      </c>
      <c r="J332" s="18" t="inlineStr">
        <is>
          <t>Tờ 4
File 6</t>
        </is>
      </c>
      <c r="K332" s="18" t="inlineStr">
        <is>
          <t>left outer veranda roof junction</t>
        </is>
      </c>
      <c r="L332" s="18" t="inlineStr">
        <is>
          <t>235</t>
        </is>
      </c>
      <c r="M332" s="18" t="inlineStr">
        <is>
          <t>235 is drawn horizontally across the local wall/return beneath the concrete roof.</t>
        </is>
      </c>
    </row>
    <row r="333" ht="48" customHeight="1">
      <c r="A333" s="18" t="inlineStr">
        <is>
          <t>S028</t>
        </is>
      </c>
      <c r="B333" s="18" t="inlineStr">
        <is>
          <t>Cuốn/tường hiên
Veranda arch wall</t>
        </is>
      </c>
      <c r="C333" s="18" t="inlineStr">
        <is>
          <t>local_wall_return_width</t>
        </is>
      </c>
      <c r="D333" s="18" t="inlineStr">
        <is>
          <t>Model: Z
Source: X
arch wall/return inner face → arch wall/return outer face</t>
        </is>
      </c>
      <c r="E333" s="37" t="n">
        <v>235</v>
      </c>
      <c r="F333" s="25" t="inlineStr">
        <is>
          <t>mm</t>
        </is>
      </c>
      <c r="G333" s="38" t="n">
        <f>IF(COUNTBLANK(E333)&gt;0,"",E333)</f>
        <v>235</v>
      </c>
      <c r="H333" s="39" t="n">
        <f>IF(COUNTBLANK(G333)&gt;0,"",G333/1000)</f>
        <v>0.235</v>
      </c>
      <c r="I333" s="18" t="inlineStr">
        <is>
          <t>Ghi trên bản vẽ / Explicit</t>
        </is>
      </c>
      <c r="J333" s="18" t="inlineStr">
        <is>
          <t>Tờ 4
File 6</t>
        </is>
      </c>
      <c r="K333" s="18" t="inlineStr">
        <is>
          <t>right outer veranda roof junction</t>
        </is>
      </c>
      <c r="L333" s="18" t="inlineStr">
        <is>
          <t>235</t>
        </is>
      </c>
      <c r="M333" s="18" t="inlineStr">
        <is>
          <t>235 is drawn horizontally across the local wall/return beneath the concrete roof.</t>
        </is>
      </c>
    </row>
    <row r="334" ht="48" customHeight="1">
      <c r="A334" s="18" t="inlineStr">
        <is>
          <t>S029</t>
        </is>
      </c>
      <c r="B334" s="18" t="inlineStr">
        <is>
          <t>Chân chóp trang trí hiên
Veranda pinnacle base</t>
        </is>
      </c>
      <c r="C334" s="18" t="inlineStr">
        <is>
          <t>base_width</t>
        </is>
      </c>
      <c r="D334" s="18" t="inlineStr">
        <is>
          <t>Model: Z
Source: X
left base reference → right base reference</t>
        </is>
      </c>
      <c r="E334" s="37" t="n">
        <v>806</v>
      </c>
      <c r="F334" s="25" t="inlineStr">
        <is>
          <t>mm</t>
        </is>
      </c>
      <c r="G334" s="38" t="n">
        <f>IF(COUNTBLANK(E334)&gt;0,"",E334)</f>
        <v>806</v>
      </c>
      <c r="H334" s="39" t="n">
        <f>IF(COUNTBLANK(G334)&gt;0,"",G334/1000)</f>
        <v>0.806</v>
      </c>
      <c r="I334" s="18" t="inlineStr">
        <is>
          <t>Ghi trên bản vẽ / Explicit</t>
        </is>
      </c>
      <c r="J334" s="18" t="inlineStr">
        <is>
          <t>Tờ 4
File 6</t>
        </is>
      </c>
      <c r="K334" s="18" t="inlineStr">
        <is>
          <t>right veranda finial near roof edge</t>
        </is>
      </c>
      <c r="L334" s="18" t="inlineStr">
        <is>
          <t>806</t>
        </is>
      </c>
      <c r="M334" s="18" t="str"/>
    </row>
    <row r="335" ht="36" customHeight="1">
      <c r="A335" s="18" t="inlineStr">
        <is>
          <t>S030</t>
        </is>
      </c>
      <c r="B335" s="18" t="inlineStr">
        <is>
          <t>Chuỗi cao tường ngoài
Exterior wall vertical chain</t>
        </is>
      </c>
      <c r="C335" s="18" t="inlineStr">
        <is>
          <t>vertical_segment</t>
        </is>
      </c>
      <c r="D335" s="18" t="inlineStr">
        <is>
          <t>Model: Y
Source: Y
floor → rectangular opening head</t>
        </is>
      </c>
      <c r="E335" s="37" t="n">
        <v>2951</v>
      </c>
      <c r="F335" s="25" t="inlineStr">
        <is>
          <t>mm</t>
        </is>
      </c>
      <c r="G335" s="38" t="n">
        <f>IF(COUNTBLANK(E335)&gt;0,"",E335)</f>
        <v>2951</v>
      </c>
      <c r="H335" s="39" t="n">
        <f>IF(COUNTBLANK(G335)&gt;0,"",G335/1000)</f>
        <v>2.951</v>
      </c>
      <c r="I335" s="18" t="inlineStr">
        <is>
          <t>Ghi trên bản vẽ / Explicit</t>
        </is>
      </c>
      <c r="J335" s="18" t="inlineStr">
        <is>
          <t>Tờ 4
File 6</t>
        </is>
      </c>
      <c r="K335" s="18" t="inlineStr">
        <is>
          <t>far left exterior vertical dimension chain</t>
        </is>
      </c>
      <c r="L335" s="18" t="inlineStr">
        <is>
          <t>2951</t>
        </is>
      </c>
      <c r="M335" s="18" t="str"/>
    </row>
    <row r="336" ht="48" customHeight="1">
      <c r="A336" s="18" t="inlineStr">
        <is>
          <t>S031</t>
        </is>
      </c>
      <c r="B336" s="18" t="inlineStr">
        <is>
          <t>Chuỗi cao tường ngoài
Exterior wall vertical chain</t>
        </is>
      </c>
      <c r="C336" s="18" t="inlineStr">
        <is>
          <t>vertical_segment</t>
        </is>
      </c>
      <c r="D336" s="18" t="inlineStr">
        <is>
          <t>Model: Y
Source: Y
rectangular opening head → arch spring reference</t>
        </is>
      </c>
      <c r="E336" s="37" t="n">
        <v>150</v>
      </c>
      <c r="F336" s="25" t="inlineStr">
        <is>
          <t>mm</t>
        </is>
      </c>
      <c r="G336" s="38" t="n">
        <f>IF(COUNTBLANK(E336)&gt;0,"",E336)</f>
        <v>150</v>
      </c>
      <c r="H336" s="39" t="n">
        <f>IF(COUNTBLANK(G336)&gt;0,"",G336/1000)</f>
        <v>0.15</v>
      </c>
      <c r="I336" s="18" t="inlineStr">
        <is>
          <t>Ghi trên bản vẽ / Explicit</t>
        </is>
      </c>
      <c r="J336" s="18" t="inlineStr">
        <is>
          <t>Tờ 4
File 6</t>
        </is>
      </c>
      <c r="K336" s="18" t="inlineStr">
        <is>
          <t>far left exterior vertical dimension chain</t>
        </is>
      </c>
      <c r="L336" s="18" t="inlineStr">
        <is>
          <t>150</t>
        </is>
      </c>
      <c r="M336" s="18" t="str"/>
    </row>
    <row r="337" ht="48" customHeight="1">
      <c r="A337" s="18" t="inlineStr">
        <is>
          <t>S032</t>
        </is>
      </c>
      <c r="B337" s="18" t="inlineStr">
        <is>
          <t>Chuỗi cao tường ngoài
Exterior wall vertical chain</t>
        </is>
      </c>
      <c r="C337" s="18" t="inlineStr">
        <is>
          <t>vertical_segment</t>
        </is>
      </c>
      <c r="D337" s="18" t="inlineStr">
        <is>
          <t>Model: Y
Source: Y
arch spring reference → inner arch crown</t>
        </is>
      </c>
      <c r="E337" s="37" t="n">
        <v>507</v>
      </c>
      <c r="F337" s="25" t="inlineStr">
        <is>
          <t>mm</t>
        </is>
      </c>
      <c r="G337" s="38" t="n">
        <f>IF(COUNTBLANK(E337)&gt;0,"",E337)</f>
        <v>507</v>
      </c>
      <c r="H337" s="39" t="n">
        <f>IF(COUNTBLANK(G337)&gt;0,"",G337/1000)</f>
        <v>0.507</v>
      </c>
      <c r="I337" s="18" t="inlineStr">
        <is>
          <t>Ghi trên bản vẽ / Explicit</t>
        </is>
      </c>
      <c r="J337" s="18" t="inlineStr">
        <is>
          <t>Tờ 4
File 6</t>
        </is>
      </c>
      <c r="K337" s="18" t="inlineStr">
        <is>
          <t>far left exterior vertical dimension chain</t>
        </is>
      </c>
      <c r="L337" s="18" t="inlineStr">
        <is>
          <t>507</t>
        </is>
      </c>
      <c r="M337" s="18" t="str"/>
    </row>
    <row r="338" ht="48" customHeight="1">
      <c r="A338" s="18" t="inlineStr">
        <is>
          <t>S033</t>
        </is>
      </c>
      <c r="B338" s="18" t="inlineStr">
        <is>
          <t>Chuỗi cao tường ngoài
Exterior wall vertical chain</t>
        </is>
      </c>
      <c r="C338" s="18" t="inlineStr">
        <is>
          <t>vertical_segment</t>
        </is>
      </c>
      <c r="D338" s="18" t="inlineStr">
        <is>
          <t>Model: Y
Source: Y
inner arch crown → outer arch mold crown</t>
        </is>
      </c>
      <c r="E338" s="37" t="n">
        <v>302</v>
      </c>
      <c r="F338" s="25" t="inlineStr">
        <is>
          <t>mm</t>
        </is>
      </c>
      <c r="G338" s="38" t="n">
        <f>IF(COUNTBLANK(E338)&gt;0,"",E338)</f>
        <v>302</v>
      </c>
      <c r="H338" s="39" t="n">
        <f>IF(COUNTBLANK(G338)&gt;0,"",G338/1000)</f>
        <v>0.302</v>
      </c>
      <c r="I338" s="18" t="inlineStr">
        <is>
          <t>Ghi trên bản vẽ / Explicit</t>
        </is>
      </c>
      <c r="J338" s="18" t="inlineStr">
        <is>
          <t>Tờ 4
File 6</t>
        </is>
      </c>
      <c r="K338" s="18" t="inlineStr">
        <is>
          <t>far left exterior vertical dimension chain</t>
        </is>
      </c>
      <c r="L338" s="18" t="inlineStr">
        <is>
          <t>302</t>
        </is>
      </c>
      <c r="M338" s="18" t="str"/>
    </row>
    <row r="339" ht="48" customHeight="1">
      <c r="A339" s="18" t="inlineStr">
        <is>
          <t>S034</t>
        </is>
      </c>
      <c r="B339" s="18" t="inlineStr">
        <is>
          <t>Chuỗi cao tường ngoài
Exterior wall vertical chain</t>
        </is>
      </c>
      <c r="C339" s="18" t="inlineStr">
        <is>
          <t>vertical_segment</t>
        </is>
      </c>
      <c r="D339" s="18" t="inlineStr">
        <is>
          <t>Model: Y
Source: Y
outer arch mold crown → upper circular/detail reference</t>
        </is>
      </c>
      <c r="E339" s="37" t="n">
        <v>837</v>
      </c>
      <c r="F339" s="25" t="inlineStr">
        <is>
          <t>mm</t>
        </is>
      </c>
      <c r="G339" s="38" t="n">
        <f>IF(COUNTBLANK(E339)&gt;0,"",E339)</f>
        <v>837</v>
      </c>
      <c r="H339" s="39" t="n">
        <f>IF(COUNTBLANK(G339)&gt;0,"",G339/1000)</f>
        <v>0.837</v>
      </c>
      <c r="I339" s="18" t="inlineStr">
        <is>
          <t>Ghi trên bản vẽ / Explicit</t>
        </is>
      </c>
      <c r="J339" s="18" t="inlineStr">
        <is>
          <t>Tờ 4
File 6</t>
        </is>
      </c>
      <c r="K339" s="18" t="inlineStr">
        <is>
          <t>far left exterior vertical dimension chain</t>
        </is>
      </c>
      <c r="L339" s="18" t="inlineStr">
        <is>
          <t>837</t>
        </is>
      </c>
      <c r="M339" s="18" t="str"/>
    </row>
    <row r="340" ht="48" customHeight="1">
      <c r="A340" s="18" t="inlineStr">
        <is>
          <t>S035</t>
        </is>
      </c>
      <c r="B340" s="18" t="inlineStr">
        <is>
          <t>Chuỗi cao tường ngoài
Exterior wall vertical chain</t>
        </is>
      </c>
      <c r="C340" s="18" t="inlineStr">
        <is>
          <t>vertical_segment</t>
        </is>
      </c>
      <c r="D340" s="18" t="inlineStr">
        <is>
          <t>Model: Y
Source: Y
upper circular/detail reference → upper wall/soffit reference</t>
        </is>
      </c>
      <c r="E340" s="37" t="n">
        <v>1178</v>
      </c>
      <c r="F340" s="25" t="inlineStr">
        <is>
          <t>mm</t>
        </is>
      </c>
      <c r="G340" s="38" t="n">
        <f>IF(COUNTBLANK(E340)&gt;0,"",E340)</f>
        <v>1178</v>
      </c>
      <c r="H340" s="39" t="n">
        <f>IF(COUNTBLANK(G340)&gt;0,"",G340/1000)</f>
        <v>1.178</v>
      </c>
      <c r="I340" s="18" t="inlineStr">
        <is>
          <t>Ghi trên bản vẽ / Explicit</t>
        </is>
      </c>
      <c r="J340" s="18" t="inlineStr">
        <is>
          <t>Tờ 4
File 6</t>
        </is>
      </c>
      <c r="K340" s="18" t="inlineStr">
        <is>
          <t>far left exterior vertical dimension chain</t>
        </is>
      </c>
      <c r="L340" s="18" t="inlineStr">
        <is>
          <t>1178</t>
        </is>
      </c>
      <c r="M340" s="18" t="str"/>
    </row>
    <row r="341" ht="48" customHeight="1">
      <c r="A341" s="18" t="inlineStr">
        <is>
          <t>S036</t>
        </is>
      </c>
      <c r="B341" s="18" t="inlineStr">
        <is>
          <t>Chuỗi cao tường ngoài
Exterior wall vertical chain</t>
        </is>
      </c>
      <c r="C341" s="18" t="inlineStr">
        <is>
          <t>vertical_segment</t>
        </is>
      </c>
      <c r="D341" s="18" t="inlineStr">
        <is>
          <t>Model: Y
Source: Y
upper wall/soffit reference → cornice lower step</t>
        </is>
      </c>
      <c r="E341" s="37" t="n">
        <v>304</v>
      </c>
      <c r="F341" s="25" t="inlineStr">
        <is>
          <t>mm</t>
        </is>
      </c>
      <c r="G341" s="38" t="n">
        <f>IF(COUNTBLANK(E341)&gt;0,"",E341)</f>
        <v>304</v>
      </c>
      <c r="H341" s="39" t="n">
        <f>IF(COUNTBLANK(G341)&gt;0,"",G341/1000)</f>
        <v>0.304</v>
      </c>
      <c r="I341" s="18" t="inlineStr">
        <is>
          <t>Ghi trên bản vẽ / Explicit</t>
        </is>
      </c>
      <c r="J341" s="18" t="inlineStr">
        <is>
          <t>Tờ 4
File 6</t>
        </is>
      </c>
      <c r="K341" s="18" t="inlineStr">
        <is>
          <t>far left exterior vertical dimension chain</t>
        </is>
      </c>
      <c r="L341" s="18" t="inlineStr">
        <is>
          <t>304</t>
        </is>
      </c>
      <c r="M341" s="18" t="str"/>
    </row>
    <row r="342" ht="48" customHeight="1">
      <c r="A342" s="18" t="inlineStr">
        <is>
          <t>S037</t>
        </is>
      </c>
      <c r="B342" s="18" t="inlineStr">
        <is>
          <t>Chuỗi cao tường ngoài
Exterior wall vertical chain</t>
        </is>
      </c>
      <c r="C342" s="18" t="inlineStr">
        <is>
          <t>vertical_segment</t>
        </is>
      </c>
      <c r="D342" s="18" t="inlineStr">
        <is>
          <t>Model: Y
Source: Y
cornice lower step → outer cornice top</t>
        </is>
      </c>
      <c r="E342" s="37" t="n">
        <v>96</v>
      </c>
      <c r="F342" s="25" t="inlineStr">
        <is>
          <t>mm</t>
        </is>
      </c>
      <c r="G342" s="38" t="n">
        <f>IF(COUNTBLANK(E342)&gt;0,"",E342)</f>
        <v>96</v>
      </c>
      <c r="H342" s="39" t="n">
        <f>IF(COUNTBLANK(G342)&gt;0,"",G342/1000)</f>
        <v>0.096</v>
      </c>
      <c r="I342" s="18" t="inlineStr">
        <is>
          <t>Ghi trên bản vẽ / Explicit</t>
        </is>
      </c>
      <c r="J342" s="18" t="inlineStr">
        <is>
          <t>Tờ 4
File 6</t>
        </is>
      </c>
      <c r="K342" s="18" t="inlineStr">
        <is>
          <t>far left exterior vertical dimension chain</t>
        </is>
      </c>
      <c r="L342" s="18" t="inlineStr">
        <is>
          <t>96</t>
        </is>
      </c>
      <c r="M342" s="18" t="str"/>
    </row>
    <row r="343" ht="36" customHeight="1">
      <c r="A343" s="18" t="inlineStr">
        <is>
          <t>S038</t>
        </is>
      </c>
      <c r="B343" s="18" t="inlineStr">
        <is>
          <t>Chuỗi cao tường trong
Interior side wall vertical chain</t>
        </is>
      </c>
      <c r="C343" s="18" t="inlineStr">
        <is>
          <t>vertical_segment</t>
        </is>
      </c>
      <c r="D343" s="18" t="inlineStr">
        <is>
          <t>Model: Y
Source: Y
floor → window sill</t>
        </is>
      </c>
      <c r="E343" s="37" t="n">
        <v>650</v>
      </c>
      <c r="F343" s="25" t="inlineStr">
        <is>
          <t>mm</t>
        </is>
      </c>
      <c r="G343" s="38" t="n">
        <f>IF(COUNTBLANK(E343)&gt;0,"",E343)</f>
        <v>650</v>
      </c>
      <c r="H343" s="39" t="n">
        <f>IF(COUNTBLANK(G343)&gt;0,"",G343/1000)</f>
        <v>0.65</v>
      </c>
      <c r="I343" s="18" t="inlineStr">
        <is>
          <t>Ghi trên bản vẽ / Explicit</t>
        </is>
      </c>
      <c r="J343" s="18" t="inlineStr">
        <is>
          <t>Tờ 4
File 6</t>
        </is>
      </c>
      <c r="K343" s="18" t="inlineStr">
        <is>
          <t>left inner support/window vertical dimension chain</t>
        </is>
      </c>
      <c r="L343" s="18" t="inlineStr">
        <is>
          <t>650</t>
        </is>
      </c>
      <c r="M343" s="18" t="str"/>
    </row>
    <row r="344" ht="48" customHeight="1">
      <c r="A344" s="18" t="inlineStr">
        <is>
          <t>S039</t>
        </is>
      </c>
      <c r="B344" s="18" t="inlineStr">
        <is>
          <t>Chuỗi cao tường trong
Interior side wall vertical chain</t>
        </is>
      </c>
      <c r="C344" s="18" t="inlineStr">
        <is>
          <t>vertical_segment</t>
        </is>
      </c>
      <c r="D344" s="18" t="inlineStr">
        <is>
          <t>Model: Y
Source: Y
window sill → rectangular opening head</t>
        </is>
      </c>
      <c r="E344" s="37" t="n">
        <v>2301</v>
      </c>
      <c r="F344" s="25" t="inlineStr">
        <is>
          <t>mm</t>
        </is>
      </c>
      <c r="G344" s="38" t="n">
        <f>IF(COUNTBLANK(E344)&gt;0,"",E344)</f>
        <v>2301</v>
      </c>
      <c r="H344" s="39" t="n">
        <f>IF(COUNTBLANK(G344)&gt;0,"",G344/1000)</f>
        <v>2.301</v>
      </c>
      <c r="I344" s="18" t="inlineStr">
        <is>
          <t>Ghi trên bản vẽ / Explicit</t>
        </is>
      </c>
      <c r="J344" s="18" t="inlineStr">
        <is>
          <t>Tờ 4
File 6</t>
        </is>
      </c>
      <c r="K344" s="18" t="inlineStr">
        <is>
          <t>left inner support/window vertical dimension chain</t>
        </is>
      </c>
      <c r="L344" s="18" t="inlineStr">
        <is>
          <t>2301</t>
        </is>
      </c>
      <c r="M344" s="18" t="str"/>
    </row>
    <row r="345" ht="48" customHeight="1">
      <c r="A345" s="18" t="inlineStr">
        <is>
          <t>S040</t>
        </is>
      </c>
      <c r="B345" s="18" t="inlineStr">
        <is>
          <t>Chuỗi cao tường trong
Interior side wall vertical chain</t>
        </is>
      </c>
      <c r="C345" s="18" t="inlineStr">
        <is>
          <t>vertical_segment</t>
        </is>
      </c>
      <c r="D345" s="18" t="inlineStr">
        <is>
          <t>Model: Y
Source: Y
rectangular opening head → arch base</t>
        </is>
      </c>
      <c r="E345" s="37" t="n">
        <v>220</v>
      </c>
      <c r="F345" s="25" t="inlineStr">
        <is>
          <t>mm</t>
        </is>
      </c>
      <c r="G345" s="38" t="n">
        <f>IF(COUNTBLANK(E345)&gt;0,"",E345)</f>
        <v>220</v>
      </c>
      <c r="H345" s="39" t="n">
        <f>IF(COUNTBLANK(G345)&gt;0,"",G345/1000)</f>
        <v>0.22</v>
      </c>
      <c r="I345" s="18" t="inlineStr">
        <is>
          <t>Ghi trên bản vẽ / Explicit</t>
        </is>
      </c>
      <c r="J345" s="18" t="inlineStr">
        <is>
          <t>Tờ 4
File 6</t>
        </is>
      </c>
      <c r="K345" s="18" t="inlineStr">
        <is>
          <t>left inner support/window vertical dimension chain</t>
        </is>
      </c>
      <c r="L345" s="18" t="inlineStr">
        <is>
          <t>220</t>
        </is>
      </c>
      <c r="M345" s="18" t="str"/>
    </row>
    <row r="346" ht="36" customHeight="1">
      <c r="A346" s="18" t="inlineStr">
        <is>
          <t>S041</t>
        </is>
      </c>
      <c r="B346" s="18" t="inlineStr">
        <is>
          <t>Chuỗi cao tường trong
Interior side wall vertical chain</t>
        </is>
      </c>
      <c r="C346" s="18" t="inlineStr">
        <is>
          <t>vertical_segment</t>
        </is>
      </c>
      <c r="D346" s="18" t="inlineStr">
        <is>
          <t>Model: Y
Source: Y
arch base → arch crown</t>
        </is>
      </c>
      <c r="E346" s="37" t="n">
        <v>1140</v>
      </c>
      <c r="F346" s="25" t="inlineStr">
        <is>
          <t>mm</t>
        </is>
      </c>
      <c r="G346" s="38" t="n">
        <f>IF(COUNTBLANK(E346)&gt;0,"",E346)</f>
        <v>1140</v>
      </c>
      <c r="H346" s="39" t="n">
        <f>IF(COUNTBLANK(G346)&gt;0,"",G346/1000)</f>
        <v>1.14</v>
      </c>
      <c r="I346" s="18" t="inlineStr">
        <is>
          <t>Ghi trên bản vẽ / Explicit</t>
        </is>
      </c>
      <c r="J346" s="18" t="inlineStr">
        <is>
          <t>Tờ 4
File 6</t>
        </is>
      </c>
      <c r="K346" s="18" t="inlineStr">
        <is>
          <t>left inner support/window vertical dimension chain</t>
        </is>
      </c>
      <c r="L346" s="18" t="inlineStr">
        <is>
          <t>1140</t>
        </is>
      </c>
      <c r="M346" s="18" t="str"/>
    </row>
    <row r="347" ht="36" customHeight="1">
      <c r="A347" s="18" t="inlineStr">
        <is>
          <t>S042</t>
        </is>
      </c>
      <c r="B347" s="18" t="inlineStr">
        <is>
          <t>Chuỗi cao tường trong
Interior side wall vertical chain</t>
        </is>
      </c>
      <c r="C347" s="18" t="inlineStr">
        <is>
          <t>vertical_segment</t>
        </is>
      </c>
      <c r="D347" s="18" t="inlineStr">
        <is>
          <t>Model: Y
Source: Y
arch crown → upper wall reference</t>
        </is>
      </c>
      <c r="E347" s="37" t="n">
        <v>2177</v>
      </c>
      <c r="F347" s="25" t="inlineStr">
        <is>
          <t>mm</t>
        </is>
      </c>
      <c r="G347" s="38" t="n">
        <f>IF(COUNTBLANK(E347)&gt;0,"",E347)</f>
        <v>2177</v>
      </c>
      <c r="H347" s="39" t="n">
        <f>IF(COUNTBLANK(G347)&gt;0,"",G347/1000)</f>
        <v>2.177</v>
      </c>
      <c r="I347" s="18" t="inlineStr">
        <is>
          <t>Ghi trên bản vẽ / Explicit</t>
        </is>
      </c>
      <c r="J347" s="18" t="inlineStr">
        <is>
          <t>Tờ 4
File 6</t>
        </is>
      </c>
      <c r="K347" s="18" t="inlineStr">
        <is>
          <t>left inner support/window vertical dimension chain</t>
        </is>
      </c>
      <c r="L347" s="18" t="inlineStr">
        <is>
          <t>2177</t>
        </is>
      </c>
      <c r="M347" s="18" t="str"/>
    </row>
    <row r="348" ht="48" customHeight="1">
      <c r="A348" s="18" t="inlineStr">
        <is>
          <t>S043</t>
        </is>
      </c>
      <c r="B348" s="18" t="inlineStr">
        <is>
          <t>Chuỗi cao tường trong
Interior side wall vertical chain</t>
        </is>
      </c>
      <c r="C348" s="18" t="inlineStr">
        <is>
          <t>vertical_segment</t>
        </is>
      </c>
      <c r="D348" s="18" t="inlineStr">
        <is>
          <t>Model: Y
Source: Y
upper wall reference → beam/top wall intermediate reference</t>
        </is>
      </c>
      <c r="E348" s="37" t="n">
        <v>400</v>
      </c>
      <c r="F348" s="25" t="inlineStr">
        <is>
          <t>mm</t>
        </is>
      </c>
      <c r="G348" s="38" t="n">
        <f>IF(COUNTBLANK(E348)&gt;0,"",E348)</f>
        <v>400</v>
      </c>
      <c r="H348" s="39" t="n">
        <f>IF(COUNTBLANK(G348)&gt;0,"",G348/1000)</f>
        <v>0.4</v>
      </c>
      <c r="I348" s="18" t="inlineStr">
        <is>
          <t>Ghi trên bản vẽ / Explicit</t>
        </is>
      </c>
      <c r="J348" s="18" t="inlineStr">
        <is>
          <t>Tờ 4
File 6</t>
        </is>
      </c>
      <c r="K348" s="18" t="inlineStr">
        <is>
          <t>left inner support/window vertical dimension chain</t>
        </is>
      </c>
      <c r="L348" s="18" t="inlineStr">
        <is>
          <t>400</t>
        </is>
      </c>
      <c r="M348" s="18" t="str"/>
    </row>
    <row r="349" ht="48" customHeight="1">
      <c r="A349" s="18" t="inlineStr">
        <is>
          <t>S044</t>
        </is>
      </c>
      <c r="B349" s="18" t="inlineStr">
        <is>
          <t>Chuỗi cao tường trong
Interior side wall vertical chain</t>
        </is>
      </c>
      <c r="C349" s="18" t="inlineStr">
        <is>
          <t>vertical_segment</t>
        </is>
      </c>
      <c r="D349" s="18" t="inlineStr">
        <is>
          <t>Model: Y
Source: Y
beam/top wall intermediate reference → top side-post reference</t>
        </is>
      </c>
      <c r="E349" s="37" t="n">
        <v>102</v>
      </c>
      <c r="F349" s="25" t="inlineStr">
        <is>
          <t>mm</t>
        </is>
      </c>
      <c r="G349" s="38" t="n">
        <f>IF(COUNTBLANK(E349)&gt;0,"",E349)</f>
        <v>102</v>
      </c>
      <c r="H349" s="39" t="n">
        <f>IF(COUNTBLANK(G349)&gt;0,"",G349/1000)</f>
        <v>0.102</v>
      </c>
      <c r="I349" s="18" t="inlineStr">
        <is>
          <t>Ghi trên bản vẽ / Explicit</t>
        </is>
      </c>
      <c r="J349" s="18" t="inlineStr">
        <is>
          <t>Tờ 4
File 6</t>
        </is>
      </c>
      <c r="K349" s="18" t="inlineStr">
        <is>
          <t>left inner support/window vertical dimension chain</t>
        </is>
      </c>
      <c r="L349" s="18" t="inlineStr">
        <is>
          <t>102</t>
        </is>
      </c>
      <c r="M349" s="18" t="str"/>
    </row>
    <row r="350" ht="48" customHeight="1">
      <c r="A350" s="18" t="inlineStr">
        <is>
          <t>S045</t>
        </is>
      </c>
      <c r="B350" s="18" t="inlineStr">
        <is>
          <t>Nền nhà thờ
Church floor</t>
        </is>
      </c>
      <c r="C350" s="18" t="inlineStr">
        <is>
          <t>reinforced_concrete_floor_thickness</t>
        </is>
      </c>
      <c r="D350" s="18" t="inlineStr">
        <is>
          <t>Model: Y
Source: Y
concrete slab bottom → concrete slab top</t>
        </is>
      </c>
      <c r="E350" s="37" t="n">
        <v>80</v>
      </c>
      <c r="F350" s="25" t="inlineStr">
        <is>
          <t>mm</t>
        </is>
      </c>
      <c r="G350" s="38" t="n">
        <f>IF(COUNTBLANK(E350)&gt;0,"",E350)</f>
        <v>80</v>
      </c>
      <c r="H350" s="39" t="n">
        <f>IF(COUNTBLANK(G350)&gt;0,"",G350/1000)</f>
        <v>0.08</v>
      </c>
      <c r="I350" s="18" t="inlineStr">
        <is>
          <t>Ghi trên bản vẽ / Explicit</t>
        </is>
      </c>
      <c r="J350" s="18" t="inlineStr">
        <is>
          <t>Tờ 4
File 6</t>
        </is>
      </c>
      <c r="K350" s="18" t="inlineStr">
        <is>
          <t>center floor build-up note</t>
        </is>
      </c>
      <c r="L350" s="18" t="inlineStr">
        <is>
          <t>bt ct dày 8cm</t>
        </is>
      </c>
      <c r="M350" s="18" t="inlineStr">
        <is>
          <t>Explicit 8 cm converted to 80 mm. Floor notes also specify natural stone paving and compacted sand fill; their thicknesses are not supplied.</t>
        </is>
      </c>
    </row>
    <row r="351" ht="36" customHeight="1">
      <c r="A351" s="18" t="inlineStr">
        <is>
          <t>S046</t>
        </is>
      </c>
      <c r="B351" s="18" t="inlineStr">
        <is>
          <t>Cao độ mặt cắt cung thánh
Sanctuary section levels</t>
        </is>
      </c>
      <c r="C351" s="18" t="inlineStr">
        <is>
          <t>ridge_elevation</t>
        </is>
      </c>
      <c r="D351" s="18" t="inlineStr">
        <is>
          <t>Model: Y
Source: Y
±0.000 → ridge decoration top</t>
        </is>
      </c>
      <c r="E351" s="40" t="n">
        <v>12.472</v>
      </c>
      <c r="F351" s="25" t="inlineStr">
        <is>
          <t>m</t>
        </is>
      </c>
      <c r="G351" s="38" t="n">
        <f>IF(COUNTBLANK(E351)&gt;0,"",E351*1000)</f>
        <v>12472</v>
      </c>
      <c r="H351" s="39" t="n">
        <f>IF(COUNTBLANK(G351)&gt;0,"",G351/1000)</f>
        <v>12.472</v>
      </c>
      <c r="I351" s="18" t="inlineStr">
        <is>
          <t>Ghi trên bản vẽ / Explicit</t>
        </is>
      </c>
      <c r="J351" s="18" t="inlineStr">
        <is>
          <t>Tờ 5
File 7</t>
        </is>
      </c>
      <c r="K351" s="18" t="inlineStr">
        <is>
          <t>left-side level symbols</t>
        </is>
      </c>
      <c r="L351" s="18" t="inlineStr">
        <is>
          <t>+ 12,472M</t>
        </is>
      </c>
      <c r="M351" s="18" t="str"/>
    </row>
    <row r="352" ht="48" customHeight="1">
      <c r="A352" s="18" t="inlineStr">
        <is>
          <t>S047</t>
        </is>
      </c>
      <c r="B352" s="18" t="inlineStr">
        <is>
          <t>Cao độ mặt cắt cung thánh
Sanctuary section levels</t>
        </is>
      </c>
      <c r="C352" s="18" t="inlineStr">
        <is>
          <t>intermediate_roof_level</t>
        </is>
      </c>
      <c r="D352" s="18" t="inlineStr">
        <is>
          <t>Model: Y
Source: Y
±0.000 → marked upper eave/roof level</t>
        </is>
      </c>
      <c r="E352" s="40" t="n">
        <v>7.13</v>
      </c>
      <c r="F352" s="25" t="inlineStr">
        <is>
          <t>m</t>
        </is>
      </c>
      <c r="G352" s="38" t="n">
        <f>IF(COUNTBLANK(E352)&gt;0,"",E352*1000)</f>
        <v>7130</v>
      </c>
      <c r="H352" s="39" t="n">
        <f>IF(COUNTBLANK(G352)&gt;0,"",G352/1000)</f>
        <v>7.13</v>
      </c>
      <c r="I352" s="18" t="inlineStr">
        <is>
          <t>Ghi trên bản vẽ / Explicit</t>
        </is>
      </c>
      <c r="J352" s="18" t="inlineStr">
        <is>
          <t>Tờ 5
File 7</t>
        </is>
      </c>
      <c r="K352" s="18" t="inlineStr">
        <is>
          <t>left-side level symbols</t>
        </is>
      </c>
      <c r="L352" s="18" t="inlineStr">
        <is>
          <t>+ 7,13M</t>
        </is>
      </c>
      <c r="M352" s="18" t="str"/>
    </row>
    <row r="353" ht="36" customHeight="1">
      <c r="A353" s="18" t="inlineStr">
        <is>
          <t>S048</t>
        </is>
      </c>
      <c r="B353" s="18" t="inlineStr">
        <is>
          <t>Cao độ mặt cắt cung thánh
Sanctuary section levels</t>
        </is>
      </c>
      <c r="C353" s="18" t="inlineStr">
        <is>
          <t>outer_cornice_elevation</t>
        </is>
      </c>
      <c r="D353" s="18" t="inlineStr">
        <is>
          <t>Model: Y
Source: Y
±0.000 → veranda exterior cornice</t>
        </is>
      </c>
      <c r="E353" s="40" t="n">
        <v>6.325</v>
      </c>
      <c r="F353" s="25" t="inlineStr">
        <is>
          <t>m</t>
        </is>
      </c>
      <c r="G353" s="38" t="n">
        <f>IF(COUNTBLANK(E353)&gt;0,"",E353*1000)</f>
        <v>6325</v>
      </c>
      <c r="H353" s="39" t="n">
        <f>IF(COUNTBLANK(G353)&gt;0,"",G353/1000)</f>
        <v>6.325</v>
      </c>
      <c r="I353" s="18" t="inlineStr">
        <is>
          <t>Ghi trên bản vẽ / Explicit</t>
        </is>
      </c>
      <c r="J353" s="18" t="inlineStr">
        <is>
          <t>Tờ 5
File 7</t>
        </is>
      </c>
      <c r="K353" s="18" t="inlineStr">
        <is>
          <t>left-side level symbols</t>
        </is>
      </c>
      <c r="L353" s="18" t="inlineStr">
        <is>
          <t>+ 6,325M</t>
        </is>
      </c>
      <c r="M353" s="18" t="str"/>
    </row>
    <row r="354" ht="36" customHeight="1">
      <c r="A354" s="18" t="inlineStr">
        <is>
          <t>S049</t>
        </is>
      </c>
      <c r="B354" s="18" t="inlineStr">
        <is>
          <t>Cao độ mặt cắt cung thánh
Sanctuary section levels</t>
        </is>
      </c>
      <c r="C354" s="18" t="inlineStr">
        <is>
          <t>finished_floor_elevation</t>
        </is>
      </c>
      <c r="D354" s="18" t="inlineStr">
        <is>
          <t>Model: Y
Source: Y
±0.000 → finished church floor</t>
        </is>
      </c>
      <c r="E354" s="40" t="n">
        <v>0</v>
      </c>
      <c r="F354" s="25" t="inlineStr">
        <is>
          <t>m</t>
        </is>
      </c>
      <c r="G354" s="38" t="n">
        <f>IF(COUNTBLANK(E354)&gt;0,"",E354*1000)</f>
        <v>0</v>
      </c>
      <c r="H354" s="39" t="n">
        <f>IF(COUNTBLANK(G354)&gt;0,"",G354/1000)</f>
        <v>0</v>
      </c>
      <c r="I354" s="18" t="inlineStr">
        <is>
          <t>Ghi trên bản vẽ / Explicit</t>
        </is>
      </c>
      <c r="J354" s="18" t="inlineStr">
        <is>
          <t>Tờ 5
File 7</t>
        </is>
      </c>
      <c r="K354" s="18" t="inlineStr">
        <is>
          <t>left-side level symbols</t>
        </is>
      </c>
      <c r="L354" s="18" t="inlineStr">
        <is>
          <t>+ 00</t>
        </is>
      </c>
      <c r="M354" s="18" t="str"/>
    </row>
    <row r="355" ht="36" customHeight="1">
      <c r="A355" s="18" t="inlineStr">
        <is>
          <t>S050</t>
        </is>
      </c>
      <c r="B355" s="18" t="inlineStr">
        <is>
          <t>Cao độ mặt cắt cung thánh
Sanctuary section levels</t>
        </is>
      </c>
      <c r="C355" s="18" t="inlineStr">
        <is>
          <t>courtyard_elevation</t>
        </is>
      </c>
      <c r="D355" s="18" t="inlineStr">
        <is>
          <t>Model: Y
Source: Y
±0.000 → courtyard / MẶT SÂN</t>
        </is>
      </c>
      <c r="E355" s="40" t="n">
        <v>-2.08</v>
      </c>
      <c r="F355" s="25" t="inlineStr">
        <is>
          <t>m</t>
        </is>
      </c>
      <c r="G355" s="38" t="n">
        <f>IF(COUNTBLANK(E355)&gt;0,"",E355*1000)</f>
        <v>-2080</v>
      </c>
      <c r="H355" s="39" t="n">
        <f>IF(COUNTBLANK(G355)&gt;0,"",G355/1000)</f>
        <v>-2.08</v>
      </c>
      <c r="I355" s="18" t="inlineStr">
        <is>
          <t>Ghi trên bản vẽ / Explicit</t>
        </is>
      </c>
      <c r="J355" s="18" t="inlineStr">
        <is>
          <t>Tờ 5
File 7</t>
        </is>
      </c>
      <c r="K355" s="18" t="inlineStr">
        <is>
          <t>left-side level symbols</t>
        </is>
      </c>
      <c r="L355" s="18" t="inlineStr">
        <is>
          <t>MẶT SÂN - 2,08M</t>
        </is>
      </c>
      <c r="M355" s="18" t="str"/>
    </row>
    <row r="356" ht="36" customHeight="1">
      <c r="A356" s="18" t="inlineStr">
        <is>
          <t>S051</t>
        </is>
      </c>
      <c r="B356" s="18" t="inlineStr">
        <is>
          <t>Tổng cao mặt cắt cung thánh
Sanctuary overall height</t>
        </is>
      </c>
      <c r="C356" s="18" t="inlineStr">
        <is>
          <t>overall_height</t>
        </is>
      </c>
      <c r="D356" s="18" t="inlineStr">
        <is>
          <t>Model: Y
Source: Y
courtyard baseline → ridge top</t>
        </is>
      </c>
      <c r="E356" s="37" t="n">
        <v>14476</v>
      </c>
      <c r="F356" s="25" t="inlineStr">
        <is>
          <t>mm</t>
        </is>
      </c>
      <c r="G356" s="38" t="n">
        <f>IF(COUNTBLANK(E356)&gt;0,"",E356)</f>
        <v>14476</v>
      </c>
      <c r="H356" s="39" t="n">
        <f>IF(COUNTBLANK(G356)&gt;0,"",G356/1000)</f>
        <v>14.476</v>
      </c>
      <c r="I356" s="18" t="inlineStr">
        <is>
          <t>Ghi trên bản vẽ / Explicit</t>
        </is>
      </c>
      <c r="J356" s="18" t="inlineStr">
        <is>
          <t>Tờ 5
File 7</t>
        </is>
      </c>
      <c r="K356" s="18" t="inlineStr">
        <is>
          <t>far right overall dimension</t>
        </is>
      </c>
      <c r="L356" s="18" t="inlineStr">
        <is>
          <t>14476</t>
        </is>
      </c>
      <c r="M356" s="18" t="inlineStr">
        <is>
          <t>Same conflict as printed sheet 4: expected 14552 from labeled levels; difference76 mm.</t>
        </is>
      </c>
    </row>
    <row r="357" ht="36" customHeight="1">
      <c r="A357" s="18" t="inlineStr">
        <is>
          <t>S052</t>
        </is>
      </c>
      <c r="B357" s="18" t="inlineStr">
        <is>
          <t>Khoảng cách trục mặt cắt cung thánh
Sanctuary transverse grid span</t>
        </is>
      </c>
      <c r="C357" s="18" t="inlineStr">
        <is>
          <t>grid_B_C</t>
        </is>
      </c>
      <c r="D357" s="18" t="inlineStr">
        <is>
          <t>Model: Z
Source: X
B → C</t>
        </is>
      </c>
      <c r="E357" s="37" t="n">
        <v>3054</v>
      </c>
      <c r="F357" s="25" t="inlineStr">
        <is>
          <t>mm</t>
        </is>
      </c>
      <c r="G357" s="38" t="n">
        <f>IF(COUNTBLANK(E357)&gt;0,"",E357)</f>
        <v>3054</v>
      </c>
      <c r="H357" s="39" t="n">
        <f>IF(COUNTBLANK(G357)&gt;0,"",G357/1000)</f>
        <v>3.054</v>
      </c>
      <c r="I357" s="18" t="inlineStr">
        <is>
          <t>Ghi trên bản vẽ / Explicit</t>
        </is>
      </c>
      <c r="J357" s="18" t="inlineStr">
        <is>
          <t>Tờ 5
File 7</t>
        </is>
      </c>
      <c r="K357" s="18" t="inlineStr">
        <is>
          <t>bottom transverse dimension chain</t>
        </is>
      </c>
      <c r="L357" s="18" t="inlineStr">
        <is>
          <t>3054</t>
        </is>
      </c>
      <c r="M357" s="18" t="str"/>
    </row>
    <row r="358" ht="36" customHeight="1">
      <c r="A358" s="18" t="inlineStr">
        <is>
          <t>S053</t>
        </is>
      </c>
      <c r="B358" s="18" t="inlineStr">
        <is>
          <t>Khoảng cách trục mặt cắt cung thánh
Sanctuary transverse grid span</t>
        </is>
      </c>
      <c r="C358" s="18" t="inlineStr">
        <is>
          <t>grid_C_D</t>
        </is>
      </c>
      <c r="D358" s="18" t="inlineStr">
        <is>
          <t>Model: Z
Source: X
C → D</t>
        </is>
      </c>
      <c r="E358" s="37" t="n">
        <v>3760</v>
      </c>
      <c r="F358" s="25" t="inlineStr">
        <is>
          <t>mm</t>
        </is>
      </c>
      <c r="G358" s="38" t="n">
        <f>IF(COUNTBLANK(E358)&gt;0,"",E358)</f>
        <v>3760</v>
      </c>
      <c r="H358" s="39" t="n">
        <f>IF(COUNTBLANK(G358)&gt;0,"",G358/1000)</f>
        <v>3.76</v>
      </c>
      <c r="I358" s="18" t="inlineStr">
        <is>
          <t>Ghi trên bản vẽ / Explicit</t>
        </is>
      </c>
      <c r="J358" s="18" t="inlineStr">
        <is>
          <t>Tờ 5
File 7</t>
        </is>
      </c>
      <c r="K358" s="18" t="inlineStr">
        <is>
          <t>bottom transverse dimension chain</t>
        </is>
      </c>
      <c r="L358" s="18" t="inlineStr">
        <is>
          <t>3760</t>
        </is>
      </c>
      <c r="M358" s="18" t="str"/>
    </row>
    <row r="359" ht="36" customHeight="1">
      <c r="A359" s="18" t="inlineStr">
        <is>
          <t>S054</t>
        </is>
      </c>
      <c r="B359" s="18" t="inlineStr">
        <is>
          <t>Khoảng cách trục mặt cắt cung thánh
Sanctuary transverse grid span</t>
        </is>
      </c>
      <c r="C359" s="18" t="inlineStr">
        <is>
          <t>grid_D_E</t>
        </is>
      </c>
      <c r="D359" s="18" t="inlineStr">
        <is>
          <t>Model: Z
Source: X
D → E</t>
        </is>
      </c>
      <c r="E359" s="37" t="n">
        <v>7200</v>
      </c>
      <c r="F359" s="25" t="inlineStr">
        <is>
          <t>mm</t>
        </is>
      </c>
      <c r="G359" s="38" t="n">
        <f>IF(COUNTBLANK(E359)&gt;0,"",E359)</f>
        <v>7200</v>
      </c>
      <c r="H359" s="39" t="n">
        <f>IF(COUNTBLANK(G359)&gt;0,"",G359/1000)</f>
        <v>7.2</v>
      </c>
      <c r="I359" s="18" t="inlineStr">
        <is>
          <t>Ghi trên bản vẽ / Explicit</t>
        </is>
      </c>
      <c r="J359" s="18" t="inlineStr">
        <is>
          <t>Tờ 5
File 7</t>
        </is>
      </c>
      <c r="K359" s="18" t="inlineStr">
        <is>
          <t>bottom transverse dimension chain</t>
        </is>
      </c>
      <c r="L359" s="18" t="inlineStr">
        <is>
          <t>7200</t>
        </is>
      </c>
      <c r="M359" s="18" t="str"/>
    </row>
    <row r="360" ht="36" customHeight="1">
      <c r="A360" s="18" t="inlineStr">
        <is>
          <t>S055</t>
        </is>
      </c>
      <c r="B360" s="18" t="inlineStr">
        <is>
          <t>Khoảng cách trục mặt cắt cung thánh
Sanctuary transverse grid span</t>
        </is>
      </c>
      <c r="C360" s="18" t="inlineStr">
        <is>
          <t>grid_E_G</t>
        </is>
      </c>
      <c r="D360" s="18" t="inlineStr">
        <is>
          <t>Model: Z
Source: X
E → G</t>
        </is>
      </c>
      <c r="E360" s="37" t="n">
        <v>3760</v>
      </c>
      <c r="F360" s="25" t="inlineStr">
        <is>
          <t>mm</t>
        </is>
      </c>
      <c r="G360" s="38" t="n">
        <f>IF(COUNTBLANK(E360)&gt;0,"",E360)</f>
        <v>3760</v>
      </c>
      <c r="H360" s="39" t="n">
        <f>IF(COUNTBLANK(G360)&gt;0,"",G360/1000)</f>
        <v>3.76</v>
      </c>
      <c r="I360" s="18" t="inlineStr">
        <is>
          <t>Ghi trên bản vẽ / Explicit</t>
        </is>
      </c>
      <c r="J360" s="18" t="inlineStr">
        <is>
          <t>Tờ 5
File 7</t>
        </is>
      </c>
      <c r="K360" s="18" t="inlineStr">
        <is>
          <t>bottom transverse dimension chain</t>
        </is>
      </c>
      <c r="L360" s="18" t="inlineStr">
        <is>
          <t>3760</t>
        </is>
      </c>
      <c r="M360" s="18" t="str"/>
    </row>
    <row r="361" ht="36" customHeight="1">
      <c r="A361" s="18" t="inlineStr">
        <is>
          <t>S056</t>
        </is>
      </c>
      <c r="B361" s="18" t="inlineStr">
        <is>
          <t>Khoảng cách trục mặt cắt cung thánh
Sanctuary transverse grid span</t>
        </is>
      </c>
      <c r="C361" s="18" t="inlineStr">
        <is>
          <t>grid_G_H</t>
        </is>
      </c>
      <c r="D361" s="18" t="inlineStr">
        <is>
          <t>Model: Z
Source: X
G → H</t>
        </is>
      </c>
      <c r="E361" s="37" t="n">
        <v>3054</v>
      </c>
      <c r="F361" s="25" t="inlineStr">
        <is>
          <t>mm</t>
        </is>
      </c>
      <c r="G361" s="38" t="n">
        <f>IF(COUNTBLANK(E361)&gt;0,"",E361)</f>
        <v>3054</v>
      </c>
      <c r="H361" s="39" t="n">
        <f>IF(COUNTBLANK(G361)&gt;0,"",G361/1000)</f>
        <v>3.054</v>
      </c>
      <c r="I361" s="18" t="inlineStr">
        <is>
          <t>Ghi trên bản vẽ / Explicit</t>
        </is>
      </c>
      <c r="J361" s="18" t="inlineStr">
        <is>
          <t>Tờ 5
File 7</t>
        </is>
      </c>
      <c r="K361" s="18" t="inlineStr">
        <is>
          <t>bottom transverse dimension chain</t>
        </is>
      </c>
      <c r="L361" s="18" t="inlineStr">
        <is>
          <t>3054</t>
        </is>
      </c>
      <c r="M361" s="18" t="str"/>
    </row>
    <row r="362" ht="36" customHeight="1">
      <c r="A362" s="18" t="inlineStr">
        <is>
          <t>S057</t>
        </is>
      </c>
      <c r="B362" s="18" t="inlineStr">
        <is>
          <t>Tổng bề ngang mặt cắt cung thánh
Sanctuary overall transverse width</t>
        </is>
      </c>
      <c r="C362" s="18" t="inlineStr">
        <is>
          <t>outside_width</t>
        </is>
      </c>
      <c r="D362" s="18" t="inlineStr">
        <is>
          <t>Model: Z
Source: X
left outer extent → right outer extent</t>
        </is>
      </c>
      <c r="E362" s="37" t="n">
        <v>22388</v>
      </c>
      <c r="F362" s="25" t="inlineStr">
        <is>
          <t>mm</t>
        </is>
      </c>
      <c r="G362" s="38" t="n">
        <f>IF(COUNTBLANK(E362)&gt;0,"",E362)</f>
        <v>22388</v>
      </c>
      <c r="H362" s="39" t="n">
        <f>IF(COUNTBLANK(G362)&gt;0,"",G362/1000)</f>
        <v>22.388</v>
      </c>
      <c r="I362" s="18" t="inlineStr">
        <is>
          <t>Ghi trên bản vẽ / Explicit</t>
        </is>
      </c>
      <c r="J362" s="18" t="inlineStr">
        <is>
          <t>Tờ 5
File 7</t>
        </is>
      </c>
      <c r="K362" s="18" t="inlineStr">
        <is>
          <t>bottom overall dimension</t>
        </is>
      </c>
      <c r="L362" s="18" t="inlineStr">
        <is>
          <t>22388</t>
        </is>
      </c>
      <c r="M362" s="18" t="str"/>
    </row>
    <row r="363" ht="36" customHeight="1">
      <c r="A363" s="18" t="inlineStr">
        <is>
          <t>S058</t>
        </is>
      </c>
      <c r="B363" s="18" t="inlineStr">
        <is>
          <t>Kích thước móng trên mặt cắt
Foundation section offsets</t>
        </is>
      </c>
      <c r="C363" s="18" t="inlineStr">
        <is>
          <t>foundation_offset</t>
        </is>
      </c>
      <c r="D363" s="18" t="inlineStr">
        <is>
          <t>Model: Z
Source: X
E foundation left face → E axis</t>
        </is>
      </c>
      <c r="E363" s="37" t="n">
        <v>500</v>
      </c>
      <c r="F363" s="25" t="inlineStr">
        <is>
          <t>mm</t>
        </is>
      </c>
      <c r="G363" s="38" t="n">
        <f>IF(COUNTBLANK(E363)&gt;0,"",E363)</f>
        <v>500</v>
      </c>
      <c r="H363" s="39" t="n">
        <f>IF(COUNTBLANK(G363)&gt;0,"",G363/1000)</f>
        <v>0.5</v>
      </c>
      <c r="I363" s="18" t="inlineStr">
        <is>
          <t>Ghi trên bản vẽ / Explicit</t>
        </is>
      </c>
      <c r="J363" s="18" t="inlineStr">
        <is>
          <t>Tờ 5
File 7</t>
        </is>
      </c>
      <c r="K363" s="18" t="inlineStr">
        <is>
          <t>bottom right local foundation dimension chain</t>
        </is>
      </c>
      <c r="L363" s="18" t="inlineStr">
        <is>
          <t>500</t>
        </is>
      </c>
      <c r="M363" s="18" t="inlineStr">
        <is>
          <t>Foundation/section extents; not column shaft size.</t>
        </is>
      </c>
    </row>
    <row r="364" ht="36" customHeight="1">
      <c r="A364" s="18" t="inlineStr">
        <is>
          <t>S059</t>
        </is>
      </c>
      <c r="B364" s="18" t="inlineStr">
        <is>
          <t>Kích thước móng trên mặt cắt
Foundation section offsets</t>
        </is>
      </c>
      <c r="C364" s="18" t="inlineStr">
        <is>
          <t>foundation_offset</t>
        </is>
      </c>
      <c r="D364" s="18" t="inlineStr">
        <is>
          <t>Model: Z
Source: X
E axis → E foundation right face</t>
        </is>
      </c>
      <c r="E364" s="37" t="n">
        <v>500</v>
      </c>
      <c r="F364" s="25" t="inlineStr">
        <is>
          <t>mm</t>
        </is>
      </c>
      <c r="G364" s="38" t="n">
        <f>IF(COUNTBLANK(E364)&gt;0,"",E364)</f>
        <v>500</v>
      </c>
      <c r="H364" s="39" t="n">
        <f>IF(COUNTBLANK(G364)&gt;0,"",G364/1000)</f>
        <v>0.5</v>
      </c>
      <c r="I364" s="18" t="inlineStr">
        <is>
          <t>Ghi trên bản vẽ / Explicit</t>
        </is>
      </c>
      <c r="J364" s="18" t="inlineStr">
        <is>
          <t>Tờ 5
File 7</t>
        </is>
      </c>
      <c r="K364" s="18" t="inlineStr">
        <is>
          <t>bottom right local foundation dimension chain</t>
        </is>
      </c>
      <c r="L364" s="18" t="inlineStr">
        <is>
          <t>500</t>
        </is>
      </c>
      <c r="M364" s="18" t="inlineStr">
        <is>
          <t>Foundation/section extents; not column shaft size.</t>
        </is>
      </c>
    </row>
    <row r="365" ht="36" customHeight="1">
      <c r="A365" s="18" t="inlineStr">
        <is>
          <t>S060</t>
        </is>
      </c>
      <c r="B365" s="18" t="inlineStr">
        <is>
          <t>Kích thước móng trên mặt cắt
Foundation section offsets</t>
        </is>
      </c>
      <c r="C365" s="18" t="inlineStr">
        <is>
          <t>foundation_offset</t>
        </is>
      </c>
      <c r="D365" s="18" t="inlineStr">
        <is>
          <t>Model: Z
Source: X
G foundation left face → G axis</t>
        </is>
      </c>
      <c r="E365" s="37" t="n">
        <v>560</v>
      </c>
      <c r="F365" s="25" t="inlineStr">
        <is>
          <t>mm</t>
        </is>
      </c>
      <c r="G365" s="38" t="n">
        <f>IF(COUNTBLANK(E365)&gt;0,"",E365)</f>
        <v>560</v>
      </c>
      <c r="H365" s="39" t="n">
        <f>IF(COUNTBLANK(G365)&gt;0,"",G365/1000)</f>
        <v>0.56</v>
      </c>
      <c r="I365" s="18" t="inlineStr">
        <is>
          <t>Ghi trên bản vẽ / Explicit</t>
        </is>
      </c>
      <c r="J365" s="18" t="inlineStr">
        <is>
          <t>Tờ 5
File 7</t>
        </is>
      </c>
      <c r="K365" s="18" t="inlineStr">
        <is>
          <t>bottom right local foundation dimension chain</t>
        </is>
      </c>
      <c r="L365" s="18" t="inlineStr">
        <is>
          <t>560</t>
        </is>
      </c>
      <c r="M365" s="18" t="inlineStr">
        <is>
          <t>Foundation/section extents; not column shaft size.</t>
        </is>
      </c>
    </row>
    <row r="366" ht="36" customHeight="1">
      <c r="A366" s="18" t="inlineStr">
        <is>
          <t>S061</t>
        </is>
      </c>
      <c r="B366" s="18" t="inlineStr">
        <is>
          <t>Kích thước móng trên mặt cắt
Foundation section offsets</t>
        </is>
      </c>
      <c r="C366" s="18" t="inlineStr">
        <is>
          <t>foundation_offset</t>
        </is>
      </c>
      <c r="D366" s="18" t="inlineStr">
        <is>
          <t>Model: Z
Source: X
G axis → G foundation right face</t>
        </is>
      </c>
      <c r="E366" s="37" t="n">
        <v>330</v>
      </c>
      <c r="F366" s="25" t="inlineStr">
        <is>
          <t>mm</t>
        </is>
      </c>
      <c r="G366" s="38" t="n">
        <f>IF(COUNTBLANK(E366)&gt;0,"",E366)</f>
        <v>330</v>
      </c>
      <c r="H366" s="39" t="n">
        <f>IF(COUNTBLANK(G366)&gt;0,"",G366/1000)</f>
        <v>0.33</v>
      </c>
      <c r="I366" s="18" t="inlineStr">
        <is>
          <t>Ghi trên bản vẽ / Explicit</t>
        </is>
      </c>
      <c r="J366" s="18" t="inlineStr">
        <is>
          <t>Tờ 5
File 7</t>
        </is>
      </c>
      <c r="K366" s="18" t="inlineStr">
        <is>
          <t>bottom right local foundation dimension chain</t>
        </is>
      </c>
      <c r="L366" s="18" t="inlineStr">
        <is>
          <t>330</t>
        </is>
      </c>
      <c r="M366" s="18" t="inlineStr">
        <is>
          <t>Foundation/section extents; not column shaft size.</t>
        </is>
      </c>
    </row>
    <row r="367" ht="36" customHeight="1">
      <c r="A367" s="18" t="inlineStr">
        <is>
          <t>S062</t>
        </is>
      </c>
      <c r="B367" s="18" t="inlineStr">
        <is>
          <t>Kích thước móng trên mặt cắt
Foundation section offsets</t>
        </is>
      </c>
      <c r="C367" s="18" t="inlineStr">
        <is>
          <t>foundation_offset</t>
        </is>
      </c>
      <c r="D367" s="18" t="inlineStr">
        <is>
          <t>Model: Z
Source: X
H foundation inner face → H axis</t>
        </is>
      </c>
      <c r="E367" s="37" t="n">
        <v>385</v>
      </c>
      <c r="F367" s="25" t="inlineStr">
        <is>
          <t>mm</t>
        </is>
      </c>
      <c r="G367" s="38" t="n">
        <f>IF(COUNTBLANK(E367)&gt;0,"",E367)</f>
        <v>385</v>
      </c>
      <c r="H367" s="39" t="n">
        <f>IF(COUNTBLANK(G367)&gt;0,"",G367/1000)</f>
        <v>0.385</v>
      </c>
      <c r="I367" s="18" t="inlineStr">
        <is>
          <t>Ghi trên bản vẽ / Explicit</t>
        </is>
      </c>
      <c r="J367" s="18" t="inlineStr">
        <is>
          <t>Tờ 5
File 7</t>
        </is>
      </c>
      <c r="K367" s="18" t="inlineStr">
        <is>
          <t>bottom right local foundation dimension chain</t>
        </is>
      </c>
      <c r="L367" s="18" t="inlineStr">
        <is>
          <t>385</t>
        </is>
      </c>
      <c r="M367" s="18" t="inlineStr">
        <is>
          <t>Foundation/section extents; not column shaft size.</t>
        </is>
      </c>
    </row>
    <row r="368" ht="36" customHeight="1">
      <c r="A368" s="18" t="inlineStr">
        <is>
          <t>S063</t>
        </is>
      </c>
      <c r="B368" s="18" t="inlineStr">
        <is>
          <t>Kích thước móng trên mặt cắt
Foundation section offsets</t>
        </is>
      </c>
      <c r="C368" s="18" t="inlineStr">
        <is>
          <t>foundation_offset</t>
        </is>
      </c>
      <c r="D368" s="18" t="inlineStr">
        <is>
          <t>Model: Z
Source: X
H axis → H foundation outer face</t>
        </is>
      </c>
      <c r="E368" s="37" t="n">
        <v>780</v>
      </c>
      <c r="F368" s="25" t="inlineStr">
        <is>
          <t>mm</t>
        </is>
      </c>
      <c r="G368" s="38" t="n">
        <f>IF(COUNTBLANK(E368)&gt;0,"",E368)</f>
        <v>780</v>
      </c>
      <c r="H368" s="39" t="n">
        <f>IF(COUNTBLANK(G368)&gt;0,"",G368/1000)</f>
        <v>0.78</v>
      </c>
      <c r="I368" s="18" t="inlineStr">
        <is>
          <t>Ghi trên bản vẽ / Explicit</t>
        </is>
      </c>
      <c r="J368" s="18" t="inlineStr">
        <is>
          <t>Tờ 5
File 7</t>
        </is>
      </c>
      <c r="K368" s="18" t="inlineStr">
        <is>
          <t>bottom right local foundation dimension chain</t>
        </is>
      </c>
      <c r="L368" s="18" t="inlineStr">
        <is>
          <t>780</t>
        </is>
      </c>
      <c r="M368" s="18" t="inlineStr">
        <is>
          <t>Foundation/section extents; not column shaft size.</t>
        </is>
      </c>
    </row>
    <row r="369" ht="36" customHeight="1">
      <c r="A369" s="18" t="inlineStr">
        <is>
          <t>S064</t>
        </is>
      </c>
      <c r="B369" s="18" t="inlineStr">
        <is>
          <t>Cốt sân và sàn
Floor and courtyard</t>
        </is>
      </c>
      <c r="C369" s="18" t="inlineStr">
        <is>
          <t>floor_to_courtyard</t>
        </is>
      </c>
      <c r="D369" s="18" t="inlineStr">
        <is>
          <t>Model: Y
Source: Y
courtyard baseline → finished floor</t>
        </is>
      </c>
      <c r="E369" s="37" t="n">
        <v>2080</v>
      </c>
      <c r="F369" s="25" t="inlineStr">
        <is>
          <t>mm</t>
        </is>
      </c>
      <c r="G369" s="38" t="n">
        <f>IF(COUNTBLANK(E369)&gt;0,"",E369)</f>
        <v>2080</v>
      </c>
      <c r="H369" s="39" t="n">
        <f>IF(COUNTBLANK(G369)&gt;0,"",G369/1000)</f>
        <v>2.08</v>
      </c>
      <c r="I369" s="18" t="inlineStr">
        <is>
          <t>Ghi trên bản vẽ / Explicit</t>
        </is>
      </c>
      <c r="J369" s="18" t="inlineStr">
        <is>
          <t>Tờ 5
File 7</t>
        </is>
      </c>
      <c r="K369" s="18" t="inlineStr">
        <is>
          <t>left sanctuary aisle below floor</t>
        </is>
      </c>
      <c r="L369" s="18" t="inlineStr">
        <is>
          <t>2080</t>
        </is>
      </c>
      <c r="M369" s="18" t="str"/>
    </row>
    <row r="370" ht="36" customHeight="1">
      <c r="A370" s="18" t="inlineStr">
        <is>
          <t>S065</t>
        </is>
      </c>
      <c r="B370" s="18" t="inlineStr">
        <is>
          <t>Bậc nền cung thánh
Sanctuary lower platform</t>
        </is>
      </c>
      <c r="C370" s="18" t="inlineStr">
        <is>
          <t>lower_step_height</t>
        </is>
      </c>
      <c r="D370" s="18" t="inlineStr">
        <is>
          <t>Model: Y
Source: Y
finished floor → raised aisle/platform</t>
        </is>
      </c>
      <c r="E370" s="37" t="n">
        <v>150</v>
      </c>
      <c r="F370" s="25" t="inlineStr">
        <is>
          <t>mm</t>
        </is>
      </c>
      <c r="G370" s="38" t="n">
        <f>IF(COUNTBLANK(E370)&gt;0,"",E370)</f>
        <v>150</v>
      </c>
      <c r="H370" s="39" t="n">
        <f>IF(COUNTBLANK(G370)&gt;0,"",G370/1000)</f>
        <v>0.15</v>
      </c>
      <c r="I370" s="18" t="inlineStr">
        <is>
          <t>Ghi trên bản vẽ / Explicit</t>
        </is>
      </c>
      <c r="J370" s="18" t="inlineStr">
        <is>
          <t>Tờ 5
File 7</t>
        </is>
      </c>
      <c r="K370" s="18" t="inlineStr">
        <is>
          <t>left sanctuary aisle floor</t>
        </is>
      </c>
      <c r="L370" s="18" t="inlineStr">
        <is>
          <t>150</t>
        </is>
      </c>
      <c r="M370" s="18" t="str"/>
    </row>
    <row r="371" ht="36" customHeight="1">
      <c r="A371" s="18" t="inlineStr">
        <is>
          <t>S066</t>
        </is>
      </c>
      <c r="B371" s="18" t="inlineStr">
        <is>
          <t>Bệ cung thánh
Sanctuary dais</t>
        </is>
      </c>
      <c r="C371" s="18" t="inlineStr">
        <is>
          <t>dais_rise_above_lower_platform</t>
        </is>
      </c>
      <c r="D371" s="18" t="inlineStr">
        <is>
          <t>Model: Y
Source: Y
raised aisle/platform → dais top</t>
        </is>
      </c>
      <c r="E371" s="37" t="n">
        <v>600</v>
      </c>
      <c r="F371" s="25" t="inlineStr">
        <is>
          <t>mm</t>
        </is>
      </c>
      <c r="G371" s="38" t="n">
        <f>IF(COUNTBLANK(E371)&gt;0,"",E371)</f>
        <v>600</v>
      </c>
      <c r="H371" s="39" t="n">
        <f>IF(COUNTBLANK(G371)&gt;0,"",G371/1000)</f>
        <v>0.6</v>
      </c>
      <c r="I371" s="18" t="inlineStr">
        <is>
          <t>Ghi trên bản vẽ / Explicit</t>
        </is>
      </c>
      <c r="J371" s="18" t="inlineStr">
        <is>
          <t>Tờ 5
File 7</t>
        </is>
      </c>
      <c r="K371" s="18" t="inlineStr">
        <is>
          <t>left central column base</t>
        </is>
      </c>
      <c r="L371" s="18" t="inlineStr">
        <is>
          <t>600</t>
        </is>
      </c>
      <c r="M371" s="18" t="str"/>
    </row>
    <row r="372" ht="36" customHeight="1">
      <c r="A372" s="18" t="inlineStr">
        <is>
          <t>S067</t>
        </is>
      </c>
      <c r="B372" s="18" t="inlineStr">
        <is>
          <t>Bệ cung thánh
Sanctuary dais</t>
        </is>
      </c>
      <c r="C372" s="18" t="inlineStr">
        <is>
          <t>dais_elevation_above_main_floor</t>
        </is>
      </c>
      <c r="D372" s="18" t="inlineStr">
        <is>
          <t>Model: Y
Source: Y
finished floor → dais top</t>
        </is>
      </c>
      <c r="E372" s="37" t="n">
        <v>750</v>
      </c>
      <c r="F372" s="25" t="inlineStr">
        <is>
          <t>mm</t>
        </is>
      </c>
      <c r="G372" s="38" t="n">
        <f>IF(COUNTBLANK(E372)&gt;0,"",E372)</f>
        <v>750</v>
      </c>
      <c r="H372" s="39" t="n">
        <f>IF(COUNTBLANK(G372)&gt;0,"",G372/1000)</f>
        <v>0.75</v>
      </c>
      <c r="I372" s="18" t="inlineStr">
        <is>
          <t>Ghi trên bản vẽ / Explicit</t>
        </is>
      </c>
      <c r="J372" s="18" t="inlineStr">
        <is>
          <t>Tờ 5
File 7</t>
        </is>
      </c>
      <c r="K372" s="18" t="inlineStr">
        <is>
          <t>right central column base</t>
        </is>
      </c>
      <c r="L372" s="18" t="inlineStr">
        <is>
          <t>750</t>
        </is>
      </c>
      <c r="M372" s="18" t="str"/>
    </row>
    <row r="373" ht="36" customHeight="1">
      <c r="A373" s="18" t="inlineStr">
        <is>
          <t>S068</t>
        </is>
      </c>
      <c r="B373" s="18" t="inlineStr">
        <is>
          <t>Chân cột cung thánh trái
Left sanctuary column plinth</t>
        </is>
      </c>
      <c r="C373" s="18" t="inlineStr">
        <is>
          <t>plinth_height</t>
        </is>
      </c>
      <c r="D373" s="18" t="inlineStr">
        <is>
          <t>Model: Y
Source: Y
dais top → plinth top</t>
        </is>
      </c>
      <c r="E373" s="37" t="n">
        <v>200</v>
      </c>
      <c r="F373" s="25" t="inlineStr">
        <is>
          <t>mm</t>
        </is>
      </c>
      <c r="G373" s="38" t="n">
        <f>IF(COUNTBLANK(E373)&gt;0,"",E373)</f>
        <v>200</v>
      </c>
      <c r="H373" s="39" t="n">
        <f>IF(COUNTBLANK(G373)&gt;0,"",G373/1000)</f>
        <v>0.2</v>
      </c>
      <c r="I373" s="18" t="inlineStr">
        <is>
          <t>Ghi trên bản vẽ / Explicit</t>
        </is>
      </c>
      <c r="J373" s="18" t="inlineStr">
        <is>
          <t>Tờ 5
File 7</t>
        </is>
      </c>
      <c r="K373" s="18" t="inlineStr">
        <is>
          <t>left central column base</t>
        </is>
      </c>
      <c r="L373" s="18" t="inlineStr">
        <is>
          <t>200</t>
        </is>
      </c>
      <c r="M373" s="18" t="str"/>
    </row>
    <row r="374" ht="36" customHeight="1">
      <c r="A374" s="18" t="inlineStr">
        <is>
          <t>S069</t>
        </is>
      </c>
      <c r="B374" s="18" t="inlineStr">
        <is>
          <t>Chân cột cung thánh phải
Right sanctuary column plinth</t>
        </is>
      </c>
      <c r="C374" s="18" t="inlineStr">
        <is>
          <t>plinth_height</t>
        </is>
      </c>
      <c r="D374" s="18" t="inlineStr">
        <is>
          <t>Model: Y
Source: Y
dais top → plinth top</t>
        </is>
      </c>
      <c r="E374" s="37" t="n">
        <v>200</v>
      </c>
      <c r="F374" s="25" t="inlineStr">
        <is>
          <t>mm</t>
        </is>
      </c>
      <c r="G374" s="38" t="n">
        <f>IF(COUNTBLANK(E374)&gt;0,"",E374)</f>
        <v>200</v>
      </c>
      <c r="H374" s="39" t="n">
        <f>IF(COUNTBLANK(G374)&gt;0,"",G374/1000)</f>
        <v>0.2</v>
      </c>
      <c r="I374" s="18" t="inlineStr">
        <is>
          <t>Ghi trên bản vẽ / Explicit</t>
        </is>
      </c>
      <c r="J374" s="18" t="inlineStr">
        <is>
          <t>Tờ 5
File 7</t>
        </is>
      </c>
      <c r="K374" s="18" t="inlineStr">
        <is>
          <t>right central column base</t>
        </is>
      </c>
      <c r="L374" s="18" t="inlineStr">
        <is>
          <t>200</t>
        </is>
      </c>
      <c r="M374" s="18" t="str"/>
    </row>
    <row r="375" ht="48" customHeight="1">
      <c r="A375" s="18" t="inlineStr">
        <is>
          <t>S070</t>
        </is>
      </c>
      <c r="B375" s="18" t="inlineStr">
        <is>
          <t>Thân cột cung thánh
Sanctuary central column shaft</t>
        </is>
      </c>
      <c r="C375" s="18" t="inlineStr">
        <is>
          <t>shaft_height</t>
        </is>
      </c>
      <c r="D375" s="18" t="inlineStr">
        <is>
          <t>Model: Y
Source: Y
plinth top → top central column reference</t>
        </is>
      </c>
      <c r="E375" s="37" t="n">
        <v>8452</v>
      </c>
      <c r="F375" s="25" t="inlineStr">
        <is>
          <t>mm</t>
        </is>
      </c>
      <c r="G375" s="38" t="n">
        <f>IF(COUNTBLANK(E375)&gt;0,"",E375)</f>
        <v>8452</v>
      </c>
      <c r="H375" s="39" t="n">
        <f>IF(COUNTBLANK(G375)&gt;0,"",G375/1000)</f>
        <v>8.452</v>
      </c>
      <c r="I375" s="18" t="inlineStr">
        <is>
          <t>Ghi trên bản vẽ / Explicit</t>
        </is>
      </c>
      <c r="J375" s="18" t="inlineStr">
        <is>
          <t>Tờ 5
File 7</t>
        </is>
      </c>
      <c r="K375" s="18" t="inlineStr">
        <is>
          <t>right side of central sanctuary opening</t>
        </is>
      </c>
      <c r="L375" s="18" t="inlineStr">
        <is>
          <t>8452</t>
        </is>
      </c>
      <c r="M375" s="18" t="str"/>
    </row>
    <row r="376" ht="48" customHeight="1">
      <c r="A376" s="18" t="inlineStr">
        <is>
          <t>S071</t>
        </is>
      </c>
      <c r="B376" s="18" t="inlineStr">
        <is>
          <t>Phân đoạn cao cung thánh
Sanctuary column height chain</t>
        </is>
      </c>
      <c r="C376" s="18" t="inlineStr">
        <is>
          <t>lower_height_segment</t>
        </is>
      </c>
      <c r="D376" s="18" t="inlineStr">
        <is>
          <t>Model: Y
Source: Y
plinth top → horizontal intermediate line</t>
        </is>
      </c>
      <c r="E376" s="37" t="n">
        <v>2151</v>
      </c>
      <c r="F376" s="25" t="inlineStr">
        <is>
          <t>mm</t>
        </is>
      </c>
      <c r="G376" s="38" t="n">
        <f>IF(COUNTBLANK(E376)&gt;0,"",E376)</f>
        <v>2151</v>
      </c>
      <c r="H376" s="39" t="n">
        <f>IF(COUNTBLANK(G376)&gt;0,"",G376/1000)</f>
        <v>2.151</v>
      </c>
      <c r="I376" s="18" t="inlineStr">
        <is>
          <t>Ghi trên bản vẽ / Explicit</t>
        </is>
      </c>
      <c r="J376" s="18" t="inlineStr">
        <is>
          <t>Tờ 5
File 7</t>
        </is>
      </c>
      <c r="K376" s="18" t="inlineStr">
        <is>
          <t>left side of central sanctuary opening</t>
        </is>
      </c>
      <c r="L376" s="18" t="inlineStr">
        <is>
          <t>2151</t>
        </is>
      </c>
      <c r="M376" s="18" t="str"/>
    </row>
    <row r="377" ht="48" customHeight="1">
      <c r="A377" s="18" t="inlineStr">
        <is>
          <t>S072</t>
        </is>
      </c>
      <c r="B377" s="18" t="inlineStr">
        <is>
          <t>Phân đoạn cao cung thánh
Sanctuary column height chain</t>
        </is>
      </c>
      <c r="C377" s="18" t="inlineStr">
        <is>
          <t>upper_height_segment</t>
        </is>
      </c>
      <c r="D377" s="18" t="inlineStr">
        <is>
          <t>Model: Y
Source: Y
horizontal intermediate line → top central column reference</t>
        </is>
      </c>
      <c r="E377" s="37" t="n">
        <v>6301</v>
      </c>
      <c r="F377" s="25" t="inlineStr">
        <is>
          <t>mm</t>
        </is>
      </c>
      <c r="G377" s="38" t="n">
        <f>IF(COUNTBLANK(E377)&gt;0,"",E377)</f>
        <v>6301</v>
      </c>
      <c r="H377" s="39" t="n">
        <f>IF(COUNTBLANK(G377)&gt;0,"",G377/1000)</f>
        <v>6.301</v>
      </c>
      <c r="I377" s="18" t="inlineStr">
        <is>
          <t>Ghi trên bản vẽ / Explicit</t>
        </is>
      </c>
      <c r="J377" s="18" t="inlineStr">
        <is>
          <t>Tờ 5
File 7</t>
        </is>
      </c>
      <c r="K377" s="18" t="inlineStr">
        <is>
          <t>left side of central sanctuary opening</t>
        </is>
      </c>
      <c r="L377" s="18" t="inlineStr">
        <is>
          <t>6301</t>
        </is>
      </c>
      <c r="M377" s="18" t="str"/>
    </row>
    <row r="378" ht="48" customHeight="1">
      <c r="A378" s="18" t="inlineStr">
        <is>
          <t>S073</t>
        </is>
      </c>
      <c r="B378" s="18" t="inlineStr">
        <is>
          <t>Vòm gian bên cung thánh
Sanctuary side-aisle arch</t>
        </is>
      </c>
      <c r="C378" s="18" t="inlineStr">
        <is>
          <t>arch_crown_relative_height</t>
        </is>
      </c>
      <c r="D378" s="18" t="inlineStr">
        <is>
          <t>Model: Y
Source: Y
horizontal intermediate line → side arch crown</t>
        </is>
      </c>
      <c r="E378" s="37" t="n">
        <v>4462</v>
      </c>
      <c r="F378" s="25" t="inlineStr">
        <is>
          <t>mm</t>
        </is>
      </c>
      <c r="G378" s="38" t="n">
        <f>IF(COUNTBLANK(E378)&gt;0,"",E378)</f>
        <v>4462</v>
      </c>
      <c r="H378" s="39" t="n">
        <f>IF(COUNTBLANK(G378)&gt;0,"",G378/1000)</f>
        <v>4.462</v>
      </c>
      <c r="I378" s="18" t="inlineStr">
        <is>
          <t>Ghi trên bản vẽ / Explicit</t>
        </is>
      </c>
      <c r="J378" s="18" t="inlineStr">
        <is>
          <t>Tờ 5
File 7</t>
        </is>
      </c>
      <c r="K378" s="18" t="inlineStr">
        <is>
          <t>left sanctuary side-aisle arch</t>
        </is>
      </c>
      <c r="L378" s="18" t="inlineStr">
        <is>
          <t>4462</t>
        </is>
      </c>
      <c r="M378" s="18" t="str"/>
    </row>
    <row r="379" ht="48" customHeight="1">
      <c r="A379" s="18" t="inlineStr">
        <is>
          <t>S074</t>
        </is>
      </c>
      <c r="B379" s="18" t="inlineStr">
        <is>
          <t>Cửa sau cung thánh
Sanctuary rear side opening</t>
        </is>
      </c>
      <c r="C379" s="18" t="inlineStr">
        <is>
          <t>rectangular_opening_height</t>
        </is>
      </c>
      <c r="D379" s="18" t="inlineStr">
        <is>
          <t>Model: Y
Source: Y
raised aisle/platform → rectangular opening head</t>
        </is>
      </c>
      <c r="E379" s="37" t="n">
        <v>2554</v>
      </c>
      <c r="F379" s="25" t="inlineStr">
        <is>
          <t>mm</t>
        </is>
      </c>
      <c r="G379" s="38" t="n">
        <f>IF(COUNTBLANK(E379)&gt;0,"",E379)</f>
        <v>2554</v>
      </c>
      <c r="H379" s="39" t="n">
        <f>IF(COUNTBLANK(G379)&gt;0,"",G379/1000)</f>
        <v>2.554</v>
      </c>
      <c r="I379" s="18" t="inlineStr">
        <is>
          <t>Ghi trên bản vẽ / Explicit</t>
        </is>
      </c>
      <c r="J379" s="18" t="inlineStr">
        <is>
          <t>Tờ 5
File 7</t>
        </is>
      </c>
      <c r="K379" s="18" t="inlineStr">
        <is>
          <t>left side aisle opening</t>
        </is>
      </c>
      <c r="L379" s="18" t="inlineStr">
        <is>
          <t>2554</t>
        </is>
      </c>
      <c r="M379" s="18" t="str"/>
    </row>
    <row r="380" ht="48" customHeight="1">
      <c r="A380" s="18" t="inlineStr">
        <is>
          <t>S075</t>
        </is>
      </c>
      <c r="B380" s="18" t="inlineStr">
        <is>
          <t>Khoảng trên cửa sau
Gap above sanctuary rear opening</t>
        </is>
      </c>
      <c r="C380" s="18" t="inlineStr">
        <is>
          <t>vertical_clearance</t>
        </is>
      </c>
      <c r="D380" s="18" t="inlineStr">
        <is>
          <t>Model: Y
Source: Y
rectangular opening head → horizontal intermediate line</t>
        </is>
      </c>
      <c r="E380" s="37" t="n">
        <v>396</v>
      </c>
      <c r="F380" s="25" t="inlineStr">
        <is>
          <t>mm</t>
        </is>
      </c>
      <c r="G380" s="38" t="n">
        <f>IF(COUNTBLANK(E380)&gt;0,"",E380)</f>
        <v>396</v>
      </c>
      <c r="H380" s="39" t="n">
        <f>IF(COUNTBLANK(G380)&gt;0,"",G380/1000)</f>
        <v>0.396</v>
      </c>
      <c r="I380" s="18" t="inlineStr">
        <is>
          <t>Ghi trên bản vẽ / Explicit</t>
        </is>
      </c>
      <c r="J380" s="18" t="inlineStr">
        <is>
          <t>Tờ 5
File 7</t>
        </is>
      </c>
      <c r="K380" s="18" t="inlineStr">
        <is>
          <t>left side aisle opening</t>
        </is>
      </c>
      <c r="L380" s="18" t="inlineStr">
        <is>
          <t>396</t>
        </is>
      </c>
      <c r="M380" s="18" t="str"/>
    </row>
    <row r="381" ht="48" customHeight="1">
      <c r="A381" s="18" t="inlineStr">
        <is>
          <t>S076</t>
        </is>
      </c>
      <c r="B381" s="18" t="inlineStr">
        <is>
          <t>Đường tham chiếu gian bên
Side-aisle reference height</t>
        </is>
      </c>
      <c r="C381" s="18" t="inlineStr">
        <is>
          <t>reference_height</t>
        </is>
      </c>
      <c r="D381" s="18" t="inlineStr">
        <is>
          <t>Model: Y
Source: Y
raised aisle/platform → horizontal intermediate line</t>
        </is>
      </c>
      <c r="E381" s="37" t="n">
        <v>2951</v>
      </c>
      <c r="F381" s="25" t="inlineStr">
        <is>
          <t>mm</t>
        </is>
      </c>
      <c r="G381" s="38" t="n">
        <f>IF(COUNTBLANK(E381)&gt;0,"",E381)</f>
        <v>2951</v>
      </c>
      <c r="H381" s="39" t="n">
        <f>IF(COUNTBLANK(G381)&gt;0,"",G381/1000)</f>
        <v>2.951</v>
      </c>
      <c r="I381" s="18" t="inlineStr">
        <is>
          <t>Ghi trên bản vẽ / Explicit</t>
        </is>
      </c>
      <c r="J381" s="18" t="inlineStr">
        <is>
          <t>Tờ 5
File 7</t>
        </is>
      </c>
      <c r="K381" s="18" t="inlineStr">
        <is>
          <t>right sanctuary side aisle</t>
        </is>
      </c>
      <c r="L381" s="18" t="inlineStr">
        <is>
          <t>2951</t>
        </is>
      </c>
      <c r="M381" s="18" t="str"/>
    </row>
    <row r="382" ht="48" customHeight="1">
      <c r="A382" s="18" t="inlineStr">
        <is>
          <t>S077</t>
        </is>
      </c>
      <c r="B382" s="18" t="inlineStr">
        <is>
          <t>Đà chân tường hiên
Exterior wall footing/drop</t>
        </is>
      </c>
      <c r="C382" s="18" t="inlineStr">
        <is>
          <t>upper_foundation_drop</t>
        </is>
      </c>
      <c r="D382" s="18" t="inlineStr">
        <is>
          <t>Model: Y
Source: Y
finished floor → foundation change reference</t>
        </is>
      </c>
      <c r="E382" s="37" t="n">
        <v>380</v>
      </c>
      <c r="F382" s="25" t="inlineStr">
        <is>
          <t>mm</t>
        </is>
      </c>
      <c r="G382" s="38" t="n">
        <f>IF(COUNTBLANK(E382)&gt;0,"",E382)</f>
        <v>380</v>
      </c>
      <c r="H382" s="39" t="n">
        <f>IF(COUNTBLANK(G382)&gt;0,"",G382/1000)</f>
        <v>0.38</v>
      </c>
      <c r="I382" s="18" t="inlineStr">
        <is>
          <t>Ghi trên bản vẽ / Explicit</t>
        </is>
      </c>
      <c r="J382" s="18" t="inlineStr">
        <is>
          <t>Tờ 5
File 7</t>
        </is>
      </c>
      <c r="K382" s="18" t="inlineStr">
        <is>
          <t>far right below floor</t>
        </is>
      </c>
      <c r="L382" s="18" t="inlineStr">
        <is>
          <t>380</t>
        </is>
      </c>
      <c r="M382" s="18" t="str"/>
    </row>
    <row r="383" ht="48" customHeight="1">
      <c r="A383" s="18" t="inlineStr">
        <is>
          <t>S078</t>
        </is>
      </c>
      <c r="B383" s="18" t="inlineStr">
        <is>
          <t>Đế tường hiên
Exterior foundation base</t>
        </is>
      </c>
      <c r="C383" s="18" t="inlineStr">
        <is>
          <t>lower_foundation_height</t>
        </is>
      </c>
      <c r="D383" s="18" t="inlineStr">
        <is>
          <t>Model: Y
Source: Y
courtyard baseline → foundation change reference</t>
        </is>
      </c>
      <c r="E383" s="37" t="n">
        <v>1700</v>
      </c>
      <c r="F383" s="25" t="inlineStr">
        <is>
          <t>mm</t>
        </is>
      </c>
      <c r="G383" s="38" t="n">
        <f>IF(COUNTBLANK(E383)&gt;0,"",E383)</f>
        <v>1700</v>
      </c>
      <c r="H383" s="39" t="n">
        <f>IF(COUNTBLANK(G383)&gt;0,"",G383/1000)</f>
        <v>1.7</v>
      </c>
      <c r="I383" s="18" t="inlineStr">
        <is>
          <t>Ghi trên bản vẽ / Explicit</t>
        </is>
      </c>
      <c r="J383" s="18" t="inlineStr">
        <is>
          <t>Tờ 5
File 7</t>
        </is>
      </c>
      <c r="K383" s="18" t="inlineStr">
        <is>
          <t>far right foundation</t>
        </is>
      </c>
      <c r="L383" s="18" t="inlineStr">
        <is>
          <t>1700</t>
        </is>
      </c>
      <c r="M383" s="18" t="str"/>
    </row>
    <row r="384" ht="48" customHeight="1">
      <c r="A384" s="18" t="inlineStr">
        <is>
          <t>S079</t>
        </is>
      </c>
      <c r="B384" s="18" t="inlineStr">
        <is>
          <t>Cửa sau cung thánh
Sanctuary rear side opening</t>
        </is>
      </c>
      <c r="C384" s="18" t="inlineStr">
        <is>
          <t>opening_width</t>
        </is>
      </c>
      <c r="D384" s="18" t="inlineStr">
        <is>
          <t>Model: Z
Source: X
opening left jamb → opening right jamb</t>
        </is>
      </c>
      <c r="E384" s="37" t="n">
        <v>1200</v>
      </c>
      <c r="F384" s="25" t="inlineStr">
        <is>
          <t>mm</t>
        </is>
      </c>
      <c r="G384" s="38" t="n">
        <f>IF(COUNTBLANK(E384)&gt;0,"",E384)</f>
        <v>1200</v>
      </c>
      <c r="H384" s="39" t="n">
        <f>IF(COUNTBLANK(G384)&gt;0,"",G384/1000)</f>
        <v>1.2</v>
      </c>
      <c r="I384" s="18" t="inlineStr">
        <is>
          <t>Ghi trên bản vẽ / Explicit</t>
        </is>
      </c>
      <c r="J384" s="18" t="inlineStr">
        <is>
          <t>Tờ 5
File 7</t>
        </is>
      </c>
      <c r="K384" s="18" t="inlineStr">
        <is>
          <t>right side aisle opening at floor</t>
        </is>
      </c>
      <c r="L384" s="18" t="inlineStr">
        <is>
          <t>1200</t>
        </is>
      </c>
      <c r="M384" s="18" t="inlineStr">
        <is>
          <t>The opening is drawn as a plain rectangle; frame depth and door construction are not dimensioned.</t>
        </is>
      </c>
    </row>
    <row r="385" ht="36" customHeight="1">
      <c r="A385" s="18" t="inlineStr">
        <is>
          <t>S080</t>
        </is>
      </c>
      <c r="B385" s="18" t="inlineStr">
        <is>
          <t>Sàn bê tông
Concrete floor</t>
        </is>
      </c>
      <c r="C385" s="18" t="inlineStr">
        <is>
          <t>floor_thickness</t>
        </is>
      </c>
      <c r="D385" s="18" t="inlineStr">
        <is>
          <t>Model: Y
Source: Y
floor slab bottom → floor slab top</t>
        </is>
      </c>
      <c r="E385" s="37" t="n">
        <v>80</v>
      </c>
      <c r="F385" s="25" t="inlineStr">
        <is>
          <t>mm</t>
        </is>
      </c>
      <c r="G385" s="38" t="n">
        <f>IF(COUNTBLANK(E385)&gt;0,"",E385)</f>
        <v>80</v>
      </c>
      <c r="H385" s="39" t="n">
        <f>IF(COUNTBLANK(G385)&gt;0,"",G385/1000)</f>
        <v>0.08</v>
      </c>
      <c r="I385" s="18" t="inlineStr">
        <is>
          <t>Ghi trên bản vẽ / Explicit</t>
        </is>
      </c>
      <c r="J385" s="18" t="inlineStr">
        <is>
          <t>Tờ 5
File 7</t>
        </is>
      </c>
      <c r="K385" s="18" t="inlineStr">
        <is>
          <t>right veranda floor local dimension</t>
        </is>
      </c>
      <c r="L385" s="18" t="inlineStr">
        <is>
          <t>80</t>
        </is>
      </c>
      <c r="M385" s="18" t="str"/>
    </row>
    <row r="386" ht="48" customHeight="1">
      <c r="A386" s="18" t="inlineStr">
        <is>
          <t>S081</t>
        </is>
      </c>
      <c r="B386" s="18" t="inlineStr">
        <is>
          <t>Mái hiên BTCT
Reinforced concrete veranda roof</t>
        </is>
      </c>
      <c r="C386" s="18" t="inlineStr">
        <is>
          <t>concrete_thickness</t>
        </is>
      </c>
      <c r="D386" s="18" t="inlineStr">
        <is>
          <t>Model: LOCAL_NORMAL
Source: NORMAL
concrete lower face → concrete upper face</t>
        </is>
      </c>
      <c r="E386" s="37" t="n">
        <v>130</v>
      </c>
      <c r="F386" s="25" t="inlineStr">
        <is>
          <t>mm</t>
        </is>
      </c>
      <c r="G386" s="38" t="n">
        <f>IF(COUNTBLANK(E386)&gt;0,"",E386)</f>
        <v>130</v>
      </c>
      <c r="H386" s="39" t="n">
        <f>IF(COUNTBLANK(G386)&gt;0,"",G386/1000)</f>
        <v>0.13</v>
      </c>
      <c r="I386" s="18" t="inlineStr">
        <is>
          <t>Ghi trên bản vẽ / Explicit</t>
        </is>
      </c>
      <c r="J386" s="18" t="inlineStr">
        <is>
          <t>Tờ 5
File 7</t>
        </is>
      </c>
      <c r="K386" s="18" t="inlineStr">
        <is>
          <t>left and right veranda material note</t>
        </is>
      </c>
      <c r="L386" s="18" t="inlineStr">
        <is>
          <t>bt ct đổ dày 13cm</t>
        </is>
      </c>
      <c r="M386" s="18" t="inlineStr">
        <is>
          <t>13 cm explicitly written; normalized to130 mm.</t>
        </is>
      </c>
    </row>
    <row r="387" ht="36" customHeight="1">
      <c r="A387" s="18" t="inlineStr">
        <is>
          <t>S082</t>
        </is>
      </c>
      <c r="B387" s="18" t="inlineStr">
        <is>
          <t>Một gian cửa sổ ngoài
Exterior double-window bay</t>
        </is>
      </c>
      <c r="C387" s="18" t="inlineStr">
        <is>
          <t>bay_width</t>
        </is>
      </c>
      <c r="D387" s="18" t="inlineStr">
        <is>
          <t>Model: X
Source: Z
axis3 → axis4</t>
        </is>
      </c>
      <c r="E387" s="37" t="n">
        <v>4500</v>
      </c>
      <c r="F387" s="25" t="inlineStr">
        <is>
          <t>mm</t>
        </is>
      </c>
      <c r="G387" s="38" t="n">
        <f>IF(COUNTBLANK(E387)&gt;0,"",E387)</f>
        <v>4500</v>
      </c>
      <c r="H387" s="39" t="n">
        <f>IF(COUNTBLANK(G387)&gt;0,"",G387/1000)</f>
        <v>4.5</v>
      </c>
      <c r="I387" s="18" t="inlineStr">
        <is>
          <t>Ghi trên bản vẽ / Explicit</t>
        </is>
      </c>
      <c r="J387" s="18" t="inlineStr">
        <is>
          <t>Tờ 12
File 8</t>
        </is>
      </c>
      <c r="K387" s="18" t="inlineStr">
        <is>
          <t>left drawing bottom horizontal chain</t>
        </is>
      </c>
      <c r="L387" s="18" t="inlineStr">
        <is>
          <t>4500</t>
        </is>
      </c>
      <c r="M387" s="18" t="str"/>
    </row>
    <row r="388" ht="36" customHeight="1">
      <c r="A388" s="18" t="inlineStr">
        <is>
          <t>S083</t>
        </is>
      </c>
      <c r="B388" s="18" t="inlineStr">
        <is>
          <t>Một gian cửa sổ ngoài
Exterior double-window bay</t>
        </is>
      </c>
      <c r="C388" s="18" t="inlineStr">
        <is>
          <t>left_margin</t>
        </is>
      </c>
      <c r="D388" s="18" t="inlineStr">
        <is>
          <t>Model: X
Source: Z
axis3 → left opening left jamb</t>
        </is>
      </c>
      <c r="E388" s="37" t="n">
        <v>750</v>
      </c>
      <c r="F388" s="25" t="inlineStr">
        <is>
          <t>mm</t>
        </is>
      </c>
      <c r="G388" s="38" t="n">
        <f>IF(COUNTBLANK(E388)&gt;0,"",E388)</f>
        <v>750</v>
      </c>
      <c r="H388" s="39" t="n">
        <f>IF(COUNTBLANK(G388)&gt;0,"",G388/1000)</f>
        <v>0.75</v>
      </c>
      <c r="I388" s="18" t="inlineStr">
        <is>
          <t>Ghi trên bản vẽ / Explicit</t>
        </is>
      </c>
      <c r="J388" s="18" t="inlineStr">
        <is>
          <t>Tờ 12
File 8</t>
        </is>
      </c>
      <c r="K388" s="18" t="inlineStr">
        <is>
          <t>left drawing bottom horizontal chain</t>
        </is>
      </c>
      <c r="L388" s="18" t="inlineStr">
        <is>
          <t>750</t>
        </is>
      </c>
      <c r="M388" s="18" t="str"/>
    </row>
    <row r="389" ht="48" customHeight="1">
      <c r="A389" s="18" t="inlineStr">
        <is>
          <t>S084</t>
        </is>
      </c>
      <c r="B389" s="18" t="inlineStr">
        <is>
          <t>Một gian cửa sổ ngoài
Exterior double-window bay</t>
        </is>
      </c>
      <c r="C389" s="18" t="inlineStr">
        <is>
          <t>left_opening_width</t>
        </is>
      </c>
      <c r="D389" s="18" t="inlineStr">
        <is>
          <t>Model: X
Source: Z
left opening left jamb → left opening right jamb</t>
        </is>
      </c>
      <c r="E389" s="37" t="n">
        <v>1000</v>
      </c>
      <c r="F389" s="25" t="inlineStr">
        <is>
          <t>mm</t>
        </is>
      </c>
      <c r="G389" s="38" t="n">
        <f>IF(COUNTBLANK(E389)&gt;0,"",E389)</f>
        <v>1000</v>
      </c>
      <c r="H389" s="39" t="n">
        <f>IF(COUNTBLANK(G389)&gt;0,"",G389/1000)</f>
        <v>1</v>
      </c>
      <c r="I389" s="18" t="inlineStr">
        <is>
          <t>Ghi trên bản vẽ / Explicit</t>
        </is>
      </c>
      <c r="J389" s="18" t="inlineStr">
        <is>
          <t>Tờ 12
File 8</t>
        </is>
      </c>
      <c r="K389" s="18" t="inlineStr">
        <is>
          <t>left drawing bottom horizontal chain</t>
        </is>
      </c>
      <c r="L389" s="18" t="inlineStr">
        <is>
          <t>1000</t>
        </is>
      </c>
      <c r="M389" s="18" t="str"/>
    </row>
    <row r="390" ht="48" customHeight="1">
      <c r="A390" s="18" t="inlineStr">
        <is>
          <t>S085</t>
        </is>
      </c>
      <c r="B390" s="18" t="inlineStr">
        <is>
          <t>Một gian cửa sổ ngoài
Exterior double-window bay</t>
        </is>
      </c>
      <c r="C390" s="18" t="inlineStr">
        <is>
          <t>between_openings</t>
        </is>
      </c>
      <c r="D390" s="18" t="inlineStr">
        <is>
          <t>Model: X
Source: Z
left opening right jamb → right opening left jamb</t>
        </is>
      </c>
      <c r="E390" s="37" t="n">
        <v>1000</v>
      </c>
      <c r="F390" s="25" t="inlineStr">
        <is>
          <t>mm</t>
        </is>
      </c>
      <c r="G390" s="38" t="n">
        <f>IF(COUNTBLANK(E390)&gt;0,"",E390)</f>
        <v>1000</v>
      </c>
      <c r="H390" s="39" t="n">
        <f>IF(COUNTBLANK(G390)&gt;0,"",G390/1000)</f>
        <v>1</v>
      </c>
      <c r="I390" s="18" t="inlineStr">
        <is>
          <t>Ghi trên bản vẽ / Explicit</t>
        </is>
      </c>
      <c r="J390" s="18" t="inlineStr">
        <is>
          <t>Tờ 12
File 8</t>
        </is>
      </c>
      <c r="K390" s="18" t="inlineStr">
        <is>
          <t>left drawing bottom horizontal chain</t>
        </is>
      </c>
      <c r="L390" s="18" t="inlineStr">
        <is>
          <t>1000</t>
        </is>
      </c>
      <c r="M390" s="18" t="str"/>
    </row>
    <row r="391" ht="48" customHeight="1">
      <c r="A391" s="18" t="inlineStr">
        <is>
          <t>S086</t>
        </is>
      </c>
      <c r="B391" s="18" t="inlineStr">
        <is>
          <t>Một gian cửa sổ ngoài
Exterior double-window bay</t>
        </is>
      </c>
      <c r="C391" s="18" t="inlineStr">
        <is>
          <t>right_opening_width</t>
        </is>
      </c>
      <c r="D391" s="18" t="inlineStr">
        <is>
          <t>Model: X
Source: Z
right opening left jamb → right opening right jamb</t>
        </is>
      </c>
      <c r="E391" s="37" t="n">
        <v>1000</v>
      </c>
      <c r="F391" s="25" t="inlineStr">
        <is>
          <t>mm</t>
        </is>
      </c>
      <c r="G391" s="38" t="n">
        <f>IF(COUNTBLANK(E391)&gt;0,"",E391)</f>
        <v>1000</v>
      </c>
      <c r="H391" s="39" t="n">
        <f>IF(COUNTBLANK(G391)&gt;0,"",G391/1000)</f>
        <v>1</v>
      </c>
      <c r="I391" s="18" t="inlineStr">
        <is>
          <t>Ghi trên bản vẽ / Explicit</t>
        </is>
      </c>
      <c r="J391" s="18" t="inlineStr">
        <is>
          <t>Tờ 12
File 8</t>
        </is>
      </c>
      <c r="K391" s="18" t="inlineStr">
        <is>
          <t>left drawing bottom horizontal chain</t>
        </is>
      </c>
      <c r="L391" s="18" t="inlineStr">
        <is>
          <t>1000</t>
        </is>
      </c>
      <c r="M391" s="18" t="str"/>
    </row>
    <row r="392" ht="36" customHeight="1">
      <c r="A392" s="18" t="inlineStr">
        <is>
          <t>S087</t>
        </is>
      </c>
      <c r="B392" s="18" t="inlineStr">
        <is>
          <t>Một gian cửa sổ ngoài
Exterior double-window bay</t>
        </is>
      </c>
      <c r="C392" s="18" t="inlineStr">
        <is>
          <t>right_margin</t>
        </is>
      </c>
      <c r="D392" s="18" t="inlineStr">
        <is>
          <t>Model: X
Source: Z
right opening right jamb → axis4</t>
        </is>
      </c>
      <c r="E392" s="37" t="n">
        <v>750</v>
      </c>
      <c r="F392" s="25" t="inlineStr">
        <is>
          <t>mm</t>
        </is>
      </c>
      <c r="G392" s="38" t="n">
        <f>IF(COUNTBLANK(E392)&gt;0,"",E392)</f>
        <v>750</v>
      </c>
      <c r="H392" s="39" t="n">
        <f>IF(COUNTBLANK(G392)&gt;0,"",G392/1000)</f>
        <v>0.75</v>
      </c>
      <c r="I392" s="18" t="inlineStr">
        <is>
          <t>Ghi trên bản vẽ / Explicit</t>
        </is>
      </c>
      <c r="J392" s="18" t="inlineStr">
        <is>
          <t>Tờ 12
File 8</t>
        </is>
      </c>
      <c r="K392" s="18" t="inlineStr">
        <is>
          <t>left drawing bottom horizontal chain</t>
        </is>
      </c>
      <c r="L392" s="18" t="inlineStr">
        <is>
          <t>750</t>
        </is>
      </c>
      <c r="M392" s="18" t="str"/>
    </row>
    <row r="393" ht="36" customHeight="1">
      <c r="A393" s="18" t="inlineStr">
        <is>
          <t>S088</t>
        </is>
      </c>
      <c r="B393" s="18" t="inlineStr">
        <is>
          <t>Cột và đỉnh trang trí ngoài
Exterior pilaster and finial</t>
        </is>
      </c>
      <c r="C393" s="18" t="inlineStr">
        <is>
          <t>cornice_height</t>
        </is>
      </c>
      <c r="D393" s="18" t="inlineStr">
        <is>
          <t>Model: Y
Source: Y
floor → main exterior cornice top</t>
        </is>
      </c>
      <c r="E393" s="37" t="n">
        <v>6324</v>
      </c>
      <c r="F393" s="25" t="inlineStr">
        <is>
          <t>mm</t>
        </is>
      </c>
      <c r="G393" s="38" t="n">
        <f>IF(COUNTBLANK(E393)&gt;0,"",E393)</f>
        <v>6324</v>
      </c>
      <c r="H393" s="39" t="n">
        <f>IF(COUNTBLANK(G393)&gt;0,"",G393/1000)</f>
        <v>6.324</v>
      </c>
      <c r="I393" s="18" t="inlineStr">
        <is>
          <t>Ghi trên bản vẽ / Explicit</t>
        </is>
      </c>
      <c r="J393" s="18" t="inlineStr">
        <is>
          <t>Tờ 12
File 8</t>
        </is>
      </c>
      <c r="K393" s="18" t="inlineStr">
        <is>
          <t>left drawing far left vertical chain</t>
        </is>
      </c>
      <c r="L393" s="18" t="inlineStr">
        <is>
          <t>6324</t>
        </is>
      </c>
      <c r="M393" s="18" t="inlineStr">
        <is>
          <t>6324 conflicts by1 mm with detailed sum6325 and section level+6.325 m.</t>
        </is>
      </c>
    </row>
    <row r="394" ht="48" customHeight="1">
      <c r="A394" s="18" t="inlineStr">
        <is>
          <t>S089</t>
        </is>
      </c>
      <c r="B394" s="18" t="inlineStr">
        <is>
          <t>Cột và đỉnh trang trí ngoài
Exterior pilaster and finial</t>
        </is>
      </c>
      <c r="C394" s="18" t="inlineStr">
        <is>
          <t>pinnacle_lower_segment</t>
        </is>
      </c>
      <c r="D394" s="18" t="inlineStr">
        <is>
          <t>Model: Y
Source: Y
main exterior cornice top → pinnacle lower-head/top railing reference</t>
        </is>
      </c>
      <c r="E394" s="37" t="n">
        <v>750</v>
      </c>
      <c r="F394" s="25" t="inlineStr">
        <is>
          <t>mm</t>
        </is>
      </c>
      <c r="G394" s="38" t="n">
        <f>IF(COUNTBLANK(E394)&gt;0,"",E394)</f>
        <v>750</v>
      </c>
      <c r="H394" s="39" t="n">
        <f>IF(COUNTBLANK(G394)&gt;0,"",G394/1000)</f>
        <v>0.75</v>
      </c>
      <c r="I394" s="18" t="inlineStr">
        <is>
          <t>Ghi trên bản vẽ / Explicit</t>
        </is>
      </c>
      <c r="J394" s="18" t="inlineStr">
        <is>
          <t>Tờ 12
File 8</t>
        </is>
      </c>
      <c r="K394" s="18" t="inlineStr">
        <is>
          <t>left drawing far left vertical chain</t>
        </is>
      </c>
      <c r="L394" s="18" t="inlineStr">
        <is>
          <t>750</t>
        </is>
      </c>
      <c r="M394" s="18" t="str"/>
    </row>
    <row r="395" ht="48" customHeight="1">
      <c r="A395" s="18" t="inlineStr">
        <is>
          <t>S090</t>
        </is>
      </c>
      <c r="B395" s="18" t="inlineStr">
        <is>
          <t>Cột và đỉnh trang trí ngoài
Exterior pilaster and finial</t>
        </is>
      </c>
      <c r="C395" s="18" t="inlineStr">
        <is>
          <t>pinnacle_upper_segment</t>
        </is>
      </c>
      <c r="D395" s="18" t="inlineStr">
        <is>
          <t>Model: Y
Source: Y
pinnacle lower-head/top railing reference → finial tip</t>
        </is>
      </c>
      <c r="E395" s="37" t="n">
        <v>952</v>
      </c>
      <c r="F395" s="25" t="inlineStr">
        <is>
          <t>mm</t>
        </is>
      </c>
      <c r="G395" s="38" t="n">
        <f>IF(COUNTBLANK(E395)&gt;0,"",E395)</f>
        <v>952</v>
      </c>
      <c r="H395" s="39" t="n">
        <f>IF(COUNTBLANK(G395)&gt;0,"",G395/1000)</f>
        <v>0.952</v>
      </c>
      <c r="I395" s="18" t="inlineStr">
        <is>
          <t>Ghi trên bản vẽ / Explicit</t>
        </is>
      </c>
      <c r="J395" s="18" t="inlineStr">
        <is>
          <t>Tờ 12
File 8</t>
        </is>
      </c>
      <c r="K395" s="18" t="inlineStr">
        <is>
          <t>left drawing far left vertical chain</t>
        </is>
      </c>
      <c r="L395" s="18" t="inlineStr">
        <is>
          <t>952</t>
        </is>
      </c>
      <c r="M395" s="18" t="str"/>
    </row>
    <row r="396" ht="36" customHeight="1">
      <c r="A396" s="18" t="inlineStr">
        <is>
          <t>S091</t>
        </is>
      </c>
      <c r="B396" s="18" t="inlineStr">
        <is>
          <t>Chi tiết cửa sổ ngoài
Exterior window and ornament</t>
        </is>
      </c>
      <c r="C396" s="18" t="inlineStr">
        <is>
          <t>sill_height</t>
        </is>
      </c>
      <c r="D396" s="18" t="inlineStr">
        <is>
          <t>Model: Y
Source: Y
floor → window sill</t>
        </is>
      </c>
      <c r="E396" s="37" t="n">
        <v>850</v>
      </c>
      <c r="F396" s="25" t="inlineStr">
        <is>
          <t>mm</t>
        </is>
      </c>
      <c r="G396" s="38" t="n">
        <f>IF(COUNTBLANK(E396)&gt;0,"",E396)</f>
        <v>850</v>
      </c>
      <c r="H396" s="39" t="n">
        <f>IF(COUNTBLANK(G396)&gt;0,"",G396/1000)</f>
        <v>0.85</v>
      </c>
      <c r="I396" s="18" t="inlineStr">
        <is>
          <t>Ghi trên bản vẽ / Explicit</t>
        </is>
      </c>
      <c r="J396" s="18" t="inlineStr">
        <is>
          <t>Tờ 12
File 8</t>
        </is>
      </c>
      <c r="K396" s="18" t="inlineStr">
        <is>
          <t>left drawing center vertical detail chain</t>
        </is>
      </c>
      <c r="L396" s="18" t="inlineStr">
        <is>
          <t>850</t>
        </is>
      </c>
      <c r="M396" s="18" t="str"/>
    </row>
    <row r="397" ht="48" customHeight="1">
      <c r="A397" s="18" t="inlineStr">
        <is>
          <t>S092</t>
        </is>
      </c>
      <c r="B397" s="18" t="inlineStr">
        <is>
          <t>Chi tiết cửa sổ ngoài
Exterior window and ornament</t>
        </is>
      </c>
      <c r="C397" s="18" t="inlineStr">
        <is>
          <t>rectangular_opening_height</t>
        </is>
      </c>
      <c r="D397" s="18" t="inlineStr">
        <is>
          <t>Model: Y
Source: Y
window sill → rectangular opening head</t>
        </is>
      </c>
      <c r="E397" s="37" t="n">
        <v>2101</v>
      </c>
      <c r="F397" s="25" t="inlineStr">
        <is>
          <t>mm</t>
        </is>
      </c>
      <c r="G397" s="38" t="n">
        <f>IF(COUNTBLANK(E397)&gt;0,"",E397)</f>
        <v>2101</v>
      </c>
      <c r="H397" s="39" t="n">
        <f>IF(COUNTBLANK(G397)&gt;0,"",G397/1000)</f>
        <v>2.101</v>
      </c>
      <c r="I397" s="18" t="inlineStr">
        <is>
          <t>Ghi trên bản vẽ / Explicit</t>
        </is>
      </c>
      <c r="J397" s="18" t="inlineStr">
        <is>
          <t>Tờ 12
File 8</t>
        </is>
      </c>
      <c r="K397" s="18" t="inlineStr">
        <is>
          <t>left drawing center vertical detail chain</t>
        </is>
      </c>
      <c r="L397" s="18" t="inlineStr">
        <is>
          <t>2101</t>
        </is>
      </c>
      <c r="M397" s="18" t="str"/>
    </row>
    <row r="398" ht="48" customHeight="1">
      <c r="A398" s="18" t="inlineStr">
        <is>
          <t>S093</t>
        </is>
      </c>
      <c r="B398" s="18" t="inlineStr">
        <is>
          <t>Chi tiết cửa sổ ngoài
Exterior window and ornament</t>
        </is>
      </c>
      <c r="C398" s="18" t="inlineStr">
        <is>
          <t>arch_head_band</t>
        </is>
      </c>
      <c r="D398" s="18" t="inlineStr">
        <is>
          <t>Model: Y
Source: Y
rectangular opening head → arch spring</t>
        </is>
      </c>
      <c r="E398" s="37" t="n">
        <v>150</v>
      </c>
      <c r="F398" s="25" t="inlineStr">
        <is>
          <t>mm</t>
        </is>
      </c>
      <c r="G398" s="38" t="n">
        <f>IF(COUNTBLANK(E398)&gt;0,"",E398)</f>
        <v>150</v>
      </c>
      <c r="H398" s="39" t="n">
        <f>IF(COUNTBLANK(G398)&gt;0,"",G398/1000)</f>
        <v>0.15</v>
      </c>
      <c r="I398" s="18" t="inlineStr">
        <is>
          <t>Ghi trên bản vẽ / Explicit</t>
        </is>
      </c>
      <c r="J398" s="18" t="inlineStr">
        <is>
          <t>Tờ 12
File 8</t>
        </is>
      </c>
      <c r="K398" s="18" t="inlineStr">
        <is>
          <t>left drawing center vertical detail chain</t>
        </is>
      </c>
      <c r="L398" s="18" t="inlineStr">
        <is>
          <t>150</t>
        </is>
      </c>
      <c r="M398" s="18" t="str"/>
    </row>
    <row r="399" ht="36" customHeight="1">
      <c r="A399" s="18" t="inlineStr">
        <is>
          <t>S094</t>
        </is>
      </c>
      <c r="B399" s="18" t="inlineStr">
        <is>
          <t>Chi tiết cửa sổ ngoài
Exterior window and ornament</t>
        </is>
      </c>
      <c r="C399" s="18" t="inlineStr">
        <is>
          <t>arch_rise</t>
        </is>
      </c>
      <c r="D399" s="18" t="inlineStr">
        <is>
          <t>Model: Y
Source: Y
arch spring → inner arch crown</t>
        </is>
      </c>
      <c r="E399" s="37" t="n">
        <v>507</v>
      </c>
      <c r="F399" s="25" t="inlineStr">
        <is>
          <t>mm</t>
        </is>
      </c>
      <c r="G399" s="38" t="n">
        <f>IF(COUNTBLANK(E399)&gt;0,"",E399)</f>
        <v>507</v>
      </c>
      <c r="H399" s="39" t="n">
        <f>IF(COUNTBLANK(G399)&gt;0,"",G399/1000)</f>
        <v>0.507</v>
      </c>
      <c r="I399" s="18" t="inlineStr">
        <is>
          <t>Ghi trên bản vẽ / Explicit</t>
        </is>
      </c>
      <c r="J399" s="18" t="inlineStr">
        <is>
          <t>Tờ 12
File 8</t>
        </is>
      </c>
      <c r="K399" s="18" t="inlineStr">
        <is>
          <t>left drawing center vertical detail chain</t>
        </is>
      </c>
      <c r="L399" s="18" t="inlineStr">
        <is>
          <t>507</t>
        </is>
      </c>
      <c r="M399" s="18" t="str"/>
    </row>
    <row r="400" ht="48" customHeight="1">
      <c r="A400" s="18" t="inlineStr">
        <is>
          <t>S095</t>
        </is>
      </c>
      <c r="B400" s="18" t="inlineStr">
        <is>
          <t>Chi tiết cửa sổ ngoài
Exterior window and ornament</t>
        </is>
      </c>
      <c r="C400" s="18" t="inlineStr">
        <is>
          <t>arch_molding_height</t>
        </is>
      </c>
      <c r="D400" s="18" t="inlineStr">
        <is>
          <t>Model: Y
Source: Y
inner arch crown → outer arch molding crown</t>
        </is>
      </c>
      <c r="E400" s="37" t="n">
        <v>302</v>
      </c>
      <c r="F400" s="25" t="inlineStr">
        <is>
          <t>mm</t>
        </is>
      </c>
      <c r="G400" s="38" t="n">
        <f>IF(COUNTBLANK(E400)&gt;0,"",E400)</f>
        <v>302</v>
      </c>
      <c r="H400" s="39" t="n">
        <f>IF(COUNTBLANK(G400)&gt;0,"",G400/1000)</f>
        <v>0.302</v>
      </c>
      <c r="I400" s="18" t="inlineStr">
        <is>
          <t>Ghi trên bản vẽ / Explicit</t>
        </is>
      </c>
      <c r="J400" s="18" t="inlineStr">
        <is>
          <t>Tờ 12
File 8</t>
        </is>
      </c>
      <c r="K400" s="18" t="inlineStr">
        <is>
          <t>left drawing center vertical detail chain</t>
        </is>
      </c>
      <c r="L400" s="18" t="inlineStr">
        <is>
          <t>302</t>
        </is>
      </c>
      <c r="M400" s="18" t="str"/>
    </row>
    <row r="401" ht="60" customHeight="1">
      <c r="A401" s="18" t="inlineStr">
        <is>
          <t>S096</t>
        </is>
      </c>
      <c r="B401" s="18" t="inlineStr">
        <is>
          <t>Chi tiết cửa sổ ngoài
Exterior window and ornament</t>
        </is>
      </c>
      <c r="C401" s="18" t="inlineStr">
        <is>
          <t>roundel_vertical_reference_span</t>
        </is>
      </c>
      <c r="D401" s="18" t="inlineStr">
        <is>
          <t>Model: Y
Source: Y
outer arch molding crown/lower roundel reference → upper roundel reference</t>
        </is>
      </c>
      <c r="E401" s="37" t="n">
        <v>837</v>
      </c>
      <c r="F401" s="25" t="inlineStr">
        <is>
          <t>mm</t>
        </is>
      </c>
      <c r="G401" s="38" t="n">
        <f>IF(COUNTBLANK(E401)&gt;0,"",E401)</f>
        <v>837</v>
      </c>
      <c r="H401" s="39" t="n">
        <f>IF(COUNTBLANK(G401)&gt;0,"",G401/1000)</f>
        <v>0.837</v>
      </c>
      <c r="I401" s="18" t="inlineStr">
        <is>
          <t>Ghi trên bản vẽ / Explicit</t>
        </is>
      </c>
      <c r="J401" s="18" t="inlineStr">
        <is>
          <t>Tờ 12
File 8</t>
        </is>
      </c>
      <c r="K401" s="18" t="inlineStr">
        <is>
          <t>left drawing center vertical detail chain</t>
        </is>
      </c>
      <c r="L401" s="18" t="inlineStr">
        <is>
          <t>837</t>
        </is>
      </c>
      <c r="M401" s="18" t="inlineStr">
        <is>
          <t>837 spans the inner roundel/rose reference lines; no diameter symbol or ring thickness is printed. Do not assume this is the outermost rosette diameter.</t>
        </is>
      </c>
    </row>
    <row r="402" ht="48" customHeight="1">
      <c r="A402" s="18" t="inlineStr">
        <is>
          <t>S097</t>
        </is>
      </c>
      <c r="B402" s="18" t="inlineStr">
        <is>
          <t>Chi tiết cửa sổ ngoài
Exterior window and ornament</t>
        </is>
      </c>
      <c r="C402" s="18" t="inlineStr">
        <is>
          <t>gap_to_corbel</t>
        </is>
      </c>
      <c r="D402" s="18" t="inlineStr">
        <is>
          <t>Model: Y
Source: Y
upper roundel reference → corbel bottom</t>
        </is>
      </c>
      <c r="E402" s="37" t="n">
        <v>288</v>
      </c>
      <c r="F402" s="25" t="inlineStr">
        <is>
          <t>mm</t>
        </is>
      </c>
      <c r="G402" s="38" t="n">
        <f>IF(COUNTBLANK(E402)&gt;0,"",E402)</f>
        <v>288</v>
      </c>
      <c r="H402" s="39" t="n">
        <f>IF(COUNTBLANK(G402)&gt;0,"",G402/1000)</f>
        <v>0.288</v>
      </c>
      <c r="I402" s="18" t="inlineStr">
        <is>
          <t>Ghi trên bản vẽ / Explicit</t>
        </is>
      </c>
      <c r="J402" s="18" t="inlineStr">
        <is>
          <t>Tờ 12
File 8</t>
        </is>
      </c>
      <c r="K402" s="18" t="inlineStr">
        <is>
          <t>left drawing center vertical detail chain</t>
        </is>
      </c>
      <c r="L402" s="18" t="inlineStr">
        <is>
          <t>288</t>
        </is>
      </c>
      <c r="M402" s="18" t="str"/>
    </row>
    <row r="403" ht="36" customHeight="1">
      <c r="A403" s="18" t="inlineStr">
        <is>
          <t>S098</t>
        </is>
      </c>
      <c r="B403" s="18" t="inlineStr">
        <is>
          <t>Chi tiết cửa sổ ngoài
Exterior window and ornament</t>
        </is>
      </c>
      <c r="C403" s="18" t="inlineStr">
        <is>
          <t>corbel_height</t>
        </is>
      </c>
      <c r="D403" s="18" t="inlineStr">
        <is>
          <t>Model: Y
Source: Y
corbel bottom → corbel top</t>
        </is>
      </c>
      <c r="E403" s="37" t="n">
        <v>343</v>
      </c>
      <c r="F403" s="25" t="inlineStr">
        <is>
          <t>mm</t>
        </is>
      </c>
      <c r="G403" s="38" t="n">
        <f>IF(COUNTBLANK(E403)&gt;0,"",E403)</f>
        <v>343</v>
      </c>
      <c r="H403" s="39" t="n">
        <f>IF(COUNTBLANK(G403)&gt;0,"",G403/1000)</f>
        <v>0.343</v>
      </c>
      <c r="I403" s="18" t="inlineStr">
        <is>
          <t>Ghi trên bản vẽ / Explicit</t>
        </is>
      </c>
      <c r="J403" s="18" t="inlineStr">
        <is>
          <t>Tờ 12
File 8</t>
        </is>
      </c>
      <c r="K403" s="18" t="inlineStr">
        <is>
          <t>left drawing center vertical detail chain</t>
        </is>
      </c>
      <c r="L403" s="18" t="inlineStr">
        <is>
          <t>343</t>
        </is>
      </c>
      <c r="M403" s="18" t="str"/>
    </row>
    <row r="404" ht="36" customHeight="1">
      <c r="A404" s="18" t="inlineStr">
        <is>
          <t>S099</t>
        </is>
      </c>
      <c r="B404" s="18" t="inlineStr">
        <is>
          <t>Chi tiết cửa sổ ngoài
Exterior window and ornament</t>
        </is>
      </c>
      <c r="C404" s="18" t="inlineStr">
        <is>
          <t>lower_band_height</t>
        </is>
      </c>
      <c r="D404" s="18" t="inlineStr">
        <is>
          <t>Model: Y
Source: Y
corbel top → lower cornice band top</t>
        </is>
      </c>
      <c r="E404" s="37" t="n">
        <v>140</v>
      </c>
      <c r="F404" s="25" t="inlineStr">
        <is>
          <t>mm</t>
        </is>
      </c>
      <c r="G404" s="38" t="n">
        <f>IF(COUNTBLANK(E404)&gt;0,"",E404)</f>
        <v>140</v>
      </c>
      <c r="H404" s="39" t="n">
        <f>IF(COUNTBLANK(G404)&gt;0,"",G404/1000)</f>
        <v>0.14</v>
      </c>
      <c r="I404" s="18" t="inlineStr">
        <is>
          <t>Ghi trên bản vẽ / Explicit</t>
        </is>
      </c>
      <c r="J404" s="18" t="inlineStr">
        <is>
          <t>Tờ 12
File 8</t>
        </is>
      </c>
      <c r="K404" s="18" t="inlineStr">
        <is>
          <t>left drawing center vertical detail chain</t>
        </is>
      </c>
      <c r="L404" s="18" t="inlineStr">
        <is>
          <t>140</t>
        </is>
      </c>
      <c r="M404" s="18" t="str"/>
    </row>
    <row r="405" ht="36" customHeight="1">
      <c r="A405" s="18" t="inlineStr">
        <is>
          <t>S100</t>
        </is>
      </c>
      <c r="B405" s="18" t="inlineStr">
        <is>
          <t>Chi tiết cửa sổ ngoài
Exterior window and ornament</t>
        </is>
      </c>
      <c r="C405" s="18" t="inlineStr">
        <is>
          <t>frieze_height</t>
        </is>
      </c>
      <c r="D405" s="18" t="inlineStr">
        <is>
          <t>Model: Y
Source: Y
lower cornice band top → frieze top</t>
        </is>
      </c>
      <c r="E405" s="37" t="n">
        <v>250</v>
      </c>
      <c r="F405" s="25" t="inlineStr">
        <is>
          <t>mm</t>
        </is>
      </c>
      <c r="G405" s="38" t="n">
        <f>IF(COUNTBLANK(E405)&gt;0,"",E405)</f>
        <v>250</v>
      </c>
      <c r="H405" s="39" t="n">
        <f>IF(COUNTBLANK(G405)&gt;0,"",G405/1000)</f>
        <v>0.25</v>
      </c>
      <c r="I405" s="18" t="inlineStr">
        <is>
          <t>Ghi trên bản vẽ / Explicit</t>
        </is>
      </c>
      <c r="J405" s="18" t="inlineStr">
        <is>
          <t>Tờ 12
File 8</t>
        </is>
      </c>
      <c r="K405" s="18" t="inlineStr">
        <is>
          <t>left drawing center vertical detail chain</t>
        </is>
      </c>
      <c r="L405" s="18" t="inlineStr">
        <is>
          <t>250</t>
        </is>
      </c>
      <c r="M405" s="18" t="str"/>
    </row>
    <row r="406" ht="48" customHeight="1">
      <c r="A406" s="18" t="inlineStr">
        <is>
          <t>S101</t>
        </is>
      </c>
      <c r="B406" s="18" t="inlineStr">
        <is>
          <t>Chi tiết cửa sổ ngoài
Exterior window and ornament</t>
        </is>
      </c>
      <c r="C406" s="18" t="inlineStr">
        <is>
          <t>upper_cornice_height</t>
        </is>
      </c>
      <c r="D406" s="18" t="inlineStr">
        <is>
          <t>Model: Y
Source: Y
frieze top → main exterior cornice top</t>
        </is>
      </c>
      <c r="E406" s="37" t="n">
        <v>557</v>
      </c>
      <c r="F406" s="25" t="inlineStr">
        <is>
          <t>mm</t>
        </is>
      </c>
      <c r="G406" s="38" t="n">
        <f>IF(COUNTBLANK(E406)&gt;0,"",E406)</f>
        <v>557</v>
      </c>
      <c r="H406" s="39" t="n">
        <f>IF(COUNTBLANK(G406)&gt;0,"",G406/1000)</f>
        <v>0.557</v>
      </c>
      <c r="I406" s="18" t="inlineStr">
        <is>
          <t>Ghi trên bản vẽ / Explicit</t>
        </is>
      </c>
      <c r="J406" s="18" t="inlineStr">
        <is>
          <t>Tờ 12
File 8</t>
        </is>
      </c>
      <c r="K406" s="18" t="inlineStr">
        <is>
          <t>left drawing center vertical detail chain</t>
        </is>
      </c>
      <c r="L406" s="18" t="inlineStr">
        <is>
          <t>557</t>
        </is>
      </c>
      <c r="M406" s="18" t="str"/>
    </row>
    <row r="407" ht="36" customHeight="1">
      <c r="A407" s="18" t="inlineStr">
        <is>
          <t>S102</t>
        </is>
      </c>
      <c r="B407" s="18" t="inlineStr">
        <is>
          <t>Cửa sổ tường trong
Interior window opening</t>
        </is>
      </c>
      <c r="C407" s="18" t="inlineStr">
        <is>
          <t>left_margin</t>
        </is>
      </c>
      <c r="D407" s="18" t="inlineStr">
        <is>
          <t>Model: X
Source: Z
axis3 → interior opening left jamb</t>
        </is>
      </c>
      <c r="E407" s="37" t="n">
        <v>1125</v>
      </c>
      <c r="F407" s="25" t="inlineStr">
        <is>
          <t>mm</t>
        </is>
      </c>
      <c r="G407" s="38" t="n">
        <f>IF(COUNTBLANK(E407)&gt;0,"",E407)</f>
        <v>1125</v>
      </c>
      <c r="H407" s="39" t="n">
        <f>IF(COUNTBLANK(G407)&gt;0,"",G407/1000)</f>
        <v>1.125</v>
      </c>
      <c r="I407" s="18" t="inlineStr">
        <is>
          <t>Ghi trên bản vẽ / Explicit</t>
        </is>
      </c>
      <c r="J407" s="18" t="inlineStr">
        <is>
          <t>Tờ 12
File 8</t>
        </is>
      </c>
      <c r="K407" s="18" t="inlineStr">
        <is>
          <t>right drawing bottom horizontal dimension chain</t>
        </is>
      </c>
      <c r="L407" s="18" t="inlineStr">
        <is>
          <t>1125</t>
        </is>
      </c>
      <c r="M407" s="18" t="str"/>
    </row>
    <row r="408" ht="48" customHeight="1">
      <c r="A408" s="18" t="inlineStr">
        <is>
          <t>S103</t>
        </is>
      </c>
      <c r="B408" s="18" t="inlineStr">
        <is>
          <t>Cửa sổ tường trong
Interior window opening</t>
        </is>
      </c>
      <c r="C408" s="18" t="inlineStr">
        <is>
          <t>opening_width</t>
        </is>
      </c>
      <c r="D408" s="18" t="inlineStr">
        <is>
          <t>Model: X
Source: Z
interior opening left jamb → interior opening right jamb</t>
        </is>
      </c>
      <c r="E408" s="37" t="n">
        <v>2250</v>
      </c>
      <c r="F408" s="25" t="inlineStr">
        <is>
          <t>mm</t>
        </is>
      </c>
      <c r="G408" s="38" t="n">
        <f>IF(COUNTBLANK(E408)&gt;0,"",E408)</f>
        <v>2250</v>
      </c>
      <c r="H408" s="39" t="n">
        <f>IF(COUNTBLANK(G408)&gt;0,"",G408/1000)</f>
        <v>2.25</v>
      </c>
      <c r="I408" s="18" t="inlineStr">
        <is>
          <t>Ghi trên bản vẽ / Explicit</t>
        </is>
      </c>
      <c r="J408" s="18" t="inlineStr">
        <is>
          <t>Tờ 12
File 8</t>
        </is>
      </c>
      <c r="K408" s="18" t="inlineStr">
        <is>
          <t>right drawing bottom horizontal dimension chain</t>
        </is>
      </c>
      <c r="L408" s="18" t="inlineStr">
        <is>
          <t>2250</t>
        </is>
      </c>
      <c r="M408" s="18" t="str"/>
    </row>
    <row r="409" ht="36" customHeight="1">
      <c r="A409" s="18" t="inlineStr">
        <is>
          <t>S104</t>
        </is>
      </c>
      <c r="B409" s="18" t="inlineStr">
        <is>
          <t>Cửa sổ tường trong
Interior window opening</t>
        </is>
      </c>
      <c r="C409" s="18" t="inlineStr">
        <is>
          <t>right_margin</t>
        </is>
      </c>
      <c r="D409" s="18" t="inlineStr">
        <is>
          <t>Model: X
Source: Z
interior opening right jamb → axis4</t>
        </is>
      </c>
      <c r="E409" s="37" t="n">
        <v>1125</v>
      </c>
      <c r="F409" s="25" t="inlineStr">
        <is>
          <t>mm</t>
        </is>
      </c>
      <c r="G409" s="38" t="n">
        <f>IF(COUNTBLANK(E409)&gt;0,"",E409)</f>
        <v>1125</v>
      </c>
      <c r="H409" s="39" t="n">
        <f>IF(COUNTBLANK(G409)&gt;0,"",G409/1000)</f>
        <v>1.125</v>
      </c>
      <c r="I409" s="18" t="inlineStr">
        <is>
          <t>Ghi trên bản vẽ / Explicit</t>
        </is>
      </c>
      <c r="J409" s="18" t="inlineStr">
        <is>
          <t>Tờ 12
File 8</t>
        </is>
      </c>
      <c r="K409" s="18" t="inlineStr">
        <is>
          <t>right drawing bottom horizontal dimension chain</t>
        </is>
      </c>
      <c r="L409" s="18" t="inlineStr">
        <is>
          <t>1125</t>
        </is>
      </c>
      <c r="M409" s="18" t="str"/>
    </row>
    <row r="410" ht="36" customHeight="1">
      <c r="A410" s="18" t="inlineStr">
        <is>
          <t>S105</t>
        </is>
      </c>
      <c r="B410" s="18" t="inlineStr">
        <is>
          <t>Cửa sổ tường trong
Interior window opening</t>
        </is>
      </c>
      <c r="C410" s="18" t="inlineStr">
        <is>
          <t>sill_height</t>
        </is>
      </c>
      <c r="D410" s="18" t="inlineStr">
        <is>
          <t>Model: Y
Source: Y
floor → rectangular opening sill</t>
        </is>
      </c>
      <c r="E410" s="37" t="n">
        <v>650</v>
      </c>
      <c r="F410" s="25" t="inlineStr">
        <is>
          <t>mm</t>
        </is>
      </c>
      <c r="G410" s="38" t="n">
        <f>IF(COUNTBLANK(E410)&gt;0,"",E410)</f>
        <v>650</v>
      </c>
      <c r="H410" s="39" t="n">
        <f>IF(COUNTBLANK(G410)&gt;0,"",G410/1000)</f>
        <v>0.65</v>
      </c>
      <c r="I410" s="18" t="inlineStr">
        <is>
          <t>Ghi trên bản vẽ / Explicit</t>
        </is>
      </c>
      <c r="J410" s="18" t="inlineStr">
        <is>
          <t>Tờ 12
File 8</t>
        </is>
      </c>
      <c r="K410" s="18" t="inlineStr">
        <is>
          <t>right drawing center vertical chain</t>
        </is>
      </c>
      <c r="L410" s="18" t="inlineStr">
        <is>
          <t>650</t>
        </is>
      </c>
      <c r="M410" s="18" t="str"/>
    </row>
    <row r="411" ht="48" customHeight="1">
      <c r="A411" s="18" t="inlineStr">
        <is>
          <t>S106</t>
        </is>
      </c>
      <c r="B411" s="18" t="inlineStr">
        <is>
          <t>Cửa sổ tường trong
Interior window opening</t>
        </is>
      </c>
      <c r="C411" s="18" t="inlineStr">
        <is>
          <t>rectangular_opening_height</t>
        </is>
      </c>
      <c r="D411" s="18" t="inlineStr">
        <is>
          <t>Model: Y
Source: Y
rectangular opening sill → rectangular opening head</t>
        </is>
      </c>
      <c r="E411" s="37" t="n">
        <v>2301</v>
      </c>
      <c r="F411" s="25" t="inlineStr">
        <is>
          <t>mm</t>
        </is>
      </c>
      <c r="G411" s="38" t="n">
        <f>IF(COUNTBLANK(E411)&gt;0,"",E411)</f>
        <v>2301</v>
      </c>
      <c r="H411" s="39" t="n">
        <f>IF(COUNTBLANK(G411)&gt;0,"",G411/1000)</f>
        <v>2.301</v>
      </c>
      <c r="I411" s="18" t="inlineStr">
        <is>
          <t>Ghi trên bản vẽ / Explicit</t>
        </is>
      </c>
      <c r="J411" s="18" t="inlineStr">
        <is>
          <t>Tờ 12
File 8</t>
        </is>
      </c>
      <c r="K411" s="18" t="inlineStr">
        <is>
          <t>right drawing center vertical chain</t>
        </is>
      </c>
      <c r="L411" s="18" t="inlineStr">
        <is>
          <t>2301</t>
        </is>
      </c>
      <c r="M411" s="18" t="str"/>
    </row>
    <row r="412" ht="48" customHeight="1">
      <c r="A412" s="18" t="inlineStr">
        <is>
          <t>S107</t>
        </is>
      </c>
      <c r="B412" s="18" t="inlineStr">
        <is>
          <t>Cửa sổ tường trong
Interior window opening</t>
        </is>
      </c>
      <c r="C412" s="18" t="inlineStr">
        <is>
          <t>head_band_height</t>
        </is>
      </c>
      <c r="D412" s="18" t="inlineStr">
        <is>
          <t>Model: Y
Source: Y
rectangular opening head → fanlight base</t>
        </is>
      </c>
      <c r="E412" s="37" t="n">
        <v>220</v>
      </c>
      <c r="F412" s="25" t="inlineStr">
        <is>
          <t>mm</t>
        </is>
      </c>
      <c r="G412" s="38" t="n">
        <f>IF(COUNTBLANK(E412)&gt;0,"",E412)</f>
        <v>220</v>
      </c>
      <c r="H412" s="39" t="n">
        <f>IF(COUNTBLANK(G412)&gt;0,"",G412/1000)</f>
        <v>0.22</v>
      </c>
      <c r="I412" s="18" t="inlineStr">
        <is>
          <t>Ghi trên bản vẽ / Explicit</t>
        </is>
      </c>
      <c r="J412" s="18" t="inlineStr">
        <is>
          <t>Tờ 12
File 8</t>
        </is>
      </c>
      <c r="K412" s="18" t="inlineStr">
        <is>
          <t>right drawing center vertical chain</t>
        </is>
      </c>
      <c r="L412" s="18" t="inlineStr">
        <is>
          <t>220</t>
        </is>
      </c>
      <c r="M412" s="18" t="str"/>
    </row>
    <row r="413" ht="36" customHeight="1">
      <c r="A413" s="18" t="inlineStr">
        <is>
          <t>S108</t>
        </is>
      </c>
      <c r="B413" s="18" t="inlineStr">
        <is>
          <t>Cửa sổ tường trong
Interior window opening</t>
        </is>
      </c>
      <c r="C413" s="18" t="inlineStr">
        <is>
          <t>arch_rise</t>
        </is>
      </c>
      <c r="D413" s="18" t="inlineStr">
        <is>
          <t>Model: Y
Source: Y
fanlight base → fanlight arch crown</t>
        </is>
      </c>
      <c r="E413" s="37" t="n">
        <v>1140</v>
      </c>
      <c r="F413" s="25" t="inlineStr">
        <is>
          <t>mm</t>
        </is>
      </c>
      <c r="G413" s="38" t="n">
        <f>IF(COUNTBLANK(E413)&gt;0,"",E413)</f>
        <v>1140</v>
      </c>
      <c r="H413" s="39" t="n">
        <f>IF(COUNTBLANK(G413)&gt;0,"",G413/1000)</f>
        <v>1.14</v>
      </c>
      <c r="I413" s="18" t="inlineStr">
        <is>
          <t>Ghi trên bản vẽ / Explicit</t>
        </is>
      </c>
      <c r="J413" s="18" t="inlineStr">
        <is>
          <t>Tờ 12
File 8</t>
        </is>
      </c>
      <c r="K413" s="18" t="inlineStr">
        <is>
          <t>right drawing center vertical chain</t>
        </is>
      </c>
      <c r="L413" s="18" t="inlineStr">
        <is>
          <t>1140</t>
        </is>
      </c>
      <c r="M413" s="18" t="str"/>
    </row>
    <row r="414" ht="48" customHeight="1">
      <c r="A414" s="18" t="inlineStr">
        <is>
          <t>S109</t>
        </is>
      </c>
      <c r="B414" s="18" t="inlineStr">
        <is>
          <t>Cửa sổ tường trong
Interior window opening</t>
        </is>
      </c>
      <c r="C414" s="18" t="inlineStr">
        <is>
          <t>gap_above_arch</t>
        </is>
      </c>
      <c r="D414" s="18" t="inlineStr">
        <is>
          <t>Model: Y
Source: Y
fanlight arch crown → upper wall horizontal reference</t>
        </is>
      </c>
      <c r="E414" s="37" t="n">
        <v>394</v>
      </c>
      <c r="F414" s="25" t="inlineStr">
        <is>
          <t>mm</t>
        </is>
      </c>
      <c r="G414" s="38" t="n">
        <f>IF(COUNTBLANK(E414)&gt;0,"",E414)</f>
        <v>394</v>
      </c>
      <c r="H414" s="39" t="n">
        <f>IF(COUNTBLANK(G414)&gt;0,"",G414/1000)</f>
        <v>0.394</v>
      </c>
      <c r="I414" s="18" t="inlineStr">
        <is>
          <t>Ghi trên bản vẽ / Explicit</t>
        </is>
      </c>
      <c r="J414" s="18" t="inlineStr">
        <is>
          <t>Tờ 12
File 8</t>
        </is>
      </c>
      <c r="K414" s="18" t="inlineStr">
        <is>
          <t>right drawing center vertical chain</t>
        </is>
      </c>
      <c r="L414" s="18" t="inlineStr">
        <is>
          <t>394</t>
        </is>
      </c>
      <c r="M414" s="18" t="str"/>
    </row>
    <row r="415" ht="48" customHeight="1">
      <c r="A415" s="18" t="inlineStr">
        <is>
          <t>S110</t>
        </is>
      </c>
      <c r="B415" s="18" t="inlineStr">
        <is>
          <t>Cửa sổ tường trong
Interior window opening</t>
        </is>
      </c>
      <c r="C415" s="18" t="inlineStr">
        <is>
          <t>upper_wall_height</t>
        </is>
      </c>
      <c r="D415" s="18" t="inlineStr">
        <is>
          <t>Model: Y
Source: Y
upper wall horizontal reference → wall top</t>
        </is>
      </c>
      <c r="E415" s="37" t="n">
        <v>2352</v>
      </c>
      <c r="F415" s="25" t="inlineStr">
        <is>
          <t>mm</t>
        </is>
      </c>
      <c r="G415" s="38" t="n">
        <f>IF(COUNTBLANK(E415)&gt;0,"",E415)</f>
        <v>2352</v>
      </c>
      <c r="H415" s="39" t="n">
        <f>IF(COUNTBLANK(G415)&gt;0,"",G415/1000)</f>
        <v>2.352</v>
      </c>
      <c r="I415" s="18" t="inlineStr">
        <is>
          <t>Ghi trên bản vẽ / Explicit</t>
        </is>
      </c>
      <c r="J415" s="18" t="inlineStr">
        <is>
          <t>Tờ 12
File 8</t>
        </is>
      </c>
      <c r="K415" s="18" t="inlineStr">
        <is>
          <t>right drawing center vertical chain</t>
        </is>
      </c>
      <c r="L415" s="18" t="inlineStr">
        <is>
          <t>2352</t>
        </is>
      </c>
      <c r="M415" s="18" t="str"/>
    </row>
    <row r="416" ht="36" customHeight="1">
      <c r="A416" s="18" t="inlineStr">
        <is>
          <t>S111</t>
        </is>
      </c>
      <c r="B416" s="18" t="inlineStr">
        <is>
          <t>Chuỗi cao tường trong
Interior wall outer dimension chain</t>
        </is>
      </c>
      <c r="C416" s="18" t="inlineStr">
        <is>
          <t>sill_height_repeat</t>
        </is>
      </c>
      <c r="D416" s="18" t="inlineStr">
        <is>
          <t>Model: Y
Source: Y
floor → rectangular opening sill</t>
        </is>
      </c>
      <c r="E416" s="37" t="n">
        <v>650</v>
      </c>
      <c r="F416" s="25" t="inlineStr">
        <is>
          <t>mm</t>
        </is>
      </c>
      <c r="G416" s="38" t="n">
        <f>IF(COUNTBLANK(E416)&gt;0,"",E416)</f>
        <v>650</v>
      </c>
      <c r="H416" s="39" t="n">
        <f>IF(COUNTBLANK(G416)&gt;0,"",G416/1000)</f>
        <v>0.65</v>
      </c>
      <c r="I416" s="18" t="inlineStr">
        <is>
          <t>Ghi trên bản vẽ / Explicit</t>
        </is>
      </c>
      <c r="J416" s="18" t="inlineStr">
        <is>
          <t>Tờ 12
File 8</t>
        </is>
      </c>
      <c r="K416" s="18" t="inlineStr">
        <is>
          <t>right drawing left-side vertical chain</t>
        </is>
      </c>
      <c r="L416" s="18" t="inlineStr">
        <is>
          <t>650</t>
        </is>
      </c>
      <c r="M416" s="18" t="str"/>
    </row>
    <row r="417" ht="48" customHeight="1">
      <c r="A417" s="18" t="inlineStr">
        <is>
          <t>S112</t>
        </is>
      </c>
      <c r="B417" s="18" t="inlineStr">
        <is>
          <t>Chuỗi cao tường trong
Interior wall outer dimension chain</t>
        </is>
      </c>
      <c r="C417" s="18" t="inlineStr">
        <is>
          <t>rectangular_height_repeat</t>
        </is>
      </c>
      <c r="D417" s="18" t="inlineStr">
        <is>
          <t>Model: Y
Source: Y
rectangular opening sill → rectangular opening head</t>
        </is>
      </c>
      <c r="E417" s="37" t="n">
        <v>2301</v>
      </c>
      <c r="F417" s="25" t="inlineStr">
        <is>
          <t>mm</t>
        </is>
      </c>
      <c r="G417" s="38" t="n">
        <f>IF(COUNTBLANK(E417)&gt;0,"",E417)</f>
        <v>2301</v>
      </c>
      <c r="H417" s="39" t="n">
        <f>IF(COUNTBLANK(G417)&gt;0,"",G417/1000)</f>
        <v>2.301</v>
      </c>
      <c r="I417" s="18" t="inlineStr">
        <is>
          <t>Ghi trên bản vẽ / Explicit</t>
        </is>
      </c>
      <c r="J417" s="18" t="inlineStr">
        <is>
          <t>Tờ 12
File 8</t>
        </is>
      </c>
      <c r="K417" s="18" t="inlineStr">
        <is>
          <t>right drawing left-side vertical chain</t>
        </is>
      </c>
      <c r="L417" s="18" t="inlineStr">
        <is>
          <t>2301</t>
        </is>
      </c>
      <c r="M417" s="18" t="str"/>
    </row>
    <row r="418" ht="48" customHeight="1">
      <c r="A418" s="18" t="inlineStr">
        <is>
          <t>S113</t>
        </is>
      </c>
      <c r="B418" s="18" t="inlineStr">
        <is>
          <t>Chuỗi cao tường trong
Interior wall outer dimension chain</t>
        </is>
      </c>
      <c r="C418" s="18" t="inlineStr">
        <is>
          <t>head_band_repeat</t>
        </is>
      </c>
      <c r="D418" s="18" t="inlineStr">
        <is>
          <t>Model: Y
Source: Y
rectangular opening head → fanlight base</t>
        </is>
      </c>
      <c r="E418" s="37" t="n">
        <v>220</v>
      </c>
      <c r="F418" s="25" t="inlineStr">
        <is>
          <t>mm</t>
        </is>
      </c>
      <c r="G418" s="38" t="n">
        <f>IF(COUNTBLANK(E418)&gt;0,"",E418)</f>
        <v>220</v>
      </c>
      <c r="H418" s="39" t="n">
        <f>IF(COUNTBLANK(G418)&gt;0,"",G418/1000)</f>
        <v>0.22</v>
      </c>
      <c r="I418" s="18" t="inlineStr">
        <is>
          <t>Ghi trên bản vẽ / Explicit</t>
        </is>
      </c>
      <c r="J418" s="18" t="inlineStr">
        <is>
          <t>Tờ 12
File 8</t>
        </is>
      </c>
      <c r="K418" s="18" t="inlineStr">
        <is>
          <t>right drawing left-side vertical chain</t>
        </is>
      </c>
      <c r="L418" s="18" t="inlineStr">
        <is>
          <t>220</t>
        </is>
      </c>
      <c r="M418" s="18" t="str"/>
    </row>
    <row r="419" ht="48" customHeight="1">
      <c r="A419" s="18" t="inlineStr">
        <is>
          <t>S114</t>
        </is>
      </c>
      <c r="B419" s="18" t="inlineStr">
        <is>
          <t>Chuỗi cao tường trong
Interior wall outer dimension chain</t>
        </is>
      </c>
      <c r="C419" s="18" t="inlineStr">
        <is>
          <t>arch_and_gap_height</t>
        </is>
      </c>
      <c r="D419" s="18" t="inlineStr">
        <is>
          <t>Model: Y
Source: Y
fanlight base → upper wall horizontal reference</t>
        </is>
      </c>
      <c r="E419" s="37" t="n">
        <v>1534</v>
      </c>
      <c r="F419" s="25" t="inlineStr">
        <is>
          <t>mm</t>
        </is>
      </c>
      <c r="G419" s="38" t="n">
        <f>IF(COUNTBLANK(E419)&gt;0,"",E419)</f>
        <v>1534</v>
      </c>
      <c r="H419" s="39" t="n">
        <f>IF(COUNTBLANK(G419)&gt;0,"",G419/1000)</f>
        <v>1.534</v>
      </c>
      <c r="I419" s="18" t="inlineStr">
        <is>
          <t>Ghi trên bản vẽ / Explicit</t>
        </is>
      </c>
      <c r="J419" s="18" t="inlineStr">
        <is>
          <t>Tờ 12
File 8</t>
        </is>
      </c>
      <c r="K419" s="18" t="inlineStr">
        <is>
          <t>right drawing left-side vertical chain</t>
        </is>
      </c>
      <c r="L419" s="18" t="inlineStr">
        <is>
          <t>1534</t>
        </is>
      </c>
      <c r="M419" s="18" t="str"/>
    </row>
    <row r="420" ht="48" customHeight="1">
      <c r="A420" s="18" t="inlineStr">
        <is>
          <t>S115</t>
        </is>
      </c>
      <c r="B420" s="18" t="inlineStr">
        <is>
          <t>Chuỗi cao tường trong
Interior wall outer dimension chain</t>
        </is>
      </c>
      <c r="C420" s="18" t="inlineStr">
        <is>
          <t>upper_wall_lower_segment</t>
        </is>
      </c>
      <c r="D420" s="18" t="inlineStr">
        <is>
          <t>Model: Y
Source: Y
upper wall horizontal reference → upper band reference</t>
        </is>
      </c>
      <c r="E420" s="37" t="n">
        <v>1280</v>
      </c>
      <c r="F420" s="25" t="inlineStr">
        <is>
          <t>mm</t>
        </is>
      </c>
      <c r="G420" s="38" t="n">
        <f>IF(COUNTBLANK(E420)&gt;0,"",E420)</f>
        <v>1280</v>
      </c>
      <c r="H420" s="39" t="n">
        <f>IF(COUNTBLANK(G420)&gt;0,"",G420/1000)</f>
        <v>1.28</v>
      </c>
      <c r="I420" s="18" t="inlineStr">
        <is>
          <t>Ghi trên bản vẽ / Explicit</t>
        </is>
      </c>
      <c r="J420" s="18" t="inlineStr">
        <is>
          <t>Tờ 12
File 8</t>
        </is>
      </c>
      <c r="K420" s="18" t="inlineStr">
        <is>
          <t>right drawing left-side vertical chain</t>
        </is>
      </c>
      <c r="L420" s="18" t="inlineStr">
        <is>
          <t>1280</t>
        </is>
      </c>
      <c r="M420" s="18" t="str"/>
    </row>
    <row r="421" ht="36" customHeight="1">
      <c r="A421" s="18" t="inlineStr">
        <is>
          <t>S116</t>
        </is>
      </c>
      <c r="B421" s="18" t="inlineStr">
        <is>
          <t>Chuỗi cao tường trong
Interior wall outer dimension chain</t>
        </is>
      </c>
      <c r="C421" s="18" t="inlineStr">
        <is>
          <t>upper_wall_upper_segment</t>
        </is>
      </c>
      <c r="D421" s="18" t="inlineStr">
        <is>
          <t>Model: Y
Source: Y
upper band reference → wall top</t>
        </is>
      </c>
      <c r="E421" s="37" t="n">
        <v>1072</v>
      </c>
      <c r="F421" s="25" t="inlineStr">
        <is>
          <t>mm</t>
        </is>
      </c>
      <c r="G421" s="38" t="n">
        <f>IF(COUNTBLANK(E421)&gt;0,"",E421)</f>
        <v>1072</v>
      </c>
      <c r="H421" s="39" t="n">
        <f>IF(COUNTBLANK(G421)&gt;0,"",G421/1000)</f>
        <v>1.072</v>
      </c>
      <c r="I421" s="18" t="inlineStr">
        <is>
          <t>Ghi trên bản vẽ / Explicit</t>
        </is>
      </c>
      <c r="J421" s="18" t="inlineStr">
        <is>
          <t>Tờ 12
File 8</t>
        </is>
      </c>
      <c r="K421" s="18" t="inlineStr">
        <is>
          <t>right drawing left-side vertical chain</t>
        </is>
      </c>
      <c r="L421" s="18" t="inlineStr">
        <is>
          <t>1072</t>
        </is>
      </c>
      <c r="M421" s="18" t="str"/>
    </row>
    <row r="422" ht="36" customHeight="1">
      <c r="A422" s="18" t="inlineStr">
        <is>
          <t>S117</t>
        </is>
      </c>
      <c r="B422" s="18" t="inlineStr">
        <is>
          <t>Một gian cửa đi ngoài
Exterior doorway bay</t>
        </is>
      </c>
      <c r="C422" s="18" t="inlineStr">
        <is>
          <t>bay_width</t>
        </is>
      </c>
      <c r="D422" s="18" t="inlineStr">
        <is>
          <t>Model: X
Source: Z
axis3 → axis4</t>
        </is>
      </c>
      <c r="E422" s="37" t="n">
        <v>4500</v>
      </c>
      <c r="F422" s="25" t="inlineStr">
        <is>
          <t>mm</t>
        </is>
      </c>
      <c r="G422" s="38" t="n">
        <f>IF(COUNTBLANK(E422)&gt;0,"",E422)</f>
        <v>4500</v>
      </c>
      <c r="H422" s="39" t="n">
        <f>IF(COUNTBLANK(G422)&gt;0,"",G422/1000)</f>
        <v>4.5</v>
      </c>
      <c r="I422" s="18" t="inlineStr">
        <is>
          <t>Ghi trên bản vẽ / Explicit</t>
        </is>
      </c>
      <c r="J422" s="18" t="inlineStr">
        <is>
          <t>Tờ 13
File 9</t>
        </is>
      </c>
      <c r="K422" s="18" t="inlineStr">
        <is>
          <t>left drawing bottom horizontal dimension chain</t>
        </is>
      </c>
      <c r="L422" s="18" t="inlineStr">
        <is>
          <t>4500</t>
        </is>
      </c>
      <c r="M422" s="18" t="str"/>
    </row>
    <row r="423" ht="36" customHeight="1">
      <c r="A423" s="18" t="inlineStr">
        <is>
          <t>S118</t>
        </is>
      </c>
      <c r="B423" s="18" t="inlineStr">
        <is>
          <t>Một gian cửa đi ngoài
Exterior doorway bay</t>
        </is>
      </c>
      <c r="C423" s="18" t="inlineStr">
        <is>
          <t>left_margin</t>
        </is>
      </c>
      <c r="D423" s="18" t="inlineStr">
        <is>
          <t>Model: X
Source: Z
axis3 → door left jamb</t>
        </is>
      </c>
      <c r="E423" s="37" t="n">
        <v>1125</v>
      </c>
      <c r="F423" s="25" t="inlineStr">
        <is>
          <t>mm</t>
        </is>
      </c>
      <c r="G423" s="38" t="n">
        <f>IF(COUNTBLANK(E423)&gt;0,"",E423)</f>
        <v>1125</v>
      </c>
      <c r="H423" s="39" t="n">
        <f>IF(COUNTBLANK(G423)&gt;0,"",G423/1000)</f>
        <v>1.125</v>
      </c>
      <c r="I423" s="18" t="inlineStr">
        <is>
          <t>Ghi trên bản vẽ / Explicit</t>
        </is>
      </c>
      <c r="J423" s="18" t="inlineStr">
        <is>
          <t>Tờ 13
File 9</t>
        </is>
      </c>
      <c r="K423" s="18" t="inlineStr">
        <is>
          <t>left drawing bottom horizontal dimension chain</t>
        </is>
      </c>
      <c r="L423" s="18" t="inlineStr">
        <is>
          <t>1125</t>
        </is>
      </c>
      <c r="M423" s="18" t="str"/>
    </row>
    <row r="424" ht="36" customHeight="1">
      <c r="A424" s="18" t="inlineStr">
        <is>
          <t>S119</t>
        </is>
      </c>
      <c r="B424" s="18" t="inlineStr">
        <is>
          <t>Một gian cửa đi ngoài
Exterior doorway bay</t>
        </is>
      </c>
      <c r="C424" s="18" t="inlineStr">
        <is>
          <t>opening_width</t>
        </is>
      </c>
      <c r="D424" s="18" t="inlineStr">
        <is>
          <t>Model: X
Source: Z
door left jamb → door right jamb</t>
        </is>
      </c>
      <c r="E424" s="37" t="n">
        <v>2250</v>
      </c>
      <c r="F424" s="25" t="inlineStr">
        <is>
          <t>mm</t>
        </is>
      </c>
      <c r="G424" s="38" t="n">
        <f>IF(COUNTBLANK(E424)&gt;0,"",E424)</f>
        <v>2250</v>
      </c>
      <c r="H424" s="39" t="n">
        <f>IF(COUNTBLANK(G424)&gt;0,"",G424/1000)</f>
        <v>2.25</v>
      </c>
      <c r="I424" s="18" t="inlineStr">
        <is>
          <t>Ghi trên bản vẽ / Explicit</t>
        </is>
      </c>
      <c r="J424" s="18" t="inlineStr">
        <is>
          <t>Tờ 13
File 9</t>
        </is>
      </c>
      <c r="K424" s="18" t="inlineStr">
        <is>
          <t>left drawing bottom horizontal dimension chain</t>
        </is>
      </c>
      <c r="L424" s="18" t="inlineStr">
        <is>
          <t>2250</t>
        </is>
      </c>
      <c r="M424" s="18" t="str"/>
    </row>
    <row r="425" ht="36" customHeight="1">
      <c r="A425" s="18" t="inlineStr">
        <is>
          <t>S120</t>
        </is>
      </c>
      <c r="B425" s="18" t="inlineStr">
        <is>
          <t>Một gian cửa đi ngoài
Exterior doorway bay</t>
        </is>
      </c>
      <c r="C425" s="18" t="inlineStr">
        <is>
          <t>right_margin</t>
        </is>
      </c>
      <c r="D425" s="18" t="inlineStr">
        <is>
          <t>Model: X
Source: Z
door right jamb → axis4</t>
        </is>
      </c>
      <c r="E425" s="37" t="n">
        <v>1125</v>
      </c>
      <c r="F425" s="25" t="inlineStr">
        <is>
          <t>mm</t>
        </is>
      </c>
      <c r="G425" s="38" t="n">
        <f>IF(COUNTBLANK(E425)&gt;0,"",E425)</f>
        <v>1125</v>
      </c>
      <c r="H425" s="39" t="n">
        <f>IF(COUNTBLANK(G425)&gt;0,"",G425/1000)</f>
        <v>1.125</v>
      </c>
      <c r="I425" s="18" t="inlineStr">
        <is>
          <t>Ghi trên bản vẽ / Explicit</t>
        </is>
      </c>
      <c r="J425" s="18" t="inlineStr">
        <is>
          <t>Tờ 13
File 9</t>
        </is>
      </c>
      <c r="K425" s="18" t="inlineStr">
        <is>
          <t>left drawing bottom horizontal dimension chain</t>
        </is>
      </c>
      <c r="L425" s="18" t="inlineStr">
        <is>
          <t>1125</t>
        </is>
      </c>
      <c r="M425" s="18" t="str"/>
    </row>
    <row r="426" ht="36" customHeight="1">
      <c r="A426" s="18" t="inlineStr">
        <is>
          <t>S121</t>
        </is>
      </c>
      <c r="B426" s="18" t="inlineStr">
        <is>
          <t>Một gian cửa đi ngoài
Exterior doorway bay</t>
        </is>
      </c>
      <c r="C426" s="18" t="inlineStr">
        <is>
          <t>cornice_height</t>
        </is>
      </c>
      <c r="D426" s="18" t="inlineStr">
        <is>
          <t>Model: Y
Source: Y
floor → main exterior cornice top</t>
        </is>
      </c>
      <c r="E426" s="37" t="n">
        <v>6324</v>
      </c>
      <c r="F426" s="25" t="inlineStr">
        <is>
          <t>mm</t>
        </is>
      </c>
      <c r="G426" s="38" t="n">
        <f>IF(COUNTBLANK(E426)&gt;0,"",E426)</f>
        <v>6324</v>
      </c>
      <c r="H426" s="39" t="n">
        <f>IF(COUNTBLANK(G426)&gt;0,"",G426/1000)</f>
        <v>6.324</v>
      </c>
      <c r="I426" s="18" t="inlineStr">
        <is>
          <t>Ghi trên bản vẽ / Explicit</t>
        </is>
      </c>
      <c r="J426" s="18" t="inlineStr">
        <is>
          <t>Tờ 13
File 9</t>
        </is>
      </c>
      <c r="K426" s="18" t="inlineStr">
        <is>
          <t>left drawing vertical dimension chains</t>
        </is>
      </c>
      <c r="L426" s="18" t="inlineStr">
        <is>
          <t>6324</t>
        </is>
      </c>
      <c r="M426" s="18" t="inlineStr">
        <is>
          <t>6324 conflicts by1 mm with the detailed exterior cornice sum6325 on printed sheet12.</t>
        </is>
      </c>
    </row>
    <row r="427" ht="48" customHeight="1">
      <c r="A427" s="18" t="inlineStr">
        <is>
          <t>S122</t>
        </is>
      </c>
      <c r="B427" s="18" t="inlineStr">
        <is>
          <t>Một gian cửa đi ngoài
Exterior doorway bay</t>
        </is>
      </c>
      <c r="C427" s="18" t="inlineStr">
        <is>
          <t>pinnacle_lower_segment</t>
        </is>
      </c>
      <c r="D427" s="18" t="inlineStr">
        <is>
          <t>Model: Y
Source: Y
main exterior cornice top → pinnacle lower-head/top railing reference</t>
        </is>
      </c>
      <c r="E427" s="37" t="n">
        <v>750</v>
      </c>
      <c r="F427" s="25" t="inlineStr">
        <is>
          <t>mm</t>
        </is>
      </c>
      <c r="G427" s="38" t="n">
        <f>IF(COUNTBLANK(E427)&gt;0,"",E427)</f>
        <v>750</v>
      </c>
      <c r="H427" s="39" t="n">
        <f>IF(COUNTBLANK(G427)&gt;0,"",G427/1000)</f>
        <v>0.75</v>
      </c>
      <c r="I427" s="18" t="inlineStr">
        <is>
          <t>Ghi trên bản vẽ / Explicit</t>
        </is>
      </c>
      <c r="J427" s="18" t="inlineStr">
        <is>
          <t>Tờ 13
File 9</t>
        </is>
      </c>
      <c r="K427" s="18" t="inlineStr">
        <is>
          <t>left drawing vertical dimension chains</t>
        </is>
      </c>
      <c r="L427" s="18" t="inlineStr">
        <is>
          <t>750</t>
        </is>
      </c>
      <c r="M427" s="18" t="str"/>
    </row>
    <row r="428" ht="48" customHeight="1">
      <c r="A428" s="18" t="inlineStr">
        <is>
          <t>S123</t>
        </is>
      </c>
      <c r="B428" s="18" t="inlineStr">
        <is>
          <t>Một gian cửa đi ngoài
Exterior doorway bay</t>
        </is>
      </c>
      <c r="C428" s="18" t="inlineStr">
        <is>
          <t>pinnacle_upper_segment</t>
        </is>
      </c>
      <c r="D428" s="18" t="inlineStr">
        <is>
          <t>Model: Y
Source: Y
pinnacle lower-head/top railing reference → finial tip</t>
        </is>
      </c>
      <c r="E428" s="37" t="n">
        <v>952</v>
      </c>
      <c r="F428" s="25" t="inlineStr">
        <is>
          <t>mm</t>
        </is>
      </c>
      <c r="G428" s="38" t="n">
        <f>IF(COUNTBLANK(E428)&gt;0,"",E428)</f>
        <v>952</v>
      </c>
      <c r="H428" s="39" t="n">
        <f>IF(COUNTBLANK(G428)&gt;0,"",G428/1000)</f>
        <v>0.952</v>
      </c>
      <c r="I428" s="18" t="inlineStr">
        <is>
          <t>Ghi trên bản vẽ / Explicit</t>
        </is>
      </c>
      <c r="J428" s="18" t="inlineStr">
        <is>
          <t>Tờ 13
File 9</t>
        </is>
      </c>
      <c r="K428" s="18" t="inlineStr">
        <is>
          <t>left drawing vertical dimension chains</t>
        </is>
      </c>
      <c r="L428" s="18" t="inlineStr">
        <is>
          <t>952</t>
        </is>
      </c>
      <c r="M428" s="18" t="str"/>
    </row>
    <row r="429" ht="36" customHeight="1">
      <c r="A429" s="18" t="inlineStr">
        <is>
          <t>S124</t>
        </is>
      </c>
      <c r="B429" s="18" t="inlineStr">
        <is>
          <t>Một gian cửa đi ngoài
Exterior doorway bay</t>
        </is>
      </c>
      <c r="C429" s="18" t="inlineStr">
        <is>
          <t>springline_height</t>
        </is>
      </c>
      <c r="D429" s="18" t="inlineStr">
        <is>
          <t>Model: Y
Source: Y
floor → door arch spring</t>
        </is>
      </c>
      <c r="E429" s="37" t="n">
        <v>3101</v>
      </c>
      <c r="F429" s="25" t="inlineStr">
        <is>
          <t>mm</t>
        </is>
      </c>
      <c r="G429" s="38" t="n">
        <f>IF(COUNTBLANK(E429)&gt;0,"",E429)</f>
        <v>3101</v>
      </c>
      <c r="H429" s="39" t="n">
        <f>IF(COUNTBLANK(G429)&gt;0,"",G429/1000)</f>
        <v>3.101</v>
      </c>
      <c r="I429" s="18" t="inlineStr">
        <is>
          <t>Ghi trên bản vẽ / Explicit</t>
        </is>
      </c>
      <c r="J429" s="18" t="inlineStr">
        <is>
          <t>Tờ 13
File 9</t>
        </is>
      </c>
      <c r="K429" s="18" t="inlineStr">
        <is>
          <t>left drawing vertical dimension chains</t>
        </is>
      </c>
      <c r="L429" s="18" t="inlineStr">
        <is>
          <t>3101</t>
        </is>
      </c>
      <c r="M429" s="18" t="str"/>
    </row>
    <row r="430" ht="36" customHeight="1">
      <c r="A430" s="18" t="inlineStr">
        <is>
          <t>S125</t>
        </is>
      </c>
      <c r="B430" s="18" t="inlineStr">
        <is>
          <t>Một gian cửa đi ngoài
Exterior doorway bay</t>
        </is>
      </c>
      <c r="C430" s="18" t="inlineStr">
        <is>
          <t>arch_rise</t>
        </is>
      </c>
      <c r="D430" s="18" t="inlineStr">
        <is>
          <t>Model: Y
Source: Y
door arch spring → door arch crown</t>
        </is>
      </c>
      <c r="E430" s="37" t="n">
        <v>1140</v>
      </c>
      <c r="F430" s="25" t="inlineStr">
        <is>
          <t>mm</t>
        </is>
      </c>
      <c r="G430" s="38" t="n">
        <f>IF(COUNTBLANK(E430)&gt;0,"",E430)</f>
        <v>1140</v>
      </c>
      <c r="H430" s="39" t="n">
        <f>IF(COUNTBLANK(G430)&gt;0,"",G430/1000)</f>
        <v>1.14</v>
      </c>
      <c r="I430" s="18" t="inlineStr">
        <is>
          <t>Ghi trên bản vẽ / Explicit</t>
        </is>
      </c>
      <c r="J430" s="18" t="inlineStr">
        <is>
          <t>Tờ 13
File 9</t>
        </is>
      </c>
      <c r="K430" s="18" t="inlineStr">
        <is>
          <t>left drawing vertical dimension chains</t>
        </is>
      </c>
      <c r="L430" s="18" t="inlineStr">
        <is>
          <t>1140</t>
        </is>
      </c>
      <c r="M430" s="18" t="str"/>
    </row>
    <row r="431" ht="36" customHeight="1">
      <c r="A431" s="18" t="inlineStr">
        <is>
          <t>S126</t>
        </is>
      </c>
      <c r="B431" s="18" t="inlineStr">
        <is>
          <t>Một gian cửa đi trong
Interior doorway bay</t>
        </is>
      </c>
      <c r="C431" s="18" t="inlineStr">
        <is>
          <t>bay_width</t>
        </is>
      </c>
      <c r="D431" s="18" t="inlineStr">
        <is>
          <t>Model: X
Source: Z
axis3 → axis4</t>
        </is>
      </c>
      <c r="E431" s="37" t="n">
        <v>4500</v>
      </c>
      <c r="F431" s="25" t="inlineStr">
        <is>
          <t>mm</t>
        </is>
      </c>
      <c r="G431" s="38" t="n">
        <f>IF(COUNTBLANK(E431)&gt;0,"",E431)</f>
        <v>4500</v>
      </c>
      <c r="H431" s="39" t="n">
        <f>IF(COUNTBLANK(G431)&gt;0,"",G431/1000)</f>
        <v>4.5</v>
      </c>
      <c r="I431" s="18" t="inlineStr">
        <is>
          <t>Ghi trên bản vẽ / Explicit</t>
        </is>
      </c>
      <c r="J431" s="18" t="inlineStr">
        <is>
          <t>Tờ 13
File 9</t>
        </is>
      </c>
      <c r="K431" s="18" t="inlineStr">
        <is>
          <t>right drawing bottom horizontal dimension chain</t>
        </is>
      </c>
      <c r="L431" s="18" t="inlineStr">
        <is>
          <t>4500</t>
        </is>
      </c>
      <c r="M431" s="18" t="str"/>
    </row>
    <row r="432" ht="36" customHeight="1">
      <c r="A432" s="18" t="inlineStr">
        <is>
          <t>S127</t>
        </is>
      </c>
      <c r="B432" s="18" t="inlineStr">
        <is>
          <t>Một gian cửa đi trong
Interior doorway bay</t>
        </is>
      </c>
      <c r="C432" s="18" t="inlineStr">
        <is>
          <t>left_margin</t>
        </is>
      </c>
      <c r="D432" s="18" t="inlineStr">
        <is>
          <t>Model: X
Source: Z
axis3 → door left jamb</t>
        </is>
      </c>
      <c r="E432" s="37" t="n">
        <v>1125</v>
      </c>
      <c r="F432" s="25" t="inlineStr">
        <is>
          <t>mm</t>
        </is>
      </c>
      <c r="G432" s="38" t="n">
        <f>IF(COUNTBLANK(E432)&gt;0,"",E432)</f>
        <v>1125</v>
      </c>
      <c r="H432" s="39" t="n">
        <f>IF(COUNTBLANK(G432)&gt;0,"",G432/1000)</f>
        <v>1.125</v>
      </c>
      <c r="I432" s="18" t="inlineStr">
        <is>
          <t>Ghi trên bản vẽ / Explicit</t>
        </is>
      </c>
      <c r="J432" s="18" t="inlineStr">
        <is>
          <t>Tờ 13
File 9</t>
        </is>
      </c>
      <c r="K432" s="18" t="inlineStr">
        <is>
          <t>right drawing bottom horizontal dimension chain</t>
        </is>
      </c>
      <c r="L432" s="18" t="inlineStr">
        <is>
          <t>1125</t>
        </is>
      </c>
      <c r="M432" s="18" t="str"/>
    </row>
    <row r="433" ht="36" customHeight="1">
      <c r="A433" s="18" t="inlineStr">
        <is>
          <t>S128</t>
        </is>
      </c>
      <c r="B433" s="18" t="inlineStr">
        <is>
          <t>Một gian cửa đi trong
Interior doorway bay</t>
        </is>
      </c>
      <c r="C433" s="18" t="inlineStr">
        <is>
          <t>opening_width</t>
        </is>
      </c>
      <c r="D433" s="18" t="inlineStr">
        <is>
          <t>Model: X
Source: Z
door left jamb → door right jamb</t>
        </is>
      </c>
      <c r="E433" s="37" t="n">
        <v>2250</v>
      </c>
      <c r="F433" s="25" t="inlineStr">
        <is>
          <t>mm</t>
        </is>
      </c>
      <c r="G433" s="38" t="n">
        <f>IF(COUNTBLANK(E433)&gt;0,"",E433)</f>
        <v>2250</v>
      </c>
      <c r="H433" s="39" t="n">
        <f>IF(COUNTBLANK(G433)&gt;0,"",G433/1000)</f>
        <v>2.25</v>
      </c>
      <c r="I433" s="18" t="inlineStr">
        <is>
          <t>Ghi trên bản vẽ / Explicit</t>
        </is>
      </c>
      <c r="J433" s="18" t="inlineStr">
        <is>
          <t>Tờ 13
File 9</t>
        </is>
      </c>
      <c r="K433" s="18" t="inlineStr">
        <is>
          <t>right drawing bottom horizontal dimension chain</t>
        </is>
      </c>
      <c r="L433" s="18" t="inlineStr">
        <is>
          <t>2250</t>
        </is>
      </c>
      <c r="M433" s="18" t="str"/>
    </row>
    <row r="434" ht="36" customHeight="1">
      <c r="A434" s="18" t="inlineStr">
        <is>
          <t>S129</t>
        </is>
      </c>
      <c r="B434" s="18" t="inlineStr">
        <is>
          <t>Một gian cửa đi trong
Interior doorway bay</t>
        </is>
      </c>
      <c r="C434" s="18" t="inlineStr">
        <is>
          <t>right_margin</t>
        </is>
      </c>
      <c r="D434" s="18" t="inlineStr">
        <is>
          <t>Model: X
Source: Z
door right jamb → axis4</t>
        </is>
      </c>
      <c r="E434" s="37" t="n">
        <v>1125</v>
      </c>
      <c r="F434" s="25" t="inlineStr">
        <is>
          <t>mm</t>
        </is>
      </c>
      <c r="G434" s="38" t="n">
        <f>IF(COUNTBLANK(E434)&gt;0,"",E434)</f>
        <v>1125</v>
      </c>
      <c r="H434" s="39" t="n">
        <f>IF(COUNTBLANK(G434)&gt;0,"",G434/1000)</f>
        <v>1.125</v>
      </c>
      <c r="I434" s="18" t="inlineStr">
        <is>
          <t>Ghi trên bản vẽ / Explicit</t>
        </is>
      </c>
      <c r="J434" s="18" t="inlineStr">
        <is>
          <t>Tờ 13
File 9</t>
        </is>
      </c>
      <c r="K434" s="18" t="inlineStr">
        <is>
          <t>right drawing bottom horizontal dimension chain</t>
        </is>
      </c>
      <c r="L434" s="18" t="inlineStr">
        <is>
          <t>1125</t>
        </is>
      </c>
      <c r="M434" s="18" t="str"/>
    </row>
    <row r="435" ht="36" customHeight="1">
      <c r="A435" s="18" t="inlineStr">
        <is>
          <t>S130</t>
        </is>
      </c>
      <c r="B435" s="18" t="inlineStr">
        <is>
          <t>Một gian cửa đi trong
Interior doorway bay</t>
        </is>
      </c>
      <c r="C435" s="18" t="inlineStr">
        <is>
          <t>rectangular_door_height</t>
        </is>
      </c>
      <c r="D435" s="18" t="inlineStr">
        <is>
          <t>Model: Y
Source: Y
floor → rectangular door head</t>
        </is>
      </c>
      <c r="E435" s="37" t="n">
        <v>2951</v>
      </c>
      <c r="F435" s="25" t="inlineStr">
        <is>
          <t>mm</t>
        </is>
      </c>
      <c r="G435" s="38" t="n">
        <f>IF(COUNTBLANK(E435)&gt;0,"",E435)</f>
        <v>2951</v>
      </c>
      <c r="H435" s="39" t="n">
        <f>IF(COUNTBLANK(G435)&gt;0,"",G435/1000)</f>
        <v>2.951</v>
      </c>
      <c r="I435" s="18" t="inlineStr">
        <is>
          <t>Ghi trên bản vẽ / Explicit</t>
        </is>
      </c>
      <c r="J435" s="18" t="inlineStr">
        <is>
          <t>Tờ 13
File 9</t>
        </is>
      </c>
      <c r="K435" s="18" t="inlineStr">
        <is>
          <t>right drawing vertical dimension chain</t>
        </is>
      </c>
      <c r="L435" s="18" t="inlineStr">
        <is>
          <t>2951</t>
        </is>
      </c>
      <c r="M435" s="18" t="str"/>
    </row>
    <row r="436" ht="48" customHeight="1">
      <c r="A436" s="18" t="inlineStr">
        <is>
          <t>S131</t>
        </is>
      </c>
      <c r="B436" s="18" t="inlineStr">
        <is>
          <t>Một gian cửa đi trong
Interior doorway bay</t>
        </is>
      </c>
      <c r="C436" s="18" t="inlineStr">
        <is>
          <t>head_band_height</t>
        </is>
      </c>
      <c r="D436" s="18" t="inlineStr">
        <is>
          <t>Model: Y
Source: Y
rectangular door head → fanlight base</t>
        </is>
      </c>
      <c r="E436" s="37" t="n">
        <v>220</v>
      </c>
      <c r="F436" s="25" t="inlineStr">
        <is>
          <t>mm</t>
        </is>
      </c>
      <c r="G436" s="38" t="n">
        <f>IF(COUNTBLANK(E436)&gt;0,"",E436)</f>
        <v>220</v>
      </c>
      <c r="H436" s="39" t="n">
        <f>IF(COUNTBLANK(G436)&gt;0,"",G436/1000)</f>
        <v>0.22</v>
      </c>
      <c r="I436" s="18" t="inlineStr">
        <is>
          <t>Ghi trên bản vẽ / Explicit</t>
        </is>
      </c>
      <c r="J436" s="18" t="inlineStr">
        <is>
          <t>Tờ 13
File 9</t>
        </is>
      </c>
      <c r="K436" s="18" t="inlineStr">
        <is>
          <t>right drawing vertical dimension chain</t>
        </is>
      </c>
      <c r="L436" s="18" t="inlineStr">
        <is>
          <t>220</t>
        </is>
      </c>
      <c r="M436" s="18" t="str"/>
    </row>
    <row r="437" ht="36" customHeight="1">
      <c r="A437" s="18" t="inlineStr">
        <is>
          <t>S132</t>
        </is>
      </c>
      <c r="B437" s="18" t="inlineStr">
        <is>
          <t>Một gian cửa đi trong
Interior doorway bay</t>
        </is>
      </c>
      <c r="C437" s="18" t="inlineStr">
        <is>
          <t>arch_rise</t>
        </is>
      </c>
      <c r="D437" s="18" t="inlineStr">
        <is>
          <t>Model: Y
Source: Y
fanlight base → fanlight crown</t>
        </is>
      </c>
      <c r="E437" s="37" t="n">
        <v>1140</v>
      </c>
      <c r="F437" s="25" t="inlineStr">
        <is>
          <t>mm</t>
        </is>
      </c>
      <c r="G437" s="38" t="n">
        <f>IF(COUNTBLANK(E437)&gt;0,"",E437)</f>
        <v>1140</v>
      </c>
      <c r="H437" s="39" t="n">
        <f>IF(COUNTBLANK(G437)&gt;0,"",G437/1000)</f>
        <v>1.14</v>
      </c>
      <c r="I437" s="18" t="inlineStr">
        <is>
          <t>Ghi trên bản vẽ / Explicit</t>
        </is>
      </c>
      <c r="J437" s="18" t="inlineStr">
        <is>
          <t>Tờ 13
File 9</t>
        </is>
      </c>
      <c r="K437" s="18" t="inlineStr">
        <is>
          <t>right drawing vertical dimension chain</t>
        </is>
      </c>
      <c r="L437" s="18" t="inlineStr">
        <is>
          <t>1140</t>
        </is>
      </c>
      <c r="M437" s="18" t="str"/>
    </row>
    <row r="438" ht="48" customHeight="1">
      <c r="A438" s="18" t="inlineStr">
        <is>
          <t>S133</t>
        </is>
      </c>
      <c r="B438" s="18" t="inlineStr">
        <is>
          <t>Một gian cửa đi trong
Interior doorway bay</t>
        </is>
      </c>
      <c r="C438" s="18" t="inlineStr">
        <is>
          <t>gap_above_arch</t>
        </is>
      </c>
      <c r="D438" s="18" t="inlineStr">
        <is>
          <t>Model: Y
Source: Y
fanlight crown → upper wall horizontal reference</t>
        </is>
      </c>
      <c r="E438" s="37" t="n">
        <v>394</v>
      </c>
      <c r="F438" s="25" t="inlineStr">
        <is>
          <t>mm</t>
        </is>
      </c>
      <c r="G438" s="38" t="n">
        <f>IF(COUNTBLANK(E438)&gt;0,"",E438)</f>
        <v>394</v>
      </c>
      <c r="H438" s="39" t="n">
        <f>IF(COUNTBLANK(G438)&gt;0,"",G438/1000)</f>
        <v>0.394</v>
      </c>
      <c r="I438" s="18" t="inlineStr">
        <is>
          <t>Ghi trên bản vẽ / Explicit</t>
        </is>
      </c>
      <c r="J438" s="18" t="inlineStr">
        <is>
          <t>Tờ 13
File 9</t>
        </is>
      </c>
      <c r="K438" s="18" t="inlineStr">
        <is>
          <t>right drawing vertical dimension chain</t>
        </is>
      </c>
      <c r="L438" s="18" t="inlineStr">
        <is>
          <t>394</t>
        </is>
      </c>
      <c r="M438" s="18" t="str"/>
    </row>
    <row r="439" ht="48" customHeight="1">
      <c r="A439" s="18" t="inlineStr">
        <is>
          <t>S134</t>
        </is>
      </c>
      <c r="B439" s="18" t="inlineStr">
        <is>
          <t>Một gian cửa đi trong
Interior doorway bay</t>
        </is>
      </c>
      <c r="C439" s="18" t="inlineStr">
        <is>
          <t>upper_wall_height</t>
        </is>
      </c>
      <c r="D439" s="18" t="inlineStr">
        <is>
          <t>Model: Y
Source: Y
upper wall horizontal reference → wall top</t>
        </is>
      </c>
      <c r="E439" s="37" t="n">
        <v>2352</v>
      </c>
      <c r="F439" s="25" t="inlineStr">
        <is>
          <t>mm</t>
        </is>
      </c>
      <c r="G439" s="38" t="n">
        <f>IF(COUNTBLANK(E439)&gt;0,"",E439)</f>
        <v>2352</v>
      </c>
      <c r="H439" s="39" t="n">
        <f>IF(COUNTBLANK(G439)&gt;0,"",G439/1000)</f>
        <v>2.352</v>
      </c>
      <c r="I439" s="18" t="inlineStr">
        <is>
          <t>Ghi trên bản vẽ / Explicit</t>
        </is>
      </c>
      <c r="J439" s="18" t="inlineStr">
        <is>
          <t>Tờ 13
File 9</t>
        </is>
      </c>
      <c r="K439" s="18" t="inlineStr">
        <is>
          <t>right drawing vertical dimension chain</t>
        </is>
      </c>
      <c r="L439" s="18" t="inlineStr">
        <is>
          <t>2352</t>
        </is>
      </c>
      <c r="M439" s="18" t="str"/>
    </row>
    <row r="440" ht="36" customHeight="1">
      <c r="A440" s="18" t="inlineStr">
        <is>
          <t>S135</t>
        </is>
      </c>
      <c r="B440" s="18" t="inlineStr">
        <is>
          <t>Bề ngang trục B-H
Grid B-H width</t>
        </is>
      </c>
      <c r="C440" s="18" t="inlineStr">
        <is>
          <t>grid_total</t>
        </is>
      </c>
      <c r="D440" s="18" t="inlineStr">
        <is>
          <t>Model: Z
Source: X
B → H</t>
        </is>
      </c>
      <c r="E440" s="37" t="n"/>
      <c r="F440" s="25" t="str"/>
      <c r="G440" s="38" t="n">
        <f>IF(OR(COUNTBLANK('Dimensions'!G312)&gt;0,COUNTBLANK('Dimensions'!G313)&gt;0,COUNTBLANK('Dimensions'!G314)&gt;0,COUNTBLANK('Dimensions'!G315)&gt;0,COUNTBLANK('Dimensions'!G316)&gt;0),"",'Dimensions'!G312+'Dimensions'!G313+'Dimensions'!G314+'Dimensions'!G315+'Dimensions'!G316)</f>
        <v>20828</v>
      </c>
      <c r="H440" s="39" t="n">
        <f>IF(COUNTBLANK(G440)&gt;0,"",G440/1000)</f>
        <v>20.828</v>
      </c>
      <c r="I440" s="18" t="inlineStr">
        <is>
          <t>Tính từ bản vẽ / Derived</t>
        </is>
      </c>
      <c r="J440" s="18" t="inlineStr">
        <is>
          <t>Tờ 4
File 6</t>
        </is>
      </c>
      <c r="K440" s="18" t="inlineStr">
        <is>
          <t>calculated from printed dimensions</t>
        </is>
      </c>
      <c r="L440" s="18" t="str"/>
      <c r="M440" s="18" t="inlineStr">
        <is>
          <t>Dimensions are grid distances, not clear room widths.
Calculation: 3054+3760+7200+3760+3054</t>
        </is>
      </c>
    </row>
    <row r="441" ht="36" customHeight="1">
      <c r="A441" s="18" t="inlineStr">
        <is>
          <t>S136</t>
        </is>
      </c>
      <c r="B441" s="18" t="inlineStr">
        <is>
          <t>Bề ngang mái chính theo trục
Main-roof support grid span</t>
        </is>
      </c>
      <c r="C441" s="18" t="inlineStr">
        <is>
          <t>main_roof_grid_span</t>
        </is>
      </c>
      <c r="D441" s="18" t="inlineStr">
        <is>
          <t>Model: Z
Source: X
C → G</t>
        </is>
      </c>
      <c r="E441" s="37" t="n"/>
      <c r="F441" s="25" t="str"/>
      <c r="G441" s="38" t="n">
        <f>IF(OR(COUNTBLANK('Dimensions'!G313)&gt;0,COUNTBLANK('Dimensions'!G314)&gt;0,COUNTBLANK('Dimensions'!G315)&gt;0),"",'Dimensions'!G313+'Dimensions'!G314+'Dimensions'!G315)</f>
        <v>14720</v>
      </c>
      <c r="H441" s="39" t="n">
        <f>IF(COUNTBLANK(G441)&gt;0,"",G441/1000)</f>
        <v>14.72</v>
      </c>
      <c r="I441" s="18" t="inlineStr">
        <is>
          <t>Tính từ bản vẽ / Derived</t>
        </is>
      </c>
      <c r="J441" s="18" t="inlineStr">
        <is>
          <t>Tờ 4
File 6</t>
        </is>
      </c>
      <c r="K441" s="18" t="inlineStr">
        <is>
          <t>calculated from printed dimensions</t>
        </is>
      </c>
      <c r="L441" s="18" t="str"/>
      <c r="M441" s="18" t="inlineStr">
        <is>
          <t>C/G are support axes. Roof edge/overhang location is not fully specified.
Calculation: 3760+7200+3760</t>
        </is>
      </c>
    </row>
    <row r="442" ht="48" customHeight="1">
      <c r="A442" s="18" t="inlineStr">
        <is>
          <t>S137</t>
        </is>
      </c>
      <c r="B442" s="18" t="inlineStr">
        <is>
          <t>Độ vươn biên đối xứng
Symmetric outer extent</t>
        </is>
      </c>
      <c r="C442" s="18" t="inlineStr">
        <is>
          <t>symmetric_outer_offset</t>
        </is>
      </c>
      <c r="D442" s="18" t="inlineStr">
        <is>
          <t>Model: Z
Source: X
B/H grid → corresponding outermost edge</t>
        </is>
      </c>
      <c r="E442" s="37" t="n"/>
      <c r="F442" s="25" t="str"/>
      <c r="G442" s="38" t="n">
        <f>IF(OR(COUNTBLANK('Dimensions'!G317)&gt;0,COUNTBLANK('Dimensions'!G440)&gt;0),"",('Dimensions'!G317-'Dimensions'!G440)/2)</f>
        <v>780</v>
      </c>
      <c r="H442" s="39" t="n">
        <f>IF(COUNTBLANK(G442)&gt;0,"",G442/1000)</f>
        <v>0.78</v>
      </c>
      <c r="I442" s="18" t="inlineStr">
        <is>
          <t>Tính từ bản vẽ / Derived</t>
        </is>
      </c>
      <c r="J442" s="18" t="inlineStr">
        <is>
          <t>Tờ 4
File 6</t>
        </is>
      </c>
      <c r="K442" s="18" t="inlineStr">
        <is>
          <t>calculated from printed dimensions</t>
        </is>
      </c>
      <c r="L442" s="18" t="str"/>
      <c r="M442" s="18" t="inlineStr">
        <is>
          <t>Symmetry assumption supported by right-side explicit780; verify against ground plan.
Calculation: (22388-20828)/2</t>
        </is>
      </c>
    </row>
    <row r="443" ht="48" customHeight="1">
      <c r="A443" s="18" t="inlineStr">
        <is>
          <t>S138</t>
        </is>
      </c>
      <c r="B443" s="18" t="inlineStr">
        <is>
          <t>Chiều cao cột chính tổng
Central column total</t>
        </is>
      </c>
      <c r="C443" s="18" t="inlineStr">
        <is>
          <t>column_top_height</t>
        </is>
      </c>
      <c r="D443" s="18" t="inlineStr">
        <is>
          <t>Model: Y
Source: Y
finished floor → dimensioned central post top</t>
        </is>
      </c>
      <c r="E443" s="37" t="n"/>
      <c r="F443" s="25" t="str"/>
      <c r="G443" s="38" t="n">
        <f>IF(OR(COUNTBLANK('Dimensions'!G324)&gt;0,COUNTBLANK('Dimensions'!G325)&gt;0),"",'Dimensions'!G324+'Dimensions'!G325)</f>
        <v>9402</v>
      </c>
      <c r="H443" s="39" t="n">
        <f>IF(COUNTBLANK(G443)&gt;0,"",G443/1000)</f>
        <v>9.402</v>
      </c>
      <c r="I443" s="18" t="inlineStr">
        <is>
          <t>Tính từ bản vẽ / Derived</t>
        </is>
      </c>
      <c r="J443" s="18" t="inlineStr">
        <is>
          <t>Tờ 4
File 6</t>
        </is>
      </c>
      <c r="K443" s="18" t="inlineStr">
        <is>
          <t>calculated from printed dimensions</t>
        </is>
      </c>
      <c r="L443" s="18" t="str"/>
      <c r="M443" s="18" t="inlineStr">
        <is>
          <t>Structural contact/ridge relationships still need original CAD details.
Calculation: 600+8802</t>
        </is>
      </c>
    </row>
    <row r="444" ht="48" customHeight="1">
      <c r="A444" s="18" t="inlineStr">
        <is>
          <t>S139</t>
        </is>
      </c>
      <c r="B444" s="18" t="inlineStr">
        <is>
          <t>Chiều cao cột phụ tổng
Side column total</t>
        </is>
      </c>
      <c r="C444" s="18" t="inlineStr">
        <is>
          <t>side_column_top_height</t>
        </is>
      </c>
      <c r="D444" s="18" t="inlineStr">
        <is>
          <t>Model: Y
Source: Y
finished floor → dimensioned side post top</t>
        </is>
      </c>
      <c r="E444" s="37" t="n"/>
      <c r="F444" s="25" t="str"/>
      <c r="G444" s="38" t="n">
        <f>IF(OR(COUNTBLANK('Dimensions'!G326)&gt;0,COUNTBLANK('Dimensions'!G327)&gt;0),"",'Dimensions'!G326+'Dimensions'!G327)</f>
        <v>6990</v>
      </c>
      <c r="H444" s="39" t="n">
        <f>IF(COUNTBLANK(G444)&gt;0,"",G444/1000)</f>
        <v>6.99</v>
      </c>
      <c r="I444" s="18" t="inlineStr">
        <is>
          <t>Tính từ bản vẽ / Derived</t>
        </is>
      </c>
      <c r="J444" s="18" t="inlineStr">
        <is>
          <t>Tờ 4
File 6</t>
        </is>
      </c>
      <c r="K444" s="18" t="inlineStr">
        <is>
          <t>calculated from printed dimensions</t>
        </is>
      </c>
      <c r="L444" s="18" t="str"/>
      <c r="M444" s="18" t="inlineStr">
        <is>
          <t>Matches left side vertical chain650+2301+220+1140+2177+400+102.
Calculation: 600+6390</t>
        </is>
      </c>
    </row>
    <row r="445" ht="36" customHeight="1">
      <c r="A445" s="18" t="inlineStr">
        <is>
          <t>S140</t>
        </is>
      </c>
      <c r="B445" s="18" t="inlineStr">
        <is>
          <t>Bề rộng móng chính
Central foundation width</t>
        </is>
      </c>
      <c r="C445" s="18" t="inlineStr">
        <is>
          <t>foundation_width</t>
        </is>
      </c>
      <c r="D445" s="18" t="inlineStr">
        <is>
          <t>Model: Z
Source: X
foundation left → foundation right</t>
        </is>
      </c>
      <c r="E445" s="37" t="n"/>
      <c r="F445" s="25" t="str"/>
      <c r="G445" s="38" t="n">
        <f>IF(OR(COUNTBLANK('Dimensions'!G318)&gt;0,COUNTBLANK('Dimensions'!G319)&gt;0),"",'Dimensions'!G318+'Dimensions'!G319)</f>
        <v>1000</v>
      </c>
      <c r="H445" s="39" t="n">
        <f>IF(COUNTBLANK(G445)&gt;0,"",G445/1000)</f>
        <v>1</v>
      </c>
      <c r="I445" s="18" t="inlineStr">
        <is>
          <t>Tính từ bản vẽ / Derived</t>
        </is>
      </c>
      <c r="J445" s="18" t="inlineStr">
        <is>
          <t>Tờ 4
File 6</t>
        </is>
      </c>
      <c r="K445" s="18" t="inlineStr">
        <is>
          <t>calculated from printed dimensions</t>
        </is>
      </c>
      <c r="L445" s="18" t="str"/>
      <c r="M445" s="18" t="inlineStr">
        <is>
          <t>Not column shaft width.
Calculation: 500+500</t>
        </is>
      </c>
    </row>
    <row r="446" ht="36" customHeight="1">
      <c r="A446" s="18" t="inlineStr">
        <is>
          <t>S141</t>
        </is>
      </c>
      <c r="B446" s="18" t="inlineStr">
        <is>
          <t>Bề rộng móng trục G
G foundation width</t>
        </is>
      </c>
      <c r="C446" s="18" t="inlineStr">
        <is>
          <t>foundation_width</t>
        </is>
      </c>
      <c r="D446" s="18" t="inlineStr">
        <is>
          <t>Model: Z
Source: X
foundation left → foundation right</t>
        </is>
      </c>
      <c r="E446" s="37" t="n"/>
      <c r="F446" s="25" t="str"/>
      <c r="G446" s="38" t="n">
        <f>IF(OR(COUNTBLANK('Dimensions'!G320)&gt;0,COUNTBLANK('Dimensions'!G321)&gt;0),"",'Dimensions'!G320+'Dimensions'!G321)</f>
        <v>890</v>
      </c>
      <c r="H446" s="39" t="n">
        <f>IF(COUNTBLANK(G446)&gt;0,"",G446/1000)</f>
        <v>0.89</v>
      </c>
      <c r="I446" s="18" t="inlineStr">
        <is>
          <t>Tính từ bản vẽ / Derived</t>
        </is>
      </c>
      <c r="J446" s="18" t="inlineStr">
        <is>
          <t>Tờ 4
File 6</t>
        </is>
      </c>
      <c r="K446" s="18" t="inlineStr">
        <is>
          <t>calculated from printed dimensions</t>
        </is>
      </c>
      <c r="L446" s="18" t="str"/>
      <c r="M446" s="18" t="inlineStr">
        <is>
          <t>Not column shaft width.
Calculation: 560+330</t>
        </is>
      </c>
    </row>
    <row r="447" ht="36" customHeight="1">
      <c r="A447" s="18" t="inlineStr">
        <is>
          <t>S142</t>
        </is>
      </c>
      <c r="B447" s="18" t="inlineStr">
        <is>
          <t>Bề rộng móng trục H
H foundation width</t>
        </is>
      </c>
      <c r="C447" s="18" t="inlineStr">
        <is>
          <t>foundation_width</t>
        </is>
      </c>
      <c r="D447" s="18" t="inlineStr">
        <is>
          <t>Model: Z
Source: X
foundation inner → foundation outer</t>
        </is>
      </c>
      <c r="E447" s="37" t="n"/>
      <c r="F447" s="25" t="str"/>
      <c r="G447" s="38" t="n">
        <f>IF(OR(COUNTBLANK('Dimensions'!G322)&gt;0,COUNTBLANK('Dimensions'!G323)&gt;0),"",'Dimensions'!G322+'Dimensions'!G323)</f>
        <v>1165</v>
      </c>
      <c r="H447" s="39" t="n">
        <f>IF(COUNTBLANK(G447)&gt;0,"",G447/1000)</f>
        <v>1.165</v>
      </c>
      <c r="I447" s="18" t="inlineStr">
        <is>
          <t>Tính từ bản vẽ / Derived</t>
        </is>
      </c>
      <c r="J447" s="18" t="inlineStr">
        <is>
          <t>Tờ 4
File 6</t>
        </is>
      </c>
      <c r="K447" s="18" t="inlineStr">
        <is>
          <t>calculated from printed dimensions</t>
        </is>
      </c>
      <c r="L447" s="18" t="str"/>
      <c r="M447" s="18" t="inlineStr">
        <is>
          <t>Section drawing local width; foundation depth and reinforcement unspecified.
Calculation: 385+780</t>
        </is>
      </c>
    </row>
    <row r="448" ht="48" customHeight="1">
      <c r="A448" s="18" t="inlineStr">
        <is>
          <t>S143</t>
        </is>
      </c>
      <c r="B448" s="18" t="inlineStr">
        <is>
          <t>Cao đỉnh so với sân theo cao độ
Ridge-to-courtyard from levels</t>
        </is>
      </c>
      <c r="C448" s="18" t="inlineStr">
        <is>
          <t>ridge_height_from_level_arithmetic</t>
        </is>
      </c>
      <c r="D448" s="18" t="inlineStr">
        <is>
          <t>Model: Y
Source: Y
courtyard -2.080 m → ridge +12.472 m</t>
        </is>
      </c>
      <c r="E448" s="37" t="n"/>
      <c r="F448" s="25" t="str"/>
      <c r="G448" s="38" t="n">
        <f>IF(OR(COUNTBLANK('Dimensions'!G306)&gt;0,COUNTBLANK('Dimensions'!G310)&gt;0),"",'Dimensions'!G306-'Dimensions'!G310)</f>
        <v>14552</v>
      </c>
      <c r="H448" s="39" t="n">
        <f>IF(COUNTBLANK(G448)&gt;0,"",G448/1000)</f>
        <v>14.552</v>
      </c>
      <c r="I448" s="18" t="inlineStr">
        <is>
          <t>Tính từ bản vẽ / Derived</t>
        </is>
      </c>
      <c r="J448" s="18" t="inlineStr">
        <is>
          <t>Tờ 4
File 6</t>
        </is>
      </c>
      <c r="K448" s="18" t="inlineStr">
        <is>
          <t>calculated from printed dimensions</t>
        </is>
      </c>
      <c r="L448" s="18" t="str"/>
      <c r="M448" s="18" t="inlineStr">
        <is>
          <t>Conflicts with explicit14476 by76 mm; not approved replacement.
Calculation: 12472-(-2080)</t>
        </is>
      </c>
    </row>
    <row r="449" ht="36" customHeight="1">
      <c r="A449" s="18" t="inlineStr">
        <is>
          <t>S144</t>
        </is>
      </c>
      <c r="B449" s="18" t="inlineStr">
        <is>
          <t>Cốt đỉnh chân cột cung thánh
Sanctuary plinth top</t>
        </is>
      </c>
      <c r="C449" s="18" t="inlineStr">
        <is>
          <t>plinth_top_elevation</t>
        </is>
      </c>
      <c r="D449" s="18" t="inlineStr">
        <is>
          <t>Model: Y
Source: Y
finished floor → plinth top</t>
        </is>
      </c>
      <c r="E449" s="37" t="n"/>
      <c r="F449" s="25" t="str"/>
      <c r="G449" s="38" t="n">
        <f>IF(OR(COUNTBLANK('Dimensions'!G370)&gt;0,COUNTBLANK('Dimensions'!G371)&gt;0,COUNTBLANK('Dimensions'!G373)&gt;0),"",'Dimensions'!G370+'Dimensions'!G371+'Dimensions'!G373)</f>
        <v>950</v>
      </c>
      <c r="H449" s="39" t="n">
        <f>IF(COUNTBLANK(G449)&gt;0,"",G449/1000)</f>
        <v>0.95</v>
      </c>
      <c r="I449" s="18" t="inlineStr">
        <is>
          <t>Tính từ bản vẽ / Derived</t>
        </is>
      </c>
      <c r="J449" s="18" t="inlineStr">
        <is>
          <t>Tờ 5
File 7</t>
        </is>
      </c>
      <c r="K449" s="18" t="inlineStr">
        <is>
          <t>calculated from printed dimensions</t>
        </is>
      </c>
      <c r="L449" s="18" t="str"/>
      <c r="M449" s="18" t="inlineStr">
        <is>
          <t>Also750+200.
Calculation: 150+600+200</t>
        </is>
      </c>
    </row>
    <row r="450" ht="36" customHeight="1">
      <c r="A450" s="18" t="inlineStr">
        <is>
          <t>S145</t>
        </is>
      </c>
      <c r="B450" s="18" t="inlineStr">
        <is>
          <t>Đỉnh cột cung thánh
Sanctuary post top</t>
        </is>
      </c>
      <c r="C450" s="18" t="inlineStr">
        <is>
          <t>column_top_elevation</t>
        </is>
      </c>
      <c r="D450" s="18" t="inlineStr">
        <is>
          <t>Model: Y
Source: Y
finished floor → central post top</t>
        </is>
      </c>
      <c r="E450" s="37" t="n"/>
      <c r="F450" s="25" t="str"/>
      <c r="G450" s="38" t="n">
        <f>IF(OR(COUNTBLANK('Dimensions'!G372)&gt;0,COUNTBLANK('Dimensions'!G374)&gt;0,COUNTBLANK('Dimensions'!G375)&gt;0),"",'Dimensions'!G372+'Dimensions'!G374+'Dimensions'!G375)</f>
        <v>9402</v>
      </c>
      <c r="H450" s="39" t="n">
        <f>IF(COUNTBLANK(G450)&gt;0,"",G450/1000)</f>
        <v>9.402</v>
      </c>
      <c r="I450" s="18" t="inlineStr">
        <is>
          <t>Tính từ bản vẽ / Derived</t>
        </is>
      </c>
      <c r="J450" s="18" t="inlineStr">
        <is>
          <t>Tờ 5
File 7</t>
        </is>
      </c>
      <c r="K450" s="18" t="inlineStr">
        <is>
          <t>calculated from printed dimensions</t>
        </is>
      </c>
      <c r="L450" s="18" t="str"/>
      <c r="M450" s="18" t="inlineStr">
        <is>
          <t>Matches nave section600+8802.
Calculation: 750+200+8452</t>
        </is>
      </c>
    </row>
    <row r="451" ht="48" customHeight="1">
      <c r="A451" s="18" t="inlineStr">
        <is>
          <t>S146</t>
        </is>
      </c>
      <c r="B451" s="18" t="inlineStr">
        <is>
          <t>Đường tham chiếu gian bên
Sanctuary horizontal reference</t>
        </is>
      </c>
      <c r="C451" s="18" t="inlineStr">
        <is>
          <t>reference_elevation</t>
        </is>
      </c>
      <c r="D451" s="18" t="inlineStr">
        <is>
          <t>Model: Y
Source: Y
finished floor → horizontal intermediate line</t>
        </is>
      </c>
      <c r="E451" s="37" t="n"/>
      <c r="F451" s="25" t="str"/>
      <c r="G451" s="38" t="n">
        <f>IF(OR(COUNTBLANK('Dimensions'!G370)&gt;0,COUNTBLANK('Dimensions'!G381)&gt;0),"",'Dimensions'!G370+'Dimensions'!G381)</f>
        <v>3101</v>
      </c>
      <c r="H451" s="39" t="n">
        <f>IF(COUNTBLANK(G451)&gt;0,"",G451/1000)</f>
        <v>3.101</v>
      </c>
      <c r="I451" s="18" t="inlineStr">
        <is>
          <t>Tính từ bản vẽ / Derived</t>
        </is>
      </c>
      <c r="J451" s="18" t="inlineStr">
        <is>
          <t>Tờ 5
File 7</t>
        </is>
      </c>
      <c r="K451" s="18" t="inlineStr">
        <is>
          <t>calculated from printed dimensions</t>
        </is>
      </c>
      <c r="L451" s="18" t="str"/>
      <c r="M451" s="18" t="inlineStr">
        <is>
          <t>Left side door2554+396+150=3100 differs1 mm.
Calculation: 150+2951</t>
        </is>
      </c>
    </row>
    <row r="452" ht="36" customHeight="1">
      <c r="A452" s="18" t="inlineStr">
        <is>
          <t>S147</t>
        </is>
      </c>
      <c r="B452" s="18" t="inlineStr">
        <is>
          <t>Đỉnh vòm gian bên
Sanctuary side arch crown</t>
        </is>
      </c>
      <c r="C452" s="18" t="inlineStr">
        <is>
          <t>arch_crown_elevation</t>
        </is>
      </c>
      <c r="D452" s="18" t="inlineStr">
        <is>
          <t>Model: Y
Source: Y
finished floor → side arch crown</t>
        </is>
      </c>
      <c r="E452" s="37" t="n"/>
      <c r="F452" s="25" t="str"/>
      <c r="G452" s="38" t="n">
        <f>IF(OR(COUNTBLANK('Dimensions'!G370)&gt;0,COUNTBLANK('Dimensions'!G381)&gt;0,COUNTBLANK('Dimensions'!G378)&gt;0),"",'Dimensions'!G370+'Dimensions'!G381+'Dimensions'!G378)</f>
        <v>7563</v>
      </c>
      <c r="H452" s="39" t="n">
        <f>IF(COUNTBLANK(G452)&gt;0,"",G452/1000)</f>
        <v>7.563</v>
      </c>
      <c r="I452" s="18" t="inlineStr">
        <is>
          <t>Tính từ bản vẽ / Derived</t>
        </is>
      </c>
      <c r="J452" s="18" t="inlineStr">
        <is>
          <t>Tờ 5
File 7</t>
        </is>
      </c>
      <c r="K452" s="18" t="inlineStr">
        <is>
          <t>calculated from printed dimensions</t>
        </is>
      </c>
      <c r="L452" s="18" t="str"/>
      <c r="M452" s="18" t="inlineStr">
        <is>
          <t>One-mm uncertainty from adjacent left door2554+396 chain.
Calculation: 150+2951+4462</t>
        </is>
      </c>
    </row>
    <row r="453" ht="36" customHeight="1">
      <c r="A453" s="18" t="inlineStr">
        <is>
          <t>S148</t>
        </is>
      </c>
      <c r="B453" s="18" t="inlineStr">
        <is>
          <t>Tổng chuỗi cao tường ngoài
Exterior detailed cornice sum</t>
        </is>
      </c>
      <c r="C453" s="18" t="inlineStr">
        <is>
          <t>cornice_height_from_chain</t>
        </is>
      </c>
      <c r="D453" s="18" t="inlineStr">
        <is>
          <t>Model: Y
Source: Y
floor → cornice top</t>
        </is>
      </c>
      <c r="E453" s="37" t="n"/>
      <c r="F453" s="25" t="str"/>
      <c r="G453" s="38" t="n">
        <f>IF(OR(COUNTBLANK('Dimensions'!G396)&gt;0,COUNTBLANK('Dimensions'!G397)&gt;0,COUNTBLANK('Dimensions'!G398)&gt;0,COUNTBLANK('Dimensions'!G399)&gt;0,COUNTBLANK('Dimensions'!G400)&gt;0,COUNTBLANK('Dimensions'!G401)&gt;0,COUNTBLANK('Dimensions'!G402)&gt;0,COUNTBLANK('Dimensions'!G403)&gt;0,COUNTBLANK('Dimensions'!G404)&gt;0,COUNTBLANK('Dimensions'!G405)&gt;0,COUNTBLANK('Dimensions'!G406)&gt;0),"",'Dimensions'!G396+'Dimensions'!G397+'Dimensions'!G398+'Dimensions'!G399+'Dimensions'!G400+'Dimensions'!G401+'Dimensions'!G402+'Dimensions'!G403+'Dimensions'!G404+'Dimensions'!G405+'Dimensions'!G406)</f>
        <v>6325</v>
      </c>
      <c r="H453" s="39" t="n">
        <f>IF(COUNTBLANK(G453)&gt;0,"",G453/1000)</f>
        <v>6.325</v>
      </c>
      <c r="I453" s="18" t="inlineStr">
        <is>
          <t>Tính từ bản vẽ / Derived</t>
        </is>
      </c>
      <c r="J453" s="18" t="inlineStr">
        <is>
          <t>Tờ 12
File 8</t>
        </is>
      </c>
      <c r="K453" s="18" t="inlineStr">
        <is>
          <t>calculated from printed dimensions</t>
        </is>
      </c>
      <c r="L453" s="18" t="str"/>
      <c r="M453" s="18" t="inlineStr">
        <is>
          <t>Overall label6324; section level6325. Requires designer resolution.
Calculation: 850+2101+150+507+302+837+288+343+140+250+557</t>
        </is>
      </c>
    </row>
    <row r="454" ht="36" customHeight="1">
      <c r="A454" s="18" t="inlineStr">
        <is>
          <t>S149</t>
        </is>
      </c>
      <c r="B454" s="18" t="inlineStr">
        <is>
          <t>Đỉnh trang trí theo tổng cao
Finial tip from labeled total</t>
        </is>
      </c>
      <c r="C454" s="18" t="inlineStr">
        <is>
          <t>finial_top_elevation</t>
        </is>
      </c>
      <c r="D454" s="18" t="inlineStr">
        <is>
          <t>Model: Y
Source: Y
floor → finial tip</t>
        </is>
      </c>
      <c r="E454" s="37" t="n"/>
      <c r="F454" s="25" t="str"/>
      <c r="G454" s="38" t="n">
        <f>IF(OR(COUNTBLANK('Dimensions'!G393)&gt;0,COUNTBLANK('Dimensions'!G394)&gt;0,COUNTBLANK('Dimensions'!G395)&gt;0),"",'Dimensions'!G393+'Dimensions'!G394+'Dimensions'!G395)</f>
        <v>8026</v>
      </c>
      <c r="H454" s="39" t="n">
        <f>IF(COUNTBLANK(G454)&gt;0,"",G454/1000)</f>
        <v>8.026</v>
      </c>
      <c r="I454" s="18" t="inlineStr">
        <is>
          <t>Tính từ bản vẽ / Derived</t>
        </is>
      </c>
      <c r="J454" s="18" t="inlineStr">
        <is>
          <t>Tờ 12
File 8</t>
        </is>
      </c>
      <c r="K454" s="18" t="inlineStr">
        <is>
          <t>calculated from printed dimensions</t>
        </is>
      </c>
      <c r="L454" s="18" t="str"/>
      <c r="M454" s="18" t="inlineStr">
        <is>
          <t>If6325 cornice is used, tip becomes8027. Neither should override the source conflict.
Calculation: 6324+750+952</t>
        </is>
      </c>
    </row>
    <row r="455" ht="36" customHeight="1">
      <c r="A455" s="18" t="inlineStr">
        <is>
          <t>S150</t>
        </is>
      </c>
      <c r="B455" s="18" t="inlineStr">
        <is>
          <t>Đỉnh vòm cửa sổ ngoài
Exterior window inner arch crown</t>
        </is>
      </c>
      <c r="C455" s="18" t="inlineStr">
        <is>
          <t>arch_crown_height</t>
        </is>
      </c>
      <c r="D455" s="18" t="inlineStr">
        <is>
          <t>Model: Y
Source: Y
floor → inner arch crown</t>
        </is>
      </c>
      <c r="E455" s="37" t="n"/>
      <c r="F455" s="25" t="str"/>
      <c r="G455" s="38" t="n">
        <f>IF(OR(COUNTBLANK('Dimensions'!G396)&gt;0,COUNTBLANK('Dimensions'!G397)&gt;0,COUNTBLANK('Dimensions'!G398)&gt;0,COUNTBLANK('Dimensions'!G399)&gt;0),"",'Dimensions'!G396+'Dimensions'!G397+'Dimensions'!G398+'Dimensions'!G399)</f>
        <v>3608</v>
      </c>
      <c r="H455" s="39" t="n">
        <f>IF(COUNTBLANK(G455)&gt;0,"",G455/1000)</f>
        <v>3.608</v>
      </c>
      <c r="I455" s="18" t="inlineStr">
        <is>
          <t>Tính từ bản vẽ / Derived</t>
        </is>
      </c>
      <c r="J455" s="18" t="inlineStr">
        <is>
          <t>Tờ 12
File 8</t>
        </is>
      </c>
      <c r="K455" s="18" t="inlineStr">
        <is>
          <t>calculated from printed dimensions</t>
        </is>
      </c>
      <c r="L455" s="18" t="str"/>
      <c r="M455" s="18" t="inlineStr">
        <is>
          <t>Exterior veranda opening; not same opening geometry as interior2250-wide window.
Calculation: 850+2101+150+507</t>
        </is>
      </c>
    </row>
    <row r="456" ht="36" customHeight="1">
      <c r="A456" s="18" t="inlineStr">
        <is>
          <t>S151</t>
        </is>
      </c>
      <c r="B456" s="18" t="inlineStr">
        <is>
          <t>Cao đỉnh vòm cửa sổ trong
Interior window fanlight crown</t>
        </is>
      </c>
      <c r="C456" s="18" t="inlineStr">
        <is>
          <t>fanlight_crown_height</t>
        </is>
      </c>
      <c r="D456" s="18" t="inlineStr">
        <is>
          <t>Model: Y
Source: Y
floor → fanlight crown</t>
        </is>
      </c>
      <c r="E456" s="37" t="n"/>
      <c r="F456" s="25" t="str"/>
      <c r="G456" s="38" t="n">
        <f>IF(OR(COUNTBLANK('Dimensions'!G410)&gt;0,COUNTBLANK('Dimensions'!G411)&gt;0,COUNTBLANK('Dimensions'!G412)&gt;0,COUNTBLANK('Dimensions'!G413)&gt;0),"",'Dimensions'!G410+'Dimensions'!G411+'Dimensions'!G412+'Dimensions'!G413)</f>
        <v>4311</v>
      </c>
      <c r="H456" s="39" t="n">
        <f>IF(COUNTBLANK(G456)&gt;0,"",G456/1000)</f>
        <v>4.311</v>
      </c>
      <c r="I456" s="18" t="inlineStr">
        <is>
          <t>Tính từ bản vẽ / Derived</t>
        </is>
      </c>
      <c r="J456" s="18" t="inlineStr">
        <is>
          <t>Tờ 12
File 8</t>
        </is>
      </c>
      <c r="K456" s="18" t="inlineStr">
        <is>
          <t>calculated from printed dimensions</t>
        </is>
      </c>
      <c r="L456" s="18" t="str"/>
      <c r="M456" s="18" t="inlineStr">
        <is>
          <t>Arch curve radii are not supplied.
Calculation: 650+2301+220+1140</t>
        </is>
      </c>
    </row>
    <row r="457" ht="36" customHeight="1">
      <c r="A457" s="18" t="inlineStr">
        <is>
          <t>S152</t>
        </is>
      </c>
      <c r="B457" s="18" t="inlineStr">
        <is>
          <t>Cao đỉnh tường trong
Interior side wall top</t>
        </is>
      </c>
      <c r="C457" s="18" t="inlineStr">
        <is>
          <t>wall_top_height</t>
        </is>
      </c>
      <c r="D457" s="18" t="inlineStr">
        <is>
          <t>Model: Y
Source: Y
floor → wall top</t>
        </is>
      </c>
      <c r="E457" s="37" t="n"/>
      <c r="F457" s="25" t="str"/>
      <c r="G457" s="38" t="n">
        <f>IF(OR(COUNTBLANK('Dimensions'!G410)&gt;0,COUNTBLANK('Dimensions'!G411)&gt;0,COUNTBLANK('Dimensions'!G412)&gt;0,COUNTBLANK('Dimensions'!G413)&gt;0,COUNTBLANK('Dimensions'!G414)&gt;0,COUNTBLANK('Dimensions'!G415)&gt;0),"",'Dimensions'!G410+'Dimensions'!G411+'Dimensions'!G412+'Dimensions'!G413+'Dimensions'!G414+'Dimensions'!G415)</f>
        <v>7057</v>
      </c>
      <c r="H457" s="39" t="n">
        <f>IF(COUNTBLANK(G457)&gt;0,"",G457/1000)</f>
        <v>7.057</v>
      </c>
      <c r="I457" s="18" t="inlineStr">
        <is>
          <t>Tính từ bản vẽ / Derived</t>
        </is>
      </c>
      <c r="J457" s="18" t="inlineStr">
        <is>
          <t>Tờ 12
File 8</t>
        </is>
      </c>
      <c r="K457" s="18" t="inlineStr">
        <is>
          <t>calculated from printed dimensions</t>
        </is>
      </c>
      <c r="L457" s="18" t="str"/>
      <c r="M457" s="18" t="inlineStr">
        <is>
          <t>Top of wall in detail; do not conflate with exterior cornice6324/6325 or section roof level7130.
Calculation: 650+2301+220+1140+394+2352</t>
        </is>
      </c>
    </row>
    <row r="458" ht="36" customHeight="1">
      <c r="A458" s="18" t="inlineStr">
        <is>
          <t>S153</t>
        </is>
      </c>
      <c r="B458" s="18" t="inlineStr">
        <is>
          <t>Đỉnh vòm cửa đi ngoài
Exterior doorway crown</t>
        </is>
      </c>
      <c r="C458" s="18" t="inlineStr">
        <is>
          <t>arch_crown_height</t>
        </is>
      </c>
      <c r="D458" s="18" t="inlineStr">
        <is>
          <t>Model: Y
Source: Y
floor → arch crown</t>
        </is>
      </c>
      <c r="E458" s="37" t="n"/>
      <c r="F458" s="25" t="str"/>
      <c r="G458" s="38" t="n">
        <f>IF(OR(COUNTBLANK('Dimensions'!G429)&gt;0,COUNTBLANK('Dimensions'!G430)&gt;0),"",'Dimensions'!G429+'Dimensions'!G430)</f>
        <v>4241</v>
      </c>
      <c r="H458" s="39" t="n">
        <f>IF(COUNTBLANK(G458)&gt;0,"",G458/1000)</f>
        <v>4.241</v>
      </c>
      <c r="I458" s="18" t="inlineStr">
        <is>
          <t>Tính từ bản vẽ / Derived</t>
        </is>
      </c>
      <c r="J458" s="18" t="inlineStr">
        <is>
          <t>Tờ 13
File 9</t>
        </is>
      </c>
      <c r="K458" s="18" t="inlineStr">
        <is>
          <t>calculated from printed dimensions</t>
        </is>
      </c>
      <c r="L458" s="18" t="str"/>
      <c r="M458" s="18" t="inlineStr">
        <is>
          <t>Interior fanlight crown is4311:70 mm difference; surfaces/details must be reconciled.
Calculation: 3101+1140</t>
        </is>
      </c>
    </row>
    <row r="459" ht="36" customHeight="1">
      <c r="A459" s="18" t="inlineStr">
        <is>
          <t>S154</t>
        </is>
      </c>
      <c r="B459" s="18" t="inlineStr">
        <is>
          <t>Đỉnh vòm cửa đi trong
Interior doorway fanlight crown</t>
        </is>
      </c>
      <c r="C459" s="18" t="inlineStr">
        <is>
          <t>arch_crown_height</t>
        </is>
      </c>
      <c r="D459" s="18" t="inlineStr">
        <is>
          <t>Model: Y
Source: Y
floor → fanlight crown</t>
        </is>
      </c>
      <c r="E459" s="37" t="n"/>
      <c r="F459" s="25" t="str"/>
      <c r="G459" s="38" t="n">
        <f>IF(OR(COUNTBLANK('Dimensions'!G435)&gt;0,COUNTBLANK('Dimensions'!G436)&gt;0,COUNTBLANK('Dimensions'!G437)&gt;0),"",'Dimensions'!G435+'Dimensions'!G436+'Dimensions'!G437)</f>
        <v>4311</v>
      </c>
      <c r="H459" s="39" t="n">
        <f>IF(COUNTBLANK(G459)&gt;0,"",G459/1000)</f>
        <v>4.311</v>
      </c>
      <c r="I459" s="18" t="inlineStr">
        <is>
          <t>Tính từ bản vẽ / Derived</t>
        </is>
      </c>
      <c r="J459" s="18" t="inlineStr">
        <is>
          <t>Tờ 13
File 9</t>
        </is>
      </c>
      <c r="K459" s="18" t="inlineStr">
        <is>
          <t>calculated from printed dimensions</t>
        </is>
      </c>
      <c r="L459" s="18" t="str"/>
      <c r="M459" s="18" t="inlineStr">
        <is>
          <t>Exterior arch crown is4241. Retain the separate source dimensions.
Calculation: 2951+220+1140</t>
        </is>
      </c>
    </row>
    <row r="460" ht="36" customHeight="1">
      <c r="A460" s="18" t="inlineStr">
        <is>
          <t>S155</t>
        </is>
      </c>
      <c r="B460" s="18" t="inlineStr">
        <is>
          <t>Đỉnh tường trong cửa đi
Interior doorway wall top</t>
        </is>
      </c>
      <c r="C460" s="18" t="inlineStr">
        <is>
          <t>wall_top_height</t>
        </is>
      </c>
      <c r="D460" s="18" t="inlineStr">
        <is>
          <t>Model: Y
Source: Y
floor → wall top</t>
        </is>
      </c>
      <c r="E460" s="37" t="n"/>
      <c r="F460" s="25" t="str"/>
      <c r="G460" s="38" t="n">
        <f>IF(OR(COUNTBLANK('Dimensions'!G435)&gt;0,COUNTBLANK('Dimensions'!G436)&gt;0,COUNTBLANK('Dimensions'!G437)&gt;0,COUNTBLANK('Dimensions'!G438)&gt;0,COUNTBLANK('Dimensions'!G439)&gt;0),"",'Dimensions'!G435+'Dimensions'!G436+'Dimensions'!G437+'Dimensions'!G438+'Dimensions'!G439)</f>
        <v>7057</v>
      </c>
      <c r="H460" s="39" t="n">
        <f>IF(COUNTBLANK(G460)&gt;0,"",G460/1000)</f>
        <v>7.057</v>
      </c>
      <c r="I460" s="18" t="inlineStr">
        <is>
          <t>Tính từ bản vẽ / Derived</t>
        </is>
      </c>
      <c r="J460" s="18" t="inlineStr">
        <is>
          <t>Tờ 13
File 9</t>
        </is>
      </c>
      <c r="K460" s="18" t="inlineStr">
        <is>
          <t>calculated from printed dimensions</t>
        </is>
      </c>
      <c r="L460" s="18" t="str"/>
      <c r="M460" s="18" t="inlineStr">
        <is>
          <t>Agrees with the window interior detail sum.
Calculation: 2951+220+1140+394+2352</t>
        </is>
      </c>
    </row>
    <row r="461" ht="36" customHeight="1">
      <c r="A461" s="18" t="inlineStr">
        <is>
          <t>S156</t>
        </is>
      </c>
      <c r="B461" s="18" t="inlineStr">
        <is>
          <t>Cần xác nhận thiết kế
Designer clarification required</t>
        </is>
      </c>
      <c r="C461" s="18" t="inlineStr">
        <is>
          <t>RFI-S01</t>
        </is>
      </c>
      <c r="D461" s="18" t="inlineStr">
        <is>
          <t>source drawing → designer confirmation</t>
        </is>
      </c>
      <c r="E461" s="37" t="n"/>
      <c r="F461" s="25" t="inlineStr">
        <is>
          <t>mm</t>
        </is>
      </c>
      <c r="G461" s="38" t="n"/>
      <c r="H461" s="39" t="str">
        <f>IF(COUNTBLANK(G461)&gt;0,"",G461/1000)</f>
      </c>
      <c r="I461" s="18" t="inlineStr">
        <is>
          <t>Cần xác nhận / Unresolved</t>
        </is>
      </c>
      <c r="J461" s="18" t="inlineStr">
        <is>
          <t>Tờ 4
File 6</t>
        </is>
      </c>
      <c r="K461" s="18" t="inlineStr">
        <is>
          <t>see RFI register</t>
        </is>
      </c>
      <c r="L461" s="18" t="str"/>
      <c r="M461" s="18" t="inlineStr">
        <is>
          <t>76 mm section height conflict: Both section sheets label ridge +12.472 m and courtyard −2.08 m, giving14552 mm; overall dimension14476 mm differs76 mm. Obtain corrected level/overall dimension from designer.</t>
        </is>
      </c>
    </row>
    <row r="462" ht="24" customHeight="1">
      <c r="A462" s="18" t="inlineStr">
        <is>
          <t>S157</t>
        </is>
      </c>
      <c r="B462" s="18" t="inlineStr">
        <is>
          <t>Cần xác nhận thiết kế
Designer clarification required</t>
        </is>
      </c>
      <c r="C462" s="18" t="inlineStr">
        <is>
          <t>RFI-S02</t>
        </is>
      </c>
      <c r="D462" s="18" t="inlineStr">
        <is>
          <t>source drawing → designer confirmation</t>
        </is>
      </c>
      <c r="E462" s="37" t="n"/>
      <c r="F462" s="25" t="inlineStr">
        <is>
          <t>mm</t>
        </is>
      </c>
      <c r="G462" s="38" t="n"/>
      <c r="H462" s="39" t="str">
        <f>IF(COUNTBLANK(G462)&gt;0,"",G462/1000)</f>
      </c>
      <c r="I462" s="18" t="inlineStr">
        <is>
          <t>Cần xác nhận / Unresolved</t>
        </is>
      </c>
      <c r="J462" s="18" t="inlineStr">
        <is>
          <t>Tờ 4
File 6</t>
        </is>
      </c>
      <c r="K462" s="18" t="inlineStr">
        <is>
          <t>see RFI register</t>
        </is>
      </c>
      <c r="L462" s="18" t="str"/>
      <c r="M462" s="18" t="inlineStr">
        <is>
          <t>1 mm exterior cornice conflict: Section +6.325 m and exterior detail chain6325 mm conflict with overall6324 mm on printed sheets12/13.</t>
        </is>
      </c>
    </row>
    <row r="463" ht="24" customHeight="1">
      <c r="A463" s="18" t="inlineStr">
        <is>
          <t>S158</t>
        </is>
      </c>
      <c r="B463" s="18" t="inlineStr">
        <is>
          <t>Cần xác nhận thiết kế
Designer clarification required</t>
        </is>
      </c>
      <c r="C463" s="18" t="inlineStr">
        <is>
          <t>RFI-S03</t>
        </is>
      </c>
      <c r="D463" s="18" t="inlineStr">
        <is>
          <t>source drawing → designer confirmation</t>
        </is>
      </c>
      <c r="E463" s="37" t="n"/>
      <c r="F463" s="25" t="inlineStr">
        <is>
          <t>mm</t>
        </is>
      </c>
      <c r="G463" s="38" t="n"/>
      <c r="H463" s="39" t="str">
        <f>IF(COUNTBLANK(G463)&gt;0,"",G463/1000)</f>
      </c>
      <c r="I463" s="18" t="inlineStr">
        <is>
          <t>Cần xác nhận / Unresolved</t>
        </is>
      </c>
      <c r="J463" s="18" t="inlineStr">
        <is>
          <t>Tờ 4
File 6</t>
        </is>
      </c>
      <c r="K463" s="18" t="inlineStr">
        <is>
          <t>see RFI register</t>
        </is>
      </c>
      <c r="L463" s="18" t="str"/>
      <c r="M463" s="18" t="inlineStr">
        <is>
          <t>1 mm sanctuary doorway chain conflict: Printed2554+396=2950 mm, while aligned right-side dimension is2951 mm. Verify reference surfaces/tolerance.</t>
        </is>
      </c>
    </row>
    <row r="464" ht="36" customHeight="1">
      <c r="A464" s="18" t="inlineStr">
        <is>
          <t>S159</t>
        </is>
      </c>
      <c r="B464" s="18" t="inlineStr">
        <is>
          <t>Cần xác nhận thiết kế
Designer clarification required</t>
        </is>
      </c>
      <c r="C464" s="18" t="inlineStr">
        <is>
          <t>RFI-S04</t>
        </is>
      </c>
      <c r="D464" s="18" t="inlineStr">
        <is>
          <t>source drawing → designer confirmation</t>
        </is>
      </c>
      <c r="E464" s="37" t="n"/>
      <c r="F464" s="25" t="inlineStr">
        <is>
          <t>mm</t>
        </is>
      </c>
      <c r="G464" s="38" t="n"/>
      <c r="H464" s="39" t="str">
        <f>IF(COUNTBLANK(G464)&gt;0,"",G464/1000)</f>
      </c>
      <c r="I464" s="18" t="inlineStr">
        <is>
          <t>Cần xác nhận / Unresolved</t>
        </is>
      </c>
      <c r="J464" s="18" t="inlineStr">
        <is>
          <t>Tờ 4
File 6</t>
        </is>
      </c>
      <c r="K464" s="18" t="inlineStr">
        <is>
          <t>see RFI register</t>
        </is>
      </c>
      <c r="L464" s="18" t="str"/>
      <c r="M464" s="18" t="inlineStr">
        <is>
          <t>Interior/exterior door head relationship: Exterior doorway springline3101+rise1140 gives4241 mm; interior doorway2951+band220+rise1140 gives4311 mm. Clarify70 mm offset and wall locations before modeling a shared opening.</t>
        </is>
      </c>
    </row>
    <row r="465" ht="48" customHeight="1">
      <c r="A465" s="18" t="inlineStr">
        <is>
          <t>S160</t>
        </is>
      </c>
      <c r="B465" s="18" t="inlineStr">
        <is>
          <t>Cần xác nhận thiết kế
Designer clarification required</t>
        </is>
      </c>
      <c r="C465" s="18" t="inlineStr">
        <is>
          <t>RFI-S05</t>
        </is>
      </c>
      <c r="D465" s="18" t="inlineStr">
        <is>
          <t>source drawing → designer confirmation</t>
        </is>
      </c>
      <c r="E465" s="37" t="n"/>
      <c r="F465" s="25" t="inlineStr">
        <is>
          <t>mm</t>
        </is>
      </c>
      <c r="G465" s="38" t="n"/>
      <c r="H465" s="39" t="str">
        <f>IF(COUNTBLANK(G465)&gt;0,"",G465/1000)</f>
      </c>
      <c r="I465" s="18" t="inlineStr">
        <is>
          <t>Cần xác nhận / Unresolved</t>
        </is>
      </c>
      <c r="J465" s="18" t="inlineStr">
        <is>
          <t>Tờ 4
File 6</t>
        </is>
      </c>
      <c r="K465" s="18" t="inlineStr">
        <is>
          <t>see RFI register</t>
        </is>
      </c>
      <c r="L465" s="18" t="str"/>
      <c r="M465" s="18" t="inlineStr">
        <is>
          <t>Roof pitch, member sections and overhang: Roof form and material notes are supplied, but no pitch angle, purlin spacing/section, truss joints, tile thickness, roof overhang dimensions, or complete support contact elevations are given in these four sheets. Need roof framing/details or CAD geometry.</t>
        </is>
      </c>
    </row>
    <row r="466" ht="48" customHeight="1">
      <c r="A466" s="18" t="inlineStr">
        <is>
          <t>S161</t>
        </is>
      </c>
      <c r="B466" s="18" t="inlineStr">
        <is>
          <t>Cần xác nhận thiết kế
Designer clarification required</t>
        </is>
      </c>
      <c r="C466" s="18" t="inlineStr">
        <is>
          <t>RFI-S06</t>
        </is>
      </c>
      <c r="D466" s="18" t="inlineStr">
        <is>
          <t>source drawing → designer confirmation</t>
        </is>
      </c>
      <c r="E466" s="37" t="n"/>
      <c r="F466" s="25" t="inlineStr">
        <is>
          <t>mm</t>
        </is>
      </c>
      <c r="G466" s="38" t="n"/>
      <c r="H466" s="39" t="str">
        <f>IF(COUNTBLANK(G466)&gt;0,"",G466/1000)</f>
      </c>
      <c r="I466" s="18" t="inlineStr">
        <is>
          <t>Cần xác nhận / Unresolved</t>
        </is>
      </c>
      <c r="J466" s="18" t="inlineStr">
        <is>
          <t>Tờ 4
File 6</t>
        </is>
      </c>
      <c r="K466" s="18" t="inlineStr">
        <is>
          <t>see RFI register</t>
        </is>
      </c>
      <c r="L466" s="18" t="str"/>
      <c r="M466" s="18" t="inlineStr">
        <is>
          <t>Arches, rosette and ornament surfaces: Arch bounding widths/rises exist, but radii/centres, curve control points, molding widths/depths, column flutes/capitals, rosette outer diameter/thickness, finial cross-sections and ornamental relief depths are absent. Use original DWG/DXF curves or architect-approved tracing, tagged traced not exact.</t>
        </is>
      </c>
    </row>
    <row r="467" ht="36" customHeight="1">
      <c r="A467" s="18" t="inlineStr">
        <is>
          <t>S162</t>
        </is>
      </c>
      <c r="B467" s="18" t="inlineStr">
        <is>
          <t>Cần xác nhận thiết kế
Designer clarification required</t>
        </is>
      </c>
      <c r="C467" s="18" t="inlineStr">
        <is>
          <t>RFI-S07</t>
        </is>
      </c>
      <c r="D467" s="18" t="inlineStr">
        <is>
          <t>source drawing → designer confirmation</t>
        </is>
      </c>
      <c r="E467" s="37" t="n"/>
      <c r="F467" s="25" t="inlineStr">
        <is>
          <t>mm</t>
        </is>
      </c>
      <c r="G467" s="38" t="n"/>
      <c r="H467" s="39" t="str">
        <f>IF(COUNTBLANK(G467)&gt;0,"",G467/1000)</f>
      </c>
      <c r="I467" s="18" t="inlineStr">
        <is>
          <t>Cần xác nhận / Unresolved</t>
        </is>
      </c>
      <c r="J467" s="18" t="inlineStr">
        <is>
          <t>Tờ 4
File 6</t>
        </is>
      </c>
      <c r="K467" s="18" t="inlineStr">
        <is>
          <t>see RFI register</t>
        </is>
      </c>
      <c r="L467" s="18" t="str"/>
      <c r="M467" s="18" t="inlineStr">
        <is>
          <t>Column and foundation engineering details: Shown foundation offsets are not column shaft sizes; exact post cross-sections, taper, footing depth, concrete grades and reinforcing details are absent from these architectural sections.</t>
        </is>
      </c>
    </row>
    <row r="468" ht="36" customHeight="1">
      <c r="A468" s="18" t="inlineStr">
        <is>
          <t>S163</t>
        </is>
      </c>
      <c r="B468" s="18" t="inlineStr">
        <is>
          <t>Cần xác nhận thiết kế
Designer clarification required</t>
        </is>
      </c>
      <c r="C468" s="18" t="inlineStr">
        <is>
          <t>RFI-S08</t>
        </is>
      </c>
      <c r="D468" s="18" t="inlineStr">
        <is>
          <t>source drawing → designer confirmation</t>
        </is>
      </c>
      <c r="E468" s="37" t="n"/>
      <c r="F468" s="25" t="inlineStr">
        <is>
          <t>mm</t>
        </is>
      </c>
      <c r="G468" s="38" t="n"/>
      <c r="H468" s="39" t="str">
        <f>IF(COUNTBLANK(G468)&gt;0,"",G468/1000)</f>
      </c>
      <c r="I468" s="18" t="inlineStr">
        <is>
          <t>Cần xác nhận / Unresolved</t>
        </is>
      </c>
      <c r="J468" s="18" t="inlineStr">
        <is>
          <t>Tờ 4
File 6</t>
        </is>
      </c>
      <c r="K468" s="18" t="inlineStr">
        <is>
          <t>see RFI register</t>
        </is>
      </c>
      <c r="L468" s="18" t="str"/>
      <c r="M468" s="18" t="inlineStr">
        <is>
          <t>Floor and finish thicknesses: Concrete floor slab8 cm, veranda roof RC13 cm and material descriptions exist, but natural-stone thickness, sand-fill depth, waterproofing, roof-tile thickness and finish buildup are unspecified.</t>
        </is>
      </c>
    </row>
    <row r="469" ht="60" customHeight="1">
      <c r="A469" s="18" t="inlineStr">
        <is>
          <t>S164</t>
        </is>
      </c>
      <c r="B469" s="18" t="inlineStr">
        <is>
          <t>Cần xác nhận thiết kế
Designer clarification required</t>
        </is>
      </c>
      <c r="C469" s="18" t="inlineStr">
        <is>
          <t>RFI-S09</t>
        </is>
      </c>
      <c r="D469" s="18" t="inlineStr">
        <is>
          <t>source drawing → designer confirmation</t>
        </is>
      </c>
      <c r="E469" s="37" t="n"/>
      <c r="F469" s="25" t="inlineStr">
        <is>
          <t>mm</t>
        </is>
      </c>
      <c r="G469" s="38" t="n"/>
      <c r="H469" s="39" t="str">
        <f>IF(COUNTBLANK(G469)&gt;0,"",G469/1000)</f>
      </c>
      <c r="I469" s="18" t="inlineStr">
        <is>
          <t>Cần xác nhận / Unresolved</t>
        </is>
      </c>
      <c r="J469" s="18" t="inlineStr">
        <is>
          <t>Tờ 4
File 6</t>
        </is>
      </c>
      <c r="K469" s="18" t="inlineStr">
        <is>
          <t>see RFI register</t>
        </is>
      </c>
      <c r="L469" s="18" t="str"/>
      <c r="M469" s="18" t="inlineStr">
        <is>
          <t>Sanctuary steps and altar furniture: Dais elevations are supplied; stair width/run/treads, altar dimensions/location, liturgical furniture and detailed handrails are not dimensioned in these four sheets.
Cross-reference: Ground plan contains selected stage offsets and a1900×870 unlabeled feature in P111–P127. Exact furniture identity, all step details and handrails remain unspecified.</t>
        </is>
      </c>
    </row>
    <row r="470" ht="36" customHeight="1">
      <c r="A470" s="18" t="inlineStr">
        <is>
          <t>S165</t>
        </is>
      </c>
      <c r="B470" s="18" t="inlineStr">
        <is>
          <t>Cần xác nhận thiết kế
Designer clarification required</t>
        </is>
      </c>
      <c r="C470" s="18" t="inlineStr">
        <is>
          <t>RFI-S10</t>
        </is>
      </c>
      <c r="D470" s="18" t="inlineStr">
        <is>
          <t>source drawing → designer confirmation</t>
        </is>
      </c>
      <c r="E470" s="37" t="n"/>
      <c r="F470" s="25" t="inlineStr">
        <is>
          <t>mm</t>
        </is>
      </c>
      <c r="G470" s="38" t="n"/>
      <c r="H470" s="39" t="str">
        <f>IF(COUNTBLANK(G470)&gt;0,"",G470/1000)</f>
      </c>
      <c r="I470" s="18" t="inlineStr">
        <is>
          <t>Cần xác nhận / Unresolved</t>
        </is>
      </c>
      <c r="J470" s="18" t="inlineStr">
        <is>
          <t>Tờ 4
File 6</t>
        </is>
      </c>
      <c r="K470" s="18" t="inlineStr">
        <is>
          <t>see RFI register</t>
        </is>
      </c>
      <c r="L470" s="18" t="str"/>
      <c r="M470" s="18" t="inlineStr">
        <is>
          <t>Interior versus exterior window identity: Printed sheet12 exterior is a pair of1000-wide openings with850 sill; interior is one2250-wide opening with650 sill. They correspond to different wall/arcade planes. Do not fuse them into one window without plan confirmation.</t>
        </is>
      </c>
    </row>
  </sheetData>
  <conditionalFormatting sqref="I8:I470">
    <cfRule type="containsText" priority="1" operator="containsText" dxfId="0" text="Unresolved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176E72"/>
    <outlinePr summaryBelow="1" summaryRight="1"/>
    <pageSetUpPr/>
  </sheetPr>
  <dimension ref="A1:H58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18" customWidth="1" min="5" max="5"/>
    <col width="28" customWidth="1" min="6" max="6"/>
    <col width="31" customWidth="1" min="7" max="7"/>
    <col width="74" customWidth="1" min="8" max="8"/>
  </cols>
  <sheetData>
    <row r="1" ht="25" customHeight="1">
      <c r="A1" s="36" t="n"/>
      <c r="B1" s="36" t="n"/>
      <c r="C1" s="36" t="n"/>
      <c r="D1" s="36" t="n"/>
      <c r="E1" s="36" t="n"/>
      <c r="F1" s="36" t="n"/>
      <c r="G1" s="36" t="n"/>
      <c r="H1" s="36" t="n"/>
    </row>
    <row r="2" ht="25" customHeight="1">
      <c r="A2" s="3" t="inlineStr">
        <is>
          <t>TỌA ĐỘ MÔ HÌNH / MODEL COORDINATES</t>
        </is>
      </c>
      <c r="B2" s="36" t="n"/>
      <c r="C2" s="36" t="n"/>
      <c r="D2" s="36" t="n"/>
      <c r="E2" s="36" t="n"/>
      <c r="F2" s="36" t="n"/>
      <c r="G2" s="36" t="n"/>
      <c r="H2" s="36" t="n"/>
    </row>
    <row r="3" ht="25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4" ht="25" customHeight="1">
      <c r="A4" s="5" t="inlineStr">
        <is>
          <t>X=0 tại trục 1. Y=0 tại sàn gian chính. Z=0 tại trung điểm D–E; Z dương về H/I.</t>
        </is>
      </c>
      <c r="B4" s="36" t="n"/>
      <c r="C4" s="36" t="n"/>
      <c r="D4" s="36" t="n"/>
      <c r="E4" s="36" t="n"/>
      <c r="F4" s="36" t="n"/>
      <c r="G4" s="36" t="n"/>
      <c r="H4" s="36" t="n"/>
    </row>
    <row r="5" ht="25" customHeight="1">
      <c r="A5" s="36" t="n"/>
      <c r="B5" s="36" t="n"/>
      <c r="C5" s="36" t="n"/>
      <c r="D5" s="36" t="n"/>
      <c r="E5" s="36" t="n"/>
      <c r="F5" s="36" t="n"/>
      <c r="G5" s="36" t="n"/>
      <c r="H5" s="36" t="n"/>
    </row>
    <row r="6" ht="25" customHeight="1">
      <c r="A6" s="36" t="n"/>
      <c r="B6" s="36" t="n"/>
      <c r="C6" s="36" t="n"/>
      <c r="D6" s="36" t="n"/>
      <c r="E6" s="36" t="n"/>
      <c r="F6" s="36" t="n"/>
      <c r="G6" s="36" t="n"/>
      <c r="H6" s="36" t="n"/>
    </row>
    <row r="7" ht="38" customHeight="1">
      <c r="A7" s="14" t="inlineStr">
        <is>
          <t>Trục 3D / Axis</t>
        </is>
      </c>
      <c r="B7" s="15" t="inlineStr">
        <is>
          <t>Trục hoặc cao độ / Grid or level</t>
        </is>
      </c>
      <c r="C7" s="15" t="inlineStr">
        <is>
          <t>Bước trục (mm)</t>
        </is>
      </c>
      <c r="D7" s="15" t="inlineStr">
        <is>
          <t>Tọa độ (mm)</t>
        </is>
      </c>
      <c r="E7" s="15" t="inlineStr">
        <is>
          <t>Tọa độ (m)</t>
        </is>
      </c>
      <c r="F7" s="15" t="inlineStr">
        <is>
          <t>Mã nguồn / Source ID</t>
        </is>
      </c>
      <c r="G7" s="15" t="inlineStr">
        <is>
          <t>Cơ sở / Basis</t>
        </is>
      </c>
      <c r="H7" s="16" t="inlineStr">
        <is>
          <t>Ghi chú / Notes</t>
        </is>
      </c>
    </row>
    <row r="8" ht="15" customHeight="1">
      <c r="A8" s="18" t="inlineStr">
        <is>
          <t>X</t>
        </is>
      </c>
      <c r="B8" s="18" t="inlineStr">
        <is>
          <t>1</t>
        </is>
      </c>
      <c r="C8" s="38" t="n"/>
      <c r="D8" s="38" t="n">
        <f>IF(OR(COUNTBLANK('Dimensions'!G135)&gt;0),"",'Dimensions'!G135)</f>
        <v>0</v>
      </c>
      <c r="E8" s="39" t="n">
        <f>IF(COUNTBLANK(D8)&gt;0,"",D8/1000)</f>
        <v>0</v>
      </c>
      <c r="F8" s="18" t="inlineStr">
        <is>
          <t>P128</t>
        </is>
      </c>
      <c r="G8" s="18" t="inlineStr">
        <is>
          <t>Model coordinate origin</t>
        </is>
      </c>
      <c r="H8" s="18" t="inlineStr">
        <is>
          <t>X=0 tại trục 1. Y=0 tại sàn gian chính. Z=0 tại trung điểm D–E; Z dương về H/I.</t>
        </is>
      </c>
    </row>
    <row r="9" ht="15" customHeight="1">
      <c r="A9" s="18" t="inlineStr">
        <is>
          <t>X</t>
        </is>
      </c>
      <c r="B9" s="18" t="inlineStr">
        <is>
          <t>2</t>
        </is>
      </c>
      <c r="C9" s="38" t="n">
        <f>IF(OR(COUNTBLANK('Dimensions'!G8)&gt;0),"",'Dimensions'!G8)</f>
        <v>4900</v>
      </c>
      <c r="D9" s="38" t="n">
        <f>IF(OR(COUNTBLANK('Dimensions'!G136)&gt;0),"",'Dimensions'!G136)</f>
        <v>4900</v>
      </c>
      <c r="E9" s="39" t="n">
        <f>IF(COUNTBLANK(D9)&gt;0,"",D9/1000)</f>
        <v>4.9</v>
      </c>
      <c r="F9" s="18" t="inlineStr">
        <is>
          <t>P001, P129</t>
        </is>
      </c>
      <c r="G9" s="18" t="inlineStr">
        <is>
          <t>Cumulative plan grid</t>
        </is>
      </c>
      <c r="H9" s="18" t="inlineStr">
        <is>
          <t>Tâm trục / Grid centerline</t>
        </is>
      </c>
    </row>
    <row r="10" ht="15" customHeight="1">
      <c r="A10" s="18" t="inlineStr">
        <is>
          <t>X</t>
        </is>
      </c>
      <c r="B10" s="18" t="inlineStr">
        <is>
          <t>2′</t>
        </is>
      </c>
      <c r="C10" s="38" t="n">
        <f>IF(OR(COUNTBLANK('Dimensions'!G9)&gt;0),"",'Dimensions'!G9)</f>
        <v>575</v>
      </c>
      <c r="D10" s="38" t="n">
        <f>IF(OR(COUNTBLANK('Dimensions'!G137)&gt;0),"",'Dimensions'!G137)</f>
        <v>5475</v>
      </c>
      <c r="E10" s="39" t="n">
        <f>IF(COUNTBLANK(D10)&gt;0,"",D10/1000)</f>
        <v>5.475</v>
      </c>
      <c r="F10" s="18" t="inlineStr">
        <is>
          <t>P002, P130</t>
        </is>
      </c>
      <c r="G10" s="18" t="inlineStr">
        <is>
          <t>Cumulative plan grid</t>
        </is>
      </c>
      <c r="H10" s="18" t="inlineStr">
        <is>
          <t>Tâm trục / Grid centerline</t>
        </is>
      </c>
    </row>
    <row r="11" ht="15" customHeight="1">
      <c r="A11" s="18" t="inlineStr">
        <is>
          <t>X</t>
        </is>
      </c>
      <c r="B11" s="18" t="inlineStr">
        <is>
          <t>3</t>
        </is>
      </c>
      <c r="C11" s="38" t="n">
        <f>IF(OR(COUNTBLANK('Dimensions'!G10)&gt;0),"",'Dimensions'!G10)</f>
        <v>4500</v>
      </c>
      <c r="D11" s="38" t="n">
        <f>IF(OR(COUNTBLANK('Dimensions'!G138)&gt;0),"",'Dimensions'!G138)</f>
        <v>9975</v>
      </c>
      <c r="E11" s="39" t="n">
        <f>IF(COUNTBLANK(D11)&gt;0,"",D11/1000)</f>
        <v>9.975</v>
      </c>
      <c r="F11" s="18" t="inlineStr">
        <is>
          <t>P003, P131</t>
        </is>
      </c>
      <c r="G11" s="18" t="inlineStr">
        <is>
          <t>Cumulative plan grid</t>
        </is>
      </c>
      <c r="H11" s="18" t="inlineStr">
        <is>
          <t>Tâm trục / Grid centerline</t>
        </is>
      </c>
    </row>
    <row r="12" ht="15" customHeight="1">
      <c r="A12" s="18" t="inlineStr">
        <is>
          <t>X</t>
        </is>
      </c>
      <c r="B12" s="18" t="inlineStr">
        <is>
          <t>4</t>
        </is>
      </c>
      <c r="C12" s="38" t="n">
        <f>IF(OR(COUNTBLANK('Dimensions'!G11)&gt;0),"",'Dimensions'!G11)</f>
        <v>4500</v>
      </c>
      <c r="D12" s="38" t="n">
        <f>IF(OR(COUNTBLANK('Dimensions'!G139)&gt;0),"",'Dimensions'!G139)</f>
        <v>14475</v>
      </c>
      <c r="E12" s="39" t="n">
        <f>IF(COUNTBLANK(D12)&gt;0,"",D12/1000)</f>
        <v>14.475</v>
      </c>
      <c r="F12" s="18" t="inlineStr">
        <is>
          <t>P004, P132</t>
        </is>
      </c>
      <c r="G12" s="18" t="inlineStr">
        <is>
          <t>Cumulative plan grid</t>
        </is>
      </c>
      <c r="H12" s="18" t="inlineStr">
        <is>
          <t>Tâm trục / Grid centerline</t>
        </is>
      </c>
    </row>
    <row r="13" ht="15" customHeight="1">
      <c r="A13" s="18" t="inlineStr">
        <is>
          <t>X</t>
        </is>
      </c>
      <c r="B13" s="18" t="inlineStr">
        <is>
          <t>5</t>
        </is>
      </c>
      <c r="C13" s="38" t="n">
        <f>IF(OR(COUNTBLANK('Dimensions'!G12)&gt;0),"",'Dimensions'!G12)</f>
        <v>4500</v>
      </c>
      <c r="D13" s="38" t="n">
        <f>IF(OR(COUNTBLANK('Dimensions'!G140)&gt;0),"",'Dimensions'!G140)</f>
        <v>18975</v>
      </c>
      <c r="E13" s="39" t="n">
        <f>IF(COUNTBLANK(D13)&gt;0,"",D13/1000)</f>
        <v>18.975</v>
      </c>
      <c r="F13" s="18" t="inlineStr">
        <is>
          <t>P005, P133</t>
        </is>
      </c>
      <c r="G13" s="18" t="inlineStr">
        <is>
          <t>Cumulative plan grid</t>
        </is>
      </c>
      <c r="H13" s="18" t="inlineStr">
        <is>
          <t>Tâm trục / Grid centerline</t>
        </is>
      </c>
    </row>
    <row r="14" ht="15" customHeight="1">
      <c r="A14" s="18" t="inlineStr">
        <is>
          <t>X</t>
        </is>
      </c>
      <c r="B14" s="18" t="inlineStr">
        <is>
          <t>6</t>
        </is>
      </c>
      <c r="C14" s="38" t="n">
        <f>IF(OR(COUNTBLANK('Dimensions'!G13)&gt;0),"",'Dimensions'!G13)</f>
        <v>4500</v>
      </c>
      <c r="D14" s="38" t="n">
        <f>IF(OR(COUNTBLANK('Dimensions'!G141)&gt;0),"",'Dimensions'!G141)</f>
        <v>23475</v>
      </c>
      <c r="E14" s="39" t="n">
        <f>IF(COUNTBLANK(D14)&gt;0,"",D14/1000)</f>
        <v>23.475</v>
      </c>
      <c r="F14" s="18" t="inlineStr">
        <is>
          <t>P006, P134</t>
        </is>
      </c>
      <c r="G14" s="18" t="inlineStr">
        <is>
          <t>Cumulative plan grid</t>
        </is>
      </c>
      <c r="H14" s="18" t="inlineStr">
        <is>
          <t>Tâm trục / Grid centerline</t>
        </is>
      </c>
    </row>
    <row r="15" ht="15" customHeight="1">
      <c r="A15" s="18" t="inlineStr">
        <is>
          <t>X</t>
        </is>
      </c>
      <c r="B15" s="18" t="inlineStr">
        <is>
          <t>7</t>
        </is>
      </c>
      <c r="C15" s="38" t="n">
        <f>IF(OR(COUNTBLANK('Dimensions'!G14)&gt;0),"",'Dimensions'!G14)</f>
        <v>4500</v>
      </c>
      <c r="D15" s="38" t="n">
        <f>IF(OR(COUNTBLANK('Dimensions'!G142)&gt;0),"",'Dimensions'!G142)</f>
        <v>27975</v>
      </c>
      <c r="E15" s="39" t="n">
        <f>IF(COUNTBLANK(D15)&gt;0,"",D15/1000)</f>
        <v>27.975</v>
      </c>
      <c r="F15" s="18" t="inlineStr">
        <is>
          <t>P007, P135</t>
        </is>
      </c>
      <c r="G15" s="18" t="inlineStr">
        <is>
          <t>Cumulative plan grid</t>
        </is>
      </c>
      <c r="H15" s="18" t="inlineStr">
        <is>
          <t>Tâm trục / Grid centerline</t>
        </is>
      </c>
    </row>
    <row r="16" ht="15" customHeight="1">
      <c r="A16" s="18" t="inlineStr">
        <is>
          <t>X</t>
        </is>
      </c>
      <c r="B16" s="18" t="inlineStr">
        <is>
          <t>8</t>
        </is>
      </c>
      <c r="C16" s="38" t="n">
        <f>IF(OR(COUNTBLANK('Dimensions'!G15)&gt;0),"",'Dimensions'!G15)</f>
        <v>4500</v>
      </c>
      <c r="D16" s="38" t="n">
        <f>IF(OR(COUNTBLANK('Dimensions'!G143)&gt;0),"",'Dimensions'!G143)</f>
        <v>32475</v>
      </c>
      <c r="E16" s="39" t="n">
        <f>IF(COUNTBLANK(D16)&gt;0,"",D16/1000)</f>
        <v>32.475</v>
      </c>
      <c r="F16" s="18" t="inlineStr">
        <is>
          <t>P008, P136</t>
        </is>
      </c>
      <c r="G16" s="18" t="inlineStr">
        <is>
          <t>Cumulative plan grid</t>
        </is>
      </c>
      <c r="H16" s="18" t="inlineStr">
        <is>
          <t>Tâm trục / Grid centerline</t>
        </is>
      </c>
    </row>
    <row r="17" ht="15" customHeight="1">
      <c r="A17" s="18" t="inlineStr">
        <is>
          <t>X</t>
        </is>
      </c>
      <c r="B17" s="18" t="inlineStr">
        <is>
          <t>9</t>
        </is>
      </c>
      <c r="C17" s="38" t="n">
        <f>IF(OR(COUNTBLANK('Dimensions'!G16)&gt;0),"",'Dimensions'!G16)</f>
        <v>4500</v>
      </c>
      <c r="D17" s="38" t="n">
        <f>IF(OR(COUNTBLANK('Dimensions'!G144)&gt;0),"",'Dimensions'!G144)</f>
        <v>36975</v>
      </c>
      <c r="E17" s="39" t="n">
        <f>IF(COUNTBLANK(D17)&gt;0,"",D17/1000)</f>
        <v>36.975</v>
      </c>
      <c r="F17" s="18" t="inlineStr">
        <is>
          <t>P009, P137</t>
        </is>
      </c>
      <c r="G17" s="18" t="inlineStr">
        <is>
          <t>Cumulative plan grid</t>
        </is>
      </c>
      <c r="H17" s="18" t="inlineStr">
        <is>
          <t>Tâm trục / Grid centerline</t>
        </is>
      </c>
    </row>
    <row r="18" ht="15" customHeight="1">
      <c r="A18" s="18" t="inlineStr">
        <is>
          <t>X</t>
        </is>
      </c>
      <c r="B18" s="18" t="inlineStr">
        <is>
          <t>10</t>
        </is>
      </c>
      <c r="C18" s="38" t="n">
        <f>IF(OR(COUNTBLANK('Dimensions'!G17)&gt;0),"",'Dimensions'!G17)</f>
        <v>7200</v>
      </c>
      <c r="D18" s="38" t="n">
        <f>IF(OR(COUNTBLANK('Dimensions'!G145)&gt;0),"",'Dimensions'!G145)</f>
        <v>44175</v>
      </c>
      <c r="E18" s="39" t="n">
        <f>IF(COUNTBLANK(D18)&gt;0,"",D18/1000)</f>
        <v>44.175</v>
      </c>
      <c r="F18" s="18" t="inlineStr">
        <is>
          <t>P010, P138</t>
        </is>
      </c>
      <c r="G18" s="18" t="inlineStr">
        <is>
          <t>Cumulative plan grid</t>
        </is>
      </c>
      <c r="H18" s="18" t="inlineStr">
        <is>
          <t>Tâm trục / Grid centerline</t>
        </is>
      </c>
    </row>
    <row r="19" ht="15" customHeight="1">
      <c r="A19" s="18" t="inlineStr">
        <is>
          <t>X</t>
        </is>
      </c>
      <c r="B19" s="18" t="inlineStr">
        <is>
          <t>11</t>
        </is>
      </c>
      <c r="C19" s="38" t="n">
        <f>IF(OR(COUNTBLANK('Dimensions'!G18)&gt;0),"",'Dimensions'!G18)</f>
        <v>4500</v>
      </c>
      <c r="D19" s="38" t="n">
        <f>IF(OR(COUNTBLANK('Dimensions'!G146)&gt;0),"",'Dimensions'!G146)</f>
        <v>48675</v>
      </c>
      <c r="E19" s="39" t="n">
        <f>IF(COUNTBLANK(D19)&gt;0,"",D19/1000)</f>
        <v>48.675</v>
      </c>
      <c r="F19" s="18" t="inlineStr">
        <is>
          <t>P011, P139</t>
        </is>
      </c>
      <c r="G19" s="18" t="inlineStr">
        <is>
          <t>Cumulative plan grid</t>
        </is>
      </c>
      <c r="H19" s="18" t="inlineStr">
        <is>
          <t>Tâm trục / Grid centerline</t>
        </is>
      </c>
    </row>
    <row r="20" ht="15" customHeight="1">
      <c r="A20" s="18" t="inlineStr">
        <is>
          <t>X</t>
        </is>
      </c>
      <c r="B20" s="18" t="inlineStr">
        <is>
          <t>12</t>
        </is>
      </c>
      <c r="C20" s="38" t="n">
        <f>IF(OR(COUNTBLANK('Dimensions'!G19)&gt;0),"",'Dimensions'!G19)</f>
        <v>4341</v>
      </c>
      <c r="D20" s="38" t="n">
        <f>IF(OR(COUNTBLANK('Dimensions'!G147)&gt;0),"",'Dimensions'!G147)</f>
        <v>53016</v>
      </c>
      <c r="E20" s="39" t="n">
        <f>IF(COUNTBLANK(D20)&gt;0,"",D20/1000)</f>
        <v>53.016</v>
      </c>
      <c r="F20" s="18" t="inlineStr">
        <is>
          <t>P012, P140</t>
        </is>
      </c>
      <c r="G20" s="18" t="inlineStr">
        <is>
          <t>Cumulative plan grid</t>
        </is>
      </c>
      <c r="H20" s="18" t="inlineStr">
        <is>
          <t>Tâm trục / Grid centerline</t>
        </is>
      </c>
    </row>
    <row r="21" ht="15" customHeight="1">
      <c r="A21" s="18" t="inlineStr">
        <is>
          <t>X</t>
        </is>
      </c>
      <c r="B21" s="18" t="inlineStr">
        <is>
          <t>Approach toe (plan)</t>
        </is>
      </c>
      <c r="C21" s="38" t="n"/>
      <c r="D21" s="38" t="n">
        <f>IF(OR(COUNTBLANK('Dimensions'!G27)&gt;0),"",-'Dimensions'!G27)</f>
        <v>-13219</v>
      </c>
      <c r="E21" s="39" t="n">
        <f>IF(COUNTBLANK(D21)&gt;0,"",D21/1000)</f>
        <v>-13.219</v>
      </c>
      <c r="F21" s="18" t="inlineStr">
        <is>
          <t>P020</t>
        </is>
      </c>
      <c r="G21" s="18" t="inlineStr">
        <is>
          <t>Ground plan extent</t>
        </is>
      </c>
      <c r="H21" s="18" t="inlineStr">
        <is>
          <t>Tờ 6. Điểm đầu của chuỗi 67,064 mm / Start of 67,064 mm overall chain</t>
        </is>
      </c>
    </row>
    <row r="22" ht="15" customHeight="1">
      <c r="A22" s="18" t="inlineStr">
        <is>
          <t>X</t>
        </is>
      </c>
      <c r="B22" s="18" t="inlineStr">
        <is>
          <t>Rear edge (plan)</t>
        </is>
      </c>
      <c r="C22" s="38" t="n"/>
      <c r="D22" s="38" t="n">
        <f>IF(OR(COUNTBLANK('Dimensions'!G147)&gt;0,COUNTBLANK('Dimensions'!G162)&gt;0),"",'Dimensions'!G147+'Dimensions'!G162)</f>
        <v>53845</v>
      </c>
      <c r="E22" s="39" t="n">
        <f>IF(COUNTBLANK(D22)&gt;0,"",D22/1000)</f>
        <v>53.845</v>
      </c>
      <c r="F22" s="18" t="inlineStr">
        <is>
          <t>P140, P155</t>
        </is>
      </c>
      <c r="G22" s="18" t="inlineStr">
        <is>
          <t>Ground plan extent</t>
        </is>
      </c>
      <c r="H22" s="18" t="inlineStr">
        <is>
          <t>Tờ 6. Biên sau nhà theo chuỗi mặt bằng / Rear exterior plan edge</t>
        </is>
      </c>
    </row>
    <row r="23" ht="15" customHeight="1">
      <c r="A23" s="18" t="inlineStr">
        <is>
          <t>X</t>
        </is>
      </c>
      <c r="B23" s="18" t="inlineStr">
        <is>
          <t>Tower front edge (plan)</t>
        </is>
      </c>
      <c r="C23" s="38" t="n"/>
      <c r="D23" s="38" t="n">
        <f>IF(OR(COUNTBLANK('Dimensions'!G163)&gt;0),"",-'Dimensions'!G163)</f>
        <v>-949</v>
      </c>
      <c r="E23" s="39" t="n">
        <f>IF(COUNTBLANK(D23)&gt;0,"",D23/1000)</f>
        <v>-0.949</v>
      </c>
      <c r="F23" s="18" t="inlineStr">
        <is>
          <t>P156</t>
        </is>
      </c>
      <c r="G23" s="18" t="inlineStr">
        <is>
          <t>Ground plan extent</t>
        </is>
      </c>
      <c r="H23" s="18" t="inlineStr">
        <is>
          <t>Tờ 6. Giới hạn tháp trong chuỗi 54,794 mm / Tower front edge in 54,794 mm chain</t>
        </is>
      </c>
    </row>
    <row r="24" ht="15" customHeight="1">
      <c r="A24" s="18" t="inlineStr">
        <is>
          <t>X</t>
        </is>
      </c>
      <c r="B24" s="18" t="inlineStr">
        <is>
          <t>Front edge (roof)</t>
        </is>
      </c>
      <c r="C24" s="38" t="n"/>
      <c r="D24" s="38" t="n">
        <f>IF(OR(COUNTBLANK('Dimensions'!G178)&gt;0),"",-'Dimensions'!G178)</f>
        <v>-915</v>
      </c>
      <c r="E24" s="39" t="n">
        <f>IF(COUNTBLANK(D24)&gt;0,"",D24/1000)</f>
        <v>-0.915</v>
      </c>
      <c r="F24" s="18" t="inlineStr">
        <is>
          <t>P171</t>
        </is>
      </c>
      <c r="G24" s="18" t="inlineStr">
        <is>
          <t>Roof plan lower chain</t>
        </is>
      </c>
      <c r="H24" s="18" t="inlineStr">
        <is>
          <t>Tờ 11. Chuỗi dưới 54,736 mm / Lower 54,736 mm dimension chain</t>
        </is>
      </c>
    </row>
    <row r="25" ht="15" customHeight="1">
      <c r="A25" s="18" t="inlineStr">
        <is>
          <t>X</t>
        </is>
      </c>
      <c r="B25" s="18" t="inlineStr">
        <is>
          <t>Rear edge (roof)</t>
        </is>
      </c>
      <c r="C25" s="38" t="n"/>
      <c r="D25" s="38" t="n">
        <f>IF(OR(COUNTBLANK('Dimensions'!G147)&gt;0,COUNTBLANK('Dimensions'!G179)&gt;0),"",'Dimensions'!G147+'Dimensions'!G179)</f>
        <v>53821</v>
      </c>
      <c r="E25" s="39" t="n">
        <f>IF(COUNTBLANK(D25)&gt;0,"",D25/1000)</f>
        <v>53.821</v>
      </c>
      <c r="F25" s="18" t="inlineStr">
        <is>
          <t>P140, P172</t>
        </is>
      </c>
      <c r="G25" s="18" t="inlineStr">
        <is>
          <t>Roof plan lower chain</t>
        </is>
      </c>
      <c r="H25" s="18" t="inlineStr">
        <is>
          <t>Tờ 11. Chuỗi dưới 54,736 mm / Lower 54,736 mm dimension chain</t>
        </is>
      </c>
    </row>
    <row r="26" ht="15" customHeight="1">
      <c r="A26" s="18" t="inlineStr">
        <is>
          <t>X</t>
        </is>
      </c>
      <c r="B26" s="18" t="inlineStr">
        <is>
          <t>Approach toe (elevation)</t>
        </is>
      </c>
      <c r="C26" s="38" t="n"/>
      <c r="D26" s="38" t="n">
        <f>IF(OR(COUNTBLANK('Dimensions'!G271)&gt;0),"",-'Dimensions'!G271)</f>
        <v>-13194</v>
      </c>
      <c r="E26" s="39" t="n">
        <f>IF(COUNTBLANK(D26)&gt;0,"",D26/1000)</f>
        <v>-13.194</v>
      </c>
      <c r="F26" s="18" t="inlineStr">
        <is>
          <t>E051</t>
        </is>
      </c>
      <c r="G26" s="18" t="inlineStr">
        <is>
          <t>Side elevation extent</t>
        </is>
      </c>
      <c r="H26" s="18" t="inlineStr">
        <is>
          <t>Tờ 2. Chuỗi riêng 67,149 mm / Separate 67,149 mm dimension chain</t>
        </is>
      </c>
    </row>
    <row r="27" ht="15" customHeight="1">
      <c r="A27" s="18" t="inlineStr">
        <is>
          <t>X</t>
        </is>
      </c>
      <c r="B27" s="18" t="inlineStr">
        <is>
          <t>Far-end edge (elevation)</t>
        </is>
      </c>
      <c r="C27" s="38" t="n"/>
      <c r="D27" s="38" t="n">
        <f>IF(OR(COUNTBLANK('Dimensions'!G302)&gt;0,COUNTBLANK('Dimensions'!G284)&gt;0),"",'Dimensions'!G302+'Dimensions'!G284)</f>
        <v>53955</v>
      </c>
      <c r="E27" s="39" t="n">
        <f>IF(COUNTBLANK(D27)&gt;0,"",D27/1000)</f>
        <v>53.955</v>
      </c>
      <c r="F27" s="18" t="inlineStr">
        <is>
          <t>E082, E064</t>
        </is>
      </c>
      <c r="G27" s="18" t="inlineStr">
        <is>
          <t>Side elevation extent</t>
        </is>
      </c>
      <c r="H27" s="18" t="inlineStr">
        <is>
          <t>Tờ 2. Điểm cuối khác mặt bằng / End witness differs from plan</t>
        </is>
      </c>
    </row>
    <row r="28" ht="15" customHeight="1">
      <c r="A28" s="18" t="inlineStr">
        <is>
          <t>Z</t>
        </is>
      </c>
      <c r="B28" s="18" t="inlineStr">
        <is>
          <t>A</t>
        </is>
      </c>
      <c r="C28" s="38" t="n"/>
      <c r="D28" s="38" t="n">
        <f>IF(OR(COUNTBLANK('Dimensions'!G148)&gt;0,COUNTBLANK('Dimensions'!G161)&gt;0),"",'Dimensions'!G148-'Dimensions'!G161)</f>
        <v>-13249</v>
      </c>
      <c r="E28" s="39" t="n">
        <f>IF(COUNTBLANK(D28)&gt;0,"",D28/1000)</f>
        <v>-13.249</v>
      </c>
      <c r="F28" s="18" t="inlineStr">
        <is>
          <t>P141, P154</t>
        </is>
      </c>
      <c r="G28" s="18" t="inlineStr">
        <is>
          <t>Centered plan grid</t>
        </is>
      </c>
      <c r="H28" s="18" t="inlineStr">
        <is>
          <t>Tâm trục / Grid centerline</t>
        </is>
      </c>
    </row>
    <row r="29" ht="15" customHeight="1">
      <c r="A29" s="18" t="inlineStr">
        <is>
          <t>Z</t>
        </is>
      </c>
      <c r="B29" s="18" t="inlineStr">
        <is>
          <t>B</t>
        </is>
      </c>
      <c r="C29" s="38" t="n">
        <f>IF(OR(COUNTBLANK('Dimensions'!G20)&gt;0),"",'Dimensions'!G20)</f>
        <v>2835</v>
      </c>
      <c r="D29" s="38" t="n">
        <f>IF(OR(COUNTBLANK('Dimensions'!G149)&gt;0,COUNTBLANK('Dimensions'!G161)&gt;0),"",'Dimensions'!G149-'Dimensions'!G161)</f>
        <v>-10414</v>
      </c>
      <c r="E29" s="39" t="n">
        <f>IF(COUNTBLANK(D29)&gt;0,"",D29/1000)</f>
        <v>-10.414</v>
      </c>
      <c r="F29" s="18" t="inlineStr">
        <is>
          <t>P013, P142, P154</t>
        </is>
      </c>
      <c r="G29" s="18" t="inlineStr">
        <is>
          <t>Centered plan grid</t>
        </is>
      </c>
      <c r="H29" s="18" t="inlineStr">
        <is>
          <t>Z dương về H/I. Không có trục F / Positive toward H/I. No F axis</t>
        </is>
      </c>
    </row>
    <row r="30" ht="15" customHeight="1">
      <c r="A30" s="18" t="inlineStr">
        <is>
          <t>Z</t>
        </is>
      </c>
      <c r="B30" s="18" t="inlineStr">
        <is>
          <t>C</t>
        </is>
      </c>
      <c r="C30" s="38" t="n">
        <f>IF(OR(COUNTBLANK('Dimensions'!G21)&gt;0),"",'Dimensions'!G21)</f>
        <v>3054</v>
      </c>
      <c r="D30" s="38" t="n">
        <f>IF(OR(COUNTBLANK('Dimensions'!G150)&gt;0,COUNTBLANK('Dimensions'!G161)&gt;0),"",'Dimensions'!G150-'Dimensions'!G161)</f>
        <v>-7360</v>
      </c>
      <c r="E30" s="39" t="n">
        <f>IF(COUNTBLANK(D30)&gt;0,"",D30/1000)</f>
        <v>-7.36</v>
      </c>
      <c r="F30" s="18" t="inlineStr">
        <is>
          <t>P014, P143, P154</t>
        </is>
      </c>
      <c r="G30" s="18" t="inlineStr">
        <is>
          <t>Centered plan grid</t>
        </is>
      </c>
      <c r="H30" s="18" t="inlineStr">
        <is>
          <t>Z dương về H/I. Không có trục F / Positive toward H/I. No F axis</t>
        </is>
      </c>
    </row>
    <row r="31" ht="15" customHeight="1">
      <c r="A31" s="18" t="inlineStr">
        <is>
          <t>Z</t>
        </is>
      </c>
      <c r="B31" s="18" t="inlineStr">
        <is>
          <t>D</t>
        </is>
      </c>
      <c r="C31" s="38" t="n">
        <f>IF(OR(COUNTBLANK('Dimensions'!G22)&gt;0),"",'Dimensions'!G22)</f>
        <v>3760</v>
      </c>
      <c r="D31" s="38" t="n">
        <f>IF(OR(COUNTBLANK('Dimensions'!G151)&gt;0,COUNTBLANK('Dimensions'!G161)&gt;0),"",'Dimensions'!G151-'Dimensions'!G161)</f>
        <v>-3600</v>
      </c>
      <c r="E31" s="39" t="n">
        <f>IF(COUNTBLANK(D31)&gt;0,"",D31/1000)</f>
        <v>-3.6</v>
      </c>
      <c r="F31" s="18" t="inlineStr">
        <is>
          <t>P015, P144, P154</t>
        </is>
      </c>
      <c r="G31" s="18" t="inlineStr">
        <is>
          <t>Centered plan grid</t>
        </is>
      </c>
      <c r="H31" s="18" t="inlineStr">
        <is>
          <t>Z dương về H/I. Không có trục F / Positive toward H/I. No F axis</t>
        </is>
      </c>
    </row>
    <row r="32" ht="15" customHeight="1">
      <c r="A32" s="18" t="inlineStr">
        <is>
          <t>Z</t>
        </is>
      </c>
      <c r="B32" s="18" t="inlineStr">
        <is>
          <t>E</t>
        </is>
      </c>
      <c r="C32" s="38" t="n">
        <f>IF(OR(COUNTBLANK('Dimensions'!G23)&gt;0),"",'Dimensions'!G23)</f>
        <v>7200</v>
      </c>
      <c r="D32" s="38" t="n">
        <f>IF(OR(COUNTBLANK('Dimensions'!G152)&gt;0,COUNTBLANK('Dimensions'!G161)&gt;0),"",'Dimensions'!G152-'Dimensions'!G161)</f>
        <v>3600</v>
      </c>
      <c r="E32" s="39" t="n">
        <f>IF(COUNTBLANK(D32)&gt;0,"",D32/1000)</f>
        <v>3.6</v>
      </c>
      <c r="F32" s="18" t="inlineStr">
        <is>
          <t>P016, P145, P154</t>
        </is>
      </c>
      <c r="G32" s="18" t="inlineStr">
        <is>
          <t>Centered plan grid</t>
        </is>
      </c>
      <c r="H32" s="18" t="inlineStr">
        <is>
          <t>Z dương về H/I. Không có trục F / Positive toward H/I. No F axis</t>
        </is>
      </c>
    </row>
    <row r="33" ht="15" customHeight="1">
      <c r="A33" s="18" t="inlineStr">
        <is>
          <t>Z</t>
        </is>
      </c>
      <c r="B33" s="18" t="inlineStr">
        <is>
          <t>G</t>
        </is>
      </c>
      <c r="C33" s="38" t="n">
        <f>IF(OR(COUNTBLANK('Dimensions'!G24)&gt;0),"",'Dimensions'!G24)</f>
        <v>3760</v>
      </c>
      <c r="D33" s="38" t="n">
        <f>IF(OR(COUNTBLANK('Dimensions'!G153)&gt;0,COUNTBLANK('Dimensions'!G161)&gt;0),"",'Dimensions'!G153-'Dimensions'!G161)</f>
        <v>7360</v>
      </c>
      <c r="E33" s="39" t="n">
        <f>IF(COUNTBLANK(D33)&gt;0,"",D33/1000)</f>
        <v>7.36</v>
      </c>
      <c r="F33" s="18" t="inlineStr">
        <is>
          <t>P017, P146, P154</t>
        </is>
      </c>
      <c r="G33" s="18" t="inlineStr">
        <is>
          <t>Centered plan grid</t>
        </is>
      </c>
      <c r="H33" s="18" t="inlineStr">
        <is>
          <t>Z dương về H/I. Không có trục F / Positive toward H/I. No F axis</t>
        </is>
      </c>
    </row>
    <row r="34" ht="15" customHeight="1">
      <c r="A34" s="18" t="inlineStr">
        <is>
          <t>Z</t>
        </is>
      </c>
      <c r="B34" s="18" t="inlineStr">
        <is>
          <t>H</t>
        </is>
      </c>
      <c r="C34" s="38" t="n">
        <f>IF(OR(COUNTBLANK('Dimensions'!G25)&gt;0),"",'Dimensions'!G25)</f>
        <v>3054</v>
      </c>
      <c r="D34" s="38" t="n">
        <f>IF(OR(COUNTBLANK('Dimensions'!G154)&gt;0,COUNTBLANK('Dimensions'!G161)&gt;0),"",'Dimensions'!G154-'Dimensions'!G161)</f>
        <v>10414</v>
      </c>
      <c r="E34" s="39" t="n">
        <f>IF(COUNTBLANK(D34)&gt;0,"",D34/1000)</f>
        <v>10.414</v>
      </c>
      <c r="F34" s="18" t="inlineStr">
        <is>
          <t>P018, P147, P154</t>
        </is>
      </c>
      <c r="G34" s="18" t="inlineStr">
        <is>
          <t>Centered plan grid</t>
        </is>
      </c>
      <c r="H34" s="18" t="inlineStr">
        <is>
          <t>Z dương về H/I. Không có trục F / Positive toward H/I. No F axis</t>
        </is>
      </c>
    </row>
    <row r="35" ht="15" customHeight="1">
      <c r="A35" s="18" t="inlineStr">
        <is>
          <t>Z</t>
        </is>
      </c>
      <c r="B35" s="18" t="inlineStr">
        <is>
          <t>I</t>
        </is>
      </c>
      <c r="C35" s="38" t="n">
        <f>IF(OR(COUNTBLANK('Dimensions'!G26)&gt;0),"",'Dimensions'!G26)</f>
        <v>2835</v>
      </c>
      <c r="D35" s="38" t="n">
        <f>IF(OR(COUNTBLANK('Dimensions'!G155)&gt;0,COUNTBLANK('Dimensions'!G161)&gt;0),"",'Dimensions'!G155-'Dimensions'!G161)</f>
        <v>13249</v>
      </c>
      <c r="E35" s="39" t="n">
        <f>IF(COUNTBLANK(D35)&gt;0,"",D35/1000)</f>
        <v>13.249</v>
      </c>
      <c r="F35" s="18" t="inlineStr">
        <is>
          <t>P019, P148, P154</t>
        </is>
      </c>
      <c r="G35" s="18" t="inlineStr">
        <is>
          <t>Centered plan grid</t>
        </is>
      </c>
      <c r="H35" s="18" t="inlineStr">
        <is>
          <t>Z dương về H/I. Không có trục F / Positive toward H/I. No F axis</t>
        </is>
      </c>
    </row>
    <row r="36" ht="15" customHeight="1">
      <c r="A36" s="18" t="inlineStr">
        <is>
          <t>Y</t>
        </is>
      </c>
      <c r="B36" s="18" t="inlineStr">
        <is>
          <t>Front forecourt/entrance landing</t>
        </is>
      </c>
      <c r="C36" s="38" t="n"/>
      <c r="D36" s="38" t="n">
        <f>IF(OR(COUNTBLANK('Dimensions'!G54)&gt;0),"",'Dimensions'!G54)</f>
        <v>-480</v>
      </c>
      <c r="E36" s="39" t="n">
        <f>IF(COUNTBLANK(D36)&gt;0,"",D36/1000)</f>
        <v>-0.48</v>
      </c>
      <c r="F36" s="18" t="inlineStr">
        <is>
          <t>P047</t>
        </is>
      </c>
      <c r="G36" s="18" t="inlineStr">
        <is>
          <t>Printed elevation</t>
        </is>
      </c>
      <c r="H36" s="18" t="str"/>
    </row>
    <row r="37" ht="15" customHeight="1">
      <c r="A37" s="18" t="inlineStr">
        <is>
          <t>Y</t>
        </is>
      </c>
      <c r="B37" s="18" t="inlineStr">
        <is>
          <t>Side stair landings</t>
        </is>
      </c>
      <c r="C37" s="38" t="n"/>
      <c r="D37" s="38" t="n">
        <f>IF(OR(COUNTBLANK('Dimensions'!G55)&gt;0),"",'Dimensions'!G55)</f>
        <v>-320</v>
      </c>
      <c r="E37" s="39" t="n">
        <f>IF(COUNTBLANK(D37)&gt;0,"",D37/1000)</f>
        <v>-0.32</v>
      </c>
      <c r="F37" s="18" t="inlineStr">
        <is>
          <t>P048</t>
        </is>
      </c>
      <c r="G37" s="18" t="inlineStr">
        <is>
          <t>Printed elevation</t>
        </is>
      </c>
      <c r="H37" s="18" t="str"/>
    </row>
    <row r="38" ht="15" customHeight="1">
      <c r="A38" s="18" t="inlineStr">
        <is>
          <t>Y</t>
        </is>
      </c>
      <c r="B38" s="18" t="inlineStr">
        <is>
          <t>Sanctuary/altar platform</t>
        </is>
      </c>
      <c r="C38" s="38" t="n"/>
      <c r="D38" s="38" t="n">
        <v>800</v>
      </c>
      <c r="E38" s="39" t="n">
        <v>0.8</v>
      </c>
      <c r="F38" s="18" t="inlineStr">
        <is>
          <t>P049 (PDF 750); DWG0378</t>
        </is>
      </c>
      <c r="G38" s="18" t="inlineStr">
        <is>
          <t>Owner direction 24 Oct 2026 · CAD file 23 Oct 2026</t>
        </is>
      </c>
      <c r="H38" s="18" t="inlineStr">
        <is>
          <t>CAD sections 25 and 45 draw the dais at +0.800 (800 mm dimension, platform lines). The PDF set and the CAD ground-plan label give +0.750 (P049, ISSUE-R04). The model uses +0.800 by owner direction.</t>
        </is>
      </c>
    </row>
    <row r="39" ht="15" customHeight="1">
      <c r="A39" s="18" t="inlineStr">
        <is>
          <t>Y</t>
        </is>
      </c>
      <c r="B39" s="18" t="inlineStr">
        <is>
          <t>Upper rear side room</t>
        </is>
      </c>
      <c r="C39" s="38" t="n"/>
      <c r="D39" s="38" t="n">
        <v>160</v>
      </c>
      <c r="E39" s="39" t="n">
        <v>0.16</v>
      </c>
      <c r="F39" s="18" t="inlineStr">
        <is>
          <t>P050 (PDF 150); DWG0373</t>
        </is>
      </c>
      <c r="G39" s="18" t="inlineStr">
        <is>
          <t>Owner direction 24 Oct 2026 · CAD file 23 Oct 2026</t>
        </is>
      </c>
      <c r="H39" s="18" t="inlineStr">
        <is>
          <t>CAD section 25 dimensions the side floor 160 mm. The PDF set and the CAD ground-plan labels give +0.150. The model uses +0.160 by owner direction.</t>
        </is>
      </c>
    </row>
    <row r="40" ht="15" customHeight="1">
      <c r="A40" s="18" t="inlineStr">
        <is>
          <t>Y</t>
        </is>
      </c>
      <c r="B40" s="18" t="inlineStr">
        <is>
          <t>Central rear room</t>
        </is>
      </c>
      <c r="C40" s="38" t="n"/>
      <c r="D40" s="38" t="n">
        <f>IF(OR(COUNTBLANK('Dimensions'!G58)&gt;0),"",'Dimensions'!G58)</f>
        <v>150</v>
      </c>
      <c r="E40" s="39" t="n">
        <f>IF(COUNTBLANK(D40)&gt;0,"",D40/1000)</f>
        <v>0.15</v>
      </c>
      <c r="F40" s="18" t="inlineStr">
        <is>
          <t>P051</t>
        </is>
      </c>
      <c r="G40" s="18" t="inlineStr">
        <is>
          <t>Printed elevation</t>
        </is>
      </c>
      <c r="H40" s="18" t="str"/>
    </row>
    <row r="41" ht="15" customHeight="1">
      <c r="A41" s="18" t="inlineStr">
        <is>
          <t>Y</t>
        </is>
      </c>
      <c r="B41" s="18" t="inlineStr">
        <is>
          <t>Lower rear side room</t>
        </is>
      </c>
      <c r="C41" s="38" t="n"/>
      <c r="D41" s="38" t="n">
        <v>160</v>
      </c>
      <c r="E41" s="39" t="n">
        <v>0.16</v>
      </c>
      <c r="F41" s="18" t="inlineStr">
        <is>
          <t>P052 (PDF 150); DWG0373</t>
        </is>
      </c>
      <c r="G41" s="18" t="inlineStr">
        <is>
          <t>Owner direction 24 Oct 2026 · CAD file 23 Oct 2026</t>
        </is>
      </c>
      <c r="H41" s="18" t="inlineStr">
        <is>
          <t>CAD section 25 dimensions the side floor 160 mm. The PDF set and the CAD ground-plan labels give +0.150. The model uses +0.160 by owner direction.</t>
        </is>
      </c>
    </row>
    <row r="42" ht="15" customHeight="1">
      <c r="A42" s="18" t="inlineStr">
        <is>
          <t>Y</t>
        </is>
      </c>
      <c r="B42" s="18" t="inlineStr">
        <is>
          <t>Courtyard grade</t>
        </is>
      </c>
      <c r="C42" s="38" t="n"/>
      <c r="D42" s="38" t="n">
        <f>IF(OR(COUNTBLANK('Dimensions'!G221)&gt;0),"",'Dimensions'!G221)</f>
        <v>-2080</v>
      </c>
      <c r="E42" s="39" t="n">
        <f>IF(COUNTBLANK(D42)&gt;0,"",D42/1000)</f>
        <v>-2.08</v>
      </c>
      <c r="F42" s="18" t="inlineStr">
        <is>
          <t>E001</t>
        </is>
      </c>
      <c r="G42" s="18" t="inlineStr">
        <is>
          <t>Printed elevation</t>
        </is>
      </c>
      <c r="H42" s="18" t="inlineStr">
        <is>
          <t>Same levels also shown on sheet 2. The drawing titles the twin-tower end MẶT ĐỨNG CUỐI.</t>
        </is>
      </c>
    </row>
    <row r="43" ht="15" customHeight="1">
      <c r="A43" s="18" t="inlineStr">
        <is>
          <t>Y</t>
        </is>
      </c>
      <c r="B43" s="18" t="inlineStr">
        <is>
          <t>Floor datum</t>
        </is>
      </c>
      <c r="C43" s="38" t="n"/>
      <c r="D43" s="38" t="n">
        <f>IF(OR(COUNTBLANK('Dimensions'!G222)&gt;0),"",'Dimensions'!G222)</f>
        <v>0</v>
      </c>
      <c r="E43" s="39" t="n">
        <f>IF(COUNTBLANK(D43)&gt;0,"",D43/1000)</f>
        <v>0</v>
      </c>
      <c r="F43" s="18" t="inlineStr">
        <is>
          <t>E002</t>
        </is>
      </c>
      <c r="G43" s="18" t="inlineStr">
        <is>
          <t>Printed elevation</t>
        </is>
      </c>
      <c r="H43" s="18" t="inlineStr">
        <is>
          <t>Same levels also shown on sheet 2. The drawing titles the twin-tower end MẶT ĐỨNG CUỐI.</t>
        </is>
      </c>
    </row>
    <row r="44" ht="15" customHeight="1">
      <c r="A44" s="18" t="inlineStr">
        <is>
          <t>Y</t>
        </is>
      </c>
      <c r="B44" s="18" t="inlineStr">
        <is>
          <t>Tower base-stage upper level</t>
        </is>
      </c>
      <c r="C44" s="38" t="n"/>
      <c r="D44" s="38" t="n">
        <f>IF(OR(COUNTBLANK('Dimensions'!G223)&gt;0),"",'Dimensions'!G223)</f>
        <v>8390</v>
      </c>
      <c r="E44" s="39" t="n">
        <f>IF(COUNTBLANK(D44)&gt;0,"",D44/1000)</f>
        <v>8.39</v>
      </c>
      <c r="F44" s="18" t="inlineStr">
        <is>
          <t>E003</t>
        </is>
      </c>
      <c r="G44" s="18" t="inlineStr">
        <is>
          <t>Printed elevation</t>
        </is>
      </c>
      <c r="H44" s="18" t="inlineStr">
        <is>
          <t>Same levels also shown on sheet 2. The drawing titles the twin-tower end MẶT ĐỨNG CUỐI.</t>
        </is>
      </c>
    </row>
    <row r="45" ht="15" customHeight="1">
      <c r="A45" s="18" t="inlineStr">
        <is>
          <t>Y</t>
        </is>
      </c>
      <c r="B45" s="18" t="inlineStr">
        <is>
          <t>First upper tower stage level</t>
        </is>
      </c>
      <c r="C45" s="38" t="n"/>
      <c r="D45" s="38" t="n">
        <f>IF(OR(COUNTBLANK('Dimensions'!G224)&gt;0),"",'Dimensions'!G224)</f>
        <v>15840</v>
      </c>
      <c r="E45" s="39" t="n">
        <f>IF(COUNTBLANK(D45)&gt;0,"",D45/1000)</f>
        <v>15.84</v>
      </c>
      <c r="F45" s="18" t="inlineStr">
        <is>
          <t>E004</t>
        </is>
      </c>
      <c r="G45" s="18" t="inlineStr">
        <is>
          <t>Printed elevation</t>
        </is>
      </c>
      <c r="H45" s="18" t="inlineStr">
        <is>
          <t>Same levels also shown on sheet 2. The drawing titles the twin-tower end MẶT ĐỨNG CUỐI.</t>
        </is>
      </c>
    </row>
    <row r="46" ht="15" customHeight="1">
      <c r="A46" s="18" t="inlineStr">
        <is>
          <t>Y</t>
        </is>
      </c>
      <c r="B46" s="18" t="inlineStr">
        <is>
          <t>Second upper tower stage level</t>
        </is>
      </c>
      <c r="C46" s="38" t="n"/>
      <c r="D46" s="38" t="n">
        <f>IF(OR(COUNTBLANK('Dimensions'!G225)&gt;0),"",'Dimensions'!G225)</f>
        <v>23140</v>
      </c>
      <c r="E46" s="39" t="n">
        <f>IF(COUNTBLANK(D46)&gt;0,"",D46/1000)</f>
        <v>23.14</v>
      </c>
      <c r="F46" s="18" t="inlineStr">
        <is>
          <t>E005</t>
        </is>
      </c>
      <c r="G46" s="18" t="inlineStr">
        <is>
          <t>Printed elevation</t>
        </is>
      </c>
      <c r="H46" s="18" t="inlineStr">
        <is>
          <t>Same levels also shown on sheet 2. The drawing titles the twin-tower end MẶT ĐỨNG CUỐI.</t>
        </is>
      </c>
    </row>
    <row r="47" ht="15" customHeight="1">
      <c r="A47" s="18" t="inlineStr">
        <is>
          <t>Y</t>
        </is>
      </c>
      <c r="B47" s="18" t="inlineStr">
        <is>
          <t>Tower curved-cap base level</t>
        </is>
      </c>
      <c r="C47" s="38" t="n"/>
      <c r="D47" s="38" t="n">
        <f>IF(OR(COUNTBLANK('Dimensions'!G226)&gt;0),"",'Dimensions'!G226)</f>
        <v>29090</v>
      </c>
      <c r="E47" s="39" t="n">
        <f>IF(COUNTBLANK(D47)&gt;0,"",D47/1000)</f>
        <v>29.09</v>
      </c>
      <c r="F47" s="18" t="inlineStr">
        <is>
          <t>E006</t>
        </is>
      </c>
      <c r="G47" s="18" t="inlineStr">
        <is>
          <t>Printed elevation</t>
        </is>
      </c>
      <c r="H47" s="18" t="inlineStr">
        <is>
          <t>Same levels also shown on sheet 2. The drawing titles the twin-tower end MẶT ĐỨNG CUỐI.</t>
        </is>
      </c>
    </row>
    <row r="48" ht="15" customHeight="1">
      <c r="A48" s="18" t="inlineStr">
        <is>
          <t>Y</t>
        </is>
      </c>
      <c r="B48" s="18" t="inlineStr">
        <is>
          <t>Tower cross top</t>
        </is>
      </c>
      <c r="C48" s="38" t="n"/>
      <c r="D48" s="38" t="n">
        <f>IF(OR(COUNTBLANK('Dimensions'!G227)&gt;0),"",'Dimensions'!G227)</f>
        <v>36920</v>
      </c>
      <c r="E48" s="39" t="n">
        <f>IF(COUNTBLANK(D48)&gt;0,"",D48/1000)</f>
        <v>36.92</v>
      </c>
      <c r="F48" s="18" t="inlineStr">
        <is>
          <t>E007</t>
        </is>
      </c>
      <c r="G48" s="18" t="inlineStr">
        <is>
          <t>Printed elevation</t>
        </is>
      </c>
      <c r="H48" s="18" t="inlineStr">
        <is>
          <t>Same levels also shown on sheet 2. The drawing titles the twin-tower end MẶT ĐỨNG CUỐI.</t>
        </is>
      </c>
    </row>
    <row r="49" ht="24" customHeight="1">
      <c r="A49" s="18" t="inlineStr">
        <is>
          <t>Y</t>
        </is>
      </c>
      <c r="B49" s="18" t="inlineStr">
        <is>
          <t>Eaves/cornice reference</t>
        </is>
      </c>
      <c r="C49" s="38" t="n"/>
      <c r="D49" s="38" t="n">
        <f>IF(OR(COUNTBLANK('Dimensions'!G267)&gt;0),"",'Dimensions'!G267)</f>
        <v>6324</v>
      </c>
      <c r="E49" s="39" t="n">
        <f>IF(COUNTBLANK(D49)&gt;0,"",D49/1000)</f>
        <v>6.324</v>
      </c>
      <c r="F49" s="18" t="inlineStr">
        <is>
          <t>E047</t>
        </is>
      </c>
      <c r="G49" s="18" t="inlineStr">
        <is>
          <t>Printed elevation</t>
        </is>
      </c>
      <c r="H49" s="18" t="inlineStr">
        <is>
          <t>Also explicitly labeled on sheet 3. Match exact architectural witness on original drawing; no decorative geometry inferred from level alone.</t>
        </is>
      </c>
    </row>
    <row r="50" ht="24" customHeight="1">
      <c r="A50" s="18" t="inlineStr">
        <is>
          <t>Y</t>
        </is>
      </c>
      <c r="B50" s="18" t="inlineStr">
        <is>
          <t>Opposite-end intermediate facade reference</t>
        </is>
      </c>
      <c r="C50" s="38" t="n"/>
      <c r="D50" s="38" t="n">
        <f>IF(OR(COUNTBLANK('Dimensions'!G268)&gt;0),"",'Dimensions'!G268)</f>
        <v>8575</v>
      </c>
      <c r="E50" s="39" t="n">
        <f>IF(COUNTBLANK(D50)&gt;0,"",D50/1000)</f>
        <v>8.575</v>
      </c>
      <c r="F50" s="18" t="inlineStr">
        <is>
          <t>E048</t>
        </is>
      </c>
      <c r="G50" s="18" t="inlineStr">
        <is>
          <t>Printed elevation</t>
        </is>
      </c>
      <c r="H50" s="18" t="inlineStr">
        <is>
          <t>Also explicitly labeled on sheet 3. Match exact architectural witness on original drawing; no decorative geometry inferred from level alone.</t>
        </is>
      </c>
    </row>
    <row r="51" ht="24" customHeight="1">
      <c r="A51" s="18" t="inlineStr">
        <is>
          <t>Y</t>
        </is>
      </c>
      <c r="B51" s="18" t="inlineStr">
        <is>
          <t>Main roof ridge/reference</t>
        </is>
      </c>
      <c r="C51" s="38" t="n"/>
      <c r="D51" s="38" t="n">
        <f>IF(OR(COUNTBLANK('Dimensions'!G269)&gt;0),"",'Dimensions'!G269)</f>
        <v>12472</v>
      </c>
      <c r="E51" s="39" t="n">
        <f>IF(COUNTBLANK(D51)&gt;0,"",D51/1000)</f>
        <v>12.472</v>
      </c>
      <c r="F51" s="18" t="inlineStr">
        <is>
          <t>E049</t>
        </is>
      </c>
      <c r="G51" s="18" t="inlineStr">
        <is>
          <t>Printed elevation</t>
        </is>
      </c>
      <c r="H51" s="18" t="inlineStr">
        <is>
          <t>Also explicitly labeled on sheet 3. Match exact architectural witness on original drawing; no decorative geometry inferred from level alone.</t>
        </is>
      </c>
    </row>
    <row r="52" ht="24" customHeight="1">
      <c r="A52" s="18" t="inlineStr">
        <is>
          <t>Y</t>
        </is>
      </c>
      <c r="B52" s="18" t="inlineStr">
        <is>
          <t>Opposite-end cross top</t>
        </is>
      </c>
      <c r="C52" s="38" t="n"/>
      <c r="D52" s="38" t="n">
        <f>IF(OR(COUNTBLANK('Dimensions'!G270)&gt;0),"",'Dimensions'!G270)</f>
        <v>17829</v>
      </c>
      <c r="E52" s="39" t="n">
        <f>IF(COUNTBLANK(D52)&gt;0,"",D52/1000)</f>
        <v>17.829</v>
      </c>
      <c r="F52" s="18" t="inlineStr">
        <is>
          <t>E050</t>
        </is>
      </c>
      <c r="G52" s="18" t="inlineStr">
        <is>
          <t>Printed elevation</t>
        </is>
      </c>
      <c r="H52" s="18" t="inlineStr">
        <is>
          <t>Also explicitly labeled on sheet 3. Match exact architectural witness on original drawing; no decorative geometry inferred from level alone.</t>
        </is>
      </c>
    </row>
    <row r="53" ht="15" customHeight="1">
      <c r="A53" s="18" t="inlineStr">
        <is>
          <t>Y</t>
        </is>
      </c>
      <c r="B53" s="18" t="inlineStr">
        <is>
          <t>Front facade upper side recess</t>
        </is>
      </c>
      <c r="C53" s="38" t="n"/>
      <c r="D53" s="38" t="n">
        <f>IF(OR(COUNTBLANK('Dimensions'!G213)&gt;0),"",'Dimensions'!G213)</f>
        <v>9530</v>
      </c>
      <c r="E53" s="39" t="n">
        <f>IF(COUNTBLANK(D53)&gt;0,"",D53/1000)</f>
        <v>9.53</v>
      </c>
      <c r="F53" s="18" t="inlineStr">
        <is>
          <t>P206</t>
        </is>
      </c>
      <c r="G53" s="18" t="inlineStr">
        <is>
          <t>Printed elevation</t>
        </is>
      </c>
      <c r="H53" s="18" t="inlineStr">
        <is>
          <t>Local facade/tower deck level, not the main roof ridge elevation.</t>
        </is>
      </c>
    </row>
    <row r="54" ht="15" customHeight="1">
      <c r="A54" s="18" t="inlineStr">
        <is>
          <t>Y</t>
        </is>
      </c>
      <c r="B54" s="18" t="inlineStr">
        <is>
          <t>Front central facade zone</t>
        </is>
      </c>
      <c r="C54" s="38" t="n"/>
      <c r="D54" s="38" t="n">
        <f>IF(OR(COUNTBLANK('Dimensions'!G215)&gt;0),"",'Dimensions'!G215)</f>
        <v>11030</v>
      </c>
      <c r="E54" s="39" t="n">
        <f>IF(COUNTBLANK(D54)&gt;0,"",D54/1000)</f>
        <v>11.03</v>
      </c>
      <c r="F54" s="18" t="inlineStr">
        <is>
          <t>P208</t>
        </is>
      </c>
      <c r="G54" s="18" t="inlineStr">
        <is>
          <t>Printed elevation</t>
        </is>
      </c>
      <c r="H54" s="18" t="inlineStr">
        <is>
          <t>Local facade/tower deck level, not the main roof ridge elevation.</t>
        </is>
      </c>
    </row>
    <row r="55" ht="24" customHeight="1">
      <c r="A55" s="18" t="inlineStr">
        <is>
          <t>Y</t>
        </is>
      </c>
      <c r="B55" s="18" t="inlineStr">
        <is>
          <t>Upper roof reference (section)</t>
        </is>
      </c>
      <c r="C55" s="38" t="n"/>
      <c r="D55" s="38" t="n">
        <f>IF(OR(COUNTBLANK('Dimensions'!G307)&gt;0),"",'Dimensions'!G307)</f>
        <v>7130</v>
      </c>
      <c r="E55" s="39" t="n">
        <f>IF(COUNTBLANK(D55)&gt;0,"",D55/1000)</f>
        <v>7.13</v>
      </c>
      <c r="F55" s="18" t="inlineStr">
        <is>
          <t>S002</t>
        </is>
      </c>
      <c r="G55" s="18" t="inlineStr">
        <is>
          <t>Printed elevation</t>
        </is>
      </c>
      <c r="H55" s="18" t="inlineStr">
        <is>
          <t>Dimension is preserved as printed. +7.13 reference is a level marker near the main-roof eave; detailed contact surfaces need CAD confirmation.</t>
        </is>
      </c>
    </row>
    <row r="56" ht="15" customHeight="1">
      <c r="A56" s="18" t="inlineStr">
        <is>
          <t>Y</t>
        </is>
      </c>
      <c r="B56" s="18" t="inlineStr">
        <is>
          <t>Exterior cornice (section)</t>
        </is>
      </c>
      <c r="C56" s="38" t="n"/>
      <c r="D56" s="38" t="n">
        <f>IF(OR(COUNTBLANK('Dimensions'!G308)&gt;0),"",'Dimensions'!G308)</f>
        <v>6325</v>
      </c>
      <c r="E56" s="39" t="n">
        <f>IF(COUNTBLANK(D56)&gt;0,"",D56/1000)</f>
        <v>6.325</v>
      </c>
      <c r="F56" s="18" t="inlineStr">
        <is>
          <t>S003</t>
        </is>
      </c>
      <c r="G56" s="18" t="inlineStr">
        <is>
          <t>Printed elevation</t>
        </is>
      </c>
      <c r="H56" s="18" t="str"/>
    </row>
    <row r="57" ht="15" customHeight="1">
      <c r="A57" s="18" t="inlineStr">
        <is>
          <t>Y</t>
        </is>
      </c>
      <c r="B57" s="18" t="inlineStr">
        <is>
          <t>Tower cap shoulder elevation from chain</t>
        </is>
      </c>
      <c r="C57" s="38" t="n"/>
      <c r="D57" s="38" t="n">
        <f>IF(OR(COUNTBLANK('Dimensions'!G304)&gt;0),"",'Dimensions'!G304)</f>
        <v>33215</v>
      </c>
      <c r="E57" s="39" t="n">
        <f>IF(COUNTBLANK(D57)&gt;0,"",D57/1000)</f>
        <v>33.215</v>
      </c>
      <c r="F57" s="18" t="inlineStr">
        <is>
          <t>E084</t>
        </is>
      </c>
      <c r="G57" s="18" t="inlineStr">
        <is>
          <t>Derived level</t>
        </is>
      </c>
      <c r="H57" s="18" t="inlineStr">
        <is>
          <t>Dependent on explicit chain; 1 mm top closure discrepancy is unresolved.</t>
        </is>
      </c>
    </row>
    <row r="58" ht="15" customHeight="1">
      <c r="A58" s="18" t="inlineStr">
        <is>
          <t>Y</t>
        </is>
      </c>
      <c r="B58" s="18" t="inlineStr">
        <is>
          <t>Tower cross-base elevation from chain</t>
        </is>
      </c>
      <c r="C58" s="38" t="n"/>
      <c r="D58" s="38" t="n">
        <f>IF(OR(COUNTBLANK('Dimensions'!G305)&gt;0),"",'Dimensions'!G305)</f>
        <v>35029</v>
      </c>
      <c r="E58" s="39" t="n">
        <f>IF(COUNTBLANK(D58)&gt;0,"",D58/1000)</f>
        <v>35.029</v>
      </c>
      <c r="F58" s="18" t="inlineStr">
        <is>
          <t>E085</t>
        </is>
      </c>
      <c r="G58" s="18" t="inlineStr">
        <is>
          <t>Derived level</t>
        </is>
      </c>
      <c r="H58" s="18" t="inlineStr">
        <is>
          <t>Dependent on explicit chain; 1 mm top closure discrepancy is unresolved.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BB782A"/>
    <outlinePr summaryBelow="1" summaryRight="1"/>
    <pageSetUpPr/>
  </sheetPr>
  <dimension ref="A1:I35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20" customWidth="1" min="1" max="1"/>
    <col width="50" customWidth="1" min="2" max="2"/>
    <col width="78" customWidth="1" min="3" max="3"/>
    <col width="35" customWidth="1" min="4" max="4"/>
    <col width="16" customWidth="1" min="5" max="5"/>
    <col width="26" customWidth="1" min="6" max="6"/>
    <col width="66" customWidth="1" min="7" max="7"/>
    <col width="22" customWidth="1" min="8" max="8"/>
    <col width="40" customWidth="1" min="9" max="9"/>
  </cols>
  <sheetData>
    <row r="1" ht="25" customHeight="1">
      <c r="A1" s="36" t="n"/>
      <c r="B1" s="36" t="n"/>
      <c r="C1" s="36" t="n"/>
      <c r="D1" s="36" t="n"/>
      <c r="E1" s="36" t="n"/>
      <c r="F1" s="36" t="n"/>
      <c r="G1" s="36" t="n"/>
      <c r="H1" s="36" t="n"/>
      <c r="I1" s="36" t="n"/>
    </row>
    <row r="2" ht="25" customHeight="1">
      <c r="A2" s="3" t="inlineStr">
        <is>
          <t>KÍCH THƯỚC CẦN XÁC NHẬN / OPEN DIMENSIONS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</row>
    <row r="3" ht="2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25" customHeight="1">
      <c r="A4" s="5" t="inlineStr">
        <is>
          <t>Giữ nguyên các số ghi khác nhau. Ghi câu trả lời và nguồn mới ở hai cột cuối. / Preserve differing source values.</t>
        </is>
      </c>
      <c r="B4" s="36" t="n"/>
      <c r="C4" s="36" t="n"/>
      <c r="D4" s="36" t="n"/>
      <c r="E4" s="36" t="n"/>
      <c r="F4" s="36" t="n"/>
      <c r="G4" s="36" t="n"/>
      <c r="H4" s="36" t="n"/>
      <c r="I4" s="36" t="n"/>
    </row>
    <row r="5" ht="25" customHeight="1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 ht="25" customHeight="1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</row>
    <row r="7" ht="38" customHeight="1">
      <c r="A7" s="14" t="inlineStr">
        <is>
          <t>Mã / ID</t>
        </is>
      </c>
      <c r="B7" s="15" t="inlineStr">
        <is>
          <t>Vấn đề / Issue</t>
        </is>
      </c>
      <c r="C7" s="15" t="inlineStr">
        <is>
          <t>Bằng chứng / Evidence</t>
        </is>
      </c>
      <c r="D7" s="15" t="inlineStr">
        <is>
          <t>Mã nguồn / Source IDs</t>
        </is>
      </c>
      <c r="E7" s="15" t="inlineStr">
        <is>
          <t>Chênh (mm)</t>
        </is>
      </c>
      <c r="F7" s="15" t="inlineStr">
        <is>
          <t>Trạng thái / Status</t>
        </is>
      </c>
      <c r="G7" s="15" t="inlineStr">
        <is>
          <t>Thông tin cần bổ sung / Required information</t>
        </is>
      </c>
      <c r="H7" s="15" t="inlineStr">
        <is>
          <t>Giá trị xác nhận (mm)</t>
        </is>
      </c>
      <c r="I7" s="16" t="inlineStr">
        <is>
          <t>Nguồn xác nhận / New reference</t>
        </is>
      </c>
    </row>
    <row r="8" ht="15" customHeight="1">
      <c r="A8" s="18" t="inlineStr">
        <is>
          <t>ISSUE-P01</t>
        </is>
      </c>
      <c r="B8" s="18" t="inlineStr">
        <is>
          <t>Hai chiều dài tổng của mặt bằng mái / Roof overall lengths</t>
        </is>
      </c>
      <c r="C8" s="18" t="inlineStr">
        <is>
          <t>Roof same-sheet overall54794 at top versus54736 at bottom, difference58mm.</t>
        </is>
      </c>
      <c r="D8" s="18" t="inlineStr">
        <is>
          <t>P173, P174</t>
        </is>
      </c>
      <c r="E8" s="41" t="n">
        <f>IF(OR(COUNTBLANK('Dimensions'!G181)&gt;0,COUNTBLANK('Dimensions'!G180)&gt;0),"",'Dimensions'!G181-'Dimensions'!G180)</f>
        <v>58</v>
      </c>
      <c r="F8" s="18" t="inlineStr">
        <is>
          <t>Chưa xác nhận / Open</t>
        </is>
      </c>
      <c r="G8" s="18" t="inlineStr">
        <is>
          <t>Xác định mốc đầu/cuối cho chuỗi trên và dưới. / Confirm endpoints of both roof chains.</t>
        </is>
      </c>
      <c r="H8" s="42" t="n"/>
      <c r="I8" s="30" t="n"/>
    </row>
    <row r="9" ht="15" customHeight="1">
      <c r="A9" s="18" t="inlineStr">
        <is>
          <t>ISSUE-P02</t>
        </is>
      </c>
      <c r="B9" s="18" t="inlineStr">
        <is>
          <t>Chuỗi cửa gian 2′–3 lệch 10 mm / First opening-bay chain</t>
        </is>
      </c>
      <c r="C9" s="18" t="inlineStr">
        <is>
          <t>First lower nave-opening bay printed1135+2250+1125 gives4510 against4500 axis spacing.</t>
        </is>
      </c>
      <c r="D9" s="18" t="inlineStr">
        <is>
          <t>P084, P085, P086, P003</t>
        </is>
      </c>
      <c r="E9" s="41" t="n">
        <f>IF(OR(COUNTBLANK('Dimensions'!G91)&gt;0,COUNTBLANK('Dimensions'!G92)&gt;0,COUNTBLANK('Dimensions'!G93)&gt;0,COUNTBLANK('Dimensions'!G10)&gt;0),"",'Dimensions'!G91+'Dimensions'!G92+'Dimensions'!G93-'Dimensions'!G10)</f>
        <v>10</v>
      </c>
      <c r="F9" s="18" t="inlineStr">
        <is>
          <t>Chưa xác nhận / Open</t>
        </is>
      </c>
      <c r="G9" s="18" t="inlineStr">
        <is>
          <t>Xác nhận số 1,135 hoặc các mốc cửa. / Confirm 1,135 or the opening witnesses.</t>
        </is>
      </c>
      <c r="H9" s="42" t="n"/>
      <c r="I9" s="30" t="n"/>
    </row>
    <row r="10" ht="24" customHeight="1">
      <c r="A10" s="18" t="inlineStr">
        <is>
          <t>ISSUE-P03</t>
        </is>
      </c>
      <c r="B10" s="18" t="inlineStr">
        <is>
          <t>Biên ngoài cánh nhà / Side-wing outer envelope</t>
        </is>
      </c>
      <c r="C10" s="18" t="inlineStr">
        <is>
          <t>Wing envelope28158 differs1mm from26498 axis span plus main-body end margins832+829; wing-specific edge geometry must govern.</t>
        </is>
      </c>
      <c r="D10" s="18" t="inlineStr">
        <is>
          <t>P152, P023, P024, P027</t>
        </is>
      </c>
      <c r="E10" s="41" t="n">
        <f>IF(OR(COUNTBLANK('Dimensions'!G159)&gt;0,COUNTBLANK('Dimensions'!G30)&gt;0,COUNTBLANK('Dimensions'!G31)&gt;0,COUNTBLANK('Dimensions'!G34)&gt;0),"",'Dimensions'!G159+'Dimensions'!G30+'Dimensions'!G31-'Dimensions'!G34)</f>
        <v>1</v>
      </c>
      <c r="F10" s="18" t="inlineStr">
        <is>
          <t>Chưa xác nhận / Open</t>
        </is>
      </c>
      <c r="G10" s="18" t="inlineStr">
        <is>
          <t>Cần mốc biên riêng của cánh. / Obtain wing-specific edge offsets.</t>
        </is>
      </c>
      <c r="H10" s="42" t="n"/>
      <c r="I10" s="30" t="n"/>
    </row>
    <row r="11" ht="24" customHeight="1">
      <c r="A11" s="18" t="inlineStr">
        <is>
          <t>ISSUE-P04</t>
        </is>
      </c>
      <c r="B11" s="18" t="inlineStr">
        <is>
          <t>Đối chiếu các tờ bản vẽ / Drawing-to-drawing comparison</t>
        </is>
      </c>
      <c r="C11" s="18" t="inlineStr">
        <is>
          <t>Resolve drawing-to-drawing differences using the current coordinated revision. Keep each reported dimension tied to its own endpoints.</t>
        </is>
      </c>
      <c r="D11" s="18" t="inlineStr">
        <is>
          <t>Files 4–5</t>
        </is>
      </c>
      <c r="E11" s="41" t="n"/>
      <c r="F11" s="18" t="inlineStr">
        <is>
          <t>Chưa xác nhận / Open</t>
        </is>
      </c>
      <c r="G11" s="18" t="inlineStr">
        <is>
          <t>Xác nhận bộ bản vẽ cùng phiên bản. / Confirm the coordinated drawing revision.</t>
        </is>
      </c>
      <c r="H11" s="42" t="n"/>
      <c r="I11" s="30" t="n"/>
    </row>
    <row r="12" ht="24" customHeight="1">
      <c r="A12" s="18" t="inlineStr">
        <is>
          <t>ISSUE-P05</t>
        </is>
      </c>
      <c r="B12" s="18" t="inlineStr">
        <is>
          <t>Nhận dạng hình chữ nhật cung thánh / Sanctuary rectangle identity</t>
        </is>
      </c>
      <c r="C12" s="18" t="inlineStr">
        <is>
          <t>Unlabeled sanctuary-front rectangular feature has explicit1900×870mm dimensions but may be a step detail; do not assume it is an altar table.</t>
        </is>
      </c>
      <c r="D12" s="18" t="inlineStr">
        <is>
          <t>P115, P123</t>
        </is>
      </c>
      <c r="E12" s="41" t="n"/>
      <c r="F12" s="18" t="inlineStr">
        <is>
          <t>Chưa xác nhận / Open</t>
        </is>
      </c>
      <c r="G12" s="18" t="inlineStr">
        <is>
          <t>Xác nhận đây là bậc, đồ nội thất hay cấu kiện khác. / Identify the rectangular feature.</t>
        </is>
      </c>
      <c r="H12" s="42" t="n"/>
      <c r="I12" s="30" t="n"/>
    </row>
    <row r="13" ht="36" customHeight="1">
      <c r="A13" s="18" t="inlineStr">
        <is>
          <t>EI01</t>
        </is>
      </c>
      <c r="B13" s="18" t="inlineStr">
        <is>
          <t>Chuỗi đỉnh tháp lệch 1 mm / Tower-cap closure</t>
        </is>
      </c>
      <c r="C13" s="18" t="inlineStr">
        <is>
          <t>4125+1814+1892 = 7831; 36920-29090 = 7830
Cap segment closure is 1 mm greater than overall datum difference. Preserve printed inputs and flag; do not silently move cross top or change a segment.</t>
        </is>
      </c>
      <c r="D13" s="18" t="inlineStr">
        <is>
          <t>E006, E007, E013, E014, E015</t>
        </is>
      </c>
      <c r="E13" s="41" t="n">
        <f>IF(OR(COUNTBLANK('Dimensions'!G233)&gt;0,COUNTBLANK('Dimensions'!G234)&gt;0,COUNTBLANK('Dimensions'!G235)&gt;0,COUNTBLANK('Dimensions'!G227)&gt;0,COUNTBLANK('Dimensions'!G226)&gt;0),"",'Dimensions'!G233+'Dimensions'!G234+'Dimensions'!G235-('Dimensions'!G227-'Dimensions'!G226))</f>
        <v>1</v>
      </c>
      <c r="F13" s="18" t="inlineStr">
        <is>
          <t>Chưa xác nhận / Open</t>
        </is>
      </c>
      <c r="G13" s="18" t="inlineStr">
        <is>
          <t>Xác nhận chuỗi đỉnh tháp hoặc cốt thánh giá. / Confirm cap segments or cross level.</t>
        </is>
      </c>
      <c r="H13" s="42" t="n"/>
      <c r="I13" s="30" t="n"/>
    </row>
    <row r="14" ht="36" customHeight="1">
      <c r="A14" s="18" t="inlineStr">
        <is>
          <t>EI02</t>
        </is>
      </c>
      <c r="B14" s="18" t="inlineStr">
        <is>
          <t>Chuỗi mặt đứng trung tâm lệch 1 mm / Central facade closure</t>
        </is>
      </c>
      <c r="C14" s="18" t="inlineStr">
        <is>
          <t>621+5959+621 = 7201 versus grid E-D = 7200
Central facade subdimension closure differs by 1 mm. Preserve values and flag; do not silently use 5958 in place of printed 5959.</t>
        </is>
      </c>
      <c r="D14" s="18" t="inlineStr">
        <is>
          <t>E021, E029, E030, E031</t>
        </is>
      </c>
      <c r="E14" s="41" t="n">
        <f>IF(OR(COUNTBLANK('Dimensions'!G249)&gt;0,COUNTBLANK('Dimensions'!G250)&gt;0,COUNTBLANK('Dimensions'!G251)&gt;0,COUNTBLANK('Dimensions'!G241)&gt;0),"",'Dimensions'!G249+'Dimensions'!G250+'Dimensions'!G251-'Dimensions'!G241)</f>
        <v>1</v>
      </c>
      <c r="F14" s="18" t="inlineStr">
        <is>
          <t>Chưa xác nhận / Open</t>
        </is>
      </c>
      <c r="G14" s="18" t="inlineStr">
        <is>
          <t>Xác nhận 5,959 mm và hai khoảng 621 mm. / Confirm 5,959 and the two 621 mm offsets.</t>
        </is>
      </c>
      <c r="H14" s="42" t="n"/>
      <c r="I14" s="30" t="n"/>
    </row>
    <row r="15" ht="24" customHeight="1">
      <c r="A15" s="18" t="inlineStr">
        <is>
          <t>RFI-S01</t>
        </is>
      </c>
      <c r="B15" s="18" t="inlineStr">
        <is>
          <t>Tổng cao mặt cắt lệch 76 mm / Section overall height</t>
        </is>
      </c>
      <c r="C15" s="18" t="inlineStr">
        <is>
          <t>Both section sheets label ridge +12.472 m and courtyard −2.08 m, giving14552 mm; overall dimension14476 mm differs76 mm. Obtain corrected level/overall dimension from designer.</t>
        </is>
      </c>
      <c r="D15" s="18" t="inlineStr">
        <is>
          <t>S001, S005, S006, S143</t>
        </is>
      </c>
      <c r="E15" s="41" t="n">
        <f>IF(OR(COUNTBLANK('Dimensions'!G448)&gt;0,COUNTBLANK('Dimensions'!G311)&gt;0),"",'Dimensions'!G448-'Dimensions'!G311)</f>
        <v>76</v>
      </c>
      <c r="F15" s="18" t="inlineStr">
        <is>
          <t>Chưa xác nhận / Open</t>
        </is>
      </c>
      <c r="G15" s="18" t="inlineStr">
        <is>
          <t>Xác nhận cốt sân, cốt nóc và tổng cao. / Resolve the level and overall-height conflict.</t>
        </is>
      </c>
      <c r="H15" s="42" t="n"/>
      <c r="I15" s="30" t="n"/>
    </row>
    <row r="16" ht="15" customHeight="1">
      <c r="A16" s="18" t="inlineStr">
        <is>
          <t>RFI-S02</t>
        </is>
      </c>
      <c r="B16" s="18" t="inlineStr">
        <is>
          <t>Cao độ phào ngoài lệch 1 mm / Exterior cornice level</t>
        </is>
      </c>
      <c r="C16" s="18" t="inlineStr">
        <is>
          <t>Section +6.325 m and exterior detail chain6325 mm conflict with overall6324 mm on printed sheets12/13.</t>
        </is>
      </c>
      <c r="D16" s="18" t="inlineStr">
        <is>
          <t>S003, S088, S148</t>
        </is>
      </c>
      <c r="E16" s="41" t="n">
        <f>IF(OR(COUNTBLANK('Dimensions'!G453)&gt;0,COUNTBLANK('Dimensions'!G393)&gt;0),"",'Dimensions'!G453-'Dimensions'!G393)</f>
        <v>1</v>
      </c>
      <c r="F16" s="18" t="inlineStr">
        <is>
          <t>Chưa xác nhận / Open</t>
        </is>
      </c>
      <c r="G16" s="18" t="inlineStr">
        <is>
          <t>Xác nhận 6,324 hoặc 6,325 mm theo mốc. / Confirm cornice level and witness.</t>
        </is>
      </c>
      <c r="H16" s="42" t="n"/>
      <c r="I16" s="30" t="n"/>
    </row>
    <row r="17" ht="15" customHeight="1">
      <c r="A17" s="18" t="inlineStr">
        <is>
          <t>RFI-S03</t>
        </is>
      </c>
      <c r="B17" s="18" t="inlineStr">
        <is>
          <t>Chuỗi cửa cung thánh lệch 1 mm / Sanctuary doorway chain</t>
        </is>
      </c>
      <c r="C17" s="18" t="inlineStr">
        <is>
          <t>Printed2554+396=2950 mm, while aligned right-side dimension is2951 mm. Verify reference surfaces/tolerance.</t>
        </is>
      </c>
      <c r="D17" s="18" t="inlineStr">
        <is>
          <t>S074, S075, S076</t>
        </is>
      </c>
      <c r="E17" s="41" t="n">
        <f>IF(OR(COUNTBLANK('Dimensions'!G381)&gt;0,COUNTBLANK('Dimensions'!G379)&gt;0,COUNTBLANK('Dimensions'!G380)&gt;0),"",'Dimensions'!G381-'Dimensions'!G379-'Dimensions'!G380)</f>
        <v>1</v>
      </c>
      <c r="F17" s="18" t="inlineStr">
        <is>
          <t>Chưa xác nhận / Open</t>
        </is>
      </c>
      <c r="G17" s="18" t="inlineStr">
        <is>
          <t>Xác nhận các mặt chuẩn của chuỗi cửa. / Confirm doorway reference surfaces.</t>
        </is>
      </c>
      <c r="H17" s="42" t="n"/>
      <c r="I17" s="30" t="n"/>
    </row>
    <row r="18" ht="24" customHeight="1">
      <c r="A18" s="18" t="inlineStr">
        <is>
          <t>RFI-S04</t>
        </is>
      </c>
      <c r="B18" s="18" t="inlineStr">
        <is>
          <t>Vòm cửa trong và ngoài lệch 70 mm / Inner and outer door heads</t>
        </is>
      </c>
      <c r="C18" s="18" t="inlineStr">
        <is>
          <t>Exterior doorway springline3101+rise1140 gives4241 mm; interior doorway2951+band220+rise1140 gives4311 mm. Clarify70 mm offset and wall locations before modeling a shared opening.</t>
        </is>
      </c>
      <c r="D18" s="18" t="inlineStr">
        <is>
          <t>S124, S125, S130, S131, S132, S153, S154</t>
        </is>
      </c>
      <c r="E18" s="41" t="n">
        <f>IF(OR(COUNTBLANK('Dimensions'!G459)&gt;0,COUNTBLANK('Dimensions'!G458)&gt;0),"",'Dimensions'!G459-'Dimensions'!G458)</f>
        <v>70</v>
      </c>
      <c r="F18" s="18" t="inlineStr">
        <is>
          <t>Chưa xác nhận / Open</t>
        </is>
      </c>
      <c r="G18" s="18" t="inlineStr">
        <is>
          <t>Xác nhận hai lớp tường và độ lệch vòm. / Confirm wall planes and arch offset.</t>
        </is>
      </c>
      <c r="H18" s="42" t="n"/>
      <c r="I18" s="30" t="n"/>
    </row>
    <row r="19" ht="36" customHeight="1">
      <c r="A19" s="18" t="inlineStr">
        <is>
          <t>RFI-S05</t>
        </is>
      </c>
      <c r="B19" s="18" t="inlineStr">
        <is>
          <t>Độ dốc và kết cấu mái / Roof pitch and structure</t>
        </is>
      </c>
      <c r="C19" s="18" t="inlineStr">
        <is>
          <t>Roof form and material notes are supplied, but no pitch angle, purlin spacing/section, truss joints, tile thickness, roof overhang dimensions, or complete support contact elevations are given in these four sheets. Need roof framing/details or CAD geometry.</t>
        </is>
      </c>
      <c r="D19" s="18" t="inlineStr">
        <is>
          <t>P212, S002, S023, S081</t>
        </is>
      </c>
      <c r="E19" s="41" t="n"/>
      <c r="F19" s="18" t="inlineStr">
        <is>
          <t>Chưa xác nhận / Open</t>
        </is>
      </c>
      <c r="G19" s="18" t="inlineStr">
        <is>
          <t>Bổ sung chi tiết hoặc hình học CAD tương ứng. / Supply the relevant dimensioned detail or CAD geometry.</t>
        </is>
      </c>
      <c r="H19" s="42" t="n"/>
      <c r="I19" s="30" t="n"/>
    </row>
    <row r="20" ht="36" customHeight="1">
      <c r="A20" s="18" t="inlineStr">
        <is>
          <t>RFI-S06</t>
        </is>
      </c>
      <c r="B20" s="18" t="inlineStr">
        <is>
          <t>Đường cong và hoa văn / Curves and ornaments</t>
        </is>
      </c>
      <c r="C20" s="18" t="inlineStr">
        <is>
          <t>Arch bounding widths/rises exist, but radii/centres, curve control points, molding widths/depths, column flutes/capitals, rosette outer diameter/thickness, finial cross-sections and ornamental relief depths are absent. Use original DWG/DXF curves or architect-approved tracing, tagged traced not exact.</t>
        </is>
      </c>
      <c r="D20" s="18" t="inlineStr">
        <is>
          <t>Files 6–9</t>
        </is>
      </c>
      <c r="E20" s="41" t="n"/>
      <c r="F20" s="18" t="inlineStr">
        <is>
          <t>Chưa xác nhận / Open</t>
        </is>
      </c>
      <c r="G20" s="18" t="inlineStr">
        <is>
          <t>Bổ sung chi tiết hoặc hình học CAD tương ứng. / Supply the relevant dimensioned detail or CAD geometry.</t>
        </is>
      </c>
      <c r="H20" s="42" t="n"/>
      <c r="I20" s="30" t="n"/>
    </row>
    <row r="21" ht="24" customHeight="1">
      <c r="A21" s="18" t="inlineStr">
        <is>
          <t>RFI-S07</t>
        </is>
      </c>
      <c r="B21" s="18" t="inlineStr">
        <is>
          <t>Tiết diện cột và móng / Column and footing sections</t>
        </is>
      </c>
      <c r="C21" s="18" t="inlineStr">
        <is>
          <t>Shown foundation offsets are not column shaft sizes; exact post cross-sections, taper, footing depth, concrete grades and reinforcing details are absent from these architectural sections.</t>
        </is>
      </c>
      <c r="D21" s="18" t="inlineStr">
        <is>
          <t>Files 6–9</t>
        </is>
      </c>
      <c r="E21" s="41" t="n"/>
      <c r="F21" s="18" t="inlineStr">
        <is>
          <t>Chưa xác nhận / Open</t>
        </is>
      </c>
      <c r="G21" s="18" t="inlineStr">
        <is>
          <t>Bổ sung chi tiết hoặc hình học CAD tương ứng. / Supply the relevant dimensioned detail or CAD geometry.</t>
        </is>
      </c>
      <c r="H21" s="42" t="n"/>
      <c r="I21" s="30" t="n"/>
    </row>
    <row r="22" ht="24" customHeight="1">
      <c r="A22" s="18" t="inlineStr">
        <is>
          <t>RFI-S08</t>
        </is>
      </c>
      <c r="B22" s="18" t="inlineStr">
        <is>
          <t>Chiều dày lớp hoàn thiện / Finish thicknesses</t>
        </is>
      </c>
      <c r="C22" s="18" t="inlineStr">
        <is>
          <t>Concrete floor slab8 cm, veranda roof RC13 cm and material descriptions exist, but natural-stone thickness, sand-fill depth, waterproofing, roof-tile thickness and finish buildup are unspecified.</t>
        </is>
      </c>
      <c r="D22" s="18" t="inlineStr">
        <is>
          <t>S045, S080, S081</t>
        </is>
      </c>
      <c r="E22" s="41" t="n"/>
      <c r="F22" s="18" t="inlineStr">
        <is>
          <t>Chưa xác nhận / Open</t>
        </is>
      </c>
      <c r="G22" s="18" t="inlineStr">
        <is>
          <t>Bổ sung chi tiết hoặc hình học CAD tương ứng. / Supply the relevant dimensioned detail or CAD geometry.</t>
        </is>
      </c>
      <c r="H22" s="42" t="n"/>
      <c r="I22" s="30" t="n"/>
    </row>
    <row r="23" ht="24" customHeight="1">
      <c r="A23" s="18" t="inlineStr">
        <is>
          <t>RFI-S09</t>
        </is>
      </c>
      <c r="B23" s="18" t="inlineStr">
        <is>
          <t>Bậc cung thánh và đồ phụng vụ / Sanctuary steps and furniture</t>
        </is>
      </c>
      <c r="C23" s="18" t="inlineStr">
        <is>
          <t>Dais elevations are supplied; stair width/run/treads, altar dimensions/location, liturgical furniture and detailed handrails are not dimensioned in these four sheets.</t>
        </is>
      </c>
      <c r="D23" s="18" t="inlineStr">
        <is>
          <t>Files 6–9</t>
        </is>
      </c>
      <c r="E23" s="41" t="n"/>
      <c r="F23" s="18" t="inlineStr">
        <is>
          <t>Chưa xác nhận / Open</t>
        </is>
      </c>
      <c r="G23" s="18" t="inlineStr">
        <is>
          <t>Bổ sung chi tiết hoặc hình học CAD tương ứng. / Supply the relevant dimensioned detail or CAD geometry.</t>
        </is>
      </c>
      <c r="H23" s="42" t="n"/>
      <c r="I23" s="30" t="n"/>
    </row>
    <row r="24" ht="24" customHeight="1">
      <c r="A24" s="18" t="inlineStr">
        <is>
          <t>RFI-S10</t>
        </is>
      </c>
      <c r="B24" s="18" t="inlineStr">
        <is>
          <t>Phân biệt hai lớp cửa sổ / Inner and outer window identity</t>
        </is>
      </c>
      <c r="C24" s="18" t="inlineStr">
        <is>
          <t>Printed sheet12 exterior is a pair of1000-wide openings with850 sill; interior is one2250-wide opening with650 sill. They correspond to different wall/arcade planes. Do not fuse them into one window without plan confirmation.</t>
        </is>
      </c>
      <c r="D24" s="18" t="inlineStr">
        <is>
          <t>S084, S086, S091, S103, S105</t>
        </is>
      </c>
      <c r="E24" s="41" t="n"/>
      <c r="F24" s="18" t="inlineStr">
        <is>
          <t>Chưa xác nhận / Open</t>
        </is>
      </c>
      <c r="G24" s="18" t="inlineStr">
        <is>
          <t>Bổ sung chi tiết hoặc hình học CAD tương ứng. / Supply the relevant dimensioned detail or CAD geometry.</t>
        </is>
      </c>
      <c r="H24" s="42" t="n"/>
      <c r="I24" s="30" t="n"/>
    </row>
    <row r="25" ht="24" customHeight="1">
      <c r="A25" s="18" t="inlineStr">
        <is>
          <t>ISSUE-C01</t>
        </is>
      </c>
      <c r="B25" s="18" t="inlineStr">
        <is>
          <t>Khác biệt chiều dài mặt bằng và mặt đứng / Plan and elevation length</t>
        </is>
      </c>
      <c r="C25" s="18" t="inlineStr">
        <is>
          <t>Floor overall67064 and side-elevation67149 differ85mm; the printed/derived endpoint differences are−25mm at approach and+110mm at far end. Geometry/revision intent is not confirmed. Preserve both source chains.</t>
        </is>
      </c>
      <c r="D25" s="18" t="inlineStr">
        <is>
          <t>P021, E065, P020, E051, P155, E064</t>
        </is>
      </c>
      <c r="E25" s="41" t="n">
        <f>IF(OR(COUNTBLANK('Dimensions'!G285)&gt;0,COUNTBLANK('Dimensions'!G28)&gt;0),"",'Dimensions'!G285-'Dimensions'!G28)</f>
        <v>85</v>
      </c>
      <c r="F25" s="18" t="inlineStr">
        <is>
          <t>Chưa xác nhận / Open</t>
        </is>
      </c>
      <c r="G25" s="18" t="inlineStr">
        <is>
          <t>Xác nhận hai mốc biên và phiên bản bản vẽ. / Confirm extent witnesses and drawing revision.</t>
        </is>
      </c>
      <c r="H25" s="42" t="n"/>
      <c r="I25" s="30" t="n"/>
    </row>
    <row r="26" ht="24" customHeight="1">
      <c r="A26" s="18" t="inlineStr">
        <is>
          <t>ISSUE-C02</t>
        </is>
      </c>
      <c r="B26" s="18" t="inlineStr">
        <is>
          <t>Cao độ nóc mái cánh / Side-wing ridge heights</t>
        </is>
      </c>
      <c r="C26" s="18" t="inlineStr">
        <is>
          <t>Main ridge/reference+12.472m is confirmed by other sheets. No exact side-wing ridge height is supplied. Do not assign the main ridge height to the short side-wing ridges.</t>
        </is>
      </c>
      <c r="D26" s="18" t="inlineStr">
        <is>
          <t>P212</t>
        </is>
      </c>
      <c r="E26" s="41" t="n"/>
      <c r="F26" s="18" t="inlineStr">
        <is>
          <t>Chưa xác nhận / Open</t>
        </is>
      </c>
      <c r="G26" s="18" t="inlineStr">
        <is>
          <t>Cần cao độ nóc riêng cho từng cánh. / Supply each side-wing ridge level.</t>
        </is>
      </c>
      <c r="H26" s="42" t="n"/>
      <c r="I26" s="30" t="n"/>
    </row>
    <row r="27" ht="24" customHeight="1">
      <c r="A27" s="18" t="inlineStr">
        <is>
          <t>ISSUE-C03</t>
        </is>
      </c>
      <c r="B27" s="18" t="inlineStr">
        <is>
          <t>Giả thiết đối xứng mặt cắt / Section symmetry assumption</t>
        </is>
      </c>
      <c r="C27" s="18" t="inlineStr">
        <is>
          <t>780mm symmetric offset is derived from section widths. Equality of two offsets is an explicit assumption, not independent measurements and not a replacement for differing ground-plan/elevation projections.</t>
        </is>
      </c>
      <c r="D27" s="18" t="inlineStr">
        <is>
          <t>S137</t>
        </is>
      </c>
      <c r="E27" s="41" t="n"/>
      <c r="F27" s="18" t="inlineStr">
        <is>
          <t>Giả thiết / Assumption</t>
        </is>
      </c>
      <c r="G27" s="18" t="inlineStr">
        <is>
          <t>Xác nhận hai biên có đối xứng hay không. / Confirm whether the section edges are symmetric.</t>
        </is>
      </c>
      <c r="H27" s="42" t="n"/>
      <c r="I27" s="30" t="n"/>
    </row>
    <row r="28" ht="36" customHeight="1">
      <c r="A28" s="18" t="inlineStr">
        <is>
          <t>ISSUE-C04</t>
        </is>
      </c>
      <c r="B28" s="18" t="inlineStr">
        <is>
          <t>Gán loại cửa vào mặt bằng / Map opening details to locations</t>
        </is>
      </c>
      <c r="C28" s="18" t="inlineStr">
        <is>
          <t>Files8/9 provide heights for selected opening types. Exterior paired1000mm openings and inner2250mm openings belong to different facade/arcade planes. Map detail types to exact plan instances; preserve70mm interior/exterior crown difference and unknown curve radii.</t>
        </is>
      </c>
      <c r="D28" s="18" t="inlineStr">
        <is>
          <t>P213, S105, S124, S130, S150, S151, S153, S154</t>
        </is>
      </c>
      <c r="E28" s="41" t="n"/>
      <c r="F28" s="18" t="inlineStr">
        <is>
          <t>Còn một phần / Partial</t>
        </is>
      </c>
      <c r="G28" s="18" t="inlineStr">
        <is>
          <t>Cần mã loại cửa và vị trí từng cửa. / Map detail types to opening instances.</t>
        </is>
      </c>
      <c r="H28" s="42" t="n"/>
      <c r="I28" s="30" t="n"/>
    </row>
    <row r="29" ht="24" customHeight="1">
      <c r="A29" s="18" t="inlineStr">
        <is>
          <t>ISSUE-C05</t>
        </is>
      </c>
      <c r="B29" s="18" t="inlineStr">
        <is>
          <t>Khác biệt bề ngang theo mốc đo / Widths by source witness</t>
        </is>
      </c>
      <c r="C29" s="18" t="inlineStr">
        <is>
          <t>Floor main exterior22489, opposite elevation22486, and section exterior22388 are different printed dimensions. Do not force these to one dimension without architectural witness confirmation.</t>
        </is>
      </c>
      <c r="D29" s="18" t="inlineStr">
        <is>
          <t>P026, E078, S012</t>
        </is>
      </c>
      <c r="E29" s="41" t="n"/>
      <c r="F29" s="18" t="inlineStr">
        <is>
          <t>Chưa xác nhận / Open</t>
        </is>
      </c>
      <c r="G29" s="18" t="inlineStr">
        <is>
          <t>Xác nhận mốc tường, phào và biên mái. / Confirm wall, molding and roof witnesses.</t>
        </is>
      </c>
      <c r="H29" s="42" t="n"/>
      <c r="I29" s="30" t="n"/>
    </row>
    <row r="30" ht="120" customHeight="1">
      <c r="A30" s="18" t="inlineStr">
        <is>
          <t>ISSUE-R01</t>
        </is>
      </c>
      <c r="B30" s="18" t="inlineStr">
        <is>
          <t>Bộ bản vẽ hiện hành / Which drawing revision governs</t>
        </is>
      </c>
      <c r="C30" s="18" t="inlineStr">
        <is>
          <t>The CAD file received 24 Oct 2026 (AutoCAD 2007 DWG, created 2011, last saved 23 Oct 2026) numbers its sheets 1–47 and adds a longitudinal section, a +6.324/+8.390 m plan, tower plans, side-wing end elevations, arch-frame details and a tower elevation. Its grid and tower levels agree with the PDFs, but its central facade, sanctuary section and plan dimensioning differ. It has no roof plan.</t>
        </is>
      </c>
      <c r="D30" s="18" t="inlineStr">
        <is>
          <t>Source file 10; Files 1–9</t>
        </is>
      </c>
      <c r="E30" s="41" t="n"/>
      <c r="F30" s="18" t="inlineStr">
        <is>
          <t xml:space="preserve">USER CONFIRMED - project design basis; construction issue remains ENGINEERING HOLD</t>
        </is>
      </c>
      <c r="G30" s="18" t="inlineStr">
        <is>
          <t xml:space="preserve">Owner direction, 26 October 2026: use the DWG saved 23 October 2026 as the project design standard. Retain older PDF evidence and unresolved internal conflicts. Responsible designer to issue coordinated construction drawings.</t>
        </is>
      </c>
      <c r="H30" s="42" t="n"/>
      <c r="I30" s="30" t="inlineStr">
        <is>
          <t xml:space="preserve">Owner instruction in project chat, 2026-10-26; same DWG SHA-256 as source file 10 (sheets.json).</t>
        </is>
      </c>
    </row>
    <row r="31" ht="120" customHeight="1">
      <c r="A31" s="18" t="inlineStr">
        <is>
          <t>ISSUE-R02</t>
        </is>
      </c>
      <c r="B31" s="18" t="inlineStr">
        <is>
          <t>Mặt giữa hai tháp / Central facade between the towers</t>
        </is>
      </c>
      <c r="C31" s="18" t="inlineStr">
        <is>
          <t xml:space="preserve">DWG sheet 1 (variant A cut through the nave roof, variant B full elevation) shows one pedimented arched niche with a cross, flanked by crested parapets with fleur-de-lis cresting, two smaller arched niches and a triple-arched window under a rose above the main door. PDF sheet 1 shows a taller screen of three pinnacled gables, which the model followed before the DWG facade adoption on 24 October 2026. Tower geometry and the central 7,200 mm bay are the same.</t>
        </is>
      </c>
      <c r="D31" s="18" t="inlineStr">
        <is>
          <t>File 1; source file 10 sheet 1</t>
        </is>
      </c>
      <c r="E31" s="41" t="n"/>
      <c r="F31" s="18" t="inlineStr">
        <is>
          <t>Chưa xác nhận / Open</t>
        </is>
      </c>
      <c r="G31" s="18" t="inlineStr">
        <is>
          <t>Xác nhận mặt giữa sẽ xây và cung cấp cao độ các tầng trang trí. / Confirm which central facade is to be built and provide its heights.</t>
        </is>
      </c>
      <c r="H31" s="42" t="n"/>
      <c r="I31" s="30" t="n"/>
    </row>
    <row r="32" ht="24" customHeight="1">
      <c r="A32" s="18" t="inlineStr">
        <is>
          <t>ISSUE-R03</t>
        </is>
      </c>
      <c r="B32" s="18" t="inlineStr">
        <is>
          <t>Chiều cao mặt cắt cung thánh / Sanctuary section heights</t>
        </is>
      </c>
      <c r="C32" s="18" t="inlineStr">
        <is>
          <t>DWG sheet 25 against PDF sheet 5: side-aisle opening chain 160 / 2,544 / 466 / 4,392 against 150 / 2,554 / 396 / 4,462 (both 7,562); inner heights 6,231 and 8,525 against 6,301 and 8,452; right-side opening reference 3,171 (3,170.5) against 2,951.</t>
        </is>
      </c>
      <c r="D32" s="18" t="inlineStr">
        <is>
          <t>S074, S075, S076; source file 10 sheet 25</t>
        </is>
      </c>
      <c r="E32" s="41" t="n">
        <v>70</v>
      </c>
      <c r="F32" s="18" t="inlineStr">
        <is>
          <t>Chưa xác nhận / Open</t>
        </is>
      </c>
      <c r="G32" s="18" t="inlineStr">
        <is>
          <t>Xác nhận bản mặt cắt cung thánh hiện hành. / Confirm the current sanctuary section.</t>
        </is>
      </c>
      <c r="H32" s="42" t="n"/>
      <c r="I32" s="30" t="n"/>
    </row>
    <row r="33" ht="24" customHeight="1">
      <c r="A33" s="18" t="inlineStr">
        <is>
          <t>ISSUE-R04</t>
        </is>
      </c>
      <c r="B33" s="18" t="inlineStr">
        <is>
          <t>Cao độ bục cung thánh / Sanctuary platform level</t>
        </is>
      </c>
      <c r="C33" s="18" t="inlineStr">
        <is>
          <t>DWG section 25 dimensions the sanctuary platform 800 mm above the nave floor, with column bases 200 mm above it. The DWG ground plan still labels +0.75 m, as do the PDF plan and section.</t>
        </is>
      </c>
      <c r="D33" s="18" t="inlineStr">
        <is>
          <t>P049; source file 10 sheets 5 and 25</t>
        </is>
      </c>
      <c r="E33" s="41" t="n">
        <v>50</v>
      </c>
      <c r="F33" s="18" t="inlineStr">
        <is>
          <t>Chưa xác nhận / Open</t>
        </is>
      </c>
      <c r="G33" s="18" t="inlineStr">
        <is>
          <t>Xác nhận +0,75 hay +0,80 m. / Confirm +0.75 m or +0.80 m.</t>
        </is>
      </c>
      <c r="H33" s="42" t="n"/>
      <c r="I33" s="30" t="n"/>
    </row>
    <row r="34" ht="24" customHeight="1">
      <c r="A34" s="18" t="inlineStr">
        <is>
          <t>ISSUE-R05</t>
        </is>
      </c>
      <c r="B34" s="18" t="inlineStr">
        <is>
          <t>Nóc mái vẽ và ghi khác nhau / Drawn and labelled ridge differ</t>
        </is>
      </c>
      <c r="C34" s="18" t="inlineStr">
        <is>
          <t>The main ridge line is drawn at +12.396 m in DWG sections 24/25 and the side elevation, while every label reads +12.472 m and section A-A draws its ridge at +12.472 m. The 14,476 overall on the sections equals 2,080 + 12,396. Explains RFI-S01; the 76 mm may be a ridge cap.</t>
        </is>
      </c>
      <c r="D34" s="18" t="inlineStr">
        <is>
          <t>E049, S001, S006; source file 10 sheets 24, 25, 45</t>
        </is>
      </c>
      <c r="E34" s="41" t="n">
        <v>76</v>
      </c>
      <c r="F34" s="18" t="inlineStr">
        <is>
          <t>Chưa xác nhận / Open</t>
        </is>
      </c>
      <c r="G34" s="18" t="inlineStr">
        <is>
          <t>Xác nhận +12,472 là đỉnh ngói nóc hay đỉnh vì kèo. / Confirm whether +12.472 m is the ridge-cap top or the roof apex.</t>
        </is>
      </c>
      <c r="H34" s="42" t="n"/>
      <c r="I34" s="30" t="n"/>
    </row>
    <row r="35" ht="140" customHeight="1">
      <c r="A35" s="18" t="inlineStr">
        <is>
          <t xml:space="preserve">ISSUE-R06</t>
        </is>
      </c>
      <c r="B35" s="18" t="inlineStr">
        <is>
          <t xml:space="preserve">Đơn vị hình học và đơn vị chèn trong DWG</t>
        </is>
      </c>
      <c r="C35" s="18" t="inlineStr">
        <is>
          <t xml:space="preserve">DWG gốc và DXF mới đều có INSUNITS=1 (inch, đơn vị chèn). Chuỗi trục 4500/7200 và các nhãn cao độ theo m phù hợp cách hiểu hình học mm của mô hình; đây là diễn giải từ bản vẽ, chưa phải xác nhận đơn vị của người thiết kế. Không tự nhân hoặc chia tọa độ theo 25,4.</t>
        </is>
      </c>
      <c r="D35" s="18" t="inlineStr">
        <is>
          <t xml:space="preserve">Tệp CAD nguồn 10; 726 đối tượng kích thước; 137 mốc trục</t>
        </is>
      </c>
      <c r="E35" s="41"/>
      <c r="F35" s="18" t="inlineStr">
        <is>
          <t xml:space="preserve">Chưa xác nhận / ENGINEERING HOLD</t>
        </is>
      </c>
      <c r="G35" s="18" t="inlineStr">
        <is>
          <t xml:space="preserve">Người thiết kế mở DWG trong AutoCAD/ODA, xác nhận đơn vị hình học, tỷ lệ chèn, đơn vị ghi kích thước và phát hành hồ sơ thi công thống nhất.</t>
        </is>
      </c>
      <c r="H35" s="42"/>
      <c r="I35" s="30" t="inlineStr">
        <is>
          <t xml:space="preserve">Kiểm tra trực tiếp 26/10/2026; Autodesk INSUNITS; review/dwg-vietnamese-23102026/kiem-tra-so-lieu.json</t>
        </is>
      </c>
    </row>
  </sheetData>
  <conditionalFormatting sqref="F8:F35">
    <cfRule type="containsText" priority="1" operator="containsText" dxfId="1" text="Open"/>
    <cfRule type="containsText" priority="2" operator="containsText" dxfId="1" text="Assumption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7B8B94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88" customWidth="1" min="4" max="4"/>
    <col width="16" customWidth="1" min="5" max="5"/>
  </cols>
  <sheetData>
    <row r="1" ht="25" customHeight="1">
      <c r="A1" s="36" t="n"/>
      <c r="B1" s="36" t="n"/>
      <c r="C1" s="36" t="n"/>
      <c r="D1" s="36" t="n"/>
      <c r="E1" s="36" t="n"/>
    </row>
    <row r="2" ht="25" customHeight="1">
      <c r="A2" s="3" t="inlineStr">
        <is>
          <t>NGUỒN BẢN VẼ / DRAWING SOURCES</t>
        </is>
      </c>
      <c r="B2" s="36" t="n"/>
      <c r="C2" s="36" t="n"/>
      <c r="D2" s="36" t="n"/>
      <c r="E2" s="36" t="n"/>
    </row>
    <row r="3" ht="25" customHeight="1">
      <c r="A3" s="4" t="n"/>
      <c r="B3" s="4" t="n"/>
      <c r="C3" s="4" t="n"/>
      <c r="D3" s="4" t="n"/>
      <c r="E3" s="4" t="n"/>
    </row>
    <row r="4" ht="25" customHeight="1">
      <c r="A4" s="5" t="inlineStr">
        <is>
          <t>Số cuối tên file khác số tờ in trên bản vẽ. / The filename suffix and printed sheet number are different.</t>
        </is>
      </c>
      <c r="B4" s="36" t="n"/>
      <c r="C4" s="36" t="n"/>
      <c r="D4" s="36" t="n"/>
      <c r="E4" s="36" t="n"/>
    </row>
    <row r="5" ht="25" customHeight="1">
      <c r="A5" s="36" t="n"/>
      <c r="B5" s="36" t="n"/>
      <c r="C5" s="36" t="n"/>
      <c r="D5" s="36" t="n"/>
      <c r="E5" s="36" t="n"/>
    </row>
    <row r="6" ht="25" customHeight="1">
      <c r="A6" s="36" t="n"/>
      <c r="B6" s="36" t="n"/>
      <c r="C6" s="36" t="n"/>
      <c r="D6" s="36" t="n"/>
      <c r="E6" s="36" t="n"/>
    </row>
    <row r="7" ht="38" customHeight="1">
      <c r="A7" s="14" t="inlineStr">
        <is>
          <t>File</t>
        </is>
      </c>
      <c r="B7" s="15" t="inlineStr">
        <is>
          <t>Tờ in / Printed sheet</t>
        </is>
      </c>
      <c r="C7" s="15" t="inlineStr">
        <is>
          <t>Nội dung / Drawing</t>
        </is>
      </c>
      <c r="D7" s="15" t="inlineStr">
        <is>
          <t>Tên file gốc / Original filename</t>
        </is>
      </c>
      <c r="E7" s="16" t="inlineStr">
        <is>
          <t>Trang PDF / Page</t>
        </is>
      </c>
    </row>
    <row r="8" ht="24" customHeight="1">
      <c r="A8" s="43" t="n">
        <v>1</v>
      </c>
      <c r="B8" s="43" t="n">
        <v>1</v>
      </c>
      <c r="C8" s="18" t="inlineStr">
        <is>
          <t>MẶT ĐỨNG CUỐI
Twin-tower end</t>
        </is>
      </c>
      <c r="D8" s="18" t="inlineStr">
        <is>
          <t>MẶT BẰNG NHÀ THỜ GIÁO XỨ THẠCH BI-Model.pdf 1.pdf</t>
        </is>
      </c>
      <c r="E8" s="43" t="n">
        <v>1</v>
      </c>
    </row>
    <row r="9" ht="24" customHeight="1">
      <c r="A9" s="43" t="n">
        <v>2</v>
      </c>
      <c r="B9" s="43" t="n">
        <v>2</v>
      </c>
      <c r="C9" s="18" t="inlineStr">
        <is>
          <t>MẶT ĐỨNG HAI BÊN
Both side elevations</t>
        </is>
      </c>
      <c r="D9" s="18" t="inlineStr">
        <is>
          <t>MẶT BẰNG NHÀ THỜ GIÁO XỨ THẠCH BI-Model.pdf 2.pdf</t>
        </is>
      </c>
      <c r="E9" s="43" t="n">
        <v>1</v>
      </c>
    </row>
    <row r="10" ht="24" customHeight="1">
      <c r="A10" s="43" t="n">
        <v>3</v>
      </c>
      <c r="B10" s="43" t="n">
        <v>3</v>
      </c>
      <c r="C10" s="18" t="inlineStr">
        <is>
          <t>MẶT ĐỨNG ĐẦU
Opposite gabled end</t>
        </is>
      </c>
      <c r="D10" s="18" t="inlineStr">
        <is>
          <t>MẶT BẰNG NHÀ THỜ GIÁO XỨ THẠCH BI-Model.pdf 3.pdf</t>
        </is>
      </c>
      <c r="E10" s="43" t="n">
        <v>1</v>
      </c>
    </row>
    <row r="11" ht="24" customHeight="1">
      <c r="A11" s="43" t="n">
        <v>4</v>
      </c>
      <c r="B11" s="43" t="n">
        <v>6</v>
      </c>
      <c r="C11" s="18" t="inlineStr">
        <is>
          <t>MẶT BẰNG +00
Ground-floor plan</t>
        </is>
      </c>
      <c r="D11" s="18" t="inlineStr">
        <is>
          <t>MẶT BẰNG NHÀ THỜ GIÁO XỨ THẠCH BI-Model.pdf 4.pdf</t>
        </is>
      </c>
      <c r="E11" s="43" t="n">
        <v>1</v>
      </c>
    </row>
    <row r="12" ht="24" customHeight="1">
      <c r="A12" s="43" t="n">
        <v>5</v>
      </c>
      <c r="B12" s="43" t="n">
        <v>11</v>
      </c>
      <c r="C12" s="18" t="inlineStr">
        <is>
          <t>MẶT BẰNG MÁI CHẢY
Roof plan</t>
        </is>
      </c>
      <c r="D12" s="18" t="inlineStr">
        <is>
          <t>MẶT BẰNG NHÀ THỜ GIÁO XỨ THẠCH BI-Model.pdf 5.pdf</t>
        </is>
      </c>
      <c r="E12" s="43" t="n">
        <v>1</v>
      </c>
    </row>
    <row r="13" ht="24" customHeight="1">
      <c r="A13" s="43" t="n">
        <v>6</v>
      </c>
      <c r="B13" s="43" t="n">
        <v>4</v>
      </c>
      <c r="C13" s="18" t="inlineStr">
        <is>
          <t>Mặt cắt thân nhà thờ
Nave transverse section</t>
        </is>
      </c>
      <c r="D13" s="18" t="inlineStr">
        <is>
          <t>MẶT BẰNG NHÀ THỜ GIÁO XỨ THẠCH BI-Model.pdf 6.pdf</t>
        </is>
      </c>
      <c r="E13" s="43" t="n">
        <v>1</v>
      </c>
    </row>
    <row r="14" ht="24" customHeight="1">
      <c r="A14" s="43" t="n">
        <v>7</v>
      </c>
      <c r="B14" s="43" t="n">
        <v>5</v>
      </c>
      <c r="C14" s="18" t="inlineStr">
        <is>
          <t>Mặt cắt cung thánh
Sanctuary transverse section</t>
        </is>
      </c>
      <c r="D14" s="18" t="inlineStr">
        <is>
          <t>MẶT BẰNG NHÀ THỜ GIÁO XỨ THẠCH BI-Model.pdf 7.pdf</t>
        </is>
      </c>
      <c r="E14" s="43" t="n">
        <v>1</v>
      </c>
    </row>
    <row r="15" ht="24" customHeight="1">
      <c r="A15" s="43" t="n">
        <v>8</v>
      </c>
      <c r="B15" s="43" t="n">
        <v>12</v>
      </c>
      <c r="C15" s="18" t="inlineStr">
        <is>
          <t>Chi tiết cửa sổ, cột và đỉnh
Window, pilaster and finial details</t>
        </is>
      </c>
      <c r="D15" s="18" t="inlineStr">
        <is>
          <t>MẶT BẰNG NHÀ THỜ GIÁO XỨ THẠCH BI-Model.pdf 8.pdf</t>
        </is>
      </c>
      <c r="E15" s="43" t="n">
        <v>1</v>
      </c>
    </row>
    <row r="16" ht="24" customHeight="1">
      <c r="A16" s="43" t="n">
        <v>9</v>
      </c>
      <c r="B16" s="43" t="n">
        <v>13</v>
      </c>
      <c r="C16" s="18" t="inlineStr">
        <is>
          <t>Chi tiết cửa đi
Doorway bay details</t>
        </is>
      </c>
      <c r="D16" s="18" t="inlineStr">
        <is>
          <t>MẶT BẰNG NHÀ THỜ GIÁO XỨ THẠCH BI-Model.pdf 9.pdf</t>
        </is>
      </c>
      <c r="E16" s="43" t="n">
        <v>1</v>
      </c>
    </row>
    <row r="17" ht="24" customHeight="1">
      <c r="A17" s="43" t="n">
        <v>10</v>
      </c>
      <c r="B17" s="43" t="inlineStr">
        <is>
          <t>1, 3, 5, 14, 24–34, 45–47</t>
        </is>
      </c>
      <c r="C17" s="18" t="inlineStr">
        <is>
          <t>Bộ bản vẽ CAD (DWG), lưu 23/10/2026
CAD drawing set (DWG), saved 2026-10-23</t>
        </is>
      </c>
      <c r="D17" s="18" t="inlineStr">
        <is>
          <t>MẶT BẰNG NHÀ THỜ GIÁO XỨ THẠCH BI.dwg A.dwg</t>
        </is>
      </c>
      <c r="E17" s="43" t="inlineStr">
        <is>
          <t>—</t>
        </is>
      </c>
    </row>
    <row r="20" ht="31" customHeight="1"/>
    <row r="21" ht="31" customHeight="1">
      <c r="A21" s="33" t="inlineStr">
        <is>
          <t>QUY ƯỚC MÔ HÌNH / MODEL CONVENTIONS</t>
        </is>
      </c>
      <c r="B21" s="36" t="n"/>
      <c r="C21" s="36" t="n"/>
      <c r="D21" s="36" t="n"/>
      <c r="E21" s="36" t="n"/>
    </row>
    <row r="22" ht="31" customHeight="1">
      <c r="A22" s="34" t="n"/>
      <c r="B22" s="34" t="n"/>
      <c r="C22" s="34" t="n"/>
      <c r="D22" s="34" t="n"/>
      <c r="E22" s="34" t="n"/>
    </row>
    <row r="23" ht="31" customHeight="1">
      <c r="A23" s="35" t="inlineStr">
        <is>
          <t>Đơn vị / Units</t>
        </is>
      </c>
      <c r="B23" s="36" t="n"/>
      <c r="C23" s="36" t="inlineStr">
        <is>
          <t>1 Three.js unit = 1 m. Cột mm và m được tính từ trị số gốc. / mm and m columns calculate from the original source value.</t>
        </is>
      </c>
      <c r="D23" s="36" t="n"/>
      <c r="E23" s="36" t="n"/>
    </row>
    <row r="24" ht="31" customHeight="1">
      <c r="A24" s="35" t="inlineStr">
        <is>
          <t>Trục X / X</t>
        </is>
      </c>
      <c r="B24" s="36" t="n"/>
      <c r="C24" s="36" t="inlineStr">
        <is>
          <t>Dọc nhà: trục 1 = 0; chiều dương về trục 12. / Longitudinal: axis 1 = 0, positive toward axis 12.</t>
        </is>
      </c>
      <c r="D24" s="36" t="n"/>
      <c r="E24" s="36" t="n"/>
    </row>
    <row r="25" ht="31" customHeight="1">
      <c r="A25" s="35" t="inlineStr">
        <is>
          <t>Trục Y / Y</t>
        </is>
      </c>
      <c r="B25" s="36" t="n"/>
      <c r="C25" s="36" t="inlineStr">
        <is>
          <t>Chiều cao: sàn gian chính ±0.000 = 0; chiều dương lên trên. / Vertical: main floor = 0, positive upward.</t>
        </is>
      </c>
      <c r="D25" s="36" t="n"/>
      <c r="E25" s="36" t="n"/>
    </row>
    <row r="26" ht="31" customHeight="1">
      <c r="A26" s="35" t="inlineStr">
        <is>
          <t>Trục Z / Z</t>
        </is>
      </c>
      <c r="B26" s="36" t="n"/>
      <c r="C26" s="36" t="inlineStr">
        <is>
          <t>Ngang nhà: trung điểm D–E = 0; chiều dương về G/H/I. / Transverse: midpoint D–E = 0, positive toward G/H/I.</t>
        </is>
      </c>
      <c r="D26" s="36" t="n"/>
      <c r="E26" s="36" t="n"/>
    </row>
    <row r="27" ht="31" customHeight="1">
      <c r="A27" s="35" t="inlineStr">
        <is>
          <t>Trục gốc / Axes</t>
        </is>
      </c>
      <c r="B27" s="36" t="n"/>
      <c r="C27" s="36" t="inlineStr">
        <is>
          <t>Mặt cắt gốc: X → Z mô hình; Y → Y; Z → X. NORMAL là độ dày theo pháp tuyến cục bộ. / Source section axes are remapped.</t>
        </is>
      </c>
      <c r="D27" s="36" t="n"/>
      <c r="E27" s="36" t="n"/>
    </row>
    <row r="28" ht="31" customHeight="1">
      <c r="A28" s="35" t="inlineStr">
        <is>
          <t>Tọa độ / Coords</t>
        </is>
      </c>
      <c r="B28" s="36" t="n"/>
      <c r="C28" s="36" t="inlineStr">
        <is>
          <t>P141–P148 giữ gốc A. Model grid trừ P154 = 13,249 mm để đặt gốc Z tại D–E. / Source A-based coordinates remain intact.</t>
        </is>
      </c>
      <c r="D28" s="36" t="n"/>
      <c r="E28" s="36" t="n"/>
    </row>
    <row r="29" ht="31" customHeight="1">
      <c r="A29" s="35" t="inlineStr">
        <is>
          <t>Ô trống / Blank</t>
        </is>
      </c>
      <c r="B29" s="36" t="n"/>
      <c r="C29" s="36" t="inlineStr">
        <is>
          <t>Chưa có kích thước thì để trống. Số 0 chỉ dùng cho cốt hoặc kết quả bằng 0. / Missing values are not filled with zero.</t>
        </is>
      </c>
      <c r="D29" s="36" t="n"/>
      <c r="E29" s="36" t="n"/>
    </row>
    <row r="30" ht="31" customHeight="1">
      <c r="A30" s="35" t="inlineStr">
        <is>
          <t>Khác biệt / Gaps</t>
        </is>
      </c>
      <c r="B30" s="36" t="n"/>
      <c r="C30" s="36" t="inlineStr">
        <is>
          <t>Giữ riêng các kích thước theo mốc của từng tờ. Xem Open items để xác nhận. / Distinct source witnesses stay separate.</t>
        </is>
      </c>
      <c r="D30" s="36" t="n"/>
      <c r="E30" s="36" t="n"/>
    </row>
    <row r="31" ht="31" customHeight="1">
      <c r="A31" s="35" t="inlineStr">
        <is>
          <t>Hình học / Shape</t>
        </is>
      </c>
      <c r="B31" s="36" t="n"/>
      <c r="C31" s="36" t="inlineStr">
        <is>
          <t>Bán kính vòm, tiết diện trang trí và vài cao độ giao mái còn thiếu. / Some curve, profile and roof-junction dimensions are absent.</t>
        </is>
      </c>
      <c r="D31" s="36" t="n"/>
      <c r="E31" s="36" t="n"/>
    </row>
    <row r="32" ht="31" customHeight="1">
      <c r="A32" s="35" t="inlineStr">
        <is>
          <t>Màu sắc / Finish</t>
        </is>
      </c>
      <c r="B32" s="36" t="n"/>
      <c r="C32" s="36" t="inlineStr">
        <is>
          <t>Các tờ kiến trúc đơn sắc chưa xác định màu sơn, mái hay chóp tháp. / Finish colors are not specified in these drawings.</t>
        </is>
      </c>
      <c r="D32" s="36" t="n"/>
      <c r="E32" s="36" t="n"/>
    </row>
    <row r="33" ht="31" customHeight="1">
      <c r="A33" s="35" t="inlineStr">
        <is>
          <t>Phương vị / CRS</t>
        </is>
      </c>
      <c r="B33" s="36" t="n"/>
      <c r="C33" s="36" t="inlineStr">
        <is>
          <t>Chưa có hướng Bắc, hệ tọa độ địa lý hoặc mốc khảo sát. / No north bearing, geographic CRS or surveyed origin is provided.</t>
        </is>
      </c>
      <c r="D33" s="36" t="n"/>
      <c r="E33" s="36" t="n"/>
    </row>
    <row r="34">
      <c r="A34" s="36" t="n"/>
      <c r="B34" s="36" t="n"/>
      <c r="C34" s="36" t="n"/>
      <c r="D34" s="36" t="n"/>
      <c r="E34" s="3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18324B"/>
    <outlinePr summaryBelow="1" summaryRight="1"/>
    <pageSetUpPr/>
  </sheetPr>
  <dimension ref="A2:I3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60" customWidth="1" min="4" max="4"/>
    <col width="52" customWidth="1" min="5" max="5"/>
    <col width="18" customWidth="1" min="6" max="6"/>
    <col width="18" customWidth="1" min="7" max="7"/>
    <col width="18" customWidth="1" min="8" max="8"/>
    <col width="70" customWidth="1" min="9" max="9"/>
  </cols>
  <sheetData>
    <row r="1" ht="25" customHeight="1"/>
    <row r="2" ht="25" customHeight="1">
      <c r="A2" s="3" t="inlineStr">
        <is>
          <t>BẢN VẼ CAD 23/10/2026 / CAD DRAWINGS 2026-10-23</t>
        </is>
      </c>
    </row>
    <row r="3" ht="25" customHeight="1"/>
    <row r="4" ht="25" customHeight="1">
      <c r="A4" s="5" t="inlineStr">
        <is>
          <t xml:space="preserve">Phiên bản 23102026. 726 kích thước thuộc 27 bản vẽ. Đơn vị mm suy từ chuỗi kích thước và nhãn m; INSUNITS gốc = 1 (inch, đơn vị chèn). Cần người thiết kế xác nhận đơn vị. Số ghi lấy trực tiếp từ chữ số lưu trong CAD. Không dùng để thi công.</t>
        </is>
      </c>
    </row>
    <row r="7">
      <c r="A7" s="14" t="inlineStr">
        <is>
          <t>Mã / ID</t>
        </is>
      </c>
      <c r="B7" s="14" t="inlineStr">
        <is>
          <t>Tờ DWG / DWG sheet</t>
        </is>
      </c>
      <c r="C7" s="14" t="inlineStr">
        <is>
          <t>Nhóm / Category</t>
        </is>
      </c>
      <c r="D7" s="14" t="inlineStr">
        <is>
          <t>Tiêu đề / Title (VI)</t>
        </is>
      </c>
      <c r="E7" s="14" t="inlineStr">
        <is>
          <t>Title (EN)</t>
        </is>
      </c>
      <c r="F7" s="14" t="inlineStr">
        <is>
          <t>Trục mô hình / Model axes</t>
        </is>
      </c>
      <c r="G7" s="14" t="inlineStr">
        <is>
          <t>PDF tương ứng / Register file</t>
        </is>
      </c>
      <c r="H7" s="14" t="inlineStr">
        <is>
          <t>Số kích thước / Dimension objects</t>
        </is>
      </c>
      <c r="I7" s="14" t="inlineStr">
        <is>
          <t>Ảnh (không commit) / Image (not committed)</t>
        </is>
      </c>
    </row>
    <row r="8">
      <c r="A8" s="18" t="inlineStr">
        <is>
          <t>P05</t>
        </is>
      </c>
      <c r="B8" s="18" t="inlineStr">
        <is>
          <t>5</t>
        </is>
      </c>
      <c r="C8" s="18" t="inlineStr">
        <is>
          <t>plans</t>
        </is>
      </c>
      <c r="D8" s="18" t="inlineStr">
        <is>
          <t>MẶT BẰNG +00 NHÀ THỜ GIÁO XỨ THẠCH BI</t>
        </is>
      </c>
      <c r="E8" s="18" t="inlineStr">
        <is>
          <t>Ground-floor plan +0.00</t>
        </is>
      </c>
      <c r="F8" s="18" t="inlineStr">
        <is>
          <t>X/Z</t>
        </is>
      </c>
      <c r="G8" s="18" t="inlineStr">
        <is>
          <t>4</t>
        </is>
      </c>
      <c r="H8" s="38" t="n">
        <v>22</v>
      </c>
      <c r="I8" s="18" t="inlineStr">
        <is>
          <t>images/01-plans/P05_ground-floor-plan-0-00.png</t>
        </is>
      </c>
    </row>
    <row r="9">
      <c r="A9" s="18" t="inlineStr">
        <is>
          <t>P14</t>
        </is>
      </c>
      <c r="B9" s="18" t="inlineStr">
        <is>
          <t>14</t>
        </is>
      </c>
      <c r="C9" s="18" t="inlineStr">
        <is>
          <t>plans</t>
        </is>
      </c>
      <c r="D9" s="18" t="inlineStr">
        <is>
          <t>MẶT BẰNG +6,324m THÂN VÀ +8,390m CUỐI - CÂY THÁP NHÀ THỜ</t>
        </is>
      </c>
      <c r="E9" s="18" t="inlineStr">
        <is>
          <t>Plan at +6.324 m (body) and +8.390 m (tower end)</t>
        </is>
      </c>
      <c r="F9" s="18" t="inlineStr">
        <is>
          <t>X/Z</t>
        </is>
      </c>
      <c r="G9" s="18" t="inlineStr">
        <is>
          <t>—</t>
        </is>
      </c>
      <c r="H9" s="38" t="n">
        <v>16</v>
      </c>
      <c r="I9" s="18" t="inlineStr">
        <is>
          <t>images/01-plans/P14_plan-at-6-324-m-body-and-8-390-m-tower-end.png</t>
        </is>
      </c>
    </row>
    <row r="10">
      <c r="A10" s="18" t="inlineStr">
        <is>
          <t>PT08</t>
        </is>
      </c>
      <c r="B10" s="18" t="inlineStr">
        <is>
          <t>—</t>
        </is>
      </c>
      <c r="C10" s="18" t="inlineStr">
        <is>
          <t>plans</t>
        </is>
      </c>
      <c r="D10" s="18" t="inlineStr">
        <is>
          <t>MẶT BẰNG KIẾN TRÚC +8,390M ĐỐT MỘT CÂY THÁP</t>
        </is>
      </c>
      <c r="E10" s="18" t="inlineStr">
        <is>
          <t>Tower plan at +8.390 m (first tower stage)</t>
        </is>
      </c>
      <c r="F10" s="18" t="inlineStr">
        <is>
          <t>u/v</t>
        </is>
      </c>
      <c r="G10" s="18" t="inlineStr">
        <is>
          <t>—</t>
        </is>
      </c>
      <c r="H10" s="38" t="n">
        <v>4</v>
      </c>
      <c r="I10" s="18" t="inlineStr">
        <is>
          <t>images/01-plans/PT08_tower-plan-at-8-390-m-first-tower-stage.png</t>
        </is>
      </c>
    </row>
    <row r="11">
      <c r="A11" s="18" t="inlineStr">
        <is>
          <t>PT10</t>
        </is>
      </c>
      <c r="B11" s="18" t="inlineStr">
        <is>
          <t>—</t>
        </is>
      </c>
      <c r="C11" s="18" t="inlineStr">
        <is>
          <t>plans</t>
        </is>
      </c>
      <c r="D11" s="18" t="inlineStr">
        <is>
          <t>MẶT BẰNG KIẾN TRÚC CUỐI NHÀ THỜ +10,128M</t>
        </is>
      </c>
      <c r="E11" s="18" t="inlineStr">
        <is>
          <t>Tower-end plan at +10.128 m</t>
        </is>
      </c>
      <c r="F11" s="18" t="inlineStr">
        <is>
          <t>u/v</t>
        </is>
      </c>
      <c r="G11" s="18" t="inlineStr">
        <is>
          <t>—</t>
        </is>
      </c>
      <c r="H11" s="38" t="n">
        <v>0</v>
      </c>
      <c r="I11" s="18" t="inlineStr">
        <is>
          <t>images/01-plans/PT10_tower-end-plan-at-10-128-m.png</t>
        </is>
      </c>
    </row>
    <row r="12">
      <c r="A12" s="18" t="inlineStr">
        <is>
          <t>PT15</t>
        </is>
      </c>
      <c r="B12" s="18" t="inlineStr">
        <is>
          <t>—</t>
        </is>
      </c>
      <c r="C12" s="18" t="inlineStr">
        <is>
          <t>plans</t>
        </is>
      </c>
      <c r="D12" s="18" t="inlineStr">
        <is>
          <t>MẶT BẰNG KIẾN TRÚC CUỐI NHÀ THỜ +15,840M</t>
        </is>
      </c>
      <c r="E12" s="18" t="inlineStr">
        <is>
          <t>Tower-end plan at +15.840 m</t>
        </is>
      </c>
      <c r="F12" s="18" t="inlineStr">
        <is>
          <t>u/v</t>
        </is>
      </c>
      <c r="G12" s="18" t="inlineStr">
        <is>
          <t>—</t>
        </is>
      </c>
      <c r="H12" s="38" t="n">
        <v>0</v>
      </c>
      <c r="I12" s="18" t="inlineStr">
        <is>
          <t>images/01-plans/PT15_tower-end-plan-at-15-840-m.png</t>
        </is>
      </c>
    </row>
    <row r="13">
      <c r="A13" s="18" t="inlineStr">
        <is>
          <t>PT15A</t>
        </is>
      </c>
      <c r="B13" s="18" t="inlineStr">
        <is>
          <t>—</t>
        </is>
      </c>
      <c r="C13" s="18" t="inlineStr">
        <is>
          <t>plans</t>
        </is>
      </c>
      <c r="D13" s="18" t="inlineStr">
        <is>
          <t>MẶT BẰNG +15,84M NHÀ THỜ GX THẠCH BI</t>
        </is>
      </c>
      <c r="E13" s="18" t="inlineStr">
        <is>
          <t>Single-tower plan at +15.84 m</t>
        </is>
      </c>
      <c r="F13" s="18" t="inlineStr">
        <is>
          <t>u/v</t>
        </is>
      </c>
      <c r="G13" s="18" t="inlineStr">
        <is>
          <t>—</t>
        </is>
      </c>
      <c r="H13" s="38" t="n">
        <v>2</v>
      </c>
      <c r="I13" s="18" t="inlineStr">
        <is>
          <t>images/01-plans/PT15A_single-tower-plan-at-15-84-m.png</t>
        </is>
      </c>
    </row>
    <row r="14">
      <c r="A14" s="18" t="inlineStr">
        <is>
          <t>PT23</t>
        </is>
      </c>
      <c r="B14" s="18" t="inlineStr">
        <is>
          <t>—</t>
        </is>
      </c>
      <c r="C14" s="18" t="inlineStr">
        <is>
          <t>plans</t>
        </is>
      </c>
      <c r="D14" s="18" t="inlineStr">
        <is>
          <t>MẶT BẰNG +23,14M NHÀ THỜ GX THẠCH BI</t>
        </is>
      </c>
      <c r="E14" s="18" t="inlineStr">
        <is>
          <t>Single-tower plan at +23.14 m</t>
        </is>
      </c>
      <c r="F14" s="18" t="inlineStr">
        <is>
          <t>u/v</t>
        </is>
      </c>
      <c r="G14" s="18" t="inlineStr">
        <is>
          <t>—</t>
        </is>
      </c>
      <c r="H14" s="38" t="n">
        <v>0</v>
      </c>
      <c r="I14" s="18" t="inlineStr">
        <is>
          <t>images/01-plans/PT23_single-tower-plan-at-23-14-m.png</t>
        </is>
      </c>
    </row>
    <row r="15">
      <c r="A15" s="18" t="inlineStr">
        <is>
          <t>PT29</t>
        </is>
      </c>
      <c r="B15" s="18" t="inlineStr">
        <is>
          <t>—</t>
        </is>
      </c>
      <c r="C15" s="18" t="inlineStr">
        <is>
          <t>plans</t>
        </is>
      </c>
      <c r="D15" s="18" t="inlineStr">
        <is>
          <t>MẶT BẰNG +29,09M NHÀ THỜ GX THẠCH BI</t>
        </is>
      </c>
      <c r="E15" s="18" t="inlineStr">
        <is>
          <t>Single-tower plan at +29.09 m</t>
        </is>
      </c>
      <c r="F15" s="18" t="inlineStr">
        <is>
          <t>u/v</t>
        </is>
      </c>
      <c r="G15" s="18" t="inlineStr">
        <is>
          <t>—</t>
        </is>
      </c>
      <c r="H15" s="38" t="n">
        <v>0</v>
      </c>
      <c r="I15" s="18" t="inlineStr">
        <is>
          <t>images/01-plans/PT29_single-tower-plan-at-29-09-m.png</t>
        </is>
      </c>
    </row>
    <row r="16">
      <c r="A16" s="18" t="inlineStr">
        <is>
          <t>P28</t>
        </is>
      </c>
      <c r="B16" s="18" t="inlineStr">
        <is>
          <t>28</t>
        </is>
      </c>
      <c r="C16" s="18" t="inlineStr">
        <is>
          <t>plans</t>
        </is>
      </c>
      <c r="D16" s="18" t="inlineStr">
        <is>
          <t>MẶT BẰNG MỘT GIAN CỬA SỔ</t>
        </is>
      </c>
      <c r="E16" s="18" t="inlineStr">
        <is>
          <t>Plan of one window bay</t>
        </is>
      </c>
      <c r="F16" s="18" t="inlineStr">
        <is>
          <t>u/v</t>
        </is>
      </c>
      <c r="G16" s="18" t="inlineStr">
        <is>
          <t>8</t>
        </is>
      </c>
      <c r="H16" s="38" t="n">
        <v>74</v>
      </c>
      <c r="I16" s="18" t="inlineStr">
        <is>
          <t>images/01-plans/P28_plan-of-one-window-bay.png</t>
        </is>
      </c>
    </row>
    <row r="17">
      <c r="A17" s="18" t="inlineStr">
        <is>
          <t>P33</t>
        </is>
      </c>
      <c r="B17" s="18" t="inlineStr">
        <is>
          <t>33</t>
        </is>
      </c>
      <c r="C17" s="18" t="inlineStr">
        <is>
          <t>plans</t>
        </is>
      </c>
      <c r="D17" s="18" t="inlineStr">
        <is>
          <t>(không có tiêu đề) Mặt bằng một gian trục 4–5, cửa đi</t>
        </is>
      </c>
      <c r="E17" s="18" t="inlineStr">
        <is>
          <t>Plan of one doorway bay, axes 4–5 (no title)</t>
        </is>
      </c>
      <c r="F17" s="18" t="inlineStr">
        <is>
          <t>u/v</t>
        </is>
      </c>
      <c r="G17" s="18" t="inlineStr">
        <is>
          <t>9</t>
        </is>
      </c>
      <c r="H17" s="38" t="n">
        <v>53</v>
      </c>
      <c r="I17" s="18" t="inlineStr">
        <is>
          <t>images/01-plans/P33_plan-of-one-doorway-bay-axes-4-5-no-title.png</t>
        </is>
      </c>
    </row>
    <row r="18">
      <c r="A18" s="18" t="inlineStr">
        <is>
          <t>E01A</t>
        </is>
      </c>
      <c r="B18" s="18" t="inlineStr">
        <is>
          <t>1</t>
        </is>
      </c>
      <c r="C18" s="18" t="inlineStr">
        <is>
          <t>elevations</t>
        </is>
      </c>
      <c r="D18" s="18" t="inlineStr">
        <is>
          <t>MẶT ĐỨNG CUỐI NHÀ THỜ GIÁO XỨ THẠCH BI (bản A, cắt qua mái thân)</t>
        </is>
      </c>
      <c r="E18" s="18" t="inlineStr">
        <is>
          <t>Twin-tower end elevation, variant A (cut through the nave roof)</t>
        </is>
      </c>
      <c r="F18" s="18" t="inlineStr">
        <is>
          <t>Z/Y</t>
        </is>
      </c>
      <c r="G18" s="18" t="inlineStr">
        <is>
          <t>1</t>
        </is>
      </c>
      <c r="H18" s="38" t="n">
        <v>23</v>
      </c>
      <c r="I18" s="18" t="inlineStr">
        <is>
          <t>images/02-elevations/E01A_twin-tower-end-elevation-variant-a-cut-through-the-nave-roof.png</t>
        </is>
      </c>
    </row>
    <row r="19">
      <c r="A19" s="18" t="inlineStr">
        <is>
          <t>E01B</t>
        </is>
      </c>
      <c r="B19" s="18" t="inlineStr">
        <is>
          <t>1</t>
        </is>
      </c>
      <c r="C19" s="18" t="inlineStr">
        <is>
          <t>elevations</t>
        </is>
      </c>
      <c r="D19" s="18" t="inlineStr">
        <is>
          <t>MẶT ĐỨNG CUỐI NHÀ THỜ GIÁO XỨ THẠCH BI (bản B, mặt đứng đầy đủ)</t>
        </is>
      </c>
      <c r="E19" s="18" t="inlineStr">
        <is>
          <t>Twin-tower end elevation, variant B (full elevation)</t>
        </is>
      </c>
      <c r="F19" s="18" t="inlineStr">
        <is>
          <t>Z/Y</t>
        </is>
      </c>
      <c r="G19" s="18" t="inlineStr">
        <is>
          <t>1</t>
        </is>
      </c>
      <c r="H19" s="38" t="n">
        <v>36</v>
      </c>
      <c r="I19" s="18" t="inlineStr">
        <is>
          <t>images/02-elevations/E01B_twin-tower-end-elevation-variant-b-full-elevation.png</t>
        </is>
      </c>
    </row>
    <row r="20">
      <c r="A20" s="18" t="inlineStr">
        <is>
          <t>E02</t>
        </is>
      </c>
      <c r="B20" s="18" t="inlineStr">
        <is>
          <t>—</t>
        </is>
      </c>
      <c r="C20" s="18" t="inlineStr">
        <is>
          <t>elevations</t>
        </is>
      </c>
      <c r="D20" s="18" t="inlineStr">
        <is>
          <t>(không có tiêu đề) Mặt đứng bên nhà thờ</t>
        </is>
      </c>
      <c r="E20" s="18" t="inlineStr">
        <is>
          <t>Side elevation (no title)</t>
        </is>
      </c>
      <c r="F20" s="18" t="inlineStr">
        <is>
          <t>X/Y</t>
        </is>
      </c>
      <c r="G20" s="18" t="inlineStr">
        <is>
          <t>2</t>
        </is>
      </c>
      <c r="H20" s="38" t="n">
        <v>0</v>
      </c>
      <c r="I20" s="18" t="inlineStr">
        <is>
          <t>images/02-elevations/E02_side-elevation-no-title.png</t>
        </is>
      </c>
    </row>
    <row r="21">
      <c r="A21" s="18" t="inlineStr">
        <is>
          <t>E03</t>
        </is>
      </c>
      <c r="B21" s="18" t="inlineStr">
        <is>
          <t>3</t>
        </is>
      </c>
      <c r="C21" s="18" t="inlineStr">
        <is>
          <t>elevations</t>
        </is>
      </c>
      <c r="D21" s="18" t="inlineStr">
        <is>
          <t>MẶT ĐỨNG ĐẦU NHÀ THỜ GX THẠCH BI</t>
        </is>
      </c>
      <c r="E21" s="18" t="inlineStr">
        <is>
          <t>Gabled-end elevation</t>
        </is>
      </c>
      <c r="F21" s="18" t="inlineStr">
        <is>
          <t>Z/Y</t>
        </is>
      </c>
      <c r="G21" s="18" t="inlineStr">
        <is>
          <t>3</t>
        </is>
      </c>
      <c r="H21" s="38" t="n">
        <v>9</v>
      </c>
      <c r="I21" s="18" t="inlineStr">
        <is>
          <t>images/02-elevations/E03_gabled-end-elevation.png</t>
        </is>
      </c>
    </row>
    <row r="22">
      <c r="A22" s="18" t="inlineStr">
        <is>
          <t>EW</t>
        </is>
      </c>
      <c r="B22" s="18" t="inlineStr">
        <is>
          <t>—</t>
        </is>
      </c>
      <c r="C22" s="18" t="inlineStr">
        <is>
          <t>elevations</t>
        </is>
      </c>
      <c r="D22" s="18" t="inlineStr">
        <is>
          <t>MẶT ĐỨNG ĐẦU BÊN NGOÀI / BÊN TRONG CÁNH T G NHÀ THỜ GX TB</t>
        </is>
      </c>
      <c r="E22" s="18" t="inlineStr">
        <is>
          <t>Side-wing end elevations, outside and inside</t>
        </is>
      </c>
      <c r="F22" s="18" t="inlineStr">
        <is>
          <t>u/v</t>
        </is>
      </c>
      <c r="G22" s="18" t="inlineStr">
        <is>
          <t>—</t>
        </is>
      </c>
      <c r="H22" s="38" t="n">
        <v>0</v>
      </c>
      <c r="I22" s="18" t="inlineStr">
        <is>
          <t>images/02-elevations/EW_side-wing-end-elevations-outside-and-inside.png</t>
        </is>
      </c>
    </row>
    <row r="23">
      <c r="A23" s="18" t="inlineStr">
        <is>
          <t>ET</t>
        </is>
      </c>
      <c r="B23" s="18" t="inlineStr">
        <is>
          <t>—</t>
        </is>
      </c>
      <c r="C23" s="18" t="inlineStr">
        <is>
          <t>elevations</t>
        </is>
      </c>
      <c r="D23" s="18" t="inlineStr">
        <is>
          <t>(không khung, không tiêu đề) Mặt đứng một tháp</t>
        </is>
      </c>
      <c r="E23" s="18" t="inlineStr">
        <is>
          <t>Single tower elevation (no frame or title)</t>
        </is>
      </c>
      <c r="F23" s="18" t="inlineStr">
        <is>
          <t>u/v</t>
        </is>
      </c>
      <c r="G23" s="18" t="inlineStr">
        <is>
          <t>—</t>
        </is>
      </c>
      <c r="H23" s="38" t="n">
        <v>0</v>
      </c>
      <c r="I23" s="18" t="inlineStr">
        <is>
          <t>images/02-elevations/ET_single-tower-elevation-no-frame-or-title.png</t>
        </is>
      </c>
    </row>
    <row r="24">
      <c r="A24" s="18" t="inlineStr">
        <is>
          <t>E26</t>
        </is>
      </c>
      <c r="B24" s="18" t="inlineStr">
        <is>
          <t>26</t>
        </is>
      </c>
      <c r="C24" s="18" t="inlineStr">
        <is>
          <t>elevations</t>
        </is>
      </c>
      <c r="D24" s="18" t="inlineStr">
        <is>
          <t>MẶT ĐỨNG TƯỜNG THÂN BÊN NGOÀI / BÊN TRONG MỘT GIAN CỬA SỔ</t>
        </is>
      </c>
      <c r="E24" s="18" t="inlineStr">
        <is>
          <t>Window-bay wall elevations, outside and inside</t>
        </is>
      </c>
      <c r="F24" s="18" t="inlineStr">
        <is>
          <t>u/v</t>
        </is>
      </c>
      <c r="G24" s="18" t="inlineStr">
        <is>
          <t>8</t>
        </is>
      </c>
      <c r="H24" s="38" t="n">
        <v>35</v>
      </c>
      <c r="I24" s="18" t="inlineStr">
        <is>
          <t>images/02-elevations/E26_window-bay-wall-elevations-outside-and-inside.png</t>
        </is>
      </c>
    </row>
    <row r="25">
      <c r="A25" s="18" t="inlineStr">
        <is>
          <t>E31</t>
        </is>
      </c>
      <c r="B25" s="18" t="inlineStr">
        <is>
          <t>31</t>
        </is>
      </c>
      <c r="C25" s="18" t="inlineStr">
        <is>
          <t>elevations</t>
        </is>
      </c>
      <c r="D25" s="18" t="inlineStr">
        <is>
          <t>MẶT ĐỨNG TƯỜNG THÂN BÊN NGOÀI / BÊN TRONG MỘT GIAN CỬA ĐI</t>
        </is>
      </c>
      <c r="E25" s="18" t="inlineStr">
        <is>
          <t>Doorway-bay wall elevations, outside and inside</t>
        </is>
      </c>
      <c r="F25" s="18" t="inlineStr">
        <is>
          <t>u/v</t>
        </is>
      </c>
      <c r="G25" s="18" t="inlineStr">
        <is>
          <t>9</t>
        </is>
      </c>
      <c r="H25" s="38" t="n">
        <v>30</v>
      </c>
      <c r="I25" s="18" t="inlineStr">
        <is>
          <t>images/02-elevations/E31_doorway-bay-wall-elevations-outside-and-inside.png</t>
        </is>
      </c>
    </row>
    <row r="26">
      <c r="A26" s="18" t="inlineStr">
        <is>
          <t>S24</t>
        </is>
      </c>
      <c r="B26" s="18" t="inlineStr">
        <is>
          <t>24</t>
        </is>
      </c>
      <c r="C26" s="18" t="inlineStr">
        <is>
          <t>sections</t>
        </is>
      </c>
      <c r="D26" s="18" t="inlineStr">
        <is>
          <t>MẶT ĐỨNG MỘT VÌ THÂN NHÀ THỜ GX THẠCH BI</t>
        </is>
      </c>
      <c r="E26" s="18" t="inlineStr">
        <is>
          <t>Nave transverse section</t>
        </is>
      </c>
      <c r="F26" s="18" t="inlineStr">
        <is>
          <t>Z/Y</t>
        </is>
      </c>
      <c r="G26" s="18" t="inlineStr">
        <is>
          <t>6</t>
        </is>
      </c>
      <c r="H26" s="38" t="n">
        <v>38</v>
      </c>
      <c r="I26" s="18" t="inlineStr">
        <is>
          <t>images/03-sections/S24_nave-transverse-section.png</t>
        </is>
      </c>
    </row>
    <row r="27">
      <c r="A27" s="18" t="inlineStr">
        <is>
          <t>S25</t>
        </is>
      </c>
      <c r="B27" s="18" t="inlineStr">
        <is>
          <t>25</t>
        </is>
      </c>
      <c r="C27" s="18" t="inlineStr">
        <is>
          <t>sections</t>
        </is>
      </c>
      <c r="D27" s="18" t="inlineStr">
        <is>
          <t>MẶT ĐỨNG MỘT VÌ GIAN CUNG THÁNH NHÀ THỜ GX THẠCH BI</t>
        </is>
      </c>
      <c r="E27" s="18" t="inlineStr">
        <is>
          <t>Sanctuary transverse section</t>
        </is>
      </c>
      <c r="F27" s="18" t="inlineStr">
        <is>
          <t>Z/Y</t>
        </is>
      </c>
      <c r="G27" s="18" t="inlineStr">
        <is>
          <t>7</t>
        </is>
      </c>
      <c r="H27" s="38" t="n">
        <v>42</v>
      </c>
      <c r="I27" s="18" t="inlineStr">
        <is>
          <t>images/03-sections/S25_sanctuary-transverse-section.png</t>
        </is>
      </c>
    </row>
    <row r="28">
      <c r="A28" s="18" t="inlineStr">
        <is>
          <t>S45</t>
        </is>
      </c>
      <c r="B28" s="18" t="inlineStr">
        <is>
          <t>45</t>
        </is>
      </c>
      <c r="C28" s="18" t="inlineStr">
        <is>
          <t>sections</t>
        </is>
      </c>
      <c r="D28" s="18" t="inlineStr">
        <is>
          <t>MẶT CẮT A-A NHÀ THỜ GIÁO XỨ THẠCH BI</t>
        </is>
      </c>
      <c r="E28" s="18" t="inlineStr">
        <is>
          <t>Longitudinal section A-A</t>
        </is>
      </c>
      <c r="F28" s="18" t="inlineStr">
        <is>
          <t>X/Y</t>
        </is>
      </c>
      <c r="G28" s="18" t="inlineStr">
        <is>
          <t>—</t>
        </is>
      </c>
      <c r="H28" s="38" t="n">
        <v>24</v>
      </c>
      <c r="I28" s="18" t="inlineStr">
        <is>
          <t>images/03-sections/S45_longitudinal-section-a-a.png</t>
        </is>
      </c>
    </row>
    <row r="29">
      <c r="A29" s="18" t="inlineStr">
        <is>
          <t>S27</t>
        </is>
      </c>
      <c r="B29" s="18" t="inlineStr">
        <is>
          <t>27</t>
        </is>
      </c>
      <c r="C29" s="18" t="inlineStr">
        <is>
          <t>sections</t>
        </is>
      </c>
      <c r="D29" s="18" t="inlineStr">
        <is>
          <t>CẮT A-A CỬA SỔ</t>
        </is>
      </c>
      <c r="E29" s="18" t="inlineStr">
        <is>
          <t>Window-bay section A-A</t>
        </is>
      </c>
      <c r="F29" s="18" t="inlineStr">
        <is>
          <t>u/v</t>
        </is>
      </c>
      <c r="G29" s="18" t="inlineStr">
        <is>
          <t>8</t>
        </is>
      </c>
      <c r="H29" s="38" t="n">
        <v>64</v>
      </c>
      <c r="I29" s="18" t="inlineStr">
        <is>
          <t>images/03-sections/S27_window-bay-section-a-a.png</t>
        </is>
      </c>
    </row>
    <row r="30">
      <c r="A30" s="18" t="inlineStr">
        <is>
          <t>S32</t>
        </is>
      </c>
      <c r="B30" s="18" t="inlineStr">
        <is>
          <t>32</t>
        </is>
      </c>
      <c r="C30" s="18" t="inlineStr">
        <is>
          <t>sections</t>
        </is>
      </c>
      <c r="D30" s="18" t="inlineStr">
        <is>
          <t>CẮT A-A CỬA ĐI</t>
        </is>
      </c>
      <c r="E30" s="18" t="inlineStr">
        <is>
          <t>Doorway-bay section A-A</t>
        </is>
      </c>
      <c r="F30" s="18" t="inlineStr">
        <is>
          <t>u/v</t>
        </is>
      </c>
      <c r="G30" s="18" t="inlineStr">
        <is>
          <t>9</t>
        </is>
      </c>
      <c r="H30" s="38" t="n">
        <v>57</v>
      </c>
      <c r="I30" s="18" t="inlineStr">
        <is>
          <t>images/03-sections/S32_doorway-bay-section-a-a.png</t>
        </is>
      </c>
    </row>
    <row r="31">
      <c r="A31" s="18" t="inlineStr">
        <is>
          <t>D29</t>
        </is>
      </c>
      <c r="B31" s="18" t="inlineStr">
        <is>
          <t>29</t>
        </is>
      </c>
      <c r="C31" s="18" t="inlineStr">
        <is>
          <t>details</t>
        </is>
      </c>
      <c r="D31" s="18" t="inlineStr">
        <is>
          <t>CHI TIẾT CỬA SỔ KHÔNG CÁNH HAI BÊN</t>
        </is>
      </c>
      <c r="E31" s="18" t="inlineStr">
        <is>
          <t>Window detail without leaves, both sides (no frame)</t>
        </is>
      </c>
      <c r="F31" s="18" t="inlineStr">
        <is>
          <t>u/v</t>
        </is>
      </c>
      <c r="G31" s="18" t="inlineStr">
        <is>
          <t>8</t>
        </is>
      </c>
      <c r="H31" s="38" t="n">
        <v>62</v>
      </c>
      <c r="I31" s="18" t="inlineStr">
        <is>
          <t>images/04-details/D29_window-detail-without-leaves-both-sides-no-frame.png</t>
        </is>
      </c>
    </row>
    <row r="32">
      <c r="A32" s="18" t="inlineStr">
        <is>
          <t>D34</t>
        </is>
      </c>
      <c r="B32" s="18" t="inlineStr">
        <is>
          <t>34</t>
        </is>
      </c>
      <c r="C32" s="18" t="inlineStr">
        <is>
          <t>details</t>
        </is>
      </c>
      <c r="D32" s="18" t="inlineStr">
        <is>
          <t>CHI TIẾT CỬA ĐI KHÔNG CÁNH HAI BÊN</t>
        </is>
      </c>
      <c r="E32" s="18" t="inlineStr">
        <is>
          <t>Doorway detail without leaves, both sides (no frame)</t>
        </is>
      </c>
      <c r="F32" s="18" t="inlineStr">
        <is>
          <t>u/v</t>
        </is>
      </c>
      <c r="G32" s="18" t="inlineStr">
        <is>
          <t>9</t>
        </is>
      </c>
      <c r="H32" s="38" t="n">
        <v>90</v>
      </c>
      <c r="I32" s="18" t="inlineStr">
        <is>
          <t>images/04-details/D34_doorway-detail-without-leaves-both-sides-no-frame.png</t>
        </is>
      </c>
    </row>
    <row r="33">
      <c r="A33" s="18" t="inlineStr">
        <is>
          <t>D46</t>
        </is>
      </c>
      <c r="B33" s="18" t="inlineStr">
        <is>
          <t>46</t>
        </is>
      </c>
      <c r="C33" s="18" t="inlineStr">
        <is>
          <t>details</t>
        </is>
      </c>
      <c r="D33" s="18" t="inlineStr">
        <is>
          <t>CHI TIẾT MẶT ĐỨNG KHUNG SẮT VÌ CUỐN HAI BÊN CÁNH TG TRỤC C-C, G-G</t>
        </is>
      </c>
      <c r="E33" s="18" t="inlineStr">
        <is>
          <t>Steel arch-frame elevation, side wings on axes C and G</t>
        </is>
      </c>
      <c r="F33" s="18" t="inlineStr">
        <is>
          <t>u/v</t>
        </is>
      </c>
      <c r="G33" s="18" t="inlineStr">
        <is>
          <t>—</t>
        </is>
      </c>
      <c r="H33" s="38" t="n">
        <v>30</v>
      </c>
      <c r="I33" s="18" t="inlineStr">
        <is>
          <t>images/04-details/D46_steel-arch-frame-elevation-side-wings-on-axes-c-and-g.png</t>
        </is>
      </c>
    </row>
    <row r="34">
      <c r="A34" s="18" t="inlineStr">
        <is>
          <t>D47</t>
        </is>
      </c>
      <c r="B34" s="18" t="inlineStr">
        <is>
          <t>47</t>
        </is>
      </c>
      <c r="C34" s="18" t="inlineStr">
        <is>
          <t>details</t>
        </is>
      </c>
      <c r="D34" s="18" t="inlineStr">
        <is>
          <t>CHI TIẾT MẶT VÌ CUỐN BT CT HAI BÊN CÁNH TG TRỤC C-C, G-G</t>
        </is>
      </c>
      <c r="E34" s="18" t="inlineStr">
        <is>
          <t>Reinforced-concrete arch frame, side wings on axes C and G</t>
        </is>
      </c>
      <c r="F34" s="18" t="inlineStr">
        <is>
          <t>u/v</t>
        </is>
      </c>
      <c r="G34" s="18" t="inlineStr">
        <is>
          <t>—</t>
        </is>
      </c>
      <c r="H34" s="38" t="n">
        <v>15</v>
      </c>
      <c r="I34" s="18" t="inlineStr">
        <is>
          <t>images/04-details/D47_reinforced-concrete-arch-frame-side-wings-on-axes-c-and-g.png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18324B"/>
    <outlinePr summaryBelow="1" summaryRight="1"/>
    <pageSetUpPr/>
  </sheetPr>
  <dimension ref="A2:N73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3" customWidth="1" min="4" max="4"/>
    <col width="16" customWidth="1" min="5" max="5"/>
    <col width="15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48" customWidth="1" min="13" max="13"/>
    <col width="10" customWidth="1" min="14" max="14"/>
  </cols>
  <sheetData>
    <row r="1" ht="25" customHeight="1"/>
    <row r="2" ht="25" customHeight="1">
      <c r="A2" s="3" t="inlineStr">
        <is>
          <t>KÍCH THƯỚC TRONG FILE CAD / CAD DIMENSION OBJECTS</t>
        </is>
      </c>
    </row>
    <row r="3" ht="25" customHeight="1"/>
    <row r="4" ht="25" customHeight="1">
      <c r="A4" s="5" t="inlineStr">
        <is>
          <t>a/b là hai điểm đo theo trục mô hình của từng bản vẽ (mm). / a and b are the two measuring points in each drawing's model axes (mm). Same-value register IDs are candidates by value only, not confirmed witnesses.</t>
        </is>
      </c>
    </row>
    <row r="7">
      <c r="A7" s="14" t="inlineStr">
        <is>
          <t>Mã / ID</t>
        </is>
      </c>
      <c r="B7" s="14" t="inlineStr">
        <is>
          <t>Bản vẽ / Drawing</t>
        </is>
      </c>
      <c r="C7" s="14" t="inlineStr">
        <is>
          <t>Tờ DWG / Sheet</t>
        </is>
      </c>
      <c r="D7" s="14" t="inlineStr">
        <is>
          <t>Loại / Kind</t>
        </is>
      </c>
      <c r="E7" s="14" t="inlineStr">
        <is>
          <t>Đo được (mm) / Measured</t>
        </is>
      </c>
      <c r="F7" s="14" t="inlineStr">
        <is>
          <t>Số in (mm) / Displayed</t>
        </is>
      </c>
      <c r="G7" s="14" t="inlineStr">
        <is>
          <t>Trục / Axes</t>
        </is>
      </c>
      <c r="H7" s="14" t="inlineStr">
        <is>
          <t>a1</t>
        </is>
      </c>
      <c r="I7" s="14" t="inlineStr">
        <is>
          <t>a2</t>
        </is>
      </c>
      <c r="J7" s="14" t="inlineStr">
        <is>
          <t>b1</t>
        </is>
      </c>
      <c r="K7" s="14" t="inlineStr">
        <is>
          <t>b2</t>
        </is>
      </c>
      <c r="L7" s="14" t="inlineStr">
        <is>
          <t>PDF file</t>
        </is>
      </c>
      <c r="M7" s="14" t="inlineStr">
        <is>
          <t>Mã cùng trị số / Same-value register IDs</t>
        </is>
      </c>
      <c r="N7" s="14" t="inlineStr">
        <is>
          <t>Handle</t>
        </is>
      </c>
    </row>
    <row r="8">
      <c r="A8" s="18" t="inlineStr">
        <is>
          <t>DWG0001</t>
        </is>
      </c>
      <c r="B8" s="18" t="inlineStr">
        <is>
          <t>P05</t>
        </is>
      </c>
      <c r="C8" s="18" t="inlineStr">
        <is>
          <t>5</t>
        </is>
      </c>
      <c r="D8" s="18" t="inlineStr">
        <is>
          <t>horizontal</t>
        </is>
      </c>
      <c r="E8" s="44" t="n">
        <v>67063.60000000001</v>
      </c>
      <c r="F8" s="38" t="n">
        <v>67064</v>
      </c>
      <c r="G8" s="18" t="inlineStr">
        <is>
          <t>X/Z</t>
        </is>
      </c>
      <c r="H8" s="44" t="n">
        <v>-13218.6</v>
      </c>
      <c r="I8" s="44" t="n">
        <v>-14822.8</v>
      </c>
      <c r="J8" s="38" t="n">
        <v>53845</v>
      </c>
      <c r="K8" s="44" t="n">
        <v>-14822.8</v>
      </c>
      <c r="L8" s="18" t="inlineStr">
        <is>
          <t>4</t>
        </is>
      </c>
      <c r="M8" s="18" t="inlineStr">
        <is>
          <t>P021</t>
        </is>
      </c>
      <c r="N8" s="18" t="inlineStr">
        <is>
          <t>D7C2D8</t>
        </is>
      </c>
    </row>
    <row r="9">
      <c r="A9" s="18" t="inlineStr">
        <is>
          <t>DWG0002</t>
        </is>
      </c>
      <c r="B9" s="18" t="inlineStr">
        <is>
          <t>P05</t>
        </is>
      </c>
      <c r="C9" s="18" t="inlineStr">
        <is>
          <t>5</t>
        </is>
      </c>
      <c r="D9" s="18" t="inlineStr">
        <is>
          <t>horizontal</t>
        </is>
      </c>
      <c r="E9" s="44" t="n">
        <v>12368.6</v>
      </c>
      <c r="F9" s="38" t="n">
        <v>12369</v>
      </c>
      <c r="G9" s="18" t="inlineStr">
        <is>
          <t>X/Z</t>
        </is>
      </c>
      <c r="H9" s="44" t="n">
        <v>-12368.6</v>
      </c>
      <c r="I9" s="38" t="n">
        <v>-13542</v>
      </c>
      <c r="J9" s="38" t="n">
        <v>0</v>
      </c>
      <c r="K9" s="44" t="n">
        <v>-14308.8</v>
      </c>
      <c r="L9" s="18" t="inlineStr">
        <is>
          <t>4</t>
        </is>
      </c>
      <c r="M9" s="18" t="inlineStr"/>
      <c r="N9" s="18" t="inlineStr">
        <is>
          <t>D9F943</t>
        </is>
      </c>
    </row>
    <row r="10">
      <c r="A10" s="18" t="inlineStr">
        <is>
          <t>DWG0003</t>
        </is>
      </c>
      <c r="B10" s="18" t="inlineStr">
        <is>
          <t>P05</t>
        </is>
      </c>
      <c r="C10" s="18" t="inlineStr">
        <is>
          <t>5</t>
        </is>
      </c>
      <c r="D10" s="18" t="inlineStr">
        <is>
          <t>horizontal</t>
        </is>
      </c>
      <c r="E10" s="38" t="n">
        <v>7200</v>
      </c>
      <c r="F10" s="38" t="n">
        <v>7200</v>
      </c>
      <c r="G10" s="18" t="inlineStr">
        <is>
          <t>X/Z</t>
        </is>
      </c>
      <c r="H10" s="38" t="n">
        <v>36975</v>
      </c>
      <c r="I10" s="44" t="n">
        <v>15184.9</v>
      </c>
      <c r="J10" s="38" t="n">
        <v>44175</v>
      </c>
      <c r="K10" s="44" t="n">
        <v>15327.6</v>
      </c>
      <c r="L10" s="18" t="inlineStr">
        <is>
          <t>4</t>
        </is>
      </c>
      <c r="M10" s="18" t="inlineStr">
        <is>
          <t>P010 P016 P032</t>
        </is>
      </c>
      <c r="N10" s="18" t="inlineStr">
        <is>
          <t>D7C47E</t>
        </is>
      </c>
    </row>
    <row r="11">
      <c r="A11" s="18" t="inlineStr">
        <is>
          <t>DWG0004</t>
        </is>
      </c>
      <c r="B11" s="18" t="inlineStr">
        <is>
          <t>P05</t>
        </is>
      </c>
      <c r="C11" s="18" t="inlineStr">
        <is>
          <t>5</t>
        </is>
      </c>
      <c r="D11" s="18" t="inlineStr">
        <is>
          <t>horizontal</t>
        </is>
      </c>
      <c r="E11" s="38" t="n">
        <v>4500</v>
      </c>
      <c r="F11" s="38" t="n">
        <v>4500</v>
      </c>
      <c r="G11" s="18" t="inlineStr">
        <is>
          <t>X/Z</t>
        </is>
      </c>
      <c r="H11" s="38" t="n">
        <v>18975</v>
      </c>
      <c r="I11" s="44" t="n">
        <v>15327.6</v>
      </c>
      <c r="J11" s="38" t="n">
        <v>23475</v>
      </c>
      <c r="K11" s="44" t="n">
        <v>15327.6</v>
      </c>
      <c r="L11" s="18" t="inlineStr">
        <is>
          <t>4</t>
        </is>
      </c>
      <c r="M11" s="18" t="inlineStr">
        <is>
          <t>P003 P004 P005 P006 P007 P008 P009 P011</t>
        </is>
      </c>
      <c r="N11" s="18" t="inlineStr">
        <is>
          <t>D7C476</t>
        </is>
      </c>
    </row>
    <row r="12">
      <c r="A12" s="18" t="inlineStr">
        <is>
          <t>DWG0005</t>
        </is>
      </c>
      <c r="B12" s="18" t="inlineStr">
        <is>
          <t>P05</t>
        </is>
      </c>
      <c r="C12" s="18" t="inlineStr">
        <is>
          <t>5</t>
        </is>
      </c>
      <c r="D12" s="18" t="inlineStr">
        <is>
          <t>horizontal</t>
        </is>
      </c>
      <c r="E12" s="38" t="n">
        <v>4500</v>
      </c>
      <c r="F12" s="38" t="n">
        <v>4500</v>
      </c>
      <c r="G12" s="18" t="inlineStr">
        <is>
          <t>X/Z</t>
        </is>
      </c>
      <c r="H12" s="38" t="n">
        <v>23475</v>
      </c>
      <c r="I12" s="44" t="n">
        <v>15327.6</v>
      </c>
      <c r="J12" s="38" t="n">
        <v>27975</v>
      </c>
      <c r="K12" s="44" t="n">
        <v>15327.6</v>
      </c>
      <c r="L12" s="18" t="inlineStr">
        <is>
          <t>4</t>
        </is>
      </c>
      <c r="M12" s="18" t="inlineStr">
        <is>
          <t>P003 P004 P005 P006 P007 P008 P009 P011</t>
        </is>
      </c>
      <c r="N12" s="18" t="inlineStr">
        <is>
          <t>D7C477</t>
        </is>
      </c>
    </row>
    <row r="13">
      <c r="A13" s="18" t="inlineStr">
        <is>
          <t>DWG0006</t>
        </is>
      </c>
      <c r="B13" s="18" t="inlineStr">
        <is>
          <t>P05</t>
        </is>
      </c>
      <c r="C13" s="18" t="inlineStr">
        <is>
          <t>5</t>
        </is>
      </c>
      <c r="D13" s="18" t="inlineStr">
        <is>
          <t>horizontal</t>
        </is>
      </c>
      <c r="E13" s="38" t="n">
        <v>4500</v>
      </c>
      <c r="F13" s="38" t="n">
        <v>4500</v>
      </c>
      <c r="G13" s="18" t="inlineStr">
        <is>
          <t>X/Z</t>
        </is>
      </c>
      <c r="H13" s="38" t="n">
        <v>32475</v>
      </c>
      <c r="I13" s="44" t="n">
        <v>15327.6</v>
      </c>
      <c r="J13" s="38" t="n">
        <v>36975</v>
      </c>
      <c r="K13" s="44" t="n">
        <v>15184.9</v>
      </c>
      <c r="L13" s="18" t="inlineStr">
        <is>
          <t>4</t>
        </is>
      </c>
      <c r="M13" s="18" t="inlineStr">
        <is>
          <t>P003 P004 P005 P006 P007 P008 P009 P011</t>
        </is>
      </c>
      <c r="N13" s="18" t="inlineStr">
        <is>
          <t>D7C47B</t>
        </is>
      </c>
    </row>
    <row r="14">
      <c r="A14" s="18" t="inlineStr">
        <is>
          <t>DWG0007</t>
        </is>
      </c>
      <c r="B14" s="18" t="inlineStr">
        <is>
          <t>P05</t>
        </is>
      </c>
      <c r="C14" s="18" t="inlineStr">
        <is>
          <t>5</t>
        </is>
      </c>
      <c r="D14" s="18" t="inlineStr">
        <is>
          <t>horizontal</t>
        </is>
      </c>
      <c r="E14" s="38" t="n">
        <v>4500</v>
      </c>
      <c r="F14" s="38" t="n">
        <v>4500</v>
      </c>
      <c r="G14" s="18" t="inlineStr">
        <is>
          <t>X/Z</t>
        </is>
      </c>
      <c r="H14" s="38" t="n">
        <v>44175</v>
      </c>
      <c r="I14" s="44" t="n">
        <v>15327.6</v>
      </c>
      <c r="J14" s="38" t="n">
        <v>48675</v>
      </c>
      <c r="K14" s="44" t="n">
        <v>15327.6</v>
      </c>
      <c r="L14" s="18" t="inlineStr">
        <is>
          <t>4</t>
        </is>
      </c>
      <c r="M14" s="18" t="inlineStr">
        <is>
          <t>P003 P004 P005 P006 P007 P008 P009 P011</t>
        </is>
      </c>
      <c r="N14" s="18" t="inlineStr">
        <is>
          <t>D7C481</t>
        </is>
      </c>
    </row>
    <row r="15">
      <c r="A15" s="18" t="inlineStr">
        <is>
          <t>DWG0008</t>
        </is>
      </c>
      <c r="B15" s="18" t="inlineStr">
        <is>
          <t>P05</t>
        </is>
      </c>
      <c r="C15" s="18" t="inlineStr">
        <is>
          <t>5</t>
        </is>
      </c>
      <c r="D15" s="18" t="inlineStr">
        <is>
          <t>vertical</t>
        </is>
      </c>
      <c r="E15" s="38" t="n">
        <v>3054</v>
      </c>
      <c r="F15" s="38" t="n">
        <v>3054</v>
      </c>
      <c r="G15" s="18" t="inlineStr">
        <is>
          <t>X/Z</t>
        </is>
      </c>
      <c r="H15" s="44" t="n">
        <v>-14997.6</v>
      </c>
      <c r="I15" s="38" t="n">
        <v>10414</v>
      </c>
      <c r="J15" s="44" t="n">
        <v>-14538.8</v>
      </c>
      <c r="K15" s="38" t="n">
        <v>7360</v>
      </c>
      <c r="L15" s="18" t="inlineStr">
        <is>
          <t>4</t>
        </is>
      </c>
      <c r="M15" s="18" t="inlineStr">
        <is>
          <t>P014 P018</t>
        </is>
      </c>
      <c r="N15" s="18" t="inlineStr">
        <is>
          <t>D7C495</t>
        </is>
      </c>
    </row>
    <row r="16">
      <c r="A16" s="18" t="inlineStr">
        <is>
          <t>DWG0009</t>
        </is>
      </c>
      <c r="B16" s="18" t="inlineStr">
        <is>
          <t>P05</t>
        </is>
      </c>
      <c r="C16" s="18" t="inlineStr">
        <is>
          <t>5</t>
        </is>
      </c>
      <c r="D16" s="18" t="inlineStr">
        <is>
          <t>vertical</t>
        </is>
      </c>
      <c r="E16" s="38" t="n">
        <v>2835</v>
      </c>
      <c r="F16" s="38" t="n">
        <v>2835</v>
      </c>
      <c r="G16" s="18" t="inlineStr">
        <is>
          <t>X/Z</t>
        </is>
      </c>
      <c r="H16" s="44" t="n">
        <v>-14997.6</v>
      </c>
      <c r="I16" s="38" t="n">
        <v>13249</v>
      </c>
      <c r="J16" s="44" t="n">
        <v>-14997.6</v>
      </c>
      <c r="K16" s="38" t="n">
        <v>10414</v>
      </c>
      <c r="L16" s="18" t="inlineStr">
        <is>
          <t>4</t>
        </is>
      </c>
      <c r="M16" s="18" t="inlineStr">
        <is>
          <t>P013 P019 P142</t>
        </is>
      </c>
      <c r="N16" s="18" t="inlineStr">
        <is>
          <t>D7C492</t>
        </is>
      </c>
    </row>
    <row r="17">
      <c r="A17" s="18" t="inlineStr">
        <is>
          <t>DWG0010</t>
        </is>
      </c>
      <c r="B17" s="18" t="inlineStr">
        <is>
          <t>P05</t>
        </is>
      </c>
      <c r="C17" s="18" t="inlineStr">
        <is>
          <t>5</t>
        </is>
      </c>
      <c r="D17" s="18" t="inlineStr">
        <is>
          <t>vertical</t>
        </is>
      </c>
      <c r="E17" s="38" t="n">
        <v>2835</v>
      </c>
      <c r="F17" s="38" t="n">
        <v>2835</v>
      </c>
      <c r="G17" s="18" t="inlineStr">
        <is>
          <t>X/Z</t>
        </is>
      </c>
      <c r="H17" s="44" t="n">
        <v>-14538.8</v>
      </c>
      <c r="I17" s="38" t="n">
        <v>-10414</v>
      </c>
      <c r="J17" s="44" t="n">
        <v>-14538.8</v>
      </c>
      <c r="K17" s="38" t="n">
        <v>-13249</v>
      </c>
      <c r="L17" s="18" t="inlineStr">
        <is>
          <t>4</t>
        </is>
      </c>
      <c r="M17" s="18" t="inlineStr">
        <is>
          <t>P013 P019 P142</t>
        </is>
      </c>
      <c r="N17" s="18" t="inlineStr">
        <is>
          <t>D7C49C</t>
        </is>
      </c>
    </row>
    <row r="18">
      <c r="A18" s="18" t="inlineStr">
        <is>
          <t>DWG0011</t>
        </is>
      </c>
      <c r="B18" s="18" t="inlineStr">
        <is>
          <t>P05</t>
        </is>
      </c>
      <c r="C18" s="18" t="inlineStr">
        <is>
          <t>5</t>
        </is>
      </c>
      <c r="D18" s="18" t="inlineStr">
        <is>
          <t>vertical</t>
        </is>
      </c>
      <c r="E18" s="38" t="n">
        <v>3054</v>
      </c>
      <c r="F18" s="38" t="n">
        <v>3054</v>
      </c>
      <c r="G18" s="18" t="inlineStr">
        <is>
          <t>X/Z</t>
        </is>
      </c>
      <c r="H18" s="44" t="n">
        <v>-14538.8</v>
      </c>
      <c r="I18" s="38" t="n">
        <v>-7360</v>
      </c>
      <c r="J18" s="44" t="n">
        <v>-14538.8</v>
      </c>
      <c r="K18" s="38" t="n">
        <v>-10414</v>
      </c>
      <c r="L18" s="18" t="inlineStr">
        <is>
          <t>4</t>
        </is>
      </c>
      <c r="M18" s="18" t="inlineStr">
        <is>
          <t>P014 P018</t>
        </is>
      </c>
      <c r="N18" s="18" t="inlineStr">
        <is>
          <t>D7C49B</t>
        </is>
      </c>
    </row>
    <row r="19">
      <c r="A19" s="18" t="inlineStr">
        <is>
          <t>DWG0012</t>
        </is>
      </c>
      <c r="B19" s="18" t="inlineStr">
        <is>
          <t>P05</t>
        </is>
      </c>
      <c r="C19" s="18" t="inlineStr">
        <is>
          <t>5</t>
        </is>
      </c>
      <c r="D19" s="18" t="inlineStr">
        <is>
          <t>vertical</t>
        </is>
      </c>
      <c r="E19" s="38" t="n">
        <v>3760</v>
      </c>
      <c r="F19" s="38" t="n">
        <v>3760</v>
      </c>
      <c r="G19" s="18" t="inlineStr">
        <is>
          <t>X/Z</t>
        </is>
      </c>
      <c r="H19" s="44" t="n">
        <v>-14538.8</v>
      </c>
      <c r="I19" s="38" t="n">
        <v>-3600</v>
      </c>
      <c r="J19" s="44" t="n">
        <v>-14538.8</v>
      </c>
      <c r="K19" s="38" t="n">
        <v>-7360</v>
      </c>
      <c r="L19" s="18" t="inlineStr">
        <is>
          <t>4</t>
        </is>
      </c>
      <c r="M19" s="18" t="inlineStr">
        <is>
          <t>P015 P017</t>
        </is>
      </c>
      <c r="N19" s="18" t="inlineStr">
        <is>
          <t>D7C49A</t>
        </is>
      </c>
    </row>
    <row r="20">
      <c r="A20" s="18" t="inlineStr">
        <is>
          <t>DWG0013</t>
        </is>
      </c>
      <c r="B20" s="18" t="inlineStr">
        <is>
          <t>P05</t>
        </is>
      </c>
      <c r="C20" s="18" t="inlineStr">
        <is>
          <t>5</t>
        </is>
      </c>
      <c r="D20" s="18" t="inlineStr">
        <is>
          <t>vertical</t>
        </is>
      </c>
      <c r="E20" s="38" t="n">
        <v>3760</v>
      </c>
      <c r="F20" s="38" t="n">
        <v>3760</v>
      </c>
      <c r="G20" s="18" t="inlineStr">
        <is>
          <t>X/Z</t>
        </is>
      </c>
      <c r="H20" s="44" t="n">
        <v>-14538.8</v>
      </c>
      <c r="I20" s="38" t="n">
        <v>7360</v>
      </c>
      <c r="J20" s="44" t="n">
        <v>-14538.8</v>
      </c>
      <c r="K20" s="38" t="n">
        <v>3600</v>
      </c>
      <c r="L20" s="18" t="inlineStr">
        <is>
          <t>4</t>
        </is>
      </c>
      <c r="M20" s="18" t="inlineStr">
        <is>
          <t>P015 P017</t>
        </is>
      </c>
      <c r="N20" s="18" t="inlineStr">
        <is>
          <t>D7C496</t>
        </is>
      </c>
    </row>
    <row r="21">
      <c r="A21" s="18" t="inlineStr">
        <is>
          <t>DWG0014</t>
        </is>
      </c>
      <c r="B21" s="18" t="inlineStr">
        <is>
          <t>P05</t>
        </is>
      </c>
      <c r="C21" s="18" t="inlineStr">
        <is>
          <t>5</t>
        </is>
      </c>
      <c r="D21" s="18" t="inlineStr">
        <is>
          <t>vertical</t>
        </is>
      </c>
      <c r="E21" s="38" t="n">
        <v>646</v>
      </c>
      <c r="F21" s="38" t="n">
        <v>646</v>
      </c>
      <c r="G21" s="18" t="inlineStr">
        <is>
          <t>X/Z</t>
        </is>
      </c>
      <c r="H21" s="44" t="n">
        <v>2331.3</v>
      </c>
      <c r="I21" s="38" t="n">
        <v>-12603</v>
      </c>
      <c r="J21" s="44" t="n">
        <v>2331.3</v>
      </c>
      <c r="K21" s="38" t="n">
        <v>-13249</v>
      </c>
      <c r="L21" s="18" t="inlineStr">
        <is>
          <t>4</t>
        </is>
      </c>
      <c r="M21" s="18" t="inlineStr"/>
      <c r="N21" s="18" t="inlineStr">
        <is>
          <t>D7C4AC</t>
        </is>
      </c>
    </row>
    <row r="22">
      <c r="A22" s="18" t="inlineStr">
        <is>
          <t>DWG0015</t>
        </is>
      </c>
      <c r="B22" s="18" t="inlineStr">
        <is>
          <t>P05</t>
        </is>
      </c>
      <c r="C22" s="18" t="inlineStr">
        <is>
          <t>5</t>
        </is>
      </c>
      <c r="D22" s="18" t="inlineStr">
        <is>
          <t>vertical</t>
        </is>
      </c>
      <c r="E22" s="44" t="n">
        <v>2370.6</v>
      </c>
      <c r="F22" s="38" t="n">
        <v>2371</v>
      </c>
      <c r="G22" s="18" t="inlineStr">
        <is>
          <t>X/Z</t>
        </is>
      </c>
      <c r="H22" s="44" t="n">
        <v>3213.1</v>
      </c>
      <c r="I22" s="44" t="n">
        <v>2979.5</v>
      </c>
      <c r="J22" s="44" t="n">
        <v>2904.8</v>
      </c>
      <c r="K22" s="38" t="n">
        <v>5350</v>
      </c>
      <c r="L22" s="18" t="inlineStr">
        <is>
          <t>4</t>
        </is>
      </c>
      <c r="M22" s="18" t="inlineStr"/>
      <c r="N22" s="18" t="inlineStr">
        <is>
          <t>D8000C</t>
        </is>
      </c>
    </row>
    <row r="23">
      <c r="A23" s="18" t="inlineStr">
        <is>
          <t>DWG0016</t>
        </is>
      </c>
      <c r="B23" s="18" t="inlineStr">
        <is>
          <t>P05</t>
        </is>
      </c>
      <c r="C23" s="18" t="inlineStr">
        <is>
          <t>5</t>
        </is>
      </c>
      <c r="D23" s="18" t="inlineStr">
        <is>
          <t>vertical</t>
        </is>
      </c>
      <c r="E23" s="44" t="n">
        <v>343.4</v>
      </c>
      <c r="F23" s="38" t="n">
        <v>343</v>
      </c>
      <c r="G23" s="18" t="inlineStr">
        <is>
          <t>X/Z</t>
        </is>
      </c>
      <c r="H23" s="44" t="n">
        <v>3659.1</v>
      </c>
      <c r="I23" s="38" t="n">
        <v>7360</v>
      </c>
      <c r="J23" s="38" t="n">
        <v>3659</v>
      </c>
      <c r="K23" s="44" t="n">
        <v>7703.5</v>
      </c>
      <c r="L23" s="18" t="inlineStr">
        <is>
          <t>4</t>
        </is>
      </c>
      <c r="M23" s="18" t="inlineStr"/>
      <c r="N23" s="18" t="inlineStr">
        <is>
          <t>D7C4A6</t>
        </is>
      </c>
    </row>
    <row r="24">
      <c r="A24" s="18" t="inlineStr">
        <is>
          <t>DWG0017</t>
        </is>
      </c>
      <c r="B24" s="18" t="inlineStr">
        <is>
          <t>P05</t>
        </is>
      </c>
      <c r="C24" s="18" t="inlineStr">
        <is>
          <t>5</t>
        </is>
      </c>
      <c r="D24" s="18" t="inlineStr">
        <is>
          <t>vertical</t>
        </is>
      </c>
      <c r="E24" s="38" t="n">
        <v>10549</v>
      </c>
      <c r="F24" s="38" t="n">
        <v>10549</v>
      </c>
      <c r="G24" s="18" t="inlineStr">
        <is>
          <t>X/Z</t>
        </is>
      </c>
      <c r="H24" s="38" t="n">
        <v>53151</v>
      </c>
      <c r="I24" s="38" t="n">
        <v>-10549</v>
      </c>
      <c r="J24" s="44" t="n">
        <v>53824.3</v>
      </c>
      <c r="K24" s="38" t="n">
        <v>0</v>
      </c>
      <c r="L24" s="18" t="inlineStr">
        <is>
          <t>4</t>
        </is>
      </c>
      <c r="M24" s="18" t="inlineStr"/>
      <c r="N24" s="18" t="inlineStr">
        <is>
          <t>D7C4BE</t>
        </is>
      </c>
    </row>
    <row r="25">
      <c r="A25" s="18" t="inlineStr">
        <is>
          <t>DWG0018</t>
        </is>
      </c>
      <c r="B25" s="18" t="inlineStr">
        <is>
          <t>P05</t>
        </is>
      </c>
      <c r="C25" s="18" t="inlineStr">
        <is>
          <t>5</t>
        </is>
      </c>
      <c r="D25" s="18" t="inlineStr">
        <is>
          <t>vertical</t>
        </is>
      </c>
      <c r="E25" s="38" t="n">
        <v>2835</v>
      </c>
      <c r="F25" s="38" t="n">
        <v>2835</v>
      </c>
      <c r="G25" s="18" t="inlineStr">
        <is>
          <t>X/Z</t>
        </is>
      </c>
      <c r="H25" s="44" t="n">
        <v>55520.5</v>
      </c>
      <c r="I25" s="38" t="n">
        <v>-10414</v>
      </c>
      <c r="J25" s="44" t="n">
        <v>55520.5</v>
      </c>
      <c r="K25" s="38" t="n">
        <v>-13249</v>
      </c>
      <c r="L25" s="18" t="inlineStr">
        <is>
          <t>4</t>
        </is>
      </c>
      <c r="M25" s="18" t="inlineStr">
        <is>
          <t>P013 P019 P142</t>
        </is>
      </c>
      <c r="N25" s="18" t="inlineStr">
        <is>
          <t>D7C491</t>
        </is>
      </c>
    </row>
    <row r="26">
      <c r="A26" s="18" t="inlineStr">
        <is>
          <t>DWG0019</t>
        </is>
      </c>
      <c r="B26" s="18" t="inlineStr">
        <is>
          <t>P05</t>
        </is>
      </c>
      <c r="C26" s="18" t="inlineStr">
        <is>
          <t>5</t>
        </is>
      </c>
      <c r="D26" s="18" t="inlineStr">
        <is>
          <t>vertical</t>
        </is>
      </c>
      <c r="E26" s="38" t="n">
        <v>3054</v>
      </c>
      <c r="F26" s="38" t="n">
        <v>3054</v>
      </c>
      <c r="G26" s="18" t="inlineStr">
        <is>
          <t>X/Z</t>
        </is>
      </c>
      <c r="H26" s="44" t="n">
        <v>55520.5</v>
      </c>
      <c r="I26" s="38" t="n">
        <v>-7360</v>
      </c>
      <c r="J26" s="44" t="n">
        <v>55520.5</v>
      </c>
      <c r="K26" s="38" t="n">
        <v>-10414</v>
      </c>
      <c r="L26" s="18" t="inlineStr">
        <is>
          <t>4</t>
        </is>
      </c>
      <c r="M26" s="18" t="inlineStr">
        <is>
          <t>P014 P018</t>
        </is>
      </c>
      <c r="N26" s="18" t="inlineStr">
        <is>
          <t>D7C490</t>
        </is>
      </c>
    </row>
    <row r="27">
      <c r="A27" s="18" t="inlineStr">
        <is>
          <t>DWG0020</t>
        </is>
      </c>
      <c r="B27" s="18" t="inlineStr">
        <is>
          <t>P05</t>
        </is>
      </c>
      <c r="C27" s="18" t="inlineStr">
        <is>
          <t>5</t>
        </is>
      </c>
      <c r="D27" s="18" t="inlineStr">
        <is>
          <t>vertical</t>
        </is>
      </c>
      <c r="E27" s="38" t="n">
        <v>3760</v>
      </c>
      <c r="F27" s="38" t="n">
        <v>3760</v>
      </c>
      <c r="G27" s="18" t="inlineStr">
        <is>
          <t>X/Z</t>
        </is>
      </c>
      <c r="H27" s="44" t="n">
        <v>55520.5</v>
      </c>
      <c r="I27" s="38" t="n">
        <v>-3600</v>
      </c>
      <c r="J27" s="44" t="n">
        <v>55520.5</v>
      </c>
      <c r="K27" s="38" t="n">
        <v>-7360</v>
      </c>
      <c r="L27" s="18" t="inlineStr">
        <is>
          <t>4</t>
        </is>
      </c>
      <c r="M27" s="18" t="inlineStr">
        <is>
          <t>P015 P017</t>
        </is>
      </c>
      <c r="N27" s="18" t="inlineStr">
        <is>
          <t>D7C48F</t>
        </is>
      </c>
    </row>
    <row r="28">
      <c r="A28" s="18" t="inlineStr">
        <is>
          <t>DWG0021</t>
        </is>
      </c>
      <c r="B28" s="18" t="inlineStr">
        <is>
          <t>P05</t>
        </is>
      </c>
      <c r="C28" s="18" t="inlineStr">
        <is>
          <t>5</t>
        </is>
      </c>
      <c r="D28" s="18" t="inlineStr">
        <is>
          <t>vertical</t>
        </is>
      </c>
      <c r="E28" s="38" t="n">
        <v>3054</v>
      </c>
      <c r="F28" s="38" t="n">
        <v>3054</v>
      </c>
      <c r="G28" s="18" t="inlineStr">
        <is>
          <t>X/Z</t>
        </is>
      </c>
      <c r="H28" s="44" t="n">
        <v>55520.5</v>
      </c>
      <c r="I28" s="38" t="n">
        <v>10414</v>
      </c>
      <c r="J28" s="44" t="n">
        <v>55520.5</v>
      </c>
      <c r="K28" s="38" t="n">
        <v>7360</v>
      </c>
      <c r="L28" s="18" t="inlineStr">
        <is>
          <t>4</t>
        </is>
      </c>
      <c r="M28" s="18" t="inlineStr">
        <is>
          <t>P014 P018</t>
        </is>
      </c>
      <c r="N28" s="18" t="inlineStr">
        <is>
          <t>D7C488</t>
        </is>
      </c>
    </row>
    <row r="29">
      <c r="A29" s="18" t="inlineStr">
        <is>
          <t>DWG0022</t>
        </is>
      </c>
      <c r="B29" s="18" t="inlineStr">
        <is>
          <t>P05</t>
        </is>
      </c>
      <c r="C29" s="18" t="inlineStr">
        <is>
          <t>5</t>
        </is>
      </c>
      <c r="D29" s="18" t="inlineStr">
        <is>
          <t>vertical</t>
        </is>
      </c>
      <c r="E29" s="38" t="n">
        <v>2835</v>
      </c>
      <c r="F29" s="38" t="n">
        <v>2835</v>
      </c>
      <c r="G29" s="18" t="inlineStr">
        <is>
          <t>X/Z</t>
        </is>
      </c>
      <c r="H29" s="44" t="n">
        <v>55520.5</v>
      </c>
      <c r="I29" s="38" t="n">
        <v>13249</v>
      </c>
      <c r="J29" s="44" t="n">
        <v>55520.5</v>
      </c>
      <c r="K29" s="38" t="n">
        <v>10414</v>
      </c>
      <c r="L29" s="18" t="inlineStr">
        <is>
          <t>4</t>
        </is>
      </c>
      <c r="M29" s="18" t="inlineStr">
        <is>
          <t>P013 P019 P142</t>
        </is>
      </c>
      <c r="N29" s="18" t="inlineStr">
        <is>
          <t>D7C485</t>
        </is>
      </c>
    </row>
    <row r="30">
      <c r="A30" s="18" t="inlineStr">
        <is>
          <t>DWG0023</t>
        </is>
      </c>
      <c r="B30" s="18" t="inlineStr">
        <is>
          <t>P14</t>
        </is>
      </c>
      <c r="C30" s="18" t="inlineStr">
        <is>
          <t>14</t>
        </is>
      </c>
      <c r="D30" s="18" t="inlineStr">
        <is>
          <t>horizontal</t>
        </is>
      </c>
      <c r="E30" s="38" t="n">
        <v>575</v>
      </c>
      <c r="F30" s="38" t="n">
        <v>575</v>
      </c>
      <c r="G30" s="18" t="inlineStr">
        <is>
          <t>X/Z</t>
        </is>
      </c>
      <c r="H30" s="38" t="n">
        <v>4900</v>
      </c>
      <c r="I30" s="38" t="n">
        <v>-15040</v>
      </c>
      <c r="J30" s="38" t="n">
        <v>5475</v>
      </c>
      <c r="K30" s="44" t="n">
        <v>-14800.2</v>
      </c>
      <c r="L30" s="18" t="inlineStr">
        <is>
          <t>—</t>
        </is>
      </c>
      <c r="M30" s="18" t="inlineStr"/>
      <c r="N30" s="18" t="inlineStr">
        <is>
          <t>D7D3A9</t>
        </is>
      </c>
    </row>
    <row r="31">
      <c r="A31" s="18" t="inlineStr">
        <is>
          <t>DWG0024</t>
        </is>
      </c>
      <c r="B31" s="18" t="inlineStr">
        <is>
          <t>P14</t>
        </is>
      </c>
      <c r="C31" s="18" t="inlineStr">
        <is>
          <t>14</t>
        </is>
      </c>
      <c r="D31" s="18" t="inlineStr">
        <is>
          <t>horizontal</t>
        </is>
      </c>
      <c r="E31" s="38" t="n">
        <v>4500</v>
      </c>
      <c r="F31" s="38" t="n">
        <v>4500</v>
      </c>
      <c r="G31" s="18" t="inlineStr">
        <is>
          <t>X/Z</t>
        </is>
      </c>
      <c r="H31" s="38" t="n">
        <v>18975</v>
      </c>
      <c r="I31" s="38" t="n">
        <v>-15040</v>
      </c>
      <c r="J31" s="38" t="n">
        <v>23475</v>
      </c>
      <c r="K31" s="38" t="n">
        <v>-15040</v>
      </c>
      <c r="L31" s="18" t="inlineStr">
        <is>
          <t>—</t>
        </is>
      </c>
      <c r="M31" s="18" t="inlineStr"/>
      <c r="N31" s="18" t="inlineStr">
        <is>
          <t>D7D3B5</t>
        </is>
      </c>
    </row>
    <row r="32">
      <c r="A32" s="18" t="inlineStr">
        <is>
          <t>DWG0025</t>
        </is>
      </c>
      <c r="B32" s="18" t="inlineStr">
        <is>
          <t>P14</t>
        </is>
      </c>
      <c r="C32" s="18" t="inlineStr">
        <is>
          <t>14</t>
        </is>
      </c>
      <c r="D32" s="18" t="inlineStr">
        <is>
          <t>horizontal</t>
        </is>
      </c>
      <c r="E32" s="38" t="n">
        <v>4500</v>
      </c>
      <c r="F32" s="38" t="n">
        <v>4500</v>
      </c>
      <c r="G32" s="18" t="inlineStr">
        <is>
          <t>X/Z</t>
        </is>
      </c>
      <c r="H32" s="38" t="n">
        <v>23475</v>
      </c>
      <c r="I32" s="38" t="n">
        <v>-15040</v>
      </c>
      <c r="J32" s="38" t="n">
        <v>27975</v>
      </c>
      <c r="K32" s="38" t="n">
        <v>-15040</v>
      </c>
      <c r="L32" s="18" t="inlineStr">
        <is>
          <t>—</t>
        </is>
      </c>
      <c r="M32" s="18" t="inlineStr"/>
      <c r="N32" s="18" t="inlineStr">
        <is>
          <t>D7D3B6</t>
        </is>
      </c>
    </row>
    <row r="33">
      <c r="A33" s="18" t="inlineStr">
        <is>
          <t>DWG0026</t>
        </is>
      </c>
      <c r="B33" s="18" t="inlineStr">
        <is>
          <t>P14</t>
        </is>
      </c>
      <c r="C33" s="18" t="inlineStr">
        <is>
          <t>14</t>
        </is>
      </c>
      <c r="D33" s="18" t="inlineStr">
        <is>
          <t>horizontal</t>
        </is>
      </c>
      <c r="E33" s="38" t="n">
        <v>4500</v>
      </c>
      <c r="F33" s="38" t="n">
        <v>4500</v>
      </c>
      <c r="G33" s="18" t="inlineStr">
        <is>
          <t>X/Z</t>
        </is>
      </c>
      <c r="H33" s="38" t="n">
        <v>32475</v>
      </c>
      <c r="I33" s="38" t="n">
        <v>-15040</v>
      </c>
      <c r="J33" s="38" t="n">
        <v>36975</v>
      </c>
      <c r="K33" s="38" t="n">
        <v>-15040</v>
      </c>
      <c r="L33" s="18" t="inlineStr">
        <is>
          <t>—</t>
        </is>
      </c>
      <c r="M33" s="18" t="inlineStr"/>
      <c r="N33" s="18" t="inlineStr">
        <is>
          <t>D7D3BA</t>
        </is>
      </c>
    </row>
    <row r="34">
      <c r="A34" s="18" t="inlineStr">
        <is>
          <t>DWG0027</t>
        </is>
      </c>
      <c r="B34" s="18" t="inlineStr">
        <is>
          <t>P14</t>
        </is>
      </c>
      <c r="C34" s="18" t="inlineStr">
        <is>
          <t>14</t>
        </is>
      </c>
      <c r="D34" s="18" t="inlineStr">
        <is>
          <t>horizontal</t>
        </is>
      </c>
      <c r="E34" s="44" t="n">
        <v>3599.4</v>
      </c>
      <c r="F34" s="38" t="n">
        <v>3599</v>
      </c>
      <c r="G34" s="18" t="inlineStr">
        <is>
          <t>X/Z</t>
        </is>
      </c>
      <c r="H34" s="38" t="n">
        <v>36975</v>
      </c>
      <c r="I34" s="38" t="n">
        <v>-15040</v>
      </c>
      <c r="J34" s="44" t="n">
        <v>40574.4</v>
      </c>
      <c r="K34" s="38" t="n">
        <v>-15040</v>
      </c>
      <c r="L34" s="18" t="inlineStr">
        <is>
          <t>—</t>
        </is>
      </c>
      <c r="M34" s="18" t="inlineStr"/>
      <c r="N34" s="18" t="inlineStr">
        <is>
          <t>D7D3BB</t>
        </is>
      </c>
    </row>
    <row r="35">
      <c r="A35" s="18" t="inlineStr">
        <is>
          <t>DWG0028</t>
        </is>
      </c>
      <c r="B35" s="18" t="inlineStr">
        <is>
          <t>P14</t>
        </is>
      </c>
      <c r="C35" s="18" t="inlineStr">
        <is>
          <t>14</t>
        </is>
      </c>
      <c r="D35" s="18" t="inlineStr">
        <is>
          <t>horizontal</t>
        </is>
      </c>
      <c r="E35" s="44" t="n">
        <v>3600.6</v>
      </c>
      <c r="F35" s="38" t="n">
        <v>3601</v>
      </c>
      <c r="G35" s="18" t="inlineStr">
        <is>
          <t>X/Z</t>
        </is>
      </c>
      <c r="H35" s="44" t="n">
        <v>40574.4</v>
      </c>
      <c r="I35" s="38" t="n">
        <v>-15040</v>
      </c>
      <c r="J35" s="38" t="n">
        <v>44175</v>
      </c>
      <c r="K35" s="38" t="n">
        <v>-15040</v>
      </c>
      <c r="L35" s="18" t="inlineStr">
        <is>
          <t>—</t>
        </is>
      </c>
      <c r="M35" s="18" t="inlineStr"/>
      <c r="N35" s="18" t="inlineStr">
        <is>
          <t>D7D3BC</t>
        </is>
      </c>
    </row>
    <row r="36">
      <c r="A36" s="18" t="inlineStr">
        <is>
          <t>DWG0029</t>
        </is>
      </c>
      <c r="B36" s="18" t="inlineStr">
        <is>
          <t>P14</t>
        </is>
      </c>
      <c r="C36" s="18" t="inlineStr">
        <is>
          <t>14</t>
        </is>
      </c>
      <c r="D36" s="18" t="inlineStr">
        <is>
          <t>horizontal</t>
        </is>
      </c>
      <c r="E36" s="38" t="n">
        <v>4500</v>
      </c>
      <c r="F36" s="38" t="n">
        <v>4500</v>
      </c>
      <c r="G36" s="18" t="inlineStr">
        <is>
          <t>X/Z</t>
        </is>
      </c>
      <c r="H36" s="38" t="n">
        <v>44175</v>
      </c>
      <c r="I36" s="38" t="n">
        <v>-15040</v>
      </c>
      <c r="J36" s="38" t="n">
        <v>48675</v>
      </c>
      <c r="K36" s="38" t="n">
        <v>-15040</v>
      </c>
      <c r="L36" s="18" t="inlineStr">
        <is>
          <t>—</t>
        </is>
      </c>
      <c r="M36" s="18" t="inlineStr"/>
      <c r="N36" s="18" t="inlineStr">
        <is>
          <t>D7D3BD</t>
        </is>
      </c>
    </row>
    <row r="37">
      <c r="A37" s="18" t="inlineStr">
        <is>
          <t>DWG0030</t>
        </is>
      </c>
      <c r="B37" s="18" t="inlineStr">
        <is>
          <t>P14</t>
        </is>
      </c>
      <c r="C37" s="18" t="inlineStr">
        <is>
          <t>14</t>
        </is>
      </c>
      <c r="D37" s="18" t="inlineStr">
        <is>
          <t>horizontal</t>
        </is>
      </c>
      <c r="E37" s="38" t="n">
        <v>4500</v>
      </c>
      <c r="F37" s="38" t="n">
        <v>4500</v>
      </c>
      <c r="G37" s="18" t="inlineStr">
        <is>
          <t>X/Z</t>
        </is>
      </c>
      <c r="H37" s="38" t="n">
        <v>5475</v>
      </c>
      <c r="I37" s="44" t="n">
        <v>-14800.2</v>
      </c>
      <c r="J37" s="38" t="n">
        <v>9975</v>
      </c>
      <c r="K37" s="38" t="n">
        <v>-15040</v>
      </c>
      <c r="L37" s="18" t="inlineStr">
        <is>
          <t>—</t>
        </is>
      </c>
      <c r="M37" s="18" t="inlineStr"/>
      <c r="N37" s="18" t="inlineStr">
        <is>
          <t>D7D3AC</t>
        </is>
      </c>
    </row>
    <row r="38">
      <c r="A38" s="18" t="inlineStr">
        <is>
          <t>DWG0031</t>
        </is>
      </c>
      <c r="B38" s="18" t="inlineStr">
        <is>
          <t>P14</t>
        </is>
      </c>
      <c r="C38" s="18" t="inlineStr">
        <is>
          <t>14</t>
        </is>
      </c>
      <c r="D38" s="18" t="inlineStr">
        <is>
          <t>vertical</t>
        </is>
      </c>
      <c r="E38" s="44" t="n">
        <v>14500.5</v>
      </c>
      <c r="F38" s="38" t="n">
        <v>14500</v>
      </c>
      <c r="G38" s="18" t="inlineStr">
        <is>
          <t>X/Z</t>
        </is>
      </c>
      <c r="H38" s="44" t="n">
        <v>16457.6</v>
      </c>
      <c r="I38" s="38" t="n">
        <v>-7250</v>
      </c>
      <c r="J38" s="44" t="n">
        <v>16960.7</v>
      </c>
      <c r="K38" s="44" t="n">
        <v>7250.5</v>
      </c>
      <c r="L38" s="18" t="inlineStr">
        <is>
          <t>—</t>
        </is>
      </c>
      <c r="M38" s="18" t="inlineStr"/>
      <c r="N38" s="18" t="inlineStr">
        <is>
          <t>D7D3CF</t>
        </is>
      </c>
    </row>
    <row r="39">
      <c r="A39" s="18" t="inlineStr">
        <is>
          <t>DWG0032</t>
        </is>
      </c>
      <c r="B39" s="18" t="inlineStr">
        <is>
          <t>P14</t>
        </is>
      </c>
      <c r="C39" s="18" t="inlineStr">
        <is>
          <t>14</t>
        </is>
      </c>
      <c r="D39" s="18" t="inlineStr">
        <is>
          <t>vertical</t>
        </is>
      </c>
      <c r="E39" s="44" t="n">
        <v>20498.5</v>
      </c>
      <c r="F39" s="38" t="n">
        <v>20498</v>
      </c>
      <c r="G39" s="18" t="inlineStr">
        <is>
          <t>X/Z</t>
        </is>
      </c>
      <c r="H39" s="44" t="n">
        <v>17342.8</v>
      </c>
      <c r="I39" s="38" t="n">
        <v>-10249</v>
      </c>
      <c r="J39" s="44" t="n">
        <v>17545.3</v>
      </c>
      <c r="K39" s="44" t="n">
        <v>10249.5</v>
      </c>
      <c r="L39" s="18" t="inlineStr">
        <is>
          <t>—</t>
        </is>
      </c>
      <c r="M39" s="18" t="inlineStr"/>
      <c r="N39" s="18" t="inlineStr">
        <is>
          <t>D7D3D2</t>
        </is>
      </c>
    </row>
    <row r="40">
      <c r="A40" s="18" t="inlineStr">
        <is>
          <t>DWG0033</t>
        </is>
      </c>
      <c r="B40" s="18" t="inlineStr">
        <is>
          <t>P14</t>
        </is>
      </c>
      <c r="C40" s="18" t="inlineStr">
        <is>
          <t>14</t>
        </is>
      </c>
      <c r="D40" s="18" t="inlineStr">
        <is>
          <t>vertical</t>
        </is>
      </c>
      <c r="E40" s="38" t="n">
        <v>2835</v>
      </c>
      <c r="F40" s="38" t="n">
        <v>2835</v>
      </c>
      <c r="G40" s="18" t="inlineStr">
        <is>
          <t>X/Z</t>
        </is>
      </c>
      <c r="H40" s="38" t="n">
        <v>55665</v>
      </c>
      <c r="I40" s="38" t="n">
        <v>-13249</v>
      </c>
      <c r="J40" s="38" t="n">
        <v>55665</v>
      </c>
      <c r="K40" s="38" t="n">
        <v>-10414</v>
      </c>
      <c r="L40" s="18" t="inlineStr">
        <is>
          <t>—</t>
        </is>
      </c>
      <c r="M40" s="18" t="inlineStr"/>
      <c r="N40" s="18" t="inlineStr">
        <is>
          <t>D7D3C1</t>
        </is>
      </c>
    </row>
    <row r="41">
      <c r="A41" s="18" t="inlineStr">
        <is>
          <t>DWG0034</t>
        </is>
      </c>
      <c r="B41" s="18" t="inlineStr">
        <is>
          <t>P14</t>
        </is>
      </c>
      <c r="C41" s="18" t="inlineStr">
        <is>
          <t>14</t>
        </is>
      </c>
      <c r="D41" s="18" t="inlineStr">
        <is>
          <t>vertical</t>
        </is>
      </c>
      <c r="E41" s="38" t="n">
        <v>3600</v>
      </c>
      <c r="F41" s="38" t="n">
        <v>3600</v>
      </c>
      <c r="G41" s="18" t="inlineStr">
        <is>
          <t>X/Z</t>
        </is>
      </c>
      <c r="H41" s="38" t="n">
        <v>55665</v>
      </c>
      <c r="I41" s="38" t="n">
        <v>-3600</v>
      </c>
      <c r="J41" s="38" t="n">
        <v>55665</v>
      </c>
      <c r="K41" s="38" t="n">
        <v>0</v>
      </c>
      <c r="L41" s="18" t="inlineStr">
        <is>
          <t>—</t>
        </is>
      </c>
      <c r="M41" s="18" t="inlineStr"/>
      <c r="N41" s="18" t="inlineStr">
        <is>
          <t>D7D3CA</t>
        </is>
      </c>
    </row>
    <row r="42">
      <c r="A42" s="18" t="inlineStr">
        <is>
          <t>DWG0035</t>
        </is>
      </c>
      <c r="B42" s="18" t="inlineStr">
        <is>
          <t>P14</t>
        </is>
      </c>
      <c r="C42" s="18" t="inlineStr">
        <is>
          <t>14</t>
        </is>
      </c>
      <c r="D42" s="18" t="inlineStr">
        <is>
          <t>vertical</t>
        </is>
      </c>
      <c r="E42" s="38" t="n">
        <v>3600</v>
      </c>
      <c r="F42" s="38" t="n">
        <v>3600</v>
      </c>
      <c r="G42" s="18" t="inlineStr">
        <is>
          <t>X/Z</t>
        </is>
      </c>
      <c r="H42" s="38" t="n">
        <v>55665</v>
      </c>
      <c r="I42" s="38" t="n">
        <v>0</v>
      </c>
      <c r="J42" s="38" t="n">
        <v>55665</v>
      </c>
      <c r="K42" s="38" t="n">
        <v>3600</v>
      </c>
      <c r="L42" s="18" t="inlineStr">
        <is>
          <t>—</t>
        </is>
      </c>
      <c r="M42" s="18" t="inlineStr"/>
      <c r="N42" s="18" t="inlineStr">
        <is>
          <t>D7D3CB</t>
        </is>
      </c>
    </row>
    <row r="43">
      <c r="A43" s="18" t="inlineStr">
        <is>
          <t>DWG0036</t>
        </is>
      </c>
      <c r="B43" s="18" t="inlineStr">
        <is>
          <t>P14</t>
        </is>
      </c>
      <c r="C43" s="18" t="inlineStr">
        <is>
          <t>14</t>
        </is>
      </c>
      <c r="D43" s="18" t="inlineStr">
        <is>
          <t>vertical</t>
        </is>
      </c>
      <c r="E43" s="38" t="n">
        <v>3760</v>
      </c>
      <c r="F43" s="38" t="n">
        <v>3760</v>
      </c>
      <c r="G43" s="18" t="inlineStr">
        <is>
          <t>X/Z</t>
        </is>
      </c>
      <c r="H43" s="38" t="n">
        <v>55665</v>
      </c>
      <c r="I43" s="38" t="n">
        <v>3600</v>
      </c>
      <c r="J43" s="38" t="n">
        <v>55665</v>
      </c>
      <c r="K43" s="38" t="n">
        <v>7360</v>
      </c>
      <c r="L43" s="18" t="inlineStr">
        <is>
          <t>—</t>
        </is>
      </c>
      <c r="M43" s="18" t="inlineStr"/>
      <c r="N43" s="18" t="inlineStr">
        <is>
          <t>D7D3CC</t>
        </is>
      </c>
    </row>
    <row r="44">
      <c r="A44" s="18" t="inlineStr">
        <is>
          <t>DWG0037</t>
        </is>
      </c>
      <c r="B44" s="18" t="inlineStr">
        <is>
          <t>P14</t>
        </is>
      </c>
      <c r="C44" s="18" t="inlineStr">
        <is>
          <t>14</t>
        </is>
      </c>
      <c r="D44" s="18" t="inlineStr">
        <is>
          <t>vertical</t>
        </is>
      </c>
      <c r="E44" s="38" t="n">
        <v>3054</v>
      </c>
      <c r="F44" s="38" t="n">
        <v>3054</v>
      </c>
      <c r="G44" s="18" t="inlineStr">
        <is>
          <t>X/Z</t>
        </is>
      </c>
      <c r="H44" s="38" t="n">
        <v>55665</v>
      </c>
      <c r="I44" s="38" t="n">
        <v>7360</v>
      </c>
      <c r="J44" s="38" t="n">
        <v>55665</v>
      </c>
      <c r="K44" s="38" t="n">
        <v>10414</v>
      </c>
      <c r="L44" s="18" t="inlineStr">
        <is>
          <t>—</t>
        </is>
      </c>
      <c r="M44" s="18" t="inlineStr"/>
      <c r="N44" s="18" t="inlineStr">
        <is>
          <t>D7D3CD</t>
        </is>
      </c>
    </row>
    <row r="45">
      <c r="A45" s="18" t="inlineStr">
        <is>
          <t>DWG0038</t>
        </is>
      </c>
      <c r="B45" s="18" t="inlineStr">
        <is>
          <t>P14</t>
        </is>
      </c>
      <c r="C45" s="18" t="inlineStr">
        <is>
          <t>14</t>
        </is>
      </c>
      <c r="D45" s="18" t="inlineStr">
        <is>
          <t>vertical</t>
        </is>
      </c>
      <c r="E45" s="38" t="n">
        <v>2835</v>
      </c>
      <c r="F45" s="38" t="n">
        <v>2835</v>
      </c>
      <c r="G45" s="18" t="inlineStr">
        <is>
          <t>X/Z</t>
        </is>
      </c>
      <c r="H45" s="38" t="n">
        <v>55665</v>
      </c>
      <c r="I45" s="38" t="n">
        <v>10414</v>
      </c>
      <c r="J45" s="38" t="n">
        <v>55665</v>
      </c>
      <c r="K45" s="38" t="n">
        <v>13249</v>
      </c>
      <c r="L45" s="18" t="inlineStr">
        <is>
          <t>—</t>
        </is>
      </c>
      <c r="M45" s="18" t="inlineStr"/>
      <c r="N45" s="18" t="inlineStr">
        <is>
          <t>D7D3CE</t>
        </is>
      </c>
    </row>
    <row r="46">
      <c r="A46" s="18" t="inlineStr">
        <is>
          <t>DWG0039</t>
        </is>
      </c>
      <c r="B46" s="18" t="inlineStr">
        <is>
          <t>PT08</t>
        </is>
      </c>
      <c r="C46" s="18" t="inlineStr">
        <is>
          <t>—</t>
        </is>
      </c>
      <c r="D46" s="18" t="inlineStr">
        <is>
          <t>horizontal</t>
        </is>
      </c>
      <c r="E46" s="44" t="n">
        <v>0.9</v>
      </c>
      <c r="F46" s="38" t="n">
        <v>1</v>
      </c>
      <c r="G46" s="18" t="inlineStr">
        <is>
          <t>u/v</t>
        </is>
      </c>
      <c r="H46" s="44" t="n">
        <v>17817.9</v>
      </c>
      <c r="I46" s="44" t="n">
        <v>12417.5</v>
      </c>
      <c r="J46" s="44" t="n">
        <v>17816.9</v>
      </c>
      <c r="K46" s="44" t="n">
        <v>11737.6</v>
      </c>
      <c r="L46" s="18" t="inlineStr">
        <is>
          <t>—</t>
        </is>
      </c>
      <c r="M46" s="18" t="inlineStr"/>
      <c r="N46" s="18" t="inlineStr">
        <is>
          <t>D9FAAF</t>
        </is>
      </c>
    </row>
    <row r="47">
      <c r="A47" s="18" t="inlineStr">
        <is>
          <t>DWG0040</t>
        </is>
      </c>
      <c r="B47" s="18" t="inlineStr">
        <is>
          <t>PT08</t>
        </is>
      </c>
      <c r="C47" s="18" t="inlineStr">
        <is>
          <t>—</t>
        </is>
      </c>
      <c r="D47" s="18" t="inlineStr">
        <is>
          <t>vertical</t>
        </is>
      </c>
      <c r="E47" s="44" t="n">
        <v>2120.1</v>
      </c>
      <c r="F47" s="38" t="n">
        <v>2120</v>
      </c>
      <c r="G47" s="18" t="inlineStr">
        <is>
          <t>u/v</t>
        </is>
      </c>
      <c r="H47" s="44" t="n">
        <v>17786.6</v>
      </c>
      <c r="I47" s="44" t="n">
        <v>14537.6</v>
      </c>
      <c r="J47" s="44" t="n">
        <v>17786.6</v>
      </c>
      <c r="K47" s="44" t="n">
        <v>12417.5</v>
      </c>
      <c r="L47" s="18" t="inlineStr">
        <is>
          <t>—</t>
        </is>
      </c>
      <c r="M47" s="18" t="inlineStr"/>
      <c r="N47" s="18" t="inlineStr">
        <is>
          <t>D9FA95</t>
        </is>
      </c>
    </row>
    <row r="48">
      <c r="A48" s="18" t="inlineStr">
        <is>
          <t>DWG0041</t>
        </is>
      </c>
      <c r="B48" s="18" t="inlineStr">
        <is>
          <t>PT08</t>
        </is>
      </c>
      <c r="C48" s="18" t="inlineStr">
        <is>
          <t>—</t>
        </is>
      </c>
      <c r="D48" s="18" t="inlineStr">
        <is>
          <t>vertical</t>
        </is>
      </c>
      <c r="E48" s="38" t="n">
        <v>440</v>
      </c>
      <c r="F48" s="38" t="n">
        <v>440</v>
      </c>
      <c r="G48" s="18" t="inlineStr">
        <is>
          <t>u/v</t>
        </is>
      </c>
      <c r="H48" s="44" t="n">
        <v>17786.6</v>
      </c>
      <c r="I48" s="44" t="n">
        <v>14977.6</v>
      </c>
      <c r="J48" s="44" t="n">
        <v>17786.6</v>
      </c>
      <c r="K48" s="44" t="n">
        <v>14537.6</v>
      </c>
      <c r="L48" s="18" t="inlineStr">
        <is>
          <t>—</t>
        </is>
      </c>
      <c r="M48" s="18" t="inlineStr"/>
      <c r="N48" s="18" t="inlineStr">
        <is>
          <t>D9FA7B</t>
        </is>
      </c>
    </row>
    <row r="49">
      <c r="A49" s="18" t="inlineStr">
        <is>
          <t>DWG0042</t>
        </is>
      </c>
      <c r="B49" s="18" t="inlineStr">
        <is>
          <t>PT08</t>
        </is>
      </c>
      <c r="C49" s="18" t="inlineStr">
        <is>
          <t>—</t>
        </is>
      </c>
      <c r="D49" s="18" t="inlineStr">
        <is>
          <t>vertical</t>
        </is>
      </c>
      <c r="E49" s="44" t="n">
        <v>679.9</v>
      </c>
      <c r="F49" s="38" t="n">
        <v>680</v>
      </c>
      <c r="G49" s="18" t="inlineStr">
        <is>
          <t>u/v</t>
        </is>
      </c>
      <c r="H49" s="38" t="n">
        <v>17860</v>
      </c>
      <c r="I49" s="44" t="n">
        <v>12417.5</v>
      </c>
      <c r="J49" s="44" t="n">
        <v>17862.9</v>
      </c>
      <c r="K49" s="44" t="n">
        <v>11737.6</v>
      </c>
      <c r="L49" s="18" t="inlineStr">
        <is>
          <t>—</t>
        </is>
      </c>
      <c r="M49" s="18" t="inlineStr"/>
      <c r="N49" s="18" t="inlineStr">
        <is>
          <t>D9FAC9</t>
        </is>
      </c>
    </row>
    <row r="50">
      <c r="A50" s="18" t="inlineStr">
        <is>
          <t>DWG0043</t>
        </is>
      </c>
      <c r="B50" s="18" t="inlineStr">
        <is>
          <t>PT15A</t>
        </is>
      </c>
      <c r="C50" s="18" t="inlineStr">
        <is>
          <t>—</t>
        </is>
      </c>
      <c r="D50" s="18" t="inlineStr">
        <is>
          <t>horizontal</t>
        </is>
      </c>
      <c r="E50" s="38" t="n">
        <v>5830</v>
      </c>
      <c r="F50" s="38" t="n">
        <v>5830</v>
      </c>
      <c r="G50" s="18" t="inlineStr">
        <is>
          <t>u/v</t>
        </is>
      </c>
      <c r="H50" s="44" t="n">
        <v>3234.5</v>
      </c>
      <c r="I50" s="44" t="n">
        <v>2878.3</v>
      </c>
      <c r="J50" s="44" t="n">
        <v>9064.5</v>
      </c>
      <c r="K50" s="44" t="n">
        <v>2878.3</v>
      </c>
      <c r="L50" s="18" t="inlineStr">
        <is>
          <t>—</t>
        </is>
      </c>
      <c r="M50" s="18" t="inlineStr"/>
      <c r="N50" s="18" t="inlineStr">
        <is>
          <t>DB0BF3</t>
        </is>
      </c>
    </row>
    <row r="51">
      <c r="A51" s="18" t="inlineStr">
        <is>
          <t>DWG0044</t>
        </is>
      </c>
      <c r="B51" s="18" t="inlineStr">
        <is>
          <t>PT15A</t>
        </is>
      </c>
      <c r="C51" s="18" t="inlineStr">
        <is>
          <t>—</t>
        </is>
      </c>
      <c r="D51" s="18" t="inlineStr">
        <is>
          <t>vertical</t>
        </is>
      </c>
      <c r="E51" s="38" t="n">
        <v>4130</v>
      </c>
      <c r="F51" s="38" t="n">
        <v>4130</v>
      </c>
      <c r="G51" s="18" t="inlineStr">
        <is>
          <t>u/v</t>
        </is>
      </c>
      <c r="H51" s="44" t="n">
        <v>5228.8</v>
      </c>
      <c r="I51" s="44" t="n">
        <v>3373.3</v>
      </c>
      <c r="J51" s="44" t="n">
        <v>5228.8</v>
      </c>
      <c r="K51" s="44" t="n">
        <v>7503.3</v>
      </c>
      <c r="L51" s="18" t="inlineStr">
        <is>
          <t>—</t>
        </is>
      </c>
      <c r="M51" s="18" t="inlineStr"/>
      <c r="N51" s="18" t="inlineStr">
        <is>
          <t>DB0C03</t>
        </is>
      </c>
    </row>
    <row r="52">
      <c r="A52" s="18" t="inlineStr">
        <is>
          <t>DWG0045</t>
        </is>
      </c>
      <c r="B52" s="18" t="inlineStr">
        <is>
          <t>P28</t>
        </is>
      </c>
      <c r="C52" s="18" t="inlineStr">
        <is>
          <t>28</t>
        </is>
      </c>
      <c r="D52" s="18" t="inlineStr">
        <is>
          <t>horizontal</t>
        </is>
      </c>
      <c r="E52" s="38" t="n">
        <v>4500</v>
      </c>
      <c r="F52" s="38" t="n">
        <v>4500</v>
      </c>
      <c r="G52" s="18" t="inlineStr">
        <is>
          <t>u/v</t>
        </is>
      </c>
      <c r="H52" s="44" t="n">
        <v>2462.3</v>
      </c>
      <c r="I52" s="44" t="n">
        <v>1116.1</v>
      </c>
      <c r="J52" s="44" t="n">
        <v>6962.3</v>
      </c>
      <c r="K52" s="44" t="n">
        <v>1116.1</v>
      </c>
      <c r="L52" s="18" t="inlineStr">
        <is>
          <t>8</t>
        </is>
      </c>
      <c r="M52" s="18" t="inlineStr">
        <is>
          <t>S082</t>
        </is>
      </c>
      <c r="N52" s="18" t="inlineStr">
        <is>
          <t>DAD673</t>
        </is>
      </c>
    </row>
    <row r="53">
      <c r="A53" s="18" t="inlineStr">
        <is>
          <t>DWG0046</t>
        </is>
      </c>
      <c r="B53" s="18" t="inlineStr">
        <is>
          <t>P28</t>
        </is>
      </c>
      <c r="C53" s="18" t="inlineStr">
        <is>
          <t>28</t>
        </is>
      </c>
      <c r="D53" s="18" t="inlineStr">
        <is>
          <t>horizontal</t>
        </is>
      </c>
      <c r="E53" s="38" t="n">
        <v>225</v>
      </c>
      <c r="F53" s="38" t="n">
        <v>225</v>
      </c>
      <c r="G53" s="18" t="inlineStr">
        <is>
          <t>u/v</t>
        </is>
      </c>
      <c r="H53" s="44" t="n">
        <v>2237.3</v>
      </c>
      <c r="I53" s="44" t="n">
        <v>1984.3</v>
      </c>
      <c r="J53" s="44" t="n">
        <v>2462.3</v>
      </c>
      <c r="K53" s="44" t="n">
        <v>1984.3</v>
      </c>
      <c r="L53" s="18" t="inlineStr">
        <is>
          <t>8</t>
        </is>
      </c>
      <c r="M53" s="18" t="inlineStr"/>
      <c r="N53" s="18" t="inlineStr">
        <is>
          <t>DAD5AC</t>
        </is>
      </c>
    </row>
    <row r="54">
      <c r="A54" s="18" t="inlineStr">
        <is>
          <t>DWG0047</t>
        </is>
      </c>
      <c r="B54" s="18" t="inlineStr">
        <is>
          <t>P28</t>
        </is>
      </c>
      <c r="C54" s="18" t="inlineStr">
        <is>
          <t>28</t>
        </is>
      </c>
      <c r="D54" s="18" t="inlineStr">
        <is>
          <t>horizontal</t>
        </is>
      </c>
      <c r="E54" s="38" t="n">
        <v>225</v>
      </c>
      <c r="F54" s="38" t="n">
        <v>225</v>
      </c>
      <c r="G54" s="18" t="inlineStr">
        <is>
          <t>u/v</t>
        </is>
      </c>
      <c r="H54" s="44" t="n">
        <v>2462.3</v>
      </c>
      <c r="I54" s="44" t="n">
        <v>1984.3</v>
      </c>
      <c r="J54" s="44" t="n">
        <v>2687.3</v>
      </c>
      <c r="K54" s="44" t="n">
        <v>1984.3</v>
      </c>
      <c r="L54" s="18" t="inlineStr">
        <is>
          <t>8</t>
        </is>
      </c>
      <c r="M54" s="18" t="inlineStr"/>
      <c r="N54" s="18" t="inlineStr">
        <is>
          <t>DAD5AD</t>
        </is>
      </c>
    </row>
    <row r="55">
      <c r="A55" s="18" t="inlineStr">
        <is>
          <t>DWG0048</t>
        </is>
      </c>
      <c r="B55" s="18" t="inlineStr">
        <is>
          <t>P28</t>
        </is>
      </c>
      <c r="C55" s="18" t="inlineStr">
        <is>
          <t>28</t>
        </is>
      </c>
      <c r="D55" s="18" t="inlineStr">
        <is>
          <t>horizontal</t>
        </is>
      </c>
      <c r="E55" s="38" t="n">
        <v>110</v>
      </c>
      <c r="F55" s="38" t="n">
        <v>110</v>
      </c>
      <c r="G55" s="18" t="inlineStr">
        <is>
          <t>u/v</t>
        </is>
      </c>
      <c r="H55" s="44" t="n">
        <v>2687.3</v>
      </c>
      <c r="I55" s="44" t="n">
        <v>1984.3</v>
      </c>
      <c r="J55" s="44" t="n">
        <v>2797.3</v>
      </c>
      <c r="K55" s="44" t="n">
        <v>2094.3</v>
      </c>
      <c r="L55" s="18" t="inlineStr">
        <is>
          <t>8</t>
        </is>
      </c>
      <c r="M55" s="18" t="inlineStr"/>
      <c r="N55" s="18" t="inlineStr">
        <is>
          <t>DAD5AE</t>
        </is>
      </c>
    </row>
    <row r="56">
      <c r="A56" s="18" t="inlineStr">
        <is>
          <t>DWG0049</t>
        </is>
      </c>
      <c r="B56" s="18" t="inlineStr">
        <is>
          <t>P28</t>
        </is>
      </c>
      <c r="C56" s="18" t="inlineStr">
        <is>
          <t>28</t>
        </is>
      </c>
      <c r="D56" s="18" t="inlineStr">
        <is>
          <t>horizontal</t>
        </is>
      </c>
      <c r="E56" s="38" t="n">
        <v>225</v>
      </c>
      <c r="F56" s="38" t="n">
        <v>225</v>
      </c>
      <c r="G56" s="18" t="inlineStr">
        <is>
          <t>u/v</t>
        </is>
      </c>
      <c r="H56" s="44" t="n">
        <v>6737.3</v>
      </c>
      <c r="I56" s="44" t="n">
        <v>1984.3</v>
      </c>
      <c r="J56" s="44" t="n">
        <v>6962.3</v>
      </c>
      <c r="K56" s="44" t="n">
        <v>1984.3</v>
      </c>
      <c r="L56" s="18" t="inlineStr">
        <is>
          <t>8</t>
        </is>
      </c>
      <c r="M56" s="18" t="inlineStr"/>
      <c r="N56" s="18" t="inlineStr">
        <is>
          <t>DAD5C1</t>
        </is>
      </c>
    </row>
    <row r="57">
      <c r="A57" s="18" t="inlineStr">
        <is>
          <t>DWG0050</t>
        </is>
      </c>
      <c r="B57" s="18" t="inlineStr">
        <is>
          <t>P28</t>
        </is>
      </c>
      <c r="C57" s="18" t="inlineStr">
        <is>
          <t>28</t>
        </is>
      </c>
      <c r="D57" s="18" t="inlineStr">
        <is>
          <t>horizontal</t>
        </is>
      </c>
      <c r="E57" s="38" t="n">
        <v>225</v>
      </c>
      <c r="F57" s="38" t="n">
        <v>225</v>
      </c>
      <c r="G57" s="18" t="inlineStr">
        <is>
          <t>u/v</t>
        </is>
      </c>
      <c r="H57" s="44" t="n">
        <v>6962.3</v>
      </c>
      <c r="I57" s="44" t="n">
        <v>1984.3</v>
      </c>
      <c r="J57" s="44" t="n">
        <v>7187.3</v>
      </c>
      <c r="K57" s="44" t="n">
        <v>1984.3</v>
      </c>
      <c r="L57" s="18" t="inlineStr">
        <is>
          <t>8</t>
        </is>
      </c>
      <c r="M57" s="18" t="inlineStr"/>
      <c r="N57" s="18" t="inlineStr">
        <is>
          <t>DAD5C2</t>
        </is>
      </c>
    </row>
    <row r="58">
      <c r="A58" s="18" t="inlineStr">
        <is>
          <t>DWG0051</t>
        </is>
      </c>
      <c r="B58" s="18" t="inlineStr">
        <is>
          <t>P28</t>
        </is>
      </c>
      <c r="C58" s="18" t="inlineStr">
        <is>
          <t>28</t>
        </is>
      </c>
      <c r="D58" s="18" t="inlineStr">
        <is>
          <t>horizontal</t>
        </is>
      </c>
      <c r="E58" s="38" t="n">
        <v>110</v>
      </c>
      <c r="F58" s="38" t="n">
        <v>110</v>
      </c>
      <c r="G58" s="18" t="inlineStr">
        <is>
          <t>u/v</t>
        </is>
      </c>
      <c r="H58" s="44" t="n">
        <v>7187.3</v>
      </c>
      <c r="I58" s="44" t="n">
        <v>1984.3</v>
      </c>
      <c r="J58" s="44" t="n">
        <v>7297.3</v>
      </c>
      <c r="K58" s="44" t="n">
        <v>2094.3</v>
      </c>
      <c r="L58" s="18" t="inlineStr">
        <is>
          <t>8</t>
        </is>
      </c>
      <c r="M58" s="18" t="inlineStr"/>
      <c r="N58" s="18" t="inlineStr">
        <is>
          <t>DAD5C3</t>
        </is>
      </c>
    </row>
    <row r="59">
      <c r="A59" s="18" t="inlineStr">
        <is>
          <t>DWG0052</t>
        </is>
      </c>
      <c r="B59" s="18" t="inlineStr">
        <is>
          <t>P28</t>
        </is>
      </c>
      <c r="C59" s="18" t="inlineStr">
        <is>
          <t>28</t>
        </is>
      </c>
      <c r="D59" s="18" t="inlineStr">
        <is>
          <t>horizontal</t>
        </is>
      </c>
      <c r="E59" s="38" t="n">
        <v>110</v>
      </c>
      <c r="F59" s="38" t="n">
        <v>110</v>
      </c>
      <c r="G59" s="18" t="inlineStr">
        <is>
          <t>u/v</t>
        </is>
      </c>
      <c r="H59" s="44" t="n">
        <v>2127.3</v>
      </c>
      <c r="I59" s="44" t="n">
        <v>2094.3</v>
      </c>
      <c r="J59" s="44" t="n">
        <v>2237.3</v>
      </c>
      <c r="K59" s="44" t="n">
        <v>1984.3</v>
      </c>
      <c r="L59" s="18" t="inlineStr">
        <is>
          <t>8</t>
        </is>
      </c>
      <c r="M59" s="18" t="inlineStr"/>
      <c r="N59" s="18" t="inlineStr">
        <is>
          <t>DAD5AB</t>
        </is>
      </c>
    </row>
    <row r="60">
      <c r="A60" s="18" t="inlineStr">
        <is>
          <t>DWG0053</t>
        </is>
      </c>
      <c r="B60" s="18" t="inlineStr">
        <is>
          <t>P28</t>
        </is>
      </c>
      <c r="C60" s="18" t="inlineStr">
        <is>
          <t>28</t>
        </is>
      </c>
      <c r="D60" s="18" t="inlineStr">
        <is>
          <t>horizontal</t>
        </is>
      </c>
      <c r="E60" s="38" t="n">
        <v>80</v>
      </c>
      <c r="F60" s="38" t="n">
        <v>80</v>
      </c>
      <c r="G60" s="18" t="inlineStr">
        <is>
          <t>u/v</t>
        </is>
      </c>
      <c r="H60" s="44" t="n">
        <v>2797.3</v>
      </c>
      <c r="I60" s="44" t="n">
        <v>2094.3</v>
      </c>
      <c r="J60" s="44" t="n">
        <v>2877.3</v>
      </c>
      <c r="K60" s="44" t="n">
        <v>2249.3</v>
      </c>
      <c r="L60" s="18" t="inlineStr">
        <is>
          <t>8</t>
        </is>
      </c>
      <c r="M60" s="18" t="inlineStr"/>
      <c r="N60" s="18" t="inlineStr">
        <is>
          <t>DAD5AF</t>
        </is>
      </c>
    </row>
    <row r="61">
      <c r="A61" s="18" t="inlineStr">
        <is>
          <t>DWG0054</t>
        </is>
      </c>
      <c r="B61" s="18" t="inlineStr">
        <is>
          <t>P28</t>
        </is>
      </c>
      <c r="C61" s="18" t="inlineStr">
        <is>
          <t>28</t>
        </is>
      </c>
      <c r="D61" s="18" t="inlineStr">
        <is>
          <t>horizontal</t>
        </is>
      </c>
      <c r="E61" s="38" t="n">
        <v>110</v>
      </c>
      <c r="F61" s="38" t="n">
        <v>110</v>
      </c>
      <c r="G61" s="18" t="inlineStr">
        <is>
          <t>u/v</t>
        </is>
      </c>
      <c r="H61" s="44" t="n">
        <v>6627.3</v>
      </c>
      <c r="I61" s="44" t="n">
        <v>2094.3</v>
      </c>
      <c r="J61" s="44" t="n">
        <v>6737.3</v>
      </c>
      <c r="K61" s="44" t="n">
        <v>1984.3</v>
      </c>
      <c r="L61" s="18" t="inlineStr">
        <is>
          <t>8</t>
        </is>
      </c>
      <c r="M61" s="18" t="inlineStr"/>
      <c r="N61" s="18" t="inlineStr">
        <is>
          <t>DAD5C0</t>
        </is>
      </c>
    </row>
    <row r="62">
      <c r="A62" s="18" t="inlineStr">
        <is>
          <t>DWG0055</t>
        </is>
      </c>
      <c r="B62" s="18" t="inlineStr">
        <is>
          <t>P28</t>
        </is>
      </c>
      <c r="C62" s="18" t="inlineStr">
        <is>
          <t>28</t>
        </is>
      </c>
      <c r="D62" s="18" t="inlineStr">
        <is>
          <t>horizontal</t>
        </is>
      </c>
      <c r="E62" s="38" t="n">
        <v>80</v>
      </c>
      <c r="F62" s="38" t="n">
        <v>80</v>
      </c>
      <c r="G62" s="18" t="inlineStr">
        <is>
          <t>u/v</t>
        </is>
      </c>
      <c r="H62" s="44" t="n">
        <v>7297.3</v>
      </c>
      <c r="I62" s="44" t="n">
        <v>2094.3</v>
      </c>
      <c r="J62" s="44" t="n">
        <v>7377.3</v>
      </c>
      <c r="K62" s="44" t="n">
        <v>2249.3</v>
      </c>
      <c r="L62" s="18" t="inlineStr">
        <is>
          <t>8</t>
        </is>
      </c>
      <c r="M62" s="18" t="inlineStr"/>
      <c r="N62" s="18" t="inlineStr">
        <is>
          <t>DAD5C4</t>
        </is>
      </c>
    </row>
    <row r="63">
      <c r="A63" s="18" t="inlineStr">
        <is>
          <t>DWG0056</t>
        </is>
      </c>
      <c r="B63" s="18" t="inlineStr">
        <is>
          <t>P28</t>
        </is>
      </c>
      <c r="C63" s="18" t="inlineStr">
        <is>
          <t>28</t>
        </is>
      </c>
      <c r="D63" s="18" t="inlineStr">
        <is>
          <t>horizontal</t>
        </is>
      </c>
      <c r="E63" s="38" t="n">
        <v>130</v>
      </c>
      <c r="F63" s="38" t="n">
        <v>130</v>
      </c>
      <c r="G63" s="18" t="inlineStr">
        <is>
          <t>u/v</t>
        </is>
      </c>
      <c r="H63" s="44" t="n">
        <v>2877.3</v>
      </c>
      <c r="I63" s="44" t="n">
        <v>2249.3</v>
      </c>
      <c r="J63" s="44" t="n">
        <v>3007.3</v>
      </c>
      <c r="K63" s="44" t="n">
        <v>2249.3</v>
      </c>
      <c r="L63" s="18" t="inlineStr">
        <is>
          <t>8</t>
        </is>
      </c>
      <c r="M63" s="18" t="inlineStr"/>
      <c r="N63" s="18" t="inlineStr">
        <is>
          <t>DAD5B0</t>
        </is>
      </c>
    </row>
    <row r="64">
      <c r="A64" s="18" t="inlineStr">
        <is>
          <t>DWG0057</t>
        </is>
      </c>
      <c r="B64" s="18" t="inlineStr">
        <is>
          <t>P28</t>
        </is>
      </c>
      <c r="C64" s="18" t="inlineStr">
        <is>
          <t>28</t>
        </is>
      </c>
      <c r="D64" s="18" t="inlineStr">
        <is>
          <t>horizontal</t>
        </is>
      </c>
      <c r="E64" s="38" t="n">
        <v>80</v>
      </c>
      <c r="F64" s="38" t="n">
        <v>80</v>
      </c>
      <c r="G64" s="18" t="inlineStr">
        <is>
          <t>u/v</t>
        </is>
      </c>
      <c r="H64" s="44" t="n">
        <v>3007.3</v>
      </c>
      <c r="I64" s="44" t="n">
        <v>2249.3</v>
      </c>
      <c r="J64" s="44" t="n">
        <v>3087.3</v>
      </c>
      <c r="K64" s="44" t="n">
        <v>2384.3</v>
      </c>
      <c r="L64" s="18" t="inlineStr">
        <is>
          <t>8</t>
        </is>
      </c>
      <c r="M64" s="18" t="inlineStr"/>
      <c r="N64" s="18" t="inlineStr">
        <is>
          <t>DAD5B1</t>
        </is>
      </c>
    </row>
    <row r="65">
      <c r="A65" s="18" t="inlineStr">
        <is>
          <t>DWG0058</t>
        </is>
      </c>
      <c r="B65" s="18" t="inlineStr">
        <is>
          <t>P28</t>
        </is>
      </c>
      <c r="C65" s="18" t="inlineStr">
        <is>
          <t>28</t>
        </is>
      </c>
      <c r="D65" s="18" t="inlineStr">
        <is>
          <t>horizontal</t>
        </is>
      </c>
      <c r="E65" s="38" t="n">
        <v>130</v>
      </c>
      <c r="F65" s="38" t="n">
        <v>130</v>
      </c>
      <c r="G65" s="18" t="inlineStr">
        <is>
          <t>u/v</t>
        </is>
      </c>
      <c r="H65" s="44" t="n">
        <v>4387.3</v>
      </c>
      <c r="I65" s="44" t="n">
        <v>2249.3</v>
      </c>
      <c r="J65" s="44" t="n">
        <v>4517.3</v>
      </c>
      <c r="K65" s="44" t="n">
        <v>2249.3</v>
      </c>
      <c r="L65" s="18" t="inlineStr">
        <is>
          <t>8</t>
        </is>
      </c>
      <c r="M65" s="18" t="inlineStr"/>
      <c r="N65" s="18" t="inlineStr">
        <is>
          <t>DAD5B6</t>
        </is>
      </c>
    </row>
    <row r="66">
      <c r="A66" s="18" t="inlineStr">
        <is>
          <t>DWG0059</t>
        </is>
      </c>
      <c r="B66" s="18" t="inlineStr">
        <is>
          <t>P28</t>
        </is>
      </c>
      <c r="C66" s="18" t="inlineStr">
        <is>
          <t>28</t>
        </is>
      </c>
      <c r="D66" s="18" t="inlineStr">
        <is>
          <t>horizontal</t>
        </is>
      </c>
      <c r="E66" s="38" t="n">
        <v>390</v>
      </c>
      <c r="F66" s="38" t="n">
        <v>390</v>
      </c>
      <c r="G66" s="18" t="inlineStr">
        <is>
          <t>u/v</t>
        </is>
      </c>
      <c r="H66" s="44" t="n">
        <v>4517.3</v>
      </c>
      <c r="I66" s="44" t="n">
        <v>2249.3</v>
      </c>
      <c r="J66" s="44" t="n">
        <v>4907.3</v>
      </c>
      <c r="K66" s="44" t="n">
        <v>2249.3</v>
      </c>
      <c r="L66" s="18" t="inlineStr">
        <is>
          <t>8</t>
        </is>
      </c>
      <c r="M66" s="18" t="inlineStr"/>
      <c r="N66" s="18" t="inlineStr">
        <is>
          <t>DAD5B7</t>
        </is>
      </c>
    </row>
    <row r="67">
      <c r="A67" s="18" t="inlineStr">
        <is>
          <t>DWG0060</t>
        </is>
      </c>
      <c r="B67" s="18" t="inlineStr">
        <is>
          <t>P28</t>
        </is>
      </c>
      <c r="C67" s="18" t="inlineStr">
        <is>
          <t>28</t>
        </is>
      </c>
      <c r="D67" s="18" t="inlineStr">
        <is>
          <t>horizontal</t>
        </is>
      </c>
      <c r="E67" s="38" t="n">
        <v>130</v>
      </c>
      <c r="F67" s="38" t="n">
        <v>130</v>
      </c>
      <c r="G67" s="18" t="inlineStr">
        <is>
          <t>u/v</t>
        </is>
      </c>
      <c r="H67" s="44" t="n">
        <v>4907.3</v>
      </c>
      <c r="I67" s="44" t="n">
        <v>2249.3</v>
      </c>
      <c r="J67" s="44" t="n">
        <v>5037.3</v>
      </c>
      <c r="K67" s="44" t="n">
        <v>2249.3</v>
      </c>
      <c r="L67" s="18" t="inlineStr">
        <is>
          <t>8</t>
        </is>
      </c>
      <c r="M67" s="18" t="inlineStr"/>
      <c r="N67" s="18" t="inlineStr">
        <is>
          <t>DAD5B8</t>
        </is>
      </c>
    </row>
    <row r="68">
      <c r="A68" s="18" t="inlineStr">
        <is>
          <t>DWG0061</t>
        </is>
      </c>
      <c r="B68" s="18" t="inlineStr">
        <is>
          <t>P28</t>
        </is>
      </c>
      <c r="C68" s="18" t="inlineStr">
        <is>
          <t>28</t>
        </is>
      </c>
      <c r="D68" s="18" t="inlineStr">
        <is>
          <t>horizontal</t>
        </is>
      </c>
      <c r="E68" s="38" t="n">
        <v>80</v>
      </c>
      <c r="F68" s="38" t="n">
        <v>80</v>
      </c>
      <c r="G68" s="18" t="inlineStr">
        <is>
          <t>u/v</t>
        </is>
      </c>
      <c r="H68" s="44" t="n">
        <v>5037.3</v>
      </c>
      <c r="I68" s="44" t="n">
        <v>2249.3</v>
      </c>
      <c r="J68" s="44" t="n">
        <v>5117.3</v>
      </c>
      <c r="K68" s="44" t="n">
        <v>2384.3</v>
      </c>
      <c r="L68" s="18" t="inlineStr">
        <is>
          <t>8</t>
        </is>
      </c>
      <c r="M68" s="18" t="inlineStr"/>
      <c r="N68" s="18" t="inlineStr">
        <is>
          <t>DAD5B9</t>
        </is>
      </c>
    </row>
    <row r="69">
      <c r="A69" s="18" t="inlineStr">
        <is>
          <t>DWG0062</t>
        </is>
      </c>
      <c r="B69" s="18" t="inlineStr">
        <is>
          <t>P28</t>
        </is>
      </c>
      <c r="C69" s="18" t="inlineStr">
        <is>
          <t>28</t>
        </is>
      </c>
      <c r="D69" s="18" t="inlineStr">
        <is>
          <t>horizontal</t>
        </is>
      </c>
      <c r="E69" s="38" t="n">
        <v>130</v>
      </c>
      <c r="F69" s="38" t="n">
        <v>130</v>
      </c>
      <c r="G69" s="18" t="inlineStr">
        <is>
          <t>u/v</t>
        </is>
      </c>
      <c r="H69" s="44" t="n">
        <v>6417.3</v>
      </c>
      <c r="I69" s="44" t="n">
        <v>2249.3</v>
      </c>
      <c r="J69" s="44" t="n">
        <v>6547.3</v>
      </c>
      <c r="K69" s="44" t="n">
        <v>2249.3</v>
      </c>
      <c r="L69" s="18" t="inlineStr">
        <is>
          <t>8</t>
        </is>
      </c>
      <c r="M69" s="18" t="inlineStr"/>
      <c r="N69" s="18" t="inlineStr">
        <is>
          <t>DAD5BE</t>
        </is>
      </c>
    </row>
    <row r="70">
      <c r="A70" s="18" t="inlineStr">
        <is>
          <t>DWG0063</t>
        </is>
      </c>
      <c r="B70" s="18" t="inlineStr">
        <is>
          <t>P28</t>
        </is>
      </c>
      <c r="C70" s="18" t="inlineStr">
        <is>
          <t>28</t>
        </is>
      </c>
      <c r="D70" s="18" t="inlineStr">
        <is>
          <t>horizontal</t>
        </is>
      </c>
      <c r="E70" s="38" t="n">
        <v>80</v>
      </c>
      <c r="F70" s="38" t="n">
        <v>80</v>
      </c>
      <c r="G70" s="18" t="inlineStr">
        <is>
          <t>u/v</t>
        </is>
      </c>
      <c r="H70" s="44" t="n">
        <v>6547.3</v>
      </c>
      <c r="I70" s="44" t="n">
        <v>2249.3</v>
      </c>
      <c r="J70" s="44" t="n">
        <v>6627.3</v>
      </c>
      <c r="K70" s="44" t="n">
        <v>2094.3</v>
      </c>
      <c r="L70" s="18" t="inlineStr">
        <is>
          <t>8</t>
        </is>
      </c>
      <c r="M70" s="18" t="inlineStr"/>
      <c r="N70" s="18" t="inlineStr">
        <is>
          <t>DAD5BF</t>
        </is>
      </c>
    </row>
    <row r="71">
      <c r="A71" s="18" t="inlineStr">
        <is>
          <t>DWG0064</t>
        </is>
      </c>
      <c r="B71" s="18" t="inlineStr">
        <is>
          <t>P28</t>
        </is>
      </c>
      <c r="C71" s="18" t="inlineStr">
        <is>
          <t>28</t>
        </is>
      </c>
      <c r="D71" s="18" t="inlineStr">
        <is>
          <t>horizontal</t>
        </is>
      </c>
      <c r="E71" s="38" t="n">
        <v>130</v>
      </c>
      <c r="F71" s="38" t="n">
        <v>130</v>
      </c>
      <c r="G71" s="18" t="inlineStr">
        <is>
          <t>u/v</t>
        </is>
      </c>
      <c r="H71" s="44" t="n">
        <v>7377.3</v>
      </c>
      <c r="I71" s="44" t="n">
        <v>2249.3</v>
      </c>
      <c r="J71" s="44" t="n">
        <v>7507.3</v>
      </c>
      <c r="K71" s="44" t="n">
        <v>2249.3</v>
      </c>
      <c r="L71" s="18" t="inlineStr">
        <is>
          <t>8</t>
        </is>
      </c>
      <c r="M71" s="18" t="inlineStr"/>
      <c r="N71" s="18" t="inlineStr">
        <is>
          <t>DAD5C5</t>
        </is>
      </c>
    </row>
    <row r="72">
      <c r="A72" s="18" t="inlineStr">
        <is>
          <t>DWG0065</t>
        </is>
      </c>
      <c r="B72" s="18" t="inlineStr">
        <is>
          <t>P28</t>
        </is>
      </c>
      <c r="C72" s="18" t="inlineStr">
        <is>
          <t>28</t>
        </is>
      </c>
      <c r="D72" s="18" t="inlineStr">
        <is>
          <t>horizontal</t>
        </is>
      </c>
      <c r="E72" s="38" t="n">
        <v>80</v>
      </c>
      <c r="F72" s="38" t="n">
        <v>80</v>
      </c>
      <c r="G72" s="18" t="inlineStr">
        <is>
          <t>u/v</t>
        </is>
      </c>
      <c r="H72" s="44" t="n">
        <v>7507.3</v>
      </c>
      <c r="I72" s="44" t="n">
        <v>2249.3</v>
      </c>
      <c r="J72" s="44" t="n">
        <v>7587.3</v>
      </c>
      <c r="K72" s="44" t="n">
        <v>2384.3</v>
      </c>
      <c r="L72" s="18" t="inlineStr">
        <is>
          <t>8</t>
        </is>
      </c>
      <c r="M72" s="18" t="inlineStr"/>
      <c r="N72" s="18" t="inlineStr">
        <is>
          <t>DAD5C6</t>
        </is>
      </c>
    </row>
    <row r="73">
      <c r="A73" s="18" t="inlineStr">
        <is>
          <t>DWG0066</t>
        </is>
      </c>
      <c r="B73" s="18" t="inlineStr">
        <is>
          <t>P28</t>
        </is>
      </c>
      <c r="C73" s="18" t="inlineStr">
        <is>
          <t>28</t>
        </is>
      </c>
      <c r="D73" s="18" t="inlineStr">
        <is>
          <t>horizontal</t>
        </is>
      </c>
      <c r="E73" s="44" t="n">
        <v>312.7</v>
      </c>
      <c r="F73" s="38" t="n">
        <v>313</v>
      </c>
      <c r="G73" s="18" t="inlineStr">
        <is>
          <t>u/v</t>
        </is>
      </c>
      <c r="H73" s="44" t="n">
        <v>1814.6</v>
      </c>
      <c r="I73" s="44" t="n">
        <v>2280.5</v>
      </c>
      <c r="J73" s="44" t="n">
        <v>2127.3</v>
      </c>
      <c r="K73" s="44" t="n">
        <v>2094.3</v>
      </c>
      <c r="L73" s="18" t="inlineStr">
        <is>
          <t>8</t>
        </is>
      </c>
      <c r="M73" s="18" t="inlineStr"/>
      <c r="N73" s="18" t="inlineStr">
        <is>
          <t>DAD5AA</t>
        </is>
      </c>
    </row>
    <row r="74">
      <c r="A74" s="18" t="inlineStr">
        <is>
          <t>DWG0067</t>
        </is>
      </c>
      <c r="B74" s="18" t="inlineStr">
        <is>
          <t>P28</t>
        </is>
      </c>
      <c r="C74" s="18" t="inlineStr">
        <is>
          <t>28</t>
        </is>
      </c>
      <c r="D74" s="18" t="inlineStr">
        <is>
          <t>horizontal</t>
        </is>
      </c>
      <c r="E74" s="38" t="n">
        <v>195</v>
      </c>
      <c r="F74" s="38" t="n">
        <v>195</v>
      </c>
      <c r="G74" s="18" t="inlineStr">
        <is>
          <t>u/v</t>
        </is>
      </c>
      <c r="H74" s="44" t="n">
        <v>1619.6</v>
      </c>
      <c r="I74" s="44" t="n">
        <v>2287.3</v>
      </c>
      <c r="J74" s="44" t="n">
        <v>1814.6</v>
      </c>
      <c r="K74" s="44" t="n">
        <v>2280.5</v>
      </c>
      <c r="L74" s="18" t="inlineStr">
        <is>
          <t>8</t>
        </is>
      </c>
      <c r="M74" s="18" t="inlineStr"/>
      <c r="N74" s="18" t="inlineStr">
        <is>
          <t>DAD5A9</t>
        </is>
      </c>
    </row>
    <row r="75">
      <c r="A75" s="18" t="inlineStr">
        <is>
          <t>DWG0068</t>
        </is>
      </c>
      <c r="B75" s="18" t="inlineStr">
        <is>
          <t>P28</t>
        </is>
      </c>
      <c r="C75" s="18" t="inlineStr">
        <is>
          <t>28</t>
        </is>
      </c>
      <c r="D75" s="18" t="inlineStr">
        <is>
          <t>horizontal</t>
        </is>
      </c>
      <c r="E75" s="44" t="n">
        <v>117.3</v>
      </c>
      <c r="F75" s="38" t="n">
        <v>117</v>
      </c>
      <c r="G75" s="18" t="inlineStr">
        <is>
          <t>u/v</t>
        </is>
      </c>
      <c r="H75" s="44" t="n">
        <v>1502.3</v>
      </c>
      <c r="I75" s="44" t="n">
        <v>2365.8</v>
      </c>
      <c r="J75" s="44" t="n">
        <v>1619.6</v>
      </c>
      <c r="K75" s="44" t="n">
        <v>2287.3</v>
      </c>
      <c r="L75" s="18" t="inlineStr">
        <is>
          <t>8</t>
        </is>
      </c>
      <c r="M75" s="18" t="inlineStr"/>
      <c r="N75" s="18" t="inlineStr">
        <is>
          <t>DAD5A8</t>
        </is>
      </c>
    </row>
    <row r="76">
      <c r="A76" s="18" t="inlineStr">
        <is>
          <t>DWG0069</t>
        </is>
      </c>
      <c r="B76" s="18" t="inlineStr">
        <is>
          <t>P28</t>
        </is>
      </c>
      <c r="C76" s="18" t="inlineStr">
        <is>
          <t>28</t>
        </is>
      </c>
      <c r="D76" s="18" t="inlineStr">
        <is>
          <t>horizontal</t>
        </is>
      </c>
      <c r="E76" s="44" t="n">
        <v>79.59999999999999</v>
      </c>
      <c r="F76" s="38" t="n">
        <v>80</v>
      </c>
      <c r="G76" s="18" t="inlineStr">
        <is>
          <t>u/v</t>
        </is>
      </c>
      <c r="H76" s="44" t="n">
        <v>6337.7</v>
      </c>
      <c r="I76" s="44" t="n">
        <v>2378.7</v>
      </c>
      <c r="J76" s="44" t="n">
        <v>6417.3</v>
      </c>
      <c r="K76" s="44" t="n">
        <v>2249.3</v>
      </c>
      <c r="L76" s="18" t="inlineStr">
        <is>
          <t>8</t>
        </is>
      </c>
      <c r="M76" s="18" t="inlineStr"/>
      <c r="N76" s="18" t="inlineStr">
        <is>
          <t>DAD5BD</t>
        </is>
      </c>
    </row>
    <row r="77">
      <c r="A77" s="18" t="inlineStr">
        <is>
          <t>DWG0070</t>
        </is>
      </c>
      <c r="B77" s="18" t="inlineStr">
        <is>
          <t>P28</t>
        </is>
      </c>
      <c r="C77" s="18" t="inlineStr">
        <is>
          <t>28</t>
        </is>
      </c>
      <c r="D77" s="18" t="inlineStr">
        <is>
          <t>horizontal</t>
        </is>
      </c>
      <c r="E77" s="38" t="n">
        <v>110</v>
      </c>
      <c r="F77" s="38" t="n">
        <v>110</v>
      </c>
      <c r="G77" s="18" t="inlineStr">
        <is>
          <t>u/v</t>
        </is>
      </c>
      <c r="H77" s="44" t="n">
        <v>3087.3</v>
      </c>
      <c r="I77" s="44" t="n">
        <v>2384.3</v>
      </c>
      <c r="J77" s="44" t="n">
        <v>3197.3</v>
      </c>
      <c r="K77" s="44" t="n">
        <v>2424.3</v>
      </c>
      <c r="L77" s="18" t="inlineStr">
        <is>
          <t>8</t>
        </is>
      </c>
      <c r="M77" s="18" t="inlineStr"/>
      <c r="N77" s="18" t="inlineStr">
        <is>
          <t>DAD5B2</t>
        </is>
      </c>
    </row>
    <row r="78">
      <c r="A78" s="18" t="inlineStr">
        <is>
          <t>DWG0071</t>
        </is>
      </c>
      <c r="B78" s="18" t="inlineStr">
        <is>
          <t>P28</t>
        </is>
      </c>
      <c r="C78" s="18" t="inlineStr">
        <is>
          <t>28</t>
        </is>
      </c>
      <c r="D78" s="18" t="inlineStr">
        <is>
          <t>horizontal</t>
        </is>
      </c>
      <c r="E78" s="38" t="n">
        <v>80</v>
      </c>
      <c r="F78" s="38" t="n">
        <v>80</v>
      </c>
      <c r="G78" s="18" t="inlineStr">
        <is>
          <t>u/v</t>
        </is>
      </c>
      <c r="H78" s="44" t="n">
        <v>4307.3</v>
      </c>
      <c r="I78" s="44" t="n">
        <v>2384.3</v>
      </c>
      <c r="J78" s="44" t="n">
        <v>4387.3</v>
      </c>
      <c r="K78" s="44" t="n">
        <v>2249.3</v>
      </c>
      <c r="L78" s="18" t="inlineStr">
        <is>
          <t>8</t>
        </is>
      </c>
      <c r="M78" s="18" t="inlineStr"/>
      <c r="N78" s="18" t="inlineStr">
        <is>
          <t>DAD5B5</t>
        </is>
      </c>
    </row>
    <row r="79">
      <c r="A79" s="18" t="inlineStr">
        <is>
          <t>DWG0072</t>
        </is>
      </c>
      <c r="B79" s="18" t="inlineStr">
        <is>
          <t>P28</t>
        </is>
      </c>
      <c r="C79" s="18" t="inlineStr">
        <is>
          <t>28</t>
        </is>
      </c>
      <c r="D79" s="18" t="inlineStr">
        <is>
          <t>horizontal</t>
        </is>
      </c>
      <c r="E79" s="38" t="n">
        <v>110</v>
      </c>
      <c r="F79" s="38" t="n">
        <v>110</v>
      </c>
      <c r="G79" s="18" t="inlineStr">
        <is>
          <t>u/v</t>
        </is>
      </c>
      <c r="H79" s="44" t="n">
        <v>5117.3</v>
      </c>
      <c r="I79" s="44" t="n">
        <v>2384.3</v>
      </c>
      <c r="J79" s="44" t="n">
        <v>5227.3</v>
      </c>
      <c r="K79" s="44" t="n">
        <v>2424.3</v>
      </c>
      <c r="L79" s="18" t="inlineStr">
        <is>
          <t>8</t>
        </is>
      </c>
      <c r="M79" s="18" t="inlineStr"/>
      <c r="N79" s="18" t="inlineStr">
        <is>
          <t>DAD5BA</t>
        </is>
      </c>
    </row>
    <row r="80">
      <c r="A80" s="18" t="inlineStr">
        <is>
          <t>DWG0073</t>
        </is>
      </c>
      <c r="B80" s="18" t="inlineStr">
        <is>
          <t>P28</t>
        </is>
      </c>
      <c r="C80" s="18" t="inlineStr">
        <is>
          <t>28</t>
        </is>
      </c>
      <c r="D80" s="18" t="inlineStr">
        <is>
          <t>horizontal</t>
        </is>
      </c>
      <c r="E80" s="38" t="n">
        <v>110</v>
      </c>
      <c r="F80" s="38" t="n">
        <v>110</v>
      </c>
      <c r="G80" s="18" t="inlineStr">
        <is>
          <t>u/v</t>
        </is>
      </c>
      <c r="H80" s="44" t="n">
        <v>7587.3</v>
      </c>
      <c r="I80" s="44" t="n">
        <v>2384.3</v>
      </c>
      <c r="J80" s="44" t="n">
        <v>7697.3</v>
      </c>
      <c r="K80" s="44" t="n">
        <v>2424.3</v>
      </c>
      <c r="L80" s="18" t="inlineStr">
        <is>
          <t>8</t>
        </is>
      </c>
      <c r="M80" s="18" t="inlineStr"/>
      <c r="N80" s="18" t="inlineStr">
        <is>
          <t>DAD5C7</t>
        </is>
      </c>
    </row>
    <row r="81">
      <c r="A81" s="18" t="inlineStr">
        <is>
          <t>DWG0074</t>
        </is>
      </c>
      <c r="B81" s="18" t="inlineStr">
        <is>
          <t>P28</t>
        </is>
      </c>
      <c r="C81" s="18" t="inlineStr">
        <is>
          <t>28</t>
        </is>
      </c>
      <c r="D81" s="18" t="inlineStr">
        <is>
          <t>horizontal</t>
        </is>
      </c>
      <c r="E81" s="38" t="n">
        <v>165</v>
      </c>
      <c r="F81" s="38" t="n">
        <v>165</v>
      </c>
      <c r="G81" s="18" t="inlineStr">
        <is>
          <t>u/v</t>
        </is>
      </c>
      <c r="H81" s="44" t="n">
        <v>1337.3</v>
      </c>
      <c r="I81" s="44" t="n">
        <v>2424.3</v>
      </c>
      <c r="J81" s="44" t="n">
        <v>1502.3</v>
      </c>
      <c r="K81" s="44" t="n">
        <v>2365.8</v>
      </c>
      <c r="L81" s="18" t="inlineStr">
        <is>
          <t>8</t>
        </is>
      </c>
      <c r="M81" s="18" t="inlineStr"/>
      <c r="N81" s="18" t="inlineStr">
        <is>
          <t>DAD5A7</t>
        </is>
      </c>
    </row>
    <row r="82">
      <c r="A82" s="18" t="inlineStr">
        <is>
          <t>DWG0075</t>
        </is>
      </c>
      <c r="B82" s="18" t="inlineStr">
        <is>
          <t>P28</t>
        </is>
      </c>
      <c r="C82" s="18" t="inlineStr">
        <is>
          <t>28</t>
        </is>
      </c>
      <c r="D82" s="18" t="inlineStr">
        <is>
          <t>horizontal</t>
        </is>
      </c>
      <c r="E82" s="38" t="n">
        <v>1000</v>
      </c>
      <c r="F82" s="38" t="n">
        <v>1000</v>
      </c>
      <c r="G82" s="18" t="inlineStr">
        <is>
          <t>u/v</t>
        </is>
      </c>
      <c r="H82" s="44" t="n">
        <v>3197.3</v>
      </c>
      <c r="I82" s="44" t="n">
        <v>2424.3</v>
      </c>
      <c r="J82" s="44" t="n">
        <v>4197.3</v>
      </c>
      <c r="K82" s="44" t="n">
        <v>2424.3</v>
      </c>
      <c r="L82" s="18" t="inlineStr">
        <is>
          <t>8</t>
        </is>
      </c>
      <c r="M82" s="18" t="inlineStr">
        <is>
          <t>S084 S085 S086</t>
        </is>
      </c>
      <c r="N82" s="18" t="inlineStr">
        <is>
          <t>DAD5B3</t>
        </is>
      </c>
    </row>
    <row r="83">
      <c r="A83" s="18" t="inlineStr">
        <is>
          <t>DWG0076</t>
        </is>
      </c>
      <c r="B83" s="18" t="inlineStr">
        <is>
          <t>P28</t>
        </is>
      </c>
      <c r="C83" s="18" t="inlineStr">
        <is>
          <t>28</t>
        </is>
      </c>
      <c r="D83" s="18" t="inlineStr">
        <is>
          <t>horizontal</t>
        </is>
      </c>
      <c r="E83" s="38" t="n">
        <v>110</v>
      </c>
      <c r="F83" s="38" t="n">
        <v>110</v>
      </c>
      <c r="G83" s="18" t="inlineStr">
        <is>
          <t>u/v</t>
        </is>
      </c>
      <c r="H83" s="44" t="n">
        <v>4197.3</v>
      </c>
      <c r="I83" s="44" t="n">
        <v>2424.3</v>
      </c>
      <c r="J83" s="44" t="n">
        <v>4307.3</v>
      </c>
      <c r="K83" s="44" t="n">
        <v>2384.3</v>
      </c>
      <c r="L83" s="18" t="inlineStr">
        <is>
          <t>8</t>
        </is>
      </c>
      <c r="M83" s="18" t="inlineStr"/>
      <c r="N83" s="18" t="inlineStr">
        <is>
          <t>DAD5B4</t>
        </is>
      </c>
    </row>
    <row r="84">
      <c r="A84" s="18" t="inlineStr">
        <is>
          <t>DWG0077</t>
        </is>
      </c>
      <c r="B84" s="18" t="inlineStr">
        <is>
          <t>P28</t>
        </is>
      </c>
      <c r="C84" s="18" t="inlineStr">
        <is>
          <t>28</t>
        </is>
      </c>
      <c r="D84" s="18" t="inlineStr">
        <is>
          <t>horizontal</t>
        </is>
      </c>
      <c r="E84" s="38" t="n">
        <v>1000</v>
      </c>
      <c r="F84" s="38" t="n">
        <v>1000</v>
      </c>
      <c r="G84" s="18" t="inlineStr">
        <is>
          <t>u/v</t>
        </is>
      </c>
      <c r="H84" s="44" t="n">
        <v>5227.3</v>
      </c>
      <c r="I84" s="44" t="n">
        <v>2424.3</v>
      </c>
      <c r="J84" s="44" t="n">
        <v>6227.3</v>
      </c>
      <c r="K84" s="44" t="n">
        <v>2424.3</v>
      </c>
      <c r="L84" s="18" t="inlineStr">
        <is>
          <t>8</t>
        </is>
      </c>
      <c r="M84" s="18" t="inlineStr">
        <is>
          <t>S084 S085 S086</t>
        </is>
      </c>
      <c r="N84" s="18" t="inlineStr">
        <is>
          <t>DAD5BB</t>
        </is>
      </c>
    </row>
    <row r="85">
      <c r="A85" s="18" t="inlineStr">
        <is>
          <t>DWG0078</t>
        </is>
      </c>
      <c r="B85" s="18" t="inlineStr">
        <is>
          <t>P28</t>
        </is>
      </c>
      <c r="C85" s="18" t="inlineStr">
        <is>
          <t>28</t>
        </is>
      </c>
      <c r="D85" s="18" t="inlineStr">
        <is>
          <t>horizontal</t>
        </is>
      </c>
      <c r="E85" s="44" t="n">
        <v>110.4</v>
      </c>
      <c r="F85" s="38" t="n">
        <v>110</v>
      </c>
      <c r="G85" s="18" t="inlineStr">
        <is>
          <t>u/v</t>
        </is>
      </c>
      <c r="H85" s="44" t="n">
        <v>6227.3</v>
      </c>
      <c r="I85" s="44" t="n">
        <v>2424.3</v>
      </c>
      <c r="J85" s="44" t="n">
        <v>6337.7</v>
      </c>
      <c r="K85" s="44" t="n">
        <v>2378.7</v>
      </c>
      <c r="L85" s="18" t="inlineStr">
        <is>
          <t>8</t>
        </is>
      </c>
      <c r="M85" s="18" t="inlineStr"/>
      <c r="N85" s="18" t="inlineStr">
        <is>
          <t>DAD5BC</t>
        </is>
      </c>
    </row>
    <row r="86">
      <c r="A86" s="18" t="inlineStr">
        <is>
          <t>DWG0079</t>
        </is>
      </c>
      <c r="B86" s="18" t="inlineStr">
        <is>
          <t>P28</t>
        </is>
      </c>
      <c r="C86" s="18" t="inlineStr">
        <is>
          <t>28</t>
        </is>
      </c>
      <c r="D86" s="18" t="inlineStr">
        <is>
          <t>horizontal</t>
        </is>
      </c>
      <c r="E86" s="38" t="n">
        <v>960</v>
      </c>
      <c r="F86" s="38" t="n">
        <v>960</v>
      </c>
      <c r="G86" s="18" t="inlineStr">
        <is>
          <t>u/v</t>
        </is>
      </c>
      <c r="H86" s="44" t="n">
        <v>1337.3</v>
      </c>
      <c r="I86" s="44" t="n">
        <v>3284.4</v>
      </c>
      <c r="J86" s="44" t="n">
        <v>2297.3</v>
      </c>
      <c r="K86" s="44" t="n">
        <v>3394.4</v>
      </c>
      <c r="L86" s="18" t="inlineStr">
        <is>
          <t>8</t>
        </is>
      </c>
      <c r="M86" s="18" t="inlineStr"/>
      <c r="N86" s="18" t="inlineStr">
        <is>
          <t>DAD588</t>
        </is>
      </c>
    </row>
    <row r="87">
      <c r="A87" s="18" t="inlineStr">
        <is>
          <t>DWG0080</t>
        </is>
      </c>
      <c r="B87" s="18" t="inlineStr">
        <is>
          <t>P28</t>
        </is>
      </c>
      <c r="C87" s="18" t="inlineStr">
        <is>
          <t>28</t>
        </is>
      </c>
      <c r="D87" s="18" t="inlineStr">
        <is>
          <t>horizontal</t>
        </is>
      </c>
      <c r="E87" s="38" t="n">
        <v>1000</v>
      </c>
      <c r="F87" s="38" t="n">
        <v>1000</v>
      </c>
      <c r="G87" s="18" t="inlineStr">
        <is>
          <t>u/v</t>
        </is>
      </c>
      <c r="H87" s="44" t="n">
        <v>3197.3</v>
      </c>
      <c r="I87" s="44" t="n">
        <v>3284.4</v>
      </c>
      <c r="J87" s="44" t="n">
        <v>4197.3</v>
      </c>
      <c r="K87" s="44" t="n">
        <v>3284.4</v>
      </c>
      <c r="L87" s="18" t="inlineStr">
        <is>
          <t>8</t>
        </is>
      </c>
      <c r="M87" s="18" t="inlineStr">
        <is>
          <t>S084 S085 S086</t>
        </is>
      </c>
      <c r="N87" s="18" t="inlineStr">
        <is>
          <t>DAD591</t>
        </is>
      </c>
    </row>
    <row r="88">
      <c r="A88" s="18" t="inlineStr">
        <is>
          <t>DWG0081</t>
        </is>
      </c>
      <c r="B88" s="18" t="inlineStr">
        <is>
          <t>P28</t>
        </is>
      </c>
      <c r="C88" s="18" t="inlineStr">
        <is>
          <t>28</t>
        </is>
      </c>
      <c r="D88" s="18" t="inlineStr">
        <is>
          <t>horizontal</t>
        </is>
      </c>
      <c r="E88" s="38" t="n">
        <v>1030</v>
      </c>
      <c r="F88" s="38" t="n">
        <v>1030</v>
      </c>
      <c r="G88" s="18" t="inlineStr">
        <is>
          <t>u/v</t>
        </is>
      </c>
      <c r="H88" s="44" t="n">
        <v>4197.3</v>
      </c>
      <c r="I88" s="44" t="n">
        <v>3284.4</v>
      </c>
      <c r="J88" s="44" t="n">
        <v>5227.3</v>
      </c>
      <c r="K88" s="44" t="n">
        <v>3284.4</v>
      </c>
      <c r="L88" s="18" t="inlineStr">
        <is>
          <t>8</t>
        </is>
      </c>
      <c r="M88" s="18" t="inlineStr"/>
      <c r="N88" s="18" t="inlineStr">
        <is>
          <t>DAD594</t>
        </is>
      </c>
    </row>
    <row r="89">
      <c r="A89" s="18" t="inlineStr">
        <is>
          <t>DWG0082</t>
        </is>
      </c>
      <c r="B89" s="18" t="inlineStr">
        <is>
          <t>P28</t>
        </is>
      </c>
      <c r="C89" s="18" t="inlineStr">
        <is>
          <t>28</t>
        </is>
      </c>
      <c r="D89" s="18" t="inlineStr">
        <is>
          <t>horizontal</t>
        </is>
      </c>
      <c r="E89" s="38" t="n">
        <v>1000</v>
      </c>
      <c r="F89" s="38" t="n">
        <v>1000</v>
      </c>
      <c r="G89" s="18" t="inlineStr">
        <is>
          <t>u/v</t>
        </is>
      </c>
      <c r="H89" s="44" t="n">
        <v>5227.3</v>
      </c>
      <c r="I89" s="44" t="n">
        <v>3284.4</v>
      </c>
      <c r="J89" s="44" t="n">
        <v>6227.3</v>
      </c>
      <c r="K89" s="44" t="n">
        <v>3284.4</v>
      </c>
      <c r="L89" s="18" t="inlineStr">
        <is>
          <t>8</t>
        </is>
      </c>
      <c r="M89" s="18" t="inlineStr">
        <is>
          <t>S084 S085 S086</t>
        </is>
      </c>
      <c r="N89" s="18" t="inlineStr">
        <is>
          <t>DAD597</t>
        </is>
      </c>
    </row>
    <row r="90">
      <c r="A90" s="18" t="inlineStr">
        <is>
          <t>DWG0083</t>
        </is>
      </c>
      <c r="B90" s="18" t="inlineStr">
        <is>
          <t>P28</t>
        </is>
      </c>
      <c r="C90" s="18" t="inlineStr">
        <is>
          <t>28</t>
        </is>
      </c>
      <c r="D90" s="18" t="inlineStr">
        <is>
          <t>horizontal</t>
        </is>
      </c>
      <c r="E90" s="38" t="n">
        <v>570</v>
      </c>
      <c r="F90" s="38" t="n">
        <v>570</v>
      </c>
      <c r="G90" s="18" t="inlineStr">
        <is>
          <t>u/v</t>
        </is>
      </c>
      <c r="H90" s="44" t="n">
        <v>6227.3</v>
      </c>
      <c r="I90" s="44" t="n">
        <v>3284.4</v>
      </c>
      <c r="J90" s="44" t="n">
        <v>6797.3</v>
      </c>
      <c r="K90" s="44" t="n">
        <v>3339.4</v>
      </c>
      <c r="L90" s="18" t="inlineStr">
        <is>
          <t>8</t>
        </is>
      </c>
      <c r="M90" s="18" t="inlineStr"/>
      <c r="N90" s="18" t="inlineStr">
        <is>
          <t>DAD59A</t>
        </is>
      </c>
    </row>
    <row r="91">
      <c r="A91" s="18" t="inlineStr">
        <is>
          <t>DWG0084</t>
        </is>
      </c>
      <c r="B91" s="18" t="inlineStr">
        <is>
          <t>P28</t>
        </is>
      </c>
      <c r="C91" s="18" t="inlineStr">
        <is>
          <t>28</t>
        </is>
      </c>
      <c r="D91" s="18" t="inlineStr">
        <is>
          <t>horizontal</t>
        </is>
      </c>
      <c r="E91" s="38" t="n">
        <v>330</v>
      </c>
      <c r="F91" s="38" t="n">
        <v>330</v>
      </c>
      <c r="G91" s="18" t="inlineStr">
        <is>
          <t>u/v</t>
        </is>
      </c>
      <c r="H91" s="44" t="n">
        <v>6797.3</v>
      </c>
      <c r="I91" s="44" t="n">
        <v>3339.4</v>
      </c>
      <c r="J91" s="44" t="n">
        <v>7127.3</v>
      </c>
      <c r="K91" s="44" t="n">
        <v>3394.4</v>
      </c>
      <c r="L91" s="18" t="inlineStr">
        <is>
          <t>8</t>
        </is>
      </c>
      <c r="M91" s="18" t="inlineStr"/>
      <c r="N91" s="18" t="inlineStr">
        <is>
          <t>DAD59D</t>
        </is>
      </c>
    </row>
    <row r="92">
      <c r="A92" s="18" t="inlineStr">
        <is>
          <t>DWG0085</t>
        </is>
      </c>
      <c r="B92" s="18" t="inlineStr">
        <is>
          <t>P28</t>
        </is>
      </c>
      <c r="C92" s="18" t="inlineStr">
        <is>
          <t>28</t>
        </is>
      </c>
      <c r="D92" s="18" t="inlineStr">
        <is>
          <t>horizontal</t>
        </is>
      </c>
      <c r="E92" s="38" t="n">
        <v>330</v>
      </c>
      <c r="F92" s="38" t="n">
        <v>330</v>
      </c>
      <c r="G92" s="18" t="inlineStr">
        <is>
          <t>u/v</t>
        </is>
      </c>
      <c r="H92" s="44" t="n">
        <v>2297.3</v>
      </c>
      <c r="I92" s="44" t="n">
        <v>3394.4</v>
      </c>
      <c r="J92" s="44" t="n">
        <v>2627.3</v>
      </c>
      <c r="K92" s="44" t="n">
        <v>3394.4</v>
      </c>
      <c r="L92" s="18" t="inlineStr">
        <is>
          <t>8</t>
        </is>
      </c>
      <c r="M92" s="18" t="inlineStr"/>
      <c r="N92" s="18" t="inlineStr">
        <is>
          <t>DAD58B</t>
        </is>
      </c>
    </row>
    <row r="93">
      <c r="A93" s="18" t="inlineStr">
        <is>
          <t>DWG0086</t>
        </is>
      </c>
      <c r="B93" s="18" t="inlineStr">
        <is>
          <t>P28</t>
        </is>
      </c>
      <c r="C93" s="18" t="inlineStr">
        <is>
          <t>28</t>
        </is>
      </c>
      <c r="D93" s="18" t="inlineStr">
        <is>
          <t>horizontal</t>
        </is>
      </c>
      <c r="E93" s="38" t="n">
        <v>570</v>
      </c>
      <c r="F93" s="38" t="n">
        <v>570</v>
      </c>
      <c r="G93" s="18" t="inlineStr">
        <is>
          <t>u/v</t>
        </is>
      </c>
      <c r="H93" s="44" t="n">
        <v>2627.3</v>
      </c>
      <c r="I93" s="44" t="n">
        <v>3394.4</v>
      </c>
      <c r="J93" s="44" t="n">
        <v>3197.3</v>
      </c>
      <c r="K93" s="44" t="n">
        <v>3284.4</v>
      </c>
      <c r="L93" s="18" t="inlineStr">
        <is>
          <t>8</t>
        </is>
      </c>
      <c r="M93" s="18" t="inlineStr"/>
      <c r="N93" s="18" t="inlineStr">
        <is>
          <t>DAD58E</t>
        </is>
      </c>
    </row>
    <row r="94">
      <c r="A94" s="18" t="inlineStr">
        <is>
          <t>DWG0087</t>
        </is>
      </c>
      <c r="B94" s="18" t="inlineStr">
        <is>
          <t>P28</t>
        </is>
      </c>
      <c r="C94" s="18" t="inlineStr">
        <is>
          <t>28</t>
        </is>
      </c>
      <c r="D94" s="18" t="inlineStr">
        <is>
          <t>horizontal</t>
        </is>
      </c>
      <c r="E94" s="38" t="n">
        <v>330</v>
      </c>
      <c r="F94" s="38" t="n">
        <v>330</v>
      </c>
      <c r="G94" s="18" t="inlineStr">
        <is>
          <t>u/v</t>
        </is>
      </c>
      <c r="H94" s="44" t="n">
        <v>2297.3</v>
      </c>
      <c r="I94" s="44" t="n">
        <v>5953.4</v>
      </c>
      <c r="J94" s="44" t="n">
        <v>2627.3</v>
      </c>
      <c r="K94" s="44" t="n">
        <v>5953.4</v>
      </c>
      <c r="L94" s="18" t="inlineStr">
        <is>
          <t>8</t>
        </is>
      </c>
      <c r="M94" s="18" t="inlineStr"/>
      <c r="N94" s="18" t="inlineStr">
        <is>
          <t>DAD579</t>
        </is>
      </c>
    </row>
    <row r="95">
      <c r="A95" s="18" t="inlineStr">
        <is>
          <t>DWG0088</t>
        </is>
      </c>
      <c r="B95" s="18" t="inlineStr">
        <is>
          <t>P28</t>
        </is>
      </c>
      <c r="C95" s="18" t="inlineStr">
        <is>
          <t>28</t>
        </is>
      </c>
      <c r="D95" s="18" t="inlineStr">
        <is>
          <t>horizontal</t>
        </is>
      </c>
      <c r="E95" s="38" t="n">
        <v>960</v>
      </c>
      <c r="F95" s="38" t="n">
        <v>960</v>
      </c>
      <c r="G95" s="18" t="inlineStr">
        <is>
          <t>u/v</t>
        </is>
      </c>
      <c r="H95" s="44" t="n">
        <v>2627.3</v>
      </c>
      <c r="I95" s="44" t="n">
        <v>5953.4</v>
      </c>
      <c r="J95" s="44" t="n">
        <v>3587.3</v>
      </c>
      <c r="K95" s="44" t="n">
        <v>6063.4</v>
      </c>
      <c r="L95" s="18" t="inlineStr">
        <is>
          <t>8</t>
        </is>
      </c>
      <c r="M95" s="18" t="inlineStr"/>
      <c r="N95" s="18" t="inlineStr">
        <is>
          <t>DAD57C</t>
        </is>
      </c>
    </row>
    <row r="96">
      <c r="A96" s="18" t="inlineStr">
        <is>
          <t>DWG0089</t>
        </is>
      </c>
      <c r="B96" s="18" t="inlineStr">
        <is>
          <t>P28</t>
        </is>
      </c>
      <c r="C96" s="18" t="inlineStr">
        <is>
          <t>28</t>
        </is>
      </c>
      <c r="D96" s="18" t="inlineStr">
        <is>
          <t>horizontal</t>
        </is>
      </c>
      <c r="E96" s="38" t="n">
        <v>330</v>
      </c>
      <c r="F96" s="38" t="n">
        <v>330</v>
      </c>
      <c r="G96" s="18" t="inlineStr">
        <is>
          <t>u/v</t>
        </is>
      </c>
      <c r="H96" s="44" t="n">
        <v>6797.3</v>
      </c>
      <c r="I96" s="44" t="n">
        <v>5953.4</v>
      </c>
      <c r="J96" s="44" t="n">
        <v>7127.3</v>
      </c>
      <c r="K96" s="44" t="n">
        <v>5953.4</v>
      </c>
      <c r="L96" s="18" t="inlineStr">
        <is>
          <t>8</t>
        </is>
      </c>
      <c r="M96" s="18" t="inlineStr"/>
      <c r="N96" s="18" t="inlineStr">
        <is>
          <t>DAD585</t>
        </is>
      </c>
    </row>
    <row r="97">
      <c r="A97" s="18" t="inlineStr">
        <is>
          <t>DWG0090</t>
        </is>
      </c>
      <c r="B97" s="18" t="inlineStr">
        <is>
          <t>P28</t>
        </is>
      </c>
      <c r="C97" s="18" t="inlineStr">
        <is>
          <t>28</t>
        </is>
      </c>
      <c r="D97" s="18" t="inlineStr">
        <is>
          <t>horizontal</t>
        </is>
      </c>
      <c r="E97" s="38" t="n">
        <v>960</v>
      </c>
      <c r="F97" s="38" t="n">
        <v>960</v>
      </c>
      <c r="G97" s="18" t="inlineStr">
        <is>
          <t>u/v</t>
        </is>
      </c>
      <c r="H97" s="44" t="n">
        <v>1337.3</v>
      </c>
      <c r="I97" s="44" t="n">
        <v>6063.4</v>
      </c>
      <c r="J97" s="44" t="n">
        <v>2297.3</v>
      </c>
      <c r="K97" s="44" t="n">
        <v>5953.4</v>
      </c>
      <c r="L97" s="18" t="inlineStr">
        <is>
          <t>8</t>
        </is>
      </c>
      <c r="M97" s="18" t="inlineStr"/>
      <c r="N97" s="18" t="inlineStr">
        <is>
          <t>DAD576</t>
        </is>
      </c>
    </row>
    <row r="98">
      <c r="A98" s="18" t="inlineStr">
        <is>
          <t>DWG0091</t>
        </is>
      </c>
      <c r="B98" s="18" t="inlineStr">
        <is>
          <t>P28</t>
        </is>
      </c>
      <c r="C98" s="18" t="inlineStr">
        <is>
          <t>28</t>
        </is>
      </c>
      <c r="D98" s="18" t="inlineStr">
        <is>
          <t>horizontal</t>
        </is>
      </c>
      <c r="E98" s="38" t="n">
        <v>2250</v>
      </c>
      <c r="F98" s="38" t="n">
        <v>2250</v>
      </c>
      <c r="G98" s="18" t="inlineStr">
        <is>
          <t>u/v</t>
        </is>
      </c>
      <c r="H98" s="44" t="n">
        <v>3587.3</v>
      </c>
      <c r="I98" s="44" t="n">
        <v>6063.4</v>
      </c>
      <c r="J98" s="44" t="n">
        <v>5837.3</v>
      </c>
      <c r="K98" s="44" t="n">
        <v>6063.4</v>
      </c>
      <c r="L98" s="18" t="inlineStr">
        <is>
          <t>8</t>
        </is>
      </c>
      <c r="M98" s="18" t="inlineStr">
        <is>
          <t>S103</t>
        </is>
      </c>
      <c r="N98" s="18" t="inlineStr">
        <is>
          <t>DAD57F</t>
        </is>
      </c>
    </row>
    <row r="99">
      <c r="A99" s="18" t="inlineStr">
        <is>
          <t>DWG0092</t>
        </is>
      </c>
      <c r="B99" s="18" t="inlineStr">
        <is>
          <t>P28</t>
        </is>
      </c>
      <c r="C99" s="18" t="inlineStr">
        <is>
          <t>28</t>
        </is>
      </c>
      <c r="D99" s="18" t="inlineStr">
        <is>
          <t>horizontal</t>
        </is>
      </c>
      <c r="E99" s="38" t="n">
        <v>960</v>
      </c>
      <c r="F99" s="38" t="n">
        <v>960</v>
      </c>
      <c r="G99" s="18" t="inlineStr">
        <is>
          <t>u/v</t>
        </is>
      </c>
      <c r="H99" s="44" t="n">
        <v>5837.3</v>
      </c>
      <c r="I99" s="44" t="n">
        <v>6063.4</v>
      </c>
      <c r="J99" s="44" t="n">
        <v>6797.3</v>
      </c>
      <c r="K99" s="44" t="n">
        <v>5953.4</v>
      </c>
      <c r="L99" s="18" t="inlineStr">
        <is>
          <t>8</t>
        </is>
      </c>
      <c r="M99" s="18" t="inlineStr"/>
      <c r="N99" s="18" t="inlineStr">
        <is>
          <t>DAD582</t>
        </is>
      </c>
    </row>
    <row r="100">
      <c r="A100" s="18" t="inlineStr">
        <is>
          <t>DWG0093</t>
        </is>
      </c>
      <c r="B100" s="18" t="inlineStr">
        <is>
          <t>P28</t>
        </is>
      </c>
      <c r="C100" s="18" t="inlineStr">
        <is>
          <t>28</t>
        </is>
      </c>
      <c r="D100" s="18" t="inlineStr">
        <is>
          <t>vertical</t>
        </is>
      </c>
      <c r="E100" s="38" t="n">
        <v>117</v>
      </c>
      <c r="F100" s="38" t="n">
        <v>117</v>
      </c>
      <c r="G100" s="18" t="inlineStr">
        <is>
          <t>u/v</t>
        </is>
      </c>
      <c r="H100" s="44" t="n">
        <v>1337.3</v>
      </c>
      <c r="I100" s="44" t="n">
        <v>2954.4</v>
      </c>
      <c r="J100" s="44" t="n">
        <v>1560.8</v>
      </c>
      <c r="K100" s="44" t="n">
        <v>2837.4</v>
      </c>
      <c r="L100" s="18" t="inlineStr">
        <is>
          <t>8</t>
        </is>
      </c>
      <c r="M100" s="18" t="inlineStr"/>
      <c r="N100" s="18" t="inlineStr">
        <is>
          <t>DAD5CB</t>
        </is>
      </c>
    </row>
    <row r="101">
      <c r="A101" s="18" t="inlineStr">
        <is>
          <t>DWG0094</t>
        </is>
      </c>
      <c r="B101" s="18" t="inlineStr">
        <is>
          <t>P28</t>
        </is>
      </c>
      <c r="C101" s="18" t="inlineStr">
        <is>
          <t>28</t>
        </is>
      </c>
      <c r="D101" s="18" t="inlineStr">
        <is>
          <t>vertical</t>
        </is>
      </c>
      <c r="E101" s="38" t="n">
        <v>330</v>
      </c>
      <c r="F101" s="38" t="n">
        <v>330</v>
      </c>
      <c r="G101" s="18" t="inlineStr">
        <is>
          <t>u/v</t>
        </is>
      </c>
      <c r="H101" s="44" t="n">
        <v>1337.3</v>
      </c>
      <c r="I101" s="44" t="n">
        <v>3284.4</v>
      </c>
      <c r="J101" s="44" t="n">
        <v>1337.3</v>
      </c>
      <c r="K101" s="44" t="n">
        <v>2954.4</v>
      </c>
      <c r="L101" s="18" t="inlineStr">
        <is>
          <t>8</t>
        </is>
      </c>
      <c r="M101" s="18" t="inlineStr"/>
      <c r="N101" s="18" t="inlineStr">
        <is>
          <t>DAD5C8</t>
        </is>
      </c>
    </row>
    <row r="102">
      <c r="A102" s="18" t="inlineStr">
        <is>
          <t>DWG0095</t>
        </is>
      </c>
      <c r="B102" s="18" t="inlineStr">
        <is>
          <t>P28</t>
        </is>
      </c>
      <c r="C102" s="18" t="inlineStr">
        <is>
          <t>28</t>
        </is>
      </c>
      <c r="D102" s="18" t="inlineStr">
        <is>
          <t>vertical</t>
        </is>
      </c>
      <c r="E102" s="44" t="n">
        <v>117.5</v>
      </c>
      <c r="F102" s="38" t="n">
        <v>118</v>
      </c>
      <c r="G102" s="18" t="inlineStr">
        <is>
          <t>u/v</t>
        </is>
      </c>
      <c r="H102" s="44" t="n">
        <v>1560.8</v>
      </c>
      <c r="I102" s="44" t="n">
        <v>2837.4</v>
      </c>
      <c r="J102" s="44" t="n">
        <v>1720.7</v>
      </c>
      <c r="K102" s="44" t="n">
        <v>2719.9</v>
      </c>
      <c r="L102" s="18" t="inlineStr">
        <is>
          <t>8</t>
        </is>
      </c>
      <c r="M102" s="18" t="inlineStr"/>
      <c r="N102" s="18" t="inlineStr">
        <is>
          <t>DAD5CE</t>
        </is>
      </c>
    </row>
    <row r="103">
      <c r="A103" s="18" t="inlineStr">
        <is>
          <t>DWG0096</t>
        </is>
      </c>
      <c r="B103" s="18" t="inlineStr">
        <is>
          <t>P28</t>
        </is>
      </c>
      <c r="C103" s="18" t="inlineStr">
        <is>
          <t>28</t>
        </is>
      </c>
      <c r="D103" s="18" t="inlineStr">
        <is>
          <t>vertical</t>
        </is>
      </c>
      <c r="E103" s="44" t="n">
        <v>95.5</v>
      </c>
      <c r="F103" s="38" t="n">
        <v>96</v>
      </c>
      <c r="G103" s="18" t="inlineStr">
        <is>
          <t>u/v</t>
        </is>
      </c>
      <c r="H103" s="44" t="n">
        <v>1720.7</v>
      </c>
      <c r="I103" s="44" t="n">
        <v>2719.9</v>
      </c>
      <c r="J103" s="44" t="n">
        <v>2127.3</v>
      </c>
      <c r="K103" s="44" t="n">
        <v>2624.4</v>
      </c>
      <c r="L103" s="18" t="inlineStr">
        <is>
          <t>8</t>
        </is>
      </c>
      <c r="M103" s="18" t="inlineStr"/>
      <c r="N103" s="18" t="inlineStr">
        <is>
          <t>DAD5D1</t>
        </is>
      </c>
    </row>
    <row r="104">
      <c r="A104" s="18" t="inlineStr">
        <is>
          <t>DWG0097</t>
        </is>
      </c>
      <c r="B104" s="18" t="inlineStr">
        <is>
          <t>P28</t>
        </is>
      </c>
      <c r="C104" s="18" t="inlineStr">
        <is>
          <t>28</t>
        </is>
      </c>
      <c r="D104" s="18" t="inlineStr">
        <is>
          <t>vertical</t>
        </is>
      </c>
      <c r="E104" s="38" t="n">
        <v>220</v>
      </c>
      <c r="F104" s="38" t="n">
        <v>220</v>
      </c>
      <c r="G104" s="18" t="inlineStr">
        <is>
          <t>u/v</t>
        </is>
      </c>
      <c r="H104" s="44" t="n">
        <v>1989.5</v>
      </c>
      <c r="I104" s="44" t="n">
        <v>2844.4</v>
      </c>
      <c r="J104" s="44" t="n">
        <v>1989.5</v>
      </c>
      <c r="K104" s="44" t="n">
        <v>2624.4</v>
      </c>
      <c r="L104" s="18" t="inlineStr">
        <is>
          <t>8</t>
        </is>
      </c>
      <c r="M104" s="18" t="inlineStr">
        <is>
          <t>S107 S113</t>
        </is>
      </c>
      <c r="N104" s="18" t="inlineStr">
        <is>
          <t>DAD5DA</t>
        </is>
      </c>
    </row>
    <row r="105">
      <c r="A105" s="18" t="inlineStr">
        <is>
          <t>DWG0098</t>
        </is>
      </c>
      <c r="B105" s="18" t="inlineStr">
        <is>
          <t>P28</t>
        </is>
      </c>
      <c r="C105" s="18" t="inlineStr">
        <is>
          <t>28</t>
        </is>
      </c>
      <c r="D105" s="18" t="inlineStr">
        <is>
          <t>vertical</t>
        </is>
      </c>
      <c r="E105" s="38" t="n">
        <v>440</v>
      </c>
      <c r="F105" s="38" t="n">
        <v>440</v>
      </c>
      <c r="G105" s="18" t="inlineStr">
        <is>
          <t>u/v</t>
        </is>
      </c>
      <c r="H105" s="44" t="n">
        <v>1989.5</v>
      </c>
      <c r="I105" s="44" t="n">
        <v>3284.4</v>
      </c>
      <c r="J105" s="44" t="n">
        <v>1989.5</v>
      </c>
      <c r="K105" s="44" t="n">
        <v>2844.4</v>
      </c>
      <c r="L105" s="18" t="inlineStr">
        <is>
          <t>8</t>
        </is>
      </c>
      <c r="M105" s="18" t="inlineStr"/>
      <c r="N105" s="18" t="inlineStr">
        <is>
          <t>DAD5D7</t>
        </is>
      </c>
    </row>
    <row r="106">
      <c r="A106" s="18" t="inlineStr">
        <is>
          <t>DWG0099</t>
        </is>
      </c>
      <c r="B106" s="18" t="inlineStr">
        <is>
          <t>P28</t>
        </is>
      </c>
      <c r="C106" s="18" t="inlineStr">
        <is>
          <t>28</t>
        </is>
      </c>
      <c r="D106" s="18" t="inlineStr">
        <is>
          <t>vertical</t>
        </is>
      </c>
      <c r="E106" s="38" t="n">
        <v>110</v>
      </c>
      <c r="F106" s="38" t="n">
        <v>110</v>
      </c>
      <c r="G106" s="18" t="inlineStr">
        <is>
          <t>u/v</t>
        </is>
      </c>
      <c r="H106" s="44" t="n">
        <v>2127.3</v>
      </c>
      <c r="I106" s="44" t="n">
        <v>2624.4</v>
      </c>
      <c r="J106" s="44" t="n">
        <v>2237.3</v>
      </c>
      <c r="K106" s="44" t="n">
        <v>2514.4</v>
      </c>
      <c r="L106" s="18" t="inlineStr">
        <is>
          <t>8</t>
        </is>
      </c>
      <c r="M106" s="18" t="inlineStr"/>
      <c r="N106" s="18" t="inlineStr">
        <is>
          <t>DAD5D4</t>
        </is>
      </c>
    </row>
    <row r="107">
      <c r="A107" s="18" t="inlineStr">
        <is>
          <t>DWG0100</t>
        </is>
      </c>
      <c r="B107" s="18" t="inlineStr">
        <is>
          <t>P28</t>
        </is>
      </c>
      <c r="C107" s="18" t="inlineStr">
        <is>
          <t>28</t>
        </is>
      </c>
      <c r="D107" s="18" t="inlineStr">
        <is>
          <t>vertical</t>
        </is>
      </c>
      <c r="E107" s="38" t="n">
        <v>110</v>
      </c>
      <c r="F107" s="38" t="n">
        <v>110</v>
      </c>
      <c r="G107" s="18" t="inlineStr">
        <is>
          <t>u/v</t>
        </is>
      </c>
      <c r="H107" s="38" t="n">
        <v>2648</v>
      </c>
      <c r="I107" s="44" t="n">
        <v>3284.4</v>
      </c>
      <c r="J107" s="44" t="n">
        <v>2627.3</v>
      </c>
      <c r="K107" s="44" t="n">
        <v>3394.4</v>
      </c>
      <c r="L107" s="18" t="inlineStr">
        <is>
          <t>8</t>
        </is>
      </c>
      <c r="M107" s="18" t="inlineStr"/>
      <c r="N107" s="18" t="inlineStr">
        <is>
          <t>DAD5A4</t>
        </is>
      </c>
    </row>
    <row r="108">
      <c r="A108" s="18" t="inlineStr">
        <is>
          <t>DWG0101</t>
        </is>
      </c>
      <c r="B108" s="18" t="inlineStr">
        <is>
          <t>P28</t>
        </is>
      </c>
      <c r="C108" s="18" t="inlineStr">
        <is>
          <t>28</t>
        </is>
      </c>
      <c r="D108" s="18" t="inlineStr">
        <is>
          <t>vertical</t>
        </is>
      </c>
      <c r="E108" s="38" t="n">
        <v>440</v>
      </c>
      <c r="F108" s="38" t="n">
        <v>440</v>
      </c>
      <c r="G108" s="18" t="inlineStr">
        <is>
          <t>u/v</t>
        </is>
      </c>
      <c r="H108" s="44" t="n">
        <v>2837.3</v>
      </c>
      <c r="I108" s="44" t="n">
        <v>2844.4</v>
      </c>
      <c r="J108" s="44" t="n">
        <v>2837.3</v>
      </c>
      <c r="K108" s="44" t="n">
        <v>3284.4</v>
      </c>
      <c r="L108" s="18" t="inlineStr">
        <is>
          <t>8</t>
        </is>
      </c>
      <c r="M108" s="18" t="inlineStr"/>
      <c r="N108" s="18" t="inlineStr">
        <is>
          <t>DAD5E2</t>
        </is>
      </c>
    </row>
    <row r="109">
      <c r="A109" s="18" t="inlineStr">
        <is>
          <t>DWG0102</t>
        </is>
      </c>
      <c r="B109" s="18" t="inlineStr">
        <is>
          <t>P28</t>
        </is>
      </c>
      <c r="C109" s="18" t="inlineStr">
        <is>
          <t>28</t>
        </is>
      </c>
      <c r="D109" s="18" t="inlineStr">
        <is>
          <t>vertical</t>
        </is>
      </c>
      <c r="E109" s="38" t="n">
        <v>110</v>
      </c>
      <c r="F109" s="38" t="n">
        <v>110</v>
      </c>
      <c r="G109" s="18" t="inlineStr">
        <is>
          <t>u/v</t>
        </is>
      </c>
      <c r="H109" s="44" t="n">
        <v>2999.8</v>
      </c>
      <c r="I109" s="44" t="n">
        <v>6063.4</v>
      </c>
      <c r="J109" s="44" t="n">
        <v>2627.3</v>
      </c>
      <c r="K109" s="44" t="n">
        <v>5953.4</v>
      </c>
      <c r="L109" s="18" t="inlineStr">
        <is>
          <t>8</t>
        </is>
      </c>
      <c r="M109" s="18" t="inlineStr"/>
      <c r="N109" s="18" t="inlineStr">
        <is>
          <t>DAD5A3</t>
        </is>
      </c>
    </row>
    <row r="110">
      <c r="A110" s="18" t="inlineStr">
        <is>
          <t>DWG0103</t>
        </is>
      </c>
      <c r="B110" s="18" t="inlineStr">
        <is>
          <t>P28</t>
        </is>
      </c>
      <c r="C110" s="18" t="inlineStr">
        <is>
          <t>28</t>
        </is>
      </c>
      <c r="D110" s="18" t="inlineStr">
        <is>
          <t>vertical</t>
        </is>
      </c>
      <c r="E110" s="38" t="n">
        <v>220</v>
      </c>
      <c r="F110" s="38" t="n">
        <v>220</v>
      </c>
      <c r="G110" s="18" t="inlineStr">
        <is>
          <t>u/v</t>
        </is>
      </c>
      <c r="H110" s="44" t="n">
        <v>2999.8</v>
      </c>
      <c r="I110" s="44" t="n">
        <v>6283.4</v>
      </c>
      <c r="J110" s="44" t="n">
        <v>2999.8</v>
      </c>
      <c r="K110" s="44" t="n">
        <v>6063.4</v>
      </c>
      <c r="L110" s="18" t="inlineStr">
        <is>
          <t>8</t>
        </is>
      </c>
      <c r="M110" s="18" t="inlineStr">
        <is>
          <t>S107 S113</t>
        </is>
      </c>
      <c r="N110" s="18" t="inlineStr">
        <is>
          <t>DAD5A0</t>
        </is>
      </c>
    </row>
    <row r="111">
      <c r="A111" s="18" t="inlineStr">
        <is>
          <t>DWG0104</t>
        </is>
      </c>
      <c r="B111" s="18" t="inlineStr">
        <is>
          <t>P28</t>
        </is>
      </c>
      <c r="C111" s="18" t="inlineStr">
        <is>
          <t>28</t>
        </is>
      </c>
      <c r="D111" s="18" t="inlineStr">
        <is>
          <t>vertical</t>
        </is>
      </c>
      <c r="E111" s="38" t="n">
        <v>95</v>
      </c>
      <c r="F111" s="38" t="n">
        <v>95</v>
      </c>
      <c r="G111" s="18" t="inlineStr">
        <is>
          <t>u/v</t>
        </is>
      </c>
      <c r="H111" s="44" t="n">
        <v>3047.3</v>
      </c>
      <c r="I111" s="44" t="n">
        <v>2874.4</v>
      </c>
      <c r="J111" s="44" t="n">
        <v>3007.3</v>
      </c>
      <c r="K111" s="44" t="n">
        <v>2779.4</v>
      </c>
      <c r="L111" s="18" t="inlineStr">
        <is>
          <t>8</t>
        </is>
      </c>
      <c r="M111" s="18" t="inlineStr"/>
      <c r="N111" s="18" t="inlineStr">
        <is>
          <t>DAD5DF</t>
        </is>
      </c>
    </row>
    <row r="112">
      <c r="A112" s="18" t="inlineStr">
        <is>
          <t>DWG0105</t>
        </is>
      </c>
      <c r="B112" s="18" t="inlineStr">
        <is>
          <t>P28</t>
        </is>
      </c>
      <c r="C112" s="18" t="inlineStr">
        <is>
          <t>28</t>
        </is>
      </c>
      <c r="D112" s="18" t="inlineStr">
        <is>
          <t>vertical</t>
        </is>
      </c>
      <c r="E112" s="38" t="n">
        <v>80</v>
      </c>
      <c r="F112" s="38" t="n">
        <v>80</v>
      </c>
      <c r="G112" s="18" t="inlineStr">
        <is>
          <t>u/v</t>
        </is>
      </c>
      <c r="H112" s="44" t="n">
        <v>3197.3</v>
      </c>
      <c r="I112" s="44" t="n">
        <v>2954.4</v>
      </c>
      <c r="J112" s="44" t="n">
        <v>3047.3</v>
      </c>
      <c r="K112" s="44" t="n">
        <v>2874.4</v>
      </c>
      <c r="L112" s="18" t="inlineStr">
        <is>
          <t>8</t>
        </is>
      </c>
      <c r="M112" s="18" t="inlineStr"/>
      <c r="N112" s="18" t="inlineStr">
        <is>
          <t>DAD5DC</t>
        </is>
      </c>
    </row>
    <row r="113">
      <c r="A113" s="18" t="inlineStr">
        <is>
          <t>DWG0106</t>
        </is>
      </c>
      <c r="B113" s="18" t="inlineStr">
        <is>
          <t>P28</t>
        </is>
      </c>
      <c r="C113" s="18" t="inlineStr">
        <is>
          <t>28</t>
        </is>
      </c>
      <c r="D113" s="18" t="inlineStr">
        <is>
          <t>vertical</t>
        </is>
      </c>
      <c r="E113" s="38" t="n">
        <v>330</v>
      </c>
      <c r="F113" s="38" t="n">
        <v>330</v>
      </c>
      <c r="G113" s="18" t="inlineStr">
        <is>
          <t>u/v</t>
        </is>
      </c>
      <c r="H113" s="44" t="n">
        <v>3197.3</v>
      </c>
      <c r="I113" s="44" t="n">
        <v>3284.4</v>
      </c>
      <c r="J113" s="44" t="n">
        <v>3197.3</v>
      </c>
      <c r="K113" s="44" t="n">
        <v>2954.4</v>
      </c>
      <c r="L113" s="18" t="inlineStr">
        <is>
          <t>8</t>
        </is>
      </c>
      <c r="M113" s="18" t="inlineStr"/>
      <c r="N113" s="18" t="inlineStr">
        <is>
          <t>DAD5DB</t>
        </is>
      </c>
    </row>
    <row r="114">
      <c r="A114" s="18" t="inlineStr">
        <is>
          <t>DWG0107</t>
        </is>
      </c>
      <c r="B114" s="18" t="inlineStr">
        <is>
          <t>P28</t>
        </is>
      </c>
      <c r="C114" s="18" t="inlineStr">
        <is>
          <t>28</t>
        </is>
      </c>
      <c r="D114" s="18" t="inlineStr">
        <is>
          <t>vertical</t>
        </is>
      </c>
      <c r="E114" s="38" t="n">
        <v>505</v>
      </c>
      <c r="F114" s="38" t="n">
        <v>505</v>
      </c>
      <c r="G114" s="18" t="inlineStr">
        <is>
          <t>u/v</t>
        </is>
      </c>
      <c r="H114" s="44" t="n">
        <v>4452.3</v>
      </c>
      <c r="I114" s="44" t="n">
        <v>2779.4</v>
      </c>
      <c r="J114" s="44" t="n">
        <v>4452.3</v>
      </c>
      <c r="K114" s="44" t="n">
        <v>3284.4</v>
      </c>
      <c r="L114" s="18" t="inlineStr">
        <is>
          <t>8</t>
        </is>
      </c>
      <c r="M114" s="18" t="inlineStr"/>
      <c r="N114" s="18" t="inlineStr">
        <is>
          <t>DAD5E5</t>
        </is>
      </c>
    </row>
    <row r="115">
      <c r="A115" s="18" t="inlineStr">
        <is>
          <t>DWG0108</t>
        </is>
      </c>
      <c r="B115" s="18" t="inlineStr">
        <is>
          <t>P28</t>
        </is>
      </c>
      <c r="C115" s="18" t="inlineStr">
        <is>
          <t>28</t>
        </is>
      </c>
      <c r="D115" s="18" t="inlineStr">
        <is>
          <t>vertical</t>
        </is>
      </c>
      <c r="E115" s="38" t="n">
        <v>440</v>
      </c>
      <c r="F115" s="38" t="n">
        <v>440</v>
      </c>
      <c r="G115" s="18" t="inlineStr">
        <is>
          <t>u/v</t>
        </is>
      </c>
      <c r="H115" s="44" t="n">
        <v>4712.3</v>
      </c>
      <c r="I115" s="44" t="n">
        <v>2844.4</v>
      </c>
      <c r="J115" s="44" t="n">
        <v>4712.3</v>
      </c>
      <c r="K115" s="44" t="n">
        <v>3284.4</v>
      </c>
      <c r="L115" s="18" t="inlineStr">
        <is>
          <t>8</t>
        </is>
      </c>
      <c r="M115" s="18" t="inlineStr"/>
      <c r="N115" s="18" t="inlineStr">
        <is>
          <t>DAD5E8</t>
        </is>
      </c>
    </row>
    <row r="116">
      <c r="A116" s="18" t="inlineStr">
        <is>
          <t>DWG0109</t>
        </is>
      </c>
      <c r="B116" s="18" t="inlineStr">
        <is>
          <t>P28</t>
        </is>
      </c>
      <c r="C116" s="18" t="inlineStr">
        <is>
          <t>28</t>
        </is>
      </c>
      <c r="D116" s="18" t="inlineStr">
        <is>
          <t>vertical</t>
        </is>
      </c>
      <c r="E116" s="38" t="n">
        <v>770</v>
      </c>
      <c r="F116" s="38" t="n">
        <v>770</v>
      </c>
      <c r="G116" s="18" t="inlineStr">
        <is>
          <t>u/v</t>
        </is>
      </c>
      <c r="H116" s="44" t="n">
        <v>6803.2</v>
      </c>
      <c r="I116" s="44" t="n">
        <v>2514.4</v>
      </c>
      <c r="J116" s="44" t="n">
        <v>6737.8</v>
      </c>
      <c r="K116" s="44" t="n">
        <v>3284.4</v>
      </c>
      <c r="L116" s="18" t="inlineStr">
        <is>
          <t>8</t>
        </is>
      </c>
      <c r="M116" s="18" t="inlineStr"/>
      <c r="N116" s="18" t="inlineStr">
        <is>
          <t>DAD5FE</t>
        </is>
      </c>
    </row>
    <row r="117">
      <c r="A117" s="18" t="inlineStr">
        <is>
          <t>DWG0110</t>
        </is>
      </c>
      <c r="B117" s="18" t="inlineStr">
        <is>
          <t>P28</t>
        </is>
      </c>
      <c r="C117" s="18" t="inlineStr">
        <is>
          <t>28</t>
        </is>
      </c>
      <c r="D117" s="18" t="inlineStr">
        <is>
          <t>vertical</t>
        </is>
      </c>
      <c r="E117" s="38" t="n">
        <v>110</v>
      </c>
      <c r="F117" s="38" t="n">
        <v>110</v>
      </c>
      <c r="G117" s="18" t="inlineStr">
        <is>
          <t>u/v</t>
        </is>
      </c>
      <c r="H117" s="44" t="n">
        <v>7127.3</v>
      </c>
      <c r="I117" s="44" t="n">
        <v>3284.4</v>
      </c>
      <c r="J117" s="44" t="n">
        <v>7127.3</v>
      </c>
      <c r="K117" s="44" t="n">
        <v>3394.4</v>
      </c>
      <c r="L117" s="18" t="inlineStr">
        <is>
          <t>8</t>
        </is>
      </c>
      <c r="M117" s="18" t="inlineStr"/>
      <c r="N117" s="18" t="inlineStr">
        <is>
          <t>DAD601</t>
        </is>
      </c>
    </row>
    <row r="118">
      <c r="A118" s="18" t="inlineStr">
        <is>
          <t>DWG0111</t>
        </is>
      </c>
      <c r="B118" s="18" t="inlineStr">
        <is>
          <t>P28</t>
        </is>
      </c>
      <c r="C118" s="18" t="inlineStr">
        <is>
          <t>28</t>
        </is>
      </c>
      <c r="D118" s="18" t="inlineStr">
        <is>
          <t>vertical</t>
        </is>
      </c>
      <c r="E118" s="38" t="n">
        <v>110</v>
      </c>
      <c r="F118" s="38" t="n">
        <v>110</v>
      </c>
      <c r="G118" s="18" t="inlineStr">
        <is>
          <t>u/v</t>
        </is>
      </c>
      <c r="H118" s="44" t="n">
        <v>7297.3</v>
      </c>
      <c r="I118" s="44" t="n">
        <v>2624.4</v>
      </c>
      <c r="J118" s="44" t="n">
        <v>7187.3</v>
      </c>
      <c r="K118" s="44" t="n">
        <v>2514.4</v>
      </c>
      <c r="L118" s="18" t="inlineStr">
        <is>
          <t>8</t>
        </is>
      </c>
      <c r="M118" s="18" t="inlineStr"/>
      <c r="N118" s="18" t="inlineStr">
        <is>
          <t>DAD5F5</t>
        </is>
      </c>
    </row>
    <row r="119">
      <c r="A119" s="18" t="inlineStr">
        <is>
          <t>DWG0112</t>
        </is>
      </c>
      <c r="B119" s="18" t="inlineStr">
        <is>
          <t>P28</t>
        </is>
      </c>
      <c r="C119" s="18" t="inlineStr">
        <is>
          <t>28</t>
        </is>
      </c>
      <c r="D119" s="18" t="inlineStr">
        <is>
          <t>vertical</t>
        </is>
      </c>
      <c r="E119" s="38" t="n">
        <v>440</v>
      </c>
      <c r="F119" s="38" t="n">
        <v>440</v>
      </c>
      <c r="G119" s="18" t="inlineStr">
        <is>
          <t>u/v</t>
        </is>
      </c>
      <c r="H119" s="44" t="n">
        <v>7337.3</v>
      </c>
      <c r="I119" s="44" t="n">
        <v>2844.4</v>
      </c>
      <c r="J119" s="44" t="n">
        <v>7337.3</v>
      </c>
      <c r="K119" s="44" t="n">
        <v>3284.4</v>
      </c>
      <c r="L119" s="18" t="inlineStr">
        <is>
          <t>8</t>
        </is>
      </c>
      <c r="M119" s="18" t="inlineStr"/>
      <c r="N119" s="18" t="inlineStr">
        <is>
          <t>DAD5F8</t>
        </is>
      </c>
    </row>
    <row r="120">
      <c r="A120" s="18" t="inlineStr">
        <is>
          <t>DWG0113</t>
        </is>
      </c>
      <c r="B120" s="18" t="inlineStr">
        <is>
          <t>P28</t>
        </is>
      </c>
      <c r="C120" s="18" t="inlineStr">
        <is>
          <t>28</t>
        </is>
      </c>
      <c r="D120" s="18" t="inlineStr">
        <is>
          <t>vertical</t>
        </is>
      </c>
      <c r="E120" s="38" t="n">
        <v>505</v>
      </c>
      <c r="F120" s="38" t="n">
        <v>505</v>
      </c>
      <c r="G120" s="18" t="inlineStr">
        <is>
          <t>u/v</t>
        </is>
      </c>
      <c r="H120" s="44" t="n">
        <v>7442.3</v>
      </c>
      <c r="I120" s="44" t="n">
        <v>2779.4</v>
      </c>
      <c r="J120" s="44" t="n">
        <v>7442.3</v>
      </c>
      <c r="K120" s="44" t="n">
        <v>3284.4</v>
      </c>
      <c r="L120" s="18" t="inlineStr">
        <is>
          <t>8</t>
        </is>
      </c>
      <c r="M120" s="18" t="inlineStr"/>
      <c r="N120" s="18" t="inlineStr">
        <is>
          <t>DAD5FB</t>
        </is>
      </c>
    </row>
    <row r="121">
      <c r="A121" s="18" t="inlineStr">
        <is>
          <t>DWG0114</t>
        </is>
      </c>
      <c r="B121" s="18" t="inlineStr">
        <is>
          <t>P28</t>
        </is>
      </c>
      <c r="C121" s="18" t="inlineStr">
        <is>
          <t>28</t>
        </is>
      </c>
      <c r="D121" s="18" t="inlineStr">
        <is>
          <t>vertical</t>
        </is>
      </c>
      <c r="E121" s="38" t="n">
        <v>155</v>
      </c>
      <c r="F121" s="38" t="n">
        <v>155</v>
      </c>
      <c r="G121" s="18" t="inlineStr">
        <is>
          <t>u/v</t>
        </is>
      </c>
      <c r="H121" s="44" t="n">
        <v>7507.3</v>
      </c>
      <c r="I121" s="44" t="n">
        <v>2779.4</v>
      </c>
      <c r="J121" s="44" t="n">
        <v>7297.3</v>
      </c>
      <c r="K121" s="44" t="n">
        <v>2624.4</v>
      </c>
      <c r="L121" s="18" t="inlineStr">
        <is>
          <t>8</t>
        </is>
      </c>
      <c r="M121" s="18" t="inlineStr"/>
      <c r="N121" s="18" t="inlineStr">
        <is>
          <t>DAD5F2</t>
        </is>
      </c>
    </row>
    <row r="122">
      <c r="A122" s="18" t="inlineStr">
        <is>
          <t>DWG0115</t>
        </is>
      </c>
      <c r="B122" s="18" t="inlineStr">
        <is>
          <t>P28</t>
        </is>
      </c>
      <c r="C122" s="18" t="inlineStr">
        <is>
          <t>28</t>
        </is>
      </c>
      <c r="D122" s="18" t="inlineStr">
        <is>
          <t>vertical</t>
        </is>
      </c>
      <c r="E122" s="44" t="n">
        <v>95.59999999999999</v>
      </c>
      <c r="F122" s="38" t="n">
        <v>96</v>
      </c>
      <c r="G122" s="18" t="inlineStr">
        <is>
          <t>u/v</t>
        </is>
      </c>
      <c r="H122" s="44" t="n">
        <v>7554.4</v>
      </c>
      <c r="I122" s="44" t="n">
        <v>2875.1</v>
      </c>
      <c r="J122" s="44" t="n">
        <v>7507.3</v>
      </c>
      <c r="K122" s="44" t="n">
        <v>2779.4</v>
      </c>
      <c r="L122" s="18" t="inlineStr">
        <is>
          <t>8</t>
        </is>
      </c>
      <c r="M122" s="18" t="inlineStr"/>
      <c r="N122" s="18" t="inlineStr">
        <is>
          <t>DAD5EF</t>
        </is>
      </c>
    </row>
    <row r="123">
      <c r="A123" s="18" t="inlineStr">
        <is>
          <t>DWG0116</t>
        </is>
      </c>
      <c r="B123" s="18" t="inlineStr">
        <is>
          <t>P28</t>
        </is>
      </c>
      <c r="C123" s="18" t="inlineStr">
        <is>
          <t>28</t>
        </is>
      </c>
      <c r="D123" s="18" t="inlineStr">
        <is>
          <t>vertical</t>
        </is>
      </c>
      <c r="E123" s="44" t="n">
        <v>79.40000000000001</v>
      </c>
      <c r="F123" s="38" t="n">
        <v>79</v>
      </c>
      <c r="G123" s="18" t="inlineStr">
        <is>
          <t>u/v</t>
        </is>
      </c>
      <c r="H123" s="44" t="n">
        <v>7882.8</v>
      </c>
      <c r="I123" s="44" t="n">
        <v>2954.4</v>
      </c>
      <c r="J123" s="44" t="n">
        <v>7554.4</v>
      </c>
      <c r="K123" s="44" t="n">
        <v>2875.1</v>
      </c>
      <c r="L123" s="18" t="inlineStr">
        <is>
          <t>8</t>
        </is>
      </c>
      <c r="M123" s="18" t="inlineStr"/>
      <c r="N123" s="18" t="inlineStr">
        <is>
          <t>DAD5EE</t>
        </is>
      </c>
    </row>
    <row r="124">
      <c r="A124" s="18" t="inlineStr">
        <is>
          <t>DWG0117</t>
        </is>
      </c>
      <c r="B124" s="18" t="inlineStr">
        <is>
          <t>P28</t>
        </is>
      </c>
      <c r="C124" s="18" t="inlineStr">
        <is>
          <t>28</t>
        </is>
      </c>
      <c r="D124" s="18" t="inlineStr">
        <is>
          <t>vertical</t>
        </is>
      </c>
      <c r="E124" s="38" t="n">
        <v>330</v>
      </c>
      <c r="F124" s="38" t="n">
        <v>330</v>
      </c>
      <c r="G124" s="18" t="inlineStr">
        <is>
          <t>u/v</t>
        </is>
      </c>
      <c r="H124" s="44" t="n">
        <v>7882.8</v>
      </c>
      <c r="I124" s="44" t="n">
        <v>3284.4</v>
      </c>
      <c r="J124" s="44" t="n">
        <v>7882.8</v>
      </c>
      <c r="K124" s="44" t="n">
        <v>2954.4</v>
      </c>
      <c r="L124" s="18" t="inlineStr">
        <is>
          <t>8</t>
        </is>
      </c>
      <c r="M124" s="18" t="inlineStr"/>
      <c r="N124" s="18" t="inlineStr">
        <is>
          <t>DAD5EB</t>
        </is>
      </c>
    </row>
    <row r="125">
      <c r="A125" s="18" t="inlineStr">
        <is>
          <t>DWG0118</t>
        </is>
      </c>
      <c r="B125" s="18" t="inlineStr">
        <is>
          <t>P28</t>
        </is>
      </c>
      <c r="C125" s="18" t="inlineStr">
        <is>
          <t>28</t>
        </is>
      </c>
      <c r="D125" s="18" t="inlineStr">
        <is>
          <t>vertical</t>
        </is>
      </c>
      <c r="E125" s="38" t="n">
        <v>3054</v>
      </c>
      <c r="F125" s="38" t="n">
        <v>3054</v>
      </c>
      <c r="G125" s="18" t="inlineStr">
        <is>
          <t>u/v</t>
        </is>
      </c>
      <c r="H125" s="44" t="n">
        <v>8365.1</v>
      </c>
      <c r="I125" s="44" t="n">
        <v>3119.4</v>
      </c>
      <c r="J125" s="44" t="n">
        <v>8365.1</v>
      </c>
      <c r="K125" s="44" t="n">
        <v>6173.4</v>
      </c>
      <c r="L125" s="18" t="inlineStr">
        <is>
          <t>8</t>
        </is>
      </c>
      <c r="M125" s="18" t="inlineStr"/>
      <c r="N125" s="18" t="inlineStr">
        <is>
          <t>DAD670</t>
        </is>
      </c>
    </row>
    <row r="126">
      <c r="A126" s="18" t="inlineStr">
        <is>
          <t>DWG0119</t>
        </is>
      </c>
      <c r="B126" s="18" t="inlineStr">
        <is>
          <t>P33</t>
        </is>
      </c>
      <c r="C126" s="18" t="inlineStr">
        <is>
          <t>33</t>
        </is>
      </c>
      <c r="D126" s="18" t="inlineStr">
        <is>
          <t>horizontal</t>
        </is>
      </c>
      <c r="E126" s="38" t="n">
        <v>225</v>
      </c>
      <c r="F126" s="38" t="n">
        <v>225</v>
      </c>
      <c r="G126" s="18" t="inlineStr">
        <is>
          <t>u/v</t>
        </is>
      </c>
      <c r="H126" s="44" t="n">
        <v>6962.4</v>
      </c>
      <c r="I126" s="44" t="n">
        <v>1335.9</v>
      </c>
      <c r="J126" s="44" t="n">
        <v>7187.4</v>
      </c>
      <c r="K126" s="44" t="n">
        <v>1463.7</v>
      </c>
      <c r="L126" s="18" t="inlineStr">
        <is>
          <t>9</t>
        </is>
      </c>
      <c r="M126" s="18" t="inlineStr"/>
      <c r="N126" s="18" t="inlineStr">
        <is>
          <t>DAD63E</t>
        </is>
      </c>
    </row>
    <row r="127">
      <c r="A127" s="18" t="inlineStr">
        <is>
          <t>DWG0120</t>
        </is>
      </c>
      <c r="B127" s="18" t="inlineStr">
        <is>
          <t>P33</t>
        </is>
      </c>
      <c r="C127" s="18" t="inlineStr">
        <is>
          <t>33</t>
        </is>
      </c>
      <c r="D127" s="18" t="inlineStr">
        <is>
          <t>horizontal</t>
        </is>
      </c>
      <c r="E127" s="38" t="n">
        <v>225</v>
      </c>
      <c r="F127" s="38" t="n">
        <v>225</v>
      </c>
      <c r="G127" s="18" t="inlineStr">
        <is>
          <t>u/v</t>
        </is>
      </c>
      <c r="H127" s="44" t="n">
        <v>2462.4</v>
      </c>
      <c r="I127" s="44" t="n">
        <v>1416.6</v>
      </c>
      <c r="J127" s="44" t="n">
        <v>2687.4</v>
      </c>
      <c r="K127" s="44" t="n">
        <v>1463.7</v>
      </c>
      <c r="L127" s="18" t="inlineStr">
        <is>
          <t>9</t>
        </is>
      </c>
      <c r="M127" s="18" t="inlineStr"/>
      <c r="N127" s="18" t="inlineStr">
        <is>
          <t>DAD631</t>
        </is>
      </c>
    </row>
    <row r="128">
      <c r="A128" s="18" t="inlineStr">
        <is>
          <t>DWG0121</t>
        </is>
      </c>
      <c r="B128" s="18" t="inlineStr">
        <is>
          <t>P33</t>
        </is>
      </c>
      <c r="C128" s="18" t="inlineStr">
        <is>
          <t>33</t>
        </is>
      </c>
      <c r="D128" s="18" t="inlineStr">
        <is>
          <t>horizontal</t>
        </is>
      </c>
      <c r="E128" s="38" t="n">
        <v>225</v>
      </c>
      <c r="F128" s="38" t="n">
        <v>225</v>
      </c>
      <c r="G128" s="18" t="inlineStr">
        <is>
          <t>u/v</t>
        </is>
      </c>
      <c r="H128" s="44" t="n">
        <v>2237.4</v>
      </c>
      <c r="I128" s="44" t="n">
        <v>1463.7</v>
      </c>
      <c r="J128" s="44" t="n">
        <v>2462.4</v>
      </c>
      <c r="K128" s="44" t="n">
        <v>1416.6</v>
      </c>
      <c r="L128" s="18" t="inlineStr">
        <is>
          <t>9</t>
        </is>
      </c>
      <c r="M128" s="18" t="inlineStr"/>
      <c r="N128" s="18" t="inlineStr">
        <is>
          <t>DAD630</t>
        </is>
      </c>
    </row>
    <row r="129">
      <c r="A129" s="18" t="inlineStr">
        <is>
          <t>DWG0122</t>
        </is>
      </c>
      <c r="B129" s="18" t="inlineStr">
        <is>
          <t>P33</t>
        </is>
      </c>
      <c r="C129" s="18" t="inlineStr">
        <is>
          <t>33</t>
        </is>
      </c>
      <c r="D129" s="18" t="inlineStr">
        <is>
          <t>horizontal</t>
        </is>
      </c>
      <c r="E129" s="38" t="n">
        <v>110</v>
      </c>
      <c r="F129" s="38" t="n">
        <v>110</v>
      </c>
      <c r="G129" s="18" t="inlineStr">
        <is>
          <t>u/v</t>
        </is>
      </c>
      <c r="H129" s="44" t="n">
        <v>2687.4</v>
      </c>
      <c r="I129" s="44" t="n">
        <v>1463.7</v>
      </c>
      <c r="J129" s="44" t="n">
        <v>2797.4</v>
      </c>
      <c r="K129" s="44" t="n">
        <v>1573.7</v>
      </c>
      <c r="L129" s="18" t="inlineStr">
        <is>
          <t>9</t>
        </is>
      </c>
      <c r="M129" s="18" t="inlineStr"/>
      <c r="N129" s="18" t="inlineStr">
        <is>
          <t>DAD632</t>
        </is>
      </c>
    </row>
    <row r="130">
      <c r="A130" s="18" t="inlineStr">
        <is>
          <t>DWG0123</t>
        </is>
      </c>
      <c r="B130" s="18" t="inlineStr">
        <is>
          <t>P33</t>
        </is>
      </c>
      <c r="C130" s="18" t="inlineStr">
        <is>
          <t>33</t>
        </is>
      </c>
      <c r="D130" s="18" t="inlineStr">
        <is>
          <t>horizontal</t>
        </is>
      </c>
      <c r="E130" s="38" t="n">
        <v>225</v>
      </c>
      <c r="F130" s="38" t="n">
        <v>225</v>
      </c>
      <c r="G130" s="18" t="inlineStr">
        <is>
          <t>u/v</t>
        </is>
      </c>
      <c r="H130" s="44" t="n">
        <v>6737.4</v>
      </c>
      <c r="I130" s="44" t="n">
        <v>1463.7</v>
      </c>
      <c r="J130" s="44" t="n">
        <v>6962.4</v>
      </c>
      <c r="K130" s="44" t="n">
        <v>1335.9</v>
      </c>
      <c r="L130" s="18" t="inlineStr">
        <is>
          <t>9</t>
        </is>
      </c>
      <c r="M130" s="18" t="inlineStr"/>
      <c r="N130" s="18" t="inlineStr">
        <is>
          <t>DAD63D</t>
        </is>
      </c>
    </row>
    <row r="131">
      <c r="A131" s="18" t="inlineStr">
        <is>
          <t>DWG0124</t>
        </is>
      </c>
      <c r="B131" s="18" t="inlineStr">
        <is>
          <t>P33</t>
        </is>
      </c>
      <c r="C131" s="18" t="inlineStr">
        <is>
          <t>33</t>
        </is>
      </c>
      <c r="D131" s="18" t="inlineStr">
        <is>
          <t>horizontal</t>
        </is>
      </c>
      <c r="E131" s="38" t="n">
        <v>110</v>
      </c>
      <c r="F131" s="38" t="n">
        <v>110</v>
      </c>
      <c r="G131" s="18" t="inlineStr">
        <is>
          <t>u/v</t>
        </is>
      </c>
      <c r="H131" s="44" t="n">
        <v>7187.4</v>
      </c>
      <c r="I131" s="44" t="n">
        <v>1463.7</v>
      </c>
      <c r="J131" s="44" t="n">
        <v>7297.4</v>
      </c>
      <c r="K131" s="44" t="n">
        <v>1573.7</v>
      </c>
      <c r="L131" s="18" t="inlineStr">
        <is>
          <t>9</t>
        </is>
      </c>
      <c r="M131" s="18" t="inlineStr"/>
      <c r="N131" s="18" t="inlineStr">
        <is>
          <t>DAD63F</t>
        </is>
      </c>
    </row>
    <row r="132">
      <c r="A132" s="18" t="inlineStr">
        <is>
          <t>DWG0125</t>
        </is>
      </c>
      <c r="B132" s="18" t="inlineStr">
        <is>
          <t>P33</t>
        </is>
      </c>
      <c r="C132" s="18" t="inlineStr">
        <is>
          <t>33</t>
        </is>
      </c>
      <c r="D132" s="18" t="inlineStr">
        <is>
          <t>horizontal</t>
        </is>
      </c>
      <c r="E132" s="38" t="n">
        <v>110</v>
      </c>
      <c r="F132" s="38" t="n">
        <v>110</v>
      </c>
      <c r="G132" s="18" t="inlineStr">
        <is>
          <t>u/v</t>
        </is>
      </c>
      <c r="H132" s="44" t="n">
        <v>2127.4</v>
      </c>
      <c r="I132" s="44" t="n">
        <v>1573.7</v>
      </c>
      <c r="J132" s="44" t="n">
        <v>2237.4</v>
      </c>
      <c r="K132" s="44" t="n">
        <v>1463.7</v>
      </c>
      <c r="L132" s="18" t="inlineStr">
        <is>
          <t>9</t>
        </is>
      </c>
      <c r="M132" s="18" t="inlineStr"/>
      <c r="N132" s="18" t="inlineStr">
        <is>
          <t>DAD62F</t>
        </is>
      </c>
    </row>
    <row r="133">
      <c r="A133" s="18" t="inlineStr">
        <is>
          <t>DWG0126</t>
        </is>
      </c>
      <c r="B133" s="18" t="inlineStr">
        <is>
          <t>P33</t>
        </is>
      </c>
      <c r="C133" s="18" t="inlineStr">
        <is>
          <t>33</t>
        </is>
      </c>
      <c r="D133" s="18" t="inlineStr">
        <is>
          <t>horizontal</t>
        </is>
      </c>
      <c r="E133" s="44" t="n">
        <v>312.5</v>
      </c>
      <c r="F133" s="38" t="n">
        <v>312</v>
      </c>
      <c r="G133" s="18" t="inlineStr">
        <is>
          <t>u/v</t>
        </is>
      </c>
      <c r="H133" s="44" t="n">
        <v>2797.4</v>
      </c>
      <c r="I133" s="44" t="n">
        <v>1573.7</v>
      </c>
      <c r="J133" s="44" t="n">
        <v>3109.9</v>
      </c>
      <c r="K133" s="44" t="n">
        <v>1766.8</v>
      </c>
      <c r="L133" s="18" t="inlineStr">
        <is>
          <t>9</t>
        </is>
      </c>
      <c r="M133" s="18" t="inlineStr"/>
      <c r="N133" s="18" t="inlineStr">
        <is>
          <t>DAD633</t>
        </is>
      </c>
    </row>
    <row r="134">
      <c r="A134" s="18" t="inlineStr">
        <is>
          <t>DWG0127</t>
        </is>
      </c>
      <c r="B134" s="18" t="inlineStr">
        <is>
          <t>P33</t>
        </is>
      </c>
      <c r="C134" s="18" t="inlineStr">
        <is>
          <t>33</t>
        </is>
      </c>
      <c r="D134" s="18" t="inlineStr">
        <is>
          <t>horizontal</t>
        </is>
      </c>
      <c r="E134" s="38" t="n">
        <v>110</v>
      </c>
      <c r="F134" s="38" t="n">
        <v>110</v>
      </c>
      <c r="G134" s="18" t="inlineStr">
        <is>
          <t>u/v</t>
        </is>
      </c>
      <c r="H134" s="44" t="n">
        <v>6627.4</v>
      </c>
      <c r="I134" s="44" t="n">
        <v>1573.7</v>
      </c>
      <c r="J134" s="44" t="n">
        <v>6737.4</v>
      </c>
      <c r="K134" s="44" t="n">
        <v>1463.7</v>
      </c>
      <c r="L134" s="18" t="inlineStr">
        <is>
          <t>9</t>
        </is>
      </c>
      <c r="M134" s="18" t="inlineStr"/>
      <c r="N134" s="18" t="inlineStr">
        <is>
          <t>DAD63C</t>
        </is>
      </c>
    </row>
    <row r="135">
      <c r="A135" s="18" t="inlineStr">
        <is>
          <t>DWG0128</t>
        </is>
      </c>
      <c r="B135" s="18" t="inlineStr">
        <is>
          <t>P33</t>
        </is>
      </c>
      <c r="C135" s="18" t="inlineStr">
        <is>
          <t>33</t>
        </is>
      </c>
      <c r="D135" s="18" t="inlineStr">
        <is>
          <t>horizontal</t>
        </is>
      </c>
      <c r="E135" s="38" t="n">
        <v>80</v>
      </c>
      <c r="F135" s="38" t="n">
        <v>80</v>
      </c>
      <c r="G135" s="18" t="inlineStr">
        <is>
          <t>u/v</t>
        </is>
      </c>
      <c r="H135" s="44" t="n">
        <v>7297.4</v>
      </c>
      <c r="I135" s="44" t="n">
        <v>1573.7</v>
      </c>
      <c r="J135" s="44" t="n">
        <v>7377.4</v>
      </c>
      <c r="K135" s="44" t="n">
        <v>1728.7</v>
      </c>
      <c r="L135" s="18" t="inlineStr">
        <is>
          <t>9</t>
        </is>
      </c>
      <c r="M135" s="18" t="inlineStr"/>
      <c r="N135" s="18" t="inlineStr">
        <is>
          <t>DAD640</t>
        </is>
      </c>
    </row>
    <row r="136">
      <c r="A136" s="18" t="inlineStr">
        <is>
          <t>DWG0129</t>
        </is>
      </c>
      <c r="B136" s="18" t="inlineStr">
        <is>
          <t>P33</t>
        </is>
      </c>
      <c r="C136" s="18" t="inlineStr">
        <is>
          <t>33</t>
        </is>
      </c>
      <c r="D136" s="18" t="inlineStr">
        <is>
          <t>horizontal</t>
        </is>
      </c>
      <c r="E136" s="38" t="n">
        <v>130</v>
      </c>
      <c r="F136" s="38" t="n">
        <v>130</v>
      </c>
      <c r="G136" s="18" t="inlineStr">
        <is>
          <t>u/v</t>
        </is>
      </c>
      <c r="H136" s="44" t="n">
        <v>1917.4</v>
      </c>
      <c r="I136" s="44" t="n">
        <v>1728.7</v>
      </c>
      <c r="J136" s="44" t="n">
        <v>2047.4</v>
      </c>
      <c r="K136" s="44" t="n">
        <v>1728.7</v>
      </c>
      <c r="L136" s="18" t="inlineStr">
        <is>
          <t>9</t>
        </is>
      </c>
      <c r="M136" s="18" t="inlineStr"/>
      <c r="N136" s="18" t="inlineStr">
        <is>
          <t>DAD62D</t>
        </is>
      </c>
    </row>
    <row r="137">
      <c r="A137" s="18" t="inlineStr">
        <is>
          <t>DWG0130</t>
        </is>
      </c>
      <c r="B137" s="18" t="inlineStr">
        <is>
          <t>P33</t>
        </is>
      </c>
      <c r="C137" s="18" t="inlineStr">
        <is>
          <t>33</t>
        </is>
      </c>
      <c r="D137" s="18" t="inlineStr">
        <is>
          <t>horizontal</t>
        </is>
      </c>
      <c r="E137" s="38" t="n">
        <v>80</v>
      </c>
      <c r="F137" s="38" t="n">
        <v>80</v>
      </c>
      <c r="G137" s="18" t="inlineStr">
        <is>
          <t>u/v</t>
        </is>
      </c>
      <c r="H137" s="44" t="n">
        <v>2047.4</v>
      </c>
      <c r="I137" s="44" t="n">
        <v>1728.7</v>
      </c>
      <c r="J137" s="44" t="n">
        <v>2127.4</v>
      </c>
      <c r="K137" s="44" t="n">
        <v>1573.7</v>
      </c>
      <c r="L137" s="18" t="inlineStr">
        <is>
          <t>9</t>
        </is>
      </c>
      <c r="M137" s="18" t="inlineStr"/>
      <c r="N137" s="18" t="inlineStr">
        <is>
          <t>DAD62E</t>
        </is>
      </c>
    </row>
    <row r="138">
      <c r="A138" s="18" t="inlineStr">
        <is>
          <t>DWG0131</t>
        </is>
      </c>
      <c r="B138" s="18" t="inlineStr">
        <is>
          <t>P33</t>
        </is>
      </c>
      <c r="C138" s="18" t="inlineStr">
        <is>
          <t>33</t>
        </is>
      </c>
      <c r="D138" s="18" t="inlineStr">
        <is>
          <t>horizontal</t>
        </is>
      </c>
      <c r="E138" s="38" t="n">
        <v>130</v>
      </c>
      <c r="F138" s="38" t="n">
        <v>130</v>
      </c>
      <c r="G138" s="18" t="inlineStr">
        <is>
          <t>u/v</t>
        </is>
      </c>
      <c r="H138" s="44" t="n">
        <v>7377.4</v>
      </c>
      <c r="I138" s="44" t="n">
        <v>1728.7</v>
      </c>
      <c r="J138" s="44" t="n">
        <v>7507.4</v>
      </c>
      <c r="K138" s="44" t="n">
        <v>1728.7</v>
      </c>
      <c r="L138" s="18" t="inlineStr">
        <is>
          <t>9</t>
        </is>
      </c>
      <c r="M138" s="18" t="inlineStr"/>
      <c r="N138" s="18" t="inlineStr">
        <is>
          <t>DAD641</t>
        </is>
      </c>
    </row>
    <row r="139">
      <c r="A139" s="18" t="inlineStr">
        <is>
          <t>DWG0132</t>
        </is>
      </c>
      <c r="B139" s="18" t="inlineStr">
        <is>
          <t>P33</t>
        </is>
      </c>
      <c r="C139" s="18" t="inlineStr">
        <is>
          <t>33</t>
        </is>
      </c>
      <c r="D139" s="18" t="inlineStr">
        <is>
          <t>horizontal</t>
        </is>
      </c>
      <c r="E139" s="38" t="n">
        <v>80</v>
      </c>
      <c r="F139" s="38" t="n">
        <v>80</v>
      </c>
      <c r="G139" s="18" t="inlineStr">
        <is>
          <t>u/v</t>
        </is>
      </c>
      <c r="H139" s="44" t="n">
        <v>7507.4</v>
      </c>
      <c r="I139" s="44" t="n">
        <v>1728.7</v>
      </c>
      <c r="J139" s="44" t="n">
        <v>7587.4</v>
      </c>
      <c r="K139" s="44" t="n">
        <v>1863.7</v>
      </c>
      <c r="L139" s="18" t="inlineStr">
        <is>
          <t>9</t>
        </is>
      </c>
      <c r="M139" s="18" t="inlineStr"/>
      <c r="N139" s="18" t="inlineStr">
        <is>
          <t>DAD642</t>
        </is>
      </c>
    </row>
    <row r="140">
      <c r="A140" s="18" t="inlineStr">
        <is>
          <t>DWG0133</t>
        </is>
      </c>
      <c r="B140" s="18" t="inlineStr">
        <is>
          <t>P33</t>
        </is>
      </c>
      <c r="C140" s="18" t="inlineStr">
        <is>
          <t>33</t>
        </is>
      </c>
      <c r="D140" s="18" t="inlineStr">
        <is>
          <t>horizontal</t>
        </is>
      </c>
      <c r="E140" s="44" t="n">
        <v>312.7</v>
      </c>
      <c r="F140" s="38" t="n">
        <v>313</v>
      </c>
      <c r="G140" s="18" t="inlineStr">
        <is>
          <t>u/v</t>
        </is>
      </c>
      <c r="H140" s="44" t="n">
        <v>6314.7</v>
      </c>
      <c r="I140" s="44" t="n">
        <v>1759.9</v>
      </c>
      <c r="J140" s="44" t="n">
        <v>6627.4</v>
      </c>
      <c r="K140" s="44" t="n">
        <v>1573.7</v>
      </c>
      <c r="L140" s="18" t="inlineStr">
        <is>
          <t>9</t>
        </is>
      </c>
      <c r="M140" s="18" t="inlineStr"/>
      <c r="N140" s="18" t="inlineStr">
        <is>
          <t>DAD63B</t>
        </is>
      </c>
    </row>
    <row r="141">
      <c r="A141" s="18" t="inlineStr">
        <is>
          <t>DWG0134</t>
        </is>
      </c>
      <c r="B141" s="18" t="inlineStr">
        <is>
          <t>P33</t>
        </is>
      </c>
      <c r="C141" s="18" t="inlineStr">
        <is>
          <t>33</t>
        </is>
      </c>
      <c r="D141" s="18" t="inlineStr">
        <is>
          <t>horizontal</t>
        </is>
      </c>
      <c r="E141" s="44" t="n">
        <v>117.3</v>
      </c>
      <c r="F141" s="38" t="n">
        <v>117</v>
      </c>
      <c r="G141" s="18" t="inlineStr">
        <is>
          <t>u/v</t>
        </is>
      </c>
      <c r="H141" s="44" t="n">
        <v>3305.1</v>
      </c>
      <c r="I141" s="44" t="n">
        <v>1766.7</v>
      </c>
      <c r="J141" s="44" t="n">
        <v>3422.4</v>
      </c>
      <c r="K141" s="44" t="n">
        <v>1845.2</v>
      </c>
      <c r="L141" s="18" t="inlineStr">
        <is>
          <t>9</t>
        </is>
      </c>
      <c r="M141" s="18" t="inlineStr"/>
      <c r="N141" s="18" t="inlineStr">
        <is>
          <t>DAD635</t>
        </is>
      </c>
    </row>
    <row r="142">
      <c r="A142" s="18" t="inlineStr">
        <is>
          <t>DWG0135</t>
        </is>
      </c>
      <c r="B142" s="18" t="inlineStr">
        <is>
          <t>P33</t>
        </is>
      </c>
      <c r="C142" s="18" t="inlineStr">
        <is>
          <t>33</t>
        </is>
      </c>
      <c r="D142" s="18" t="inlineStr">
        <is>
          <t>horizontal</t>
        </is>
      </c>
      <c r="E142" s="38" t="n">
        <v>195</v>
      </c>
      <c r="F142" s="38" t="n">
        <v>195</v>
      </c>
      <c r="G142" s="18" t="inlineStr">
        <is>
          <t>u/v</t>
        </is>
      </c>
      <c r="H142" s="44" t="n">
        <v>6119.7</v>
      </c>
      <c r="I142" s="44" t="n">
        <v>1766.7</v>
      </c>
      <c r="J142" s="44" t="n">
        <v>6314.7</v>
      </c>
      <c r="K142" s="44" t="n">
        <v>1759.9</v>
      </c>
      <c r="L142" s="18" t="inlineStr">
        <is>
          <t>9</t>
        </is>
      </c>
      <c r="M142" s="18" t="inlineStr"/>
      <c r="N142" s="18" t="inlineStr">
        <is>
          <t>DAD63A</t>
        </is>
      </c>
    </row>
    <row r="143">
      <c r="A143" s="18" t="inlineStr">
        <is>
          <t>DWG0136</t>
        </is>
      </c>
      <c r="B143" s="18" t="inlineStr">
        <is>
          <t>P33</t>
        </is>
      </c>
      <c r="C143" s="18" t="inlineStr">
        <is>
          <t>33</t>
        </is>
      </c>
      <c r="D143" s="18" t="inlineStr">
        <is>
          <t>horizontal</t>
        </is>
      </c>
      <c r="E143" s="44" t="n">
        <v>195.2</v>
      </c>
      <c r="F143" s="38" t="n">
        <v>195</v>
      </c>
      <c r="G143" s="18" t="inlineStr">
        <is>
          <t>u/v</t>
        </is>
      </c>
      <c r="H143" s="44" t="n">
        <v>3109.9</v>
      </c>
      <c r="I143" s="44" t="n">
        <v>1766.8</v>
      </c>
      <c r="J143" s="44" t="n">
        <v>3305.1</v>
      </c>
      <c r="K143" s="44" t="n">
        <v>1766.7</v>
      </c>
      <c r="L143" s="18" t="inlineStr">
        <is>
          <t>9</t>
        </is>
      </c>
      <c r="M143" s="18" t="inlineStr"/>
      <c r="N143" s="18" t="inlineStr">
        <is>
          <t>DAD634</t>
        </is>
      </c>
    </row>
    <row r="144">
      <c r="A144" s="18" t="inlineStr">
        <is>
          <t>DWG0137</t>
        </is>
      </c>
      <c r="B144" s="18" t="inlineStr">
        <is>
          <t>P33</t>
        </is>
      </c>
      <c r="C144" s="18" t="inlineStr">
        <is>
          <t>33</t>
        </is>
      </c>
      <c r="D144" s="18" t="inlineStr">
        <is>
          <t>horizontal</t>
        </is>
      </c>
      <c r="E144" s="44" t="n">
        <v>116.4</v>
      </c>
      <c r="F144" s="38" t="n">
        <v>116</v>
      </c>
      <c r="G144" s="18" t="inlineStr">
        <is>
          <t>u/v</t>
        </is>
      </c>
      <c r="H144" s="44" t="n">
        <v>6003.3</v>
      </c>
      <c r="I144" s="44" t="n">
        <v>1835.2</v>
      </c>
      <c r="J144" s="44" t="n">
        <v>6119.7</v>
      </c>
      <c r="K144" s="44" t="n">
        <v>1766.7</v>
      </c>
      <c r="L144" s="18" t="inlineStr">
        <is>
          <t>9</t>
        </is>
      </c>
      <c r="M144" s="18" t="inlineStr"/>
      <c r="N144" s="18" t="inlineStr">
        <is>
          <t>DAD639</t>
        </is>
      </c>
    </row>
    <row r="145">
      <c r="A145" s="18" t="inlineStr">
        <is>
          <t>DWG0138</t>
        </is>
      </c>
      <c r="B145" s="18" t="inlineStr">
        <is>
          <t>P33</t>
        </is>
      </c>
      <c r="C145" s="18" t="inlineStr">
        <is>
          <t>33</t>
        </is>
      </c>
      <c r="D145" s="18" t="inlineStr">
        <is>
          <t>horizontal</t>
        </is>
      </c>
      <c r="E145" s="38" t="n">
        <v>165</v>
      </c>
      <c r="F145" s="38" t="n">
        <v>165</v>
      </c>
      <c r="G145" s="18" t="inlineStr">
        <is>
          <t>u/v</t>
        </is>
      </c>
      <c r="H145" s="44" t="n">
        <v>3422.4</v>
      </c>
      <c r="I145" s="44" t="n">
        <v>1845.2</v>
      </c>
      <c r="J145" s="44" t="n">
        <v>3587.4</v>
      </c>
      <c r="K145" s="44" t="n">
        <v>1903.7</v>
      </c>
      <c r="L145" s="18" t="inlineStr">
        <is>
          <t>9</t>
        </is>
      </c>
      <c r="M145" s="18" t="inlineStr"/>
      <c r="N145" s="18" t="inlineStr">
        <is>
          <t>DAD636</t>
        </is>
      </c>
    </row>
    <row r="146">
      <c r="A146" s="18" t="inlineStr">
        <is>
          <t>DWG0139</t>
        </is>
      </c>
      <c r="B146" s="18" t="inlineStr">
        <is>
          <t>P33</t>
        </is>
      </c>
      <c r="C146" s="18" t="inlineStr">
        <is>
          <t>33</t>
        </is>
      </c>
      <c r="D146" s="18" t="inlineStr">
        <is>
          <t>horizontal</t>
        </is>
      </c>
      <c r="E146" s="38" t="n">
        <v>80</v>
      </c>
      <c r="F146" s="38" t="n">
        <v>80</v>
      </c>
      <c r="G146" s="18" t="inlineStr">
        <is>
          <t>u/v</t>
        </is>
      </c>
      <c r="H146" s="44" t="n">
        <v>1837.4</v>
      </c>
      <c r="I146" s="44" t="n">
        <v>1863.7</v>
      </c>
      <c r="J146" s="44" t="n">
        <v>1917.4</v>
      </c>
      <c r="K146" s="44" t="n">
        <v>1728.7</v>
      </c>
      <c r="L146" s="18" t="inlineStr">
        <is>
          <t>9</t>
        </is>
      </c>
      <c r="M146" s="18" t="inlineStr"/>
      <c r="N146" s="18" t="inlineStr">
        <is>
          <t>DAD62C</t>
        </is>
      </c>
    </row>
    <row r="147">
      <c r="A147" s="18" t="inlineStr">
        <is>
          <t>DWG0140</t>
        </is>
      </c>
      <c r="B147" s="18" t="inlineStr">
        <is>
          <t>P33</t>
        </is>
      </c>
      <c r="C147" s="18" t="inlineStr">
        <is>
          <t>33</t>
        </is>
      </c>
      <c r="D147" s="18" t="inlineStr">
        <is>
          <t>horizontal</t>
        </is>
      </c>
      <c r="E147" s="38" t="n">
        <v>110</v>
      </c>
      <c r="F147" s="38" t="n">
        <v>110</v>
      </c>
      <c r="G147" s="18" t="inlineStr">
        <is>
          <t>u/v</t>
        </is>
      </c>
      <c r="H147" s="44" t="n">
        <v>7587.4</v>
      </c>
      <c r="I147" s="44" t="n">
        <v>1863.7</v>
      </c>
      <c r="J147" s="44" t="n">
        <v>7697.4</v>
      </c>
      <c r="K147" s="44" t="n">
        <v>1903.7</v>
      </c>
      <c r="L147" s="18" t="inlineStr">
        <is>
          <t>9</t>
        </is>
      </c>
      <c r="M147" s="18" t="inlineStr"/>
      <c r="N147" s="18" t="inlineStr">
        <is>
          <t>DAD643</t>
        </is>
      </c>
    </row>
    <row r="148">
      <c r="A148" s="18" t="inlineStr">
        <is>
          <t>DWG0141</t>
        </is>
      </c>
      <c r="B148" s="18" t="inlineStr">
        <is>
          <t>P33</t>
        </is>
      </c>
      <c r="C148" s="18" t="inlineStr">
        <is>
          <t>33</t>
        </is>
      </c>
      <c r="D148" s="18" t="inlineStr">
        <is>
          <t>horizontal</t>
        </is>
      </c>
      <c r="E148" s="38" t="n">
        <v>110</v>
      </c>
      <c r="F148" s="38" t="n">
        <v>110</v>
      </c>
      <c r="G148" s="18" t="inlineStr">
        <is>
          <t>u/v</t>
        </is>
      </c>
      <c r="H148" s="44" t="n">
        <v>1727.4</v>
      </c>
      <c r="I148" s="44" t="n">
        <v>1903.7</v>
      </c>
      <c r="J148" s="44" t="n">
        <v>1837.4</v>
      </c>
      <c r="K148" s="44" t="n">
        <v>1863.7</v>
      </c>
      <c r="L148" s="18" t="inlineStr">
        <is>
          <t>9</t>
        </is>
      </c>
      <c r="M148" s="18" t="inlineStr"/>
      <c r="N148" s="18" t="inlineStr">
        <is>
          <t>DAD62B</t>
        </is>
      </c>
    </row>
    <row r="149">
      <c r="A149" s="18" t="inlineStr">
        <is>
          <t>DWG0142</t>
        </is>
      </c>
      <c r="B149" s="18" t="inlineStr">
        <is>
          <t>P33</t>
        </is>
      </c>
      <c r="C149" s="18" t="inlineStr">
        <is>
          <t>33</t>
        </is>
      </c>
      <c r="D149" s="18" t="inlineStr">
        <is>
          <t>horizontal</t>
        </is>
      </c>
      <c r="E149" s="38" t="n">
        <v>2250</v>
      </c>
      <c r="F149" s="38" t="n">
        <v>2250</v>
      </c>
      <c r="G149" s="18" t="inlineStr">
        <is>
          <t>u/v</t>
        </is>
      </c>
      <c r="H149" s="44" t="n">
        <v>3587.4</v>
      </c>
      <c r="I149" s="44" t="n">
        <v>1903.7</v>
      </c>
      <c r="J149" s="44" t="n">
        <v>5837.4</v>
      </c>
      <c r="K149" s="44" t="n">
        <v>1903.7</v>
      </c>
      <c r="L149" s="18" t="inlineStr">
        <is>
          <t>9</t>
        </is>
      </c>
      <c r="M149" s="18" t="inlineStr">
        <is>
          <t>S119 S128</t>
        </is>
      </c>
      <c r="N149" s="18" t="inlineStr">
        <is>
          <t>DAD637</t>
        </is>
      </c>
    </row>
    <row r="150">
      <c r="A150" s="18" t="inlineStr">
        <is>
          <t>DWG0143</t>
        </is>
      </c>
      <c r="B150" s="18" t="inlineStr">
        <is>
          <t>P33</t>
        </is>
      </c>
      <c r="C150" s="18" t="inlineStr">
        <is>
          <t>33</t>
        </is>
      </c>
      <c r="D150" s="18" t="inlineStr">
        <is>
          <t>horizontal</t>
        </is>
      </c>
      <c r="E150" s="44" t="n">
        <v>165.9</v>
      </c>
      <c r="F150" s="38" t="n">
        <v>166</v>
      </c>
      <c r="G150" s="18" t="inlineStr">
        <is>
          <t>u/v</t>
        </is>
      </c>
      <c r="H150" s="44" t="n">
        <v>5837.4</v>
      </c>
      <c r="I150" s="44" t="n">
        <v>1903.7</v>
      </c>
      <c r="J150" s="44" t="n">
        <v>6003.3</v>
      </c>
      <c r="K150" s="44" t="n">
        <v>1835.2</v>
      </c>
      <c r="L150" s="18" t="inlineStr">
        <is>
          <t>9</t>
        </is>
      </c>
      <c r="M150" s="18" t="inlineStr"/>
      <c r="N150" s="18" t="inlineStr">
        <is>
          <t>DAD638</t>
        </is>
      </c>
    </row>
    <row r="151">
      <c r="A151" s="18" t="inlineStr">
        <is>
          <t>DWG0144</t>
        </is>
      </c>
      <c r="B151" s="18" t="inlineStr">
        <is>
          <t>P33</t>
        </is>
      </c>
      <c r="C151" s="18" t="inlineStr">
        <is>
          <t>33</t>
        </is>
      </c>
      <c r="D151" s="18" t="inlineStr">
        <is>
          <t>horizontal</t>
        </is>
      </c>
      <c r="E151" s="38" t="n">
        <v>570</v>
      </c>
      <c r="F151" s="38" t="n">
        <v>570</v>
      </c>
      <c r="G151" s="18" t="inlineStr">
        <is>
          <t>u/v</t>
        </is>
      </c>
      <c r="H151" s="44" t="n">
        <v>1727.4</v>
      </c>
      <c r="I151" s="38" t="n">
        <v>3284</v>
      </c>
      <c r="J151" s="44" t="n">
        <v>2297.4</v>
      </c>
      <c r="K151" s="38" t="n">
        <v>3339</v>
      </c>
      <c r="L151" s="18" t="inlineStr">
        <is>
          <t>9</t>
        </is>
      </c>
      <c r="M151" s="18" t="inlineStr"/>
      <c r="N151" s="18" t="inlineStr">
        <is>
          <t>DAD616</t>
        </is>
      </c>
    </row>
    <row r="152">
      <c r="A152" s="18" t="inlineStr">
        <is>
          <t>DWG0145</t>
        </is>
      </c>
      <c r="B152" s="18" t="inlineStr">
        <is>
          <t>P33</t>
        </is>
      </c>
      <c r="C152" s="18" t="inlineStr">
        <is>
          <t>33</t>
        </is>
      </c>
      <c r="D152" s="18" t="inlineStr">
        <is>
          <t>horizontal</t>
        </is>
      </c>
      <c r="E152" s="38" t="n">
        <v>2250</v>
      </c>
      <c r="F152" s="38" t="n">
        <v>2250</v>
      </c>
      <c r="G152" s="18" t="inlineStr">
        <is>
          <t>u/v</t>
        </is>
      </c>
      <c r="H152" s="44" t="n">
        <v>3587.4</v>
      </c>
      <c r="I152" s="38" t="n">
        <v>3284</v>
      </c>
      <c r="J152" s="44" t="n">
        <v>5837.4</v>
      </c>
      <c r="K152" s="38" t="n">
        <v>3284</v>
      </c>
      <c r="L152" s="18" t="inlineStr">
        <is>
          <t>9</t>
        </is>
      </c>
      <c r="M152" s="18" t="inlineStr">
        <is>
          <t>S119 S128</t>
        </is>
      </c>
      <c r="N152" s="18" t="inlineStr">
        <is>
          <t>DAD61F</t>
        </is>
      </c>
    </row>
    <row r="153">
      <c r="A153" s="18" t="inlineStr">
        <is>
          <t>DWG0146</t>
        </is>
      </c>
      <c r="B153" s="18" t="inlineStr">
        <is>
          <t>P33</t>
        </is>
      </c>
      <c r="C153" s="18" t="inlineStr">
        <is>
          <t>33</t>
        </is>
      </c>
      <c r="D153" s="18" t="inlineStr">
        <is>
          <t>horizontal</t>
        </is>
      </c>
      <c r="E153" s="38" t="n">
        <v>960</v>
      </c>
      <c r="F153" s="38" t="n">
        <v>960</v>
      </c>
      <c r="G153" s="18" t="inlineStr">
        <is>
          <t>u/v</t>
        </is>
      </c>
      <c r="H153" s="44" t="n">
        <v>5837.4</v>
      </c>
      <c r="I153" s="38" t="n">
        <v>3284</v>
      </c>
      <c r="J153" s="44" t="n">
        <v>6797.4</v>
      </c>
      <c r="K153" s="38" t="n">
        <v>3339</v>
      </c>
      <c r="L153" s="18" t="inlineStr">
        <is>
          <t>9</t>
        </is>
      </c>
      <c r="M153" s="18" t="inlineStr"/>
      <c r="N153" s="18" t="inlineStr">
        <is>
          <t>DAD622</t>
        </is>
      </c>
    </row>
    <row r="154">
      <c r="A154" s="18" t="inlineStr">
        <is>
          <t>DWG0147</t>
        </is>
      </c>
      <c r="B154" s="18" t="inlineStr">
        <is>
          <t>P33</t>
        </is>
      </c>
      <c r="C154" s="18" t="inlineStr">
        <is>
          <t>33</t>
        </is>
      </c>
      <c r="D154" s="18" t="inlineStr">
        <is>
          <t>horizontal</t>
        </is>
      </c>
      <c r="E154" s="38" t="n">
        <v>330</v>
      </c>
      <c r="F154" s="38" t="n">
        <v>330</v>
      </c>
      <c r="G154" s="18" t="inlineStr">
        <is>
          <t>u/v</t>
        </is>
      </c>
      <c r="H154" s="44" t="n">
        <v>2297.4</v>
      </c>
      <c r="I154" s="38" t="n">
        <v>3339</v>
      </c>
      <c r="J154" s="44" t="n">
        <v>2627.4</v>
      </c>
      <c r="K154" s="38" t="n">
        <v>3394</v>
      </c>
      <c r="L154" s="18" t="inlineStr">
        <is>
          <t>9</t>
        </is>
      </c>
      <c r="M154" s="18" t="inlineStr"/>
      <c r="N154" s="18" t="inlineStr">
        <is>
          <t>DAD619</t>
        </is>
      </c>
    </row>
    <row r="155">
      <c r="A155" s="18" t="inlineStr">
        <is>
          <t>DWG0148</t>
        </is>
      </c>
      <c r="B155" s="18" t="inlineStr">
        <is>
          <t>P33</t>
        </is>
      </c>
      <c r="C155" s="18" t="inlineStr">
        <is>
          <t>33</t>
        </is>
      </c>
      <c r="D155" s="18" t="inlineStr">
        <is>
          <t>horizontal</t>
        </is>
      </c>
      <c r="E155" s="38" t="n">
        <v>330</v>
      </c>
      <c r="F155" s="38" t="n">
        <v>330</v>
      </c>
      <c r="G155" s="18" t="inlineStr">
        <is>
          <t>u/v</t>
        </is>
      </c>
      <c r="H155" s="44" t="n">
        <v>6797.4</v>
      </c>
      <c r="I155" s="38" t="n">
        <v>3339</v>
      </c>
      <c r="J155" s="44" t="n">
        <v>7127.4</v>
      </c>
      <c r="K155" s="38" t="n">
        <v>3339</v>
      </c>
      <c r="L155" s="18" t="inlineStr">
        <is>
          <t>9</t>
        </is>
      </c>
      <c r="M155" s="18" t="inlineStr"/>
      <c r="N155" s="18" t="inlineStr">
        <is>
          <t>DAD625</t>
        </is>
      </c>
    </row>
    <row r="156">
      <c r="A156" s="18" t="inlineStr">
        <is>
          <t>DWG0149</t>
        </is>
      </c>
      <c r="B156" s="18" t="inlineStr">
        <is>
          <t>P33</t>
        </is>
      </c>
      <c r="C156" s="18" t="inlineStr">
        <is>
          <t>33</t>
        </is>
      </c>
      <c r="D156" s="18" t="inlineStr">
        <is>
          <t>horizontal</t>
        </is>
      </c>
      <c r="E156" s="38" t="n">
        <v>570</v>
      </c>
      <c r="F156" s="38" t="n">
        <v>570</v>
      </c>
      <c r="G156" s="18" t="inlineStr">
        <is>
          <t>u/v</t>
        </is>
      </c>
      <c r="H156" s="44" t="n">
        <v>7127.4</v>
      </c>
      <c r="I156" s="38" t="n">
        <v>3339</v>
      </c>
      <c r="J156" s="44" t="n">
        <v>7697.4</v>
      </c>
      <c r="K156" s="38" t="n">
        <v>3284</v>
      </c>
      <c r="L156" s="18" t="inlineStr">
        <is>
          <t>9</t>
        </is>
      </c>
      <c r="M156" s="18" t="inlineStr"/>
      <c r="N156" s="18" t="inlineStr">
        <is>
          <t>DAD628</t>
        </is>
      </c>
    </row>
    <row r="157">
      <c r="A157" s="18" t="inlineStr">
        <is>
          <t>DWG0150</t>
        </is>
      </c>
      <c r="B157" s="18" t="inlineStr">
        <is>
          <t>P33</t>
        </is>
      </c>
      <c r="C157" s="18" t="inlineStr">
        <is>
          <t>33</t>
        </is>
      </c>
      <c r="D157" s="18" t="inlineStr">
        <is>
          <t>horizontal</t>
        </is>
      </c>
      <c r="E157" s="38" t="n">
        <v>960</v>
      </c>
      <c r="F157" s="38" t="n">
        <v>960</v>
      </c>
      <c r="G157" s="18" t="inlineStr">
        <is>
          <t>u/v</t>
        </is>
      </c>
      <c r="H157" s="44" t="n">
        <v>2627.4</v>
      </c>
      <c r="I157" s="38" t="n">
        <v>3394</v>
      </c>
      <c r="J157" s="44" t="n">
        <v>3587.4</v>
      </c>
      <c r="K157" s="38" t="n">
        <v>3284</v>
      </c>
      <c r="L157" s="18" t="inlineStr">
        <is>
          <t>9</t>
        </is>
      </c>
      <c r="M157" s="18" t="inlineStr"/>
      <c r="N157" s="18" t="inlineStr">
        <is>
          <t>DAD61C</t>
        </is>
      </c>
    </row>
    <row r="158">
      <c r="A158" s="18" t="inlineStr">
        <is>
          <t>DWG0151</t>
        </is>
      </c>
      <c r="B158" s="18" t="inlineStr">
        <is>
          <t>P33</t>
        </is>
      </c>
      <c r="C158" s="18" t="inlineStr">
        <is>
          <t>33</t>
        </is>
      </c>
      <c r="D158" s="18" t="inlineStr">
        <is>
          <t>horizontal</t>
        </is>
      </c>
      <c r="E158" s="38" t="n">
        <v>330</v>
      </c>
      <c r="F158" s="38" t="n">
        <v>330</v>
      </c>
      <c r="G158" s="18" t="inlineStr">
        <is>
          <t>u/v</t>
        </is>
      </c>
      <c r="H158" s="44" t="n">
        <v>2297.4</v>
      </c>
      <c r="I158" s="38" t="n">
        <v>5953</v>
      </c>
      <c r="J158" s="44" t="n">
        <v>2627.4</v>
      </c>
      <c r="K158" s="38" t="n">
        <v>5953</v>
      </c>
      <c r="L158" s="18" t="inlineStr">
        <is>
          <t>9</t>
        </is>
      </c>
      <c r="M158" s="18" t="inlineStr"/>
      <c r="N158" s="18" t="inlineStr">
        <is>
          <t>DAD607</t>
        </is>
      </c>
    </row>
    <row r="159">
      <c r="A159" s="18" t="inlineStr">
        <is>
          <t>DWG0152</t>
        </is>
      </c>
      <c r="B159" s="18" t="inlineStr">
        <is>
          <t>P33</t>
        </is>
      </c>
      <c r="C159" s="18" t="inlineStr">
        <is>
          <t>33</t>
        </is>
      </c>
      <c r="D159" s="18" t="inlineStr">
        <is>
          <t>horizontal</t>
        </is>
      </c>
      <c r="E159" s="38" t="n">
        <v>960</v>
      </c>
      <c r="F159" s="38" t="n">
        <v>960</v>
      </c>
      <c r="G159" s="18" t="inlineStr">
        <is>
          <t>u/v</t>
        </is>
      </c>
      <c r="H159" s="44" t="n">
        <v>2627.4</v>
      </c>
      <c r="I159" s="38" t="n">
        <v>5953</v>
      </c>
      <c r="J159" s="44" t="n">
        <v>3587.4</v>
      </c>
      <c r="K159" s="38" t="n">
        <v>6063</v>
      </c>
      <c r="L159" s="18" t="inlineStr">
        <is>
          <t>9</t>
        </is>
      </c>
      <c r="M159" s="18" t="inlineStr"/>
      <c r="N159" s="18" t="inlineStr">
        <is>
          <t>DAD60A</t>
        </is>
      </c>
    </row>
    <row r="160">
      <c r="A160" s="18" t="inlineStr">
        <is>
          <t>DWG0153</t>
        </is>
      </c>
      <c r="B160" s="18" t="inlineStr">
        <is>
          <t>P33</t>
        </is>
      </c>
      <c r="C160" s="18" t="inlineStr">
        <is>
          <t>33</t>
        </is>
      </c>
      <c r="D160" s="18" t="inlineStr">
        <is>
          <t>horizontal</t>
        </is>
      </c>
      <c r="E160" s="38" t="n">
        <v>330</v>
      </c>
      <c r="F160" s="38" t="n">
        <v>330</v>
      </c>
      <c r="G160" s="18" t="inlineStr">
        <is>
          <t>u/v</t>
        </is>
      </c>
      <c r="H160" s="44" t="n">
        <v>6797.4</v>
      </c>
      <c r="I160" s="38" t="n">
        <v>5953</v>
      </c>
      <c r="J160" s="44" t="n">
        <v>7127.4</v>
      </c>
      <c r="K160" s="38" t="n">
        <v>5953</v>
      </c>
      <c r="L160" s="18" t="inlineStr">
        <is>
          <t>9</t>
        </is>
      </c>
      <c r="M160" s="18" t="inlineStr"/>
      <c r="N160" s="18" t="inlineStr">
        <is>
          <t>DAD613</t>
        </is>
      </c>
    </row>
    <row r="161">
      <c r="A161" s="18" t="inlineStr">
        <is>
          <t>DWG0154</t>
        </is>
      </c>
      <c r="B161" s="18" t="inlineStr">
        <is>
          <t>P33</t>
        </is>
      </c>
      <c r="C161" s="18" t="inlineStr">
        <is>
          <t>33</t>
        </is>
      </c>
      <c r="D161" s="18" t="inlineStr">
        <is>
          <t>horizontal</t>
        </is>
      </c>
      <c r="E161" s="38" t="n">
        <v>2250</v>
      </c>
      <c r="F161" s="38" t="n">
        <v>2250</v>
      </c>
      <c r="G161" s="18" t="inlineStr">
        <is>
          <t>u/v</t>
        </is>
      </c>
      <c r="H161" s="44" t="n">
        <v>3587.4</v>
      </c>
      <c r="I161" s="38" t="n">
        <v>6063</v>
      </c>
      <c r="J161" s="44" t="n">
        <v>5837.4</v>
      </c>
      <c r="K161" s="38" t="n">
        <v>6063</v>
      </c>
      <c r="L161" s="18" t="inlineStr">
        <is>
          <t>9</t>
        </is>
      </c>
      <c r="M161" s="18" t="inlineStr">
        <is>
          <t>S119 S128</t>
        </is>
      </c>
      <c r="N161" s="18" t="inlineStr">
        <is>
          <t>DAD60D</t>
        </is>
      </c>
    </row>
    <row r="162">
      <c r="A162" s="18" t="inlineStr">
        <is>
          <t>DWG0155</t>
        </is>
      </c>
      <c r="B162" s="18" t="inlineStr">
        <is>
          <t>P33</t>
        </is>
      </c>
      <c r="C162" s="18" t="inlineStr">
        <is>
          <t>33</t>
        </is>
      </c>
      <c r="D162" s="18" t="inlineStr">
        <is>
          <t>horizontal</t>
        </is>
      </c>
      <c r="E162" s="38" t="n">
        <v>960</v>
      </c>
      <c r="F162" s="38" t="n">
        <v>960</v>
      </c>
      <c r="G162" s="18" t="inlineStr">
        <is>
          <t>u/v</t>
        </is>
      </c>
      <c r="H162" s="44" t="n">
        <v>5837.4</v>
      </c>
      <c r="I162" s="38" t="n">
        <v>6063</v>
      </c>
      <c r="J162" s="44" t="n">
        <v>6797.4</v>
      </c>
      <c r="K162" s="38" t="n">
        <v>5953</v>
      </c>
      <c r="L162" s="18" t="inlineStr">
        <is>
          <t>9</t>
        </is>
      </c>
      <c r="M162" s="18" t="inlineStr"/>
      <c r="N162" s="18" t="inlineStr">
        <is>
          <t>DAD610</t>
        </is>
      </c>
    </row>
    <row r="163">
      <c r="A163" s="18" t="inlineStr">
        <is>
          <t>DWG0156</t>
        </is>
      </c>
      <c r="B163" s="18" t="inlineStr">
        <is>
          <t>P33</t>
        </is>
      </c>
      <c r="C163" s="18" t="inlineStr">
        <is>
          <t>33</t>
        </is>
      </c>
      <c r="D163" s="18" t="inlineStr">
        <is>
          <t>horizontal</t>
        </is>
      </c>
      <c r="E163" s="38" t="n">
        <v>960</v>
      </c>
      <c r="F163" s="38" t="n">
        <v>960</v>
      </c>
      <c r="G163" s="18" t="inlineStr">
        <is>
          <t>u/v</t>
        </is>
      </c>
      <c r="H163" s="44" t="n">
        <v>1337.4</v>
      </c>
      <c r="I163" s="38" t="n">
        <v>6283</v>
      </c>
      <c r="J163" s="44" t="n">
        <v>2297.4</v>
      </c>
      <c r="K163" s="38" t="n">
        <v>5953</v>
      </c>
      <c r="L163" s="18" t="inlineStr">
        <is>
          <t>9</t>
        </is>
      </c>
      <c r="M163" s="18" t="inlineStr"/>
      <c r="N163" s="18" t="inlineStr">
        <is>
          <t>DAD604</t>
        </is>
      </c>
    </row>
    <row r="164">
      <c r="A164" s="18" t="inlineStr">
        <is>
          <t>DWG0157</t>
        </is>
      </c>
      <c r="B164" s="18" t="inlineStr">
        <is>
          <t>P33</t>
        </is>
      </c>
      <c r="C164" s="18" t="inlineStr">
        <is>
          <t>33</t>
        </is>
      </c>
      <c r="D164" s="18" t="inlineStr">
        <is>
          <t>horizontal</t>
        </is>
      </c>
      <c r="E164" s="38" t="n">
        <v>4500</v>
      </c>
      <c r="F164" s="38" t="n">
        <v>4500</v>
      </c>
      <c r="G164" s="18" t="inlineStr">
        <is>
          <t>u/v</t>
        </is>
      </c>
      <c r="H164" s="44" t="n">
        <v>2462.4</v>
      </c>
      <c r="I164" s="38" t="n">
        <v>6733</v>
      </c>
      <c r="J164" s="44" t="n">
        <v>6962.4</v>
      </c>
      <c r="K164" s="38" t="n">
        <v>6733</v>
      </c>
      <c r="L164" s="18" t="inlineStr">
        <is>
          <t>9</t>
        </is>
      </c>
      <c r="M164" s="18" t="inlineStr">
        <is>
          <t>S117 S126</t>
        </is>
      </c>
      <c r="N164" s="18" t="inlineStr">
        <is>
          <t>DAD66D</t>
        </is>
      </c>
    </row>
    <row r="165">
      <c r="A165" s="18" t="inlineStr">
        <is>
          <t>DWG0158</t>
        </is>
      </c>
      <c r="B165" s="18" t="inlineStr">
        <is>
          <t>P33</t>
        </is>
      </c>
      <c r="C165" s="18" t="inlineStr">
        <is>
          <t>33</t>
        </is>
      </c>
      <c r="D165" s="18" t="inlineStr">
        <is>
          <t>vertical</t>
        </is>
      </c>
      <c r="E165" s="38" t="n">
        <v>3054</v>
      </c>
      <c r="F165" s="38" t="n">
        <v>3054</v>
      </c>
      <c r="G165" s="18" t="inlineStr">
        <is>
          <t>u/v</t>
        </is>
      </c>
      <c r="H165" s="44" t="n">
        <v>1179.1</v>
      </c>
      <c r="I165" s="38" t="n">
        <v>6173</v>
      </c>
      <c r="J165" s="44" t="n">
        <v>1179.1</v>
      </c>
      <c r="K165" s="38" t="n">
        <v>3119</v>
      </c>
      <c r="L165" s="18" t="inlineStr">
        <is>
          <t>9</t>
        </is>
      </c>
      <c r="M165" s="18" t="inlineStr"/>
      <c r="N165" s="18" t="inlineStr">
        <is>
          <t>DAD66A</t>
        </is>
      </c>
    </row>
    <row r="166">
      <c r="A166" s="18" t="inlineStr">
        <is>
          <t>DWG0159</t>
        </is>
      </c>
      <c r="B166" s="18" t="inlineStr">
        <is>
          <t>P33</t>
        </is>
      </c>
      <c r="C166" s="18" t="inlineStr">
        <is>
          <t>33</t>
        </is>
      </c>
      <c r="D166" s="18" t="inlineStr">
        <is>
          <t>vertical</t>
        </is>
      </c>
      <c r="E166" s="38" t="n">
        <v>80</v>
      </c>
      <c r="F166" s="38" t="n">
        <v>80</v>
      </c>
      <c r="G166" s="18" t="inlineStr">
        <is>
          <t>u/v</t>
        </is>
      </c>
      <c r="H166" s="44" t="n">
        <v>1688.8</v>
      </c>
      <c r="I166" s="38" t="n">
        <v>2954</v>
      </c>
      <c r="J166" s="44" t="n">
        <v>1877.4</v>
      </c>
      <c r="K166" s="38" t="n">
        <v>2874</v>
      </c>
      <c r="L166" s="18" t="inlineStr">
        <is>
          <t>9</t>
        </is>
      </c>
      <c r="M166" s="18" t="inlineStr"/>
      <c r="N166" s="18" t="inlineStr">
        <is>
          <t>DAD647</t>
        </is>
      </c>
    </row>
    <row r="167">
      <c r="A167" s="18" t="inlineStr">
        <is>
          <t>DWG0160</t>
        </is>
      </c>
      <c r="B167" s="18" t="inlineStr">
        <is>
          <t>P33</t>
        </is>
      </c>
      <c r="C167" s="18" t="inlineStr">
        <is>
          <t>33</t>
        </is>
      </c>
      <c r="D167" s="18" t="inlineStr">
        <is>
          <t>vertical</t>
        </is>
      </c>
      <c r="E167" s="38" t="n">
        <v>330</v>
      </c>
      <c r="F167" s="38" t="n">
        <v>330</v>
      </c>
      <c r="G167" s="18" t="inlineStr">
        <is>
          <t>u/v</t>
        </is>
      </c>
      <c r="H167" s="44" t="n">
        <v>1688.8</v>
      </c>
      <c r="I167" s="38" t="n">
        <v>3284</v>
      </c>
      <c r="J167" s="44" t="n">
        <v>1688.8</v>
      </c>
      <c r="K167" s="38" t="n">
        <v>2954</v>
      </c>
      <c r="L167" s="18" t="inlineStr">
        <is>
          <t>9</t>
        </is>
      </c>
      <c r="M167" s="18" t="inlineStr"/>
      <c r="N167" s="18" t="inlineStr">
        <is>
          <t>DAD644</t>
        </is>
      </c>
    </row>
    <row r="168">
      <c r="A168" s="18" t="inlineStr">
        <is>
          <t>DWG0161</t>
        </is>
      </c>
      <c r="B168" s="18" t="inlineStr">
        <is>
          <t>P33</t>
        </is>
      </c>
      <c r="C168" s="18" t="inlineStr">
        <is>
          <t>33</t>
        </is>
      </c>
      <c r="D168" s="18" t="inlineStr">
        <is>
          <t>vertical</t>
        </is>
      </c>
      <c r="E168" s="38" t="n">
        <v>95</v>
      </c>
      <c r="F168" s="38" t="n">
        <v>95</v>
      </c>
      <c r="G168" s="18" t="inlineStr">
        <is>
          <t>u/v</t>
        </is>
      </c>
      <c r="H168" s="44" t="n">
        <v>1877.4</v>
      </c>
      <c r="I168" s="38" t="n">
        <v>2874</v>
      </c>
      <c r="J168" s="44" t="n">
        <v>1917.4</v>
      </c>
      <c r="K168" s="38" t="n">
        <v>2779</v>
      </c>
      <c r="L168" s="18" t="inlineStr">
        <is>
          <t>9</t>
        </is>
      </c>
      <c r="M168" s="18" t="inlineStr"/>
      <c r="N168" s="18" t="inlineStr">
        <is>
          <t>DAD64A</t>
        </is>
      </c>
    </row>
    <row r="169">
      <c r="A169" s="18" t="inlineStr">
        <is>
          <t>DWG0162</t>
        </is>
      </c>
      <c r="B169" s="18" t="inlineStr">
        <is>
          <t>P33</t>
        </is>
      </c>
      <c r="C169" s="18" t="inlineStr">
        <is>
          <t>33</t>
        </is>
      </c>
      <c r="D169" s="18" t="inlineStr">
        <is>
          <t>vertical</t>
        </is>
      </c>
      <c r="E169" s="38" t="n">
        <v>155</v>
      </c>
      <c r="F169" s="38" t="n">
        <v>155</v>
      </c>
      <c r="G169" s="18" t="inlineStr">
        <is>
          <t>u/v</t>
        </is>
      </c>
      <c r="H169" s="44" t="n">
        <v>1917.4</v>
      </c>
      <c r="I169" s="38" t="n">
        <v>2779</v>
      </c>
      <c r="J169" s="44" t="n">
        <v>2127.4</v>
      </c>
      <c r="K169" s="38" t="n">
        <v>2624</v>
      </c>
      <c r="L169" s="18" t="inlineStr">
        <is>
          <t>9</t>
        </is>
      </c>
      <c r="M169" s="18" t="inlineStr"/>
      <c r="N169" s="18" t="inlineStr">
        <is>
          <t>DAD64D</t>
        </is>
      </c>
    </row>
    <row r="170">
      <c r="A170" s="18" t="inlineStr">
        <is>
          <t>DWG0163</t>
        </is>
      </c>
      <c r="B170" s="18" t="inlineStr">
        <is>
          <t>P33</t>
        </is>
      </c>
      <c r="C170" s="18" t="inlineStr">
        <is>
          <t>33</t>
        </is>
      </c>
      <c r="D170" s="18" t="inlineStr">
        <is>
          <t>vertical</t>
        </is>
      </c>
      <c r="E170" s="38" t="n">
        <v>110</v>
      </c>
      <c r="F170" s="38" t="n">
        <v>110</v>
      </c>
      <c r="G170" s="18" t="inlineStr">
        <is>
          <t>u/v</t>
        </is>
      </c>
      <c r="H170" s="44" t="n">
        <v>2127.4</v>
      </c>
      <c r="I170" s="38" t="n">
        <v>2624</v>
      </c>
      <c r="J170" s="44" t="n">
        <v>2237.4</v>
      </c>
      <c r="K170" s="38" t="n">
        <v>2514</v>
      </c>
      <c r="L170" s="18" t="inlineStr">
        <is>
          <t>9</t>
        </is>
      </c>
      <c r="M170" s="18" t="inlineStr"/>
      <c r="N170" s="18" t="inlineStr">
        <is>
          <t>DAD650</t>
        </is>
      </c>
    </row>
    <row r="171">
      <c r="A171" s="18" t="inlineStr">
        <is>
          <t>DWG0164</t>
        </is>
      </c>
      <c r="B171" s="18" t="inlineStr">
        <is>
          <t>P33</t>
        </is>
      </c>
      <c r="C171" s="18" t="inlineStr">
        <is>
          <t>33</t>
        </is>
      </c>
      <c r="D171" s="18" t="inlineStr">
        <is>
          <t>vertical</t>
        </is>
      </c>
      <c r="E171" s="38" t="n">
        <v>110</v>
      </c>
      <c r="F171" s="38" t="n">
        <v>110</v>
      </c>
      <c r="G171" s="18" t="inlineStr">
        <is>
          <t>u/v</t>
        </is>
      </c>
      <c r="H171" s="44" t="n">
        <v>3074.9</v>
      </c>
      <c r="I171" s="38" t="n">
        <v>6063</v>
      </c>
      <c r="J171" s="44" t="n">
        <v>2627.4</v>
      </c>
      <c r="K171" s="38" t="n">
        <v>5953</v>
      </c>
      <c r="L171" s="18" t="inlineStr">
        <is>
          <t>9</t>
        </is>
      </c>
      <c r="M171" s="18" t="inlineStr"/>
      <c r="N171" s="18" t="inlineStr">
        <is>
          <t>DAD663</t>
        </is>
      </c>
    </row>
    <row r="172">
      <c r="A172" s="18" t="inlineStr">
        <is>
          <t>DWG0165</t>
        </is>
      </c>
      <c r="B172" s="18" t="inlineStr">
        <is>
          <t>P33</t>
        </is>
      </c>
      <c r="C172" s="18" t="inlineStr">
        <is>
          <t>33</t>
        </is>
      </c>
      <c r="D172" s="18" t="inlineStr">
        <is>
          <t>vertical</t>
        </is>
      </c>
      <c r="E172" s="38" t="n">
        <v>220</v>
      </c>
      <c r="F172" s="38" t="n">
        <v>220</v>
      </c>
      <c r="G172" s="18" t="inlineStr">
        <is>
          <t>u/v</t>
        </is>
      </c>
      <c r="H172" s="44" t="n">
        <v>3074.9</v>
      </c>
      <c r="I172" s="38" t="n">
        <v>6283</v>
      </c>
      <c r="J172" s="44" t="n">
        <v>3074.9</v>
      </c>
      <c r="K172" s="38" t="n">
        <v>6063</v>
      </c>
      <c r="L172" s="18" t="inlineStr">
        <is>
          <t>9</t>
        </is>
      </c>
      <c r="M172" s="18" t="inlineStr">
        <is>
          <t>S131</t>
        </is>
      </c>
      <c r="N172" s="18" t="inlineStr">
        <is>
          <t>DAD660</t>
        </is>
      </c>
    </row>
    <row r="173">
      <c r="A173" s="18" t="inlineStr">
        <is>
          <t>DWG0166</t>
        </is>
      </c>
      <c r="B173" s="18" t="inlineStr">
        <is>
          <t>P33</t>
        </is>
      </c>
      <c r="C173" s="18" t="inlineStr">
        <is>
          <t>33</t>
        </is>
      </c>
      <c r="D173" s="18" t="inlineStr">
        <is>
          <t>vertical</t>
        </is>
      </c>
      <c r="E173" s="44" t="n">
        <v>115.7</v>
      </c>
      <c r="F173" s="38" t="n">
        <v>116</v>
      </c>
      <c r="G173" s="18" t="inlineStr">
        <is>
          <t>u/v</t>
        </is>
      </c>
      <c r="H173" s="44" t="n">
        <v>5837.4</v>
      </c>
      <c r="I173" s="38" t="n">
        <v>2954</v>
      </c>
      <c r="J173" s="44" t="n">
        <v>6048.5</v>
      </c>
      <c r="K173" s="44" t="n">
        <v>2838.3</v>
      </c>
      <c r="L173" s="18" t="inlineStr">
        <is>
          <t>9</t>
        </is>
      </c>
      <c r="M173" s="18" t="inlineStr"/>
      <c r="N173" s="18" t="inlineStr">
        <is>
          <t>DAD656</t>
        </is>
      </c>
    </row>
    <row r="174">
      <c r="A174" s="18" t="inlineStr">
        <is>
          <t>DWG0167</t>
        </is>
      </c>
      <c r="B174" s="18" t="inlineStr">
        <is>
          <t>P33</t>
        </is>
      </c>
      <c r="C174" s="18" t="inlineStr">
        <is>
          <t>33</t>
        </is>
      </c>
      <c r="D174" s="18" t="inlineStr">
        <is>
          <t>vertical</t>
        </is>
      </c>
      <c r="E174" s="44" t="n">
        <v>118.9</v>
      </c>
      <c r="F174" s="38" t="n">
        <v>119</v>
      </c>
      <c r="G174" s="18" t="inlineStr">
        <is>
          <t>u/v</t>
        </is>
      </c>
      <c r="H174" s="44" t="n">
        <v>6048.5</v>
      </c>
      <c r="I174" s="44" t="n">
        <v>2838.3</v>
      </c>
      <c r="J174" s="44" t="n">
        <v>6217.3</v>
      </c>
      <c r="K174" s="44" t="n">
        <v>2719.4</v>
      </c>
      <c r="L174" s="18" t="inlineStr">
        <is>
          <t>9</t>
        </is>
      </c>
      <c r="M174" s="18" t="inlineStr"/>
      <c r="N174" s="18" t="inlineStr">
        <is>
          <t>DAD657</t>
        </is>
      </c>
    </row>
    <row r="175">
      <c r="A175" s="18" t="inlineStr">
        <is>
          <t>DWG0168</t>
        </is>
      </c>
      <c r="B175" s="18" t="inlineStr">
        <is>
          <t>P33</t>
        </is>
      </c>
      <c r="C175" s="18" t="inlineStr">
        <is>
          <t>33</t>
        </is>
      </c>
      <c r="D175" s="18" t="inlineStr">
        <is>
          <t>vertical</t>
        </is>
      </c>
      <c r="E175" s="44" t="n">
        <v>95.40000000000001</v>
      </c>
      <c r="F175" s="38" t="n">
        <v>95</v>
      </c>
      <c r="G175" s="18" t="inlineStr">
        <is>
          <t>u/v</t>
        </is>
      </c>
      <c r="H175" s="44" t="n">
        <v>6217.3</v>
      </c>
      <c r="I175" s="44" t="n">
        <v>2719.4</v>
      </c>
      <c r="J175" s="44" t="n">
        <v>6627.4</v>
      </c>
      <c r="K175" s="38" t="n">
        <v>2624</v>
      </c>
      <c r="L175" s="18" t="inlineStr">
        <is>
          <t>9</t>
        </is>
      </c>
      <c r="M175" s="18" t="inlineStr"/>
      <c r="N175" s="18" t="inlineStr">
        <is>
          <t>DAD65A</t>
        </is>
      </c>
    </row>
    <row r="176">
      <c r="A176" s="18" t="inlineStr">
        <is>
          <t>DWG0169</t>
        </is>
      </c>
      <c r="B176" s="18" t="inlineStr">
        <is>
          <t>P33</t>
        </is>
      </c>
      <c r="C176" s="18" t="inlineStr">
        <is>
          <t>33</t>
        </is>
      </c>
      <c r="D176" s="18" t="inlineStr">
        <is>
          <t>vertical</t>
        </is>
      </c>
      <c r="E176" s="38" t="n">
        <v>110</v>
      </c>
      <c r="F176" s="38" t="n">
        <v>110</v>
      </c>
      <c r="G176" s="18" t="inlineStr">
        <is>
          <t>u/v</t>
        </is>
      </c>
      <c r="H176" s="44" t="n">
        <v>6627.4</v>
      </c>
      <c r="I176" s="38" t="n">
        <v>2624</v>
      </c>
      <c r="J176" s="44" t="n">
        <v>6737.4</v>
      </c>
      <c r="K176" s="38" t="n">
        <v>2514</v>
      </c>
      <c r="L176" s="18" t="inlineStr">
        <is>
          <t>9</t>
        </is>
      </c>
      <c r="M176" s="18" t="inlineStr"/>
      <c r="N176" s="18" t="inlineStr">
        <is>
          <t>DAD65D</t>
        </is>
      </c>
    </row>
    <row r="177">
      <c r="A177" s="18" t="inlineStr">
        <is>
          <t>DWG0170</t>
        </is>
      </c>
      <c r="B177" s="18" t="inlineStr">
        <is>
          <t>P33</t>
        </is>
      </c>
      <c r="C177" s="18" t="inlineStr">
        <is>
          <t>33</t>
        </is>
      </c>
      <c r="D177" s="18" t="inlineStr">
        <is>
          <t>vertical</t>
        </is>
      </c>
      <c r="E177" s="38" t="n">
        <v>440</v>
      </c>
      <c r="F177" s="38" t="n">
        <v>440</v>
      </c>
      <c r="G177" s="18" t="inlineStr">
        <is>
          <t>u/v</t>
        </is>
      </c>
      <c r="H177" s="44" t="n">
        <v>7337.4</v>
      </c>
      <c r="I177" s="38" t="n">
        <v>2844</v>
      </c>
      <c r="J177" s="44" t="n">
        <v>7337.4</v>
      </c>
      <c r="K177" s="38" t="n">
        <v>3284</v>
      </c>
      <c r="L177" s="18" t="inlineStr">
        <is>
          <t>9</t>
        </is>
      </c>
      <c r="M177" s="18" t="inlineStr"/>
      <c r="N177" s="18" t="inlineStr">
        <is>
          <t>DAD664</t>
        </is>
      </c>
    </row>
    <row r="178">
      <c r="A178" s="18" t="inlineStr">
        <is>
          <t>DWG0171</t>
        </is>
      </c>
      <c r="B178" s="18" t="inlineStr">
        <is>
          <t>P33</t>
        </is>
      </c>
      <c r="C178" s="18" t="inlineStr">
        <is>
          <t>33</t>
        </is>
      </c>
      <c r="D178" s="18" t="inlineStr">
        <is>
          <t>vertical</t>
        </is>
      </c>
      <c r="E178" s="38" t="n">
        <v>110</v>
      </c>
      <c r="F178" s="38" t="n">
        <v>110</v>
      </c>
      <c r="G178" s="18" t="inlineStr">
        <is>
          <t>u/v</t>
        </is>
      </c>
      <c r="H178" s="44" t="n">
        <v>7337.4</v>
      </c>
      <c r="I178" s="38" t="n">
        <v>3284</v>
      </c>
      <c r="J178" s="44" t="n">
        <v>7127.4</v>
      </c>
      <c r="K178" s="38" t="n">
        <v>3394</v>
      </c>
      <c r="L178" s="18" t="inlineStr">
        <is>
          <t>9</t>
        </is>
      </c>
      <c r="M178" s="18" t="inlineStr"/>
      <c r="N178" s="18" t="inlineStr">
        <is>
          <t>DAD667</t>
        </is>
      </c>
    </row>
    <row r="179">
      <c r="A179" s="18" t="inlineStr">
        <is>
          <t>DWG0172</t>
        </is>
      </c>
      <c r="B179" s="18" t="inlineStr">
        <is>
          <t>E01A</t>
        </is>
      </c>
      <c r="C179" s="18" t="inlineStr">
        <is>
          <t>1</t>
        </is>
      </c>
      <c r="D179" s="18" t="inlineStr">
        <is>
          <t>horizontal</t>
        </is>
      </c>
      <c r="E179" s="44" t="n">
        <v>5958.8</v>
      </c>
      <c r="F179" s="38" t="n">
        <v>5959</v>
      </c>
      <c r="G179" s="18" t="inlineStr">
        <is>
          <t>Z/Y</t>
        </is>
      </c>
      <c r="H179" s="44" t="n">
        <v>2979.4</v>
      </c>
      <c r="I179" s="44" t="n">
        <v>-4522.4</v>
      </c>
      <c r="J179" s="44" t="n">
        <v>-2979.4</v>
      </c>
      <c r="K179" s="44" t="n">
        <v>-4522.4</v>
      </c>
      <c r="L179" s="18" t="inlineStr">
        <is>
          <t>1</t>
        </is>
      </c>
      <c r="M179" s="18" t="inlineStr">
        <is>
          <t>E030</t>
        </is>
      </c>
      <c r="N179" s="18" t="inlineStr">
        <is>
          <t>D87307</t>
        </is>
      </c>
    </row>
    <row r="180">
      <c r="A180" s="18" t="inlineStr">
        <is>
          <t>DWG0173</t>
        </is>
      </c>
      <c r="B180" s="18" t="inlineStr">
        <is>
          <t>E01A</t>
        </is>
      </c>
      <c r="C180" s="18" t="inlineStr">
        <is>
          <t>1</t>
        </is>
      </c>
      <c r="D180" s="18" t="inlineStr">
        <is>
          <t>horizontal</t>
        </is>
      </c>
      <c r="E180" s="44" t="n">
        <v>27254.2</v>
      </c>
      <c r="F180" s="38" t="n">
        <v>27254</v>
      </c>
      <c r="G180" s="18" t="inlineStr">
        <is>
          <t>Z/Y</t>
        </is>
      </c>
      <c r="H180" s="44" t="n">
        <v>13627.1</v>
      </c>
      <c r="I180" s="44" t="n">
        <v>-3820.6</v>
      </c>
      <c r="J180" s="44" t="n">
        <v>-13627.1</v>
      </c>
      <c r="K180" s="44" t="n">
        <v>-3820.6</v>
      </c>
      <c r="L180" s="18" t="inlineStr">
        <is>
          <t>1</t>
        </is>
      </c>
      <c r="M180" s="18" t="inlineStr">
        <is>
          <t>E026</t>
        </is>
      </c>
      <c r="N180" s="18" t="inlineStr">
        <is>
          <t>D87304</t>
        </is>
      </c>
    </row>
    <row r="181">
      <c r="A181" s="18" t="inlineStr">
        <is>
          <t>DWG0174</t>
        </is>
      </c>
      <c r="B181" s="18" t="inlineStr">
        <is>
          <t>E01A</t>
        </is>
      </c>
      <c r="C181" s="18" t="inlineStr">
        <is>
          <t>1</t>
        </is>
      </c>
      <c r="D181" s="18" t="inlineStr">
        <is>
          <t>horizontal</t>
        </is>
      </c>
      <c r="E181" s="38" t="n">
        <v>2189</v>
      </c>
      <c r="F181" s="38" t="n">
        <v>2189</v>
      </c>
      <c r="G181" s="18" t="inlineStr">
        <is>
          <t>Z/Y</t>
        </is>
      </c>
      <c r="H181" s="38" t="n">
        <v>-10414</v>
      </c>
      <c r="I181" s="44" t="n">
        <v>-3764.1</v>
      </c>
      <c r="J181" s="38" t="n">
        <v>-12603</v>
      </c>
      <c r="K181" s="44" t="n">
        <v>-3068.4</v>
      </c>
      <c r="L181" s="18" t="inlineStr">
        <is>
          <t>1</t>
        </is>
      </c>
      <c r="M181" s="18" t="inlineStr">
        <is>
          <t>E018 E024</t>
        </is>
      </c>
      <c r="N181" s="18" t="inlineStr">
        <is>
          <t>D87302</t>
        </is>
      </c>
    </row>
    <row r="182">
      <c r="A182" s="18" t="inlineStr">
        <is>
          <t>DWG0175</t>
        </is>
      </c>
      <c r="B182" s="18" t="inlineStr">
        <is>
          <t>E01A</t>
        </is>
      </c>
      <c r="C182" s="18" t="inlineStr">
        <is>
          <t>1</t>
        </is>
      </c>
      <c r="D182" s="18" t="inlineStr">
        <is>
          <t>horizontal</t>
        </is>
      </c>
      <c r="E182" s="38" t="n">
        <v>3054</v>
      </c>
      <c r="F182" s="38" t="n">
        <v>3054</v>
      </c>
      <c r="G182" s="18" t="inlineStr">
        <is>
          <t>Z/Y</t>
        </is>
      </c>
      <c r="H182" s="38" t="n">
        <v>-7360</v>
      </c>
      <c r="I182" s="44" t="n">
        <v>-3550.6</v>
      </c>
      <c r="J182" s="38" t="n">
        <v>-10414</v>
      </c>
      <c r="K182" s="44" t="n">
        <v>-3764.1</v>
      </c>
      <c r="L182" s="18" t="inlineStr">
        <is>
          <t>1</t>
        </is>
      </c>
      <c r="M182" s="18" t="inlineStr">
        <is>
          <t>E019 E023</t>
        </is>
      </c>
      <c r="N182" s="18" t="inlineStr">
        <is>
          <t>D87301</t>
        </is>
      </c>
    </row>
    <row r="183">
      <c r="A183" s="18" t="inlineStr">
        <is>
          <t>DWG0176</t>
        </is>
      </c>
      <c r="B183" s="18" t="inlineStr">
        <is>
          <t>E01A</t>
        </is>
      </c>
      <c r="C183" s="18" t="inlineStr">
        <is>
          <t>1</t>
        </is>
      </c>
      <c r="D183" s="18" t="inlineStr">
        <is>
          <t>horizontal</t>
        </is>
      </c>
      <c r="E183" s="38" t="n">
        <v>3760</v>
      </c>
      <c r="F183" s="38" t="n">
        <v>3760</v>
      </c>
      <c r="G183" s="18" t="inlineStr">
        <is>
          <t>Z/Y</t>
        </is>
      </c>
      <c r="H183" s="38" t="n">
        <v>-3600</v>
      </c>
      <c r="I183" s="44" t="n">
        <v>-3550.6</v>
      </c>
      <c r="J183" s="38" t="n">
        <v>-7360</v>
      </c>
      <c r="K183" s="44" t="n">
        <v>-3550.6</v>
      </c>
      <c r="L183" s="18" t="inlineStr">
        <is>
          <t>1</t>
        </is>
      </c>
      <c r="M183" s="18" t="inlineStr">
        <is>
          <t>E020 E022</t>
        </is>
      </c>
      <c r="N183" s="18" t="inlineStr">
        <is>
          <t>D87300</t>
        </is>
      </c>
    </row>
    <row r="184">
      <c r="A184" s="18" t="inlineStr">
        <is>
          <t>DWG0177</t>
        </is>
      </c>
      <c r="B184" s="18" t="inlineStr">
        <is>
          <t>E01A</t>
        </is>
      </c>
      <c r="C184" s="18" t="inlineStr">
        <is>
          <t>1</t>
        </is>
      </c>
      <c r="D184" s="18" t="inlineStr">
        <is>
          <t>horizontal</t>
        </is>
      </c>
      <c r="E184" s="38" t="n">
        <v>7200</v>
      </c>
      <c r="F184" s="38" t="n">
        <v>7200</v>
      </c>
      <c r="G184" s="18" t="inlineStr">
        <is>
          <t>Z/Y</t>
        </is>
      </c>
      <c r="H184" s="38" t="n">
        <v>3600</v>
      </c>
      <c r="I184" s="44" t="n">
        <v>-3550.6</v>
      </c>
      <c r="J184" s="38" t="n">
        <v>-3600</v>
      </c>
      <c r="K184" s="44" t="n">
        <v>-3550.6</v>
      </c>
      <c r="L184" s="18" t="inlineStr">
        <is>
          <t>1</t>
        </is>
      </c>
      <c r="M184" s="18" t="inlineStr">
        <is>
          <t>E021</t>
        </is>
      </c>
      <c r="N184" s="18" t="inlineStr">
        <is>
          <t>D872FF</t>
        </is>
      </c>
    </row>
    <row r="185">
      <c r="A185" s="18" t="inlineStr">
        <is>
          <t>DWG0178</t>
        </is>
      </c>
      <c r="B185" s="18" t="inlineStr">
        <is>
          <t>E01A</t>
        </is>
      </c>
      <c r="C185" s="18" t="inlineStr">
        <is>
          <t>1</t>
        </is>
      </c>
      <c r="D185" s="18" t="inlineStr">
        <is>
          <t>horizontal</t>
        </is>
      </c>
      <c r="E185" s="38" t="n">
        <v>3760</v>
      </c>
      <c r="F185" s="38" t="n">
        <v>3760</v>
      </c>
      <c r="G185" s="18" t="inlineStr">
        <is>
          <t>Z/Y</t>
        </is>
      </c>
      <c r="H185" s="38" t="n">
        <v>7360</v>
      </c>
      <c r="I185" s="44" t="n">
        <v>-3550.6</v>
      </c>
      <c r="J185" s="38" t="n">
        <v>3600</v>
      </c>
      <c r="K185" s="44" t="n">
        <v>-3550.6</v>
      </c>
      <c r="L185" s="18" t="inlineStr">
        <is>
          <t>1</t>
        </is>
      </c>
      <c r="M185" s="18" t="inlineStr">
        <is>
          <t>E020 E022</t>
        </is>
      </c>
      <c r="N185" s="18" t="inlineStr">
        <is>
          <t>D872FE</t>
        </is>
      </c>
    </row>
    <row r="186">
      <c r="A186" s="18" t="inlineStr">
        <is>
          <t>DWG0179</t>
        </is>
      </c>
      <c r="B186" s="18" t="inlineStr">
        <is>
          <t>E01A</t>
        </is>
      </c>
      <c r="C186" s="18" t="inlineStr">
        <is>
          <t>1</t>
        </is>
      </c>
      <c r="D186" s="18" t="inlineStr">
        <is>
          <t>horizontal</t>
        </is>
      </c>
      <c r="E186" s="38" t="n">
        <v>3054</v>
      </c>
      <c r="F186" s="38" t="n">
        <v>3054</v>
      </c>
      <c r="G186" s="18" t="inlineStr">
        <is>
          <t>Z/Y</t>
        </is>
      </c>
      <c r="H186" s="38" t="n">
        <v>10414</v>
      </c>
      <c r="I186" s="44" t="n">
        <v>-3550.6</v>
      </c>
      <c r="J186" s="38" t="n">
        <v>7360</v>
      </c>
      <c r="K186" s="44" t="n">
        <v>-3550.6</v>
      </c>
      <c r="L186" s="18" t="inlineStr">
        <is>
          <t>1</t>
        </is>
      </c>
      <c r="M186" s="18" t="inlineStr">
        <is>
          <t>E019 E023</t>
        </is>
      </c>
      <c r="N186" s="18" t="inlineStr">
        <is>
          <t>D872FD</t>
        </is>
      </c>
    </row>
    <row r="187">
      <c r="A187" s="18" t="inlineStr">
        <is>
          <t>DWG0180</t>
        </is>
      </c>
      <c r="B187" s="18" t="inlineStr">
        <is>
          <t>E01A</t>
        </is>
      </c>
      <c r="C187" s="18" t="inlineStr">
        <is>
          <t>1</t>
        </is>
      </c>
      <c r="D187" s="18" t="inlineStr">
        <is>
          <t>horizontal</t>
        </is>
      </c>
      <c r="E187" s="44" t="n">
        <v>1024.1</v>
      </c>
      <c r="F187" s="38" t="n">
        <v>1024</v>
      </c>
      <c r="G187" s="18" t="inlineStr">
        <is>
          <t>Z/Y</t>
        </is>
      </c>
      <c r="H187" s="38" t="n">
        <v>-12603</v>
      </c>
      <c r="I187" s="44" t="n">
        <v>-3068.4</v>
      </c>
      <c r="J187" s="44" t="n">
        <v>-13627.1</v>
      </c>
      <c r="K187" s="44" t="n">
        <v>-2580.4</v>
      </c>
      <c r="L187" s="18" t="inlineStr">
        <is>
          <t>1</t>
        </is>
      </c>
      <c r="M187" s="18" t="inlineStr">
        <is>
          <t>E017 E025</t>
        </is>
      </c>
      <c r="N187" s="18" t="inlineStr">
        <is>
          <t>D87303</t>
        </is>
      </c>
    </row>
    <row r="188">
      <c r="A188" s="18" t="inlineStr">
        <is>
          <t>DWG0181</t>
        </is>
      </c>
      <c r="B188" s="18" t="inlineStr">
        <is>
          <t>E01A</t>
        </is>
      </c>
      <c r="C188" s="18" t="inlineStr">
        <is>
          <t>1</t>
        </is>
      </c>
      <c r="D188" s="18" t="inlineStr">
        <is>
          <t>horizontal</t>
        </is>
      </c>
      <c r="E188" s="38" t="n">
        <v>2189</v>
      </c>
      <c r="F188" s="38" t="n">
        <v>2189</v>
      </c>
      <c r="G188" s="18" t="inlineStr">
        <is>
          <t>Z/Y</t>
        </is>
      </c>
      <c r="H188" s="38" t="n">
        <v>12603</v>
      </c>
      <c r="I188" s="44" t="n">
        <v>-3068.4</v>
      </c>
      <c r="J188" s="38" t="n">
        <v>10414</v>
      </c>
      <c r="K188" s="44" t="n">
        <v>-3550.6</v>
      </c>
      <c r="L188" s="18" t="inlineStr">
        <is>
          <t>1</t>
        </is>
      </c>
      <c r="M188" s="18" t="inlineStr">
        <is>
          <t>E018 E024</t>
        </is>
      </c>
      <c r="N188" s="18" t="inlineStr">
        <is>
          <t>D872FC</t>
        </is>
      </c>
    </row>
    <row r="189">
      <c r="A189" s="18" t="inlineStr">
        <is>
          <t>DWG0182</t>
        </is>
      </c>
      <c r="B189" s="18" t="inlineStr">
        <is>
          <t>E01A</t>
        </is>
      </c>
      <c r="C189" s="18" t="inlineStr">
        <is>
          <t>1</t>
        </is>
      </c>
      <c r="D189" s="18" t="inlineStr">
        <is>
          <t>horizontal</t>
        </is>
      </c>
      <c r="E189" s="38" t="n">
        <v>343</v>
      </c>
      <c r="F189" s="38" t="n">
        <v>343</v>
      </c>
      <c r="G189" s="18" t="inlineStr">
        <is>
          <t>Z/Y</t>
        </is>
      </c>
      <c r="H189" s="38" t="n">
        <v>7703</v>
      </c>
      <c r="I189" s="44" t="n">
        <v>-2691.9</v>
      </c>
      <c r="J189" s="38" t="n">
        <v>7360</v>
      </c>
      <c r="K189" s="44" t="n">
        <v>-5134.2</v>
      </c>
      <c r="L189" s="18" t="inlineStr">
        <is>
          <t>1</t>
        </is>
      </c>
      <c r="M189" s="18" t="inlineStr">
        <is>
          <t>E028 E032</t>
        </is>
      </c>
      <c r="N189" s="18" t="inlineStr">
        <is>
          <t>D87306</t>
        </is>
      </c>
    </row>
    <row r="190">
      <c r="A190" s="18" t="inlineStr">
        <is>
          <t>DWG0183</t>
        </is>
      </c>
      <c r="B190" s="18" t="inlineStr">
        <is>
          <t>E01A</t>
        </is>
      </c>
      <c r="C190" s="18" t="inlineStr">
        <is>
          <t>1</t>
        </is>
      </c>
      <c r="D190" s="18" t="inlineStr">
        <is>
          <t>horizontal</t>
        </is>
      </c>
      <c r="E190" s="38" t="n">
        <v>343</v>
      </c>
      <c r="F190" s="38" t="n">
        <v>343</v>
      </c>
      <c r="G190" s="18" t="inlineStr">
        <is>
          <t>Z/Y</t>
        </is>
      </c>
      <c r="H190" s="38" t="n">
        <v>-7703</v>
      </c>
      <c r="I190" s="44" t="n">
        <v>-2667.5</v>
      </c>
      <c r="J190" s="38" t="n">
        <v>-7360</v>
      </c>
      <c r="K190" s="44" t="n">
        <v>-5109.9</v>
      </c>
      <c r="L190" s="18" t="inlineStr">
        <is>
          <t>1</t>
        </is>
      </c>
      <c r="M190" s="18" t="inlineStr">
        <is>
          <t>E028 E032</t>
        </is>
      </c>
      <c r="N190" s="18" t="inlineStr">
        <is>
          <t>D8730D</t>
        </is>
      </c>
    </row>
    <row r="191">
      <c r="A191" s="18" t="inlineStr">
        <is>
          <t>DWG0184</t>
        </is>
      </c>
      <c r="B191" s="18" t="inlineStr">
        <is>
          <t>E01A</t>
        </is>
      </c>
      <c r="C191" s="18" t="inlineStr">
        <is>
          <t>1</t>
        </is>
      </c>
      <c r="D191" s="18" t="inlineStr">
        <is>
          <t>horizontal</t>
        </is>
      </c>
      <c r="E191" s="44" t="n">
        <v>1024.1</v>
      </c>
      <c r="F191" s="38" t="n">
        <v>1024</v>
      </c>
      <c r="G191" s="18" t="inlineStr">
        <is>
          <t>Z/Y</t>
        </is>
      </c>
      <c r="H191" s="44" t="n">
        <v>13627.1</v>
      </c>
      <c r="I191" s="44" t="n">
        <v>-2659.6</v>
      </c>
      <c r="J191" s="38" t="n">
        <v>12603</v>
      </c>
      <c r="K191" s="44" t="n">
        <v>-3068.4</v>
      </c>
      <c r="L191" s="18" t="inlineStr">
        <is>
          <t>1</t>
        </is>
      </c>
      <c r="M191" s="18" t="inlineStr">
        <is>
          <t>E017 E025</t>
        </is>
      </c>
      <c r="N191" s="18" t="inlineStr">
        <is>
          <t>D872FB</t>
        </is>
      </c>
    </row>
    <row r="192">
      <c r="A192" s="18" t="inlineStr">
        <is>
          <t>DWG0185</t>
        </is>
      </c>
      <c r="B192" s="18" t="inlineStr">
        <is>
          <t>E01A</t>
        </is>
      </c>
      <c r="C192" s="18" t="inlineStr">
        <is>
          <t>1</t>
        </is>
      </c>
      <c r="D192" s="18" t="inlineStr">
        <is>
          <t>horizontal</t>
        </is>
      </c>
      <c r="E192" s="38" t="n">
        <v>4900</v>
      </c>
      <c r="F192" s="38" t="n">
        <v>4900</v>
      </c>
      <c r="G192" s="18" t="inlineStr">
        <is>
          <t>Z/Y</t>
        </is>
      </c>
      <c r="H192" s="38" t="n">
        <v>-12603</v>
      </c>
      <c r="I192" s="38" t="n">
        <v>-2080</v>
      </c>
      <c r="J192" s="38" t="n">
        <v>-7703</v>
      </c>
      <c r="K192" s="38" t="n">
        <v>-2080</v>
      </c>
      <c r="L192" s="18" t="inlineStr">
        <is>
          <t>1</t>
        </is>
      </c>
      <c r="M192" s="18" t="inlineStr">
        <is>
          <t>E027 E033 E034</t>
        </is>
      </c>
      <c r="N192" s="18" t="inlineStr">
        <is>
          <t>D8730A</t>
        </is>
      </c>
    </row>
    <row r="193">
      <c r="A193" s="18" t="inlineStr">
        <is>
          <t>DWG0186</t>
        </is>
      </c>
      <c r="B193" s="18" t="inlineStr">
        <is>
          <t>E01A</t>
        </is>
      </c>
      <c r="C193" s="18" t="inlineStr">
        <is>
          <t>1</t>
        </is>
      </c>
      <c r="D193" s="18" t="inlineStr">
        <is>
          <t>horizontal</t>
        </is>
      </c>
      <c r="E193" s="38" t="n">
        <v>4900</v>
      </c>
      <c r="F193" s="38" t="n">
        <v>4900</v>
      </c>
      <c r="G193" s="18" t="inlineStr">
        <is>
          <t>Z/Y</t>
        </is>
      </c>
      <c r="H193" s="38" t="n">
        <v>12603</v>
      </c>
      <c r="I193" s="38" t="n">
        <v>-2080</v>
      </c>
      <c r="J193" s="38" t="n">
        <v>7703</v>
      </c>
      <c r="K193" s="38" t="n">
        <v>-2080</v>
      </c>
      <c r="L193" s="18" t="inlineStr">
        <is>
          <t>1</t>
        </is>
      </c>
      <c r="M193" s="18" t="inlineStr">
        <is>
          <t>E027 E033 E034</t>
        </is>
      </c>
      <c r="N193" s="18" t="inlineStr">
        <is>
          <t>D87305</t>
        </is>
      </c>
    </row>
    <row r="194">
      <c r="A194" s="18" t="inlineStr">
        <is>
          <t>DWG0187</t>
        </is>
      </c>
      <c r="B194" s="18" t="inlineStr">
        <is>
          <t>E01A</t>
        </is>
      </c>
      <c r="C194" s="18" t="inlineStr">
        <is>
          <t>1</t>
        </is>
      </c>
      <c r="D194" s="18" t="inlineStr">
        <is>
          <t>vertical</t>
        </is>
      </c>
      <c r="E194" s="38" t="n">
        <v>39000</v>
      </c>
      <c r="F194" s="38" t="n">
        <v>39000</v>
      </c>
      <c r="G194" s="18" t="inlineStr">
        <is>
          <t>Z/Y</t>
        </is>
      </c>
      <c r="H194" s="44" t="n">
        <v>-15358.6</v>
      </c>
      <c r="I194" s="38" t="n">
        <v>-2080</v>
      </c>
      <c r="J194" s="44" t="n">
        <v>-15358.6</v>
      </c>
      <c r="K194" s="38" t="n">
        <v>36920</v>
      </c>
      <c r="L194" s="18" t="inlineStr">
        <is>
          <t>1</t>
        </is>
      </c>
      <c r="M194" s="18" t="inlineStr">
        <is>
          <t>E016</t>
        </is>
      </c>
      <c r="N194" s="18" t="inlineStr">
        <is>
          <t>D87318</t>
        </is>
      </c>
    </row>
    <row r="195">
      <c r="A195" s="18" t="inlineStr">
        <is>
          <t>DWG0188</t>
        </is>
      </c>
      <c r="B195" s="18" t="inlineStr">
        <is>
          <t>E01A</t>
        </is>
      </c>
      <c r="C195" s="18" t="inlineStr">
        <is>
          <t>1</t>
        </is>
      </c>
      <c r="D195" s="18" t="inlineStr">
        <is>
          <t>vertical</t>
        </is>
      </c>
      <c r="E195" s="38" t="n">
        <v>2080</v>
      </c>
      <c r="F195" s="38" t="n">
        <v>2080</v>
      </c>
      <c r="G195" s="18" t="inlineStr">
        <is>
          <t>Z/Y</t>
        </is>
      </c>
      <c r="H195" s="44" t="n">
        <v>-14753.5</v>
      </c>
      <c r="I195" s="38" t="n">
        <v>-2080</v>
      </c>
      <c r="J195" s="44" t="n">
        <v>-14551.9</v>
      </c>
      <c r="K195" s="38" t="n">
        <v>0</v>
      </c>
      <c r="L195" s="18" t="inlineStr">
        <is>
          <t>1</t>
        </is>
      </c>
      <c r="M195" s="18" t="inlineStr">
        <is>
          <t>E008</t>
        </is>
      </c>
      <c r="N195" s="18" t="inlineStr">
        <is>
          <t>D8730E</t>
        </is>
      </c>
    </row>
    <row r="196">
      <c r="A196" s="18" t="inlineStr">
        <is>
          <t>DWG0189</t>
        </is>
      </c>
      <c r="B196" s="18" t="inlineStr">
        <is>
          <t>E01A</t>
        </is>
      </c>
      <c r="C196" s="18" t="inlineStr">
        <is>
          <t>1</t>
        </is>
      </c>
      <c r="D196" s="18" t="inlineStr">
        <is>
          <t>vertical</t>
        </is>
      </c>
      <c r="E196" s="38" t="n">
        <v>8390</v>
      </c>
      <c r="F196" s="38" t="n">
        <v>8390</v>
      </c>
      <c r="G196" s="18" t="inlineStr">
        <is>
          <t>Z/Y</t>
        </is>
      </c>
      <c r="H196" s="44" t="n">
        <v>-14551.9</v>
      </c>
      <c r="I196" s="38" t="n">
        <v>0</v>
      </c>
      <c r="J196" s="44" t="n">
        <v>-14331.3</v>
      </c>
      <c r="K196" s="38" t="n">
        <v>8390</v>
      </c>
      <c r="L196" s="18" t="inlineStr">
        <is>
          <t>1</t>
        </is>
      </c>
      <c r="M196" s="18" t="inlineStr">
        <is>
          <t>E003 E009</t>
        </is>
      </c>
      <c r="N196" s="18" t="inlineStr">
        <is>
          <t>D8730F</t>
        </is>
      </c>
    </row>
    <row r="197">
      <c r="A197" s="18" t="inlineStr">
        <is>
          <t>DWG0190</t>
        </is>
      </c>
      <c r="B197" s="18" t="inlineStr">
        <is>
          <t>E01A</t>
        </is>
      </c>
      <c r="C197" s="18" t="inlineStr">
        <is>
          <t>1</t>
        </is>
      </c>
      <c r="D197" s="18" t="inlineStr">
        <is>
          <t>vertical</t>
        </is>
      </c>
      <c r="E197" s="38" t="n">
        <v>7450</v>
      </c>
      <c r="F197" s="38" t="n">
        <v>7450</v>
      </c>
      <c r="G197" s="18" t="inlineStr">
        <is>
          <t>Z/Y</t>
        </is>
      </c>
      <c r="H197" s="44" t="n">
        <v>-14331.3</v>
      </c>
      <c r="I197" s="38" t="n">
        <v>8390</v>
      </c>
      <c r="J197" s="44" t="n">
        <v>-14191.3</v>
      </c>
      <c r="K197" s="38" t="n">
        <v>15840</v>
      </c>
      <c r="L197" s="18" t="inlineStr">
        <is>
          <t>1</t>
        </is>
      </c>
      <c r="M197" s="18" t="inlineStr">
        <is>
          <t>E010</t>
        </is>
      </c>
      <c r="N197" s="18" t="inlineStr">
        <is>
          <t>D87310</t>
        </is>
      </c>
    </row>
    <row r="198">
      <c r="A198" s="18" t="inlineStr">
        <is>
          <t>DWG0191</t>
        </is>
      </c>
      <c r="B198" s="18" t="inlineStr">
        <is>
          <t>E01A</t>
        </is>
      </c>
      <c r="C198" s="18" t="inlineStr">
        <is>
          <t>1</t>
        </is>
      </c>
      <c r="D198" s="18" t="inlineStr">
        <is>
          <t>vertical</t>
        </is>
      </c>
      <c r="E198" s="44" t="n">
        <v>3984.8</v>
      </c>
      <c r="F198" s="38" t="n">
        <v>3985</v>
      </c>
      <c r="G198" s="18" t="inlineStr">
        <is>
          <t>Z/Y</t>
        </is>
      </c>
      <c r="H198" s="44" t="n">
        <v>-5349.9</v>
      </c>
      <c r="I198" s="44" t="n">
        <v>3984.8</v>
      </c>
      <c r="J198" s="44" t="n">
        <v>-5349.9</v>
      </c>
      <c r="K198" s="38" t="n">
        <v>0</v>
      </c>
      <c r="L198" s="18" t="inlineStr">
        <is>
          <t>1</t>
        </is>
      </c>
      <c r="M198" s="18" t="inlineStr"/>
      <c r="N198" s="18" t="inlineStr">
        <is>
          <t>D8D8B5</t>
        </is>
      </c>
    </row>
    <row r="199">
      <c r="A199" s="18" t="inlineStr">
        <is>
          <t>DWG0192</t>
        </is>
      </c>
      <c r="B199" s="18" t="inlineStr">
        <is>
          <t>E01A</t>
        </is>
      </c>
      <c r="C199" s="18" t="inlineStr">
        <is>
          <t>1</t>
        </is>
      </c>
      <c r="D199" s="18" t="inlineStr">
        <is>
          <t>vertical</t>
        </is>
      </c>
      <c r="E199" s="38" t="n">
        <v>3756</v>
      </c>
      <c r="F199" s="38" t="n">
        <v>3756</v>
      </c>
      <c r="G199" s="18" t="inlineStr">
        <is>
          <t>Z/Y</t>
        </is>
      </c>
      <c r="H199" s="44" t="n">
        <v>-5141.7</v>
      </c>
      <c r="I199" s="38" t="n">
        <v>3756</v>
      </c>
      <c r="J199" s="44" t="n">
        <v>-5141.7</v>
      </c>
      <c r="K199" s="38" t="n">
        <v>0</v>
      </c>
      <c r="L199" s="18" t="inlineStr">
        <is>
          <t>1</t>
        </is>
      </c>
      <c r="M199" s="18" t="inlineStr">
        <is>
          <t>E035</t>
        </is>
      </c>
      <c r="N199" s="18" t="inlineStr">
        <is>
          <t>D8D8B8</t>
        </is>
      </c>
    </row>
    <row r="200">
      <c r="A200" s="18" t="inlineStr">
        <is>
          <t>DWG0193</t>
        </is>
      </c>
      <c r="B200" s="18" t="inlineStr">
        <is>
          <t>E01A</t>
        </is>
      </c>
      <c r="C200" s="18" t="inlineStr">
        <is>
          <t>1</t>
        </is>
      </c>
      <c r="D200" s="18" t="inlineStr">
        <is>
          <t>vertical</t>
        </is>
      </c>
      <c r="E200" s="44" t="n">
        <v>228.8</v>
      </c>
      <c r="F200" s="38" t="n">
        <v>229</v>
      </c>
      <c r="G200" s="18" t="inlineStr">
        <is>
          <t>Z/Y</t>
        </is>
      </c>
      <c r="H200" s="38" t="n">
        <v>5350</v>
      </c>
      <c r="I200" s="38" t="n">
        <v>3756</v>
      </c>
      <c r="J200" s="38" t="n">
        <v>5350</v>
      </c>
      <c r="K200" s="44" t="n">
        <v>3984.8</v>
      </c>
      <c r="L200" s="18" t="inlineStr">
        <is>
          <t>1</t>
        </is>
      </c>
      <c r="M200" s="18" t="inlineStr"/>
      <c r="N200" s="18" t="inlineStr">
        <is>
          <t>D8D8BB</t>
        </is>
      </c>
    </row>
    <row r="201">
      <c r="A201" s="18" t="inlineStr">
        <is>
          <t>DWG0194</t>
        </is>
      </c>
      <c r="B201" s="18" t="inlineStr">
        <is>
          <t>E01A</t>
        </is>
      </c>
      <c r="C201" s="18" t="inlineStr">
        <is>
          <t>1</t>
        </is>
      </c>
      <c r="D201" s="18" t="inlineStr">
        <is>
          <t>vertical</t>
        </is>
      </c>
      <c r="E201" s="44" t="n">
        <v>3984.8</v>
      </c>
      <c r="F201" s="38" t="n">
        <v>3985</v>
      </c>
      <c r="G201" s="18" t="inlineStr">
        <is>
          <t>Z/Y</t>
        </is>
      </c>
      <c r="H201" s="44" t="n">
        <v>5653.4</v>
      </c>
      <c r="I201" s="38" t="n">
        <v>0</v>
      </c>
      <c r="J201" s="38" t="n">
        <v>5790</v>
      </c>
      <c r="K201" s="44" t="n">
        <v>3984.8</v>
      </c>
      <c r="L201" s="18" t="inlineStr">
        <is>
          <t>1</t>
        </is>
      </c>
      <c r="M201" s="18" t="inlineStr"/>
      <c r="N201" s="18" t="inlineStr">
        <is>
          <t>D8D8C0</t>
        </is>
      </c>
    </row>
    <row r="202">
      <c r="A202" s="18" t="inlineStr">
        <is>
          <t>DWG0195</t>
        </is>
      </c>
      <c r="B202" s="18" t="inlineStr">
        <is>
          <t>E01B</t>
        </is>
      </c>
      <c r="C202" s="18" t="inlineStr">
        <is>
          <t>1</t>
        </is>
      </c>
      <c r="D202" s="18" t="inlineStr">
        <is>
          <t>horizontal</t>
        </is>
      </c>
      <c r="E202" s="44" t="n">
        <v>5958.8</v>
      </c>
      <c r="F202" s="38" t="n">
        <v>5959</v>
      </c>
      <c r="G202" s="18" t="inlineStr">
        <is>
          <t>Z/Y</t>
        </is>
      </c>
      <c r="H202" s="44" t="n">
        <v>2979.4</v>
      </c>
      <c r="I202" s="44" t="n">
        <v>-4522.4</v>
      </c>
      <c r="J202" s="44" t="n">
        <v>-2979.4</v>
      </c>
      <c r="K202" s="44" t="n">
        <v>-4522.4</v>
      </c>
      <c r="L202" s="18" t="inlineStr">
        <is>
          <t>1</t>
        </is>
      </c>
      <c r="M202" s="18" t="inlineStr">
        <is>
          <t>E030</t>
        </is>
      </c>
      <c r="N202" s="18" t="inlineStr">
        <is>
          <t>C45670</t>
        </is>
      </c>
    </row>
    <row r="203">
      <c r="A203" s="18" t="inlineStr">
        <is>
          <t>DWG0196</t>
        </is>
      </c>
      <c r="B203" s="18" t="inlineStr">
        <is>
          <t>E01B</t>
        </is>
      </c>
      <c r="C203" s="18" t="inlineStr">
        <is>
          <t>1</t>
        </is>
      </c>
      <c r="D203" s="18" t="inlineStr">
        <is>
          <t>horizontal</t>
        </is>
      </c>
      <c r="E203" s="44" t="n">
        <v>27254.2</v>
      </c>
      <c r="F203" s="38" t="n">
        <v>27254</v>
      </c>
      <c r="G203" s="18" t="inlineStr">
        <is>
          <t>Z/Y</t>
        </is>
      </c>
      <c r="H203" s="44" t="n">
        <v>13627.1</v>
      </c>
      <c r="I203" s="44" t="n">
        <v>-3820.6</v>
      </c>
      <c r="J203" s="44" t="n">
        <v>-13627.2</v>
      </c>
      <c r="K203" s="44" t="n">
        <v>-3820.6</v>
      </c>
      <c r="L203" s="18" t="inlineStr">
        <is>
          <t>1</t>
        </is>
      </c>
      <c r="M203" s="18" t="inlineStr">
        <is>
          <t>E026</t>
        </is>
      </c>
      <c r="N203" s="18" t="inlineStr">
        <is>
          <t>C4566D</t>
        </is>
      </c>
    </row>
    <row r="204">
      <c r="A204" s="18" t="inlineStr">
        <is>
          <t>DWG0197</t>
        </is>
      </c>
      <c r="B204" s="18" t="inlineStr">
        <is>
          <t>E01B</t>
        </is>
      </c>
      <c r="C204" s="18" t="inlineStr">
        <is>
          <t>1</t>
        </is>
      </c>
      <c r="D204" s="18" t="inlineStr">
        <is>
          <t>horizontal</t>
        </is>
      </c>
      <c r="E204" s="38" t="n">
        <v>2189</v>
      </c>
      <c r="F204" s="38" t="n">
        <v>2189</v>
      </c>
      <c r="G204" s="18" t="inlineStr">
        <is>
          <t>Z/Y</t>
        </is>
      </c>
      <c r="H204" s="38" t="n">
        <v>-10414</v>
      </c>
      <c r="I204" s="44" t="n">
        <v>-3764.1</v>
      </c>
      <c r="J204" s="38" t="n">
        <v>-12603</v>
      </c>
      <c r="K204" s="44" t="n">
        <v>-3068.4</v>
      </c>
      <c r="L204" s="18" t="inlineStr">
        <is>
          <t>1</t>
        </is>
      </c>
      <c r="M204" s="18" t="inlineStr">
        <is>
          <t>E018 E024</t>
        </is>
      </c>
      <c r="N204" s="18" t="inlineStr">
        <is>
          <t>C4566B</t>
        </is>
      </c>
    </row>
    <row r="205">
      <c r="A205" s="18" t="inlineStr">
        <is>
          <t>DWG0198</t>
        </is>
      </c>
      <c r="B205" s="18" t="inlineStr">
        <is>
          <t>E01B</t>
        </is>
      </c>
      <c r="C205" s="18" t="inlineStr">
        <is>
          <t>1</t>
        </is>
      </c>
      <c r="D205" s="18" t="inlineStr">
        <is>
          <t>horizontal</t>
        </is>
      </c>
      <c r="E205" s="38" t="n">
        <v>3054</v>
      </c>
      <c r="F205" s="38" t="n">
        <v>3054</v>
      </c>
      <c r="G205" s="18" t="inlineStr">
        <is>
          <t>Z/Y</t>
        </is>
      </c>
      <c r="H205" s="38" t="n">
        <v>-7360</v>
      </c>
      <c r="I205" s="44" t="n">
        <v>-3550.6</v>
      </c>
      <c r="J205" s="38" t="n">
        <v>-10414</v>
      </c>
      <c r="K205" s="44" t="n">
        <v>-3764.1</v>
      </c>
      <c r="L205" s="18" t="inlineStr">
        <is>
          <t>1</t>
        </is>
      </c>
      <c r="M205" s="18" t="inlineStr">
        <is>
          <t>E019 E023</t>
        </is>
      </c>
      <c r="N205" s="18" t="inlineStr">
        <is>
          <t>C4566A</t>
        </is>
      </c>
    </row>
    <row r="206">
      <c r="A206" s="18" t="inlineStr">
        <is>
          <t>DWG0199</t>
        </is>
      </c>
      <c r="B206" s="18" t="inlineStr">
        <is>
          <t>E01B</t>
        </is>
      </c>
      <c r="C206" s="18" t="inlineStr">
        <is>
          <t>1</t>
        </is>
      </c>
      <c r="D206" s="18" t="inlineStr">
        <is>
          <t>horizontal</t>
        </is>
      </c>
      <c r="E206" s="38" t="n">
        <v>3760</v>
      </c>
      <c r="F206" s="38" t="n">
        <v>3760</v>
      </c>
      <c r="G206" s="18" t="inlineStr">
        <is>
          <t>Z/Y</t>
        </is>
      </c>
      <c r="H206" s="38" t="n">
        <v>-3600</v>
      </c>
      <c r="I206" s="44" t="n">
        <v>-3550.6</v>
      </c>
      <c r="J206" s="38" t="n">
        <v>-7360</v>
      </c>
      <c r="K206" s="44" t="n">
        <v>-3550.6</v>
      </c>
      <c r="L206" s="18" t="inlineStr">
        <is>
          <t>1</t>
        </is>
      </c>
      <c r="M206" s="18" t="inlineStr">
        <is>
          <t>E020 E022</t>
        </is>
      </c>
      <c r="N206" s="18" t="inlineStr">
        <is>
          <t>C45669</t>
        </is>
      </c>
    </row>
    <row r="207">
      <c r="A207" s="18" t="inlineStr">
        <is>
          <t>DWG0200</t>
        </is>
      </c>
      <c r="B207" s="18" t="inlineStr">
        <is>
          <t>E01B</t>
        </is>
      </c>
      <c r="C207" s="18" t="inlineStr">
        <is>
          <t>1</t>
        </is>
      </c>
      <c r="D207" s="18" t="inlineStr">
        <is>
          <t>horizontal</t>
        </is>
      </c>
      <c r="E207" s="38" t="n">
        <v>7200</v>
      </c>
      <c r="F207" s="38" t="n">
        <v>7200</v>
      </c>
      <c r="G207" s="18" t="inlineStr">
        <is>
          <t>Z/Y</t>
        </is>
      </c>
      <c r="H207" s="38" t="n">
        <v>3600</v>
      </c>
      <c r="I207" s="44" t="n">
        <v>-3550.6</v>
      </c>
      <c r="J207" s="38" t="n">
        <v>-3600</v>
      </c>
      <c r="K207" s="44" t="n">
        <v>-3550.6</v>
      </c>
      <c r="L207" s="18" t="inlineStr">
        <is>
          <t>1</t>
        </is>
      </c>
      <c r="M207" s="18" t="inlineStr">
        <is>
          <t>E021</t>
        </is>
      </c>
      <c r="N207" s="18" t="inlineStr">
        <is>
          <t>C45668</t>
        </is>
      </c>
    </row>
    <row r="208">
      <c r="A208" s="18" t="inlineStr">
        <is>
          <t>DWG0201</t>
        </is>
      </c>
      <c r="B208" s="18" t="inlineStr">
        <is>
          <t>E01B</t>
        </is>
      </c>
      <c r="C208" s="18" t="inlineStr">
        <is>
          <t>1</t>
        </is>
      </c>
      <c r="D208" s="18" t="inlineStr">
        <is>
          <t>horizontal</t>
        </is>
      </c>
      <c r="E208" s="38" t="n">
        <v>3760</v>
      </c>
      <c r="F208" s="38" t="n">
        <v>3760</v>
      </c>
      <c r="G208" s="18" t="inlineStr">
        <is>
          <t>Z/Y</t>
        </is>
      </c>
      <c r="H208" s="38" t="n">
        <v>7360</v>
      </c>
      <c r="I208" s="44" t="n">
        <v>-3550.6</v>
      </c>
      <c r="J208" s="38" t="n">
        <v>3600</v>
      </c>
      <c r="K208" s="44" t="n">
        <v>-3550.6</v>
      </c>
      <c r="L208" s="18" t="inlineStr">
        <is>
          <t>1</t>
        </is>
      </c>
      <c r="M208" s="18" t="inlineStr">
        <is>
          <t>E020 E022</t>
        </is>
      </c>
      <c r="N208" s="18" t="inlineStr">
        <is>
          <t>C45667</t>
        </is>
      </c>
    </row>
    <row r="209">
      <c r="A209" s="18" t="inlineStr">
        <is>
          <t>DWG0202</t>
        </is>
      </c>
      <c r="B209" s="18" t="inlineStr">
        <is>
          <t>E01B</t>
        </is>
      </c>
      <c r="C209" s="18" t="inlineStr">
        <is>
          <t>1</t>
        </is>
      </c>
      <c r="D209" s="18" t="inlineStr">
        <is>
          <t>horizontal</t>
        </is>
      </c>
      <c r="E209" s="38" t="n">
        <v>3054</v>
      </c>
      <c r="F209" s="38" t="n">
        <v>3054</v>
      </c>
      <c r="G209" s="18" t="inlineStr">
        <is>
          <t>Z/Y</t>
        </is>
      </c>
      <c r="H209" s="38" t="n">
        <v>10414</v>
      </c>
      <c r="I209" s="44" t="n">
        <v>-3550.6</v>
      </c>
      <c r="J209" s="38" t="n">
        <v>7360</v>
      </c>
      <c r="K209" s="44" t="n">
        <v>-3550.6</v>
      </c>
      <c r="L209" s="18" t="inlineStr">
        <is>
          <t>1</t>
        </is>
      </c>
      <c r="M209" s="18" t="inlineStr">
        <is>
          <t>E019 E023</t>
        </is>
      </c>
      <c r="N209" s="18" t="inlineStr">
        <is>
          <t>C45666</t>
        </is>
      </c>
    </row>
    <row r="210">
      <c r="A210" s="18" t="inlineStr">
        <is>
          <t>DWG0203</t>
        </is>
      </c>
      <c r="B210" s="18" t="inlineStr">
        <is>
          <t>E01B</t>
        </is>
      </c>
      <c r="C210" s="18" t="inlineStr">
        <is>
          <t>1</t>
        </is>
      </c>
      <c r="D210" s="18" t="inlineStr">
        <is>
          <t>horizontal</t>
        </is>
      </c>
      <c r="E210" s="44" t="n">
        <v>1024.1</v>
      </c>
      <c r="F210" s="38" t="n">
        <v>1024</v>
      </c>
      <c r="G210" s="18" t="inlineStr">
        <is>
          <t>Z/Y</t>
        </is>
      </c>
      <c r="H210" s="38" t="n">
        <v>-12603</v>
      </c>
      <c r="I210" s="44" t="n">
        <v>-3068.4</v>
      </c>
      <c r="J210" s="44" t="n">
        <v>-13627.2</v>
      </c>
      <c r="K210" s="44" t="n">
        <v>-2580.4</v>
      </c>
      <c r="L210" s="18" t="inlineStr">
        <is>
          <t>1</t>
        </is>
      </c>
      <c r="M210" s="18" t="inlineStr">
        <is>
          <t>E017 E025</t>
        </is>
      </c>
      <c r="N210" s="18" t="inlineStr">
        <is>
          <t>C4566C</t>
        </is>
      </c>
    </row>
    <row r="211">
      <c r="A211" s="18" t="inlineStr">
        <is>
          <t>DWG0204</t>
        </is>
      </c>
      <c r="B211" s="18" t="inlineStr">
        <is>
          <t>E01B</t>
        </is>
      </c>
      <c r="C211" s="18" t="inlineStr">
        <is>
          <t>1</t>
        </is>
      </c>
      <c r="D211" s="18" t="inlineStr">
        <is>
          <t>horizontal</t>
        </is>
      </c>
      <c r="E211" s="38" t="n">
        <v>2189</v>
      </c>
      <c r="F211" s="38" t="n">
        <v>2189</v>
      </c>
      <c r="G211" s="18" t="inlineStr">
        <is>
          <t>Z/Y</t>
        </is>
      </c>
      <c r="H211" s="44" t="n">
        <v>12602.9</v>
      </c>
      <c r="I211" s="44" t="n">
        <v>-3068.4</v>
      </c>
      <c r="J211" s="38" t="n">
        <v>10414</v>
      </c>
      <c r="K211" s="44" t="n">
        <v>-3550.6</v>
      </c>
      <c r="L211" s="18" t="inlineStr">
        <is>
          <t>1</t>
        </is>
      </c>
      <c r="M211" s="18" t="inlineStr">
        <is>
          <t>E018 E024</t>
        </is>
      </c>
      <c r="N211" s="18" t="inlineStr">
        <is>
          <t>C45665</t>
        </is>
      </c>
    </row>
    <row r="212">
      <c r="A212" s="18" t="inlineStr">
        <is>
          <t>DWG0205</t>
        </is>
      </c>
      <c r="B212" s="18" t="inlineStr">
        <is>
          <t>E01B</t>
        </is>
      </c>
      <c r="C212" s="18" t="inlineStr">
        <is>
          <t>1</t>
        </is>
      </c>
      <c r="D212" s="18" t="inlineStr">
        <is>
          <t>horizontal</t>
        </is>
      </c>
      <c r="E212" s="44" t="n">
        <v>620.6</v>
      </c>
      <c r="F212" s="38" t="n">
        <v>621</v>
      </c>
      <c r="G212" s="18" t="inlineStr">
        <is>
          <t>Z/Y</t>
        </is>
      </c>
      <c r="H212" s="44" t="n">
        <v>-2979.4</v>
      </c>
      <c r="I212" s="38" t="n">
        <v>-2703</v>
      </c>
      <c r="J212" s="38" t="n">
        <v>-3600</v>
      </c>
      <c r="K212" s="44" t="n">
        <v>-5145.3</v>
      </c>
      <c r="L212" s="18" t="inlineStr">
        <is>
          <t>1</t>
        </is>
      </c>
      <c r="M212" s="18" t="inlineStr">
        <is>
          <t>E029 E031</t>
        </is>
      </c>
      <c r="N212" s="18" t="inlineStr">
        <is>
          <t>C45672</t>
        </is>
      </c>
    </row>
    <row r="213">
      <c r="A213" s="18" t="inlineStr">
        <is>
          <t>DWG0206</t>
        </is>
      </c>
      <c r="B213" s="18" t="inlineStr">
        <is>
          <t>E01B</t>
        </is>
      </c>
      <c r="C213" s="18" t="inlineStr">
        <is>
          <t>1</t>
        </is>
      </c>
      <c r="D213" s="18" t="inlineStr">
        <is>
          <t>horizontal</t>
        </is>
      </c>
      <c r="E213" s="44" t="n">
        <v>620.6</v>
      </c>
      <c r="F213" s="38" t="n">
        <v>621</v>
      </c>
      <c r="G213" s="18" t="inlineStr">
        <is>
          <t>Z/Y</t>
        </is>
      </c>
      <c r="H213" s="44" t="n">
        <v>2979.4</v>
      </c>
      <c r="I213" s="38" t="n">
        <v>-2703</v>
      </c>
      <c r="J213" s="38" t="n">
        <v>3600</v>
      </c>
      <c r="K213" s="44" t="n">
        <v>-5145.3</v>
      </c>
      <c r="L213" s="18" t="inlineStr">
        <is>
          <t>1</t>
        </is>
      </c>
      <c r="M213" s="18" t="inlineStr">
        <is>
          <t>E029 E031</t>
        </is>
      </c>
      <c r="N213" s="18" t="inlineStr">
        <is>
          <t>C45671</t>
        </is>
      </c>
    </row>
    <row r="214">
      <c r="A214" s="18" t="inlineStr">
        <is>
          <t>DWG0207</t>
        </is>
      </c>
      <c r="B214" s="18" t="inlineStr">
        <is>
          <t>E01B</t>
        </is>
      </c>
      <c r="C214" s="18" t="inlineStr">
        <is>
          <t>1</t>
        </is>
      </c>
      <c r="D214" s="18" t="inlineStr">
        <is>
          <t>horizontal</t>
        </is>
      </c>
      <c r="E214" s="38" t="n">
        <v>343</v>
      </c>
      <c r="F214" s="38" t="n">
        <v>343</v>
      </c>
      <c r="G214" s="18" t="inlineStr">
        <is>
          <t>Z/Y</t>
        </is>
      </c>
      <c r="H214" s="44" t="n">
        <v>7702.9</v>
      </c>
      <c r="I214" s="44" t="n">
        <v>-2691.9</v>
      </c>
      <c r="J214" s="38" t="n">
        <v>7360</v>
      </c>
      <c r="K214" s="44" t="n">
        <v>-5134.2</v>
      </c>
      <c r="L214" s="18" t="inlineStr">
        <is>
          <t>1</t>
        </is>
      </c>
      <c r="M214" s="18" t="inlineStr">
        <is>
          <t>E028 E032</t>
        </is>
      </c>
      <c r="N214" s="18" t="inlineStr">
        <is>
          <t>C4566F</t>
        </is>
      </c>
    </row>
    <row r="215">
      <c r="A215" s="18" t="inlineStr">
        <is>
          <t>DWG0208</t>
        </is>
      </c>
      <c r="B215" s="18" t="inlineStr">
        <is>
          <t>E01B</t>
        </is>
      </c>
      <c r="C215" s="18" t="inlineStr">
        <is>
          <t>1</t>
        </is>
      </c>
      <c r="D215" s="18" t="inlineStr">
        <is>
          <t>horizontal</t>
        </is>
      </c>
      <c r="E215" s="38" t="n">
        <v>343</v>
      </c>
      <c r="F215" s="38" t="n">
        <v>343</v>
      </c>
      <c r="G215" s="18" t="inlineStr">
        <is>
          <t>Z/Y</t>
        </is>
      </c>
      <c r="H215" s="38" t="n">
        <v>-7703</v>
      </c>
      <c r="I215" s="44" t="n">
        <v>-2667.5</v>
      </c>
      <c r="J215" s="38" t="n">
        <v>-7360</v>
      </c>
      <c r="K215" s="44" t="n">
        <v>-5109.9</v>
      </c>
      <c r="L215" s="18" t="inlineStr">
        <is>
          <t>1</t>
        </is>
      </c>
      <c r="M215" s="18" t="inlineStr">
        <is>
          <t>E028 E032</t>
        </is>
      </c>
      <c r="N215" s="18" t="inlineStr">
        <is>
          <t>C45676</t>
        </is>
      </c>
    </row>
    <row r="216">
      <c r="A216" s="18" t="inlineStr">
        <is>
          <t>DWG0209</t>
        </is>
      </c>
      <c r="B216" s="18" t="inlineStr">
        <is>
          <t>E01B</t>
        </is>
      </c>
      <c r="C216" s="18" t="inlineStr">
        <is>
          <t>1</t>
        </is>
      </c>
      <c r="D216" s="18" t="inlineStr">
        <is>
          <t>horizontal</t>
        </is>
      </c>
      <c r="E216" s="44" t="n">
        <v>1024.1</v>
      </c>
      <c r="F216" s="38" t="n">
        <v>1024</v>
      </c>
      <c r="G216" s="18" t="inlineStr">
        <is>
          <t>Z/Y</t>
        </is>
      </c>
      <c r="H216" s="44" t="n">
        <v>13627.1</v>
      </c>
      <c r="I216" s="44" t="n">
        <v>-2659.6</v>
      </c>
      <c r="J216" s="44" t="n">
        <v>12602.9</v>
      </c>
      <c r="K216" s="44" t="n">
        <v>-3068.4</v>
      </c>
      <c r="L216" s="18" t="inlineStr">
        <is>
          <t>1</t>
        </is>
      </c>
      <c r="M216" s="18" t="inlineStr">
        <is>
          <t>E017 E025</t>
        </is>
      </c>
      <c r="N216" s="18" t="inlineStr">
        <is>
          <t>C45664</t>
        </is>
      </c>
    </row>
    <row r="217">
      <c r="A217" s="18" t="inlineStr">
        <is>
          <t>DWG0210</t>
        </is>
      </c>
      <c r="B217" s="18" t="inlineStr">
        <is>
          <t>E01B</t>
        </is>
      </c>
      <c r="C217" s="18" t="inlineStr">
        <is>
          <t>1</t>
        </is>
      </c>
      <c r="D217" s="18" t="inlineStr">
        <is>
          <t>horizontal</t>
        </is>
      </c>
      <c r="E217" s="38" t="n">
        <v>4900</v>
      </c>
      <c r="F217" s="38" t="n">
        <v>4900</v>
      </c>
      <c r="G217" s="18" t="inlineStr">
        <is>
          <t>Z/Y</t>
        </is>
      </c>
      <c r="H217" s="38" t="n">
        <v>-12603</v>
      </c>
      <c r="I217" s="38" t="n">
        <v>-2080</v>
      </c>
      <c r="J217" s="38" t="n">
        <v>-7703</v>
      </c>
      <c r="K217" s="38" t="n">
        <v>-2080</v>
      </c>
      <c r="L217" s="18" t="inlineStr">
        <is>
          <t>1</t>
        </is>
      </c>
      <c r="M217" s="18" t="inlineStr">
        <is>
          <t>E027 E033 E034</t>
        </is>
      </c>
      <c r="N217" s="18" t="inlineStr">
        <is>
          <t>C45673</t>
        </is>
      </c>
    </row>
    <row r="218">
      <c r="A218" s="18" t="inlineStr">
        <is>
          <t>DWG0211</t>
        </is>
      </c>
      <c r="B218" s="18" t="inlineStr">
        <is>
          <t>E01B</t>
        </is>
      </c>
      <c r="C218" s="18" t="inlineStr">
        <is>
          <t>1</t>
        </is>
      </c>
      <c r="D218" s="18" t="inlineStr">
        <is>
          <t>horizontal</t>
        </is>
      </c>
      <c r="E218" s="38" t="n">
        <v>4900</v>
      </c>
      <c r="F218" s="38" t="n">
        <v>4900</v>
      </c>
      <c r="G218" s="18" t="inlineStr">
        <is>
          <t>Z/Y</t>
        </is>
      </c>
      <c r="H218" s="44" t="n">
        <v>12602.9</v>
      </c>
      <c r="I218" s="38" t="n">
        <v>-2080</v>
      </c>
      <c r="J218" s="44" t="n">
        <v>7702.9</v>
      </c>
      <c r="K218" s="38" t="n">
        <v>-2080</v>
      </c>
      <c r="L218" s="18" t="inlineStr">
        <is>
          <t>1</t>
        </is>
      </c>
      <c r="M218" s="18" t="inlineStr">
        <is>
          <t>E027 E033 E034</t>
        </is>
      </c>
      <c r="N218" s="18" t="inlineStr">
        <is>
          <t>C4566E</t>
        </is>
      </c>
    </row>
    <row r="219">
      <c r="A219" s="18" t="inlineStr">
        <is>
          <t>DWG0212</t>
        </is>
      </c>
      <c r="B219" s="18" t="inlineStr">
        <is>
          <t>E01B</t>
        </is>
      </c>
      <c r="C219" s="18" t="inlineStr">
        <is>
          <t>1</t>
        </is>
      </c>
      <c r="D219" s="18" t="inlineStr">
        <is>
          <t>horizontal</t>
        </is>
      </c>
      <c r="E219" s="44" t="n">
        <v>2979.4</v>
      </c>
      <c r="F219" s="38" t="n">
        <v>2979</v>
      </c>
      <c r="G219" s="18" t="inlineStr">
        <is>
          <t>Z/Y</t>
        </is>
      </c>
      <c r="H219" s="44" t="n">
        <v>2979.4</v>
      </c>
      <c r="I219" s="38" t="n">
        <v>0</v>
      </c>
      <c r="J219" s="38" t="n">
        <v>0</v>
      </c>
      <c r="K219" s="38" t="n">
        <v>0</v>
      </c>
      <c r="L219" s="18" t="inlineStr">
        <is>
          <t>1</t>
        </is>
      </c>
      <c r="M219" s="18" t="inlineStr"/>
      <c r="N219" s="18" t="inlineStr">
        <is>
          <t>D7FF61</t>
        </is>
      </c>
    </row>
    <row r="220">
      <c r="A220" s="18" t="inlineStr">
        <is>
          <t>DWG0213</t>
        </is>
      </c>
      <c r="B220" s="18" t="inlineStr">
        <is>
          <t>E01B</t>
        </is>
      </c>
      <c r="C220" s="18" t="inlineStr">
        <is>
          <t>1</t>
        </is>
      </c>
      <c r="D220" s="18" t="inlineStr">
        <is>
          <t>horizontal</t>
        </is>
      </c>
      <c r="E220" s="44" t="n">
        <v>2370.6</v>
      </c>
      <c r="F220" s="38" t="n">
        <v>2371</v>
      </c>
      <c r="G220" s="18" t="inlineStr">
        <is>
          <t>Z/Y</t>
        </is>
      </c>
      <c r="H220" s="38" t="n">
        <v>5350</v>
      </c>
      <c r="I220" s="38" t="n">
        <v>3756</v>
      </c>
      <c r="J220" s="44" t="n">
        <v>2979.4</v>
      </c>
      <c r="K220" s="44" t="n">
        <v>1503.6</v>
      </c>
      <c r="L220" s="18" t="inlineStr">
        <is>
          <t>1</t>
        </is>
      </c>
      <c r="M220" s="18" t="inlineStr"/>
      <c r="N220" s="18" t="inlineStr">
        <is>
          <t>D8005A</t>
        </is>
      </c>
    </row>
    <row r="221">
      <c r="A221" s="18" t="inlineStr">
        <is>
          <t>DWG0214</t>
        </is>
      </c>
      <c r="B221" s="18" t="inlineStr">
        <is>
          <t>E01B</t>
        </is>
      </c>
      <c r="C221" s="18" t="inlineStr">
        <is>
          <t>1</t>
        </is>
      </c>
      <c r="D221" s="18" t="inlineStr">
        <is>
          <t>horizontal</t>
        </is>
      </c>
      <c r="E221" s="44" t="n">
        <v>193.3</v>
      </c>
      <c r="F221" s="38" t="n">
        <v>193</v>
      </c>
      <c r="G221" s="18" t="inlineStr">
        <is>
          <t>Z/Y</t>
        </is>
      </c>
      <c r="H221" s="38" t="n">
        <v>-6980</v>
      </c>
      <c r="I221" s="44" t="n">
        <v>7988.3</v>
      </c>
      <c r="J221" s="44" t="n">
        <v>-6786.7</v>
      </c>
      <c r="K221" s="38" t="n">
        <v>8342</v>
      </c>
      <c r="L221" s="18" t="inlineStr">
        <is>
          <t>1</t>
        </is>
      </c>
      <c r="M221" s="18" t="inlineStr"/>
      <c r="N221" s="18" t="inlineStr">
        <is>
          <t>D7F8DC</t>
        </is>
      </c>
    </row>
    <row r="222">
      <c r="A222" s="18" t="inlineStr">
        <is>
          <t>DWG0215</t>
        </is>
      </c>
      <c r="B222" s="18" t="inlineStr">
        <is>
          <t>E01B</t>
        </is>
      </c>
      <c r="C222" s="18" t="inlineStr">
        <is>
          <t>1</t>
        </is>
      </c>
      <c r="D222" s="18" t="inlineStr">
        <is>
          <t>horizontal</t>
        </is>
      </c>
      <c r="E222" s="38" t="n">
        <v>540</v>
      </c>
      <c r="F222" s="38" t="n">
        <v>540</v>
      </c>
      <c r="G222" s="18" t="inlineStr">
        <is>
          <t>Z/Y</t>
        </is>
      </c>
      <c r="H222" s="44" t="n">
        <v>3249.4</v>
      </c>
      <c r="I222" s="44" t="n">
        <v>8386.6</v>
      </c>
      <c r="J222" s="44" t="n">
        <v>2709.4</v>
      </c>
      <c r="K222" s="44" t="n">
        <v>8386.6</v>
      </c>
      <c r="L222" s="18" t="inlineStr">
        <is>
          <t>1</t>
        </is>
      </c>
      <c r="M222" s="18" t="inlineStr"/>
      <c r="N222" s="18" t="inlineStr">
        <is>
          <t>D7F930</t>
        </is>
      </c>
    </row>
    <row r="223">
      <c r="A223" s="18" t="inlineStr">
        <is>
          <t>DWG0216</t>
        </is>
      </c>
      <c r="B223" s="18" t="inlineStr">
        <is>
          <t>E01B</t>
        </is>
      </c>
      <c r="C223" s="18" t="inlineStr">
        <is>
          <t>1</t>
        </is>
      </c>
      <c r="D223" s="18" t="inlineStr">
        <is>
          <t>horizontal</t>
        </is>
      </c>
      <c r="E223" s="44" t="n">
        <v>223.6</v>
      </c>
      <c r="F223" s="38" t="n">
        <v>224</v>
      </c>
      <c r="G223" s="18" t="inlineStr">
        <is>
          <t>Z/Y</t>
        </is>
      </c>
      <c r="H223" s="44" t="n">
        <v>-3487.4</v>
      </c>
      <c r="I223" s="44" t="n">
        <v>9276.9</v>
      </c>
      <c r="J223" s="38" t="n">
        <v>-3711</v>
      </c>
      <c r="K223" s="44" t="n">
        <v>9683.299999999999</v>
      </c>
      <c r="L223" s="18" t="inlineStr">
        <is>
          <t>1</t>
        </is>
      </c>
      <c r="M223" s="18" t="inlineStr"/>
      <c r="N223" s="18" t="inlineStr">
        <is>
          <t>D7F8C2</t>
        </is>
      </c>
    </row>
    <row r="224">
      <c r="A224" s="18" t="inlineStr">
        <is>
          <t>DWG0217</t>
        </is>
      </c>
      <c r="B224" s="18" t="inlineStr">
        <is>
          <t>E01B</t>
        </is>
      </c>
      <c r="C224" s="18" t="inlineStr">
        <is>
          <t>1</t>
        </is>
      </c>
      <c r="D224" s="18" t="inlineStr">
        <is>
          <t>horizontal</t>
        </is>
      </c>
      <c r="E224" s="44" t="n">
        <v>2370.5</v>
      </c>
      <c r="F224" s="38" t="n">
        <v>2371</v>
      </c>
      <c r="G224" s="18" t="inlineStr">
        <is>
          <t>Z/Y</t>
        </is>
      </c>
      <c r="H224" s="44" t="n">
        <v>5349.9</v>
      </c>
      <c r="I224" s="44" t="n">
        <v>10390.8</v>
      </c>
      <c r="J224" s="44" t="n">
        <v>2979.4</v>
      </c>
      <c r="K224" s="44" t="n">
        <v>10400.9</v>
      </c>
      <c r="L224" s="18" t="inlineStr">
        <is>
          <t>1</t>
        </is>
      </c>
      <c r="M224" s="18" t="inlineStr"/>
      <c r="N224" s="18" t="inlineStr">
        <is>
          <t>D80040</t>
        </is>
      </c>
    </row>
    <row r="225">
      <c r="A225" s="18" t="inlineStr">
        <is>
          <t>DWG0218</t>
        </is>
      </c>
      <c r="B225" s="18" t="inlineStr">
        <is>
          <t>E01B</t>
        </is>
      </c>
      <c r="C225" s="18" t="inlineStr">
        <is>
          <t>1</t>
        </is>
      </c>
      <c r="D225" s="18" t="inlineStr">
        <is>
          <t>horizontal</t>
        </is>
      </c>
      <c r="E225" s="44" t="n">
        <v>182.6</v>
      </c>
      <c r="F225" s="38" t="n">
        <v>183</v>
      </c>
      <c r="G225" s="18" t="inlineStr">
        <is>
          <t>Z/Y</t>
        </is>
      </c>
      <c r="H225" s="44" t="n">
        <v>4546.3</v>
      </c>
      <c r="I225" s="44" t="n">
        <v>10780.5</v>
      </c>
      <c r="J225" s="44" t="n">
        <v>4363.7</v>
      </c>
      <c r="K225" s="44" t="n">
        <v>10780.5</v>
      </c>
      <c r="L225" s="18" t="inlineStr">
        <is>
          <t>1</t>
        </is>
      </c>
      <c r="M225" s="18" t="inlineStr"/>
      <c r="N225" s="18" t="inlineStr">
        <is>
          <t>D7F982</t>
        </is>
      </c>
    </row>
    <row r="226">
      <c r="A226" s="18" t="inlineStr">
        <is>
          <t>DWG0219</t>
        </is>
      </c>
      <c r="B226" s="18" t="inlineStr">
        <is>
          <t>E01B</t>
        </is>
      </c>
      <c r="C226" s="18" t="inlineStr">
        <is>
          <t>1</t>
        </is>
      </c>
      <c r="D226" s="18" t="inlineStr">
        <is>
          <t>horizontal</t>
        </is>
      </c>
      <c r="E226" s="44" t="n">
        <v>791.9</v>
      </c>
      <c r="F226" s="38" t="n">
        <v>792</v>
      </c>
      <c r="G226" s="18" t="inlineStr">
        <is>
          <t>Z/Y</t>
        </is>
      </c>
      <c r="H226" s="44" t="n">
        <v>7127.9</v>
      </c>
      <c r="I226" s="44" t="n">
        <v>10843.4</v>
      </c>
      <c r="J226" s="44" t="n">
        <v>6336.1</v>
      </c>
      <c r="K226" s="44" t="n">
        <v>10843.4</v>
      </c>
      <c r="L226" s="18" t="inlineStr">
        <is>
          <t>1</t>
        </is>
      </c>
      <c r="M226" s="18" t="inlineStr"/>
      <c r="N226" s="18" t="inlineStr">
        <is>
          <t>D7FFF1</t>
        </is>
      </c>
    </row>
    <row r="227">
      <c r="A227" s="18" t="inlineStr">
        <is>
          <t>DWG0220</t>
        </is>
      </c>
      <c r="B227" s="18" t="inlineStr">
        <is>
          <t>E01B</t>
        </is>
      </c>
      <c r="C227" s="18" t="inlineStr">
        <is>
          <t>1</t>
        </is>
      </c>
      <c r="D227" s="18" t="inlineStr">
        <is>
          <t>horizontal</t>
        </is>
      </c>
      <c r="E227" s="44" t="n">
        <v>949.4</v>
      </c>
      <c r="F227" s="38" t="n">
        <v>949</v>
      </c>
      <c r="G227" s="18" t="inlineStr">
        <is>
          <t>Z/Y</t>
        </is>
      </c>
      <c r="H227" s="44" t="n">
        <v>4363.7</v>
      </c>
      <c r="I227" s="38" t="n">
        <v>11024</v>
      </c>
      <c r="J227" s="44" t="n">
        <v>3414.4</v>
      </c>
      <c r="K227" s="44" t="n">
        <v>11222.6</v>
      </c>
      <c r="L227" s="18" t="inlineStr">
        <is>
          <t>1</t>
        </is>
      </c>
      <c r="M227" s="18" t="inlineStr"/>
      <c r="N227" s="18" t="inlineStr">
        <is>
          <t>D7FFD7</t>
        </is>
      </c>
    </row>
    <row r="228">
      <c r="A228" s="18" t="inlineStr">
        <is>
          <t>DWG0221</t>
        </is>
      </c>
      <c r="B228" s="18" t="inlineStr">
        <is>
          <t>E01B</t>
        </is>
      </c>
      <c r="C228" s="18" t="inlineStr">
        <is>
          <t>1</t>
        </is>
      </c>
      <c r="D228" s="18" t="inlineStr">
        <is>
          <t>horizontal</t>
        </is>
      </c>
      <c r="E228" s="44" t="n">
        <v>1197.2</v>
      </c>
      <c r="F228" s="38" t="n">
        <v>1197</v>
      </c>
      <c r="G228" s="18" t="inlineStr">
        <is>
          <t>Z/Y</t>
        </is>
      </c>
      <c r="H228" s="44" t="n">
        <v>5948.5</v>
      </c>
      <c r="I228" s="44" t="n">
        <v>11024.7</v>
      </c>
      <c r="J228" s="44" t="n">
        <v>4751.3</v>
      </c>
      <c r="K228" s="44" t="n">
        <v>11024.7</v>
      </c>
      <c r="L228" s="18" t="inlineStr">
        <is>
          <t>1</t>
        </is>
      </c>
      <c r="M228" s="18" t="inlineStr"/>
      <c r="N228" s="18" t="inlineStr">
        <is>
          <t>D7F968</t>
        </is>
      </c>
    </row>
    <row r="229">
      <c r="A229" s="18" t="inlineStr">
        <is>
          <t>DWG0222</t>
        </is>
      </c>
      <c r="B229" s="18" t="inlineStr">
        <is>
          <t>E01B</t>
        </is>
      </c>
      <c r="C229" s="18" t="inlineStr">
        <is>
          <t>1</t>
        </is>
      </c>
      <c r="D229" s="18" t="inlineStr">
        <is>
          <t>vertical</t>
        </is>
      </c>
      <c r="E229" s="38" t="n">
        <v>39000</v>
      </c>
      <c r="F229" s="38" t="n">
        <v>39000</v>
      </c>
      <c r="G229" s="18" t="inlineStr">
        <is>
          <t>Z/Y</t>
        </is>
      </c>
      <c r="H229" s="44" t="n">
        <v>-15358.7</v>
      </c>
      <c r="I229" s="38" t="n">
        <v>-2080</v>
      </c>
      <c r="J229" s="44" t="n">
        <v>-15358.7</v>
      </c>
      <c r="K229" s="38" t="n">
        <v>36920</v>
      </c>
      <c r="L229" s="18" t="inlineStr">
        <is>
          <t>1</t>
        </is>
      </c>
      <c r="M229" s="18" t="inlineStr">
        <is>
          <t>E016</t>
        </is>
      </c>
      <c r="N229" s="18" t="inlineStr">
        <is>
          <t>C45681</t>
        </is>
      </c>
    </row>
    <row r="230">
      <c r="A230" s="18" t="inlineStr">
        <is>
          <t>DWG0223</t>
        </is>
      </c>
      <c r="B230" s="18" t="inlineStr">
        <is>
          <t>E01B</t>
        </is>
      </c>
      <c r="C230" s="18" t="inlineStr">
        <is>
          <t>1</t>
        </is>
      </c>
      <c r="D230" s="18" t="inlineStr">
        <is>
          <t>vertical</t>
        </is>
      </c>
      <c r="E230" s="38" t="n">
        <v>2080</v>
      </c>
      <c r="F230" s="38" t="n">
        <v>2080</v>
      </c>
      <c r="G230" s="18" t="inlineStr">
        <is>
          <t>Z/Y</t>
        </is>
      </c>
      <c r="H230" s="44" t="n">
        <v>-14753.6</v>
      </c>
      <c r="I230" s="38" t="n">
        <v>-2080</v>
      </c>
      <c r="J230" s="38" t="n">
        <v>-14552</v>
      </c>
      <c r="K230" s="38" t="n">
        <v>0</v>
      </c>
      <c r="L230" s="18" t="inlineStr">
        <is>
          <t>1</t>
        </is>
      </c>
      <c r="M230" s="18" t="inlineStr">
        <is>
          <t>E008</t>
        </is>
      </c>
      <c r="N230" s="18" t="inlineStr">
        <is>
          <t>C45677</t>
        </is>
      </c>
    </row>
    <row r="231">
      <c r="A231" s="18" t="inlineStr">
        <is>
          <t>DWG0224</t>
        </is>
      </c>
      <c r="B231" s="18" t="inlineStr">
        <is>
          <t>E01B</t>
        </is>
      </c>
      <c r="C231" s="18" t="inlineStr">
        <is>
          <t>1</t>
        </is>
      </c>
      <c r="D231" s="18" t="inlineStr">
        <is>
          <t>vertical</t>
        </is>
      </c>
      <c r="E231" s="38" t="n">
        <v>8390</v>
      </c>
      <c r="F231" s="38" t="n">
        <v>8390</v>
      </c>
      <c r="G231" s="18" t="inlineStr">
        <is>
          <t>Z/Y</t>
        </is>
      </c>
      <c r="H231" s="38" t="n">
        <v>-14552</v>
      </c>
      <c r="I231" s="38" t="n">
        <v>0</v>
      </c>
      <c r="J231" s="44" t="n">
        <v>-14331.3</v>
      </c>
      <c r="K231" s="38" t="n">
        <v>8390</v>
      </c>
      <c r="L231" s="18" t="inlineStr">
        <is>
          <t>1</t>
        </is>
      </c>
      <c r="M231" s="18" t="inlineStr">
        <is>
          <t>E003 E009</t>
        </is>
      </c>
      <c r="N231" s="18" t="inlineStr">
        <is>
          <t>C45678</t>
        </is>
      </c>
    </row>
    <row r="232">
      <c r="A232" s="18" t="inlineStr">
        <is>
          <t>DWG0225</t>
        </is>
      </c>
      <c r="B232" s="18" t="inlineStr">
        <is>
          <t>E01B</t>
        </is>
      </c>
      <c r="C232" s="18" t="inlineStr">
        <is>
          <t>1</t>
        </is>
      </c>
      <c r="D232" s="18" t="inlineStr">
        <is>
          <t>vertical</t>
        </is>
      </c>
      <c r="E232" s="38" t="n">
        <v>7450</v>
      </c>
      <c r="F232" s="38" t="n">
        <v>7450</v>
      </c>
      <c r="G232" s="18" t="inlineStr">
        <is>
          <t>Z/Y</t>
        </is>
      </c>
      <c r="H232" s="44" t="n">
        <v>-14331.3</v>
      </c>
      <c r="I232" s="38" t="n">
        <v>8390</v>
      </c>
      <c r="J232" s="44" t="n">
        <v>-14191.3</v>
      </c>
      <c r="K232" s="38" t="n">
        <v>15840</v>
      </c>
      <c r="L232" s="18" t="inlineStr">
        <is>
          <t>1</t>
        </is>
      </c>
      <c r="M232" s="18" t="inlineStr">
        <is>
          <t>E010</t>
        </is>
      </c>
      <c r="N232" s="18" t="inlineStr">
        <is>
          <t>C45679</t>
        </is>
      </c>
    </row>
    <row r="233">
      <c r="A233" s="18" t="inlineStr">
        <is>
          <t>DWG0226</t>
        </is>
      </c>
      <c r="B233" s="18" t="inlineStr">
        <is>
          <t>E01B</t>
        </is>
      </c>
      <c r="C233" s="18" t="inlineStr">
        <is>
          <t>1</t>
        </is>
      </c>
      <c r="D233" s="18" t="inlineStr">
        <is>
          <t>vertical</t>
        </is>
      </c>
      <c r="E233" s="38" t="n">
        <v>3756</v>
      </c>
      <c r="F233" s="38" t="n">
        <v>3756</v>
      </c>
      <c r="G233" s="18" t="inlineStr">
        <is>
          <t>Z/Y</t>
        </is>
      </c>
      <c r="H233" s="44" t="n">
        <v>-5569.6</v>
      </c>
      <c r="I233" s="38" t="n">
        <v>0</v>
      </c>
      <c r="J233" s="44" t="n">
        <v>-5569.6</v>
      </c>
      <c r="K233" s="38" t="n">
        <v>3756</v>
      </c>
      <c r="L233" s="18" t="inlineStr">
        <is>
          <t>1</t>
        </is>
      </c>
      <c r="M233" s="18" t="inlineStr">
        <is>
          <t>E035</t>
        </is>
      </c>
      <c r="N233" s="18" t="inlineStr">
        <is>
          <t>C4567D</t>
        </is>
      </c>
    </row>
    <row r="234">
      <c r="A234" s="18" t="inlineStr">
        <is>
          <t>DWG0227</t>
        </is>
      </c>
      <c r="B234" s="18" t="inlineStr">
        <is>
          <t>E01B</t>
        </is>
      </c>
      <c r="C234" s="18" t="inlineStr">
        <is>
          <t>1</t>
        </is>
      </c>
      <c r="D234" s="18" t="inlineStr">
        <is>
          <t>vertical</t>
        </is>
      </c>
      <c r="E234" s="44" t="n">
        <v>3984.8</v>
      </c>
      <c r="F234" s="38" t="n">
        <v>3985</v>
      </c>
      <c r="G234" s="18" t="inlineStr">
        <is>
          <t>Z/Y</t>
        </is>
      </c>
      <c r="H234" s="44" t="n">
        <v>-5264.2</v>
      </c>
      <c r="I234" s="44" t="n">
        <v>3984.8</v>
      </c>
      <c r="J234" s="44" t="n">
        <v>-5264.2</v>
      </c>
      <c r="K234" s="38" t="n">
        <v>0</v>
      </c>
      <c r="L234" s="18" t="inlineStr">
        <is>
          <t>1</t>
        </is>
      </c>
      <c r="M234" s="18" t="inlineStr"/>
      <c r="N234" s="18" t="inlineStr">
        <is>
          <t>DB186D</t>
        </is>
      </c>
    </row>
    <row r="235">
      <c r="A235" s="18" t="inlineStr">
        <is>
          <t>DWG0228</t>
        </is>
      </c>
      <c r="B235" s="18" t="inlineStr">
        <is>
          <t>E01B</t>
        </is>
      </c>
      <c r="C235" s="18" t="inlineStr">
        <is>
          <t>1</t>
        </is>
      </c>
      <c r="D235" s="18" t="inlineStr">
        <is>
          <t>vertical</t>
        </is>
      </c>
      <c r="E235" s="38" t="n">
        <v>4900</v>
      </c>
      <c r="F235" s="38" t="n">
        <v>4900</v>
      </c>
      <c r="G235" s="18" t="inlineStr">
        <is>
          <t>Z/Y</t>
        </is>
      </c>
      <c r="H235" s="44" t="n">
        <v>-696.4</v>
      </c>
      <c r="I235" s="38" t="n">
        <v>0</v>
      </c>
      <c r="J235" s="44" t="n">
        <v>-696.4</v>
      </c>
      <c r="K235" s="38" t="n">
        <v>4900</v>
      </c>
      <c r="L235" s="18" t="inlineStr">
        <is>
          <t>1</t>
        </is>
      </c>
      <c r="M235" s="18" t="inlineStr">
        <is>
          <t>E027 E033 E034</t>
        </is>
      </c>
      <c r="N235" s="18" t="inlineStr">
        <is>
          <t>C4567A</t>
        </is>
      </c>
    </row>
    <row r="236">
      <c r="A236" s="18" t="inlineStr">
        <is>
          <t>DWG0229</t>
        </is>
      </c>
      <c r="B236" s="18" t="inlineStr">
        <is>
          <t>E01B</t>
        </is>
      </c>
      <c r="C236" s="18" t="inlineStr">
        <is>
          <t>1</t>
        </is>
      </c>
      <c r="D236" s="18" t="inlineStr">
        <is>
          <t>vertical</t>
        </is>
      </c>
      <c r="E236" s="44" t="n">
        <v>68.40000000000001</v>
      </c>
      <c r="F236" s="38" t="n">
        <v>68</v>
      </c>
      <c r="G236" s="18" t="inlineStr">
        <is>
          <t>Z/Y</t>
        </is>
      </c>
      <c r="H236" s="44" t="n">
        <v>-0.1</v>
      </c>
      <c r="I236" s="38" t="n">
        <v>12891</v>
      </c>
      <c r="J236" s="44" t="n">
        <v>-0.1</v>
      </c>
      <c r="K236" s="44" t="n">
        <v>12959.4</v>
      </c>
      <c r="L236" s="18" t="inlineStr">
        <is>
          <t>1</t>
        </is>
      </c>
      <c r="M236" s="18" t="inlineStr"/>
      <c r="N236" s="18" t="inlineStr">
        <is>
          <t>DA01AA</t>
        </is>
      </c>
    </row>
    <row r="237">
      <c r="A237" s="18" t="inlineStr">
        <is>
          <t>DWG0230</t>
        </is>
      </c>
      <c r="B237" s="18" t="inlineStr">
        <is>
          <t>E01B</t>
        </is>
      </c>
      <c r="C237" s="18" t="inlineStr">
        <is>
          <t>1</t>
        </is>
      </c>
      <c r="D237" s="18" t="inlineStr">
        <is>
          <t>vertical</t>
        </is>
      </c>
      <c r="E237" s="44" t="n">
        <v>10128.5</v>
      </c>
      <c r="F237" s="38" t="n">
        <v>10128</v>
      </c>
      <c r="G237" s="18" t="inlineStr">
        <is>
          <t>Z/Y</t>
        </is>
      </c>
      <c r="H237" s="44" t="n">
        <v>14781.8</v>
      </c>
      <c r="I237" s="38" t="n">
        <v>0</v>
      </c>
      <c r="J237" s="44" t="n">
        <v>6975.4</v>
      </c>
      <c r="K237" s="44" t="n">
        <v>10128.5</v>
      </c>
      <c r="L237" s="18" t="inlineStr">
        <is>
          <t>1</t>
        </is>
      </c>
      <c r="M237" s="18" t="inlineStr"/>
      <c r="N237" s="18" t="inlineStr">
        <is>
          <t>D803E7</t>
        </is>
      </c>
    </row>
    <row r="238">
      <c r="A238" s="18" t="inlineStr">
        <is>
          <t>DWG0231</t>
        </is>
      </c>
      <c r="B238" s="18" t="inlineStr">
        <is>
          <t>E03</t>
        </is>
      </c>
      <c r="C238" s="18" t="inlineStr">
        <is>
          <t>3</t>
        </is>
      </c>
      <c r="D238" s="18" t="inlineStr">
        <is>
          <t>horizontal</t>
        </is>
      </c>
      <c r="E238" s="38" t="n">
        <v>3760</v>
      </c>
      <c r="F238" s="38" t="n">
        <v>3760</v>
      </c>
      <c r="G238" s="18" t="inlineStr">
        <is>
          <t>Z/Y</t>
        </is>
      </c>
      <c r="H238" s="38" t="n">
        <v>-7360</v>
      </c>
      <c r="I238" s="44" t="n">
        <v>-2706.2</v>
      </c>
      <c r="J238" s="38" t="n">
        <v>-3600</v>
      </c>
      <c r="K238" s="44" t="n">
        <v>-2706.2</v>
      </c>
      <c r="L238" s="18" t="inlineStr">
        <is>
          <t>3</t>
        </is>
      </c>
      <c r="M238" s="18" t="inlineStr">
        <is>
          <t>E074 E076</t>
        </is>
      </c>
      <c r="N238" s="18" t="inlineStr">
        <is>
          <t>D9180E</t>
        </is>
      </c>
    </row>
    <row r="239">
      <c r="A239" s="18" t="inlineStr">
        <is>
          <t>DWG0232</t>
        </is>
      </c>
      <c r="B239" s="18" t="inlineStr">
        <is>
          <t>E03</t>
        </is>
      </c>
      <c r="C239" s="18" t="inlineStr">
        <is>
          <t>3</t>
        </is>
      </c>
      <c r="D239" s="18" t="inlineStr">
        <is>
          <t>horizontal</t>
        </is>
      </c>
      <c r="E239" s="38" t="n">
        <v>7200</v>
      </c>
      <c r="F239" s="38" t="n">
        <v>7200</v>
      </c>
      <c r="G239" s="18" t="inlineStr">
        <is>
          <t>Z/Y</t>
        </is>
      </c>
      <c r="H239" s="38" t="n">
        <v>-3600</v>
      </c>
      <c r="I239" s="44" t="n">
        <v>-2706.2</v>
      </c>
      <c r="J239" s="38" t="n">
        <v>3600</v>
      </c>
      <c r="K239" s="44" t="n">
        <v>-2706.2</v>
      </c>
      <c r="L239" s="18" t="inlineStr">
        <is>
          <t>3</t>
        </is>
      </c>
      <c r="M239" s="18" t="inlineStr">
        <is>
          <t>E075</t>
        </is>
      </c>
      <c r="N239" s="18" t="inlineStr">
        <is>
          <t>D9180F</t>
        </is>
      </c>
    </row>
    <row r="240">
      <c r="A240" s="18" t="inlineStr">
        <is>
          <t>DWG0233</t>
        </is>
      </c>
      <c r="B240" s="18" t="inlineStr">
        <is>
          <t>E03</t>
        </is>
      </c>
      <c r="C240" s="18" t="inlineStr">
        <is>
          <t>3</t>
        </is>
      </c>
      <c r="D240" s="18" t="inlineStr">
        <is>
          <t>horizontal</t>
        </is>
      </c>
      <c r="E240" s="38" t="n">
        <v>3760</v>
      </c>
      <c r="F240" s="38" t="n">
        <v>3760</v>
      </c>
      <c r="G240" s="18" t="inlineStr">
        <is>
          <t>Z/Y</t>
        </is>
      </c>
      <c r="H240" s="38" t="n">
        <v>3600</v>
      </c>
      <c r="I240" s="44" t="n">
        <v>-2706.2</v>
      </c>
      <c r="J240" s="38" t="n">
        <v>7360</v>
      </c>
      <c r="K240" s="44" t="n">
        <v>-2706.2</v>
      </c>
      <c r="L240" s="18" t="inlineStr">
        <is>
          <t>3</t>
        </is>
      </c>
      <c r="M240" s="18" t="inlineStr">
        <is>
          <t>E074 E076</t>
        </is>
      </c>
      <c r="N240" s="18" t="inlineStr">
        <is>
          <t>D91810</t>
        </is>
      </c>
    </row>
    <row r="241">
      <c r="A241" s="18" t="inlineStr">
        <is>
          <t>DWG0234</t>
        </is>
      </c>
      <c r="B241" s="18" t="inlineStr">
        <is>
          <t>E03</t>
        </is>
      </c>
      <c r="C241" s="18" t="inlineStr">
        <is>
          <t>3</t>
        </is>
      </c>
      <c r="D241" s="18" t="inlineStr">
        <is>
          <t>horizontal</t>
        </is>
      </c>
      <c r="E241" s="38" t="n">
        <v>3054</v>
      </c>
      <c r="F241" s="38" t="n">
        <v>3054</v>
      </c>
      <c r="G241" s="18" t="inlineStr">
        <is>
          <t>Z/Y</t>
        </is>
      </c>
      <c r="H241" s="38" t="n">
        <v>7360</v>
      </c>
      <c r="I241" s="44" t="n">
        <v>-2706.2</v>
      </c>
      <c r="J241" s="38" t="n">
        <v>10414</v>
      </c>
      <c r="K241" s="44" t="n">
        <v>-2706.2</v>
      </c>
      <c r="L241" s="18" t="inlineStr">
        <is>
          <t>3</t>
        </is>
      </c>
      <c r="M241" s="18" t="inlineStr">
        <is>
          <t>E073 E077</t>
        </is>
      </c>
      <c r="N241" s="18" t="inlineStr">
        <is>
          <t>D91811</t>
        </is>
      </c>
    </row>
    <row r="242">
      <c r="A242" s="18" t="inlineStr">
        <is>
          <t>DWG0235</t>
        </is>
      </c>
      <c r="B242" s="18" t="inlineStr">
        <is>
          <t>E03</t>
        </is>
      </c>
      <c r="C242" s="18" t="inlineStr">
        <is>
          <t>3</t>
        </is>
      </c>
      <c r="D242" s="18" t="inlineStr">
        <is>
          <t>horizontal</t>
        </is>
      </c>
      <c r="E242" s="38" t="n">
        <v>160</v>
      </c>
      <c r="F242" s="38" t="n">
        <v>160</v>
      </c>
      <c r="G242" s="18" t="inlineStr">
        <is>
          <t>Z/Y</t>
        </is>
      </c>
      <c r="H242" s="38" t="n">
        <v>10414</v>
      </c>
      <c r="I242" s="44" t="n">
        <v>-2706.2</v>
      </c>
      <c r="J242" s="38" t="n">
        <v>10574</v>
      </c>
      <c r="K242" s="44" t="n">
        <v>-2453.1</v>
      </c>
      <c r="L242" s="18" t="inlineStr">
        <is>
          <t>3</t>
        </is>
      </c>
      <c r="M242" s="18" t="inlineStr"/>
      <c r="N242" s="18" t="inlineStr">
        <is>
          <t>D91812</t>
        </is>
      </c>
    </row>
    <row r="243">
      <c r="A243" s="18" t="inlineStr">
        <is>
          <t>DWG0236</t>
        </is>
      </c>
      <c r="B243" s="18" t="inlineStr">
        <is>
          <t>E03</t>
        </is>
      </c>
      <c r="C243" s="18" t="inlineStr">
        <is>
          <t>3</t>
        </is>
      </c>
      <c r="D243" s="18" t="inlineStr">
        <is>
          <t>horizontal</t>
        </is>
      </c>
      <c r="E243" s="38" t="n">
        <v>160</v>
      </c>
      <c r="F243" s="38" t="n">
        <v>160</v>
      </c>
      <c r="G243" s="18" t="inlineStr">
        <is>
          <t>Z/Y</t>
        </is>
      </c>
      <c r="H243" s="38" t="n">
        <v>-10574</v>
      </c>
      <c r="I243" s="44" t="n">
        <v>-2476.6</v>
      </c>
      <c r="J243" s="38" t="n">
        <v>-10414</v>
      </c>
      <c r="K243" s="44" t="n">
        <v>-2473.2</v>
      </c>
      <c r="L243" s="18" t="inlineStr">
        <is>
          <t>3</t>
        </is>
      </c>
      <c r="M243" s="18" t="inlineStr"/>
      <c r="N243" s="18" t="inlineStr">
        <is>
          <t>D9180C</t>
        </is>
      </c>
    </row>
    <row r="244">
      <c r="A244" s="18" t="inlineStr">
        <is>
          <t>DWG0237</t>
        </is>
      </c>
      <c r="B244" s="18" t="inlineStr">
        <is>
          <t>E03</t>
        </is>
      </c>
      <c r="C244" s="18" t="inlineStr">
        <is>
          <t>3</t>
        </is>
      </c>
      <c r="D244" s="18" t="inlineStr">
        <is>
          <t>horizontal</t>
        </is>
      </c>
      <c r="E244" s="38" t="n">
        <v>3054</v>
      </c>
      <c r="F244" s="38" t="n">
        <v>3054</v>
      </c>
      <c r="G244" s="18" t="inlineStr">
        <is>
          <t>Z/Y</t>
        </is>
      </c>
      <c r="H244" s="38" t="n">
        <v>-10414</v>
      </c>
      <c r="I244" s="44" t="n">
        <v>-2473.2</v>
      </c>
      <c r="J244" s="38" t="n">
        <v>-7360</v>
      </c>
      <c r="K244" s="44" t="n">
        <v>-2706.2</v>
      </c>
      <c r="L244" s="18" t="inlineStr">
        <is>
          <t>3</t>
        </is>
      </c>
      <c r="M244" s="18" t="inlineStr">
        <is>
          <t>E073 E077</t>
        </is>
      </c>
      <c r="N244" s="18" t="inlineStr">
        <is>
          <t>D9180D</t>
        </is>
      </c>
    </row>
    <row r="245">
      <c r="A245" s="18" t="inlineStr">
        <is>
          <t>DWG0238</t>
        </is>
      </c>
      <c r="B245" s="18" t="inlineStr">
        <is>
          <t>E03</t>
        </is>
      </c>
      <c r="C245" s="18" t="inlineStr">
        <is>
          <t>3</t>
        </is>
      </c>
      <c r="D245" s="18" t="inlineStr">
        <is>
          <t>horizontal</t>
        </is>
      </c>
      <c r="E245" s="44" t="n">
        <v>669.1</v>
      </c>
      <c r="F245" s="38" t="n">
        <v>669</v>
      </c>
      <c r="G245" s="18" t="inlineStr">
        <is>
          <t>Z/Y</t>
        </is>
      </c>
      <c r="H245" s="38" t="n">
        <v>10574</v>
      </c>
      <c r="I245" s="44" t="n">
        <v>-2453.1</v>
      </c>
      <c r="J245" s="44" t="n">
        <v>11243.1</v>
      </c>
      <c r="K245" s="38" t="n">
        <v>-2080</v>
      </c>
      <c r="L245" s="18" t="inlineStr">
        <is>
          <t>3</t>
        </is>
      </c>
      <c r="M245" s="18" t="inlineStr"/>
      <c r="N245" s="18" t="inlineStr">
        <is>
          <t>D91813</t>
        </is>
      </c>
    </row>
    <row r="246">
      <c r="A246" s="18" t="inlineStr">
        <is>
          <t>DWG0239</t>
        </is>
      </c>
      <c r="B246" s="18" t="inlineStr">
        <is>
          <t>E03</t>
        </is>
      </c>
      <c r="C246" s="18" t="inlineStr">
        <is>
          <t>3</t>
        </is>
      </c>
      <c r="D246" s="18" t="inlineStr">
        <is>
          <t>horizontal</t>
        </is>
      </c>
      <c r="E246" s="44" t="n">
        <v>669.1</v>
      </c>
      <c r="F246" s="38" t="n">
        <v>669</v>
      </c>
      <c r="G246" s="18" t="inlineStr">
        <is>
          <t>Z/Y</t>
        </is>
      </c>
      <c r="H246" s="44" t="n">
        <v>-11243.1</v>
      </c>
      <c r="I246" s="38" t="n">
        <v>-2080</v>
      </c>
      <c r="J246" s="38" t="n">
        <v>-10574</v>
      </c>
      <c r="K246" s="44" t="n">
        <v>-2476.6</v>
      </c>
      <c r="L246" s="18" t="inlineStr">
        <is>
          <t>3</t>
        </is>
      </c>
      <c r="M246" s="18" t="inlineStr"/>
      <c r="N246" s="18" t="inlineStr">
        <is>
          <t>D91809</t>
        </is>
      </c>
    </row>
    <row r="247">
      <c r="A247" s="18" t="inlineStr">
        <is>
          <t>DWG0240</t>
        </is>
      </c>
      <c r="B247" s="18" t="inlineStr">
        <is>
          <t>E26</t>
        </is>
      </c>
      <c r="C247" s="18" t="inlineStr">
        <is>
          <t>26</t>
        </is>
      </c>
      <c r="D247" s="18" t="inlineStr">
        <is>
          <t>horizontal</t>
        </is>
      </c>
      <c r="E247" s="38" t="n">
        <v>4500</v>
      </c>
      <c r="F247" s="38" t="n">
        <v>4500</v>
      </c>
      <c r="G247" s="18" t="inlineStr">
        <is>
          <t>u/v</t>
        </is>
      </c>
      <c r="H247" s="44" t="n">
        <v>1614.5</v>
      </c>
      <c r="I247" s="44" t="n">
        <v>1597.3</v>
      </c>
      <c r="J247" s="44" t="n">
        <v>6114.5</v>
      </c>
      <c r="K247" s="44" t="n">
        <v>1597.3</v>
      </c>
      <c r="L247" s="18" t="inlineStr">
        <is>
          <t>8</t>
        </is>
      </c>
      <c r="M247" s="18" t="inlineStr">
        <is>
          <t>S082</t>
        </is>
      </c>
      <c r="N247" s="18" t="inlineStr">
        <is>
          <t>DA3D32</t>
        </is>
      </c>
    </row>
    <row r="248">
      <c r="A248" s="18" t="inlineStr">
        <is>
          <t>DWG0241</t>
        </is>
      </c>
      <c r="B248" s="18" t="inlineStr">
        <is>
          <t>E26</t>
        </is>
      </c>
      <c r="C248" s="18" t="inlineStr">
        <is>
          <t>26</t>
        </is>
      </c>
      <c r="D248" s="18" t="inlineStr">
        <is>
          <t>horizontal</t>
        </is>
      </c>
      <c r="E248" s="38" t="n">
        <v>4500</v>
      </c>
      <c r="F248" s="38" t="n">
        <v>4500</v>
      </c>
      <c r="G248" s="18" t="inlineStr">
        <is>
          <t>u/v</t>
        </is>
      </c>
      <c r="H248" s="44" t="n">
        <v>7792.9</v>
      </c>
      <c r="I248" s="44" t="n">
        <v>1986.8</v>
      </c>
      <c r="J248" s="44" t="n">
        <v>12292.9</v>
      </c>
      <c r="K248" s="44" t="n">
        <v>1860.3</v>
      </c>
      <c r="L248" s="18" t="inlineStr">
        <is>
          <t>8</t>
        </is>
      </c>
      <c r="M248" s="18" t="inlineStr">
        <is>
          <t>S082</t>
        </is>
      </c>
      <c r="N248" s="18" t="inlineStr">
        <is>
          <t>DA34DD</t>
        </is>
      </c>
    </row>
    <row r="249">
      <c r="A249" s="18" t="inlineStr">
        <is>
          <t>DWG0242</t>
        </is>
      </c>
      <c r="B249" s="18" t="inlineStr">
        <is>
          <t>E26</t>
        </is>
      </c>
      <c r="C249" s="18" t="inlineStr">
        <is>
          <t>26</t>
        </is>
      </c>
      <c r="D249" s="18" t="inlineStr">
        <is>
          <t>horizontal</t>
        </is>
      </c>
      <c r="E249" s="38" t="n">
        <v>750</v>
      </c>
      <c r="F249" s="38" t="n">
        <v>750</v>
      </c>
      <c r="G249" s="18" t="inlineStr">
        <is>
          <t>u/v</t>
        </is>
      </c>
      <c r="H249" s="44" t="n">
        <v>1614.5</v>
      </c>
      <c r="I249" s="44" t="n">
        <v>2229.2</v>
      </c>
      <c r="J249" s="44" t="n">
        <v>2364.5</v>
      </c>
      <c r="K249" s="44" t="n">
        <v>3079.2</v>
      </c>
      <c r="L249" s="18" t="inlineStr">
        <is>
          <t>8</t>
        </is>
      </c>
      <c r="M249" s="18" t="inlineStr">
        <is>
          <t>S083 S087 S089</t>
        </is>
      </c>
      <c r="N249" s="18" t="inlineStr">
        <is>
          <t>DA3D23</t>
        </is>
      </c>
    </row>
    <row r="250">
      <c r="A250" s="18" t="inlineStr">
        <is>
          <t>DWG0243</t>
        </is>
      </c>
      <c r="B250" s="18" t="inlineStr">
        <is>
          <t>E26</t>
        </is>
      </c>
      <c r="C250" s="18" t="inlineStr">
        <is>
          <t>26</t>
        </is>
      </c>
      <c r="D250" s="18" t="inlineStr">
        <is>
          <t>horizontal</t>
        </is>
      </c>
      <c r="E250" s="38" t="n">
        <v>1760</v>
      </c>
      <c r="F250" s="38" t="n">
        <v>1760</v>
      </c>
      <c r="G250" s="18" t="inlineStr">
        <is>
          <t>u/v</t>
        </is>
      </c>
      <c r="H250" s="44" t="n">
        <v>9162.9</v>
      </c>
      <c r="I250" s="44" t="n">
        <v>3033.3</v>
      </c>
      <c r="J250" s="44" t="n">
        <v>10922.8</v>
      </c>
      <c r="K250" s="44" t="n">
        <v>3079.5</v>
      </c>
      <c r="L250" s="18" t="inlineStr">
        <is>
          <t>8</t>
        </is>
      </c>
      <c r="M250" s="18" t="inlineStr"/>
      <c r="N250" s="18" t="inlineStr">
        <is>
          <t>DA35E1</t>
        </is>
      </c>
    </row>
    <row r="251">
      <c r="A251" s="18" t="inlineStr">
        <is>
          <t>DWG0244</t>
        </is>
      </c>
      <c r="B251" s="18" t="inlineStr">
        <is>
          <t>E26</t>
        </is>
      </c>
      <c r="C251" s="18" t="inlineStr">
        <is>
          <t>26</t>
        </is>
      </c>
      <c r="D251" s="18" t="inlineStr">
        <is>
          <t>horizontal</t>
        </is>
      </c>
      <c r="E251" s="38" t="n">
        <v>1000</v>
      </c>
      <c r="F251" s="38" t="n">
        <v>1000</v>
      </c>
      <c r="G251" s="18" t="inlineStr">
        <is>
          <t>u/v</t>
        </is>
      </c>
      <c r="H251" s="44" t="n">
        <v>2364.5</v>
      </c>
      <c r="I251" s="44" t="n">
        <v>3079.2</v>
      </c>
      <c r="J251" s="44" t="n">
        <v>3364.5</v>
      </c>
      <c r="K251" s="44" t="n">
        <v>3222.4</v>
      </c>
      <c r="L251" s="18" t="inlineStr">
        <is>
          <t>8</t>
        </is>
      </c>
      <c r="M251" s="18" t="inlineStr">
        <is>
          <t>S084 S085 S086</t>
        </is>
      </c>
      <c r="N251" s="18" t="inlineStr">
        <is>
          <t>DA3D26</t>
        </is>
      </c>
    </row>
    <row r="252">
      <c r="A252" s="18" t="inlineStr">
        <is>
          <t>DWG0245</t>
        </is>
      </c>
      <c r="B252" s="18" t="inlineStr">
        <is>
          <t>E26</t>
        </is>
      </c>
      <c r="C252" s="18" t="inlineStr">
        <is>
          <t>26</t>
        </is>
      </c>
      <c r="D252" s="18" t="inlineStr">
        <is>
          <t>horizontal</t>
        </is>
      </c>
      <c r="E252" s="38" t="n">
        <v>750</v>
      </c>
      <c r="F252" s="38" t="n">
        <v>750</v>
      </c>
      <c r="G252" s="18" t="inlineStr">
        <is>
          <t>u/v</t>
        </is>
      </c>
      <c r="H252" s="44" t="n">
        <v>5364.5</v>
      </c>
      <c r="I252" s="44" t="n">
        <v>3204.3</v>
      </c>
      <c r="J252" s="44" t="n">
        <v>6114.5</v>
      </c>
      <c r="K252" s="44" t="n">
        <v>3089.2</v>
      </c>
      <c r="L252" s="18" t="inlineStr">
        <is>
          <t>8</t>
        </is>
      </c>
      <c r="M252" s="18" t="inlineStr">
        <is>
          <t>S083 S087 S089</t>
        </is>
      </c>
      <c r="N252" s="18" t="inlineStr">
        <is>
          <t>DA3D2F</t>
        </is>
      </c>
    </row>
    <row r="253">
      <c r="A253" s="18" t="inlineStr">
        <is>
          <t>DWG0246</t>
        </is>
      </c>
      <c r="B253" s="18" t="inlineStr">
        <is>
          <t>E26</t>
        </is>
      </c>
      <c r="C253" s="18" t="inlineStr">
        <is>
          <t>26</t>
        </is>
      </c>
      <c r="D253" s="18" t="inlineStr">
        <is>
          <t>horizontal</t>
        </is>
      </c>
      <c r="E253" s="38" t="n">
        <v>1000</v>
      </c>
      <c r="F253" s="38" t="n">
        <v>1000</v>
      </c>
      <c r="G253" s="18" t="inlineStr">
        <is>
          <t>u/v</t>
        </is>
      </c>
      <c r="H253" s="44" t="n">
        <v>4364.5</v>
      </c>
      <c r="I253" s="44" t="n">
        <v>3213.3</v>
      </c>
      <c r="J253" s="44" t="n">
        <v>5364.5</v>
      </c>
      <c r="K253" s="44" t="n">
        <v>3204.3</v>
      </c>
      <c r="L253" s="18" t="inlineStr">
        <is>
          <t>8</t>
        </is>
      </c>
      <c r="M253" s="18" t="inlineStr">
        <is>
          <t>S084 S085 S086</t>
        </is>
      </c>
      <c r="N253" s="18" t="inlineStr">
        <is>
          <t>DA3D2C</t>
        </is>
      </c>
    </row>
    <row r="254">
      <c r="A254" s="18" t="inlineStr">
        <is>
          <t>DWG0247</t>
        </is>
      </c>
      <c r="B254" s="18" t="inlineStr">
        <is>
          <t>E26</t>
        </is>
      </c>
      <c r="C254" s="18" t="inlineStr">
        <is>
          <t>26</t>
        </is>
      </c>
      <c r="D254" s="18" t="inlineStr">
        <is>
          <t>horizontal</t>
        </is>
      </c>
      <c r="E254" s="38" t="n">
        <v>1000</v>
      </c>
      <c r="F254" s="38" t="n">
        <v>1000</v>
      </c>
      <c r="G254" s="18" t="inlineStr">
        <is>
          <t>u/v</t>
        </is>
      </c>
      <c r="H254" s="44" t="n">
        <v>3364.5</v>
      </c>
      <c r="I254" s="44" t="n">
        <v>3222.4</v>
      </c>
      <c r="J254" s="44" t="n">
        <v>4364.5</v>
      </c>
      <c r="K254" s="44" t="n">
        <v>3213.3</v>
      </c>
      <c r="L254" s="18" t="inlineStr">
        <is>
          <t>8</t>
        </is>
      </c>
      <c r="M254" s="18" t="inlineStr">
        <is>
          <t>S084 S085 S086</t>
        </is>
      </c>
      <c r="N254" s="18" t="inlineStr">
        <is>
          <t>DA3D29</t>
        </is>
      </c>
    </row>
    <row r="255">
      <c r="A255" s="18" t="inlineStr">
        <is>
          <t>DWG0248</t>
        </is>
      </c>
      <c r="B255" s="18" t="inlineStr">
        <is>
          <t>E26</t>
        </is>
      </c>
      <c r="C255" s="18" t="inlineStr">
        <is>
          <t>26</t>
        </is>
      </c>
      <c r="D255" s="18" t="inlineStr">
        <is>
          <t>horizontal</t>
        </is>
      </c>
      <c r="E255" s="38" t="n">
        <v>90</v>
      </c>
      <c r="F255" s="38" t="n">
        <v>90</v>
      </c>
      <c r="G255" s="18" t="inlineStr">
        <is>
          <t>u/v</t>
        </is>
      </c>
      <c r="H255" s="44" t="n">
        <v>10922.8</v>
      </c>
      <c r="I255" s="44" t="n">
        <v>4439.4</v>
      </c>
      <c r="J255" s="44" t="n">
        <v>11012.8</v>
      </c>
      <c r="K255" s="44" t="n">
        <v>4439.4</v>
      </c>
      <c r="L255" s="18" t="inlineStr">
        <is>
          <t>8</t>
        </is>
      </c>
      <c r="M255" s="18" t="inlineStr"/>
      <c r="N255" s="18" t="inlineStr">
        <is>
          <t>DA35CA</t>
        </is>
      </c>
    </row>
    <row r="256">
      <c r="A256" s="18" t="inlineStr">
        <is>
          <t>DWG0249</t>
        </is>
      </c>
      <c r="B256" s="18" t="inlineStr">
        <is>
          <t>E26</t>
        </is>
      </c>
      <c r="C256" s="18" t="inlineStr">
        <is>
          <t>26</t>
        </is>
      </c>
      <c r="D256" s="18" t="inlineStr">
        <is>
          <t>horizontal</t>
        </is>
      </c>
      <c r="E256" s="38" t="n">
        <v>3870</v>
      </c>
      <c r="F256" s="38" t="n">
        <v>3870</v>
      </c>
      <c r="G256" s="18" t="inlineStr">
        <is>
          <t>u/v</t>
        </is>
      </c>
      <c r="H256" s="44" t="n">
        <v>11977.9</v>
      </c>
      <c r="I256" s="44" t="n">
        <v>6564.7</v>
      </c>
      <c r="J256" s="44" t="n">
        <v>8107.9</v>
      </c>
      <c r="K256" s="44" t="n">
        <v>6564.7</v>
      </c>
      <c r="L256" s="18" t="inlineStr">
        <is>
          <t>8</t>
        </is>
      </c>
      <c r="M256" s="18" t="inlineStr"/>
      <c r="N256" s="18" t="inlineStr">
        <is>
          <t>DA4D8C</t>
        </is>
      </c>
    </row>
    <row r="257">
      <c r="A257" s="18" t="inlineStr">
        <is>
          <t>DWG0250</t>
        </is>
      </c>
      <c r="B257" s="18" t="inlineStr">
        <is>
          <t>E26</t>
        </is>
      </c>
      <c r="C257" s="18" t="inlineStr">
        <is>
          <t>26</t>
        </is>
      </c>
      <c r="D257" s="18" t="inlineStr">
        <is>
          <t>vertical</t>
        </is>
      </c>
      <c r="E257" s="44" t="n">
        <v>6323.9</v>
      </c>
      <c r="F257" s="38" t="n">
        <v>6324</v>
      </c>
      <c r="G257" s="18" t="inlineStr">
        <is>
          <t>u/v</t>
        </is>
      </c>
      <c r="H257" s="44" t="n">
        <v>1165.6</v>
      </c>
      <c r="I257" s="44" t="n">
        <v>2229.2</v>
      </c>
      <c r="J257" s="44" t="n">
        <v>1078.2</v>
      </c>
      <c r="K257" s="44" t="n">
        <v>8553.1</v>
      </c>
      <c r="L257" s="18" t="inlineStr">
        <is>
          <t>8</t>
        </is>
      </c>
      <c r="M257" s="18" t="inlineStr">
        <is>
          <t>S088 S148</t>
        </is>
      </c>
      <c r="N257" s="18" t="inlineStr">
        <is>
          <t>DA3D20</t>
        </is>
      </c>
    </row>
    <row r="258">
      <c r="A258" s="18" t="inlineStr">
        <is>
          <t>DWG0251</t>
        </is>
      </c>
      <c r="B258" s="18" t="inlineStr">
        <is>
          <t>E26</t>
        </is>
      </c>
      <c r="C258" s="18" t="inlineStr">
        <is>
          <t>26</t>
        </is>
      </c>
      <c r="D258" s="18" t="inlineStr">
        <is>
          <t>vertical</t>
        </is>
      </c>
      <c r="E258" s="44" t="n">
        <v>2100.5</v>
      </c>
      <c r="F258" s="38">
        <v>2101</v>
      </c>
      <c r="G258" s="18" t="inlineStr">
        <is>
          <t>u/v</t>
        </is>
      </c>
      <c r="H258" s="44" t="n">
        <v>2864.5</v>
      </c>
      <c r="I258" s="44" t="n">
        <v>3079.2</v>
      </c>
      <c r="J258" s="44" t="n">
        <v>2864.5</v>
      </c>
      <c r="K258" s="44" t="n">
        <v>5179.7</v>
      </c>
      <c r="L258" s="18" t="inlineStr">
        <is>
          <t>8</t>
        </is>
      </c>
      <c r="M258" s="18" t="inlineStr">
        <is>
          <t>S092</t>
        </is>
      </c>
      <c r="N258" s="18" t="inlineStr">
        <is>
          <t>DA3D38</t>
        </is>
      </c>
    </row>
    <row r="259">
      <c r="A259" s="18" t="inlineStr">
        <is>
          <t>DWG0252</t>
        </is>
      </c>
      <c r="B259" s="18" t="inlineStr">
        <is>
          <t>E26</t>
        </is>
      </c>
      <c r="C259" s="18" t="inlineStr">
        <is>
          <t>26</t>
        </is>
      </c>
      <c r="D259" s="18" t="inlineStr">
        <is>
          <t>vertical</t>
        </is>
      </c>
      <c r="E259" s="38" t="n">
        <v>150</v>
      </c>
      <c r="F259" s="38" t="n">
        <v>150</v>
      </c>
      <c r="G259" s="18" t="inlineStr">
        <is>
          <t>u/v</t>
        </is>
      </c>
      <c r="H259" s="44" t="n">
        <v>2864.5</v>
      </c>
      <c r="I259" s="44" t="n">
        <v>5329.7</v>
      </c>
      <c r="J259" s="44" t="n">
        <v>2864.5</v>
      </c>
      <c r="K259" s="44" t="n">
        <v>5179.7</v>
      </c>
      <c r="L259" s="18" t="inlineStr">
        <is>
          <t>8</t>
        </is>
      </c>
      <c r="M259" s="18" t="inlineStr">
        <is>
          <t>S093</t>
        </is>
      </c>
      <c r="N259" s="18" t="inlineStr">
        <is>
          <t>DA3D51</t>
        </is>
      </c>
    </row>
    <row r="260">
      <c r="A260" s="18" t="inlineStr">
        <is>
          <t>DWG0253</t>
        </is>
      </c>
      <c r="B260" s="18" t="inlineStr">
        <is>
          <t>E26</t>
        </is>
      </c>
      <c r="C260" s="18" t="inlineStr">
        <is>
          <t>26</t>
        </is>
      </c>
      <c r="D260" s="18" t="inlineStr">
        <is>
          <t>vertical</t>
        </is>
      </c>
      <c r="E260" s="38" t="n">
        <v>500</v>
      </c>
      <c r="F260" s="38" t="n">
        <v>500</v>
      </c>
      <c r="G260" s="18" t="inlineStr">
        <is>
          <t>u/v</t>
        </is>
      </c>
      <c r="H260" s="44" t="n">
        <v>2864.5</v>
      </c>
      <c r="I260" s="44" t="n">
        <v>5829.7</v>
      </c>
      <c r="J260" s="44" t="n">
        <v>2864.5</v>
      </c>
      <c r="K260" s="44" t="n">
        <v>5329.7</v>
      </c>
      <c r="L260" s="18" t="inlineStr">
        <is>
          <t>8</t>
        </is>
      </c>
      <c r="M260" s="18" t="inlineStr"/>
      <c r="N260" s="18" t="inlineStr">
        <is>
          <t>DA3D4E</t>
        </is>
      </c>
    </row>
    <row r="261">
      <c r="A261" s="18" t="inlineStr">
        <is>
          <t>DWG0254</t>
        </is>
      </c>
      <c r="B261" s="18" t="inlineStr">
        <is>
          <t>E26</t>
        </is>
      </c>
      <c r="C261" s="18" t="inlineStr">
        <is>
          <t>26</t>
        </is>
      </c>
      <c r="D261" s="18" t="inlineStr">
        <is>
          <t>vertical</t>
        </is>
      </c>
      <c r="E261" s="38" t="n">
        <v>328</v>
      </c>
      <c r="F261" s="38" t="n">
        <v>328</v>
      </c>
      <c r="G261" s="18" t="inlineStr">
        <is>
          <t>u/v</t>
        </is>
      </c>
      <c r="H261" s="44" t="n">
        <v>2864.5</v>
      </c>
      <c r="I261" s="44" t="n">
        <v>6157.7</v>
      </c>
      <c r="J261" s="44" t="n">
        <v>2864.5</v>
      </c>
      <c r="K261" s="44" t="n">
        <v>5829.7</v>
      </c>
      <c r="L261" s="18" t="inlineStr">
        <is>
          <t>8</t>
        </is>
      </c>
      <c r="M261" s="18" t="inlineStr"/>
      <c r="N261" s="18" t="inlineStr">
        <is>
          <t>DA3D4B</t>
        </is>
      </c>
    </row>
    <row r="262">
      <c r="A262" s="18" t="inlineStr">
        <is>
          <t>DWG0255</t>
        </is>
      </c>
      <c r="B262" s="18" t="inlineStr">
        <is>
          <t>E26</t>
        </is>
      </c>
      <c r="C262" s="18" t="inlineStr">
        <is>
          <t>26</t>
        </is>
      </c>
      <c r="D262" s="18" t="inlineStr">
        <is>
          <t>vertical</t>
        </is>
      </c>
      <c r="E262" s="38" t="n">
        <v>850</v>
      </c>
      <c r="F262" s="38" t="n">
        <v>850</v>
      </c>
      <c r="G262" s="18" t="inlineStr">
        <is>
          <t>u/v</t>
        </is>
      </c>
      <c r="H262" s="44" t="n">
        <v>2865.9</v>
      </c>
      <c r="I262" s="44" t="n">
        <v>2229.2</v>
      </c>
      <c r="J262" s="44" t="n">
        <v>2864.5</v>
      </c>
      <c r="K262" s="44" t="n">
        <v>3079.2</v>
      </c>
      <c r="L262" s="18" t="inlineStr">
        <is>
          <t>8</t>
        </is>
      </c>
      <c r="M262" s="18" t="inlineStr">
        <is>
          <t>S091</t>
        </is>
      </c>
      <c r="N262" s="18" t="inlineStr">
        <is>
          <t>DA3D35</t>
        </is>
      </c>
    </row>
    <row r="263">
      <c r="A263" s="18" t="inlineStr">
        <is>
          <t>DWG0256</t>
        </is>
      </c>
      <c r="B263" s="18" t="inlineStr">
        <is>
          <t>E26</t>
        </is>
      </c>
      <c r="C263" s="18" t="inlineStr">
        <is>
          <t>26</t>
        </is>
      </c>
      <c r="D263" s="18" t="inlineStr">
        <is>
          <t>vertical</t>
        </is>
      </c>
      <c r="E263" s="44" t="n">
        <v>4335.5</v>
      </c>
      <c r="F263" s="38" t="n">
        <v>4335</v>
      </c>
      <c r="G263" s="18" t="inlineStr">
        <is>
          <t>u/v</t>
        </is>
      </c>
      <c r="H263" s="44" t="n">
        <v>7375.1</v>
      </c>
      <c r="I263" s="44" t="n">
        <v>2229.2</v>
      </c>
      <c r="J263" s="44" t="n">
        <v>7375.1</v>
      </c>
      <c r="K263" s="44" t="n">
        <v>6564.7</v>
      </c>
      <c r="L263" s="18" t="inlineStr">
        <is>
          <t>8</t>
        </is>
      </c>
      <c r="M263" s="18" t="inlineStr"/>
      <c r="N263" s="18" t="inlineStr">
        <is>
          <t>DA34D5</t>
        </is>
      </c>
    </row>
    <row r="264">
      <c r="A264" s="18" t="inlineStr">
        <is>
          <t>DWG0257</t>
        </is>
      </c>
      <c r="B264" s="18" t="inlineStr">
        <is>
          <t>E26</t>
        </is>
      </c>
      <c r="C264" s="18" t="inlineStr">
        <is>
          <t>26</t>
        </is>
      </c>
      <c r="D264" s="18" t="inlineStr">
        <is>
          <t>vertical</t>
        </is>
      </c>
      <c r="E264" s="44" t="n">
        <v>1279.5</v>
      </c>
      <c r="F264" s="38" t="n">
        <v>1280</v>
      </c>
      <c r="G264" s="18" t="inlineStr">
        <is>
          <t>u/v</t>
        </is>
      </c>
      <c r="H264" s="44" t="n">
        <v>7375.1</v>
      </c>
      <c r="I264" s="44" t="n">
        <v>6564.7</v>
      </c>
      <c r="J264" s="44" t="n">
        <v>10042.9</v>
      </c>
      <c r="K264" s="44" t="n">
        <v>7844.2</v>
      </c>
      <c r="L264" s="18" t="inlineStr">
        <is>
          <t>8</t>
        </is>
      </c>
      <c r="M264" s="18" t="inlineStr">
        <is>
          <t>S115</t>
        </is>
      </c>
      <c r="N264" s="18" t="inlineStr">
        <is>
          <t>DA34D6</t>
        </is>
      </c>
    </row>
    <row r="265">
      <c r="A265" s="18" t="inlineStr">
        <is>
          <t>DWG0258</t>
        </is>
      </c>
      <c r="B265" s="18" t="inlineStr">
        <is>
          <t>E26</t>
        </is>
      </c>
      <c r="C265" s="18" t="inlineStr">
        <is>
          <t>26</t>
        </is>
      </c>
      <c r="D265" s="18" t="inlineStr">
        <is>
          <t>vertical</t>
        </is>
      </c>
      <c r="E265" s="44" t="n">
        <v>308.9</v>
      </c>
      <c r="F265" s="38" t="n">
        <v>309</v>
      </c>
      <c r="G265" s="18" t="inlineStr">
        <is>
          <t>u/v</t>
        </is>
      </c>
      <c r="H265" s="44" t="n">
        <v>7977.6</v>
      </c>
      <c r="I265" s="44" t="n">
        <v>6255.8</v>
      </c>
      <c r="J265" s="44" t="n">
        <v>8186.4</v>
      </c>
      <c r="K265" s="44" t="n">
        <v>6564.7</v>
      </c>
      <c r="L265" s="18" t="inlineStr">
        <is>
          <t>8</t>
        </is>
      </c>
      <c r="M265" s="18" t="inlineStr"/>
      <c r="N265" s="18" t="inlineStr">
        <is>
          <t>DA34EC</t>
        </is>
      </c>
    </row>
    <row r="266">
      <c r="A266" s="18" t="inlineStr">
        <is>
          <t>DWG0259</t>
        </is>
      </c>
      <c r="B266" s="18" t="inlineStr">
        <is>
          <t>E26</t>
        </is>
      </c>
      <c r="C266" s="18" t="inlineStr">
        <is>
          <t>26</t>
        </is>
      </c>
      <c r="D266" s="18" t="inlineStr">
        <is>
          <t>vertical</t>
        </is>
      </c>
      <c r="E266" s="44" t="n">
        <v>2957.9</v>
      </c>
      <c r="F266" s="38" t="n">
        <v>2958</v>
      </c>
      <c r="G266" s="18" t="inlineStr">
        <is>
          <t>u/v</t>
        </is>
      </c>
      <c r="H266" s="44" t="n">
        <v>8015.8</v>
      </c>
      <c r="I266" s="44" t="n">
        <v>2889.2</v>
      </c>
      <c r="J266" s="44" t="n">
        <v>8015.8</v>
      </c>
      <c r="K266" s="44" t="n">
        <v>5847.1</v>
      </c>
      <c r="L266" s="18" t="inlineStr">
        <is>
          <t>8</t>
        </is>
      </c>
      <c r="M266" s="18" t="inlineStr"/>
      <c r="N266" s="18" t="inlineStr">
        <is>
          <t>DA34E3</t>
        </is>
      </c>
    </row>
    <row r="267">
      <c r="A267" s="18" t="inlineStr">
        <is>
          <t>DWG0260</t>
        </is>
      </c>
      <c r="B267" s="18" t="inlineStr">
        <is>
          <t>E26</t>
        </is>
      </c>
      <c r="C267" s="18" t="inlineStr">
        <is>
          <t>26</t>
        </is>
      </c>
      <c r="D267" s="18" t="inlineStr">
        <is>
          <t>vertical</t>
        </is>
      </c>
      <c r="E267" s="44" t="n">
        <v>138.7</v>
      </c>
      <c r="F267" s="38" t="n">
        <v>139</v>
      </c>
      <c r="G267" s="18" t="inlineStr">
        <is>
          <t>u/v</t>
        </is>
      </c>
      <c r="H267" s="44" t="n">
        <v>8015.8</v>
      </c>
      <c r="I267" s="44" t="n">
        <v>5847.1</v>
      </c>
      <c r="J267" s="44" t="n">
        <v>8040.6</v>
      </c>
      <c r="K267" s="44" t="n">
        <v>5985.8</v>
      </c>
      <c r="L267" s="18" t="inlineStr">
        <is>
          <t>8</t>
        </is>
      </c>
      <c r="M267" s="18" t="inlineStr">
        <is>
          <t>S099</t>
        </is>
      </c>
      <c r="N267" s="18" t="inlineStr">
        <is>
          <t>DA34E6</t>
        </is>
      </c>
    </row>
    <row r="268">
      <c r="A268" s="18" t="inlineStr">
        <is>
          <t>DWG0261</t>
        </is>
      </c>
      <c r="B268" s="18" t="inlineStr">
        <is>
          <t>E26</t>
        </is>
      </c>
      <c r="C268" s="18" t="inlineStr">
        <is>
          <t>26</t>
        </is>
      </c>
      <c r="D268" s="18" t="inlineStr">
        <is>
          <t>vertical</t>
        </is>
      </c>
      <c r="E268" s="38" t="n">
        <v>270</v>
      </c>
      <c r="F268" s="38" t="n">
        <v>270</v>
      </c>
      <c r="G268" s="18" t="inlineStr">
        <is>
          <t>u/v</t>
        </is>
      </c>
      <c r="H268" s="44" t="n">
        <v>8040.6</v>
      </c>
      <c r="I268" s="44" t="n">
        <v>5985.8</v>
      </c>
      <c r="J268" s="44" t="n">
        <v>7977.6</v>
      </c>
      <c r="K268" s="44" t="n">
        <v>6255.8</v>
      </c>
      <c r="L268" s="18" t="inlineStr">
        <is>
          <t>8</t>
        </is>
      </c>
      <c r="M268" s="18" t="inlineStr"/>
      <c r="N268" s="18" t="inlineStr">
        <is>
          <t>DA34E9</t>
        </is>
      </c>
    </row>
    <row r="269">
      <c r="A269" s="18" t="inlineStr">
        <is>
          <t>DWG0262</t>
        </is>
      </c>
      <c r="B269" s="18" t="inlineStr">
        <is>
          <t>E26</t>
        </is>
      </c>
      <c r="C269" s="18" t="inlineStr">
        <is>
          <t>26</t>
        </is>
      </c>
      <c r="D269" s="18" t="inlineStr">
        <is>
          <t>vertical</t>
        </is>
      </c>
      <c r="E269" s="38" t="n">
        <v>660</v>
      </c>
      <c r="F269" s="38" t="n">
        <v>660</v>
      </c>
      <c r="G269" s="18" t="inlineStr">
        <is>
          <t>u/v</t>
        </is>
      </c>
      <c r="H269" s="44" t="n">
        <v>8117.3</v>
      </c>
      <c r="I269" s="44" t="n">
        <v>2229.2</v>
      </c>
      <c r="J269" s="44" t="n">
        <v>8015.8</v>
      </c>
      <c r="K269" s="44" t="n">
        <v>2889.2</v>
      </c>
      <c r="L269" s="18" t="inlineStr">
        <is>
          <t>8</t>
        </is>
      </c>
      <c r="M269" s="18" t="inlineStr"/>
      <c r="N269" s="18" t="inlineStr">
        <is>
          <t>DA34E2</t>
        </is>
      </c>
    </row>
    <row r="270">
      <c r="A270" s="18" t="inlineStr">
        <is>
          <t>DWG0263</t>
        </is>
      </c>
      <c r="B270" s="18" t="inlineStr">
        <is>
          <t>E26</t>
        </is>
      </c>
      <c r="C270" s="18" t="inlineStr">
        <is>
          <t>26</t>
        </is>
      </c>
      <c r="D270" s="18" t="inlineStr">
        <is>
          <t>vertical</t>
        </is>
      </c>
      <c r="E270" s="38" t="n">
        <v>730</v>
      </c>
      <c r="F270" s="38" t="n">
        <v>730</v>
      </c>
      <c r="G270" s="18" t="inlineStr">
        <is>
          <t>u/v</t>
        </is>
      </c>
      <c r="H270" s="44" t="n">
        <v>9162.9</v>
      </c>
      <c r="I270" s="44" t="n">
        <v>2959.2</v>
      </c>
      <c r="J270" s="44" t="n">
        <v>9162.9</v>
      </c>
      <c r="K270" s="44" t="n">
        <v>2229.2</v>
      </c>
      <c r="L270" s="18" t="inlineStr">
        <is>
          <t>8</t>
        </is>
      </c>
      <c r="M270" s="18" t="inlineStr"/>
      <c r="N270" s="18" t="inlineStr">
        <is>
          <t>DA35DE</t>
        </is>
      </c>
    </row>
    <row r="271">
      <c r="A271" s="18" t="inlineStr">
        <is>
          <t>DWG0264</t>
        </is>
      </c>
      <c r="B271" s="18" t="inlineStr">
        <is>
          <t>E26</t>
        </is>
      </c>
      <c r="C271" s="18" t="inlineStr">
        <is>
          <t>26</t>
        </is>
      </c>
      <c r="D271" s="18" t="inlineStr">
        <is>
          <t>vertical</t>
        </is>
      </c>
      <c r="E271" s="44" t="n">
        <v>2102.9</v>
      </c>
      <c r="F271" s="38" t="n">
        <v>2103</v>
      </c>
      <c r="G271" s="18" t="inlineStr">
        <is>
          <t>u/v</t>
        </is>
      </c>
      <c r="H271" s="44" t="n">
        <v>10042.9</v>
      </c>
      <c r="I271" s="44" t="n">
        <v>5741.3</v>
      </c>
      <c r="J271" s="44" t="n">
        <v>10042.9</v>
      </c>
      <c r="K271" s="44" t="n">
        <v>7844.2</v>
      </c>
      <c r="L271" s="18" t="inlineStr">
        <is>
          <t>8</t>
        </is>
      </c>
      <c r="M271" s="18" t="inlineStr"/>
      <c r="N271" s="18" t="inlineStr">
        <is>
          <t>DA34EF</t>
        </is>
      </c>
    </row>
    <row r="272">
      <c r="A272" s="18" t="inlineStr">
        <is>
          <t>DWG0265</t>
        </is>
      </c>
      <c r="B272" s="18" t="inlineStr">
        <is>
          <t>E26</t>
        </is>
      </c>
      <c r="C272" s="18" t="inlineStr">
        <is>
          <t>26</t>
        </is>
      </c>
      <c r="D272" s="18" t="inlineStr">
        <is>
          <t>vertical</t>
        </is>
      </c>
      <c r="E272" s="44" t="n">
        <v>2102.9</v>
      </c>
      <c r="F272" s="38" t="n">
        <v>2103</v>
      </c>
      <c r="G272" s="18" t="inlineStr">
        <is>
          <t>u/v</t>
        </is>
      </c>
      <c r="H272" s="44" t="n">
        <v>10042.9</v>
      </c>
      <c r="I272" s="44" t="n">
        <v>5741.3</v>
      </c>
      <c r="J272" s="44" t="n">
        <v>10011.6</v>
      </c>
      <c r="K272" s="44" t="n">
        <v>7844.2</v>
      </c>
      <c r="L272" s="18" t="inlineStr">
        <is>
          <t>8</t>
        </is>
      </c>
      <c r="M272" s="18" t="inlineStr"/>
      <c r="N272" s="18" t="inlineStr">
        <is>
          <t>DA4D8A</t>
        </is>
      </c>
    </row>
    <row r="273">
      <c r="A273" s="18" t="inlineStr">
        <is>
          <t>DWG0266</t>
        </is>
      </c>
      <c r="B273" s="18" t="inlineStr">
        <is>
          <t>E26</t>
        </is>
      </c>
      <c r="C273" s="18" t="inlineStr">
        <is>
          <t>26</t>
        </is>
      </c>
      <c r="D273" s="18" t="inlineStr">
        <is>
          <t>vertical</t>
        </is>
      </c>
      <c r="E273" s="44" t="n">
        <v>823.4</v>
      </c>
      <c r="F273" s="38" t="n">
        <v>823</v>
      </c>
      <c r="G273" s="18" t="inlineStr">
        <is>
          <t>u/v</t>
        </is>
      </c>
      <c r="H273" s="44" t="n">
        <v>10042.9</v>
      </c>
      <c r="I273" s="44" t="n">
        <v>5741.3</v>
      </c>
      <c r="J273" s="44" t="n">
        <v>8215.299999999999</v>
      </c>
      <c r="K273" s="44" t="n">
        <v>6564.7</v>
      </c>
      <c r="L273" s="18" t="inlineStr">
        <is>
          <t>8</t>
        </is>
      </c>
      <c r="M273" s="18" t="inlineStr"/>
      <c r="N273" s="18" t="inlineStr">
        <is>
          <t>DA4D8B</t>
        </is>
      </c>
    </row>
    <row r="274">
      <c r="A274" s="18" t="inlineStr">
        <is>
          <t>DWG0267</t>
        </is>
      </c>
      <c r="B274" s="18" t="inlineStr">
        <is>
          <t>E26</t>
        </is>
      </c>
      <c r="C274" s="18" t="inlineStr">
        <is>
          <t>26</t>
        </is>
      </c>
      <c r="D274" s="18" t="inlineStr">
        <is>
          <t>vertical</t>
        </is>
      </c>
      <c r="E274" s="44" t="n">
        <v>1441.2</v>
      </c>
      <c r="F274" s="38" t="n">
        <v>1441</v>
      </c>
      <c r="G274" s="18" t="inlineStr">
        <is>
          <t>u/v</t>
        </is>
      </c>
      <c r="H274" s="44" t="n">
        <v>10042.9</v>
      </c>
      <c r="I274" s="44" t="n">
        <v>7844.2</v>
      </c>
      <c r="J274" s="44" t="n">
        <v>7792.9</v>
      </c>
      <c r="K274" s="44" t="n">
        <v>9285.299999999999</v>
      </c>
      <c r="L274" s="18" t="inlineStr">
        <is>
          <t>8</t>
        </is>
      </c>
      <c r="M274" s="18" t="inlineStr"/>
      <c r="N274" s="18" t="inlineStr">
        <is>
          <t>DA34D7</t>
        </is>
      </c>
    </row>
    <row r="275">
      <c r="A275" s="18" t="inlineStr">
        <is>
          <t>DWG0268</t>
        </is>
      </c>
      <c r="B275" s="18" t="inlineStr">
        <is>
          <t>E26</t>
        </is>
      </c>
      <c r="C275" s="18" t="inlineStr">
        <is>
          <t>26</t>
        </is>
      </c>
      <c r="D275" s="18" t="inlineStr">
        <is>
          <t>vertical</t>
        </is>
      </c>
      <c r="E275" s="38" t="n">
        <v>90</v>
      </c>
      <c r="F275" s="38" t="n">
        <v>90</v>
      </c>
      <c r="G275" s="18" t="inlineStr">
        <is>
          <t>u/v</t>
        </is>
      </c>
      <c r="H275" s="44" t="n">
        <v>10922.8</v>
      </c>
      <c r="I275" s="44" t="n">
        <v>5089.7</v>
      </c>
      <c r="J275" s="38" t="n">
        <v>11019</v>
      </c>
      <c r="K275" s="44" t="n">
        <v>5179.7</v>
      </c>
      <c r="L275" s="18" t="inlineStr">
        <is>
          <t>8</t>
        </is>
      </c>
      <c r="M275" s="18" t="inlineStr"/>
      <c r="N275" s="18" t="inlineStr">
        <is>
          <t>DA35CB</t>
        </is>
      </c>
    </row>
    <row r="276">
      <c r="A276" s="18" t="inlineStr">
        <is>
          <t>DWG0269</t>
        </is>
      </c>
      <c r="B276" s="18" t="inlineStr">
        <is>
          <t>E26</t>
        </is>
      </c>
      <c r="C276" s="18" t="inlineStr">
        <is>
          <t>26</t>
        </is>
      </c>
      <c r="D276" s="18" t="inlineStr">
        <is>
          <t>vertical</t>
        </is>
      </c>
      <c r="E276" s="38" t="n">
        <v>90</v>
      </c>
      <c r="F276" s="38" t="n">
        <v>90</v>
      </c>
      <c r="G276" s="18" t="inlineStr">
        <is>
          <t>u/v</t>
        </is>
      </c>
      <c r="H276" s="44" t="n">
        <v>10922.9</v>
      </c>
      <c r="I276" s="44" t="n">
        <v>2959.2</v>
      </c>
      <c r="J276" s="44" t="n">
        <v>11012.8</v>
      </c>
      <c r="K276" s="44" t="n">
        <v>2869.2</v>
      </c>
      <c r="L276" s="18" t="inlineStr">
        <is>
          <t>8</t>
        </is>
      </c>
      <c r="M276" s="18" t="inlineStr"/>
      <c r="N276" s="18" t="inlineStr">
        <is>
          <t>DA35D8</t>
        </is>
      </c>
    </row>
    <row r="277">
      <c r="A277" s="18" t="inlineStr">
        <is>
          <t>DWG0270</t>
        </is>
      </c>
      <c r="B277" s="18" t="inlineStr">
        <is>
          <t>E26</t>
        </is>
      </c>
      <c r="C277" s="18" t="inlineStr">
        <is>
          <t>26</t>
        </is>
      </c>
      <c r="D277" s="18" t="inlineStr">
        <is>
          <t>vertical</t>
        </is>
      </c>
      <c r="E277" s="38" t="n">
        <v>220</v>
      </c>
      <c r="F277" s="38" t="n">
        <v>220</v>
      </c>
      <c r="G277" s="18" t="inlineStr">
        <is>
          <t>u/v</t>
        </is>
      </c>
      <c r="H277" s="44" t="n">
        <v>10933.9</v>
      </c>
      <c r="I277" s="44" t="n">
        <v>5179.7</v>
      </c>
      <c r="J277" s="44" t="n">
        <v>10778.8</v>
      </c>
      <c r="K277" s="44" t="n">
        <v>5399.7</v>
      </c>
      <c r="L277" s="18" t="inlineStr">
        <is>
          <t>8</t>
        </is>
      </c>
      <c r="M277" s="18" t="inlineStr">
        <is>
          <t>S107 S113</t>
        </is>
      </c>
      <c r="N277" s="18" t="inlineStr">
        <is>
          <t>DA35CE</t>
        </is>
      </c>
    </row>
    <row r="278">
      <c r="A278" s="18" t="inlineStr">
        <is>
          <t>DWG0271</t>
        </is>
      </c>
      <c r="B278" s="18" t="inlineStr">
        <is>
          <t>E26</t>
        </is>
      </c>
      <c r="C278" s="18" t="inlineStr">
        <is>
          <t>26</t>
        </is>
      </c>
      <c r="D278" s="18" t="inlineStr">
        <is>
          <t>vertical</t>
        </is>
      </c>
      <c r="E278" s="38" t="n">
        <v>640</v>
      </c>
      <c r="F278" s="38" t="n">
        <v>640</v>
      </c>
      <c r="G278" s="18" t="inlineStr">
        <is>
          <t>u/v</t>
        </is>
      </c>
      <c r="H278" s="44" t="n">
        <v>11012.8</v>
      </c>
      <c r="I278" s="44" t="n">
        <v>2869.2</v>
      </c>
      <c r="J278" s="44" t="n">
        <v>11117.8</v>
      </c>
      <c r="K278" s="44" t="n">
        <v>2229.2</v>
      </c>
      <c r="L278" s="18" t="inlineStr">
        <is>
          <t>8</t>
        </is>
      </c>
      <c r="M278" s="18" t="inlineStr"/>
      <c r="N278" s="18" t="inlineStr">
        <is>
          <t>DA35DB</t>
        </is>
      </c>
    </row>
    <row r="279">
      <c r="A279" s="18" t="inlineStr">
        <is>
          <t>DWG0272</t>
        </is>
      </c>
      <c r="B279" s="18" t="inlineStr">
        <is>
          <t>E26</t>
        </is>
      </c>
      <c r="C279" s="18" t="inlineStr">
        <is>
          <t>26</t>
        </is>
      </c>
      <c r="D279" s="18" t="inlineStr">
        <is>
          <t>vertical</t>
        </is>
      </c>
      <c r="E279" s="44" t="n">
        <v>2130.5</v>
      </c>
      <c r="F279" s="38">
        <v>2131</v>
      </c>
      <c r="G279" s="18" t="inlineStr">
        <is>
          <t>u/v</t>
        </is>
      </c>
      <c r="H279" s="44" t="n">
        <v>11012.8</v>
      </c>
      <c r="I279" s="44" t="n">
        <v>5089.7</v>
      </c>
      <c r="J279" s="44" t="n">
        <v>10922.9</v>
      </c>
      <c r="K279" s="44" t="n">
        <v>2959.2</v>
      </c>
      <c r="L279" s="18" t="inlineStr">
        <is>
          <t>8</t>
        </is>
      </c>
      <c r="M279" s="18" t="inlineStr"/>
      <c r="N279" s="18" t="inlineStr">
        <is>
          <t>DA35D5</t>
        </is>
      </c>
    </row>
    <row r="280">
      <c r="A280" s="18" t="inlineStr">
        <is>
          <t>DWG0273</t>
        </is>
      </c>
      <c r="B280" s="18" t="inlineStr">
        <is>
          <t>E26</t>
        </is>
      </c>
      <c r="C280" s="18" t="inlineStr">
        <is>
          <t>26</t>
        </is>
      </c>
      <c r="D280" s="18" t="inlineStr">
        <is>
          <t>vertical</t>
        </is>
      </c>
      <c r="E280" s="38" t="n">
        <v>880</v>
      </c>
      <c r="F280" s="38" t="n">
        <v>880</v>
      </c>
      <c r="G280" s="18" t="inlineStr">
        <is>
          <t>u/v</t>
        </is>
      </c>
      <c r="H280" s="44" t="n">
        <v>11359.2</v>
      </c>
      <c r="I280" s="44" t="n">
        <v>5399.7</v>
      </c>
      <c r="J280" s="44" t="n">
        <v>10042.9</v>
      </c>
      <c r="K280" s="44" t="n">
        <v>6279.7</v>
      </c>
      <c r="L280" s="18" t="inlineStr">
        <is>
          <t>8</t>
        </is>
      </c>
      <c r="M280" s="18" t="inlineStr"/>
      <c r="N280" s="18" t="inlineStr">
        <is>
          <t>DA35E4</t>
        </is>
      </c>
    </row>
    <row r="281">
      <c r="A281" s="18" t="inlineStr">
        <is>
          <t>DWG0274</t>
        </is>
      </c>
      <c r="B281" s="18" t="inlineStr">
        <is>
          <t>E26</t>
        </is>
      </c>
      <c r="C281" s="18" t="inlineStr">
        <is>
          <t>26</t>
        </is>
      </c>
      <c r="D281" s="18" t="inlineStr">
        <is>
          <t>vertical</t>
        </is>
      </c>
      <c r="E281" s="44" t="n">
        <v>7056.2</v>
      </c>
      <c r="F281" s="38" t="n">
        <v>7056</v>
      </c>
      <c r="G281" s="18" t="inlineStr">
        <is>
          <t>u/v</t>
        </is>
      </c>
      <c r="H281" s="38" t="n">
        <v>13126</v>
      </c>
      <c r="I281" s="44" t="n">
        <v>2229.2</v>
      </c>
      <c r="J281" s="44" t="n">
        <v>12292.9</v>
      </c>
      <c r="K281" s="44" t="n">
        <v>9285.299999999999</v>
      </c>
      <c r="L281" s="18" t="inlineStr">
        <is>
          <t>8</t>
        </is>
      </c>
      <c r="M281" s="18" t="inlineStr">
        <is>
          <t>S152</t>
        </is>
      </c>
      <c r="N281" s="18" t="inlineStr">
        <is>
          <t>DA34DA</t>
        </is>
      </c>
    </row>
    <row r="282">
      <c r="A282" s="18" t="inlineStr">
        <is>
          <t>DWG0275</t>
        </is>
      </c>
      <c r="B282" s="18" t="inlineStr">
        <is>
          <t>E31</t>
        </is>
      </c>
      <c r="C282" s="18" t="inlineStr">
        <is>
          <t>31</t>
        </is>
      </c>
      <c r="D282" s="18" t="inlineStr">
        <is>
          <t>horizontal</t>
        </is>
      </c>
      <c r="E282" s="38" t="n">
        <v>4500</v>
      </c>
      <c r="F282" s="38" t="n">
        <v>4500</v>
      </c>
      <c r="G282" s="18" t="inlineStr">
        <is>
          <t>u/v</t>
        </is>
      </c>
      <c r="H282" s="44" t="n">
        <v>1614.8</v>
      </c>
      <c r="I282" s="44" t="n">
        <v>1666.4</v>
      </c>
      <c r="J282" s="44" t="n">
        <v>6114.8</v>
      </c>
      <c r="K282" s="44" t="n">
        <v>1666.4</v>
      </c>
      <c r="L282" s="18" t="inlineStr">
        <is>
          <t>9</t>
        </is>
      </c>
      <c r="M282" s="18" t="inlineStr">
        <is>
          <t>S117 S126</t>
        </is>
      </c>
      <c r="N282" s="18" t="inlineStr">
        <is>
          <t>DA2E93</t>
        </is>
      </c>
    </row>
    <row r="283">
      <c r="A283" s="18" t="inlineStr">
        <is>
          <t>DWG0276</t>
        </is>
      </c>
      <c r="B283" s="18" t="inlineStr">
        <is>
          <t>E31</t>
        </is>
      </c>
      <c r="C283" s="18" t="inlineStr">
        <is>
          <t>31</t>
        </is>
      </c>
      <c r="D283" s="18" t="inlineStr">
        <is>
          <t>horizontal</t>
        </is>
      </c>
      <c r="E283" s="38" t="n">
        <v>4500</v>
      </c>
      <c r="F283" s="38" t="n">
        <v>4500</v>
      </c>
      <c r="G283" s="18" t="inlineStr">
        <is>
          <t>u/v</t>
        </is>
      </c>
      <c r="H283" s="44" t="n">
        <v>7793.2</v>
      </c>
      <c r="I283" s="44" t="n">
        <v>1666.4</v>
      </c>
      <c r="J283" s="44" t="n">
        <v>12293.2</v>
      </c>
      <c r="K283" s="44" t="n">
        <v>1666.4</v>
      </c>
      <c r="L283" s="18" t="inlineStr">
        <is>
          <t>9</t>
        </is>
      </c>
      <c r="M283" s="18" t="inlineStr">
        <is>
          <t>S117 S126</t>
        </is>
      </c>
      <c r="N283" s="18" t="inlineStr">
        <is>
          <t>DA2E96</t>
        </is>
      </c>
    </row>
    <row r="284">
      <c r="A284" s="18" t="inlineStr">
        <is>
          <t>DWG0277</t>
        </is>
      </c>
      <c r="B284" s="18" t="inlineStr">
        <is>
          <t>E31</t>
        </is>
      </c>
      <c r="C284" s="18" t="inlineStr">
        <is>
          <t>31</t>
        </is>
      </c>
      <c r="D284" s="18" t="inlineStr">
        <is>
          <t>horizontal</t>
        </is>
      </c>
      <c r="E284" s="38" t="n">
        <v>1125</v>
      </c>
      <c r="F284" s="38" t="n">
        <v>1125</v>
      </c>
      <c r="G284" s="18" t="inlineStr">
        <is>
          <t>u/v</t>
        </is>
      </c>
      <c r="H284" s="44" t="n">
        <v>1614.8</v>
      </c>
      <c r="I284" s="44" t="n">
        <v>2005.5</v>
      </c>
      <c r="J284" s="44" t="n">
        <v>2739.8</v>
      </c>
      <c r="K284" s="44" t="n">
        <v>2434.2</v>
      </c>
      <c r="L284" s="18" t="inlineStr">
        <is>
          <t>9</t>
        </is>
      </c>
      <c r="M284" s="18" t="inlineStr">
        <is>
          <t>S118 S120 S127 S129</t>
        </is>
      </c>
      <c r="N284" s="18" t="inlineStr">
        <is>
          <t>DA2E8E</t>
        </is>
      </c>
    </row>
    <row r="285">
      <c r="A285" s="18" t="inlineStr">
        <is>
          <t>DWG0278</t>
        </is>
      </c>
      <c r="B285" s="18" t="inlineStr">
        <is>
          <t>E31</t>
        </is>
      </c>
      <c r="C285" s="18" t="inlineStr">
        <is>
          <t>31</t>
        </is>
      </c>
      <c r="D285" s="18" t="inlineStr">
        <is>
          <t>horizontal</t>
        </is>
      </c>
      <c r="E285" s="38" t="n">
        <v>1285</v>
      </c>
      <c r="F285" s="38" t="n">
        <v>1285</v>
      </c>
      <c r="G285" s="18" t="inlineStr">
        <is>
          <t>u/v</t>
        </is>
      </c>
      <c r="H285" s="44" t="n">
        <v>7793.2</v>
      </c>
      <c r="I285" s="44" t="n">
        <v>2229.1</v>
      </c>
      <c r="J285" s="44" t="n">
        <v>9078.200000000001</v>
      </c>
      <c r="K285" s="44" t="n">
        <v>2229.1</v>
      </c>
      <c r="L285" s="18" t="inlineStr">
        <is>
          <t>9</t>
        </is>
      </c>
      <c r="M285" s="18" t="inlineStr"/>
      <c r="N285" s="18" t="inlineStr">
        <is>
          <t>DA30D1</t>
        </is>
      </c>
    </row>
    <row r="286">
      <c r="A286" s="18" t="inlineStr">
        <is>
          <t>DWG0279</t>
        </is>
      </c>
      <c r="B286" s="18" t="inlineStr">
        <is>
          <t>E31</t>
        </is>
      </c>
      <c r="C286" s="18" t="inlineStr">
        <is>
          <t>31</t>
        </is>
      </c>
      <c r="D286" s="18" t="inlineStr">
        <is>
          <t>horizontal</t>
        </is>
      </c>
      <c r="E286" s="38" t="n">
        <v>1845</v>
      </c>
      <c r="F286" s="38" t="n">
        <v>1845</v>
      </c>
      <c r="G286" s="18" t="inlineStr">
        <is>
          <t>u/v</t>
        </is>
      </c>
      <c r="H286" s="44" t="n">
        <v>9078.200000000001</v>
      </c>
      <c r="I286" s="44" t="n">
        <v>2229.1</v>
      </c>
      <c r="J286" s="44" t="n">
        <v>10923.2</v>
      </c>
      <c r="K286" s="44" t="n">
        <v>2229.1</v>
      </c>
      <c r="L286" s="18" t="inlineStr">
        <is>
          <t>9</t>
        </is>
      </c>
      <c r="M286" s="18" t="inlineStr"/>
      <c r="N286" s="18" t="inlineStr">
        <is>
          <t>DA30D4</t>
        </is>
      </c>
    </row>
    <row r="287">
      <c r="A287" s="18" t="inlineStr">
        <is>
          <t>DWG0280</t>
        </is>
      </c>
      <c r="B287" s="18" t="inlineStr">
        <is>
          <t>E31</t>
        </is>
      </c>
      <c r="C287" s="18" t="inlineStr">
        <is>
          <t>31</t>
        </is>
      </c>
      <c r="D287" s="18" t="inlineStr">
        <is>
          <t>horizontal</t>
        </is>
      </c>
      <c r="E287" s="38" t="n">
        <v>1370</v>
      </c>
      <c r="F287" s="38" t="n">
        <v>1370</v>
      </c>
      <c r="G287" s="18" t="inlineStr">
        <is>
          <t>u/v</t>
        </is>
      </c>
      <c r="H287" s="44" t="n">
        <v>10923.2</v>
      </c>
      <c r="I287" s="44" t="n">
        <v>2229.1</v>
      </c>
      <c r="J287" s="44" t="n">
        <v>12293.2</v>
      </c>
      <c r="K287" s="44" t="n">
        <v>1949.7</v>
      </c>
      <c r="L287" s="18" t="inlineStr">
        <is>
          <t>9</t>
        </is>
      </c>
      <c r="M287" s="18" t="inlineStr"/>
      <c r="N287" s="18" t="inlineStr">
        <is>
          <t>DA30D7</t>
        </is>
      </c>
    </row>
    <row r="288">
      <c r="A288" s="18" t="inlineStr">
        <is>
          <t>DWG0281</t>
        </is>
      </c>
      <c r="B288" s="18" t="inlineStr">
        <is>
          <t>E31</t>
        </is>
      </c>
      <c r="C288" s="18" t="inlineStr">
        <is>
          <t>31</t>
        </is>
      </c>
      <c r="D288" s="18" t="inlineStr">
        <is>
          <t>horizontal</t>
        </is>
      </c>
      <c r="E288" s="38" t="n">
        <v>2250</v>
      </c>
      <c r="F288" s="38" t="n">
        <v>2250</v>
      </c>
      <c r="G288" s="18" t="inlineStr">
        <is>
          <t>u/v</t>
        </is>
      </c>
      <c r="H288" s="44" t="n">
        <v>2739.8</v>
      </c>
      <c r="I288" s="44" t="n">
        <v>2434.2</v>
      </c>
      <c r="J288" s="44" t="n">
        <v>4989.8</v>
      </c>
      <c r="K288" s="44" t="n">
        <v>2434.2</v>
      </c>
      <c r="L288" s="18" t="inlineStr">
        <is>
          <t>9</t>
        </is>
      </c>
      <c r="M288" s="18" t="inlineStr">
        <is>
          <t>S119 S128</t>
        </is>
      </c>
      <c r="N288" s="18" t="inlineStr">
        <is>
          <t>DA2E91</t>
        </is>
      </c>
    </row>
    <row r="289">
      <c r="A289" s="18" t="inlineStr">
        <is>
          <t>DWG0282</t>
        </is>
      </c>
      <c r="B289" s="18" t="inlineStr">
        <is>
          <t>E31</t>
        </is>
      </c>
      <c r="C289" s="18" t="inlineStr">
        <is>
          <t>31</t>
        </is>
      </c>
      <c r="D289" s="18" t="inlineStr">
        <is>
          <t>horizontal</t>
        </is>
      </c>
      <c r="E289" s="38" t="n">
        <v>1125</v>
      </c>
      <c r="F289" s="38" t="n">
        <v>1125</v>
      </c>
      <c r="G289" s="18" t="inlineStr">
        <is>
          <t>u/v</t>
        </is>
      </c>
      <c r="H289" s="44" t="n">
        <v>4989.8</v>
      </c>
      <c r="I289" s="44" t="n">
        <v>2434.2</v>
      </c>
      <c r="J289" s="44" t="n">
        <v>6114.8</v>
      </c>
      <c r="K289" s="44" t="n">
        <v>1937.7</v>
      </c>
      <c r="L289" s="18" t="inlineStr">
        <is>
          <t>9</t>
        </is>
      </c>
      <c r="M289" s="18" t="inlineStr">
        <is>
          <t>S118 S120 S127 S129</t>
        </is>
      </c>
      <c r="N289" s="18" t="inlineStr">
        <is>
          <t>DA2E92</t>
        </is>
      </c>
    </row>
    <row r="290">
      <c r="A290" s="18" t="inlineStr">
        <is>
          <t>DWG0283</t>
        </is>
      </c>
      <c r="B290" s="18" t="inlineStr">
        <is>
          <t>E31</t>
        </is>
      </c>
      <c r="C290" s="18" t="inlineStr">
        <is>
          <t>31</t>
        </is>
      </c>
      <c r="D290" s="18" t="inlineStr">
        <is>
          <t>horizontal</t>
        </is>
      </c>
      <c r="E290" s="38" t="n">
        <v>90</v>
      </c>
      <c r="F290" s="38" t="n">
        <v>90</v>
      </c>
      <c r="G290" s="18" t="inlineStr">
        <is>
          <t>u/v</t>
        </is>
      </c>
      <c r="H290" s="44" t="n">
        <v>10923.2</v>
      </c>
      <c r="I290" s="44" t="n">
        <v>4439.4</v>
      </c>
      <c r="J290" s="44" t="n">
        <v>11013.2</v>
      </c>
      <c r="K290" s="44" t="n">
        <v>4439.4</v>
      </c>
      <c r="L290" s="18" t="inlineStr">
        <is>
          <t>9</t>
        </is>
      </c>
      <c r="M290" s="18" t="inlineStr"/>
      <c r="N290" s="18" t="inlineStr">
        <is>
          <t>DA30DA</t>
        </is>
      </c>
    </row>
    <row r="291">
      <c r="A291" s="18" t="inlineStr">
        <is>
          <t>DWG0284</t>
        </is>
      </c>
      <c r="B291" s="18" t="inlineStr">
        <is>
          <t>E31</t>
        </is>
      </c>
      <c r="C291" s="18" t="inlineStr">
        <is>
          <t>31</t>
        </is>
      </c>
      <c r="D291" s="18" t="inlineStr">
        <is>
          <t>horizontal</t>
        </is>
      </c>
      <c r="E291" s="38" t="n">
        <v>3870</v>
      </c>
      <c r="F291" s="38" t="n">
        <v>3870</v>
      </c>
      <c r="G291" s="18" t="inlineStr">
        <is>
          <t>u/v</t>
        </is>
      </c>
      <c r="H291" s="44" t="n">
        <v>11978.2</v>
      </c>
      <c r="I291" s="44" t="n">
        <v>6564.6</v>
      </c>
      <c r="J291" s="44" t="n">
        <v>8108.2</v>
      </c>
      <c r="K291" s="44" t="n">
        <v>6564.6</v>
      </c>
      <c r="L291" s="18" t="inlineStr">
        <is>
          <t>9</t>
        </is>
      </c>
      <c r="M291" s="18" t="inlineStr"/>
      <c r="N291" s="18" t="inlineStr">
        <is>
          <t>DA4D87</t>
        </is>
      </c>
    </row>
    <row r="292">
      <c r="A292" s="18" t="inlineStr">
        <is>
          <t>DWG0285</t>
        </is>
      </c>
      <c r="B292" s="18" t="inlineStr">
        <is>
          <t>E31</t>
        </is>
      </c>
      <c r="C292" s="18" t="inlineStr">
        <is>
          <t>31</t>
        </is>
      </c>
      <c r="D292" s="18" t="inlineStr">
        <is>
          <t>vertical</t>
        </is>
      </c>
      <c r="E292" s="44" t="n">
        <v>525.5</v>
      </c>
      <c r="F292" s="38" t="n">
        <v>526</v>
      </c>
      <c r="G292" s="18" t="inlineStr">
        <is>
          <t>u/v</t>
        </is>
      </c>
      <c r="H292" s="44" t="n">
        <v>2574.8</v>
      </c>
      <c r="I292" s="44" t="n">
        <v>4804.1</v>
      </c>
      <c r="J292" s="44" t="n">
        <v>2633.5</v>
      </c>
      <c r="K292" s="44" t="n">
        <v>5329.6</v>
      </c>
      <c r="L292" s="18" t="inlineStr">
        <is>
          <t>9</t>
        </is>
      </c>
      <c r="M292" s="18" t="inlineStr"/>
      <c r="N292" s="18" t="inlineStr">
        <is>
          <t>DA35FC</t>
        </is>
      </c>
    </row>
    <row r="293">
      <c r="A293" s="18" t="inlineStr">
        <is>
          <t>DWG0286</t>
        </is>
      </c>
      <c r="B293" s="18" t="inlineStr">
        <is>
          <t>E31</t>
        </is>
      </c>
      <c r="C293" s="18" t="inlineStr">
        <is>
          <t>31</t>
        </is>
      </c>
      <c r="D293" s="18" t="inlineStr">
        <is>
          <t>vertical</t>
        </is>
      </c>
      <c r="E293" s="38" t="n">
        <v>2575</v>
      </c>
      <c r="F293" s="38" t="n">
        <v>2575</v>
      </c>
      <c r="G293" s="18" t="inlineStr">
        <is>
          <t>u/v</t>
        </is>
      </c>
      <c r="H293" s="44" t="n">
        <v>2857.3</v>
      </c>
      <c r="I293" s="44" t="n">
        <v>2229.1</v>
      </c>
      <c r="J293" s="44" t="n">
        <v>2574.8</v>
      </c>
      <c r="K293" s="44" t="n">
        <v>4804.1</v>
      </c>
      <c r="L293" s="18" t="inlineStr">
        <is>
          <t>9</t>
        </is>
      </c>
      <c r="M293" s="18" t="inlineStr"/>
      <c r="N293" s="18" t="inlineStr">
        <is>
          <t>DA35F9</t>
        </is>
      </c>
    </row>
    <row r="294">
      <c r="A294" s="18" t="inlineStr">
        <is>
          <t>DWG0287</t>
        </is>
      </c>
      <c r="B294" s="18" t="inlineStr">
        <is>
          <t>E31</t>
        </is>
      </c>
      <c r="C294" s="18" t="inlineStr">
        <is>
          <t>31</t>
        </is>
      </c>
      <c r="D294" s="18" t="inlineStr">
        <is>
          <t>vertical</t>
        </is>
      </c>
      <c r="E294" s="38" t="n">
        <v>150</v>
      </c>
      <c r="F294" s="38" t="n">
        <v>150</v>
      </c>
      <c r="G294" s="18" t="inlineStr">
        <is>
          <t>u/v</t>
        </is>
      </c>
      <c r="H294" s="44" t="n">
        <v>3406.6</v>
      </c>
      <c r="I294" s="44" t="n">
        <v>5179.6</v>
      </c>
      <c r="J294" s="44" t="n">
        <v>3406.6</v>
      </c>
      <c r="K294" s="44" t="n">
        <v>5329.6</v>
      </c>
      <c r="L294" s="18" t="inlineStr">
        <is>
          <t>9</t>
        </is>
      </c>
      <c r="M294" s="18" t="inlineStr"/>
      <c r="N294" s="18" t="inlineStr">
        <is>
          <t>DA4BA1</t>
        </is>
      </c>
    </row>
    <row r="295">
      <c r="A295" s="18" t="inlineStr">
        <is>
          <t>DWG0288</t>
        </is>
      </c>
      <c r="B295" s="18" t="inlineStr">
        <is>
          <t>E31</t>
        </is>
      </c>
      <c r="C295" s="18" t="inlineStr">
        <is>
          <t>31</t>
        </is>
      </c>
      <c r="D295" s="18" t="inlineStr">
        <is>
          <t>vertical</t>
        </is>
      </c>
      <c r="E295" s="44" t="n">
        <v>2950.5</v>
      </c>
      <c r="F295" s="38">
        <v>2951</v>
      </c>
      <c r="G295" s="18" t="inlineStr">
        <is>
          <t>u/v</t>
        </is>
      </c>
      <c r="H295" s="44" t="n">
        <v>4301.2</v>
      </c>
      <c r="I295" s="44" t="n">
        <v>2229.1</v>
      </c>
      <c r="J295" s="44" t="n">
        <v>4989.8</v>
      </c>
      <c r="K295" s="44" t="n">
        <v>5179.6</v>
      </c>
      <c r="L295" s="18" t="inlineStr">
        <is>
          <t>9</t>
        </is>
      </c>
      <c r="M295" s="18" t="inlineStr">
        <is>
          <t>S130</t>
        </is>
      </c>
      <c r="N295" s="18" t="inlineStr">
        <is>
          <t>DA309D</t>
        </is>
      </c>
    </row>
    <row r="296">
      <c r="A296" s="18" t="inlineStr">
        <is>
          <t>DWG0289</t>
        </is>
      </c>
      <c r="B296" s="18" t="inlineStr">
        <is>
          <t>E31</t>
        </is>
      </c>
      <c r="C296" s="18" t="inlineStr">
        <is>
          <t>31</t>
        </is>
      </c>
      <c r="D296" s="18" t="inlineStr">
        <is>
          <t>vertical</t>
        </is>
      </c>
      <c r="E296" s="44" t="n">
        <v>2980.5</v>
      </c>
      <c r="F296" s="38">
        <v>2981</v>
      </c>
      <c r="G296" s="18" t="inlineStr">
        <is>
          <t>u/v</t>
        </is>
      </c>
      <c r="H296" s="44" t="n">
        <v>4744.7</v>
      </c>
      <c r="I296" s="44" t="n">
        <v>2229.1</v>
      </c>
      <c r="J296" s="44" t="n">
        <v>5062.1</v>
      </c>
      <c r="K296" s="44" t="n">
        <v>5209.6</v>
      </c>
      <c r="L296" s="18" t="inlineStr">
        <is>
          <t>9</t>
        </is>
      </c>
      <c r="M296" s="18" t="inlineStr"/>
      <c r="N296" s="18" t="inlineStr">
        <is>
          <t>DA35FF</t>
        </is>
      </c>
    </row>
    <row r="297">
      <c r="A297" s="18" t="inlineStr">
        <is>
          <t>DWG0290</t>
        </is>
      </c>
      <c r="B297" s="18" t="inlineStr">
        <is>
          <t>E31</t>
        </is>
      </c>
      <c r="C297" s="18" t="inlineStr">
        <is>
          <t>31</t>
        </is>
      </c>
      <c r="D297" s="18" t="inlineStr">
        <is>
          <t>vertical</t>
        </is>
      </c>
      <c r="E297" s="38" t="n">
        <v>1125</v>
      </c>
      <c r="F297" s="38" t="n">
        <v>1125</v>
      </c>
      <c r="G297" s="18" t="inlineStr">
        <is>
          <t>u/v</t>
        </is>
      </c>
      <c r="H297" s="44" t="n">
        <v>4989.8</v>
      </c>
      <c r="I297" s="44" t="n">
        <v>5329.6</v>
      </c>
      <c r="J297" s="44" t="n">
        <v>3864.8</v>
      </c>
      <c r="K297" s="44" t="n">
        <v>6454.6</v>
      </c>
      <c r="L297" s="18" t="inlineStr">
        <is>
          <t>9</t>
        </is>
      </c>
      <c r="M297" s="18" t="inlineStr">
        <is>
          <t>S118 S120 S127 S129</t>
        </is>
      </c>
      <c r="N297" s="18" t="inlineStr">
        <is>
          <t>DA30A0</t>
        </is>
      </c>
    </row>
    <row r="298">
      <c r="A298" s="18" t="inlineStr">
        <is>
          <t>DWG0291</t>
        </is>
      </c>
      <c r="B298" s="18" t="inlineStr">
        <is>
          <t>E31</t>
        </is>
      </c>
      <c r="C298" s="18" t="inlineStr">
        <is>
          <t>31</t>
        </is>
      </c>
      <c r="D298" s="18" t="inlineStr">
        <is>
          <t>vertical</t>
        </is>
      </c>
      <c r="E298" s="38" t="n">
        <v>120</v>
      </c>
      <c r="F298" s="38" t="n">
        <v>120</v>
      </c>
      <c r="G298" s="18" t="inlineStr">
        <is>
          <t>u/v</t>
        </is>
      </c>
      <c r="H298" s="44" t="n">
        <v>5062.1</v>
      </c>
      <c r="I298" s="44" t="n">
        <v>5209.6</v>
      </c>
      <c r="J298" s="44" t="n">
        <v>4790.2</v>
      </c>
      <c r="K298" s="44" t="n">
        <v>5329.6</v>
      </c>
      <c r="L298" s="18" t="inlineStr">
        <is>
          <t>9</t>
        </is>
      </c>
      <c r="M298" s="18" t="inlineStr"/>
      <c r="N298" s="18" t="inlineStr">
        <is>
          <t>DA3602</t>
        </is>
      </c>
    </row>
    <row r="299">
      <c r="A299" s="18" t="inlineStr">
        <is>
          <t>DWG0292</t>
        </is>
      </c>
      <c r="B299" s="18" t="inlineStr">
        <is>
          <t>E31</t>
        </is>
      </c>
      <c r="C299" s="18" t="inlineStr">
        <is>
          <t>31</t>
        </is>
      </c>
      <c r="D299" s="18" t="inlineStr">
        <is>
          <t>vertical</t>
        </is>
      </c>
      <c r="E299" s="38" t="n">
        <v>75</v>
      </c>
      <c r="F299" s="38" t="n">
        <v>75</v>
      </c>
      <c r="G299" s="18" t="inlineStr">
        <is>
          <t>u/v</t>
        </is>
      </c>
      <c r="H299" s="44" t="n">
        <v>5427.9</v>
      </c>
      <c r="I299" s="44" t="n">
        <v>5254.6</v>
      </c>
      <c r="J299" s="44" t="n">
        <v>5427.9</v>
      </c>
      <c r="K299" s="44" t="n">
        <v>5329.6</v>
      </c>
      <c r="L299" s="18" t="inlineStr">
        <is>
          <t>9</t>
        </is>
      </c>
      <c r="M299" s="18" t="inlineStr"/>
      <c r="N299" s="18" t="inlineStr">
        <is>
          <t>DA4BA4</t>
        </is>
      </c>
    </row>
    <row r="300">
      <c r="A300" s="18" t="inlineStr">
        <is>
          <t>DWG0293</t>
        </is>
      </c>
      <c r="B300" s="18" t="inlineStr">
        <is>
          <t>E31</t>
        </is>
      </c>
      <c r="C300" s="18" t="inlineStr">
        <is>
          <t>31</t>
        </is>
      </c>
      <c r="D300" s="18" t="inlineStr">
        <is>
          <t>vertical</t>
        </is>
      </c>
      <c r="E300" s="44" t="n">
        <v>4335.5</v>
      </c>
      <c r="F300" s="38" t="n">
        <v>4335</v>
      </c>
      <c r="G300" s="18" t="inlineStr">
        <is>
          <t>u/v</t>
        </is>
      </c>
      <c r="H300" s="44" t="n">
        <v>7251.5</v>
      </c>
      <c r="I300" s="44" t="n">
        <v>2229.1</v>
      </c>
      <c r="J300" s="44" t="n">
        <v>7482.5</v>
      </c>
      <c r="K300" s="44" t="n">
        <v>6564.6</v>
      </c>
      <c r="L300" s="18" t="inlineStr">
        <is>
          <t>9</t>
        </is>
      </c>
      <c r="M300" s="18" t="inlineStr"/>
      <c r="N300" s="18" t="inlineStr">
        <is>
          <t>DA34F2</t>
        </is>
      </c>
    </row>
    <row r="301">
      <c r="A301" s="18" t="inlineStr">
        <is>
          <t>DWG0294</t>
        </is>
      </c>
      <c r="B301" s="18" t="inlineStr">
        <is>
          <t>E31</t>
        </is>
      </c>
      <c r="C301" s="18" t="inlineStr">
        <is>
          <t>31</t>
        </is>
      </c>
      <c r="D301" s="18" t="inlineStr">
        <is>
          <t>vertical</t>
        </is>
      </c>
      <c r="E301" s="44" t="n">
        <v>1279.5</v>
      </c>
      <c r="F301" s="38" t="n">
        <v>1280</v>
      </c>
      <c r="G301" s="18" t="inlineStr">
        <is>
          <t>u/v</t>
        </is>
      </c>
      <c r="H301" s="44" t="n">
        <v>7482.5</v>
      </c>
      <c r="I301" s="44" t="n">
        <v>6564.6</v>
      </c>
      <c r="J301" s="44" t="n">
        <v>10043.2</v>
      </c>
      <c r="K301" s="44" t="n">
        <v>7844.1</v>
      </c>
      <c r="L301" s="18" t="inlineStr">
        <is>
          <t>9</t>
        </is>
      </c>
      <c r="M301" s="18" t="inlineStr"/>
      <c r="N301" s="18" t="inlineStr">
        <is>
          <t>DA34F5</t>
        </is>
      </c>
    </row>
    <row r="302">
      <c r="A302" s="18" t="inlineStr">
        <is>
          <t>DWG0295</t>
        </is>
      </c>
      <c r="B302" s="18" t="inlineStr">
        <is>
          <t>E31</t>
        </is>
      </c>
      <c r="C302" s="18" t="inlineStr">
        <is>
          <t>31</t>
        </is>
      </c>
      <c r="D302" s="18" t="inlineStr">
        <is>
          <t>vertical</t>
        </is>
      </c>
      <c r="E302" s="44" t="n">
        <v>717.6</v>
      </c>
      <c r="F302" s="38" t="n">
        <v>718</v>
      </c>
      <c r="G302" s="18" t="inlineStr">
        <is>
          <t>u/v</t>
        </is>
      </c>
      <c r="H302" s="44" t="n">
        <v>8040.9</v>
      </c>
      <c r="I302" s="38" t="n">
        <v>5847</v>
      </c>
      <c r="J302" s="44" t="n">
        <v>8215.700000000001</v>
      </c>
      <c r="K302" s="44" t="n">
        <v>6564.6</v>
      </c>
      <c r="L302" s="18" t="inlineStr">
        <is>
          <t>9</t>
        </is>
      </c>
      <c r="M302" s="18" t="inlineStr"/>
      <c r="N302" s="18" t="inlineStr">
        <is>
          <t>DA3501</t>
        </is>
      </c>
    </row>
    <row r="303">
      <c r="A303" s="18" t="inlineStr">
        <is>
          <t>DWG0296</t>
        </is>
      </c>
      <c r="B303" s="18" t="inlineStr">
        <is>
          <t>E31</t>
        </is>
      </c>
      <c r="C303" s="18" t="inlineStr">
        <is>
          <t>31</t>
        </is>
      </c>
      <c r="D303" s="18" t="inlineStr">
        <is>
          <t>vertical</t>
        </is>
      </c>
      <c r="E303" s="44" t="n">
        <v>2957.9</v>
      </c>
      <c r="F303" s="38" t="n">
        <v>2958</v>
      </c>
      <c r="G303" s="18" t="inlineStr">
        <is>
          <t>u/v</t>
        </is>
      </c>
      <c r="H303" s="44" t="n">
        <v>8066.2</v>
      </c>
      <c r="I303" s="44" t="n">
        <v>2889.1</v>
      </c>
      <c r="J303" s="44" t="n">
        <v>8040.9</v>
      </c>
      <c r="K303" s="38" t="n">
        <v>5847</v>
      </c>
      <c r="L303" s="18" t="inlineStr">
        <is>
          <t>9</t>
        </is>
      </c>
      <c r="M303" s="18" t="inlineStr"/>
      <c r="N303" s="18" t="inlineStr">
        <is>
          <t>DA34FE</t>
        </is>
      </c>
    </row>
    <row r="304">
      <c r="A304" s="18" t="inlineStr">
        <is>
          <t>DWG0297</t>
        </is>
      </c>
      <c r="B304" s="18" t="inlineStr">
        <is>
          <t>E31</t>
        </is>
      </c>
      <c r="C304" s="18" t="inlineStr">
        <is>
          <t>31</t>
        </is>
      </c>
      <c r="D304" s="18" t="inlineStr">
        <is>
          <t>vertical</t>
        </is>
      </c>
      <c r="E304" s="44" t="n">
        <v>2102.9</v>
      </c>
      <c r="F304" s="38" t="n">
        <v>2103</v>
      </c>
      <c r="G304" s="18" t="inlineStr">
        <is>
          <t>u/v</t>
        </is>
      </c>
      <c r="H304" s="44" t="n">
        <v>10043.2</v>
      </c>
      <c r="I304" s="44" t="n">
        <v>5741.2</v>
      </c>
      <c r="J304" s="44" t="n">
        <v>10011.9</v>
      </c>
      <c r="K304" s="44" t="n">
        <v>7844.1</v>
      </c>
      <c r="L304" s="18" t="inlineStr">
        <is>
          <t>9</t>
        </is>
      </c>
      <c r="M304" s="18" t="inlineStr"/>
      <c r="N304" s="18" t="inlineStr">
        <is>
          <t>DA4D81</t>
        </is>
      </c>
    </row>
    <row r="305">
      <c r="A305" s="18" t="inlineStr">
        <is>
          <t>DWG0298</t>
        </is>
      </c>
      <c r="B305" s="18" t="inlineStr">
        <is>
          <t>E31</t>
        </is>
      </c>
      <c r="C305" s="18" t="inlineStr">
        <is>
          <t>31</t>
        </is>
      </c>
      <c r="D305" s="18" t="inlineStr">
        <is>
          <t>vertical</t>
        </is>
      </c>
      <c r="E305" s="44" t="n">
        <v>823.4</v>
      </c>
      <c r="F305" s="38" t="n">
        <v>823</v>
      </c>
      <c r="G305" s="18" t="inlineStr">
        <is>
          <t>u/v</t>
        </is>
      </c>
      <c r="H305" s="44" t="n">
        <v>10043.2</v>
      </c>
      <c r="I305" s="44" t="n">
        <v>5741.2</v>
      </c>
      <c r="J305" s="44" t="n">
        <v>8215.700000000001</v>
      </c>
      <c r="K305" s="44" t="n">
        <v>6564.6</v>
      </c>
      <c r="L305" s="18" t="inlineStr">
        <is>
          <t>9</t>
        </is>
      </c>
      <c r="M305" s="18" t="inlineStr"/>
      <c r="N305" s="18" t="inlineStr">
        <is>
          <t>DA4D84</t>
        </is>
      </c>
    </row>
    <row r="306">
      <c r="A306" s="18" t="inlineStr">
        <is>
          <t>DWG0299</t>
        </is>
      </c>
      <c r="B306" s="18" t="inlineStr">
        <is>
          <t>E31</t>
        </is>
      </c>
      <c r="C306" s="18" t="inlineStr">
        <is>
          <t>31</t>
        </is>
      </c>
      <c r="D306" s="18" t="inlineStr">
        <is>
          <t>vertical</t>
        </is>
      </c>
      <c r="E306" s="38" t="n">
        <v>80</v>
      </c>
      <c r="F306" s="38" t="n">
        <v>80</v>
      </c>
      <c r="G306" s="18" t="inlineStr">
        <is>
          <t>u/v</t>
        </is>
      </c>
      <c r="H306" s="44" t="n">
        <v>10043.2</v>
      </c>
      <c r="I306" s="44" t="n">
        <v>7844.1</v>
      </c>
      <c r="J306" s="44" t="n">
        <v>10043.2</v>
      </c>
      <c r="K306" s="44" t="n">
        <v>7924.1</v>
      </c>
      <c r="L306" s="18" t="inlineStr">
        <is>
          <t>9</t>
        </is>
      </c>
      <c r="M306" s="18" t="inlineStr"/>
      <c r="N306" s="18" t="inlineStr">
        <is>
          <t>DA34F8</t>
        </is>
      </c>
    </row>
    <row r="307">
      <c r="A307" s="18" t="inlineStr">
        <is>
          <t>DWG0300</t>
        </is>
      </c>
      <c r="B307" s="18" t="inlineStr">
        <is>
          <t>E31</t>
        </is>
      </c>
      <c r="C307" s="18" t="inlineStr">
        <is>
          <t>31</t>
        </is>
      </c>
      <c r="D307" s="18" t="inlineStr">
        <is>
          <t>vertical</t>
        </is>
      </c>
      <c r="E307" s="44" t="n">
        <v>1361.2</v>
      </c>
      <c r="F307" s="38" t="n">
        <v>1361</v>
      </c>
      <c r="G307" s="18" t="inlineStr">
        <is>
          <t>u/v</t>
        </is>
      </c>
      <c r="H307" s="44" t="n">
        <v>10043.2</v>
      </c>
      <c r="I307" s="44" t="n">
        <v>7924.1</v>
      </c>
      <c r="J307" s="44" t="n">
        <v>10043.2</v>
      </c>
      <c r="K307" s="44" t="n">
        <v>9285.299999999999</v>
      </c>
      <c r="L307" s="18" t="inlineStr">
        <is>
          <t>9</t>
        </is>
      </c>
      <c r="M307" s="18" t="inlineStr"/>
      <c r="N307" s="18" t="inlineStr">
        <is>
          <t>DA34FB</t>
        </is>
      </c>
    </row>
    <row r="308">
      <c r="A308" s="18" t="inlineStr">
        <is>
          <t>DWG0301</t>
        </is>
      </c>
      <c r="B308" s="18" t="inlineStr">
        <is>
          <t>E31</t>
        </is>
      </c>
      <c r="C308" s="18" t="inlineStr">
        <is>
          <t>31</t>
        </is>
      </c>
      <c r="D308" s="18" t="inlineStr">
        <is>
          <t>vertical</t>
        </is>
      </c>
      <c r="E308" s="38" t="n">
        <v>90</v>
      </c>
      <c r="F308" s="38" t="n">
        <v>90</v>
      </c>
      <c r="G308" s="18" t="inlineStr">
        <is>
          <t>u/v</t>
        </is>
      </c>
      <c r="H308" s="44" t="n">
        <v>10923.2</v>
      </c>
      <c r="I308" s="44" t="n">
        <v>5089.6</v>
      </c>
      <c r="J308" s="44" t="n">
        <v>11019.3</v>
      </c>
      <c r="K308" s="44" t="n">
        <v>5179.6</v>
      </c>
      <c r="L308" s="18" t="inlineStr">
        <is>
          <t>9</t>
        </is>
      </c>
      <c r="M308" s="18" t="inlineStr"/>
      <c r="N308" s="18" t="inlineStr">
        <is>
          <t>DA30E0</t>
        </is>
      </c>
    </row>
    <row r="309">
      <c r="A309" s="18" t="inlineStr">
        <is>
          <t>DWG0302</t>
        </is>
      </c>
      <c r="B309" s="18" t="inlineStr">
        <is>
          <t>E31</t>
        </is>
      </c>
      <c r="C309" s="18" t="inlineStr">
        <is>
          <t>31</t>
        </is>
      </c>
      <c r="D309" s="18" t="inlineStr">
        <is>
          <t>vertical</t>
        </is>
      </c>
      <c r="E309" s="38" t="n">
        <v>220</v>
      </c>
      <c r="F309" s="38" t="n">
        <v>220</v>
      </c>
      <c r="G309" s="18" t="inlineStr">
        <is>
          <t>u/v</t>
        </is>
      </c>
      <c r="H309" s="44" t="n">
        <v>10934.3</v>
      </c>
      <c r="I309" s="44" t="n">
        <v>5179.6</v>
      </c>
      <c r="J309" s="44" t="n">
        <v>10779.1</v>
      </c>
      <c r="K309" s="44" t="n">
        <v>5399.6</v>
      </c>
      <c r="L309" s="18" t="inlineStr">
        <is>
          <t>9</t>
        </is>
      </c>
      <c r="M309" s="18" t="inlineStr">
        <is>
          <t>S131</t>
        </is>
      </c>
      <c r="N309" s="18" t="inlineStr">
        <is>
          <t>DA30E3</t>
        </is>
      </c>
    </row>
    <row r="310">
      <c r="A310" s="18" t="inlineStr">
        <is>
          <t>DWG0303</t>
        </is>
      </c>
      <c r="B310" s="18" t="inlineStr">
        <is>
          <t>E31</t>
        </is>
      </c>
      <c r="C310" s="18" t="inlineStr">
        <is>
          <t>31</t>
        </is>
      </c>
      <c r="D310" s="18" t="inlineStr">
        <is>
          <t>vertical</t>
        </is>
      </c>
      <c r="E310" s="44" t="n">
        <v>2860.5</v>
      </c>
      <c r="F310" s="38">
        <v>2861</v>
      </c>
      <c r="G310" s="18" t="inlineStr">
        <is>
          <t>u/v</t>
        </is>
      </c>
      <c r="H310" s="44" t="n">
        <v>11013.2</v>
      </c>
      <c r="I310" s="44" t="n">
        <v>2229.1</v>
      </c>
      <c r="J310" s="44" t="n">
        <v>10923.2</v>
      </c>
      <c r="K310" s="44" t="n">
        <v>5089.6</v>
      </c>
      <c r="L310" s="18" t="inlineStr">
        <is>
          <t>9</t>
        </is>
      </c>
      <c r="M310" s="18" t="inlineStr"/>
      <c r="N310" s="18" t="inlineStr">
        <is>
          <t>DA30DD</t>
        </is>
      </c>
    </row>
    <row r="311">
      <c r="A311" s="18" t="inlineStr">
        <is>
          <t>DWG0304</t>
        </is>
      </c>
      <c r="B311" s="18" t="inlineStr">
        <is>
          <t>E31</t>
        </is>
      </c>
      <c r="C311" s="18" t="inlineStr">
        <is>
          <t>31</t>
        </is>
      </c>
      <c r="D311" s="18" t="inlineStr">
        <is>
          <t>vertical</t>
        </is>
      </c>
      <c r="E311" s="38" t="n">
        <v>880</v>
      </c>
      <c r="F311" s="38" t="n">
        <v>880</v>
      </c>
      <c r="G311" s="18" t="inlineStr">
        <is>
          <t>u/v</t>
        </is>
      </c>
      <c r="H311" s="44" t="n">
        <v>11129.9</v>
      </c>
      <c r="I311" s="44" t="n">
        <v>5399.6</v>
      </c>
      <c r="J311" s="44" t="n">
        <v>10043.2</v>
      </c>
      <c r="K311" s="44" t="n">
        <v>6279.6</v>
      </c>
      <c r="L311" s="18" t="inlineStr">
        <is>
          <t>9</t>
        </is>
      </c>
      <c r="M311" s="18" t="inlineStr"/>
      <c r="N311" s="18" t="inlineStr">
        <is>
          <t>DA35E7</t>
        </is>
      </c>
    </row>
    <row r="312">
      <c r="A312" s="18" t="inlineStr">
        <is>
          <t>DWG0305</t>
        </is>
      </c>
      <c r="B312" s="18" t="inlineStr">
        <is>
          <t>S24</t>
        </is>
      </c>
      <c r="C312" s="18" t="inlineStr">
        <is>
          <t>24</t>
        </is>
      </c>
      <c r="D312" s="18" t="inlineStr">
        <is>
          <t>aligned</t>
        </is>
      </c>
      <c r="E312" s="44" t="n">
        <v>9190.6</v>
      </c>
      <c r="F312" s="38" t="n">
        <v>9191</v>
      </c>
      <c r="G312" s="18" t="inlineStr">
        <is>
          <t>Z/Y</t>
        </is>
      </c>
      <c r="H312" s="44" t="n">
        <v>-7604.9</v>
      </c>
      <c r="I312" s="44" t="n">
        <v>7070.4</v>
      </c>
      <c r="J312" s="38" t="n">
        <v>0</v>
      </c>
      <c r="K312" s="44" t="n">
        <v>12231.2</v>
      </c>
      <c r="L312" s="18" t="inlineStr">
        <is>
          <t>6</t>
        </is>
      </c>
      <c r="M312" s="18" t="inlineStr"/>
      <c r="N312" s="18" t="inlineStr">
        <is>
          <t>D9E26E</t>
        </is>
      </c>
    </row>
    <row r="313">
      <c r="A313" s="18" t="inlineStr">
        <is>
          <t>DWG0306</t>
        </is>
      </c>
      <c r="B313" s="18" t="inlineStr">
        <is>
          <t>S24</t>
        </is>
      </c>
      <c r="C313" s="18" t="inlineStr">
        <is>
          <t>24</t>
        </is>
      </c>
      <c r="D313" s="18" t="inlineStr">
        <is>
          <t>aligned</t>
        </is>
      </c>
      <c r="E313" s="44" t="n">
        <v>461.1</v>
      </c>
      <c r="F313" s="38" t="n">
        <v>461</v>
      </c>
      <c r="G313" s="18" t="inlineStr">
        <is>
          <t>Z/Y</t>
        </is>
      </c>
      <c r="H313" s="44" t="n">
        <v>9071.9</v>
      </c>
      <c r="I313" s="44" t="n">
        <v>6153.8</v>
      </c>
      <c r="J313" s="44" t="n">
        <v>9152.700000000001</v>
      </c>
      <c r="K313" s="44" t="n">
        <v>6607.8</v>
      </c>
      <c r="L313" s="18" t="inlineStr">
        <is>
          <t>6</t>
        </is>
      </c>
      <c r="M313" s="18" t="inlineStr">
        <is>
          <t>S024</t>
        </is>
      </c>
      <c r="N313" s="18" t="inlineStr">
        <is>
          <t>D9E24E</t>
        </is>
      </c>
    </row>
    <row r="314">
      <c r="A314" s="18" t="inlineStr">
        <is>
          <t>DWG0307</t>
        </is>
      </c>
      <c r="B314" s="18" t="inlineStr">
        <is>
          <t>S24</t>
        </is>
      </c>
      <c r="C314" s="18" t="inlineStr">
        <is>
          <t>24</t>
        </is>
      </c>
      <c r="D314" s="18" t="inlineStr">
        <is>
          <t>aligned</t>
        </is>
      </c>
      <c r="E314" s="38" t="n">
        <v>130</v>
      </c>
      <c r="F314" s="38" t="n">
        <v>130</v>
      </c>
      <c r="G314" s="18" t="inlineStr">
        <is>
          <t>Z/Y</t>
        </is>
      </c>
      <c r="H314" s="44" t="n">
        <v>9572.299999999999</v>
      </c>
      <c r="I314" s="44" t="n">
        <v>6401.1</v>
      </c>
      <c r="J314" s="44" t="n">
        <v>9595.1</v>
      </c>
      <c r="K314" s="44" t="n">
        <v>6529.1</v>
      </c>
      <c r="L314" s="18" t="inlineStr">
        <is>
          <t>6</t>
        </is>
      </c>
      <c r="M314" s="18" t="inlineStr">
        <is>
          <t>S023</t>
        </is>
      </c>
      <c r="N314" s="18" t="inlineStr">
        <is>
          <t>D9E24B</t>
        </is>
      </c>
    </row>
    <row r="315">
      <c r="A315" s="18" t="inlineStr">
        <is>
          <t>DWG0308</t>
        </is>
      </c>
      <c r="B315" s="18" t="inlineStr">
        <is>
          <t>S24</t>
        </is>
      </c>
      <c r="C315" s="18" t="inlineStr">
        <is>
          <t>24</t>
        </is>
      </c>
      <c r="D315" s="18" t="inlineStr">
        <is>
          <t>horizontal</t>
        </is>
      </c>
      <c r="E315" s="38" t="n">
        <v>3054</v>
      </c>
      <c r="F315" s="38" t="n">
        <v>3054</v>
      </c>
      <c r="G315" s="18" t="inlineStr">
        <is>
          <t>Z/Y</t>
        </is>
      </c>
      <c r="H315" s="38" t="n">
        <v>-10414</v>
      </c>
      <c r="I315" s="44" t="n">
        <v>-2645.2</v>
      </c>
      <c r="J315" s="38" t="n">
        <v>-7360</v>
      </c>
      <c r="K315" s="44" t="n">
        <v>-2645.2</v>
      </c>
      <c r="L315" s="18" t="inlineStr">
        <is>
          <t>6</t>
        </is>
      </c>
      <c r="M315" s="18" t="inlineStr">
        <is>
          <t>S007 S011</t>
        </is>
      </c>
      <c r="N315" s="18" t="inlineStr">
        <is>
          <t>D9E271</t>
        </is>
      </c>
    </row>
    <row r="316">
      <c r="A316" s="18" t="inlineStr">
        <is>
          <t>DWG0309</t>
        </is>
      </c>
      <c r="B316" s="18" t="inlineStr">
        <is>
          <t>S24</t>
        </is>
      </c>
      <c r="C316" s="18" t="inlineStr">
        <is>
          <t>24</t>
        </is>
      </c>
      <c r="D316" s="18" t="inlineStr">
        <is>
          <t>horizontal</t>
        </is>
      </c>
      <c r="E316" s="38" t="n">
        <v>3760</v>
      </c>
      <c r="F316" s="38" t="n">
        <v>3760</v>
      </c>
      <c r="G316" s="18" t="inlineStr">
        <is>
          <t>Z/Y</t>
        </is>
      </c>
      <c r="H316" s="38" t="n">
        <v>3600</v>
      </c>
      <c r="I316" s="44" t="n">
        <v>-2645.2</v>
      </c>
      <c r="J316" s="38" t="n">
        <v>7360</v>
      </c>
      <c r="K316" s="44" t="n">
        <v>-2645.2</v>
      </c>
      <c r="L316" s="18" t="inlineStr">
        <is>
          <t>6</t>
        </is>
      </c>
      <c r="M316" s="18" t="inlineStr">
        <is>
          <t>S008 S010</t>
        </is>
      </c>
      <c r="N316" s="18" t="inlineStr">
        <is>
          <t>D9E27A</t>
        </is>
      </c>
    </row>
    <row r="317">
      <c r="A317" s="18" t="inlineStr">
        <is>
          <t>DWG0310</t>
        </is>
      </c>
      <c r="B317" s="18" t="inlineStr">
        <is>
          <t>S24</t>
        </is>
      </c>
      <c r="C317" s="18" t="inlineStr">
        <is>
          <t>24</t>
        </is>
      </c>
      <c r="D317" s="18" t="inlineStr">
        <is>
          <t>horizontal</t>
        </is>
      </c>
      <c r="E317" s="38" t="n">
        <v>3054</v>
      </c>
      <c r="F317" s="38" t="n">
        <v>3054</v>
      </c>
      <c r="G317" s="18" t="inlineStr">
        <is>
          <t>Z/Y</t>
        </is>
      </c>
      <c r="H317" s="38" t="n">
        <v>7360</v>
      </c>
      <c r="I317" s="44" t="n">
        <v>-2645.2</v>
      </c>
      <c r="J317" s="38" t="n">
        <v>10414</v>
      </c>
      <c r="K317" s="44" t="n">
        <v>-2645.2</v>
      </c>
      <c r="L317" s="18" t="inlineStr">
        <is>
          <t>6</t>
        </is>
      </c>
      <c r="M317" s="18" t="inlineStr">
        <is>
          <t>S007 S011</t>
        </is>
      </c>
      <c r="N317" s="18" t="inlineStr">
        <is>
          <t>D9E27B</t>
        </is>
      </c>
    </row>
    <row r="318">
      <c r="A318" s="18" t="inlineStr">
        <is>
          <t>DWG0311</t>
        </is>
      </c>
      <c r="B318" s="18" t="inlineStr">
        <is>
          <t>S24</t>
        </is>
      </c>
      <c r="C318" s="18" t="inlineStr">
        <is>
          <t>24</t>
        </is>
      </c>
      <c r="D318" s="18" t="inlineStr">
        <is>
          <t>horizontal</t>
        </is>
      </c>
      <c r="E318" s="38" t="n">
        <v>22388</v>
      </c>
      <c r="F318" s="38" t="n">
        <v>22388</v>
      </c>
      <c r="G318" s="18" t="inlineStr">
        <is>
          <t>Z/Y</t>
        </is>
      </c>
      <c r="H318" s="38" t="n">
        <v>-11194</v>
      </c>
      <c r="I318" s="38" t="n">
        <v>-2080</v>
      </c>
      <c r="J318" s="38" t="n">
        <v>11194</v>
      </c>
      <c r="K318" s="38" t="n">
        <v>-2080</v>
      </c>
      <c r="L318" s="18" t="inlineStr">
        <is>
          <t>6</t>
        </is>
      </c>
      <c r="M318" s="18" t="inlineStr">
        <is>
          <t>S012</t>
        </is>
      </c>
      <c r="N318" s="18" t="inlineStr">
        <is>
          <t>D9E27C</t>
        </is>
      </c>
    </row>
    <row r="319">
      <c r="A319" s="18" t="inlineStr">
        <is>
          <t>DWG0312</t>
        </is>
      </c>
      <c r="B319" s="18" t="inlineStr">
        <is>
          <t>S24</t>
        </is>
      </c>
      <c r="C319" s="18" t="inlineStr">
        <is>
          <t>24</t>
        </is>
      </c>
      <c r="D319" s="18" t="inlineStr">
        <is>
          <t>horizontal</t>
        </is>
      </c>
      <c r="E319" s="38" t="n">
        <v>594</v>
      </c>
      <c r="F319" s="38" t="n">
        <v>594</v>
      </c>
      <c r="G319" s="18" t="inlineStr">
        <is>
          <t>Z/Y</t>
        </is>
      </c>
      <c r="H319" s="38" t="n">
        <v>-3897</v>
      </c>
      <c r="I319" s="44" t="n">
        <v>3138.3</v>
      </c>
      <c r="J319" s="38" t="n">
        <v>-3303</v>
      </c>
      <c r="K319" s="44" t="n">
        <v>3138.3</v>
      </c>
      <c r="L319" s="18" t="inlineStr">
        <is>
          <t>6</t>
        </is>
      </c>
      <c r="M319" s="18" t="inlineStr"/>
      <c r="N319" s="18" t="inlineStr">
        <is>
          <t>D9E253</t>
        </is>
      </c>
    </row>
    <row r="320">
      <c r="A320" s="18" t="inlineStr">
        <is>
          <t>DWG0313</t>
        </is>
      </c>
      <c r="B320" s="18" t="inlineStr">
        <is>
          <t>S24</t>
        </is>
      </c>
      <c r="C320" s="18" t="inlineStr">
        <is>
          <t>24</t>
        </is>
      </c>
      <c r="D320" s="18" t="inlineStr">
        <is>
          <t>horizontal</t>
        </is>
      </c>
      <c r="E320" s="38" t="n">
        <v>235</v>
      </c>
      <c r="F320" s="38" t="n">
        <v>235</v>
      </c>
      <c r="G320" s="18" t="inlineStr">
        <is>
          <t>Z/Y</t>
        </is>
      </c>
      <c r="H320" s="38" t="n">
        <v>-10484</v>
      </c>
      <c r="I320" s="44" t="n">
        <v>5805.5</v>
      </c>
      <c r="J320" s="38" t="n">
        <v>-10249</v>
      </c>
      <c r="K320" s="44" t="n">
        <v>5805.5</v>
      </c>
      <c r="L320" s="18" t="inlineStr">
        <is>
          <t>6</t>
        </is>
      </c>
      <c r="M320" s="18" t="inlineStr">
        <is>
          <t>S027 S028</t>
        </is>
      </c>
      <c r="N320" s="18" t="inlineStr">
        <is>
          <t>D9E223</t>
        </is>
      </c>
    </row>
    <row r="321">
      <c r="A321" s="18" t="inlineStr">
        <is>
          <t>DWG0314</t>
        </is>
      </c>
      <c r="B321" s="18" t="inlineStr">
        <is>
          <t>S24</t>
        </is>
      </c>
      <c r="C321" s="18" t="inlineStr">
        <is>
          <t>24</t>
        </is>
      </c>
      <c r="D321" s="18" t="inlineStr">
        <is>
          <t>horizontal</t>
        </is>
      </c>
      <c r="E321" s="38" t="n">
        <v>235</v>
      </c>
      <c r="F321" s="38" t="n">
        <v>235</v>
      </c>
      <c r="G321" s="18" t="inlineStr">
        <is>
          <t>Z/Y</t>
        </is>
      </c>
      <c r="H321" s="38" t="n">
        <v>10484</v>
      </c>
      <c r="I321" s="38" t="n">
        <v>5925</v>
      </c>
      <c r="J321" s="38" t="n">
        <v>10249</v>
      </c>
      <c r="K321" s="38" t="n">
        <v>5925</v>
      </c>
      <c r="L321" s="18" t="inlineStr">
        <is>
          <t>6</t>
        </is>
      </c>
      <c r="M321" s="18" t="inlineStr">
        <is>
          <t>S027 S028</t>
        </is>
      </c>
      <c r="N321" s="18" t="inlineStr">
        <is>
          <t>D9E247</t>
        </is>
      </c>
    </row>
    <row r="322">
      <c r="A322" s="18" t="inlineStr">
        <is>
          <t>DWG0315</t>
        </is>
      </c>
      <c r="B322" s="18" t="inlineStr">
        <is>
          <t>S24</t>
        </is>
      </c>
      <c r="C322" s="18" t="inlineStr">
        <is>
          <t>24</t>
        </is>
      </c>
      <c r="D322" s="18" t="inlineStr">
        <is>
          <t>horizontal</t>
        </is>
      </c>
      <c r="E322" s="38" t="n">
        <v>110</v>
      </c>
      <c r="F322" s="38" t="n">
        <v>110</v>
      </c>
      <c r="G322" s="18" t="inlineStr">
        <is>
          <t>Z/Y</t>
        </is>
      </c>
      <c r="H322" s="38" t="n">
        <v>7360</v>
      </c>
      <c r="I322" s="44" t="n">
        <v>6258.2</v>
      </c>
      <c r="J322" s="38" t="n">
        <v>7250</v>
      </c>
      <c r="K322" s="44" t="n">
        <v>6258.2</v>
      </c>
      <c r="L322" s="18" t="inlineStr">
        <is>
          <t>6</t>
        </is>
      </c>
      <c r="M322" s="18" t="inlineStr">
        <is>
          <t>S025</t>
        </is>
      </c>
      <c r="N322" s="18" t="inlineStr">
        <is>
          <t>D9E245</t>
        </is>
      </c>
    </row>
    <row r="323">
      <c r="A323" s="18" t="inlineStr">
        <is>
          <t>DWG0316</t>
        </is>
      </c>
      <c r="B323" s="18" t="inlineStr">
        <is>
          <t>S24</t>
        </is>
      </c>
      <c r="C323" s="18" t="inlineStr">
        <is>
          <t>24</t>
        </is>
      </c>
      <c r="D323" s="18" t="inlineStr">
        <is>
          <t>horizontal</t>
        </is>
      </c>
      <c r="E323" s="38" t="n">
        <v>220</v>
      </c>
      <c r="F323" s="38" t="n">
        <v>220</v>
      </c>
      <c r="G323" s="18" t="inlineStr">
        <is>
          <t>Z/Y</t>
        </is>
      </c>
      <c r="H323" s="38" t="n">
        <v>7360</v>
      </c>
      <c r="I323" s="44" t="n">
        <v>6258.2</v>
      </c>
      <c r="J323" s="38" t="n">
        <v>7580</v>
      </c>
      <c r="K323" s="44" t="n">
        <v>6258.2</v>
      </c>
      <c r="L323" s="18" t="inlineStr">
        <is>
          <t>6</t>
        </is>
      </c>
      <c r="M323" s="18" t="inlineStr">
        <is>
          <t>S026 S040</t>
        </is>
      </c>
      <c r="N323" s="18" t="inlineStr">
        <is>
          <t>D9E246</t>
        </is>
      </c>
    </row>
    <row r="324">
      <c r="A324" s="18" t="inlineStr">
        <is>
          <t>DWG0317</t>
        </is>
      </c>
      <c r="B324" s="18" t="inlineStr">
        <is>
          <t>S24</t>
        </is>
      </c>
      <c r="C324" s="18" t="inlineStr">
        <is>
          <t>24</t>
        </is>
      </c>
      <c r="D324" s="18" t="inlineStr">
        <is>
          <t>horizontal</t>
        </is>
      </c>
      <c r="E324" s="44" t="n">
        <v>806.3</v>
      </c>
      <c r="F324" s="38" t="n">
        <v>806</v>
      </c>
      <c r="G324" s="18" t="inlineStr">
        <is>
          <t>Z/Y</t>
        </is>
      </c>
      <c r="H324" s="38" t="n">
        <v>10414</v>
      </c>
      <c r="I324" s="38" t="n">
        <v>6325</v>
      </c>
      <c r="J324" s="44" t="n">
        <v>11220.3</v>
      </c>
      <c r="K324" s="38" t="n">
        <v>6325</v>
      </c>
      <c r="L324" s="18" t="inlineStr">
        <is>
          <t>6</t>
        </is>
      </c>
      <c r="M324" s="18" t="inlineStr">
        <is>
          <t>S029</t>
        </is>
      </c>
      <c r="N324" s="18" t="inlineStr">
        <is>
          <t>D9E248</t>
        </is>
      </c>
    </row>
    <row r="325">
      <c r="A325" s="18" t="inlineStr">
        <is>
          <t>DWG0318</t>
        </is>
      </c>
      <c r="B325" s="18" t="inlineStr">
        <is>
          <t>S24</t>
        </is>
      </c>
      <c r="C325" s="18" t="inlineStr">
        <is>
          <t>24</t>
        </is>
      </c>
      <c r="D325" s="18" t="inlineStr">
        <is>
          <t>horizontal</t>
        </is>
      </c>
      <c r="E325" s="38" t="n">
        <v>3897</v>
      </c>
      <c r="F325" s="38" t="n">
        <v>3897</v>
      </c>
      <c r="G325" s="18" t="inlineStr">
        <is>
          <t>Z/Y</t>
        </is>
      </c>
      <c r="H325" s="38" t="n">
        <v>-3897</v>
      </c>
      <c r="I325" s="44" t="n">
        <v>9199.9</v>
      </c>
      <c r="J325" s="38" t="n">
        <v>0</v>
      </c>
      <c r="K325" s="44" t="n">
        <v>9169.5</v>
      </c>
      <c r="L325" s="18" t="inlineStr">
        <is>
          <t>6</t>
        </is>
      </c>
      <c r="M325" s="18" t="inlineStr"/>
      <c r="N325" s="18" t="inlineStr">
        <is>
          <t>D9E25C</t>
        </is>
      </c>
    </row>
    <row r="326">
      <c r="A326" s="18" t="inlineStr">
        <is>
          <t>DWG0319</t>
        </is>
      </c>
      <c r="B326" s="18" t="inlineStr">
        <is>
          <t>S24</t>
        </is>
      </c>
      <c r="C326" s="18" t="inlineStr">
        <is>
          <t>24</t>
        </is>
      </c>
      <c r="D326" s="18" t="inlineStr">
        <is>
          <t>vertical</t>
        </is>
      </c>
      <c r="E326" s="44" t="n">
        <v>2950.5</v>
      </c>
      <c r="F326" s="38">
        <v>2951</v>
      </c>
      <c r="G326" s="18" t="inlineStr">
        <is>
          <t>Z/Y</t>
        </is>
      </c>
      <c r="H326" s="44" t="n">
        <v>-11423.9</v>
      </c>
      <c r="I326" s="38" t="n">
        <v>0</v>
      </c>
      <c r="J326" s="44" t="n">
        <v>-10502.4</v>
      </c>
      <c r="K326" s="44" t="n">
        <v>2950.5</v>
      </c>
      <c r="L326" s="18" t="inlineStr">
        <is>
          <t>6</t>
        </is>
      </c>
      <c r="M326" s="18" t="inlineStr">
        <is>
          <t>S030</t>
        </is>
      </c>
      <c r="N326" s="18" t="inlineStr">
        <is>
          <t>D9E214</t>
        </is>
      </c>
    </row>
    <row r="327">
      <c r="A327" s="18" t="inlineStr">
        <is>
          <t>DWG0320</t>
        </is>
      </c>
      <c r="B327" s="18" t="inlineStr">
        <is>
          <t>S24</t>
        </is>
      </c>
      <c r="C327" s="18" t="inlineStr">
        <is>
          <t>24</t>
        </is>
      </c>
      <c r="D327" s="18" t="inlineStr">
        <is>
          <t>vertical</t>
        </is>
      </c>
      <c r="E327" s="44" t="n">
        <v>1128.1</v>
      </c>
      <c r="F327" s="38" t="n">
        <v>1128</v>
      </c>
      <c r="G327" s="18" t="inlineStr">
        <is>
          <t>Z/Y</t>
        </is>
      </c>
      <c r="H327" s="44" t="n">
        <v>-11200.8</v>
      </c>
      <c r="I327" s="44" t="n">
        <v>4746.9</v>
      </c>
      <c r="J327" s="38" t="n">
        <v>-10484</v>
      </c>
      <c r="K327" s="38" t="n">
        <v>5875</v>
      </c>
      <c r="L327" s="18" t="inlineStr">
        <is>
          <t>6</t>
        </is>
      </c>
      <c r="M327" s="18" t="inlineStr"/>
      <c r="N327" s="18" t="inlineStr">
        <is>
          <t>D9E280</t>
        </is>
      </c>
    </row>
    <row r="328">
      <c r="A328" s="18" t="inlineStr">
        <is>
          <t>DWG0321</t>
        </is>
      </c>
      <c r="B328" s="18" t="inlineStr">
        <is>
          <t>S24</t>
        </is>
      </c>
      <c r="C328" s="18" t="inlineStr">
        <is>
          <t>24</t>
        </is>
      </c>
      <c r="D328" s="18" t="inlineStr">
        <is>
          <t>vertical</t>
        </is>
      </c>
      <c r="E328" s="38" t="n">
        <v>96</v>
      </c>
      <c r="F328" s="38" t="n">
        <v>96</v>
      </c>
      <c r="G328" s="18" t="inlineStr">
        <is>
          <t>Z/Y</t>
        </is>
      </c>
      <c r="H328" s="44" t="n">
        <v>-10940.4</v>
      </c>
      <c r="I328" s="38" t="n">
        <v>6229</v>
      </c>
      <c r="J328" s="44" t="n">
        <v>-10940.4</v>
      </c>
      <c r="K328" s="38" t="n">
        <v>6325</v>
      </c>
      <c r="L328" s="18" t="inlineStr">
        <is>
          <t>6</t>
        </is>
      </c>
      <c r="M328" s="18" t="inlineStr">
        <is>
          <t>S037</t>
        </is>
      </c>
      <c r="N328" s="18" t="inlineStr">
        <is>
          <t>D9E286</t>
        </is>
      </c>
    </row>
    <row r="329">
      <c r="A329" s="18" t="inlineStr">
        <is>
          <t>DWG0322</t>
        </is>
      </c>
      <c r="B329" s="18" t="inlineStr">
        <is>
          <t>S24</t>
        </is>
      </c>
      <c r="C329" s="18" t="inlineStr">
        <is>
          <t>24</t>
        </is>
      </c>
      <c r="D329" s="18" t="inlineStr">
        <is>
          <t>vertical</t>
        </is>
      </c>
      <c r="E329" s="44" t="n">
        <v>837.5</v>
      </c>
      <c r="F329" s="38" t="n">
        <v>837</v>
      </c>
      <c r="G329" s="18" t="inlineStr">
        <is>
          <t>Z/Y</t>
        </is>
      </c>
      <c r="H329" s="44" t="n">
        <v>-10564.6</v>
      </c>
      <c r="I329" s="44" t="n">
        <v>3909.4</v>
      </c>
      <c r="J329" s="44" t="n">
        <v>-10517.1</v>
      </c>
      <c r="K329" s="44" t="n">
        <v>4746.9</v>
      </c>
      <c r="L329" s="18" t="inlineStr">
        <is>
          <t>6</t>
        </is>
      </c>
      <c r="M329" s="18" t="inlineStr">
        <is>
          <t>S034</t>
        </is>
      </c>
      <c r="N329" s="18" t="inlineStr">
        <is>
          <t>D9E220</t>
        </is>
      </c>
    </row>
    <row r="330">
      <c r="A330" s="18" t="inlineStr">
        <is>
          <t>DWG0323</t>
        </is>
      </c>
      <c r="B330" s="18" t="inlineStr">
        <is>
          <t>S24</t>
        </is>
      </c>
      <c r="C330" s="18" t="inlineStr">
        <is>
          <t>24</t>
        </is>
      </c>
      <c r="D330" s="18" t="inlineStr">
        <is>
          <t>vertical</t>
        </is>
      </c>
      <c r="E330" s="44" t="n">
        <v>302.2</v>
      </c>
      <c r="F330" s="38" t="n">
        <v>302</v>
      </c>
      <c r="G330" s="18" t="inlineStr">
        <is>
          <t>Z/Y</t>
        </is>
      </c>
      <c r="H330" s="44" t="n">
        <v>-10520.9</v>
      </c>
      <c r="I330" s="44" t="n">
        <v>3607.2</v>
      </c>
      <c r="J330" s="44" t="n">
        <v>-10564.6</v>
      </c>
      <c r="K330" s="44" t="n">
        <v>3909.4</v>
      </c>
      <c r="L330" s="18" t="inlineStr">
        <is>
          <t>6</t>
        </is>
      </c>
      <c r="M330" s="18" t="inlineStr">
        <is>
          <t>S033</t>
        </is>
      </c>
      <c r="N330" s="18" t="inlineStr">
        <is>
          <t>D9E21D</t>
        </is>
      </c>
    </row>
    <row r="331">
      <c r="A331" s="18" t="inlineStr">
        <is>
          <t>DWG0324</t>
        </is>
      </c>
      <c r="B331" s="18" t="inlineStr">
        <is>
          <t>S24</t>
        </is>
      </c>
      <c r="C331" s="18" t="inlineStr">
        <is>
          <t>24</t>
        </is>
      </c>
      <c r="D331" s="18" t="inlineStr">
        <is>
          <t>vertical</t>
        </is>
      </c>
      <c r="E331" s="38" t="n">
        <v>150</v>
      </c>
      <c r="F331" s="38" t="n">
        <v>150</v>
      </c>
      <c r="G331" s="18" t="inlineStr">
        <is>
          <t>Z/Y</t>
        </is>
      </c>
      <c r="H331" s="44" t="n">
        <v>-10502.4</v>
      </c>
      <c r="I331" s="44" t="n">
        <v>2950.5</v>
      </c>
      <c r="J331" s="38" t="n">
        <v>-10414</v>
      </c>
      <c r="K331" s="44" t="n">
        <v>3100.5</v>
      </c>
      <c r="L331" s="18" t="inlineStr">
        <is>
          <t>6</t>
        </is>
      </c>
      <c r="M331" s="18" t="inlineStr">
        <is>
          <t>S031</t>
        </is>
      </c>
      <c r="N331" s="18" t="inlineStr">
        <is>
          <t>D9E217</t>
        </is>
      </c>
    </row>
    <row r="332">
      <c r="A332" s="18" t="inlineStr">
        <is>
          <t>DWG0325</t>
        </is>
      </c>
      <c r="B332" s="18" t="inlineStr">
        <is>
          <t>S24</t>
        </is>
      </c>
      <c r="C332" s="18" t="inlineStr">
        <is>
          <t>24</t>
        </is>
      </c>
      <c r="D332" s="18" t="inlineStr">
        <is>
          <t>vertical</t>
        </is>
      </c>
      <c r="E332" s="38" t="n">
        <v>354</v>
      </c>
      <c r="F332" s="38" t="n">
        <v>354</v>
      </c>
      <c r="G332" s="18" t="inlineStr">
        <is>
          <t>Z/Y</t>
        </is>
      </c>
      <c r="H332" s="38" t="n">
        <v>-10484</v>
      </c>
      <c r="I332" s="38" t="n">
        <v>5875</v>
      </c>
      <c r="J332" s="44" t="n">
        <v>-10940.4</v>
      </c>
      <c r="K332" s="38" t="n">
        <v>6229</v>
      </c>
      <c r="L332" s="18" t="inlineStr">
        <is>
          <t>6</t>
        </is>
      </c>
      <c r="M332" s="18" t="inlineStr"/>
      <c r="N332" s="18" t="inlineStr">
        <is>
          <t>D9E283</t>
        </is>
      </c>
    </row>
    <row r="333">
      <c r="A333" s="18" t="inlineStr">
        <is>
          <t>DWG0326</t>
        </is>
      </c>
      <c r="B333" s="18" t="inlineStr">
        <is>
          <t>S24</t>
        </is>
      </c>
      <c r="C333" s="18" t="inlineStr">
        <is>
          <t>24</t>
        </is>
      </c>
      <c r="D333" s="18" t="inlineStr">
        <is>
          <t>vertical</t>
        </is>
      </c>
      <c r="E333" s="44" t="n">
        <v>506.8</v>
      </c>
      <c r="F333" s="38" t="n">
        <v>507</v>
      </c>
      <c r="G333" s="18" t="inlineStr">
        <is>
          <t>Z/Y</t>
        </is>
      </c>
      <c r="H333" s="38" t="n">
        <v>-10414</v>
      </c>
      <c r="I333" s="44" t="n">
        <v>3100.5</v>
      </c>
      <c r="J333" s="44" t="n">
        <v>-10520.9</v>
      </c>
      <c r="K333" s="44" t="n">
        <v>3607.2</v>
      </c>
      <c r="L333" s="18" t="inlineStr">
        <is>
          <t>6</t>
        </is>
      </c>
      <c r="M333" s="18" t="inlineStr">
        <is>
          <t>S032</t>
        </is>
      </c>
      <c r="N333" s="18" t="inlineStr">
        <is>
          <t>D9E21A</t>
        </is>
      </c>
    </row>
    <row r="334">
      <c r="A334" s="18" t="inlineStr">
        <is>
          <t>DWG0327</t>
        </is>
      </c>
      <c r="B334" s="18" t="inlineStr">
        <is>
          <t>S24</t>
        </is>
      </c>
      <c r="C334" s="18" t="inlineStr">
        <is>
          <t>24</t>
        </is>
      </c>
      <c r="D334" s="18" t="inlineStr">
        <is>
          <t>vertical</t>
        </is>
      </c>
      <c r="E334" s="44" t="n">
        <v>6487.8</v>
      </c>
      <c r="F334" s="38" t="n">
        <v>6488</v>
      </c>
      <c r="G334" s="18" t="inlineStr">
        <is>
          <t>Z/Y</t>
        </is>
      </c>
      <c r="H334" s="38" t="n">
        <v>-7580</v>
      </c>
      <c r="I334" s="38" t="n">
        <v>0</v>
      </c>
      <c r="J334" s="38" t="n">
        <v>-7580</v>
      </c>
      <c r="K334" s="44" t="n">
        <v>6487.7</v>
      </c>
      <c r="L334" s="18" t="inlineStr">
        <is>
          <t>6</t>
        </is>
      </c>
      <c r="M334" s="18" t="inlineStr"/>
      <c r="N334" s="18" t="inlineStr">
        <is>
          <t>D9E260</t>
        </is>
      </c>
    </row>
    <row r="335">
      <c r="A335" s="18" t="inlineStr">
        <is>
          <t>DWG0328</t>
        </is>
      </c>
      <c r="B335" s="18" t="inlineStr">
        <is>
          <t>S24</t>
        </is>
      </c>
      <c r="C335" s="18" t="inlineStr">
        <is>
          <t>24</t>
        </is>
      </c>
      <c r="D335" s="18" t="inlineStr">
        <is>
          <t>vertical</t>
        </is>
      </c>
      <c r="E335" s="38" t="n">
        <v>400</v>
      </c>
      <c r="F335" s="38" t="n">
        <v>400</v>
      </c>
      <c r="G335" s="18" t="inlineStr">
        <is>
          <t>Z/Y</t>
        </is>
      </c>
      <c r="H335" s="38" t="n">
        <v>-7360</v>
      </c>
      <c r="I335" s="44" t="n">
        <v>6487.7</v>
      </c>
      <c r="J335" s="38" t="n">
        <v>-7360</v>
      </c>
      <c r="K335" s="44" t="n">
        <v>6887.7</v>
      </c>
      <c r="L335" s="18" t="inlineStr">
        <is>
          <t>6</t>
        </is>
      </c>
      <c r="M335" s="18" t="inlineStr">
        <is>
          <t>S043</t>
        </is>
      </c>
      <c r="N335" s="18" t="inlineStr">
        <is>
          <t>D9E233</t>
        </is>
      </c>
    </row>
    <row r="336">
      <c r="A336" s="18" t="inlineStr">
        <is>
          <t>DWG0329</t>
        </is>
      </c>
      <c r="B336" s="18" t="inlineStr">
        <is>
          <t>S24</t>
        </is>
      </c>
      <c r="C336" s="18" t="inlineStr">
        <is>
          <t>24</t>
        </is>
      </c>
      <c r="D336" s="18" t="inlineStr">
        <is>
          <t>vertical</t>
        </is>
      </c>
      <c r="E336" s="44" t="n">
        <v>102.2</v>
      </c>
      <c r="F336" s="38" t="n">
        <v>102</v>
      </c>
      <c r="G336" s="18" t="inlineStr">
        <is>
          <t>Z/Y</t>
        </is>
      </c>
      <c r="H336" s="38" t="n">
        <v>-7360</v>
      </c>
      <c r="I336" s="44" t="n">
        <v>6887.7</v>
      </c>
      <c r="J336" s="38" t="n">
        <v>-6953</v>
      </c>
      <c r="K336" s="38" t="n">
        <v>6990</v>
      </c>
      <c r="L336" s="18" t="inlineStr">
        <is>
          <t>6</t>
        </is>
      </c>
      <c r="M336" s="18" t="inlineStr">
        <is>
          <t>S044</t>
        </is>
      </c>
      <c r="N336" s="18" t="inlineStr">
        <is>
          <t>D9E236</t>
        </is>
      </c>
    </row>
    <row r="337">
      <c r="A337" s="18" t="inlineStr">
        <is>
          <t>DWG0330</t>
        </is>
      </c>
      <c r="B337" s="18" t="inlineStr">
        <is>
          <t>S24</t>
        </is>
      </c>
      <c r="C337" s="18" t="inlineStr">
        <is>
          <t>24</t>
        </is>
      </c>
      <c r="D337" s="18" t="inlineStr">
        <is>
          <t>vertical</t>
        </is>
      </c>
      <c r="E337" s="44" t="n">
        <v>2300.5</v>
      </c>
      <c r="F337" s="38">
        <v>2301</v>
      </c>
      <c r="G337" s="18" t="inlineStr">
        <is>
          <t>Z/Y</t>
        </is>
      </c>
      <c r="H337" s="38" t="n">
        <v>-7250</v>
      </c>
      <c r="I337" s="38" t="n">
        <v>650</v>
      </c>
      <c r="J337" s="38" t="n">
        <v>-7250</v>
      </c>
      <c r="K337" s="44" t="n">
        <v>2950.5</v>
      </c>
      <c r="L337" s="18" t="inlineStr">
        <is>
          <t>6</t>
        </is>
      </c>
      <c r="M337" s="18" t="inlineStr">
        <is>
          <t>S039</t>
        </is>
      </c>
      <c r="N337" s="18" t="inlineStr">
        <is>
          <t>D9E227</t>
        </is>
      </c>
    </row>
    <row r="338">
      <c r="A338" s="18" t="inlineStr">
        <is>
          <t>DWG0331</t>
        </is>
      </c>
      <c r="B338" s="18" t="inlineStr">
        <is>
          <t>S24</t>
        </is>
      </c>
      <c r="C338" s="18" t="inlineStr">
        <is>
          <t>24</t>
        </is>
      </c>
      <c r="D338" s="18" t="inlineStr">
        <is>
          <t>vertical</t>
        </is>
      </c>
      <c r="E338" s="38" t="n">
        <v>220</v>
      </c>
      <c r="F338" s="38" t="n">
        <v>220</v>
      </c>
      <c r="G338" s="18" t="inlineStr">
        <is>
          <t>Z/Y</t>
        </is>
      </c>
      <c r="H338" s="38" t="n">
        <v>-7250</v>
      </c>
      <c r="I338" s="44" t="n">
        <v>2950.5</v>
      </c>
      <c r="J338" s="38" t="n">
        <v>-7250</v>
      </c>
      <c r="K338" s="44" t="n">
        <v>3170.5</v>
      </c>
      <c r="L338" s="18" t="inlineStr">
        <is>
          <t>6</t>
        </is>
      </c>
      <c r="M338" s="18" t="inlineStr">
        <is>
          <t>S026 S040</t>
        </is>
      </c>
      <c r="N338" s="18" t="inlineStr">
        <is>
          <t>D9E22A</t>
        </is>
      </c>
    </row>
    <row r="339">
      <c r="A339" s="18" t="inlineStr">
        <is>
          <t>DWG0332</t>
        </is>
      </c>
      <c r="B339" s="18" t="inlineStr">
        <is>
          <t>S24</t>
        </is>
      </c>
      <c r="C339" s="18" t="inlineStr">
        <is>
          <t>24</t>
        </is>
      </c>
      <c r="D339" s="18" t="inlineStr">
        <is>
          <t>vertical</t>
        </is>
      </c>
      <c r="E339" s="44" t="n">
        <v>1140.2</v>
      </c>
      <c r="F339" s="38" t="n">
        <v>1140</v>
      </c>
      <c r="G339" s="18" t="inlineStr">
        <is>
          <t>Z/Y</t>
        </is>
      </c>
      <c r="H339" s="38" t="n">
        <v>-7250</v>
      </c>
      <c r="I339" s="44" t="n">
        <v>3170.5</v>
      </c>
      <c r="J339" s="38" t="n">
        <v>-7250</v>
      </c>
      <c r="K339" s="44" t="n">
        <v>4310.7</v>
      </c>
      <c r="L339" s="18" t="inlineStr">
        <is>
          <t>6</t>
        </is>
      </c>
      <c r="M339" s="18" t="inlineStr">
        <is>
          <t>S041</t>
        </is>
      </c>
      <c r="N339" s="18" t="inlineStr">
        <is>
          <t>D9E22D</t>
        </is>
      </c>
    </row>
    <row r="340">
      <c r="A340" s="18" t="inlineStr">
        <is>
          <t>DWG0333</t>
        </is>
      </c>
      <c r="B340" s="18" t="inlineStr">
        <is>
          <t>S24</t>
        </is>
      </c>
      <c r="C340" s="18" t="inlineStr">
        <is>
          <t>24</t>
        </is>
      </c>
      <c r="D340" s="18" t="inlineStr">
        <is>
          <t>vertical</t>
        </is>
      </c>
      <c r="E340" s="38" t="n">
        <v>2177</v>
      </c>
      <c r="F340" s="38" t="n">
        <v>2177</v>
      </c>
      <c r="G340" s="18" t="inlineStr">
        <is>
          <t>Z/Y</t>
        </is>
      </c>
      <c r="H340" s="38" t="n">
        <v>-7250</v>
      </c>
      <c r="I340" s="44" t="n">
        <v>4310.7</v>
      </c>
      <c r="J340" s="38" t="n">
        <v>-7360</v>
      </c>
      <c r="K340" s="44" t="n">
        <v>6487.7</v>
      </c>
      <c r="L340" s="18" t="inlineStr">
        <is>
          <t>6</t>
        </is>
      </c>
      <c r="M340" s="18" t="inlineStr">
        <is>
          <t>S042</t>
        </is>
      </c>
      <c r="N340" s="18" t="inlineStr">
        <is>
          <t>D9E230</t>
        </is>
      </c>
    </row>
    <row r="341">
      <c r="A341" s="18" t="inlineStr">
        <is>
          <t>DWG0334</t>
        </is>
      </c>
      <c r="B341" s="18" t="inlineStr">
        <is>
          <t>S24</t>
        </is>
      </c>
      <c r="C341" s="18" t="inlineStr">
        <is>
          <t>24</t>
        </is>
      </c>
      <c r="D341" s="18" t="inlineStr">
        <is>
          <t>vertical</t>
        </is>
      </c>
      <c r="E341" s="38" t="n">
        <v>650</v>
      </c>
      <c r="F341" s="38" t="n">
        <v>650</v>
      </c>
      <c r="G341" s="18" t="inlineStr">
        <is>
          <t>Z/Y</t>
        </is>
      </c>
      <c r="H341" s="44" t="n">
        <v>-6685.5</v>
      </c>
      <c r="I341" s="38" t="n">
        <v>0</v>
      </c>
      <c r="J341" s="38" t="n">
        <v>-7250</v>
      </c>
      <c r="K341" s="38" t="n">
        <v>650</v>
      </c>
      <c r="L341" s="18" t="inlineStr">
        <is>
          <t>6</t>
        </is>
      </c>
      <c r="M341" s="18" t="inlineStr">
        <is>
          <t>S038</t>
        </is>
      </c>
      <c r="N341" s="18" t="inlineStr">
        <is>
          <t>D9E224</t>
        </is>
      </c>
    </row>
    <row r="342">
      <c r="A342" s="18" t="inlineStr">
        <is>
          <t>DWG0335</t>
        </is>
      </c>
      <c r="B342" s="18" t="inlineStr">
        <is>
          <t>S24</t>
        </is>
      </c>
      <c r="C342" s="18" t="inlineStr">
        <is>
          <t>24</t>
        </is>
      </c>
      <c r="D342" s="18" t="inlineStr">
        <is>
          <t>vertical</t>
        </is>
      </c>
      <c r="E342" s="38" t="n">
        <v>6990</v>
      </c>
      <c r="F342" s="38" t="n">
        <v>6990</v>
      </c>
      <c r="G342" s="18" t="inlineStr">
        <is>
          <t>Z/Y</t>
        </is>
      </c>
      <c r="H342" s="44" t="n">
        <v>-6019.1</v>
      </c>
      <c r="I342" s="38" t="n">
        <v>0</v>
      </c>
      <c r="J342" s="44" t="n">
        <v>-5295.5</v>
      </c>
      <c r="K342" s="38" t="n">
        <v>6990</v>
      </c>
      <c r="L342" s="18" t="inlineStr">
        <is>
          <t>6</t>
        </is>
      </c>
      <c r="M342" s="18" t="inlineStr">
        <is>
          <t>S139</t>
        </is>
      </c>
      <c r="N342" s="18" t="inlineStr">
        <is>
          <t>D9E259</t>
        </is>
      </c>
    </row>
    <row r="343">
      <c r="A343" s="18" t="inlineStr">
        <is>
          <t>DWG0336</t>
        </is>
      </c>
      <c r="B343" s="18" t="inlineStr">
        <is>
          <t>S24</t>
        </is>
      </c>
      <c r="C343" s="18" t="inlineStr">
        <is>
          <t>24</t>
        </is>
      </c>
      <c r="D343" s="18" t="inlineStr">
        <is>
          <t>vertical</t>
        </is>
      </c>
      <c r="E343" s="44" t="n">
        <v>9524.9</v>
      </c>
      <c r="F343" s="38" t="n">
        <v>9525</v>
      </c>
      <c r="G343" s="18" t="inlineStr">
        <is>
          <t>Z/Y</t>
        </is>
      </c>
      <c r="H343" s="44" t="n">
        <v>-3191.5</v>
      </c>
      <c r="I343" s="44" t="n">
        <v>-0.3</v>
      </c>
      <c r="J343" s="38" t="n">
        <v>-3303</v>
      </c>
      <c r="K343" s="44" t="n">
        <v>9524.5</v>
      </c>
      <c r="L343" s="18" t="inlineStr">
        <is>
          <t>6</t>
        </is>
      </c>
      <c r="M343" s="18" t="inlineStr"/>
      <c r="N343" s="18" t="inlineStr">
        <is>
          <t>D9E256</t>
        </is>
      </c>
    </row>
    <row r="344">
      <c r="A344" s="18" t="inlineStr">
        <is>
          <t>DWG0337</t>
        </is>
      </c>
      <c r="B344" s="18" t="inlineStr">
        <is>
          <t>S24</t>
        </is>
      </c>
      <c r="C344" s="18" t="inlineStr">
        <is>
          <t>24</t>
        </is>
      </c>
      <c r="D344" s="18" t="inlineStr">
        <is>
          <t>vertical</t>
        </is>
      </c>
      <c r="E344" s="44" t="n">
        <v>2635.1</v>
      </c>
      <c r="F344" s="38" t="n">
        <v>2635</v>
      </c>
      <c r="G344" s="18" t="inlineStr">
        <is>
          <t>Z/Y</t>
        </is>
      </c>
      <c r="H344" s="38" t="n">
        <v>0</v>
      </c>
      <c r="I344" s="44" t="n">
        <v>9169.5</v>
      </c>
      <c r="J344" s="44" t="n">
        <v>-32.7</v>
      </c>
      <c r="K344" s="44" t="n">
        <v>11804.6</v>
      </c>
      <c r="L344" s="18" t="inlineStr">
        <is>
          <t>6</t>
        </is>
      </c>
      <c r="M344" s="18" t="inlineStr"/>
      <c r="N344" s="18" t="inlineStr">
        <is>
          <t>D9E25F</t>
        </is>
      </c>
    </row>
    <row r="345">
      <c r="A345" s="18" t="inlineStr">
        <is>
          <t>DWG0338</t>
        </is>
      </c>
      <c r="B345" s="18" t="inlineStr">
        <is>
          <t>S24</t>
        </is>
      </c>
      <c r="C345" s="18" t="inlineStr">
        <is>
          <t>24</t>
        </is>
      </c>
      <c r="D345" s="18" t="inlineStr">
        <is>
          <t>vertical</t>
        </is>
      </c>
      <c r="E345" s="38" t="n">
        <v>600</v>
      </c>
      <c r="F345" s="38" t="n">
        <v>600</v>
      </c>
      <c r="G345" s="18" t="inlineStr">
        <is>
          <t>Z/Y</t>
        </is>
      </c>
      <c r="H345" s="44" t="n">
        <v>3006.8</v>
      </c>
      <c r="I345" s="38" t="n">
        <v>0</v>
      </c>
      <c r="J345" s="38" t="n">
        <v>3325</v>
      </c>
      <c r="K345" s="38" t="n">
        <v>600</v>
      </c>
      <c r="L345" s="18" t="inlineStr">
        <is>
          <t>6</t>
        </is>
      </c>
      <c r="M345" s="18" t="inlineStr">
        <is>
          <t>S019 S021</t>
        </is>
      </c>
      <c r="N345" s="18" t="inlineStr">
        <is>
          <t>D9E239</t>
        </is>
      </c>
    </row>
    <row r="346">
      <c r="A346" s="18" t="inlineStr">
        <is>
          <t>DWG0339</t>
        </is>
      </c>
      <c r="B346" s="18" t="inlineStr">
        <is>
          <t>S24</t>
        </is>
      </c>
      <c r="C346" s="18" t="inlineStr">
        <is>
          <t>24</t>
        </is>
      </c>
      <c r="D346" s="18" t="inlineStr">
        <is>
          <t>vertical</t>
        </is>
      </c>
      <c r="E346" s="44" t="n">
        <v>8801.5</v>
      </c>
      <c r="F346" s="38" t="n">
        <v>8802</v>
      </c>
      <c r="G346" s="18" t="inlineStr">
        <is>
          <t>Z/Y</t>
        </is>
      </c>
      <c r="H346" s="44" t="n">
        <v>3020.3</v>
      </c>
      <c r="I346" s="38" t="n">
        <v>600</v>
      </c>
      <c r="J346" s="44" t="n">
        <v>3644.8</v>
      </c>
      <c r="K346" s="44" t="n">
        <v>9401.5</v>
      </c>
      <c r="L346" s="18" t="inlineStr">
        <is>
          <t>6</t>
        </is>
      </c>
      <c r="M346" s="18" t="inlineStr">
        <is>
          <t>S020</t>
        </is>
      </c>
      <c r="N346" s="18" t="inlineStr">
        <is>
          <t>D9E242</t>
        </is>
      </c>
    </row>
    <row r="347">
      <c r="A347" s="18" t="inlineStr">
        <is>
          <t>DWG0340</t>
        </is>
      </c>
      <c r="B347" s="18" t="inlineStr">
        <is>
          <t>S24</t>
        </is>
      </c>
      <c r="C347" s="18" t="inlineStr">
        <is>
          <t>24</t>
        </is>
      </c>
      <c r="D347" s="18" t="inlineStr">
        <is>
          <t>vertical</t>
        </is>
      </c>
      <c r="E347" s="38" t="n">
        <v>600</v>
      </c>
      <c r="F347" s="38" t="n">
        <v>600</v>
      </c>
      <c r="G347" s="18" t="inlineStr">
        <is>
          <t>Z/Y</t>
        </is>
      </c>
      <c r="H347" s="44" t="n">
        <v>6721.1</v>
      </c>
      <c r="I347" s="38" t="n">
        <v>0</v>
      </c>
      <c r="J347" s="38" t="n">
        <v>6953</v>
      </c>
      <c r="K347" s="38" t="n">
        <v>600</v>
      </c>
      <c r="L347" s="18" t="inlineStr">
        <is>
          <t>6</t>
        </is>
      </c>
      <c r="M347" s="18" t="inlineStr">
        <is>
          <t>S019 S021</t>
        </is>
      </c>
      <c r="N347" s="18" t="inlineStr">
        <is>
          <t>D9E23C</t>
        </is>
      </c>
    </row>
    <row r="348">
      <c r="A348" s="18" t="inlineStr">
        <is>
          <t>DWG0341</t>
        </is>
      </c>
      <c r="B348" s="18" t="inlineStr">
        <is>
          <t>S24</t>
        </is>
      </c>
      <c r="C348" s="18" t="inlineStr">
        <is>
          <t>24</t>
        </is>
      </c>
      <c r="D348" s="18" t="inlineStr">
        <is>
          <t>vertical</t>
        </is>
      </c>
      <c r="E348" s="38" t="n">
        <v>6390</v>
      </c>
      <c r="F348" s="38" t="n">
        <v>6390</v>
      </c>
      <c r="G348" s="18" t="inlineStr">
        <is>
          <t>Z/Y</t>
        </is>
      </c>
      <c r="H348" s="38" t="n">
        <v>6953</v>
      </c>
      <c r="I348" s="38" t="n">
        <v>600</v>
      </c>
      <c r="J348" s="44" t="n">
        <v>6879.1</v>
      </c>
      <c r="K348" s="38" t="n">
        <v>6990</v>
      </c>
      <c r="L348" s="18" t="inlineStr">
        <is>
          <t>6</t>
        </is>
      </c>
      <c r="M348" s="18" t="inlineStr">
        <is>
          <t>S022</t>
        </is>
      </c>
      <c r="N348" s="18" t="inlineStr">
        <is>
          <t>D9E23F</t>
        </is>
      </c>
    </row>
    <row r="349">
      <c r="A349" s="18" t="inlineStr">
        <is>
          <t>DWG0342</t>
        </is>
      </c>
      <c r="B349" s="18" t="inlineStr">
        <is>
          <t>S24</t>
        </is>
      </c>
      <c r="C349" s="18" t="inlineStr">
        <is>
          <t>24</t>
        </is>
      </c>
      <c r="D349" s="18" t="inlineStr">
        <is>
          <t>vertical</t>
        </is>
      </c>
      <c r="E349" s="44" t="n">
        <v>14476.4</v>
      </c>
      <c r="F349" s="38" t="n">
        <v>14476</v>
      </c>
      <c r="G349" s="18" t="inlineStr">
        <is>
          <t>Z/Y</t>
        </is>
      </c>
      <c r="H349" s="44" t="n">
        <v>12485.4</v>
      </c>
      <c r="I349" s="38" t="n">
        <v>-2080</v>
      </c>
      <c r="J349" s="44" t="n">
        <v>181.5</v>
      </c>
      <c r="K349" s="44" t="n">
        <v>12396.4</v>
      </c>
      <c r="L349" s="18" t="inlineStr">
        <is>
          <t>6</t>
        </is>
      </c>
      <c r="M349" s="18" t="inlineStr">
        <is>
          <t>S006</t>
        </is>
      </c>
      <c r="N349" s="18" t="inlineStr">
        <is>
          <t>D9E021</t>
        </is>
      </c>
    </row>
    <row r="350">
      <c r="A350" s="18" t="inlineStr">
        <is>
          <t>DWG0343</t>
        </is>
      </c>
      <c r="B350" s="18" t="inlineStr">
        <is>
          <t>S25</t>
        </is>
      </c>
      <c r="C350" s="18" t="inlineStr">
        <is>
          <t>25</t>
        </is>
      </c>
      <c r="D350" s="18" t="inlineStr">
        <is>
          <t>aligned</t>
        </is>
      </c>
      <c r="E350" s="44" t="n">
        <v>9190.6</v>
      </c>
      <c r="F350" s="38" t="n">
        <v>9191</v>
      </c>
      <c r="G350" s="18" t="inlineStr">
        <is>
          <t>Z/Y</t>
        </is>
      </c>
      <c r="H350" s="44" t="n">
        <v>-7604.9</v>
      </c>
      <c r="I350" s="44" t="n">
        <v>7070.4</v>
      </c>
      <c r="J350" s="38" t="n">
        <v>0</v>
      </c>
      <c r="K350" s="44" t="n">
        <v>12231.2</v>
      </c>
      <c r="L350" s="18" t="inlineStr">
        <is>
          <t>7</t>
        </is>
      </c>
      <c r="M350" s="18" t="inlineStr"/>
      <c r="N350" s="18" t="inlineStr">
        <is>
          <t>DA1C35</t>
        </is>
      </c>
    </row>
    <row r="351">
      <c r="A351" s="18" t="inlineStr">
        <is>
          <t>DWG0344</t>
        </is>
      </c>
      <c r="B351" s="18" t="inlineStr">
        <is>
          <t>S25</t>
        </is>
      </c>
      <c r="C351" s="18" t="inlineStr">
        <is>
          <t>25</t>
        </is>
      </c>
      <c r="D351" s="18" t="inlineStr">
        <is>
          <t>aligned</t>
        </is>
      </c>
      <c r="E351" s="38" t="n">
        <v>780</v>
      </c>
      <c r="F351" s="38" t="n">
        <v>780</v>
      </c>
      <c r="G351" s="18" t="inlineStr">
        <is>
          <t>Z/Y</t>
        </is>
      </c>
      <c r="H351" s="38" t="n">
        <v>10414</v>
      </c>
      <c r="I351" s="38" t="n">
        <v>-2080</v>
      </c>
      <c r="J351" s="38" t="n">
        <v>11194</v>
      </c>
      <c r="K351" s="38" t="n">
        <v>-2080</v>
      </c>
      <c r="L351" s="18" t="inlineStr">
        <is>
          <t>7</t>
        </is>
      </c>
      <c r="M351" s="18" t="inlineStr">
        <is>
          <t>S063</t>
        </is>
      </c>
      <c r="N351" s="18" t="inlineStr">
        <is>
          <t>DA1C13</t>
        </is>
      </c>
    </row>
    <row r="352">
      <c r="A352" s="18" t="inlineStr">
        <is>
          <t>DWG0345</t>
        </is>
      </c>
      <c r="B352" s="18" t="inlineStr">
        <is>
          <t>S25</t>
        </is>
      </c>
      <c r="C352" s="18" t="inlineStr">
        <is>
          <t>25</t>
        </is>
      </c>
      <c r="D352" s="18" t="inlineStr">
        <is>
          <t>horizontal</t>
        </is>
      </c>
      <c r="E352" s="38" t="n">
        <v>3054</v>
      </c>
      <c r="F352" s="38" t="n">
        <v>3054</v>
      </c>
      <c r="G352" s="18" t="inlineStr">
        <is>
          <t>Z/Y</t>
        </is>
      </c>
      <c r="H352" s="38" t="n">
        <v>-10414</v>
      </c>
      <c r="I352" s="44" t="n">
        <v>-2800.8</v>
      </c>
      <c r="J352" s="38" t="n">
        <v>-7360</v>
      </c>
      <c r="K352" s="44" t="n">
        <v>-2800.8</v>
      </c>
      <c r="L352" s="18" t="inlineStr">
        <is>
          <t>7</t>
        </is>
      </c>
      <c r="M352" s="18" t="inlineStr">
        <is>
          <t>S052 S056</t>
        </is>
      </c>
      <c r="N352" s="18" t="inlineStr">
        <is>
          <t>DA199F</t>
        </is>
      </c>
    </row>
    <row r="353">
      <c r="A353" s="18" t="inlineStr">
        <is>
          <t>DWG0346</t>
        </is>
      </c>
      <c r="B353" s="18" t="inlineStr">
        <is>
          <t>S25</t>
        </is>
      </c>
      <c r="C353" s="18" t="inlineStr">
        <is>
          <t>25</t>
        </is>
      </c>
      <c r="D353" s="18" t="inlineStr">
        <is>
          <t>horizontal</t>
        </is>
      </c>
      <c r="E353" s="38" t="n">
        <v>3760</v>
      </c>
      <c r="F353" s="38" t="n">
        <v>3760</v>
      </c>
      <c r="G353" s="18" t="inlineStr">
        <is>
          <t>Z/Y</t>
        </is>
      </c>
      <c r="H353" s="38" t="n">
        <v>-7360</v>
      </c>
      <c r="I353" s="44" t="n">
        <v>-2800.8</v>
      </c>
      <c r="J353" s="38" t="n">
        <v>-3600</v>
      </c>
      <c r="K353" s="44" t="n">
        <v>-2800.8</v>
      </c>
      <c r="L353" s="18" t="inlineStr">
        <is>
          <t>7</t>
        </is>
      </c>
      <c r="M353" s="18" t="inlineStr">
        <is>
          <t>S053 S055</t>
        </is>
      </c>
      <c r="N353" s="18" t="inlineStr">
        <is>
          <t>DA19A2</t>
        </is>
      </c>
    </row>
    <row r="354">
      <c r="A354" s="18" t="inlineStr">
        <is>
          <t>DWG0347</t>
        </is>
      </c>
      <c r="B354" s="18" t="inlineStr">
        <is>
          <t>S25</t>
        </is>
      </c>
      <c r="C354" s="18" t="inlineStr">
        <is>
          <t>25</t>
        </is>
      </c>
      <c r="D354" s="18" t="inlineStr">
        <is>
          <t>horizontal</t>
        </is>
      </c>
      <c r="E354" s="38" t="n">
        <v>7200</v>
      </c>
      <c r="F354" s="38" t="n">
        <v>7200</v>
      </c>
      <c r="G354" s="18" t="inlineStr">
        <is>
          <t>Z/Y</t>
        </is>
      </c>
      <c r="H354" s="38" t="n">
        <v>-3600</v>
      </c>
      <c r="I354" s="44" t="n">
        <v>-2800.8</v>
      </c>
      <c r="J354" s="38" t="n">
        <v>3600</v>
      </c>
      <c r="K354" s="44" t="n">
        <v>-2800.8</v>
      </c>
      <c r="L354" s="18" t="inlineStr">
        <is>
          <t>7</t>
        </is>
      </c>
      <c r="M354" s="18" t="inlineStr">
        <is>
          <t>S054</t>
        </is>
      </c>
      <c r="N354" s="18" t="inlineStr">
        <is>
          <t>DA19A3</t>
        </is>
      </c>
    </row>
    <row r="355">
      <c r="A355" s="18" t="inlineStr">
        <is>
          <t>DWG0348</t>
        </is>
      </c>
      <c r="B355" s="18" t="inlineStr">
        <is>
          <t>S25</t>
        </is>
      </c>
      <c r="C355" s="18" t="inlineStr">
        <is>
          <t>25</t>
        </is>
      </c>
      <c r="D355" s="18" t="inlineStr">
        <is>
          <t>horizontal</t>
        </is>
      </c>
      <c r="E355" s="38" t="n">
        <v>3760</v>
      </c>
      <c r="F355" s="38" t="n">
        <v>3760</v>
      </c>
      <c r="G355" s="18" t="inlineStr">
        <is>
          <t>Z/Y</t>
        </is>
      </c>
      <c r="H355" s="38" t="n">
        <v>3600</v>
      </c>
      <c r="I355" s="44" t="n">
        <v>-2800.8</v>
      </c>
      <c r="J355" s="38" t="n">
        <v>7360</v>
      </c>
      <c r="K355" s="44" t="n">
        <v>-2800.8</v>
      </c>
      <c r="L355" s="18" t="inlineStr">
        <is>
          <t>7</t>
        </is>
      </c>
      <c r="M355" s="18" t="inlineStr">
        <is>
          <t>S053 S055</t>
        </is>
      </c>
      <c r="N355" s="18" t="inlineStr">
        <is>
          <t>DA19A4</t>
        </is>
      </c>
    </row>
    <row r="356">
      <c r="A356" s="18" t="inlineStr">
        <is>
          <t>DWG0349</t>
        </is>
      </c>
      <c r="B356" s="18" t="inlineStr">
        <is>
          <t>S25</t>
        </is>
      </c>
      <c r="C356" s="18" t="inlineStr">
        <is>
          <t>25</t>
        </is>
      </c>
      <c r="D356" s="18" t="inlineStr">
        <is>
          <t>horizontal</t>
        </is>
      </c>
      <c r="E356" s="38" t="n">
        <v>3054</v>
      </c>
      <c r="F356" s="38" t="n">
        <v>3054</v>
      </c>
      <c r="G356" s="18" t="inlineStr">
        <is>
          <t>Z/Y</t>
        </is>
      </c>
      <c r="H356" s="38" t="n">
        <v>7360</v>
      </c>
      <c r="I356" s="44" t="n">
        <v>-2800.8</v>
      </c>
      <c r="J356" s="38" t="n">
        <v>10414</v>
      </c>
      <c r="K356" s="44" t="n">
        <v>-2800.8</v>
      </c>
      <c r="L356" s="18" t="inlineStr">
        <is>
          <t>7</t>
        </is>
      </c>
      <c r="M356" s="18" t="inlineStr">
        <is>
          <t>S052 S056</t>
        </is>
      </c>
      <c r="N356" s="18" t="inlineStr">
        <is>
          <t>DA19A5</t>
        </is>
      </c>
    </row>
    <row r="357">
      <c r="A357" s="18" t="inlineStr">
        <is>
          <t>DWG0350</t>
        </is>
      </c>
      <c r="B357" s="18" t="inlineStr">
        <is>
          <t>S25</t>
        </is>
      </c>
      <c r="C357" s="18" t="inlineStr">
        <is>
          <t>25</t>
        </is>
      </c>
      <c r="D357" s="18" t="inlineStr">
        <is>
          <t>horizontal</t>
        </is>
      </c>
      <c r="E357" s="38" t="n">
        <v>500</v>
      </c>
      <c r="F357" s="38" t="n">
        <v>500</v>
      </c>
      <c r="G357" s="18" t="inlineStr">
        <is>
          <t>Z/Y</t>
        </is>
      </c>
      <c r="H357" s="38" t="n">
        <v>3600</v>
      </c>
      <c r="I357" s="44" t="n">
        <v>-2142.5</v>
      </c>
      <c r="J357" s="38" t="n">
        <v>3100</v>
      </c>
      <c r="K357" s="38" t="n">
        <v>-2080</v>
      </c>
      <c r="L357" s="18" t="inlineStr">
        <is>
          <t>7</t>
        </is>
      </c>
      <c r="M357" s="18" t="inlineStr">
        <is>
          <t>S058 S059</t>
        </is>
      </c>
      <c r="N357" s="18" t="inlineStr">
        <is>
          <t>DA1C18</t>
        </is>
      </c>
    </row>
    <row r="358">
      <c r="A358" s="18" t="inlineStr">
        <is>
          <t>DWG0351</t>
        </is>
      </c>
      <c r="B358" s="18" t="inlineStr">
        <is>
          <t>S25</t>
        </is>
      </c>
      <c r="C358" s="18" t="inlineStr">
        <is>
          <t>25</t>
        </is>
      </c>
      <c r="D358" s="18" t="inlineStr">
        <is>
          <t>horizontal</t>
        </is>
      </c>
      <c r="E358" s="38" t="n">
        <v>385</v>
      </c>
      <c r="F358" s="38" t="n">
        <v>385</v>
      </c>
      <c r="G358" s="18" t="inlineStr">
        <is>
          <t>Z/Y</t>
        </is>
      </c>
      <c r="H358" s="38" t="n">
        <v>10414</v>
      </c>
      <c r="I358" s="44" t="n">
        <v>-2142.5</v>
      </c>
      <c r="J358" s="38" t="n">
        <v>10029</v>
      </c>
      <c r="K358" s="38" t="n">
        <v>-2080</v>
      </c>
      <c r="L358" s="18" t="inlineStr">
        <is>
          <t>7</t>
        </is>
      </c>
      <c r="M358" s="18" t="inlineStr">
        <is>
          <t>S062</t>
        </is>
      </c>
      <c r="N358" s="18" t="inlineStr">
        <is>
          <t>DA1C14</t>
        </is>
      </c>
    </row>
    <row r="359">
      <c r="A359" s="18" t="inlineStr">
        <is>
          <t>DWG0352</t>
        </is>
      </c>
      <c r="B359" s="18" t="inlineStr">
        <is>
          <t>S25</t>
        </is>
      </c>
      <c r="C359" s="18" t="inlineStr">
        <is>
          <t>25</t>
        </is>
      </c>
      <c r="D359" s="18" t="inlineStr">
        <is>
          <t>horizontal</t>
        </is>
      </c>
      <c r="E359" s="38" t="n">
        <v>22388</v>
      </c>
      <c r="F359" s="38" t="n">
        <v>22388</v>
      </c>
      <c r="G359" s="18" t="inlineStr">
        <is>
          <t>Z/Y</t>
        </is>
      </c>
      <c r="H359" s="38" t="n">
        <v>-11194</v>
      </c>
      <c r="I359" s="38" t="n">
        <v>-2080</v>
      </c>
      <c r="J359" s="38" t="n">
        <v>11194</v>
      </c>
      <c r="K359" s="38" t="n">
        <v>-2080</v>
      </c>
      <c r="L359" s="18" t="inlineStr">
        <is>
          <t>7</t>
        </is>
      </c>
      <c r="M359" s="18" t="inlineStr">
        <is>
          <t>S057</t>
        </is>
      </c>
      <c r="N359" s="18" t="inlineStr">
        <is>
          <t>DA19A6</t>
        </is>
      </c>
    </row>
    <row r="360">
      <c r="A360" s="18" t="inlineStr">
        <is>
          <t>DWG0353</t>
        </is>
      </c>
      <c r="B360" s="18" t="inlineStr">
        <is>
          <t>S25</t>
        </is>
      </c>
      <c r="C360" s="18" t="inlineStr">
        <is>
          <t>25</t>
        </is>
      </c>
      <c r="D360" s="18" t="inlineStr">
        <is>
          <t>horizontal</t>
        </is>
      </c>
      <c r="E360" s="38" t="n">
        <v>500</v>
      </c>
      <c r="F360" s="38" t="n">
        <v>500</v>
      </c>
      <c r="G360" s="18" t="inlineStr">
        <is>
          <t>Z/Y</t>
        </is>
      </c>
      <c r="H360" s="38" t="n">
        <v>3600</v>
      </c>
      <c r="I360" s="38" t="n">
        <v>-2080</v>
      </c>
      <c r="J360" s="38" t="n">
        <v>4100</v>
      </c>
      <c r="K360" s="38" t="n">
        <v>-2080</v>
      </c>
      <c r="L360" s="18" t="inlineStr">
        <is>
          <t>7</t>
        </is>
      </c>
      <c r="M360" s="18" t="inlineStr">
        <is>
          <t>S058 S059</t>
        </is>
      </c>
      <c r="N360" s="18" t="inlineStr">
        <is>
          <t>DA1C17</t>
        </is>
      </c>
    </row>
    <row r="361">
      <c r="A361" s="18" t="inlineStr">
        <is>
          <t>DWG0354</t>
        </is>
      </c>
      <c r="B361" s="18" t="inlineStr">
        <is>
          <t>S25</t>
        </is>
      </c>
      <c r="C361" s="18" t="inlineStr">
        <is>
          <t>25</t>
        </is>
      </c>
      <c r="D361" s="18" t="inlineStr">
        <is>
          <t>horizontal</t>
        </is>
      </c>
      <c r="E361" s="38" t="n">
        <v>330</v>
      </c>
      <c r="F361" s="38" t="n">
        <v>330</v>
      </c>
      <c r="G361" s="18" t="inlineStr">
        <is>
          <t>Z/Y</t>
        </is>
      </c>
      <c r="H361" s="38" t="n">
        <v>7360</v>
      </c>
      <c r="I361" s="38" t="n">
        <v>-2080</v>
      </c>
      <c r="J361" s="38" t="n">
        <v>7690</v>
      </c>
      <c r="K361" s="38" t="n">
        <v>-2080</v>
      </c>
      <c r="L361" s="18" t="inlineStr">
        <is>
          <t>7</t>
        </is>
      </c>
      <c r="M361" s="18" t="inlineStr">
        <is>
          <t>S061</t>
        </is>
      </c>
      <c r="N361" s="18" t="inlineStr">
        <is>
          <t>DA1C15</t>
        </is>
      </c>
    </row>
    <row r="362">
      <c r="A362" s="18" t="inlineStr">
        <is>
          <t>DWG0355</t>
        </is>
      </c>
      <c r="B362" s="18" t="inlineStr">
        <is>
          <t>S25</t>
        </is>
      </c>
      <c r="C362" s="18" t="inlineStr">
        <is>
          <t>25</t>
        </is>
      </c>
      <c r="D362" s="18" t="inlineStr">
        <is>
          <t>horizontal</t>
        </is>
      </c>
      <c r="E362" s="38" t="n">
        <v>560</v>
      </c>
      <c r="F362" s="38" t="n">
        <v>560</v>
      </c>
      <c r="G362" s="18" t="inlineStr">
        <is>
          <t>Z/Y</t>
        </is>
      </c>
      <c r="H362" s="38" t="n">
        <v>7360</v>
      </c>
      <c r="I362" s="38" t="n">
        <v>-2080</v>
      </c>
      <c r="J362" s="38" t="n">
        <v>6800</v>
      </c>
      <c r="K362" s="38" t="n">
        <v>-2080</v>
      </c>
      <c r="L362" s="18" t="inlineStr">
        <is>
          <t>7</t>
        </is>
      </c>
      <c r="M362" s="18" t="inlineStr">
        <is>
          <t>S060</t>
        </is>
      </c>
      <c r="N362" s="18" t="inlineStr">
        <is>
          <t>DA1C16</t>
        </is>
      </c>
    </row>
    <row r="363">
      <c r="A363" s="18" t="inlineStr">
        <is>
          <t>DWG0356</t>
        </is>
      </c>
      <c r="B363" s="18" t="inlineStr">
        <is>
          <t>S25</t>
        </is>
      </c>
      <c r="C363" s="18" t="inlineStr">
        <is>
          <t>25</t>
        </is>
      </c>
      <c r="D363" s="18" t="inlineStr">
        <is>
          <t>horizontal</t>
        </is>
      </c>
      <c r="E363" s="38" t="n">
        <v>1200</v>
      </c>
      <c r="F363" s="38" t="n">
        <v>1200</v>
      </c>
      <c r="G363" s="18" t="inlineStr">
        <is>
          <t>Z/Y</t>
        </is>
      </c>
      <c r="H363" s="38" t="n">
        <v>4880</v>
      </c>
      <c r="I363" s="38" t="n">
        <v>150</v>
      </c>
      <c r="J363" s="38" t="n">
        <v>6080</v>
      </c>
      <c r="K363" s="38" t="n">
        <v>150</v>
      </c>
      <c r="L363" s="18" t="inlineStr">
        <is>
          <t>7</t>
        </is>
      </c>
      <c r="M363" s="18" t="inlineStr">
        <is>
          <t>S079</t>
        </is>
      </c>
      <c r="N363" s="18" t="inlineStr">
        <is>
          <t>DA1C12</t>
        </is>
      </c>
    </row>
    <row r="364">
      <c r="A364" s="18" t="inlineStr">
        <is>
          <t>DWG0357</t>
        </is>
      </c>
      <c r="B364" s="18" t="inlineStr">
        <is>
          <t>S25</t>
        </is>
      </c>
      <c r="C364" s="18" t="inlineStr">
        <is>
          <t>25</t>
        </is>
      </c>
      <c r="D364" s="18" t="inlineStr">
        <is>
          <t>horizontal</t>
        </is>
      </c>
      <c r="E364" s="38" t="n">
        <v>1900</v>
      </c>
      <c r="F364" s="38" t="n">
        <v>1900</v>
      </c>
      <c r="G364" s="18" t="inlineStr">
        <is>
          <t>Z/Y</t>
        </is>
      </c>
      <c r="H364" s="38" t="n">
        <v>-949</v>
      </c>
      <c r="I364" s="38" t="n">
        <v>800</v>
      </c>
      <c r="J364" s="38" t="n">
        <v>951</v>
      </c>
      <c r="K364" s="38" t="n">
        <v>800</v>
      </c>
      <c r="L364" s="18" t="inlineStr">
        <is>
          <t>7</t>
        </is>
      </c>
      <c r="M364" s="18" t="inlineStr"/>
      <c r="N364" s="18" t="inlineStr">
        <is>
          <t>DA1C44</t>
        </is>
      </c>
    </row>
    <row r="365">
      <c r="A365" s="18" t="inlineStr">
        <is>
          <t>DWG0358</t>
        </is>
      </c>
      <c r="B365" s="18" t="inlineStr">
        <is>
          <t>S25</t>
        </is>
      </c>
      <c r="C365" s="18" t="inlineStr">
        <is>
          <t>25</t>
        </is>
      </c>
      <c r="D365" s="18" t="inlineStr">
        <is>
          <t>horizontal</t>
        </is>
      </c>
      <c r="E365" s="38" t="n">
        <v>220</v>
      </c>
      <c r="F365" s="38" t="n">
        <v>220</v>
      </c>
      <c r="G365" s="18" t="inlineStr">
        <is>
          <t>Z/Y</t>
        </is>
      </c>
      <c r="H365" s="38" t="n">
        <v>-7580</v>
      </c>
      <c r="I365" s="38" t="n">
        <v>6375</v>
      </c>
      <c r="J365" s="38" t="n">
        <v>-7360</v>
      </c>
      <c r="K365" s="44" t="n">
        <v>6437.7</v>
      </c>
      <c r="L365" s="18" t="inlineStr">
        <is>
          <t>7</t>
        </is>
      </c>
      <c r="M365" s="18" t="inlineStr"/>
      <c r="N365" s="18" t="inlineStr">
        <is>
          <t>DA1C75</t>
        </is>
      </c>
    </row>
    <row r="366">
      <c r="A366" s="18" t="inlineStr">
        <is>
          <t>DWG0359</t>
        </is>
      </c>
      <c r="B366" s="18" t="inlineStr">
        <is>
          <t>S25</t>
        </is>
      </c>
      <c r="C366" s="18" t="inlineStr">
        <is>
          <t>25</t>
        </is>
      </c>
      <c r="D366" s="18" t="inlineStr">
        <is>
          <t>horizontal</t>
        </is>
      </c>
      <c r="E366" s="38" t="n">
        <v>110</v>
      </c>
      <c r="F366" s="38" t="n">
        <v>110</v>
      </c>
      <c r="G366" s="18" t="inlineStr">
        <is>
          <t>Z/Y</t>
        </is>
      </c>
      <c r="H366" s="38" t="n">
        <v>-7360</v>
      </c>
      <c r="I366" s="44" t="n">
        <v>6487.7</v>
      </c>
      <c r="J366" s="38" t="n">
        <v>-7250</v>
      </c>
      <c r="K366" s="44" t="n">
        <v>6487.7</v>
      </c>
      <c r="L366" s="18" t="inlineStr">
        <is>
          <t>7</t>
        </is>
      </c>
      <c r="M366" s="18" t="inlineStr"/>
      <c r="N366" s="18" t="inlineStr">
        <is>
          <t>DA1C78</t>
        </is>
      </c>
    </row>
    <row r="367">
      <c r="A367" s="18" t="inlineStr">
        <is>
          <t>DWG0360</t>
        </is>
      </c>
      <c r="B367" s="18" t="inlineStr">
        <is>
          <t>S25</t>
        </is>
      </c>
      <c r="C367" s="18" t="inlineStr">
        <is>
          <t>25</t>
        </is>
      </c>
      <c r="D367" s="18" t="inlineStr">
        <is>
          <t>vertical</t>
        </is>
      </c>
      <c r="E367" s="44" t="n">
        <v>2774.5</v>
      </c>
      <c r="F367" s="38" t="n">
        <v>2775</v>
      </c>
      <c r="G367" s="18" t="inlineStr">
        <is>
          <t>Z/Y</t>
        </is>
      </c>
      <c r="H367" s="44" t="n">
        <v>-11348.6</v>
      </c>
      <c r="I367" s="44" t="n">
        <v>3100.5</v>
      </c>
      <c r="J367" s="38" t="n">
        <v>-10414</v>
      </c>
      <c r="K367" s="38" t="n">
        <v>5875</v>
      </c>
      <c r="L367" s="18" t="inlineStr">
        <is>
          <t>7</t>
        </is>
      </c>
      <c r="M367" s="18" t="inlineStr"/>
      <c r="N367" s="18" t="inlineStr">
        <is>
          <t>DA1C5D</t>
        </is>
      </c>
    </row>
    <row r="368">
      <c r="A368" s="18" t="inlineStr">
        <is>
          <t>DWG0361</t>
        </is>
      </c>
      <c r="B368" s="18" t="inlineStr">
        <is>
          <t>S25</t>
        </is>
      </c>
      <c r="C368" s="18" t="inlineStr">
        <is>
          <t>25</t>
        </is>
      </c>
      <c r="D368" s="18" t="inlineStr">
        <is>
          <t>vertical</t>
        </is>
      </c>
      <c r="E368" s="44" t="n">
        <v>2935.4</v>
      </c>
      <c r="F368" s="38" t="n">
        <v>2935</v>
      </c>
      <c r="G368" s="18" t="inlineStr">
        <is>
          <t>Z/Y</t>
        </is>
      </c>
      <c r="H368" s="44" t="n">
        <v>-11306.9</v>
      </c>
      <c r="I368" s="38" t="n">
        <v>0</v>
      </c>
      <c r="J368" s="44" t="n">
        <v>-10569.3</v>
      </c>
      <c r="K368" s="44" t="n">
        <v>2935.4</v>
      </c>
      <c r="L368" s="18" t="inlineStr">
        <is>
          <t>7</t>
        </is>
      </c>
      <c r="M368" s="18" t="inlineStr"/>
      <c r="N368" s="18" t="inlineStr">
        <is>
          <t>DA1C50</t>
        </is>
      </c>
    </row>
    <row r="369">
      <c r="A369" s="18" t="inlineStr">
        <is>
          <t>DWG0362</t>
        </is>
      </c>
      <c r="B369" s="18" t="inlineStr">
        <is>
          <t>S25</t>
        </is>
      </c>
      <c r="C369" s="18" t="inlineStr">
        <is>
          <t>25</t>
        </is>
      </c>
      <c r="D369" s="18" t="inlineStr">
        <is>
          <t>vertical</t>
        </is>
      </c>
      <c r="E369" s="44" t="n">
        <v>165.1</v>
      </c>
      <c r="F369" s="38" t="n">
        <v>165</v>
      </c>
      <c r="G369" s="18" t="inlineStr">
        <is>
          <t>Z/Y</t>
        </is>
      </c>
      <c r="H369" s="44" t="n">
        <v>-10569.3</v>
      </c>
      <c r="I369" s="44" t="n">
        <v>2935.4</v>
      </c>
      <c r="J369" s="44" t="n">
        <v>-10463.2</v>
      </c>
      <c r="K369" s="44" t="n">
        <v>3100.5</v>
      </c>
      <c r="L369" s="18" t="inlineStr">
        <is>
          <t>7</t>
        </is>
      </c>
      <c r="M369" s="18" t="inlineStr"/>
      <c r="N369" s="18" t="inlineStr">
        <is>
          <t>DA1C53</t>
        </is>
      </c>
    </row>
    <row r="370">
      <c r="A370" s="18" t="inlineStr">
        <is>
          <t>DWG0363</t>
        </is>
      </c>
      <c r="B370" s="18" t="inlineStr">
        <is>
          <t>S25</t>
        </is>
      </c>
      <c r="C370" s="18" t="inlineStr">
        <is>
          <t>25</t>
        </is>
      </c>
      <c r="D370" s="18" t="inlineStr">
        <is>
          <t>vertical</t>
        </is>
      </c>
      <c r="E370" s="38" t="n">
        <v>450</v>
      </c>
      <c r="F370" s="38" t="n">
        <v>450</v>
      </c>
      <c r="G370" s="18" t="inlineStr">
        <is>
          <t>Z/Y</t>
        </is>
      </c>
      <c r="H370" s="38" t="n">
        <v>-10414</v>
      </c>
      <c r="I370" s="38" t="n">
        <v>5875</v>
      </c>
      <c r="J370" s="44" t="n">
        <v>-11741.8</v>
      </c>
      <c r="K370" s="38" t="n">
        <v>6325</v>
      </c>
      <c r="L370" s="18" t="inlineStr">
        <is>
          <t>7</t>
        </is>
      </c>
      <c r="M370" s="18" t="inlineStr"/>
      <c r="N370" s="18" t="inlineStr">
        <is>
          <t>DA1C60</t>
        </is>
      </c>
    </row>
    <row r="371">
      <c r="A371" s="18" t="inlineStr">
        <is>
          <t>DWG0364</t>
        </is>
      </c>
      <c r="B371" s="18" t="inlineStr">
        <is>
          <t>S25</t>
        </is>
      </c>
      <c r="C371" s="18" t="inlineStr">
        <is>
          <t>25</t>
        </is>
      </c>
      <c r="D371" s="18" t="inlineStr">
        <is>
          <t>vertical</t>
        </is>
      </c>
      <c r="E371" s="44" t="n">
        <v>3100.5</v>
      </c>
      <c r="F371" s="38">
        <v>3101</v>
      </c>
      <c r="G371" s="18" t="inlineStr">
        <is>
          <t>Z/Y</t>
        </is>
      </c>
      <c r="H371" s="44" t="n">
        <v>-10197.7</v>
      </c>
      <c r="I371" s="38" t="n">
        <v>0</v>
      </c>
      <c r="J371" s="38" t="n">
        <v>-10249</v>
      </c>
      <c r="K371" s="44" t="n">
        <v>3100.5</v>
      </c>
      <c r="L371" s="18" t="inlineStr">
        <is>
          <t>7</t>
        </is>
      </c>
      <c r="M371" s="18" t="inlineStr">
        <is>
          <t>S146</t>
        </is>
      </c>
      <c r="N371" s="18" t="inlineStr">
        <is>
          <t>DA1C7B</t>
        </is>
      </c>
    </row>
    <row r="372">
      <c r="A372" s="18" t="inlineStr">
        <is>
          <t>DWG0365</t>
        </is>
      </c>
      <c r="B372" s="18" t="inlineStr">
        <is>
          <t>S25</t>
        </is>
      </c>
      <c r="C372" s="18" t="inlineStr">
        <is>
          <t>25</t>
        </is>
      </c>
      <c r="D372" s="18" t="inlineStr">
        <is>
          <t>vertical</t>
        </is>
      </c>
      <c r="E372" s="44" t="n">
        <v>2950.5</v>
      </c>
      <c r="F372" s="38">
        <v>2951</v>
      </c>
      <c r="G372" s="18" t="inlineStr">
        <is>
          <t>Z/Y</t>
        </is>
      </c>
      <c r="H372" s="44" t="n">
        <v>-7777.3</v>
      </c>
      <c r="I372" s="38" t="n">
        <v>0</v>
      </c>
      <c r="J372" s="44" t="n">
        <v>-7777.3</v>
      </c>
      <c r="K372" s="44" t="n">
        <v>2950.5</v>
      </c>
      <c r="L372" s="18" t="inlineStr">
        <is>
          <t>7</t>
        </is>
      </c>
      <c r="M372" s="18" t="inlineStr">
        <is>
          <t>S076</t>
        </is>
      </c>
      <c r="N372" s="18" t="inlineStr">
        <is>
          <t>DA1C7E</t>
        </is>
      </c>
    </row>
    <row r="373">
      <c r="A373" s="18" t="inlineStr">
        <is>
          <t>DWG0366</t>
        </is>
      </c>
      <c r="B373" s="18" t="inlineStr">
        <is>
          <t>S25</t>
        </is>
      </c>
      <c r="C373" s="18" t="inlineStr">
        <is>
          <t>25</t>
        </is>
      </c>
      <c r="D373" s="18" t="inlineStr">
        <is>
          <t>vertical</t>
        </is>
      </c>
      <c r="E373" s="38" t="n">
        <v>650</v>
      </c>
      <c r="F373" s="38" t="n">
        <v>650</v>
      </c>
      <c r="G373" s="18" t="inlineStr">
        <is>
          <t>Z/Y</t>
        </is>
      </c>
      <c r="H373" s="44" t="n">
        <v>-7752.3</v>
      </c>
      <c r="I373" s="38" t="n">
        <v>0</v>
      </c>
      <c r="J373" s="38" t="n">
        <v>-7470</v>
      </c>
      <c r="K373" s="38" t="n">
        <v>650</v>
      </c>
      <c r="L373" s="18" t="inlineStr">
        <is>
          <t>7</t>
        </is>
      </c>
      <c r="M373" s="18" t="inlineStr"/>
      <c r="N373" s="18" t="inlineStr">
        <is>
          <t>DA1C63</t>
        </is>
      </c>
    </row>
    <row r="374">
      <c r="A374" s="18" t="inlineStr">
        <is>
          <t>DWG0367</t>
        </is>
      </c>
      <c r="B374" s="18" t="inlineStr">
        <is>
          <t>S25</t>
        </is>
      </c>
      <c r="C374" s="18" t="inlineStr">
        <is>
          <t>25</t>
        </is>
      </c>
      <c r="D374" s="18" t="inlineStr">
        <is>
          <t>vertical</t>
        </is>
      </c>
      <c r="E374" s="38" t="n">
        <v>450</v>
      </c>
      <c r="F374" s="38" t="n">
        <v>450</v>
      </c>
      <c r="G374" s="18" t="inlineStr">
        <is>
          <t>Z/Y</t>
        </is>
      </c>
      <c r="H374" s="38" t="n">
        <v>-7580</v>
      </c>
      <c r="I374" s="44" t="n">
        <v>6437.7</v>
      </c>
      <c r="J374" s="38" t="n">
        <v>-7360</v>
      </c>
      <c r="K374" s="44" t="n">
        <v>6887.7</v>
      </c>
      <c r="L374" s="18" t="inlineStr">
        <is>
          <t>7</t>
        </is>
      </c>
      <c r="M374" s="18" t="inlineStr"/>
      <c r="N374" s="18" t="inlineStr">
        <is>
          <t>DA1C72</t>
        </is>
      </c>
    </row>
    <row r="375">
      <c r="A375" s="18" t="inlineStr">
        <is>
          <t>DWG0368</t>
        </is>
      </c>
      <c r="B375" s="18" t="inlineStr">
        <is>
          <t>S25</t>
        </is>
      </c>
      <c r="C375" s="18" t="inlineStr">
        <is>
          <t>25</t>
        </is>
      </c>
      <c r="D375" s="18" t="inlineStr">
        <is>
          <t>vertical</t>
        </is>
      </c>
      <c r="E375" s="44" t="n">
        <v>2300.5</v>
      </c>
      <c r="F375" s="38">
        <v>2301</v>
      </c>
      <c r="G375" s="18" t="inlineStr">
        <is>
          <t>Z/Y</t>
        </is>
      </c>
      <c r="H375" s="38" t="n">
        <v>-7470</v>
      </c>
      <c r="I375" s="38" t="n">
        <v>650</v>
      </c>
      <c r="J375" s="38" t="n">
        <v>-7470</v>
      </c>
      <c r="K375" s="44" t="n">
        <v>2950.5</v>
      </c>
      <c r="L375" s="18" t="inlineStr">
        <is>
          <t>7</t>
        </is>
      </c>
      <c r="M375" s="18" t="inlineStr"/>
      <c r="N375" s="18" t="inlineStr">
        <is>
          <t>DA1C66</t>
        </is>
      </c>
    </row>
    <row r="376">
      <c r="A376" s="18" t="inlineStr">
        <is>
          <t>DWG0369</t>
        </is>
      </c>
      <c r="B376" s="18" t="inlineStr">
        <is>
          <t>S25</t>
        </is>
      </c>
      <c r="C376" s="18" t="inlineStr">
        <is>
          <t>25</t>
        </is>
      </c>
      <c r="D376" s="18" t="inlineStr">
        <is>
          <t>vertical</t>
        </is>
      </c>
      <c r="E376" s="38" t="n">
        <v>220</v>
      </c>
      <c r="F376" s="38" t="n">
        <v>220</v>
      </c>
      <c r="G376" s="18" t="inlineStr">
        <is>
          <t>Z/Y</t>
        </is>
      </c>
      <c r="H376" s="38" t="n">
        <v>-7470</v>
      </c>
      <c r="I376" s="44" t="n">
        <v>2950.5</v>
      </c>
      <c r="J376" s="38" t="n">
        <v>-7470</v>
      </c>
      <c r="K376" s="44" t="n">
        <v>3170.5</v>
      </c>
      <c r="L376" s="18" t="inlineStr">
        <is>
          <t>7</t>
        </is>
      </c>
      <c r="M376" s="18" t="inlineStr"/>
      <c r="N376" s="18" t="inlineStr">
        <is>
          <t>DA1C69</t>
        </is>
      </c>
    </row>
    <row r="377">
      <c r="A377" s="18" t="inlineStr">
        <is>
          <t>DWG0370</t>
        </is>
      </c>
      <c r="B377" s="18" t="inlineStr">
        <is>
          <t>S25</t>
        </is>
      </c>
      <c r="C377" s="18" t="inlineStr">
        <is>
          <t>25</t>
        </is>
      </c>
      <c r="D377" s="18" t="inlineStr">
        <is>
          <t>vertical</t>
        </is>
      </c>
      <c r="E377" s="44" t="n">
        <v>1140.2</v>
      </c>
      <c r="F377" s="38" t="n">
        <v>1140</v>
      </c>
      <c r="G377" s="18" t="inlineStr">
        <is>
          <t>Z/Y</t>
        </is>
      </c>
      <c r="H377" s="38" t="n">
        <v>-7470</v>
      </c>
      <c r="I377" s="44" t="n">
        <v>3170.5</v>
      </c>
      <c r="J377" s="44" t="n">
        <v>-7421.6</v>
      </c>
      <c r="K377" s="44" t="n">
        <v>4310.7</v>
      </c>
      <c r="L377" s="18" t="inlineStr">
        <is>
          <t>7</t>
        </is>
      </c>
      <c r="M377" s="18" t="inlineStr"/>
      <c r="N377" s="18" t="inlineStr">
        <is>
          <t>DA1C6C</t>
        </is>
      </c>
    </row>
    <row r="378">
      <c r="A378" s="18" t="inlineStr">
        <is>
          <t>DWG0371</t>
        </is>
      </c>
      <c r="B378" s="18" t="inlineStr">
        <is>
          <t>S25</t>
        </is>
      </c>
      <c r="C378" s="18" t="inlineStr">
        <is>
          <t>25</t>
        </is>
      </c>
      <c r="D378" s="18" t="inlineStr">
        <is>
          <t>vertical</t>
        </is>
      </c>
      <c r="E378" s="38" t="n">
        <v>2127</v>
      </c>
      <c r="F378" s="38" t="n">
        <v>2127</v>
      </c>
      <c r="G378" s="18" t="inlineStr">
        <is>
          <t>Z/Y</t>
        </is>
      </c>
      <c r="H378" s="44" t="n">
        <v>-7421.6</v>
      </c>
      <c r="I378" s="44" t="n">
        <v>4310.7</v>
      </c>
      <c r="J378" s="38" t="n">
        <v>-7580</v>
      </c>
      <c r="K378" s="44" t="n">
        <v>6437.7</v>
      </c>
      <c r="L378" s="18" t="inlineStr">
        <is>
          <t>7</t>
        </is>
      </c>
      <c r="M378" s="18" t="inlineStr"/>
      <c r="N378" s="18" t="inlineStr">
        <is>
          <t>DA1C6F</t>
        </is>
      </c>
    </row>
    <row r="379">
      <c r="A379" s="18" t="inlineStr">
        <is>
          <t>DWG0372</t>
        </is>
      </c>
      <c r="B379" s="18" t="inlineStr">
        <is>
          <t>S25</t>
        </is>
      </c>
      <c r="C379" s="18" t="inlineStr">
        <is>
          <t>25</t>
        </is>
      </c>
      <c r="D379" s="18" t="inlineStr">
        <is>
          <t>vertical</t>
        </is>
      </c>
      <c r="E379" s="44" t="n">
        <v>2544.2</v>
      </c>
      <c r="F379" s="38" t="n">
        <v>2544</v>
      </c>
      <c r="G379" s="18" t="inlineStr">
        <is>
          <t>Z/Y</t>
        </is>
      </c>
      <c r="H379" s="44" t="n">
        <v>-4990.4</v>
      </c>
      <c r="I379" s="38" t="n">
        <v>160</v>
      </c>
      <c r="J379" s="44" t="n">
        <v>-4878.4</v>
      </c>
      <c r="K379" s="44" t="n">
        <v>2704.2</v>
      </c>
      <c r="L379" s="18" t="inlineStr">
        <is>
          <t>7</t>
        </is>
      </c>
      <c r="M379" s="18" t="inlineStr"/>
      <c r="N379" s="18" t="inlineStr">
        <is>
          <t>DA1C06</t>
        </is>
      </c>
    </row>
    <row r="380">
      <c r="A380" s="18" t="inlineStr">
        <is>
          <t>DWG0373</t>
        </is>
      </c>
      <c r="B380" s="18" t="inlineStr">
        <is>
          <t>S25</t>
        </is>
      </c>
      <c r="C380" s="18" t="inlineStr">
        <is>
          <t>25</t>
        </is>
      </c>
      <c r="D380" s="18" t="inlineStr">
        <is>
          <t>vertical</t>
        </is>
      </c>
      <c r="E380" s="38" t="n">
        <v>160</v>
      </c>
      <c r="F380" s="38" t="n">
        <v>160</v>
      </c>
      <c r="G380" s="18" t="inlineStr">
        <is>
          <t>Z/Y</t>
        </is>
      </c>
      <c r="H380" s="44" t="n">
        <v>-4986.3</v>
      </c>
      <c r="I380" s="38" t="n">
        <v>0</v>
      </c>
      <c r="J380" s="44" t="n">
        <v>-4990.4</v>
      </c>
      <c r="K380" s="38" t="n">
        <v>160</v>
      </c>
      <c r="L380" s="18" t="inlineStr">
        <is>
          <t>7</t>
        </is>
      </c>
      <c r="M380" s="18" t="inlineStr"/>
      <c r="N380" s="18" t="inlineStr">
        <is>
          <t>DA1C03</t>
        </is>
      </c>
    </row>
    <row r="381">
      <c r="A381" s="18" t="inlineStr">
        <is>
          <t>DWG0374</t>
        </is>
      </c>
      <c r="B381" s="18" t="inlineStr">
        <is>
          <t>S25</t>
        </is>
      </c>
      <c r="C381" s="18" t="inlineStr">
        <is>
          <t>25</t>
        </is>
      </c>
      <c r="D381" s="18" t="inlineStr">
        <is>
          <t>vertical</t>
        </is>
      </c>
      <c r="E381" s="38" t="n">
        <v>2080</v>
      </c>
      <c r="F381" s="38" t="n">
        <v>2080</v>
      </c>
      <c r="G381" s="18" t="inlineStr">
        <is>
          <t>Z/Y</t>
        </is>
      </c>
      <c r="H381" s="44" t="n">
        <v>-4887.1</v>
      </c>
      <c r="I381" s="38" t="n">
        <v>-2080</v>
      </c>
      <c r="J381" s="44" t="n">
        <v>-4986.3</v>
      </c>
      <c r="K381" s="38" t="n">
        <v>0</v>
      </c>
      <c r="L381" s="18" t="inlineStr">
        <is>
          <t>7</t>
        </is>
      </c>
      <c r="M381" s="18" t="inlineStr">
        <is>
          <t>S064</t>
        </is>
      </c>
      <c r="N381" s="18" t="inlineStr">
        <is>
          <t>DA1C00</t>
        </is>
      </c>
    </row>
    <row r="382">
      <c r="A382" s="18" t="inlineStr">
        <is>
          <t>DWG0375</t>
        </is>
      </c>
      <c r="B382" s="18" t="inlineStr">
        <is>
          <t>S25</t>
        </is>
      </c>
      <c r="C382" s="18" t="inlineStr">
        <is>
          <t>25</t>
        </is>
      </c>
      <c r="D382" s="18" t="inlineStr">
        <is>
          <t>vertical</t>
        </is>
      </c>
      <c r="E382" s="44" t="n">
        <v>4392.2</v>
      </c>
      <c r="F382" s="38" t="n">
        <v>4392</v>
      </c>
      <c r="G382" s="18" t="inlineStr">
        <is>
          <t>Z/Y</t>
        </is>
      </c>
      <c r="H382" s="44" t="n">
        <v>-4886.8</v>
      </c>
      <c r="I382" s="44" t="n">
        <v>3170.5</v>
      </c>
      <c r="J382" s="38" t="n">
        <v>-5462</v>
      </c>
      <c r="K382" s="44" t="n">
        <v>7562.7</v>
      </c>
      <c r="L382" s="18" t="inlineStr">
        <is>
          <t>7</t>
        </is>
      </c>
      <c r="M382" s="18" t="inlineStr"/>
      <c r="N382" s="18" t="inlineStr">
        <is>
          <t>DA1C0C</t>
        </is>
      </c>
    </row>
    <row r="383">
      <c r="A383" s="18" t="inlineStr">
        <is>
          <t>DWG0376</t>
        </is>
      </c>
      <c r="B383" s="18" t="inlineStr">
        <is>
          <t>S25</t>
        </is>
      </c>
      <c r="C383" s="18" t="inlineStr">
        <is>
          <t>25</t>
        </is>
      </c>
      <c r="D383" s="18" t="inlineStr">
        <is>
          <t>vertical</t>
        </is>
      </c>
      <c r="E383" s="44" t="n">
        <v>466.3</v>
      </c>
      <c r="F383" s="38" t="n">
        <v>466</v>
      </c>
      <c r="G383" s="18" t="inlineStr">
        <is>
          <t>Z/Y</t>
        </is>
      </c>
      <c r="H383" s="44" t="n">
        <v>-4878.4</v>
      </c>
      <c r="I383" s="44" t="n">
        <v>2704.2</v>
      </c>
      <c r="J383" s="44" t="n">
        <v>-4886.8</v>
      </c>
      <c r="K383" s="44" t="n">
        <v>3170.5</v>
      </c>
      <c r="L383" s="18" t="inlineStr">
        <is>
          <t>7</t>
        </is>
      </c>
      <c r="M383" s="18" t="inlineStr"/>
      <c r="N383" s="18" t="inlineStr">
        <is>
          <t>DA1C09</t>
        </is>
      </c>
    </row>
    <row r="384">
      <c r="A384" s="18" t="inlineStr">
        <is>
          <t>DWG0377</t>
        </is>
      </c>
      <c r="B384" s="18" t="inlineStr">
        <is>
          <t>S25</t>
        </is>
      </c>
      <c r="C384" s="18" t="inlineStr">
        <is>
          <t>25</t>
        </is>
      </c>
      <c r="D384" s="18" t="inlineStr">
        <is>
          <t>vertical</t>
        </is>
      </c>
      <c r="E384" s="38" t="n">
        <v>6231</v>
      </c>
      <c r="F384" s="38" t="n">
        <v>6231</v>
      </c>
      <c r="G384" s="18" t="inlineStr">
        <is>
          <t>Z/Y</t>
        </is>
      </c>
      <c r="H384" s="44" t="n">
        <v>-2911.2</v>
      </c>
      <c r="I384" s="44" t="n">
        <v>3170.5</v>
      </c>
      <c r="J384" s="38" t="n">
        <v>-3600</v>
      </c>
      <c r="K384" s="44" t="n">
        <v>9401.5</v>
      </c>
      <c r="L384" s="18" t="inlineStr">
        <is>
          <t>7</t>
        </is>
      </c>
      <c r="M384" s="18" t="inlineStr"/>
      <c r="N384" s="18" t="inlineStr">
        <is>
          <t>DA1C0F</t>
        </is>
      </c>
    </row>
    <row r="385">
      <c r="A385" s="18" t="inlineStr">
        <is>
          <t>DWG0378</t>
        </is>
      </c>
      <c r="B385" s="18" t="inlineStr">
        <is>
          <t>S25</t>
        </is>
      </c>
      <c r="C385" s="18" t="inlineStr">
        <is>
          <t>25</t>
        </is>
      </c>
      <c r="D385" s="18" t="inlineStr">
        <is>
          <t>vertical</t>
        </is>
      </c>
      <c r="E385" s="38" t="n">
        <v>800</v>
      </c>
      <c r="F385" s="38" t="n">
        <v>800</v>
      </c>
      <c r="G385" s="18" t="inlineStr">
        <is>
          <t>Z/Y</t>
        </is>
      </c>
      <c r="H385" s="44" t="n">
        <v>2567.6</v>
      </c>
      <c r="I385" s="38" t="n">
        <v>0</v>
      </c>
      <c r="J385" s="44" t="n">
        <v>2567.6</v>
      </c>
      <c r="K385" s="38" t="n">
        <v>800</v>
      </c>
      <c r="L385" s="18" t="inlineStr">
        <is>
          <t>7</t>
        </is>
      </c>
      <c r="M385" s="18" t="inlineStr"/>
      <c r="N385" s="18" t="inlineStr">
        <is>
          <t>DA1C41</t>
        </is>
      </c>
    </row>
    <row r="386">
      <c r="A386" s="18" t="inlineStr">
        <is>
          <t>DWG0379</t>
        </is>
      </c>
      <c r="B386" s="18" t="inlineStr">
        <is>
          <t>S25</t>
        </is>
      </c>
      <c r="C386" s="18" t="inlineStr">
        <is>
          <t>25</t>
        </is>
      </c>
      <c r="D386" s="18" t="inlineStr">
        <is>
          <t>vertical</t>
        </is>
      </c>
      <c r="E386" s="44" t="n">
        <v>8524.6</v>
      </c>
      <c r="F386" s="38" t="n">
        <v>8525</v>
      </c>
      <c r="G386" s="18" t="inlineStr">
        <is>
          <t>Z/Y</t>
        </is>
      </c>
      <c r="H386" s="38" t="n">
        <v>3303</v>
      </c>
      <c r="I386" s="44" t="n">
        <v>9524.5</v>
      </c>
      <c r="J386" s="38" t="n">
        <v>3321</v>
      </c>
      <c r="K386" s="38" t="n">
        <v>1000</v>
      </c>
      <c r="L386" s="18" t="inlineStr">
        <is>
          <t>7</t>
        </is>
      </c>
      <c r="M386" s="18" t="inlineStr"/>
      <c r="N386" s="18" t="inlineStr">
        <is>
          <t>DA1C47</t>
        </is>
      </c>
    </row>
    <row r="387">
      <c r="A387" s="18" t="inlineStr">
        <is>
          <t>DWG0380</t>
        </is>
      </c>
      <c r="B387" s="18" t="inlineStr">
        <is>
          <t>S25</t>
        </is>
      </c>
      <c r="C387" s="18" t="inlineStr">
        <is>
          <t>25</t>
        </is>
      </c>
      <c r="D387" s="18" t="inlineStr">
        <is>
          <t>vertical</t>
        </is>
      </c>
      <c r="E387" s="38" t="n">
        <v>200</v>
      </c>
      <c r="F387" s="38" t="n">
        <v>200</v>
      </c>
      <c r="G387" s="18" t="inlineStr">
        <is>
          <t>Z/Y</t>
        </is>
      </c>
      <c r="H387" s="38" t="n">
        <v>3321</v>
      </c>
      <c r="I387" s="38" t="n">
        <v>1000</v>
      </c>
      <c r="J387" s="44" t="n">
        <v>2879.8</v>
      </c>
      <c r="K387" s="38" t="n">
        <v>800</v>
      </c>
      <c r="L387" s="18" t="inlineStr">
        <is>
          <t>7</t>
        </is>
      </c>
      <c r="M387" s="18" t="inlineStr">
        <is>
          <t>S068 S069</t>
        </is>
      </c>
      <c r="N387" s="18" t="inlineStr">
        <is>
          <t>DA1C4A</t>
        </is>
      </c>
    </row>
    <row r="388">
      <c r="A388" s="18" t="inlineStr">
        <is>
          <t>DWG0381</t>
        </is>
      </c>
      <c r="B388" s="18" t="inlineStr">
        <is>
          <t>S25</t>
        </is>
      </c>
      <c r="C388" s="18" t="inlineStr">
        <is>
          <t>25</t>
        </is>
      </c>
      <c r="D388" s="18" t="inlineStr">
        <is>
          <t>vertical</t>
        </is>
      </c>
      <c r="E388" s="44" t="n">
        <v>3170.5</v>
      </c>
      <c r="F388" s="38">
        <v>3171</v>
      </c>
      <c r="G388" s="18" t="inlineStr">
        <is>
          <t>Z/Y</t>
        </is>
      </c>
      <c r="H388" s="44" t="n">
        <v>6379.1</v>
      </c>
      <c r="I388" s="38" t="n">
        <v>0</v>
      </c>
      <c r="J388" s="44" t="n">
        <v>6379.1</v>
      </c>
      <c r="K388" s="44" t="n">
        <v>3170.5</v>
      </c>
      <c r="L388" s="18" t="inlineStr">
        <is>
          <t>7</t>
        </is>
      </c>
      <c r="M388" s="18" t="inlineStr"/>
      <c r="N388" s="18" t="inlineStr">
        <is>
          <t>DA1C32</t>
        </is>
      </c>
    </row>
    <row r="389">
      <c r="A389" s="18" t="inlineStr">
        <is>
          <t>DWG0382</t>
        </is>
      </c>
      <c r="B389" s="18" t="inlineStr">
        <is>
          <t>S25</t>
        </is>
      </c>
      <c r="C389" s="18" t="inlineStr">
        <is>
          <t>25</t>
        </is>
      </c>
      <c r="D389" s="18" t="inlineStr">
        <is>
          <t>vertical</t>
        </is>
      </c>
      <c r="E389" s="38" t="n">
        <v>80</v>
      </c>
      <c r="F389" s="38" t="n">
        <v>80</v>
      </c>
      <c r="G389" s="18" t="inlineStr">
        <is>
          <t>Z/Y</t>
        </is>
      </c>
      <c r="H389" s="38" t="n">
        <v>8878</v>
      </c>
      <c r="I389" s="38" t="n">
        <v>-80</v>
      </c>
      <c r="J389" s="38" t="n">
        <v>8878</v>
      </c>
      <c r="K389" s="38" t="n">
        <v>0</v>
      </c>
      <c r="L389" s="18" t="inlineStr">
        <is>
          <t>7</t>
        </is>
      </c>
      <c r="M389" s="18" t="inlineStr">
        <is>
          <t>S080</t>
        </is>
      </c>
      <c r="N389" s="18" t="inlineStr">
        <is>
          <t>DA1C19</t>
        </is>
      </c>
    </row>
    <row r="390">
      <c r="A390" s="18" t="inlineStr">
        <is>
          <t>DWG0383</t>
        </is>
      </c>
      <c r="B390" s="18" t="inlineStr">
        <is>
          <t>S25</t>
        </is>
      </c>
      <c r="C390" s="18" t="inlineStr">
        <is>
          <t>25</t>
        </is>
      </c>
      <c r="D390" s="18" t="inlineStr">
        <is>
          <t>vertical</t>
        </is>
      </c>
      <c r="E390" s="38" t="n">
        <v>6325</v>
      </c>
      <c r="F390" s="38" t="n">
        <v>6325</v>
      </c>
      <c r="G390" s="18" t="inlineStr">
        <is>
          <t>Z/Y</t>
        </is>
      </c>
      <c r="H390" s="44" t="n">
        <v>11306.8</v>
      </c>
      <c r="I390" s="38" t="n">
        <v>0</v>
      </c>
      <c r="J390" s="44" t="n">
        <v>11220.3</v>
      </c>
      <c r="K390" s="38" t="n">
        <v>6325</v>
      </c>
      <c r="L390" s="18" t="inlineStr">
        <is>
          <t>7</t>
        </is>
      </c>
      <c r="M390" s="18" t="inlineStr">
        <is>
          <t>S048</t>
        </is>
      </c>
      <c r="N390" s="18" t="inlineStr">
        <is>
          <t>DA1C4D</t>
        </is>
      </c>
    </row>
    <row r="391">
      <c r="A391" s="18" t="inlineStr">
        <is>
          <t>DWG0384</t>
        </is>
      </c>
      <c r="B391" s="18" t="inlineStr">
        <is>
          <t>S25</t>
        </is>
      </c>
      <c r="C391" s="18" t="inlineStr">
        <is>
          <t>25</t>
        </is>
      </c>
      <c r="D391" s="18" t="inlineStr">
        <is>
          <t>vertical</t>
        </is>
      </c>
      <c r="E391" s="44" t="n">
        <v>14476.4</v>
      </c>
      <c r="F391" s="38" t="n">
        <v>14476</v>
      </c>
      <c r="G391" s="18" t="inlineStr">
        <is>
          <t>Z/Y</t>
        </is>
      </c>
      <c r="H391" s="44" t="n">
        <v>12485.4</v>
      </c>
      <c r="I391" s="38" t="n">
        <v>-2080</v>
      </c>
      <c r="J391" s="44" t="n">
        <v>181.5</v>
      </c>
      <c r="K391" s="44" t="n">
        <v>12396.4</v>
      </c>
      <c r="L391" s="18" t="inlineStr">
        <is>
          <t>7</t>
        </is>
      </c>
      <c r="M391" s="18" t="inlineStr">
        <is>
          <t>S051</t>
        </is>
      </c>
      <c r="N391" s="18" t="inlineStr">
        <is>
          <t>DA199C</t>
        </is>
      </c>
    </row>
    <row r="392">
      <c r="A392" s="18" t="inlineStr">
        <is>
          <t>DWG0385</t>
        </is>
      </c>
      <c r="B392" s="18" t="inlineStr">
        <is>
          <t>S45</t>
        </is>
      </c>
      <c r="C392" s="18" t="inlineStr">
        <is>
          <t>45</t>
        </is>
      </c>
      <c r="D392" s="18" t="inlineStr">
        <is>
          <t>horizontal</t>
        </is>
      </c>
      <c r="E392" s="44" t="n">
        <v>67149.39999999999</v>
      </c>
      <c r="F392" s="38" t="n">
        <v>67149</v>
      </c>
      <c r="G392" s="18" t="inlineStr">
        <is>
          <t>X/Y</t>
        </is>
      </c>
      <c r="H392" s="44" t="n">
        <v>-13194.3</v>
      </c>
      <c r="I392" s="44" t="n">
        <v>-3493.7</v>
      </c>
      <c r="J392" s="44" t="n">
        <v>53955.1</v>
      </c>
      <c r="K392" s="44" t="n">
        <v>-3493.7</v>
      </c>
      <c r="L392" s="18" t="inlineStr">
        <is>
          <t>—</t>
        </is>
      </c>
      <c r="M392" s="18" t="inlineStr"/>
      <c r="N392" s="18" t="inlineStr">
        <is>
          <t>D7DBF5</t>
        </is>
      </c>
    </row>
    <row r="393">
      <c r="A393" s="18" t="inlineStr">
        <is>
          <t>DWG0386</t>
        </is>
      </c>
      <c r="B393" s="18" t="inlineStr">
        <is>
          <t>S45</t>
        </is>
      </c>
      <c r="C393" s="18" t="inlineStr">
        <is>
          <t>45</t>
        </is>
      </c>
      <c r="D393" s="18" t="inlineStr">
        <is>
          <t>horizontal</t>
        </is>
      </c>
      <c r="E393" s="38" t="n">
        <v>4500</v>
      </c>
      <c r="F393" s="38" t="n">
        <v>4500</v>
      </c>
      <c r="G393" s="18" t="inlineStr">
        <is>
          <t>X/Y</t>
        </is>
      </c>
      <c r="H393" s="38" t="n">
        <v>18975</v>
      </c>
      <c r="I393" s="44" t="n">
        <v>-3406.3</v>
      </c>
      <c r="J393" s="38" t="n">
        <v>14475</v>
      </c>
      <c r="K393" s="44" t="n">
        <v>-3133.7</v>
      </c>
      <c r="L393" s="18" t="inlineStr">
        <is>
          <t>—</t>
        </is>
      </c>
      <c r="M393" s="18" t="inlineStr"/>
      <c r="N393" s="18" t="inlineStr">
        <is>
          <t>D7DBED</t>
        </is>
      </c>
    </row>
    <row r="394">
      <c r="A394" s="18" t="inlineStr">
        <is>
          <t>DWG0387</t>
        </is>
      </c>
      <c r="B394" s="18" t="inlineStr">
        <is>
          <t>S45</t>
        </is>
      </c>
      <c r="C394" s="18" t="inlineStr">
        <is>
          <t>45</t>
        </is>
      </c>
      <c r="D394" s="18" t="inlineStr">
        <is>
          <t>horizontal</t>
        </is>
      </c>
      <c r="E394" s="44" t="n">
        <v>13194.3</v>
      </c>
      <c r="F394" s="38" t="n">
        <v>13194</v>
      </c>
      <c r="G394" s="18" t="inlineStr">
        <is>
          <t>X/Y</t>
        </is>
      </c>
      <c r="H394" s="38" t="n">
        <v>0</v>
      </c>
      <c r="I394" s="44" t="n">
        <v>-3133.7</v>
      </c>
      <c r="J394" s="44" t="n">
        <v>-13194.3</v>
      </c>
      <c r="K394" s="44" t="n">
        <v>-1820.7</v>
      </c>
      <c r="L394" s="18" t="inlineStr">
        <is>
          <t>—</t>
        </is>
      </c>
      <c r="M394" s="18" t="inlineStr"/>
      <c r="N394" s="18" t="inlineStr">
        <is>
          <t>D7DBF4</t>
        </is>
      </c>
    </row>
    <row r="395">
      <c r="A395" s="18" t="inlineStr">
        <is>
          <t>DWG0388</t>
        </is>
      </c>
      <c r="B395" s="18" t="inlineStr">
        <is>
          <t>S45</t>
        </is>
      </c>
      <c r="C395" s="18" t="inlineStr">
        <is>
          <t>45</t>
        </is>
      </c>
      <c r="D395" s="18" t="inlineStr">
        <is>
          <t>horizontal</t>
        </is>
      </c>
      <c r="E395" s="38" t="n">
        <v>575</v>
      </c>
      <c r="F395" s="38" t="n">
        <v>575</v>
      </c>
      <c r="G395" s="18" t="inlineStr">
        <is>
          <t>X/Y</t>
        </is>
      </c>
      <c r="H395" s="38" t="n">
        <v>5475</v>
      </c>
      <c r="I395" s="44" t="n">
        <v>-3133.7</v>
      </c>
      <c r="J395" s="38" t="n">
        <v>4900</v>
      </c>
      <c r="K395" s="44" t="n">
        <v>-2914.1</v>
      </c>
      <c r="L395" s="18" t="inlineStr">
        <is>
          <t>—</t>
        </is>
      </c>
      <c r="M395" s="18" t="inlineStr"/>
      <c r="N395" s="18" t="inlineStr">
        <is>
          <t>D7DBF2</t>
        </is>
      </c>
    </row>
    <row r="396">
      <c r="A396" s="18" t="inlineStr">
        <is>
          <t>DWG0389</t>
        </is>
      </c>
      <c r="B396" s="18" t="inlineStr">
        <is>
          <t>S45</t>
        </is>
      </c>
      <c r="C396" s="18" t="inlineStr">
        <is>
          <t>45</t>
        </is>
      </c>
      <c r="D396" s="18" t="inlineStr">
        <is>
          <t>horizontal</t>
        </is>
      </c>
      <c r="E396" s="38" t="n">
        <v>4500</v>
      </c>
      <c r="F396" s="38" t="n">
        <v>4500</v>
      </c>
      <c r="G396" s="18" t="inlineStr">
        <is>
          <t>X/Y</t>
        </is>
      </c>
      <c r="H396" s="38" t="n">
        <v>9975</v>
      </c>
      <c r="I396" s="44" t="n">
        <v>-3133.7</v>
      </c>
      <c r="J396" s="38" t="n">
        <v>5475</v>
      </c>
      <c r="K396" s="44" t="n">
        <v>-3133.7</v>
      </c>
      <c r="L396" s="18" t="inlineStr">
        <is>
          <t>—</t>
        </is>
      </c>
      <c r="M396" s="18" t="inlineStr"/>
      <c r="N396" s="18" t="inlineStr">
        <is>
          <t>D7DBF1</t>
        </is>
      </c>
    </row>
    <row r="397">
      <c r="A397" s="18" t="inlineStr">
        <is>
          <t>DWG0390</t>
        </is>
      </c>
      <c r="B397" s="18" t="inlineStr">
        <is>
          <t>S45</t>
        </is>
      </c>
      <c r="C397" s="18" t="inlineStr">
        <is>
          <t>45</t>
        </is>
      </c>
      <c r="D397" s="18" t="inlineStr">
        <is>
          <t>horizontal</t>
        </is>
      </c>
      <c r="E397" s="38" t="n">
        <v>4500</v>
      </c>
      <c r="F397" s="38" t="n">
        <v>4500</v>
      </c>
      <c r="G397" s="18" t="inlineStr">
        <is>
          <t>X/Y</t>
        </is>
      </c>
      <c r="H397" s="38" t="n">
        <v>14475</v>
      </c>
      <c r="I397" s="44" t="n">
        <v>-3133.7</v>
      </c>
      <c r="J397" s="38" t="n">
        <v>9975</v>
      </c>
      <c r="K397" s="44" t="n">
        <v>-3133.7</v>
      </c>
      <c r="L397" s="18" t="inlineStr">
        <is>
          <t>—</t>
        </is>
      </c>
      <c r="M397" s="18" t="inlineStr"/>
      <c r="N397" s="18" t="inlineStr">
        <is>
          <t>D7DBF0</t>
        </is>
      </c>
    </row>
    <row r="398">
      <c r="A398" s="18" t="inlineStr">
        <is>
          <t>DWG0391</t>
        </is>
      </c>
      <c r="B398" s="18" t="inlineStr">
        <is>
          <t>S45</t>
        </is>
      </c>
      <c r="C398" s="18" t="inlineStr">
        <is>
          <t>45</t>
        </is>
      </c>
      <c r="D398" s="18" t="inlineStr">
        <is>
          <t>horizontal</t>
        </is>
      </c>
      <c r="E398" s="38" t="n">
        <v>4500</v>
      </c>
      <c r="F398" s="38" t="n">
        <v>4500</v>
      </c>
      <c r="G398" s="18" t="inlineStr">
        <is>
          <t>X/Y</t>
        </is>
      </c>
      <c r="H398" s="38" t="n">
        <v>23475</v>
      </c>
      <c r="I398" s="44" t="n">
        <v>-3133.7</v>
      </c>
      <c r="J398" s="38" t="n">
        <v>18975</v>
      </c>
      <c r="K398" s="44" t="n">
        <v>-3406.3</v>
      </c>
      <c r="L398" s="18" t="inlineStr">
        <is>
          <t>—</t>
        </is>
      </c>
      <c r="M398" s="18" t="inlineStr"/>
      <c r="N398" s="18" t="inlineStr">
        <is>
          <t>D7DBEA</t>
        </is>
      </c>
    </row>
    <row r="399">
      <c r="A399" s="18" t="inlineStr">
        <is>
          <t>DWG0392</t>
        </is>
      </c>
      <c r="B399" s="18" t="inlineStr">
        <is>
          <t>S45</t>
        </is>
      </c>
      <c r="C399" s="18" t="inlineStr">
        <is>
          <t>45</t>
        </is>
      </c>
      <c r="D399" s="18" t="inlineStr">
        <is>
          <t>horizontal</t>
        </is>
      </c>
      <c r="E399" s="38" t="n">
        <v>4500</v>
      </c>
      <c r="F399" s="38" t="n">
        <v>4500</v>
      </c>
      <c r="G399" s="18" t="inlineStr">
        <is>
          <t>X/Y</t>
        </is>
      </c>
      <c r="H399" s="38" t="n">
        <v>27975</v>
      </c>
      <c r="I399" s="44" t="n">
        <v>-3133.7</v>
      </c>
      <c r="J399" s="38" t="n">
        <v>23475</v>
      </c>
      <c r="K399" s="44" t="n">
        <v>-3133.7</v>
      </c>
      <c r="L399" s="18" t="inlineStr">
        <is>
          <t>—</t>
        </is>
      </c>
      <c r="M399" s="18" t="inlineStr"/>
      <c r="N399" s="18" t="inlineStr">
        <is>
          <t>D7DBE9</t>
        </is>
      </c>
    </row>
    <row r="400">
      <c r="A400" s="18" t="inlineStr">
        <is>
          <t>DWG0393</t>
        </is>
      </c>
      <c r="B400" s="18" t="inlineStr">
        <is>
          <t>S45</t>
        </is>
      </c>
      <c r="C400" s="18" t="inlineStr">
        <is>
          <t>45</t>
        </is>
      </c>
      <c r="D400" s="18" t="inlineStr">
        <is>
          <t>horizontal</t>
        </is>
      </c>
      <c r="E400" s="38" t="n">
        <v>4500</v>
      </c>
      <c r="F400" s="38" t="n">
        <v>4500</v>
      </c>
      <c r="G400" s="18" t="inlineStr">
        <is>
          <t>X/Y</t>
        </is>
      </c>
      <c r="H400" s="38" t="n">
        <v>32475</v>
      </c>
      <c r="I400" s="44" t="n">
        <v>-3133.7</v>
      </c>
      <c r="J400" s="38" t="n">
        <v>27975</v>
      </c>
      <c r="K400" s="44" t="n">
        <v>-3133.7</v>
      </c>
      <c r="L400" s="18" t="inlineStr">
        <is>
          <t>—</t>
        </is>
      </c>
      <c r="M400" s="18" t="inlineStr"/>
      <c r="N400" s="18" t="inlineStr">
        <is>
          <t>D7DBE8</t>
        </is>
      </c>
    </row>
    <row r="401">
      <c r="A401" s="18" t="inlineStr">
        <is>
          <t>DWG0394</t>
        </is>
      </c>
      <c r="B401" s="18" t="inlineStr">
        <is>
          <t>S45</t>
        </is>
      </c>
      <c r="C401" s="18" t="inlineStr">
        <is>
          <t>45</t>
        </is>
      </c>
      <c r="D401" s="18" t="inlineStr">
        <is>
          <t>horizontal</t>
        </is>
      </c>
      <c r="E401" s="38" t="n">
        <v>4500</v>
      </c>
      <c r="F401" s="38" t="n">
        <v>4500</v>
      </c>
      <c r="G401" s="18" t="inlineStr">
        <is>
          <t>X/Y</t>
        </is>
      </c>
      <c r="H401" s="38" t="n">
        <v>36975</v>
      </c>
      <c r="I401" s="44" t="n">
        <v>-3133.7</v>
      </c>
      <c r="J401" s="38" t="n">
        <v>32475</v>
      </c>
      <c r="K401" s="44" t="n">
        <v>-3133.7</v>
      </c>
      <c r="L401" s="18" t="inlineStr">
        <is>
          <t>—</t>
        </is>
      </c>
      <c r="M401" s="18" t="inlineStr"/>
      <c r="N401" s="18" t="inlineStr">
        <is>
          <t>D7DBE7</t>
        </is>
      </c>
    </row>
    <row r="402">
      <c r="A402" s="18" t="inlineStr">
        <is>
          <t>DWG0395</t>
        </is>
      </c>
      <c r="B402" s="18" t="inlineStr">
        <is>
          <t>S45</t>
        </is>
      </c>
      <c r="C402" s="18" t="inlineStr">
        <is>
          <t>45</t>
        </is>
      </c>
      <c r="D402" s="18" t="inlineStr">
        <is>
          <t>horizontal</t>
        </is>
      </c>
      <c r="E402" s="38" t="n">
        <v>7200</v>
      </c>
      <c r="F402" s="38" t="n">
        <v>7200</v>
      </c>
      <c r="G402" s="18" t="inlineStr">
        <is>
          <t>X/Y</t>
        </is>
      </c>
      <c r="H402" s="38" t="n">
        <v>44175</v>
      </c>
      <c r="I402" s="44" t="n">
        <v>-3133.7</v>
      </c>
      <c r="J402" s="38" t="n">
        <v>36975</v>
      </c>
      <c r="K402" s="44" t="n">
        <v>-3133.7</v>
      </c>
      <c r="L402" s="18" t="inlineStr">
        <is>
          <t>—</t>
        </is>
      </c>
      <c r="M402" s="18" t="inlineStr"/>
      <c r="N402" s="18" t="inlineStr">
        <is>
          <t>D7DBE6</t>
        </is>
      </c>
    </row>
    <row r="403">
      <c r="A403" s="18" t="inlineStr">
        <is>
          <t>DWG0396</t>
        </is>
      </c>
      <c r="B403" s="18" t="inlineStr">
        <is>
          <t>S45</t>
        </is>
      </c>
      <c r="C403" s="18" t="inlineStr">
        <is>
          <t>45</t>
        </is>
      </c>
      <c r="D403" s="18" t="inlineStr">
        <is>
          <t>horizontal</t>
        </is>
      </c>
      <c r="E403" s="38" t="n">
        <v>4500</v>
      </c>
      <c r="F403" s="38" t="n">
        <v>4500</v>
      </c>
      <c r="G403" s="18" t="inlineStr">
        <is>
          <t>X/Y</t>
        </is>
      </c>
      <c r="H403" s="38" t="n">
        <v>48675</v>
      </c>
      <c r="I403" s="44" t="n">
        <v>-3133.7</v>
      </c>
      <c r="J403" s="38" t="n">
        <v>44175</v>
      </c>
      <c r="K403" s="44" t="n">
        <v>-3133.7</v>
      </c>
      <c r="L403" s="18" t="inlineStr">
        <is>
          <t>—</t>
        </is>
      </c>
      <c r="M403" s="18" t="inlineStr"/>
      <c r="N403" s="18" t="inlineStr">
        <is>
          <t>D7DBE5</t>
        </is>
      </c>
    </row>
    <row r="404">
      <c r="A404" s="18" t="inlineStr">
        <is>
          <t>DWG0397</t>
        </is>
      </c>
      <c r="B404" s="18" t="inlineStr">
        <is>
          <t>S45</t>
        </is>
      </c>
      <c r="C404" s="18" t="inlineStr">
        <is>
          <t>45</t>
        </is>
      </c>
      <c r="D404" s="18" t="inlineStr">
        <is>
          <t>horizontal</t>
        </is>
      </c>
      <c r="E404" s="38" t="n">
        <v>4900</v>
      </c>
      <c r="F404" s="38" t="n">
        <v>4900</v>
      </c>
      <c r="G404" s="18" t="inlineStr">
        <is>
          <t>X/Y</t>
        </is>
      </c>
      <c r="H404" s="38" t="n">
        <v>4900</v>
      </c>
      <c r="I404" s="44" t="n">
        <v>-2914.1</v>
      </c>
      <c r="J404" s="38" t="n">
        <v>0</v>
      </c>
      <c r="K404" s="44" t="n">
        <v>-3133.7</v>
      </c>
      <c r="L404" s="18" t="inlineStr">
        <is>
          <t>—</t>
        </is>
      </c>
      <c r="M404" s="18" t="inlineStr"/>
      <c r="N404" s="18" t="inlineStr">
        <is>
          <t>D7DBF3</t>
        </is>
      </c>
    </row>
    <row r="405">
      <c r="A405" s="18" t="inlineStr">
        <is>
          <t>DWG0398</t>
        </is>
      </c>
      <c r="B405" s="18" t="inlineStr">
        <is>
          <t>S45</t>
        </is>
      </c>
      <c r="C405" s="18" t="inlineStr">
        <is>
          <t>45</t>
        </is>
      </c>
      <c r="D405" s="18" t="inlineStr">
        <is>
          <t>horizontal</t>
        </is>
      </c>
      <c r="E405" s="38" t="n">
        <v>4341</v>
      </c>
      <c r="F405" s="38" t="n">
        <v>4341</v>
      </c>
      <c r="G405" s="18" t="inlineStr">
        <is>
          <t>X/Y</t>
        </is>
      </c>
      <c r="H405" s="38" t="n">
        <v>53016</v>
      </c>
      <c r="I405" s="44" t="n">
        <v>-2115.3</v>
      </c>
      <c r="J405" s="38" t="n">
        <v>48675</v>
      </c>
      <c r="K405" s="44" t="n">
        <v>-3133.7</v>
      </c>
      <c r="L405" s="18" t="inlineStr">
        <is>
          <t>—</t>
        </is>
      </c>
      <c r="M405" s="18" t="inlineStr"/>
      <c r="N405" s="18" t="inlineStr">
        <is>
          <t>D7DBE2</t>
        </is>
      </c>
    </row>
    <row r="406">
      <c r="A406" s="18" t="inlineStr">
        <is>
          <t>DWG0399</t>
        </is>
      </c>
      <c r="B406" s="18" t="inlineStr">
        <is>
          <t>S45</t>
        </is>
      </c>
      <c r="C406" s="18" t="inlineStr">
        <is>
          <t>45</t>
        </is>
      </c>
      <c r="D406" s="18" t="inlineStr">
        <is>
          <t>horizontal</t>
        </is>
      </c>
      <c r="E406" s="38" t="n">
        <v>12369</v>
      </c>
      <c r="F406" s="38" t="n">
        <v>12369</v>
      </c>
      <c r="G406" s="18" t="inlineStr">
        <is>
          <t>X/Y</t>
        </is>
      </c>
      <c r="H406" s="38" t="n">
        <v>-12369</v>
      </c>
      <c r="I406" s="38" t="n">
        <v>-2080</v>
      </c>
      <c r="J406" s="38" t="n">
        <v>0</v>
      </c>
      <c r="K406" s="38" t="n">
        <v>-2080</v>
      </c>
      <c r="L406" s="18" t="inlineStr">
        <is>
          <t>—</t>
        </is>
      </c>
      <c r="M406" s="18" t="inlineStr"/>
      <c r="N406" s="18" t="inlineStr">
        <is>
          <t>D9F929</t>
        </is>
      </c>
    </row>
    <row r="407">
      <c r="A407" s="18" t="inlineStr">
        <is>
          <t>DWG0400</t>
        </is>
      </c>
      <c r="B407" s="18" t="inlineStr">
        <is>
          <t>S45</t>
        </is>
      </c>
      <c r="C407" s="18" t="inlineStr">
        <is>
          <t>45</t>
        </is>
      </c>
      <c r="D407" s="18" t="inlineStr">
        <is>
          <t>horizontal</t>
        </is>
      </c>
      <c r="E407" s="44" t="n">
        <v>939.1</v>
      </c>
      <c r="F407" s="38" t="n">
        <v>939</v>
      </c>
      <c r="G407" s="18" t="inlineStr">
        <is>
          <t>X/Y</t>
        </is>
      </c>
      <c r="H407" s="44" t="n">
        <v>53955.1</v>
      </c>
      <c r="I407" s="38" t="n">
        <v>-2080</v>
      </c>
      <c r="J407" s="38" t="n">
        <v>53016</v>
      </c>
      <c r="K407" s="44" t="n">
        <v>-2115.3</v>
      </c>
      <c r="L407" s="18" t="inlineStr">
        <is>
          <t>—</t>
        </is>
      </c>
      <c r="M407" s="18" t="inlineStr"/>
      <c r="N407" s="18" t="inlineStr">
        <is>
          <t>D7DBDF</t>
        </is>
      </c>
    </row>
    <row r="408">
      <c r="A408" s="18" t="inlineStr">
        <is>
          <t>DWG0401</t>
        </is>
      </c>
      <c r="B408" s="18" t="inlineStr">
        <is>
          <t>S45</t>
        </is>
      </c>
      <c r="C408" s="18" t="inlineStr">
        <is>
          <t>45</t>
        </is>
      </c>
      <c r="D408" s="18" t="inlineStr">
        <is>
          <t>horizontal</t>
        </is>
      </c>
      <c r="E408" s="38" t="n">
        <v>290</v>
      </c>
      <c r="F408" s="38" t="n">
        <v>290</v>
      </c>
      <c r="G408" s="18" t="inlineStr">
        <is>
          <t>X/Y</t>
        </is>
      </c>
      <c r="H408" s="38" t="n">
        <v>39055</v>
      </c>
      <c r="I408" s="38" t="n">
        <v>480</v>
      </c>
      <c r="J408" s="38" t="n">
        <v>38765</v>
      </c>
      <c r="K408" s="38" t="n">
        <v>480</v>
      </c>
      <c r="L408" s="18" t="inlineStr">
        <is>
          <t>—</t>
        </is>
      </c>
      <c r="M408" s="18" t="inlineStr"/>
      <c r="N408" s="18" t="inlineStr">
        <is>
          <t>D7E758</t>
        </is>
      </c>
    </row>
    <row r="409">
      <c r="A409" s="18" t="inlineStr">
        <is>
          <t>DWG0402</t>
        </is>
      </c>
      <c r="B409" s="18" t="inlineStr">
        <is>
          <t>S45</t>
        </is>
      </c>
      <c r="C409" s="18" t="inlineStr">
        <is>
          <t>45</t>
        </is>
      </c>
      <c r="D409" s="18" t="inlineStr">
        <is>
          <t>vertical</t>
        </is>
      </c>
      <c r="E409" s="38" t="n">
        <v>4900</v>
      </c>
      <c r="F409" s="38" t="n">
        <v>4900</v>
      </c>
      <c r="G409" s="18" t="inlineStr">
        <is>
          <t>X/Y</t>
        </is>
      </c>
      <c r="H409" s="44" t="n">
        <v>2765.5</v>
      </c>
      <c r="I409" s="38" t="n">
        <v>0</v>
      </c>
      <c r="J409" s="38" t="n">
        <v>2680</v>
      </c>
      <c r="K409" s="38" t="n">
        <v>4900</v>
      </c>
      <c r="L409" s="18" t="inlineStr">
        <is>
          <t>—</t>
        </is>
      </c>
      <c r="M409" s="18" t="inlineStr"/>
      <c r="N409" s="18" t="inlineStr">
        <is>
          <t>D7E722</t>
        </is>
      </c>
    </row>
    <row r="410">
      <c r="A410" s="18" t="inlineStr">
        <is>
          <t>DWG0403</t>
        </is>
      </c>
      <c r="B410" s="18" t="inlineStr">
        <is>
          <t>S45</t>
        </is>
      </c>
      <c r="C410" s="18" t="inlineStr">
        <is>
          <t>45</t>
        </is>
      </c>
      <c r="D410" s="18" t="inlineStr">
        <is>
          <t>vertical</t>
        </is>
      </c>
      <c r="E410" s="38" t="n">
        <v>286</v>
      </c>
      <c r="F410" s="38" t="n">
        <v>286</v>
      </c>
      <c r="G410" s="18" t="inlineStr">
        <is>
          <t>X/Y</t>
        </is>
      </c>
      <c r="H410" s="38" t="n">
        <v>2905</v>
      </c>
      <c r="I410" s="38" t="n">
        <v>4900</v>
      </c>
      <c r="J410" s="38" t="n">
        <v>2855</v>
      </c>
      <c r="K410" s="38" t="n">
        <v>5186</v>
      </c>
      <c r="L410" s="18" t="inlineStr">
        <is>
          <t>—</t>
        </is>
      </c>
      <c r="M410" s="18" t="inlineStr"/>
      <c r="N410" s="18" t="inlineStr">
        <is>
          <t>D7E71F</t>
        </is>
      </c>
    </row>
    <row r="411">
      <c r="A411" s="18" t="inlineStr">
        <is>
          <t>DWG0404</t>
        </is>
      </c>
      <c r="B411" s="18" t="inlineStr">
        <is>
          <t>S45</t>
        </is>
      </c>
      <c r="C411" s="18" t="inlineStr">
        <is>
          <t>45</t>
        </is>
      </c>
      <c r="D411" s="18" t="inlineStr">
        <is>
          <t>vertical</t>
        </is>
      </c>
      <c r="E411" s="38" t="n">
        <v>4900</v>
      </c>
      <c r="F411" s="38" t="n">
        <v>4900</v>
      </c>
      <c r="G411" s="18" t="inlineStr">
        <is>
          <t>X/Y</t>
        </is>
      </c>
      <c r="H411" s="38" t="n">
        <v>4900</v>
      </c>
      <c r="I411" s="38" t="n">
        <v>0</v>
      </c>
      <c r="J411" s="38" t="n">
        <v>5145</v>
      </c>
      <c r="K411" s="38" t="n">
        <v>4900</v>
      </c>
      <c r="L411" s="18" t="inlineStr">
        <is>
          <t>—</t>
        </is>
      </c>
      <c r="M411" s="18" t="inlineStr"/>
      <c r="N411" s="18" t="inlineStr">
        <is>
          <t>D7E725</t>
        </is>
      </c>
    </row>
    <row r="412">
      <c r="A412" s="18" t="inlineStr">
        <is>
          <t>DWG0405</t>
        </is>
      </c>
      <c r="B412" s="18" t="inlineStr">
        <is>
          <t>S45</t>
        </is>
      </c>
      <c r="C412" s="18" t="inlineStr">
        <is>
          <t>45</t>
        </is>
      </c>
      <c r="D412" s="18" t="inlineStr">
        <is>
          <t>vertical</t>
        </is>
      </c>
      <c r="E412" s="38" t="n">
        <v>286</v>
      </c>
      <c r="F412" s="38" t="n">
        <v>286</v>
      </c>
      <c r="G412" s="18" t="inlineStr">
        <is>
          <t>X/Y</t>
        </is>
      </c>
      <c r="H412" s="38" t="n">
        <v>5145</v>
      </c>
      <c r="I412" s="38" t="n">
        <v>4900</v>
      </c>
      <c r="J412" s="38" t="n">
        <v>5145</v>
      </c>
      <c r="K412" s="38" t="n">
        <v>5186</v>
      </c>
      <c r="L412" s="18" t="inlineStr">
        <is>
          <t>—</t>
        </is>
      </c>
      <c r="M412" s="18" t="inlineStr"/>
      <c r="N412" s="18" t="inlineStr">
        <is>
          <t>D7E71C</t>
        </is>
      </c>
    </row>
    <row r="413">
      <c r="A413" s="18" t="inlineStr">
        <is>
          <t>DWG0406</t>
        </is>
      </c>
      <c r="B413" s="18" t="inlineStr">
        <is>
          <t>S45</t>
        </is>
      </c>
      <c r="C413" s="18" t="inlineStr">
        <is>
          <t>45</t>
        </is>
      </c>
      <c r="D413" s="18" t="inlineStr">
        <is>
          <t>vertical</t>
        </is>
      </c>
      <c r="E413" s="38" t="n">
        <v>160</v>
      </c>
      <c r="F413" s="38" t="n">
        <v>160</v>
      </c>
      <c r="G413" s="18" t="inlineStr">
        <is>
          <t>X/Y</t>
        </is>
      </c>
      <c r="H413" s="38" t="n">
        <v>39055</v>
      </c>
      <c r="I413" s="38" t="n">
        <v>640</v>
      </c>
      <c r="J413" s="38" t="n">
        <v>39055</v>
      </c>
      <c r="K413" s="38" t="n">
        <v>800</v>
      </c>
      <c r="L413" s="18" t="inlineStr">
        <is>
          <t>—</t>
        </is>
      </c>
      <c r="M413" s="18" t="inlineStr"/>
      <c r="N413" s="18" t="inlineStr">
        <is>
          <t>D7E755</t>
        </is>
      </c>
    </row>
    <row r="414">
      <c r="A414" s="18" t="inlineStr">
        <is>
          <t>DWG0407</t>
        </is>
      </c>
      <c r="B414" s="18" t="inlineStr">
        <is>
          <t>S45</t>
        </is>
      </c>
      <c r="C414" s="18" t="inlineStr">
        <is>
          <t>45</t>
        </is>
      </c>
      <c r="D414" s="18" t="inlineStr">
        <is>
          <t>vertical</t>
        </is>
      </c>
      <c r="E414" s="38" t="n">
        <v>800</v>
      </c>
      <c r="F414" s="38" t="n">
        <v>800</v>
      </c>
      <c r="G414" s="18" t="inlineStr">
        <is>
          <t>X/Y</t>
        </is>
      </c>
      <c r="H414" s="44" t="n">
        <v>40919.4</v>
      </c>
      <c r="I414" s="38" t="n">
        <v>0</v>
      </c>
      <c r="J414" s="44" t="n">
        <v>40919.4</v>
      </c>
      <c r="K414" s="38" t="n">
        <v>800</v>
      </c>
      <c r="L414" s="18" t="inlineStr">
        <is>
          <t>—</t>
        </is>
      </c>
      <c r="M414" s="18" t="inlineStr"/>
      <c r="N414" s="18" t="inlineStr">
        <is>
          <t>D7E752</t>
        </is>
      </c>
    </row>
    <row r="415">
      <c r="A415" s="18" t="inlineStr">
        <is>
          <t>DWG0408</t>
        </is>
      </c>
      <c r="B415" s="18" t="inlineStr">
        <is>
          <t>S45</t>
        </is>
      </c>
      <c r="C415" s="18" t="inlineStr">
        <is>
          <t>45</t>
        </is>
      </c>
      <c r="D415" s="18" t="inlineStr">
        <is>
          <t>vertical</t>
        </is>
      </c>
      <c r="E415" s="44" t="n">
        <v>3100.5</v>
      </c>
      <c r="F415" s="38" t="n">
        <v>3101</v>
      </c>
      <c r="G415" s="18" t="inlineStr">
        <is>
          <t>X/Y</t>
        </is>
      </c>
      <c r="H415" s="44" t="n">
        <v>52266.1</v>
      </c>
      <c r="I415" s="38" t="n">
        <v>0</v>
      </c>
      <c r="J415" s="44" t="n">
        <v>52266.1</v>
      </c>
      <c r="K415" s="44" t="n">
        <v>3100.5</v>
      </c>
      <c r="L415" s="18" t="inlineStr">
        <is>
          <t>—</t>
        </is>
      </c>
      <c r="M415" s="18" t="inlineStr"/>
      <c r="N415" s="18" t="inlineStr">
        <is>
          <t>D7E741</t>
        </is>
      </c>
    </row>
    <row r="416">
      <c r="A416" s="18" t="inlineStr">
        <is>
          <t>DWG0409</t>
        </is>
      </c>
      <c r="B416" s="18" t="inlineStr">
        <is>
          <t>S27</t>
        </is>
      </c>
      <c r="C416" s="18" t="inlineStr">
        <is>
          <t>27</t>
        </is>
      </c>
      <c r="D416" s="18" t="inlineStr">
        <is>
          <t>aligned</t>
        </is>
      </c>
      <c r="E416" s="44" t="n">
        <v>331.1</v>
      </c>
      <c r="F416" s="38" t="n">
        <v>331</v>
      </c>
      <c r="G416" s="18" t="inlineStr">
        <is>
          <t>u/v</t>
        </is>
      </c>
      <c r="H416" s="44" t="n">
        <v>5115.7</v>
      </c>
      <c r="I416" s="44" t="n">
        <v>7498.1</v>
      </c>
      <c r="J416" s="44" t="n">
        <v>5173.7</v>
      </c>
      <c r="K416" s="44" t="n">
        <v>7824.1</v>
      </c>
      <c r="L416" s="18" t="inlineStr">
        <is>
          <t>8</t>
        </is>
      </c>
      <c r="M416" s="18" t="inlineStr"/>
      <c r="N416" s="18" t="inlineStr">
        <is>
          <t>DA3097</t>
        </is>
      </c>
    </row>
    <row r="417">
      <c r="A417" s="18" t="inlineStr">
        <is>
          <t>DWG0410</t>
        </is>
      </c>
      <c r="B417" s="18" t="inlineStr">
        <is>
          <t>S27</t>
        </is>
      </c>
      <c r="C417" s="18" t="inlineStr">
        <is>
          <t>27</t>
        </is>
      </c>
      <c r="D417" s="18" t="inlineStr">
        <is>
          <t>aligned</t>
        </is>
      </c>
      <c r="E417" s="38" t="n">
        <v>130</v>
      </c>
      <c r="F417" s="38" t="n">
        <v>130</v>
      </c>
      <c r="G417" s="18" t="inlineStr">
        <is>
          <t>u/v</t>
        </is>
      </c>
      <c r="H417" s="44" t="n">
        <v>5444.8</v>
      </c>
      <c r="I417" s="44" t="n">
        <v>7775.8</v>
      </c>
      <c r="J417" s="44" t="n">
        <v>5467.6</v>
      </c>
      <c r="K417" s="44" t="n">
        <v>7903.8</v>
      </c>
      <c r="L417" s="18" t="inlineStr">
        <is>
          <t>8</t>
        </is>
      </c>
      <c r="M417" s="18" t="inlineStr"/>
      <c r="N417" s="18" t="inlineStr">
        <is>
          <t>DA309A</t>
        </is>
      </c>
    </row>
    <row r="418">
      <c r="A418" s="18" t="inlineStr">
        <is>
          <t>DWG0411</t>
        </is>
      </c>
      <c r="B418" s="18" t="inlineStr">
        <is>
          <t>S27</t>
        </is>
      </c>
      <c r="C418" s="18" t="inlineStr">
        <is>
          <t>27</t>
        </is>
      </c>
      <c r="D418" s="18" t="inlineStr">
        <is>
          <t>horizontal</t>
        </is>
      </c>
      <c r="E418" s="38" t="n">
        <v>3054</v>
      </c>
      <c r="F418" s="38" t="n">
        <v>3054</v>
      </c>
      <c r="G418" s="18" t="inlineStr">
        <is>
          <t>u/v</t>
        </is>
      </c>
      <c r="H418" s="44" t="n">
        <v>3201.5</v>
      </c>
      <c r="I418" s="44" t="n">
        <v>977.3</v>
      </c>
      <c r="J418" s="44" t="n">
        <v>6255.5</v>
      </c>
      <c r="K418" s="44" t="n">
        <v>977.3</v>
      </c>
      <c r="L418" s="18" t="inlineStr">
        <is>
          <t>8</t>
        </is>
      </c>
      <c r="M418" s="18" t="inlineStr"/>
      <c r="N418" s="18" t="inlineStr">
        <is>
          <t>DA30AA</t>
        </is>
      </c>
    </row>
    <row r="419">
      <c r="A419" s="18" t="inlineStr">
        <is>
          <t>DWG0412</t>
        </is>
      </c>
      <c r="B419" s="18" t="inlineStr">
        <is>
          <t>S27</t>
        </is>
      </c>
      <c r="C419" s="18" t="inlineStr">
        <is>
          <t>27</t>
        </is>
      </c>
      <c r="D419" s="18" t="inlineStr">
        <is>
          <t>horizontal</t>
        </is>
      </c>
      <c r="E419" s="38" t="n">
        <v>220</v>
      </c>
      <c r="F419" s="38" t="n">
        <v>220</v>
      </c>
      <c r="G419" s="18" t="inlineStr">
        <is>
          <t>u/v</t>
        </is>
      </c>
      <c r="H419" s="44" t="n">
        <v>3421.5</v>
      </c>
      <c r="I419" s="44" t="n">
        <v>1147.1</v>
      </c>
      <c r="J419" s="44" t="n">
        <v>3201.5</v>
      </c>
      <c r="K419" s="44" t="n">
        <v>1147.1</v>
      </c>
      <c r="L419" s="18" t="inlineStr">
        <is>
          <t>8</t>
        </is>
      </c>
      <c r="M419" s="18" t="inlineStr">
        <is>
          <t>S107 S113</t>
        </is>
      </c>
      <c r="N419" s="18" t="inlineStr">
        <is>
          <t>DA34E1</t>
        </is>
      </c>
    </row>
    <row r="420">
      <c r="A420" s="18" t="inlineStr">
        <is>
          <t>DWG0413</t>
        </is>
      </c>
      <c r="B420" s="18" t="inlineStr">
        <is>
          <t>S27</t>
        </is>
      </c>
      <c r="C420" s="18" t="inlineStr">
        <is>
          <t>27</t>
        </is>
      </c>
      <c r="D420" s="18" t="inlineStr">
        <is>
          <t>horizontal</t>
        </is>
      </c>
      <c r="E420" s="38" t="n">
        <v>275</v>
      </c>
      <c r="F420" s="38" t="n">
        <v>275</v>
      </c>
      <c r="G420" s="18" t="inlineStr">
        <is>
          <t>u/v</t>
        </is>
      </c>
      <c r="H420" s="44" t="n">
        <v>5980.5</v>
      </c>
      <c r="I420" s="44" t="n">
        <v>1147.1</v>
      </c>
      <c r="J420" s="44" t="n">
        <v>6255.5</v>
      </c>
      <c r="K420" s="44" t="n">
        <v>1147.1</v>
      </c>
      <c r="L420" s="18" t="inlineStr">
        <is>
          <t>8</t>
        </is>
      </c>
      <c r="M420" s="18" t="inlineStr"/>
      <c r="N420" s="18" t="inlineStr">
        <is>
          <t>DA34E0</t>
        </is>
      </c>
    </row>
    <row r="421">
      <c r="A421" s="18" t="inlineStr">
        <is>
          <t>DWG0414</t>
        </is>
      </c>
      <c r="B421" s="18" t="inlineStr">
        <is>
          <t>S27</t>
        </is>
      </c>
      <c r="C421" s="18" t="inlineStr">
        <is>
          <t>27</t>
        </is>
      </c>
      <c r="D421" s="18" t="inlineStr">
        <is>
          <t>horizontal</t>
        </is>
      </c>
      <c r="E421" s="38" t="n">
        <v>2559</v>
      </c>
      <c r="F421" s="38" t="n">
        <v>2559</v>
      </c>
      <c r="G421" s="18" t="inlineStr">
        <is>
          <t>u/v</t>
        </is>
      </c>
      <c r="H421" s="44" t="n">
        <v>3421.5</v>
      </c>
      <c r="I421" s="44" t="n">
        <v>1380.2</v>
      </c>
      <c r="J421" s="44" t="n">
        <v>5980.5</v>
      </c>
      <c r="K421" s="44" t="n">
        <v>1380.2</v>
      </c>
      <c r="L421" s="18" t="inlineStr">
        <is>
          <t>8</t>
        </is>
      </c>
      <c r="M421" s="18" t="inlineStr"/>
      <c r="N421" s="18" t="inlineStr">
        <is>
          <t>DA30A9</t>
        </is>
      </c>
    </row>
    <row r="422">
      <c r="A422" s="18" t="inlineStr">
        <is>
          <t>DWG0415</t>
        </is>
      </c>
      <c r="B422" s="18" t="inlineStr">
        <is>
          <t>S27</t>
        </is>
      </c>
      <c r="C422" s="18" t="inlineStr">
        <is>
          <t>27</t>
        </is>
      </c>
      <c r="D422" s="18" t="inlineStr">
        <is>
          <t>horizontal</t>
        </is>
      </c>
      <c r="E422" s="38" t="n">
        <v>110</v>
      </c>
      <c r="F422" s="38" t="n">
        <v>110</v>
      </c>
      <c r="G422" s="18" t="inlineStr">
        <is>
          <t>u/v</t>
        </is>
      </c>
      <c r="H422" s="44" t="n">
        <v>6310.5</v>
      </c>
      <c r="I422" s="44" t="n">
        <v>1728.6</v>
      </c>
      <c r="J422" s="44" t="n">
        <v>6200.5</v>
      </c>
      <c r="K422" s="44" t="n">
        <v>1728.6</v>
      </c>
      <c r="L422" s="18" t="inlineStr">
        <is>
          <t>8</t>
        </is>
      </c>
      <c r="M422" s="18" t="inlineStr"/>
      <c r="N422" s="18" t="inlineStr">
        <is>
          <t>DA30AB</t>
        </is>
      </c>
    </row>
    <row r="423">
      <c r="A423" s="18" t="inlineStr">
        <is>
          <t>DWG0416</t>
        </is>
      </c>
      <c r="B423" s="18" t="inlineStr">
        <is>
          <t>S27</t>
        </is>
      </c>
      <c r="C423" s="18" t="inlineStr">
        <is>
          <t>27</t>
        </is>
      </c>
      <c r="D423" s="18" t="inlineStr">
        <is>
          <t>horizontal</t>
        </is>
      </c>
      <c r="E423" s="38" t="n">
        <v>210</v>
      </c>
      <c r="F423" s="38" t="n">
        <v>210</v>
      </c>
      <c r="G423" s="18" t="inlineStr">
        <is>
          <t>u/v</t>
        </is>
      </c>
      <c r="H423" s="44" t="n">
        <v>6360.5</v>
      </c>
      <c r="I423" s="44" t="n">
        <v>2230.2</v>
      </c>
      <c r="J423" s="44" t="n">
        <v>6150.5</v>
      </c>
      <c r="K423" s="44" t="n">
        <v>2230.2</v>
      </c>
      <c r="L423" s="18" t="inlineStr">
        <is>
          <t>8</t>
        </is>
      </c>
      <c r="M423" s="18" t="inlineStr"/>
      <c r="N423" s="18" t="inlineStr">
        <is>
          <t>DA30AE</t>
        </is>
      </c>
    </row>
    <row r="424">
      <c r="A424" s="18" t="inlineStr">
        <is>
          <t>DWG0417</t>
        </is>
      </c>
      <c r="B424" s="18" t="inlineStr">
        <is>
          <t>S27</t>
        </is>
      </c>
      <c r="C424" s="18" t="inlineStr">
        <is>
          <t>27</t>
        </is>
      </c>
      <c r="D424" s="18" t="inlineStr">
        <is>
          <t>horizontal</t>
        </is>
      </c>
      <c r="E424" s="38" t="n">
        <v>2419</v>
      </c>
      <c r="F424" s="38" t="n">
        <v>2419</v>
      </c>
      <c r="G424" s="18" t="inlineStr">
        <is>
          <t>u/v</t>
        </is>
      </c>
      <c r="H424" s="44" t="n">
        <v>3491.5</v>
      </c>
      <c r="I424" s="44" t="n">
        <v>5715.7</v>
      </c>
      <c r="J424" s="44" t="n">
        <v>5910.5</v>
      </c>
      <c r="K424" s="44" t="n">
        <v>5715.7</v>
      </c>
      <c r="L424" s="18" t="inlineStr">
        <is>
          <t>8</t>
        </is>
      </c>
      <c r="M424" s="18" t="inlineStr"/>
      <c r="N424" s="18" t="inlineStr">
        <is>
          <t>DA4D66</t>
        </is>
      </c>
    </row>
    <row r="425">
      <c r="A425" s="18" t="inlineStr">
        <is>
          <t>DWG0418</t>
        </is>
      </c>
      <c r="B425" s="18" t="inlineStr">
        <is>
          <t>S27</t>
        </is>
      </c>
      <c r="C425" s="18" t="inlineStr">
        <is>
          <t>27</t>
        </is>
      </c>
      <c r="D425" s="18" t="inlineStr">
        <is>
          <t>horizontal</t>
        </is>
      </c>
      <c r="E425" s="38" t="n">
        <v>440</v>
      </c>
      <c r="F425" s="38" t="n">
        <v>440</v>
      </c>
      <c r="G425" s="18" t="inlineStr">
        <is>
          <t>u/v</t>
        </is>
      </c>
      <c r="H425" s="44" t="n">
        <v>6090.5</v>
      </c>
      <c r="I425" s="44" t="n">
        <v>6509.2</v>
      </c>
      <c r="J425" s="44" t="n">
        <v>6530.5</v>
      </c>
      <c r="K425" s="44" t="n">
        <v>6509.2</v>
      </c>
      <c r="L425" s="18" t="inlineStr">
        <is>
          <t>8</t>
        </is>
      </c>
      <c r="M425" s="18" t="inlineStr"/>
      <c r="N425" s="18" t="inlineStr">
        <is>
          <t>DA30C4</t>
        </is>
      </c>
    </row>
    <row r="426">
      <c r="A426" s="18" t="inlineStr">
        <is>
          <t>DWG0419</t>
        </is>
      </c>
      <c r="B426" s="18" t="inlineStr">
        <is>
          <t>S27</t>
        </is>
      </c>
      <c r="C426" s="18" t="inlineStr">
        <is>
          <t>27</t>
        </is>
      </c>
      <c r="D426" s="18" t="inlineStr">
        <is>
          <t>horizontal</t>
        </is>
      </c>
      <c r="E426" s="38" t="n">
        <v>50</v>
      </c>
      <c r="F426" s="38" t="n">
        <v>50</v>
      </c>
      <c r="G426" s="18" t="inlineStr">
        <is>
          <t>u/v</t>
        </is>
      </c>
      <c r="H426" s="44" t="n">
        <v>6530.5</v>
      </c>
      <c r="I426" s="44" t="n">
        <v>7002.4</v>
      </c>
      <c r="J426" s="44" t="n">
        <v>6580.5</v>
      </c>
      <c r="K426" s="44" t="n">
        <v>7002.4</v>
      </c>
      <c r="L426" s="18" t="inlineStr">
        <is>
          <t>8</t>
        </is>
      </c>
      <c r="M426" s="18" t="inlineStr"/>
      <c r="N426" s="18" t="inlineStr">
        <is>
          <t>DA4D42</t>
        </is>
      </c>
    </row>
    <row r="427">
      <c r="A427" s="18" t="inlineStr">
        <is>
          <t>DWG0420</t>
        </is>
      </c>
      <c r="B427" s="18" t="inlineStr">
        <is>
          <t>S27</t>
        </is>
      </c>
      <c r="C427" s="18" t="inlineStr">
        <is>
          <t>27</t>
        </is>
      </c>
      <c r="D427" s="18" t="inlineStr">
        <is>
          <t>horizontal</t>
        </is>
      </c>
      <c r="E427" s="38" t="n">
        <v>25</v>
      </c>
      <c r="F427" s="38" t="n">
        <v>25</v>
      </c>
      <c r="G427" s="18" t="inlineStr">
        <is>
          <t>u/v</t>
        </is>
      </c>
      <c r="H427" s="44" t="n">
        <v>6750.5</v>
      </c>
      <c r="I427" s="44" t="n">
        <v>7002.4</v>
      </c>
      <c r="J427" s="44" t="n">
        <v>6775.5</v>
      </c>
      <c r="K427" s="44" t="n">
        <v>7002.4</v>
      </c>
      <c r="L427" s="18" t="inlineStr">
        <is>
          <t>8</t>
        </is>
      </c>
      <c r="M427" s="18" t="inlineStr"/>
      <c r="N427" s="18" t="inlineStr">
        <is>
          <t>DA4D45</t>
        </is>
      </c>
    </row>
    <row r="428">
      <c r="A428" s="18" t="inlineStr">
        <is>
          <t>DWG0421</t>
        </is>
      </c>
      <c r="B428" s="18" t="inlineStr">
        <is>
          <t>S27</t>
        </is>
      </c>
      <c r="C428" s="18" t="inlineStr">
        <is>
          <t>27</t>
        </is>
      </c>
      <c r="D428" s="18" t="inlineStr">
        <is>
          <t>horizontal</t>
        </is>
      </c>
      <c r="E428" s="38" t="n">
        <v>235</v>
      </c>
      <c r="F428" s="38" t="n">
        <v>235</v>
      </c>
      <c r="G428" s="18" t="inlineStr">
        <is>
          <t>u/v</t>
        </is>
      </c>
      <c r="H428" s="44" t="n">
        <v>6325.5</v>
      </c>
      <c r="I428" s="44" t="n">
        <v>7255.2</v>
      </c>
      <c r="J428" s="44" t="n">
        <v>6090.5</v>
      </c>
      <c r="K428" s="44" t="n">
        <v>7255.2</v>
      </c>
      <c r="L428" s="18" t="inlineStr">
        <is>
          <t>8</t>
        </is>
      </c>
      <c r="M428" s="18" t="inlineStr"/>
      <c r="N428" s="18" t="inlineStr">
        <is>
          <t>DA30C5</t>
        </is>
      </c>
    </row>
    <row r="429">
      <c r="A429" s="18" t="inlineStr">
        <is>
          <t>DWG0422</t>
        </is>
      </c>
      <c r="B429" s="18" t="inlineStr">
        <is>
          <t>S27</t>
        </is>
      </c>
      <c r="C429" s="18" t="inlineStr">
        <is>
          <t>27</t>
        </is>
      </c>
      <c r="D429" s="18" t="inlineStr">
        <is>
          <t>horizontal</t>
        </is>
      </c>
      <c r="E429" s="38" t="n">
        <v>50</v>
      </c>
      <c r="F429" s="38" t="n">
        <v>50</v>
      </c>
      <c r="G429" s="18" t="inlineStr">
        <is>
          <t>u/v</t>
        </is>
      </c>
      <c r="H429" s="44" t="n">
        <v>6530.5</v>
      </c>
      <c r="I429" s="44" t="n">
        <v>7392.4</v>
      </c>
      <c r="J429" s="44" t="n">
        <v>6580.5</v>
      </c>
      <c r="K429" s="44" t="n">
        <v>7392.4</v>
      </c>
      <c r="L429" s="18" t="inlineStr">
        <is>
          <t>8</t>
        </is>
      </c>
      <c r="M429" s="18" t="inlineStr"/>
      <c r="N429" s="18" t="inlineStr">
        <is>
          <t>DA4D48</t>
        </is>
      </c>
    </row>
    <row r="430">
      <c r="A430" s="18" t="inlineStr">
        <is>
          <t>DWG0423</t>
        </is>
      </c>
      <c r="B430" s="18" t="inlineStr">
        <is>
          <t>S27</t>
        </is>
      </c>
      <c r="C430" s="18" t="inlineStr">
        <is>
          <t>27</t>
        </is>
      </c>
      <c r="D430" s="18" t="inlineStr">
        <is>
          <t>horizontal</t>
        </is>
      </c>
      <c r="E430" s="44" t="n">
        <v>101.2</v>
      </c>
      <c r="F430" s="38" t="n">
        <v>101</v>
      </c>
      <c r="G430" s="18" t="inlineStr">
        <is>
          <t>u/v</t>
        </is>
      </c>
      <c r="H430" s="44" t="n">
        <v>6680.7</v>
      </c>
      <c r="I430" s="44" t="n">
        <v>7598.9</v>
      </c>
      <c r="J430" s="44" t="n">
        <v>6781.8</v>
      </c>
      <c r="K430" s="44" t="n">
        <v>7617.5</v>
      </c>
      <c r="L430" s="18" t="inlineStr">
        <is>
          <t>8</t>
        </is>
      </c>
      <c r="M430" s="18" t="inlineStr"/>
      <c r="N430" s="18" t="inlineStr">
        <is>
          <t>DA4D4B</t>
        </is>
      </c>
    </row>
    <row r="431">
      <c r="A431" s="18" t="inlineStr">
        <is>
          <t>DWG0424</t>
        </is>
      </c>
      <c r="B431" s="18" t="inlineStr">
        <is>
          <t>S27</t>
        </is>
      </c>
      <c r="C431" s="18" t="inlineStr">
        <is>
          <t>27</t>
        </is>
      </c>
      <c r="D431" s="18" t="inlineStr">
        <is>
          <t>horizontal</t>
        </is>
      </c>
      <c r="E431" s="44" t="n">
        <v>51.2</v>
      </c>
      <c r="F431" s="38" t="n">
        <v>51</v>
      </c>
      <c r="G431" s="18" t="inlineStr">
        <is>
          <t>u/v</t>
        </is>
      </c>
      <c r="H431" s="44" t="n">
        <v>7010.7</v>
      </c>
      <c r="I431" s="44" t="n">
        <v>7608.1</v>
      </c>
      <c r="J431" s="44" t="n">
        <v>7061.8</v>
      </c>
      <c r="K431" s="44" t="n">
        <v>7608.1</v>
      </c>
      <c r="L431" s="18" t="inlineStr">
        <is>
          <t>8</t>
        </is>
      </c>
      <c r="M431" s="18" t="inlineStr"/>
      <c r="N431" s="18" t="inlineStr">
        <is>
          <t>DA4D4E</t>
        </is>
      </c>
    </row>
    <row r="432">
      <c r="A432" s="18" t="inlineStr">
        <is>
          <t>DWG0425</t>
        </is>
      </c>
      <c r="B432" s="18" t="inlineStr">
        <is>
          <t>S27</t>
        </is>
      </c>
      <c r="C432" s="18" t="inlineStr">
        <is>
          <t>27</t>
        </is>
      </c>
      <c r="D432" s="18" t="inlineStr">
        <is>
          <t>horizontal</t>
        </is>
      </c>
      <c r="E432" s="44" t="n">
        <v>691.3</v>
      </c>
      <c r="F432" s="38" t="n">
        <v>691</v>
      </c>
      <c r="G432" s="18" t="inlineStr">
        <is>
          <t>u/v</t>
        </is>
      </c>
      <c r="H432" s="44" t="n">
        <v>6090.5</v>
      </c>
      <c r="I432" s="44" t="n">
        <v>7611.5</v>
      </c>
      <c r="J432" s="44" t="n">
        <v>6781.8</v>
      </c>
      <c r="K432" s="44" t="n">
        <v>7609.2</v>
      </c>
      <c r="L432" s="18" t="inlineStr">
        <is>
          <t>8</t>
        </is>
      </c>
      <c r="M432" s="18" t="inlineStr"/>
      <c r="N432" s="18" t="inlineStr">
        <is>
          <t>DA4D51</t>
        </is>
      </c>
    </row>
    <row r="433">
      <c r="A433" s="18" t="inlineStr">
        <is>
          <t>DWG0426</t>
        </is>
      </c>
      <c r="B433" s="18" t="inlineStr">
        <is>
          <t>S27</t>
        </is>
      </c>
      <c r="C433" s="18" t="inlineStr">
        <is>
          <t>27</t>
        </is>
      </c>
      <c r="D433" s="18" t="inlineStr">
        <is>
          <t>horizontal</t>
        </is>
      </c>
      <c r="E433" s="38" t="n">
        <v>220</v>
      </c>
      <c r="F433" s="38" t="n">
        <v>220</v>
      </c>
      <c r="G433" s="18" t="inlineStr">
        <is>
          <t>u/v</t>
        </is>
      </c>
      <c r="H433" s="44" t="n">
        <v>3201.5</v>
      </c>
      <c r="I433" s="44" t="n">
        <v>7787.4</v>
      </c>
      <c r="J433" s="44" t="n">
        <v>3421.5</v>
      </c>
      <c r="K433" s="44" t="n">
        <v>7817.9</v>
      </c>
      <c r="L433" s="18" t="inlineStr">
        <is>
          <t>8</t>
        </is>
      </c>
      <c r="M433" s="18" t="inlineStr">
        <is>
          <t>S107 S113</t>
        </is>
      </c>
      <c r="N433" s="18" t="inlineStr">
        <is>
          <t>DA30C8</t>
        </is>
      </c>
    </row>
    <row r="434">
      <c r="A434" s="18" t="inlineStr">
        <is>
          <t>DWG0427</t>
        </is>
      </c>
      <c r="B434" s="18" t="inlineStr">
        <is>
          <t>S27</t>
        </is>
      </c>
      <c r="C434" s="18" t="inlineStr">
        <is>
          <t>27</t>
        </is>
      </c>
      <c r="D434" s="18" t="inlineStr">
        <is>
          <t>vertical</t>
        </is>
      </c>
      <c r="E434" s="38" t="n">
        <v>7130</v>
      </c>
      <c r="F434" s="38" t="n">
        <v>7130</v>
      </c>
      <c r="G434" s="18" t="inlineStr">
        <is>
          <t>u/v</t>
        </is>
      </c>
      <c r="H434" s="44" t="n">
        <v>2360.5</v>
      </c>
      <c r="I434" s="44" t="n">
        <v>1380.2</v>
      </c>
      <c r="J434" s="44" t="n">
        <v>2360.5</v>
      </c>
      <c r="K434" s="44" t="n">
        <v>8510.200000000001</v>
      </c>
      <c r="L434" s="18" t="inlineStr">
        <is>
          <t>8</t>
        </is>
      </c>
      <c r="M434" s="18" t="inlineStr"/>
      <c r="N434" s="18" t="inlineStr">
        <is>
          <t>DA3544</t>
        </is>
      </c>
    </row>
    <row r="435">
      <c r="A435" s="18" t="inlineStr">
        <is>
          <t>DWG0428</t>
        </is>
      </c>
      <c r="B435" s="18" t="inlineStr">
        <is>
          <t>S27</t>
        </is>
      </c>
      <c r="C435" s="18" t="inlineStr">
        <is>
          <t>27</t>
        </is>
      </c>
      <c r="D435" s="18" t="inlineStr">
        <is>
          <t>vertical</t>
        </is>
      </c>
      <c r="E435" s="38" t="n">
        <v>640</v>
      </c>
      <c r="F435" s="38" t="n">
        <v>640</v>
      </c>
      <c r="G435" s="18" t="inlineStr">
        <is>
          <t>u/v</t>
        </is>
      </c>
      <c r="H435" s="44" t="n">
        <v>3091.5</v>
      </c>
      <c r="I435" s="44" t="n">
        <v>1380.2</v>
      </c>
      <c r="J435" s="44" t="n">
        <v>3091.5</v>
      </c>
      <c r="K435" s="44" t="n">
        <v>2020.2</v>
      </c>
      <c r="L435" s="18" t="inlineStr">
        <is>
          <t>8</t>
        </is>
      </c>
      <c r="M435" s="18" t="inlineStr"/>
      <c r="N435" s="18" t="inlineStr">
        <is>
          <t>DA35EA</t>
        </is>
      </c>
    </row>
    <row r="436">
      <c r="A436" s="18" t="inlineStr">
        <is>
          <t>DWG0429</t>
        </is>
      </c>
      <c r="B436" s="18" t="inlineStr">
        <is>
          <t>S27</t>
        </is>
      </c>
      <c r="C436" s="18" t="inlineStr">
        <is>
          <t>27</t>
        </is>
      </c>
      <c r="D436" s="18" t="inlineStr">
        <is>
          <t>vertical</t>
        </is>
      </c>
      <c r="E436" s="38" t="n">
        <v>90</v>
      </c>
      <c r="F436" s="38" t="n">
        <v>90</v>
      </c>
      <c r="G436" s="18" t="inlineStr">
        <is>
          <t>u/v</t>
        </is>
      </c>
      <c r="H436" s="44" t="n">
        <v>3091.5</v>
      </c>
      <c r="I436" s="44" t="n">
        <v>2020.2</v>
      </c>
      <c r="J436" s="44" t="n">
        <v>3091.5</v>
      </c>
      <c r="K436" s="44" t="n">
        <v>2110.2</v>
      </c>
      <c r="L436" s="18" t="inlineStr">
        <is>
          <t>8</t>
        </is>
      </c>
      <c r="M436" s="18" t="inlineStr"/>
      <c r="N436" s="18" t="inlineStr">
        <is>
          <t>DA35ED</t>
        </is>
      </c>
    </row>
    <row r="437">
      <c r="A437" s="18" t="inlineStr">
        <is>
          <t>DWG0430</t>
        </is>
      </c>
      <c r="B437" s="18" t="inlineStr">
        <is>
          <t>S27</t>
        </is>
      </c>
      <c r="C437" s="18" t="inlineStr">
        <is>
          <t>27</t>
        </is>
      </c>
      <c r="D437" s="18" t="inlineStr">
        <is>
          <t>vertical</t>
        </is>
      </c>
      <c r="E437" s="44" t="n">
        <v>2130.5</v>
      </c>
      <c r="F437" s="38">
        <v>2131</v>
      </c>
      <c r="G437" s="18" t="inlineStr">
        <is>
          <t>u/v</t>
        </is>
      </c>
      <c r="H437" s="44" t="n">
        <v>3091.5</v>
      </c>
      <c r="I437" s="44" t="n">
        <v>2110.2</v>
      </c>
      <c r="J437" s="44" t="n">
        <v>3091.5</v>
      </c>
      <c r="K437" s="44" t="n">
        <v>4240.7</v>
      </c>
      <c r="L437" s="18" t="inlineStr">
        <is>
          <t>8</t>
        </is>
      </c>
      <c r="M437" s="18" t="inlineStr"/>
      <c r="N437" s="18" t="inlineStr">
        <is>
          <t>DA35F0</t>
        </is>
      </c>
    </row>
    <row r="438">
      <c r="A438" s="18" t="inlineStr">
        <is>
          <t>DWG0431</t>
        </is>
      </c>
      <c r="B438" s="18" t="inlineStr">
        <is>
          <t>S27</t>
        </is>
      </c>
      <c r="C438" s="18" t="inlineStr">
        <is>
          <t>27</t>
        </is>
      </c>
      <c r="D438" s="18" t="inlineStr">
        <is>
          <t>vertical</t>
        </is>
      </c>
      <c r="E438" s="38" t="n">
        <v>90</v>
      </c>
      <c r="F438" s="38" t="n">
        <v>90</v>
      </c>
      <c r="G438" s="18" t="inlineStr">
        <is>
          <t>u/v</t>
        </is>
      </c>
      <c r="H438" s="44" t="n">
        <v>3091.5</v>
      </c>
      <c r="I438" s="44" t="n">
        <v>4240.7</v>
      </c>
      <c r="J438" s="44" t="n">
        <v>3091.5</v>
      </c>
      <c r="K438" s="44" t="n">
        <v>4330.7</v>
      </c>
      <c r="L438" s="18" t="inlineStr">
        <is>
          <t>8</t>
        </is>
      </c>
      <c r="M438" s="18" t="inlineStr"/>
      <c r="N438" s="18" t="inlineStr">
        <is>
          <t>DA35F3</t>
        </is>
      </c>
    </row>
    <row r="439">
      <c r="A439" s="18" t="inlineStr">
        <is>
          <t>DWG0432</t>
        </is>
      </c>
      <c r="B439" s="18" t="inlineStr">
        <is>
          <t>S27</t>
        </is>
      </c>
      <c r="C439" s="18" t="inlineStr">
        <is>
          <t>27</t>
        </is>
      </c>
      <c r="D439" s="18" t="inlineStr">
        <is>
          <t>vertical</t>
        </is>
      </c>
      <c r="E439" s="38" t="n">
        <v>220</v>
      </c>
      <c r="F439" s="38" t="n">
        <v>220</v>
      </c>
      <c r="G439" s="18" t="inlineStr">
        <is>
          <t>u/v</t>
        </is>
      </c>
      <c r="H439" s="44" t="n">
        <v>3091.5</v>
      </c>
      <c r="I439" s="44" t="n">
        <v>4330.7</v>
      </c>
      <c r="J439" s="44" t="n">
        <v>2995.4</v>
      </c>
      <c r="K439" s="44" t="n">
        <v>4550.7</v>
      </c>
      <c r="L439" s="18" t="inlineStr">
        <is>
          <t>8</t>
        </is>
      </c>
      <c r="M439" s="18" t="inlineStr">
        <is>
          <t>S107 S113</t>
        </is>
      </c>
      <c r="N439" s="18" t="inlineStr">
        <is>
          <t>DA35F6</t>
        </is>
      </c>
    </row>
    <row r="440">
      <c r="A440" s="18" t="inlineStr">
        <is>
          <t>DWG0433</t>
        </is>
      </c>
      <c r="B440" s="18" t="inlineStr">
        <is>
          <t>S27</t>
        </is>
      </c>
      <c r="C440" s="18" t="inlineStr">
        <is>
          <t>27</t>
        </is>
      </c>
      <c r="D440" s="18" t="inlineStr">
        <is>
          <t>vertical</t>
        </is>
      </c>
      <c r="E440" s="38" t="n">
        <v>965</v>
      </c>
      <c r="F440" s="38" t="n">
        <v>965</v>
      </c>
      <c r="G440" s="18" t="inlineStr">
        <is>
          <t>u/v</t>
        </is>
      </c>
      <c r="H440" s="44" t="n">
        <v>3091.5</v>
      </c>
      <c r="I440" s="44" t="n">
        <v>4550.7</v>
      </c>
      <c r="J440" s="44" t="n">
        <v>3091.5</v>
      </c>
      <c r="K440" s="44" t="n">
        <v>5515.7</v>
      </c>
      <c r="L440" s="18" t="inlineStr">
        <is>
          <t>8</t>
        </is>
      </c>
      <c r="M440" s="18" t="inlineStr"/>
      <c r="N440" s="18" t="inlineStr">
        <is>
          <t>DA3516</t>
        </is>
      </c>
    </row>
    <row r="441">
      <c r="A441" s="18" t="inlineStr">
        <is>
          <t>DWG0434</t>
        </is>
      </c>
      <c r="B441" s="18" t="inlineStr">
        <is>
          <t>S27</t>
        </is>
      </c>
      <c r="C441" s="18" t="inlineStr">
        <is>
          <t>27</t>
        </is>
      </c>
      <c r="D441" s="18" t="inlineStr">
        <is>
          <t>vertical</t>
        </is>
      </c>
      <c r="E441" s="38" t="n">
        <v>200</v>
      </c>
      <c r="F441" s="38" t="n">
        <v>200</v>
      </c>
      <c r="G441" s="18" t="inlineStr">
        <is>
          <t>u/v</t>
        </is>
      </c>
      <c r="H441" s="44" t="n">
        <v>3091.5</v>
      </c>
      <c r="I441" s="44" t="n">
        <v>5515.7</v>
      </c>
      <c r="J441" s="44" t="n">
        <v>3321.5</v>
      </c>
      <c r="K441" s="44" t="n">
        <v>5715.7</v>
      </c>
      <c r="L441" s="18" t="inlineStr">
        <is>
          <t>8</t>
        </is>
      </c>
      <c r="M441" s="18" t="inlineStr"/>
      <c r="N441" s="18" t="inlineStr">
        <is>
          <t>DA3519</t>
        </is>
      </c>
    </row>
    <row r="442">
      <c r="A442" s="18" t="inlineStr">
        <is>
          <t>DWG0435</t>
        </is>
      </c>
      <c r="B442" s="18" t="inlineStr">
        <is>
          <t>S27</t>
        </is>
      </c>
      <c r="C442" s="18" t="inlineStr">
        <is>
          <t>27</t>
        </is>
      </c>
      <c r="D442" s="18" t="inlineStr">
        <is>
          <t>vertical</t>
        </is>
      </c>
      <c r="E442" s="44" t="n">
        <v>502.3</v>
      </c>
      <c r="F442" s="38" t="n">
        <v>502</v>
      </c>
      <c r="G442" s="18" t="inlineStr">
        <is>
          <t>u/v</t>
        </is>
      </c>
      <c r="H442" s="44" t="n">
        <v>3091.5</v>
      </c>
      <c r="I442" s="44" t="n">
        <v>7867.9</v>
      </c>
      <c r="J442" s="44" t="n">
        <v>3091.5</v>
      </c>
      <c r="K442" s="44" t="n">
        <v>8370.200000000001</v>
      </c>
      <c r="L442" s="18" t="inlineStr">
        <is>
          <t>8</t>
        </is>
      </c>
      <c r="M442" s="18" t="inlineStr"/>
      <c r="N442" s="18" t="inlineStr">
        <is>
          <t>DA3522</t>
        </is>
      </c>
    </row>
    <row r="443">
      <c r="A443" s="18" t="inlineStr">
        <is>
          <t>DWG0436</t>
        </is>
      </c>
      <c r="B443" s="18" t="inlineStr">
        <is>
          <t>S27</t>
        </is>
      </c>
      <c r="C443" s="18" t="inlineStr">
        <is>
          <t>27</t>
        </is>
      </c>
      <c r="D443" s="18" t="inlineStr">
        <is>
          <t>vertical</t>
        </is>
      </c>
      <c r="E443" s="44" t="n">
        <v>139.9</v>
      </c>
      <c r="F443" s="38" t="n">
        <v>140</v>
      </c>
      <c r="G443" s="18" t="inlineStr">
        <is>
          <t>u/v</t>
        </is>
      </c>
      <c r="H443" s="44" t="n">
        <v>3091.5</v>
      </c>
      <c r="I443" s="44" t="n">
        <v>8370.200000000001</v>
      </c>
      <c r="J443" s="44" t="n">
        <v>3091.5</v>
      </c>
      <c r="K443" s="44" t="n">
        <v>8510.200000000001</v>
      </c>
      <c r="L443" s="18" t="inlineStr">
        <is>
          <t>8</t>
        </is>
      </c>
      <c r="M443" s="18" t="inlineStr">
        <is>
          <t>S099</t>
        </is>
      </c>
      <c r="N443" s="18" t="inlineStr">
        <is>
          <t>DA3525</t>
        </is>
      </c>
    </row>
    <row r="444">
      <c r="A444" s="18" t="inlineStr">
        <is>
          <t>DWG0437</t>
        </is>
      </c>
      <c r="B444" s="18" t="inlineStr">
        <is>
          <t>S27</t>
        </is>
      </c>
      <c r="C444" s="18" t="inlineStr">
        <is>
          <t>27</t>
        </is>
      </c>
      <c r="D444" s="18" t="inlineStr">
        <is>
          <t>vertical</t>
        </is>
      </c>
      <c r="E444" s="44" t="n">
        <v>1279.5</v>
      </c>
      <c r="F444" s="38" t="n">
        <v>1280</v>
      </c>
      <c r="G444" s="18" t="inlineStr">
        <is>
          <t>u/v</t>
        </is>
      </c>
      <c r="H444" s="44" t="n">
        <v>3321.5</v>
      </c>
      <c r="I444" s="44" t="n">
        <v>5715.7</v>
      </c>
      <c r="J444" s="38" t="n">
        <v>4701</v>
      </c>
      <c r="K444" s="44" t="n">
        <v>6995.2</v>
      </c>
      <c r="L444" s="18" t="inlineStr">
        <is>
          <t>8</t>
        </is>
      </c>
      <c r="M444" s="18" t="inlineStr">
        <is>
          <t>S115</t>
        </is>
      </c>
      <c r="N444" s="18" t="inlineStr">
        <is>
          <t>DA351C</t>
        </is>
      </c>
    </row>
    <row r="445">
      <c r="A445" s="18" t="inlineStr">
        <is>
          <t>DWG0438</t>
        </is>
      </c>
      <c r="B445" s="18" t="inlineStr">
        <is>
          <t>S27</t>
        </is>
      </c>
      <c r="C445" s="18" t="inlineStr">
        <is>
          <t>27</t>
        </is>
      </c>
      <c r="D445" s="18" t="inlineStr">
        <is>
          <t>vertical</t>
        </is>
      </c>
      <c r="E445" s="44" t="n">
        <v>717.6</v>
      </c>
      <c r="F445" s="38" t="n">
        <v>718</v>
      </c>
      <c r="G445" s="18" t="inlineStr">
        <is>
          <t>u/v</t>
        </is>
      </c>
      <c r="H445" s="44" t="n">
        <v>3446.3</v>
      </c>
      <c r="I445" s="44" t="n">
        <v>4998.1</v>
      </c>
      <c r="J445" s="44" t="n">
        <v>3522.5</v>
      </c>
      <c r="K445" s="44" t="n">
        <v>5715.7</v>
      </c>
      <c r="L445" s="18" t="inlineStr">
        <is>
          <t>8</t>
        </is>
      </c>
      <c r="M445" s="18" t="inlineStr"/>
      <c r="N445" s="18" t="inlineStr">
        <is>
          <t>DA4D63</t>
        </is>
      </c>
    </row>
    <row r="446">
      <c r="A446" s="18" t="inlineStr">
        <is>
          <t>DWG0439</t>
        </is>
      </c>
      <c r="B446" s="18" t="inlineStr">
        <is>
          <t>S27</t>
        </is>
      </c>
      <c r="C446" s="18" t="inlineStr">
        <is>
          <t>27</t>
        </is>
      </c>
      <c r="D446" s="18" t="inlineStr">
        <is>
          <t>vertical</t>
        </is>
      </c>
      <c r="E446" s="44" t="n">
        <v>2957.9</v>
      </c>
      <c r="F446" s="38" t="n">
        <v>2958</v>
      </c>
      <c r="G446" s="18" t="inlineStr">
        <is>
          <t>u/v</t>
        </is>
      </c>
      <c r="H446" s="44" t="n">
        <v>3471.5</v>
      </c>
      <c r="I446" s="44" t="n">
        <v>2040.2</v>
      </c>
      <c r="J446" s="44" t="n">
        <v>3446.3</v>
      </c>
      <c r="K446" s="44" t="n">
        <v>4998.1</v>
      </c>
      <c r="L446" s="18" t="inlineStr">
        <is>
          <t>8</t>
        </is>
      </c>
      <c r="M446" s="18" t="inlineStr"/>
      <c r="N446" s="18" t="inlineStr">
        <is>
          <t>DA4D60</t>
        </is>
      </c>
    </row>
    <row r="447">
      <c r="A447" s="18" t="inlineStr">
        <is>
          <t>DWG0440</t>
        </is>
      </c>
      <c r="B447" s="18" t="inlineStr">
        <is>
          <t>S27</t>
        </is>
      </c>
      <c r="C447" s="18" t="inlineStr">
        <is>
          <t>27</t>
        </is>
      </c>
      <c r="D447" s="18" t="inlineStr">
        <is>
          <t>vertical</t>
        </is>
      </c>
      <c r="E447" s="38" t="n">
        <v>660</v>
      </c>
      <c r="F447" s="38" t="n">
        <v>660</v>
      </c>
      <c r="G447" s="18" t="inlineStr">
        <is>
          <t>u/v</t>
        </is>
      </c>
      <c r="H447" s="44" t="n">
        <v>3616.4</v>
      </c>
      <c r="I447" s="44" t="n">
        <v>1380.2</v>
      </c>
      <c r="J447" s="44" t="n">
        <v>3471.5</v>
      </c>
      <c r="K447" s="44" t="n">
        <v>2040.2</v>
      </c>
      <c r="L447" s="18" t="inlineStr">
        <is>
          <t>8</t>
        </is>
      </c>
      <c r="M447" s="18" t="inlineStr"/>
      <c r="N447" s="18" t="inlineStr">
        <is>
          <t>DA4D5D</t>
        </is>
      </c>
    </row>
    <row r="448">
      <c r="A448" s="18" t="inlineStr">
        <is>
          <t>DWG0441</t>
        </is>
      </c>
      <c r="B448" s="18" t="inlineStr">
        <is>
          <t>S27</t>
        </is>
      </c>
      <c r="C448" s="18" t="inlineStr">
        <is>
          <t>27</t>
        </is>
      </c>
      <c r="D448" s="18" t="inlineStr">
        <is>
          <t>vertical</t>
        </is>
      </c>
      <c r="E448" s="44" t="n">
        <v>1209.5</v>
      </c>
      <c r="F448" s="38" t="n">
        <v>1210</v>
      </c>
      <c r="G448" s="18" t="inlineStr">
        <is>
          <t>u/v</t>
        </is>
      </c>
      <c r="H448" s="44" t="n">
        <v>4484.4</v>
      </c>
      <c r="I448" s="44" t="n">
        <v>5715.7</v>
      </c>
      <c r="J448" s="38" t="n">
        <v>4701</v>
      </c>
      <c r="K448" s="44" t="n">
        <v>6925.2</v>
      </c>
      <c r="L448" s="18" t="inlineStr">
        <is>
          <t>8</t>
        </is>
      </c>
      <c r="M448" s="18" t="inlineStr"/>
      <c r="N448" s="18" t="inlineStr">
        <is>
          <t>DA4D69</t>
        </is>
      </c>
    </row>
    <row r="449">
      <c r="A449" s="18" t="inlineStr">
        <is>
          <t>DWG0442</t>
        </is>
      </c>
      <c r="B449" s="18" t="inlineStr">
        <is>
          <t>S27</t>
        </is>
      </c>
      <c r="C449" s="18" t="inlineStr">
        <is>
          <t>27</t>
        </is>
      </c>
      <c r="D449" s="18" t="inlineStr">
        <is>
          <t>vertical</t>
        </is>
      </c>
      <c r="E449" s="38" t="n">
        <v>70</v>
      </c>
      <c r="F449" s="38" t="n">
        <v>70</v>
      </c>
      <c r="G449" s="18" t="inlineStr">
        <is>
          <t>u/v</t>
        </is>
      </c>
      <c r="H449" s="38" t="n">
        <v>4701</v>
      </c>
      <c r="I449" s="44" t="n">
        <v>6925.2</v>
      </c>
      <c r="J449" s="38" t="n">
        <v>4701</v>
      </c>
      <c r="K449" s="44" t="n">
        <v>6995.2</v>
      </c>
      <c r="L449" s="18" t="inlineStr">
        <is>
          <t>8</t>
        </is>
      </c>
      <c r="M449" s="18" t="inlineStr"/>
      <c r="N449" s="18" t="inlineStr">
        <is>
          <t>DA4D6C</t>
        </is>
      </c>
    </row>
    <row r="450">
      <c r="A450" s="18" t="inlineStr">
        <is>
          <t>DWG0443</t>
        </is>
      </c>
      <c r="B450" s="18" t="inlineStr">
        <is>
          <t>S27</t>
        </is>
      </c>
      <c r="C450" s="18" t="inlineStr">
        <is>
          <t>27</t>
        </is>
      </c>
      <c r="D450" s="18" t="inlineStr">
        <is>
          <t>vertical</t>
        </is>
      </c>
      <c r="E450" s="44" t="n">
        <v>872.8</v>
      </c>
      <c r="F450" s="38" t="n">
        <v>873</v>
      </c>
      <c r="G450" s="18" t="inlineStr">
        <is>
          <t>u/v</t>
        </is>
      </c>
      <c r="H450" s="38" t="n">
        <v>4701</v>
      </c>
      <c r="I450" s="44" t="n">
        <v>6995.2</v>
      </c>
      <c r="J450" s="44" t="n">
        <v>3091.5</v>
      </c>
      <c r="K450" s="44" t="n">
        <v>7867.9</v>
      </c>
      <c r="L450" s="18" t="inlineStr">
        <is>
          <t>8</t>
        </is>
      </c>
      <c r="M450" s="18" t="inlineStr"/>
      <c r="N450" s="18" t="inlineStr">
        <is>
          <t>DA351F</t>
        </is>
      </c>
    </row>
    <row r="451">
      <c r="A451" s="18" t="inlineStr">
        <is>
          <t>DWG0444</t>
        </is>
      </c>
      <c r="B451" s="18" t="inlineStr">
        <is>
          <t>S27</t>
        </is>
      </c>
      <c r="C451" s="18" t="inlineStr">
        <is>
          <t>27</t>
        </is>
      </c>
      <c r="D451" s="18" t="inlineStr">
        <is>
          <t>vertical</t>
        </is>
      </c>
      <c r="E451" s="38" t="n">
        <v>100</v>
      </c>
      <c r="F451" s="38" t="n">
        <v>100</v>
      </c>
      <c r="G451" s="18" t="inlineStr">
        <is>
          <t>u/v</t>
        </is>
      </c>
      <c r="H451" s="38" t="n">
        <v>4701</v>
      </c>
      <c r="I451" s="44" t="n">
        <v>6995.2</v>
      </c>
      <c r="J451" s="38" t="n">
        <v>4701</v>
      </c>
      <c r="K451" s="44" t="n">
        <v>7095.2</v>
      </c>
      <c r="L451" s="18" t="inlineStr">
        <is>
          <t>8</t>
        </is>
      </c>
      <c r="M451" s="18" t="inlineStr"/>
      <c r="N451" s="18" t="inlineStr">
        <is>
          <t>DA4D6F</t>
        </is>
      </c>
    </row>
    <row r="452">
      <c r="A452" s="18" t="inlineStr">
        <is>
          <t>DWG0445</t>
        </is>
      </c>
      <c r="B452" s="18" t="inlineStr">
        <is>
          <t>S27</t>
        </is>
      </c>
      <c r="C452" s="18" t="inlineStr">
        <is>
          <t>27</t>
        </is>
      </c>
      <c r="D452" s="18" t="inlineStr">
        <is>
          <t>vertical</t>
        </is>
      </c>
      <c r="E452" s="38" t="n">
        <v>100</v>
      </c>
      <c r="F452" s="38" t="n">
        <v>100</v>
      </c>
      <c r="G452" s="18" t="inlineStr">
        <is>
          <t>u/v</t>
        </is>
      </c>
      <c r="H452" s="38" t="n">
        <v>4701</v>
      </c>
      <c r="I452" s="44" t="n">
        <v>7095.2</v>
      </c>
      <c r="J452" s="38" t="n">
        <v>4701</v>
      </c>
      <c r="K452" s="44" t="n">
        <v>7195.2</v>
      </c>
      <c r="L452" s="18" t="inlineStr">
        <is>
          <t>8</t>
        </is>
      </c>
      <c r="M452" s="18" t="inlineStr"/>
      <c r="N452" s="18" t="inlineStr">
        <is>
          <t>DA4D72</t>
        </is>
      </c>
    </row>
    <row r="453">
      <c r="A453" s="18" t="inlineStr">
        <is>
          <t>DWG0446</t>
        </is>
      </c>
      <c r="B453" s="18" t="inlineStr">
        <is>
          <t>S27</t>
        </is>
      </c>
      <c r="C453" s="18" t="inlineStr">
        <is>
          <t>27</t>
        </is>
      </c>
      <c r="D453" s="18" t="inlineStr">
        <is>
          <t>vertical</t>
        </is>
      </c>
      <c r="E453" s="44" t="n">
        <v>4335.5</v>
      </c>
      <c r="F453" s="38" t="n">
        <v>4335</v>
      </c>
      <c r="G453" s="18" t="inlineStr">
        <is>
          <t>u/v</t>
        </is>
      </c>
      <c r="H453" s="38" t="n">
        <v>5120</v>
      </c>
      <c r="I453" s="44" t="n">
        <v>1380.2</v>
      </c>
      <c r="J453" s="38" t="n">
        <v>5781</v>
      </c>
      <c r="K453" s="44" t="n">
        <v>5715.7</v>
      </c>
      <c r="L453" s="18" t="inlineStr">
        <is>
          <t>8</t>
        </is>
      </c>
      <c r="M453" s="18" t="inlineStr"/>
      <c r="N453" s="18" t="inlineStr">
        <is>
          <t>DA4D57</t>
        </is>
      </c>
    </row>
    <row r="454">
      <c r="A454" s="18" t="inlineStr">
        <is>
          <t>DWG0447</t>
        </is>
      </c>
      <c r="B454" s="18" t="inlineStr">
        <is>
          <t>S27</t>
        </is>
      </c>
      <c r="C454" s="18" t="inlineStr">
        <is>
          <t>27</t>
        </is>
      </c>
      <c r="D454" s="18" t="inlineStr">
        <is>
          <t>vertical</t>
        </is>
      </c>
      <c r="E454" s="38" t="n">
        <v>850</v>
      </c>
      <c r="F454" s="38" t="n">
        <v>850</v>
      </c>
      <c r="G454" s="18" t="inlineStr">
        <is>
          <t>u/v</t>
        </is>
      </c>
      <c r="H454" s="44" t="n">
        <v>6090.5</v>
      </c>
      <c r="I454" s="44" t="n">
        <v>1380.2</v>
      </c>
      <c r="J454" s="44" t="n">
        <v>6150.5</v>
      </c>
      <c r="K454" s="44" t="n">
        <v>2230.2</v>
      </c>
      <c r="L454" s="18" t="inlineStr">
        <is>
          <t>8</t>
        </is>
      </c>
      <c r="M454" s="18" t="inlineStr">
        <is>
          <t>S091</t>
        </is>
      </c>
      <c r="N454" s="18" t="inlineStr">
        <is>
          <t>DA4D30</t>
        </is>
      </c>
    </row>
    <row r="455">
      <c r="A455" s="18" t="inlineStr">
        <is>
          <t>DWG0448</t>
        </is>
      </c>
      <c r="B455" s="18" t="inlineStr">
        <is>
          <t>S27</t>
        </is>
      </c>
      <c r="C455" s="18" t="inlineStr">
        <is>
          <t>27</t>
        </is>
      </c>
      <c r="D455" s="18" t="inlineStr">
        <is>
          <t>vertical</t>
        </is>
      </c>
      <c r="E455" s="44" t="n">
        <v>4092.2</v>
      </c>
      <c r="F455" s="38" t="n">
        <v>4092</v>
      </c>
      <c r="G455" s="18" t="inlineStr">
        <is>
          <t>u/v</t>
        </is>
      </c>
      <c r="H455" s="44" t="n">
        <v>6860.5</v>
      </c>
      <c r="I455" s="44" t="n">
        <v>2910.2</v>
      </c>
      <c r="J455" s="44" t="n">
        <v>7073.5</v>
      </c>
      <c r="K455" s="44" t="n">
        <v>7002.4</v>
      </c>
      <c r="L455" s="18" t="inlineStr">
        <is>
          <t>8</t>
        </is>
      </c>
      <c r="M455" s="18" t="inlineStr"/>
      <c r="N455" s="18" t="inlineStr">
        <is>
          <t>DA4D5A</t>
        </is>
      </c>
    </row>
    <row r="456">
      <c r="A456" s="18" t="inlineStr">
        <is>
          <t>DWG0449</t>
        </is>
      </c>
      <c r="B456" s="18" t="inlineStr">
        <is>
          <t>S27</t>
        </is>
      </c>
      <c r="C456" s="18" t="inlineStr">
        <is>
          <t>27</t>
        </is>
      </c>
      <c r="D456" s="18" t="inlineStr">
        <is>
          <t>vertical</t>
        </is>
      </c>
      <c r="E456" s="38" t="n">
        <v>140</v>
      </c>
      <c r="F456" s="38" t="n">
        <v>140</v>
      </c>
      <c r="G456" s="18" t="inlineStr">
        <is>
          <t>u/v</t>
        </is>
      </c>
      <c r="H456" s="44" t="n">
        <v>6885.5</v>
      </c>
      <c r="I456" s="44" t="n">
        <v>7002.4</v>
      </c>
      <c r="J456" s="44" t="n">
        <v>6885.5</v>
      </c>
      <c r="K456" s="44" t="n">
        <v>7142.4</v>
      </c>
      <c r="L456" s="18" t="inlineStr">
        <is>
          <t>8</t>
        </is>
      </c>
      <c r="M456" s="18" t="inlineStr">
        <is>
          <t>S099</t>
        </is>
      </c>
      <c r="N456" s="18" t="inlineStr">
        <is>
          <t>DA4D21</t>
        </is>
      </c>
    </row>
    <row r="457">
      <c r="A457" s="18" t="inlineStr">
        <is>
          <t>DWG0450</t>
        </is>
      </c>
      <c r="B457" s="18" t="inlineStr">
        <is>
          <t>S27</t>
        </is>
      </c>
      <c r="C457" s="18" t="inlineStr">
        <is>
          <t>27</t>
        </is>
      </c>
      <c r="D457" s="18" t="inlineStr">
        <is>
          <t>vertical</t>
        </is>
      </c>
      <c r="E457" s="38" t="n">
        <v>140</v>
      </c>
      <c r="F457" s="38" t="n">
        <v>140</v>
      </c>
      <c r="G457" s="18" t="inlineStr">
        <is>
          <t>u/v</t>
        </is>
      </c>
      <c r="H457" s="44" t="n">
        <v>6885.5</v>
      </c>
      <c r="I457" s="44" t="n">
        <v>7002.4</v>
      </c>
      <c r="J457" s="44" t="n">
        <v>6885.5</v>
      </c>
      <c r="K457" s="44" t="n">
        <v>7142.4</v>
      </c>
      <c r="L457" s="18" t="inlineStr">
        <is>
          <t>8</t>
        </is>
      </c>
      <c r="M457" s="18" t="inlineStr">
        <is>
          <t>S099</t>
        </is>
      </c>
      <c r="N457" s="18" t="inlineStr">
        <is>
          <t>DA4D2D</t>
        </is>
      </c>
    </row>
    <row r="458">
      <c r="A458" s="18" t="inlineStr">
        <is>
          <t>DWG0451</t>
        </is>
      </c>
      <c r="B458" s="18" t="inlineStr">
        <is>
          <t>S27</t>
        </is>
      </c>
      <c r="C458" s="18" t="inlineStr">
        <is>
          <t>27</t>
        </is>
      </c>
      <c r="D458" s="18" t="inlineStr">
        <is>
          <t>vertical</t>
        </is>
      </c>
      <c r="E458" s="38" t="n">
        <v>250</v>
      </c>
      <c r="F458" s="38" t="n">
        <v>250</v>
      </c>
      <c r="G458" s="18" t="inlineStr">
        <is>
          <t>u/v</t>
        </is>
      </c>
      <c r="H458" s="44" t="n">
        <v>6885.5</v>
      </c>
      <c r="I458" s="44" t="n">
        <v>7142.4</v>
      </c>
      <c r="J458" s="44" t="n">
        <v>6910.5</v>
      </c>
      <c r="K458" s="44" t="n">
        <v>7392.4</v>
      </c>
      <c r="L458" s="18" t="inlineStr">
        <is>
          <t>8</t>
        </is>
      </c>
      <c r="M458" s="18" t="inlineStr">
        <is>
          <t>S100</t>
        </is>
      </c>
      <c r="N458" s="18" t="inlineStr">
        <is>
          <t>DA4D22</t>
        </is>
      </c>
    </row>
    <row r="459">
      <c r="A459" s="18" t="inlineStr">
        <is>
          <t>DWG0452</t>
        </is>
      </c>
      <c r="B459" s="18" t="inlineStr">
        <is>
          <t>S27</t>
        </is>
      </c>
      <c r="C459" s="18" t="inlineStr">
        <is>
          <t>27</t>
        </is>
      </c>
      <c r="D459" s="18" t="inlineStr">
        <is>
          <t>vertical</t>
        </is>
      </c>
      <c r="E459" s="38" t="n">
        <v>250</v>
      </c>
      <c r="F459" s="38" t="n">
        <v>250</v>
      </c>
      <c r="G459" s="18" t="inlineStr">
        <is>
          <t>u/v</t>
        </is>
      </c>
      <c r="H459" s="44" t="n">
        <v>6885.5</v>
      </c>
      <c r="I459" s="44" t="n">
        <v>7142.4</v>
      </c>
      <c r="J459" s="44" t="n">
        <v>6910.5</v>
      </c>
      <c r="K459" s="44" t="n">
        <v>7392.4</v>
      </c>
      <c r="L459" s="18" t="inlineStr">
        <is>
          <t>8</t>
        </is>
      </c>
      <c r="M459" s="18" t="inlineStr">
        <is>
          <t>S100</t>
        </is>
      </c>
      <c r="N459" s="18" t="inlineStr">
        <is>
          <t>DA4D2E</t>
        </is>
      </c>
    </row>
    <row r="460">
      <c r="A460" s="18" t="inlineStr">
        <is>
          <t>DWG0453</t>
        </is>
      </c>
      <c r="B460" s="18" t="inlineStr">
        <is>
          <t>S27</t>
        </is>
      </c>
      <c r="C460" s="18" t="inlineStr">
        <is>
          <t>27</t>
        </is>
      </c>
      <c r="D460" s="18" t="inlineStr">
        <is>
          <t>vertical</t>
        </is>
      </c>
      <c r="E460" s="44" t="n">
        <v>312.8</v>
      </c>
      <c r="F460" s="38" t="n">
        <v>313</v>
      </c>
      <c r="G460" s="18" t="inlineStr">
        <is>
          <t>u/v</t>
        </is>
      </c>
      <c r="H460" s="44" t="n">
        <v>6910.5</v>
      </c>
      <c r="I460" s="44" t="n">
        <v>7392.4</v>
      </c>
      <c r="J460" s="44" t="n">
        <v>7019.7</v>
      </c>
      <c r="K460" s="44" t="n">
        <v>7705.2</v>
      </c>
      <c r="L460" s="18" t="inlineStr">
        <is>
          <t>8</t>
        </is>
      </c>
      <c r="M460" s="18" t="inlineStr"/>
      <c r="N460" s="18" t="inlineStr">
        <is>
          <t>DA4D23</t>
        </is>
      </c>
    </row>
    <row r="461">
      <c r="A461" s="18" t="inlineStr">
        <is>
          <t>DWG0454</t>
        </is>
      </c>
      <c r="B461" s="18" t="inlineStr">
        <is>
          <t>S27</t>
        </is>
      </c>
      <c r="C461" s="18" t="inlineStr">
        <is>
          <t>27</t>
        </is>
      </c>
      <c r="D461" s="18" t="inlineStr">
        <is>
          <t>vertical</t>
        </is>
      </c>
      <c r="E461" s="44" t="n">
        <v>312.8</v>
      </c>
      <c r="F461" s="38" t="n">
        <v>313</v>
      </c>
      <c r="G461" s="18" t="inlineStr">
        <is>
          <t>u/v</t>
        </is>
      </c>
      <c r="H461" s="44" t="n">
        <v>6910.5</v>
      </c>
      <c r="I461" s="44" t="n">
        <v>7392.4</v>
      </c>
      <c r="J461" s="44" t="n">
        <v>7019.7</v>
      </c>
      <c r="K461" s="44" t="n">
        <v>7705.2</v>
      </c>
      <c r="L461" s="18" t="inlineStr">
        <is>
          <t>8</t>
        </is>
      </c>
      <c r="M461" s="18" t="inlineStr"/>
      <c r="N461" s="18" t="inlineStr">
        <is>
          <t>DA4D2F</t>
        </is>
      </c>
    </row>
    <row r="462">
      <c r="A462" s="18" t="inlineStr">
        <is>
          <t>DWG0455</t>
        </is>
      </c>
      <c r="B462" s="18" t="inlineStr">
        <is>
          <t>S27</t>
        </is>
      </c>
      <c r="C462" s="18" t="inlineStr">
        <is>
          <t>27</t>
        </is>
      </c>
      <c r="D462" s="18" t="inlineStr">
        <is>
          <t>vertical</t>
        </is>
      </c>
      <c r="E462" s="44" t="n">
        <v>5622.2</v>
      </c>
      <c r="F462" s="38" t="n">
        <v>5622</v>
      </c>
      <c r="G462" s="18" t="inlineStr">
        <is>
          <t>u/v</t>
        </is>
      </c>
      <c r="H462" s="44" t="n">
        <v>7148.4</v>
      </c>
      <c r="I462" s="44" t="n">
        <v>1380.2</v>
      </c>
      <c r="J462" s="44" t="n">
        <v>6885.5</v>
      </c>
      <c r="K462" s="44" t="n">
        <v>7002.4</v>
      </c>
      <c r="L462" s="18" t="inlineStr">
        <is>
          <t>8</t>
        </is>
      </c>
      <c r="M462" s="18" t="inlineStr"/>
      <c r="N462" s="18" t="inlineStr">
        <is>
          <t>DA4D20</t>
        </is>
      </c>
    </row>
    <row r="463">
      <c r="A463" s="18" t="inlineStr">
        <is>
          <t>DWG0456</t>
        </is>
      </c>
      <c r="B463" s="18" t="inlineStr">
        <is>
          <t>S27</t>
        </is>
      </c>
      <c r="C463" s="18" t="inlineStr">
        <is>
          <t>27</t>
        </is>
      </c>
      <c r="D463" s="18" t="inlineStr">
        <is>
          <t>vertical</t>
        </is>
      </c>
      <c r="E463" s="44" t="n">
        <v>5622.2</v>
      </c>
      <c r="F463" s="38" t="n">
        <v>5622</v>
      </c>
      <c r="G463" s="18" t="inlineStr">
        <is>
          <t>u/v</t>
        </is>
      </c>
      <c r="H463" s="44" t="n">
        <v>7148.4</v>
      </c>
      <c r="I463" s="44" t="n">
        <v>1380.2</v>
      </c>
      <c r="J463" s="44" t="n">
        <v>6885.5</v>
      </c>
      <c r="K463" s="44" t="n">
        <v>7002.4</v>
      </c>
      <c r="L463" s="18" t="inlineStr">
        <is>
          <t>8</t>
        </is>
      </c>
      <c r="M463" s="18" t="inlineStr"/>
      <c r="N463" s="18" t="inlineStr">
        <is>
          <t>DA4D2C</t>
        </is>
      </c>
    </row>
    <row r="464">
      <c r="A464" s="18" t="inlineStr">
        <is>
          <t>DWG0457</t>
        </is>
      </c>
      <c r="B464" s="18" t="inlineStr">
        <is>
          <t>S27</t>
        </is>
      </c>
      <c r="C464" s="18" t="inlineStr">
        <is>
          <t>27</t>
        </is>
      </c>
      <c r="D464" s="18" t="inlineStr">
        <is>
          <t>vertical</t>
        </is>
      </c>
      <c r="E464" s="38" t="n">
        <v>354</v>
      </c>
      <c r="F464" s="38" t="n">
        <v>354</v>
      </c>
      <c r="G464" s="18" t="inlineStr">
        <is>
          <t>u/v</t>
        </is>
      </c>
      <c r="H464" s="44" t="n">
        <v>7450.8</v>
      </c>
      <c r="I464" s="44" t="n">
        <v>7255.2</v>
      </c>
      <c r="J464" s="44" t="n">
        <v>7907.1</v>
      </c>
      <c r="K464" s="44" t="n">
        <v>7609.2</v>
      </c>
      <c r="L464" s="18" t="inlineStr">
        <is>
          <t>8</t>
        </is>
      </c>
      <c r="M464" s="18" t="inlineStr"/>
      <c r="N464" s="18" t="inlineStr">
        <is>
          <t>DA4D1D</t>
        </is>
      </c>
    </row>
    <row r="465">
      <c r="A465" s="18" t="inlineStr">
        <is>
          <t>DWG0458</t>
        </is>
      </c>
      <c r="B465" s="18" t="inlineStr">
        <is>
          <t>S27</t>
        </is>
      </c>
      <c r="C465" s="18" t="inlineStr">
        <is>
          <t>27</t>
        </is>
      </c>
      <c r="D465" s="18" t="inlineStr">
        <is>
          <t>vertical</t>
        </is>
      </c>
      <c r="E465" s="38" t="n">
        <v>354</v>
      </c>
      <c r="F465" s="38" t="n">
        <v>354</v>
      </c>
      <c r="G465" s="18" t="inlineStr">
        <is>
          <t>u/v</t>
        </is>
      </c>
      <c r="H465" s="44" t="n">
        <v>7450.8</v>
      </c>
      <c r="I465" s="44" t="n">
        <v>7255.2</v>
      </c>
      <c r="J465" s="44" t="n">
        <v>7907.1</v>
      </c>
      <c r="K465" s="44" t="n">
        <v>7609.2</v>
      </c>
      <c r="L465" s="18" t="inlineStr">
        <is>
          <t>8</t>
        </is>
      </c>
      <c r="M465" s="18" t="inlineStr"/>
      <c r="N465" s="18" t="inlineStr">
        <is>
          <t>DA4D29</t>
        </is>
      </c>
    </row>
    <row r="466">
      <c r="A466" s="18" t="inlineStr">
        <is>
          <t>DWG0459</t>
        </is>
      </c>
      <c r="B466" s="18" t="inlineStr">
        <is>
          <t>S27</t>
        </is>
      </c>
      <c r="C466" s="18" t="inlineStr">
        <is>
          <t>27</t>
        </is>
      </c>
      <c r="D466" s="18" t="inlineStr">
        <is>
          <t>vertical</t>
        </is>
      </c>
      <c r="E466" s="44" t="n">
        <v>1140.2</v>
      </c>
      <c r="F466" s="38" t="n">
        <v>1140</v>
      </c>
      <c r="G466" s="18" t="inlineStr">
        <is>
          <t>u/v</t>
        </is>
      </c>
      <c r="H466" s="38" t="n">
        <v>7520</v>
      </c>
      <c r="I466" s="44" t="n">
        <v>4480.7</v>
      </c>
      <c r="J466" s="44" t="n">
        <v>7545.8</v>
      </c>
      <c r="K466" s="44" t="n">
        <v>5620.9</v>
      </c>
      <c r="L466" s="18" t="inlineStr">
        <is>
          <t>8</t>
        </is>
      </c>
      <c r="M466" s="18" t="inlineStr">
        <is>
          <t>S108</t>
        </is>
      </c>
      <c r="N466" s="18" t="inlineStr">
        <is>
          <t>DA4D1A</t>
        </is>
      </c>
    </row>
    <row r="467">
      <c r="A467" s="18" t="inlineStr">
        <is>
          <t>DWG0460</t>
        </is>
      </c>
      <c r="B467" s="18" t="inlineStr">
        <is>
          <t>S27</t>
        </is>
      </c>
      <c r="C467" s="18" t="inlineStr">
        <is>
          <t>27</t>
        </is>
      </c>
      <c r="D467" s="18" t="inlineStr">
        <is>
          <t>vertical</t>
        </is>
      </c>
      <c r="E467" s="44" t="n">
        <v>1140.2</v>
      </c>
      <c r="F467" s="38" t="n">
        <v>1140</v>
      </c>
      <c r="G467" s="18" t="inlineStr">
        <is>
          <t>u/v</t>
        </is>
      </c>
      <c r="H467" s="38" t="n">
        <v>7520</v>
      </c>
      <c r="I467" s="44" t="n">
        <v>4480.7</v>
      </c>
      <c r="J467" s="44" t="n">
        <v>7545.8</v>
      </c>
      <c r="K467" s="44" t="n">
        <v>5620.9</v>
      </c>
      <c r="L467" s="18" t="inlineStr">
        <is>
          <t>8</t>
        </is>
      </c>
      <c r="M467" s="18" t="inlineStr">
        <is>
          <t>S108</t>
        </is>
      </c>
      <c r="N467" s="18" t="inlineStr">
        <is>
          <t>DA4D26</t>
        </is>
      </c>
    </row>
    <row r="468">
      <c r="A468" s="18" t="inlineStr">
        <is>
          <t>DWG0461</t>
        </is>
      </c>
      <c r="B468" s="18" t="inlineStr">
        <is>
          <t>S27</t>
        </is>
      </c>
      <c r="C468" s="18" t="inlineStr">
        <is>
          <t>27</t>
        </is>
      </c>
      <c r="D468" s="18" t="inlineStr">
        <is>
          <t>vertical</t>
        </is>
      </c>
      <c r="E468" s="38" t="n">
        <v>150</v>
      </c>
      <c r="F468" s="38" t="n">
        <v>150</v>
      </c>
      <c r="G468" s="18" t="inlineStr">
        <is>
          <t>u/v</t>
        </is>
      </c>
      <c r="H468" s="44" t="n">
        <v>7545.8</v>
      </c>
      <c r="I468" s="44" t="n">
        <v>4330.7</v>
      </c>
      <c r="J468" s="38" t="n">
        <v>7520</v>
      </c>
      <c r="K468" s="44" t="n">
        <v>4480.7</v>
      </c>
      <c r="L468" s="18" t="inlineStr">
        <is>
          <t>8</t>
        </is>
      </c>
      <c r="M468" s="18" t="inlineStr">
        <is>
          <t>S093</t>
        </is>
      </c>
      <c r="N468" s="18" t="inlineStr">
        <is>
          <t>DA4D19</t>
        </is>
      </c>
    </row>
    <row r="469">
      <c r="A469" s="18" t="inlineStr">
        <is>
          <t>DWG0462</t>
        </is>
      </c>
      <c r="B469" s="18" t="inlineStr">
        <is>
          <t>S27</t>
        </is>
      </c>
      <c r="C469" s="18" t="inlineStr">
        <is>
          <t>27</t>
        </is>
      </c>
      <c r="D469" s="18" t="inlineStr">
        <is>
          <t>vertical</t>
        </is>
      </c>
      <c r="E469" s="38" t="n">
        <v>150</v>
      </c>
      <c r="F469" s="38" t="n">
        <v>150</v>
      </c>
      <c r="G469" s="18" t="inlineStr">
        <is>
          <t>u/v</t>
        </is>
      </c>
      <c r="H469" s="44" t="n">
        <v>7545.8</v>
      </c>
      <c r="I469" s="44" t="n">
        <v>4330.7</v>
      </c>
      <c r="J469" s="38" t="n">
        <v>7520</v>
      </c>
      <c r="K469" s="44" t="n">
        <v>4480.7</v>
      </c>
      <c r="L469" s="18" t="inlineStr">
        <is>
          <t>8</t>
        </is>
      </c>
      <c r="M469" s="18" t="inlineStr">
        <is>
          <t>S093</t>
        </is>
      </c>
      <c r="N469" s="18" t="inlineStr">
        <is>
          <t>DA4D25</t>
        </is>
      </c>
    </row>
    <row r="470">
      <c r="A470" s="18" t="inlineStr">
        <is>
          <t>DWG0463</t>
        </is>
      </c>
      <c r="B470" s="18" t="inlineStr">
        <is>
          <t>S27</t>
        </is>
      </c>
      <c r="C470" s="18" t="inlineStr">
        <is>
          <t>27</t>
        </is>
      </c>
      <c r="D470" s="18" t="inlineStr">
        <is>
          <t>vertical</t>
        </is>
      </c>
      <c r="E470" s="44" t="n">
        <v>499.3</v>
      </c>
      <c r="F470" s="38" t="n">
        <v>499</v>
      </c>
      <c r="G470" s="18" t="inlineStr">
        <is>
          <t>u/v</t>
        </is>
      </c>
      <c r="H470" s="44" t="n">
        <v>7545.8</v>
      </c>
      <c r="I470" s="44" t="n">
        <v>5620.9</v>
      </c>
      <c r="J470" s="44" t="n">
        <v>7728.3</v>
      </c>
      <c r="K470" s="44" t="n">
        <v>6120.2</v>
      </c>
      <c r="L470" s="18" t="inlineStr">
        <is>
          <t>8</t>
        </is>
      </c>
      <c r="M470" s="18" t="inlineStr"/>
      <c r="N470" s="18" t="inlineStr">
        <is>
          <t>DA4D1B</t>
        </is>
      </c>
    </row>
    <row r="471">
      <c r="A471" s="18" t="inlineStr">
        <is>
          <t>DWG0464</t>
        </is>
      </c>
      <c r="B471" s="18" t="inlineStr">
        <is>
          <t>S27</t>
        </is>
      </c>
      <c r="C471" s="18" t="inlineStr">
        <is>
          <t>27</t>
        </is>
      </c>
      <c r="D471" s="18" t="inlineStr">
        <is>
          <t>vertical</t>
        </is>
      </c>
      <c r="E471" s="44" t="n">
        <v>499.3</v>
      </c>
      <c r="F471" s="38" t="n">
        <v>499</v>
      </c>
      <c r="G471" s="18" t="inlineStr">
        <is>
          <t>u/v</t>
        </is>
      </c>
      <c r="H471" s="44" t="n">
        <v>7545.8</v>
      </c>
      <c r="I471" s="44" t="n">
        <v>5620.9</v>
      </c>
      <c r="J471" s="44" t="n">
        <v>7728.3</v>
      </c>
      <c r="K471" s="44" t="n">
        <v>6120.2</v>
      </c>
      <c r="L471" s="18" t="inlineStr">
        <is>
          <t>8</t>
        </is>
      </c>
      <c r="M471" s="18" t="inlineStr"/>
      <c r="N471" s="18" t="inlineStr">
        <is>
          <t>DA4D27</t>
        </is>
      </c>
    </row>
    <row r="472">
      <c r="A472" s="18" t="inlineStr">
        <is>
          <t>DWG0465</t>
        </is>
      </c>
      <c r="B472" s="18" t="inlineStr">
        <is>
          <t>S27</t>
        </is>
      </c>
      <c r="C472" s="18" t="inlineStr">
        <is>
          <t>27</t>
        </is>
      </c>
      <c r="D472" s="18" t="inlineStr">
        <is>
          <t>vertical</t>
        </is>
      </c>
      <c r="E472" s="44" t="n">
        <v>2950.5</v>
      </c>
      <c r="F472" s="38">
        <v>2951</v>
      </c>
      <c r="G472" s="18" t="inlineStr">
        <is>
          <t>u/v</t>
        </is>
      </c>
      <c r="H472" s="44" t="n">
        <v>7655.8</v>
      </c>
      <c r="I472" s="44" t="n">
        <v>1380.2</v>
      </c>
      <c r="J472" s="44" t="n">
        <v>7545.8</v>
      </c>
      <c r="K472" s="44" t="n">
        <v>4330.7</v>
      </c>
      <c r="L472" s="18" t="inlineStr">
        <is>
          <t>8</t>
        </is>
      </c>
      <c r="M472" s="18" t="inlineStr"/>
      <c r="N472" s="18" t="inlineStr">
        <is>
          <t>DA4D18</t>
        </is>
      </c>
    </row>
    <row r="473">
      <c r="A473" s="18" t="inlineStr">
        <is>
          <t>DWG0466</t>
        </is>
      </c>
      <c r="B473" s="18" t="inlineStr">
        <is>
          <t>S27</t>
        </is>
      </c>
      <c r="C473" s="18" t="inlineStr">
        <is>
          <t>27</t>
        </is>
      </c>
      <c r="D473" s="18" t="inlineStr">
        <is>
          <t>vertical</t>
        </is>
      </c>
      <c r="E473" s="44" t="n">
        <v>2950.5</v>
      </c>
      <c r="F473" s="38">
        <v>2951</v>
      </c>
      <c r="G473" s="18" t="inlineStr">
        <is>
          <t>u/v</t>
        </is>
      </c>
      <c r="H473" s="44" t="n">
        <v>7655.8</v>
      </c>
      <c r="I473" s="44" t="n">
        <v>1380.2</v>
      </c>
      <c r="J473" s="44" t="n">
        <v>7545.8</v>
      </c>
      <c r="K473" s="44" t="n">
        <v>4330.7</v>
      </c>
      <c r="L473" s="18" t="inlineStr">
        <is>
          <t>8</t>
        </is>
      </c>
      <c r="M473" s="18" t="inlineStr"/>
      <c r="N473" s="18" t="inlineStr">
        <is>
          <t>DA4D24</t>
        </is>
      </c>
    </row>
    <row r="474">
      <c r="A474" s="18" t="inlineStr">
        <is>
          <t>DWG0467</t>
        </is>
      </c>
      <c r="B474" s="18" t="inlineStr">
        <is>
          <t>S27</t>
        </is>
      </c>
      <c r="C474" s="18" t="inlineStr">
        <is>
          <t>27</t>
        </is>
      </c>
      <c r="D474" s="18" t="inlineStr">
        <is>
          <t>vertical</t>
        </is>
      </c>
      <c r="E474" s="38" t="n">
        <v>1135</v>
      </c>
      <c r="F474" s="38" t="n">
        <v>1135</v>
      </c>
      <c r="G474" s="18" t="inlineStr">
        <is>
          <t>u/v</t>
        </is>
      </c>
      <c r="H474" s="44" t="n">
        <v>7728.3</v>
      </c>
      <c r="I474" s="44" t="n">
        <v>6120.2</v>
      </c>
      <c r="J474" s="44" t="n">
        <v>7450.8</v>
      </c>
      <c r="K474" s="44" t="n">
        <v>7255.2</v>
      </c>
      <c r="L474" s="18" t="inlineStr">
        <is>
          <t>8</t>
        </is>
      </c>
      <c r="M474" s="18" t="inlineStr"/>
      <c r="N474" s="18" t="inlineStr">
        <is>
          <t>DA4D1C</t>
        </is>
      </c>
    </row>
    <row r="475">
      <c r="A475" s="18" t="inlineStr">
        <is>
          <t>DWG0468</t>
        </is>
      </c>
      <c r="B475" s="18" t="inlineStr">
        <is>
          <t>S27</t>
        </is>
      </c>
      <c r="C475" s="18" t="inlineStr">
        <is>
          <t>27</t>
        </is>
      </c>
      <c r="D475" s="18" t="inlineStr">
        <is>
          <t>vertical</t>
        </is>
      </c>
      <c r="E475" s="38" t="n">
        <v>1135</v>
      </c>
      <c r="F475" s="38" t="n">
        <v>1135</v>
      </c>
      <c r="G475" s="18" t="inlineStr">
        <is>
          <t>u/v</t>
        </is>
      </c>
      <c r="H475" s="44" t="n">
        <v>7728.3</v>
      </c>
      <c r="I475" s="44" t="n">
        <v>6120.2</v>
      </c>
      <c r="J475" s="44" t="n">
        <v>7450.8</v>
      </c>
      <c r="K475" s="44" t="n">
        <v>7255.2</v>
      </c>
      <c r="L475" s="18" t="inlineStr">
        <is>
          <t>8</t>
        </is>
      </c>
      <c r="M475" s="18" t="inlineStr"/>
      <c r="N475" s="18" t="inlineStr">
        <is>
          <t>DA4D28</t>
        </is>
      </c>
    </row>
    <row r="476">
      <c r="A476" s="18" t="inlineStr">
        <is>
          <t>DWG0469</t>
        </is>
      </c>
      <c r="B476" s="18" t="inlineStr">
        <is>
          <t>S27</t>
        </is>
      </c>
      <c r="C476" s="18" t="inlineStr">
        <is>
          <t>27</t>
        </is>
      </c>
      <c r="D476" s="18" t="inlineStr">
        <is>
          <t>vertical</t>
        </is>
      </c>
      <c r="E476" s="38" t="n">
        <v>96</v>
      </c>
      <c r="F476" s="38" t="n">
        <v>96</v>
      </c>
      <c r="G476" s="18" t="inlineStr">
        <is>
          <t>u/v</t>
        </is>
      </c>
      <c r="H476" s="44" t="n">
        <v>7907.1</v>
      </c>
      <c r="I476" s="44" t="n">
        <v>7609.2</v>
      </c>
      <c r="J476" s="44" t="n">
        <v>7907.1</v>
      </c>
      <c r="K476" s="44" t="n">
        <v>7705.2</v>
      </c>
      <c r="L476" s="18" t="inlineStr">
        <is>
          <t>8</t>
        </is>
      </c>
      <c r="M476" s="18" t="inlineStr"/>
      <c r="N476" s="18" t="inlineStr">
        <is>
          <t>DA4D1E</t>
        </is>
      </c>
    </row>
    <row r="477">
      <c r="A477" s="18" t="inlineStr">
        <is>
          <t>DWG0470</t>
        </is>
      </c>
      <c r="B477" s="18" t="inlineStr">
        <is>
          <t>S27</t>
        </is>
      </c>
      <c r="C477" s="18" t="inlineStr">
        <is>
          <t>27</t>
        </is>
      </c>
      <c r="D477" s="18" t="inlineStr">
        <is>
          <t>vertical</t>
        </is>
      </c>
      <c r="E477" s="38" t="n">
        <v>96</v>
      </c>
      <c r="F477" s="38" t="n">
        <v>96</v>
      </c>
      <c r="G477" s="18" t="inlineStr">
        <is>
          <t>u/v</t>
        </is>
      </c>
      <c r="H477" s="44" t="n">
        <v>7907.1</v>
      </c>
      <c r="I477" s="44" t="n">
        <v>7609.2</v>
      </c>
      <c r="J477" s="44" t="n">
        <v>7907.1</v>
      </c>
      <c r="K477" s="44" t="n">
        <v>7705.2</v>
      </c>
      <c r="L477" s="18" t="inlineStr">
        <is>
          <t>8</t>
        </is>
      </c>
      <c r="M477" s="18" t="inlineStr"/>
      <c r="N477" s="18" t="inlineStr">
        <is>
          <t>DA4D2A</t>
        </is>
      </c>
    </row>
    <row r="478">
      <c r="A478" s="18" t="inlineStr">
        <is>
          <t>DWG0471</t>
        </is>
      </c>
      <c r="B478" s="18" t="inlineStr">
        <is>
          <t>S27</t>
        </is>
      </c>
      <c r="C478" s="18" t="inlineStr">
        <is>
          <t>27</t>
        </is>
      </c>
      <c r="D478" s="18" t="inlineStr">
        <is>
          <t>vertical</t>
        </is>
      </c>
      <c r="E478" s="38" t="n">
        <v>6325</v>
      </c>
      <c r="F478" s="38" t="n">
        <v>6325</v>
      </c>
      <c r="G478" s="18" t="inlineStr">
        <is>
          <t>u/v</t>
        </is>
      </c>
      <c r="H478" s="44" t="n">
        <v>8553.6</v>
      </c>
      <c r="I478" s="44" t="n">
        <v>1380.2</v>
      </c>
      <c r="J478" s="44" t="n">
        <v>8553.6</v>
      </c>
      <c r="K478" s="44" t="n">
        <v>7705.2</v>
      </c>
      <c r="L478" s="18" t="inlineStr">
        <is>
          <t>8</t>
        </is>
      </c>
      <c r="M478" s="18" t="inlineStr">
        <is>
          <t>S088 S148</t>
        </is>
      </c>
      <c r="N478" s="18" t="inlineStr">
        <is>
          <t>DA4D1F</t>
        </is>
      </c>
    </row>
    <row r="479">
      <c r="A479" s="18" t="inlineStr">
        <is>
          <t>DWG0472</t>
        </is>
      </c>
      <c r="B479" s="18" t="inlineStr">
        <is>
          <t>S27</t>
        </is>
      </c>
      <c r="C479" s="18" t="inlineStr">
        <is>
          <t>27</t>
        </is>
      </c>
      <c r="D479" s="18" t="inlineStr">
        <is>
          <t>vertical</t>
        </is>
      </c>
      <c r="E479" s="38" t="n">
        <v>6325</v>
      </c>
      <c r="F479" s="38" t="n">
        <v>6325</v>
      </c>
      <c r="G479" s="18" t="inlineStr">
        <is>
          <t>u/v</t>
        </is>
      </c>
      <c r="H479" s="44" t="n">
        <v>8553.6</v>
      </c>
      <c r="I479" s="44" t="n">
        <v>1380.2</v>
      </c>
      <c r="J479" s="44" t="n">
        <v>8553.6</v>
      </c>
      <c r="K479" s="44" t="n">
        <v>7705.2</v>
      </c>
      <c r="L479" s="18" t="inlineStr">
        <is>
          <t>8</t>
        </is>
      </c>
      <c r="M479" s="18" t="inlineStr">
        <is>
          <t>S088 S148</t>
        </is>
      </c>
      <c r="N479" s="18" t="inlineStr">
        <is>
          <t>DA4D2B</t>
        </is>
      </c>
    </row>
    <row r="480">
      <c r="A480" s="18" t="inlineStr">
        <is>
          <t>DWG0473</t>
        </is>
      </c>
      <c r="B480" s="18" t="inlineStr">
        <is>
          <t>S32</t>
        </is>
      </c>
      <c r="C480" s="18" t="inlineStr">
        <is>
          <t>32</t>
        </is>
      </c>
      <c r="D480" s="18" t="inlineStr">
        <is>
          <t>aligned</t>
        </is>
      </c>
      <c r="E480" s="44" t="n">
        <v>3110.3</v>
      </c>
      <c r="F480" s="38" t="n">
        <v>3110</v>
      </c>
      <c r="G480" s="18" t="inlineStr">
        <is>
          <t>u/v</t>
        </is>
      </c>
      <c r="H480" s="44" t="n">
        <v>3202.2</v>
      </c>
      <c r="I480" s="44" t="n">
        <v>8294.299999999999</v>
      </c>
      <c r="J480" s="44" t="n">
        <v>6256.2</v>
      </c>
      <c r="K480" s="44" t="n">
        <v>7705.1</v>
      </c>
      <c r="L480" s="18" t="inlineStr">
        <is>
          <t>9</t>
        </is>
      </c>
      <c r="M480" s="18" t="inlineStr"/>
      <c r="N480" s="18" t="inlineStr">
        <is>
          <t>DA4D98</t>
        </is>
      </c>
    </row>
    <row r="481">
      <c r="A481" s="18" t="inlineStr">
        <is>
          <t>DWG0474</t>
        </is>
      </c>
      <c r="B481" s="18" t="inlineStr">
        <is>
          <t>S32</t>
        </is>
      </c>
      <c r="C481" s="18" t="inlineStr">
        <is>
          <t>32</t>
        </is>
      </c>
      <c r="D481" s="18" t="inlineStr">
        <is>
          <t>aligned</t>
        </is>
      </c>
      <c r="E481" s="44" t="n">
        <v>2714.2</v>
      </c>
      <c r="F481" s="38" t="n">
        <v>2714</v>
      </c>
      <c r="G481" s="18" t="inlineStr">
        <is>
          <t>u/v</t>
        </is>
      </c>
      <c r="H481" s="44" t="n">
        <v>3422.2</v>
      </c>
      <c r="I481" s="44" t="n">
        <v>7817.9</v>
      </c>
      <c r="J481" s="44" t="n">
        <v>6091.2</v>
      </c>
      <c r="K481" s="44" t="n">
        <v>7324.6</v>
      </c>
      <c r="L481" s="18" t="inlineStr">
        <is>
          <t>9</t>
        </is>
      </c>
      <c r="M481" s="18" t="inlineStr"/>
      <c r="N481" s="18" t="inlineStr">
        <is>
          <t>DA4D8F</t>
        </is>
      </c>
    </row>
    <row r="482">
      <c r="A482" s="18" t="inlineStr">
        <is>
          <t>DWG0475</t>
        </is>
      </c>
      <c r="B482" s="18" t="inlineStr">
        <is>
          <t>S32</t>
        </is>
      </c>
      <c r="C482" s="18" t="inlineStr">
        <is>
          <t>32</t>
        </is>
      </c>
      <c r="D482" s="18" t="inlineStr">
        <is>
          <t>aligned</t>
        </is>
      </c>
      <c r="E482" s="38" t="n">
        <v>130</v>
      </c>
      <c r="F482" s="38" t="n">
        <v>130</v>
      </c>
      <c r="G482" s="18" t="inlineStr">
        <is>
          <t>u/v</t>
        </is>
      </c>
      <c r="H482" s="44" t="n">
        <v>5237.1</v>
      </c>
      <c r="I482" s="44" t="n">
        <v>7812.8</v>
      </c>
      <c r="J482" s="44" t="n">
        <v>5259.8</v>
      </c>
      <c r="K482" s="44" t="n">
        <v>7940.8</v>
      </c>
      <c r="L482" s="18" t="inlineStr">
        <is>
          <t>9</t>
        </is>
      </c>
      <c r="M482" s="18" t="inlineStr"/>
      <c r="N482" s="18" t="inlineStr">
        <is>
          <t>DA4D92</t>
        </is>
      </c>
    </row>
    <row r="483">
      <c r="A483" s="18" t="inlineStr">
        <is>
          <t>DWG0476</t>
        </is>
      </c>
      <c r="B483" s="18" t="inlineStr">
        <is>
          <t>S32</t>
        </is>
      </c>
      <c r="C483" s="18" t="inlineStr">
        <is>
          <t>32</t>
        </is>
      </c>
      <c r="D483" s="18" t="inlineStr">
        <is>
          <t>aligned</t>
        </is>
      </c>
      <c r="E483" s="44" t="n">
        <v>331.1</v>
      </c>
      <c r="F483" s="38" t="n">
        <v>331</v>
      </c>
      <c r="G483" s="18" t="inlineStr">
        <is>
          <t>u/v</t>
        </is>
      </c>
      <c r="H483" s="38" t="n">
        <v>5397</v>
      </c>
      <c r="I483" s="44" t="n">
        <v>7784.4</v>
      </c>
      <c r="J483" s="38" t="n">
        <v>5339</v>
      </c>
      <c r="K483" s="44" t="n">
        <v>7458.4</v>
      </c>
      <c r="L483" s="18" t="inlineStr">
        <is>
          <t>9</t>
        </is>
      </c>
      <c r="M483" s="18" t="inlineStr"/>
      <c r="N483" s="18" t="inlineStr">
        <is>
          <t>DA4D95</t>
        </is>
      </c>
    </row>
    <row r="484">
      <c r="A484" s="18" t="inlineStr">
        <is>
          <t>DWG0477</t>
        </is>
      </c>
      <c r="B484" s="18" t="inlineStr">
        <is>
          <t>S32</t>
        </is>
      </c>
      <c r="C484" s="18" t="inlineStr">
        <is>
          <t>32</t>
        </is>
      </c>
      <c r="D484" s="18" t="inlineStr">
        <is>
          <t>horizontal</t>
        </is>
      </c>
      <c r="E484" s="38" t="n">
        <v>3054</v>
      </c>
      <c r="F484" s="38" t="n">
        <v>3054</v>
      </c>
      <c r="G484" s="18" t="inlineStr">
        <is>
          <t>u/v</t>
        </is>
      </c>
      <c r="H484" s="44" t="n">
        <v>3202.2</v>
      </c>
      <c r="I484" s="44" t="n">
        <v>896.7</v>
      </c>
      <c r="J484" s="44" t="n">
        <v>6256.2</v>
      </c>
      <c r="K484" s="44" t="n">
        <v>896.7</v>
      </c>
      <c r="L484" s="18" t="inlineStr">
        <is>
          <t>9</t>
        </is>
      </c>
      <c r="M484" s="18" t="inlineStr"/>
      <c r="N484" s="18" t="inlineStr">
        <is>
          <t>DA30B2</t>
        </is>
      </c>
    </row>
    <row r="485">
      <c r="A485" s="18" t="inlineStr">
        <is>
          <t>DWG0478</t>
        </is>
      </c>
      <c r="B485" s="18" t="inlineStr">
        <is>
          <t>S32</t>
        </is>
      </c>
      <c r="C485" s="18" t="inlineStr">
        <is>
          <t>32</t>
        </is>
      </c>
      <c r="D485" s="18" t="inlineStr">
        <is>
          <t>horizontal</t>
        </is>
      </c>
      <c r="E485" s="38" t="n">
        <v>220</v>
      </c>
      <c r="F485" s="38" t="n">
        <v>220</v>
      </c>
      <c r="G485" s="18" t="inlineStr">
        <is>
          <t>u/v</t>
        </is>
      </c>
      <c r="H485" s="44" t="n">
        <v>3312.2</v>
      </c>
      <c r="I485" s="44" t="n">
        <v>1380.1</v>
      </c>
      <c r="J485" s="44" t="n">
        <v>3092.2</v>
      </c>
      <c r="K485" s="44" t="n">
        <v>1380.1</v>
      </c>
      <c r="L485" s="18" t="inlineStr">
        <is>
          <t>9</t>
        </is>
      </c>
      <c r="M485" s="18" t="inlineStr">
        <is>
          <t>S131</t>
        </is>
      </c>
      <c r="N485" s="18" t="inlineStr">
        <is>
          <t>DA30B5</t>
        </is>
      </c>
    </row>
    <row r="486">
      <c r="A486" s="18" t="inlineStr">
        <is>
          <t>DWG0479</t>
        </is>
      </c>
      <c r="B486" s="18" t="inlineStr">
        <is>
          <t>S32</t>
        </is>
      </c>
      <c r="C486" s="18" t="inlineStr">
        <is>
          <t>32</t>
        </is>
      </c>
      <c r="D486" s="18" t="inlineStr">
        <is>
          <t>horizontal</t>
        </is>
      </c>
      <c r="E486" s="38" t="n">
        <v>2559</v>
      </c>
      <c r="F486" s="38" t="n">
        <v>2559</v>
      </c>
      <c r="G486" s="18" t="inlineStr">
        <is>
          <t>u/v</t>
        </is>
      </c>
      <c r="H486" s="44" t="n">
        <v>3422.2</v>
      </c>
      <c r="I486" s="44" t="n">
        <v>1380.1</v>
      </c>
      <c r="J486" s="44" t="n">
        <v>5981.2</v>
      </c>
      <c r="K486" s="44" t="n">
        <v>1380.1</v>
      </c>
      <c r="L486" s="18" t="inlineStr">
        <is>
          <t>9</t>
        </is>
      </c>
      <c r="M486" s="18" t="inlineStr"/>
      <c r="N486" s="18" t="inlineStr">
        <is>
          <t>DA30B1</t>
        </is>
      </c>
    </row>
    <row r="487">
      <c r="A487" s="18" t="inlineStr">
        <is>
          <t>DWG0480</t>
        </is>
      </c>
      <c r="B487" s="18" t="inlineStr">
        <is>
          <t>S32</t>
        </is>
      </c>
      <c r="C487" s="18" t="inlineStr">
        <is>
          <t>32</t>
        </is>
      </c>
      <c r="D487" s="18" t="inlineStr">
        <is>
          <t>horizontal</t>
        </is>
      </c>
      <c r="E487" s="38" t="n">
        <v>330</v>
      </c>
      <c r="F487" s="38" t="n">
        <v>330</v>
      </c>
      <c r="G487" s="18" t="inlineStr">
        <is>
          <t>u/v</t>
        </is>
      </c>
      <c r="H487" s="44" t="n">
        <v>6091.2</v>
      </c>
      <c r="I487" s="44" t="n">
        <v>1380.1</v>
      </c>
      <c r="J487" s="44" t="n">
        <v>6421.2</v>
      </c>
      <c r="K487" s="44" t="n">
        <v>1380.1</v>
      </c>
      <c r="L487" s="18" t="inlineStr">
        <is>
          <t>9</t>
        </is>
      </c>
      <c r="M487" s="18" t="inlineStr"/>
      <c r="N487" s="18" t="inlineStr">
        <is>
          <t>DA30B8</t>
        </is>
      </c>
    </row>
    <row r="488">
      <c r="A488" s="18" t="inlineStr">
        <is>
          <t>DWG0481</t>
        </is>
      </c>
      <c r="B488" s="18" t="inlineStr">
        <is>
          <t>S32</t>
        </is>
      </c>
      <c r="C488" s="18" t="inlineStr">
        <is>
          <t>32</t>
        </is>
      </c>
      <c r="D488" s="18" t="inlineStr">
        <is>
          <t>horizontal</t>
        </is>
      </c>
      <c r="E488" s="38" t="n">
        <v>2419</v>
      </c>
      <c r="F488" s="38" t="n">
        <v>2419</v>
      </c>
      <c r="G488" s="18" t="inlineStr">
        <is>
          <t>u/v</t>
        </is>
      </c>
      <c r="H488" s="44" t="n">
        <v>3492.2</v>
      </c>
      <c r="I488" s="44" t="n">
        <v>5715.6</v>
      </c>
      <c r="J488" s="44" t="n">
        <v>5911.2</v>
      </c>
      <c r="K488" s="44" t="n">
        <v>5715.6</v>
      </c>
      <c r="L488" s="18" t="inlineStr">
        <is>
          <t>9</t>
        </is>
      </c>
      <c r="M488" s="18" t="inlineStr"/>
      <c r="N488" s="18" t="inlineStr">
        <is>
          <t>DA4D7E</t>
        </is>
      </c>
    </row>
    <row r="489">
      <c r="A489" s="18" t="inlineStr">
        <is>
          <t>DWG0482</t>
        </is>
      </c>
      <c r="B489" s="18" t="inlineStr">
        <is>
          <t>S32</t>
        </is>
      </c>
      <c r="C489" s="18" t="inlineStr">
        <is>
          <t>32</t>
        </is>
      </c>
      <c r="D489" s="18" t="inlineStr">
        <is>
          <t>horizontal</t>
        </is>
      </c>
      <c r="E489" s="38" t="n">
        <v>440</v>
      </c>
      <c r="F489" s="38" t="n">
        <v>440</v>
      </c>
      <c r="G489" s="18" t="inlineStr">
        <is>
          <t>u/v</t>
        </is>
      </c>
      <c r="H489" s="44" t="n">
        <v>6091.2</v>
      </c>
      <c r="I489" s="44" t="n">
        <v>6476.9</v>
      </c>
      <c r="J489" s="44" t="n">
        <v>6531.2</v>
      </c>
      <c r="K489" s="44" t="n">
        <v>6476.9</v>
      </c>
      <c r="L489" s="18" t="inlineStr">
        <is>
          <t>9</t>
        </is>
      </c>
      <c r="M489" s="18" t="inlineStr"/>
      <c r="N489" s="18" t="inlineStr">
        <is>
          <t>DA30BB</t>
        </is>
      </c>
    </row>
    <row r="490">
      <c r="A490" s="18" t="inlineStr">
        <is>
          <t>DWG0483</t>
        </is>
      </c>
      <c r="B490" s="18" t="inlineStr">
        <is>
          <t>S32</t>
        </is>
      </c>
      <c r="C490" s="18" t="inlineStr">
        <is>
          <t>32</t>
        </is>
      </c>
      <c r="D490" s="18" t="inlineStr">
        <is>
          <t>horizontal</t>
        </is>
      </c>
      <c r="E490" s="38" t="n">
        <v>50</v>
      </c>
      <c r="F490" s="38" t="n">
        <v>50</v>
      </c>
      <c r="G490" s="18" t="inlineStr">
        <is>
          <t>u/v</t>
        </is>
      </c>
      <c r="H490" s="44" t="n">
        <v>6531.2</v>
      </c>
      <c r="I490" s="44" t="n">
        <v>7002.4</v>
      </c>
      <c r="J490" s="44" t="n">
        <v>6581.2</v>
      </c>
      <c r="K490" s="44" t="n">
        <v>7002.4</v>
      </c>
      <c r="L490" s="18" t="inlineStr">
        <is>
          <t>9</t>
        </is>
      </c>
      <c r="M490" s="18" t="inlineStr"/>
      <c r="N490" s="18" t="inlineStr">
        <is>
          <t>DA4D33</t>
        </is>
      </c>
    </row>
    <row r="491">
      <c r="A491" s="18" t="inlineStr">
        <is>
          <t>DWG0484</t>
        </is>
      </c>
      <c r="B491" s="18" t="inlineStr">
        <is>
          <t>S32</t>
        </is>
      </c>
      <c r="C491" s="18" t="inlineStr">
        <is>
          <t>32</t>
        </is>
      </c>
      <c r="D491" s="18" t="inlineStr">
        <is>
          <t>horizontal</t>
        </is>
      </c>
      <c r="E491" s="38" t="n">
        <v>25</v>
      </c>
      <c r="F491" s="38" t="n">
        <v>25</v>
      </c>
      <c r="G491" s="18" t="inlineStr">
        <is>
          <t>u/v</t>
        </is>
      </c>
      <c r="H491" s="44" t="n">
        <v>6861.2</v>
      </c>
      <c r="I491" s="44" t="n">
        <v>7002.4</v>
      </c>
      <c r="J491" s="44" t="n">
        <v>6886.2</v>
      </c>
      <c r="K491" s="44" t="n">
        <v>7002.4</v>
      </c>
      <c r="L491" s="18" t="inlineStr">
        <is>
          <t>9</t>
        </is>
      </c>
      <c r="M491" s="18" t="inlineStr"/>
      <c r="N491" s="18" t="inlineStr">
        <is>
          <t>DA4D36</t>
        </is>
      </c>
    </row>
    <row r="492">
      <c r="A492" s="18" t="inlineStr">
        <is>
          <t>DWG0485</t>
        </is>
      </c>
      <c r="B492" s="18" t="inlineStr">
        <is>
          <t>S32</t>
        </is>
      </c>
      <c r="C492" s="18" t="inlineStr">
        <is>
          <t>32</t>
        </is>
      </c>
      <c r="D492" s="18" t="inlineStr">
        <is>
          <t>horizontal</t>
        </is>
      </c>
      <c r="E492" s="38" t="n">
        <v>235</v>
      </c>
      <c r="F492" s="38" t="n">
        <v>235</v>
      </c>
      <c r="G492" s="18" t="inlineStr">
        <is>
          <t>u/v</t>
        </is>
      </c>
      <c r="H492" s="44" t="n">
        <v>6326.2</v>
      </c>
      <c r="I492" s="44" t="n">
        <v>7255.1</v>
      </c>
      <c r="J492" s="44" t="n">
        <v>6091.2</v>
      </c>
      <c r="K492" s="44" t="n">
        <v>7255.1</v>
      </c>
      <c r="L492" s="18" t="inlineStr">
        <is>
          <t>9</t>
        </is>
      </c>
      <c r="M492" s="18" t="inlineStr"/>
      <c r="N492" s="18" t="inlineStr">
        <is>
          <t>DA30BE</t>
        </is>
      </c>
    </row>
    <row r="493">
      <c r="A493" s="18" t="inlineStr">
        <is>
          <t>DWG0486</t>
        </is>
      </c>
      <c r="B493" s="18" t="inlineStr">
        <is>
          <t>S32</t>
        </is>
      </c>
      <c r="C493" s="18" t="inlineStr">
        <is>
          <t>32</t>
        </is>
      </c>
      <c r="D493" s="18" t="inlineStr">
        <is>
          <t>horizontal</t>
        </is>
      </c>
      <c r="E493" s="38" t="n">
        <v>50</v>
      </c>
      <c r="F493" s="38" t="n">
        <v>50</v>
      </c>
      <c r="G493" s="18" t="inlineStr">
        <is>
          <t>u/v</t>
        </is>
      </c>
      <c r="H493" s="44" t="n">
        <v>6531.2</v>
      </c>
      <c r="I493" s="44" t="n">
        <v>7392.4</v>
      </c>
      <c r="J493" s="44" t="n">
        <v>6581.2</v>
      </c>
      <c r="K493" s="44" t="n">
        <v>7392.4</v>
      </c>
      <c r="L493" s="18" t="inlineStr">
        <is>
          <t>9</t>
        </is>
      </c>
      <c r="M493" s="18" t="inlineStr"/>
      <c r="N493" s="18" t="inlineStr">
        <is>
          <t>DA4D39</t>
        </is>
      </c>
    </row>
    <row r="494">
      <c r="A494" s="18" t="inlineStr">
        <is>
          <t>DWG0487</t>
        </is>
      </c>
      <c r="B494" s="18" t="inlineStr">
        <is>
          <t>S32</t>
        </is>
      </c>
      <c r="C494" s="18" t="inlineStr">
        <is>
          <t>32</t>
        </is>
      </c>
      <c r="D494" s="18" t="inlineStr">
        <is>
          <t>horizontal</t>
        </is>
      </c>
      <c r="E494" s="44" t="n">
        <v>102.9</v>
      </c>
      <c r="F494" s="38" t="n">
        <v>103</v>
      </c>
      <c r="G494" s="18" t="inlineStr">
        <is>
          <t>u/v</t>
        </is>
      </c>
      <c r="H494" s="44" t="n">
        <v>6681.3</v>
      </c>
      <c r="I494" s="44" t="n">
        <v>7597.8</v>
      </c>
      <c r="J494" s="44" t="n">
        <v>6784.2</v>
      </c>
      <c r="K494" s="44" t="n">
        <v>7609.1</v>
      </c>
      <c r="L494" s="18" t="inlineStr">
        <is>
          <t>9</t>
        </is>
      </c>
      <c r="M494" s="18" t="inlineStr"/>
      <c r="N494" s="18" t="inlineStr">
        <is>
          <t>DA4D3C</t>
        </is>
      </c>
    </row>
    <row r="495">
      <c r="A495" s="18" t="inlineStr">
        <is>
          <t>DWG0488</t>
        </is>
      </c>
      <c r="B495" s="18" t="inlineStr">
        <is>
          <t>S32</t>
        </is>
      </c>
      <c r="C495" s="18" t="inlineStr">
        <is>
          <t>32</t>
        </is>
      </c>
      <c r="D495" s="18" t="inlineStr">
        <is>
          <t>horizontal</t>
        </is>
      </c>
      <c r="E495" s="44" t="n">
        <v>51.2</v>
      </c>
      <c r="F495" s="38" t="n">
        <v>51</v>
      </c>
      <c r="G495" s="18" t="inlineStr">
        <is>
          <t>u/v</t>
        </is>
      </c>
      <c r="H495" s="44" t="n">
        <v>7011.3</v>
      </c>
      <c r="I495" s="44" t="n">
        <v>7608.1</v>
      </c>
      <c r="J495" s="44" t="n">
        <v>7062.5</v>
      </c>
      <c r="K495" s="44" t="n">
        <v>7609.1</v>
      </c>
      <c r="L495" s="18" t="inlineStr">
        <is>
          <t>9</t>
        </is>
      </c>
      <c r="M495" s="18" t="inlineStr"/>
      <c r="N495" s="18" t="inlineStr">
        <is>
          <t>DA4D3F</t>
        </is>
      </c>
    </row>
    <row r="496">
      <c r="A496" s="18" t="inlineStr">
        <is>
          <t>DWG0489</t>
        </is>
      </c>
      <c r="B496" s="18" t="inlineStr">
        <is>
          <t>S32</t>
        </is>
      </c>
      <c r="C496" s="18" t="inlineStr">
        <is>
          <t>32</t>
        </is>
      </c>
      <c r="D496" s="18" t="inlineStr">
        <is>
          <t>horizontal</t>
        </is>
      </c>
      <c r="E496" s="44" t="n">
        <v>694.4</v>
      </c>
      <c r="F496" s="38" t="n">
        <v>694</v>
      </c>
      <c r="G496" s="18" t="inlineStr">
        <is>
          <t>u/v</t>
        </is>
      </c>
      <c r="H496" s="44" t="n">
        <v>6091.2</v>
      </c>
      <c r="I496" s="44" t="n">
        <v>7617.6</v>
      </c>
      <c r="J496" s="44" t="n">
        <v>6785.7</v>
      </c>
      <c r="K496" s="44" t="n">
        <v>7663.6</v>
      </c>
      <c r="L496" s="18" t="inlineStr">
        <is>
          <t>9</t>
        </is>
      </c>
      <c r="M496" s="18" t="inlineStr"/>
      <c r="N496" s="18" t="inlineStr">
        <is>
          <t>DA4D54</t>
        </is>
      </c>
    </row>
    <row r="497">
      <c r="A497" s="18" t="inlineStr">
        <is>
          <t>DWG0490</t>
        </is>
      </c>
      <c r="B497" s="18" t="inlineStr">
        <is>
          <t>S32</t>
        </is>
      </c>
      <c r="C497" s="18" t="inlineStr">
        <is>
          <t>32</t>
        </is>
      </c>
      <c r="D497" s="18" t="inlineStr">
        <is>
          <t>horizontal</t>
        </is>
      </c>
      <c r="E497" s="38" t="n">
        <v>220</v>
      </c>
      <c r="F497" s="38" t="n">
        <v>220</v>
      </c>
      <c r="G497" s="18" t="inlineStr">
        <is>
          <t>u/v</t>
        </is>
      </c>
      <c r="H497" s="44" t="n">
        <v>3202.2</v>
      </c>
      <c r="I497" s="44" t="n">
        <v>7817.9</v>
      </c>
      <c r="J497" s="44" t="n">
        <v>3422.2</v>
      </c>
      <c r="K497" s="44" t="n">
        <v>7817.9</v>
      </c>
      <c r="L497" s="18" t="inlineStr">
        <is>
          <t>9</t>
        </is>
      </c>
      <c r="M497" s="18" t="inlineStr">
        <is>
          <t>S131</t>
        </is>
      </c>
      <c r="N497" s="18" t="inlineStr">
        <is>
          <t>DA30C1</t>
        </is>
      </c>
    </row>
    <row r="498">
      <c r="A498" s="18" t="inlineStr">
        <is>
          <t>DWG0491</t>
        </is>
      </c>
      <c r="B498" s="18" t="inlineStr">
        <is>
          <t>S32</t>
        </is>
      </c>
      <c r="C498" s="18" t="inlineStr">
        <is>
          <t>32</t>
        </is>
      </c>
      <c r="D498" s="18" t="inlineStr">
        <is>
          <t>vertical</t>
        </is>
      </c>
      <c r="E498" s="38" t="n">
        <v>7130</v>
      </c>
      <c r="F498" s="38" t="n">
        <v>7130</v>
      </c>
      <c r="G498" s="18" t="inlineStr">
        <is>
          <t>u/v</t>
        </is>
      </c>
      <c r="H498" s="44" t="n">
        <v>2441.6</v>
      </c>
      <c r="I498" s="44" t="n">
        <v>1380.1</v>
      </c>
      <c r="J498" s="44" t="n">
        <v>2406.3</v>
      </c>
      <c r="K498" s="44" t="n">
        <v>8510.1</v>
      </c>
      <c r="L498" s="18" t="inlineStr">
        <is>
          <t>9</t>
        </is>
      </c>
      <c r="M498" s="18" t="inlineStr"/>
      <c r="N498" s="18" t="inlineStr">
        <is>
          <t>DA3543</t>
        </is>
      </c>
    </row>
    <row r="499">
      <c r="A499" s="18" t="inlineStr">
        <is>
          <t>DWG0492</t>
        </is>
      </c>
      <c r="B499" s="18" t="inlineStr">
        <is>
          <t>S32</t>
        </is>
      </c>
      <c r="C499" s="18" t="inlineStr">
        <is>
          <t>32</t>
        </is>
      </c>
      <c r="D499" s="18" t="inlineStr">
        <is>
          <t>vertical</t>
        </is>
      </c>
      <c r="E499" s="38" t="n">
        <v>90</v>
      </c>
      <c r="F499" s="38" t="n">
        <v>90</v>
      </c>
      <c r="G499" s="18" t="inlineStr">
        <is>
          <t>u/v</t>
        </is>
      </c>
      <c r="H499" s="44" t="n">
        <v>2939.9</v>
      </c>
      <c r="I499" s="44" t="n">
        <v>4240.6</v>
      </c>
      <c r="J499" s="44" t="n">
        <v>3092.2</v>
      </c>
      <c r="K499" s="44" t="n">
        <v>4330.6</v>
      </c>
      <c r="L499" s="18" t="inlineStr">
        <is>
          <t>9</t>
        </is>
      </c>
      <c r="M499" s="18" t="inlineStr"/>
      <c r="N499" s="18" t="inlineStr">
        <is>
          <t>DA3529</t>
        </is>
      </c>
    </row>
    <row r="500">
      <c r="A500" s="18" t="inlineStr">
        <is>
          <t>DWG0493</t>
        </is>
      </c>
      <c r="B500" s="18" t="inlineStr">
        <is>
          <t>S32</t>
        </is>
      </c>
      <c r="C500" s="18" t="inlineStr">
        <is>
          <t>32</t>
        </is>
      </c>
      <c r="D500" s="18" t="inlineStr">
        <is>
          <t>vertical</t>
        </is>
      </c>
      <c r="E500" s="44" t="n">
        <v>2860.5</v>
      </c>
      <c r="F500" s="38">
        <v>2861</v>
      </c>
      <c r="G500" s="18" t="inlineStr">
        <is>
          <t>u/v</t>
        </is>
      </c>
      <c r="H500" s="44" t="n">
        <v>3092.2</v>
      </c>
      <c r="I500" s="44" t="n">
        <v>1380.1</v>
      </c>
      <c r="J500" s="44" t="n">
        <v>2939.9</v>
      </c>
      <c r="K500" s="44" t="n">
        <v>4240.6</v>
      </c>
      <c r="L500" s="18" t="inlineStr">
        <is>
          <t>9</t>
        </is>
      </c>
      <c r="M500" s="18" t="inlineStr"/>
      <c r="N500" s="18" t="inlineStr">
        <is>
          <t>DA3528</t>
        </is>
      </c>
    </row>
    <row r="501">
      <c r="A501" s="18" t="inlineStr">
        <is>
          <t>DWG0494</t>
        </is>
      </c>
      <c r="B501" s="18" t="inlineStr">
        <is>
          <t>S32</t>
        </is>
      </c>
      <c r="C501" s="18" t="inlineStr">
        <is>
          <t>32</t>
        </is>
      </c>
      <c r="D501" s="18" t="inlineStr">
        <is>
          <t>vertical</t>
        </is>
      </c>
      <c r="E501" s="38" t="n">
        <v>220</v>
      </c>
      <c r="F501" s="38" t="n">
        <v>220</v>
      </c>
      <c r="G501" s="18" t="inlineStr">
        <is>
          <t>u/v</t>
        </is>
      </c>
      <c r="H501" s="44" t="n">
        <v>3092.2</v>
      </c>
      <c r="I501" s="44" t="n">
        <v>4330.6</v>
      </c>
      <c r="J501" s="44" t="n">
        <v>3092.2</v>
      </c>
      <c r="K501" s="44" t="n">
        <v>4550.6</v>
      </c>
      <c r="L501" s="18" t="inlineStr">
        <is>
          <t>9</t>
        </is>
      </c>
      <c r="M501" s="18" t="inlineStr">
        <is>
          <t>S131</t>
        </is>
      </c>
      <c r="N501" s="18" t="inlineStr">
        <is>
          <t>DA352A</t>
        </is>
      </c>
    </row>
    <row r="502">
      <c r="A502" s="18" t="inlineStr">
        <is>
          <t>DWG0495</t>
        </is>
      </c>
      <c r="B502" s="18" t="inlineStr">
        <is>
          <t>S32</t>
        </is>
      </c>
      <c r="C502" s="18" t="inlineStr">
        <is>
          <t>32</t>
        </is>
      </c>
      <c r="D502" s="18" t="inlineStr">
        <is>
          <t>vertical</t>
        </is>
      </c>
      <c r="E502" s="38" t="n">
        <v>965</v>
      </c>
      <c r="F502" s="38" t="n">
        <v>965</v>
      </c>
      <c r="G502" s="18" t="inlineStr">
        <is>
          <t>u/v</t>
        </is>
      </c>
      <c r="H502" s="44" t="n">
        <v>3092.2</v>
      </c>
      <c r="I502" s="44" t="n">
        <v>4550.6</v>
      </c>
      <c r="J502" s="44" t="n">
        <v>3092.2</v>
      </c>
      <c r="K502" s="44" t="n">
        <v>5515.6</v>
      </c>
      <c r="L502" s="18" t="inlineStr">
        <is>
          <t>9</t>
        </is>
      </c>
      <c r="M502" s="18" t="inlineStr"/>
      <c r="N502" s="18" t="inlineStr">
        <is>
          <t>DA352F</t>
        </is>
      </c>
    </row>
    <row r="503">
      <c r="A503" s="18" t="inlineStr">
        <is>
          <t>DWG0496</t>
        </is>
      </c>
      <c r="B503" s="18" t="inlineStr">
        <is>
          <t>S32</t>
        </is>
      </c>
      <c r="C503" s="18" t="inlineStr">
        <is>
          <t>32</t>
        </is>
      </c>
      <c r="D503" s="18" t="inlineStr">
        <is>
          <t>vertical</t>
        </is>
      </c>
      <c r="E503" s="44" t="n">
        <v>2302.3</v>
      </c>
      <c r="F503" s="38" t="n">
        <v>2302</v>
      </c>
      <c r="G503" s="18" t="inlineStr">
        <is>
          <t>u/v</t>
        </is>
      </c>
      <c r="H503" s="44" t="n">
        <v>3092.2</v>
      </c>
      <c r="I503" s="44" t="n">
        <v>5515.6</v>
      </c>
      <c r="J503" s="44" t="n">
        <v>2478.3</v>
      </c>
      <c r="K503" s="44" t="n">
        <v>7817.9</v>
      </c>
      <c r="L503" s="18" t="inlineStr">
        <is>
          <t>9</t>
        </is>
      </c>
      <c r="M503" s="18" t="inlineStr"/>
      <c r="N503" s="18" t="inlineStr">
        <is>
          <t>DA3532</t>
        </is>
      </c>
    </row>
    <row r="504">
      <c r="A504" s="18" t="inlineStr">
        <is>
          <t>DWG0497</t>
        </is>
      </c>
      <c r="B504" s="18" t="inlineStr">
        <is>
          <t>S32</t>
        </is>
      </c>
      <c r="C504" s="18" t="inlineStr">
        <is>
          <t>32</t>
        </is>
      </c>
      <c r="D504" s="18" t="inlineStr">
        <is>
          <t>vertical</t>
        </is>
      </c>
      <c r="E504" s="44" t="n">
        <v>215.8</v>
      </c>
      <c r="F504" s="38" t="n">
        <v>216</v>
      </c>
      <c r="G504" s="18" t="inlineStr">
        <is>
          <t>u/v</t>
        </is>
      </c>
      <c r="H504" s="44" t="n">
        <v>3272.2</v>
      </c>
      <c r="I504" s="44" t="n">
        <v>8294.299999999999</v>
      </c>
      <c r="J504" s="44" t="n">
        <v>3202.2</v>
      </c>
      <c r="K504" s="44" t="n">
        <v>8510.1</v>
      </c>
      <c r="L504" s="18" t="inlineStr">
        <is>
          <t>9</t>
        </is>
      </c>
      <c r="M504" s="18" t="inlineStr"/>
      <c r="N504" s="18" t="inlineStr">
        <is>
          <t>DA30A6</t>
        </is>
      </c>
    </row>
    <row r="505">
      <c r="A505" s="18" t="inlineStr">
        <is>
          <t>DWG0498</t>
        </is>
      </c>
      <c r="B505" s="18" t="inlineStr">
        <is>
          <t>S32</t>
        </is>
      </c>
      <c r="C505" s="18" t="inlineStr">
        <is>
          <t>32</t>
        </is>
      </c>
      <c r="D505" s="18" t="inlineStr">
        <is>
          <t>vertical</t>
        </is>
      </c>
      <c r="E505" s="44" t="n">
        <v>476.4</v>
      </c>
      <c r="F505" s="38" t="n">
        <v>476</v>
      </c>
      <c r="G505" s="18" t="inlineStr">
        <is>
          <t>u/v</t>
        </is>
      </c>
      <c r="H505" s="44" t="n">
        <v>3273.3</v>
      </c>
      <c r="I505" s="44" t="n">
        <v>7817.9</v>
      </c>
      <c r="J505" s="44" t="n">
        <v>3272.2</v>
      </c>
      <c r="K505" s="44" t="n">
        <v>8294.299999999999</v>
      </c>
      <c r="L505" s="18" t="inlineStr">
        <is>
          <t>9</t>
        </is>
      </c>
      <c r="M505" s="18" t="inlineStr"/>
      <c r="N505" s="18" t="inlineStr">
        <is>
          <t>DA30A3</t>
        </is>
      </c>
    </row>
    <row r="506">
      <c r="A506" s="18" t="inlineStr">
        <is>
          <t>DWG0499</t>
        </is>
      </c>
      <c r="B506" s="18" t="inlineStr">
        <is>
          <t>S32</t>
        </is>
      </c>
      <c r="C506" s="18" t="inlineStr">
        <is>
          <t>32</t>
        </is>
      </c>
      <c r="D506" s="18" t="inlineStr">
        <is>
          <t>vertical</t>
        </is>
      </c>
      <c r="E506" s="44" t="n">
        <v>1279.5</v>
      </c>
      <c r="F506" s="38" t="n">
        <v>1280</v>
      </c>
      <c r="G506" s="18" t="inlineStr">
        <is>
          <t>u/v</t>
        </is>
      </c>
      <c r="H506" s="44" t="n">
        <v>3621.7</v>
      </c>
      <c r="I506" s="44" t="n">
        <v>5715.6</v>
      </c>
      <c r="J506" s="44" t="n">
        <v>4701.7</v>
      </c>
      <c r="K506" s="44" t="n">
        <v>6995.1</v>
      </c>
      <c r="L506" s="18" t="inlineStr">
        <is>
          <t>9</t>
        </is>
      </c>
      <c r="M506" s="18" t="inlineStr"/>
      <c r="N506" s="18" t="inlineStr">
        <is>
          <t>DA3538</t>
        </is>
      </c>
    </row>
    <row r="507">
      <c r="A507" s="18" t="inlineStr">
        <is>
          <t>DWG0500</t>
        </is>
      </c>
      <c r="B507" s="18" t="inlineStr">
        <is>
          <t>S32</t>
        </is>
      </c>
      <c r="C507" s="18" t="inlineStr">
        <is>
          <t>32</t>
        </is>
      </c>
      <c r="D507" s="18" t="inlineStr">
        <is>
          <t>vertical</t>
        </is>
      </c>
      <c r="E507" s="44" t="n">
        <v>4335.5</v>
      </c>
      <c r="F507" s="38" t="n">
        <v>4335</v>
      </c>
      <c r="G507" s="18" t="inlineStr">
        <is>
          <t>u/v</t>
        </is>
      </c>
      <c r="H507" s="44" t="n">
        <v>3737.8</v>
      </c>
      <c r="I507" s="44" t="n">
        <v>1380.1</v>
      </c>
      <c r="J507" s="44" t="n">
        <v>3621.7</v>
      </c>
      <c r="K507" s="44" t="n">
        <v>5715.6</v>
      </c>
      <c r="L507" s="18" t="inlineStr">
        <is>
          <t>9</t>
        </is>
      </c>
      <c r="M507" s="18" t="inlineStr"/>
      <c r="N507" s="18" t="inlineStr">
        <is>
          <t>DA3535</t>
        </is>
      </c>
    </row>
    <row r="508">
      <c r="A508" s="18" t="inlineStr">
        <is>
          <t>DWG0501</t>
        </is>
      </c>
      <c r="B508" s="18" t="inlineStr">
        <is>
          <t>S32</t>
        </is>
      </c>
      <c r="C508" s="18" t="inlineStr">
        <is>
          <t>32</t>
        </is>
      </c>
      <c r="D508" s="18" t="inlineStr">
        <is>
          <t>vertical</t>
        </is>
      </c>
      <c r="E508" s="44" t="n">
        <v>1209.5</v>
      </c>
      <c r="F508" s="38" t="n">
        <v>1210</v>
      </c>
      <c r="G508" s="18" t="inlineStr">
        <is>
          <t>u/v</t>
        </is>
      </c>
      <c r="H508" s="44" t="n">
        <v>4485.1</v>
      </c>
      <c r="I508" s="44" t="n">
        <v>5715.6</v>
      </c>
      <c r="J508" s="44" t="n">
        <v>4701.7</v>
      </c>
      <c r="K508" s="44" t="n">
        <v>6925.1</v>
      </c>
      <c r="L508" s="18" t="inlineStr">
        <is>
          <t>9</t>
        </is>
      </c>
      <c r="M508" s="18" t="inlineStr"/>
      <c r="N508" s="18" t="inlineStr">
        <is>
          <t>DA4D76</t>
        </is>
      </c>
    </row>
    <row r="509">
      <c r="A509" s="18" t="inlineStr">
        <is>
          <t>DWG0502</t>
        </is>
      </c>
      <c r="B509" s="18" t="inlineStr">
        <is>
          <t>S32</t>
        </is>
      </c>
      <c r="C509" s="18" t="inlineStr">
        <is>
          <t>32</t>
        </is>
      </c>
      <c r="D509" s="18" t="inlineStr">
        <is>
          <t>vertical</t>
        </is>
      </c>
      <c r="E509" s="38" t="n">
        <v>70</v>
      </c>
      <c r="F509" s="38" t="n">
        <v>70</v>
      </c>
      <c r="G509" s="18" t="inlineStr">
        <is>
          <t>u/v</t>
        </is>
      </c>
      <c r="H509" s="44" t="n">
        <v>4701.7</v>
      </c>
      <c r="I509" s="44" t="n">
        <v>6925.1</v>
      </c>
      <c r="J509" s="44" t="n">
        <v>4701.7</v>
      </c>
      <c r="K509" s="44" t="n">
        <v>6995.1</v>
      </c>
      <c r="L509" s="18" t="inlineStr">
        <is>
          <t>9</t>
        </is>
      </c>
      <c r="M509" s="18" t="inlineStr"/>
      <c r="N509" s="18" t="inlineStr">
        <is>
          <t>DA4D79</t>
        </is>
      </c>
    </row>
    <row r="510">
      <c r="A510" s="18" t="inlineStr">
        <is>
          <t>DWG0503</t>
        </is>
      </c>
      <c r="B510" s="18" t="inlineStr">
        <is>
          <t>S32</t>
        </is>
      </c>
      <c r="C510" s="18" t="inlineStr">
        <is>
          <t>32</t>
        </is>
      </c>
      <c r="D510" s="18" t="inlineStr">
        <is>
          <t>vertical</t>
        </is>
      </c>
      <c r="E510" s="38" t="n">
        <v>100</v>
      </c>
      <c r="F510" s="38" t="n">
        <v>100</v>
      </c>
      <c r="G510" s="18" t="inlineStr">
        <is>
          <t>u/v</t>
        </is>
      </c>
      <c r="H510" s="44" t="n">
        <v>4701.7</v>
      </c>
      <c r="I510" s="44" t="n">
        <v>6995.1</v>
      </c>
      <c r="J510" s="44" t="n">
        <v>4701.7</v>
      </c>
      <c r="K510" s="44" t="n">
        <v>7095.1</v>
      </c>
      <c r="L510" s="18" t="inlineStr">
        <is>
          <t>9</t>
        </is>
      </c>
      <c r="M510" s="18" t="inlineStr"/>
      <c r="N510" s="18" t="inlineStr">
        <is>
          <t>DA4D7C</t>
        </is>
      </c>
    </row>
    <row r="511">
      <c r="A511" s="18" t="inlineStr">
        <is>
          <t>DWG0504</t>
        </is>
      </c>
      <c r="B511" s="18" t="inlineStr">
        <is>
          <t>S32</t>
        </is>
      </c>
      <c r="C511" s="18" t="inlineStr">
        <is>
          <t>32</t>
        </is>
      </c>
      <c r="D511" s="18" t="inlineStr">
        <is>
          <t>vertical</t>
        </is>
      </c>
      <c r="E511" s="38" t="n">
        <v>100</v>
      </c>
      <c r="F511" s="38" t="n">
        <v>100</v>
      </c>
      <c r="G511" s="18" t="inlineStr">
        <is>
          <t>u/v</t>
        </is>
      </c>
      <c r="H511" s="44" t="n">
        <v>4701.7</v>
      </c>
      <c r="I511" s="44" t="n">
        <v>7095.1</v>
      </c>
      <c r="J511" s="44" t="n">
        <v>4701.7</v>
      </c>
      <c r="K511" s="44" t="n">
        <v>7195.1</v>
      </c>
      <c r="L511" s="18" t="inlineStr">
        <is>
          <t>9</t>
        </is>
      </c>
      <c r="M511" s="18" t="inlineStr"/>
      <c r="N511" s="18" t="inlineStr">
        <is>
          <t>DA4D7D</t>
        </is>
      </c>
    </row>
    <row r="512">
      <c r="A512" s="18" t="inlineStr">
        <is>
          <t>DWG0505</t>
        </is>
      </c>
      <c r="B512" s="18" t="inlineStr">
        <is>
          <t>S32</t>
        </is>
      </c>
      <c r="C512" s="18" t="inlineStr">
        <is>
          <t>32</t>
        </is>
      </c>
      <c r="D512" s="18" t="inlineStr">
        <is>
          <t>vertical</t>
        </is>
      </c>
      <c r="E512" s="38" t="n">
        <v>5875</v>
      </c>
      <c r="F512" s="38" t="n">
        <v>5875</v>
      </c>
      <c r="G512" s="18" t="inlineStr">
        <is>
          <t>u/v</t>
        </is>
      </c>
      <c r="H512" s="44" t="n">
        <v>5624.4</v>
      </c>
      <c r="I512" s="44" t="n">
        <v>1380.1</v>
      </c>
      <c r="J512" s="44" t="n">
        <v>6091.2</v>
      </c>
      <c r="K512" s="44" t="n">
        <v>7255.1</v>
      </c>
      <c r="L512" s="18" t="inlineStr">
        <is>
          <t>9</t>
        </is>
      </c>
      <c r="M512" s="18" t="inlineStr"/>
      <c r="N512" s="18" t="inlineStr">
        <is>
          <t>DA4CFD</t>
        </is>
      </c>
    </row>
    <row r="513">
      <c r="A513" s="18" t="inlineStr">
        <is>
          <t>DWG0506</t>
        </is>
      </c>
      <c r="B513" s="18" t="inlineStr">
        <is>
          <t>S32</t>
        </is>
      </c>
      <c r="C513" s="18" t="inlineStr">
        <is>
          <t>32</t>
        </is>
      </c>
      <c r="D513" s="18" t="inlineStr">
        <is>
          <t>vertical</t>
        </is>
      </c>
      <c r="E513" s="38" t="n">
        <v>140</v>
      </c>
      <c r="F513" s="38" t="n">
        <v>140</v>
      </c>
      <c r="G513" s="18" t="inlineStr">
        <is>
          <t>u/v</t>
        </is>
      </c>
      <c r="H513" s="44" t="n">
        <v>6886.2</v>
      </c>
      <c r="I513" s="44" t="n">
        <v>7002.4</v>
      </c>
      <c r="J513" s="44" t="n">
        <v>6886.2</v>
      </c>
      <c r="K513" s="44" t="n">
        <v>7142.4</v>
      </c>
      <c r="L513" s="18" t="inlineStr">
        <is>
          <t>9</t>
        </is>
      </c>
      <c r="M513" s="18" t="inlineStr"/>
      <c r="N513" s="18" t="inlineStr">
        <is>
          <t>DA4D03</t>
        </is>
      </c>
    </row>
    <row r="514">
      <c r="A514" s="18" t="inlineStr">
        <is>
          <t>DWG0507</t>
        </is>
      </c>
      <c r="B514" s="18" t="inlineStr">
        <is>
          <t>S32</t>
        </is>
      </c>
      <c r="C514" s="18" t="inlineStr">
        <is>
          <t>32</t>
        </is>
      </c>
      <c r="D514" s="18" t="inlineStr">
        <is>
          <t>vertical</t>
        </is>
      </c>
      <c r="E514" s="38" t="n">
        <v>140</v>
      </c>
      <c r="F514" s="38" t="n">
        <v>140</v>
      </c>
      <c r="G514" s="18" t="inlineStr">
        <is>
          <t>u/v</t>
        </is>
      </c>
      <c r="H514" s="44" t="n">
        <v>6886.2</v>
      </c>
      <c r="I514" s="44" t="n">
        <v>7002.4</v>
      </c>
      <c r="J514" s="44" t="n">
        <v>6886.2</v>
      </c>
      <c r="K514" s="44" t="n">
        <v>7142.4</v>
      </c>
      <c r="L514" s="18" t="inlineStr">
        <is>
          <t>9</t>
        </is>
      </c>
      <c r="M514" s="18" t="inlineStr"/>
      <c r="N514" s="18" t="inlineStr">
        <is>
          <t>DA4D15</t>
        </is>
      </c>
    </row>
    <row r="515">
      <c r="A515" s="18" t="inlineStr">
        <is>
          <t>DWG0508</t>
        </is>
      </c>
      <c r="B515" s="18" t="inlineStr">
        <is>
          <t>S32</t>
        </is>
      </c>
      <c r="C515" s="18" t="inlineStr">
        <is>
          <t>32</t>
        </is>
      </c>
      <c r="D515" s="18" t="inlineStr">
        <is>
          <t>vertical</t>
        </is>
      </c>
      <c r="E515" s="38" t="n">
        <v>250</v>
      </c>
      <c r="F515" s="38" t="n">
        <v>250</v>
      </c>
      <c r="G515" s="18" t="inlineStr">
        <is>
          <t>u/v</t>
        </is>
      </c>
      <c r="H515" s="44" t="n">
        <v>6886.2</v>
      </c>
      <c r="I515" s="44" t="n">
        <v>7142.4</v>
      </c>
      <c r="J515" s="44" t="n">
        <v>6911.2</v>
      </c>
      <c r="K515" s="44" t="n">
        <v>7392.4</v>
      </c>
      <c r="L515" s="18" t="inlineStr">
        <is>
          <t>9</t>
        </is>
      </c>
      <c r="M515" s="18" t="inlineStr"/>
      <c r="N515" s="18" t="inlineStr">
        <is>
          <t>DA4D06</t>
        </is>
      </c>
    </row>
    <row r="516">
      <c r="A516" s="18" t="inlineStr">
        <is>
          <t>DWG0509</t>
        </is>
      </c>
      <c r="B516" s="18" t="inlineStr">
        <is>
          <t>S32</t>
        </is>
      </c>
      <c r="C516" s="18" t="inlineStr">
        <is>
          <t>32</t>
        </is>
      </c>
      <c r="D516" s="18" t="inlineStr">
        <is>
          <t>vertical</t>
        </is>
      </c>
      <c r="E516" s="38" t="n">
        <v>250</v>
      </c>
      <c r="F516" s="38" t="n">
        <v>250</v>
      </c>
      <c r="G516" s="18" t="inlineStr">
        <is>
          <t>u/v</t>
        </is>
      </c>
      <c r="H516" s="44" t="n">
        <v>6886.2</v>
      </c>
      <c r="I516" s="44" t="n">
        <v>7142.4</v>
      </c>
      <c r="J516" s="44" t="n">
        <v>6911.2</v>
      </c>
      <c r="K516" s="44" t="n">
        <v>7392.4</v>
      </c>
      <c r="L516" s="18" t="inlineStr">
        <is>
          <t>9</t>
        </is>
      </c>
      <c r="M516" s="18" t="inlineStr"/>
      <c r="N516" s="18" t="inlineStr">
        <is>
          <t>DA4D16</t>
        </is>
      </c>
    </row>
    <row r="517">
      <c r="A517" s="18" t="inlineStr">
        <is>
          <t>DWG0510</t>
        </is>
      </c>
      <c r="B517" s="18" t="inlineStr">
        <is>
          <t>S32</t>
        </is>
      </c>
      <c r="C517" s="18" t="inlineStr">
        <is>
          <t>32</t>
        </is>
      </c>
      <c r="D517" s="18" t="inlineStr">
        <is>
          <t>vertical</t>
        </is>
      </c>
      <c r="E517" s="44" t="n">
        <v>312.8</v>
      </c>
      <c r="F517" s="38" t="n">
        <v>313</v>
      </c>
      <c r="G517" s="18" t="inlineStr">
        <is>
          <t>u/v</t>
        </is>
      </c>
      <c r="H517" s="44" t="n">
        <v>6911.2</v>
      </c>
      <c r="I517" s="44" t="n">
        <v>7392.4</v>
      </c>
      <c r="J517" s="44" t="n">
        <v>7020.4</v>
      </c>
      <c r="K517" s="44" t="n">
        <v>7705.1</v>
      </c>
      <c r="L517" s="18" t="inlineStr">
        <is>
          <t>9</t>
        </is>
      </c>
      <c r="M517" s="18" t="inlineStr"/>
      <c r="N517" s="18" t="inlineStr">
        <is>
          <t>DA4D09</t>
        </is>
      </c>
    </row>
    <row r="518">
      <c r="A518" s="18" t="inlineStr">
        <is>
          <t>DWG0511</t>
        </is>
      </c>
      <c r="B518" s="18" t="inlineStr">
        <is>
          <t>S32</t>
        </is>
      </c>
      <c r="C518" s="18" t="inlineStr">
        <is>
          <t>32</t>
        </is>
      </c>
      <c r="D518" s="18" t="inlineStr">
        <is>
          <t>vertical</t>
        </is>
      </c>
      <c r="E518" s="44" t="n">
        <v>312.8</v>
      </c>
      <c r="F518" s="38" t="n">
        <v>313</v>
      </c>
      <c r="G518" s="18" t="inlineStr">
        <is>
          <t>u/v</t>
        </is>
      </c>
      <c r="H518" s="44" t="n">
        <v>6911.2</v>
      </c>
      <c r="I518" s="44" t="n">
        <v>7392.4</v>
      </c>
      <c r="J518" s="44" t="n">
        <v>7020.4</v>
      </c>
      <c r="K518" s="44" t="n">
        <v>7705.1</v>
      </c>
      <c r="L518" s="18" t="inlineStr">
        <is>
          <t>9</t>
        </is>
      </c>
      <c r="M518" s="18" t="inlineStr"/>
      <c r="N518" s="18" t="inlineStr">
        <is>
          <t>DA4D17</t>
        </is>
      </c>
    </row>
    <row r="519">
      <c r="A519" s="18" t="inlineStr">
        <is>
          <t>DWG0512</t>
        </is>
      </c>
      <c r="B519" s="18" t="inlineStr">
        <is>
          <t>S32</t>
        </is>
      </c>
      <c r="C519" s="18" t="inlineStr">
        <is>
          <t>32</t>
        </is>
      </c>
      <c r="D519" s="18" t="inlineStr">
        <is>
          <t>vertical</t>
        </is>
      </c>
      <c r="E519" s="44" t="n">
        <v>5622.2</v>
      </c>
      <c r="F519" s="38" t="n">
        <v>5622</v>
      </c>
      <c r="G519" s="18" t="inlineStr">
        <is>
          <t>u/v</t>
        </is>
      </c>
      <c r="H519" s="44" t="n">
        <v>7149.1</v>
      </c>
      <c r="I519" s="44" t="n">
        <v>1380.1</v>
      </c>
      <c r="J519" s="44" t="n">
        <v>6886.2</v>
      </c>
      <c r="K519" s="44" t="n">
        <v>7002.4</v>
      </c>
      <c r="L519" s="18" t="inlineStr">
        <is>
          <t>9</t>
        </is>
      </c>
      <c r="M519" s="18" t="inlineStr"/>
      <c r="N519" s="18" t="inlineStr">
        <is>
          <t>DA4D00</t>
        </is>
      </c>
    </row>
    <row r="520">
      <c r="A520" s="18" t="inlineStr">
        <is>
          <t>DWG0513</t>
        </is>
      </c>
      <c r="B520" s="18" t="inlineStr">
        <is>
          <t>S32</t>
        </is>
      </c>
      <c r="C520" s="18" t="inlineStr">
        <is>
          <t>32</t>
        </is>
      </c>
      <c r="D520" s="18" t="inlineStr">
        <is>
          <t>vertical</t>
        </is>
      </c>
      <c r="E520" s="44" t="n">
        <v>5622.2</v>
      </c>
      <c r="F520" s="38" t="n">
        <v>5622</v>
      </c>
      <c r="G520" s="18" t="inlineStr">
        <is>
          <t>u/v</t>
        </is>
      </c>
      <c r="H520" s="44" t="n">
        <v>7149.1</v>
      </c>
      <c r="I520" s="44" t="n">
        <v>1380.1</v>
      </c>
      <c r="J520" s="44" t="n">
        <v>6886.2</v>
      </c>
      <c r="K520" s="44" t="n">
        <v>7002.4</v>
      </c>
      <c r="L520" s="18" t="inlineStr">
        <is>
          <t>9</t>
        </is>
      </c>
      <c r="M520" s="18" t="inlineStr"/>
      <c r="N520" s="18" t="inlineStr">
        <is>
          <t>DA4D14</t>
        </is>
      </c>
    </row>
    <row r="521">
      <c r="A521" s="18" t="inlineStr">
        <is>
          <t>DWG0514</t>
        </is>
      </c>
      <c r="B521" s="18" t="inlineStr">
        <is>
          <t>S32</t>
        </is>
      </c>
      <c r="C521" s="18" t="inlineStr">
        <is>
          <t>32</t>
        </is>
      </c>
      <c r="D521" s="18" t="inlineStr">
        <is>
          <t>vertical</t>
        </is>
      </c>
      <c r="E521" s="38" t="n">
        <v>354</v>
      </c>
      <c r="F521" s="38" t="n">
        <v>354</v>
      </c>
      <c r="G521" s="18" t="inlineStr">
        <is>
          <t>u/v</t>
        </is>
      </c>
      <c r="H521" s="44" t="n">
        <v>7451.5</v>
      </c>
      <c r="I521" s="44" t="n">
        <v>7255.1</v>
      </c>
      <c r="J521" s="44" t="n">
        <v>7907.8</v>
      </c>
      <c r="K521" s="44" t="n">
        <v>7609.1</v>
      </c>
      <c r="L521" s="18" t="inlineStr">
        <is>
          <t>9</t>
        </is>
      </c>
      <c r="M521" s="18" t="inlineStr"/>
      <c r="N521" s="18" t="inlineStr">
        <is>
          <t>DA3540</t>
        </is>
      </c>
    </row>
    <row r="522">
      <c r="A522" s="18" t="inlineStr">
        <is>
          <t>DWG0515</t>
        </is>
      </c>
      <c r="B522" s="18" t="inlineStr">
        <is>
          <t>S32</t>
        </is>
      </c>
      <c r="C522" s="18" t="inlineStr">
        <is>
          <t>32</t>
        </is>
      </c>
      <c r="D522" s="18" t="inlineStr">
        <is>
          <t>vertical</t>
        </is>
      </c>
      <c r="E522" s="38" t="n">
        <v>354</v>
      </c>
      <c r="F522" s="38" t="n">
        <v>354</v>
      </c>
      <c r="G522" s="18" t="inlineStr">
        <is>
          <t>u/v</t>
        </is>
      </c>
      <c r="H522" s="44" t="n">
        <v>7451.5</v>
      </c>
      <c r="I522" s="44" t="n">
        <v>7255.1</v>
      </c>
      <c r="J522" s="44" t="n">
        <v>7907.8</v>
      </c>
      <c r="K522" s="44" t="n">
        <v>7609.1</v>
      </c>
      <c r="L522" s="18" t="inlineStr">
        <is>
          <t>9</t>
        </is>
      </c>
      <c r="M522" s="18" t="inlineStr"/>
      <c r="N522" s="18" t="inlineStr">
        <is>
          <t>DA4D11</t>
        </is>
      </c>
    </row>
    <row r="523">
      <c r="A523" s="18" t="inlineStr">
        <is>
          <t>DWG0516</t>
        </is>
      </c>
      <c r="B523" s="18" t="inlineStr">
        <is>
          <t>S32</t>
        </is>
      </c>
      <c r="C523" s="18" t="inlineStr">
        <is>
          <t>32</t>
        </is>
      </c>
      <c r="D523" s="18" t="inlineStr">
        <is>
          <t>vertical</t>
        </is>
      </c>
      <c r="E523" s="44" t="n">
        <v>1140.2</v>
      </c>
      <c r="F523" s="38" t="n">
        <v>1140</v>
      </c>
      <c r="G523" s="18" t="inlineStr">
        <is>
          <t>u/v</t>
        </is>
      </c>
      <c r="H523" s="44" t="n">
        <v>7520.7</v>
      </c>
      <c r="I523" s="44" t="n">
        <v>4480.6</v>
      </c>
      <c r="J523" s="44" t="n">
        <v>7546.5</v>
      </c>
      <c r="K523" s="44" t="n">
        <v>5620.9</v>
      </c>
      <c r="L523" s="18" t="inlineStr">
        <is>
          <t>9</t>
        </is>
      </c>
      <c r="M523" s="18" t="inlineStr">
        <is>
          <t>S125 S132</t>
        </is>
      </c>
      <c r="N523" s="18" t="inlineStr">
        <is>
          <t>DA353D</t>
        </is>
      </c>
    </row>
    <row r="524">
      <c r="A524" s="18" t="inlineStr">
        <is>
          <t>DWG0517</t>
        </is>
      </c>
      <c r="B524" s="18" t="inlineStr">
        <is>
          <t>S32</t>
        </is>
      </c>
      <c r="C524" s="18" t="inlineStr">
        <is>
          <t>32</t>
        </is>
      </c>
      <c r="D524" s="18" t="inlineStr">
        <is>
          <t>vertical</t>
        </is>
      </c>
      <c r="E524" s="44" t="n">
        <v>1140.2</v>
      </c>
      <c r="F524" s="38" t="n">
        <v>1140</v>
      </c>
      <c r="G524" s="18" t="inlineStr">
        <is>
          <t>u/v</t>
        </is>
      </c>
      <c r="H524" s="44" t="n">
        <v>7520.7</v>
      </c>
      <c r="I524" s="44" t="n">
        <v>4480.6</v>
      </c>
      <c r="J524" s="44" t="n">
        <v>7546.5</v>
      </c>
      <c r="K524" s="44" t="n">
        <v>5620.9</v>
      </c>
      <c r="L524" s="18" t="inlineStr">
        <is>
          <t>9</t>
        </is>
      </c>
      <c r="M524" s="18" t="inlineStr">
        <is>
          <t>S125 S132</t>
        </is>
      </c>
      <c r="N524" s="18" t="inlineStr">
        <is>
          <t>DA4D0E</t>
        </is>
      </c>
    </row>
    <row r="525">
      <c r="A525" s="18" t="inlineStr">
        <is>
          <t>DWG0518</t>
        </is>
      </c>
      <c r="B525" s="18" t="inlineStr">
        <is>
          <t>S32</t>
        </is>
      </c>
      <c r="C525" s="18" t="inlineStr">
        <is>
          <t>32</t>
        </is>
      </c>
      <c r="D525" s="18" t="inlineStr">
        <is>
          <t>vertical</t>
        </is>
      </c>
      <c r="E525" s="38" t="n">
        <v>150</v>
      </c>
      <c r="F525" s="38" t="n">
        <v>150</v>
      </c>
      <c r="G525" s="18" t="inlineStr">
        <is>
          <t>u/v</t>
        </is>
      </c>
      <c r="H525" s="44" t="n">
        <v>7546.5</v>
      </c>
      <c r="I525" s="44" t="n">
        <v>4330.6</v>
      </c>
      <c r="J525" s="44" t="n">
        <v>7520.7</v>
      </c>
      <c r="K525" s="44" t="n">
        <v>4480.6</v>
      </c>
      <c r="L525" s="18" t="inlineStr">
        <is>
          <t>9</t>
        </is>
      </c>
      <c r="M525" s="18" t="inlineStr"/>
      <c r="N525" s="18" t="inlineStr">
        <is>
          <t>DA353C</t>
        </is>
      </c>
    </row>
    <row r="526">
      <c r="A526" s="18" t="inlineStr">
        <is>
          <t>DWG0519</t>
        </is>
      </c>
      <c r="B526" s="18" t="inlineStr">
        <is>
          <t>S32</t>
        </is>
      </c>
      <c r="C526" s="18" t="inlineStr">
        <is>
          <t>32</t>
        </is>
      </c>
      <c r="D526" s="18" t="inlineStr">
        <is>
          <t>vertical</t>
        </is>
      </c>
      <c r="E526" s="38" t="n">
        <v>150</v>
      </c>
      <c r="F526" s="38" t="n">
        <v>150</v>
      </c>
      <c r="G526" s="18" t="inlineStr">
        <is>
          <t>u/v</t>
        </is>
      </c>
      <c r="H526" s="44" t="n">
        <v>7546.5</v>
      </c>
      <c r="I526" s="44" t="n">
        <v>4330.6</v>
      </c>
      <c r="J526" s="44" t="n">
        <v>7520.7</v>
      </c>
      <c r="K526" s="44" t="n">
        <v>4480.6</v>
      </c>
      <c r="L526" s="18" t="inlineStr">
        <is>
          <t>9</t>
        </is>
      </c>
      <c r="M526" s="18" t="inlineStr"/>
      <c r="N526" s="18" t="inlineStr">
        <is>
          <t>DA4D0D</t>
        </is>
      </c>
    </row>
    <row r="527">
      <c r="A527" s="18" t="inlineStr">
        <is>
          <t>DWG0520</t>
        </is>
      </c>
      <c r="B527" s="18" t="inlineStr">
        <is>
          <t>S32</t>
        </is>
      </c>
      <c r="C527" s="18" t="inlineStr">
        <is>
          <t>32</t>
        </is>
      </c>
      <c r="D527" s="18" t="inlineStr">
        <is>
          <t>vertical</t>
        </is>
      </c>
      <c r="E527" s="44" t="n">
        <v>499.3</v>
      </c>
      <c r="F527" s="38" t="n">
        <v>499</v>
      </c>
      <c r="G527" s="18" t="inlineStr">
        <is>
          <t>u/v</t>
        </is>
      </c>
      <c r="H527" s="44" t="n">
        <v>7546.5</v>
      </c>
      <c r="I527" s="44" t="n">
        <v>5620.9</v>
      </c>
      <c r="J527" s="38" t="n">
        <v>7729</v>
      </c>
      <c r="K527" s="44" t="n">
        <v>6120.1</v>
      </c>
      <c r="L527" s="18" t="inlineStr">
        <is>
          <t>9</t>
        </is>
      </c>
      <c r="M527" s="18" t="inlineStr"/>
      <c r="N527" s="18" t="inlineStr">
        <is>
          <t>DA353E</t>
        </is>
      </c>
    </row>
    <row r="528">
      <c r="A528" s="18" t="inlineStr">
        <is>
          <t>DWG0521</t>
        </is>
      </c>
      <c r="B528" s="18" t="inlineStr">
        <is>
          <t>S32</t>
        </is>
      </c>
      <c r="C528" s="18" t="inlineStr">
        <is>
          <t>32</t>
        </is>
      </c>
      <c r="D528" s="18" t="inlineStr">
        <is>
          <t>vertical</t>
        </is>
      </c>
      <c r="E528" s="44" t="n">
        <v>499.3</v>
      </c>
      <c r="F528" s="38" t="n">
        <v>499</v>
      </c>
      <c r="G528" s="18" t="inlineStr">
        <is>
          <t>u/v</t>
        </is>
      </c>
      <c r="H528" s="44" t="n">
        <v>7546.5</v>
      </c>
      <c r="I528" s="44" t="n">
        <v>5620.9</v>
      </c>
      <c r="J528" s="38" t="n">
        <v>7729</v>
      </c>
      <c r="K528" s="44" t="n">
        <v>6120.1</v>
      </c>
      <c r="L528" s="18" t="inlineStr">
        <is>
          <t>9</t>
        </is>
      </c>
      <c r="M528" s="18" t="inlineStr"/>
      <c r="N528" s="18" t="inlineStr">
        <is>
          <t>DA4D0F</t>
        </is>
      </c>
    </row>
    <row r="529">
      <c r="A529" s="18" t="inlineStr">
        <is>
          <t>DWG0522</t>
        </is>
      </c>
      <c r="B529" s="18" t="inlineStr">
        <is>
          <t>S32</t>
        </is>
      </c>
      <c r="C529" s="18" t="inlineStr">
        <is>
          <t>32</t>
        </is>
      </c>
      <c r="D529" s="18" t="inlineStr">
        <is>
          <t>vertical</t>
        </is>
      </c>
      <c r="E529" s="44" t="n">
        <v>2950.5</v>
      </c>
      <c r="F529" s="38">
        <v>2951</v>
      </c>
      <c r="G529" s="18" t="inlineStr">
        <is>
          <t>u/v</t>
        </is>
      </c>
      <c r="H529" s="44" t="n">
        <v>7656.5</v>
      </c>
      <c r="I529" s="44" t="n">
        <v>1380.1</v>
      </c>
      <c r="J529" s="44" t="n">
        <v>7546.5</v>
      </c>
      <c r="K529" s="44" t="n">
        <v>4330.6</v>
      </c>
      <c r="L529" s="18" t="inlineStr">
        <is>
          <t>9</t>
        </is>
      </c>
      <c r="M529" s="18" t="inlineStr">
        <is>
          <t>S130</t>
        </is>
      </c>
      <c r="N529" s="18" t="inlineStr">
        <is>
          <t>DA353B</t>
        </is>
      </c>
    </row>
    <row r="530">
      <c r="A530" s="18" t="inlineStr">
        <is>
          <t>DWG0523</t>
        </is>
      </c>
      <c r="B530" s="18" t="inlineStr">
        <is>
          <t>S32</t>
        </is>
      </c>
      <c r="C530" s="18" t="inlineStr">
        <is>
          <t>32</t>
        </is>
      </c>
      <c r="D530" s="18" t="inlineStr">
        <is>
          <t>vertical</t>
        </is>
      </c>
      <c r="E530" s="44" t="n">
        <v>2950.5</v>
      </c>
      <c r="F530" s="38">
        <v>2951</v>
      </c>
      <c r="G530" s="18" t="inlineStr">
        <is>
          <t>u/v</t>
        </is>
      </c>
      <c r="H530" s="44" t="n">
        <v>7656.5</v>
      </c>
      <c r="I530" s="44" t="n">
        <v>1380.1</v>
      </c>
      <c r="J530" s="44" t="n">
        <v>7546.5</v>
      </c>
      <c r="K530" s="44" t="n">
        <v>4330.6</v>
      </c>
      <c r="L530" s="18" t="inlineStr">
        <is>
          <t>9</t>
        </is>
      </c>
      <c r="M530" s="18" t="inlineStr">
        <is>
          <t>S130</t>
        </is>
      </c>
      <c r="N530" s="18" t="inlineStr">
        <is>
          <t>DA4D0C</t>
        </is>
      </c>
    </row>
    <row r="531">
      <c r="A531" s="18" t="inlineStr">
        <is>
          <t>DWG0524</t>
        </is>
      </c>
      <c r="B531" s="18" t="inlineStr">
        <is>
          <t>S32</t>
        </is>
      </c>
      <c r="C531" s="18" t="inlineStr">
        <is>
          <t>32</t>
        </is>
      </c>
      <c r="D531" s="18" t="inlineStr">
        <is>
          <t>vertical</t>
        </is>
      </c>
      <c r="E531" s="38" t="n">
        <v>1135</v>
      </c>
      <c r="F531" s="38" t="n">
        <v>1135</v>
      </c>
      <c r="G531" s="18" t="inlineStr">
        <is>
          <t>u/v</t>
        </is>
      </c>
      <c r="H531" s="38" t="n">
        <v>7729</v>
      </c>
      <c r="I531" s="44" t="n">
        <v>6120.1</v>
      </c>
      <c r="J531" s="44" t="n">
        <v>7451.5</v>
      </c>
      <c r="K531" s="44" t="n">
        <v>7255.1</v>
      </c>
      <c r="L531" s="18" t="inlineStr">
        <is>
          <t>9</t>
        </is>
      </c>
      <c r="M531" s="18" t="inlineStr"/>
      <c r="N531" s="18" t="inlineStr">
        <is>
          <t>DA353F</t>
        </is>
      </c>
    </row>
    <row r="532">
      <c r="A532" s="18" t="inlineStr">
        <is>
          <t>DWG0525</t>
        </is>
      </c>
      <c r="B532" s="18" t="inlineStr">
        <is>
          <t>S32</t>
        </is>
      </c>
      <c r="C532" s="18" t="inlineStr">
        <is>
          <t>32</t>
        </is>
      </c>
      <c r="D532" s="18" t="inlineStr">
        <is>
          <t>vertical</t>
        </is>
      </c>
      <c r="E532" s="38" t="n">
        <v>1135</v>
      </c>
      <c r="F532" s="38" t="n">
        <v>1135</v>
      </c>
      <c r="G532" s="18" t="inlineStr">
        <is>
          <t>u/v</t>
        </is>
      </c>
      <c r="H532" s="38" t="n">
        <v>7729</v>
      </c>
      <c r="I532" s="44" t="n">
        <v>6120.1</v>
      </c>
      <c r="J532" s="44" t="n">
        <v>7451.5</v>
      </c>
      <c r="K532" s="44" t="n">
        <v>7255.1</v>
      </c>
      <c r="L532" s="18" t="inlineStr">
        <is>
          <t>9</t>
        </is>
      </c>
      <c r="M532" s="18" t="inlineStr"/>
      <c r="N532" s="18" t="inlineStr">
        <is>
          <t>DA4D10</t>
        </is>
      </c>
    </row>
    <row r="533">
      <c r="A533" s="18" t="inlineStr">
        <is>
          <t>DWG0526</t>
        </is>
      </c>
      <c r="B533" s="18" t="inlineStr">
        <is>
          <t>S32</t>
        </is>
      </c>
      <c r="C533" s="18" t="inlineStr">
        <is>
          <t>32</t>
        </is>
      </c>
      <c r="D533" s="18" t="inlineStr">
        <is>
          <t>vertical</t>
        </is>
      </c>
      <c r="E533" s="38" t="n">
        <v>96</v>
      </c>
      <c r="F533" s="38" t="n">
        <v>96</v>
      </c>
      <c r="G533" s="18" t="inlineStr">
        <is>
          <t>u/v</t>
        </is>
      </c>
      <c r="H533" s="44" t="n">
        <v>7907.8</v>
      </c>
      <c r="I533" s="44" t="n">
        <v>7609.1</v>
      </c>
      <c r="J533" s="44" t="n">
        <v>7907.8</v>
      </c>
      <c r="K533" s="44" t="n">
        <v>7705.1</v>
      </c>
      <c r="L533" s="18" t="inlineStr">
        <is>
          <t>9</t>
        </is>
      </c>
      <c r="M533" s="18" t="inlineStr"/>
      <c r="N533" s="18" t="inlineStr">
        <is>
          <t>DA3541</t>
        </is>
      </c>
    </row>
    <row r="534">
      <c r="A534" s="18" t="inlineStr">
        <is>
          <t>DWG0527</t>
        </is>
      </c>
      <c r="B534" s="18" t="inlineStr">
        <is>
          <t>S32</t>
        </is>
      </c>
      <c r="C534" s="18" t="inlineStr">
        <is>
          <t>32</t>
        </is>
      </c>
      <c r="D534" s="18" t="inlineStr">
        <is>
          <t>vertical</t>
        </is>
      </c>
      <c r="E534" s="38" t="n">
        <v>96</v>
      </c>
      <c r="F534" s="38" t="n">
        <v>96</v>
      </c>
      <c r="G534" s="18" t="inlineStr">
        <is>
          <t>u/v</t>
        </is>
      </c>
      <c r="H534" s="44" t="n">
        <v>7907.8</v>
      </c>
      <c r="I534" s="44" t="n">
        <v>7609.1</v>
      </c>
      <c r="J534" s="44" t="n">
        <v>7907.8</v>
      </c>
      <c r="K534" s="44" t="n">
        <v>7705.1</v>
      </c>
      <c r="L534" s="18" t="inlineStr">
        <is>
          <t>9</t>
        </is>
      </c>
      <c r="M534" s="18" t="inlineStr"/>
      <c r="N534" s="18" t="inlineStr">
        <is>
          <t>DA4D12</t>
        </is>
      </c>
    </row>
    <row r="535">
      <c r="A535" s="18" t="inlineStr">
        <is>
          <t>DWG0528</t>
        </is>
      </c>
      <c r="B535" s="18" t="inlineStr">
        <is>
          <t>S32</t>
        </is>
      </c>
      <c r="C535" s="18" t="inlineStr">
        <is>
          <t>32</t>
        </is>
      </c>
      <c r="D535" s="18" t="inlineStr">
        <is>
          <t>vertical</t>
        </is>
      </c>
      <c r="E535" s="38" t="n">
        <v>6325</v>
      </c>
      <c r="F535" s="38" t="n">
        <v>6325</v>
      </c>
      <c r="G535" s="18" t="inlineStr">
        <is>
          <t>u/v</t>
        </is>
      </c>
      <c r="H535" s="44" t="n">
        <v>8554.299999999999</v>
      </c>
      <c r="I535" s="44" t="n">
        <v>1380.1</v>
      </c>
      <c r="J535" s="44" t="n">
        <v>8554.299999999999</v>
      </c>
      <c r="K535" s="44" t="n">
        <v>7705.1</v>
      </c>
      <c r="L535" s="18" t="inlineStr">
        <is>
          <t>9</t>
        </is>
      </c>
      <c r="M535" s="18" t="inlineStr">
        <is>
          <t>S121</t>
        </is>
      </c>
      <c r="N535" s="18" t="inlineStr">
        <is>
          <t>DA3542</t>
        </is>
      </c>
    </row>
    <row r="536">
      <c r="A536" s="18" t="inlineStr">
        <is>
          <t>DWG0529</t>
        </is>
      </c>
      <c r="B536" s="18" t="inlineStr">
        <is>
          <t>S32</t>
        </is>
      </c>
      <c r="C536" s="18" t="inlineStr">
        <is>
          <t>32</t>
        </is>
      </c>
      <c r="D536" s="18" t="inlineStr">
        <is>
          <t>vertical</t>
        </is>
      </c>
      <c r="E536" s="38" t="n">
        <v>6325</v>
      </c>
      <c r="F536" s="38" t="n">
        <v>6325</v>
      </c>
      <c r="G536" s="18" t="inlineStr">
        <is>
          <t>u/v</t>
        </is>
      </c>
      <c r="H536" s="44" t="n">
        <v>8554.299999999999</v>
      </c>
      <c r="I536" s="44" t="n">
        <v>1380.1</v>
      </c>
      <c r="J536" s="44" t="n">
        <v>8554.299999999999</v>
      </c>
      <c r="K536" s="44" t="n">
        <v>7705.1</v>
      </c>
      <c r="L536" s="18" t="inlineStr">
        <is>
          <t>9</t>
        </is>
      </c>
      <c r="M536" s="18" t="inlineStr">
        <is>
          <t>S121</t>
        </is>
      </c>
      <c r="N536" s="18" t="inlineStr">
        <is>
          <t>DA4D13</t>
        </is>
      </c>
    </row>
    <row r="537">
      <c r="A537" s="18" t="inlineStr">
        <is>
          <t>DWG0530</t>
        </is>
      </c>
      <c r="B537" s="18" t="inlineStr">
        <is>
          <t>D29</t>
        </is>
      </c>
      <c r="C537" s="18" t="inlineStr">
        <is>
          <t>29</t>
        </is>
      </c>
      <c r="D537" s="18" t="inlineStr">
        <is>
          <t>horizontal</t>
        </is>
      </c>
      <c r="E537" s="38" t="n">
        <v>110</v>
      </c>
      <c r="F537" s="38" t="n">
        <v>110</v>
      </c>
      <c r="G537" s="18" t="inlineStr">
        <is>
          <t>u/v</t>
        </is>
      </c>
      <c r="H537" s="44" t="n">
        <v>5969.7</v>
      </c>
      <c r="I537" s="44" t="n">
        <v>2736.5</v>
      </c>
      <c r="J537" s="44" t="n">
        <v>6079.7</v>
      </c>
      <c r="K537" s="44" t="n">
        <v>2811.5</v>
      </c>
      <c r="L537" s="18" t="inlineStr">
        <is>
          <t>8</t>
        </is>
      </c>
      <c r="M537" s="18" t="inlineStr"/>
      <c r="N537" s="18" t="inlineStr">
        <is>
          <t>DAD6BB</t>
        </is>
      </c>
    </row>
    <row r="538">
      <c r="A538" s="18" t="inlineStr">
        <is>
          <t>DWG0531</t>
        </is>
      </c>
      <c r="B538" s="18" t="inlineStr">
        <is>
          <t>D29</t>
        </is>
      </c>
      <c r="C538" s="18" t="inlineStr">
        <is>
          <t>29</t>
        </is>
      </c>
      <c r="D538" s="18" t="inlineStr">
        <is>
          <t>horizontal</t>
        </is>
      </c>
      <c r="E538" s="38" t="n">
        <v>80</v>
      </c>
      <c r="F538" s="38" t="n">
        <v>80</v>
      </c>
      <c r="G538" s="18" t="inlineStr">
        <is>
          <t>u/v</t>
        </is>
      </c>
      <c r="H538" s="44" t="n">
        <v>6299.7</v>
      </c>
      <c r="I538" s="44" t="n">
        <v>2796.5</v>
      </c>
      <c r="J538" s="44" t="n">
        <v>6379.7</v>
      </c>
      <c r="K538" s="44" t="n">
        <v>3106.8</v>
      </c>
      <c r="L538" s="18" t="inlineStr">
        <is>
          <t>8</t>
        </is>
      </c>
      <c r="M538" s="18" t="inlineStr"/>
      <c r="N538" s="18" t="inlineStr">
        <is>
          <t>DAD6C4</t>
        </is>
      </c>
    </row>
    <row r="539">
      <c r="A539" s="18" t="inlineStr">
        <is>
          <t>DWG0532</t>
        </is>
      </c>
      <c r="B539" s="18" t="inlineStr">
        <is>
          <t>D29</t>
        </is>
      </c>
      <c r="C539" s="18" t="inlineStr">
        <is>
          <t>29</t>
        </is>
      </c>
      <c r="D539" s="18" t="inlineStr">
        <is>
          <t>horizontal</t>
        </is>
      </c>
      <c r="E539" s="38" t="n">
        <v>110</v>
      </c>
      <c r="F539" s="38" t="n">
        <v>110</v>
      </c>
      <c r="G539" s="18" t="inlineStr">
        <is>
          <t>u/v</t>
        </is>
      </c>
      <c r="H539" s="44" t="n">
        <v>6079.7</v>
      </c>
      <c r="I539" s="44" t="n">
        <v>2811.5</v>
      </c>
      <c r="J539" s="44" t="n">
        <v>6189.7</v>
      </c>
      <c r="K539" s="44" t="n">
        <v>2811.5</v>
      </c>
      <c r="L539" s="18" t="inlineStr">
        <is>
          <t>8</t>
        </is>
      </c>
      <c r="M539" s="18" t="inlineStr"/>
      <c r="N539" s="18" t="inlineStr">
        <is>
          <t>DAD6BE</t>
        </is>
      </c>
    </row>
    <row r="540">
      <c r="A540" s="18" t="inlineStr">
        <is>
          <t>DWG0533</t>
        </is>
      </c>
      <c r="B540" s="18" t="inlineStr">
        <is>
          <t>D29</t>
        </is>
      </c>
      <c r="C540" s="18" t="inlineStr">
        <is>
          <t>29</t>
        </is>
      </c>
      <c r="D540" s="18" t="inlineStr">
        <is>
          <t>horizontal</t>
        </is>
      </c>
      <c r="E540" s="38" t="n">
        <v>110</v>
      </c>
      <c r="F540" s="38" t="n">
        <v>110</v>
      </c>
      <c r="G540" s="18" t="inlineStr">
        <is>
          <t>u/v</t>
        </is>
      </c>
      <c r="H540" s="44" t="n">
        <v>6189.7</v>
      </c>
      <c r="I540" s="44" t="n">
        <v>2811.5</v>
      </c>
      <c r="J540" s="44" t="n">
        <v>6299.7</v>
      </c>
      <c r="K540" s="44" t="n">
        <v>2796.5</v>
      </c>
      <c r="L540" s="18" t="inlineStr">
        <is>
          <t>8</t>
        </is>
      </c>
      <c r="M540" s="18" t="inlineStr"/>
      <c r="N540" s="18" t="inlineStr">
        <is>
          <t>DAD6C1</t>
        </is>
      </c>
    </row>
    <row r="541">
      <c r="A541" s="18" t="inlineStr">
        <is>
          <t>DWG0534</t>
        </is>
      </c>
      <c r="B541" s="18" t="inlineStr">
        <is>
          <t>D29</t>
        </is>
      </c>
      <c r="C541" s="18" t="inlineStr">
        <is>
          <t>29</t>
        </is>
      </c>
      <c r="D541" s="18" t="inlineStr">
        <is>
          <t>horizontal</t>
        </is>
      </c>
      <c r="E541" s="38" t="n">
        <v>115</v>
      </c>
      <c r="F541" s="38" t="n">
        <v>115</v>
      </c>
      <c r="G541" s="18" t="inlineStr">
        <is>
          <t>u/v</t>
        </is>
      </c>
      <c r="H541" s="44" t="n">
        <v>3967.1</v>
      </c>
      <c r="I541" s="44" t="n">
        <v>2967.6</v>
      </c>
      <c r="J541" s="44" t="n">
        <v>4082.1</v>
      </c>
      <c r="K541" s="44" t="n">
        <v>3009.1</v>
      </c>
      <c r="L541" s="18" t="inlineStr">
        <is>
          <t>8</t>
        </is>
      </c>
      <c r="M541" s="18" t="inlineStr"/>
      <c r="N541" s="18" t="inlineStr">
        <is>
          <t>DAD6AC</t>
        </is>
      </c>
    </row>
    <row r="542">
      <c r="A542" s="18" t="inlineStr">
        <is>
          <t>DWG0535</t>
        </is>
      </c>
      <c r="B542" s="18" t="inlineStr">
        <is>
          <t>D29</t>
        </is>
      </c>
      <c r="C542" s="18" t="inlineStr">
        <is>
          <t>29</t>
        </is>
      </c>
      <c r="D542" s="18" t="inlineStr">
        <is>
          <t>horizontal</t>
        </is>
      </c>
      <c r="E542" s="38" t="n">
        <v>110</v>
      </c>
      <c r="F542" s="38" t="n">
        <v>110</v>
      </c>
      <c r="G542" s="18" t="inlineStr">
        <is>
          <t>u/v</t>
        </is>
      </c>
      <c r="H542" s="44" t="n">
        <v>3747.1</v>
      </c>
      <c r="I542" s="44" t="n">
        <v>2988.4</v>
      </c>
      <c r="J542" s="44" t="n">
        <v>3857.1</v>
      </c>
      <c r="K542" s="44" t="n">
        <v>2988.4</v>
      </c>
      <c r="L542" s="18" t="inlineStr">
        <is>
          <t>8</t>
        </is>
      </c>
      <c r="M542" s="18" t="inlineStr"/>
      <c r="N542" s="18" t="inlineStr">
        <is>
          <t>DAD6A6</t>
        </is>
      </c>
    </row>
    <row r="543">
      <c r="A543" s="18" t="inlineStr">
        <is>
          <t>DWG0536</t>
        </is>
      </c>
      <c r="B543" s="18" t="inlineStr">
        <is>
          <t>D29</t>
        </is>
      </c>
      <c r="C543" s="18" t="inlineStr">
        <is>
          <t>29</t>
        </is>
      </c>
      <c r="D543" s="18" t="inlineStr">
        <is>
          <t>horizontal</t>
        </is>
      </c>
      <c r="E543" s="38" t="n">
        <v>110</v>
      </c>
      <c r="F543" s="38" t="n">
        <v>110</v>
      </c>
      <c r="G543" s="18" t="inlineStr">
        <is>
          <t>u/v</t>
        </is>
      </c>
      <c r="H543" s="44" t="n">
        <v>3857.1</v>
      </c>
      <c r="I543" s="44" t="n">
        <v>2988.4</v>
      </c>
      <c r="J543" s="44" t="n">
        <v>3967.1</v>
      </c>
      <c r="K543" s="44" t="n">
        <v>2967.6</v>
      </c>
      <c r="L543" s="18" t="inlineStr">
        <is>
          <t>8</t>
        </is>
      </c>
      <c r="M543" s="18" t="inlineStr"/>
      <c r="N543" s="18" t="inlineStr">
        <is>
          <t>DAD6A9</t>
        </is>
      </c>
    </row>
    <row r="544">
      <c r="A544" s="18" t="inlineStr">
        <is>
          <t>DWG0537</t>
        </is>
      </c>
      <c r="B544" s="18" t="inlineStr">
        <is>
          <t>D29</t>
        </is>
      </c>
      <c r="C544" s="18" t="inlineStr">
        <is>
          <t>29</t>
        </is>
      </c>
      <c r="D544" s="18" t="inlineStr">
        <is>
          <t>horizontal</t>
        </is>
      </c>
      <c r="E544" s="38" t="n">
        <v>110</v>
      </c>
      <c r="F544" s="38" t="n">
        <v>110</v>
      </c>
      <c r="G544" s="18" t="inlineStr">
        <is>
          <t>u/v</t>
        </is>
      </c>
      <c r="H544" s="44" t="n">
        <v>3637.1</v>
      </c>
      <c r="I544" s="38" t="n">
        <v>2991</v>
      </c>
      <c r="J544" s="44" t="n">
        <v>3747.1</v>
      </c>
      <c r="K544" s="44" t="n">
        <v>2988.4</v>
      </c>
      <c r="L544" s="18" t="inlineStr">
        <is>
          <t>8</t>
        </is>
      </c>
      <c r="M544" s="18" t="inlineStr"/>
      <c r="N544" s="18" t="inlineStr">
        <is>
          <t>DAD6A3</t>
        </is>
      </c>
    </row>
    <row r="545">
      <c r="A545" s="18" t="inlineStr">
        <is>
          <t>DWG0538</t>
        </is>
      </c>
      <c r="B545" s="18" t="inlineStr">
        <is>
          <t>D29</t>
        </is>
      </c>
      <c r="C545" s="18" t="inlineStr">
        <is>
          <t>29</t>
        </is>
      </c>
      <c r="D545" s="18" t="inlineStr">
        <is>
          <t>horizontal</t>
        </is>
      </c>
      <c r="E545" s="38" t="n">
        <v>110</v>
      </c>
      <c r="F545" s="38" t="n">
        <v>110</v>
      </c>
      <c r="G545" s="18" t="inlineStr">
        <is>
          <t>u/v</t>
        </is>
      </c>
      <c r="H545" s="44" t="n">
        <v>3417.1</v>
      </c>
      <c r="I545" s="38" t="n">
        <v>2996</v>
      </c>
      <c r="J545" s="44" t="n">
        <v>3527.1</v>
      </c>
      <c r="K545" s="44" t="n">
        <v>3001.3</v>
      </c>
      <c r="L545" s="18" t="inlineStr">
        <is>
          <t>8</t>
        </is>
      </c>
      <c r="M545" s="18" t="inlineStr"/>
      <c r="N545" s="18" t="inlineStr">
        <is>
          <t>DAD69D</t>
        </is>
      </c>
    </row>
    <row r="546">
      <c r="A546" s="18" t="inlineStr">
        <is>
          <t>DWG0539</t>
        </is>
      </c>
      <c r="B546" s="18" t="inlineStr">
        <is>
          <t>D29</t>
        </is>
      </c>
      <c r="C546" s="18" t="inlineStr">
        <is>
          <t>29</t>
        </is>
      </c>
      <c r="D546" s="18" t="inlineStr">
        <is>
          <t>horizontal</t>
        </is>
      </c>
      <c r="E546" s="38" t="n">
        <v>110</v>
      </c>
      <c r="F546" s="38" t="n">
        <v>110</v>
      </c>
      <c r="G546" s="18" t="inlineStr">
        <is>
          <t>u/v</t>
        </is>
      </c>
      <c r="H546" s="44" t="n">
        <v>3527.1</v>
      </c>
      <c r="I546" s="44" t="n">
        <v>3001.3</v>
      </c>
      <c r="J546" s="44" t="n">
        <v>3637.1</v>
      </c>
      <c r="K546" s="38" t="n">
        <v>2991</v>
      </c>
      <c r="L546" s="18" t="inlineStr">
        <is>
          <t>8</t>
        </is>
      </c>
      <c r="M546" s="18" t="inlineStr"/>
      <c r="N546" s="18" t="inlineStr">
        <is>
          <t>DAD6A0</t>
        </is>
      </c>
    </row>
    <row r="547">
      <c r="A547" s="18" t="inlineStr">
        <is>
          <t>DWG0540</t>
        </is>
      </c>
      <c r="B547" s="18" t="inlineStr">
        <is>
          <t>D29</t>
        </is>
      </c>
      <c r="C547" s="18" t="inlineStr">
        <is>
          <t>29</t>
        </is>
      </c>
      <c r="D547" s="18" t="inlineStr">
        <is>
          <t>horizontal</t>
        </is>
      </c>
      <c r="E547" s="38" t="n">
        <v>110</v>
      </c>
      <c r="F547" s="38" t="n">
        <v>110</v>
      </c>
      <c r="G547" s="18" t="inlineStr">
        <is>
          <t>u/v</t>
        </is>
      </c>
      <c r="H547" s="44" t="n">
        <v>3197.1</v>
      </c>
      <c r="I547" s="44" t="n">
        <v>3003.8</v>
      </c>
      <c r="J547" s="44" t="n">
        <v>3307.1</v>
      </c>
      <c r="K547" s="44" t="n">
        <v>3011.6</v>
      </c>
      <c r="L547" s="18" t="inlineStr">
        <is>
          <t>8</t>
        </is>
      </c>
      <c r="M547" s="18" t="inlineStr"/>
      <c r="N547" s="18" t="inlineStr">
        <is>
          <t>DAD69B</t>
        </is>
      </c>
    </row>
    <row r="548">
      <c r="A548" s="18" t="inlineStr">
        <is>
          <t>DWG0541</t>
        </is>
      </c>
      <c r="B548" s="18" t="inlineStr">
        <is>
          <t>D29</t>
        </is>
      </c>
      <c r="C548" s="18" t="inlineStr">
        <is>
          <t>29</t>
        </is>
      </c>
      <c r="D548" s="18" t="inlineStr">
        <is>
          <t>horizontal</t>
        </is>
      </c>
      <c r="E548" s="38" t="n">
        <v>110</v>
      </c>
      <c r="F548" s="38" t="n">
        <v>110</v>
      </c>
      <c r="G548" s="18" t="inlineStr">
        <is>
          <t>u/v</t>
        </is>
      </c>
      <c r="H548" s="44" t="n">
        <v>4082.1</v>
      </c>
      <c r="I548" s="44" t="n">
        <v>3009.1</v>
      </c>
      <c r="J548" s="44" t="n">
        <v>4192.1</v>
      </c>
      <c r="K548" s="38" t="n">
        <v>3074</v>
      </c>
      <c r="L548" s="18" t="inlineStr">
        <is>
          <t>8</t>
        </is>
      </c>
      <c r="M548" s="18" t="inlineStr"/>
      <c r="N548" s="18" t="inlineStr">
        <is>
          <t>DAD6AF</t>
        </is>
      </c>
    </row>
    <row r="549">
      <c r="A549" s="18" t="inlineStr">
        <is>
          <t>DWG0542</t>
        </is>
      </c>
      <c r="B549" s="18" t="inlineStr">
        <is>
          <t>D29</t>
        </is>
      </c>
      <c r="C549" s="18" t="inlineStr">
        <is>
          <t>29</t>
        </is>
      </c>
      <c r="D549" s="18" t="inlineStr">
        <is>
          <t>horizontal</t>
        </is>
      </c>
      <c r="E549" s="38" t="n">
        <v>110</v>
      </c>
      <c r="F549" s="38" t="n">
        <v>110</v>
      </c>
      <c r="G549" s="18" t="inlineStr">
        <is>
          <t>u/v</t>
        </is>
      </c>
      <c r="H549" s="44" t="n">
        <v>3307.1</v>
      </c>
      <c r="I549" s="44" t="n">
        <v>3011.6</v>
      </c>
      <c r="J549" s="44" t="n">
        <v>3417.1</v>
      </c>
      <c r="K549" s="38" t="n">
        <v>2996</v>
      </c>
      <c r="L549" s="18" t="inlineStr">
        <is>
          <t>8</t>
        </is>
      </c>
      <c r="M549" s="18" t="inlineStr"/>
      <c r="N549" s="18" t="inlineStr">
        <is>
          <t>DAD69C</t>
        </is>
      </c>
    </row>
    <row r="550">
      <c r="A550" s="18" t="inlineStr">
        <is>
          <t>DWG0543</t>
        </is>
      </c>
      <c r="B550" s="18" t="inlineStr">
        <is>
          <t>D29</t>
        </is>
      </c>
      <c r="C550" s="18" t="inlineStr">
        <is>
          <t>29</t>
        </is>
      </c>
      <c r="D550" s="18" t="inlineStr">
        <is>
          <t>horizontal</t>
        </is>
      </c>
      <c r="E550" s="44" t="n">
        <v>78.2</v>
      </c>
      <c r="F550" s="38" t="n">
        <v>78</v>
      </c>
      <c r="G550" s="18" t="inlineStr">
        <is>
          <t>u/v</t>
        </is>
      </c>
      <c r="H550" s="44" t="n">
        <v>4192.1</v>
      </c>
      <c r="I550" s="38" t="n">
        <v>3074</v>
      </c>
      <c r="J550" s="44" t="n">
        <v>4270.3</v>
      </c>
      <c r="K550" s="44" t="n">
        <v>3079.3</v>
      </c>
      <c r="L550" s="18" t="inlineStr">
        <is>
          <t>8</t>
        </is>
      </c>
      <c r="M550" s="18" t="inlineStr"/>
      <c r="N550" s="18" t="inlineStr">
        <is>
          <t>DAD6B2</t>
        </is>
      </c>
    </row>
    <row r="551">
      <c r="A551" s="18" t="inlineStr">
        <is>
          <t>DWG0544</t>
        </is>
      </c>
      <c r="B551" s="18" t="inlineStr">
        <is>
          <t>D29</t>
        </is>
      </c>
      <c r="C551" s="18" t="inlineStr">
        <is>
          <t>29</t>
        </is>
      </c>
      <c r="D551" s="18" t="inlineStr">
        <is>
          <t>horizontal</t>
        </is>
      </c>
      <c r="E551" s="38" t="n">
        <v>130</v>
      </c>
      <c r="F551" s="38" t="n">
        <v>130</v>
      </c>
      <c r="G551" s="18" t="inlineStr">
        <is>
          <t>u/v</t>
        </is>
      </c>
      <c r="H551" s="44" t="n">
        <v>4270.3</v>
      </c>
      <c r="I551" s="44" t="n">
        <v>3079.3</v>
      </c>
      <c r="J551" s="44" t="n">
        <v>4400.3</v>
      </c>
      <c r="K551" s="44" t="n">
        <v>3102.7</v>
      </c>
      <c r="L551" s="18" t="inlineStr">
        <is>
          <t>8</t>
        </is>
      </c>
      <c r="M551" s="18" t="inlineStr"/>
      <c r="N551" s="18" t="inlineStr">
        <is>
          <t>DAD6B5</t>
        </is>
      </c>
    </row>
    <row r="552">
      <c r="A552" s="18" t="inlineStr">
        <is>
          <t>DWG0545</t>
        </is>
      </c>
      <c r="B552" s="18" t="inlineStr">
        <is>
          <t>D29</t>
        </is>
      </c>
      <c r="C552" s="18" t="inlineStr">
        <is>
          <t>29</t>
        </is>
      </c>
      <c r="D552" s="18" t="inlineStr">
        <is>
          <t>horizontal</t>
        </is>
      </c>
      <c r="E552" s="44" t="n">
        <v>1569.4</v>
      </c>
      <c r="F552" s="38" t="n">
        <v>1569</v>
      </c>
      <c r="G552" s="18" t="inlineStr">
        <is>
          <t>u/v</t>
        </is>
      </c>
      <c r="H552" s="44" t="n">
        <v>4400.3</v>
      </c>
      <c r="I552" s="44" t="n">
        <v>3102.7</v>
      </c>
      <c r="J552" s="44" t="n">
        <v>5969.7</v>
      </c>
      <c r="K552" s="44" t="n">
        <v>2736.5</v>
      </c>
      <c r="L552" s="18" t="inlineStr">
        <is>
          <t>8</t>
        </is>
      </c>
      <c r="M552" s="18" t="inlineStr"/>
      <c r="N552" s="18" t="inlineStr">
        <is>
          <t>DAD6B8</t>
        </is>
      </c>
    </row>
    <row r="553">
      <c r="A553" s="18" t="inlineStr">
        <is>
          <t>DWG0546</t>
        </is>
      </c>
      <c r="B553" s="18" t="inlineStr">
        <is>
          <t>D29</t>
        </is>
      </c>
      <c r="C553" s="18" t="inlineStr">
        <is>
          <t>29</t>
        </is>
      </c>
      <c r="D553" s="18" t="inlineStr">
        <is>
          <t>horizontal</t>
        </is>
      </c>
      <c r="E553" s="38" t="n">
        <v>95</v>
      </c>
      <c r="F553" s="38" t="n">
        <v>95</v>
      </c>
      <c r="G553" s="18" t="inlineStr">
        <is>
          <t>u/v</t>
        </is>
      </c>
      <c r="H553" s="44" t="n">
        <v>6379.7</v>
      </c>
      <c r="I553" s="44" t="n">
        <v>3106.8</v>
      </c>
      <c r="J553" s="44" t="n">
        <v>6474.7</v>
      </c>
      <c r="K553" s="44" t="n">
        <v>3131.2</v>
      </c>
      <c r="L553" s="18" t="inlineStr">
        <is>
          <t>8</t>
        </is>
      </c>
      <c r="M553" s="18" t="inlineStr"/>
      <c r="N553" s="18" t="inlineStr">
        <is>
          <t>DAD6C7</t>
        </is>
      </c>
    </row>
    <row r="554">
      <c r="A554" s="18" t="inlineStr">
        <is>
          <t>DWG0547</t>
        </is>
      </c>
      <c r="B554" s="18" t="inlineStr">
        <is>
          <t>D29</t>
        </is>
      </c>
      <c r="C554" s="18" t="inlineStr">
        <is>
          <t>29</t>
        </is>
      </c>
      <c r="D554" s="18" t="inlineStr">
        <is>
          <t>horizontal</t>
        </is>
      </c>
      <c r="E554" s="38" t="n">
        <v>115</v>
      </c>
      <c r="F554" s="38" t="n">
        <v>115</v>
      </c>
      <c r="G554" s="18" t="inlineStr">
        <is>
          <t>u/v</t>
        </is>
      </c>
      <c r="H554" s="44" t="n">
        <v>3082.1</v>
      </c>
      <c r="I554" s="44" t="n">
        <v>3152.8</v>
      </c>
      <c r="J554" s="44" t="n">
        <v>3197.1</v>
      </c>
      <c r="K554" s="44" t="n">
        <v>3003.8</v>
      </c>
      <c r="L554" s="18" t="inlineStr">
        <is>
          <t>8</t>
        </is>
      </c>
      <c r="M554" s="18" t="inlineStr"/>
      <c r="N554" s="18" t="inlineStr">
        <is>
          <t>DAD69A</t>
        </is>
      </c>
    </row>
    <row r="555">
      <c r="A555" s="18" t="inlineStr">
        <is>
          <t>DWG0548</t>
        </is>
      </c>
      <c r="B555" s="18" t="inlineStr">
        <is>
          <t>D29</t>
        </is>
      </c>
      <c r="C555" s="18" t="inlineStr">
        <is>
          <t>29</t>
        </is>
      </c>
      <c r="D555" s="18" t="inlineStr">
        <is>
          <t>horizontal</t>
        </is>
      </c>
      <c r="E555" s="44" t="n">
        <v>208.2</v>
      </c>
      <c r="F555" s="38" t="n">
        <v>208</v>
      </c>
      <c r="G555" s="18" t="inlineStr">
        <is>
          <t>u/v</t>
        </is>
      </c>
      <c r="H555" s="44" t="n">
        <v>2763.9</v>
      </c>
      <c r="I555" s="44" t="n">
        <v>3191.8</v>
      </c>
      <c r="J555" s="44" t="n">
        <v>2972.1</v>
      </c>
      <c r="K555" s="44" t="n">
        <v>3191.8</v>
      </c>
      <c r="L555" s="18" t="inlineStr">
        <is>
          <t>8</t>
        </is>
      </c>
      <c r="M555" s="18" t="inlineStr"/>
      <c r="N555" s="18" t="inlineStr">
        <is>
          <t>DAD696</t>
        </is>
      </c>
    </row>
    <row r="556">
      <c r="A556" s="18" t="inlineStr">
        <is>
          <t>DWG0549</t>
        </is>
      </c>
      <c r="B556" s="18" t="inlineStr">
        <is>
          <t>D29</t>
        </is>
      </c>
      <c r="C556" s="18" t="inlineStr">
        <is>
          <t>29</t>
        </is>
      </c>
      <c r="D556" s="18" t="inlineStr">
        <is>
          <t>horizontal</t>
        </is>
      </c>
      <c r="E556" s="38" t="n">
        <v>110</v>
      </c>
      <c r="F556" s="38" t="n">
        <v>110</v>
      </c>
      <c r="G556" s="18" t="inlineStr">
        <is>
          <t>u/v</t>
        </is>
      </c>
      <c r="H556" s="44" t="n">
        <v>2972.1</v>
      </c>
      <c r="I556" s="44" t="n">
        <v>3191.8</v>
      </c>
      <c r="J556" s="44" t="n">
        <v>3082.1</v>
      </c>
      <c r="K556" s="44" t="n">
        <v>3152.8</v>
      </c>
      <c r="L556" s="18" t="inlineStr">
        <is>
          <t>8</t>
        </is>
      </c>
      <c r="M556" s="18" t="inlineStr"/>
      <c r="N556" s="18" t="inlineStr">
        <is>
          <t>DAD699</t>
        </is>
      </c>
    </row>
    <row r="557">
      <c r="A557" s="18" t="inlineStr">
        <is>
          <t>DWG0550</t>
        </is>
      </c>
      <c r="B557" s="18" t="inlineStr">
        <is>
          <t>D29</t>
        </is>
      </c>
      <c r="C557" s="18" t="inlineStr">
        <is>
          <t>29</t>
        </is>
      </c>
      <c r="D557" s="18" t="inlineStr">
        <is>
          <t>horizontal</t>
        </is>
      </c>
      <c r="E557" s="38" t="n">
        <v>25</v>
      </c>
      <c r="F557" s="38" t="n">
        <v>25</v>
      </c>
      <c r="G557" s="18" t="inlineStr">
        <is>
          <t>u/v</t>
        </is>
      </c>
      <c r="H557" s="44" t="n">
        <v>6499.7</v>
      </c>
      <c r="I557" s="44" t="n">
        <v>6043.3</v>
      </c>
      <c r="J557" s="44" t="n">
        <v>6474.7</v>
      </c>
      <c r="K557" s="44" t="n">
        <v>6043.3</v>
      </c>
      <c r="L557" s="18" t="inlineStr">
        <is>
          <t>8</t>
        </is>
      </c>
      <c r="M557" s="18" t="inlineStr"/>
      <c r="N557" s="18" t="inlineStr">
        <is>
          <t>DAD72E</t>
        </is>
      </c>
    </row>
    <row r="558">
      <c r="A558" s="18" t="inlineStr">
        <is>
          <t>DWG0551</t>
        </is>
      </c>
      <c r="B558" s="18" t="inlineStr">
        <is>
          <t>D29</t>
        </is>
      </c>
      <c r="C558" s="18" t="inlineStr">
        <is>
          <t>29</t>
        </is>
      </c>
      <c r="D558" s="18" t="inlineStr">
        <is>
          <t>horizontal</t>
        </is>
      </c>
      <c r="E558" s="38" t="n">
        <v>40</v>
      </c>
      <c r="F558" s="38" t="n">
        <v>40</v>
      </c>
      <c r="G558" s="18" t="inlineStr">
        <is>
          <t>u/v</t>
        </is>
      </c>
      <c r="H558" s="44" t="n">
        <v>6434.7</v>
      </c>
      <c r="I558" s="44" t="n">
        <v>6139.8</v>
      </c>
      <c r="J558" s="44" t="n">
        <v>6474.7</v>
      </c>
      <c r="K558" s="44" t="n">
        <v>6139.8</v>
      </c>
      <c r="L558" s="18" t="inlineStr">
        <is>
          <t>8</t>
        </is>
      </c>
      <c r="M558" s="18" t="inlineStr"/>
      <c r="N558" s="18" t="inlineStr">
        <is>
          <t>DAD72B</t>
        </is>
      </c>
    </row>
    <row r="559">
      <c r="A559" s="18" t="inlineStr">
        <is>
          <t>DWG0552</t>
        </is>
      </c>
      <c r="B559" s="18" t="inlineStr">
        <is>
          <t>D29</t>
        </is>
      </c>
      <c r="C559" s="18" t="inlineStr">
        <is>
          <t>29</t>
        </is>
      </c>
      <c r="D559" s="18" t="inlineStr">
        <is>
          <t>horizontal</t>
        </is>
      </c>
      <c r="E559" s="38" t="n">
        <v>25</v>
      </c>
      <c r="F559" s="38" t="n">
        <v>25</v>
      </c>
      <c r="G559" s="18" t="inlineStr">
        <is>
          <t>u/v</t>
        </is>
      </c>
      <c r="H559" s="44" t="n">
        <v>6409.7</v>
      </c>
      <c r="I559" s="44" t="n">
        <v>6194.4</v>
      </c>
      <c r="J559" s="44" t="n">
        <v>6434.7</v>
      </c>
      <c r="K559" s="44" t="n">
        <v>6202.4</v>
      </c>
      <c r="L559" s="18" t="inlineStr">
        <is>
          <t>8</t>
        </is>
      </c>
      <c r="M559" s="18" t="inlineStr"/>
      <c r="N559" s="18" t="inlineStr">
        <is>
          <t>DAD728</t>
        </is>
      </c>
    </row>
    <row r="560">
      <c r="A560" s="18" t="inlineStr">
        <is>
          <t>DWG0553</t>
        </is>
      </c>
      <c r="B560" s="18" t="inlineStr">
        <is>
          <t>D29</t>
        </is>
      </c>
      <c r="C560" s="18" t="inlineStr">
        <is>
          <t>29</t>
        </is>
      </c>
      <c r="D560" s="18" t="inlineStr">
        <is>
          <t>horizontal</t>
        </is>
      </c>
      <c r="E560" s="38" t="n">
        <v>30</v>
      </c>
      <c r="F560" s="38" t="n">
        <v>30</v>
      </c>
      <c r="G560" s="18" t="inlineStr">
        <is>
          <t>u/v</t>
        </is>
      </c>
      <c r="H560" s="44" t="n">
        <v>6379.7</v>
      </c>
      <c r="I560" s="44" t="n">
        <v>6270.6</v>
      </c>
      <c r="J560" s="44" t="n">
        <v>6409.7</v>
      </c>
      <c r="K560" s="44" t="n">
        <v>6270.6</v>
      </c>
      <c r="L560" s="18" t="inlineStr">
        <is>
          <t>8</t>
        </is>
      </c>
      <c r="M560" s="18" t="inlineStr"/>
      <c r="N560" s="18" t="inlineStr">
        <is>
          <t>DAD725</t>
        </is>
      </c>
    </row>
    <row r="561">
      <c r="A561" s="18" t="inlineStr">
        <is>
          <t>DWG0554</t>
        </is>
      </c>
      <c r="B561" s="18" t="inlineStr">
        <is>
          <t>D29</t>
        </is>
      </c>
      <c r="C561" s="18" t="inlineStr">
        <is>
          <t>29</t>
        </is>
      </c>
      <c r="D561" s="18" t="inlineStr">
        <is>
          <t>horizontal</t>
        </is>
      </c>
      <c r="E561" s="38" t="n">
        <v>330</v>
      </c>
      <c r="F561" s="38" t="n">
        <v>330</v>
      </c>
      <c r="G561" s="18" t="inlineStr">
        <is>
          <t>u/v</t>
        </is>
      </c>
      <c r="H561" s="44" t="n">
        <v>5969.7</v>
      </c>
      <c r="I561" s="44" t="n">
        <v>6387.8</v>
      </c>
      <c r="J561" s="44" t="n">
        <v>6299.7</v>
      </c>
      <c r="K561" s="44" t="n">
        <v>6387.8</v>
      </c>
      <c r="L561" s="18" t="inlineStr">
        <is>
          <t>8</t>
        </is>
      </c>
      <c r="M561" s="18" t="inlineStr"/>
      <c r="N561" s="18" t="inlineStr">
        <is>
          <t>DAD71F</t>
        </is>
      </c>
    </row>
    <row r="562">
      <c r="A562" s="18" t="inlineStr">
        <is>
          <t>DWG0555</t>
        </is>
      </c>
      <c r="B562" s="18" t="inlineStr">
        <is>
          <t>D29</t>
        </is>
      </c>
      <c r="C562" s="18" t="inlineStr">
        <is>
          <t>29</t>
        </is>
      </c>
      <c r="D562" s="18" t="inlineStr">
        <is>
          <t>horizontal</t>
        </is>
      </c>
      <c r="E562" s="38" t="n">
        <v>440</v>
      </c>
      <c r="F562" s="38" t="n">
        <v>440</v>
      </c>
      <c r="G562" s="18" t="inlineStr">
        <is>
          <t>u/v</t>
        </is>
      </c>
      <c r="H562" s="44" t="n">
        <v>5969.7</v>
      </c>
      <c r="I562" s="44" t="n">
        <v>6773.9</v>
      </c>
      <c r="J562" s="44" t="n">
        <v>6409.7</v>
      </c>
      <c r="K562" s="44" t="n">
        <v>6790.4</v>
      </c>
      <c r="L562" s="18" t="inlineStr">
        <is>
          <t>8</t>
        </is>
      </c>
      <c r="M562" s="18" t="inlineStr"/>
      <c r="N562" s="18" t="inlineStr">
        <is>
          <t>DAD719</t>
        </is>
      </c>
    </row>
    <row r="563">
      <c r="A563" s="18" t="inlineStr">
        <is>
          <t>DWG0556</t>
        </is>
      </c>
      <c r="B563" s="18" t="inlineStr">
        <is>
          <t>D29</t>
        </is>
      </c>
      <c r="C563" s="18" t="inlineStr">
        <is>
          <t>29</t>
        </is>
      </c>
      <c r="D563" s="18" t="inlineStr">
        <is>
          <t>horizontal</t>
        </is>
      </c>
      <c r="E563" s="38" t="n">
        <v>90</v>
      </c>
      <c r="F563" s="38" t="n">
        <v>90</v>
      </c>
      <c r="G563" s="18" t="inlineStr">
        <is>
          <t>u/v</t>
        </is>
      </c>
      <c r="H563" s="44" t="n">
        <v>6409.7</v>
      </c>
      <c r="I563" s="44" t="n">
        <v>6790.4</v>
      </c>
      <c r="J563" s="44" t="n">
        <v>6499.7</v>
      </c>
      <c r="K563" s="44" t="n">
        <v>6671.7</v>
      </c>
      <c r="L563" s="18" t="inlineStr">
        <is>
          <t>8</t>
        </is>
      </c>
      <c r="M563" s="18" t="inlineStr"/>
      <c r="N563" s="18" t="inlineStr">
        <is>
          <t>DAD71C</t>
        </is>
      </c>
    </row>
    <row r="564">
      <c r="A564" s="18" t="inlineStr">
        <is>
          <t>DWG0557</t>
        </is>
      </c>
      <c r="B564" s="18" t="inlineStr">
        <is>
          <t>D29</t>
        </is>
      </c>
      <c r="C564" s="18" t="inlineStr">
        <is>
          <t>29</t>
        </is>
      </c>
      <c r="D564" s="18" t="inlineStr">
        <is>
          <t>vertical</t>
        </is>
      </c>
      <c r="E564" s="38" t="n">
        <v>220</v>
      </c>
      <c r="F564" s="38" t="n">
        <v>220</v>
      </c>
      <c r="G564" s="18" t="inlineStr">
        <is>
          <t>u/v</t>
        </is>
      </c>
      <c r="H564" s="44" t="n">
        <v>2757.7</v>
      </c>
      <c r="I564" s="38" t="n">
        <v>5537</v>
      </c>
      <c r="J564" s="44" t="n">
        <v>2780.9</v>
      </c>
      <c r="K564" s="38" t="n">
        <v>5757</v>
      </c>
      <c r="L564" s="18" t="inlineStr">
        <is>
          <t>8</t>
        </is>
      </c>
      <c r="M564" s="18" t="inlineStr">
        <is>
          <t>S107 S113</t>
        </is>
      </c>
      <c r="N564" s="18" t="inlineStr">
        <is>
          <t>DAD687</t>
        </is>
      </c>
    </row>
    <row r="565">
      <c r="A565" s="18" t="inlineStr">
        <is>
          <t>DWG0558</t>
        </is>
      </c>
      <c r="B565" s="18" t="inlineStr">
        <is>
          <t>D29</t>
        </is>
      </c>
      <c r="C565" s="18" t="inlineStr">
        <is>
          <t>29</t>
        </is>
      </c>
      <c r="D565" s="18" t="inlineStr">
        <is>
          <t>vertical</t>
        </is>
      </c>
      <c r="E565" s="38" t="n">
        <v>50</v>
      </c>
      <c r="F565" s="38" t="n">
        <v>50</v>
      </c>
      <c r="G565" s="18" t="inlineStr">
        <is>
          <t>u/v</t>
        </is>
      </c>
      <c r="H565" s="44" t="n">
        <v>2763.9</v>
      </c>
      <c r="I565" s="38" t="n">
        <v>5487</v>
      </c>
      <c r="J565" s="44" t="n">
        <v>2757.7</v>
      </c>
      <c r="K565" s="38" t="n">
        <v>5537</v>
      </c>
      <c r="L565" s="18" t="inlineStr">
        <is>
          <t>8</t>
        </is>
      </c>
      <c r="M565" s="18" t="inlineStr"/>
      <c r="N565" s="18" t="inlineStr">
        <is>
          <t>DAD684</t>
        </is>
      </c>
    </row>
    <row r="566">
      <c r="A566" s="18" t="inlineStr">
        <is>
          <t>DWG0559</t>
        </is>
      </c>
      <c r="B566" s="18" t="inlineStr">
        <is>
          <t>D29</t>
        </is>
      </c>
      <c r="C566" s="18" t="inlineStr">
        <is>
          <t>29</t>
        </is>
      </c>
      <c r="D566" s="18" t="inlineStr">
        <is>
          <t>vertical</t>
        </is>
      </c>
      <c r="E566" s="38" t="n">
        <v>500</v>
      </c>
      <c r="F566" s="38" t="n">
        <v>500</v>
      </c>
      <c r="G566" s="18" t="inlineStr">
        <is>
          <t>u/v</t>
        </is>
      </c>
      <c r="H566" s="38" t="n">
        <v>2777</v>
      </c>
      <c r="I566" s="38" t="n">
        <v>5837</v>
      </c>
      <c r="J566" s="44" t="n">
        <v>3582.1</v>
      </c>
      <c r="K566" s="38" t="n">
        <v>6337</v>
      </c>
      <c r="L566" s="18" t="inlineStr">
        <is>
          <t>8</t>
        </is>
      </c>
      <c r="M566" s="18" t="inlineStr"/>
      <c r="N566" s="18" t="inlineStr">
        <is>
          <t>DAD68D</t>
        </is>
      </c>
    </row>
    <row r="567">
      <c r="A567" s="18" t="inlineStr">
        <is>
          <t>DWG0560</t>
        </is>
      </c>
      <c r="B567" s="18" t="inlineStr">
        <is>
          <t>D29</t>
        </is>
      </c>
      <c r="C567" s="18" t="inlineStr">
        <is>
          <t>29</t>
        </is>
      </c>
      <c r="D567" s="18" t="inlineStr">
        <is>
          <t>vertical</t>
        </is>
      </c>
      <c r="E567" s="38" t="n">
        <v>80</v>
      </c>
      <c r="F567" s="38" t="n">
        <v>80</v>
      </c>
      <c r="G567" s="18" t="inlineStr">
        <is>
          <t>u/v</t>
        </is>
      </c>
      <c r="H567" s="44" t="n">
        <v>2780.9</v>
      </c>
      <c r="I567" s="38" t="n">
        <v>5757</v>
      </c>
      <c r="J567" s="38" t="n">
        <v>2777</v>
      </c>
      <c r="K567" s="38" t="n">
        <v>5837</v>
      </c>
      <c r="L567" s="18" t="inlineStr">
        <is>
          <t>8</t>
        </is>
      </c>
      <c r="M567" s="18" t="inlineStr"/>
      <c r="N567" s="18" t="inlineStr">
        <is>
          <t>DAD68A</t>
        </is>
      </c>
    </row>
    <row r="568">
      <c r="A568" s="18" t="inlineStr">
        <is>
          <t>DWG0561</t>
        </is>
      </c>
      <c r="B568" s="18" t="inlineStr">
        <is>
          <t>D29</t>
        </is>
      </c>
      <c r="C568" s="18" t="inlineStr">
        <is>
          <t>29</t>
        </is>
      </c>
      <c r="D568" s="18" t="inlineStr">
        <is>
          <t>vertical</t>
        </is>
      </c>
      <c r="E568" s="38" t="n">
        <v>310</v>
      </c>
      <c r="F568" s="38" t="n">
        <v>310</v>
      </c>
      <c r="G568" s="18" t="inlineStr">
        <is>
          <t>u/v</t>
        </is>
      </c>
      <c r="H568" s="44" t="n">
        <v>2854.6</v>
      </c>
      <c r="I568" s="44" t="n">
        <v>2736.5</v>
      </c>
      <c r="J568" s="44" t="n">
        <v>2854.6</v>
      </c>
      <c r="K568" s="44" t="n">
        <v>3046.5</v>
      </c>
      <c r="L568" s="18" t="inlineStr">
        <is>
          <t>8</t>
        </is>
      </c>
      <c r="M568" s="18" t="inlineStr"/>
      <c r="N568" s="18" t="inlineStr">
        <is>
          <t>DAD67E</t>
        </is>
      </c>
    </row>
    <row r="569">
      <c r="A569" s="18" t="inlineStr">
        <is>
          <t>DWG0562</t>
        </is>
      </c>
      <c r="B569" s="18" t="inlineStr">
        <is>
          <t>D29</t>
        </is>
      </c>
      <c r="C569" s="18" t="inlineStr">
        <is>
          <t>29</t>
        </is>
      </c>
      <c r="D569" s="18" t="inlineStr">
        <is>
          <t>vertical</t>
        </is>
      </c>
      <c r="E569" s="44" t="n">
        <v>2440.5</v>
      </c>
      <c r="F569" s="38">
        <v>2441</v>
      </c>
      <c r="G569" s="18" t="inlineStr">
        <is>
          <t>u/v</t>
        </is>
      </c>
      <c r="H569" s="44" t="n">
        <v>2854.6</v>
      </c>
      <c r="I569" s="44" t="n">
        <v>3046.5</v>
      </c>
      <c r="J569" s="44" t="n">
        <v>2763.9</v>
      </c>
      <c r="K569" s="38" t="n">
        <v>5487</v>
      </c>
      <c r="L569" s="18" t="inlineStr">
        <is>
          <t>8</t>
        </is>
      </c>
      <c r="M569" s="18" t="inlineStr"/>
      <c r="N569" s="18" t="inlineStr">
        <is>
          <t>DAD681</t>
        </is>
      </c>
    </row>
    <row r="570">
      <c r="A570" s="18" t="inlineStr">
        <is>
          <t>DWG0563</t>
        </is>
      </c>
      <c r="B570" s="18" t="inlineStr">
        <is>
          <t>D29</t>
        </is>
      </c>
      <c r="C570" s="18" t="inlineStr">
        <is>
          <t>29</t>
        </is>
      </c>
      <c r="D570" s="18" t="inlineStr">
        <is>
          <t>vertical</t>
        </is>
      </c>
      <c r="E570" s="38" t="n">
        <v>110</v>
      </c>
      <c r="F570" s="38" t="n">
        <v>110</v>
      </c>
      <c r="G570" s="18" t="inlineStr">
        <is>
          <t>u/v</t>
        </is>
      </c>
      <c r="H570" s="44" t="n">
        <v>3582.1</v>
      </c>
      <c r="I570" s="38" t="n">
        <v>6337</v>
      </c>
      <c r="J570" s="44" t="n">
        <v>3582.1</v>
      </c>
      <c r="K570" s="38" t="n">
        <v>6447</v>
      </c>
      <c r="L570" s="18" t="inlineStr">
        <is>
          <t>8</t>
        </is>
      </c>
      <c r="M570" s="18" t="inlineStr"/>
      <c r="N570" s="18" t="inlineStr">
        <is>
          <t>DAD690</t>
        </is>
      </c>
    </row>
    <row r="571">
      <c r="A571" s="18" t="inlineStr">
        <is>
          <t>DWG0564</t>
        </is>
      </c>
      <c r="B571" s="18" t="inlineStr">
        <is>
          <t>D29</t>
        </is>
      </c>
      <c r="C571" s="18" t="inlineStr">
        <is>
          <t>29</t>
        </is>
      </c>
      <c r="D571" s="18" t="inlineStr">
        <is>
          <t>vertical</t>
        </is>
      </c>
      <c r="E571" s="38" t="n">
        <v>218</v>
      </c>
      <c r="F571" s="38" t="n">
        <v>218</v>
      </c>
      <c r="G571" s="18" t="inlineStr">
        <is>
          <t>u/v</t>
        </is>
      </c>
      <c r="H571" s="44" t="n">
        <v>3582.1</v>
      </c>
      <c r="I571" s="38" t="n">
        <v>6447</v>
      </c>
      <c r="J571" s="44" t="n">
        <v>3582.1</v>
      </c>
      <c r="K571" s="38" t="n">
        <v>6665</v>
      </c>
      <c r="L571" s="18" t="inlineStr">
        <is>
          <t>8</t>
        </is>
      </c>
      <c r="M571" s="18" t="inlineStr"/>
      <c r="N571" s="18" t="inlineStr">
        <is>
          <t>DAD693</t>
        </is>
      </c>
    </row>
    <row r="572">
      <c r="A572" s="18" t="inlineStr">
        <is>
          <t>DWG0565</t>
        </is>
      </c>
      <c r="B572" s="18" t="inlineStr">
        <is>
          <t>D29</t>
        </is>
      </c>
      <c r="C572" s="18" t="inlineStr">
        <is>
          <t>29</t>
        </is>
      </c>
      <c r="D572" s="18" t="inlineStr">
        <is>
          <t>vertical</t>
        </is>
      </c>
      <c r="E572" s="44" t="n">
        <v>271.8</v>
      </c>
      <c r="F572" s="38" t="n">
        <v>272</v>
      </c>
      <c r="G572" s="18" t="inlineStr">
        <is>
          <t>u/v</t>
        </is>
      </c>
      <c r="H572" s="44" t="n">
        <v>5846.2</v>
      </c>
      <c r="I572" s="44" t="n">
        <v>2464.7</v>
      </c>
      <c r="J572" s="44" t="n">
        <v>5846.2</v>
      </c>
      <c r="K572" s="44" t="n">
        <v>2736.5</v>
      </c>
      <c r="L572" s="18" t="inlineStr">
        <is>
          <t>8</t>
        </is>
      </c>
      <c r="M572" s="18" t="inlineStr"/>
      <c r="N572" s="18" t="inlineStr">
        <is>
          <t>DAD6CA</t>
        </is>
      </c>
    </row>
    <row r="573">
      <c r="A573" s="18" t="inlineStr">
        <is>
          <t>DWG0566</t>
        </is>
      </c>
      <c r="B573" s="18" t="inlineStr">
        <is>
          <t>D29</t>
        </is>
      </c>
      <c r="C573" s="18" t="inlineStr">
        <is>
          <t>29</t>
        </is>
      </c>
      <c r="D573" s="18" t="inlineStr">
        <is>
          <t>vertical</t>
        </is>
      </c>
      <c r="E573" s="38" t="n">
        <v>75</v>
      </c>
      <c r="F573" s="38" t="n">
        <v>75</v>
      </c>
      <c r="G573" s="18" t="inlineStr">
        <is>
          <t>u/v</t>
        </is>
      </c>
      <c r="H573" s="44" t="n">
        <v>5846.2</v>
      </c>
      <c r="I573" s="44" t="n">
        <v>2736.5</v>
      </c>
      <c r="J573" s="44" t="n">
        <v>6029.7</v>
      </c>
      <c r="K573" s="44" t="n">
        <v>2811.5</v>
      </c>
      <c r="L573" s="18" t="inlineStr">
        <is>
          <t>8</t>
        </is>
      </c>
      <c r="M573" s="18" t="inlineStr"/>
      <c r="N573" s="18" t="inlineStr">
        <is>
          <t>DAD6CB</t>
        </is>
      </c>
    </row>
    <row r="574">
      <c r="A574" s="18" t="inlineStr">
        <is>
          <t>DWG0567</t>
        </is>
      </c>
      <c r="B574" s="18" t="inlineStr">
        <is>
          <t>D29</t>
        </is>
      </c>
      <c r="C574" s="18" t="inlineStr">
        <is>
          <t>29</t>
        </is>
      </c>
      <c r="D574" s="18" t="inlineStr">
        <is>
          <t>vertical</t>
        </is>
      </c>
      <c r="E574" s="38" t="n">
        <v>150</v>
      </c>
      <c r="F574" s="38" t="n">
        <v>150</v>
      </c>
      <c r="G574" s="18" t="inlineStr">
        <is>
          <t>u/v</t>
        </is>
      </c>
      <c r="H574" s="44" t="n">
        <v>5969.7</v>
      </c>
      <c r="I574" s="38" t="n">
        <v>5687</v>
      </c>
      <c r="J574" s="44" t="n">
        <v>5969.7</v>
      </c>
      <c r="K574" s="38" t="n">
        <v>5837</v>
      </c>
      <c r="L574" s="18" t="inlineStr">
        <is>
          <t>8</t>
        </is>
      </c>
      <c r="M574" s="18" t="inlineStr">
        <is>
          <t>S093</t>
        </is>
      </c>
      <c r="N574" s="18" t="inlineStr">
        <is>
          <t>DAD6E0</t>
        </is>
      </c>
    </row>
    <row r="575">
      <c r="A575" s="18" t="inlineStr">
        <is>
          <t>DWG0568</t>
        </is>
      </c>
      <c r="B575" s="18" t="inlineStr">
        <is>
          <t>D29</t>
        </is>
      </c>
      <c r="C575" s="18" t="inlineStr">
        <is>
          <t>29</t>
        </is>
      </c>
      <c r="D575" s="18" t="inlineStr">
        <is>
          <t>vertical</t>
        </is>
      </c>
      <c r="E575" s="44" t="n">
        <v>506.8</v>
      </c>
      <c r="F575" s="38" t="n">
        <v>507</v>
      </c>
      <c r="G575" s="18" t="inlineStr">
        <is>
          <t>u/v</t>
        </is>
      </c>
      <c r="H575" s="44" t="n">
        <v>5969.7</v>
      </c>
      <c r="I575" s="38" t="n">
        <v>5837</v>
      </c>
      <c r="J575" s="44" t="n">
        <v>5969.7</v>
      </c>
      <c r="K575" s="44" t="n">
        <v>6343.7</v>
      </c>
      <c r="L575" s="18" t="inlineStr">
        <is>
          <t>8</t>
        </is>
      </c>
      <c r="M575" s="18" t="inlineStr">
        <is>
          <t>S094</t>
        </is>
      </c>
      <c r="N575" s="18" t="inlineStr">
        <is>
          <t>DAD6E3</t>
        </is>
      </c>
    </row>
    <row r="576">
      <c r="A576" s="18" t="inlineStr">
        <is>
          <t>DWG0569</t>
        </is>
      </c>
      <c r="B576" s="18" t="inlineStr">
        <is>
          <t>D29</t>
        </is>
      </c>
      <c r="C576" s="18" t="inlineStr">
        <is>
          <t>29</t>
        </is>
      </c>
      <c r="D576" s="18" t="inlineStr">
        <is>
          <t>vertical</t>
        </is>
      </c>
      <c r="E576" s="44" t="n">
        <v>232.4</v>
      </c>
      <c r="F576" s="38" t="n">
        <v>232</v>
      </c>
      <c r="G576" s="18" t="inlineStr">
        <is>
          <t>u/v</t>
        </is>
      </c>
      <c r="H576" s="44" t="n">
        <v>5969.7</v>
      </c>
      <c r="I576" s="44" t="n">
        <v>6343.7</v>
      </c>
      <c r="J576" s="44" t="n">
        <v>5969.7</v>
      </c>
      <c r="K576" s="44" t="n">
        <v>6576.1</v>
      </c>
      <c r="L576" s="18" t="inlineStr">
        <is>
          <t>8</t>
        </is>
      </c>
      <c r="M576" s="18" t="inlineStr"/>
      <c r="N576" s="18" t="inlineStr">
        <is>
          <t>DAD6E6</t>
        </is>
      </c>
    </row>
    <row r="577">
      <c r="A577" s="18" t="inlineStr">
        <is>
          <t>DWG0570</t>
        </is>
      </c>
      <c r="B577" s="18" t="inlineStr">
        <is>
          <t>D29</t>
        </is>
      </c>
      <c r="C577" s="18" t="inlineStr">
        <is>
          <t>29</t>
        </is>
      </c>
      <c r="D577" s="18" t="inlineStr">
        <is>
          <t>vertical</t>
        </is>
      </c>
      <c r="E577" s="38" t="n">
        <v>75</v>
      </c>
      <c r="F577" s="38" t="n">
        <v>75</v>
      </c>
      <c r="G577" s="18" t="inlineStr">
        <is>
          <t>u/v</t>
        </is>
      </c>
      <c r="H577" s="44" t="n">
        <v>6029.7</v>
      </c>
      <c r="I577" s="44" t="n">
        <v>2811.5</v>
      </c>
      <c r="J577" s="44" t="n">
        <v>6079.7</v>
      </c>
      <c r="K577" s="44" t="n">
        <v>2886.5</v>
      </c>
      <c r="L577" s="18" t="inlineStr">
        <is>
          <t>8</t>
        </is>
      </c>
      <c r="M577" s="18" t="inlineStr"/>
      <c r="N577" s="18" t="inlineStr">
        <is>
          <t>DAD6CE</t>
        </is>
      </c>
    </row>
    <row r="578">
      <c r="A578" s="18" t="inlineStr">
        <is>
          <t>DWG0571</t>
        </is>
      </c>
      <c r="B578" s="18" t="inlineStr">
        <is>
          <t>D29</t>
        </is>
      </c>
      <c r="C578" s="18" t="inlineStr">
        <is>
          <t>29</t>
        </is>
      </c>
      <c r="D578" s="18" t="inlineStr">
        <is>
          <t>vertical</t>
        </is>
      </c>
      <c r="E578" s="44" t="n">
        <v>2100.5</v>
      </c>
      <c r="F578" s="38">
        <v>2101</v>
      </c>
      <c r="G578" s="18" t="inlineStr">
        <is>
          <t>u/v</t>
        </is>
      </c>
      <c r="H578" s="44" t="n">
        <v>6049.5</v>
      </c>
      <c r="I578" s="44" t="n">
        <v>3586.5</v>
      </c>
      <c r="J578" s="44" t="n">
        <v>5969.7</v>
      </c>
      <c r="K578" s="38" t="n">
        <v>5687</v>
      </c>
      <c r="L578" s="18" t="inlineStr">
        <is>
          <t>8</t>
        </is>
      </c>
      <c r="M578" s="18" t="inlineStr">
        <is>
          <t>S092</t>
        </is>
      </c>
      <c r="N578" s="18" t="inlineStr">
        <is>
          <t>DAD6DD</t>
        </is>
      </c>
    </row>
    <row r="579">
      <c r="A579" s="18" t="inlineStr">
        <is>
          <t>DWG0572</t>
        </is>
      </c>
      <c r="B579" s="18" t="inlineStr">
        <is>
          <t>D29</t>
        </is>
      </c>
      <c r="C579" s="18" t="inlineStr">
        <is>
          <t>29</t>
        </is>
      </c>
      <c r="D579" s="18" t="inlineStr">
        <is>
          <t>vertical</t>
        </is>
      </c>
      <c r="E579" s="38" t="n">
        <v>60</v>
      </c>
      <c r="F579" s="38" t="n">
        <v>60</v>
      </c>
      <c r="G579" s="18" t="inlineStr">
        <is>
          <t>u/v</t>
        </is>
      </c>
      <c r="H579" s="44" t="n">
        <v>6054.7</v>
      </c>
      <c r="I579" s="44" t="n">
        <v>3526.5</v>
      </c>
      <c r="J579" s="44" t="n">
        <v>6049.5</v>
      </c>
      <c r="K579" s="44" t="n">
        <v>3586.5</v>
      </c>
      <c r="L579" s="18" t="inlineStr">
        <is>
          <t>8</t>
        </is>
      </c>
      <c r="M579" s="18" t="inlineStr"/>
      <c r="N579" s="18" t="inlineStr">
        <is>
          <t>DAD6DA</t>
        </is>
      </c>
    </row>
    <row r="580">
      <c r="A580" s="18" t="inlineStr">
        <is>
          <t>DWG0573</t>
        </is>
      </c>
      <c r="B580" s="18" t="inlineStr">
        <is>
          <t>D29</t>
        </is>
      </c>
      <c r="C580" s="18" t="inlineStr">
        <is>
          <t>29</t>
        </is>
      </c>
      <c r="D580" s="18" t="inlineStr">
        <is>
          <t>vertical</t>
        </is>
      </c>
      <c r="E580" s="38" t="n">
        <v>525</v>
      </c>
      <c r="F580" s="38" t="n">
        <v>525</v>
      </c>
      <c r="G580" s="18" t="inlineStr">
        <is>
          <t>u/v</t>
        </is>
      </c>
      <c r="H580" s="44" t="n">
        <v>6079.7</v>
      </c>
      <c r="I580" s="44" t="n">
        <v>2886.5</v>
      </c>
      <c r="J580" s="44" t="n">
        <v>6097.3</v>
      </c>
      <c r="K580" s="44" t="n">
        <v>3411.5</v>
      </c>
      <c r="L580" s="18" t="inlineStr">
        <is>
          <t>8</t>
        </is>
      </c>
      <c r="M580" s="18" t="inlineStr"/>
      <c r="N580" s="18" t="inlineStr">
        <is>
          <t>DAD6D1</t>
        </is>
      </c>
    </row>
    <row r="581">
      <c r="A581" s="18" t="inlineStr">
        <is>
          <t>DWG0574</t>
        </is>
      </c>
      <c r="B581" s="18" t="inlineStr">
        <is>
          <t>D29</t>
        </is>
      </c>
      <c r="C581" s="18" t="inlineStr">
        <is>
          <t>29</t>
        </is>
      </c>
      <c r="D581" s="18" t="inlineStr">
        <is>
          <t>vertical</t>
        </is>
      </c>
      <c r="E581" s="38" t="n">
        <v>40</v>
      </c>
      <c r="F581" s="38" t="n">
        <v>40</v>
      </c>
      <c r="G581" s="18" t="inlineStr">
        <is>
          <t>u/v</t>
        </is>
      </c>
      <c r="H581" s="44" t="n">
        <v>6079.7</v>
      </c>
      <c r="I581" s="44" t="n">
        <v>3486.5</v>
      </c>
      <c r="J581" s="44" t="n">
        <v>6054.7</v>
      </c>
      <c r="K581" s="44" t="n">
        <v>3526.5</v>
      </c>
      <c r="L581" s="18" t="inlineStr">
        <is>
          <t>8</t>
        </is>
      </c>
      <c r="M581" s="18" t="inlineStr"/>
      <c r="N581" s="18" t="inlineStr">
        <is>
          <t>DAD6D7</t>
        </is>
      </c>
    </row>
    <row r="582">
      <c r="A582" s="18" t="inlineStr">
        <is>
          <t>DWG0575</t>
        </is>
      </c>
      <c r="B582" s="18" t="inlineStr">
        <is>
          <t>D29</t>
        </is>
      </c>
      <c r="C582" s="18" t="inlineStr">
        <is>
          <t>29</t>
        </is>
      </c>
      <c r="D582" s="18" t="inlineStr">
        <is>
          <t>vertical</t>
        </is>
      </c>
      <c r="E582" s="38" t="n">
        <v>75</v>
      </c>
      <c r="F582" s="38" t="n">
        <v>75</v>
      </c>
      <c r="G582" s="18" t="inlineStr">
        <is>
          <t>u/v</t>
        </is>
      </c>
      <c r="H582" s="44" t="n">
        <v>6097.3</v>
      </c>
      <c r="I582" s="44" t="n">
        <v>3411.5</v>
      </c>
      <c r="J582" s="44" t="n">
        <v>6079.7</v>
      </c>
      <c r="K582" s="44" t="n">
        <v>3486.5</v>
      </c>
      <c r="L582" s="18" t="inlineStr">
        <is>
          <t>8</t>
        </is>
      </c>
      <c r="M582" s="18" t="inlineStr"/>
      <c r="N582" s="18" t="inlineStr">
        <is>
          <t>DAD6D4</t>
        </is>
      </c>
    </row>
    <row r="583">
      <c r="A583" s="18" t="inlineStr">
        <is>
          <t>DWG0576</t>
        </is>
      </c>
      <c r="B583" s="18" t="inlineStr">
        <is>
          <t>D29</t>
        </is>
      </c>
      <c r="C583" s="18" t="inlineStr">
        <is>
          <t>29</t>
        </is>
      </c>
      <c r="D583" s="18" t="inlineStr">
        <is>
          <t>vertical</t>
        </is>
      </c>
      <c r="E583" s="38" t="n">
        <v>110</v>
      </c>
      <c r="F583" s="38" t="n">
        <v>110</v>
      </c>
      <c r="G583" s="18" t="inlineStr">
        <is>
          <t>u/v</t>
        </is>
      </c>
      <c r="H583" s="44" t="n">
        <v>6299.7</v>
      </c>
      <c r="I583" s="44" t="n">
        <v>6343.7</v>
      </c>
      <c r="J583" s="44" t="n">
        <v>6379.7</v>
      </c>
      <c r="K583" s="44" t="n">
        <v>6453.7</v>
      </c>
      <c r="L583" s="18" t="inlineStr">
        <is>
          <t>8</t>
        </is>
      </c>
      <c r="M583" s="18" t="inlineStr"/>
      <c r="N583" s="18" t="inlineStr">
        <is>
          <t>DAD707</t>
        </is>
      </c>
    </row>
    <row r="584">
      <c r="A584" s="18" t="inlineStr">
        <is>
          <t>DWG0577</t>
        </is>
      </c>
      <c r="B584" s="18" t="inlineStr">
        <is>
          <t>D29</t>
        </is>
      </c>
      <c r="C584" s="18" t="inlineStr">
        <is>
          <t>29</t>
        </is>
      </c>
      <c r="D584" s="18" t="inlineStr">
        <is>
          <t>vertical</t>
        </is>
      </c>
      <c r="E584" s="38" t="n">
        <v>78</v>
      </c>
      <c r="F584" s="38" t="n">
        <v>78</v>
      </c>
      <c r="G584" s="18" t="inlineStr">
        <is>
          <t>u/v</t>
        </is>
      </c>
      <c r="H584" s="44" t="n">
        <v>6379.7</v>
      </c>
      <c r="I584" s="44" t="n">
        <v>6453.7</v>
      </c>
      <c r="J584" s="44" t="n">
        <v>6409.7</v>
      </c>
      <c r="K584" s="44" t="n">
        <v>6531.7</v>
      </c>
      <c r="L584" s="18" t="inlineStr">
        <is>
          <t>8</t>
        </is>
      </c>
      <c r="M584" s="18" t="inlineStr"/>
      <c r="N584" s="18" t="inlineStr">
        <is>
          <t>DAD70A</t>
        </is>
      </c>
    </row>
    <row r="585">
      <c r="A585" s="18" t="inlineStr">
        <is>
          <t>DWG0578</t>
        </is>
      </c>
      <c r="B585" s="18" t="inlineStr">
        <is>
          <t>D29</t>
        </is>
      </c>
      <c r="C585" s="18" t="inlineStr">
        <is>
          <t>29</t>
        </is>
      </c>
      <c r="D585" s="18" t="inlineStr">
        <is>
          <t>vertical</t>
        </is>
      </c>
      <c r="E585" s="38" t="n">
        <v>20</v>
      </c>
      <c r="F585" s="38" t="n">
        <v>20</v>
      </c>
      <c r="G585" s="18" t="inlineStr">
        <is>
          <t>u/v</t>
        </is>
      </c>
      <c r="H585" s="44" t="n">
        <v>6409.7</v>
      </c>
      <c r="I585" s="44" t="n">
        <v>6531.7</v>
      </c>
      <c r="J585" s="44" t="n">
        <v>6434.7</v>
      </c>
      <c r="K585" s="44" t="n">
        <v>6551.7</v>
      </c>
      <c r="L585" s="18" t="inlineStr">
        <is>
          <t>8</t>
        </is>
      </c>
      <c r="M585" s="18" t="inlineStr"/>
      <c r="N585" s="18" t="inlineStr">
        <is>
          <t>DAD70D</t>
        </is>
      </c>
    </row>
    <row r="586">
      <c r="A586" s="18" t="inlineStr">
        <is>
          <t>DWG0579</t>
        </is>
      </c>
      <c r="B586" s="18" t="inlineStr">
        <is>
          <t>D29</t>
        </is>
      </c>
      <c r="C586" s="18" t="inlineStr">
        <is>
          <t>29</t>
        </is>
      </c>
      <c r="D586" s="18" t="inlineStr">
        <is>
          <t>vertical</t>
        </is>
      </c>
      <c r="E586" s="38" t="n">
        <v>70</v>
      </c>
      <c r="F586" s="38" t="n">
        <v>70</v>
      </c>
      <c r="G586" s="18" t="inlineStr">
        <is>
          <t>u/v</t>
        </is>
      </c>
      <c r="H586" s="44" t="n">
        <v>6434.7</v>
      </c>
      <c r="I586" s="44" t="n">
        <v>6551.7</v>
      </c>
      <c r="J586" s="44" t="n">
        <v>6474.7</v>
      </c>
      <c r="K586" s="44" t="n">
        <v>6621.7</v>
      </c>
      <c r="L586" s="18" t="inlineStr">
        <is>
          <t>8</t>
        </is>
      </c>
      <c r="M586" s="18" t="inlineStr"/>
      <c r="N586" s="18" t="inlineStr">
        <is>
          <t>DAD710</t>
        </is>
      </c>
    </row>
    <row r="587">
      <c r="A587" s="18" t="inlineStr">
        <is>
          <t>DWG0580</t>
        </is>
      </c>
      <c r="B587" s="18" t="inlineStr">
        <is>
          <t>D29</t>
        </is>
      </c>
      <c r="C587" s="18" t="inlineStr">
        <is>
          <t>29</t>
        </is>
      </c>
      <c r="D587" s="18" t="inlineStr">
        <is>
          <t>vertical</t>
        </is>
      </c>
      <c r="E587" s="38" t="n">
        <v>50</v>
      </c>
      <c r="F587" s="38" t="n">
        <v>50</v>
      </c>
      <c r="G587" s="18" t="inlineStr">
        <is>
          <t>u/v</t>
        </is>
      </c>
      <c r="H587" s="44" t="n">
        <v>6462.1</v>
      </c>
      <c r="I587" s="44" t="n">
        <v>2966.5</v>
      </c>
      <c r="J587" s="44" t="n">
        <v>6474.7</v>
      </c>
      <c r="K587" s="44" t="n">
        <v>3016.5</v>
      </c>
      <c r="L587" s="18" t="inlineStr">
        <is>
          <t>8</t>
        </is>
      </c>
      <c r="M587" s="18" t="inlineStr"/>
      <c r="N587" s="18" t="inlineStr">
        <is>
          <t>DAD6EF</t>
        </is>
      </c>
    </row>
    <row r="588">
      <c r="A588" s="18" t="inlineStr">
        <is>
          <t>DWG0581</t>
        </is>
      </c>
      <c r="B588" s="18" t="inlineStr">
        <is>
          <t>D29</t>
        </is>
      </c>
      <c r="C588" s="18" t="inlineStr">
        <is>
          <t>29</t>
        </is>
      </c>
      <c r="D588" s="18" t="inlineStr">
        <is>
          <t>vertical</t>
        </is>
      </c>
      <c r="E588" s="44" t="n">
        <v>2440.5</v>
      </c>
      <c r="F588" s="38">
        <v>2441</v>
      </c>
      <c r="G588" s="18" t="inlineStr">
        <is>
          <t>u/v</t>
        </is>
      </c>
      <c r="H588" s="44" t="n">
        <v>6465.1</v>
      </c>
      <c r="I588" s="44" t="n">
        <v>3046.5</v>
      </c>
      <c r="J588" s="44" t="n">
        <v>6474.7</v>
      </c>
      <c r="K588" s="38" t="n">
        <v>5487</v>
      </c>
      <c r="L588" s="18" t="inlineStr">
        <is>
          <t>8</t>
        </is>
      </c>
      <c r="M588" s="18" t="inlineStr"/>
      <c r="N588" s="18" t="inlineStr">
        <is>
          <t>DAD6F5</t>
        </is>
      </c>
    </row>
    <row r="589">
      <c r="A589" s="18" t="inlineStr">
        <is>
          <t>DWG0582</t>
        </is>
      </c>
      <c r="B589" s="18" t="inlineStr">
        <is>
          <t>D29</t>
        </is>
      </c>
      <c r="C589" s="18" t="inlineStr">
        <is>
          <t>29</t>
        </is>
      </c>
      <c r="D589" s="18" t="inlineStr">
        <is>
          <t>vertical</t>
        </is>
      </c>
      <c r="E589" s="38" t="n">
        <v>30</v>
      </c>
      <c r="F589" s="38" t="n">
        <v>30</v>
      </c>
      <c r="G589" s="18" t="inlineStr">
        <is>
          <t>u/v</t>
        </is>
      </c>
      <c r="H589" s="44" t="n">
        <v>6474.7</v>
      </c>
      <c r="I589" s="44" t="n">
        <v>3016.5</v>
      </c>
      <c r="J589" s="44" t="n">
        <v>6465.1</v>
      </c>
      <c r="K589" s="44" t="n">
        <v>3046.5</v>
      </c>
      <c r="L589" s="18" t="inlineStr">
        <is>
          <t>8</t>
        </is>
      </c>
      <c r="M589" s="18" t="inlineStr"/>
      <c r="N589" s="18" t="inlineStr">
        <is>
          <t>DAD6F2</t>
        </is>
      </c>
    </row>
    <row r="590">
      <c r="A590" s="18" t="inlineStr">
        <is>
          <t>DWG0583</t>
        </is>
      </c>
      <c r="B590" s="18" t="inlineStr">
        <is>
          <t>D29</t>
        </is>
      </c>
      <c r="C590" s="18" t="inlineStr">
        <is>
          <t>29</t>
        </is>
      </c>
      <c r="D590" s="18" t="inlineStr">
        <is>
          <t>vertical</t>
        </is>
      </c>
      <c r="E590" s="38" t="n">
        <v>50</v>
      </c>
      <c r="F590" s="38" t="n">
        <v>50</v>
      </c>
      <c r="G590" s="18" t="inlineStr">
        <is>
          <t>u/v</t>
        </is>
      </c>
      <c r="H590" s="44" t="n">
        <v>6474.7</v>
      </c>
      <c r="I590" s="38" t="n">
        <v>5487</v>
      </c>
      <c r="J590" s="44" t="n">
        <v>6476.5</v>
      </c>
      <c r="K590" s="38" t="n">
        <v>5537</v>
      </c>
      <c r="L590" s="18" t="inlineStr">
        <is>
          <t>8</t>
        </is>
      </c>
      <c r="M590" s="18" t="inlineStr"/>
      <c r="N590" s="18" t="inlineStr">
        <is>
          <t>DAD6F8</t>
        </is>
      </c>
    </row>
    <row r="591">
      <c r="A591" s="18" t="inlineStr">
        <is>
          <t>DWG0584</t>
        </is>
      </c>
      <c r="B591" s="18" t="inlineStr">
        <is>
          <t>D29</t>
        </is>
      </c>
      <c r="C591" s="18" t="inlineStr">
        <is>
          <t>29</t>
        </is>
      </c>
      <c r="D591" s="18" t="inlineStr">
        <is>
          <t>vertical</t>
        </is>
      </c>
      <c r="E591" s="38" t="n">
        <v>15</v>
      </c>
      <c r="F591" s="38" t="n">
        <v>15</v>
      </c>
      <c r="G591" s="18" t="inlineStr">
        <is>
          <t>u/v</t>
        </is>
      </c>
      <c r="H591" s="44" t="n">
        <v>6474.7</v>
      </c>
      <c r="I591" s="44" t="n">
        <v>6621.7</v>
      </c>
      <c r="J591" s="44" t="n">
        <v>6499.7</v>
      </c>
      <c r="K591" s="44" t="n">
        <v>6636.7</v>
      </c>
      <c r="L591" s="18" t="inlineStr">
        <is>
          <t>8</t>
        </is>
      </c>
      <c r="M591" s="18" t="inlineStr"/>
      <c r="N591" s="18" t="inlineStr">
        <is>
          <t>DAD713</t>
        </is>
      </c>
    </row>
    <row r="592">
      <c r="A592" s="18" t="inlineStr">
        <is>
          <t>DWG0585</t>
        </is>
      </c>
      <c r="B592" s="18" t="inlineStr">
        <is>
          <t>D29</t>
        </is>
      </c>
      <c r="C592" s="18" t="inlineStr">
        <is>
          <t>29</t>
        </is>
      </c>
      <c r="D592" s="18" t="inlineStr">
        <is>
          <t>vertical</t>
        </is>
      </c>
      <c r="E592" s="38" t="n">
        <v>30</v>
      </c>
      <c r="F592" s="38" t="n">
        <v>30</v>
      </c>
      <c r="G592" s="18" t="inlineStr">
        <is>
          <t>u/v</t>
        </is>
      </c>
      <c r="H592" s="44" t="n">
        <v>6476.3</v>
      </c>
      <c r="I592" s="38" t="n">
        <v>5757</v>
      </c>
      <c r="J592" s="44" t="n">
        <v>6493.1</v>
      </c>
      <c r="K592" s="38" t="n">
        <v>5787</v>
      </c>
      <c r="L592" s="18" t="inlineStr">
        <is>
          <t>8</t>
        </is>
      </c>
      <c r="M592" s="18" t="inlineStr"/>
      <c r="N592" s="18" t="inlineStr">
        <is>
          <t>DAD6FE</t>
        </is>
      </c>
    </row>
    <row r="593">
      <c r="A593" s="18" t="inlineStr">
        <is>
          <t>DWG0586</t>
        </is>
      </c>
      <c r="B593" s="18" t="inlineStr">
        <is>
          <t>D29</t>
        </is>
      </c>
      <c r="C593" s="18" t="inlineStr">
        <is>
          <t>29</t>
        </is>
      </c>
      <c r="D593" s="18" t="inlineStr">
        <is>
          <t>vertical</t>
        </is>
      </c>
      <c r="E593" s="38" t="n">
        <v>220</v>
      </c>
      <c r="F593" s="38" t="n">
        <v>220</v>
      </c>
      <c r="G593" s="18" t="inlineStr">
        <is>
          <t>u/v</t>
        </is>
      </c>
      <c r="H593" s="44" t="n">
        <v>6476.5</v>
      </c>
      <c r="I593" s="38" t="n">
        <v>5537</v>
      </c>
      <c r="J593" s="44" t="n">
        <v>6476.3</v>
      </c>
      <c r="K593" s="38" t="n">
        <v>5757</v>
      </c>
      <c r="L593" s="18" t="inlineStr">
        <is>
          <t>8</t>
        </is>
      </c>
      <c r="M593" s="18" t="inlineStr">
        <is>
          <t>S107 S113</t>
        </is>
      </c>
      <c r="N593" s="18" t="inlineStr">
        <is>
          <t>DAD6FB</t>
        </is>
      </c>
    </row>
    <row r="594">
      <c r="A594" s="18" t="inlineStr">
        <is>
          <t>DWG0587</t>
        </is>
      </c>
      <c r="B594" s="18" t="inlineStr">
        <is>
          <t>D29</t>
        </is>
      </c>
      <c r="C594" s="18" t="inlineStr">
        <is>
          <t>29</t>
        </is>
      </c>
      <c r="D594" s="18" t="inlineStr">
        <is>
          <t>vertical</t>
        </is>
      </c>
      <c r="E594" s="38" t="n">
        <v>50</v>
      </c>
      <c r="F594" s="38" t="n">
        <v>50</v>
      </c>
      <c r="G594" s="18" t="inlineStr">
        <is>
          <t>u/v</t>
        </is>
      </c>
      <c r="H594" s="44" t="n">
        <v>6493.1</v>
      </c>
      <c r="I594" s="38" t="n">
        <v>5787</v>
      </c>
      <c r="J594" s="44" t="n">
        <v>6499.7</v>
      </c>
      <c r="K594" s="38" t="n">
        <v>5837</v>
      </c>
      <c r="L594" s="18" t="inlineStr">
        <is>
          <t>8</t>
        </is>
      </c>
      <c r="M594" s="18" t="inlineStr"/>
      <c r="N594" s="18" t="inlineStr">
        <is>
          <t>DAD701</t>
        </is>
      </c>
    </row>
    <row r="595">
      <c r="A595" s="18" t="inlineStr">
        <is>
          <t>DWG0588</t>
        </is>
      </c>
      <c r="B595" s="18" t="inlineStr">
        <is>
          <t>D29</t>
        </is>
      </c>
      <c r="C595" s="18" t="inlineStr">
        <is>
          <t>29</t>
        </is>
      </c>
      <c r="D595" s="18" t="inlineStr">
        <is>
          <t>vertical</t>
        </is>
      </c>
      <c r="E595" s="44" t="n">
        <v>506.8</v>
      </c>
      <c r="F595" s="38" t="n">
        <v>507</v>
      </c>
      <c r="G595" s="18" t="inlineStr">
        <is>
          <t>u/v</t>
        </is>
      </c>
      <c r="H595" s="44" t="n">
        <v>6499.7</v>
      </c>
      <c r="I595" s="38" t="n">
        <v>5837</v>
      </c>
      <c r="J595" s="44" t="n">
        <v>6299.7</v>
      </c>
      <c r="K595" s="44" t="n">
        <v>6343.7</v>
      </c>
      <c r="L595" s="18" t="inlineStr">
        <is>
          <t>8</t>
        </is>
      </c>
      <c r="M595" s="18" t="inlineStr">
        <is>
          <t>S094</t>
        </is>
      </c>
      <c r="N595" s="18" t="inlineStr">
        <is>
          <t>DAD704</t>
        </is>
      </c>
    </row>
    <row r="596">
      <c r="A596" s="18" t="inlineStr">
        <is>
          <t>DWG0589</t>
        </is>
      </c>
      <c r="B596" s="18" t="inlineStr">
        <is>
          <t>D29</t>
        </is>
      </c>
      <c r="C596" s="18" t="inlineStr">
        <is>
          <t>29</t>
        </is>
      </c>
      <c r="D596" s="18" t="inlineStr">
        <is>
          <t>vertical</t>
        </is>
      </c>
      <c r="E596" s="38" t="n">
        <v>35</v>
      </c>
      <c r="F596" s="38" t="n">
        <v>35</v>
      </c>
      <c r="G596" s="18" t="inlineStr">
        <is>
          <t>u/v</t>
        </is>
      </c>
      <c r="H596" s="44" t="n">
        <v>6499.7</v>
      </c>
      <c r="I596" s="44" t="n">
        <v>6636.7</v>
      </c>
      <c r="J596" s="44" t="n">
        <v>6499.7</v>
      </c>
      <c r="K596" s="44" t="n">
        <v>6671.7</v>
      </c>
      <c r="L596" s="18" t="inlineStr">
        <is>
          <t>8</t>
        </is>
      </c>
      <c r="M596" s="18" t="inlineStr"/>
      <c r="N596" s="18" t="inlineStr">
        <is>
          <t>DAD716</t>
        </is>
      </c>
    </row>
    <row r="597">
      <c r="A597" s="18" t="inlineStr">
        <is>
          <t>DWG0590</t>
        </is>
      </c>
      <c r="B597" s="18" t="inlineStr">
        <is>
          <t>D29</t>
        </is>
      </c>
      <c r="C597" s="18" t="inlineStr">
        <is>
          <t>29</t>
        </is>
      </c>
      <c r="D597" s="18" t="inlineStr">
        <is>
          <t>vertical</t>
        </is>
      </c>
      <c r="E597" s="38" t="n">
        <v>130</v>
      </c>
      <c r="F597" s="38" t="n">
        <v>130</v>
      </c>
      <c r="G597" s="18" t="inlineStr">
        <is>
          <t>u/v</t>
        </is>
      </c>
      <c r="H597" s="44" t="n">
        <v>6506.8</v>
      </c>
      <c r="I597" s="44" t="n">
        <v>2836.5</v>
      </c>
      <c r="J597" s="44" t="n">
        <v>6462.1</v>
      </c>
      <c r="K597" s="44" t="n">
        <v>2966.5</v>
      </c>
      <c r="L597" s="18" t="inlineStr">
        <is>
          <t>8</t>
        </is>
      </c>
      <c r="M597" s="18" t="inlineStr"/>
      <c r="N597" s="18" t="inlineStr">
        <is>
          <t>DAD6EC</t>
        </is>
      </c>
    </row>
    <row r="598">
      <c r="A598" s="18" t="inlineStr">
        <is>
          <t>DWG0591</t>
        </is>
      </c>
      <c r="B598" s="18" t="inlineStr">
        <is>
          <t>D29</t>
        </is>
      </c>
      <c r="C598" s="18" t="inlineStr">
        <is>
          <t>29</t>
        </is>
      </c>
      <c r="D598" s="18" t="inlineStr">
        <is>
          <t>vertical</t>
        </is>
      </c>
      <c r="E598" s="38" t="n">
        <v>100</v>
      </c>
      <c r="F598" s="38" t="n">
        <v>100</v>
      </c>
      <c r="G598" s="18" t="inlineStr">
        <is>
          <t>u/v</t>
        </is>
      </c>
      <c r="H598" s="38" t="n">
        <v>6627</v>
      </c>
      <c r="I598" s="44" t="n">
        <v>2736.5</v>
      </c>
      <c r="J598" s="44" t="n">
        <v>6506.8</v>
      </c>
      <c r="K598" s="44" t="n">
        <v>2836.5</v>
      </c>
      <c r="L598" s="18" t="inlineStr">
        <is>
          <t>8</t>
        </is>
      </c>
      <c r="M598" s="18" t="inlineStr"/>
      <c r="N598" s="18" t="inlineStr">
        <is>
          <t>DAD6E9</t>
        </is>
      </c>
    </row>
    <row r="599">
      <c r="A599" s="18" t="inlineStr">
        <is>
          <t>DWG0592</t>
        </is>
      </c>
      <c r="B599" s="18" t="inlineStr">
        <is>
          <t>D34</t>
        </is>
      </c>
      <c r="C599" s="18" t="inlineStr">
        <is>
          <t>34</t>
        </is>
      </c>
      <c r="D599" s="18" t="inlineStr">
        <is>
          <t>horizontal</t>
        </is>
      </c>
      <c r="E599" s="38" t="n">
        <v>165</v>
      </c>
      <c r="F599" s="38" t="n">
        <v>165</v>
      </c>
      <c r="G599" s="18" t="inlineStr">
        <is>
          <t>u/v</t>
        </is>
      </c>
      <c r="H599" s="44" t="n">
        <v>6176.1</v>
      </c>
      <c r="I599" s="44" t="n">
        <v>1731.7</v>
      </c>
      <c r="J599" s="44" t="n">
        <v>6341.1</v>
      </c>
      <c r="K599" s="44" t="n">
        <v>2079.6</v>
      </c>
      <c r="L599" s="18" t="inlineStr">
        <is>
          <t>9</t>
        </is>
      </c>
      <c r="M599" s="18" t="inlineStr"/>
      <c r="N599" s="18" t="inlineStr">
        <is>
          <t>DAD779</t>
        </is>
      </c>
    </row>
    <row r="600">
      <c r="A600" s="18" t="inlineStr">
        <is>
          <t>DWG0593</t>
        </is>
      </c>
      <c r="B600" s="18" t="inlineStr">
        <is>
          <t>D34</t>
        </is>
      </c>
      <c r="C600" s="18" t="inlineStr">
        <is>
          <t>34</t>
        </is>
      </c>
      <c r="D600" s="18" t="inlineStr">
        <is>
          <t>horizontal</t>
        </is>
      </c>
      <c r="E600" s="38" t="n">
        <v>165</v>
      </c>
      <c r="F600" s="38" t="n">
        <v>165</v>
      </c>
      <c r="G600" s="18" t="inlineStr">
        <is>
          <t>u/v</t>
        </is>
      </c>
      <c r="H600" s="44" t="n">
        <v>6011.1</v>
      </c>
      <c r="I600" s="44" t="n">
        <v>1776.7</v>
      </c>
      <c r="J600" s="44" t="n">
        <v>6176.1</v>
      </c>
      <c r="K600" s="44" t="n">
        <v>1731.7</v>
      </c>
      <c r="L600" s="18" t="inlineStr">
        <is>
          <t>9</t>
        </is>
      </c>
      <c r="M600" s="18" t="inlineStr"/>
      <c r="N600" s="18" t="inlineStr">
        <is>
          <t>DAD776</t>
        </is>
      </c>
    </row>
    <row r="601">
      <c r="A601" s="18" t="inlineStr">
        <is>
          <t>DWG0594</t>
        </is>
      </c>
      <c r="B601" s="18" t="inlineStr">
        <is>
          <t>D34</t>
        </is>
      </c>
      <c r="C601" s="18" t="inlineStr">
        <is>
          <t>34</t>
        </is>
      </c>
      <c r="D601" s="18" t="inlineStr">
        <is>
          <t>horizontal</t>
        </is>
      </c>
      <c r="E601" s="38" t="n">
        <v>165</v>
      </c>
      <c r="F601" s="38" t="n">
        <v>165</v>
      </c>
      <c r="G601" s="18" t="inlineStr">
        <is>
          <t>u/v</t>
        </is>
      </c>
      <c r="H601" s="44" t="n">
        <v>4474.5</v>
      </c>
      <c r="I601" s="44" t="n">
        <v>1973.1</v>
      </c>
      <c r="J601" s="44" t="n">
        <v>4639.5</v>
      </c>
      <c r="K601" s="44" t="n">
        <v>2088.9</v>
      </c>
      <c r="L601" s="18" t="inlineStr">
        <is>
          <t>9</t>
        </is>
      </c>
      <c r="M601" s="18" t="inlineStr"/>
      <c r="N601" s="18" t="inlineStr">
        <is>
          <t>DAD76A</t>
        </is>
      </c>
    </row>
    <row r="602">
      <c r="A602" s="18" t="inlineStr">
        <is>
          <t>DWG0595</t>
        </is>
      </c>
      <c r="B602" s="18" t="inlineStr">
        <is>
          <t>D34</t>
        </is>
      </c>
      <c r="C602" s="18" t="inlineStr">
        <is>
          <t>34</t>
        </is>
      </c>
      <c r="D602" s="18" t="inlineStr">
        <is>
          <t>horizontal</t>
        </is>
      </c>
      <c r="E602" s="38" t="n">
        <v>117</v>
      </c>
      <c r="F602" s="38" t="n">
        <v>117</v>
      </c>
      <c r="G602" s="18" t="inlineStr">
        <is>
          <t>u/v</t>
        </is>
      </c>
      <c r="H602" s="44" t="n">
        <v>6341.1</v>
      </c>
      <c r="I602" s="44" t="n">
        <v>2079.6</v>
      </c>
      <c r="J602" s="44" t="n">
        <v>6458.1</v>
      </c>
      <c r="K602" s="44" t="n">
        <v>2162.6</v>
      </c>
      <c r="L602" s="18" t="inlineStr">
        <is>
          <t>9</t>
        </is>
      </c>
      <c r="M602" s="18" t="inlineStr"/>
      <c r="N602" s="18" t="inlineStr">
        <is>
          <t>DAD77A</t>
        </is>
      </c>
    </row>
    <row r="603">
      <c r="A603" s="18" t="inlineStr">
        <is>
          <t>DWG0596</t>
        </is>
      </c>
      <c r="B603" s="18" t="inlineStr">
        <is>
          <t>D34</t>
        </is>
      </c>
      <c r="C603" s="18" t="inlineStr">
        <is>
          <t>34</t>
        </is>
      </c>
      <c r="D603" s="18" t="inlineStr">
        <is>
          <t>horizontal</t>
        </is>
      </c>
      <c r="E603" s="38" t="n">
        <v>165</v>
      </c>
      <c r="F603" s="38" t="n">
        <v>165</v>
      </c>
      <c r="G603" s="18" t="inlineStr">
        <is>
          <t>u/v</t>
        </is>
      </c>
      <c r="H603" s="44" t="n">
        <v>2059.5</v>
      </c>
      <c r="I603" s="44" t="n">
        <v>2088.9</v>
      </c>
      <c r="J603" s="44" t="n">
        <v>2224.5</v>
      </c>
      <c r="K603" s="44" t="n">
        <v>2088.9</v>
      </c>
      <c r="L603" s="18" t="inlineStr">
        <is>
          <t>9</t>
        </is>
      </c>
      <c r="M603" s="18" t="inlineStr"/>
      <c r="N603" s="18" t="inlineStr">
        <is>
          <t>DAD764</t>
        </is>
      </c>
    </row>
    <row r="604">
      <c r="A604" s="18" t="inlineStr">
        <is>
          <t>DWG0597</t>
        </is>
      </c>
      <c r="B604" s="18" t="inlineStr">
        <is>
          <t>D34</t>
        </is>
      </c>
      <c r="C604" s="18" t="inlineStr">
        <is>
          <t>34</t>
        </is>
      </c>
      <c r="D604" s="18" t="inlineStr">
        <is>
          <t>horizontal</t>
        </is>
      </c>
      <c r="E604" s="38" t="n">
        <v>2250</v>
      </c>
      <c r="F604" s="38" t="n">
        <v>2250</v>
      </c>
      <c r="G604" s="18" t="inlineStr">
        <is>
          <t>u/v</t>
        </is>
      </c>
      <c r="H604" s="44" t="n">
        <v>2224.5</v>
      </c>
      <c r="I604" s="44" t="n">
        <v>2088.9</v>
      </c>
      <c r="J604" s="44" t="n">
        <v>4474.5</v>
      </c>
      <c r="K604" s="44" t="n">
        <v>1973.1</v>
      </c>
      <c r="L604" s="18" t="inlineStr">
        <is>
          <t>9</t>
        </is>
      </c>
      <c r="M604" s="18" t="inlineStr">
        <is>
          <t>S119 S128</t>
        </is>
      </c>
      <c r="N604" s="18" t="inlineStr">
        <is>
          <t>DAD767</t>
        </is>
      </c>
    </row>
    <row r="605">
      <c r="A605" s="18" t="inlineStr">
        <is>
          <t>DWG0598</t>
        </is>
      </c>
      <c r="B605" s="18" t="inlineStr">
        <is>
          <t>D34</t>
        </is>
      </c>
      <c r="C605" s="18" t="inlineStr">
        <is>
          <t>34</t>
        </is>
      </c>
      <c r="D605" s="18" t="inlineStr">
        <is>
          <t>horizontal</t>
        </is>
      </c>
      <c r="E605" s="44" t="n">
        <v>117.3</v>
      </c>
      <c r="F605" s="38" t="n">
        <v>117</v>
      </c>
      <c r="G605" s="18" t="inlineStr">
        <is>
          <t>u/v</t>
        </is>
      </c>
      <c r="H605" s="44" t="n">
        <v>4639.5</v>
      </c>
      <c r="I605" s="44" t="n">
        <v>2088.9</v>
      </c>
      <c r="J605" s="44" t="n">
        <v>4756.8</v>
      </c>
      <c r="K605" s="44" t="n">
        <v>2098.9</v>
      </c>
      <c r="L605" s="18" t="inlineStr">
        <is>
          <t>9</t>
        </is>
      </c>
      <c r="M605" s="18" t="inlineStr"/>
      <c r="N605" s="18" t="inlineStr">
        <is>
          <t>DAD76D</t>
        </is>
      </c>
    </row>
    <row r="606">
      <c r="A606" s="18" t="inlineStr">
        <is>
          <t>DWG0599</t>
        </is>
      </c>
      <c r="B606" s="18" t="inlineStr">
        <is>
          <t>D34</t>
        </is>
      </c>
      <c r="C606" s="18" t="inlineStr">
        <is>
          <t>34</t>
        </is>
      </c>
      <c r="D606" s="18" t="inlineStr">
        <is>
          <t>horizontal</t>
        </is>
      </c>
      <c r="E606" s="38" t="n">
        <v>195</v>
      </c>
      <c r="F606" s="38" t="n">
        <v>195</v>
      </c>
      <c r="G606" s="18" t="inlineStr">
        <is>
          <t>u/v</t>
        </is>
      </c>
      <c r="H606" s="44" t="n">
        <v>4756.8</v>
      </c>
      <c r="I606" s="44" t="n">
        <v>2098.9</v>
      </c>
      <c r="J606" s="44" t="n">
        <v>4951.8</v>
      </c>
      <c r="K606" s="44" t="n">
        <v>2103.9</v>
      </c>
      <c r="L606" s="18" t="inlineStr">
        <is>
          <t>9</t>
        </is>
      </c>
      <c r="M606" s="18" t="inlineStr"/>
      <c r="N606" s="18" t="inlineStr">
        <is>
          <t>DAD770</t>
        </is>
      </c>
    </row>
    <row r="607">
      <c r="A607" s="18" t="inlineStr">
        <is>
          <t>DWG0600</t>
        </is>
      </c>
      <c r="B607" s="18" t="inlineStr">
        <is>
          <t>D34</t>
        </is>
      </c>
      <c r="C607" s="18" t="inlineStr">
        <is>
          <t>34</t>
        </is>
      </c>
      <c r="D607" s="18" t="inlineStr">
        <is>
          <t>horizontal</t>
        </is>
      </c>
      <c r="E607" s="44" t="n">
        <v>1059.3</v>
      </c>
      <c r="F607" s="38" t="n">
        <v>1059</v>
      </c>
      <c r="G607" s="18" t="inlineStr">
        <is>
          <t>u/v</t>
        </is>
      </c>
      <c r="H607" s="44" t="n">
        <v>4951.8</v>
      </c>
      <c r="I607" s="44" t="n">
        <v>2103.9</v>
      </c>
      <c r="J607" s="44" t="n">
        <v>6011.1</v>
      </c>
      <c r="K607" s="44" t="n">
        <v>1776.7</v>
      </c>
      <c r="L607" s="18" t="inlineStr">
        <is>
          <t>9</t>
        </is>
      </c>
      <c r="M607" s="18" t="inlineStr"/>
      <c r="N607" s="18" t="inlineStr">
        <is>
          <t>DAD773</t>
        </is>
      </c>
    </row>
    <row r="608">
      <c r="A608" s="18" t="inlineStr">
        <is>
          <t>DWG0601</t>
        </is>
      </c>
      <c r="B608" s="18" t="inlineStr">
        <is>
          <t>D34</t>
        </is>
      </c>
      <c r="C608" s="18" t="inlineStr">
        <is>
          <t>34</t>
        </is>
      </c>
      <c r="D608" s="18" t="inlineStr">
        <is>
          <t>horizontal</t>
        </is>
      </c>
      <c r="E608" s="38" t="n">
        <v>118</v>
      </c>
      <c r="F608" s="38" t="n">
        <v>118</v>
      </c>
      <c r="G608" s="18" t="inlineStr">
        <is>
          <t>u/v</t>
        </is>
      </c>
      <c r="H608" s="44" t="n">
        <v>6458.1</v>
      </c>
      <c r="I608" s="44" t="n">
        <v>2162.6</v>
      </c>
      <c r="J608" s="44" t="n">
        <v>6576.1</v>
      </c>
      <c r="K608" s="38" t="n">
        <v>2202</v>
      </c>
      <c r="L608" s="18" t="inlineStr">
        <is>
          <t>9</t>
        </is>
      </c>
      <c r="M608" s="18" t="inlineStr"/>
      <c r="N608" s="18" t="inlineStr">
        <is>
          <t>DAD77D</t>
        </is>
      </c>
    </row>
    <row r="609">
      <c r="A609" s="18" t="inlineStr">
        <is>
          <t>DWG0602</t>
        </is>
      </c>
      <c r="B609" s="18" t="inlineStr">
        <is>
          <t>D34</t>
        </is>
      </c>
      <c r="C609" s="18" t="inlineStr">
        <is>
          <t>34</t>
        </is>
      </c>
      <c r="D609" s="18" t="inlineStr">
        <is>
          <t>horizontal</t>
        </is>
      </c>
      <c r="E609" s="38" t="n">
        <v>195</v>
      </c>
      <c r="F609" s="38" t="n">
        <v>195</v>
      </c>
      <c r="G609" s="18" t="inlineStr">
        <is>
          <t>u/v</t>
        </is>
      </c>
      <c r="H609" s="44" t="n">
        <v>1747.2</v>
      </c>
      <c r="I609" s="44" t="n">
        <v>2247.5</v>
      </c>
      <c r="J609" s="44" t="n">
        <v>1942.2</v>
      </c>
      <c r="K609" s="44" t="n">
        <v>2247.5</v>
      </c>
      <c r="L609" s="18" t="inlineStr">
        <is>
          <t>9</t>
        </is>
      </c>
      <c r="M609" s="18" t="inlineStr"/>
      <c r="N609" s="18" t="inlineStr">
        <is>
          <t>DAD75E</t>
        </is>
      </c>
    </row>
    <row r="610">
      <c r="A610" s="18" t="inlineStr">
        <is>
          <t>DWG0603</t>
        </is>
      </c>
      <c r="B610" s="18" t="inlineStr">
        <is>
          <t>D34</t>
        </is>
      </c>
      <c r="C610" s="18" t="inlineStr">
        <is>
          <t>34</t>
        </is>
      </c>
      <c r="D610" s="18" t="inlineStr">
        <is>
          <t>horizontal</t>
        </is>
      </c>
      <c r="E610" s="44" t="n">
        <v>117.3</v>
      </c>
      <c r="F610" s="38" t="n">
        <v>117</v>
      </c>
      <c r="G610" s="18" t="inlineStr">
        <is>
          <t>u/v</t>
        </is>
      </c>
      <c r="H610" s="44" t="n">
        <v>1942.2</v>
      </c>
      <c r="I610" s="44" t="n">
        <v>2247.5</v>
      </c>
      <c r="J610" s="44" t="n">
        <v>2059.5</v>
      </c>
      <c r="K610" s="44" t="n">
        <v>2088.9</v>
      </c>
      <c r="L610" s="18" t="inlineStr">
        <is>
          <t>9</t>
        </is>
      </c>
      <c r="M610" s="18" t="inlineStr"/>
      <c r="N610" s="18" t="inlineStr">
        <is>
          <t>DAD761</t>
        </is>
      </c>
    </row>
    <row r="611">
      <c r="A611" s="18" t="inlineStr">
        <is>
          <t>DWG0604</t>
        </is>
      </c>
      <c r="B611" s="18" t="inlineStr">
        <is>
          <t>D34</t>
        </is>
      </c>
      <c r="C611" s="18" t="inlineStr">
        <is>
          <t>34</t>
        </is>
      </c>
      <c r="D611" s="18" t="inlineStr">
        <is>
          <t>horizontal</t>
        </is>
      </c>
      <c r="E611" s="38" t="n">
        <v>30</v>
      </c>
      <c r="F611" s="38" t="n">
        <v>30</v>
      </c>
      <c r="G611" s="18" t="inlineStr">
        <is>
          <t>u/v</t>
        </is>
      </c>
      <c r="H611" s="44" t="n">
        <v>6566.1</v>
      </c>
      <c r="I611" s="44" t="n">
        <v>5257.8</v>
      </c>
      <c r="J611" s="44" t="n">
        <v>6596.1</v>
      </c>
      <c r="K611" s="44" t="n">
        <v>5257.8</v>
      </c>
      <c r="L611" s="18" t="inlineStr">
        <is>
          <t>9</t>
        </is>
      </c>
      <c r="M611" s="18" t="inlineStr"/>
      <c r="N611" s="18" t="inlineStr">
        <is>
          <t>DAD7CC</t>
        </is>
      </c>
    </row>
    <row r="612">
      <c r="A612" s="18" t="inlineStr">
        <is>
          <t>DWG0605</t>
        </is>
      </c>
      <c r="B612" s="18" t="inlineStr">
        <is>
          <t>D34</t>
        </is>
      </c>
      <c r="C612" s="18" t="inlineStr">
        <is>
          <t>34</t>
        </is>
      </c>
      <c r="D612" s="18" t="inlineStr">
        <is>
          <t>horizontal</t>
        </is>
      </c>
      <c r="E612" s="38" t="n">
        <v>45</v>
      </c>
      <c r="F612" s="38" t="n">
        <v>45</v>
      </c>
      <c r="G612" s="18" t="inlineStr">
        <is>
          <t>u/v</t>
        </is>
      </c>
      <c r="H612" s="44" t="n">
        <v>6521.1</v>
      </c>
      <c r="I612" s="44" t="n">
        <v>5362.9</v>
      </c>
      <c r="J612" s="44" t="n">
        <v>6566.1</v>
      </c>
      <c r="K612" s="44" t="n">
        <v>5362.9</v>
      </c>
      <c r="L612" s="18" t="inlineStr">
        <is>
          <t>9</t>
        </is>
      </c>
      <c r="M612" s="18" t="inlineStr"/>
      <c r="N612" s="18" t="inlineStr">
        <is>
          <t>DAD7C9</t>
        </is>
      </c>
    </row>
    <row r="613">
      <c r="A613" s="18" t="inlineStr">
        <is>
          <t>DWG0606</t>
        </is>
      </c>
      <c r="B613" s="18" t="inlineStr">
        <is>
          <t>D34</t>
        </is>
      </c>
      <c r="C613" s="18" t="inlineStr">
        <is>
          <t>34</t>
        </is>
      </c>
      <c r="D613" s="18" t="inlineStr">
        <is>
          <t>horizontal</t>
        </is>
      </c>
      <c r="E613" s="38" t="n">
        <v>25</v>
      </c>
      <c r="F613" s="38" t="n">
        <v>25</v>
      </c>
      <c r="G613" s="18" t="inlineStr">
        <is>
          <t>u/v</t>
        </is>
      </c>
      <c r="H613" s="44" t="n">
        <v>6496.1</v>
      </c>
      <c r="I613" s="44" t="n">
        <v>5511.3</v>
      </c>
      <c r="J613" s="44" t="n">
        <v>6521.1</v>
      </c>
      <c r="K613" s="44" t="n">
        <v>5511.3</v>
      </c>
      <c r="L613" s="18" t="inlineStr">
        <is>
          <t>9</t>
        </is>
      </c>
      <c r="M613" s="18" t="inlineStr"/>
      <c r="N613" s="18" t="inlineStr">
        <is>
          <t>DAD7C6</t>
        </is>
      </c>
    </row>
    <row r="614">
      <c r="A614" s="18" t="inlineStr">
        <is>
          <t>DWG0607</t>
        </is>
      </c>
      <c r="B614" s="18" t="inlineStr">
        <is>
          <t>D34</t>
        </is>
      </c>
      <c r="C614" s="18" t="inlineStr">
        <is>
          <t>34</t>
        </is>
      </c>
      <c r="D614" s="18" t="inlineStr">
        <is>
          <t>horizontal</t>
        </is>
      </c>
      <c r="E614" s="38" t="n">
        <v>38</v>
      </c>
      <c r="F614" s="38" t="n">
        <v>38</v>
      </c>
      <c r="G614" s="18" t="inlineStr">
        <is>
          <t>u/v</t>
        </is>
      </c>
      <c r="H614" s="44" t="n">
        <v>6458.1</v>
      </c>
      <c r="I614" s="44" t="n">
        <v>5612.7</v>
      </c>
      <c r="J614" s="44" t="n">
        <v>6496.1</v>
      </c>
      <c r="K614" s="44" t="n">
        <v>5612.7</v>
      </c>
      <c r="L614" s="18" t="inlineStr">
        <is>
          <t>9</t>
        </is>
      </c>
      <c r="M614" s="18" t="inlineStr"/>
      <c r="N614" s="18" t="inlineStr">
        <is>
          <t>DAD7C3</t>
        </is>
      </c>
    </row>
    <row r="615">
      <c r="A615" s="18" t="inlineStr">
        <is>
          <t>DWG0608</t>
        </is>
      </c>
      <c r="B615" s="18" t="inlineStr">
        <is>
          <t>D34</t>
        </is>
      </c>
      <c r="C615" s="18" t="inlineStr">
        <is>
          <t>34</t>
        </is>
      </c>
      <c r="D615" s="18" t="inlineStr">
        <is>
          <t>horizontal</t>
        </is>
      </c>
      <c r="E615" s="38" t="n">
        <v>330</v>
      </c>
      <c r="F615" s="38" t="n">
        <v>330</v>
      </c>
      <c r="G615" s="18" t="inlineStr">
        <is>
          <t>u/v</t>
        </is>
      </c>
      <c r="H615" s="44" t="n">
        <v>6341.1</v>
      </c>
      <c r="I615" s="44" t="n">
        <v>5829.7</v>
      </c>
      <c r="J615" s="44" t="n">
        <v>6011.1</v>
      </c>
      <c r="K615" s="44" t="n">
        <v>5829.7</v>
      </c>
      <c r="L615" s="18" t="inlineStr">
        <is>
          <t>9</t>
        </is>
      </c>
      <c r="M615" s="18" t="inlineStr"/>
      <c r="N615" s="18" t="inlineStr">
        <is>
          <t>DAD7BD</t>
        </is>
      </c>
    </row>
    <row r="616">
      <c r="A616" s="18" t="inlineStr">
        <is>
          <t>DWG0609</t>
        </is>
      </c>
      <c r="B616" s="18" t="inlineStr">
        <is>
          <t>D34</t>
        </is>
      </c>
      <c r="C616" s="18" t="inlineStr">
        <is>
          <t>34</t>
        </is>
      </c>
      <c r="D616" s="18" t="inlineStr">
        <is>
          <t>horizontal</t>
        </is>
      </c>
      <c r="E616" s="38" t="n">
        <v>440</v>
      </c>
      <c r="F616" s="38" t="n">
        <v>440</v>
      </c>
      <c r="G616" s="18" t="inlineStr">
        <is>
          <t>u/v</t>
        </is>
      </c>
      <c r="H616" s="44" t="n">
        <v>6011.1</v>
      </c>
      <c r="I616" s="44" t="n">
        <v>6305.6</v>
      </c>
      <c r="J616" s="44" t="n">
        <v>6451.1</v>
      </c>
      <c r="K616" s="44" t="n">
        <v>6305.6</v>
      </c>
      <c r="L616" s="18" t="inlineStr">
        <is>
          <t>9</t>
        </is>
      </c>
      <c r="M616" s="18" t="inlineStr"/>
      <c r="N616" s="18" t="inlineStr">
        <is>
          <t>DAD7B9</t>
        </is>
      </c>
    </row>
    <row r="617">
      <c r="A617" s="18" t="inlineStr">
        <is>
          <t>DWG0610</t>
        </is>
      </c>
      <c r="B617" s="18" t="inlineStr">
        <is>
          <t>D34</t>
        </is>
      </c>
      <c r="C617" s="18" t="inlineStr">
        <is>
          <t>34</t>
        </is>
      </c>
      <c r="D617" s="18" t="inlineStr">
        <is>
          <t>horizontal</t>
        </is>
      </c>
      <c r="E617" s="38" t="n">
        <v>145</v>
      </c>
      <c r="F617" s="38" t="n">
        <v>145</v>
      </c>
      <c r="G617" s="18" t="inlineStr">
        <is>
          <t>u/v</t>
        </is>
      </c>
      <c r="H617" s="44" t="n">
        <v>6451.1</v>
      </c>
      <c r="I617" s="44" t="n">
        <v>6305.6</v>
      </c>
      <c r="J617" s="44" t="n">
        <v>6596.1</v>
      </c>
      <c r="K617" s="38" t="n">
        <v>6194</v>
      </c>
      <c r="L617" s="18" t="inlineStr">
        <is>
          <t>9</t>
        </is>
      </c>
      <c r="M617" s="18" t="inlineStr"/>
      <c r="N617" s="18" t="inlineStr">
        <is>
          <t>DAD7BC</t>
        </is>
      </c>
    </row>
    <row r="618">
      <c r="A618" s="18" t="inlineStr">
        <is>
          <t>DWG0611</t>
        </is>
      </c>
      <c r="B618" s="18" t="inlineStr">
        <is>
          <t>D34</t>
        </is>
      </c>
      <c r="C618" s="18" t="inlineStr">
        <is>
          <t>34</t>
        </is>
      </c>
      <c r="D618" s="18" t="inlineStr">
        <is>
          <t>horizontal</t>
        </is>
      </c>
      <c r="E618" s="38" t="n">
        <v>30</v>
      </c>
      <c r="F618" s="38" t="n">
        <v>30</v>
      </c>
      <c r="G618" s="18" t="inlineStr">
        <is>
          <t>u/v</t>
        </is>
      </c>
      <c r="H618" s="44" t="n">
        <v>4852.9</v>
      </c>
      <c r="I618" s="44" t="n">
        <v>8099.4</v>
      </c>
      <c r="J618" s="44" t="n">
        <v>4882.9</v>
      </c>
      <c r="K618" s="44" t="n">
        <v>8099.4</v>
      </c>
      <c r="L618" s="18" t="inlineStr">
        <is>
          <t>9</t>
        </is>
      </c>
      <c r="M618" s="18" t="inlineStr"/>
      <c r="N618" s="18" t="inlineStr">
        <is>
          <t>DAD96B</t>
        </is>
      </c>
    </row>
    <row r="619">
      <c r="A619" s="18" t="inlineStr">
        <is>
          <t>DWG0612</t>
        </is>
      </c>
      <c r="B619" s="18" t="inlineStr">
        <is>
          <t>D34</t>
        </is>
      </c>
      <c r="C619" s="18" t="inlineStr">
        <is>
          <t>34</t>
        </is>
      </c>
      <c r="D619" s="18" t="inlineStr">
        <is>
          <t>horizontal</t>
        </is>
      </c>
      <c r="E619" s="38" t="n">
        <v>130</v>
      </c>
      <c r="F619" s="38" t="n">
        <v>130</v>
      </c>
      <c r="G619" s="18" t="inlineStr">
        <is>
          <t>u/v</t>
        </is>
      </c>
      <c r="H619" s="44" t="n">
        <v>3989.4</v>
      </c>
      <c r="I619" s="44" t="n">
        <v>8127.7</v>
      </c>
      <c r="J619" s="44" t="n">
        <v>4119.4</v>
      </c>
      <c r="K619" s="44" t="n">
        <v>8089.4</v>
      </c>
      <c r="L619" s="18" t="inlineStr">
        <is>
          <t>9</t>
        </is>
      </c>
      <c r="M619" s="18" t="inlineStr"/>
      <c r="N619" s="18" t="inlineStr">
        <is>
          <t>DAD950</t>
        </is>
      </c>
    </row>
    <row r="620">
      <c r="A620" s="18" t="inlineStr">
        <is>
          <t>DWG0613</t>
        </is>
      </c>
      <c r="B620" s="18" t="inlineStr">
        <is>
          <t>D34</t>
        </is>
      </c>
      <c r="C620" s="18" t="inlineStr">
        <is>
          <t>34</t>
        </is>
      </c>
      <c r="D620" s="18" t="inlineStr">
        <is>
          <t>horizontal</t>
        </is>
      </c>
      <c r="E620" s="38" t="n">
        <v>65</v>
      </c>
      <c r="F620" s="38" t="n">
        <v>65</v>
      </c>
      <c r="G620" s="18" t="inlineStr">
        <is>
          <t>u/v</t>
        </is>
      </c>
      <c r="H620" s="44" t="n">
        <v>4787.9</v>
      </c>
      <c r="I620" s="44" t="n">
        <v>8164.4</v>
      </c>
      <c r="J620" s="44" t="n">
        <v>4852.9</v>
      </c>
      <c r="K620" s="44" t="n">
        <v>8099.4</v>
      </c>
      <c r="L620" s="18" t="inlineStr">
        <is>
          <t>9</t>
        </is>
      </c>
      <c r="M620" s="18" t="inlineStr"/>
      <c r="N620" s="18" t="inlineStr">
        <is>
          <t>DAD968</t>
        </is>
      </c>
    </row>
    <row r="621">
      <c r="A621" s="18" t="inlineStr">
        <is>
          <t>DWG0614</t>
        </is>
      </c>
      <c r="B621" s="18" t="inlineStr">
        <is>
          <t>D34</t>
        </is>
      </c>
      <c r="C621" s="18" t="inlineStr">
        <is>
          <t>34</t>
        </is>
      </c>
      <c r="D621" s="18" t="inlineStr">
        <is>
          <t>horizontal</t>
        </is>
      </c>
      <c r="E621" s="38" t="n">
        <v>35</v>
      </c>
      <c r="F621" s="38" t="n">
        <v>35</v>
      </c>
      <c r="G621" s="18" t="inlineStr">
        <is>
          <t>u/v</t>
        </is>
      </c>
      <c r="H621" s="44" t="n">
        <v>4752.9</v>
      </c>
      <c r="I621" s="38" t="n">
        <v>8190</v>
      </c>
      <c r="J621" s="44" t="n">
        <v>4787.9</v>
      </c>
      <c r="K621" s="44" t="n">
        <v>8164.4</v>
      </c>
      <c r="L621" s="18" t="inlineStr">
        <is>
          <t>9</t>
        </is>
      </c>
      <c r="M621" s="18" t="inlineStr"/>
      <c r="N621" s="18" t="inlineStr">
        <is>
          <t>DAD965</t>
        </is>
      </c>
    </row>
    <row r="622">
      <c r="A622" s="18" t="inlineStr">
        <is>
          <t>DWG0615</t>
        </is>
      </c>
      <c r="B622" s="18" t="inlineStr">
        <is>
          <t>D34</t>
        </is>
      </c>
      <c r="C622" s="18" t="inlineStr">
        <is>
          <t>34</t>
        </is>
      </c>
      <c r="D622" s="18" t="inlineStr">
        <is>
          <t>horizontal</t>
        </is>
      </c>
      <c r="E622" s="38" t="n">
        <v>80</v>
      </c>
      <c r="F622" s="38" t="n">
        <v>80</v>
      </c>
      <c r="G622" s="18" t="inlineStr">
        <is>
          <t>u/v</t>
        </is>
      </c>
      <c r="H622" s="44" t="n">
        <v>3909.4</v>
      </c>
      <c r="I622" s="44" t="n">
        <v>8224.4</v>
      </c>
      <c r="J622" s="44" t="n">
        <v>3989.4</v>
      </c>
      <c r="K622" s="44" t="n">
        <v>8127.7</v>
      </c>
      <c r="L622" s="18" t="inlineStr">
        <is>
          <t>9</t>
        </is>
      </c>
      <c r="M622" s="18" t="inlineStr"/>
      <c r="N622" s="18" t="inlineStr">
        <is>
          <t>DAD94D</t>
        </is>
      </c>
    </row>
    <row r="623">
      <c r="A623" s="18" t="inlineStr">
        <is>
          <t>DWG0616</t>
        </is>
      </c>
      <c r="B623" s="18" t="inlineStr">
        <is>
          <t>D34</t>
        </is>
      </c>
      <c r="C623" s="18" t="inlineStr">
        <is>
          <t>34</t>
        </is>
      </c>
      <c r="D623" s="18" t="inlineStr">
        <is>
          <t>horizontal</t>
        </is>
      </c>
      <c r="E623" s="38" t="n">
        <v>175</v>
      </c>
      <c r="F623" s="38" t="n">
        <v>175</v>
      </c>
      <c r="G623" s="18" t="inlineStr">
        <is>
          <t>u/v</t>
        </is>
      </c>
      <c r="H623" s="44" t="n">
        <v>4577.9</v>
      </c>
      <c r="I623" s="44" t="n">
        <v>8264.4</v>
      </c>
      <c r="J623" s="44" t="n">
        <v>4752.9</v>
      </c>
      <c r="K623" s="38" t="n">
        <v>8190</v>
      </c>
      <c r="L623" s="18" t="inlineStr">
        <is>
          <t>9</t>
        </is>
      </c>
      <c r="M623" s="18" t="inlineStr"/>
      <c r="N623" s="18" t="inlineStr">
        <is>
          <t>DAD962</t>
        </is>
      </c>
    </row>
    <row r="624">
      <c r="A624" s="18" t="inlineStr">
        <is>
          <t>DWG0617</t>
        </is>
      </c>
      <c r="B624" s="18" t="inlineStr">
        <is>
          <t>D34</t>
        </is>
      </c>
      <c r="C624" s="18" t="inlineStr">
        <is>
          <t>34</t>
        </is>
      </c>
      <c r="D624" s="18" t="inlineStr">
        <is>
          <t>horizontal</t>
        </is>
      </c>
      <c r="E624" s="38" t="n">
        <v>110</v>
      </c>
      <c r="F624" s="38" t="n">
        <v>110</v>
      </c>
      <c r="G624" s="18" t="inlineStr">
        <is>
          <t>u/v</t>
        </is>
      </c>
      <c r="H624" s="44" t="n">
        <v>3799.4</v>
      </c>
      <c r="I624" s="44" t="n">
        <v>8297.5</v>
      </c>
      <c r="J624" s="44" t="n">
        <v>3909.4</v>
      </c>
      <c r="K624" s="44" t="n">
        <v>8224.4</v>
      </c>
      <c r="L624" s="18" t="inlineStr">
        <is>
          <t>9</t>
        </is>
      </c>
      <c r="M624" s="18" t="inlineStr"/>
      <c r="N624" s="18" t="inlineStr">
        <is>
          <t>DAD94A</t>
        </is>
      </c>
    </row>
    <row r="625">
      <c r="A625" s="18" t="inlineStr">
        <is>
          <t>DWG0618</t>
        </is>
      </c>
      <c r="B625" s="18" t="inlineStr">
        <is>
          <t>D34</t>
        </is>
      </c>
      <c r="C625" s="18" t="inlineStr">
        <is>
          <t>34</t>
        </is>
      </c>
      <c r="D625" s="18" t="inlineStr">
        <is>
          <t>horizontal</t>
        </is>
      </c>
      <c r="E625" s="38" t="n">
        <v>15</v>
      </c>
      <c r="F625" s="38" t="n">
        <v>15</v>
      </c>
      <c r="G625" s="18" t="inlineStr">
        <is>
          <t>u/v</t>
        </is>
      </c>
      <c r="H625" s="44" t="n">
        <v>4562.9</v>
      </c>
      <c r="I625" s="44" t="n">
        <v>8398.700000000001</v>
      </c>
      <c r="J625" s="44" t="n">
        <v>4577.9</v>
      </c>
      <c r="K625" s="44" t="n">
        <v>8398.700000000001</v>
      </c>
      <c r="L625" s="18" t="inlineStr">
        <is>
          <t>9</t>
        </is>
      </c>
      <c r="M625" s="18" t="inlineStr"/>
      <c r="N625" s="18" t="inlineStr">
        <is>
          <t>DAD9B0</t>
        </is>
      </c>
    </row>
    <row r="626">
      <c r="A626" s="18" t="inlineStr">
        <is>
          <t>DWG0619</t>
        </is>
      </c>
      <c r="B626" s="18" t="inlineStr">
        <is>
          <t>D34</t>
        </is>
      </c>
      <c r="C626" s="18" t="inlineStr">
        <is>
          <t>34</t>
        </is>
      </c>
      <c r="D626" s="18" t="inlineStr">
        <is>
          <t>horizontal</t>
        </is>
      </c>
      <c r="E626" s="38" t="n">
        <v>60</v>
      </c>
      <c r="F626" s="38" t="n">
        <v>60</v>
      </c>
      <c r="G626" s="18" t="inlineStr">
        <is>
          <t>u/v</t>
        </is>
      </c>
      <c r="H626" s="44" t="n">
        <v>5249.1</v>
      </c>
      <c r="I626" s="44" t="n">
        <v>9192.4</v>
      </c>
      <c r="J626" s="44" t="n">
        <v>5309.1</v>
      </c>
      <c r="K626" s="44" t="n">
        <v>9192.4</v>
      </c>
      <c r="L626" s="18" t="inlineStr">
        <is>
          <t>9</t>
        </is>
      </c>
      <c r="M626" s="18" t="inlineStr"/>
      <c r="N626" s="18" t="inlineStr">
        <is>
          <t>DAD9A4</t>
        </is>
      </c>
    </row>
    <row r="627">
      <c r="A627" s="18" t="inlineStr">
        <is>
          <t>DWG0620</t>
        </is>
      </c>
      <c r="B627" s="18" t="inlineStr">
        <is>
          <t>D34</t>
        </is>
      </c>
      <c r="C627" s="18" t="inlineStr">
        <is>
          <t>34</t>
        </is>
      </c>
      <c r="D627" s="18" t="inlineStr">
        <is>
          <t>horizontal</t>
        </is>
      </c>
      <c r="E627" s="38" t="n">
        <v>195</v>
      </c>
      <c r="F627" s="38" t="n">
        <v>195</v>
      </c>
      <c r="G627" s="18" t="inlineStr">
        <is>
          <t>u/v</t>
        </is>
      </c>
      <c r="H627" s="44" t="n">
        <v>3876.5</v>
      </c>
      <c r="I627" s="44" t="n">
        <v>9216.799999999999</v>
      </c>
      <c r="J627" s="44" t="n">
        <v>4071.5</v>
      </c>
      <c r="K627" s="44" t="n">
        <v>9167.799999999999</v>
      </c>
      <c r="L627" s="18" t="inlineStr">
        <is>
          <t>9</t>
        </is>
      </c>
      <c r="M627" s="18" t="inlineStr"/>
      <c r="N627" s="18" t="inlineStr">
        <is>
          <t>DAD986</t>
        </is>
      </c>
    </row>
    <row r="628">
      <c r="A628" s="18" t="inlineStr">
        <is>
          <t>DWG0621</t>
        </is>
      </c>
      <c r="B628" s="18" t="inlineStr">
        <is>
          <t>D34</t>
        </is>
      </c>
      <c r="C628" s="18" t="inlineStr">
        <is>
          <t>34</t>
        </is>
      </c>
      <c r="D628" s="18" t="inlineStr">
        <is>
          <t>horizontal</t>
        </is>
      </c>
      <c r="E628" s="38" t="n">
        <v>71</v>
      </c>
      <c r="F628" s="38" t="n">
        <v>71</v>
      </c>
      <c r="G628" s="18" t="inlineStr">
        <is>
          <t>u/v</t>
        </is>
      </c>
      <c r="H628" s="44" t="n">
        <v>5178.1</v>
      </c>
      <c r="I628" s="44" t="n">
        <v>9257.4</v>
      </c>
      <c r="J628" s="44" t="n">
        <v>5249.1</v>
      </c>
      <c r="K628" s="44" t="n">
        <v>9192.4</v>
      </c>
      <c r="L628" s="18" t="inlineStr">
        <is>
          <t>9</t>
        </is>
      </c>
      <c r="M628" s="18" t="inlineStr"/>
      <c r="N628" s="18" t="inlineStr">
        <is>
          <t>DAD9A1</t>
        </is>
      </c>
    </row>
    <row r="629">
      <c r="A629" s="18" t="inlineStr">
        <is>
          <t>DWG0622</t>
        </is>
      </c>
      <c r="B629" s="18" t="inlineStr">
        <is>
          <t>D34</t>
        </is>
      </c>
      <c r="C629" s="18" t="inlineStr">
        <is>
          <t>34</t>
        </is>
      </c>
      <c r="D629" s="18" t="inlineStr">
        <is>
          <t>horizontal</t>
        </is>
      </c>
      <c r="E629" s="44" t="n">
        <v>117.3</v>
      </c>
      <c r="F629" s="38" t="n">
        <v>117</v>
      </c>
      <c r="G629" s="18" t="inlineStr">
        <is>
          <t>u/v</t>
        </is>
      </c>
      <c r="H629" s="44" t="n">
        <v>3759.2</v>
      </c>
      <c r="I629" s="44" t="n">
        <v>9343.9</v>
      </c>
      <c r="J629" s="44" t="n">
        <v>3876.5</v>
      </c>
      <c r="K629" s="44" t="n">
        <v>9216.799999999999</v>
      </c>
      <c r="L629" s="18" t="inlineStr">
        <is>
          <t>9</t>
        </is>
      </c>
      <c r="M629" s="18" t="inlineStr"/>
      <c r="N629" s="18" t="inlineStr">
        <is>
          <t>DAD983</t>
        </is>
      </c>
    </row>
    <row r="630">
      <c r="A630" s="18" t="inlineStr">
        <is>
          <t>DWG0623</t>
        </is>
      </c>
      <c r="B630" s="18" t="inlineStr">
        <is>
          <t>D34</t>
        </is>
      </c>
      <c r="C630" s="18" t="inlineStr">
        <is>
          <t>34</t>
        </is>
      </c>
      <c r="D630" s="18" t="inlineStr">
        <is>
          <t>horizontal</t>
        </is>
      </c>
      <c r="E630" s="38" t="n">
        <v>76</v>
      </c>
      <c r="F630" s="38" t="n">
        <v>76</v>
      </c>
      <c r="G630" s="18" t="inlineStr">
        <is>
          <t>u/v</t>
        </is>
      </c>
      <c r="H630" s="44" t="n">
        <v>5102.1</v>
      </c>
      <c r="I630" s="44" t="n">
        <v>9361.6</v>
      </c>
      <c r="J630" s="44" t="n">
        <v>5178.1</v>
      </c>
      <c r="K630" s="44" t="n">
        <v>9257.4</v>
      </c>
      <c r="L630" s="18" t="inlineStr">
        <is>
          <t>9</t>
        </is>
      </c>
      <c r="M630" s="18" t="inlineStr"/>
      <c r="N630" s="18" t="inlineStr">
        <is>
          <t>DAD99E</t>
        </is>
      </c>
    </row>
    <row r="631">
      <c r="A631" s="18" t="inlineStr">
        <is>
          <t>DWG0624</t>
        </is>
      </c>
      <c r="B631" s="18" t="inlineStr">
        <is>
          <t>D34</t>
        </is>
      </c>
      <c r="C631" s="18" t="inlineStr">
        <is>
          <t>34</t>
        </is>
      </c>
      <c r="D631" s="18" t="inlineStr">
        <is>
          <t>horizontal</t>
        </is>
      </c>
      <c r="E631" s="44" t="n">
        <v>267.3</v>
      </c>
      <c r="F631" s="38" t="n">
        <v>267</v>
      </c>
      <c r="G631" s="18" t="inlineStr">
        <is>
          <t>u/v</t>
        </is>
      </c>
      <c r="H631" s="44" t="n">
        <v>4834.8</v>
      </c>
      <c r="I631" s="44" t="n">
        <v>9402.4</v>
      </c>
      <c r="J631" s="44" t="n">
        <v>5102.1</v>
      </c>
      <c r="K631" s="44" t="n">
        <v>9361.6</v>
      </c>
      <c r="L631" s="18" t="inlineStr">
        <is>
          <t>9</t>
        </is>
      </c>
      <c r="M631" s="18" t="inlineStr"/>
      <c r="N631" s="18" t="inlineStr">
        <is>
          <t>DAD99B</t>
        </is>
      </c>
    </row>
    <row r="632">
      <c r="A632" s="18" t="inlineStr">
        <is>
          <t>DWG0625</t>
        </is>
      </c>
      <c r="B632" s="18" t="inlineStr">
        <is>
          <t>D34</t>
        </is>
      </c>
      <c r="C632" s="18" t="inlineStr">
        <is>
          <t>34</t>
        </is>
      </c>
      <c r="D632" s="18" t="inlineStr">
        <is>
          <t>horizontal</t>
        </is>
      </c>
      <c r="E632" s="38" t="n">
        <v>15</v>
      </c>
      <c r="F632" s="38" t="n">
        <v>15</v>
      </c>
      <c r="G632" s="18" t="inlineStr">
        <is>
          <t>u/v</t>
        </is>
      </c>
      <c r="H632" s="44" t="n">
        <v>4819.8</v>
      </c>
      <c r="I632" s="44" t="n">
        <v>9543.299999999999</v>
      </c>
      <c r="J632" s="44" t="n">
        <v>4834.8</v>
      </c>
      <c r="K632" s="44" t="n">
        <v>9543.299999999999</v>
      </c>
      <c r="L632" s="18" t="inlineStr">
        <is>
          <t>9</t>
        </is>
      </c>
      <c r="M632" s="18" t="inlineStr"/>
      <c r="N632" s="18" t="inlineStr">
        <is>
          <t>DAD9AD</t>
        </is>
      </c>
    </row>
    <row r="633">
      <c r="A633" s="18" t="inlineStr">
        <is>
          <t>DWG0626</t>
        </is>
      </c>
      <c r="B633" s="18" t="inlineStr">
        <is>
          <t>D34</t>
        </is>
      </c>
      <c r="C633" s="18" t="inlineStr">
        <is>
          <t>34</t>
        </is>
      </c>
      <c r="D633" s="18" t="inlineStr">
        <is>
          <t>vertical</t>
        </is>
      </c>
      <c r="E633" s="38" t="n">
        <v>75</v>
      </c>
      <c r="F633" s="38" t="n">
        <v>75</v>
      </c>
      <c r="G633" s="18" t="inlineStr">
        <is>
          <t>u/v</t>
        </is>
      </c>
      <c r="H633" s="44" t="n">
        <v>1755.7</v>
      </c>
      <c r="I633" s="38" t="n">
        <v>4532</v>
      </c>
      <c r="J633" s="44" t="n">
        <v>1763.9</v>
      </c>
      <c r="K633" s="38" t="n">
        <v>4607</v>
      </c>
      <c r="L633" s="18" t="inlineStr">
        <is>
          <t>9</t>
        </is>
      </c>
      <c r="M633" s="18" t="inlineStr"/>
      <c r="N633" s="18" t="inlineStr">
        <is>
          <t>DAD749</t>
        </is>
      </c>
    </row>
    <row r="634">
      <c r="A634" s="18" t="inlineStr">
        <is>
          <t>DWG0627</t>
        </is>
      </c>
      <c r="B634" s="18" t="inlineStr">
        <is>
          <t>D34</t>
        </is>
      </c>
      <c r="C634" s="18" t="inlineStr">
        <is>
          <t>34</t>
        </is>
      </c>
      <c r="D634" s="18" t="inlineStr">
        <is>
          <t>vertical</t>
        </is>
      </c>
      <c r="E634" s="38" t="n">
        <v>45</v>
      </c>
      <c r="F634" s="38" t="n">
        <v>45</v>
      </c>
      <c r="G634" s="18" t="inlineStr">
        <is>
          <t>u/v</t>
        </is>
      </c>
      <c r="H634" s="44" t="n">
        <v>1756.2</v>
      </c>
      <c r="I634" s="38" t="n">
        <v>4487</v>
      </c>
      <c r="J634" s="44" t="n">
        <v>1755.7</v>
      </c>
      <c r="K634" s="38" t="n">
        <v>4532</v>
      </c>
      <c r="L634" s="18" t="inlineStr">
        <is>
          <t>9</t>
        </is>
      </c>
      <c r="M634" s="18" t="inlineStr"/>
      <c r="N634" s="18" t="inlineStr">
        <is>
          <t>DAD746</t>
        </is>
      </c>
    </row>
    <row r="635">
      <c r="A635" s="18" t="inlineStr">
        <is>
          <t>DWG0628</t>
        </is>
      </c>
      <c r="B635" s="18" t="inlineStr">
        <is>
          <t>D34</t>
        </is>
      </c>
      <c r="C635" s="18" t="inlineStr">
        <is>
          <t>34</t>
        </is>
      </c>
      <c r="D635" s="18" t="inlineStr">
        <is>
          <t>vertical</t>
        </is>
      </c>
      <c r="E635" s="38" t="n">
        <v>1125</v>
      </c>
      <c r="F635" s="38" t="n">
        <v>1125</v>
      </c>
      <c r="G635" s="18" t="inlineStr">
        <is>
          <t>u/v</t>
        </is>
      </c>
      <c r="H635" s="44" t="n">
        <v>1763.9</v>
      </c>
      <c r="I635" s="38" t="n">
        <v>4607</v>
      </c>
      <c r="J635" s="44" t="n">
        <v>3349.5</v>
      </c>
      <c r="K635" s="38" t="n">
        <v>5732</v>
      </c>
      <c r="L635" s="18" t="inlineStr">
        <is>
          <t>9</t>
        </is>
      </c>
      <c r="M635" s="18" t="inlineStr">
        <is>
          <t>S118 S120 S127 S129</t>
        </is>
      </c>
      <c r="N635" s="18" t="inlineStr">
        <is>
          <t>DAD74C</t>
        </is>
      </c>
    </row>
    <row r="636">
      <c r="A636" s="18" t="inlineStr">
        <is>
          <t>DWG0629</t>
        </is>
      </c>
      <c r="B636" s="18" t="inlineStr">
        <is>
          <t>D34</t>
        </is>
      </c>
      <c r="C636" s="18" t="inlineStr">
        <is>
          <t>34</t>
        </is>
      </c>
      <c r="D636" s="18" t="inlineStr">
        <is>
          <t>vertical</t>
        </is>
      </c>
      <c r="E636" s="38" t="n">
        <v>330</v>
      </c>
      <c r="F636" s="38" t="n">
        <v>330</v>
      </c>
      <c r="G636" s="18" t="inlineStr">
        <is>
          <t>u/v</t>
        </is>
      </c>
      <c r="H636" s="44" t="n">
        <v>1771.4</v>
      </c>
      <c r="I636" s="38" t="n">
        <v>4157</v>
      </c>
      <c r="J636" s="44" t="n">
        <v>1756.2</v>
      </c>
      <c r="K636" s="38" t="n">
        <v>4487</v>
      </c>
      <c r="L636" s="18" t="inlineStr">
        <is>
          <t>9</t>
        </is>
      </c>
      <c r="M636" s="18" t="inlineStr"/>
      <c r="N636" s="18" t="inlineStr">
        <is>
          <t>DAD743</t>
        </is>
      </c>
    </row>
    <row r="637">
      <c r="A637" s="18" t="inlineStr">
        <is>
          <t>DWG0630</t>
        </is>
      </c>
      <c r="B637" s="18" t="inlineStr">
        <is>
          <t>D34</t>
        </is>
      </c>
      <c r="C637" s="18" t="inlineStr">
        <is>
          <t>34</t>
        </is>
      </c>
      <c r="D637" s="18" t="inlineStr">
        <is>
          <t>vertical</t>
        </is>
      </c>
      <c r="E637" s="38" t="n">
        <v>75</v>
      </c>
      <c r="F637" s="38" t="n">
        <v>75</v>
      </c>
      <c r="G637" s="18" t="inlineStr">
        <is>
          <t>u/v</t>
        </is>
      </c>
      <c r="H637" s="44" t="n">
        <v>1775.6</v>
      </c>
      <c r="I637" s="38" t="n">
        <v>4082</v>
      </c>
      <c r="J637" s="44" t="n">
        <v>1771.4</v>
      </c>
      <c r="K637" s="38" t="n">
        <v>4157</v>
      </c>
      <c r="L637" s="18" t="inlineStr">
        <is>
          <t>9</t>
        </is>
      </c>
      <c r="M637" s="18" t="inlineStr"/>
      <c r="N637" s="18" t="inlineStr">
        <is>
          <t>DAD740</t>
        </is>
      </c>
    </row>
    <row r="638">
      <c r="A638" s="18" t="inlineStr">
        <is>
          <t>DWG0631</t>
        </is>
      </c>
      <c r="B638" s="18" t="inlineStr">
        <is>
          <t>D34</t>
        </is>
      </c>
      <c r="C638" s="18" t="inlineStr">
        <is>
          <t>34</t>
        </is>
      </c>
      <c r="D638" s="18" t="inlineStr">
        <is>
          <t>vertical</t>
        </is>
      </c>
      <c r="E638" s="38" t="n">
        <v>75</v>
      </c>
      <c r="F638" s="38" t="n">
        <v>75</v>
      </c>
      <c r="G638" s="18" t="inlineStr">
        <is>
          <t>u/v</t>
        </is>
      </c>
      <c r="H638" s="44" t="n">
        <v>1783.7</v>
      </c>
      <c r="I638" s="44" t="n">
        <v>1851.5</v>
      </c>
      <c r="J638" s="44" t="n">
        <v>1795.3</v>
      </c>
      <c r="K638" s="44" t="n">
        <v>1926.5</v>
      </c>
      <c r="L638" s="18" t="inlineStr">
        <is>
          <t>9</t>
        </is>
      </c>
      <c r="M638" s="18" t="inlineStr"/>
      <c r="N638" s="18" t="inlineStr">
        <is>
          <t>DAD737</t>
        </is>
      </c>
    </row>
    <row r="639">
      <c r="A639" s="18" t="inlineStr">
        <is>
          <t>DWG0632</t>
        </is>
      </c>
      <c r="B639" s="18" t="inlineStr">
        <is>
          <t>D34</t>
        </is>
      </c>
      <c r="C639" s="18" t="inlineStr">
        <is>
          <t>34</t>
        </is>
      </c>
      <c r="D639" s="18" t="inlineStr">
        <is>
          <t>vertical</t>
        </is>
      </c>
      <c r="E639" s="38" t="n">
        <v>45</v>
      </c>
      <c r="F639" s="38" t="n">
        <v>45</v>
      </c>
      <c r="G639" s="18" t="inlineStr">
        <is>
          <t>u/v</t>
        </is>
      </c>
      <c r="H639" s="44" t="n">
        <v>1795.3</v>
      </c>
      <c r="I639" s="44" t="n">
        <v>1926.5</v>
      </c>
      <c r="J639" s="44" t="n">
        <v>1804.4</v>
      </c>
      <c r="K639" s="44" t="n">
        <v>1971.5</v>
      </c>
      <c r="L639" s="18" t="inlineStr">
        <is>
          <t>9</t>
        </is>
      </c>
      <c r="M639" s="18" t="inlineStr"/>
      <c r="N639" s="18" t="inlineStr">
        <is>
          <t>DAD73A</t>
        </is>
      </c>
    </row>
    <row r="640">
      <c r="A640" s="18" t="inlineStr">
        <is>
          <t>DWG0633</t>
        </is>
      </c>
      <c r="B640" s="18" t="inlineStr">
        <is>
          <t>D34</t>
        </is>
      </c>
      <c r="C640" s="18" t="inlineStr">
        <is>
          <t>34</t>
        </is>
      </c>
      <c r="D640" s="18" t="inlineStr">
        <is>
          <t>vertical</t>
        </is>
      </c>
      <c r="E640" s="44" t="n">
        <v>2110.5</v>
      </c>
      <c r="F640" s="38">
        <v>2111</v>
      </c>
      <c r="G640" s="18" t="inlineStr">
        <is>
          <t>u/v</t>
        </is>
      </c>
      <c r="H640" s="44" t="n">
        <v>1804.4</v>
      </c>
      <c r="I640" s="44" t="n">
        <v>1971.5</v>
      </c>
      <c r="J640" s="44" t="n">
        <v>1775.6</v>
      </c>
      <c r="K640" s="38" t="n">
        <v>4082</v>
      </c>
      <c r="L640" s="18" t="inlineStr">
        <is>
          <t>9</t>
        </is>
      </c>
      <c r="M640" s="18" t="inlineStr"/>
      <c r="N640" s="18" t="inlineStr">
        <is>
          <t>DAD73D</t>
        </is>
      </c>
    </row>
    <row r="641">
      <c r="A641" s="18" t="inlineStr">
        <is>
          <t>DWG0634</t>
        </is>
      </c>
      <c r="B641" s="18" t="inlineStr">
        <is>
          <t>D34</t>
        </is>
      </c>
      <c r="C641" s="18" t="inlineStr">
        <is>
          <t>34</t>
        </is>
      </c>
      <c r="D641" s="18" t="inlineStr">
        <is>
          <t>vertical</t>
        </is>
      </c>
      <c r="E641" s="38" t="n">
        <v>150</v>
      </c>
      <c r="F641" s="38" t="n">
        <v>150</v>
      </c>
      <c r="G641" s="18" t="inlineStr">
        <is>
          <t>u/v</t>
        </is>
      </c>
      <c r="H641" s="44" t="n">
        <v>1806.1</v>
      </c>
      <c r="I641" s="44" t="n">
        <v>1506.5</v>
      </c>
      <c r="J641" s="44" t="n">
        <v>1806.1</v>
      </c>
      <c r="K641" s="44" t="n">
        <v>1656.5</v>
      </c>
      <c r="L641" s="18" t="inlineStr">
        <is>
          <t>9</t>
        </is>
      </c>
      <c r="M641" s="18" t="inlineStr"/>
      <c r="N641" s="18" t="inlineStr">
        <is>
          <t>DAD731</t>
        </is>
      </c>
    </row>
    <row r="642">
      <c r="A642" s="18" t="inlineStr">
        <is>
          <t>DWG0635</t>
        </is>
      </c>
      <c r="B642" s="18" t="inlineStr">
        <is>
          <t>D34</t>
        </is>
      </c>
      <c r="C642" s="18" t="inlineStr">
        <is>
          <t>34</t>
        </is>
      </c>
      <c r="D642" s="18" t="inlineStr">
        <is>
          <t>vertical</t>
        </is>
      </c>
      <c r="E642" s="38" t="n">
        <v>195</v>
      </c>
      <c r="F642" s="38" t="n">
        <v>195</v>
      </c>
      <c r="G642" s="18" t="inlineStr">
        <is>
          <t>u/v</t>
        </is>
      </c>
      <c r="H642" s="44" t="n">
        <v>1806.1</v>
      </c>
      <c r="I642" s="44" t="n">
        <v>1656.5</v>
      </c>
      <c r="J642" s="44" t="n">
        <v>1783.7</v>
      </c>
      <c r="K642" s="44" t="n">
        <v>1851.5</v>
      </c>
      <c r="L642" s="18" t="inlineStr">
        <is>
          <t>9</t>
        </is>
      </c>
      <c r="M642" s="18" t="inlineStr"/>
      <c r="N642" s="18" t="inlineStr">
        <is>
          <t>DAD734</t>
        </is>
      </c>
    </row>
    <row r="643">
      <c r="A643" s="18" t="inlineStr">
        <is>
          <t>DWG0636</t>
        </is>
      </c>
      <c r="B643" s="18" t="inlineStr">
        <is>
          <t>D34</t>
        </is>
      </c>
      <c r="C643" s="18" t="inlineStr">
        <is>
          <t>34</t>
        </is>
      </c>
      <c r="D643" s="18" t="inlineStr">
        <is>
          <t>vertical</t>
        </is>
      </c>
      <c r="E643" s="44" t="n">
        <v>3100.5</v>
      </c>
      <c r="F643" s="38" t="n">
        <v>3101</v>
      </c>
      <c r="G643" s="18" t="inlineStr">
        <is>
          <t>u/v</t>
        </is>
      </c>
      <c r="H643" s="44" t="n">
        <v>3349.5</v>
      </c>
      <c r="I643" s="38" t="n">
        <v>4607</v>
      </c>
      <c r="J643" s="44" t="n">
        <v>3349.5</v>
      </c>
      <c r="K643" s="44" t="n">
        <v>1506.5</v>
      </c>
      <c r="L643" s="18" t="inlineStr">
        <is>
          <t>9</t>
        </is>
      </c>
      <c r="M643" s="18" t="inlineStr">
        <is>
          <t>S124</t>
        </is>
      </c>
      <c r="N643" s="18" t="inlineStr">
        <is>
          <t>DAD75B</t>
        </is>
      </c>
    </row>
    <row r="644">
      <c r="A644" s="18" t="inlineStr">
        <is>
          <t>DWG0637</t>
        </is>
      </c>
      <c r="B644" s="18" t="inlineStr">
        <is>
          <t>D34</t>
        </is>
      </c>
      <c r="C644" s="18" t="inlineStr">
        <is>
          <t>34</t>
        </is>
      </c>
      <c r="D644" s="18" t="inlineStr">
        <is>
          <t>vertical</t>
        </is>
      </c>
      <c r="E644" s="38" t="n">
        <v>165</v>
      </c>
      <c r="F644" s="38" t="n">
        <v>165</v>
      </c>
      <c r="G644" s="18" t="inlineStr">
        <is>
          <t>u/v</t>
        </is>
      </c>
      <c r="H644" s="44" t="n">
        <v>3349.5</v>
      </c>
      <c r="I644" s="38" t="n">
        <v>5732</v>
      </c>
      <c r="J644" s="44" t="n">
        <v>3349.5</v>
      </c>
      <c r="K644" s="38" t="n">
        <v>5897</v>
      </c>
      <c r="L644" s="18" t="inlineStr">
        <is>
          <t>9</t>
        </is>
      </c>
      <c r="M644" s="18" t="inlineStr"/>
      <c r="N644" s="18" t="inlineStr">
        <is>
          <t>DAD74F</t>
        </is>
      </c>
    </row>
    <row r="645">
      <c r="A645" s="18" t="inlineStr">
        <is>
          <t>DWG0638</t>
        </is>
      </c>
      <c r="B645" s="18" t="inlineStr">
        <is>
          <t>D34</t>
        </is>
      </c>
      <c r="C645" s="18" t="inlineStr">
        <is>
          <t>34</t>
        </is>
      </c>
      <c r="D645" s="18" t="inlineStr">
        <is>
          <t>vertical</t>
        </is>
      </c>
      <c r="E645" s="38" t="n">
        <v>1125</v>
      </c>
      <c r="F645" s="38" t="n">
        <v>1125</v>
      </c>
      <c r="G645" s="18" t="inlineStr">
        <is>
          <t>u/v</t>
        </is>
      </c>
      <c r="H645" s="44" t="n">
        <v>3349.5</v>
      </c>
      <c r="I645" s="38" t="n">
        <v>5732</v>
      </c>
      <c r="J645" s="44" t="n">
        <v>3349.5</v>
      </c>
      <c r="K645" s="38" t="n">
        <v>4607</v>
      </c>
      <c r="L645" s="18" t="inlineStr">
        <is>
          <t>9</t>
        </is>
      </c>
      <c r="M645" s="18" t="inlineStr">
        <is>
          <t>S118 S120 S127 S129</t>
        </is>
      </c>
      <c r="N645" s="18" t="inlineStr">
        <is>
          <t>DAD758</t>
        </is>
      </c>
    </row>
    <row r="646">
      <c r="A646" s="18" t="inlineStr">
        <is>
          <t>DWG0639</t>
        </is>
      </c>
      <c r="B646" s="18" t="inlineStr">
        <is>
          <t>D34</t>
        </is>
      </c>
      <c r="C646" s="18" t="inlineStr">
        <is>
          <t>34</t>
        </is>
      </c>
      <c r="D646" s="18" t="inlineStr">
        <is>
          <t>vertical</t>
        </is>
      </c>
      <c r="E646" s="38" t="n">
        <v>117</v>
      </c>
      <c r="F646" s="38" t="n">
        <v>117</v>
      </c>
      <c r="G646" s="18" t="inlineStr">
        <is>
          <t>u/v</t>
        </is>
      </c>
      <c r="H646" s="44" t="n">
        <v>3349.5</v>
      </c>
      <c r="I646" s="38" t="n">
        <v>5897</v>
      </c>
      <c r="J646" s="44" t="n">
        <v>3349.5</v>
      </c>
      <c r="K646" s="38" t="n">
        <v>6014</v>
      </c>
      <c r="L646" s="18" t="inlineStr">
        <is>
          <t>9</t>
        </is>
      </c>
      <c r="M646" s="18" t="inlineStr"/>
      <c r="N646" s="18" t="inlineStr">
        <is>
          <t>DAD752</t>
        </is>
      </c>
    </row>
    <row r="647">
      <c r="A647" s="18" t="inlineStr">
        <is>
          <t>DWG0640</t>
        </is>
      </c>
      <c r="B647" s="18" t="inlineStr">
        <is>
          <t>D34</t>
        </is>
      </c>
      <c r="C647" s="18" t="inlineStr">
        <is>
          <t>34</t>
        </is>
      </c>
      <c r="D647" s="18" t="inlineStr">
        <is>
          <t>vertical</t>
        </is>
      </c>
      <c r="E647" s="38" t="n">
        <v>218</v>
      </c>
      <c r="F647" s="38" t="n">
        <v>218</v>
      </c>
      <c r="G647" s="18" t="inlineStr">
        <is>
          <t>u/v</t>
        </is>
      </c>
      <c r="H647" s="44" t="n">
        <v>3349.5</v>
      </c>
      <c r="I647" s="38" t="n">
        <v>6014</v>
      </c>
      <c r="J647" s="44" t="n">
        <v>3349.5</v>
      </c>
      <c r="K647" s="38" t="n">
        <v>6232</v>
      </c>
      <c r="L647" s="18" t="inlineStr">
        <is>
          <t>9</t>
        </is>
      </c>
      <c r="M647" s="18" t="inlineStr"/>
      <c r="N647" s="18" t="inlineStr">
        <is>
          <t>DAD755</t>
        </is>
      </c>
    </row>
    <row r="648">
      <c r="A648" s="18" t="inlineStr">
        <is>
          <t>DWG0641</t>
        </is>
      </c>
      <c r="B648" s="18" t="inlineStr">
        <is>
          <t>D34</t>
        </is>
      </c>
      <c r="C648" s="18" t="inlineStr">
        <is>
          <t>34</t>
        </is>
      </c>
      <c r="D648" s="18" t="inlineStr">
        <is>
          <t>vertical</t>
        </is>
      </c>
      <c r="E648" s="38" t="n">
        <v>117</v>
      </c>
      <c r="F648" s="38" t="n">
        <v>117</v>
      </c>
      <c r="G648" s="18" t="inlineStr">
        <is>
          <t>u/v</t>
        </is>
      </c>
      <c r="H648" s="44" t="n">
        <v>3594.2</v>
      </c>
      <c r="I648" s="44" t="n">
        <v>9402.4</v>
      </c>
      <c r="J648" s="44" t="n">
        <v>3817.7</v>
      </c>
      <c r="K648" s="44" t="n">
        <v>9285.4</v>
      </c>
      <c r="L648" s="18" t="inlineStr">
        <is>
          <t>9</t>
        </is>
      </c>
      <c r="M648" s="18" t="inlineStr"/>
      <c r="N648" s="18" t="inlineStr">
        <is>
          <t>DAD97A</t>
        </is>
      </c>
    </row>
    <row r="649">
      <c r="A649" s="18" t="inlineStr">
        <is>
          <t>DWG0642</t>
        </is>
      </c>
      <c r="B649" s="18" t="inlineStr">
        <is>
          <t>D34</t>
        </is>
      </c>
      <c r="C649" s="18" t="inlineStr">
        <is>
          <t>34</t>
        </is>
      </c>
      <c r="D649" s="18" t="inlineStr">
        <is>
          <t>vertical</t>
        </is>
      </c>
      <c r="E649" s="38" t="n">
        <v>330</v>
      </c>
      <c r="F649" s="38" t="n">
        <v>330</v>
      </c>
      <c r="G649" s="18" t="inlineStr">
        <is>
          <t>u/v</t>
        </is>
      </c>
      <c r="H649" s="44" t="n">
        <v>3594.2</v>
      </c>
      <c r="I649" s="44" t="n">
        <v>9732.4</v>
      </c>
      <c r="J649" s="44" t="n">
        <v>3594.2</v>
      </c>
      <c r="K649" s="44" t="n">
        <v>9402.4</v>
      </c>
      <c r="L649" s="18" t="inlineStr">
        <is>
          <t>9</t>
        </is>
      </c>
      <c r="M649" s="18" t="inlineStr"/>
      <c r="N649" s="18" t="inlineStr">
        <is>
          <t>DAD977</t>
        </is>
      </c>
    </row>
    <row r="650">
      <c r="A650" s="18" t="inlineStr">
        <is>
          <t>DWG0643</t>
        </is>
      </c>
      <c r="B650" s="18" t="inlineStr">
        <is>
          <t>D34</t>
        </is>
      </c>
      <c r="C650" s="18" t="inlineStr">
        <is>
          <t>34</t>
        </is>
      </c>
      <c r="D650" s="18" t="inlineStr">
        <is>
          <t>vertical</t>
        </is>
      </c>
      <c r="E650" s="38" t="n">
        <v>330</v>
      </c>
      <c r="F650" s="38" t="n">
        <v>330</v>
      </c>
      <c r="G650" s="18" t="inlineStr">
        <is>
          <t>u/v</t>
        </is>
      </c>
      <c r="H650" s="44" t="n">
        <v>3799.4</v>
      </c>
      <c r="I650" s="44" t="n">
        <v>8264.4</v>
      </c>
      <c r="J650" s="44" t="n">
        <v>3799.4</v>
      </c>
      <c r="K650" s="44" t="n">
        <v>8594.4</v>
      </c>
      <c r="L650" s="18" t="inlineStr">
        <is>
          <t>9</t>
        </is>
      </c>
      <c r="M650" s="18" t="inlineStr"/>
      <c r="N650" s="18" t="inlineStr">
        <is>
          <t>DAD947</t>
        </is>
      </c>
    </row>
    <row r="651">
      <c r="A651" s="18" t="inlineStr">
        <is>
          <t>DWG0644</t>
        </is>
      </c>
      <c r="B651" s="18" t="inlineStr">
        <is>
          <t>D34</t>
        </is>
      </c>
      <c r="C651" s="18" t="inlineStr">
        <is>
          <t>34</t>
        </is>
      </c>
      <c r="D651" s="18" t="inlineStr">
        <is>
          <t>vertical</t>
        </is>
      </c>
      <c r="E651" s="44" t="n">
        <v>117.6</v>
      </c>
      <c r="F651" s="38" t="n">
        <v>118</v>
      </c>
      <c r="G651" s="18" t="inlineStr">
        <is>
          <t>u/v</t>
        </is>
      </c>
      <c r="H651" s="44" t="n">
        <v>3817.7</v>
      </c>
      <c r="I651" s="44" t="n">
        <v>9285.4</v>
      </c>
      <c r="J651" s="44" t="n">
        <v>3876.5</v>
      </c>
      <c r="K651" s="44" t="n">
        <v>9167.799999999999</v>
      </c>
      <c r="L651" s="18" t="inlineStr">
        <is>
          <t>9</t>
        </is>
      </c>
      <c r="M651" s="18" t="inlineStr"/>
      <c r="N651" s="18" t="inlineStr">
        <is>
          <t>DAD97D</t>
        </is>
      </c>
    </row>
    <row r="652">
      <c r="A652" s="18" t="inlineStr">
        <is>
          <t>DWG0645</t>
        </is>
      </c>
      <c r="B652" s="18" t="inlineStr">
        <is>
          <t>D34</t>
        </is>
      </c>
      <c r="C652" s="18" t="inlineStr">
        <is>
          <t>34</t>
        </is>
      </c>
      <c r="D652" s="18" t="inlineStr">
        <is>
          <t>vertical</t>
        </is>
      </c>
      <c r="E652" s="38" t="n">
        <v>80</v>
      </c>
      <c r="F652" s="38" t="n">
        <v>80</v>
      </c>
      <c r="G652" s="18" t="inlineStr">
        <is>
          <t>u/v</t>
        </is>
      </c>
      <c r="H652" s="44" t="n">
        <v>3949.4</v>
      </c>
      <c r="I652" s="44" t="n">
        <v>8184.4</v>
      </c>
      <c r="J652" s="44" t="n">
        <v>3799.4</v>
      </c>
      <c r="K652" s="44" t="n">
        <v>8264.4</v>
      </c>
      <c r="L652" s="18" t="inlineStr">
        <is>
          <t>9</t>
        </is>
      </c>
      <c r="M652" s="18" t="inlineStr"/>
      <c r="N652" s="18" t="inlineStr">
        <is>
          <t>DAD944</t>
        </is>
      </c>
    </row>
    <row r="653">
      <c r="A653" s="18" t="inlineStr">
        <is>
          <t>DWG0646</t>
        </is>
      </c>
      <c r="B653" s="18" t="inlineStr">
        <is>
          <t>D34</t>
        </is>
      </c>
      <c r="C653" s="18" t="inlineStr">
        <is>
          <t>34</t>
        </is>
      </c>
      <c r="D653" s="18" t="inlineStr">
        <is>
          <t>vertical</t>
        </is>
      </c>
      <c r="E653" s="38" t="n">
        <v>95</v>
      </c>
      <c r="F653" s="38" t="n">
        <v>95</v>
      </c>
      <c r="G653" s="18" t="inlineStr">
        <is>
          <t>u/v</t>
        </is>
      </c>
      <c r="H653" s="44" t="n">
        <v>3989.4</v>
      </c>
      <c r="I653" s="44" t="n">
        <v>8089.4</v>
      </c>
      <c r="J653" s="44" t="n">
        <v>3949.4</v>
      </c>
      <c r="K653" s="44" t="n">
        <v>8184.4</v>
      </c>
      <c r="L653" s="18" t="inlineStr">
        <is>
          <t>9</t>
        </is>
      </c>
      <c r="M653" s="18" t="inlineStr"/>
      <c r="N653" s="18" t="inlineStr">
        <is>
          <t>DAD941</t>
        </is>
      </c>
    </row>
    <row r="654">
      <c r="A654" s="18" t="inlineStr">
        <is>
          <t>DWG0647</t>
        </is>
      </c>
      <c r="B654" s="18" t="inlineStr">
        <is>
          <t>D34</t>
        </is>
      </c>
      <c r="C654" s="18" t="inlineStr">
        <is>
          <t>34</t>
        </is>
      </c>
      <c r="D654" s="18" t="inlineStr">
        <is>
          <t>vertical</t>
        </is>
      </c>
      <c r="E654" s="38" t="n">
        <v>65</v>
      </c>
      <c r="F654" s="38" t="n">
        <v>65</v>
      </c>
      <c r="G654" s="18" t="inlineStr">
        <is>
          <t>u/v</t>
        </is>
      </c>
      <c r="H654" s="44" t="n">
        <v>4092.4</v>
      </c>
      <c r="I654" s="44" t="n">
        <v>8089.4</v>
      </c>
      <c r="J654" s="44" t="n">
        <v>4119.4</v>
      </c>
      <c r="K654" s="44" t="n">
        <v>8154.4</v>
      </c>
      <c r="L654" s="18" t="inlineStr">
        <is>
          <t>9</t>
        </is>
      </c>
      <c r="M654" s="18" t="inlineStr"/>
      <c r="N654" s="18" t="inlineStr">
        <is>
          <t>DAD96E</t>
        </is>
      </c>
    </row>
    <row r="655">
      <c r="A655" s="18" t="inlineStr">
        <is>
          <t>DWG0648</t>
        </is>
      </c>
      <c r="B655" s="18" t="inlineStr">
        <is>
          <t>D34</t>
        </is>
      </c>
      <c r="C655" s="18" t="inlineStr">
        <is>
          <t>34</t>
        </is>
      </c>
      <c r="D655" s="18" t="inlineStr">
        <is>
          <t>vertical</t>
        </is>
      </c>
      <c r="E655" s="44" t="n">
        <v>124.6</v>
      </c>
      <c r="F655" s="38" t="n">
        <v>125</v>
      </c>
      <c r="G655" s="18" t="inlineStr">
        <is>
          <t>u/v</t>
        </is>
      </c>
      <c r="H655" s="44" t="n">
        <v>4148.6</v>
      </c>
      <c r="I655" s="44" t="n">
        <v>9292.4</v>
      </c>
      <c r="J655" s="44" t="n">
        <v>4033.6</v>
      </c>
      <c r="K655" s="44" t="n">
        <v>9167.799999999999</v>
      </c>
      <c r="L655" s="18" t="inlineStr">
        <is>
          <t>9</t>
        </is>
      </c>
      <c r="M655" s="18" t="inlineStr"/>
      <c r="N655" s="18" t="inlineStr">
        <is>
          <t>DAD98C</t>
        </is>
      </c>
    </row>
    <row r="656">
      <c r="A656" s="18" t="inlineStr">
        <is>
          <t>DWG0649</t>
        </is>
      </c>
      <c r="B656" s="18" t="inlineStr">
        <is>
          <t>D34</t>
        </is>
      </c>
      <c r="C656" s="18" t="inlineStr">
        <is>
          <t>34</t>
        </is>
      </c>
      <c r="D656" s="18" t="inlineStr">
        <is>
          <t>vertical</t>
        </is>
      </c>
      <c r="E656" s="38" t="n">
        <v>440</v>
      </c>
      <c r="F656" s="38" t="n">
        <v>440</v>
      </c>
      <c r="G656" s="18" t="inlineStr">
        <is>
          <t>u/v</t>
        </is>
      </c>
      <c r="H656" s="44" t="n">
        <v>4148.6</v>
      </c>
      <c r="I656" s="44" t="n">
        <v>9732.4</v>
      </c>
      <c r="J656" s="44" t="n">
        <v>4148.6</v>
      </c>
      <c r="K656" s="44" t="n">
        <v>9292.4</v>
      </c>
      <c r="L656" s="18" t="inlineStr">
        <is>
          <t>9</t>
        </is>
      </c>
      <c r="M656" s="18" t="inlineStr"/>
      <c r="N656" s="18" t="inlineStr">
        <is>
          <t>DAD989</t>
        </is>
      </c>
    </row>
    <row r="657">
      <c r="A657" s="18" t="inlineStr">
        <is>
          <t>DWG0650</t>
        </is>
      </c>
      <c r="B657" s="18" t="inlineStr">
        <is>
          <t>D34</t>
        </is>
      </c>
      <c r="C657" s="18" t="inlineStr">
        <is>
          <t>34</t>
        </is>
      </c>
      <c r="D657" s="18" t="inlineStr">
        <is>
          <t>vertical</t>
        </is>
      </c>
      <c r="E657" s="38" t="n">
        <v>440</v>
      </c>
      <c r="F657" s="38" t="n">
        <v>440</v>
      </c>
      <c r="G657" s="18" t="inlineStr">
        <is>
          <t>u/v</t>
        </is>
      </c>
      <c r="H657" s="44" t="n">
        <v>4159.4</v>
      </c>
      <c r="I657" s="44" t="n">
        <v>8154.4</v>
      </c>
      <c r="J657" s="44" t="n">
        <v>4159.4</v>
      </c>
      <c r="K657" s="44" t="n">
        <v>8594.4</v>
      </c>
      <c r="L657" s="18" t="inlineStr">
        <is>
          <t>9</t>
        </is>
      </c>
      <c r="M657" s="18" t="inlineStr"/>
      <c r="N657" s="18" t="inlineStr">
        <is>
          <t>DAD953</t>
        </is>
      </c>
    </row>
    <row r="658">
      <c r="A658" s="18" t="inlineStr">
        <is>
          <t>DWG0651</t>
        </is>
      </c>
      <c r="B658" s="18" t="inlineStr">
        <is>
          <t>D34</t>
        </is>
      </c>
      <c r="C658" s="18" t="inlineStr">
        <is>
          <t>34</t>
        </is>
      </c>
      <c r="D658" s="18" t="inlineStr">
        <is>
          <t>vertical</t>
        </is>
      </c>
      <c r="E658" s="38" t="n">
        <v>330</v>
      </c>
      <c r="F658" s="38" t="n">
        <v>330</v>
      </c>
      <c r="G658" s="18" t="inlineStr">
        <is>
          <t>u/v</t>
        </is>
      </c>
      <c r="H658" s="38" t="n">
        <v>4529</v>
      </c>
      <c r="I658" s="44" t="n">
        <v>8594.4</v>
      </c>
      <c r="J658" s="44" t="n">
        <v>4562.9</v>
      </c>
      <c r="K658" s="44" t="n">
        <v>8264.4</v>
      </c>
      <c r="L658" s="18" t="inlineStr">
        <is>
          <t>9</t>
        </is>
      </c>
      <c r="M658" s="18" t="inlineStr"/>
      <c r="N658" s="18" t="inlineStr">
        <is>
          <t>DAD956</t>
        </is>
      </c>
    </row>
    <row r="659">
      <c r="A659" s="18" t="inlineStr">
        <is>
          <t>DWG0652</t>
        </is>
      </c>
      <c r="B659" s="18" t="inlineStr">
        <is>
          <t>D34</t>
        </is>
      </c>
      <c r="C659" s="18" t="inlineStr">
        <is>
          <t>34</t>
        </is>
      </c>
      <c r="D659" s="18" t="inlineStr">
        <is>
          <t>vertical</t>
        </is>
      </c>
      <c r="E659" s="38" t="n">
        <v>80</v>
      </c>
      <c r="F659" s="38" t="n">
        <v>80</v>
      </c>
      <c r="G659" s="18" t="inlineStr">
        <is>
          <t>u/v</t>
        </is>
      </c>
      <c r="H659" s="44" t="n">
        <v>4562.9</v>
      </c>
      <c r="I659" s="44" t="n">
        <v>8264.4</v>
      </c>
      <c r="J659" s="44" t="n">
        <v>4712.9</v>
      </c>
      <c r="K659" s="44" t="n">
        <v>8184.4</v>
      </c>
      <c r="L659" s="18" t="inlineStr">
        <is>
          <t>9</t>
        </is>
      </c>
      <c r="M659" s="18" t="inlineStr"/>
      <c r="N659" s="18" t="inlineStr">
        <is>
          <t>DAD959</t>
        </is>
      </c>
    </row>
    <row r="660">
      <c r="A660" s="18" t="inlineStr">
        <is>
          <t>DWG0653</t>
        </is>
      </c>
      <c r="B660" s="18" t="inlineStr">
        <is>
          <t>D34</t>
        </is>
      </c>
      <c r="C660" s="18" t="inlineStr">
        <is>
          <t>34</t>
        </is>
      </c>
      <c r="D660" s="18" t="inlineStr">
        <is>
          <t>vertical</t>
        </is>
      </c>
      <c r="E660" s="38" t="n">
        <v>20</v>
      </c>
      <c r="F660" s="38" t="n">
        <v>20</v>
      </c>
      <c r="G660" s="18" t="inlineStr">
        <is>
          <t>u/v</t>
        </is>
      </c>
      <c r="H660" s="44" t="n">
        <v>4712.9</v>
      </c>
      <c r="I660" s="44" t="n">
        <v>8184.4</v>
      </c>
      <c r="J660" s="44" t="n">
        <v>4765.2</v>
      </c>
      <c r="K660" s="44" t="n">
        <v>8164.4</v>
      </c>
      <c r="L660" s="18" t="inlineStr">
        <is>
          <t>9</t>
        </is>
      </c>
      <c r="M660" s="18" t="inlineStr"/>
      <c r="N660" s="18" t="inlineStr">
        <is>
          <t>DAD95C</t>
        </is>
      </c>
    </row>
    <row r="661">
      <c r="A661" s="18" t="inlineStr">
        <is>
          <t>DWG0654</t>
        </is>
      </c>
      <c r="B661" s="18" t="inlineStr">
        <is>
          <t>D34</t>
        </is>
      </c>
      <c r="C661" s="18" t="inlineStr">
        <is>
          <t>34</t>
        </is>
      </c>
      <c r="D661" s="18" t="inlineStr">
        <is>
          <t>vertical</t>
        </is>
      </c>
      <c r="E661" s="38" t="n">
        <v>65</v>
      </c>
      <c r="F661" s="38" t="n">
        <v>65</v>
      </c>
      <c r="G661" s="18" t="inlineStr">
        <is>
          <t>u/v</t>
        </is>
      </c>
      <c r="H661" s="44" t="n">
        <v>4765.2</v>
      </c>
      <c r="I661" s="44" t="n">
        <v>8164.4</v>
      </c>
      <c r="J661" s="44" t="n">
        <v>4852.9</v>
      </c>
      <c r="K661" s="44" t="n">
        <v>8099.4</v>
      </c>
      <c r="L661" s="18" t="inlineStr">
        <is>
          <t>9</t>
        </is>
      </c>
      <c r="M661" s="18" t="inlineStr"/>
      <c r="N661" s="18" t="inlineStr">
        <is>
          <t>DAD95F</t>
        </is>
      </c>
    </row>
    <row r="662">
      <c r="A662" s="18" t="inlineStr">
        <is>
          <t>DWG0655</t>
        </is>
      </c>
      <c r="B662" s="18" t="inlineStr">
        <is>
          <t>D34</t>
        </is>
      </c>
      <c r="C662" s="18" t="inlineStr">
        <is>
          <t>34</t>
        </is>
      </c>
      <c r="D662" s="18" t="inlineStr">
        <is>
          <t>vertical</t>
        </is>
      </c>
      <c r="E662" s="38" t="n">
        <v>330</v>
      </c>
      <c r="F662" s="38" t="n">
        <v>330</v>
      </c>
      <c r="G662" s="18" t="inlineStr">
        <is>
          <t>u/v</t>
        </is>
      </c>
      <c r="H662" s="44" t="n">
        <v>4773.7</v>
      </c>
      <c r="I662" s="44" t="n">
        <v>9732.4</v>
      </c>
      <c r="J662" s="44" t="n">
        <v>4819.8</v>
      </c>
      <c r="K662" s="44" t="n">
        <v>9402.4</v>
      </c>
      <c r="L662" s="18" t="inlineStr">
        <is>
          <t>9</t>
        </is>
      </c>
      <c r="M662" s="18" t="inlineStr"/>
      <c r="N662" s="18" t="inlineStr">
        <is>
          <t>DAD98F</t>
        </is>
      </c>
    </row>
    <row r="663">
      <c r="A663" s="18" t="inlineStr">
        <is>
          <t>DWG0656</t>
        </is>
      </c>
      <c r="B663" s="18" t="inlineStr">
        <is>
          <t>D34</t>
        </is>
      </c>
      <c r="C663" s="18" t="inlineStr">
        <is>
          <t>34</t>
        </is>
      </c>
      <c r="D663" s="18" t="inlineStr">
        <is>
          <t>vertical</t>
        </is>
      </c>
      <c r="E663" s="44" t="n">
        <v>119.2</v>
      </c>
      <c r="F663" s="38" t="n">
        <v>119</v>
      </c>
      <c r="G663" s="18" t="inlineStr">
        <is>
          <t>u/v</t>
        </is>
      </c>
      <c r="H663" s="44" t="n">
        <v>4819.8</v>
      </c>
      <c r="I663" s="44" t="n">
        <v>9402.4</v>
      </c>
      <c r="J663" s="44" t="n">
        <v>5047.1</v>
      </c>
      <c r="K663" s="44" t="n">
        <v>9283.200000000001</v>
      </c>
      <c r="L663" s="18" t="inlineStr">
        <is>
          <t>9</t>
        </is>
      </c>
      <c r="M663" s="18" t="inlineStr"/>
      <c r="N663" s="18" t="inlineStr">
        <is>
          <t>DAD992</t>
        </is>
      </c>
    </row>
    <row r="664">
      <c r="A664" s="18" t="inlineStr">
        <is>
          <t>DWG0657</t>
        </is>
      </c>
      <c r="B664" s="18" t="inlineStr">
        <is>
          <t>D34</t>
        </is>
      </c>
      <c r="C664" s="18" t="inlineStr">
        <is>
          <t>34</t>
        </is>
      </c>
      <c r="D664" s="18" t="inlineStr">
        <is>
          <t>vertical</t>
        </is>
      </c>
      <c r="E664" s="38" t="n">
        <v>55</v>
      </c>
      <c r="F664" s="38" t="n">
        <v>55</v>
      </c>
      <c r="G664" s="18" t="inlineStr">
        <is>
          <t>u/v</t>
        </is>
      </c>
      <c r="H664" s="44" t="n">
        <v>4907.8</v>
      </c>
      <c r="I664" s="44" t="n">
        <v>8154.4</v>
      </c>
      <c r="J664" s="44" t="n">
        <v>4867.9</v>
      </c>
      <c r="K664" s="44" t="n">
        <v>8099.4</v>
      </c>
      <c r="L664" s="18" t="inlineStr">
        <is>
          <t>9</t>
        </is>
      </c>
      <c r="M664" s="18" t="inlineStr"/>
      <c r="N664" s="18" t="inlineStr">
        <is>
          <t>DAD974</t>
        </is>
      </c>
    </row>
    <row r="665">
      <c r="A665" s="18" t="inlineStr">
        <is>
          <t>DWG0658</t>
        </is>
      </c>
      <c r="B665" s="18" t="inlineStr">
        <is>
          <t>D34</t>
        </is>
      </c>
      <c r="C665" s="18" t="inlineStr">
        <is>
          <t>34</t>
        </is>
      </c>
      <c r="D665" s="18" t="inlineStr">
        <is>
          <t>vertical</t>
        </is>
      </c>
      <c r="E665" s="38" t="n">
        <v>440</v>
      </c>
      <c r="F665" s="38" t="n">
        <v>440</v>
      </c>
      <c r="G665" s="18" t="inlineStr">
        <is>
          <t>u/v</t>
        </is>
      </c>
      <c r="H665" s="44" t="n">
        <v>4907.8</v>
      </c>
      <c r="I665" s="44" t="n">
        <v>8594.4</v>
      </c>
      <c r="J665" s="44" t="n">
        <v>4907.8</v>
      </c>
      <c r="K665" s="44" t="n">
        <v>8154.4</v>
      </c>
      <c r="L665" s="18" t="inlineStr">
        <is>
          <t>9</t>
        </is>
      </c>
      <c r="M665" s="18" t="inlineStr"/>
      <c r="N665" s="18" t="inlineStr">
        <is>
          <t>DAD971</t>
        </is>
      </c>
    </row>
    <row r="666">
      <c r="A666" s="18" t="inlineStr">
        <is>
          <t>DWG0659</t>
        </is>
      </c>
      <c r="B666" s="18" t="inlineStr">
        <is>
          <t>D34</t>
        </is>
      </c>
      <c r="C666" s="18" t="inlineStr">
        <is>
          <t>34</t>
        </is>
      </c>
      <c r="D666" s="18" t="inlineStr">
        <is>
          <t>vertical</t>
        </is>
      </c>
      <c r="E666" s="44" t="n">
        <v>25.8</v>
      </c>
      <c r="F666" s="38" t="n">
        <v>26</v>
      </c>
      <c r="G666" s="18" t="inlineStr">
        <is>
          <t>u/v</t>
        </is>
      </c>
      <c r="H666" s="44" t="n">
        <v>5047.1</v>
      </c>
      <c r="I666" s="44" t="n">
        <v>9283.200000000001</v>
      </c>
      <c r="J666" s="44" t="n">
        <v>5125.1</v>
      </c>
      <c r="K666" s="44" t="n">
        <v>9257.4</v>
      </c>
      <c r="L666" s="18" t="inlineStr">
        <is>
          <t>9</t>
        </is>
      </c>
      <c r="M666" s="18" t="inlineStr"/>
      <c r="N666" s="18" t="inlineStr">
        <is>
          <t>DAD995</t>
        </is>
      </c>
    </row>
    <row r="667">
      <c r="A667" s="18" t="inlineStr">
        <is>
          <t>DWG0660</t>
        </is>
      </c>
      <c r="B667" s="18" t="inlineStr">
        <is>
          <t>D34</t>
        </is>
      </c>
      <c r="C667" s="18" t="inlineStr">
        <is>
          <t>34</t>
        </is>
      </c>
      <c r="D667" s="18" t="inlineStr">
        <is>
          <t>vertical</t>
        </is>
      </c>
      <c r="E667" s="38" t="n">
        <v>65</v>
      </c>
      <c r="F667" s="38" t="n">
        <v>65</v>
      </c>
      <c r="G667" s="18" t="inlineStr">
        <is>
          <t>u/v</t>
        </is>
      </c>
      <c r="H667" s="44" t="n">
        <v>5125.1</v>
      </c>
      <c r="I667" s="44" t="n">
        <v>9257.4</v>
      </c>
      <c r="J667" s="44" t="n">
        <v>5273.1</v>
      </c>
      <c r="K667" s="44" t="n">
        <v>9192.4</v>
      </c>
      <c r="L667" s="18" t="inlineStr">
        <is>
          <t>9</t>
        </is>
      </c>
      <c r="M667" s="18" t="inlineStr"/>
      <c r="N667" s="18" t="inlineStr">
        <is>
          <t>DAD998</t>
        </is>
      </c>
    </row>
    <row r="668">
      <c r="A668" s="18" t="inlineStr">
        <is>
          <t>DWG0661</t>
        </is>
      </c>
      <c r="B668" s="18" t="inlineStr">
        <is>
          <t>D34</t>
        </is>
      </c>
      <c r="C668" s="18" t="inlineStr">
        <is>
          <t>34</t>
        </is>
      </c>
      <c r="D668" s="18" t="inlineStr">
        <is>
          <t>vertical</t>
        </is>
      </c>
      <c r="E668" s="38" t="n">
        <v>440</v>
      </c>
      <c r="F668" s="38" t="n">
        <v>440</v>
      </c>
      <c r="G668" s="18" t="inlineStr">
        <is>
          <t>u/v</t>
        </is>
      </c>
      <c r="H668" s="44" t="n">
        <v>5363.2</v>
      </c>
      <c r="I668" s="44" t="n">
        <v>9732.4</v>
      </c>
      <c r="J668" s="44" t="n">
        <v>5381.3</v>
      </c>
      <c r="K668" s="44" t="n">
        <v>9292.4</v>
      </c>
      <c r="L668" s="18" t="inlineStr">
        <is>
          <t>9</t>
        </is>
      </c>
      <c r="M668" s="18" t="inlineStr"/>
      <c r="N668" s="18" t="inlineStr">
        <is>
          <t>DAD9A7</t>
        </is>
      </c>
    </row>
    <row r="669">
      <c r="A669" s="18" t="inlineStr">
        <is>
          <t>DWG0662</t>
        </is>
      </c>
      <c r="B669" s="18" t="inlineStr">
        <is>
          <t>D34</t>
        </is>
      </c>
      <c r="C669" s="18" t="inlineStr">
        <is>
          <t>34</t>
        </is>
      </c>
      <c r="D669" s="18" t="inlineStr">
        <is>
          <t>vertical</t>
        </is>
      </c>
      <c r="E669" s="38" t="n">
        <v>100</v>
      </c>
      <c r="F669" s="38" t="n">
        <v>100</v>
      </c>
      <c r="G669" s="18" t="inlineStr">
        <is>
          <t>u/v</t>
        </is>
      </c>
      <c r="H669" s="44" t="n">
        <v>5381.3</v>
      </c>
      <c r="I669" s="44" t="n">
        <v>9292.4</v>
      </c>
      <c r="J669" s="38" t="n">
        <v>5296</v>
      </c>
      <c r="K669" s="44" t="n">
        <v>9192.4</v>
      </c>
      <c r="L669" s="18" t="inlineStr">
        <is>
          <t>9</t>
        </is>
      </c>
      <c r="M669" s="18" t="inlineStr"/>
      <c r="N669" s="18" t="inlineStr">
        <is>
          <t>DAD9AA</t>
        </is>
      </c>
    </row>
    <row r="670">
      <c r="A670" s="18" t="inlineStr">
        <is>
          <t>DWG0663</t>
        </is>
      </c>
      <c r="B670" s="18" t="inlineStr">
        <is>
          <t>D34</t>
        </is>
      </c>
      <c r="C670" s="18" t="inlineStr">
        <is>
          <t>34</t>
        </is>
      </c>
      <c r="D670" s="18" t="inlineStr">
        <is>
          <t>vertical</t>
        </is>
      </c>
      <c r="E670" s="44" t="n">
        <v>2950.5</v>
      </c>
      <c r="F670" s="38">
        <v>2951</v>
      </c>
      <c r="G670" s="18" t="inlineStr">
        <is>
          <t>u/v</t>
        </is>
      </c>
      <c r="H670" s="38" t="n">
        <v>5885</v>
      </c>
      <c r="I670" s="44" t="n">
        <v>1506.5</v>
      </c>
      <c r="J670" s="44" t="n">
        <v>6011.1</v>
      </c>
      <c r="K670" s="38" t="n">
        <v>4457</v>
      </c>
      <c r="L670" s="18" t="inlineStr">
        <is>
          <t>9</t>
        </is>
      </c>
      <c r="M670" s="18" t="inlineStr">
        <is>
          <t>S130</t>
        </is>
      </c>
      <c r="N670" s="18" t="inlineStr">
        <is>
          <t>DAD780</t>
        </is>
      </c>
    </row>
    <row r="671">
      <c r="A671" s="18" t="inlineStr">
        <is>
          <t>DWG0664</t>
        </is>
      </c>
      <c r="B671" s="18" t="inlineStr">
        <is>
          <t>D34</t>
        </is>
      </c>
      <c r="C671" s="18" t="inlineStr">
        <is>
          <t>34</t>
        </is>
      </c>
      <c r="D671" s="18" t="inlineStr">
        <is>
          <t>vertical</t>
        </is>
      </c>
      <c r="E671" s="38" t="n">
        <v>150</v>
      </c>
      <c r="F671" s="38" t="n">
        <v>150</v>
      </c>
      <c r="G671" s="18" t="inlineStr">
        <is>
          <t>u/v</t>
        </is>
      </c>
      <c r="H671" s="44" t="n">
        <v>6011.1</v>
      </c>
      <c r="I671" s="38" t="n">
        <v>4457</v>
      </c>
      <c r="J671" s="44" t="n">
        <v>6047.9</v>
      </c>
      <c r="K671" s="38" t="n">
        <v>4607</v>
      </c>
      <c r="L671" s="18" t="inlineStr">
        <is>
          <t>9</t>
        </is>
      </c>
      <c r="M671" s="18" t="inlineStr"/>
      <c r="N671" s="18" t="inlineStr">
        <is>
          <t>DAD783</t>
        </is>
      </c>
    </row>
    <row r="672">
      <c r="A672" s="18" t="inlineStr">
        <is>
          <t>DWG0665</t>
        </is>
      </c>
      <c r="B672" s="18" t="inlineStr">
        <is>
          <t>D34</t>
        </is>
      </c>
      <c r="C672" s="18" t="inlineStr">
        <is>
          <t>34</t>
        </is>
      </c>
      <c r="D672" s="18" t="inlineStr">
        <is>
          <t>vertical</t>
        </is>
      </c>
      <c r="E672" s="44" t="n">
        <v>1140.2</v>
      </c>
      <c r="F672" s="38" t="n">
        <v>1140</v>
      </c>
      <c r="G672" s="18" t="inlineStr">
        <is>
          <t>u/v</t>
        </is>
      </c>
      <c r="H672" s="44" t="n">
        <v>6047.9</v>
      </c>
      <c r="I672" s="38" t="n">
        <v>4607</v>
      </c>
      <c r="J672" s="44" t="n">
        <v>6011.1</v>
      </c>
      <c r="K672" s="44" t="n">
        <v>5747.2</v>
      </c>
      <c r="L672" s="18" t="inlineStr">
        <is>
          <t>9</t>
        </is>
      </c>
      <c r="M672" s="18" t="inlineStr">
        <is>
          <t>S125 S132</t>
        </is>
      </c>
      <c r="N672" s="18" t="inlineStr">
        <is>
          <t>DAD786</t>
        </is>
      </c>
    </row>
    <row r="673">
      <c r="A673" s="18" t="inlineStr">
        <is>
          <t>DWG0666</t>
        </is>
      </c>
      <c r="B673" s="18" t="inlineStr">
        <is>
          <t>D34</t>
        </is>
      </c>
      <c r="C673" s="18" t="inlineStr">
        <is>
          <t>34</t>
        </is>
      </c>
      <c r="D673" s="18" t="inlineStr">
        <is>
          <t>vertical</t>
        </is>
      </c>
      <c r="E673" s="44" t="n">
        <v>164.9</v>
      </c>
      <c r="F673" s="38" t="n">
        <v>165</v>
      </c>
      <c r="G673" s="18" t="inlineStr">
        <is>
          <t>u/v</t>
        </is>
      </c>
      <c r="H673" s="44" t="n">
        <v>6341.1</v>
      </c>
      <c r="I673" s="44" t="n">
        <v>5747.2</v>
      </c>
      <c r="J673" s="44" t="n">
        <v>6397.9</v>
      </c>
      <c r="K673" s="44" t="n">
        <v>5912.1</v>
      </c>
      <c r="L673" s="18" t="inlineStr">
        <is>
          <t>9</t>
        </is>
      </c>
      <c r="M673" s="18" t="inlineStr"/>
      <c r="N673" s="18" t="inlineStr">
        <is>
          <t>DAD7A7</t>
        </is>
      </c>
    </row>
    <row r="674">
      <c r="A674" s="18" t="inlineStr">
        <is>
          <t>DWG0667</t>
        </is>
      </c>
      <c r="B674" s="18" t="inlineStr">
        <is>
          <t>D34</t>
        </is>
      </c>
      <c r="C674" s="18" t="inlineStr">
        <is>
          <t>34</t>
        </is>
      </c>
      <c r="D674" s="18" t="inlineStr">
        <is>
          <t>vertical</t>
        </is>
      </c>
      <c r="E674" s="38" t="n">
        <v>117</v>
      </c>
      <c r="F674" s="38" t="n">
        <v>117</v>
      </c>
      <c r="G674" s="18" t="inlineStr">
        <is>
          <t>u/v</t>
        </is>
      </c>
      <c r="H674" s="44" t="n">
        <v>6397.9</v>
      </c>
      <c r="I674" s="44" t="n">
        <v>5912.1</v>
      </c>
      <c r="J674" s="44" t="n">
        <v>6462.1</v>
      </c>
      <c r="K674" s="44" t="n">
        <v>6029.1</v>
      </c>
      <c r="L674" s="18" t="inlineStr">
        <is>
          <t>9</t>
        </is>
      </c>
      <c r="M674" s="18" t="inlineStr"/>
      <c r="N674" s="18" t="inlineStr">
        <is>
          <t>DAD7AA</t>
        </is>
      </c>
    </row>
    <row r="675">
      <c r="A675" s="18" t="inlineStr">
        <is>
          <t>DWG0668</t>
        </is>
      </c>
      <c r="B675" s="18" t="inlineStr">
        <is>
          <t>D34</t>
        </is>
      </c>
      <c r="C675" s="18" t="inlineStr">
        <is>
          <t>34</t>
        </is>
      </c>
      <c r="D675" s="18" t="inlineStr">
        <is>
          <t>vertical</t>
        </is>
      </c>
      <c r="E675" s="44" t="n">
        <v>37.5</v>
      </c>
      <c r="F675" s="38" t="n">
        <v>37</v>
      </c>
      <c r="G675" s="18" t="inlineStr">
        <is>
          <t>u/v</t>
        </is>
      </c>
      <c r="H675" s="44" t="n">
        <v>6462.1</v>
      </c>
      <c r="I675" s="44" t="n">
        <v>6029.1</v>
      </c>
      <c r="J675" s="44" t="n">
        <v>6521.1</v>
      </c>
      <c r="K675" s="44" t="n">
        <v>6066.6</v>
      </c>
      <c r="L675" s="18" t="inlineStr">
        <is>
          <t>9</t>
        </is>
      </c>
      <c r="M675" s="18" t="inlineStr"/>
      <c r="N675" s="18" t="inlineStr">
        <is>
          <t>DAD7AD</t>
        </is>
      </c>
    </row>
    <row r="676">
      <c r="A676" s="18" t="inlineStr">
        <is>
          <t>DWG0669</t>
        </is>
      </c>
      <c r="B676" s="18" t="inlineStr">
        <is>
          <t>D34</t>
        </is>
      </c>
      <c r="C676" s="18" t="inlineStr">
        <is>
          <t>34</t>
        </is>
      </c>
      <c r="D676" s="18" t="inlineStr">
        <is>
          <t>vertical</t>
        </is>
      </c>
      <c r="E676" s="44" t="n">
        <v>104.9</v>
      </c>
      <c r="F676" s="38" t="n">
        <v>105</v>
      </c>
      <c r="G676" s="18" t="inlineStr">
        <is>
          <t>u/v</t>
        </is>
      </c>
      <c r="H676" s="44" t="n">
        <v>6521.1</v>
      </c>
      <c r="I676" s="44" t="n">
        <v>6066.6</v>
      </c>
      <c r="J676" s="44" t="n">
        <v>6566.1</v>
      </c>
      <c r="K676" s="44" t="n">
        <v>6171.5</v>
      </c>
      <c r="L676" s="18" t="inlineStr">
        <is>
          <t>9</t>
        </is>
      </c>
      <c r="M676" s="18" t="inlineStr"/>
      <c r="N676" s="18" t="inlineStr">
        <is>
          <t>DAD7B0</t>
        </is>
      </c>
    </row>
    <row r="677">
      <c r="A677" s="18" t="inlineStr">
        <is>
          <t>DWG0670</t>
        </is>
      </c>
      <c r="B677" s="18" t="inlineStr">
        <is>
          <t>D34</t>
        </is>
      </c>
      <c r="C677" s="18" t="inlineStr">
        <is>
          <t>34</t>
        </is>
      </c>
      <c r="D677" s="18" t="inlineStr">
        <is>
          <t>vertical</t>
        </is>
      </c>
      <c r="E677" s="38" t="n">
        <v>2110</v>
      </c>
      <c r="F677" s="38" t="n">
        <v>2110</v>
      </c>
      <c r="G677" s="18" t="inlineStr">
        <is>
          <t>u/v</t>
        </is>
      </c>
      <c r="H677" s="44" t="n">
        <v>6550.9</v>
      </c>
      <c r="I677" s="44" t="n">
        <v>1971.5</v>
      </c>
      <c r="J677" s="44" t="n">
        <v>6564.7</v>
      </c>
      <c r="K677" s="44" t="n">
        <v>4081.5</v>
      </c>
      <c r="L677" s="18" t="inlineStr">
        <is>
          <t>9</t>
        </is>
      </c>
      <c r="M677" s="18" t="inlineStr"/>
      <c r="N677" s="18" t="inlineStr">
        <is>
          <t>DAD795</t>
        </is>
      </c>
    </row>
    <row r="678">
      <c r="A678" s="18" t="inlineStr">
        <is>
          <t>DWG0671</t>
        </is>
      </c>
      <c r="B678" s="18" t="inlineStr">
        <is>
          <t>D34</t>
        </is>
      </c>
      <c r="C678" s="18" t="inlineStr">
        <is>
          <t>34</t>
        </is>
      </c>
      <c r="D678" s="18" t="inlineStr">
        <is>
          <t>vertical</t>
        </is>
      </c>
      <c r="E678" s="38" t="n">
        <v>75</v>
      </c>
      <c r="F678" s="38" t="n">
        <v>75</v>
      </c>
      <c r="G678" s="18" t="inlineStr">
        <is>
          <t>u/v</t>
        </is>
      </c>
      <c r="H678" s="44" t="n">
        <v>6556.1</v>
      </c>
      <c r="I678" s="44" t="n">
        <v>1851.5</v>
      </c>
      <c r="J678" s="44" t="n">
        <v>6557.4</v>
      </c>
      <c r="K678" s="44" t="n">
        <v>1926.5</v>
      </c>
      <c r="L678" s="18" t="inlineStr">
        <is>
          <t>9</t>
        </is>
      </c>
      <c r="M678" s="18" t="inlineStr"/>
      <c r="N678" s="18" t="inlineStr">
        <is>
          <t>DAD78F</t>
        </is>
      </c>
    </row>
    <row r="679">
      <c r="A679" s="18" t="inlineStr">
        <is>
          <t>DWG0672</t>
        </is>
      </c>
      <c r="B679" s="18" t="inlineStr">
        <is>
          <t>D34</t>
        </is>
      </c>
      <c r="C679" s="18" t="inlineStr">
        <is>
          <t>34</t>
        </is>
      </c>
      <c r="D679" s="18" t="inlineStr">
        <is>
          <t>vertical</t>
        </is>
      </c>
      <c r="E679" s="38" t="n">
        <v>45</v>
      </c>
      <c r="F679" s="38" t="n">
        <v>45</v>
      </c>
      <c r="G679" s="18" t="inlineStr">
        <is>
          <t>u/v</t>
        </is>
      </c>
      <c r="H679" s="44" t="n">
        <v>6557.4</v>
      </c>
      <c r="I679" s="44" t="n">
        <v>1926.5</v>
      </c>
      <c r="J679" s="44" t="n">
        <v>6550.9</v>
      </c>
      <c r="K679" s="44" t="n">
        <v>1971.5</v>
      </c>
      <c r="L679" s="18" t="inlineStr">
        <is>
          <t>9</t>
        </is>
      </c>
      <c r="M679" s="18" t="inlineStr"/>
      <c r="N679" s="18" t="inlineStr">
        <is>
          <t>DAD792</t>
        </is>
      </c>
    </row>
    <row r="680">
      <c r="A680" s="18" t="inlineStr">
        <is>
          <t>DWG0673</t>
        </is>
      </c>
      <c r="B680" s="18" t="inlineStr">
        <is>
          <t>D34</t>
        </is>
      </c>
      <c r="C680" s="18" t="inlineStr">
        <is>
          <t>34</t>
        </is>
      </c>
      <c r="D680" s="18" t="inlineStr">
        <is>
          <t>vertical</t>
        </is>
      </c>
      <c r="E680" s="44" t="n">
        <v>75.5</v>
      </c>
      <c r="F680" s="38">
        <v>76</v>
      </c>
      <c r="G680" s="18" t="inlineStr">
        <is>
          <t>u/v</t>
        </is>
      </c>
      <c r="H680" s="44" t="n">
        <v>6564.7</v>
      </c>
      <c r="I680" s="44" t="n">
        <v>4081.5</v>
      </c>
      <c r="J680" s="44" t="n">
        <v>6571.2</v>
      </c>
      <c r="K680" s="38" t="n">
        <v>4157</v>
      </c>
      <c r="L680" s="18" t="inlineStr">
        <is>
          <t>9</t>
        </is>
      </c>
      <c r="M680" s="18" t="inlineStr"/>
      <c r="N680" s="18" t="inlineStr">
        <is>
          <t>DAD798</t>
        </is>
      </c>
    </row>
    <row r="681">
      <c r="A681" s="18" t="inlineStr">
        <is>
          <t>DWG0674</t>
        </is>
      </c>
      <c r="B681" s="18" t="inlineStr">
        <is>
          <t>D34</t>
        </is>
      </c>
      <c r="C681" s="18" t="inlineStr">
        <is>
          <t>34</t>
        </is>
      </c>
      <c r="D681" s="18" t="inlineStr">
        <is>
          <t>vertical</t>
        </is>
      </c>
      <c r="E681" s="44" t="n">
        <v>22.5</v>
      </c>
      <c r="F681" s="38" t="n">
        <v>22</v>
      </c>
      <c r="G681" s="18" t="inlineStr">
        <is>
          <t>u/v</t>
        </is>
      </c>
      <c r="H681" s="44" t="n">
        <v>6566.1</v>
      </c>
      <c r="I681" s="44" t="n">
        <v>6171.5</v>
      </c>
      <c r="J681" s="44" t="n">
        <v>6596.1</v>
      </c>
      <c r="K681" s="38" t="n">
        <v>6194</v>
      </c>
      <c r="L681" s="18" t="inlineStr">
        <is>
          <t>9</t>
        </is>
      </c>
      <c r="M681" s="18" t="inlineStr"/>
      <c r="N681" s="18" t="inlineStr">
        <is>
          <t>DAD7B3</t>
        </is>
      </c>
    </row>
    <row r="682">
      <c r="A682" s="18" t="inlineStr">
        <is>
          <t>DWG0675</t>
        </is>
      </c>
      <c r="B682" s="18" t="inlineStr">
        <is>
          <t>D34</t>
        </is>
      </c>
      <c r="C682" s="18" t="inlineStr">
        <is>
          <t>34</t>
        </is>
      </c>
      <c r="D682" s="18" t="inlineStr">
        <is>
          <t>vertical</t>
        </is>
      </c>
      <c r="E682" s="38" t="n">
        <v>330</v>
      </c>
      <c r="F682" s="38" t="n">
        <v>330</v>
      </c>
      <c r="G682" s="18" t="inlineStr">
        <is>
          <t>u/v</t>
        </is>
      </c>
      <c r="H682" s="44" t="n">
        <v>6571.2</v>
      </c>
      <c r="I682" s="38" t="n">
        <v>4157</v>
      </c>
      <c r="J682" s="44" t="n">
        <v>6592.7</v>
      </c>
      <c r="K682" s="38" t="n">
        <v>4487</v>
      </c>
      <c r="L682" s="18" t="inlineStr">
        <is>
          <t>9</t>
        </is>
      </c>
      <c r="M682" s="18" t="inlineStr"/>
      <c r="N682" s="18" t="inlineStr">
        <is>
          <t>DAD79B</t>
        </is>
      </c>
    </row>
    <row r="683">
      <c r="A683" s="18" t="inlineStr">
        <is>
          <t>DWG0676</t>
        </is>
      </c>
      <c r="B683" s="18" t="inlineStr">
        <is>
          <t>D34</t>
        </is>
      </c>
      <c r="C683" s="18" t="inlineStr">
        <is>
          <t>34</t>
        </is>
      </c>
      <c r="D683" s="18" t="inlineStr">
        <is>
          <t>vertical</t>
        </is>
      </c>
      <c r="E683" s="38" t="n">
        <v>45</v>
      </c>
      <c r="F683" s="38" t="n">
        <v>45</v>
      </c>
      <c r="G683" s="18" t="inlineStr">
        <is>
          <t>u/v</t>
        </is>
      </c>
      <c r="H683" s="44" t="n">
        <v>6592.7</v>
      </c>
      <c r="I683" s="38" t="n">
        <v>4487</v>
      </c>
      <c r="J683" s="44" t="n">
        <v>6624.1</v>
      </c>
      <c r="K683" s="38" t="n">
        <v>4532</v>
      </c>
      <c r="L683" s="18" t="inlineStr">
        <is>
          <t>9</t>
        </is>
      </c>
      <c r="M683" s="18" t="inlineStr"/>
      <c r="N683" s="18" t="inlineStr">
        <is>
          <t>DAD79E</t>
        </is>
      </c>
    </row>
    <row r="684">
      <c r="A684" s="18" t="inlineStr">
        <is>
          <t>DWG0677</t>
        </is>
      </c>
      <c r="B684" s="18" t="inlineStr">
        <is>
          <t>D34</t>
        </is>
      </c>
      <c r="C684" s="18" t="inlineStr">
        <is>
          <t>34</t>
        </is>
      </c>
      <c r="D684" s="18" t="inlineStr">
        <is>
          <t>vertical</t>
        </is>
      </c>
      <c r="E684" s="44" t="n">
        <v>52.5</v>
      </c>
      <c r="F684" s="38" t="n">
        <v>52</v>
      </c>
      <c r="G684" s="18" t="inlineStr">
        <is>
          <t>u/v</t>
        </is>
      </c>
      <c r="H684" s="44" t="n">
        <v>6596.1</v>
      </c>
      <c r="I684" s="38" t="n">
        <v>6194</v>
      </c>
      <c r="J684" s="44" t="n">
        <v>6596.1</v>
      </c>
      <c r="K684" s="44" t="n">
        <v>6246.5</v>
      </c>
      <c r="L684" s="18" t="inlineStr">
        <is>
          <t>9</t>
        </is>
      </c>
      <c r="M684" s="18" t="inlineStr"/>
      <c r="N684" s="18" t="inlineStr">
        <is>
          <t>DAD7B6</t>
        </is>
      </c>
    </row>
    <row r="685">
      <c r="A685" s="18" t="inlineStr">
        <is>
          <t>DWG0678</t>
        </is>
      </c>
      <c r="B685" s="18" t="inlineStr">
        <is>
          <t>D34</t>
        </is>
      </c>
      <c r="C685" s="18" t="inlineStr">
        <is>
          <t>34</t>
        </is>
      </c>
      <c r="D685" s="18" t="inlineStr">
        <is>
          <t>vertical</t>
        </is>
      </c>
      <c r="E685" s="38" t="n">
        <v>75</v>
      </c>
      <c r="F685" s="38" t="n">
        <v>75</v>
      </c>
      <c r="G685" s="18" t="inlineStr">
        <is>
          <t>u/v</t>
        </is>
      </c>
      <c r="H685" s="44" t="n">
        <v>6624.1</v>
      </c>
      <c r="I685" s="38" t="n">
        <v>4532</v>
      </c>
      <c r="J685" s="44" t="n">
        <v>6637.1</v>
      </c>
      <c r="K685" s="38" t="n">
        <v>4607</v>
      </c>
      <c r="L685" s="18" t="inlineStr">
        <is>
          <t>9</t>
        </is>
      </c>
      <c r="M685" s="18" t="inlineStr"/>
      <c r="N685" s="18" t="inlineStr">
        <is>
          <t>DAD7A1</t>
        </is>
      </c>
    </row>
    <row r="686">
      <c r="A686" s="18" t="inlineStr">
        <is>
          <t>DWG0679</t>
        </is>
      </c>
      <c r="B686" s="18" t="inlineStr">
        <is>
          <t>D34</t>
        </is>
      </c>
      <c r="C686" s="18" t="inlineStr">
        <is>
          <t>34</t>
        </is>
      </c>
      <c r="D686" s="18" t="inlineStr">
        <is>
          <t>vertical</t>
        </is>
      </c>
      <c r="E686" s="44" t="n">
        <v>1140.2</v>
      </c>
      <c r="F686" s="38" t="n">
        <v>1140</v>
      </c>
      <c r="G686" s="18" t="inlineStr">
        <is>
          <t>u/v</t>
        </is>
      </c>
      <c r="H686" s="44" t="n">
        <v>6637.1</v>
      </c>
      <c r="I686" s="38" t="n">
        <v>4607</v>
      </c>
      <c r="J686" s="44" t="n">
        <v>6341.1</v>
      </c>
      <c r="K686" s="44" t="n">
        <v>5747.2</v>
      </c>
      <c r="L686" s="18" t="inlineStr">
        <is>
          <t>9</t>
        </is>
      </c>
      <c r="M686" s="18" t="inlineStr">
        <is>
          <t>S125 S132</t>
        </is>
      </c>
      <c r="N686" s="18" t="inlineStr">
        <is>
          <t>DAD7A4</t>
        </is>
      </c>
    </row>
    <row r="687">
      <c r="A687" s="18" t="inlineStr">
        <is>
          <t>DWG0680</t>
        </is>
      </c>
      <c r="B687" s="18" t="inlineStr">
        <is>
          <t>D34</t>
        </is>
      </c>
      <c r="C687" s="18" t="inlineStr">
        <is>
          <t>34</t>
        </is>
      </c>
      <c r="D687" s="18" t="inlineStr">
        <is>
          <t>vertical</t>
        </is>
      </c>
      <c r="E687" s="38" t="n">
        <v>195</v>
      </c>
      <c r="F687" s="38" t="n">
        <v>195</v>
      </c>
      <c r="G687" s="18" t="inlineStr">
        <is>
          <t>u/v</t>
        </is>
      </c>
      <c r="H687" s="44" t="n">
        <v>6669.5</v>
      </c>
      <c r="I687" s="44" t="n">
        <v>1656.5</v>
      </c>
      <c r="J687" s="44" t="n">
        <v>6556.1</v>
      </c>
      <c r="K687" s="44" t="n">
        <v>1851.5</v>
      </c>
      <c r="L687" s="18" t="inlineStr">
        <is>
          <t>9</t>
        </is>
      </c>
      <c r="M687" s="18" t="inlineStr"/>
      <c r="N687" s="18" t="inlineStr">
        <is>
          <t>DAD78C</t>
        </is>
      </c>
    </row>
    <row r="688">
      <c r="A688" s="18" t="inlineStr">
        <is>
          <t>DWG0681</t>
        </is>
      </c>
      <c r="B688" s="18" t="inlineStr">
        <is>
          <t>D34</t>
        </is>
      </c>
      <c r="C688" s="18" t="inlineStr">
        <is>
          <t>34</t>
        </is>
      </c>
      <c r="D688" s="18" t="inlineStr">
        <is>
          <t>vertical</t>
        </is>
      </c>
      <c r="E688" s="38" t="n">
        <v>150</v>
      </c>
      <c r="F688" s="38" t="n">
        <v>150</v>
      </c>
      <c r="G688" s="18" t="inlineStr">
        <is>
          <t>u/v</t>
        </is>
      </c>
      <c r="H688" s="44" t="n">
        <v>6729.5</v>
      </c>
      <c r="I688" s="44" t="n">
        <v>1506.5</v>
      </c>
      <c r="J688" s="44" t="n">
        <v>6669.5</v>
      </c>
      <c r="K688" s="44" t="n">
        <v>1656.5</v>
      </c>
      <c r="L688" s="18" t="inlineStr">
        <is>
          <t>9</t>
        </is>
      </c>
      <c r="M688" s="18" t="inlineStr"/>
      <c r="N688" s="18" t="inlineStr">
        <is>
          <t>DAD789</t>
        </is>
      </c>
    </row>
    <row r="689">
      <c r="A689" s="18" t="inlineStr">
        <is>
          <t>DWG0682</t>
        </is>
      </c>
      <c r="B689" s="18" t="inlineStr">
        <is>
          <t>D46</t>
        </is>
      </c>
      <c r="C689" s="18" t="inlineStr">
        <is>
          <t>46</t>
        </is>
      </c>
      <c r="D689" s="18" t="inlineStr">
        <is>
          <t>aligned</t>
        </is>
      </c>
      <c r="E689" s="44" t="n">
        <v>4278.2</v>
      </c>
      <c r="F689" s="38" t="n">
        <v>4278</v>
      </c>
      <c r="G689" s="18" t="inlineStr">
        <is>
          <t>u/v</t>
        </is>
      </c>
      <c r="H689" s="44" t="n">
        <v>3254.6</v>
      </c>
      <c r="I689" s="44" t="n">
        <v>8729.6</v>
      </c>
      <c r="J689" s="44" t="n">
        <v>6794.6</v>
      </c>
      <c r="K689" s="44" t="n">
        <v>11131.9</v>
      </c>
      <c r="L689" s="18" t="inlineStr">
        <is>
          <t>—</t>
        </is>
      </c>
      <c r="M689" s="18" t="inlineStr"/>
      <c r="N689" s="18" t="inlineStr">
        <is>
          <t>DA5C91</t>
        </is>
      </c>
    </row>
    <row r="690">
      <c r="A690" s="18" t="inlineStr">
        <is>
          <t>DWG0683</t>
        </is>
      </c>
      <c r="B690" s="18" t="inlineStr">
        <is>
          <t>D46</t>
        </is>
      </c>
      <c r="C690" s="18" t="inlineStr">
        <is>
          <t>46</t>
        </is>
      </c>
      <c r="D690" s="18" t="inlineStr">
        <is>
          <t>aligned</t>
        </is>
      </c>
      <c r="E690" s="44" t="n">
        <v>4145.2</v>
      </c>
      <c r="F690" s="38" t="n">
        <v>4145</v>
      </c>
      <c r="G690" s="18" t="inlineStr">
        <is>
          <t>u/v</t>
        </is>
      </c>
      <c r="H690" s="44" t="n">
        <v>3364.6</v>
      </c>
      <c r="I690" s="44" t="n">
        <v>8453.799999999999</v>
      </c>
      <c r="J690" s="44" t="n">
        <v>6794.6</v>
      </c>
      <c r="K690" s="44" t="n">
        <v>10781.5</v>
      </c>
      <c r="L690" s="18" t="inlineStr">
        <is>
          <t>—</t>
        </is>
      </c>
      <c r="M690" s="18" t="inlineStr"/>
      <c r="N690" s="18" t="inlineStr">
        <is>
          <t>DA5C94</t>
        </is>
      </c>
    </row>
    <row r="691">
      <c r="A691" s="18" t="inlineStr">
        <is>
          <t>DWG0684</t>
        </is>
      </c>
      <c r="B691" s="18" t="inlineStr">
        <is>
          <t>D46</t>
        </is>
      </c>
      <c r="C691" s="18" t="inlineStr">
        <is>
          <t>46</t>
        </is>
      </c>
      <c r="D691" s="18" t="inlineStr">
        <is>
          <t>aligned</t>
        </is>
      </c>
      <c r="E691" s="44" t="n">
        <v>2546.2</v>
      </c>
      <c r="F691" s="38" t="n">
        <v>2546</v>
      </c>
      <c r="G691" s="18" t="inlineStr">
        <is>
          <t>u/v</t>
        </is>
      </c>
      <c r="H691" s="44" t="n">
        <v>3382.8</v>
      </c>
      <c r="I691" s="44" t="n">
        <v>7799.4</v>
      </c>
      <c r="J691" s="44" t="n">
        <v>5078.5</v>
      </c>
      <c r="K691" s="44" t="n">
        <v>9698.799999999999</v>
      </c>
      <c r="L691" s="18" t="inlineStr">
        <is>
          <t>—</t>
        </is>
      </c>
      <c r="M691" s="18" t="inlineStr"/>
      <c r="N691" s="18" t="inlineStr">
        <is>
          <t>DA5C97</t>
        </is>
      </c>
    </row>
    <row r="692">
      <c r="A692" s="18" t="inlineStr">
        <is>
          <t>DWG0685</t>
        </is>
      </c>
      <c r="B692" s="18" t="inlineStr">
        <is>
          <t>D46</t>
        </is>
      </c>
      <c r="C692" s="18" t="inlineStr">
        <is>
          <t>46</t>
        </is>
      </c>
      <c r="D692" s="18" t="inlineStr">
        <is>
          <t>aligned</t>
        </is>
      </c>
      <c r="E692" s="44" t="n">
        <v>1957.5</v>
      </c>
      <c r="F692" s="38" t="n">
        <v>1957</v>
      </c>
      <c r="G692" s="18" t="inlineStr">
        <is>
          <t>u/v</t>
        </is>
      </c>
      <c r="H692" s="44" t="n">
        <v>5815.8</v>
      </c>
      <c r="I692" s="44" t="n">
        <v>10368.1</v>
      </c>
      <c r="J692" s="44" t="n">
        <v>7773.3</v>
      </c>
      <c r="K692" s="44" t="n">
        <v>10368.1</v>
      </c>
      <c r="L692" s="18" t="inlineStr">
        <is>
          <t>—</t>
        </is>
      </c>
      <c r="M692" s="18" t="inlineStr"/>
      <c r="N692" s="18" t="inlineStr">
        <is>
          <t>DA5C9A</t>
        </is>
      </c>
    </row>
    <row r="693">
      <c r="A693" s="18" t="inlineStr">
        <is>
          <t>DWG0686</t>
        </is>
      </c>
      <c r="B693" s="18" t="inlineStr">
        <is>
          <t>D46</t>
        </is>
      </c>
      <c r="C693" s="18" t="inlineStr">
        <is>
          <t>46</t>
        </is>
      </c>
      <c r="D693" s="18" t="inlineStr">
        <is>
          <t>horizontal</t>
        </is>
      </c>
      <c r="E693" s="38" t="n">
        <v>7200</v>
      </c>
      <c r="F693" s="38" t="n">
        <v>7200</v>
      </c>
      <c r="G693" s="18" t="inlineStr">
        <is>
          <t>u/v</t>
        </is>
      </c>
      <c r="H693" s="44" t="n">
        <v>3194.6</v>
      </c>
      <c r="I693" s="44" t="n">
        <v>1034.3</v>
      </c>
      <c r="J693" s="44" t="n">
        <v>10394.6</v>
      </c>
      <c r="K693" s="44" t="n">
        <v>1034.3</v>
      </c>
      <c r="L693" s="18" t="inlineStr">
        <is>
          <t>—</t>
        </is>
      </c>
      <c r="M693" s="18" t="inlineStr"/>
      <c r="N693" s="18" t="inlineStr">
        <is>
          <t>DA5CD6</t>
        </is>
      </c>
    </row>
    <row r="694">
      <c r="A694" s="18" t="inlineStr">
        <is>
          <t>DWG0687</t>
        </is>
      </c>
      <c r="B694" s="18" t="inlineStr">
        <is>
          <t>D46</t>
        </is>
      </c>
      <c r="C694" s="18" t="inlineStr">
        <is>
          <t>46</t>
        </is>
      </c>
      <c r="D694" s="18" t="inlineStr">
        <is>
          <t>horizontal</t>
        </is>
      </c>
      <c r="E694" s="38" t="n">
        <v>140</v>
      </c>
      <c r="F694" s="38" t="n">
        <v>140</v>
      </c>
      <c r="G694" s="18" t="inlineStr">
        <is>
          <t>u/v</t>
        </is>
      </c>
      <c r="H694" s="44" t="n">
        <v>3194.6</v>
      </c>
      <c r="I694" s="38" t="n">
        <v>1746</v>
      </c>
      <c r="J694" s="44" t="n">
        <v>3334.6</v>
      </c>
      <c r="K694" s="44" t="n">
        <v>1800.6</v>
      </c>
      <c r="L694" s="18" t="inlineStr">
        <is>
          <t>—</t>
        </is>
      </c>
      <c r="M694" s="18" t="inlineStr"/>
      <c r="N694" s="18" t="inlineStr">
        <is>
          <t>DA5CC7</t>
        </is>
      </c>
    </row>
    <row r="695">
      <c r="A695" s="18" t="inlineStr">
        <is>
          <t>DWG0688</t>
        </is>
      </c>
      <c r="B695" s="18" t="inlineStr">
        <is>
          <t>D46</t>
        </is>
      </c>
      <c r="C695" s="18" t="inlineStr">
        <is>
          <t>46</t>
        </is>
      </c>
      <c r="D695" s="18" t="inlineStr">
        <is>
          <t>horizontal</t>
        </is>
      </c>
      <c r="E695" s="38" t="n">
        <v>157</v>
      </c>
      <c r="F695" s="38" t="n">
        <v>157</v>
      </c>
      <c r="G695" s="18" t="inlineStr">
        <is>
          <t>u/v</t>
        </is>
      </c>
      <c r="H695" s="44" t="n">
        <v>3334.6</v>
      </c>
      <c r="I695" s="44" t="n">
        <v>1800.6</v>
      </c>
      <c r="J695" s="44" t="n">
        <v>3491.6</v>
      </c>
      <c r="K695" s="38" t="n">
        <v>2527</v>
      </c>
      <c r="L695" s="18" t="inlineStr">
        <is>
          <t>—</t>
        </is>
      </c>
      <c r="M695" s="18" t="inlineStr"/>
      <c r="N695" s="18" t="inlineStr">
        <is>
          <t>DA5CCA</t>
        </is>
      </c>
    </row>
    <row r="696">
      <c r="A696" s="18" t="inlineStr">
        <is>
          <t>DWG0689</t>
        </is>
      </c>
      <c r="B696" s="18" t="inlineStr">
        <is>
          <t>D46</t>
        </is>
      </c>
      <c r="C696" s="18" t="inlineStr">
        <is>
          <t>46</t>
        </is>
      </c>
      <c r="D696" s="18" t="inlineStr">
        <is>
          <t>horizontal</t>
        </is>
      </c>
      <c r="E696" s="38" t="n">
        <v>110</v>
      </c>
      <c r="F696" s="38" t="n">
        <v>110</v>
      </c>
      <c r="G696" s="18" t="inlineStr">
        <is>
          <t>u/v</t>
        </is>
      </c>
      <c r="H696" s="44" t="n">
        <v>10254.6</v>
      </c>
      <c r="I696" s="44" t="n">
        <v>1954.7</v>
      </c>
      <c r="J696" s="44" t="n">
        <v>10364.6</v>
      </c>
      <c r="K696" s="44" t="n">
        <v>1860.6</v>
      </c>
      <c r="L696" s="18" t="inlineStr">
        <is>
          <t>—</t>
        </is>
      </c>
      <c r="M696" s="18" t="inlineStr"/>
      <c r="N696" s="18" t="inlineStr">
        <is>
          <t>DA5CD3</t>
        </is>
      </c>
    </row>
    <row r="697">
      <c r="A697" s="18" t="inlineStr">
        <is>
          <t>DWG0690</t>
        </is>
      </c>
      <c r="B697" s="18" t="inlineStr">
        <is>
          <t>D46</t>
        </is>
      </c>
      <c r="C697" s="18" t="inlineStr">
        <is>
          <t>46</t>
        </is>
      </c>
      <c r="D697" s="18" t="inlineStr">
        <is>
          <t>horizontal</t>
        </is>
      </c>
      <c r="E697" s="38" t="n">
        <v>157</v>
      </c>
      <c r="F697" s="38" t="n">
        <v>157</v>
      </c>
      <c r="G697" s="18" t="inlineStr">
        <is>
          <t>u/v</t>
        </is>
      </c>
      <c r="H697" s="44" t="n">
        <v>10097.6</v>
      </c>
      <c r="I697" s="38" t="n">
        <v>2519</v>
      </c>
      <c r="J697" s="44" t="n">
        <v>10254.6</v>
      </c>
      <c r="K697" s="44" t="n">
        <v>1954.7</v>
      </c>
      <c r="L697" s="18" t="inlineStr">
        <is>
          <t>—</t>
        </is>
      </c>
      <c r="M697" s="18" t="inlineStr"/>
      <c r="N697" s="18" t="inlineStr">
        <is>
          <t>DA5CD0</t>
        </is>
      </c>
    </row>
    <row r="698">
      <c r="A698" s="18" t="inlineStr">
        <is>
          <t>DWG0691</t>
        </is>
      </c>
      <c r="B698" s="18" t="inlineStr">
        <is>
          <t>D46</t>
        </is>
      </c>
      <c r="C698" s="18" t="inlineStr">
        <is>
          <t>46</t>
        </is>
      </c>
      <c r="D698" s="18" t="inlineStr">
        <is>
          <t>horizontal</t>
        </is>
      </c>
      <c r="E698" s="38" t="n">
        <v>6606</v>
      </c>
      <c r="F698" s="38" t="n">
        <v>6606</v>
      </c>
      <c r="G698" s="18" t="inlineStr">
        <is>
          <t>u/v</t>
        </is>
      </c>
      <c r="H698" s="44" t="n">
        <v>3491.6</v>
      </c>
      <c r="I698" s="38" t="n">
        <v>2527</v>
      </c>
      <c r="J698" s="44" t="n">
        <v>10097.6</v>
      </c>
      <c r="K698" s="38" t="n">
        <v>2519</v>
      </c>
      <c r="L698" s="18" t="inlineStr">
        <is>
          <t>—</t>
        </is>
      </c>
      <c r="M698" s="18" t="inlineStr"/>
      <c r="N698" s="18" t="inlineStr">
        <is>
          <t>DA5CCD</t>
        </is>
      </c>
    </row>
    <row r="699">
      <c r="A699" s="18" t="inlineStr">
        <is>
          <t>DWG0692</t>
        </is>
      </c>
      <c r="B699" s="18" t="inlineStr">
        <is>
          <t>D46</t>
        </is>
      </c>
      <c r="C699" s="18" t="inlineStr">
        <is>
          <t>46</t>
        </is>
      </c>
      <c r="D699" s="18" t="inlineStr">
        <is>
          <t>horizontal</t>
        </is>
      </c>
      <c r="E699" s="44" t="n">
        <v>1724.3</v>
      </c>
      <c r="F699" s="38" t="n">
        <v>1724</v>
      </c>
      <c r="G699" s="18" t="inlineStr">
        <is>
          <t>u/v</t>
        </is>
      </c>
      <c r="H699" s="44" t="n">
        <v>3593.6</v>
      </c>
      <c r="I699" s="44" t="n">
        <v>7274.7</v>
      </c>
      <c r="J699" s="44" t="n">
        <v>5317.9</v>
      </c>
      <c r="K699" s="44" t="n">
        <v>7289.4</v>
      </c>
      <c r="L699" s="18" t="inlineStr">
        <is>
          <t>—</t>
        </is>
      </c>
      <c r="M699" s="18" t="inlineStr"/>
      <c r="N699" s="18" t="inlineStr">
        <is>
          <t>DA5C9E</t>
        </is>
      </c>
    </row>
    <row r="700">
      <c r="A700" s="18" t="inlineStr">
        <is>
          <t>DWG0693</t>
        </is>
      </c>
      <c r="B700" s="18" t="inlineStr">
        <is>
          <t>D46</t>
        </is>
      </c>
      <c r="C700" s="18" t="inlineStr">
        <is>
          <t>46</t>
        </is>
      </c>
      <c r="D700" s="18" t="inlineStr">
        <is>
          <t>horizontal</t>
        </is>
      </c>
      <c r="E700" s="44" t="n">
        <v>1476.6</v>
      </c>
      <c r="F700" s="38" t="n">
        <v>1477</v>
      </c>
      <c r="G700" s="18" t="inlineStr">
        <is>
          <t>u/v</t>
        </is>
      </c>
      <c r="H700" s="44" t="n">
        <v>6794.6</v>
      </c>
      <c r="I700" s="44" t="n">
        <v>7274.7</v>
      </c>
      <c r="J700" s="44" t="n">
        <v>8271.200000000001</v>
      </c>
      <c r="K700" s="44" t="n">
        <v>7289.4</v>
      </c>
      <c r="L700" s="18" t="inlineStr">
        <is>
          <t>—</t>
        </is>
      </c>
      <c r="M700" s="18" t="inlineStr"/>
      <c r="N700" s="18" t="inlineStr">
        <is>
          <t>DA5CA4</t>
        </is>
      </c>
    </row>
    <row r="701">
      <c r="A701" s="18" t="inlineStr">
        <is>
          <t>DWG0694</t>
        </is>
      </c>
      <c r="B701" s="18" t="inlineStr">
        <is>
          <t>D46</t>
        </is>
      </c>
      <c r="C701" s="18" t="inlineStr">
        <is>
          <t>46</t>
        </is>
      </c>
      <c r="D701" s="18" t="inlineStr">
        <is>
          <t>horizontal</t>
        </is>
      </c>
      <c r="E701" s="44" t="n">
        <v>1245.1</v>
      </c>
      <c r="F701" s="38" t="n">
        <v>1245</v>
      </c>
      <c r="G701" s="18" t="inlineStr">
        <is>
          <t>u/v</t>
        </is>
      </c>
      <c r="H701" s="44" t="n">
        <v>8750.4</v>
      </c>
      <c r="I701" s="44" t="n">
        <v>7274.7</v>
      </c>
      <c r="J701" s="44" t="n">
        <v>9995.5</v>
      </c>
      <c r="K701" s="44" t="n">
        <v>7274.7</v>
      </c>
      <c r="L701" s="18" t="inlineStr">
        <is>
          <t>—</t>
        </is>
      </c>
      <c r="M701" s="18" t="inlineStr"/>
      <c r="N701" s="18" t="inlineStr">
        <is>
          <t>DA5CAF</t>
        </is>
      </c>
    </row>
    <row r="702">
      <c r="A702" s="18" t="inlineStr">
        <is>
          <t>DWG0695</t>
        </is>
      </c>
      <c r="B702" s="18" t="inlineStr">
        <is>
          <t>D46</t>
        </is>
      </c>
      <c r="C702" s="18" t="inlineStr">
        <is>
          <t>46</t>
        </is>
      </c>
      <c r="D702" s="18" t="inlineStr">
        <is>
          <t>horizontal</t>
        </is>
      </c>
      <c r="E702" s="44" t="n">
        <v>1476.6</v>
      </c>
      <c r="F702" s="38" t="n">
        <v>1477</v>
      </c>
      <c r="G702" s="18" t="inlineStr">
        <is>
          <t>u/v</t>
        </is>
      </c>
      <c r="H702" s="44" t="n">
        <v>5317.9</v>
      </c>
      <c r="I702" s="44" t="n">
        <v>7289.4</v>
      </c>
      <c r="J702" s="44" t="n">
        <v>6794.6</v>
      </c>
      <c r="K702" s="44" t="n">
        <v>7274.7</v>
      </c>
      <c r="L702" s="18" t="inlineStr">
        <is>
          <t>—</t>
        </is>
      </c>
      <c r="M702" s="18" t="inlineStr"/>
      <c r="N702" s="18" t="inlineStr">
        <is>
          <t>DA5CA1</t>
        </is>
      </c>
    </row>
    <row r="703">
      <c r="A703" s="18" t="inlineStr">
        <is>
          <t>DWG0696</t>
        </is>
      </c>
      <c r="B703" s="18" t="inlineStr">
        <is>
          <t>D46</t>
        </is>
      </c>
      <c r="C703" s="18" t="inlineStr">
        <is>
          <t>46</t>
        </is>
      </c>
      <c r="D703" s="18" t="inlineStr">
        <is>
          <t>horizontal</t>
        </is>
      </c>
      <c r="E703" s="44" t="n">
        <v>1726.4</v>
      </c>
      <c r="F703" s="38" t="n">
        <v>1726</v>
      </c>
      <c r="G703" s="18" t="inlineStr">
        <is>
          <t>u/v</t>
        </is>
      </c>
      <c r="H703" s="44" t="n">
        <v>8271.200000000001</v>
      </c>
      <c r="I703" s="44" t="n">
        <v>7289.4</v>
      </c>
      <c r="J703" s="44" t="n">
        <v>9997.6</v>
      </c>
      <c r="K703" s="44" t="n">
        <v>7274.7</v>
      </c>
      <c r="L703" s="18" t="inlineStr">
        <is>
          <t>—</t>
        </is>
      </c>
      <c r="M703" s="18" t="inlineStr"/>
      <c r="N703" s="18" t="inlineStr">
        <is>
          <t>DA5CA7</t>
        </is>
      </c>
    </row>
    <row r="704">
      <c r="A704" s="18" t="inlineStr">
        <is>
          <t>DWG0697</t>
        </is>
      </c>
      <c r="B704" s="18" t="inlineStr">
        <is>
          <t>D46</t>
        </is>
      </c>
      <c r="C704" s="18" t="inlineStr">
        <is>
          <t>46</t>
        </is>
      </c>
      <c r="D704" s="18" t="inlineStr">
        <is>
          <t>horizontal</t>
        </is>
      </c>
      <c r="E704" s="44" t="n">
        <v>1955.8</v>
      </c>
      <c r="F704" s="38" t="n">
        <v>1956</v>
      </c>
      <c r="G704" s="18" t="inlineStr">
        <is>
          <t>u/v</t>
        </is>
      </c>
      <c r="H704" s="44" t="n">
        <v>8750.4</v>
      </c>
      <c r="I704" s="38" t="n">
        <v>8948</v>
      </c>
      <c r="J704" s="44" t="n">
        <v>6794.6</v>
      </c>
      <c r="K704" s="38" t="n">
        <v>8948</v>
      </c>
      <c r="L704" s="18" t="inlineStr">
        <is>
          <t>—</t>
        </is>
      </c>
      <c r="M704" s="18" t="inlineStr"/>
      <c r="N704" s="18" t="inlineStr">
        <is>
          <t>DA5CB2</t>
        </is>
      </c>
    </row>
    <row r="705">
      <c r="A705" s="18" t="inlineStr">
        <is>
          <t>DWG0698</t>
        </is>
      </c>
      <c r="B705" s="18" t="inlineStr">
        <is>
          <t>D46</t>
        </is>
      </c>
      <c r="C705" s="18" t="inlineStr">
        <is>
          <t>46</t>
        </is>
      </c>
      <c r="D705" s="18" t="inlineStr">
        <is>
          <t>vertical</t>
        </is>
      </c>
      <c r="E705" s="44" t="n">
        <v>5998.8</v>
      </c>
      <c r="F705" s="38" t="n">
        <v>5999</v>
      </c>
      <c r="G705" s="18" t="inlineStr">
        <is>
          <t>u/v</t>
        </is>
      </c>
      <c r="H705" s="44" t="n">
        <v>3194.6</v>
      </c>
      <c r="I705" s="44" t="n">
        <v>1800.6</v>
      </c>
      <c r="J705" s="44" t="n">
        <v>3382.8</v>
      </c>
      <c r="K705" s="44" t="n">
        <v>7799.4</v>
      </c>
      <c r="L705" s="18" t="inlineStr">
        <is>
          <t>—</t>
        </is>
      </c>
      <c r="M705" s="18" t="inlineStr"/>
      <c r="N705" s="18" t="inlineStr">
        <is>
          <t>DA5C82</t>
        </is>
      </c>
    </row>
    <row r="706">
      <c r="A706" s="18" t="inlineStr">
        <is>
          <t>DWG0699</t>
        </is>
      </c>
      <c r="B706" s="18" t="inlineStr">
        <is>
          <t>D46</t>
        </is>
      </c>
      <c r="C706" s="18" t="inlineStr">
        <is>
          <t>46</t>
        </is>
      </c>
      <c r="D706" s="18" t="inlineStr">
        <is>
          <t>vertical</t>
        </is>
      </c>
      <c r="E706" s="44" t="n">
        <v>86.2</v>
      </c>
      <c r="F706" s="38" t="n">
        <v>86</v>
      </c>
      <c r="G706" s="18" t="inlineStr">
        <is>
          <t>u/v</t>
        </is>
      </c>
      <c r="H706" s="44" t="n">
        <v>3333.3</v>
      </c>
      <c r="I706" s="44" t="n">
        <v>8453.799999999999</v>
      </c>
      <c r="J706" s="44" t="n">
        <v>3491.6</v>
      </c>
      <c r="K706" s="38" t="n">
        <v>8540</v>
      </c>
      <c r="L706" s="18" t="inlineStr">
        <is>
          <t>—</t>
        </is>
      </c>
      <c r="M706" s="18" t="inlineStr"/>
      <c r="N706" s="18" t="inlineStr">
        <is>
          <t>DA5C8E</t>
        </is>
      </c>
    </row>
    <row r="707">
      <c r="A707" s="18" t="inlineStr">
        <is>
          <t>DWG0700</t>
        </is>
      </c>
      <c r="B707" s="18" t="inlineStr">
        <is>
          <t>D46</t>
        </is>
      </c>
      <c r="C707" s="18" t="inlineStr">
        <is>
          <t>46</t>
        </is>
      </c>
      <c r="D707" s="18" t="inlineStr">
        <is>
          <t>vertical</t>
        </is>
      </c>
      <c r="E707" s="44" t="n">
        <v>121.8</v>
      </c>
      <c r="F707" s="38" t="n">
        <v>122</v>
      </c>
      <c r="G707" s="18" t="inlineStr">
        <is>
          <t>u/v</t>
        </is>
      </c>
      <c r="H707" s="44" t="n">
        <v>3351.6</v>
      </c>
      <c r="I707" s="44" t="n">
        <v>7799.4</v>
      </c>
      <c r="J707" s="44" t="n">
        <v>3491.6</v>
      </c>
      <c r="K707" s="44" t="n">
        <v>7921.2</v>
      </c>
      <c r="L707" s="18" t="inlineStr">
        <is>
          <t>—</t>
        </is>
      </c>
      <c r="M707" s="18" t="inlineStr"/>
      <c r="N707" s="18" t="inlineStr">
        <is>
          <t>DA5C8B</t>
        </is>
      </c>
    </row>
    <row r="708">
      <c r="A708" s="18" t="inlineStr">
        <is>
          <t>DWG0701</t>
        </is>
      </c>
      <c r="B708" s="18" t="inlineStr">
        <is>
          <t>D46</t>
        </is>
      </c>
      <c r="C708" s="18" t="inlineStr">
        <is>
          <t>46</t>
        </is>
      </c>
      <c r="D708" s="18" t="inlineStr">
        <is>
          <t>vertical</t>
        </is>
      </c>
      <c r="E708" s="44" t="n">
        <v>336.9</v>
      </c>
      <c r="F708" s="38" t="n">
        <v>337</v>
      </c>
      <c r="G708" s="18" t="inlineStr">
        <is>
          <t>u/v</t>
        </is>
      </c>
      <c r="H708" s="44" t="n">
        <v>3364.6</v>
      </c>
      <c r="I708" s="44" t="n">
        <v>8453.799999999999</v>
      </c>
      <c r="J708" s="44" t="n">
        <v>3343.1</v>
      </c>
      <c r="K708" s="44" t="n">
        <v>8790.6</v>
      </c>
      <c r="L708" s="18" t="inlineStr">
        <is>
          <t>—</t>
        </is>
      </c>
      <c r="M708" s="18" t="inlineStr"/>
      <c r="N708" s="18" t="inlineStr">
        <is>
          <t>DA5C88</t>
        </is>
      </c>
    </row>
    <row r="709">
      <c r="A709" s="18" t="inlineStr">
        <is>
          <t>DWG0702</t>
        </is>
      </c>
      <c r="B709" s="18" t="inlineStr">
        <is>
          <t>D46</t>
        </is>
      </c>
      <c r="C709" s="18" t="inlineStr">
        <is>
          <t>46</t>
        </is>
      </c>
      <c r="D709" s="18" t="inlineStr">
        <is>
          <t>vertical</t>
        </is>
      </c>
      <c r="E709" s="44" t="n">
        <v>654.4</v>
      </c>
      <c r="F709" s="38" t="n">
        <v>654</v>
      </c>
      <c r="G709" s="18" t="inlineStr">
        <is>
          <t>u/v</t>
        </is>
      </c>
      <c r="H709" s="44" t="n">
        <v>3382.8</v>
      </c>
      <c r="I709" s="44" t="n">
        <v>7799.4</v>
      </c>
      <c r="J709" s="44" t="n">
        <v>3364.6</v>
      </c>
      <c r="K709" s="44" t="n">
        <v>8453.799999999999</v>
      </c>
      <c r="L709" s="18" t="inlineStr">
        <is>
          <t>—</t>
        </is>
      </c>
      <c r="M709" s="18" t="inlineStr"/>
      <c r="N709" s="18" t="inlineStr">
        <is>
          <t>DA5C85</t>
        </is>
      </c>
    </row>
    <row r="710">
      <c r="A710" s="18" t="inlineStr">
        <is>
          <t>DWG0703</t>
        </is>
      </c>
      <c r="B710" s="18" t="inlineStr">
        <is>
          <t>D46</t>
        </is>
      </c>
      <c r="C710" s="18" t="inlineStr">
        <is>
          <t>46</t>
        </is>
      </c>
      <c r="D710" s="18" t="inlineStr">
        <is>
          <t>vertical</t>
        </is>
      </c>
      <c r="E710" s="44" t="n">
        <v>940.4</v>
      </c>
      <c r="F710" s="38" t="n">
        <v>940</v>
      </c>
      <c r="G710" s="18" t="inlineStr">
        <is>
          <t>u/v</t>
        </is>
      </c>
      <c r="H710" s="44" t="n">
        <v>6747.1</v>
      </c>
      <c r="I710" s="44" t="n">
        <v>8215.200000000001</v>
      </c>
      <c r="J710" s="44" t="n">
        <v>6794.6</v>
      </c>
      <c r="K710" s="44" t="n">
        <v>7274.7</v>
      </c>
      <c r="L710" s="18" t="inlineStr">
        <is>
          <t>—</t>
        </is>
      </c>
      <c r="M710" s="18" t="inlineStr"/>
      <c r="N710" s="18" t="inlineStr">
        <is>
          <t>DA5CAB</t>
        </is>
      </c>
    </row>
    <row r="711">
      <c r="A711" s="18" t="inlineStr">
        <is>
          <t>DWG0704</t>
        </is>
      </c>
      <c r="B711" s="18" t="inlineStr">
        <is>
          <t>D46</t>
        </is>
      </c>
      <c r="C711" s="18" t="inlineStr">
        <is>
          <t>46</t>
        </is>
      </c>
      <c r="D711" s="18" t="inlineStr">
        <is>
          <t>vertical</t>
        </is>
      </c>
      <c r="E711" s="44" t="n">
        <v>2088.6</v>
      </c>
      <c r="F711" s="38" t="n">
        <v>2089</v>
      </c>
      <c r="G711" s="18" t="inlineStr">
        <is>
          <t>u/v</t>
        </is>
      </c>
      <c r="H711" s="44" t="n">
        <v>6747.1</v>
      </c>
      <c r="I711" s="44" t="n">
        <v>10303.8</v>
      </c>
      <c r="J711" s="44" t="n">
        <v>6747.1</v>
      </c>
      <c r="K711" s="44" t="n">
        <v>8215.200000000001</v>
      </c>
      <c r="L711" s="18" t="inlineStr">
        <is>
          <t>—</t>
        </is>
      </c>
      <c r="M711" s="18" t="inlineStr"/>
      <c r="N711" s="18" t="inlineStr">
        <is>
          <t>DA5CAA</t>
        </is>
      </c>
    </row>
    <row r="712">
      <c r="A712" s="18" t="inlineStr">
        <is>
          <t>DWG0705</t>
        </is>
      </c>
      <c r="B712" s="18" t="inlineStr">
        <is>
          <t>D46</t>
        </is>
      </c>
      <c r="C712" s="18" t="inlineStr">
        <is>
          <t>46</t>
        </is>
      </c>
      <c r="D712" s="18" t="inlineStr">
        <is>
          <t>vertical</t>
        </is>
      </c>
      <c r="E712" s="44" t="n">
        <v>64.3</v>
      </c>
      <c r="F712" s="38" t="n">
        <v>64</v>
      </c>
      <c r="G712" s="18" t="inlineStr">
        <is>
          <t>u/v</t>
        </is>
      </c>
      <c r="H712" s="44" t="n">
        <v>6794.6</v>
      </c>
      <c r="I712" s="44" t="n">
        <v>10303.8</v>
      </c>
      <c r="J712" s="44" t="n">
        <v>6794.6</v>
      </c>
      <c r="K712" s="44" t="n">
        <v>10368.1</v>
      </c>
      <c r="L712" s="18" t="inlineStr">
        <is>
          <t>—</t>
        </is>
      </c>
      <c r="M712" s="18" t="inlineStr"/>
      <c r="N712" s="18" t="inlineStr">
        <is>
          <t>DA5CB8</t>
        </is>
      </c>
    </row>
    <row r="713">
      <c r="A713" s="18" t="inlineStr">
        <is>
          <t>DWG0706</t>
        </is>
      </c>
      <c r="B713" s="18" t="inlineStr">
        <is>
          <t>D46</t>
        </is>
      </c>
      <c r="C713" s="18" t="inlineStr">
        <is>
          <t>46</t>
        </is>
      </c>
      <c r="D713" s="18" t="inlineStr">
        <is>
          <t>vertical</t>
        </is>
      </c>
      <c r="E713" s="44" t="n">
        <v>477.7</v>
      </c>
      <c r="F713" s="38" t="n">
        <v>478</v>
      </c>
      <c r="G713" s="18" t="inlineStr">
        <is>
          <t>u/v</t>
        </is>
      </c>
      <c r="H713" s="44" t="n">
        <v>6794.6</v>
      </c>
      <c r="I713" s="44" t="n">
        <v>10303.8</v>
      </c>
      <c r="J713" s="44" t="n">
        <v>6794.6</v>
      </c>
      <c r="K713" s="44" t="n">
        <v>10781.5</v>
      </c>
      <c r="L713" s="18" t="inlineStr">
        <is>
          <t>—</t>
        </is>
      </c>
      <c r="M713" s="18" t="inlineStr"/>
      <c r="N713" s="18" t="inlineStr">
        <is>
          <t>DA5CC1</t>
        </is>
      </c>
    </row>
    <row r="714">
      <c r="A714" s="18" t="inlineStr">
        <is>
          <t>DWG0707</t>
        </is>
      </c>
      <c r="B714" s="18" t="inlineStr">
        <is>
          <t>D46</t>
        </is>
      </c>
      <c r="C714" s="18" t="inlineStr">
        <is>
          <t>46</t>
        </is>
      </c>
      <c r="D714" s="18" t="inlineStr">
        <is>
          <t>vertical</t>
        </is>
      </c>
      <c r="E714" s="44" t="n">
        <v>386.7</v>
      </c>
      <c r="F714" s="38" t="n">
        <v>387</v>
      </c>
      <c r="G714" s="18" t="inlineStr">
        <is>
          <t>u/v</t>
        </is>
      </c>
      <c r="H714" s="44" t="n">
        <v>6794.6</v>
      </c>
      <c r="I714" s="44" t="n">
        <v>10781.5</v>
      </c>
      <c r="J714" s="44" t="n">
        <v>6794.6</v>
      </c>
      <c r="K714" s="44" t="n">
        <v>11168.2</v>
      </c>
      <c r="L714" s="18" t="inlineStr">
        <is>
          <t>—</t>
        </is>
      </c>
      <c r="M714" s="18" t="inlineStr"/>
      <c r="N714" s="18" t="inlineStr">
        <is>
          <t>DA5CC4</t>
        </is>
      </c>
    </row>
    <row r="715">
      <c r="A715" s="18" t="inlineStr">
        <is>
          <t>DWG0708</t>
        </is>
      </c>
      <c r="B715" s="18" t="inlineStr">
        <is>
          <t>D46</t>
        </is>
      </c>
      <c r="C715" s="18" t="inlineStr">
        <is>
          <t>46</t>
        </is>
      </c>
      <c r="D715" s="18" t="inlineStr">
        <is>
          <t>vertical</t>
        </is>
      </c>
      <c r="E715" s="44" t="n">
        <v>1355.8</v>
      </c>
      <c r="F715" s="38" t="n">
        <v>1356</v>
      </c>
      <c r="G715" s="18" t="inlineStr">
        <is>
          <t>u/v</t>
        </is>
      </c>
      <c r="H715" s="44" t="n">
        <v>7028.5</v>
      </c>
      <c r="I715" s="38" t="n">
        <v>8948</v>
      </c>
      <c r="J715" s="44" t="n">
        <v>6794.6</v>
      </c>
      <c r="K715" s="44" t="n">
        <v>10303.8</v>
      </c>
      <c r="L715" s="18" t="inlineStr">
        <is>
          <t>—</t>
        </is>
      </c>
      <c r="M715" s="18" t="inlineStr"/>
      <c r="N715" s="18" t="inlineStr">
        <is>
          <t>DA5CB5</t>
        </is>
      </c>
    </row>
    <row r="716">
      <c r="A716" s="18" t="inlineStr">
        <is>
          <t>DWG0709</t>
        </is>
      </c>
      <c r="B716" s="18" t="inlineStr">
        <is>
          <t>D46</t>
        </is>
      </c>
      <c r="C716" s="18" t="inlineStr">
        <is>
          <t>46</t>
        </is>
      </c>
      <c r="D716" s="18" t="inlineStr">
        <is>
          <t>vertical</t>
        </is>
      </c>
      <c r="E716" s="44" t="n">
        <v>1673.3</v>
      </c>
      <c r="F716" s="38" t="n">
        <v>1673</v>
      </c>
      <c r="G716" s="18" t="inlineStr">
        <is>
          <t>u/v</t>
        </is>
      </c>
      <c r="H716" s="44" t="n">
        <v>8750.4</v>
      </c>
      <c r="I716" s="38" t="n">
        <v>8948</v>
      </c>
      <c r="J716" s="44" t="n">
        <v>8750.4</v>
      </c>
      <c r="K716" s="44" t="n">
        <v>7274.7</v>
      </c>
      <c r="L716" s="18" t="inlineStr">
        <is>
          <t>—</t>
        </is>
      </c>
      <c r="M716" s="18" t="inlineStr"/>
      <c r="N716" s="18" t="inlineStr">
        <is>
          <t>DA5CAC</t>
        </is>
      </c>
    </row>
    <row r="717">
      <c r="A717" s="18" t="inlineStr">
        <is>
          <t>DWG0710</t>
        </is>
      </c>
      <c r="B717" s="18" t="inlineStr">
        <is>
          <t>D46</t>
        </is>
      </c>
      <c r="C717" s="18" t="inlineStr">
        <is>
          <t>46</t>
        </is>
      </c>
      <c r="D717" s="18" t="inlineStr">
        <is>
          <t>vertical</t>
        </is>
      </c>
      <c r="E717" s="38" t="n">
        <v>3029</v>
      </c>
      <c r="F717" s="38" t="n">
        <v>3029</v>
      </c>
      <c r="G717" s="18" t="inlineStr">
        <is>
          <t>u/v</t>
        </is>
      </c>
      <c r="H717" s="44" t="n">
        <v>10097.6</v>
      </c>
      <c r="I717" s="44" t="n">
        <v>7274.7</v>
      </c>
      <c r="J717" s="44" t="n">
        <v>6794.6</v>
      </c>
      <c r="K717" s="44" t="n">
        <v>10303.8</v>
      </c>
      <c r="L717" s="18" t="inlineStr">
        <is>
          <t>—</t>
        </is>
      </c>
      <c r="M717" s="18" t="inlineStr"/>
      <c r="N717" s="18" t="inlineStr">
        <is>
          <t>DA5CBE</t>
        </is>
      </c>
    </row>
    <row r="718">
      <c r="A718" s="18" t="inlineStr">
        <is>
          <t>DWG0711</t>
        </is>
      </c>
      <c r="B718" s="18" t="inlineStr">
        <is>
          <t>D46</t>
        </is>
      </c>
      <c r="C718" s="18" t="inlineStr">
        <is>
          <t>46</t>
        </is>
      </c>
      <c r="D718" s="18" t="inlineStr">
        <is>
          <t>vertical</t>
        </is>
      </c>
      <c r="E718" s="44" t="n">
        <v>5474.2</v>
      </c>
      <c r="F718" s="38" t="n">
        <v>5474</v>
      </c>
      <c r="G718" s="18" t="inlineStr">
        <is>
          <t>u/v</t>
        </is>
      </c>
      <c r="H718" s="44" t="n">
        <v>10160.6</v>
      </c>
      <c r="I718" s="44" t="n">
        <v>1800.6</v>
      </c>
      <c r="J718" s="44" t="n">
        <v>10097.6</v>
      </c>
      <c r="K718" s="44" t="n">
        <v>7274.7</v>
      </c>
      <c r="L718" s="18" t="inlineStr">
        <is>
          <t>—</t>
        </is>
      </c>
      <c r="M718" s="18" t="inlineStr"/>
      <c r="N718" s="18" t="inlineStr">
        <is>
          <t>DA5CBB</t>
        </is>
      </c>
    </row>
    <row r="719">
      <c r="A719" s="18" t="inlineStr">
        <is>
          <t>DWG0712</t>
        </is>
      </c>
      <c r="B719" s="18" t="inlineStr">
        <is>
          <t>D47</t>
        </is>
      </c>
      <c r="C719" s="18" t="inlineStr">
        <is>
          <t>47</t>
        </is>
      </c>
      <c r="D719" s="18" t="inlineStr">
        <is>
          <t>aligned</t>
        </is>
      </c>
      <c r="E719" s="44" t="n">
        <v>4779.5</v>
      </c>
      <c r="F719" s="38" t="n">
        <v>4780</v>
      </c>
      <c r="G719" s="18" t="inlineStr">
        <is>
          <t>u/v</t>
        </is>
      </c>
      <c r="H719" s="44" t="n">
        <v>2839.7</v>
      </c>
      <c r="I719" s="44" t="n">
        <v>8871.1</v>
      </c>
      <c r="J719" s="44" t="n">
        <v>6794.6</v>
      </c>
      <c r="K719" s="44" t="n">
        <v>11554.9</v>
      </c>
      <c r="L719" s="18" t="inlineStr">
        <is>
          <t>—</t>
        </is>
      </c>
      <c r="M719" s="18" t="inlineStr"/>
      <c r="N719" s="18" t="inlineStr">
        <is>
          <t>DA5D00</t>
        </is>
      </c>
    </row>
    <row r="720">
      <c r="A720" s="18" t="inlineStr">
        <is>
          <t>DWG0713</t>
        </is>
      </c>
      <c r="B720" s="18" t="inlineStr">
        <is>
          <t>D47</t>
        </is>
      </c>
      <c r="C720" s="18" t="inlineStr">
        <is>
          <t>47</t>
        </is>
      </c>
      <c r="D720" s="18" t="inlineStr">
        <is>
          <t>aligned</t>
        </is>
      </c>
      <c r="E720" s="38" t="n">
        <v>170</v>
      </c>
      <c r="F720" s="38" t="n">
        <v>170</v>
      </c>
      <c r="G720" s="18" t="inlineStr">
        <is>
          <t>u/v</t>
        </is>
      </c>
      <c r="H720" s="44" t="n">
        <v>4205.8</v>
      </c>
      <c r="I720" s="44" t="n">
        <v>9410.700000000001</v>
      </c>
      <c r="J720" s="44" t="n">
        <v>4345.8</v>
      </c>
      <c r="K720" s="44" t="n">
        <v>9507.1</v>
      </c>
      <c r="L720" s="18" t="inlineStr">
        <is>
          <t>—</t>
        </is>
      </c>
      <c r="M720" s="18" t="inlineStr"/>
      <c r="N720" s="18" t="inlineStr">
        <is>
          <t>DA5D03</t>
        </is>
      </c>
    </row>
    <row r="721">
      <c r="A721" s="18" t="inlineStr">
        <is>
          <t>DWG0714</t>
        </is>
      </c>
      <c r="B721" s="18" t="inlineStr">
        <is>
          <t>D47</t>
        </is>
      </c>
      <c r="C721" s="18" t="inlineStr">
        <is>
          <t>47</t>
        </is>
      </c>
      <c r="D721" s="18" t="inlineStr">
        <is>
          <t>aligned</t>
        </is>
      </c>
      <c r="E721" s="44" t="n">
        <v>169.4</v>
      </c>
      <c r="F721" s="38" t="n">
        <v>169</v>
      </c>
      <c r="G721" s="18" t="inlineStr">
        <is>
          <t>u/v</t>
        </is>
      </c>
      <c r="H721" s="44" t="n">
        <v>4345.8</v>
      </c>
      <c r="I721" s="44" t="n">
        <v>9507.1</v>
      </c>
      <c r="J721" s="44" t="n">
        <v>4250.7</v>
      </c>
      <c r="K721" s="44" t="n">
        <v>9647.299999999999</v>
      </c>
      <c r="L721" s="18" t="inlineStr">
        <is>
          <t>—</t>
        </is>
      </c>
      <c r="M721" s="18" t="inlineStr"/>
      <c r="N721" s="18" t="inlineStr">
        <is>
          <t>DA5D06</t>
        </is>
      </c>
    </row>
    <row r="722">
      <c r="A722" s="18" t="inlineStr">
        <is>
          <t>DWG0715</t>
        </is>
      </c>
      <c r="B722" s="18" t="inlineStr">
        <is>
          <t>D47</t>
        </is>
      </c>
      <c r="C722" s="18" t="inlineStr">
        <is>
          <t>47</t>
        </is>
      </c>
      <c r="D722" s="18" t="inlineStr">
        <is>
          <t>horizontal</t>
        </is>
      </c>
      <c r="E722" s="38" t="n">
        <v>7200</v>
      </c>
      <c r="F722" s="38" t="n">
        <v>7200</v>
      </c>
      <c r="G722" s="18" t="inlineStr">
        <is>
          <t>u/v</t>
        </is>
      </c>
      <c r="H722" s="44" t="n">
        <v>3194.6</v>
      </c>
      <c r="I722" s="44" t="n">
        <v>947.5</v>
      </c>
      <c r="J722" s="44" t="n">
        <v>10394.6</v>
      </c>
      <c r="K722" s="44" t="n">
        <v>947.5</v>
      </c>
      <c r="L722" s="18" t="inlineStr">
        <is>
          <t>—</t>
        </is>
      </c>
      <c r="M722" s="18" t="inlineStr"/>
      <c r="N722" s="18" t="inlineStr">
        <is>
          <t>DA5CE2</t>
        </is>
      </c>
    </row>
    <row r="723">
      <c r="A723" s="18" t="inlineStr">
        <is>
          <t>DWG0716</t>
        </is>
      </c>
      <c r="B723" s="18" t="inlineStr">
        <is>
          <t>D47</t>
        </is>
      </c>
      <c r="C723" s="18" t="inlineStr">
        <is>
          <t>47</t>
        </is>
      </c>
      <c r="D723" s="18" t="inlineStr">
        <is>
          <t>horizontal</t>
        </is>
      </c>
      <c r="E723" s="38" t="n">
        <v>297</v>
      </c>
      <c r="F723" s="38" t="n">
        <v>297</v>
      </c>
      <c r="G723" s="18" t="inlineStr">
        <is>
          <t>u/v</t>
        </is>
      </c>
      <c r="H723" s="44" t="n">
        <v>3194.6</v>
      </c>
      <c r="I723" s="44" t="n">
        <v>1388.6</v>
      </c>
      <c r="J723" s="44" t="n">
        <v>3491.6</v>
      </c>
      <c r="K723" s="38" t="n">
        <v>2580</v>
      </c>
      <c r="L723" s="18" t="inlineStr">
        <is>
          <t>—</t>
        </is>
      </c>
      <c r="M723" s="18" t="inlineStr"/>
      <c r="N723" s="18" t="inlineStr">
        <is>
          <t>DA5CD9</t>
        </is>
      </c>
    </row>
    <row r="724">
      <c r="A724" s="18" t="inlineStr">
        <is>
          <t>DWG0717</t>
        </is>
      </c>
      <c r="B724" s="18" t="inlineStr">
        <is>
          <t>D47</t>
        </is>
      </c>
      <c r="C724" s="18" t="inlineStr">
        <is>
          <t>47</t>
        </is>
      </c>
      <c r="D724" s="18" t="inlineStr">
        <is>
          <t>horizontal</t>
        </is>
      </c>
      <c r="E724" s="38" t="n">
        <v>6606</v>
      </c>
      <c r="F724" s="38" t="n">
        <v>6606</v>
      </c>
      <c r="G724" s="18" t="inlineStr">
        <is>
          <t>u/v</t>
        </is>
      </c>
      <c r="H724" s="44" t="n">
        <v>3491.6</v>
      </c>
      <c r="I724" s="38" t="n">
        <v>2580</v>
      </c>
      <c r="J724" s="44" t="n">
        <v>10097.6</v>
      </c>
      <c r="K724" s="38" t="n">
        <v>3105</v>
      </c>
      <c r="L724" s="18" t="inlineStr">
        <is>
          <t>—</t>
        </is>
      </c>
      <c r="M724" s="18" t="inlineStr"/>
      <c r="N724" s="18" t="inlineStr">
        <is>
          <t>DA5CDC</t>
        </is>
      </c>
    </row>
    <row r="725">
      <c r="A725" s="18" t="inlineStr">
        <is>
          <t>DWG0718</t>
        </is>
      </c>
      <c r="B725" s="18" t="inlineStr">
        <is>
          <t>D47</t>
        </is>
      </c>
      <c r="C725" s="18" t="inlineStr">
        <is>
          <t>47</t>
        </is>
      </c>
      <c r="D725" s="18" t="inlineStr">
        <is>
          <t>horizontal</t>
        </is>
      </c>
      <c r="E725" s="38" t="n">
        <v>297</v>
      </c>
      <c r="F725" s="38" t="n">
        <v>297</v>
      </c>
      <c r="G725" s="18" t="inlineStr">
        <is>
          <t>u/v</t>
        </is>
      </c>
      <c r="H725" s="44" t="n">
        <v>10097.6</v>
      </c>
      <c r="I725" s="38" t="n">
        <v>3105</v>
      </c>
      <c r="J725" s="44" t="n">
        <v>10394.6</v>
      </c>
      <c r="K725" s="44" t="n">
        <v>3087.2</v>
      </c>
      <c r="L725" s="18" t="inlineStr">
        <is>
          <t>—</t>
        </is>
      </c>
      <c r="M725" s="18" t="inlineStr"/>
      <c r="N725" s="18" t="inlineStr">
        <is>
          <t>DA5CDF</t>
        </is>
      </c>
    </row>
    <row r="726">
      <c r="A726" s="18" t="inlineStr">
        <is>
          <t>DWG0719</t>
        </is>
      </c>
      <c r="B726" s="18" t="inlineStr">
        <is>
          <t>D47</t>
        </is>
      </c>
      <c r="C726" s="18" t="inlineStr">
        <is>
          <t>47</t>
        </is>
      </c>
      <c r="D726" s="18" t="inlineStr">
        <is>
          <t>horizontal</t>
        </is>
      </c>
      <c r="E726" s="44" t="n">
        <v>7007.1</v>
      </c>
      <c r="F726" s="38" t="n">
        <v>7007</v>
      </c>
      <c r="G726" s="18" t="inlineStr">
        <is>
          <t>u/v</t>
        </is>
      </c>
      <c r="H726" s="38" t="n">
        <v>3291</v>
      </c>
      <c r="I726" s="44" t="n">
        <v>8790.6</v>
      </c>
      <c r="J726" s="44" t="n">
        <v>10298.1</v>
      </c>
      <c r="K726" s="44" t="n">
        <v>8790.6</v>
      </c>
      <c r="L726" s="18" t="inlineStr">
        <is>
          <t>—</t>
        </is>
      </c>
      <c r="M726" s="18" t="inlineStr"/>
      <c r="N726" s="18" t="inlineStr">
        <is>
          <t>DA5CF7</t>
        </is>
      </c>
    </row>
    <row r="727">
      <c r="A727" s="18" t="inlineStr">
        <is>
          <t>DWG0720</t>
        </is>
      </c>
      <c r="B727" s="18" t="inlineStr">
        <is>
          <t>D47</t>
        </is>
      </c>
      <c r="C727" s="18" t="inlineStr">
        <is>
          <t>47</t>
        </is>
      </c>
      <c r="D727" s="18" t="inlineStr">
        <is>
          <t>vertical</t>
        </is>
      </c>
      <c r="E727" s="44" t="n">
        <v>139.9</v>
      </c>
      <c r="F727" s="38" t="n">
        <v>140</v>
      </c>
      <c r="G727" s="18" t="inlineStr">
        <is>
          <t>u/v</t>
        </is>
      </c>
      <c r="H727" s="44" t="n">
        <v>3084.6</v>
      </c>
      <c r="I727" s="44" t="n">
        <v>8790.6</v>
      </c>
      <c r="J727" s="44" t="n">
        <v>3104.6</v>
      </c>
      <c r="K727" s="44" t="n">
        <v>8930.6</v>
      </c>
      <c r="L727" s="18" t="inlineStr">
        <is>
          <t>—</t>
        </is>
      </c>
      <c r="M727" s="18" t="inlineStr"/>
      <c r="N727" s="18" t="inlineStr">
        <is>
          <t>DA5CEB</t>
        </is>
      </c>
    </row>
    <row r="728">
      <c r="A728" s="18" t="inlineStr">
        <is>
          <t>DWG0721</t>
        </is>
      </c>
      <c r="B728" s="18" t="inlineStr">
        <is>
          <t>D47</t>
        </is>
      </c>
      <c r="C728" s="18" t="inlineStr">
        <is>
          <t>47</t>
        </is>
      </c>
      <c r="D728" s="18" t="inlineStr">
        <is>
          <t>vertical</t>
        </is>
      </c>
      <c r="E728" s="38" t="n">
        <v>600</v>
      </c>
      <c r="F728" s="38" t="n">
        <v>600</v>
      </c>
      <c r="G728" s="18" t="inlineStr">
        <is>
          <t>u/v</t>
        </is>
      </c>
      <c r="H728" s="44" t="n">
        <v>3194.6</v>
      </c>
      <c r="I728" s="44" t="n">
        <v>1800.6</v>
      </c>
      <c r="J728" s="44" t="n">
        <v>3194.6</v>
      </c>
      <c r="K728" s="44" t="n">
        <v>2400.6</v>
      </c>
      <c r="L728" s="18" t="inlineStr">
        <is>
          <t>—</t>
        </is>
      </c>
      <c r="M728" s="18" t="inlineStr"/>
      <c r="N728" s="18" t="inlineStr">
        <is>
          <t>DA5CE5</t>
        </is>
      </c>
    </row>
    <row r="729">
      <c r="A729" s="18" t="inlineStr">
        <is>
          <t>DWG0722</t>
        </is>
      </c>
      <c r="B729" s="18" t="inlineStr">
        <is>
          <t>D47</t>
        </is>
      </c>
      <c r="C729" s="18" t="inlineStr">
        <is>
          <t>47</t>
        </is>
      </c>
      <c r="D729" s="18" t="inlineStr">
        <is>
          <t>vertical</t>
        </is>
      </c>
      <c r="E729" s="44" t="n">
        <v>6390.1</v>
      </c>
      <c r="F729" s="38" t="n">
        <v>6390</v>
      </c>
      <c r="G729" s="18" t="inlineStr">
        <is>
          <t>u/v</t>
        </is>
      </c>
      <c r="H729" s="44" t="n">
        <v>3194.6</v>
      </c>
      <c r="I729" s="44" t="n">
        <v>2400.6</v>
      </c>
      <c r="J729" s="44" t="n">
        <v>3084.6</v>
      </c>
      <c r="K729" s="44" t="n">
        <v>8790.6</v>
      </c>
      <c r="L729" s="18" t="inlineStr">
        <is>
          <t>—</t>
        </is>
      </c>
      <c r="M729" s="18" t="inlineStr"/>
      <c r="N729" s="18" t="inlineStr">
        <is>
          <t>DA5CE8</t>
        </is>
      </c>
    </row>
    <row r="730">
      <c r="A730" s="18" t="inlineStr">
        <is>
          <t>DWG0723</t>
        </is>
      </c>
      <c r="B730" s="18" t="inlineStr">
        <is>
          <t>D47</t>
        </is>
      </c>
      <c r="C730" s="18" t="inlineStr">
        <is>
          <t>47</t>
        </is>
      </c>
      <c r="D730" s="18" t="inlineStr">
        <is>
          <t>vertical</t>
        </is>
      </c>
      <c r="E730" s="44" t="n">
        <v>2377.6</v>
      </c>
      <c r="F730" s="38" t="n">
        <v>2378</v>
      </c>
      <c r="G730" s="18" t="inlineStr">
        <is>
          <t>u/v</t>
        </is>
      </c>
      <c r="H730" s="44" t="n">
        <v>6794.6</v>
      </c>
      <c r="I730" s="44" t="n">
        <v>11168.2</v>
      </c>
      <c r="J730" s="44" t="n">
        <v>6929.3</v>
      </c>
      <c r="K730" s="44" t="n">
        <v>8790.6</v>
      </c>
      <c r="L730" s="18" t="inlineStr">
        <is>
          <t>—</t>
        </is>
      </c>
      <c r="M730" s="18" t="inlineStr"/>
      <c r="N730" s="18" t="inlineStr">
        <is>
          <t>DA5CFD</t>
        </is>
      </c>
    </row>
    <row r="731">
      <c r="A731" s="18" t="inlineStr">
        <is>
          <t>DWG0724</t>
        </is>
      </c>
      <c r="B731" s="18" t="inlineStr">
        <is>
          <t>D47</t>
        </is>
      </c>
      <c r="C731" s="18" t="inlineStr">
        <is>
          <t>47</t>
        </is>
      </c>
      <c r="D731" s="18" t="inlineStr">
        <is>
          <t>vertical</t>
        </is>
      </c>
      <c r="E731" s="44" t="n">
        <v>1355.8</v>
      </c>
      <c r="F731" s="38" t="n">
        <v>1356</v>
      </c>
      <c r="G731" s="18" t="inlineStr">
        <is>
          <t>u/v</t>
        </is>
      </c>
      <c r="H731" s="44" t="n">
        <v>8750.4</v>
      </c>
      <c r="I731" s="38" t="n">
        <v>8948</v>
      </c>
      <c r="J731" s="44" t="n">
        <v>6794.6</v>
      </c>
      <c r="K731" s="44" t="n">
        <v>10303.8</v>
      </c>
      <c r="L731" s="18" t="inlineStr">
        <is>
          <t>—</t>
        </is>
      </c>
      <c r="M731" s="18" t="inlineStr"/>
      <c r="N731" s="18" t="inlineStr">
        <is>
          <t>DA5CF4</t>
        </is>
      </c>
    </row>
    <row r="732">
      <c r="A732" s="18" t="inlineStr">
        <is>
          <t>DWG0725</t>
        </is>
      </c>
      <c r="B732" s="18" t="inlineStr">
        <is>
          <t>D47</t>
        </is>
      </c>
      <c r="C732" s="18" t="inlineStr">
        <is>
          <t>47</t>
        </is>
      </c>
      <c r="D732" s="18" t="inlineStr">
        <is>
          <t>vertical</t>
        </is>
      </c>
      <c r="E732" s="44" t="n">
        <v>1673.3</v>
      </c>
      <c r="F732" s="38" t="n">
        <v>1673</v>
      </c>
      <c r="G732" s="18" t="inlineStr">
        <is>
          <t>u/v</t>
        </is>
      </c>
      <c r="H732" s="44" t="n">
        <v>10097.6</v>
      </c>
      <c r="I732" s="44" t="n">
        <v>7274.7</v>
      </c>
      <c r="J732" s="44" t="n">
        <v>8750.4</v>
      </c>
      <c r="K732" s="38" t="n">
        <v>8948</v>
      </c>
      <c r="L732" s="18" t="inlineStr">
        <is>
          <t>—</t>
        </is>
      </c>
      <c r="M732" s="18" t="inlineStr"/>
      <c r="N732" s="18" t="inlineStr">
        <is>
          <t>DA5CF1</t>
        </is>
      </c>
    </row>
    <row r="733">
      <c r="A733" s="18" t="inlineStr">
        <is>
          <t>DWG0726</t>
        </is>
      </c>
      <c r="B733" s="18" t="inlineStr">
        <is>
          <t>D47</t>
        </is>
      </c>
      <c r="C733" s="18" t="inlineStr">
        <is>
          <t>47</t>
        </is>
      </c>
      <c r="D733" s="18" t="inlineStr">
        <is>
          <t>vertical</t>
        </is>
      </c>
      <c r="E733" s="44" t="n">
        <v>5474.2</v>
      </c>
      <c r="F733" s="38" t="n">
        <v>5474</v>
      </c>
      <c r="G733" s="18" t="inlineStr">
        <is>
          <t>u/v</t>
        </is>
      </c>
      <c r="H733" s="44" t="n">
        <v>10394.6</v>
      </c>
      <c r="I733" s="44" t="n">
        <v>1800.6</v>
      </c>
      <c r="J733" s="44" t="n">
        <v>10097.6</v>
      </c>
      <c r="K733" s="44" t="n">
        <v>7274.7</v>
      </c>
      <c r="L733" s="18" t="inlineStr">
        <is>
          <t>—</t>
        </is>
      </c>
      <c r="M733" s="18" t="inlineStr"/>
      <c r="N733" s="18" t="inlineStr">
        <is>
          <t>DA5CEE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18324B"/>
    <outlinePr summaryBelow="1" summaryRight="1"/>
    <pageSetUpPr/>
  </sheetPr>
  <dimension ref="A2:G86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8" customWidth="1" min="4" max="4"/>
    <col width="12" customWidth="1" min="5" max="5"/>
    <col width="12" customWidth="1" min="6" max="6"/>
    <col width="50" customWidth="1" min="7" max="7"/>
  </cols>
  <sheetData>
    <row r="1" ht="25" customHeight="1"/>
    <row r="2" ht="25" customHeight="1">
      <c r="A2" s="3" t="inlineStr">
        <is>
          <t>CAO ĐỘ TRONG FILE CAD / CAD LEVEL LABELS</t>
        </is>
      </c>
    </row>
    <row r="3" ht="25" customHeight="1"/>
    <row r="4" ht="25" customHeight="1">
      <c r="A4" s="5" t="inlineStr">
        <is>
          <t>So nhãn cao độ với đỉnh ký hiệu cao độ vẽ bên dưới. / Each printed level against the apex of its drawn marker.</t>
        </is>
      </c>
    </row>
    <row r="7">
      <c r="A7" s="14" t="inlineStr">
        <is>
          <t>Bản vẽ / Drawing</t>
        </is>
      </c>
      <c r="B7" s="14" t="inlineStr">
        <is>
          <t>Nhãn / Label</t>
        </is>
      </c>
      <c r="C7" s="14" t="inlineStr">
        <is>
          <t>Ghi (mm) / Printed</t>
        </is>
      </c>
      <c r="D7" s="14" t="inlineStr">
        <is>
          <t>Theo ký hiệu (mm) / Marker</t>
        </is>
      </c>
      <c r="E7" s="14" t="inlineStr">
        <is>
          <t>Chênh (mm) / Δ</t>
        </is>
      </c>
      <c r="F7" s="14" t="inlineStr">
        <is>
          <t>Kiểm tra / Check</t>
        </is>
      </c>
      <c r="G7" s="14" t="inlineStr">
        <is>
          <t>Cơ sở / Basis</t>
        </is>
      </c>
    </row>
    <row r="8">
      <c r="A8" s="18" t="inlineStr">
        <is>
          <t>P05</t>
        </is>
      </c>
      <c r="B8" s="18" t="inlineStr">
        <is>
          <t>- 0,48 M</t>
        </is>
      </c>
      <c r="C8" s="38" t="n">
        <v>-480</v>
      </c>
      <c r="D8" s="18" t="n"/>
      <c r="E8" s="18" t="n"/>
      <c r="F8" s="18" t="inlineStr"/>
      <c r="G8" s="18" t="inlineStr">
        <is>
          <t>plan label (no marker geometry)</t>
        </is>
      </c>
    </row>
    <row r="9">
      <c r="A9" s="18" t="inlineStr">
        <is>
          <t>P05</t>
        </is>
      </c>
      <c r="B9" s="18" t="inlineStr">
        <is>
          <t>- 0,32 M</t>
        </is>
      </c>
      <c r="C9" s="38" t="n">
        <v>-320</v>
      </c>
      <c r="D9" s="18" t="n"/>
      <c r="E9" s="18" t="n"/>
      <c r="F9" s="18" t="inlineStr"/>
      <c r="G9" s="18" t="inlineStr">
        <is>
          <t>plan label (no marker geometry)</t>
        </is>
      </c>
    </row>
    <row r="10">
      <c r="A10" s="18" t="inlineStr">
        <is>
          <t>P05</t>
        </is>
      </c>
      <c r="B10" s="18" t="inlineStr">
        <is>
          <t>- 0,32 M</t>
        </is>
      </c>
      <c r="C10" s="38" t="n">
        <v>-320</v>
      </c>
      <c r="D10" s="18" t="n"/>
      <c r="E10" s="18" t="n"/>
      <c r="F10" s="18" t="inlineStr"/>
      <c r="G10" s="18" t="inlineStr">
        <is>
          <t>plan label (no marker geometry)</t>
        </is>
      </c>
    </row>
    <row r="11">
      <c r="A11" s="18" t="inlineStr">
        <is>
          <t>P05</t>
        </is>
      </c>
      <c r="B11" s="18" t="inlineStr">
        <is>
          <t>+ 00 M</t>
        </is>
      </c>
      <c r="C11" s="38" t="n">
        <v>0</v>
      </c>
      <c r="D11" s="18" t="n"/>
      <c r="E11" s="18" t="n"/>
      <c r="F11" s="18" t="inlineStr"/>
      <c r="G11" s="18" t="inlineStr">
        <is>
          <t>plan label (no marker geometry)</t>
        </is>
      </c>
    </row>
    <row r="12">
      <c r="A12" s="18" t="inlineStr">
        <is>
          <t>P05</t>
        </is>
      </c>
      <c r="B12" s="18" t="inlineStr">
        <is>
          <t>- 0,32 M</t>
        </is>
      </c>
      <c r="C12" s="38" t="n">
        <v>-320</v>
      </c>
      <c r="D12" s="18" t="n"/>
      <c r="E12" s="18" t="n"/>
      <c r="F12" s="18" t="inlineStr"/>
      <c r="G12" s="18" t="inlineStr">
        <is>
          <t>plan label (no marker geometry)</t>
        </is>
      </c>
    </row>
    <row r="13">
      <c r="A13" s="18" t="inlineStr">
        <is>
          <t>P05</t>
        </is>
      </c>
      <c r="B13" s="18" t="inlineStr">
        <is>
          <t>- 0,32 M</t>
        </is>
      </c>
      <c r="C13" s="38" t="n">
        <v>-320</v>
      </c>
      <c r="D13" s="18" t="n"/>
      <c r="E13" s="18" t="n"/>
      <c r="F13" s="18" t="inlineStr"/>
      <c r="G13" s="18" t="inlineStr">
        <is>
          <t>plan label (no marker geometry)</t>
        </is>
      </c>
    </row>
    <row r="14">
      <c r="A14" s="18" t="inlineStr">
        <is>
          <t>P05</t>
        </is>
      </c>
      <c r="B14" s="18" t="inlineStr">
        <is>
          <t>+ 0,75 M</t>
        </is>
      </c>
      <c r="C14" s="38" t="n">
        <v>750</v>
      </c>
      <c r="D14" s="18" t="n"/>
      <c r="E14" s="18" t="n"/>
      <c r="F14" s="18" t="inlineStr"/>
      <c r="G14" s="18" t="inlineStr">
        <is>
          <t>plan label (no marker geometry)</t>
        </is>
      </c>
    </row>
    <row r="15">
      <c r="A15" s="18" t="inlineStr">
        <is>
          <t>P05</t>
        </is>
      </c>
      <c r="B15" s="18" t="inlineStr">
        <is>
          <t>+ 0,15 M</t>
        </is>
      </c>
      <c r="C15" s="38" t="n">
        <v>150</v>
      </c>
      <c r="D15" s="18" t="n"/>
      <c r="E15" s="18" t="n"/>
      <c r="F15" s="18" t="inlineStr"/>
      <c r="G15" s="18" t="inlineStr">
        <is>
          <t>plan label (no marker geometry)</t>
        </is>
      </c>
    </row>
    <row r="16">
      <c r="A16" s="18" t="inlineStr">
        <is>
          <t>P05</t>
        </is>
      </c>
      <c r="B16" s="18" t="inlineStr">
        <is>
          <t>+ 0,15 M</t>
        </is>
      </c>
      <c r="C16" s="38" t="n">
        <v>150</v>
      </c>
      <c r="D16" s="18" t="n"/>
      <c r="E16" s="18" t="n"/>
      <c r="F16" s="18" t="inlineStr"/>
      <c r="G16" s="18" t="inlineStr">
        <is>
          <t>plan label (no marker geometry)</t>
        </is>
      </c>
    </row>
    <row r="17">
      <c r="A17" s="18" t="inlineStr">
        <is>
          <t>P05</t>
        </is>
      </c>
      <c r="B17" s="18" t="inlineStr">
        <is>
          <t>- 0,32 M</t>
        </is>
      </c>
      <c r="C17" s="38" t="n">
        <v>-320</v>
      </c>
      <c r="D17" s="18" t="n"/>
      <c r="E17" s="18" t="n"/>
      <c r="F17" s="18" t="inlineStr"/>
      <c r="G17" s="18" t="inlineStr">
        <is>
          <t>plan label (no marker geometry)</t>
        </is>
      </c>
    </row>
    <row r="18">
      <c r="A18" s="18" t="inlineStr">
        <is>
          <t>P05</t>
        </is>
      </c>
      <c r="B18" s="18" t="inlineStr">
        <is>
          <t>- 0,32 M</t>
        </is>
      </c>
      <c r="C18" s="38" t="n">
        <v>-320</v>
      </c>
      <c r="D18" s="18" t="n"/>
      <c r="E18" s="18" t="n"/>
      <c r="F18" s="18" t="inlineStr"/>
      <c r="G18" s="18" t="inlineStr">
        <is>
          <t>plan label (no marker geometry)</t>
        </is>
      </c>
    </row>
    <row r="19">
      <c r="A19" s="18" t="inlineStr">
        <is>
          <t>P05</t>
        </is>
      </c>
      <c r="B19" s="18" t="inlineStr">
        <is>
          <t>+ 0,15 M</t>
        </is>
      </c>
      <c r="C19" s="38" t="n">
        <v>150</v>
      </c>
      <c r="D19" s="18" t="n"/>
      <c r="E19" s="18" t="n"/>
      <c r="F19" s="18" t="inlineStr"/>
      <c r="G19" s="18" t="inlineStr">
        <is>
          <t>plan label (no marker geometry)</t>
        </is>
      </c>
    </row>
    <row r="20">
      <c r="A20" s="18" t="inlineStr">
        <is>
          <t>P14</t>
        </is>
      </c>
      <c r="B20" s="18" t="inlineStr">
        <is>
          <t>+8,390M</t>
        </is>
      </c>
      <c r="C20" s="38" t="n">
        <v>8390</v>
      </c>
      <c r="D20" s="18" t="n"/>
      <c r="E20" s="18" t="n"/>
      <c r="F20" s="18" t="inlineStr"/>
      <c r="G20" s="18" t="inlineStr">
        <is>
          <t>plan label (no marker geometry)</t>
        </is>
      </c>
    </row>
    <row r="21">
      <c r="A21" s="18" t="inlineStr">
        <is>
          <t>P14</t>
        </is>
      </c>
      <c r="B21" s="18" t="inlineStr">
        <is>
          <t>+8,390M</t>
        </is>
      </c>
      <c r="C21" s="38" t="n">
        <v>8390</v>
      </c>
      <c r="D21" s="18" t="n"/>
      <c r="E21" s="18" t="n"/>
      <c r="F21" s="18" t="inlineStr"/>
      <c r="G21" s="18" t="inlineStr">
        <is>
          <t>plan label (no marker geometry)</t>
        </is>
      </c>
    </row>
    <row r="22">
      <c r="A22" s="18" t="inlineStr">
        <is>
          <t>P14</t>
        </is>
      </c>
      <c r="B22" s="18" t="inlineStr">
        <is>
          <t>+8,390M</t>
        </is>
      </c>
      <c r="C22" s="38" t="n">
        <v>8390</v>
      </c>
      <c r="D22" s="18" t="n"/>
      <c r="E22" s="18" t="n"/>
      <c r="F22" s="18" t="inlineStr"/>
      <c r="G22" s="18" t="inlineStr">
        <is>
          <t>plan label (no marker geometry)</t>
        </is>
      </c>
    </row>
    <row r="23">
      <c r="A23" s="18" t="inlineStr">
        <is>
          <t>P14</t>
        </is>
      </c>
      <c r="B23" s="18" t="inlineStr">
        <is>
          <t>MÁI BẰNG BỆ TOÀ + 3,17M</t>
        </is>
      </c>
      <c r="C23" s="38" t="n">
        <v>3170</v>
      </c>
      <c r="D23" s="18" t="n"/>
      <c r="E23" s="18" t="n"/>
      <c r="F23" s="18" t="inlineStr"/>
      <c r="G23" s="18" t="inlineStr">
        <is>
          <t>plan label (no marker geometry)</t>
        </is>
      </c>
    </row>
    <row r="24">
      <c r="A24" s="18" t="inlineStr">
        <is>
          <t>PT08</t>
        </is>
      </c>
      <c r="B24" s="18" t="inlineStr">
        <is>
          <t>+8,390M</t>
        </is>
      </c>
      <c r="C24" s="38" t="n">
        <v>8390</v>
      </c>
      <c r="D24" s="18" t="n"/>
      <c r="E24" s="18" t="n"/>
      <c r="F24" s="18" t="inlineStr"/>
      <c r="G24" s="18" t="inlineStr">
        <is>
          <t>plan label (no marker geometry)</t>
        </is>
      </c>
    </row>
    <row r="25">
      <c r="A25" s="18" t="inlineStr">
        <is>
          <t>PT08</t>
        </is>
      </c>
      <c r="B25" s="18" t="inlineStr">
        <is>
          <t>+8,390M</t>
        </is>
      </c>
      <c r="C25" s="38" t="n">
        <v>8390</v>
      </c>
      <c r="D25" s="18" t="n"/>
      <c r="E25" s="18" t="n"/>
      <c r="F25" s="18" t="inlineStr"/>
      <c r="G25" s="18" t="inlineStr">
        <is>
          <t>plan label (no marker geometry)</t>
        </is>
      </c>
    </row>
    <row r="26">
      <c r="A26" s="18" t="inlineStr">
        <is>
          <t>PT10</t>
        </is>
      </c>
      <c r="B26" s="18" t="inlineStr">
        <is>
          <t>+8,390M</t>
        </is>
      </c>
      <c r="C26" s="38" t="n">
        <v>8390</v>
      </c>
      <c r="D26" s="18" t="n"/>
      <c r="E26" s="18" t="n"/>
      <c r="F26" s="18" t="inlineStr"/>
      <c r="G26" s="18" t="inlineStr">
        <is>
          <t>plan label (no marker geometry)</t>
        </is>
      </c>
    </row>
    <row r="27">
      <c r="A27" s="18" t="inlineStr">
        <is>
          <t>PT10</t>
        </is>
      </c>
      <c r="B27" s="18" t="inlineStr">
        <is>
          <t>+8,390M</t>
        </is>
      </c>
      <c r="C27" s="38" t="n">
        <v>8390</v>
      </c>
      <c r="D27" s="18" t="n"/>
      <c r="E27" s="18" t="n"/>
      <c r="F27" s="18" t="inlineStr"/>
      <c r="G27" s="18" t="inlineStr">
        <is>
          <t>plan label (no marker geometry)</t>
        </is>
      </c>
    </row>
    <row r="28">
      <c r="A28" s="18" t="inlineStr">
        <is>
          <t>E01A</t>
        </is>
      </c>
      <c r="B28" s="18" t="inlineStr">
        <is>
          <t>+ 36,920M</t>
        </is>
      </c>
      <c r="C28" s="38" t="n">
        <v>36920</v>
      </c>
      <c r="D28" s="38" t="n">
        <v>36920</v>
      </c>
      <c r="E28" s="38" t="n">
        <v>0</v>
      </c>
      <c r="F28" s="18" t="inlineStr">
        <is>
          <t>matches</t>
        </is>
      </c>
      <c r="G28" s="18" t="inlineStr">
        <is>
          <t>marker apex − ±0.000 marker apex (same symbol)</t>
        </is>
      </c>
    </row>
    <row r="29">
      <c r="A29" s="18" t="inlineStr">
        <is>
          <t>E01A</t>
        </is>
      </c>
      <c r="B29" s="18" t="inlineStr">
        <is>
          <t>+ 29,09M</t>
        </is>
      </c>
      <c r="C29" s="38" t="n">
        <v>29090</v>
      </c>
      <c r="D29" s="38" t="n">
        <v>29090</v>
      </c>
      <c r="E29" s="38" t="n">
        <v>0</v>
      </c>
      <c r="F29" s="18" t="inlineStr">
        <is>
          <t>matches</t>
        </is>
      </c>
      <c r="G29" s="18" t="inlineStr">
        <is>
          <t>marker apex − ±0.000 marker apex (same symbol)</t>
        </is>
      </c>
    </row>
    <row r="30">
      <c r="A30" s="18" t="inlineStr">
        <is>
          <t>E01A</t>
        </is>
      </c>
      <c r="B30" s="18" t="inlineStr">
        <is>
          <t>+ 23,140M</t>
        </is>
      </c>
      <c r="C30" s="38" t="n">
        <v>23140</v>
      </c>
      <c r="D30" s="38" t="n">
        <v>23140</v>
      </c>
      <c r="E30" s="38" t="n">
        <v>0</v>
      </c>
      <c r="F30" s="18" t="inlineStr">
        <is>
          <t>matches</t>
        </is>
      </c>
      <c r="G30" s="18" t="inlineStr">
        <is>
          <t>marker apex − ±0.000 marker apex (same symbol)</t>
        </is>
      </c>
    </row>
    <row r="31">
      <c r="A31" s="18" t="inlineStr">
        <is>
          <t>E01A</t>
        </is>
      </c>
      <c r="B31" s="18" t="inlineStr">
        <is>
          <t>+ 15,840M</t>
        </is>
      </c>
      <c r="C31" s="38" t="n">
        <v>15840</v>
      </c>
      <c r="D31" s="38" t="n">
        <v>15840</v>
      </c>
      <c r="E31" s="38" t="n">
        <v>0</v>
      </c>
      <c r="F31" s="18" t="inlineStr">
        <is>
          <t>matches</t>
        </is>
      </c>
      <c r="G31" s="18" t="inlineStr">
        <is>
          <t>marker apex − ±0.000 marker apex (same symbol)</t>
        </is>
      </c>
    </row>
    <row r="32">
      <c r="A32" s="18" t="inlineStr">
        <is>
          <t>E01A</t>
        </is>
      </c>
      <c r="B32" s="18" t="inlineStr">
        <is>
          <t>+ 8,390M</t>
        </is>
      </c>
      <c r="C32" s="38" t="n">
        <v>8390</v>
      </c>
      <c r="D32" s="38" t="n">
        <v>8390</v>
      </c>
      <c r="E32" s="38" t="n">
        <v>0</v>
      </c>
      <c r="F32" s="18" t="inlineStr">
        <is>
          <t>matches</t>
        </is>
      </c>
      <c r="G32" s="18" t="inlineStr">
        <is>
          <t>marker apex − ±0.000 marker apex (same symbol)</t>
        </is>
      </c>
    </row>
    <row r="33">
      <c r="A33" s="18" t="inlineStr">
        <is>
          <t>E01A</t>
        </is>
      </c>
      <c r="B33" s="18" t="inlineStr">
        <is>
          <t>+00M</t>
        </is>
      </c>
      <c r="C33" s="38" t="n">
        <v>0</v>
      </c>
      <c r="D33" s="38" t="n">
        <v>0</v>
      </c>
      <c r="E33" s="38" t="n">
        <v>0</v>
      </c>
      <c r="F33" s="18" t="inlineStr">
        <is>
          <t>matches</t>
        </is>
      </c>
      <c r="G33" s="18" t="inlineStr">
        <is>
          <t>marker apex − ±0.000 marker apex (same symbol)</t>
        </is>
      </c>
    </row>
    <row r="34">
      <c r="A34" s="18" t="inlineStr">
        <is>
          <t>E01A</t>
        </is>
      </c>
      <c r="B34" s="18" t="inlineStr">
        <is>
          <t>- 2,08M</t>
        </is>
      </c>
      <c r="C34" s="38" t="n">
        <v>-2080</v>
      </c>
      <c r="D34" s="38" t="n">
        <v>-2080</v>
      </c>
      <c r="E34" s="38" t="n">
        <v>0</v>
      </c>
      <c r="F34" s="18" t="inlineStr">
        <is>
          <t>matches</t>
        </is>
      </c>
      <c r="G34" s="18" t="inlineStr">
        <is>
          <t>marker apex − ±0.000 marker apex (same symbol)</t>
        </is>
      </c>
    </row>
    <row r="35">
      <c r="A35" s="18" t="inlineStr">
        <is>
          <t>E01B</t>
        </is>
      </c>
      <c r="B35" s="18" t="inlineStr">
        <is>
          <t>+ 36,920M</t>
        </is>
      </c>
      <c r="C35" s="38" t="n">
        <v>36920</v>
      </c>
      <c r="D35" s="38" t="n">
        <v>36920</v>
      </c>
      <c r="E35" s="38" t="n">
        <v>0</v>
      </c>
      <c r="F35" s="18" t="inlineStr">
        <is>
          <t>matches</t>
        </is>
      </c>
      <c r="G35" s="18" t="inlineStr">
        <is>
          <t>marker apex − ±0.000 marker apex (same symbol)</t>
        </is>
      </c>
    </row>
    <row r="36">
      <c r="A36" s="18" t="inlineStr">
        <is>
          <t>E01B</t>
        </is>
      </c>
      <c r="B36" s="18" t="inlineStr">
        <is>
          <t>+ 29,09M</t>
        </is>
      </c>
      <c r="C36" s="38" t="n">
        <v>29090</v>
      </c>
      <c r="D36" s="38" t="n">
        <v>29090</v>
      </c>
      <c r="E36" s="38" t="n">
        <v>0</v>
      </c>
      <c r="F36" s="18" t="inlineStr">
        <is>
          <t>matches</t>
        </is>
      </c>
      <c r="G36" s="18" t="inlineStr">
        <is>
          <t>marker apex − ±0.000 marker apex (same symbol)</t>
        </is>
      </c>
    </row>
    <row r="37">
      <c r="A37" s="18" t="inlineStr">
        <is>
          <t>E01B</t>
        </is>
      </c>
      <c r="B37" s="18" t="inlineStr">
        <is>
          <t>+ 23,140M</t>
        </is>
      </c>
      <c r="C37" s="38" t="n">
        <v>23140</v>
      </c>
      <c r="D37" s="38" t="n">
        <v>23140</v>
      </c>
      <c r="E37" s="38" t="n">
        <v>0</v>
      </c>
      <c r="F37" s="18" t="inlineStr">
        <is>
          <t>matches</t>
        </is>
      </c>
      <c r="G37" s="18" t="inlineStr">
        <is>
          <t>marker apex − ±0.000 marker apex (same symbol)</t>
        </is>
      </c>
    </row>
    <row r="38">
      <c r="A38" s="18" t="inlineStr">
        <is>
          <t>E01B</t>
        </is>
      </c>
      <c r="B38" s="18" t="inlineStr">
        <is>
          <t>+ 15,840M</t>
        </is>
      </c>
      <c r="C38" s="38" t="n">
        <v>15840</v>
      </c>
      <c r="D38" s="38" t="n">
        <v>15840</v>
      </c>
      <c r="E38" s="38" t="n">
        <v>0</v>
      </c>
      <c r="F38" s="18" t="inlineStr">
        <is>
          <t>matches</t>
        </is>
      </c>
      <c r="G38" s="18" t="inlineStr">
        <is>
          <t>marker apex − ±0.000 marker apex (same symbol)</t>
        </is>
      </c>
    </row>
    <row r="39">
      <c r="A39" s="18" t="inlineStr">
        <is>
          <t>E01B</t>
        </is>
      </c>
      <c r="B39" s="18" t="inlineStr">
        <is>
          <t>+ 8,390M</t>
        </is>
      </c>
      <c r="C39" s="38" t="n">
        <v>8390</v>
      </c>
      <c r="D39" s="38" t="n">
        <v>8390</v>
      </c>
      <c r="E39" s="38" t="n">
        <v>0</v>
      </c>
      <c r="F39" s="18" t="inlineStr">
        <is>
          <t>matches</t>
        </is>
      </c>
      <c r="G39" s="18" t="inlineStr">
        <is>
          <t>marker apex − ±0.000 marker apex (same symbol)</t>
        </is>
      </c>
    </row>
    <row r="40">
      <c r="A40" s="18" t="inlineStr">
        <is>
          <t>E01B</t>
        </is>
      </c>
      <c r="B40" s="18" t="inlineStr">
        <is>
          <t>+00M</t>
        </is>
      </c>
      <c r="C40" s="38" t="n">
        <v>0</v>
      </c>
      <c r="D40" s="38" t="n">
        <v>0</v>
      </c>
      <c r="E40" s="38" t="n">
        <v>0</v>
      </c>
      <c r="F40" s="18" t="inlineStr">
        <is>
          <t>matches</t>
        </is>
      </c>
      <c r="G40" s="18" t="inlineStr">
        <is>
          <t>marker apex − ±0.000 marker apex (same symbol)</t>
        </is>
      </c>
    </row>
    <row r="41">
      <c r="A41" s="18" t="inlineStr">
        <is>
          <t>E01B</t>
        </is>
      </c>
      <c r="B41" s="18" t="inlineStr">
        <is>
          <t>- 2,08M</t>
        </is>
      </c>
      <c r="C41" s="38" t="n">
        <v>-2080</v>
      </c>
      <c r="D41" s="38" t="n">
        <v>-2080</v>
      </c>
      <c r="E41" s="38" t="n">
        <v>0</v>
      </c>
      <c r="F41" s="18" t="inlineStr">
        <is>
          <t>matches</t>
        </is>
      </c>
      <c r="G41" s="18" t="inlineStr">
        <is>
          <t>marker apex − ±0.000 marker apex (same symbol)</t>
        </is>
      </c>
    </row>
    <row r="42">
      <c r="A42" s="18" t="inlineStr">
        <is>
          <t>E02</t>
        </is>
      </c>
      <c r="B42" s="18" t="inlineStr">
        <is>
          <t>+ 36,920M</t>
        </is>
      </c>
      <c r="C42" s="38" t="n">
        <v>36920</v>
      </c>
      <c r="D42" s="38" t="n">
        <v>36920</v>
      </c>
      <c r="E42" s="38" t="n">
        <v>0</v>
      </c>
      <c r="F42" s="18" t="inlineStr">
        <is>
          <t>matches</t>
        </is>
      </c>
      <c r="G42" s="18" t="inlineStr">
        <is>
          <t>marker apex − ±0.000 marker apex (same symbol)</t>
        </is>
      </c>
    </row>
    <row r="43">
      <c r="A43" s="18" t="inlineStr">
        <is>
          <t>E02</t>
        </is>
      </c>
      <c r="B43" s="18" t="inlineStr">
        <is>
          <t>+ 29,09M</t>
        </is>
      </c>
      <c r="C43" s="38" t="n">
        <v>29090</v>
      </c>
      <c r="D43" s="38" t="n">
        <v>29090</v>
      </c>
      <c r="E43" s="38" t="n">
        <v>0</v>
      </c>
      <c r="F43" s="18" t="inlineStr">
        <is>
          <t>matches</t>
        </is>
      </c>
      <c r="G43" s="18" t="inlineStr">
        <is>
          <t>marker apex − ±0.000 marker apex (same symbol)</t>
        </is>
      </c>
    </row>
    <row r="44">
      <c r="A44" s="18" t="inlineStr">
        <is>
          <t>E02</t>
        </is>
      </c>
      <c r="B44" s="18" t="inlineStr">
        <is>
          <t>+ 23,140M</t>
        </is>
      </c>
      <c r="C44" s="38" t="n">
        <v>23140</v>
      </c>
      <c r="D44" s="38" t="n">
        <v>23140</v>
      </c>
      <c r="E44" s="38" t="n">
        <v>0</v>
      </c>
      <c r="F44" s="18" t="inlineStr">
        <is>
          <t>matches</t>
        </is>
      </c>
      <c r="G44" s="18" t="inlineStr">
        <is>
          <t>marker apex − ±0.000 marker apex (same symbol)</t>
        </is>
      </c>
    </row>
    <row r="45">
      <c r="A45" s="18" t="inlineStr">
        <is>
          <t>E02</t>
        </is>
      </c>
      <c r="B45" s="18" t="inlineStr">
        <is>
          <t>+ 15,840M</t>
        </is>
      </c>
      <c r="C45" s="38" t="n">
        <v>15840</v>
      </c>
      <c r="D45" s="38" t="n">
        <v>15840</v>
      </c>
      <c r="E45" s="38" t="n">
        <v>0</v>
      </c>
      <c r="F45" s="18" t="inlineStr">
        <is>
          <t>matches</t>
        </is>
      </c>
      <c r="G45" s="18" t="inlineStr">
        <is>
          <t>marker apex − ±0.000 marker apex (same symbol)</t>
        </is>
      </c>
    </row>
    <row r="46">
      <c r="A46" s="18" t="inlineStr">
        <is>
          <t>E02</t>
        </is>
      </c>
      <c r="B46" s="18" t="inlineStr">
        <is>
          <t>+ 8,390M</t>
        </is>
      </c>
      <c r="C46" s="38" t="n">
        <v>8390</v>
      </c>
      <c r="D46" s="38" t="n">
        <v>8390</v>
      </c>
      <c r="E46" s="38" t="n">
        <v>0</v>
      </c>
      <c r="F46" s="18" t="inlineStr">
        <is>
          <t>matches</t>
        </is>
      </c>
      <c r="G46" s="18" t="inlineStr">
        <is>
          <t>marker apex − ±0.000 marker apex (same symbol)</t>
        </is>
      </c>
    </row>
    <row r="47">
      <c r="A47" s="18" t="inlineStr">
        <is>
          <t>E02</t>
        </is>
      </c>
      <c r="B47" s="18" t="inlineStr">
        <is>
          <t>+00M</t>
        </is>
      </c>
      <c r="C47" s="38" t="n">
        <v>0</v>
      </c>
      <c r="D47" s="38" t="n">
        <v>0</v>
      </c>
      <c r="E47" s="38" t="n">
        <v>0</v>
      </c>
      <c r="F47" s="18" t="inlineStr">
        <is>
          <t>matches</t>
        </is>
      </c>
      <c r="G47" s="18" t="inlineStr">
        <is>
          <t>marker apex − ±0.000 marker apex (same symbol)</t>
        </is>
      </c>
    </row>
    <row r="48">
      <c r="A48" s="18" t="inlineStr">
        <is>
          <t>E02</t>
        </is>
      </c>
      <c r="B48" s="18" t="inlineStr">
        <is>
          <t>- 2,08M</t>
        </is>
      </c>
      <c r="C48" s="38" t="n">
        <v>-2080</v>
      </c>
      <c r="D48" s="38" t="n">
        <v>-2080</v>
      </c>
      <c r="E48" s="38" t="n">
        <v>0</v>
      </c>
      <c r="F48" s="18" t="inlineStr">
        <is>
          <t>matches</t>
        </is>
      </c>
      <c r="G48" s="18" t="inlineStr">
        <is>
          <t>marker apex − ±0.000 marker apex (same symbol)</t>
        </is>
      </c>
    </row>
    <row r="49">
      <c r="A49" s="18" t="inlineStr">
        <is>
          <t>E02</t>
        </is>
      </c>
      <c r="B49" s="18" t="inlineStr">
        <is>
          <t>+ 17,829M</t>
        </is>
      </c>
      <c r="C49" s="38" t="n">
        <v>17829</v>
      </c>
      <c r="D49" s="44" t="n">
        <v>17829.2</v>
      </c>
      <c r="E49" s="44" t="n">
        <v>0.2</v>
      </c>
      <c r="F49" s="18" t="inlineStr">
        <is>
          <t>matches</t>
        </is>
      </c>
      <c r="G49" s="18" t="inlineStr">
        <is>
          <t>marker apex − ±0.000 marker apex (same symbol)</t>
        </is>
      </c>
    </row>
    <row r="50">
      <c r="A50" s="18" t="inlineStr">
        <is>
          <t>E02</t>
        </is>
      </c>
      <c r="B50" s="18" t="inlineStr">
        <is>
          <t>+ 12,472M</t>
        </is>
      </c>
      <c r="C50" s="38" t="n">
        <v>12472</v>
      </c>
      <c r="D50" s="44" t="n">
        <v>12471.9</v>
      </c>
      <c r="E50" s="44" t="n">
        <v>-0.1</v>
      </c>
      <c r="F50" s="18" t="inlineStr">
        <is>
          <t>matches</t>
        </is>
      </c>
      <c r="G50" s="18" t="inlineStr">
        <is>
          <t>marker apex − ±0.000 marker apex (same symbol)</t>
        </is>
      </c>
    </row>
    <row r="51">
      <c r="A51" s="18" t="inlineStr">
        <is>
          <t>E02</t>
        </is>
      </c>
      <c r="B51" s="18" t="inlineStr">
        <is>
          <t>+ 8,575M</t>
        </is>
      </c>
      <c r="C51" s="38" t="n">
        <v>8575</v>
      </c>
      <c r="D51" s="44" t="n">
        <v>8575.4</v>
      </c>
      <c r="E51" s="44" t="n">
        <v>0.4</v>
      </c>
      <c r="F51" s="18" t="inlineStr">
        <is>
          <t>matches</t>
        </is>
      </c>
      <c r="G51" s="18" t="inlineStr">
        <is>
          <t>marker apex − ±0.000 marker apex (same symbol)</t>
        </is>
      </c>
    </row>
    <row r="52">
      <c r="A52" s="18" t="inlineStr">
        <is>
          <t>E02</t>
        </is>
      </c>
      <c r="B52" s="18" t="inlineStr">
        <is>
          <t>+ 6,324M</t>
        </is>
      </c>
      <c r="C52" s="38" t="n">
        <v>6324</v>
      </c>
      <c r="D52" s="44" t="n">
        <v>6323.9</v>
      </c>
      <c r="E52" s="44" t="n">
        <v>-0.1</v>
      </c>
      <c r="F52" s="18" t="inlineStr">
        <is>
          <t>matches</t>
        </is>
      </c>
      <c r="G52" s="18" t="inlineStr">
        <is>
          <t>marker apex − ±0.000 marker apex (same symbol)</t>
        </is>
      </c>
    </row>
    <row r="53">
      <c r="A53" s="18" t="inlineStr">
        <is>
          <t>E02</t>
        </is>
      </c>
      <c r="B53" s="18" t="inlineStr">
        <is>
          <t>+ 00</t>
        </is>
      </c>
      <c r="C53" s="38" t="n">
        <v>0</v>
      </c>
      <c r="D53" s="38" t="n">
        <v>0</v>
      </c>
      <c r="E53" s="38" t="n">
        <v>0</v>
      </c>
      <c r="F53" s="18" t="inlineStr">
        <is>
          <t>matches</t>
        </is>
      </c>
      <c r="G53" s="18" t="inlineStr">
        <is>
          <t>marker apex − ±0.000 marker apex (same symbol)</t>
        </is>
      </c>
    </row>
    <row r="54">
      <c r="A54" s="18" t="inlineStr">
        <is>
          <t>E02</t>
        </is>
      </c>
      <c r="B54" s="18" t="inlineStr">
        <is>
          <t>MẶT SÂN - 2,08M</t>
        </is>
      </c>
      <c r="C54" s="38" t="n">
        <v>-2080</v>
      </c>
      <c r="D54" s="38" t="n">
        <v>-2080</v>
      </c>
      <c r="E54" s="38" t="n">
        <v>0</v>
      </c>
      <c r="F54" s="18" t="inlineStr">
        <is>
          <t>matches</t>
        </is>
      </c>
      <c r="G54" s="18" t="inlineStr">
        <is>
          <t>marker apex − ±0.000 marker apex (same symbol)</t>
        </is>
      </c>
    </row>
    <row r="55">
      <c r="A55" s="18" t="inlineStr">
        <is>
          <t>E03</t>
        </is>
      </c>
      <c r="B55" s="18" t="inlineStr">
        <is>
          <t>+ 17,829M</t>
        </is>
      </c>
      <c r="C55" s="38" t="n">
        <v>17829</v>
      </c>
      <c r="D55" s="44" t="n">
        <v>17829.2</v>
      </c>
      <c r="E55" s="44" t="n">
        <v>0.2</v>
      </c>
      <c r="F55" s="18" t="inlineStr">
        <is>
          <t>matches</t>
        </is>
      </c>
      <c r="G55" s="18" t="inlineStr">
        <is>
          <t>marker apex − ±0.000 marker apex (same symbol)</t>
        </is>
      </c>
    </row>
    <row r="56">
      <c r="A56" s="18" t="inlineStr">
        <is>
          <t>E03</t>
        </is>
      </c>
      <c r="B56" s="18" t="inlineStr">
        <is>
          <t>+ 12,472M</t>
        </is>
      </c>
      <c r="C56" s="38" t="n">
        <v>12472</v>
      </c>
      <c r="D56" s="44" t="n">
        <v>12471.9</v>
      </c>
      <c r="E56" s="44" t="n">
        <v>-0.1</v>
      </c>
      <c r="F56" s="18" t="inlineStr">
        <is>
          <t>matches</t>
        </is>
      </c>
      <c r="G56" s="18" t="inlineStr">
        <is>
          <t>marker apex − ±0.000 marker apex (same symbol)</t>
        </is>
      </c>
    </row>
    <row r="57">
      <c r="A57" s="18" t="inlineStr">
        <is>
          <t>E03</t>
        </is>
      </c>
      <c r="B57" s="18" t="inlineStr">
        <is>
          <t>+ 8,575M</t>
        </is>
      </c>
      <c r="C57" s="38" t="n">
        <v>8575</v>
      </c>
      <c r="D57" s="44" t="n">
        <v>8575.4</v>
      </c>
      <c r="E57" s="44" t="n">
        <v>0.4</v>
      </c>
      <c r="F57" s="18" t="inlineStr">
        <is>
          <t>matches</t>
        </is>
      </c>
      <c r="G57" s="18" t="inlineStr">
        <is>
          <t>marker apex − ±0.000 marker apex (same symbol)</t>
        </is>
      </c>
    </row>
    <row r="58">
      <c r="A58" s="18" t="inlineStr">
        <is>
          <t>E03</t>
        </is>
      </c>
      <c r="B58" s="18" t="inlineStr">
        <is>
          <t>+ 6,324M</t>
        </is>
      </c>
      <c r="C58" s="38" t="n">
        <v>6324</v>
      </c>
      <c r="D58" s="44" t="n">
        <v>6323.9</v>
      </c>
      <c r="E58" s="44" t="n">
        <v>-0.1</v>
      </c>
      <c r="F58" s="18" t="inlineStr">
        <is>
          <t>matches</t>
        </is>
      </c>
      <c r="G58" s="18" t="inlineStr">
        <is>
          <t>marker apex − ±0.000 marker apex (same symbol)</t>
        </is>
      </c>
    </row>
    <row r="59">
      <c r="A59" s="18" t="inlineStr">
        <is>
          <t>E03</t>
        </is>
      </c>
      <c r="B59" s="18" t="inlineStr">
        <is>
          <t>+ 00</t>
        </is>
      </c>
      <c r="C59" s="38" t="n">
        <v>0</v>
      </c>
      <c r="D59" s="38" t="n">
        <v>0</v>
      </c>
      <c r="E59" s="38" t="n">
        <v>0</v>
      </c>
      <c r="F59" s="18" t="inlineStr">
        <is>
          <t>matches</t>
        </is>
      </c>
      <c r="G59" s="18" t="inlineStr">
        <is>
          <t>marker apex − ±0.000 marker apex (same symbol)</t>
        </is>
      </c>
    </row>
    <row r="60">
      <c r="A60" s="18" t="inlineStr">
        <is>
          <t>E03</t>
        </is>
      </c>
      <c r="B60" s="18" t="inlineStr">
        <is>
          <t>MẶT SÂN - 2,08M</t>
        </is>
      </c>
      <c r="C60" s="38" t="n">
        <v>-2080</v>
      </c>
      <c r="D60" s="38" t="n">
        <v>-2080</v>
      </c>
      <c r="E60" s="38" t="n">
        <v>0</v>
      </c>
      <c r="F60" s="18" t="inlineStr">
        <is>
          <t>matches</t>
        </is>
      </c>
      <c r="G60" s="18" t="inlineStr">
        <is>
          <t>marker apex − ±0.000 marker apex (same symbol)</t>
        </is>
      </c>
    </row>
    <row r="61">
      <c r="A61" s="18" t="inlineStr">
        <is>
          <t>EW</t>
        </is>
      </c>
      <c r="B61" s="18" t="inlineStr">
        <is>
          <t>+ 15,187M</t>
        </is>
      </c>
      <c r="C61" s="38" t="n">
        <v>15187</v>
      </c>
      <c r="D61" s="44" t="n">
        <v>15186.9</v>
      </c>
      <c r="E61" s="44" t="n">
        <v>-0.1</v>
      </c>
      <c r="F61" s="18" t="inlineStr">
        <is>
          <t>matches</t>
        </is>
      </c>
      <c r="G61" s="18" t="inlineStr">
        <is>
          <t>marker apex − ±0.000 marker apex (same symbol)</t>
        </is>
      </c>
    </row>
    <row r="62">
      <c r="A62" s="18" t="inlineStr">
        <is>
          <t>EW</t>
        </is>
      </c>
      <c r="B62" s="18" t="inlineStr">
        <is>
          <t>+ 9,830M</t>
        </is>
      </c>
      <c r="C62" s="38" t="n">
        <v>9830</v>
      </c>
      <c r="D62" s="44" t="n">
        <v>9829.6</v>
      </c>
      <c r="E62" s="44" t="n">
        <v>-0.4</v>
      </c>
      <c r="F62" s="18" t="inlineStr">
        <is>
          <t>matches</t>
        </is>
      </c>
      <c r="G62" s="18" t="inlineStr">
        <is>
          <t>marker apex − ±0.000 marker apex (same symbol)</t>
        </is>
      </c>
    </row>
    <row r="63">
      <c r="A63" s="18" t="inlineStr">
        <is>
          <t>EW</t>
        </is>
      </c>
      <c r="B63" s="18" t="inlineStr">
        <is>
          <t>+ 6,324M</t>
        </is>
      </c>
      <c r="C63" s="38" t="n">
        <v>6324</v>
      </c>
      <c r="D63" s="44" t="n">
        <v>6323.9</v>
      </c>
      <c r="E63" s="44" t="n">
        <v>-0.1</v>
      </c>
      <c r="F63" s="18" t="inlineStr">
        <is>
          <t>matches</t>
        </is>
      </c>
      <c r="G63" s="18" t="inlineStr">
        <is>
          <t>marker apex − ±0.000 marker apex (same symbol)</t>
        </is>
      </c>
    </row>
    <row r="64">
      <c r="A64" s="18" t="inlineStr">
        <is>
          <t>EW</t>
        </is>
      </c>
      <c r="B64" s="18" t="inlineStr">
        <is>
          <t>+ 00</t>
        </is>
      </c>
      <c r="C64" s="38" t="n">
        <v>0</v>
      </c>
      <c r="D64" s="38" t="n">
        <v>0</v>
      </c>
      <c r="E64" s="38" t="n">
        <v>0</v>
      </c>
      <c r="F64" s="18" t="inlineStr">
        <is>
          <t>matches</t>
        </is>
      </c>
      <c r="G64" s="18" t="inlineStr">
        <is>
          <t>marker apex − ±0.000 marker apex (same symbol)</t>
        </is>
      </c>
    </row>
    <row r="65">
      <c r="A65" s="18" t="inlineStr">
        <is>
          <t>EW</t>
        </is>
      </c>
      <c r="B65" s="18" t="inlineStr">
        <is>
          <t>MẶT SÂN - 2,08M</t>
        </is>
      </c>
      <c r="C65" s="38" t="n">
        <v>-2080</v>
      </c>
      <c r="D65" s="38" t="n">
        <v>-2080</v>
      </c>
      <c r="E65" s="38" t="n">
        <v>0</v>
      </c>
      <c r="F65" s="18" t="inlineStr">
        <is>
          <t>matches</t>
        </is>
      </c>
      <c r="G65" s="18" t="inlineStr">
        <is>
          <t>marker apex − ±0.000 marker apex (same symbol)</t>
        </is>
      </c>
    </row>
    <row r="66">
      <c r="A66" s="18" t="inlineStr">
        <is>
          <t>S24</t>
        </is>
      </c>
      <c r="B66" s="18" t="inlineStr">
        <is>
          <t>+ 12,472M</t>
        </is>
      </c>
      <c r="C66" s="38" t="n">
        <v>12472</v>
      </c>
      <c r="D66" s="44" t="n">
        <v>12396.4</v>
      </c>
      <c r="E66" s="44" t="n">
        <v>-75.59999999999999</v>
      </c>
      <c r="F66" s="18" t="inlineStr">
        <is>
          <t>DIFFERS</t>
        </is>
      </c>
      <c r="G66" s="18" t="inlineStr">
        <is>
          <t>marker apex − ±0.000 marker apex (same symbol)</t>
        </is>
      </c>
    </row>
    <row r="67">
      <c r="A67" s="18" t="inlineStr">
        <is>
          <t>S24</t>
        </is>
      </c>
      <c r="B67" s="18" t="inlineStr">
        <is>
          <t>+ 7,13M</t>
        </is>
      </c>
      <c r="C67" s="38" t="n">
        <v>7130</v>
      </c>
      <c r="D67" s="38" t="n">
        <v>7130</v>
      </c>
      <c r="E67" s="38" t="n">
        <v>0</v>
      </c>
      <c r="F67" s="18" t="inlineStr">
        <is>
          <t>matches</t>
        </is>
      </c>
      <c r="G67" s="18" t="inlineStr">
        <is>
          <t>marker apex − ±0.000 marker apex (same symbol)</t>
        </is>
      </c>
    </row>
    <row r="68">
      <c r="A68" s="18" t="inlineStr">
        <is>
          <t>S24</t>
        </is>
      </c>
      <c r="B68" s="18" t="inlineStr">
        <is>
          <t>+ 6,325M</t>
        </is>
      </c>
      <c r="C68" s="38" t="n">
        <v>6325</v>
      </c>
      <c r="D68" s="38" t="n">
        <v>6325</v>
      </c>
      <c r="E68" s="38" t="n">
        <v>0</v>
      </c>
      <c r="F68" s="18" t="inlineStr">
        <is>
          <t>matches</t>
        </is>
      </c>
      <c r="G68" s="18" t="inlineStr">
        <is>
          <t>marker apex − ±0.000 marker apex (same symbol)</t>
        </is>
      </c>
    </row>
    <row r="69">
      <c r="A69" s="18" t="inlineStr">
        <is>
          <t>S24</t>
        </is>
      </c>
      <c r="B69" s="18" t="inlineStr">
        <is>
          <t>+ 00</t>
        </is>
      </c>
      <c r="C69" s="38" t="n">
        <v>0</v>
      </c>
      <c r="D69" s="38" t="n">
        <v>0</v>
      </c>
      <c r="E69" s="38" t="n">
        <v>0</v>
      </c>
      <c r="F69" s="18" t="inlineStr">
        <is>
          <t>matches</t>
        </is>
      </c>
      <c r="G69" s="18" t="inlineStr">
        <is>
          <t>marker apex − ±0.000 marker apex (same symbol)</t>
        </is>
      </c>
    </row>
    <row r="70">
      <c r="A70" s="18" t="inlineStr">
        <is>
          <t>S24</t>
        </is>
      </c>
      <c r="B70" s="18" t="inlineStr">
        <is>
          <t>MẶT SÂN - 2,08M</t>
        </is>
      </c>
      <c r="C70" s="38" t="n">
        <v>-2080</v>
      </c>
      <c r="D70" s="38" t="n">
        <v>-2080</v>
      </c>
      <c r="E70" s="38" t="n">
        <v>0</v>
      </c>
      <c r="F70" s="18" t="inlineStr">
        <is>
          <t>matches</t>
        </is>
      </c>
      <c r="G70" s="18" t="inlineStr">
        <is>
          <t>marker apex − ±0.000 marker apex (same symbol)</t>
        </is>
      </c>
    </row>
    <row r="71">
      <c r="A71" s="18" t="inlineStr">
        <is>
          <t>S25</t>
        </is>
      </c>
      <c r="B71" s="18" t="inlineStr">
        <is>
          <t>+ 12,472M</t>
        </is>
      </c>
      <c r="C71" s="38" t="n">
        <v>12472</v>
      </c>
      <c r="D71" s="44" t="n">
        <v>12396.4</v>
      </c>
      <c r="E71" s="44" t="n">
        <v>-75.59999999999999</v>
      </c>
      <c r="F71" s="18" t="inlineStr">
        <is>
          <t>DIFFERS</t>
        </is>
      </c>
      <c r="G71" s="18" t="inlineStr">
        <is>
          <t>marker apex − ±0.000 marker apex (same symbol)</t>
        </is>
      </c>
    </row>
    <row r="72">
      <c r="A72" s="18" t="inlineStr">
        <is>
          <t>S25</t>
        </is>
      </c>
      <c r="B72" s="18" t="inlineStr">
        <is>
          <t>+ 7,13M</t>
        </is>
      </c>
      <c r="C72" s="38" t="n">
        <v>7130</v>
      </c>
      <c r="D72" s="38" t="n">
        <v>7130</v>
      </c>
      <c r="E72" s="38" t="n">
        <v>0</v>
      </c>
      <c r="F72" s="18" t="inlineStr">
        <is>
          <t>matches</t>
        </is>
      </c>
      <c r="G72" s="18" t="inlineStr">
        <is>
          <t>marker apex − ±0.000 marker apex (same symbol)</t>
        </is>
      </c>
    </row>
    <row r="73">
      <c r="A73" s="18" t="inlineStr">
        <is>
          <t>S25</t>
        </is>
      </c>
      <c r="B73" s="18" t="inlineStr">
        <is>
          <t>+ 6,325M</t>
        </is>
      </c>
      <c r="C73" s="38" t="n">
        <v>6325</v>
      </c>
      <c r="D73" s="38" t="n">
        <v>6325</v>
      </c>
      <c r="E73" s="38" t="n">
        <v>0</v>
      </c>
      <c r="F73" s="18" t="inlineStr">
        <is>
          <t>matches</t>
        </is>
      </c>
      <c r="G73" s="18" t="inlineStr">
        <is>
          <t>marker apex − ±0.000 marker apex (same symbol)</t>
        </is>
      </c>
    </row>
    <row r="74">
      <c r="A74" s="18" t="inlineStr">
        <is>
          <t>S25</t>
        </is>
      </c>
      <c r="B74" s="18" t="inlineStr">
        <is>
          <t>+ 00</t>
        </is>
      </c>
      <c r="C74" s="38" t="n">
        <v>0</v>
      </c>
      <c r="D74" s="38" t="n">
        <v>0</v>
      </c>
      <c r="E74" s="38" t="n">
        <v>0</v>
      </c>
      <c r="F74" s="18" t="inlineStr">
        <is>
          <t>matches</t>
        </is>
      </c>
      <c r="G74" s="18" t="inlineStr">
        <is>
          <t>marker apex − ±0.000 marker apex (same symbol)</t>
        </is>
      </c>
    </row>
    <row r="75">
      <c r="A75" s="18" t="inlineStr">
        <is>
          <t>S25</t>
        </is>
      </c>
      <c r="B75" s="18" t="inlineStr">
        <is>
          <t>MẶT SÂN - 2,08M</t>
        </is>
      </c>
      <c r="C75" s="38" t="n">
        <v>-2080</v>
      </c>
      <c r="D75" s="38" t="n">
        <v>-2080</v>
      </c>
      <c r="E75" s="38" t="n">
        <v>0</v>
      </c>
      <c r="F75" s="18" t="inlineStr">
        <is>
          <t>matches</t>
        </is>
      </c>
      <c r="G75" s="18" t="inlineStr">
        <is>
          <t>marker apex − ±0.000 marker apex (same symbol)</t>
        </is>
      </c>
    </row>
    <row r="76">
      <c r="A76" s="18" t="inlineStr">
        <is>
          <t>S45</t>
        </is>
      </c>
      <c r="B76" s="18" t="inlineStr">
        <is>
          <t>+ 23,140M</t>
        </is>
      </c>
      <c r="C76" s="38" t="n">
        <v>23140</v>
      </c>
      <c r="D76" s="38" t="n">
        <v>23140</v>
      </c>
      <c r="E76" s="38" t="n">
        <v>0</v>
      </c>
      <c r="F76" s="18" t="inlineStr">
        <is>
          <t>matches</t>
        </is>
      </c>
      <c r="G76" s="18" t="inlineStr">
        <is>
          <t>marker apex − ±0.000 marker apex (same symbol)</t>
        </is>
      </c>
    </row>
    <row r="77">
      <c r="A77" s="18" t="inlineStr">
        <is>
          <t>S45</t>
        </is>
      </c>
      <c r="B77" s="18" t="inlineStr">
        <is>
          <t>+ 15,840M</t>
        </is>
      </c>
      <c r="C77" s="38" t="n">
        <v>15840</v>
      </c>
      <c r="D77" s="38" t="n">
        <v>15840</v>
      </c>
      <c r="E77" s="38" t="n">
        <v>0</v>
      </c>
      <c r="F77" s="18" t="inlineStr">
        <is>
          <t>matches</t>
        </is>
      </c>
      <c r="G77" s="18" t="inlineStr">
        <is>
          <t>marker apex − ±0.000 marker apex (same symbol)</t>
        </is>
      </c>
    </row>
    <row r="78">
      <c r="A78" s="18" t="inlineStr">
        <is>
          <t>S45</t>
        </is>
      </c>
      <c r="B78" s="18" t="inlineStr">
        <is>
          <t>+ 8,390M</t>
        </is>
      </c>
      <c r="C78" s="38" t="n">
        <v>8390</v>
      </c>
      <c r="D78" s="38" t="n">
        <v>8390</v>
      </c>
      <c r="E78" s="38" t="n">
        <v>0</v>
      </c>
      <c r="F78" s="18" t="inlineStr">
        <is>
          <t>matches</t>
        </is>
      </c>
      <c r="G78" s="18" t="inlineStr">
        <is>
          <t>marker apex − ±0.000 marker apex (same symbol)</t>
        </is>
      </c>
    </row>
    <row r="79">
      <c r="A79" s="18" t="inlineStr">
        <is>
          <t>S45</t>
        </is>
      </c>
      <c r="B79" s="18" t="inlineStr">
        <is>
          <t>+00M</t>
        </is>
      </c>
      <c r="C79" s="38" t="n">
        <v>0</v>
      </c>
      <c r="D79" s="38" t="n">
        <v>0</v>
      </c>
      <c r="E79" s="38" t="n">
        <v>0</v>
      </c>
      <c r="F79" s="18" t="inlineStr">
        <is>
          <t>matches</t>
        </is>
      </c>
      <c r="G79" s="18" t="inlineStr">
        <is>
          <t>marker apex − ±0.000 marker apex (same symbol)</t>
        </is>
      </c>
    </row>
    <row r="80">
      <c r="A80" s="18" t="inlineStr">
        <is>
          <t>S45</t>
        </is>
      </c>
      <c r="B80" s="18" t="inlineStr">
        <is>
          <t>MẶT SÂN - 2,08M</t>
        </is>
      </c>
      <c r="C80" s="38" t="n">
        <v>-2080</v>
      </c>
      <c r="D80" s="18" t="n"/>
      <c r="E80" s="18" t="n"/>
      <c r="F80" s="18" t="inlineStr"/>
      <c r="G80" s="18" t="inlineStr">
        <is>
          <t>plan label (no marker geometry)</t>
        </is>
      </c>
    </row>
    <row r="81">
      <c r="A81" s="18" t="inlineStr">
        <is>
          <t>S45</t>
        </is>
      </c>
      <c r="B81" s="18" t="inlineStr">
        <is>
          <t>+ 17,829M</t>
        </is>
      </c>
      <c r="C81" s="38" t="n">
        <v>17829</v>
      </c>
      <c r="D81" s="44" t="n">
        <v>17829.2</v>
      </c>
      <c r="E81" s="44" t="n">
        <v>0.2</v>
      </c>
      <c r="F81" s="18" t="inlineStr">
        <is>
          <t>matches</t>
        </is>
      </c>
      <c r="G81" s="18" t="inlineStr">
        <is>
          <t>marker apex − ±0.000 marker apex (same symbol)</t>
        </is>
      </c>
    </row>
    <row r="82">
      <c r="A82" s="18" t="inlineStr">
        <is>
          <t>S45</t>
        </is>
      </c>
      <c r="B82" s="18" t="inlineStr">
        <is>
          <t>+ 12,472M</t>
        </is>
      </c>
      <c r="C82" s="38" t="n">
        <v>12472</v>
      </c>
      <c r="D82" s="44" t="n">
        <v>12471.9</v>
      </c>
      <c r="E82" s="44" t="n">
        <v>-0.1</v>
      </c>
      <c r="F82" s="18" t="inlineStr">
        <is>
          <t>matches</t>
        </is>
      </c>
      <c r="G82" s="18" t="inlineStr">
        <is>
          <t>marker apex − ±0.000 marker apex (same symbol)</t>
        </is>
      </c>
    </row>
    <row r="83">
      <c r="A83" s="18" t="inlineStr">
        <is>
          <t>S45</t>
        </is>
      </c>
      <c r="B83" s="18" t="inlineStr">
        <is>
          <t>+ 8,575M</t>
        </is>
      </c>
      <c r="C83" s="38" t="n">
        <v>8575</v>
      </c>
      <c r="D83" s="44" t="n">
        <v>8575.4</v>
      </c>
      <c r="E83" s="44" t="n">
        <v>0.4</v>
      </c>
      <c r="F83" s="18" t="inlineStr">
        <is>
          <t>matches</t>
        </is>
      </c>
      <c r="G83" s="18" t="inlineStr">
        <is>
          <t>marker apex − ±0.000 marker apex (same symbol)</t>
        </is>
      </c>
    </row>
    <row r="84">
      <c r="A84" s="18" t="inlineStr">
        <is>
          <t>S45</t>
        </is>
      </c>
      <c r="B84" s="18" t="inlineStr">
        <is>
          <t>+ 6,324M</t>
        </is>
      </c>
      <c r="C84" s="38" t="n">
        <v>6324</v>
      </c>
      <c r="D84" s="44" t="n">
        <v>6323.9</v>
      </c>
      <c r="E84" s="44" t="n">
        <v>-0.1</v>
      </c>
      <c r="F84" s="18" t="inlineStr">
        <is>
          <t>matches</t>
        </is>
      </c>
      <c r="G84" s="18" t="inlineStr">
        <is>
          <t>marker apex − ±0.000 marker apex (same symbol)</t>
        </is>
      </c>
    </row>
    <row r="85">
      <c r="A85" s="18" t="inlineStr">
        <is>
          <t>S45</t>
        </is>
      </c>
      <c r="B85" s="18" t="inlineStr">
        <is>
          <t>+ 00</t>
        </is>
      </c>
      <c r="C85" s="38" t="n">
        <v>0</v>
      </c>
      <c r="D85" s="38" t="n">
        <v>0</v>
      </c>
      <c r="E85" s="38" t="n">
        <v>0</v>
      </c>
      <c r="F85" s="18" t="inlineStr">
        <is>
          <t>matches</t>
        </is>
      </c>
      <c r="G85" s="18" t="inlineStr">
        <is>
          <t>marker apex − ±0.000 marker apex (same symbol)</t>
        </is>
      </c>
    </row>
    <row r="86">
      <c r="A86" s="18" t="inlineStr">
        <is>
          <t>S45</t>
        </is>
      </c>
      <c r="B86" s="18" t="inlineStr">
        <is>
          <t>MẶT SÂN - 2,08M</t>
        </is>
      </c>
      <c r="C86" s="38" t="n">
        <v>-2080</v>
      </c>
      <c r="D86" s="38" t="n">
        <v>-2080</v>
      </c>
      <c r="E86" s="38" t="n">
        <v>0</v>
      </c>
      <c r="F86" s="18" t="inlineStr">
        <is>
          <t>matches</t>
        </is>
      </c>
      <c r="G86" s="18" t="inlineStr">
        <is>
          <t>marker apex − ±0.000 marker apex (same symbol)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18324B"/>
    <outlinePr summaryBelow="1" summaryRight="1"/>
    <pageSetUpPr/>
  </sheetPr>
  <dimension ref="A2:F14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14" customWidth="1" min="5" max="5"/>
    <col width="12" customWidth="1" min="6" max="6"/>
  </cols>
  <sheetData>
    <row r="1" ht="25" customHeight="1"/>
    <row r="2" ht="25" customHeight="1">
      <c r="A2" s="3" t="inlineStr">
        <is>
          <t>KIỂM TRA LƯỚI TRỤC / GRID CHECK</t>
        </is>
      </c>
    </row>
    <row r="3" ht="25" customHeight="1"/>
    <row r="4" ht="25" customHeight="1">
      <c r="A4" s="5" t="inlineStr">
        <is>
          <t>Đường tim vẽ trong DWG so với Model grid. / Drawn centrelines (layer “duong tim”) against the Model grid.</t>
        </is>
      </c>
    </row>
    <row r="7">
      <c r="A7" s="14" t="inlineStr">
        <is>
          <t>Bản vẽ / Drawing</t>
        </is>
      </c>
      <c r="B7" s="14" t="inlineStr">
        <is>
          <t>Trục 3D / Axis</t>
        </is>
      </c>
      <c r="C7" s="14" t="inlineStr">
        <is>
          <t>Trục / Grid</t>
        </is>
      </c>
      <c r="D7" s="14" t="inlineStr">
        <is>
          <t>Register (mm)</t>
        </is>
      </c>
      <c r="E7" s="14" t="inlineStr">
        <is>
          <t>DWG (mm)</t>
        </is>
      </c>
      <c r="F7" s="14" t="inlineStr">
        <is>
          <t>Chênh (mm) / Δ</t>
        </is>
      </c>
    </row>
    <row r="8">
      <c r="A8" s="18" t="inlineStr">
        <is>
          <t>P05</t>
        </is>
      </c>
      <c r="B8" s="18" t="inlineStr">
        <is>
          <t>X</t>
        </is>
      </c>
      <c r="C8" s="18" t="inlineStr">
        <is>
          <t>1</t>
        </is>
      </c>
      <c r="D8" s="38" t="n">
        <v>0</v>
      </c>
      <c r="E8" s="38" t="n">
        <v>0</v>
      </c>
      <c r="F8" s="38" t="n">
        <v>0</v>
      </c>
    </row>
    <row r="9">
      <c r="A9" s="18" t="inlineStr">
        <is>
          <t>P05</t>
        </is>
      </c>
      <c r="B9" s="18" t="inlineStr">
        <is>
          <t>X</t>
        </is>
      </c>
      <c r="C9" s="18" t="inlineStr">
        <is>
          <t>2</t>
        </is>
      </c>
      <c r="D9" s="38" t="n">
        <v>4900</v>
      </c>
      <c r="E9" s="38" t="n">
        <v>4900</v>
      </c>
      <c r="F9" s="38" t="n">
        <v>0</v>
      </c>
    </row>
    <row r="10">
      <c r="A10" s="18" t="inlineStr">
        <is>
          <t>P05</t>
        </is>
      </c>
      <c r="B10" s="18" t="inlineStr">
        <is>
          <t>X</t>
        </is>
      </c>
      <c r="C10" s="18" t="inlineStr">
        <is>
          <t>2′</t>
        </is>
      </c>
      <c r="D10" s="38" t="n">
        <v>5475</v>
      </c>
      <c r="E10" s="38" t="n">
        <v>5475</v>
      </c>
      <c r="F10" s="38" t="n">
        <v>0</v>
      </c>
    </row>
    <row r="11">
      <c r="A11" s="18" t="inlineStr">
        <is>
          <t>P05</t>
        </is>
      </c>
      <c r="B11" s="18" t="inlineStr">
        <is>
          <t>X</t>
        </is>
      </c>
      <c r="C11" s="18" t="inlineStr">
        <is>
          <t>3</t>
        </is>
      </c>
      <c r="D11" s="38" t="n">
        <v>9975</v>
      </c>
      <c r="E11" s="38" t="n">
        <v>9975</v>
      </c>
      <c r="F11" s="38" t="n">
        <v>0</v>
      </c>
    </row>
    <row r="12">
      <c r="A12" s="18" t="inlineStr">
        <is>
          <t>P05</t>
        </is>
      </c>
      <c r="B12" s="18" t="inlineStr">
        <is>
          <t>X</t>
        </is>
      </c>
      <c r="C12" s="18" t="inlineStr">
        <is>
          <t>4</t>
        </is>
      </c>
      <c r="D12" s="38" t="n">
        <v>14475</v>
      </c>
      <c r="E12" s="38" t="n">
        <v>14475</v>
      </c>
      <c r="F12" s="38" t="n">
        <v>0</v>
      </c>
    </row>
    <row r="13">
      <c r="A13" s="18" t="inlineStr">
        <is>
          <t>P05</t>
        </is>
      </c>
      <c r="B13" s="18" t="inlineStr">
        <is>
          <t>X</t>
        </is>
      </c>
      <c r="C13" s="18" t="inlineStr">
        <is>
          <t>5</t>
        </is>
      </c>
      <c r="D13" s="38" t="n">
        <v>18975</v>
      </c>
      <c r="E13" s="38" t="n">
        <v>18975</v>
      </c>
      <c r="F13" s="38" t="n">
        <v>0</v>
      </c>
    </row>
    <row r="14">
      <c r="A14" s="18" t="inlineStr">
        <is>
          <t>P05</t>
        </is>
      </c>
      <c r="B14" s="18" t="inlineStr">
        <is>
          <t>X</t>
        </is>
      </c>
      <c r="C14" s="18" t="inlineStr">
        <is>
          <t>6</t>
        </is>
      </c>
      <c r="D14" s="38" t="n">
        <v>23475</v>
      </c>
      <c r="E14" s="38" t="n">
        <v>23475</v>
      </c>
      <c r="F14" s="38" t="n">
        <v>0</v>
      </c>
    </row>
    <row r="15">
      <c r="A15" s="18" t="inlineStr">
        <is>
          <t>P05</t>
        </is>
      </c>
      <c r="B15" s="18" t="inlineStr">
        <is>
          <t>X</t>
        </is>
      </c>
      <c r="C15" s="18" t="inlineStr">
        <is>
          <t>7</t>
        </is>
      </c>
      <c r="D15" s="38" t="n">
        <v>27975</v>
      </c>
      <c r="E15" s="38" t="n">
        <v>27975</v>
      </c>
      <c r="F15" s="38" t="n">
        <v>0</v>
      </c>
    </row>
    <row r="16">
      <c r="A16" s="18" t="inlineStr">
        <is>
          <t>P05</t>
        </is>
      </c>
      <c r="B16" s="18" t="inlineStr">
        <is>
          <t>X</t>
        </is>
      </c>
      <c r="C16" s="18" t="inlineStr">
        <is>
          <t>8</t>
        </is>
      </c>
      <c r="D16" s="38" t="n">
        <v>32475</v>
      </c>
      <c r="E16" s="38" t="n">
        <v>32475</v>
      </c>
      <c r="F16" s="38" t="n">
        <v>0</v>
      </c>
    </row>
    <row r="17">
      <c r="A17" s="18" t="inlineStr">
        <is>
          <t>P05</t>
        </is>
      </c>
      <c r="B17" s="18" t="inlineStr">
        <is>
          <t>X</t>
        </is>
      </c>
      <c r="C17" s="18" t="inlineStr">
        <is>
          <t>9</t>
        </is>
      </c>
      <c r="D17" s="38" t="n">
        <v>36975</v>
      </c>
      <c r="E17" s="38" t="n">
        <v>36975</v>
      </c>
      <c r="F17" s="38" t="n">
        <v>0</v>
      </c>
    </row>
    <row r="18">
      <c r="A18" s="18" t="inlineStr">
        <is>
          <t>P05</t>
        </is>
      </c>
      <c r="B18" s="18" t="inlineStr">
        <is>
          <t>X</t>
        </is>
      </c>
      <c r="C18" s="18" t="inlineStr">
        <is>
          <t>10</t>
        </is>
      </c>
      <c r="D18" s="38" t="n">
        <v>44175</v>
      </c>
      <c r="E18" s="38" t="n">
        <v>44175</v>
      </c>
      <c r="F18" s="38" t="n">
        <v>0</v>
      </c>
    </row>
    <row r="19">
      <c r="A19" s="18" t="inlineStr">
        <is>
          <t>P05</t>
        </is>
      </c>
      <c r="B19" s="18" t="inlineStr">
        <is>
          <t>X</t>
        </is>
      </c>
      <c r="C19" s="18" t="inlineStr">
        <is>
          <t>11</t>
        </is>
      </c>
      <c r="D19" s="38" t="n">
        <v>48675</v>
      </c>
      <c r="E19" s="38" t="n">
        <v>48675</v>
      </c>
      <c r="F19" s="38" t="n">
        <v>0</v>
      </c>
    </row>
    <row r="20">
      <c r="A20" s="18" t="inlineStr">
        <is>
          <t>P05</t>
        </is>
      </c>
      <c r="B20" s="18" t="inlineStr">
        <is>
          <t>X</t>
        </is>
      </c>
      <c r="C20" s="18" t="inlineStr">
        <is>
          <t>12</t>
        </is>
      </c>
      <c r="D20" s="38" t="n">
        <v>53016</v>
      </c>
      <c r="E20" s="38" t="n">
        <v>53016</v>
      </c>
      <c r="F20" s="38" t="n">
        <v>0</v>
      </c>
    </row>
    <row r="21">
      <c r="A21" s="18" t="inlineStr">
        <is>
          <t>P05</t>
        </is>
      </c>
      <c r="B21" s="18" t="inlineStr">
        <is>
          <t>Z</t>
        </is>
      </c>
      <c r="C21" s="18" t="inlineStr">
        <is>
          <t>A</t>
        </is>
      </c>
      <c r="D21" s="38" t="n">
        <v>-13249</v>
      </c>
      <c r="E21" s="38" t="n">
        <v>-13249</v>
      </c>
      <c r="F21" s="38" t="n">
        <v>0</v>
      </c>
    </row>
    <row r="22">
      <c r="A22" s="18" t="inlineStr">
        <is>
          <t>P05</t>
        </is>
      </c>
      <c r="B22" s="18" t="inlineStr">
        <is>
          <t>Z</t>
        </is>
      </c>
      <c r="C22" s="18" t="inlineStr">
        <is>
          <t>B</t>
        </is>
      </c>
      <c r="D22" s="38" t="n">
        <v>-10414</v>
      </c>
      <c r="E22" s="38" t="n">
        <v>-10414</v>
      </c>
      <c r="F22" s="38" t="n">
        <v>0</v>
      </c>
    </row>
    <row r="23">
      <c r="A23" s="18" t="inlineStr">
        <is>
          <t>P05</t>
        </is>
      </c>
      <c r="B23" s="18" t="inlineStr">
        <is>
          <t>Z</t>
        </is>
      </c>
      <c r="C23" s="18" t="inlineStr">
        <is>
          <t>C</t>
        </is>
      </c>
      <c r="D23" s="38" t="n">
        <v>-7360</v>
      </c>
      <c r="E23" s="38" t="n">
        <v>-7360</v>
      </c>
      <c r="F23" s="38" t="n">
        <v>0</v>
      </c>
    </row>
    <row r="24">
      <c r="A24" s="18" t="inlineStr">
        <is>
          <t>P05</t>
        </is>
      </c>
      <c r="B24" s="18" t="inlineStr">
        <is>
          <t>Z</t>
        </is>
      </c>
      <c r="C24" s="18" t="inlineStr">
        <is>
          <t>D</t>
        </is>
      </c>
      <c r="D24" s="38" t="n">
        <v>-3600</v>
      </c>
      <c r="E24" s="38" t="n">
        <v>-3600</v>
      </c>
      <c r="F24" s="38" t="n">
        <v>0</v>
      </c>
    </row>
    <row r="25">
      <c r="A25" s="18" t="inlineStr">
        <is>
          <t>P05</t>
        </is>
      </c>
      <c r="B25" s="18" t="inlineStr">
        <is>
          <t>Z</t>
        </is>
      </c>
      <c r="C25" s="18" t="inlineStr">
        <is>
          <t>E</t>
        </is>
      </c>
      <c r="D25" s="38" t="n">
        <v>3600</v>
      </c>
      <c r="E25" s="38" t="n">
        <v>3600</v>
      </c>
      <c r="F25" s="38" t="n">
        <v>0</v>
      </c>
    </row>
    <row r="26">
      <c r="A26" s="18" t="inlineStr">
        <is>
          <t>P05</t>
        </is>
      </c>
      <c r="B26" s="18" t="inlineStr">
        <is>
          <t>Z</t>
        </is>
      </c>
      <c r="C26" s="18" t="inlineStr">
        <is>
          <t>G</t>
        </is>
      </c>
      <c r="D26" s="38" t="n">
        <v>7360</v>
      </c>
      <c r="E26" s="38" t="n">
        <v>7360</v>
      </c>
      <c r="F26" s="38" t="n">
        <v>0</v>
      </c>
    </row>
    <row r="27">
      <c r="A27" s="18" t="inlineStr">
        <is>
          <t>P05</t>
        </is>
      </c>
      <c r="B27" s="18" t="inlineStr">
        <is>
          <t>Z</t>
        </is>
      </c>
      <c r="C27" s="18" t="inlineStr">
        <is>
          <t>H</t>
        </is>
      </c>
      <c r="D27" s="38" t="n">
        <v>10414</v>
      </c>
      <c r="E27" s="38" t="n">
        <v>10414</v>
      </c>
      <c r="F27" s="38" t="n">
        <v>0</v>
      </c>
    </row>
    <row r="28">
      <c r="A28" s="18" t="inlineStr">
        <is>
          <t>P05</t>
        </is>
      </c>
      <c r="B28" s="18" t="inlineStr">
        <is>
          <t>Z</t>
        </is>
      </c>
      <c r="C28" s="18" t="inlineStr">
        <is>
          <t>I</t>
        </is>
      </c>
      <c r="D28" s="38" t="n">
        <v>13249</v>
      </c>
      <c r="E28" s="38" t="n">
        <v>13249</v>
      </c>
      <c r="F28" s="38" t="n">
        <v>0</v>
      </c>
    </row>
    <row r="29">
      <c r="A29" s="18" t="inlineStr">
        <is>
          <t>P05</t>
        </is>
      </c>
      <c r="B29" s="18" t="inlineStr">
        <is>
          <t>X</t>
        </is>
      </c>
      <c r="C29" s="18" t="inlineStr">
        <is>
          <t>(extra centreline)</t>
        </is>
      </c>
      <c r="D29" s="18" t="n"/>
      <c r="E29" s="44" t="n">
        <v>-1939.3</v>
      </c>
      <c r="F29" s="18" t="n"/>
    </row>
    <row r="30">
      <c r="A30" s="18" t="inlineStr">
        <is>
          <t>P05</t>
        </is>
      </c>
      <c r="B30" s="18" t="inlineStr">
        <is>
          <t>X</t>
        </is>
      </c>
      <c r="C30" s="18" t="inlineStr">
        <is>
          <t>(extra centreline)</t>
        </is>
      </c>
      <c r="D30" s="18" t="n"/>
      <c r="E30" s="44" t="n">
        <v>-0.7</v>
      </c>
      <c r="F30" s="18" t="n"/>
    </row>
    <row r="31">
      <c r="A31" s="18" t="inlineStr">
        <is>
          <t>P05</t>
        </is>
      </c>
      <c r="B31" s="18" t="inlineStr">
        <is>
          <t>X</t>
        </is>
      </c>
      <c r="C31" s="18" t="inlineStr">
        <is>
          <t>(extra centreline)</t>
        </is>
      </c>
      <c r="D31" s="18" t="n"/>
      <c r="E31" s="44" t="n">
        <v>2604.5</v>
      </c>
      <c r="F31" s="18" t="n"/>
    </row>
    <row r="32">
      <c r="A32" s="18" t="inlineStr">
        <is>
          <t>P05</t>
        </is>
      </c>
      <c r="B32" s="18" t="inlineStr">
        <is>
          <t>X</t>
        </is>
      </c>
      <c r="C32" s="18" t="inlineStr">
        <is>
          <t>(extra centreline)</t>
        </is>
      </c>
      <c r="D32" s="18" t="n"/>
      <c r="E32" s="38" t="n">
        <v>2605</v>
      </c>
      <c r="F32" s="18" t="n"/>
    </row>
    <row r="33">
      <c r="A33" s="18" t="inlineStr">
        <is>
          <t>P05</t>
        </is>
      </c>
      <c r="B33" s="18" t="inlineStr">
        <is>
          <t>X</t>
        </is>
      </c>
      <c r="C33" s="18" t="inlineStr">
        <is>
          <t>(extra centreline)</t>
        </is>
      </c>
      <c r="D33" s="18" t="n"/>
      <c r="E33" s="44" t="n">
        <v>4899.3</v>
      </c>
      <c r="F33" s="18" t="n"/>
    </row>
    <row r="34">
      <c r="A34" s="18" t="inlineStr">
        <is>
          <t>P05</t>
        </is>
      </c>
      <c r="B34" s="18" t="inlineStr">
        <is>
          <t>X</t>
        </is>
      </c>
      <c r="C34" s="18" t="inlineStr">
        <is>
          <t>(extra centreline)</t>
        </is>
      </c>
      <c r="D34" s="18" t="n"/>
      <c r="E34" s="44" t="n">
        <v>40574.4</v>
      </c>
      <c r="F34" s="18" t="n"/>
    </row>
    <row r="35">
      <c r="A35" s="18" t="inlineStr">
        <is>
          <t>P05</t>
        </is>
      </c>
      <c r="B35" s="18" t="inlineStr">
        <is>
          <t>X</t>
        </is>
      </c>
      <c r="C35" s="18" t="inlineStr">
        <is>
          <t>(extra centreline)</t>
        </is>
      </c>
      <c r="D35" s="18" t="n"/>
      <c r="E35" s="38" t="n">
        <v>49675</v>
      </c>
      <c r="F35" s="18" t="n"/>
    </row>
    <row r="36">
      <c r="A36" s="18" t="inlineStr">
        <is>
          <t>P05</t>
        </is>
      </c>
      <c r="B36" s="18" t="inlineStr">
        <is>
          <t>Z</t>
        </is>
      </c>
      <c r="C36" s="18" t="inlineStr">
        <is>
          <t>(extra centreline)</t>
        </is>
      </c>
      <c r="D36" s="18" t="n"/>
      <c r="E36" s="38" t="n">
        <v>-12603</v>
      </c>
      <c r="F36" s="18" t="n"/>
    </row>
    <row r="37">
      <c r="A37" s="18" t="inlineStr">
        <is>
          <t>P05</t>
        </is>
      </c>
      <c r="B37" s="18" t="inlineStr">
        <is>
          <t>Z</t>
        </is>
      </c>
      <c r="C37" s="18" t="inlineStr">
        <is>
          <t>(extra centreline)</t>
        </is>
      </c>
      <c r="D37" s="18" t="n"/>
      <c r="E37" s="44" t="n">
        <v>-12602.9</v>
      </c>
      <c r="F37" s="18" t="n"/>
    </row>
    <row r="38">
      <c r="A38" s="18" t="inlineStr">
        <is>
          <t>P05</t>
        </is>
      </c>
      <c r="B38" s="18" t="inlineStr">
        <is>
          <t>Z</t>
        </is>
      </c>
      <c r="C38" s="18" t="inlineStr">
        <is>
          <t>(extra centreline)</t>
        </is>
      </c>
      <c r="D38" s="18" t="n"/>
      <c r="E38" s="38" t="n">
        <v>-7703</v>
      </c>
      <c r="F38" s="18" t="n"/>
    </row>
    <row r="39">
      <c r="A39" s="18" t="inlineStr">
        <is>
          <t>P05</t>
        </is>
      </c>
      <c r="B39" s="18" t="inlineStr">
        <is>
          <t>Z</t>
        </is>
      </c>
      <c r="C39" s="18" t="inlineStr">
        <is>
          <t>(extra centreline)</t>
        </is>
      </c>
      <c r="D39" s="18" t="n"/>
      <c r="E39" s="38" t="n">
        <v>-2979</v>
      </c>
      <c r="F39" s="18" t="n"/>
    </row>
    <row r="40">
      <c r="A40" s="18" t="inlineStr">
        <is>
          <t>P05</t>
        </is>
      </c>
      <c r="B40" s="18" t="inlineStr">
        <is>
          <t>Z</t>
        </is>
      </c>
      <c r="C40" s="18" t="inlineStr">
        <is>
          <t>(extra centreline)</t>
        </is>
      </c>
      <c r="D40" s="18" t="n"/>
      <c r="E40" s="44" t="n">
        <v>2979.6</v>
      </c>
      <c r="F40" s="18" t="n"/>
    </row>
    <row r="41">
      <c r="A41" s="18" t="inlineStr">
        <is>
          <t>P05</t>
        </is>
      </c>
      <c r="B41" s="18" t="inlineStr">
        <is>
          <t>Z</t>
        </is>
      </c>
      <c r="C41" s="18" t="inlineStr">
        <is>
          <t>(extra centreline)</t>
        </is>
      </c>
      <c r="D41" s="18" t="n"/>
      <c r="E41" s="44" t="n">
        <v>7703.6</v>
      </c>
      <c r="F41" s="18" t="n"/>
    </row>
    <row r="42">
      <c r="A42" s="18" t="inlineStr">
        <is>
          <t>P05</t>
        </is>
      </c>
      <c r="B42" s="18" t="inlineStr">
        <is>
          <t>Z</t>
        </is>
      </c>
      <c r="C42" s="18" t="inlineStr">
        <is>
          <t>(extra centreline)</t>
        </is>
      </c>
      <c r="D42" s="18" t="n"/>
      <c r="E42" s="44" t="n">
        <v>14542.5</v>
      </c>
      <c r="F42" s="18" t="n"/>
    </row>
    <row r="43">
      <c r="A43" s="18" t="inlineStr">
        <is>
          <t>P14</t>
        </is>
      </c>
      <c r="B43" s="18" t="inlineStr">
        <is>
          <t>X</t>
        </is>
      </c>
      <c r="C43" s="18" t="inlineStr">
        <is>
          <t>1</t>
        </is>
      </c>
      <c r="D43" s="38" t="n">
        <v>0</v>
      </c>
      <c r="E43" s="38" t="n">
        <v>0</v>
      </c>
      <c r="F43" s="38" t="n">
        <v>0</v>
      </c>
    </row>
    <row r="44">
      <c r="A44" s="18" t="inlineStr">
        <is>
          <t>P14</t>
        </is>
      </c>
      <c r="B44" s="18" t="inlineStr">
        <is>
          <t>X</t>
        </is>
      </c>
      <c r="C44" s="18" t="inlineStr">
        <is>
          <t>2</t>
        </is>
      </c>
      <c r="D44" s="38" t="n">
        <v>4900</v>
      </c>
      <c r="E44" s="38" t="n">
        <v>4900</v>
      </c>
      <c r="F44" s="38" t="n">
        <v>0</v>
      </c>
    </row>
    <row r="45">
      <c r="A45" s="18" t="inlineStr">
        <is>
          <t>P14</t>
        </is>
      </c>
      <c r="B45" s="18" t="inlineStr">
        <is>
          <t>X</t>
        </is>
      </c>
      <c r="C45" s="18" t="inlineStr">
        <is>
          <t>2′</t>
        </is>
      </c>
      <c r="D45" s="38" t="n">
        <v>5475</v>
      </c>
      <c r="E45" s="38" t="n">
        <v>5475</v>
      </c>
      <c r="F45" s="38" t="n">
        <v>0</v>
      </c>
    </row>
    <row r="46">
      <c r="A46" s="18" t="inlineStr">
        <is>
          <t>P14</t>
        </is>
      </c>
      <c r="B46" s="18" t="inlineStr">
        <is>
          <t>X</t>
        </is>
      </c>
      <c r="C46" s="18" t="inlineStr">
        <is>
          <t>3</t>
        </is>
      </c>
      <c r="D46" s="38" t="n">
        <v>9975</v>
      </c>
      <c r="E46" s="38" t="n">
        <v>9975</v>
      </c>
      <c r="F46" s="38" t="n">
        <v>0</v>
      </c>
    </row>
    <row r="47">
      <c r="A47" s="18" t="inlineStr">
        <is>
          <t>P14</t>
        </is>
      </c>
      <c r="B47" s="18" t="inlineStr">
        <is>
          <t>X</t>
        </is>
      </c>
      <c r="C47" s="18" t="inlineStr">
        <is>
          <t>4</t>
        </is>
      </c>
      <c r="D47" s="38" t="n">
        <v>14475</v>
      </c>
      <c r="E47" s="38" t="n">
        <v>14475</v>
      </c>
      <c r="F47" s="38" t="n">
        <v>0</v>
      </c>
    </row>
    <row r="48">
      <c r="A48" s="18" t="inlineStr">
        <is>
          <t>P14</t>
        </is>
      </c>
      <c r="B48" s="18" t="inlineStr">
        <is>
          <t>X</t>
        </is>
      </c>
      <c r="C48" s="18" t="inlineStr">
        <is>
          <t>5</t>
        </is>
      </c>
      <c r="D48" s="38" t="n">
        <v>18975</v>
      </c>
      <c r="E48" s="38" t="n">
        <v>18975</v>
      </c>
      <c r="F48" s="38" t="n">
        <v>0</v>
      </c>
    </row>
    <row r="49">
      <c r="A49" s="18" t="inlineStr">
        <is>
          <t>P14</t>
        </is>
      </c>
      <c r="B49" s="18" t="inlineStr">
        <is>
          <t>X</t>
        </is>
      </c>
      <c r="C49" s="18" t="inlineStr">
        <is>
          <t>6</t>
        </is>
      </c>
      <c r="D49" s="38" t="n">
        <v>23475</v>
      </c>
      <c r="E49" s="38" t="n">
        <v>23475</v>
      </c>
      <c r="F49" s="38" t="n">
        <v>0</v>
      </c>
    </row>
    <row r="50">
      <c r="A50" s="18" t="inlineStr">
        <is>
          <t>P14</t>
        </is>
      </c>
      <c r="B50" s="18" t="inlineStr">
        <is>
          <t>X</t>
        </is>
      </c>
      <c r="C50" s="18" t="inlineStr">
        <is>
          <t>7</t>
        </is>
      </c>
      <c r="D50" s="38" t="n">
        <v>27975</v>
      </c>
      <c r="E50" s="38" t="n">
        <v>27975</v>
      </c>
      <c r="F50" s="38" t="n">
        <v>0</v>
      </c>
    </row>
    <row r="51">
      <c r="A51" s="18" t="inlineStr">
        <is>
          <t>P14</t>
        </is>
      </c>
      <c r="B51" s="18" t="inlineStr">
        <is>
          <t>X</t>
        </is>
      </c>
      <c r="C51" s="18" t="inlineStr">
        <is>
          <t>8</t>
        </is>
      </c>
      <c r="D51" s="38" t="n">
        <v>32475</v>
      </c>
      <c r="E51" s="38" t="n">
        <v>32475</v>
      </c>
      <c r="F51" s="38" t="n">
        <v>0</v>
      </c>
    </row>
    <row r="52">
      <c r="A52" s="18" t="inlineStr">
        <is>
          <t>P14</t>
        </is>
      </c>
      <c r="B52" s="18" t="inlineStr">
        <is>
          <t>X</t>
        </is>
      </c>
      <c r="C52" s="18" t="inlineStr">
        <is>
          <t>9</t>
        </is>
      </c>
      <c r="D52" s="38" t="n">
        <v>36975</v>
      </c>
      <c r="E52" s="38" t="n">
        <v>36975</v>
      </c>
      <c r="F52" s="38" t="n">
        <v>0</v>
      </c>
    </row>
    <row r="53">
      <c r="A53" s="18" t="inlineStr">
        <is>
          <t>P14</t>
        </is>
      </c>
      <c r="B53" s="18" t="inlineStr">
        <is>
          <t>X</t>
        </is>
      </c>
      <c r="C53" s="18" t="inlineStr">
        <is>
          <t>10</t>
        </is>
      </c>
      <c r="D53" s="38" t="n">
        <v>44175</v>
      </c>
      <c r="E53" s="38" t="n">
        <v>44175</v>
      </c>
      <c r="F53" s="38" t="n">
        <v>0</v>
      </c>
    </row>
    <row r="54">
      <c r="A54" s="18" t="inlineStr">
        <is>
          <t>P14</t>
        </is>
      </c>
      <c r="B54" s="18" t="inlineStr">
        <is>
          <t>X</t>
        </is>
      </c>
      <c r="C54" s="18" t="inlineStr">
        <is>
          <t>11</t>
        </is>
      </c>
      <c r="D54" s="38" t="n">
        <v>48675</v>
      </c>
      <c r="E54" s="38" t="n">
        <v>48675</v>
      </c>
      <c r="F54" s="38" t="n">
        <v>0</v>
      </c>
    </row>
    <row r="55">
      <c r="A55" s="18" t="inlineStr">
        <is>
          <t>P14</t>
        </is>
      </c>
      <c r="B55" s="18" t="inlineStr">
        <is>
          <t>X</t>
        </is>
      </c>
      <c r="C55" s="18" t="inlineStr">
        <is>
          <t>12</t>
        </is>
      </c>
      <c r="D55" s="38" t="n">
        <v>53016</v>
      </c>
      <c r="E55" s="38" t="n">
        <v>53016</v>
      </c>
      <c r="F55" s="38" t="n">
        <v>0</v>
      </c>
    </row>
    <row r="56">
      <c r="A56" s="18" t="inlineStr">
        <is>
          <t>P14</t>
        </is>
      </c>
      <c r="B56" s="18" t="inlineStr">
        <is>
          <t>Z</t>
        </is>
      </c>
      <c r="C56" s="18" t="inlineStr">
        <is>
          <t>A</t>
        </is>
      </c>
      <c r="D56" s="38" t="n">
        <v>-13249</v>
      </c>
      <c r="E56" s="38" t="n">
        <v>-13249</v>
      </c>
      <c r="F56" s="38" t="n">
        <v>0</v>
      </c>
    </row>
    <row r="57">
      <c r="A57" s="18" t="inlineStr">
        <is>
          <t>P14</t>
        </is>
      </c>
      <c r="B57" s="18" t="inlineStr">
        <is>
          <t>Z</t>
        </is>
      </c>
      <c r="C57" s="18" t="inlineStr">
        <is>
          <t>B</t>
        </is>
      </c>
      <c r="D57" s="38" t="n">
        <v>-10414</v>
      </c>
      <c r="E57" s="38" t="n">
        <v>-10414</v>
      </c>
      <c r="F57" s="38" t="n">
        <v>0</v>
      </c>
    </row>
    <row r="58">
      <c r="A58" s="18" t="inlineStr">
        <is>
          <t>P14</t>
        </is>
      </c>
      <c r="B58" s="18" t="inlineStr">
        <is>
          <t>Z</t>
        </is>
      </c>
      <c r="C58" s="18" t="inlineStr">
        <is>
          <t>C</t>
        </is>
      </c>
      <c r="D58" s="38" t="n">
        <v>-7360</v>
      </c>
      <c r="E58" s="38" t="n">
        <v>-7360</v>
      </c>
      <c r="F58" s="38" t="n">
        <v>0</v>
      </c>
    </row>
    <row r="59">
      <c r="A59" s="18" t="inlineStr">
        <is>
          <t>P14</t>
        </is>
      </c>
      <c r="B59" s="18" t="inlineStr">
        <is>
          <t>Z</t>
        </is>
      </c>
      <c r="C59" s="18" t="inlineStr">
        <is>
          <t>D</t>
        </is>
      </c>
      <c r="D59" s="38" t="n">
        <v>-3600</v>
      </c>
      <c r="E59" s="38" t="n">
        <v>-3600</v>
      </c>
      <c r="F59" s="38" t="n">
        <v>0</v>
      </c>
    </row>
    <row r="60">
      <c r="A60" s="18" t="inlineStr">
        <is>
          <t>P14</t>
        </is>
      </c>
      <c r="B60" s="18" t="inlineStr">
        <is>
          <t>Z</t>
        </is>
      </c>
      <c r="C60" s="18" t="inlineStr">
        <is>
          <t>E</t>
        </is>
      </c>
      <c r="D60" s="38" t="n">
        <v>3600</v>
      </c>
      <c r="E60" s="38" t="n">
        <v>3600</v>
      </c>
      <c r="F60" s="38" t="n">
        <v>0</v>
      </c>
    </row>
    <row r="61">
      <c r="A61" s="18" t="inlineStr">
        <is>
          <t>P14</t>
        </is>
      </c>
      <c r="B61" s="18" t="inlineStr">
        <is>
          <t>Z</t>
        </is>
      </c>
      <c r="C61" s="18" t="inlineStr">
        <is>
          <t>G</t>
        </is>
      </c>
      <c r="D61" s="38" t="n">
        <v>7360</v>
      </c>
      <c r="E61" s="38" t="n">
        <v>7360</v>
      </c>
      <c r="F61" s="38" t="n">
        <v>0</v>
      </c>
    </row>
    <row r="62">
      <c r="A62" s="18" t="inlineStr">
        <is>
          <t>P14</t>
        </is>
      </c>
      <c r="B62" s="18" t="inlineStr">
        <is>
          <t>Z</t>
        </is>
      </c>
      <c r="C62" s="18" t="inlineStr">
        <is>
          <t>H</t>
        </is>
      </c>
      <c r="D62" s="38" t="n">
        <v>10414</v>
      </c>
      <c r="E62" s="38" t="n">
        <v>10414</v>
      </c>
      <c r="F62" s="38" t="n">
        <v>0</v>
      </c>
    </row>
    <row r="63">
      <c r="A63" s="18" t="inlineStr">
        <is>
          <t>P14</t>
        </is>
      </c>
      <c r="B63" s="18" t="inlineStr">
        <is>
          <t>Z</t>
        </is>
      </c>
      <c r="C63" s="18" t="inlineStr">
        <is>
          <t>I</t>
        </is>
      </c>
      <c r="D63" s="38" t="n">
        <v>13249</v>
      </c>
      <c r="E63" s="38" t="n">
        <v>13249</v>
      </c>
      <c r="F63" s="38" t="n">
        <v>0</v>
      </c>
    </row>
    <row r="64">
      <c r="A64" s="18" t="inlineStr">
        <is>
          <t>P14</t>
        </is>
      </c>
      <c r="B64" s="18" t="inlineStr">
        <is>
          <t>X</t>
        </is>
      </c>
      <c r="C64" s="18" t="inlineStr">
        <is>
          <t>(extra centreline)</t>
        </is>
      </c>
      <c r="D64" s="18" t="n"/>
      <c r="E64" s="44" t="n">
        <v>2604.4</v>
      </c>
      <c r="F64" s="18" t="n"/>
    </row>
    <row r="65">
      <c r="A65" s="18" t="inlineStr">
        <is>
          <t>P14</t>
        </is>
      </c>
      <c r="B65" s="18" t="inlineStr">
        <is>
          <t>X</t>
        </is>
      </c>
      <c r="C65" s="18" t="inlineStr">
        <is>
          <t>(extra centreline)</t>
        </is>
      </c>
      <c r="D65" s="18" t="n"/>
      <c r="E65" s="44" t="n">
        <v>2604.5</v>
      </c>
      <c r="F65" s="18" t="n"/>
    </row>
    <row r="66">
      <c r="A66" s="18" t="inlineStr">
        <is>
          <t>P14</t>
        </is>
      </c>
      <c r="B66" s="18" t="inlineStr">
        <is>
          <t>X</t>
        </is>
      </c>
      <c r="C66" s="18" t="inlineStr">
        <is>
          <t>(extra centreline)</t>
        </is>
      </c>
      <c r="D66" s="18" t="n"/>
      <c r="E66" s="44" t="n">
        <v>40574.4</v>
      </c>
      <c r="F66" s="18" t="n"/>
    </row>
    <row r="67">
      <c r="A67" s="18" t="inlineStr">
        <is>
          <t>P14</t>
        </is>
      </c>
      <c r="B67" s="18" t="inlineStr">
        <is>
          <t>Z</t>
        </is>
      </c>
      <c r="C67" s="18" t="inlineStr">
        <is>
          <t>(extra centreline)</t>
        </is>
      </c>
      <c r="D67" s="18" t="n"/>
      <c r="E67" s="44" t="n">
        <v>-7703.9</v>
      </c>
      <c r="F67" s="18" t="n"/>
    </row>
    <row r="68">
      <c r="A68" s="18" t="inlineStr">
        <is>
          <t>P14</t>
        </is>
      </c>
      <c r="B68" s="18" t="inlineStr">
        <is>
          <t>Z</t>
        </is>
      </c>
      <c r="C68" s="18" t="inlineStr">
        <is>
          <t>(extra centreline)</t>
        </is>
      </c>
      <c r="D68" s="18" t="n"/>
      <c r="E68" s="44" t="n">
        <v>-2979.9</v>
      </c>
      <c r="F68" s="18" t="n"/>
    </row>
    <row r="69">
      <c r="A69" s="18" t="inlineStr">
        <is>
          <t>P14</t>
        </is>
      </c>
      <c r="B69" s="18" t="inlineStr">
        <is>
          <t>Z</t>
        </is>
      </c>
      <c r="C69" s="18" t="inlineStr">
        <is>
          <t>(extra centreline)</t>
        </is>
      </c>
      <c r="D69" s="18" t="n"/>
      <c r="E69" s="38" t="n">
        <v>2979</v>
      </c>
      <c r="F69" s="18" t="n"/>
    </row>
    <row r="70">
      <c r="A70" s="18" t="inlineStr">
        <is>
          <t>P14</t>
        </is>
      </c>
      <c r="B70" s="18" t="inlineStr">
        <is>
          <t>Z</t>
        </is>
      </c>
      <c r="C70" s="18" t="inlineStr">
        <is>
          <t>(extra centreline)</t>
        </is>
      </c>
      <c r="D70" s="18" t="n"/>
      <c r="E70" s="38" t="n">
        <v>7703</v>
      </c>
      <c r="F70" s="18" t="n"/>
    </row>
    <row r="71">
      <c r="A71" s="18" t="inlineStr">
        <is>
          <t>E01A</t>
        </is>
      </c>
      <c r="B71" s="18" t="inlineStr">
        <is>
          <t>Z</t>
        </is>
      </c>
      <c r="C71" s="18" t="inlineStr">
        <is>
          <t>B</t>
        </is>
      </c>
      <c r="D71" s="38" t="n">
        <v>-10414</v>
      </c>
      <c r="E71" s="38" t="n">
        <v>-10414</v>
      </c>
      <c r="F71" s="38" t="n">
        <v>0</v>
      </c>
    </row>
    <row r="72">
      <c r="A72" s="18" t="inlineStr">
        <is>
          <t>E01A</t>
        </is>
      </c>
      <c r="B72" s="18" t="inlineStr">
        <is>
          <t>Z</t>
        </is>
      </c>
      <c r="C72" s="18" t="inlineStr">
        <is>
          <t>C</t>
        </is>
      </c>
      <c r="D72" s="38" t="n">
        <v>-7360</v>
      </c>
      <c r="E72" s="38" t="n">
        <v>-7360</v>
      </c>
      <c r="F72" s="38" t="n">
        <v>0</v>
      </c>
    </row>
    <row r="73">
      <c r="A73" s="18" t="inlineStr">
        <is>
          <t>E01A</t>
        </is>
      </c>
      <c r="B73" s="18" t="inlineStr">
        <is>
          <t>Z</t>
        </is>
      </c>
      <c r="C73" s="18" t="inlineStr">
        <is>
          <t>D</t>
        </is>
      </c>
      <c r="D73" s="38" t="n">
        <v>-3600</v>
      </c>
      <c r="E73" s="38" t="n">
        <v>-3600</v>
      </c>
      <c r="F73" s="38" t="n">
        <v>0</v>
      </c>
    </row>
    <row r="74">
      <c r="A74" s="18" t="inlineStr">
        <is>
          <t>E01A</t>
        </is>
      </c>
      <c r="B74" s="18" t="inlineStr">
        <is>
          <t>Z</t>
        </is>
      </c>
      <c r="C74" s="18" t="inlineStr">
        <is>
          <t>E</t>
        </is>
      </c>
      <c r="D74" s="38" t="n">
        <v>3600</v>
      </c>
      <c r="E74" s="38" t="n">
        <v>3600</v>
      </c>
      <c r="F74" s="38" t="n">
        <v>0</v>
      </c>
    </row>
    <row r="75">
      <c r="A75" s="18" t="inlineStr">
        <is>
          <t>E01A</t>
        </is>
      </c>
      <c r="B75" s="18" t="inlineStr">
        <is>
          <t>Z</t>
        </is>
      </c>
      <c r="C75" s="18" t="inlineStr">
        <is>
          <t>G</t>
        </is>
      </c>
      <c r="D75" s="38" t="n">
        <v>7360</v>
      </c>
      <c r="E75" s="38" t="n">
        <v>7360</v>
      </c>
      <c r="F75" s="38" t="n">
        <v>0</v>
      </c>
    </row>
    <row r="76">
      <c r="A76" s="18" t="inlineStr">
        <is>
          <t>E01A</t>
        </is>
      </c>
      <c r="B76" s="18" t="inlineStr">
        <is>
          <t>Z</t>
        </is>
      </c>
      <c r="C76" s="18" t="inlineStr">
        <is>
          <t>H</t>
        </is>
      </c>
      <c r="D76" s="38" t="n">
        <v>10414</v>
      </c>
      <c r="E76" s="38" t="n">
        <v>10414</v>
      </c>
      <c r="F76" s="38" t="n">
        <v>0</v>
      </c>
    </row>
    <row r="77">
      <c r="A77" s="18" t="inlineStr">
        <is>
          <t>E01A</t>
        </is>
      </c>
      <c r="B77" s="18" t="inlineStr">
        <is>
          <t>Z</t>
        </is>
      </c>
      <c r="C77" s="18" t="inlineStr">
        <is>
          <t>(extra centreline)</t>
        </is>
      </c>
      <c r="D77" s="18" t="n"/>
      <c r="E77" s="38" t="n">
        <v>-12603</v>
      </c>
      <c r="F77" s="18" t="n"/>
    </row>
    <row r="78">
      <c r="A78" s="18" t="inlineStr">
        <is>
          <t>E01A</t>
        </is>
      </c>
      <c r="B78" s="18" t="inlineStr">
        <is>
          <t>Z</t>
        </is>
      </c>
      <c r="C78" s="18" t="inlineStr">
        <is>
          <t>(extra centreline)</t>
        </is>
      </c>
      <c r="D78" s="18" t="n"/>
      <c r="E78" s="44" t="n">
        <v>-2979.4</v>
      </c>
      <c r="F78" s="18" t="n"/>
    </row>
    <row r="79">
      <c r="A79" s="18" t="inlineStr">
        <is>
          <t>E01A</t>
        </is>
      </c>
      <c r="B79" s="18" t="inlineStr">
        <is>
          <t>Z</t>
        </is>
      </c>
      <c r="C79" s="18" t="inlineStr">
        <is>
          <t>(extra centreline)</t>
        </is>
      </c>
      <c r="D79" s="18" t="n"/>
      <c r="E79" s="44" t="n">
        <v>2979.4</v>
      </c>
      <c r="F79" s="18" t="n"/>
    </row>
    <row r="80">
      <c r="A80" s="18" t="inlineStr">
        <is>
          <t>E01A</t>
        </is>
      </c>
      <c r="B80" s="18" t="inlineStr">
        <is>
          <t>Z</t>
        </is>
      </c>
      <c r="C80" s="18" t="inlineStr">
        <is>
          <t>(extra centreline)</t>
        </is>
      </c>
      <c r="D80" s="18" t="n"/>
      <c r="E80" s="38" t="n">
        <v>7703</v>
      </c>
      <c r="F80" s="18" t="n"/>
    </row>
    <row r="81">
      <c r="A81" s="18" t="inlineStr">
        <is>
          <t>E01A</t>
        </is>
      </c>
      <c r="B81" s="18" t="inlineStr">
        <is>
          <t>Z</t>
        </is>
      </c>
      <c r="C81" s="18" t="inlineStr">
        <is>
          <t>(extra centreline)</t>
        </is>
      </c>
      <c r="D81" s="18" t="n"/>
      <c r="E81" s="38" t="n">
        <v>12603</v>
      </c>
      <c r="F81" s="18" t="n"/>
    </row>
    <row r="82">
      <c r="A82" s="18" t="inlineStr">
        <is>
          <t>E01B</t>
        </is>
      </c>
      <c r="B82" s="18" t="inlineStr">
        <is>
          <t>Z</t>
        </is>
      </c>
      <c r="C82" s="18" t="inlineStr">
        <is>
          <t>B</t>
        </is>
      </c>
      <c r="D82" s="38" t="n">
        <v>-10414</v>
      </c>
      <c r="E82" s="38" t="n">
        <v>-10414</v>
      </c>
      <c r="F82" s="38" t="n">
        <v>0</v>
      </c>
    </row>
    <row r="83">
      <c r="A83" s="18" t="inlineStr">
        <is>
          <t>E01B</t>
        </is>
      </c>
      <c r="B83" s="18" t="inlineStr">
        <is>
          <t>Z</t>
        </is>
      </c>
      <c r="C83" s="18" t="inlineStr">
        <is>
          <t>C</t>
        </is>
      </c>
      <c r="D83" s="38" t="n">
        <v>-7360</v>
      </c>
      <c r="E83" s="38" t="n">
        <v>-7360</v>
      </c>
      <c r="F83" s="38" t="n">
        <v>0</v>
      </c>
    </row>
    <row r="84">
      <c r="A84" s="18" t="inlineStr">
        <is>
          <t>E01B</t>
        </is>
      </c>
      <c r="B84" s="18" t="inlineStr">
        <is>
          <t>Z</t>
        </is>
      </c>
      <c r="C84" s="18" t="inlineStr">
        <is>
          <t>D</t>
        </is>
      </c>
      <c r="D84" s="38" t="n">
        <v>-3600</v>
      </c>
      <c r="E84" s="38" t="n">
        <v>-3600</v>
      </c>
      <c r="F84" s="38" t="n">
        <v>0</v>
      </c>
    </row>
    <row r="85">
      <c r="A85" s="18" t="inlineStr">
        <is>
          <t>E01B</t>
        </is>
      </c>
      <c r="B85" s="18" t="inlineStr">
        <is>
          <t>Z</t>
        </is>
      </c>
      <c r="C85" s="18" t="inlineStr">
        <is>
          <t>E</t>
        </is>
      </c>
      <c r="D85" s="38" t="n">
        <v>3600</v>
      </c>
      <c r="E85" s="38" t="n">
        <v>3600</v>
      </c>
      <c r="F85" s="38" t="n">
        <v>0</v>
      </c>
    </row>
    <row r="86">
      <c r="A86" s="18" t="inlineStr">
        <is>
          <t>E01B</t>
        </is>
      </c>
      <c r="B86" s="18" t="inlineStr">
        <is>
          <t>Z</t>
        </is>
      </c>
      <c r="C86" s="18" t="inlineStr">
        <is>
          <t>G</t>
        </is>
      </c>
      <c r="D86" s="38" t="n">
        <v>7360</v>
      </c>
      <c r="E86" s="38" t="n">
        <v>7360</v>
      </c>
      <c r="F86" s="38" t="n">
        <v>0</v>
      </c>
    </row>
    <row r="87">
      <c r="A87" s="18" t="inlineStr">
        <is>
          <t>E01B</t>
        </is>
      </c>
      <c r="B87" s="18" t="inlineStr">
        <is>
          <t>Z</t>
        </is>
      </c>
      <c r="C87" s="18" t="inlineStr">
        <is>
          <t>H</t>
        </is>
      </c>
      <c r="D87" s="38" t="n">
        <v>10414</v>
      </c>
      <c r="E87" s="38" t="n">
        <v>10414</v>
      </c>
      <c r="F87" s="38" t="n">
        <v>0</v>
      </c>
    </row>
    <row r="88">
      <c r="A88" s="18" t="inlineStr">
        <is>
          <t>E01B</t>
        </is>
      </c>
      <c r="B88" s="18" t="inlineStr">
        <is>
          <t>Z</t>
        </is>
      </c>
      <c r="C88" s="18" t="inlineStr">
        <is>
          <t>(extra centreline)</t>
        </is>
      </c>
      <c r="D88" s="18" t="n"/>
      <c r="E88" s="38" t="n">
        <v>-12603</v>
      </c>
      <c r="F88" s="18" t="n"/>
    </row>
    <row r="89">
      <c r="A89" s="18" t="inlineStr">
        <is>
          <t>E01B</t>
        </is>
      </c>
      <c r="B89" s="18" t="inlineStr">
        <is>
          <t>Z</t>
        </is>
      </c>
      <c r="C89" s="18" t="inlineStr">
        <is>
          <t>(extra centreline)</t>
        </is>
      </c>
      <c r="D89" s="18" t="n"/>
      <c r="E89" s="38" t="n">
        <v>-7703</v>
      </c>
      <c r="F89" s="18" t="n"/>
    </row>
    <row r="90">
      <c r="A90" s="18" t="inlineStr">
        <is>
          <t>E01B</t>
        </is>
      </c>
      <c r="B90" s="18" t="inlineStr">
        <is>
          <t>Z</t>
        </is>
      </c>
      <c r="C90" s="18" t="inlineStr">
        <is>
          <t>(extra centreline)</t>
        </is>
      </c>
      <c r="D90" s="18" t="n"/>
      <c r="E90" s="44" t="n">
        <v>-2979.4</v>
      </c>
      <c r="F90" s="18" t="n"/>
    </row>
    <row r="91">
      <c r="A91" s="18" t="inlineStr">
        <is>
          <t>E01B</t>
        </is>
      </c>
      <c r="B91" s="18" t="inlineStr">
        <is>
          <t>Z</t>
        </is>
      </c>
      <c r="C91" s="18" t="inlineStr">
        <is>
          <t>(extra centreline)</t>
        </is>
      </c>
      <c r="D91" s="18" t="n"/>
      <c r="E91" s="44" t="n">
        <v>2979.4</v>
      </c>
      <c r="F91" s="18" t="n"/>
    </row>
    <row r="92">
      <c r="A92" s="18" t="inlineStr">
        <is>
          <t>E01B</t>
        </is>
      </c>
      <c r="B92" s="18" t="inlineStr">
        <is>
          <t>Z</t>
        </is>
      </c>
      <c r="C92" s="18" t="inlineStr">
        <is>
          <t>(extra centreline)</t>
        </is>
      </c>
      <c r="D92" s="18" t="n"/>
      <c r="E92" s="44" t="n">
        <v>7702.9</v>
      </c>
      <c r="F92" s="18" t="n"/>
    </row>
    <row r="93">
      <c r="A93" s="18" t="inlineStr">
        <is>
          <t>E01B</t>
        </is>
      </c>
      <c r="B93" s="18" t="inlineStr">
        <is>
          <t>Z</t>
        </is>
      </c>
      <c r="C93" s="18" t="inlineStr">
        <is>
          <t>(extra centreline)</t>
        </is>
      </c>
      <c r="D93" s="18" t="n"/>
      <c r="E93" s="44" t="n">
        <v>12602.9</v>
      </c>
      <c r="F93" s="18" t="n"/>
    </row>
    <row r="94">
      <c r="A94" s="18" t="inlineStr">
        <is>
          <t>E02</t>
        </is>
      </c>
      <c r="B94" s="18" t="inlineStr">
        <is>
          <t>X</t>
        </is>
      </c>
      <c r="C94" s="18" t="inlineStr">
        <is>
          <t>1</t>
        </is>
      </c>
      <c r="D94" s="38" t="n">
        <v>0</v>
      </c>
      <c r="E94" s="38" t="n">
        <v>0</v>
      </c>
      <c r="F94" s="38" t="n">
        <v>0</v>
      </c>
    </row>
    <row r="95">
      <c r="A95" s="18" t="inlineStr">
        <is>
          <t>E02</t>
        </is>
      </c>
      <c r="B95" s="18" t="inlineStr">
        <is>
          <t>X</t>
        </is>
      </c>
      <c r="C95" s="18" t="inlineStr">
        <is>
          <t>2</t>
        </is>
      </c>
      <c r="D95" s="38" t="n">
        <v>4900</v>
      </c>
      <c r="E95" s="38" t="n">
        <v>4900</v>
      </c>
      <c r="F95" s="38" t="n">
        <v>0</v>
      </c>
    </row>
    <row r="96">
      <c r="A96" s="18" t="inlineStr">
        <is>
          <t>E02</t>
        </is>
      </c>
      <c r="B96" s="18" t="inlineStr">
        <is>
          <t>X</t>
        </is>
      </c>
      <c r="C96" s="18" t="inlineStr">
        <is>
          <t>2′</t>
        </is>
      </c>
      <c r="D96" s="38" t="n">
        <v>5475</v>
      </c>
      <c r="E96" s="38" t="n">
        <v>5475</v>
      </c>
      <c r="F96" s="38" t="n">
        <v>0</v>
      </c>
    </row>
    <row r="97">
      <c r="A97" s="18" t="inlineStr">
        <is>
          <t>E02</t>
        </is>
      </c>
      <c r="B97" s="18" t="inlineStr">
        <is>
          <t>X</t>
        </is>
      </c>
      <c r="C97" s="18" t="inlineStr">
        <is>
          <t>3</t>
        </is>
      </c>
      <c r="D97" s="38" t="n">
        <v>9975</v>
      </c>
      <c r="E97" s="38" t="n">
        <v>9975</v>
      </c>
      <c r="F97" s="38" t="n">
        <v>0</v>
      </c>
    </row>
    <row r="98">
      <c r="A98" s="18" t="inlineStr">
        <is>
          <t>E02</t>
        </is>
      </c>
      <c r="B98" s="18" t="inlineStr">
        <is>
          <t>X</t>
        </is>
      </c>
      <c r="C98" s="18" t="inlineStr">
        <is>
          <t>4</t>
        </is>
      </c>
      <c r="D98" s="38" t="n">
        <v>14475</v>
      </c>
      <c r="E98" s="38" t="n">
        <v>14475</v>
      </c>
      <c r="F98" s="38" t="n">
        <v>0</v>
      </c>
    </row>
    <row r="99">
      <c r="A99" s="18" t="inlineStr">
        <is>
          <t>E02</t>
        </is>
      </c>
      <c r="B99" s="18" t="inlineStr">
        <is>
          <t>X</t>
        </is>
      </c>
      <c r="C99" s="18" t="inlineStr">
        <is>
          <t>5</t>
        </is>
      </c>
      <c r="D99" s="38" t="n">
        <v>18975</v>
      </c>
      <c r="E99" s="38" t="n">
        <v>18975</v>
      </c>
      <c r="F99" s="38" t="n">
        <v>0</v>
      </c>
    </row>
    <row r="100">
      <c r="A100" s="18" t="inlineStr">
        <is>
          <t>E02</t>
        </is>
      </c>
      <c r="B100" s="18" t="inlineStr">
        <is>
          <t>X</t>
        </is>
      </c>
      <c r="C100" s="18" t="inlineStr">
        <is>
          <t>6</t>
        </is>
      </c>
      <c r="D100" s="38" t="n">
        <v>23475</v>
      </c>
      <c r="E100" s="38" t="n">
        <v>23475</v>
      </c>
      <c r="F100" s="38" t="n">
        <v>0</v>
      </c>
    </row>
    <row r="101">
      <c r="A101" s="18" t="inlineStr">
        <is>
          <t>E02</t>
        </is>
      </c>
      <c r="B101" s="18" t="inlineStr">
        <is>
          <t>X</t>
        </is>
      </c>
      <c r="C101" s="18" t="inlineStr">
        <is>
          <t>7</t>
        </is>
      </c>
      <c r="D101" s="38" t="n">
        <v>27975</v>
      </c>
      <c r="E101" s="38" t="n">
        <v>27975</v>
      </c>
      <c r="F101" s="38" t="n">
        <v>0</v>
      </c>
    </row>
    <row r="102">
      <c r="A102" s="18" t="inlineStr">
        <is>
          <t>E02</t>
        </is>
      </c>
      <c r="B102" s="18" t="inlineStr">
        <is>
          <t>X</t>
        </is>
      </c>
      <c r="C102" s="18" t="inlineStr">
        <is>
          <t>8</t>
        </is>
      </c>
      <c r="D102" s="38" t="n">
        <v>32475</v>
      </c>
      <c r="E102" s="38" t="n">
        <v>32475</v>
      </c>
      <c r="F102" s="38" t="n">
        <v>0</v>
      </c>
    </row>
    <row r="103">
      <c r="A103" s="18" t="inlineStr">
        <is>
          <t>E02</t>
        </is>
      </c>
      <c r="B103" s="18" t="inlineStr">
        <is>
          <t>X</t>
        </is>
      </c>
      <c r="C103" s="18" t="inlineStr">
        <is>
          <t>9</t>
        </is>
      </c>
      <c r="D103" s="38" t="n">
        <v>36975</v>
      </c>
      <c r="E103" s="38" t="n">
        <v>36975</v>
      </c>
      <c r="F103" s="38" t="n">
        <v>0</v>
      </c>
    </row>
    <row r="104">
      <c r="A104" s="18" t="inlineStr">
        <is>
          <t>E02</t>
        </is>
      </c>
      <c r="B104" s="18" t="inlineStr">
        <is>
          <t>X</t>
        </is>
      </c>
      <c r="C104" s="18" t="inlineStr">
        <is>
          <t>10</t>
        </is>
      </c>
      <c r="D104" s="38" t="n">
        <v>44175</v>
      </c>
      <c r="E104" s="38" t="n">
        <v>44175</v>
      </c>
      <c r="F104" s="38" t="n">
        <v>0</v>
      </c>
    </row>
    <row r="105">
      <c r="A105" s="18" t="inlineStr">
        <is>
          <t>E02</t>
        </is>
      </c>
      <c r="B105" s="18" t="inlineStr">
        <is>
          <t>X</t>
        </is>
      </c>
      <c r="C105" s="18" t="inlineStr">
        <is>
          <t>11</t>
        </is>
      </c>
      <c r="D105" s="38" t="n">
        <v>48675</v>
      </c>
      <c r="E105" s="38" t="n">
        <v>48675</v>
      </c>
      <c r="F105" s="38" t="n">
        <v>0</v>
      </c>
    </row>
    <row r="106">
      <c r="A106" s="18" t="inlineStr">
        <is>
          <t>E02</t>
        </is>
      </c>
      <c r="B106" s="18" t="inlineStr">
        <is>
          <t>X</t>
        </is>
      </c>
      <c r="C106" s="18" t="inlineStr">
        <is>
          <t>12</t>
        </is>
      </c>
      <c r="D106" s="38" t="n">
        <v>53016</v>
      </c>
      <c r="E106" s="38" t="n">
        <v>53016</v>
      </c>
      <c r="F106" s="38" t="n">
        <v>0</v>
      </c>
    </row>
    <row r="107">
      <c r="A107" s="18" t="inlineStr">
        <is>
          <t>E02</t>
        </is>
      </c>
      <c r="B107" s="18" t="inlineStr">
        <is>
          <t>X</t>
        </is>
      </c>
      <c r="C107" s="18" t="inlineStr">
        <is>
          <t>(extra centreline)</t>
        </is>
      </c>
      <c r="D107" s="18" t="n"/>
      <c r="E107" s="38" t="n">
        <v>40575</v>
      </c>
      <c r="F107" s="18" t="n"/>
    </row>
    <row r="108">
      <c r="A108" s="18" t="inlineStr">
        <is>
          <t>E02</t>
        </is>
      </c>
      <c r="B108" s="18" t="inlineStr">
        <is>
          <t>X</t>
        </is>
      </c>
      <c r="C108" s="18" t="inlineStr">
        <is>
          <t>(extra centreline)</t>
        </is>
      </c>
      <c r="D108" s="18" t="n"/>
      <c r="E108" s="38" t="n">
        <v>44500</v>
      </c>
      <c r="F108" s="18" t="n"/>
    </row>
    <row r="109">
      <c r="A109" s="18" t="inlineStr">
        <is>
          <t>E03</t>
        </is>
      </c>
      <c r="B109" s="18" t="inlineStr">
        <is>
          <t>Z</t>
        </is>
      </c>
      <c r="C109" s="18" t="inlineStr">
        <is>
          <t>B</t>
        </is>
      </c>
      <c r="D109" s="38" t="n">
        <v>-10414</v>
      </c>
      <c r="E109" s="38" t="n">
        <v>-10414</v>
      </c>
      <c r="F109" s="38" t="n">
        <v>0</v>
      </c>
    </row>
    <row r="110">
      <c r="A110" s="18" t="inlineStr">
        <is>
          <t>E03</t>
        </is>
      </c>
      <c r="B110" s="18" t="inlineStr">
        <is>
          <t>Z</t>
        </is>
      </c>
      <c r="C110" s="18" t="inlineStr">
        <is>
          <t>C</t>
        </is>
      </c>
      <c r="D110" s="38" t="n">
        <v>-7360</v>
      </c>
      <c r="E110" s="38" t="n">
        <v>-7360</v>
      </c>
      <c r="F110" s="38" t="n">
        <v>0</v>
      </c>
    </row>
    <row r="111">
      <c r="A111" s="18" t="inlineStr">
        <is>
          <t>E03</t>
        </is>
      </c>
      <c r="B111" s="18" t="inlineStr">
        <is>
          <t>Z</t>
        </is>
      </c>
      <c r="C111" s="18" t="inlineStr">
        <is>
          <t>D</t>
        </is>
      </c>
      <c r="D111" s="38" t="n">
        <v>-3600</v>
      </c>
      <c r="E111" s="38" t="n">
        <v>-3600</v>
      </c>
      <c r="F111" s="38" t="n">
        <v>0</v>
      </c>
    </row>
    <row r="112">
      <c r="A112" s="18" t="inlineStr">
        <is>
          <t>E03</t>
        </is>
      </c>
      <c r="B112" s="18" t="inlineStr">
        <is>
          <t>Z</t>
        </is>
      </c>
      <c r="C112" s="18" t="inlineStr">
        <is>
          <t>E</t>
        </is>
      </c>
      <c r="D112" s="38" t="n">
        <v>3600</v>
      </c>
      <c r="E112" s="38" t="n">
        <v>3600</v>
      </c>
      <c r="F112" s="38" t="n">
        <v>0</v>
      </c>
    </row>
    <row r="113">
      <c r="A113" s="18" t="inlineStr">
        <is>
          <t>E03</t>
        </is>
      </c>
      <c r="B113" s="18" t="inlineStr">
        <is>
          <t>Z</t>
        </is>
      </c>
      <c r="C113" s="18" t="inlineStr">
        <is>
          <t>G</t>
        </is>
      </c>
      <c r="D113" s="38" t="n">
        <v>7360</v>
      </c>
      <c r="E113" s="38" t="n">
        <v>7360</v>
      </c>
      <c r="F113" s="38" t="n">
        <v>0</v>
      </c>
    </row>
    <row r="114">
      <c r="A114" s="18" t="inlineStr">
        <is>
          <t>E03</t>
        </is>
      </c>
      <c r="B114" s="18" t="inlineStr">
        <is>
          <t>Z</t>
        </is>
      </c>
      <c r="C114" s="18" t="inlineStr">
        <is>
          <t>H</t>
        </is>
      </c>
      <c r="D114" s="38" t="n">
        <v>10414</v>
      </c>
      <c r="E114" s="38" t="n">
        <v>10414</v>
      </c>
      <c r="F114" s="38" t="n">
        <v>0</v>
      </c>
    </row>
    <row r="115">
      <c r="A115" s="18" t="inlineStr">
        <is>
          <t>E03</t>
        </is>
      </c>
      <c r="B115" s="18" t="inlineStr">
        <is>
          <t>Z</t>
        </is>
      </c>
      <c r="C115" s="18" t="inlineStr">
        <is>
          <t>(extra centreline)</t>
        </is>
      </c>
      <c r="D115" s="18" t="n"/>
      <c r="E115" s="38" t="n">
        <v>-10574</v>
      </c>
      <c r="F115" s="18" t="n"/>
    </row>
    <row r="116">
      <c r="A116" s="18" t="inlineStr">
        <is>
          <t>E03</t>
        </is>
      </c>
      <c r="B116" s="18" t="inlineStr">
        <is>
          <t>Z</t>
        </is>
      </c>
      <c r="C116" s="18" t="inlineStr">
        <is>
          <t>(extra centreline)</t>
        </is>
      </c>
      <c r="D116" s="18" t="n"/>
      <c r="E116" s="38" t="n">
        <v>10574</v>
      </c>
      <c r="F116" s="18" t="n"/>
    </row>
    <row r="117">
      <c r="A117" s="18" t="inlineStr">
        <is>
          <t>S24</t>
        </is>
      </c>
      <c r="B117" s="18" t="inlineStr">
        <is>
          <t>Z</t>
        </is>
      </c>
      <c r="C117" s="18" t="inlineStr">
        <is>
          <t>B</t>
        </is>
      </c>
      <c r="D117" s="38" t="n">
        <v>-10414</v>
      </c>
      <c r="E117" s="38" t="n">
        <v>-10414</v>
      </c>
      <c r="F117" s="38" t="n">
        <v>0</v>
      </c>
    </row>
    <row r="118">
      <c r="A118" s="18" t="inlineStr">
        <is>
          <t>S24</t>
        </is>
      </c>
      <c r="B118" s="18" t="inlineStr">
        <is>
          <t>Z</t>
        </is>
      </c>
      <c r="C118" s="18" t="inlineStr">
        <is>
          <t>C</t>
        </is>
      </c>
      <c r="D118" s="38" t="n">
        <v>-7360</v>
      </c>
      <c r="E118" s="38" t="n">
        <v>-7360</v>
      </c>
      <c r="F118" s="38" t="n">
        <v>0</v>
      </c>
    </row>
    <row r="119">
      <c r="A119" s="18" t="inlineStr">
        <is>
          <t>S24</t>
        </is>
      </c>
      <c r="B119" s="18" t="inlineStr">
        <is>
          <t>Z</t>
        </is>
      </c>
      <c r="C119" s="18" t="inlineStr">
        <is>
          <t>D</t>
        </is>
      </c>
      <c r="D119" s="38" t="n">
        <v>-3600</v>
      </c>
      <c r="E119" s="38" t="n">
        <v>-3600</v>
      </c>
      <c r="F119" s="38" t="n">
        <v>0</v>
      </c>
    </row>
    <row r="120">
      <c r="A120" s="18" t="inlineStr">
        <is>
          <t>S24</t>
        </is>
      </c>
      <c r="B120" s="18" t="inlineStr">
        <is>
          <t>Z</t>
        </is>
      </c>
      <c r="C120" s="18" t="inlineStr">
        <is>
          <t>E</t>
        </is>
      </c>
      <c r="D120" s="38" t="n">
        <v>3600</v>
      </c>
      <c r="E120" s="38" t="n">
        <v>3600</v>
      </c>
      <c r="F120" s="38" t="n">
        <v>0</v>
      </c>
    </row>
    <row r="121">
      <c r="A121" s="18" t="inlineStr">
        <is>
          <t>S24</t>
        </is>
      </c>
      <c r="B121" s="18" t="inlineStr">
        <is>
          <t>Z</t>
        </is>
      </c>
      <c r="C121" s="18" t="inlineStr">
        <is>
          <t>G</t>
        </is>
      </c>
      <c r="D121" s="38" t="n">
        <v>7360</v>
      </c>
      <c r="E121" s="38" t="n">
        <v>7360</v>
      </c>
      <c r="F121" s="38" t="n">
        <v>0</v>
      </c>
    </row>
    <row r="122">
      <c r="A122" s="18" t="inlineStr">
        <is>
          <t>S24</t>
        </is>
      </c>
      <c r="B122" s="18" t="inlineStr">
        <is>
          <t>Z</t>
        </is>
      </c>
      <c r="C122" s="18" t="inlineStr">
        <is>
          <t>H</t>
        </is>
      </c>
      <c r="D122" s="38" t="n">
        <v>10414</v>
      </c>
      <c r="E122" s="38" t="n">
        <v>10414</v>
      </c>
      <c r="F122" s="38" t="n">
        <v>0</v>
      </c>
    </row>
    <row r="123">
      <c r="A123" s="18" t="inlineStr">
        <is>
          <t>S25</t>
        </is>
      </c>
      <c r="B123" s="18" t="inlineStr">
        <is>
          <t>Z</t>
        </is>
      </c>
      <c r="C123" s="18" t="inlineStr">
        <is>
          <t>B</t>
        </is>
      </c>
      <c r="D123" s="38" t="n">
        <v>-10414</v>
      </c>
      <c r="E123" s="38" t="n">
        <v>-10414</v>
      </c>
      <c r="F123" s="38" t="n">
        <v>0</v>
      </c>
    </row>
    <row r="124">
      <c r="A124" s="18" t="inlineStr">
        <is>
          <t>S25</t>
        </is>
      </c>
      <c r="B124" s="18" t="inlineStr">
        <is>
          <t>Z</t>
        </is>
      </c>
      <c r="C124" s="18" t="inlineStr">
        <is>
          <t>C</t>
        </is>
      </c>
      <c r="D124" s="38" t="n">
        <v>-7360</v>
      </c>
      <c r="E124" s="38" t="n">
        <v>-7360</v>
      </c>
      <c r="F124" s="38" t="n">
        <v>0</v>
      </c>
    </row>
    <row r="125">
      <c r="A125" s="18" t="inlineStr">
        <is>
          <t>S25</t>
        </is>
      </c>
      <c r="B125" s="18" t="inlineStr">
        <is>
          <t>Z</t>
        </is>
      </c>
      <c r="C125" s="18" t="inlineStr">
        <is>
          <t>D</t>
        </is>
      </c>
      <c r="D125" s="38" t="n">
        <v>-3600</v>
      </c>
      <c r="E125" s="38" t="n">
        <v>-3600</v>
      </c>
      <c r="F125" s="38" t="n">
        <v>0</v>
      </c>
    </row>
    <row r="126">
      <c r="A126" s="18" t="inlineStr">
        <is>
          <t>S25</t>
        </is>
      </c>
      <c r="B126" s="18" t="inlineStr">
        <is>
          <t>Z</t>
        </is>
      </c>
      <c r="C126" s="18" t="inlineStr">
        <is>
          <t>E</t>
        </is>
      </c>
      <c r="D126" s="38" t="n">
        <v>3600</v>
      </c>
      <c r="E126" s="38" t="n">
        <v>3600</v>
      </c>
      <c r="F126" s="38" t="n">
        <v>0</v>
      </c>
    </row>
    <row r="127">
      <c r="A127" s="18" t="inlineStr">
        <is>
          <t>S25</t>
        </is>
      </c>
      <c r="B127" s="18" t="inlineStr">
        <is>
          <t>Z</t>
        </is>
      </c>
      <c r="C127" s="18" t="inlineStr">
        <is>
          <t>G</t>
        </is>
      </c>
      <c r="D127" s="38" t="n">
        <v>7360</v>
      </c>
      <c r="E127" s="38" t="n">
        <v>7360</v>
      </c>
      <c r="F127" s="38" t="n">
        <v>0</v>
      </c>
    </row>
    <row r="128">
      <c r="A128" s="18" t="inlineStr">
        <is>
          <t>S25</t>
        </is>
      </c>
      <c r="B128" s="18" t="inlineStr">
        <is>
          <t>Z</t>
        </is>
      </c>
      <c r="C128" s="18" t="inlineStr">
        <is>
          <t>H</t>
        </is>
      </c>
      <c r="D128" s="38" t="n">
        <v>10414</v>
      </c>
      <c r="E128" s="38" t="n">
        <v>10414</v>
      </c>
      <c r="F128" s="38" t="n">
        <v>0</v>
      </c>
    </row>
    <row r="129">
      <c r="A129" s="18" t="inlineStr">
        <is>
          <t>S45</t>
        </is>
      </c>
      <c r="B129" s="18" t="inlineStr">
        <is>
          <t>X</t>
        </is>
      </c>
      <c r="C129" s="18" t="inlineStr">
        <is>
          <t>1</t>
        </is>
      </c>
      <c r="D129" s="38" t="n">
        <v>0</v>
      </c>
      <c r="E129" s="38" t="n">
        <v>0</v>
      </c>
      <c r="F129" s="38" t="n">
        <v>0</v>
      </c>
    </row>
    <row r="130">
      <c r="A130" s="18" t="inlineStr">
        <is>
          <t>S45</t>
        </is>
      </c>
      <c r="B130" s="18" t="inlineStr">
        <is>
          <t>X</t>
        </is>
      </c>
      <c r="C130" s="18" t="inlineStr">
        <is>
          <t>2</t>
        </is>
      </c>
      <c r="D130" s="38" t="n">
        <v>4900</v>
      </c>
      <c r="E130" s="38" t="n">
        <v>4900</v>
      </c>
      <c r="F130" s="38" t="n">
        <v>0</v>
      </c>
    </row>
    <row r="131">
      <c r="A131" s="18" t="inlineStr">
        <is>
          <t>S45</t>
        </is>
      </c>
      <c r="B131" s="18" t="inlineStr">
        <is>
          <t>X</t>
        </is>
      </c>
      <c r="C131" s="18" t="inlineStr">
        <is>
          <t>2′</t>
        </is>
      </c>
      <c r="D131" s="38" t="n">
        <v>5475</v>
      </c>
      <c r="E131" s="38" t="n">
        <v>5475</v>
      </c>
      <c r="F131" s="38" t="n">
        <v>0</v>
      </c>
    </row>
    <row r="132">
      <c r="A132" s="18" t="inlineStr">
        <is>
          <t>S45</t>
        </is>
      </c>
      <c r="B132" s="18" t="inlineStr">
        <is>
          <t>X</t>
        </is>
      </c>
      <c r="C132" s="18" t="inlineStr">
        <is>
          <t>3</t>
        </is>
      </c>
      <c r="D132" s="38" t="n">
        <v>9975</v>
      </c>
      <c r="E132" s="38" t="n">
        <v>9975</v>
      </c>
      <c r="F132" s="38" t="n">
        <v>0</v>
      </c>
    </row>
    <row r="133">
      <c r="A133" s="18" t="inlineStr">
        <is>
          <t>S45</t>
        </is>
      </c>
      <c r="B133" s="18" t="inlineStr">
        <is>
          <t>X</t>
        </is>
      </c>
      <c r="C133" s="18" t="inlineStr">
        <is>
          <t>4</t>
        </is>
      </c>
      <c r="D133" s="38" t="n">
        <v>14475</v>
      </c>
      <c r="E133" s="38" t="n">
        <v>14475</v>
      </c>
      <c r="F133" s="38" t="n">
        <v>0</v>
      </c>
    </row>
    <row r="134">
      <c r="A134" s="18" t="inlineStr">
        <is>
          <t>S45</t>
        </is>
      </c>
      <c r="B134" s="18" t="inlineStr">
        <is>
          <t>X</t>
        </is>
      </c>
      <c r="C134" s="18" t="inlineStr">
        <is>
          <t>5</t>
        </is>
      </c>
      <c r="D134" s="38" t="n">
        <v>18975</v>
      </c>
      <c r="E134" s="38" t="n">
        <v>18975</v>
      </c>
      <c r="F134" s="38" t="n">
        <v>0</v>
      </c>
    </row>
    <row r="135">
      <c r="A135" s="18" t="inlineStr">
        <is>
          <t>S45</t>
        </is>
      </c>
      <c r="B135" s="18" t="inlineStr">
        <is>
          <t>X</t>
        </is>
      </c>
      <c r="C135" s="18" t="inlineStr">
        <is>
          <t>6</t>
        </is>
      </c>
      <c r="D135" s="38" t="n">
        <v>23475</v>
      </c>
      <c r="E135" s="38" t="n">
        <v>23475</v>
      </c>
      <c r="F135" s="38" t="n">
        <v>0</v>
      </c>
    </row>
    <row r="136">
      <c r="A136" s="18" t="inlineStr">
        <is>
          <t>S45</t>
        </is>
      </c>
      <c r="B136" s="18" t="inlineStr">
        <is>
          <t>X</t>
        </is>
      </c>
      <c r="C136" s="18" t="inlineStr">
        <is>
          <t>7</t>
        </is>
      </c>
      <c r="D136" s="38" t="n">
        <v>27975</v>
      </c>
      <c r="E136" s="38" t="n">
        <v>27975</v>
      </c>
      <c r="F136" s="38" t="n">
        <v>0</v>
      </c>
    </row>
    <row r="137">
      <c r="A137" s="18" t="inlineStr">
        <is>
          <t>S45</t>
        </is>
      </c>
      <c r="B137" s="18" t="inlineStr">
        <is>
          <t>X</t>
        </is>
      </c>
      <c r="C137" s="18" t="inlineStr">
        <is>
          <t>8</t>
        </is>
      </c>
      <c r="D137" s="38" t="n">
        <v>32475</v>
      </c>
      <c r="E137" s="38" t="n">
        <v>32475</v>
      </c>
      <c r="F137" s="38" t="n">
        <v>0</v>
      </c>
    </row>
    <row r="138">
      <c r="A138" s="18" t="inlineStr">
        <is>
          <t>S45</t>
        </is>
      </c>
      <c r="B138" s="18" t="inlineStr">
        <is>
          <t>X</t>
        </is>
      </c>
      <c r="C138" s="18" t="inlineStr">
        <is>
          <t>9</t>
        </is>
      </c>
      <c r="D138" s="38" t="n">
        <v>36975</v>
      </c>
      <c r="E138" s="38" t="n">
        <v>36975</v>
      </c>
      <c r="F138" s="38" t="n">
        <v>0</v>
      </c>
    </row>
    <row r="139">
      <c r="A139" s="18" t="inlineStr">
        <is>
          <t>S45</t>
        </is>
      </c>
      <c r="B139" s="18" t="inlineStr">
        <is>
          <t>X</t>
        </is>
      </c>
      <c r="C139" s="18" t="inlineStr">
        <is>
          <t>10</t>
        </is>
      </c>
      <c r="D139" s="38" t="n">
        <v>44175</v>
      </c>
      <c r="E139" s="38" t="n">
        <v>44175</v>
      </c>
      <c r="F139" s="38" t="n">
        <v>0</v>
      </c>
    </row>
    <row r="140">
      <c r="A140" s="18" t="inlineStr">
        <is>
          <t>S45</t>
        </is>
      </c>
      <c r="B140" s="18" t="inlineStr">
        <is>
          <t>X</t>
        </is>
      </c>
      <c r="C140" s="18" t="inlineStr">
        <is>
          <t>11</t>
        </is>
      </c>
      <c r="D140" s="38" t="n">
        <v>48675</v>
      </c>
      <c r="E140" s="38" t="n">
        <v>48675</v>
      </c>
      <c r="F140" s="38" t="n">
        <v>0</v>
      </c>
    </row>
    <row r="141">
      <c r="A141" s="18" t="inlineStr">
        <is>
          <t>S45</t>
        </is>
      </c>
      <c r="B141" s="18" t="inlineStr">
        <is>
          <t>X</t>
        </is>
      </c>
      <c r="C141" s="18" t="inlineStr">
        <is>
          <t>12</t>
        </is>
      </c>
      <c r="D141" s="38" t="n">
        <v>53016</v>
      </c>
      <c r="E141" s="38" t="n">
        <v>53016</v>
      </c>
      <c r="F141" s="38" t="n">
        <v>0</v>
      </c>
    </row>
    <row r="142">
      <c r="A142" s="18" t="inlineStr">
        <is>
          <t>S45</t>
        </is>
      </c>
      <c r="B142" s="18" t="inlineStr">
        <is>
          <t>X</t>
        </is>
      </c>
      <c r="C142" s="18" t="inlineStr">
        <is>
          <t>(extra centreline)</t>
        </is>
      </c>
      <c r="D142" s="18" t="n"/>
      <c r="E142" s="38" t="n">
        <v>2605</v>
      </c>
      <c r="F142" s="18" t="n"/>
    </row>
    <row r="143">
      <c r="A143" s="18" t="inlineStr">
        <is>
          <t>S45</t>
        </is>
      </c>
      <c r="B143" s="18" t="inlineStr">
        <is>
          <t>X</t>
        </is>
      </c>
      <c r="C143" s="18" t="inlineStr">
        <is>
          <t>(extra centreline)</t>
        </is>
      </c>
      <c r="D143" s="18" t="n"/>
      <c r="E143" s="44" t="n">
        <v>2949.8</v>
      </c>
      <c r="F143" s="18" t="n"/>
    </row>
    <row r="144">
      <c r="A144" s="18" t="inlineStr">
        <is>
          <t>S45</t>
        </is>
      </c>
      <c r="B144" s="18" t="inlineStr">
        <is>
          <t>X</t>
        </is>
      </c>
      <c r="C144" s="18" t="inlineStr">
        <is>
          <t>(extra centreline)</t>
        </is>
      </c>
      <c r="D144" s="18" t="n"/>
      <c r="E144" s="38" t="n">
        <v>49675</v>
      </c>
      <c r="F144" s="1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18324B"/>
    <outlinePr summaryBelow="1" summaryRight="1"/>
    <pageSetUpPr/>
  </sheetPr>
  <dimension ref="A2:F2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0" customWidth="1" min="2" max="2"/>
    <col width="34" customWidth="1" min="3" max="3"/>
    <col width="30" customWidth="1" min="4" max="4"/>
    <col width="12" customWidth="1" min="5" max="5"/>
    <col width="60" customWidth="1" min="6" max="6"/>
  </cols>
  <sheetData>
    <row r="1" ht="25" customHeight="1"/>
    <row r="2" ht="25" customHeight="1">
      <c r="A2" s="3" t="inlineStr">
        <is>
          <t>ĐỐI CHIẾU PDF VÀ DWG / PDF AGAINST DWG</t>
        </is>
      </c>
    </row>
    <row r="3" ht="25" customHeight="1"/>
    <row r="4" ht="25" customHeight="1">
      <c r="A4" s="5" t="inlineStr">
        <is>
          <t>Bằng chứng mới cho các mục mở; trạng thái các mục cũ không đổi. / New evidence for open items; existing statuses are unchanged until the owner decides.</t>
        </is>
      </c>
    </row>
    <row r="7">
      <c r="A7" s="14" t="inlineStr">
        <is>
          <t>Tham chiếu / Reference</t>
        </is>
      </c>
      <c r="B7" s="14" t="inlineStr">
        <is>
          <t>Phát hiện / Finding</t>
        </is>
      </c>
      <c r="C7" s="14" t="inlineStr">
        <is>
          <t>DWG</t>
        </is>
      </c>
      <c r="D7" s="14" t="inlineStr">
        <is>
          <t>Sổ đăng ký / Register or PDF</t>
        </is>
      </c>
      <c r="E7" s="14" t="inlineStr">
        <is>
          <t>Chênh (mm) / Δ</t>
        </is>
      </c>
      <c r="F7" s="14" t="inlineStr">
        <is>
          <t>Hệ quả / Implication</t>
        </is>
      </c>
    </row>
    <row r="8">
      <c r="A8" s="18" t="inlineStr">
        <is>
          <t>Model grid</t>
        </is>
      </c>
      <c r="B8" s="18" t="inlineStr">
        <is>
          <t>Every grid axis drawn in the DWG plans, sections and elevations falls within 0.1 mm of the register.</t>
        </is>
      </c>
      <c r="C8" s="18" t="inlineStr">
        <is>
          <t>see DWG grid check</t>
        </is>
      </c>
      <c r="D8" s="18" t="inlineStr">
        <is>
          <t>Model grid</t>
        </is>
      </c>
      <c r="E8" s="38" t="n">
        <v>0</v>
      </c>
      <c r="F8" s="18" t="inlineStr">
        <is>
          <t>Grid unchanged; no model move needed.</t>
        </is>
      </c>
    </row>
    <row r="9">
      <c r="A9" s="18" t="inlineStr">
        <is>
          <t>E003–E007</t>
        </is>
      </c>
      <c r="B9" s="18" t="inlineStr">
        <is>
          <t>Tower levels +8.390, +15.840, +23.140, +29.090, +36.920 m match their markers; overall 39,000 mm courtyard to cross top.</t>
        </is>
      </c>
      <c r="C9" s="18" t="inlineStr">
        <is>
          <t>+8.390 … +36.920 m</t>
        </is>
      </c>
      <c r="D9" s="18" t="inlineStr">
        <is>
          <t>same</t>
        </is>
      </c>
      <c r="E9" s="38" t="n">
        <v>0</v>
      </c>
      <c r="F9" s="18" t="inlineStr">
        <is>
          <t>Tower heights unchanged.</t>
        </is>
      </c>
    </row>
    <row r="10">
      <c r="A10" s="18" t="inlineStr">
        <is>
          <t>EI02</t>
        </is>
      </c>
      <c r="B10" s="18" t="inlineStr">
        <is>
          <t>Central facade chain is drawn 620.6 + 5958.8 + 620.6 = 7200.0 mm; the printed 621 / 5959 / 621 are rounded.</t>
        </is>
      </c>
      <c r="C10" s="18" t="inlineStr">
        <is>
          <t>620.6 / 5958.8 / 620.6</t>
        </is>
      </c>
      <c r="D10" s="18" t="inlineStr">
        <is>
          <t>621 / 5959 / 621</t>
        </is>
      </c>
      <c r="E10" s="38" t="n">
        <v>0</v>
      </c>
      <c r="F10" s="18" t="inlineStr">
        <is>
          <t>Evidence that the 1 mm closure is display rounding. Status left for the owner.</t>
        </is>
      </c>
    </row>
    <row r="11">
      <c r="A11" s="18" t="inlineStr">
        <is>
          <t>RFI-S01, ISSUE-R05</t>
        </is>
      </c>
      <c r="B11" s="18" t="inlineStr">
        <is>
          <t>Main ridge line drawn at +12.396 m in sections 24/25 and in the side elevation (45 m line); the longitudinal section draws its ridge at +12.472 m. Section labels “+12,472M” sit on markers at +12.396.</t>
        </is>
      </c>
      <c r="C11" s="18" t="inlineStr">
        <is>
          <t>+12.396 m (sections, side elevation) / +12.472 m (section A-A)</t>
        </is>
      </c>
      <c r="D11" s="18" t="inlineStr">
        <is>
          <t>+12.472 m label; 14,476 overall</t>
        </is>
      </c>
      <c r="E11" s="38" t="n">
        <v>76</v>
      </c>
      <c r="F11" s="18" t="inlineStr">
        <is>
          <t>The 14,476 overall equals 2,080 + 12,396. The 76 mm may be a ridge cap; unconfirmed.</t>
        </is>
      </c>
    </row>
    <row r="12">
      <c r="A12" s="18" t="inlineStr">
        <is>
          <t>RFI-S02</t>
        </is>
      </c>
      <c r="B12" s="18" t="inlineStr">
        <is>
          <t>Section 24/25 dimension and marker give +6.325 m; elevations and wing ends give +6.324 m.</t>
        </is>
      </c>
      <c r="C12" s="18" t="inlineStr">
        <is>
          <t>6,325.0 (sections) / 6,324 (elevations)</t>
        </is>
      </c>
      <c r="D12" s="18" t="inlineStr">
        <is>
          <t>6,325 / 6,324</t>
        </is>
      </c>
      <c r="E12" s="38" t="n">
        <v>1</v>
      </c>
      <c r="F12" s="18" t="inlineStr">
        <is>
          <t>The 1 mm difference is in the CAD file itself.</t>
        </is>
      </c>
    </row>
    <row r="13">
      <c r="A13" s="18" t="inlineStr">
        <is>
          <t>RFI-S03</t>
        </is>
      </c>
      <c r="B13" s="18" t="inlineStr">
        <is>
          <t>Sanctuary section side reference measures 2,950.5 mm and displays as 2951.</t>
        </is>
      </c>
      <c r="C13" s="18" t="inlineStr">
        <is>
          <t>2,950.5</t>
        </is>
      </c>
      <c r="D13" s="18" t="inlineStr">
        <is>
          <t>2,950 / 2,951</t>
        </is>
      </c>
      <c r="E13" s="44" t="n">
        <v>0.5</v>
      </c>
      <c r="F13" s="18" t="inlineStr">
        <is>
          <t>Rounding; but the opening chain beside it changed between revisions (ISSUE-R03).</t>
        </is>
      </c>
    </row>
    <row r="14">
      <c r="A14" s="18" t="inlineStr">
        <is>
          <t>ISSUE-C01</t>
        </is>
      </c>
      <c r="B14" s="18" t="inlineStr">
        <is>
          <t>Plan overall runs −13,218.6 → 53,845.0 (67,063.6); longitudinal section runs −13,194.3 → 53,955.1 (67,149.4), with 939.1 beyond axis 12 against 829 on the plan.</t>
        </is>
      </c>
      <c r="C14" s="18" t="inlineStr">
        <is>
          <t>67,063.6 / 67,149.4</t>
        </is>
      </c>
      <c r="D14" s="18" t="inlineStr">
        <is>
          <t>67,064 / 67,149</t>
        </is>
      </c>
      <c r="E14" s="44" t="n">
        <v>85.8</v>
      </c>
      <c r="F14" s="18" t="inlineStr">
        <is>
          <t>Plan and section/elevation disagree inside the CAD file; not a PDF reading error.</t>
        </is>
      </c>
    </row>
    <row r="15">
      <c r="A15" s="18" t="inlineStr">
        <is>
          <t>ISSUE-C02</t>
        </is>
      </c>
      <c r="B15" s="18" t="inlineStr">
        <is>
          <t>Side-wing end elevations label +6.324, +9.830 and +15.187 m; markers match. The inside elevation draws the wing ridge just below +9.830.</t>
        </is>
      </c>
      <c r="C15" s="18" t="inlineStr">
        <is>
          <t>+9.830 m; cross top +15.187 m</t>
        </is>
      </c>
      <c r="D15" s="18" t="inlineStr">
        <is>
          <t>no wing ridge in PDFs</t>
        </is>
      </c>
      <c r="E15" s="18" t="n"/>
      <c r="F15" s="18" t="inlineStr">
        <is>
          <t>New evidence for the side-wing ridge; confirm which surface +9.830 marks.</t>
        </is>
      </c>
    </row>
    <row r="16">
      <c r="A16" s="18" t="inlineStr">
        <is>
          <t>ISSUE-C03</t>
        </is>
      </c>
      <c r="B16" s="18" t="inlineStr">
        <is>
          <t>Section width 22,388 is drawn symmetric about the D/E midpoint (±11,194.0), so the 780 mm offset applies on both sides.</t>
        </is>
      </c>
      <c r="C16" s="18" t="inlineStr">
        <is>
          <t>±11,194.0</t>
        </is>
      </c>
      <c r="D16" s="18" t="inlineStr">
        <is>
          <t>780 assumed both sides</t>
        </is>
      </c>
      <c r="E16" s="38" t="n">
        <v>0</v>
      </c>
      <c r="F16" s="18" t="inlineStr">
        <is>
          <t>Assumption supported by CAD geometry.</t>
        </is>
      </c>
    </row>
    <row r="17">
      <c r="A17" s="18" t="inlineStr">
        <is>
          <t>ISSUE-C05</t>
        </is>
      </c>
      <c r="B17" s="18" t="inlineStr">
        <is>
          <t>Gabled-end elevation: 10,414 + 160 + 669.1 each side = 22,486.2; sections 22,388. The ground plan has no 22,489 dimension object.</t>
        </is>
      </c>
      <c r="C17" s="18" t="inlineStr">
        <is>
          <t>22,486.2 / 22,388</t>
        </is>
      </c>
      <c r="D17" s="18" t="inlineStr">
        <is>
          <t>22,489 / 22,486 / 22,388</t>
        </is>
      </c>
      <c r="E17" s="18" t="n"/>
      <c r="F17" s="18" t="inlineStr">
        <is>
          <t>Distinct witnesses remain distinct.</t>
        </is>
      </c>
    </row>
    <row r="18">
      <c r="A18" s="18" t="inlineStr">
        <is>
          <t>ISSUE-P05</t>
        </is>
      </c>
      <c r="B18" s="18" t="inlineStr">
        <is>
          <t>Sanctuary section 25 shows a 1,900 mm wide stepped element centred on the axis (Z −949 to +951) rising to the +800 platform.</t>
        </is>
      </c>
      <c r="C18" s="18" t="inlineStr">
        <is>
          <t>1,900 at Y +800</t>
        </is>
      </c>
      <c r="D18" s="18" t="inlineStr">
        <is>
          <t>1,900 × 870 unlabeled</t>
        </is>
      </c>
      <c r="E18" s="18" t="n"/>
      <c r="F18" s="18" t="inlineStr">
        <is>
          <t>Supports reading the rectangle as the central steps, not an altar table.</t>
        </is>
      </c>
    </row>
    <row r="19">
      <c r="A19" s="18" t="inlineStr">
        <is>
          <t>ISSUE-R02</t>
        </is>
      </c>
      <c r="B19" s="18" t="inlineStr">
        <is>
          <t>Central facade between the towers is a different design from PDF sheet 1.</t>
        </is>
      </c>
      <c r="C19" s="18" t="inlineStr">
        <is>
          <t>DWG sheet 1 (A and B)</t>
        </is>
      </c>
      <c r="D19" s="18" t="inlineStr">
        <is>
          <t>PDF sheet 1</t>
        </is>
      </c>
      <c r="E19" s="18" t="n"/>
      <c r="F19" s="18" t="inlineStr">
        <is>
          <t>Owner direction 24 Oct 2026: the model follows the DWG above +8.45 m (facade.csv, docs/facade-model.md). ISSUE-R02 stays open for the church.</t>
        </is>
      </c>
    </row>
    <row r="20">
      <c r="A20" s="18" t="inlineStr">
        <is>
          <t>ISSUE-R03</t>
        </is>
      </c>
      <c r="B20" s="18" t="inlineStr">
        <is>
          <t>Sanctuary section heights differ from PDF sheet 5.</t>
        </is>
      </c>
      <c r="C20" s="18" t="inlineStr">
        <is>
          <t>160/2544/466/4392; 6231; 8525; 3171</t>
        </is>
      </c>
      <c r="D20" s="18" t="inlineStr">
        <is>
          <t>150/2554/396/4462; 6301; 8452; 2951</t>
        </is>
      </c>
      <c r="E20" s="38" t="n">
        <v>70</v>
      </c>
      <c r="F20" s="18" t="inlineStr">
        <is>
          <t>See ISSUE-R03.</t>
        </is>
      </c>
    </row>
    <row r="21">
      <c r="A21" s="18" t="inlineStr">
        <is>
          <t>ISSUE-R04</t>
        </is>
      </c>
      <c r="B21" s="18" t="inlineStr">
        <is>
          <t>Sanctuary platform dimensioned 800 mm in section 25; DWG plan and PDFs show +0.75 m.</t>
        </is>
      </c>
      <c r="C21" s="18" t="inlineStr">
        <is>
          <t>800</t>
        </is>
      </c>
      <c r="D21" s="18" t="inlineStr">
        <is>
          <t>750</t>
        </is>
      </c>
      <c r="E21" s="38" t="n">
        <v>50</v>
      </c>
      <c r="F21" s="18" t="inlineStr">
        <is>
          <t>See ISSUE-R04.</t>
        </is>
      </c>
    </row>
    <row r="22">
      <c r="A22" s="18" t="inlineStr">
        <is>
          <t>ISSUE-P01, EI01</t>
        </is>
      </c>
      <c r="B22" s="18" t="inlineStr">
        <is>
          <t>No roof plan in the DWG; the tower-cap chain is not available as dimension objects.</t>
        </is>
      </c>
      <c r="C22" s="18" t="inlineStr">
        <is>
          <t>—</t>
        </is>
      </c>
      <c r="D22" s="18" t="inlineStr">
        <is>
          <t>—</t>
        </is>
      </c>
      <c r="E22" s="18" t="n"/>
      <c r="F22" s="18" t="inlineStr">
        <is>
          <t>These items need the roof plan and the tower-cap dimensions from the designer.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18324B"/>
    <outlinePr summaryBelow="1" summaryRight="1"/>
    <pageSetUpPr/>
  </sheetPr>
  <dimension ref="A2:L4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1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30" customWidth="1" min="10" max="10"/>
    <col width="22" customWidth="1" min="11" max="11"/>
    <col width="70" customWidth="1" min="12" max="12"/>
  </cols>
  <sheetData>
    <row r="1" ht="25" customHeight="1"/>
    <row r="2" ht="25" customHeight="1">
      <c r="A2" s="3" t="inlineStr">
        <is>
          <t>MẶT GIỮA HAI THÁP THEO FILE CAD / CENTRAL FACADE FROM THE CAD FILE</t>
        </is>
      </c>
    </row>
    <row r="3" ht="25" customHeight="1"/>
    <row r="4" ht="25" customHeight="1">
      <c r="A4" s="5" t="inlineStr">
        <is>
          <t>Mô hình theo file CAD từ +8,45 m (chủ đầu tư, 24/10/2026). p1–p4: đường, cung hoặc kích thước được kiểm bằng `extract_dwg_revision.py facade`. / The model follows the CAD file above +8.45 m (owner, 2026-10-24). p1–p4 give the line, arc or dimension checked by `extract_dwg_revision.py facade`; elevation u = Z, v = Y; plans u = Z, v = X (mm).</t>
        </is>
      </c>
    </row>
    <row r="7">
      <c r="A7" s="14" t="inlineStr">
        <is>
          <t>Mã / ID</t>
        </is>
      </c>
      <c r="B7" s="14" t="inlineStr">
        <is>
          <t>Bộ phận / Element</t>
        </is>
      </c>
      <c r="C7" s="14" t="inlineStr">
        <is>
          <t>Bản vẽ / Drawing</t>
        </is>
      </c>
      <c r="D7" s="14" t="inlineStr">
        <is>
          <t>Loại / Kind</t>
        </is>
      </c>
      <c r="E7" s="14" t="inlineStr">
        <is>
          <t>p1</t>
        </is>
      </c>
      <c r="F7" s="14" t="inlineStr">
        <is>
          <t>p2</t>
        </is>
      </c>
      <c r="G7" s="14" t="inlineStr">
        <is>
          <t>p3</t>
        </is>
      </c>
      <c r="H7" s="14" t="inlineStr">
        <is>
          <t>p4</t>
        </is>
      </c>
      <c r="I7" s="14" t="inlineStr">
        <is>
          <t>Giá trị (mm) / Value</t>
        </is>
      </c>
      <c r="J7" s="14" t="inlineStr">
        <is>
          <t>Mô hình / Model (m)</t>
        </is>
      </c>
      <c r="K7" s="14" t="inlineStr">
        <is>
          <t>Cơ sở / Basis</t>
        </is>
      </c>
      <c r="L7" s="14" t="inlineStr">
        <is>
          <t>Ghi chú / Note</t>
        </is>
      </c>
    </row>
    <row r="8">
      <c r="A8" s="18" t="inlineStr">
        <is>
          <t>F01</t>
        </is>
      </c>
      <c r="B8" s="18" t="inlineStr">
        <is>
          <t>Ground-storey cornice top over the side bays</t>
        </is>
      </c>
      <c r="C8" s="18" t="inlineStr">
        <is>
          <t>E01B</t>
        </is>
      </c>
      <c r="D8" s="18" t="inlineStr">
        <is>
          <t>h</t>
        </is>
      </c>
      <c r="E8" s="38" t="n">
        <v>8390</v>
      </c>
      <c r="F8" s="38" t="n">
        <v>-7703</v>
      </c>
      <c r="G8" s="38" t="n">
        <v>-3469</v>
      </c>
      <c r="H8" s="18" t="n"/>
      <c r="I8" s="38" t="n">
        <v>8390</v>
      </c>
      <c r="J8" s="18" t="inlineStr">
        <is>
          <t>8.390</t>
        </is>
      </c>
      <c r="K8" s="18" t="inlineStr">
        <is>
          <t>TRACED</t>
        </is>
      </c>
      <c r="L8" s="18" t="inlineStr">
        <is>
          <t>Kept from the bundle's traced facade; also the +8.390 level label</t>
        </is>
      </c>
    </row>
    <row r="9">
      <c r="A9" s="18" t="inlineStr">
        <is>
          <t>F02</t>
        </is>
      </c>
      <c r="B9" s="18" t="inlineStr">
        <is>
          <t>Central cornice corona underside</t>
        </is>
      </c>
      <c r="C9" s="18" t="inlineStr">
        <is>
          <t>E01B</t>
        </is>
      </c>
      <c r="D9" s="18" t="inlineStr">
        <is>
          <t>h</t>
        </is>
      </c>
      <c r="E9" s="38" t="n">
        <v>8605</v>
      </c>
      <c r="F9" s="38" t="n">
        <v>-3499</v>
      </c>
      <c r="G9" s="38" t="n">
        <v>0</v>
      </c>
      <c r="H9" s="18" t="n"/>
      <c r="I9" s="38" t="n">
        <v>8605</v>
      </c>
      <c r="J9" s="18" t="inlineStr">
        <is>
          <t>8.605</t>
        </is>
      </c>
      <c r="K9" s="18" t="inlineStr">
        <is>
          <t>TRACED</t>
        </is>
      </c>
      <c r="L9" s="18" t="inlineStr">
        <is>
          <t>Dentils 8.42–8.52 and corona 8.605–8.773 over the main door</t>
        </is>
      </c>
    </row>
    <row r="10">
      <c r="A10" s="18" t="inlineStr">
        <is>
          <t>F03</t>
        </is>
      </c>
      <c r="B10" s="18" t="inlineStr">
        <is>
          <t>Central cornice Greek-key frieze top / plinth base</t>
        </is>
      </c>
      <c r="C10" s="18" t="inlineStr">
        <is>
          <t>E01B</t>
        </is>
      </c>
      <c r="D10" s="18" t="inlineStr">
        <is>
          <t>h</t>
        </is>
      </c>
      <c r="E10" s="38" t="n">
        <v>9115</v>
      </c>
      <c r="F10" s="38" t="n">
        <v>-7128</v>
      </c>
      <c r="G10" s="38" t="n">
        <v>0</v>
      </c>
      <c r="H10" s="18" t="n"/>
      <c r="I10" s="38" t="n">
        <v>9115</v>
      </c>
      <c r="J10" s="18" t="inlineStr">
        <is>
          <t>9.115</t>
        </is>
      </c>
      <c r="K10" s="18" t="inlineStr">
        <is>
          <t>TRACED</t>
        </is>
      </c>
      <c r="L10" s="18" t="inlineStr">
        <is>
          <t>Runs across the three bays</t>
        </is>
      </c>
    </row>
    <row r="11">
      <c r="A11" s="18" t="inlineStr">
        <is>
          <t>F04</t>
        </is>
      </c>
      <c r="B11" s="18" t="inlineStr">
        <is>
          <t>Upper-storey plinth top (terrace)</t>
        </is>
      </c>
      <c r="C11" s="18" t="inlineStr">
        <is>
          <t>E01B</t>
        </is>
      </c>
      <c r="D11" s="18" t="inlineStr">
        <is>
          <t>h</t>
        </is>
      </c>
      <c r="E11" s="38" t="n">
        <v>9741</v>
      </c>
      <c r="F11" s="38" t="n">
        <v>-7128</v>
      </c>
      <c r="G11" s="38" t="n">
        <v>0</v>
      </c>
      <c r="H11" s="18" t="n"/>
      <c r="I11" s="38" t="n">
        <v>9741</v>
      </c>
      <c r="J11" s="18" t="inlineStr">
        <is>
          <t>9.741</t>
        </is>
      </c>
      <c r="K11" s="18" t="inlineStr">
        <is>
          <t>TRACED</t>
        </is>
      </c>
      <c r="L11" s="18" t="inlineStr">
        <is>
          <t>Floor of the side niches and of the room behind the triple window</t>
        </is>
      </c>
    </row>
    <row r="12">
      <c r="A12" s="18" t="inlineStr">
        <is>
          <t>F05</t>
        </is>
      </c>
      <c r="B12" s="18" t="inlineStr">
        <is>
          <t>Upper entablature underside</t>
        </is>
      </c>
      <c r="C12" s="18" t="inlineStr">
        <is>
          <t>E01B</t>
        </is>
      </c>
      <c r="D12" s="18" t="inlineStr">
        <is>
          <t>h</t>
        </is>
      </c>
      <c r="E12" s="38" t="n">
        <v>15333</v>
      </c>
      <c r="F12" s="38" t="n">
        <v>-7763</v>
      </c>
      <c r="G12" s="38" t="n">
        <v>0</v>
      </c>
      <c r="H12" s="18" t="n"/>
      <c r="I12" s="38" t="n">
        <v>15333</v>
      </c>
      <c r="J12" s="18" t="inlineStr">
        <is>
          <t>15.333</t>
        </is>
      </c>
      <c r="K12" s="18" t="inlineStr">
        <is>
          <t>TRACED</t>
        </is>
      </c>
      <c r="L12" s="18" t="inlineStr"/>
    </row>
    <row r="13">
      <c r="A13" s="18" t="inlineStr">
        <is>
          <t>F06</t>
        </is>
      </c>
      <c r="B13" s="18" t="inlineStr">
        <is>
          <t>Upper entablature top</t>
        </is>
      </c>
      <c r="C13" s="18" t="inlineStr">
        <is>
          <t>E01B</t>
        </is>
      </c>
      <c r="D13" s="18" t="inlineStr">
        <is>
          <t>h</t>
        </is>
      </c>
      <c r="E13" s="38" t="n">
        <v>15840</v>
      </c>
      <c r="F13" s="38" t="n">
        <v>-7128</v>
      </c>
      <c r="G13" s="38" t="n">
        <v>0</v>
      </c>
      <c r="H13" s="18" t="n"/>
      <c r="I13" s="38" t="n">
        <v>15840</v>
      </c>
      <c r="J13" s="18" t="inlineStr">
        <is>
          <t>15.840</t>
        </is>
      </c>
      <c r="K13" s="18" t="inlineStr">
        <is>
          <t>TRACED</t>
        </is>
      </c>
      <c r="L13" s="18" t="inlineStr">
        <is>
          <t>Also the +15.840 level label and plan PT15</t>
        </is>
      </c>
    </row>
    <row r="14">
      <c r="A14" s="18" t="inlineStr">
        <is>
          <t>F07</t>
        </is>
      </c>
      <c r="B14" s="18" t="inlineStr">
        <is>
          <t>Central piers: chain across the D–E bay</t>
        </is>
      </c>
      <c r="C14" s="18" t="inlineStr">
        <is>
          <t>E01B</t>
        </is>
      </c>
      <c r="D14" s="18" t="inlineStr">
        <is>
          <t>dim</t>
        </is>
      </c>
      <c r="E14" s="44" t="n">
        <v>5958.8</v>
      </c>
      <c r="F14" s="18" t="n"/>
      <c r="G14" s="18" t="n"/>
      <c r="H14" s="18" t="n"/>
      <c r="I14" s="44" t="n">
        <v>5958.8</v>
      </c>
      <c r="J14" s="18" t="inlineStr">
        <is>
          <t>±2.979 (centres), shafts ±2.544 to ±3.414</t>
        </is>
      </c>
      <c r="K14" s="18" t="inlineStr">
        <is>
          <t>TRACED</t>
        </is>
      </c>
      <c r="L14" s="18" t="inlineStr">
        <is>
          <t>621 / 5958.8 / 621 dimension chain</t>
        </is>
      </c>
    </row>
    <row r="15">
      <c r="A15" s="18" t="inlineStr">
        <is>
          <t>F08</t>
        </is>
      </c>
      <c r="B15" s="18" t="inlineStr">
        <is>
          <t>Central great arch extrados</t>
        </is>
      </c>
      <c r="C15" s="18" t="inlineStr">
        <is>
          <t>E01B</t>
        </is>
      </c>
      <c r="D15" s="18" t="inlineStr">
        <is>
          <t>arc</t>
        </is>
      </c>
      <c r="E15" s="38" t="n">
        <v>0</v>
      </c>
      <c r="F15" s="38" t="n">
        <v>12677</v>
      </c>
      <c r="G15" s="38" t="n">
        <v>2270</v>
      </c>
      <c r="H15" s="18" t="n"/>
      <c r="I15" s="38" t="n">
        <v>2270</v>
      </c>
      <c r="J15" s="18" t="inlineStr">
        <is>
          <t>r 2.270 about +12.677</t>
        </is>
      </c>
      <c r="K15" s="18" t="inlineStr">
        <is>
          <t>TRACED</t>
        </is>
      </c>
      <c r="L15" s="18" t="inlineStr">
        <is>
          <t>Rings at r 2.070 and 2.200 drawn between</t>
        </is>
      </c>
    </row>
    <row r="16">
      <c r="A16" s="18" t="inlineStr">
        <is>
          <t>F09</t>
        </is>
      </c>
      <c r="B16" s="18" t="inlineStr">
        <is>
          <t>Central great arch intrados</t>
        </is>
      </c>
      <c r="C16" s="18" t="inlineStr">
        <is>
          <t>E01B</t>
        </is>
      </c>
      <c r="D16" s="18" t="inlineStr">
        <is>
          <t>arc</t>
        </is>
      </c>
      <c r="E16" s="38" t="n">
        <v>0</v>
      </c>
      <c r="F16" s="38" t="n">
        <v>12677</v>
      </c>
      <c r="G16" s="38" t="n">
        <v>1960</v>
      </c>
      <c r="H16" s="18" t="n"/>
      <c r="I16" s="38" t="n">
        <v>1960</v>
      </c>
      <c r="J16" s="18" t="inlineStr">
        <is>
          <t>r 1.960</t>
        </is>
      </c>
      <c r="K16" s="18" t="inlineStr">
        <is>
          <t>TRACED</t>
        </is>
      </c>
      <c r="L16" s="18" t="inlineStr">
        <is>
          <t>Tympanum face inside it</t>
        </is>
      </c>
    </row>
    <row r="17">
      <c r="A17" s="18" t="inlineStr">
        <is>
          <t>F10</t>
        </is>
      </c>
      <c r="B17" s="18" t="inlineStr">
        <is>
          <t>Triple window outer lights</t>
        </is>
      </c>
      <c r="C17" s="18" t="inlineStr">
        <is>
          <t>E01B</t>
        </is>
      </c>
      <c r="D17" s="18" t="inlineStr">
        <is>
          <t>arc</t>
        </is>
      </c>
      <c r="E17" s="38" t="n">
        <v>-1190</v>
      </c>
      <c r="F17" s="38" t="n">
        <v>12241</v>
      </c>
      <c r="G17" s="38" t="n">
        <v>430</v>
      </c>
      <c r="H17" s="18" t="n"/>
      <c r="I17" s="38" t="n">
        <v>430</v>
      </c>
      <c r="J17" s="18" t="inlineStr">
        <is>
          <t>centres ±1.190, r 0.430 about +12.241</t>
        </is>
      </c>
      <c r="K17" s="18" t="inlineStr">
        <is>
          <t>TRACED</t>
        </is>
      </c>
      <c r="L17" s="18" t="inlineStr">
        <is>
          <t>Glazing r 0.375; rings to r 0.650</t>
        </is>
      </c>
    </row>
    <row r="18">
      <c r="A18" s="18" t="inlineStr">
        <is>
          <t>F11</t>
        </is>
      </c>
      <c r="B18" s="18" t="inlineStr">
        <is>
          <t>Triple window centre light</t>
        </is>
      </c>
      <c r="C18" s="18" t="inlineStr">
        <is>
          <t>E01B</t>
        </is>
      </c>
      <c r="D18" s="18" t="inlineStr">
        <is>
          <t>arc</t>
        </is>
      </c>
      <c r="E18" s="38" t="n">
        <v>0</v>
      </c>
      <c r="F18" s="38" t="n">
        <v>12241</v>
      </c>
      <c r="G18" s="38" t="n">
        <v>430</v>
      </c>
      <c r="H18" s="18" t="n"/>
      <c r="I18" s="38" t="n">
        <v>430</v>
      </c>
      <c r="J18" s="18" t="inlineStr">
        <is>
          <t>centre 0, r 0.430 about +12.241</t>
        </is>
      </c>
      <c r="K18" s="18" t="inlineStr">
        <is>
          <t>TRACED</t>
        </is>
      </c>
      <c r="L18" s="18" t="inlineStr"/>
    </row>
    <row r="19">
      <c r="A19" s="18" t="inlineStr">
        <is>
          <t>F12</t>
        </is>
      </c>
      <c r="B19" s="18" t="inlineStr">
        <is>
          <t>Triple window glazing edge and sill</t>
        </is>
      </c>
      <c r="C19" s="18" t="inlineStr">
        <is>
          <t>E01B</t>
        </is>
      </c>
      <c r="D19" s="18" t="inlineStr">
        <is>
          <t>v</t>
        </is>
      </c>
      <c r="E19" s="38" t="n">
        <v>-1605</v>
      </c>
      <c r="F19" s="38" t="n">
        <v>9984</v>
      </c>
      <c r="G19" s="38" t="n">
        <v>12101</v>
      </c>
      <c r="H19" s="18" t="n"/>
      <c r="I19" s="38" t="n">
        <v>9984</v>
      </c>
      <c r="J19" s="18" t="inlineStr">
        <is>
          <t>sill +9.984</t>
        </is>
      </c>
      <c r="K19" s="18" t="inlineStr">
        <is>
          <t>TRACED</t>
        </is>
      </c>
      <c r="L19" s="18" t="inlineStr">
        <is>
          <t>Lights 0.830 m wide between colonnettes</t>
        </is>
      </c>
    </row>
    <row r="20">
      <c r="A20" s="18" t="inlineStr">
        <is>
          <t>F13</t>
        </is>
      </c>
      <c r="B20" s="18" t="inlineStr">
        <is>
          <t>Side great arch extrados</t>
        </is>
      </c>
      <c r="C20" s="18" t="inlineStr">
        <is>
          <t>E01B</t>
        </is>
      </c>
      <c r="D20" s="18" t="inlineStr">
        <is>
          <t>arc</t>
        </is>
      </c>
      <c r="E20" s="38" t="n">
        <v>-5350</v>
      </c>
      <c r="F20" s="38" t="n">
        <v>12960</v>
      </c>
      <c r="G20" s="38" t="n">
        <v>1936</v>
      </c>
      <c r="H20" s="18" t="n"/>
      <c r="I20" s="38" t="n">
        <v>1936</v>
      </c>
      <c r="J20" s="18" t="inlineStr">
        <is>
          <t>centre ±5.350, r 1.936 about +12.960</t>
        </is>
      </c>
      <c r="K20" s="18" t="inlineStr">
        <is>
          <t>TRACED</t>
        </is>
      </c>
      <c r="L20" s="18" t="inlineStr"/>
    </row>
    <row r="21">
      <c r="A21" s="18" t="inlineStr">
        <is>
          <t>F14</t>
        </is>
      </c>
      <c r="B21" s="18" t="inlineStr">
        <is>
          <t>Side great arch intrados</t>
        </is>
      </c>
      <c r="C21" s="18" t="inlineStr">
        <is>
          <t>E01B</t>
        </is>
      </c>
      <c r="D21" s="18" t="inlineStr">
        <is>
          <t>arc</t>
        </is>
      </c>
      <c r="E21" s="38" t="n">
        <v>-5350</v>
      </c>
      <c r="F21" s="38" t="n">
        <v>12960</v>
      </c>
      <c r="G21" s="38" t="n">
        <v>1626</v>
      </c>
      <c r="H21" s="18" t="n"/>
      <c r="I21" s="38" t="n">
        <v>1626</v>
      </c>
      <c r="J21" s="18" t="inlineStr">
        <is>
          <t>r 1.626</t>
        </is>
      </c>
      <c r="K21" s="18" t="inlineStr">
        <is>
          <t>TRACED</t>
        </is>
      </c>
      <c r="L21" s="18" t="inlineStr">
        <is>
          <t>Legs run down to the plinth</t>
        </is>
      </c>
    </row>
    <row r="22">
      <c r="A22" s="18" t="inlineStr">
        <is>
          <t>F15</t>
        </is>
      </c>
      <c r="B22" s="18" t="inlineStr">
        <is>
          <t>Side niche (intrados)</t>
        </is>
      </c>
      <c r="C22" s="18" t="inlineStr">
        <is>
          <t>E01B</t>
        </is>
      </c>
      <c r="D22" s="18" t="inlineStr">
        <is>
          <t>arc</t>
        </is>
      </c>
      <c r="E22" s="38" t="n">
        <v>-5350</v>
      </c>
      <c r="F22" s="38" t="n">
        <v>12308</v>
      </c>
      <c r="G22" s="38" t="n">
        <v>599</v>
      </c>
      <c r="H22" s="18" t="n"/>
      <c r="I22" s="38" t="n">
        <v>599</v>
      </c>
      <c r="J22" s="18" t="inlineStr">
        <is>
          <t>r 0.599 about +12.308; crown +12.907</t>
        </is>
      </c>
      <c r="K22" s="18" t="inlineStr">
        <is>
          <t>TRACED</t>
        </is>
      </c>
      <c r="L22" s="18" t="inlineStr">
        <is>
          <t>Pedestal top +10.391; statue of the owner on it</t>
        </is>
      </c>
    </row>
    <row r="23">
      <c r="A23" s="18" t="inlineStr">
        <is>
          <t>F16</t>
        </is>
      </c>
      <c r="B23" s="18" t="inlineStr">
        <is>
          <t>Side aedicule arch extrados</t>
        </is>
      </c>
      <c r="C23" s="18" t="inlineStr">
        <is>
          <t>E01B</t>
        </is>
      </c>
      <c r="D23" s="18" t="inlineStr">
        <is>
          <t>arc</t>
        </is>
      </c>
      <c r="E23" s="38" t="n">
        <v>-5350</v>
      </c>
      <c r="F23" s="38" t="n">
        <v>12308</v>
      </c>
      <c r="G23" s="38" t="n">
        <v>986</v>
      </c>
      <c r="H23" s="18" t="n"/>
      <c r="I23" s="38" t="n">
        <v>986</v>
      </c>
      <c r="J23" s="18" t="inlineStr">
        <is>
          <t>r 0.986</t>
        </is>
      </c>
      <c r="K23" s="18" t="inlineStr">
        <is>
          <t>TRACED</t>
        </is>
      </c>
      <c r="L23" s="18" t="inlineStr">
        <is>
          <t>Carved crest above to about +14.35</t>
        </is>
      </c>
    </row>
    <row r="24">
      <c r="A24" s="18" t="inlineStr">
        <is>
          <t>F17</t>
        </is>
      </c>
      <c r="B24" s="18" t="inlineStr">
        <is>
          <t>Central niche (intrados)</t>
        </is>
      </c>
      <c r="C24" s="18" t="inlineStr">
        <is>
          <t>E01B</t>
        </is>
      </c>
      <c r="D24" s="18" t="inlineStr">
        <is>
          <t>arc</t>
        </is>
      </c>
      <c r="E24" s="38" t="n">
        <v>0</v>
      </c>
      <c r="F24" s="38" t="n">
        <v>18893</v>
      </c>
      <c r="G24" s="38" t="n">
        <v>711</v>
      </c>
      <c r="H24" s="18" t="n"/>
      <c r="I24" s="38" t="n">
        <v>711</v>
      </c>
      <c r="J24" s="18" t="inlineStr">
        <is>
          <t>r 0.711 about +18.893; crown +19.604</t>
        </is>
      </c>
      <c r="K24" s="18" t="inlineStr">
        <is>
          <t>TRACED</t>
        </is>
      </c>
      <c r="L24" s="18" t="inlineStr">
        <is>
          <t>Pedestal 15.997–16.683</t>
        </is>
      </c>
    </row>
    <row r="25">
      <c r="A25" s="18" t="inlineStr">
        <is>
          <t>F18</t>
        </is>
      </c>
      <c r="B25" s="18" t="inlineStr">
        <is>
          <t>Central aedicule arch extrados</t>
        </is>
      </c>
      <c r="C25" s="18" t="inlineStr">
        <is>
          <t>E01B</t>
        </is>
      </c>
      <c r="D25" s="18" t="inlineStr">
        <is>
          <t>arc</t>
        </is>
      </c>
      <c r="E25" s="38" t="n">
        <v>0</v>
      </c>
      <c r="F25" s="38" t="n">
        <v>18893</v>
      </c>
      <c r="G25" s="38" t="n">
        <v>1112</v>
      </c>
      <c r="H25" s="18" t="n"/>
      <c r="I25" s="38" t="n">
        <v>1112</v>
      </c>
      <c r="J25" s="18" t="inlineStr">
        <is>
          <t>r 1.112</t>
        </is>
      </c>
      <c r="K25" s="18" t="inlineStr">
        <is>
          <t>TRACED</t>
        </is>
      </c>
      <c r="L25" s="18" t="inlineStr"/>
    </row>
    <row r="26">
      <c r="A26" s="18" t="inlineStr">
        <is>
          <t>F19</t>
        </is>
      </c>
      <c r="B26" s="18" t="inlineStr">
        <is>
          <t>Pediment raking cornice (lower edge)</t>
        </is>
      </c>
      <c r="C26" s="18" t="inlineStr">
        <is>
          <t>E01B</t>
        </is>
      </c>
      <c r="D26" s="18" t="inlineStr">
        <is>
          <t>seg</t>
        </is>
      </c>
      <c r="E26" s="44" t="n">
        <v>-1316.4</v>
      </c>
      <c r="F26" s="44" t="n">
        <v>20420.7</v>
      </c>
      <c r="G26" s="44" t="n">
        <v>-361.5</v>
      </c>
      <c r="H26" s="44" t="n">
        <v>21068.7</v>
      </c>
      <c r="I26" s="18" t="n"/>
      <c r="J26" s="18" t="inlineStr">
        <is>
          <t>(±1.316, +20.421) to (±0.362, +21.069)</t>
        </is>
      </c>
      <c r="K26" s="18" t="inlineStr">
        <is>
          <t>TRACED</t>
        </is>
      </c>
      <c r="L26" s="18" t="inlineStr"/>
    </row>
    <row r="27">
      <c r="A27" s="18" t="inlineStr">
        <is>
          <t>F20</t>
        </is>
      </c>
      <c r="B27" s="18" t="inlineStr">
        <is>
          <t>Scroll spur from the pier pinnacle to the aedicule pier</t>
        </is>
      </c>
      <c r="C27" s="18" t="inlineStr">
        <is>
          <t>E01B</t>
        </is>
      </c>
      <c r="D27" s="18" t="inlineStr">
        <is>
          <t>arc</t>
        </is>
      </c>
      <c r="E27" s="38" t="n">
        <v>-3404</v>
      </c>
      <c r="F27" s="38" t="n">
        <v>18866</v>
      </c>
      <c r="G27" s="38" t="n">
        <v>1317</v>
      </c>
      <c r="H27" s="18" t="n"/>
      <c r="I27" s="38" t="n">
        <v>1317</v>
      </c>
      <c r="J27" s="18" t="inlineStr">
        <is>
          <t>centre ±3.404, +18.866; r 1.317–1.417</t>
        </is>
      </c>
      <c r="K27" s="18" t="inlineStr">
        <is>
          <t>TRACED</t>
        </is>
      </c>
      <c r="L27" s="18" t="inlineStr"/>
    </row>
    <row r="28">
      <c r="A28" s="18" t="inlineStr">
        <is>
          <t>F21</t>
        </is>
      </c>
      <c r="B28" s="18" t="inlineStr">
        <is>
          <t>Disc under the cross</t>
        </is>
      </c>
      <c r="C28" s="18" t="inlineStr">
        <is>
          <t>E01B</t>
        </is>
      </c>
      <c r="D28" s="18" t="inlineStr">
        <is>
          <t>arc</t>
        </is>
      </c>
      <c r="E28" s="38" t="n">
        <v>0</v>
      </c>
      <c r="F28" s="38" t="n">
        <v>22921</v>
      </c>
      <c r="G28" s="38" t="n">
        <v>213</v>
      </c>
      <c r="H28" s="18" t="n"/>
      <c r="I28" s="38" t="n">
        <v>213</v>
      </c>
      <c r="J28" s="18" t="inlineStr">
        <is>
          <t>r 0.213 about +22.921</t>
        </is>
      </c>
      <c r="K28" s="18" t="inlineStr">
        <is>
          <t>TRACED</t>
        </is>
      </c>
      <c r="L28" s="18" t="inlineStr"/>
    </row>
    <row r="29">
      <c r="A29" s="18" t="inlineStr">
        <is>
          <t>F22</t>
        </is>
      </c>
      <c r="B29" s="18" t="inlineStr">
        <is>
          <t>Cross top</t>
        </is>
      </c>
      <c r="C29" s="18" t="inlineStr">
        <is>
          <t>E01B</t>
        </is>
      </c>
      <c r="D29" s="18" t="inlineStr">
        <is>
          <t>ymax</t>
        </is>
      </c>
      <c r="E29" s="38" t="n">
        <v>-800</v>
      </c>
      <c r="F29" s="38" t="n">
        <v>800</v>
      </c>
      <c r="G29" s="18" t="n"/>
      <c r="H29" s="18" t="n"/>
      <c r="I29" s="38" t="n">
        <v>24648</v>
      </c>
      <c r="J29" s="18" t="inlineStr">
        <is>
          <t>24.648</t>
        </is>
      </c>
      <c r="K29" s="18" t="inlineStr">
        <is>
          <t>TRACED</t>
        </is>
      </c>
      <c r="L29" s="18" t="inlineStr">
        <is>
          <t>Highest point of the central facade</t>
        </is>
      </c>
    </row>
    <row r="30">
      <c r="A30" s="18" t="inlineStr">
        <is>
          <t>F23</t>
        </is>
      </c>
      <c r="B30" s="18" t="inlineStr">
        <is>
          <t>Central pier front at the plinth</t>
        </is>
      </c>
      <c r="C30" s="18" t="inlineStr">
        <is>
          <t>PT10</t>
        </is>
      </c>
      <c r="D30" s="18" t="inlineStr">
        <is>
          <t>h</t>
        </is>
      </c>
      <c r="E30" s="38" t="n">
        <v>1562</v>
      </c>
      <c r="F30" s="38" t="n">
        <v>-3472</v>
      </c>
      <c r="G30" s="38" t="n">
        <v>-2484</v>
      </c>
      <c r="H30" s="18" t="n"/>
      <c r="I30" s="38" t="n">
        <v>1562</v>
      </c>
      <c r="J30" s="18" t="inlineStr">
        <is>
          <t>X 1.562</t>
        </is>
      </c>
      <c r="K30" s="18" t="inlineStr">
        <is>
          <t>TRACED</t>
        </is>
      </c>
      <c r="L30" s="18" t="inlineStr">
        <is>
          <t>Plan at +10.128 m; X from axis 1</t>
        </is>
      </c>
    </row>
    <row r="31">
      <c r="A31" s="18" t="inlineStr">
        <is>
          <t>F24</t>
        </is>
      </c>
      <c r="B31" s="18" t="inlineStr">
        <is>
          <t>Central bay wall face</t>
        </is>
      </c>
      <c r="C31" s="18" t="inlineStr">
        <is>
          <t>PT10</t>
        </is>
      </c>
      <c r="D31" s="18" t="inlineStr">
        <is>
          <t>h</t>
        </is>
      </c>
      <c r="E31" s="38" t="n">
        <v>2936</v>
      </c>
      <c r="F31" s="38" t="n">
        <v>-2544</v>
      </c>
      <c r="G31" s="38" t="n">
        <v>-2270</v>
      </c>
      <c r="H31" s="18" t="n"/>
      <c r="I31" s="38" t="n">
        <v>2936</v>
      </c>
      <c r="J31" s="18" t="inlineStr">
        <is>
          <t>X 2.936</t>
        </is>
      </c>
      <c r="K31" s="18" t="inlineStr">
        <is>
          <t>TRACED</t>
        </is>
      </c>
      <c r="L31" s="18" t="inlineStr"/>
    </row>
    <row r="32">
      <c r="A32" s="18" t="inlineStr">
        <is>
          <t>F25</t>
        </is>
      </c>
      <c r="B32" s="18" t="inlineStr">
        <is>
          <t>Triple window plane</t>
        </is>
      </c>
      <c r="C32" s="18" t="inlineStr">
        <is>
          <t>PT10</t>
        </is>
      </c>
      <c r="D32" s="18" t="inlineStr">
        <is>
          <t>h</t>
        </is>
      </c>
      <c r="E32" s="38" t="n">
        <v>3556</v>
      </c>
      <c r="F32" s="38" t="n">
        <v>-1620</v>
      </c>
      <c r="G32" s="38" t="n">
        <v>-760</v>
      </c>
      <c r="H32" s="18" t="n"/>
      <c r="I32" s="38" t="n">
        <v>3556</v>
      </c>
      <c r="J32" s="18" t="inlineStr">
        <is>
          <t>X 3.556 (louvres)</t>
        </is>
      </c>
      <c r="K32" s="18" t="inlineStr">
        <is>
          <t>TRACED</t>
        </is>
      </c>
      <c r="L32" s="18" t="inlineStr">
        <is>
          <t>Room behind from X 3.666 to 4.716</t>
        </is>
      </c>
    </row>
    <row r="33">
      <c r="A33" s="18" t="inlineStr">
        <is>
          <t>F26</t>
        </is>
      </c>
      <c r="B33" s="18" t="inlineStr">
        <is>
          <t>Side bay wall face</t>
        </is>
      </c>
      <c r="C33" s="18" t="inlineStr">
        <is>
          <t>PT10</t>
        </is>
      </c>
      <c r="D33" s="18" t="inlineStr">
        <is>
          <t>h</t>
        </is>
      </c>
      <c r="E33" s="38" t="n">
        <v>4017</v>
      </c>
      <c r="F33" s="38" t="n">
        <v>-4364</v>
      </c>
      <c r="G33" s="38" t="n">
        <v>-3724</v>
      </c>
      <c r="H33" s="18" t="n"/>
      <c r="I33" s="38" t="n">
        <v>4017</v>
      </c>
      <c r="J33" s="18" t="inlineStr">
        <is>
          <t>X 4.017</t>
        </is>
      </c>
      <c r="K33" s="18" t="inlineStr">
        <is>
          <t>TRACED</t>
        </is>
      </c>
      <c r="L33" s="18" t="inlineStr"/>
    </row>
    <row r="34">
      <c r="A34" s="18" t="inlineStr">
        <is>
          <t>F27</t>
        </is>
      </c>
      <c r="B34" s="18" t="inlineStr">
        <is>
          <t>Side bay wall back</t>
        </is>
      </c>
      <c r="C34" s="18" t="inlineStr">
        <is>
          <t>PT10</t>
        </is>
      </c>
      <c r="D34" s="18" t="inlineStr">
        <is>
          <t>h</t>
        </is>
      </c>
      <c r="E34" s="38" t="n">
        <v>4936</v>
      </c>
      <c r="F34" s="38" t="n">
        <v>-6975</v>
      </c>
      <c r="G34" s="38" t="n">
        <v>-3724</v>
      </c>
      <c r="H34" s="18" t="n"/>
      <c r="I34" s="38" t="n">
        <v>4936</v>
      </c>
      <c r="J34" s="18" t="inlineStr">
        <is>
          <t>X 4.936</t>
        </is>
      </c>
      <c r="K34" s="18" t="inlineStr">
        <is>
          <t>TRACED</t>
        </is>
      </c>
      <c r="L34" s="18" t="inlineStr"/>
    </row>
    <row r="35">
      <c r="A35" s="18" t="inlineStr">
        <is>
          <t>F28</t>
        </is>
      </c>
      <c r="B35" s="18" t="inlineStr">
        <is>
          <t>Pinnacle pedestal front</t>
        </is>
      </c>
      <c r="C35" s="18" t="inlineStr">
        <is>
          <t>PT15</t>
        </is>
      </c>
      <c r="D35" s="18" t="inlineStr">
        <is>
          <t>h</t>
        </is>
      </c>
      <c r="E35" s="38" t="n">
        <v>2096</v>
      </c>
      <c r="F35" s="38" t="n">
        <v>-3414</v>
      </c>
      <c r="G35" s="38" t="n">
        <v>-2544</v>
      </c>
      <c r="H35" s="18" t="n"/>
      <c r="I35" s="38" t="n">
        <v>2096</v>
      </c>
      <c r="J35" s="18" t="inlineStr">
        <is>
          <t>X 2.096</t>
        </is>
      </c>
      <c r="K35" s="18" t="inlineStr">
        <is>
          <t>TRACED</t>
        </is>
      </c>
      <c r="L35" s="18" t="inlineStr">
        <is>
          <t>Plan at +15.840 m</t>
        </is>
      </c>
    </row>
    <row r="36">
      <c r="A36" s="18" t="inlineStr">
        <is>
          <t>F29</t>
        </is>
      </c>
      <c r="B36" s="18" t="inlineStr">
        <is>
          <t>Aedicule pier front</t>
        </is>
      </c>
      <c r="C36" s="18" t="inlineStr">
        <is>
          <t>PT15</t>
        </is>
      </c>
      <c r="D36" s="18" t="inlineStr">
        <is>
          <t>h</t>
        </is>
      </c>
      <c r="E36" s="38" t="n">
        <v>3805</v>
      </c>
      <c r="F36" s="38" t="n">
        <v>-1885</v>
      </c>
      <c r="G36" s="38" t="n">
        <v>-1439</v>
      </c>
      <c r="H36" s="18" t="n"/>
      <c r="I36" s="38" t="n">
        <v>3805</v>
      </c>
      <c r="J36" s="18" t="inlineStr">
        <is>
          <t>X 3.805</t>
        </is>
      </c>
      <c r="K36" s="18" t="inlineStr">
        <is>
          <t>TRACED</t>
        </is>
      </c>
      <c r="L36" s="18" t="inlineStr"/>
    </row>
    <row r="37">
      <c r="A37" s="18" t="inlineStr">
        <is>
          <t>F30</t>
        </is>
      </c>
      <c r="B37" s="18" t="inlineStr">
        <is>
          <t>Central niche column front</t>
        </is>
      </c>
      <c r="C37" s="18" t="inlineStr">
        <is>
          <t>PT15</t>
        </is>
      </c>
      <c r="D37" s="18" t="inlineStr">
        <is>
          <t>h</t>
        </is>
      </c>
      <c r="E37" s="38" t="n">
        <v>3915</v>
      </c>
      <c r="F37" s="38" t="n">
        <v>-1112</v>
      </c>
      <c r="G37" s="38" t="n">
        <v>-906</v>
      </c>
      <c r="H37" s="18" t="n"/>
      <c r="I37" s="38" t="n">
        <v>3915</v>
      </c>
      <c r="J37" s="18" t="inlineStr">
        <is>
          <t>X 3.915</t>
        </is>
      </c>
      <c r="K37" s="18" t="inlineStr">
        <is>
          <t>TRACED</t>
        </is>
      </c>
      <c r="L37" s="18" t="inlineStr"/>
    </row>
    <row r="38">
      <c r="A38" s="18" t="inlineStr">
        <is>
          <t>F31</t>
        </is>
      </c>
      <c r="B38" s="18" t="inlineStr">
        <is>
          <t>Central niche (plan)</t>
        </is>
      </c>
      <c r="C38" s="18" t="inlineStr">
        <is>
          <t>PT15</t>
        </is>
      </c>
      <c r="D38" s="18" t="inlineStr">
        <is>
          <t>arc</t>
        </is>
      </c>
      <c r="E38" s="38" t="n">
        <v>0</v>
      </c>
      <c r="F38" s="38" t="n">
        <v>4225</v>
      </c>
      <c r="G38" s="38" t="n">
        <v>711</v>
      </c>
      <c r="H38" s="18" t="n"/>
      <c r="I38" s="38" t="n">
        <v>711</v>
      </c>
      <c r="J38" s="18" t="inlineStr">
        <is>
          <t>centre X 4.225, r 0.711</t>
        </is>
      </c>
      <c r="K38" s="18" t="inlineStr">
        <is>
          <t>TRACED</t>
        </is>
      </c>
      <c r="L38" s="18" t="inlineStr">
        <is>
          <t>Niche back X 4.936; aedicule back X 5.046</t>
        </is>
      </c>
    </row>
    <row r="39">
      <c r="A39" s="18" t="inlineStr">
        <is>
          <t>F32</t>
        </is>
      </c>
      <c r="B39" s="18" t="inlineStr">
        <is>
          <t>Cresting balustrade front</t>
        </is>
      </c>
      <c r="C39" s="18" t="inlineStr">
        <is>
          <t>PT15</t>
        </is>
      </c>
      <c r="D39" s="18" t="inlineStr">
        <is>
          <t>h</t>
        </is>
      </c>
      <c r="E39" s="38" t="n">
        <v>3376</v>
      </c>
      <c r="F39" s="38" t="n">
        <v>-7086</v>
      </c>
      <c r="G39" s="38" t="n">
        <v>-3614</v>
      </c>
      <c r="H39" s="18" t="n"/>
      <c r="I39" s="38" t="n">
        <v>3376</v>
      </c>
      <c r="J39" s="18" t="inlineStr">
        <is>
          <t>X 3.376</t>
        </is>
      </c>
      <c r="K39" s="18" t="inlineStr">
        <is>
          <t>TRACED</t>
        </is>
      </c>
      <c r="L39" s="18" t="inlineStr">
        <is>
          <t>Fleur-de-lis posts at 617 mm spacing</t>
        </is>
      </c>
    </row>
    <row r="40">
      <c r="A40" s="18" t="inlineStr">
        <is>
          <t>D01</t>
        </is>
      </c>
      <c r="B40" s="18" t="inlineStr">
        <is>
          <t>Side bays meet the towers</t>
        </is>
      </c>
      <c r="C40" s="18" t="inlineStr">
        <is>
          <t>model</t>
        </is>
      </c>
      <c r="D40" s="18" t="inlineStr">
        <is>
          <t>—</t>
        </is>
      </c>
      <c r="E40" s="18" t="n"/>
      <c r="F40" s="18" t="n"/>
      <c r="G40" s="18" t="n"/>
      <c r="H40" s="18" t="n"/>
      <c r="I40" s="38" t="n">
        <v>7128</v>
      </c>
      <c r="J40" s="18" t="inlineStr">
        <is>
          <t xml:space="preserve">±7.128</t>
        </is>
      </c>
      <c r="K40" s="18" t="inlineStr">
        <is>
          <t xml:space="preserve">MODEL TRANSCRIPTION / COORDINATED</t>
        </is>
      </c>
      <c r="L40" s="18" t="inlineStr">
        <is>
          <t xml:space="preserve">26 Oct 2026: removed the former model extension to ±7.500 m. CAD stops at ±7.128 m; rebuilt tower rear piers start at ±7.103 m, giving 25 mm overlap. Source dimensions unchanged; structure/detail remain held.</t>
        </is>
      </c>
    </row>
    <row r="41">
      <c r="A41" s="18" t="inlineStr">
        <is>
          <t>D02</t>
        </is>
      </c>
      <c r="B41" s="18" t="inlineStr">
        <is>
          <t>Moulding profiles and carving</t>
        </is>
      </c>
      <c r="C41" s="18" t="inlineStr">
        <is>
          <t>model</t>
        </is>
      </c>
      <c r="D41" s="18" t="inlineStr">
        <is>
          <t>—</t>
        </is>
      </c>
      <c r="E41" s="18" t="n"/>
      <c r="F41" s="18" t="n"/>
      <c r="G41" s="18" t="n"/>
      <c r="H41" s="18" t="n"/>
      <c r="I41" s="18" t="n"/>
      <c r="J41" s="18" t="inlineStr"/>
      <c r="K41" s="18" t="inlineStr">
        <is>
          <t>ILLUSTRATIVE</t>
        </is>
      </c>
      <c r="L41" s="18" t="inlineStr">
        <is>
          <t>Profiles, relief depths, capitals, cresting and crests are generated shapes that follow the drawing's outlines, not construction details</t>
        </is>
      </c>
    </row>
    <row r="42">
      <c r="A42" s="18" t="inlineStr">
        <is>
          <t>D03</t>
        </is>
      </c>
      <c r="B42" s="18" t="inlineStr">
        <is>
          <t>Statues in the niches</t>
        </is>
      </c>
      <c r="C42" s="18" t="inlineStr">
        <is>
          <t>model</t>
        </is>
      </c>
      <c r="D42" s="18" t="inlineStr">
        <is>
          <t>—</t>
        </is>
      </c>
      <c r="E42" s="18" t="n"/>
      <c r="F42" s="18" t="n"/>
      <c r="G42" s="18" t="n"/>
      <c r="H42" s="18" t="n"/>
      <c r="I42" s="18" t="n"/>
      <c r="J42" s="18" t="inlineStr"/>
      <c r="K42" s="18" t="inlineStr">
        <is>
          <t>USER CONFIRMED / CONCEPT</t>
        </is>
      </c>
      <c r="L42" s="18" t="inlineStr">
        <is>
          <t>The drawing shows empty niches with pedestals; the owner's three statues (9 Oct 2026) stand on the drawn pedestals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2026-10-23T22:53:53Z</dcterms:created>
  <dcterms:modified xsi:type="dcterms:W3CDTF">2026-10-24T00:31:49Z</dcterms:modified>
</cp:coreProperties>
</file>