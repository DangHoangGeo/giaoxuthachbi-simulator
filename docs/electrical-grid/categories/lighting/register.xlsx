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12c86f036043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6abb689f9a1425f"/>
    <x:sheet xmlns:r="http://schemas.openxmlformats.org/officeDocument/2006/relationships" name="Equipment" sheetId="2" r:id="R461212c835d944b0"/>
    <x:sheet xmlns:r="http://schemas.openxmlformats.org/officeDocument/2006/relationships" name="Electrical Lines" sheetId="3" r:id="Redb2d443b81c42ad"/>
    <x:sheet xmlns:r="http://schemas.openxmlformats.org/officeDocument/2006/relationships" name="Route Points" sheetId="4" r:id="Rf5da707b80ad41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d04bee359b4d4f" /><Relationship Type="http://schemas.openxmlformats.org/officeDocument/2006/relationships/theme" Target="/xl/theme/theme1.xml" Id="Rc0fe0d0704974ead" /><Relationship Type="http://schemas.openxmlformats.org/officeDocument/2006/relationships/sharedStrings" Target="/xl/sharedStrings.xml" Id="R8fe0f83746af48c3" /><Relationship Type="http://schemas.openxmlformats.org/officeDocument/2006/relationships/worksheet" Target="/xl/worksheets/sheet1.xml" Id="R56abb689f9a1425f" /><Relationship Type="http://schemas.openxmlformats.org/officeDocument/2006/relationships/worksheet" Target="/xl/worksheets/sheet2.xml" Id="R461212c835d944b0" /><Relationship Type="http://schemas.openxmlformats.org/officeDocument/2006/relationships/worksheet" Target="/xl/worksheets/sheet3.xml" Id="Redb2d443b81c42ad" /><Relationship Type="http://schemas.openxmlformats.org/officeDocument/2006/relationships/worksheet" Target="/xl/worksheets/sheet4.xml" Id="Rf5da707b80ad41ea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bafd1b6fed47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059a9cb1e348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dc30f8dd104c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2026-10-19T08:50:48.752Z.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28° beam</x:v>
      </x:c>
      <x:c r="N9" s="11" t="n">
        <x:v>19.166666666666668</x:v>
      </x:c>
      <x:c r="O9" s="11" t="n">
        <x:v>-7.945176436186331</x:v>
      </x:c>
      <x:c r="P9" s="11" t="n">
        <x:v>-83.64098388891634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28° beam</x:v>
      </x:c>
      <x:c r="N11" s="11" t="n">
        <x:v>19.166666666666668</x:v>
      </x:c>
      <x:c r="O11" s="11" t="n">
        <x:v>7.945176436186331</x:v>
      </x:c>
      <x:c r="P11" s="11" t="n">
        <x:v>-83.64098388891634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28° beam</x:v>
      </x:c>
      <x:c r="N13" s="11" t="n">
        <x:v>19.166666666666668</x:v>
      </x:c>
      <x:c r="O13" s="11" t="n">
        <x:v>-7.945176436186331</x:v>
      </x:c>
      <x:c r="P13" s="11" t="n">
        <x:v>-83.64098388891634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28° beam</x:v>
      </x:c>
      <x:c r="N14" s="11" t="n">
        <x:v>19.166666666666668</x:v>
      </x:c>
      <x:c r="O14" s="11" t="n">
        <x:v>174.84369500023269</x:v>
      </x:c>
      <x:c r="P14" s="11" t="n">
        <x:v>-80.27393729415091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28° beam</x:v>
      </x:c>
      <x:c r="N15" s="11" t="n">
        <x:v>19.166666666666668</x:v>
      </x:c>
      <x:c r="O15" s="11" t="n">
        <x:v>7.945176436186331</x:v>
      </x:c>
      <x:c r="P15" s="11" t="n">
        <x:v>-83.64098388891634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28° beam</x:v>
      </x:c>
      <x:c r="N16" s="11" t="n">
        <x:v>19.166666666666668</x:v>
      </x:c>
      <x:c r="O16" s="11" t="n">
        <x:v>-174.84369500023269</x:v>
      </x:c>
      <x:c r="P16" s="11" t="n">
        <x:v>-80.27393729415091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28° beam</x:v>
      </x:c>
      <x:c r="N17" s="11" t="n">
        <x:v>19.166666666666668</x:v>
      </x:c>
      <x:c r="O17" s="11" t="n">
        <x:v>-7.945176436186331</x:v>
      </x:c>
      <x:c r="P17" s="11" t="n">
        <x:v>-83.64098388891634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28° beam</x:v>
      </x:c>
      <x:c r="N18" s="11" t="n">
        <x:v>19.166666666666668</x:v>
      </x:c>
      <x:c r="O18" s="11" t="n">
        <x:v>174.84369500023269</x:v>
      </x:c>
      <x:c r="P18" s="11" t="n">
        <x:v>-80.27393729415094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28° beam</x:v>
      </x:c>
      <x:c r="N19" s="11" t="n">
        <x:v>19.166666666666668</x:v>
      </x:c>
      <x:c r="O19" s="11" t="n">
        <x:v>7.945176436186331</x:v>
      </x:c>
      <x:c r="P19" s="11" t="n">
        <x:v>-83.64098388891634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28° beam</x:v>
      </x:c>
      <x:c r="N20" s="11" t="n">
        <x:v>19.166666666666668</x:v>
      </x:c>
      <x:c r="O20" s="11" t="n">
        <x:v>-174.84369500023269</x:v>
      </x:c>
      <x:c r="P20" s="11" t="n">
        <x:v>-80.27393729415094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28° beam</x:v>
      </x:c>
      <x:c r="N21" s="11" t="n">
        <x:v>19.166666666666668</x:v>
      </x:c>
      <x:c r="O21" s="11" t="n">
        <x:v>-7.945176436186331</x:v>
      </x:c>
      <x:c r="P21" s="11" t="n">
        <x:v>-83.64098388891634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28° beam</x:v>
      </x:c>
      <x:c r="N22" s="11" t="n">
        <x:v>19.166666666666668</x:v>
      </x:c>
      <x:c r="O22" s="11" t="n">
        <x:v>174.84369500023269</x:v>
      </x:c>
      <x:c r="P22" s="11" t="n">
        <x:v>-80.27393729415094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28° beam</x:v>
      </x:c>
      <x:c r="N23" s="11" t="n">
        <x:v>19.166666666666668</x:v>
      </x:c>
      <x:c r="O23" s="11" t="n">
        <x:v>7.945176436186331</x:v>
      </x:c>
      <x:c r="P23" s="11" t="n">
        <x:v>-83.64098388891634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28° beam</x:v>
      </x:c>
      <x:c r="N24" s="11" t="n">
        <x:v>19.166666666666668</x:v>
      </x:c>
      <x:c r="O24" s="11" t="n">
        <x:v>-174.84369500023269</x:v>
      </x:c>
      <x:c r="P24" s="11" t="n">
        <x:v>-80.27393729415094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28° beam</x:v>
      </x:c>
      <x:c r="N25" s="11" t="n">
        <x:v>19.166666666666668</x:v>
      </x:c>
      <x:c r="O25" s="11" t="n">
        <x:v>-7.945176436186331</x:v>
      </x:c>
      <x:c r="P25" s="11" t="n">
        <x:v>-83.64098388891634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28° beam</x:v>
      </x:c>
      <x:c r="N26" s="11" t="n">
        <x:v>19.166666666666668</x:v>
      </x:c>
      <x:c r="O26" s="11" t="n">
        <x:v>174.84369500023269</x:v>
      </x:c>
      <x:c r="P26" s="11" t="n">
        <x:v>-80.27393729415094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28° beam</x:v>
      </x:c>
      <x:c r="N27" s="11" t="n">
        <x:v>19.166666666666668</x:v>
      </x:c>
      <x:c r="O27" s="11" t="n">
        <x:v>7.945176436186331</x:v>
      </x:c>
      <x:c r="P27" s="11" t="n">
        <x:v>-83.64098388891634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28° beam</x:v>
      </x:c>
      <x:c r="N28" s="11" t="n">
        <x:v>19.166666666666668</x:v>
      </x:c>
      <x:c r="O28" s="11" t="n">
        <x:v>-174.84369500023269</x:v>
      </x:c>
      <x:c r="P28" s="11" t="n">
        <x:v>-80.27393729415094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28° beam</x:v>
      </x:c>
      <x:c r="N29" s="11" t="n">
        <x:v>19.166666666666668</x:v>
      </x:c>
      <x:c r="O29" s="11" t="n">
        <x:v>-7.945176436186331</x:v>
      </x:c>
      <x:c r="P29" s="11" t="n">
        <x:v>-83.64098388891634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28° beam</x:v>
      </x:c>
      <x:c r="N30" s="11" t="n">
        <x:v>19.166666666666668</x:v>
      </x:c>
      <x:c r="O30" s="11" t="n">
        <x:v>174.84369500023269</x:v>
      </x:c>
      <x:c r="P30" s="11" t="n">
        <x:v>-80.27393729415094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28° beam</x:v>
      </x:c>
      <x:c r="N31" s="11" t="n">
        <x:v>19.166666666666668</x:v>
      </x:c>
      <x:c r="O31" s="11" t="n">
        <x:v>7.945176436186331</x:v>
      </x:c>
      <x:c r="P31" s="11" t="n">
        <x:v>-83.64098388891634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28° beam</x:v>
      </x:c>
      <x:c r="N32" s="11" t="n">
        <x:v>19.166666666666668</x:v>
      </x:c>
      <x:c r="O32" s="11" t="n">
        <x:v>-174.84369500023269</x:v>
      </x:c>
      <x:c r="P32" s="11" t="n">
        <x:v>-80.27393729415094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28° beam</x:v>
      </x:c>
      <x:c r="N34" s="11" t="n">
        <x:v>19.166666666666668</x:v>
      </x:c>
      <x:c r="O34" s="11" t="n">
        <x:v>174.84369500023269</x:v>
      </x:c>
      <x:c r="P34" s="11" t="n">
        <x:v>-80.27393729415094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28° beam</x:v>
      </x:c>
      <x:c r="N36" s="11" t="n">
        <x:v>19.166666666666668</x:v>
      </x:c>
      <x:c r="O36" s="11" t="n">
        <x:v>-174.84369500023269</x:v>
      </x:c>
      <x:c r="P36" s="11" t="n">
        <x:v>-80.27393729415094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{"finish":"bronze","lumens":700,"dim":1}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{"finish":"black","lumens":650,"dim":1}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{"finish":"black","lumens":1300,"dim":1}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{"finish":"bronze","lumens":700,"dim":1}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{"finish":"black","lumens":650,"dim":1}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{"finish":"black","lumens":1300,"dim":1}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{"finish":"bronze","lumens":300,"dim":1}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73.36904629327857</x:v>
      </x:c>
      <x:c r="P220" s="11" t="n">
        <x:v>18.475219035297076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-73.36904629327857</x:v>
      </x:c>
      <x:c r="P222" s="11" t="n">
        <x:v>18.475219035297076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0bafd1b6fed47c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Points'!$A$7:$A$2105,A7,'Route Points'!$F$7:$F$2105)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Points'!$A$7:$A$2105,A8,'Route Points'!$F$7:$F$2105)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Points'!$A$7:$A$2105,A9,'Route Points'!$F$7:$F$2105)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Points'!$A$7:$A$2105,A10,'Route Points'!$F$7:$F$2105)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Points'!$A$7:$A$2105,A11,'Route Points'!$F$7:$F$2105)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Points'!$A$7:$A$2105,A12,'Route Points'!$F$7:$F$2105)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Points'!$A$7:$A$2105,A13,'Route Points'!$F$7:$F$2105)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Points'!$A$7:$A$2105,A14,'Route Points'!$F$7:$F$2105)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Points'!$A$7:$A$2105,A15,'Route Points'!$F$7:$F$2105)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Points'!$A$7:$A$2105,A16,'Route Points'!$F$7:$F$2105)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Points'!$A$7:$A$2105,A17,'Route Points'!$F$7:$F$2105)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Points'!$A$7:$A$2105,A18,'Route Points'!$F$7:$F$2105)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Points'!$A$7:$A$2105,A19,'Route Points'!$F$7:$F$2105)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Points'!$A$7:$A$2105,A20,'Route Points'!$F$7:$F$2105)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Points'!$A$7:$A$2105,A21,'Route Points'!$F$7:$F$2105)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Points'!$A$7:$A$2105,A22,'Route Points'!$F$7:$F$2105)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Points'!$A$7:$A$2105,A23,'Route Points'!$F$7:$F$2105)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Points'!$A$7:$A$2105,A24,'Route Points'!$F$7:$F$2105)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Points'!$A$7:$A$2105,A25,'Route Points'!$F$7:$F$2105)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Points'!$A$7:$A$2105,A26,'Route Points'!$F$7:$F$2105)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Points'!$A$7:$A$2105,A27,'Route Points'!$F$7:$F$2105)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Points'!$A$7:$A$2105,A28,'Route Points'!$F$7:$F$2105)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Points'!$A$7:$A$2105,A29,'Route Points'!$F$7:$F$2105)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Points'!$A$7:$A$2105,A30,'Route Points'!$F$7:$F$2105)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Points'!$A$7:$A$2105,A31,'Route Points'!$F$7:$F$2105)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Points'!$A$7:$A$2105,A32,'Route Points'!$F$7:$F$2105)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Points'!$A$7:$A$2105,A33,'Route Points'!$F$7:$F$2105)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Points'!$A$7:$A$2105,A34,'Route Points'!$F$7:$F$2105)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Points'!$A$7:$A$2105,A35,'Route Points'!$F$7:$F$2105)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Points'!$A$7:$A$2105,A36,'Route Points'!$F$7:$F$2105)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Points'!$A$7:$A$2105,A37,'Route Points'!$F$7:$F$2105)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Points'!$A$7:$A$2105,A38,'Route Points'!$F$7:$F$2105)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Points'!$A$7:$A$2105,A39,'Route Points'!$F$7:$F$2105)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Points'!$A$7:$A$2105,A40,'Route Points'!$F$7:$F$2105)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Points'!$A$7:$A$2105,A41,'Route Points'!$F$7:$F$2105)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Points'!$A$7:$A$2105,A42,'Route Points'!$F$7:$F$2105)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Points'!$A$7:$A$2105,A43,'Route Points'!$F$7:$F$2105)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Points'!$A$7:$A$2105,A44,'Route Points'!$F$7:$F$2105)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Points'!$A$7:$A$2105,A45,'Route Points'!$F$7:$F$2105)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Points'!$A$7:$A$2105,A46,'Route Points'!$F$7:$F$2105)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Points'!$A$7:$A$2105,A47,'Route Points'!$F$7:$F$2105)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Points'!$A$7:$A$2105,A48,'Route Points'!$F$7:$F$2105)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Points'!$A$7:$A$2105,A49,'Route Points'!$F$7:$F$2105)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Points'!$A$7:$A$2105,A50,'Route Points'!$F$7:$F$2105)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Points'!$A$7:$A$2105,A51,'Route Points'!$F$7:$F$2105)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Points'!$A$7:$A$2105,A52,'Route Points'!$F$7:$F$2105)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Points'!$A$7:$A$2105,A53,'Route Points'!$F$7:$F$2105)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Points'!$A$7:$A$2105,A54,'Route Points'!$F$7:$F$2105)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Points'!$A$7:$A$2105,A55,'Route Points'!$F$7:$F$2105)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Points'!$A$7:$A$2105,A56,'Route Points'!$F$7:$F$2105)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Points'!$A$7:$A$2105,A57,'Route Points'!$F$7:$F$2105)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Points'!$A$7:$A$2105,A58,'Route Points'!$F$7:$F$2105)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Points'!$A$7:$A$2105,A59,'Route Points'!$F$7:$F$2105)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Points'!$A$7:$A$2105,A60,'Route Points'!$F$7:$F$2105)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Points'!$A$7:$A$2105,A61,'Route Points'!$F$7:$F$2105)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Points'!$A$7:$A$2105,A62,'Route Points'!$F$7:$F$2105)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Points'!$A$7:$A$2105,A63,'Route Points'!$F$7:$F$2105)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Points'!$A$7:$A$2105,A64,'Route Points'!$F$7:$F$2105)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Points'!$A$7:$A$2105,A65,'Route Points'!$F$7:$F$2105)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Points'!$A$7:$A$2105,A66,'Route Points'!$F$7:$F$2105)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Points'!$A$7:$A$2105,A67,'Route Points'!$F$7:$F$2105)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Points'!$A$7:$A$2105,A68,'Route Points'!$F$7:$F$2105)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Points'!$A$7:$A$2105,A69,'Route Points'!$F$7:$F$2105)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Points'!$A$7:$A$2105,A70,'Route Points'!$F$7:$F$2105)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Points'!$A$7:$A$2105,A71,'Route Points'!$F$7:$F$2105)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Points'!$A$7:$A$2105,A72,'Route Points'!$F$7:$F$2105)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Points'!$A$7:$A$2105,A73,'Route Points'!$F$7:$F$2105)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Points'!$A$7:$A$2105,A74,'Route Points'!$F$7:$F$2105)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Points'!$A$7:$A$2105,A75,'Route Points'!$F$7:$F$2105)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Points'!$A$7:$A$2105,A76,'Route Points'!$F$7:$F$2105)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Points'!$A$7:$A$2105,A77,'Route Points'!$F$7:$F$2105)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Points'!$A$7:$A$2105,A78,'Route Points'!$F$7:$F$2105)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Points'!$A$7:$A$2105,A79,'Route Points'!$F$7:$F$2105)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Points'!$A$7:$A$2105,A80,'Route Points'!$F$7:$F$2105)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Points'!$A$7:$A$2105,A81,'Route Points'!$F$7:$F$2105)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Points'!$A$7:$A$2105,A82,'Route Points'!$F$7:$F$2105)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Points'!$A$7:$A$2105,A83,'Route Points'!$F$7:$F$2105)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Points'!$A$7:$A$2105,A84,'Route Points'!$F$7:$F$2105)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Points'!$A$7:$A$2105,A85,'Route Points'!$F$7:$F$2105)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Points'!$A$7:$A$2105,A86,'Route Points'!$F$7:$F$2105)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Points'!$A$7:$A$2105,A87,'Route Points'!$F$7:$F$2105)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Points'!$A$7:$A$2105,A88,'Route Points'!$F$7:$F$2105)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Points'!$A$7:$A$2105,A89,'Route Points'!$F$7:$F$2105)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Points'!$A$7:$A$2105,A90,'Route Points'!$F$7:$F$2105)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Points'!$A$7:$A$2105,A91,'Route Points'!$F$7:$F$2105)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Points'!$A$7:$A$2105,A92,'Route Points'!$F$7:$F$2105)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Points'!$A$7:$A$2105,A93,'Route Points'!$F$7:$F$2105)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Points'!$A$7:$A$2105,A94,'Route Points'!$F$7:$F$2105)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Points'!$A$7:$A$2105,A95,'Route Points'!$F$7:$F$2105)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Points'!$A$7:$A$2105,A96,'Route Points'!$F$7:$F$2105)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Points'!$A$7:$A$2105,A97,'Route Points'!$F$7:$F$2105)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Points'!$A$7:$A$2105,A98,'Route Points'!$F$7:$F$2105)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Points'!$A$7:$A$2105,A99,'Route Points'!$F$7:$F$2105)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Points'!$A$7:$A$2105,A100,'Route Points'!$F$7:$F$2105)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Points'!$A$7:$A$2105,A101,'Route Points'!$F$7:$F$2105)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Points'!$A$7:$A$2105,A102,'Route Points'!$F$7:$F$2105)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Points'!$A$7:$A$2105,A103,'Route Points'!$F$7:$F$2105)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Points'!$A$7:$A$2105,A104,'Route Points'!$F$7:$F$2105)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Points'!$A$7:$A$2105,A105,'Route Points'!$F$7:$F$2105)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Points'!$A$7:$A$2105,A106,'Route Points'!$F$7:$F$2105)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Points'!$A$7:$A$2105,A107,'Route Points'!$F$7:$F$2105)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Points'!$A$7:$A$2105,A108,'Route Points'!$F$7:$F$2105)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Points'!$A$7:$A$2105,A109,'Route Points'!$F$7:$F$2105)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Points'!$A$7:$A$2105,A110,'Route Points'!$F$7:$F$2105)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Points'!$A$7:$A$2105,A111,'Route Points'!$F$7:$F$2105)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Points'!$A$7:$A$2105,A112,'Route Points'!$F$7:$F$2105)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Points'!$A$7:$A$2105,A113,'Route Points'!$F$7:$F$2105)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Points'!$A$7:$A$2105,A114,'Route Points'!$F$7:$F$2105)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Points'!$A$7:$A$2105,A115,'Route Points'!$F$7:$F$2105)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Points'!$A$7:$A$2105,A116,'Route Points'!$F$7:$F$2105)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Points'!$A$7:$A$2105,A117,'Route Points'!$F$7:$F$2105)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Points'!$A$7:$A$2105,A118,'Route Points'!$F$7:$F$2105)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Points'!$A$7:$A$2105,A119,'Route Points'!$F$7:$F$2105)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Points'!$A$7:$A$2105,A120,'Route Points'!$F$7:$F$2105)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Points'!$A$7:$A$2105,A121,'Route Points'!$F$7:$F$2105)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Points'!$A$7:$A$2105,A122,'Route Points'!$F$7:$F$2105)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Points'!$A$7:$A$2105,A123,'Route Points'!$F$7:$F$2105)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Points'!$A$7:$A$2105,A124,'Route Points'!$F$7:$F$2105)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Points'!$A$7:$A$2105,A125,'Route Points'!$F$7:$F$2105)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Points'!$A$7:$A$2105,A126,'Route Points'!$F$7:$F$2105)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Points'!$A$7:$A$2105,A127,'Route Points'!$F$7:$F$2105)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Points'!$A$7:$A$2105,A128,'Route Points'!$F$7:$F$2105)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Points'!$A$7:$A$2105,A129,'Route Points'!$F$7:$F$2105)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Points'!$A$7:$A$2105,A130,'Route Points'!$F$7:$F$2105)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Points'!$A$7:$A$2105,A131,'Route Points'!$F$7:$F$2105)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Points'!$A$7:$A$2105,A132,'Route Points'!$F$7:$F$2105)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Points'!$A$7:$A$2105,A133,'Route Points'!$F$7:$F$2105)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Points'!$A$7:$A$2105,A134,'Route Points'!$F$7:$F$2105)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Points'!$A$7:$A$2105,A135,'Route Points'!$F$7:$F$2105)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Points'!$A$7:$A$2105,A136,'Route Points'!$F$7:$F$2105)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Points'!$A$7:$A$2105,A137,'Route Points'!$F$7:$F$2105)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Points'!$A$7:$A$2105,A138,'Route Points'!$F$7:$F$2105)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Points'!$A$7:$A$2105,A139,'Route Points'!$F$7:$F$2105)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Points'!$A$7:$A$2105,A140,'Route Points'!$F$7:$F$2105)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Points'!$A$7:$A$2105,A141,'Route Points'!$F$7:$F$2105)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Points'!$A$7:$A$2105,A142,'Route Points'!$F$7:$F$2105)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Points'!$A$7:$A$2105,A143,'Route Points'!$F$7:$F$2105)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Points'!$A$7:$A$2105,A144,'Route Points'!$F$7:$F$2105)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Points'!$A$7:$A$2105,A145,'Route Points'!$F$7:$F$2105)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Points'!$A$7:$A$2105,A146,'Route Points'!$F$7:$F$2105)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Points'!$A$7:$A$2105,A147,'Route Points'!$F$7:$F$2105)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Points'!$A$7:$A$2105,A148,'Route Points'!$F$7:$F$2105)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Points'!$A$7:$A$2105,A149,'Route Points'!$F$7:$F$2105)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Points'!$A$7:$A$2105,A150,'Route Points'!$F$7:$F$2105)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Points'!$A$7:$A$2105,A151,'Route Points'!$F$7:$F$2105)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Points'!$A$7:$A$2105,A152,'Route Points'!$F$7:$F$2105)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Points'!$A$7:$A$2105,A153,'Route Points'!$F$7:$F$2105)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Points'!$A$7:$A$2105,A154,'Route Points'!$F$7:$F$2105)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Points'!$A$7:$A$2105,A155,'Route Points'!$F$7:$F$2105)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Points'!$A$7:$A$2105,A156,'Route Points'!$F$7:$F$2105)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Points'!$A$7:$A$2105,A157,'Route Points'!$F$7:$F$2105)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Points'!$A$7:$A$2105,A158,'Route Points'!$F$7:$F$2105)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Points'!$A$7:$A$2105,A159,'Route Points'!$F$7:$F$2105)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Points'!$A$7:$A$2105,A160,'Route Points'!$F$7:$F$2105)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Points'!$A$7:$A$2105,A161,'Route Points'!$F$7:$F$2105)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Points'!$A$7:$A$2105,A162,'Route Points'!$F$7:$F$2105)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Points'!$A$7:$A$2105,A163,'Route Points'!$F$7:$F$2105)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Points'!$A$7:$A$2105,A164,'Route Points'!$F$7:$F$2105)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Points'!$A$7:$A$2105,A165,'Route Points'!$F$7:$F$2105)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Points'!$A$7:$A$2105,A166,'Route Points'!$F$7:$F$2105)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Points'!$A$7:$A$2105,A167,'Route Points'!$F$7:$F$2105)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Points'!$A$7:$A$2105,A168,'Route Points'!$F$7:$F$2105)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Points'!$A$7:$A$2105,A169,'Route Points'!$F$7:$F$2105)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Points'!$A$7:$A$2105,A170,'Route Points'!$F$7:$F$2105)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Points'!$A$7:$A$2105,A171,'Route Points'!$F$7:$F$2105)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Points'!$A$7:$A$2105,A172,'Route Points'!$F$7:$F$2105)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Points'!$A$7:$A$2105,A173,'Route Points'!$F$7:$F$2105)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Points'!$A$7:$A$2105,A174,'Route Points'!$F$7:$F$2105)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Points'!$A$7:$A$2105,A175,'Route Points'!$F$7:$F$2105)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Points'!$A$7:$A$2105,A176,'Route Points'!$F$7:$F$2105)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Points'!$A$7:$A$2105,A177,'Route Points'!$F$7:$F$2105)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Points'!$A$7:$A$2105,A178,'Route Points'!$F$7:$F$2105)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Points'!$A$7:$A$2105,A179,'Route Points'!$F$7:$F$2105)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Points'!$A$7:$A$2105,A180,'Route Points'!$F$7:$F$2105)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Points'!$A$7:$A$2105,A181,'Route Points'!$F$7:$F$2105)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Points'!$A$7:$A$2105,A182,'Route Points'!$F$7:$F$2105)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Points'!$A$7:$A$2105,A183,'Route Points'!$F$7:$F$2105)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Points'!$A$7:$A$2105,A184,'Route Points'!$F$7:$F$2105)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Points'!$A$7:$A$2105,A185,'Route Points'!$F$7:$F$2105)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Points'!$A$7:$A$2105,A186,'Route Points'!$F$7:$F$2105)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Points'!$A$7:$A$2105,A187,'Route Points'!$F$7:$F$2105)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Points'!$A$7:$A$2105,A188,'Route Points'!$F$7:$F$2105)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Points'!$A$7:$A$2105,A189,'Route Points'!$F$7:$F$2105)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Points'!$A$7:$A$2105,A190,'Route Points'!$F$7:$F$2105)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Points'!$A$7:$A$2105,A191,'Route Points'!$F$7:$F$2105)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Points'!$A$7:$A$2105,A192,'Route Points'!$F$7:$F$2105)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Points'!$A$7:$A$2105,A193,'Route Points'!$F$7:$F$2105)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Points'!$A$7:$A$2105,A194,'Route Points'!$F$7:$F$2105)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Points'!$A$7:$A$2105,A195,'Route Points'!$F$7:$F$2105)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Points'!$A$7:$A$2105,A196,'Route Points'!$F$7:$F$2105)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Points'!$A$7:$A$2105,A197,'Route Points'!$F$7:$F$2105)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Points'!$A$7:$A$2105,A198,'Route Points'!$F$7:$F$2105)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Points'!$A$7:$A$2105,A199,'Route Points'!$F$7:$F$2105)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Points'!$A$7:$A$2105,A200,'Route Points'!$F$7:$F$2105)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Points'!$A$7:$A$2105,A201,'Route Points'!$F$7:$F$2105)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Points'!$A$7:$A$2105,A202,'Route Points'!$F$7:$F$2105)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Points'!$A$7:$A$2105,A203,'Route Points'!$F$7:$F$2105)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Points'!$A$7:$A$2105,A204,'Route Points'!$F$7:$F$2105)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Points'!$A$7:$A$2105,A205,'Route Points'!$F$7:$F$2105)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Points'!$A$7:$A$2105,A206,'Route Points'!$F$7:$F$2105)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Points'!$A$7:$A$2105,A207,'Route Points'!$F$7:$F$2105)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Points'!$A$7:$A$2105,A208,'Route Points'!$F$7:$F$2105)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Points'!$A$7:$A$2105,A209,'Route Points'!$F$7:$F$2105)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Points'!$A$7:$A$2105,A210,'Route Points'!$F$7:$F$2105)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Points'!$A$7:$A$2105,A211,'Route Points'!$F$7:$F$2105)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Points'!$A$7:$A$2105,A212,'Route Points'!$F$7:$F$2105)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Points'!$A$7:$A$2105,A213,'Route Points'!$F$7:$F$2105)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Points'!$A$7:$A$2105,A214,'Route Points'!$F$7:$F$2105)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Points'!$A$7:$A$2105,A215,'Route Points'!$F$7:$F$2105)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Points'!$A$7:$A$2105,A216,'Route Points'!$F$7:$F$2105)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Points'!$A$7:$A$2105,A217,'Route Points'!$F$7:$F$2105)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Points'!$A$7:$A$2105,A218,'Route Points'!$F$7:$F$2105)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Points'!$A$7:$A$2105,A219,'Route Points'!$F$7:$F$2105)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Points'!$A$7:$A$2105,A220,'Route Points'!$F$7:$F$2105)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Points'!$A$7:$A$2105,A221,'Route Points'!$F$7:$F$2105)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Points'!$A$7:$A$2105,A222,'Route Points'!$F$7:$F$2105)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Points'!$A$7:$A$2105,A223,'Route Points'!$F$7:$F$2105)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Points'!$A$7:$A$2105,A224,'Route Points'!$F$7:$F$2105)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Points'!$A$7:$A$2105,A225,'Route Points'!$F$7:$F$2105)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Points'!$A$7:$A$2105,A226,'Route Points'!$F$7:$F$2105)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Points'!$A$7:$A$2105,A227,'Route Points'!$F$7:$F$2105)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Points'!$A$7:$A$2105,A228,'Route Points'!$F$7:$F$2105)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Points'!$A$7:$A$2105,A229,'Route Points'!$F$7:$F$2105)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Points'!$A$7:$A$2105,A230,'Route Points'!$F$7:$F$2105)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Points'!$A$7:$A$2105,A231,'Route Points'!$F$7:$F$2105)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Points'!$A$7:$A$2105,A232,'Route Points'!$F$7:$F$2105)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Points'!$A$7:$A$2105,A233,'Route Points'!$F$7:$F$2105)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Points'!$A$7:$A$2105,A234,'Route Points'!$F$7:$F$2105)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Points'!$A$7:$A$2105,A235,'Route Points'!$F$7:$F$2105)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Points'!$A$7:$A$2105,A236,'Route Points'!$F$7:$F$2105)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Points'!$A$7:$A$2105,A237,'Route Points'!$F$7:$F$2105)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Points'!$A$7:$A$2105,A238,'Route Points'!$F$7:$F$2105)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Points'!$A$7:$A$2105,A239,'Route Points'!$F$7:$F$2105)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Points'!$A$7:$A$2105,A240,'Route Points'!$F$7:$F$2105)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Points'!$A$7:$A$2105,A241,'Route Points'!$F$7:$F$2105)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Points'!$A$7:$A$2105,A242,'Route Points'!$F$7:$F$2105)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Points'!$A$7:$A$2105,A243,'Route Points'!$F$7:$F$2105)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Points'!$A$7:$A$2105,A244,'Route Points'!$F$7:$F$2105)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Points'!$A$7:$A$2105,A245,'Route Points'!$F$7:$F$2105)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Points'!$A$7:$A$2105,A246,'Route Points'!$F$7:$F$2105)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Points'!$A$7:$A$2105,A247,'Route Points'!$F$7:$F$2105)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Points'!$A$7:$A$2105,A248,'Route Points'!$F$7:$F$2105)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Points'!$A$7:$A$2105,A249,'Route Points'!$F$7:$F$2105)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Points'!$A$7:$A$2105,A250,'Route Points'!$F$7:$F$2105)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Points'!$A$7:$A$2105,A251,'Route Points'!$F$7:$F$2105)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Points'!$A$7:$A$2105,A252,'Route Points'!$F$7:$F$2105)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Points'!$A$7:$A$2105,A253,'Route Points'!$F$7:$F$2105)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Points'!$A$7:$A$2105,A254,'Route Points'!$F$7:$F$2105)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Points'!$A$7:$A$2105,A255,'Route Points'!$F$7:$F$2105)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Points'!$A$7:$A$2105,A256,'Route Points'!$F$7:$F$2105)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Points'!$A$7:$A$2105,A257,'Route Points'!$F$7:$F$2105)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Points'!$A$7:$A$2105,A258,'Route Points'!$F$7:$F$2105)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Points'!$A$7:$A$2105,A259,'Route Points'!$F$7:$F$2105)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Points'!$A$7:$A$2105,A260,'Route Points'!$F$7:$F$2105)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Points'!$A$7:$A$2105,A261,'Route Points'!$F$7:$F$2105)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Points'!$A$7:$A$2105,A262,'Route Points'!$F$7:$F$2105)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Points'!$A$7:$A$2105,A263,'Route Points'!$F$7:$F$2105)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Points'!$A$7:$A$2105,A264,'Route Points'!$F$7:$F$2105)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059a9cb1e348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6.3</x:v>
      </x:c>
      <x:c r="E758" s="11" t="n">
        <x:v>0</x:v>
      </x:c>
      <x:c r="F758" s="11" t="n">
        <x:f>SQRT((C758-C757)^2+(D758-D757)^2+(E758-E757)^2)</x:f>
        <x:v>5.851999999999999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6.3</x:v>
      </x:c>
      <x:c r="E763" s="11" t="n">
        <x:v>0</x:v>
      </x:c>
      <x:c r="F763" s="11" t="n">
        <x:f>SQRT((C763-C762)^2+(D763-D762)^2+(E763-E762)^2)</x:f>
        <x:v>5.851999999999999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6.3</x:v>
      </x:c>
      <x:c r="E768" s="11" t="n">
        <x:v>0</x:v>
      </x:c>
      <x:c r="F768" s="11" t="n">
        <x:f>SQRT((C768-C767)^2+(D768-D767)^2+(E768-E767)^2)</x:f>
        <x:v>5.851999999999999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drop:DB2:L10:light:-1:L-STATUE-C-ARCH</x:v>
      </x:c>
      <x:c r="B2014" s="8" t="n">
        <x:v>1</x:v>
      </x:c>
      <x:c r="C2014" s="11" t="n">
        <x:v>2.35</x:v>
      </x:c>
      <x:c r="D2014" s="11" t="n">
        <x:v>6.140000000000001</x:v>
      </x:c>
      <x:c r="E2014" s="11" t="n">
        <x:v>-7.36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-7.36</x:v>
      </x:c>
      <x:c r="F2015" s="11" t="n">
        <x:f>SQRT((C2015-C2014)^2+(D2015-D2014)^2+(E2015-E2014)^2)</x:f>
        <x:v>1.5099999999999998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0</x:v>
      </x:c>
      <x:c r="F2016" s="11" t="n">
        <x:f>SQRT((C2016-C2015)^2+(D2016-D2015)^2+(E2016-E2015)^2)</x:f>
        <x:v>7.36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4</x:v>
      </x:c>
      <x:c r="C2017" s="11" t="n">
        <x:v>2.35</x:v>
      </x:c>
      <x:c r="D2017" s="11" t="n">
        <x:v>15.64</x:v>
      </x:c>
      <x:c r="E2017" s="11" t="n">
        <x:v>0</x:v>
      </x:c>
      <x:c r="F2017" s="11" t="n">
        <x:f>SQRT((C2017-C2016)^2+(D2017-D2016)^2+(E2017-E2016)^2)</x:f>
        <x:v>7.99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5</x:v>
      </x:c>
      <x:c r="C2018" s="11" t="n">
        <x:v>2.13</x:v>
      </x:c>
      <x:c r="D2018" s="11" t="n">
        <x:v>15.64</x:v>
      </x:c>
      <x:c r="E2018" s="11" t="n">
        <x:v>0</x:v>
      </x:c>
      <x:c r="F2018" s="11" t="n">
        <x:f>SQRT((C2018-C2017)^2+(D2018-D2017)^2+(E2018-E2017)^2)</x:f>
        <x:v>0.2200000000000002</x:v>
      </x:c>
      <x:c r="G2018" s="8" t="str">
        <x:v>Current</x:v>
      </x:c>
    </x:row>
    <x:row r="2019" ht="32" customHeight="1">
      <x:c r="A2019" s="8" t="str">
        <x:v>drop:DB2:L10:light:-1:L-STATUE-C-JAMB-1</x:v>
      </x:c>
      <x:c r="B2019" s="8" t="n">
        <x:v>1</x:v>
      </x:c>
      <x:c r="C2019" s="11" t="n">
        <x:v>2.35</x:v>
      </x:c>
      <x:c r="D2019" s="11" t="n">
        <x:v>6.140000000000001</x:v>
      </x:c>
      <x:c r="E2019" s="11" t="n">
        <x:v>-7.36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-7.36</x:v>
      </x:c>
      <x:c r="F2020" s="11" t="n">
        <x:f>SQRT((C2020-C2019)^2+(D2020-D2019)^2+(E2020-E2019)^2)</x:f>
        <x:v>1.5099999999999998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-0.905</x:v>
      </x:c>
      <x:c r="F2021" s="11" t="n">
        <x:f>SQRT((C2021-C2020)^2+(D2021-D2020)^2+(E2021-E2020)^2)</x:f>
        <x:v>6.455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4</x:v>
      </x:c>
      <x:c r="C2022" s="11" t="n">
        <x:v>2.35</x:v>
      </x:c>
      <x:c r="D2022" s="11" t="n">
        <x:v>13.3</x:v>
      </x:c>
      <x:c r="E2022" s="11" t="n">
        <x:v>-0.905</x:v>
      </x:c>
      <x:c r="F2022" s="11" t="n">
        <x:f>SQRT((C2022-C2021)^2+(D2022-D2021)^2+(E2022-E2021)^2)</x:f>
        <x:v>5.65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5</x:v>
      </x:c>
      <x:c r="C2023" s="11" t="n">
        <x:v>2.13</x:v>
      </x:c>
      <x:c r="D2023" s="11" t="n">
        <x:v>13.3</x:v>
      </x:c>
      <x:c r="E2023" s="11" t="n">
        <x:v>-0.905</x:v>
      </x:c>
      <x:c r="F2023" s="11" t="n">
        <x:f>SQRT((C2023-C2022)^2+(D2023-D2022)^2+(E2023-E2022)^2)</x:f>
        <x:v>0.2200000000000002</x:v>
      </x:c>
      <x:c r="G2023" s="8" t="str">
        <x:v>Current</x:v>
      </x:c>
    </x:row>
    <x:row r="2024" ht="32" customHeight="1">
      <x:c r="A2024" s="8" t="str">
        <x:v>drop:DB2:L10:light:-1:L-STATUE-C-CANDLE-1</x:v>
      </x:c>
      <x:c r="B2024" s="8" t="n">
        <x:v>1</x:v>
      </x:c>
      <x:c r="C2024" s="11" t="n">
        <x:v>2.35</x:v>
      </x:c>
      <x:c r="D2024" s="11" t="n">
        <x:v>6.140000000000001</x:v>
      </x:c>
      <x:c r="E2024" s="11" t="n">
        <x:v>-7.36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-7.36</x:v>
      </x:c>
      <x:c r="F2025" s="11" t="n">
        <x:f>SQRT((C2025-C2024)^2+(D2025-D2024)^2+(E2025-E2024)^2)</x:f>
        <x:v>1.5099999999999998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-0.47</x:v>
      </x:c>
      <x:c r="F2026" s="11" t="n">
        <x:f>SQRT((C2026-C2025)^2+(D2026-D2025)^2+(E2026-E2025)^2)</x:f>
        <x:v>6.890000000000001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4</x:v>
      </x:c>
      <x:c r="C2027" s="11" t="n">
        <x:v>2.35</x:v>
      </x:c>
      <x:c r="D2027" s="11" t="n">
        <x:v>11.8</x:v>
      </x:c>
      <x:c r="E2027" s="11" t="n">
        <x:v>-0.47</x:v>
      </x:c>
      <x:c r="F2027" s="11" t="n">
        <x:f>SQRT((C2027-C2026)^2+(D2027-D2026)^2+(E2027-E2026)^2)</x:f>
        <x:v>4.15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5</x:v>
      </x:c>
      <x:c r="C2028" s="11" t="n">
        <x:v>2.1</x:v>
      </x:c>
      <x:c r="D2028" s="11" t="n">
        <x:v>11.8</x:v>
      </x:c>
      <x:c r="E2028" s="11" t="n">
        <x:v>-0.47</x:v>
      </x:c>
      <x:c r="F2028" s="11" t="n">
        <x:f>SQRT((C2028-C2027)^2+(D2028-D2027)^2+(E2028-E2027)^2)</x:f>
        <x:v>0.25</x:v>
      </x:c>
      <x:c r="G2028" s="8" t="str">
        <x:v>Current</x:v>
      </x:c>
    </x:row>
    <x:row r="2029" ht="32" customHeight="1">
      <x:c r="A2029" s="8" t="str">
        <x:v>drop:DB2:L10:light:-1:L-STATUE-B-ARCH</x:v>
      </x:c>
      <x:c r="B2029" s="8" t="n">
        <x:v>1</x:v>
      </x:c>
      <x:c r="C2029" s="11" t="n">
        <x:v>2.35</x:v>
      </x:c>
      <x:c r="D2029" s="11" t="n">
        <x:v>6.140000000000001</x:v>
      </x:c>
      <x:c r="E2029" s="11" t="n">
        <x:v>-7.36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2</x:v>
      </x:c>
      <x:c r="C2030" s="11" t="n">
        <x:v>2.35</x:v>
      </x:c>
      <x:c r="D2030" s="11" t="n">
        <x:v>7.65</x:v>
      </x:c>
      <x:c r="E2030" s="11" t="n">
        <x:v>-7.36</x:v>
      </x:c>
      <x:c r="F2030" s="11" t="n">
        <x:f>SQRT((C2030-C2029)^2+(D2030-D2029)^2+(E2030-E2029)^2)</x:f>
        <x:v>1.5099999999999998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3</x:v>
      </x:c>
      <x:c r="C2031" s="11" t="n">
        <x:v>2.35</x:v>
      </x:c>
      <x:c r="D2031" s="11" t="n">
        <x:v>7.65</x:v>
      </x:c>
      <x:c r="E2031" s="11" t="n">
        <x:v>-5.48</x:v>
      </x:c>
      <x:c r="F2031" s="11" t="n">
        <x:f>SQRT((C2031-C2030)^2+(D2031-D2030)^2+(E2031-E2030)^2)</x:f>
        <x:v>1.88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4</x:v>
      </x:c>
      <x:c r="C2032" s="11" t="n">
        <x:v>2.35</x:v>
      </x:c>
      <x:c r="D2032" s="11" t="n">
        <x:v>12.62</x:v>
      </x:c>
      <x:c r="E2032" s="11" t="n">
        <x:v>-5.48</x:v>
      </x:c>
      <x:c r="F2032" s="11" t="n">
        <x:f>SQRT((C2032-C2031)^2+(D2032-D2031)^2+(E2032-E2031)^2)</x:f>
        <x:v>4.969999999999999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5</x:v>
      </x:c>
      <x:c r="C2033" s="11" t="n">
        <x:v>2.13</x:v>
      </x:c>
      <x:c r="D2033" s="11" t="n">
        <x:v>12.62</x:v>
      </x:c>
      <x:c r="E2033" s="11" t="n">
        <x:v>-5.48</x:v>
      </x:c>
      <x:c r="F2033" s="11" t="n">
        <x:f>SQRT((C2033-C2032)^2+(D2033-D2032)^2+(E2033-E2032)^2)</x:f>
        <x:v>0.2200000000000002</x:v>
      </x:c>
      <x:c r="G2033" s="8" t="str">
        <x:v>Current</x:v>
      </x:c>
    </x:row>
    <x:row r="2034" ht="32" customHeight="1">
      <x:c r="A2034" s="8" t="str">
        <x:v>drop:DB2:L10:light:-1:L-STATUE-B-JAMB-1</x:v>
      </x:c>
      <x:c r="B2034" s="8" t="n">
        <x:v>1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2</x:v>
      </x:c>
      <x:c r="C2035" s="11" t="n">
        <x:v>2.35</x:v>
      </x:c>
      <x:c r="D2035" s="11" t="n">
        <x:v>7.65</x:v>
      </x:c>
      <x:c r="E2035" s="11" t="n">
        <x:v>-7.36</x:v>
      </x:c>
      <x:c r="F2035" s="11" t="n">
        <x:f>SQRT((C2035-C2034)^2+(D2035-D2034)^2+(E2035-E2034)^2)</x:f>
        <x:v>1.5099999999999998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3</x:v>
      </x:c>
      <x:c r="C2036" s="11" t="n">
        <x:v>2.35</x:v>
      </x:c>
      <x:c r="D2036" s="11" t="n">
        <x:v>7.65</x:v>
      </x:c>
      <x:c r="E2036" s="11" t="n">
        <x:v>-5.985</x:v>
      </x:c>
      <x:c r="F2036" s="11" t="n">
        <x:f>SQRT((C2036-C2035)^2+(D2036-D2035)^2+(E2036-E2035)^2)</x:f>
        <x:v>1.375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4</x:v>
      </x:c>
      <x:c r="C2037" s="11" t="n">
        <x:v>2.35</x:v>
      </x:c>
      <x:c r="D2037" s="11" t="n">
        <x:v>11.05</x:v>
      </x:c>
      <x:c r="E2037" s="11" t="n">
        <x:v>-5.985</x:v>
      </x:c>
      <x:c r="F2037" s="11" t="n">
        <x:f>SQRT((C2037-C2036)^2+(D2037-D2036)^2+(E2037-E2036)^2)</x:f>
        <x:v>3.4000000000000004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5</x:v>
      </x:c>
      <x:c r="C2038" s="11" t="n">
        <x:v>2.13</x:v>
      </x:c>
      <x:c r="D2038" s="11" t="n">
        <x:v>11.05</x:v>
      </x:c>
      <x:c r="E2038" s="11" t="n">
        <x:v>-5.985</x:v>
      </x:c>
      <x:c r="F2038" s="11" t="n">
        <x:f>SQRT((C2038-C2037)^2+(D2038-D2037)^2+(E2038-E2037)^2)</x:f>
        <x:v>0.2200000000000002</x:v>
      </x:c>
      <x:c r="G2038" s="8" t="str">
        <x:v>Current</x:v>
      </x:c>
    </x:row>
    <x:row r="2039" ht="32" customHeight="1">
      <x:c r="A2039" s="8" t="str">
        <x:v>drop:DB2:L10:light:-1:L-STATUE-B-CANDLE-1</x:v>
      </x:c>
      <x:c r="B2039" s="8" t="n">
        <x:v>1</x:v>
      </x:c>
      <x:c r="C2039" s="11" t="n">
        <x:v>2.35</x:v>
      </x:c>
      <x:c r="D2039" s="11" t="n">
        <x:v>6.140000000000001</x:v>
      </x:c>
      <x:c r="E2039" s="11" t="n">
        <x:v>-7.36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2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3</x:v>
      </x:c>
      <x:c r="C2041" s="11" t="n">
        <x:v>2.35</x:v>
      </x:c>
      <x:c r="D2041" s="11" t="n">
        <x:v>7.65</x:v>
      </x:c>
      <x:c r="E2041" s="11" t="n">
        <x:v>-5.79</x:v>
      </x:c>
      <x:c r="F2041" s="11" t="n">
        <x:f>SQRT((C2041-C2040)^2+(D2041-D2040)^2+(E2041-E2040)^2)</x:f>
        <x:v>1.5700000000000003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4</x:v>
      </x:c>
      <x:c r="C2042" s="11" t="n">
        <x:v>2.35</x:v>
      </x:c>
      <x:c r="D2042" s="11" t="n">
        <x:v>10.08</x:v>
      </x:c>
      <x:c r="E2042" s="11" t="n">
        <x:v>-5.79</x:v>
      </x:c>
      <x:c r="F2042" s="11" t="n">
        <x:f>SQRT((C2042-C2041)^2+(D2042-D2041)^2+(E2042-E2041)^2)</x:f>
        <x:v>2.4299999999999997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5</x:v>
      </x:c>
      <x:c r="C2043" s="11" t="n">
        <x:v>2.1</x:v>
      </x:c>
      <x:c r="D2043" s="11" t="n">
        <x:v>10.08</x:v>
      </x:c>
      <x:c r="E2043" s="11" t="n">
        <x:v>-5.79</x:v>
      </x:c>
      <x:c r="F2043" s="11" t="n">
        <x:f>SQRT((C2043-C2042)^2+(D2043-D2042)^2+(E2043-E2042)^2)</x:f>
        <x:v>0.25</x:v>
      </x:c>
      <x:c r="G2043" s="8" t="str">
        <x:v>Current</x:v>
      </x:c>
    </x:row>
    <x:row r="2044" ht="32" customHeight="1">
      <x:c r="A2044" s="8" t="str">
        <x:v>drop:DB2:L10:light:-1:L-STATUE-B-JAMB-2</x:v>
      </x:c>
      <x:c r="B2044" s="8" t="n">
        <x:v>1</x:v>
      </x:c>
      <x:c r="C2044" s="11" t="n">
        <x:v>2.35</x:v>
      </x:c>
      <x:c r="D2044" s="11" t="n">
        <x:v>6.140000000000001</x:v>
      </x:c>
      <x:c r="E2044" s="11" t="n">
        <x:v>-7.36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2</x:v>
      </x:c>
      <x:c r="C2045" s="11" t="n">
        <x:v>2.35</x:v>
      </x:c>
      <x:c r="D2045" s="11" t="n">
        <x:v>7.65</x:v>
      </x:c>
      <x:c r="E2045" s="11" t="n">
        <x:v>-7.36</x:v>
      </x:c>
      <x:c r="F2045" s="11" t="n">
        <x:f>SQRT((C2045-C2044)^2+(D2045-D2044)^2+(E2045-E2044)^2)</x:f>
        <x:v>1.5099999999999998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3</x:v>
      </x:c>
      <x:c r="C2046" s="11" t="n">
        <x:v>2.35</x:v>
      </x:c>
      <x:c r="D2046" s="11" t="n">
        <x:v>7.65</x:v>
      </x:c>
      <x:c r="E2046" s="11" t="n">
        <x:v>-4.9750000000000005</x:v>
      </x:c>
      <x:c r="F2046" s="11" t="n">
        <x:f>SQRT((C2046-C2045)^2+(D2046-D2045)^2+(E2046-E2045)^2)</x:f>
        <x:v>2.385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4</x:v>
      </x:c>
      <x:c r="C2047" s="11" t="n">
        <x:v>2.35</x:v>
      </x:c>
      <x:c r="D2047" s="11" t="n">
        <x:v>11.05</x:v>
      </x:c>
      <x:c r="E2047" s="11" t="n">
        <x:v>-4.9750000000000005</x:v>
      </x:c>
      <x:c r="F2047" s="11" t="n">
        <x:f>SQRT((C2047-C2046)^2+(D2047-D2046)^2+(E2047-E2046)^2)</x:f>
        <x:v>3.4000000000000004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5</x:v>
      </x:c>
      <x:c r="C2048" s="11" t="n">
        <x:v>2.13</x:v>
      </x:c>
      <x:c r="D2048" s="11" t="n">
        <x:v>11.05</x:v>
      </x:c>
      <x:c r="E2048" s="11" t="n">
        <x:v>-4.9750000000000005</x:v>
      </x:c>
      <x:c r="F2048" s="11" t="n">
        <x:f>SQRT((C2048-C2047)^2+(D2048-D2047)^2+(E2048-E2047)^2)</x:f>
        <x:v>0.2200000000000002</x:v>
      </x:c>
      <x:c r="G2048" s="8" t="str">
        <x:v>Current</x:v>
      </x:c>
    </x:row>
    <x:row r="2049" ht="32" customHeight="1">
      <x:c r="A2049" s="8" t="str">
        <x:v>drop:DB2:L10:light:-1:L-STATUE-B-CANDLE-2</x:v>
      </x:c>
      <x:c r="B2049" s="8" t="n">
        <x:v>1</x:v>
      </x:c>
      <x:c r="C2049" s="11" t="n">
        <x:v>2.35</x:v>
      </x:c>
      <x:c r="D2049" s="11" t="n">
        <x:v>6.140000000000001</x:v>
      </x:c>
      <x:c r="E2049" s="11" t="n">
        <x:v>-7.36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-7.36</x:v>
      </x:c>
      <x:c r="F2050" s="11" t="n">
        <x:f>SQRT((C2050-C2049)^2+(D2050-D2049)^2+(E2050-E2049)^2)</x:f>
        <x:v>1.5099999999999998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-5.170000000000001</x:v>
      </x:c>
      <x:c r="F2051" s="11" t="n">
        <x:f>SQRT((C2051-C2050)^2+(D2051-D2050)^2+(E2051-E2050)^2)</x:f>
        <x:v>2.1899999999999995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4</x:v>
      </x:c>
      <x:c r="C2052" s="11" t="n">
        <x:v>2.35</x:v>
      </x:c>
      <x:c r="D2052" s="11" t="n">
        <x:v>10.08</x:v>
      </x:c>
      <x:c r="E2052" s="11" t="n">
        <x:v>-5.170000000000001</x:v>
      </x:c>
      <x:c r="F2052" s="11" t="n">
        <x:f>SQRT((C2052-C2051)^2+(D2052-D2051)^2+(E2052-E2051)^2)</x:f>
        <x:v>2.4299999999999997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5</x:v>
      </x:c>
      <x:c r="C2053" s="11" t="n">
        <x:v>2.1</x:v>
      </x:c>
      <x:c r="D2053" s="11" t="n">
        <x:v>10.08</x:v>
      </x:c>
      <x:c r="E2053" s="11" t="n">
        <x:v>-5.170000000000001</x:v>
      </x:c>
      <x:c r="F2053" s="11" t="n">
        <x:f>SQRT((C2053-C2052)^2+(D2053-D2052)^2+(E2053-E2052)^2)</x:f>
        <x:v>0.25</x:v>
      </x:c>
      <x:c r="G2053" s="8" t="str">
        <x:v>Current</x:v>
      </x:c>
    </x:row>
    <x:row r="2054" ht="32" customHeight="1">
      <x:c r="A2054" s="8" t="str">
        <x:v>trunk:DB2:L10:light:1</x:v>
      </x:c>
      <x:c r="B2054" s="8" t="n">
        <x:v>1</x:v>
      </x:c>
      <x:c r="C2054" s="11" t="n">
        <x:v>2.73</x:v>
      </x:c>
      <x:c r="D2054" s="11" t="n">
        <x:v>1.5</x:v>
      </x:c>
      <x:c r="E2054" s="11" t="n">
        <x:v>-3.3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2</x:v>
      </x:c>
      <x:c r="C2055" s="11" t="n">
        <x:v>2.35</x:v>
      </x:c>
      <x:c r="D2055" s="11" t="n">
        <x:v>1.5</x:v>
      </x:c>
      <x:c r="E2055" s="11" t="n">
        <x:v>-3.3</x:v>
      </x:c>
      <x:c r="F2055" s="11" t="n">
        <x:f>SQRT((C2055-C2054)^2+(D2055-D2054)^2+(E2055-E2054)^2)</x:f>
        <x:v>0.3799999999999999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-3.3</x:v>
      </x:c>
      <x:c r="F2056" s="11" t="n">
        <x:f>SQRT((C2056-C2055)^2+(D2056-D2055)^2+(E2056-E2055)^2)</x:f>
        <x:v>6.15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4</x:v>
      </x:c>
      <x:c r="C2057" s="11" t="n">
        <x:v>2.35</x:v>
      </x:c>
      <x:c r="D2057" s="11" t="n">
        <x:v>7.65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5</x:v>
      </x:c>
      <x:c r="C2058" s="11" t="n">
        <x:v>2.35</x:v>
      </x:c>
      <x:c r="D2058" s="11" t="n">
        <x:v>6.140000000000001</x:v>
      </x:c>
      <x:c r="E2058" s="11" t="n">
        <x:v>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drop:DB2:L10:light:1:L-STATUE-C-JAMB-2</x:v>
      </x:c>
      <x:c r="B2059" s="8" t="n">
        <x:v>1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drop:DB2:L10:light:1:L-STATUE-C-JAMB-2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1.5099999999999998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0.905</x:v>
      </x:c>
      <x:c r="F2061" s="11" t="n">
        <x:f>SQRT((C2061-C2060)^2+(D2061-D2060)^2+(E2061-E2060)^2)</x:f>
        <x:v>6.455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4</x:v>
      </x:c>
      <x:c r="C2062" s="11" t="n">
        <x:v>2.35</x:v>
      </x:c>
      <x:c r="D2062" s="11" t="n">
        <x:v>13.3</x:v>
      </x:c>
      <x:c r="E2062" s="11" t="n">
        <x:v>0.905</x:v>
      </x:c>
      <x:c r="F2062" s="11" t="n">
        <x:f>SQRT((C2062-C2061)^2+(D2062-D2061)^2+(E2062-E2061)^2)</x:f>
        <x:v>5.65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5</x:v>
      </x:c>
      <x:c r="C2063" s="11" t="n">
        <x:v>2.13</x:v>
      </x:c>
      <x:c r="D2063" s="11" t="n">
        <x:v>13.3</x:v>
      </x:c>
      <x:c r="E2063" s="11" t="n">
        <x:v>0.905</x:v>
      </x:c>
      <x:c r="F2063" s="11" t="n">
        <x:f>SQRT((C2063-C2062)^2+(D2063-D2062)^2+(E2063-E2062)^2)</x:f>
        <x:v>0.2200000000000002</x:v>
      </x:c>
      <x:c r="G2063" s="8" t="str">
        <x:v>Current</x:v>
      </x:c>
    </x:row>
    <x:row r="2064" ht="32" customHeight="1">
      <x:c r="A2064" s="8" t="str">
        <x:v>drop:DB2:L10:light:1:L-STATUE-C-CANDLE-2</x:v>
      </x:c>
      <x:c r="B2064" s="8" t="n">
        <x:v>1</x:v>
      </x:c>
      <x:c r="C2064" s="11" t="n">
        <x:v>2.35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drop:DB2:L10:light:1:L-STATUE-C-CANDLE-2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1.5099999999999998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0.47</x:v>
      </x:c>
      <x:c r="F2066" s="11" t="n">
        <x:f>SQRT((C2066-C2065)^2+(D2066-D2065)^2+(E2066-E2065)^2)</x:f>
        <x:v>6.890000000000001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4</x:v>
      </x:c>
      <x:c r="C2067" s="11" t="n">
        <x:v>2.35</x:v>
      </x:c>
      <x:c r="D2067" s="11" t="n">
        <x:v>11.8</x:v>
      </x:c>
      <x:c r="E2067" s="11" t="n">
        <x:v>0.47</x:v>
      </x:c>
      <x:c r="F2067" s="11" t="n">
        <x:f>SQRT((C2067-C2066)^2+(D2067-D2066)^2+(E2067-E2066)^2)</x:f>
        <x:v>4.15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5</x:v>
      </x:c>
      <x:c r="C2068" s="11" t="n">
        <x:v>2.1</x:v>
      </x:c>
      <x:c r="D2068" s="11" t="n">
        <x:v>11.8</x:v>
      </x:c>
      <x:c r="E2068" s="11" t="n">
        <x:v>0.47</x:v>
      </x:c>
      <x:c r="F2068" s="11" t="n">
        <x:f>SQRT((C2068-C2067)^2+(D2068-D2067)^2+(E2068-E2067)^2)</x:f>
        <x:v>0.25</x:v>
      </x:c>
      <x:c r="G2068" s="8" t="str">
        <x:v>Current</x:v>
      </x:c>
    </x:row>
    <x:row r="2069" ht="32" customHeight="1">
      <x:c r="A2069" s="8" t="str">
        <x:v>drop:DB2:L10:light:1:L-STATUE-H-ARCH</x:v>
      </x:c>
      <x:c r="B2069" s="8" t="n">
        <x:v>1</x:v>
      </x:c>
      <x:c r="C2069" s="11" t="n">
        <x:v>2.35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drop:DB2:L10:light:1:L-STATUE-H-ARCH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1.5099999999999998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5.48</x:v>
      </x:c>
      <x:c r="F2071" s="11" t="n">
        <x:f>SQRT((C2071-C2070)^2+(D2071-D2070)^2+(E2071-E2070)^2)</x:f>
        <x:v>1.88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4</x:v>
      </x:c>
      <x:c r="C2072" s="11" t="n">
        <x:v>2.35</x:v>
      </x:c>
      <x:c r="D2072" s="11" t="n">
        <x:v>12.62</x:v>
      </x:c>
      <x:c r="E2072" s="11" t="n">
        <x:v>5.48</x:v>
      </x:c>
      <x:c r="F2072" s="11" t="n">
        <x:f>SQRT((C2072-C2071)^2+(D2072-D2071)^2+(E2072-E2071)^2)</x:f>
        <x:v>4.969999999999999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5</x:v>
      </x:c>
      <x:c r="C2073" s="11" t="n">
        <x:v>2.13</x:v>
      </x:c>
      <x:c r="D2073" s="11" t="n">
        <x:v>12.62</x:v>
      </x:c>
      <x:c r="E2073" s="11" t="n">
        <x:v>5.48</x:v>
      </x:c>
      <x:c r="F2073" s="11" t="n">
        <x:f>SQRT((C2073-C2072)^2+(D2073-D2072)^2+(E2073-E2072)^2)</x:f>
        <x:v>0.2200000000000002</x:v>
      </x:c>
      <x:c r="G2073" s="8" t="str">
        <x:v>Current</x:v>
      </x:c>
    </x:row>
    <x:row r="2074" ht="32" customHeight="1">
      <x:c r="A2074" s="8" t="str">
        <x:v>drop:DB2:L10:light:1:L-STATUE-H-JAMB-1</x:v>
      </x:c>
      <x:c r="B2074" s="8" t="n">
        <x:v>1</x:v>
      </x:c>
      <x:c r="C2074" s="11" t="n">
        <x:v>2.35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drop:DB2:L10:light:1:L-STATUE-H-JAMB-1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1.5099999999999998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4.9750000000000005</x:v>
      </x:c>
      <x:c r="F2076" s="11" t="n">
        <x:f>SQRT((C2076-C2075)^2+(D2076-D2075)^2+(E2076-E2075)^2)</x:f>
        <x:v>2.385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4</x:v>
      </x:c>
      <x:c r="C2077" s="11" t="n">
        <x:v>2.35</x:v>
      </x:c>
      <x:c r="D2077" s="11" t="n">
        <x:v>11.05</x:v>
      </x:c>
      <x:c r="E2077" s="11" t="n">
        <x:v>4.9750000000000005</x:v>
      </x:c>
      <x:c r="F2077" s="11" t="n">
        <x:f>SQRT((C2077-C2076)^2+(D2077-D2076)^2+(E2077-E2076)^2)</x:f>
        <x:v>3.4000000000000004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5</x:v>
      </x:c>
      <x:c r="C2078" s="11" t="n">
        <x:v>2.13</x:v>
      </x:c>
      <x:c r="D2078" s="11" t="n">
        <x:v>11.05</x:v>
      </x:c>
      <x:c r="E2078" s="11" t="n">
        <x:v>4.9750000000000005</x:v>
      </x:c>
      <x:c r="F2078" s="11" t="n">
        <x:f>SQRT((C2078-C2077)^2+(D2078-D2077)^2+(E2078-E2077)^2)</x:f>
        <x:v>0.2200000000000002</x:v>
      </x:c>
      <x:c r="G2078" s="8" t="str">
        <x:v>Current</x:v>
      </x:c>
    </x:row>
    <x:row r="2079" ht="32" customHeight="1">
      <x:c r="A2079" s="8" t="str">
        <x:v>drop:DB2:L10:light:1:L-STATUE-H-CANDLE-1</x:v>
      </x:c>
      <x:c r="B2079" s="8" t="n">
        <x:v>1</x:v>
      </x:c>
      <x:c r="C2079" s="11" t="n">
        <x:v>2.35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drop:DB2:L10:light:1:L-STATUE-H-CANDLE-1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5.170000000000001</x:v>
      </x:c>
      <x:c r="F2081" s="11" t="n">
        <x:f>SQRT((C2081-C2080)^2+(D2081-D2080)^2+(E2081-E2080)^2)</x:f>
        <x:v>2.1899999999999995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4</x:v>
      </x:c>
      <x:c r="C2082" s="11" t="n">
        <x:v>2.35</x:v>
      </x:c>
      <x:c r="D2082" s="11" t="n">
        <x:v>10.08</x:v>
      </x:c>
      <x:c r="E2082" s="11" t="n">
        <x:v>5.170000000000001</x:v>
      </x:c>
      <x:c r="F2082" s="11" t="n">
        <x:f>SQRT((C2082-C2081)^2+(D2082-D2081)^2+(E2082-E2081)^2)</x:f>
        <x:v>2.4299999999999997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5</x:v>
      </x:c>
      <x:c r="C2083" s="11" t="n">
        <x:v>2.1</x:v>
      </x:c>
      <x:c r="D2083" s="11" t="n">
        <x:v>10.08</x:v>
      </x:c>
      <x:c r="E2083" s="11" t="n">
        <x:v>5.170000000000001</x:v>
      </x:c>
      <x:c r="F2083" s="11" t="n">
        <x:f>SQRT((C2083-C2082)^2+(D2083-D2082)^2+(E2083-E2082)^2)</x:f>
        <x:v>0.25</x:v>
      </x:c>
      <x:c r="G2083" s="8" t="str">
        <x:v>Current</x:v>
      </x:c>
    </x:row>
    <x:row r="2084" ht="32" customHeight="1">
      <x:c r="A2084" s="8" t="str">
        <x:v>drop:DB2:L10:light:1:L-STATUE-H-JAMB-2</x:v>
      </x:c>
      <x:c r="B2084" s="8" t="n">
        <x:v>1</x:v>
      </x:c>
      <x:c r="C2084" s="11" t="n">
        <x:v>2.35</x:v>
      </x:c>
      <x:c r="D2084" s="11" t="n">
        <x:v>6.140000000000001</x:v>
      </x:c>
      <x:c r="E2084" s="11" t="n">
        <x:v>7.36</x:v>
      </x:c>
      <x:c r="F2084" s="11" t="n">
        <x:f>0</x:f>
        <x:v>0</x:v>
      </x:c>
      <x:c r="G2084" s="8" t="str">
        <x:v>Current</x:v>
      </x:c>
    </x:row>
    <x:row r="2085" ht="32" customHeight="1">
      <x:c r="A2085" s="8" t="str">
        <x:v>drop:DB2:L10:light:1:L-STATUE-H-JAMB-2</x:v>
      </x:c>
      <x:c r="B2085" s="8" t="n">
        <x:v>2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1.5099999999999998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3</x:v>
      </x:c>
      <x:c r="C2086" s="11" t="n">
        <x:v>2.35</x:v>
      </x:c>
      <x:c r="D2086" s="11" t="n">
        <x:v>7.65</x:v>
      </x:c>
      <x:c r="E2086" s="11" t="n">
        <x:v>5.985</x:v>
      </x:c>
      <x:c r="F2086" s="11" t="n">
        <x:f>SQRT((C2086-C2085)^2+(D2086-D2085)^2+(E2086-E2085)^2)</x:f>
        <x:v>1.375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4</x:v>
      </x:c>
      <x:c r="C2087" s="11" t="n">
        <x:v>2.35</x:v>
      </x:c>
      <x:c r="D2087" s="11" t="n">
        <x:v>11.05</x:v>
      </x:c>
      <x:c r="E2087" s="11" t="n">
        <x:v>5.985</x:v>
      </x:c>
      <x:c r="F2087" s="11" t="n">
        <x:f>SQRT((C2087-C2086)^2+(D2087-D2086)^2+(E2087-E2086)^2)</x:f>
        <x:v>3.4000000000000004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5</x:v>
      </x:c>
      <x:c r="C2088" s="11" t="n">
        <x:v>2.13</x:v>
      </x:c>
      <x:c r="D2088" s="11" t="n">
        <x:v>11.05</x:v>
      </x:c>
      <x:c r="E2088" s="11" t="n">
        <x:v>5.985</x:v>
      </x:c>
      <x:c r="F2088" s="11" t="n">
        <x:f>SQRT((C2088-C2087)^2+(D2088-D2087)^2+(E2088-E2087)^2)</x:f>
        <x:v>0.2200000000000002</x:v>
      </x:c>
      <x:c r="G2088" s="8" t="str">
        <x:v>Current</x:v>
      </x:c>
    </x:row>
    <x:row r="2089" ht="32" customHeight="1">
      <x:c r="A2089" s="8" t="str">
        <x:v>drop:DB2:L10:light:1:L-STATUE-H-CANDLE-2</x:v>
      </x:c>
      <x:c r="B2089" s="8" t="n">
        <x:v>1</x:v>
      </x:c>
      <x:c r="C2089" s="11" t="n">
        <x:v>2.35</x:v>
      </x:c>
      <x:c r="D2089" s="11" t="n">
        <x:v>6.140000000000001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drop:DB2:L10:light:1:L-STATUE-H-CANDLE-2</x:v>
      </x:c>
      <x:c r="B2090" s="8" t="n">
        <x:v>2</x:v>
      </x:c>
      <x:c r="C2090" s="11" t="n">
        <x:v>2.35</x:v>
      </x:c>
      <x:c r="D2090" s="11" t="n">
        <x:v>7.65</x:v>
      </x:c>
      <x:c r="E2090" s="11" t="n">
        <x:v>7.36</x:v>
      </x:c>
      <x:c r="F2090" s="11" t="n">
        <x:f>SQRT((C2090-C2089)^2+(D2090-D2089)^2+(E2090-E2089)^2)</x:f>
        <x:v>1.5099999999999998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3</x:v>
      </x:c>
      <x:c r="C2091" s="11" t="n">
        <x:v>2.35</x:v>
      </x:c>
      <x:c r="D2091" s="11" t="n">
        <x:v>7.65</x:v>
      </x:c>
      <x:c r="E2091" s="11" t="n">
        <x:v>5.79</x:v>
      </x:c>
      <x:c r="F2091" s="11" t="n">
        <x:f>SQRT((C2091-C2090)^2+(D2091-D2090)^2+(E2091-E2090)^2)</x:f>
        <x:v>1.5700000000000003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4</x:v>
      </x:c>
      <x:c r="C2092" s="11" t="n">
        <x:v>2.35</x:v>
      </x:c>
      <x:c r="D2092" s="11" t="n">
        <x:v>10.08</x:v>
      </x:c>
      <x:c r="E2092" s="11" t="n">
        <x:v>5.79</x:v>
      </x:c>
      <x:c r="F2092" s="11" t="n">
        <x:f>SQRT((C2092-C2091)^2+(D2092-D2091)^2+(E2092-E2091)^2)</x:f>
        <x:v>2.4299999999999997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5</x:v>
      </x:c>
      <x:c r="C2093" s="11" t="n">
        <x:v>2.1</x:v>
      </x:c>
      <x:c r="D2093" s="11" t="n">
        <x:v>10.08</x:v>
      </x:c>
      <x:c r="E2093" s="11" t="n">
        <x:v>5.79</x:v>
      </x:c>
      <x:c r="F2093" s="11" t="n">
        <x:f>SQRT((C2093-C2092)^2+(D2093-D2092)^2+(E2093-E2092)^2)</x:f>
        <x:v>0.25</x:v>
      </x:c>
      <x:c r="G2093" s="8" t="str">
        <x:v>Current</x:v>
      </x:c>
    </x:row>
    <x:row r="2094" ht="32" customHeight="1">
      <x:c r="A2094" s="8" t="str">
        <x:v>drop:LC1:L8:light:-1:L64</x:v>
      </x:c>
      <x:c r="B2094" s="8" t="n">
        <x:v>1</x:v>
      </x:c>
      <x:c r="C2094" s="11" t="n">
        <x:v>38.94</x:v>
      </x:c>
      <x:c r="D2094" s="11" t="n">
        <x:v>7.953150773195872</x:v>
      </x:c>
      <x:c r="E2094" s="11" t="n">
        <x:v>-7.36</x:v>
      </x:c>
      <x:c r="F2094" s="11" t="n">
        <x:f>0</x:f>
        <x:v>0</x:v>
      </x:c>
      <x:c r="G2094" s="8" t="str">
        <x:v>Retired</x:v>
      </x:c>
    </x:row>
    <x:row r="2095" ht="32" customHeight="1">
      <x:c r="A2095" s="8" t="str">
        <x:v>drop:LC1:L8:light:-1:L64</x:v>
      </x:c>
      <x:c r="B2095" s="8" t="n">
        <x:v>2</x:v>
      </x:c>
      <x:c r="C2095" s="11" t="n">
        <x:v>38.94</x:v>
      </x:c>
      <x:c r="D2095" s="11" t="n">
        <x:v>7.953150773195873</x:v>
      </x:c>
      <x:c r="E2095" s="11" t="n">
        <x:v>-8.8</x:v>
      </x:c>
      <x:c r="F2095" s="11" t="n">
        <x:f>SQRT((C2095-C2094)^2+(D2095-D2094)^2+(E2095-E2094)^2)</x:f>
        <x:v>1.4400000000000004</x:v>
      </x:c>
      <x:c r="G2095" s="8" t="str">
        <x:v>Retired</x:v>
      </x:c>
    </x:row>
    <x:row r="2096" ht="32" customHeight="1">
      <x:c r="A2096" s="8" t="str">
        <x:v>drop:LC1:L8:light:-1:L64</x:v>
      </x:c>
      <x:c r="B2096" s="8" t="n">
        <x:v>3</x:v>
      </x:c>
      <x:c r="C2096" s="11" t="n">
        <x:v>38.94</x:v>
      </x:c>
      <x:c r="D2096" s="11" t="n">
        <x:v>4.4</x:v>
      </x:c>
      <x:c r="E2096" s="11" t="n">
        <x:v>-8.8</x:v>
      </x:c>
      <x:c r="F2096" s="11" t="n">
        <x:f>SQRT((C2096-C2095)^2+(D2096-D2095)^2+(E2096-E2095)^2)</x:f>
        <x:v>3.5531507731958722</x:v>
      </x:c>
      <x:c r="G2096" s="8" t="str">
        <x:v>Retired</x:v>
      </x:c>
    </x:row>
    <x:row r="2097" ht="32" customHeight="1">
      <x:c r="A2097" s="8" t="str">
        <x:v>drop:LC1:L8:light:-1:L66</x:v>
      </x:c>
      <x:c r="B2097" s="8" t="n">
        <x:v>1</x:v>
      </x:c>
      <x:c r="C2097" s="11" t="n">
        <x:v>42.22</x:v>
      </x:c>
      <x:c r="D2097" s="11" t="n">
        <x:v>7.945096649484534</x:v>
      </x:c>
      <x:c r="E2097" s="11" t="n">
        <x:v>-7.36</x:v>
      </x:c>
      <x:c r="F2097" s="11" t="n">
        <x:f>0</x:f>
        <x:v>0</x:v>
      </x:c>
      <x:c r="G2097" s="8" t="str">
        <x:v>Retired</x:v>
      </x:c>
    </x:row>
    <x:row r="2098" ht="32" customHeight="1">
      <x:c r="A2098" s="8" t="str">
        <x:v>drop:LC1:L8:light:-1:L66</x:v>
      </x:c>
      <x:c r="B2098" s="8" t="n">
        <x:v>2</x:v>
      </x:c>
      <x:c r="C2098" s="11" t="n">
        <x:v>42.22</x:v>
      </x:c>
      <x:c r="D2098" s="11" t="n">
        <x:v>7.9450966494845385</x:v>
      </x:c>
      <x:c r="E2098" s="11" t="n">
        <x:v>-8.8</x:v>
      </x:c>
      <x:c r="F2098" s="11" t="n">
        <x:f>SQRT((C2098-C2097)^2+(D2098-D2097)^2+(E2098-E2097)^2)</x:f>
        <x:v>1.4400000000000004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3</x:v>
      </x:c>
      <x:c r="C2099" s="11" t="n">
        <x:v>42.22</x:v>
      </x:c>
      <x:c r="D2099" s="11" t="n">
        <x:v>4.4</x:v>
      </x:c>
      <x:c r="E2099" s="11" t="n">
        <x:v>-8.8</x:v>
      </x:c>
      <x:c r="F2099" s="11" t="n">
        <x:f>SQRT((C2099-C2098)^2+(D2099-D2098)^2+(E2099-E2098)^2)</x:f>
        <x:v>3.545096649484538</x:v>
      </x:c>
      <x:c r="G2099" s="8" t="str">
        <x:v>Retired</x:v>
      </x:c>
    </x:row>
    <x:row r="2100" ht="32" customHeight="1">
      <x:c r="A2100" s="8" t="str">
        <x:v>drop:LC1:L8:light:1:L68</x:v>
      </x:c>
      <x:c r="B2100" s="8" t="n">
        <x:v>1</x:v>
      </x:c>
      <x:c r="C2100" s="11" t="n">
        <x:v>38.94</x:v>
      </x:c>
      <x:c r="D2100" s="11" t="n">
        <x:v>7.953150773195872</x:v>
      </x:c>
      <x:c r="E2100" s="11" t="n">
        <x:v>7.36</x:v>
      </x:c>
      <x:c r="F2100" s="11" t="n">
        <x:f>0</x:f>
        <x:v>0</x:v>
      </x:c>
      <x:c r="G2100" s="8" t="str">
        <x:v>Retired</x:v>
      </x:c>
    </x:row>
    <x:row r="2101" ht="32" customHeight="1">
      <x:c r="A2101" s="8" t="str">
        <x:v>drop:LC1:L8:light:1:L68</x:v>
      </x:c>
      <x:c r="B2101" s="8" t="n">
        <x:v>2</x:v>
      </x:c>
      <x:c r="C2101" s="11" t="n">
        <x:v>38.94</x:v>
      </x:c>
      <x:c r="D2101" s="11" t="n">
        <x:v>7.953150773195873</x:v>
      </x:c>
      <x:c r="E2101" s="11" t="n">
        <x:v>8.8</x:v>
      </x:c>
      <x:c r="F2101" s="11" t="n">
        <x:f>SQRT((C2101-C2100)^2+(D2101-D2100)^2+(E2101-E2100)^2)</x:f>
        <x:v>1.4400000000000004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3</x:v>
      </x:c>
      <x:c r="C2102" s="11" t="n">
        <x:v>38.94</x:v>
      </x:c>
      <x:c r="D2102" s="11" t="n">
        <x:v>4.4</x:v>
      </x:c>
      <x:c r="E2102" s="11" t="n">
        <x:v>8.8</x:v>
      </x:c>
      <x:c r="F2102" s="11" t="n">
        <x:f>SQRT((C2102-C2101)^2+(D2102-D2101)^2+(E2102-E2101)^2)</x:f>
        <x:v>3.5531507731958722</x:v>
      </x:c>
      <x:c r="G2102" s="8" t="str">
        <x:v>Retired</x:v>
      </x:c>
    </x:row>
    <x:row r="2103" ht="32" customHeight="1">
      <x:c r="A2103" s="8" t="str">
        <x:v>drop:LC1:L8:light:1:L70</x:v>
      </x:c>
      <x:c r="B2103" s="8" t="n">
        <x:v>1</x:v>
      </x:c>
      <x:c r="C2103" s="11" t="n">
        <x:v>42.22</x:v>
      </x:c>
      <x:c r="D2103" s="11" t="n">
        <x:v>7.945096649484534</x:v>
      </x:c>
      <x:c r="E2103" s="11" t="n">
        <x:v>7.36</x:v>
      </x:c>
      <x:c r="F2103" s="11" t="n">
        <x:f>0</x:f>
        <x:v>0</x:v>
      </x:c>
      <x:c r="G2103" s="8" t="str">
        <x:v>Retired</x:v>
      </x:c>
    </x:row>
    <x:row r="2104" ht="32" customHeight="1">
      <x:c r="A2104" s="8" t="str">
        <x:v>drop:LC1:L8:light:1:L70</x:v>
      </x:c>
      <x:c r="B2104" s="8" t="n">
        <x:v>2</x:v>
      </x:c>
      <x:c r="C2104" s="11" t="n">
        <x:v>42.22</x:v>
      </x:c>
      <x:c r="D2104" s="11" t="n">
        <x:v>7.9450966494845385</x:v>
      </x:c>
      <x:c r="E2104" s="11" t="n">
        <x:v>8.8</x:v>
      </x:c>
      <x:c r="F2104" s="11" t="n">
        <x:f>SQRT((C2104-C2103)^2+(D2104-D2103)^2+(E2104-E2103)^2)</x:f>
        <x:v>1.4400000000000004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3</x:v>
      </x:c>
      <x:c r="C2105" s="11" t="n">
        <x:v>42.22</x:v>
      </x:c>
      <x:c r="D2105" s="11" t="n">
        <x:v>4.4</x:v>
      </x:c>
      <x:c r="E2105" s="11" t="n">
        <x:v>8.8</x:v>
      </x:c>
      <x:c r="F2105" s="11" t="n">
        <x:f>SQRT((C2105-C2104)^2+(D2105-D2104)^2+(E2105-E2104)^2)</x:f>
        <x:v>3.545096649484538</x:v>
      </x:c>
      <x:c r="G2105" s="8" t="str">
        <x:v>Retired</x:v>
      </x:c>
    </x:row>
  </x:sheetData>
  <x:conditionalFormatting sqref="G7:G21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edc30f8dd104ccb"/>
  </x:tableParts>
</x:worksheet>
</file>