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7d3bd662dc49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e95680954f2459e"/>
    <x:sheet xmlns:r="http://schemas.openxmlformats.org/officeDocument/2006/relationships" name="Equipment" sheetId="2" r:id="R16a187469e5b4bb8"/>
    <x:sheet xmlns:r="http://schemas.openxmlformats.org/officeDocument/2006/relationships" name="Electrical Lines" sheetId="3" r:id="R6fe5acf6d7424c69"/>
    <x:sheet xmlns:r="http://schemas.openxmlformats.org/officeDocument/2006/relationships" name="Route Points" sheetId="4" r:id="R85c6c3429df042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8266f5ca7642cd" /><Relationship Type="http://schemas.openxmlformats.org/officeDocument/2006/relationships/theme" Target="/xl/theme/theme1.xml" Id="R07d4784f59a14a4f" /><Relationship Type="http://schemas.openxmlformats.org/officeDocument/2006/relationships/sharedStrings" Target="/xl/sharedStrings.xml" Id="R53e83dc806bd4f11" /><Relationship Type="http://schemas.openxmlformats.org/officeDocument/2006/relationships/worksheet" Target="/xl/worksheets/sheet1.xml" Id="R2e95680954f2459e" /><Relationship Type="http://schemas.openxmlformats.org/officeDocument/2006/relationships/worksheet" Target="/xl/worksheets/sheet2.xml" Id="R16a187469e5b4bb8" /><Relationship Type="http://schemas.openxmlformats.org/officeDocument/2006/relationships/worksheet" Target="/xl/worksheets/sheet3.xml" Id="R6fe5acf6d7424c69" /><Relationship Type="http://schemas.openxmlformats.org/officeDocument/2006/relationships/worksheet" Target="/xl/worksheets/sheet4.xml" Id="R85c6c3429df04211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4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60ce6fb0a342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fd708056a644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57d52f0d57f4e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2026-10-09T01:31:17.233Z.</x:v>
      </x:c>
    </x:row>
    <x:row r="5" ht="34" customHeight="1">
      <x:c r="A5" s="20" t="str">
        <x:v>Current equipment</x:v>
      </x:c>
      <x:c r="B5" s="16" t="n">
        <x:f>COUNTIFS(Equipment!$AA$7:$AA$226,"Current")</x:f>
        <x:v>216</x:v>
      </x:c>
    </x:row>
    <x:row r="6" ht="34" customHeight="1">
      <x:c r="A6" s="20" t="str">
        <x:v>Current routes</x:v>
      </x:c>
      <x:c r="B6" s="16" t="n">
        <x:f>COUNTIFS('Electrical Lines'!$Y$7:$Y$247,"Current")</x:f>
        <x:v>237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L64</x:v>
      </x:c>
      <x:c r="B223" s="8" t="str">
        <x:v>Wing light · B · front block · front rows</x:v>
      </x:c>
      <x:c r="C223" s="8" t="str">
        <x:v>light</x:v>
      </x:c>
      <x:c r="D223" s="8" t="str">
        <x:v>DB1</x:v>
      </x:c>
      <x:c r="E223" s="8" t="str">
        <x:v>L8</x:v>
      </x:c>
      <x:c r="F223" s="11" t="n">
        <x:v>38.94</x:v>
      </x:c>
      <x:c r="G223" s="11" t="n">
        <x:v>4.4</x:v>
      </x:c>
      <x:c r="H223" s="11" t="n">
        <x:v>-8.8</x:v>
      </x:c>
      <x:c r="I223" s="8" t="str">
        <x:v>pendant</x:v>
      </x:c>
      <x:c r="J223" s="8" t="str">
        <x:v>Shown</x:v>
      </x:c>
      <x:c r="K223" s="8" t="str">
        <x:v>On</x:v>
      </x:c>
      <x:c r="L223" s="8" t="str">
        <x:v>1340 × 1240 × 1179</x:v>
      </x:c>
      <x:c r="M223" s="8" t="str">
        <x:v>5640 lm · 2700 K · 100° beam</x:v>
      </x:c>
      <x:c r="N223" s="11" t="n">
        <x:v>51</x:v>
      </x:c>
      <x:c r="O223" s="11" t="n">
        <x:v>0</x:v>
      </x:c>
      <x:c r="P223" s="11" t="n">
        <x:v>-90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Retired</x:v>
      </x:c>
      <x:c r="AB223" s="8" t="str">
        <x:v>drop:LC1:L8:light:-1:L64</x:v>
      </x:c>
      <x:c r="AC223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24" ht="96" customHeight="1">
      <x:c r="A224" s="8" t="str">
        <x:v>L66</x:v>
      </x:c>
      <x:c r="B224" s="8" t="str">
        <x:v>Wing light · B · rear block · front rows</x:v>
      </x:c>
      <x:c r="C224" s="8" t="str">
        <x:v>light</x:v>
      </x:c>
      <x:c r="D224" s="8" t="str">
        <x:v>DB1</x:v>
      </x:c>
      <x:c r="E224" s="8" t="str">
        <x:v>L8</x:v>
      </x:c>
      <x:c r="F224" s="11" t="n">
        <x:v>42.22</x:v>
      </x:c>
      <x:c r="G224" s="11" t="n">
        <x:v>4.4</x:v>
      </x:c>
      <x:c r="H224" s="11" t="n">
        <x:v>-8.8</x:v>
      </x:c>
      <x:c r="I224" s="8" t="str">
        <x:v>pendant</x:v>
      </x:c>
      <x:c r="J224" s="8" t="str">
        <x:v>Shown</x:v>
      </x:c>
      <x:c r="K224" s="8" t="str">
        <x:v>On</x:v>
      </x:c>
      <x:c r="L224" s="8" t="str">
        <x:v>1340 × 1240 × 1179</x:v>
      </x:c>
      <x:c r="M224" s="8" t="str">
        <x:v>5640 lm · 2700 K · 100° beam</x:v>
      </x:c>
      <x:c r="N224" s="11" t="n">
        <x:v>51</x:v>
      </x:c>
      <x:c r="O224" s="11" t="n">
        <x:v>0</x:v>
      </x:c>
      <x:c r="P224" s="11" t="n">
        <x:v>-90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Retired</x:v>
      </x:c>
      <x:c r="AB224" s="8" t="str">
        <x:v>drop:LC1:L8:light:-1:L66</x:v>
      </x:c>
      <x:c r="AC224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25" ht="96" customHeight="1">
      <x:c r="A225" s="8" t="str">
        <x:v>L68</x:v>
      </x:c>
      <x:c r="B225" s="8" t="str">
        <x:v>Wing light · H · front block · front rows</x:v>
      </x:c>
      <x:c r="C225" s="8" t="str">
        <x:v>light</x:v>
      </x:c>
      <x:c r="D225" s="8" t="str">
        <x:v>DB1</x:v>
      </x:c>
      <x:c r="E225" s="8" t="str">
        <x:v>L8</x:v>
      </x:c>
      <x:c r="F225" s="11" t="n">
        <x:v>38.94</x:v>
      </x:c>
      <x:c r="G225" s="11" t="n">
        <x:v>4.4</x:v>
      </x:c>
      <x:c r="H225" s="11" t="n">
        <x:v>8.8</x:v>
      </x:c>
      <x:c r="I225" s="8" t="str">
        <x:v>pendant</x:v>
      </x:c>
      <x:c r="J225" s="8" t="str">
        <x:v>Shown</x:v>
      </x:c>
      <x:c r="K225" s="8" t="str">
        <x:v>On</x:v>
      </x:c>
      <x:c r="L225" s="8" t="str">
        <x:v>1340 × 1240 × 1179</x:v>
      </x:c>
      <x:c r="M225" s="8" t="str">
        <x:v>5640 lm · 2700 K · 100° beam</x:v>
      </x:c>
      <x:c r="N225" s="11" t="n">
        <x:v>51</x:v>
      </x:c>
      <x:c r="O225" s="11" t="n">
        <x:v>0</x:v>
      </x:c>
      <x:c r="P225" s="11" t="n">
        <x:v>-90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Retired</x:v>
      </x:c>
      <x:c r="AB225" s="8" t="str">
        <x:v>drop:LC1:L8:light:1:L68</x:v>
      </x:c>
      <x:c r="AC225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26" ht="96" customHeight="1">
      <x:c r="A226" s="8" t="str">
        <x:v>L70</x:v>
      </x:c>
      <x:c r="B226" s="8" t="str">
        <x:v>Wing light · H · rear block · front rows</x:v>
      </x:c>
      <x:c r="C226" s="8" t="str">
        <x:v>light</x:v>
      </x:c>
      <x:c r="D226" s="8" t="str">
        <x:v>DB1</x:v>
      </x:c>
      <x:c r="E226" s="8" t="str">
        <x:v>L8</x:v>
      </x:c>
      <x:c r="F226" s="11" t="n">
        <x:v>42.22</x:v>
      </x:c>
      <x:c r="G226" s="11" t="n">
        <x:v>4.4</x:v>
      </x:c>
      <x:c r="H226" s="11" t="n">
        <x:v>8.8</x:v>
      </x:c>
      <x:c r="I226" s="8" t="str">
        <x:v>pendant</x:v>
      </x:c>
      <x:c r="J226" s="8" t="str">
        <x:v>Shown</x:v>
      </x:c>
      <x:c r="K226" s="8" t="str">
        <x:v>On</x:v>
      </x:c>
      <x:c r="L226" s="8" t="str">
        <x:v>1340 × 1240 × 1179</x:v>
      </x:c>
      <x:c r="M226" s="8" t="str">
        <x:v>5640 lm · 2700 K · 100° beam</x:v>
      </x:c>
      <x:c r="N226" s="11" t="n">
        <x:v>51</x:v>
      </x:c>
      <x:c r="O226" s="11" t="n">
        <x:v>0</x:v>
      </x:c>
      <x:c r="P226" s="11" t="n">
        <x:v>-90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Retired</x:v>
      </x:c>
      <x:c r="AB226" s="8" t="str">
        <x:v>drop:LC1:L8:light:1:L70</x:v>
      </x:c>
      <x:c r="AC226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160ce6fb0a342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Points'!$A$7:$A$2048,A7,'Route Points'!$F$7:$F$2048)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Points'!$A$7:$A$2048,A8,'Route Points'!$F$7:$F$2048)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Points'!$A$7:$A$2048,A9,'Route Points'!$F$7:$F$2048)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Points'!$A$7:$A$2048,A10,'Route Points'!$F$7:$F$2048)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Points'!$A$7:$A$2048,A11,'Route Points'!$F$7:$F$2048)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Points'!$A$7:$A$2048,A12,'Route Points'!$F$7:$F$2048)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Points'!$A$7:$A$2048,A13,'Route Points'!$F$7:$F$2048)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Points'!$A$7:$A$2048,A14,'Route Points'!$F$7:$F$2048)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Points'!$A$7:$A$2048,A15,'Route Points'!$F$7:$F$2048)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Points'!$A$7:$A$2048,A16,'Route Points'!$F$7:$F$2048)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Points'!$A$7:$A$2048,A17,'Route Points'!$F$7:$F$2048)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Points'!$A$7:$A$2048,A18,'Route Points'!$F$7:$F$2048)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Points'!$A$7:$A$2048,A19,'Route Points'!$F$7:$F$2048)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Points'!$A$7:$A$2048,A20,'Route Points'!$F$7:$F$2048)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Points'!$A$7:$A$2048,A21,'Route Points'!$F$7:$F$2048)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Points'!$A$7:$A$2048,A22,'Route Points'!$F$7:$F$2048)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Points'!$A$7:$A$2048,A23,'Route Points'!$F$7:$F$2048)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Points'!$A$7:$A$2048,A24,'Route Points'!$F$7:$F$2048)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Points'!$A$7:$A$2048,A25,'Route Points'!$F$7:$F$2048)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Points'!$A$7:$A$2048,A26,'Route Points'!$F$7:$F$2048)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Points'!$A$7:$A$2048,A27,'Route Points'!$F$7:$F$2048)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Points'!$A$7:$A$2048,A28,'Route Points'!$F$7:$F$2048)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Points'!$A$7:$A$2048,A29,'Route Points'!$F$7:$F$2048)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Points'!$A$7:$A$2048,A30,'Route Points'!$F$7:$F$2048)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Points'!$A$7:$A$2048,A31,'Route Points'!$F$7:$F$2048)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Points'!$A$7:$A$2048,A32,'Route Points'!$F$7:$F$2048)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Points'!$A$7:$A$2048,A33,'Route Points'!$F$7:$F$2048)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Points'!$A$7:$A$2048,A34,'Route Points'!$F$7:$F$2048)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Points'!$A$7:$A$2048,A35,'Route Points'!$F$7:$F$2048)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Points'!$A$7:$A$2048,A36,'Route Points'!$F$7:$F$2048)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Points'!$A$7:$A$2048,A37,'Route Points'!$F$7:$F$2048)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Points'!$A$7:$A$2048,A38,'Route Points'!$F$7:$F$2048)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Points'!$A$7:$A$2048,A39,'Route Points'!$F$7:$F$2048)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Points'!$A$7:$A$2048,A40,'Route Points'!$F$7:$F$2048)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Points'!$A$7:$A$2048,A41,'Route Points'!$F$7:$F$2048)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Points'!$A$7:$A$2048,A42,'Route Points'!$F$7:$F$2048)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Points'!$A$7:$A$2048,A43,'Route Points'!$F$7:$F$2048)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Points'!$A$7:$A$2048,A44,'Route Points'!$F$7:$F$2048)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Points'!$A$7:$A$2048,A45,'Route Points'!$F$7:$F$2048)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Points'!$A$7:$A$2048,A46,'Route Points'!$F$7:$F$2048)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Points'!$A$7:$A$2048,A47,'Route Points'!$F$7:$F$2048)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Points'!$A$7:$A$2048,A48,'Route Points'!$F$7:$F$2048)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Points'!$A$7:$A$2048,A49,'Route Points'!$F$7:$F$2048)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Points'!$A$7:$A$2048,A50,'Route Points'!$F$7:$F$2048)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Points'!$A$7:$A$2048,A51,'Route Points'!$F$7:$F$2048)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Points'!$A$7:$A$2048,A52,'Route Points'!$F$7:$F$2048)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Points'!$A$7:$A$2048,A53,'Route Points'!$F$7:$F$2048)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Points'!$A$7:$A$2048,A54,'Route Points'!$F$7:$F$2048)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Points'!$A$7:$A$2048,A55,'Route Points'!$F$7:$F$2048)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Points'!$A$7:$A$2048,A56,'Route Points'!$F$7:$F$2048)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Points'!$A$7:$A$2048,A57,'Route Points'!$F$7:$F$2048)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Points'!$A$7:$A$2048,A58,'Route Points'!$F$7:$F$2048)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Points'!$A$7:$A$2048,A59,'Route Points'!$F$7:$F$2048)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Points'!$A$7:$A$2048,A60,'Route Points'!$F$7:$F$2048)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Points'!$A$7:$A$2048,A61,'Route Points'!$F$7:$F$2048)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Points'!$A$7:$A$2048,A62,'Route Points'!$F$7:$F$2048)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Points'!$A$7:$A$2048,A63,'Route Points'!$F$7:$F$2048)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Points'!$A$7:$A$2048,A64,'Route Points'!$F$7:$F$2048)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Points'!$A$7:$A$2048,A65,'Route Points'!$F$7:$F$2048)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Points'!$A$7:$A$2048,A66,'Route Points'!$F$7:$F$2048)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Points'!$A$7:$A$2048,A67,'Route Points'!$F$7:$F$2048)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Points'!$A$7:$A$2048,A68,'Route Points'!$F$7:$F$2048)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Points'!$A$7:$A$2048,A69,'Route Points'!$F$7:$F$2048)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Points'!$A$7:$A$2048,A70,'Route Points'!$F$7:$F$2048)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Points'!$A$7:$A$2048,A71,'Route Points'!$F$7:$F$2048)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Points'!$A$7:$A$2048,A72,'Route Points'!$F$7:$F$2048)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Points'!$A$7:$A$2048,A73,'Route Points'!$F$7:$F$2048)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Points'!$A$7:$A$2048,A74,'Route Points'!$F$7:$F$2048)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Points'!$A$7:$A$2048,A75,'Route Points'!$F$7:$F$2048)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Points'!$A$7:$A$2048,A76,'Route Points'!$F$7:$F$2048)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Points'!$A$7:$A$2048,A77,'Route Points'!$F$7:$F$2048)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Points'!$A$7:$A$2048,A78,'Route Points'!$F$7:$F$2048)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Points'!$A$7:$A$2048,A79,'Route Points'!$F$7:$F$2048)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Points'!$A$7:$A$2048,A80,'Route Points'!$F$7:$F$2048)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Points'!$A$7:$A$2048,A81,'Route Points'!$F$7:$F$2048)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Points'!$A$7:$A$2048,A82,'Route Points'!$F$7:$F$2048)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Points'!$A$7:$A$2048,A83,'Route Points'!$F$7:$F$2048)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Points'!$A$7:$A$2048,A84,'Route Points'!$F$7:$F$2048)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Points'!$A$7:$A$2048,A85,'Route Points'!$F$7:$F$2048)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Points'!$A$7:$A$2048,A86,'Route Points'!$F$7:$F$2048)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Points'!$A$7:$A$2048,A87,'Route Points'!$F$7:$F$2048)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Points'!$A$7:$A$2048,A88,'Route Points'!$F$7:$F$2048)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Points'!$A$7:$A$2048,A89,'Route Points'!$F$7:$F$2048)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Points'!$A$7:$A$2048,A90,'Route Points'!$F$7:$F$2048)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Points'!$A$7:$A$2048,A91,'Route Points'!$F$7:$F$2048)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Points'!$A$7:$A$2048,A92,'Route Points'!$F$7:$F$2048)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Points'!$A$7:$A$2048,A93,'Route Points'!$F$7:$F$2048)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Points'!$A$7:$A$2048,A94,'Route Points'!$F$7:$F$2048)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Points'!$A$7:$A$2048,A95,'Route Points'!$F$7:$F$2048)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Points'!$A$7:$A$2048,A96,'Route Points'!$F$7:$F$2048)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Points'!$A$7:$A$2048,A97,'Route Points'!$F$7:$F$2048)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Points'!$A$7:$A$2048,A98,'Route Points'!$F$7:$F$2048)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Points'!$A$7:$A$2048,A99,'Route Points'!$F$7:$F$2048)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Points'!$A$7:$A$2048,A100,'Route Points'!$F$7:$F$2048)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Points'!$A$7:$A$2048,A101,'Route Points'!$F$7:$F$2048)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Points'!$A$7:$A$2048,A102,'Route Points'!$F$7:$F$2048)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Points'!$A$7:$A$2048,A103,'Route Points'!$F$7:$F$2048)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Points'!$A$7:$A$2048,A104,'Route Points'!$F$7:$F$2048)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Points'!$A$7:$A$2048,A105,'Route Points'!$F$7:$F$2048)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Points'!$A$7:$A$2048,A106,'Route Points'!$F$7:$F$2048)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Points'!$A$7:$A$2048,A107,'Route Points'!$F$7:$F$2048)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Points'!$A$7:$A$2048,A108,'Route Points'!$F$7:$F$2048)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Points'!$A$7:$A$2048,A109,'Route Points'!$F$7:$F$2048)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Points'!$A$7:$A$2048,A110,'Route Points'!$F$7:$F$2048)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Points'!$A$7:$A$2048,A111,'Route Points'!$F$7:$F$2048)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Points'!$A$7:$A$2048,A112,'Route Points'!$F$7:$F$2048)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Points'!$A$7:$A$2048,A113,'Route Points'!$F$7:$F$2048)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Points'!$A$7:$A$2048,A114,'Route Points'!$F$7:$F$2048)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Points'!$A$7:$A$2048,A115,'Route Points'!$F$7:$F$2048)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Points'!$A$7:$A$2048,A116,'Route Points'!$F$7:$F$2048)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Points'!$A$7:$A$2048,A117,'Route Points'!$F$7:$F$2048)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Points'!$A$7:$A$2048,A118,'Route Points'!$F$7:$F$2048)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Points'!$A$7:$A$2048,A119,'Route Points'!$F$7:$F$2048)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Points'!$A$7:$A$2048,A120,'Route Points'!$F$7:$F$2048)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Points'!$A$7:$A$2048,A121,'Route Points'!$F$7:$F$2048)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Points'!$A$7:$A$2048,A122,'Route Points'!$F$7:$F$2048)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Points'!$A$7:$A$2048,A123,'Route Points'!$F$7:$F$2048)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Points'!$A$7:$A$2048,A124,'Route Points'!$F$7:$F$2048)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Points'!$A$7:$A$2048,A125,'Route Points'!$F$7:$F$2048)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Points'!$A$7:$A$2048,A126,'Route Points'!$F$7:$F$2048)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Points'!$A$7:$A$2048,A127,'Route Points'!$F$7:$F$2048)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Points'!$A$7:$A$2048,A128,'Route Points'!$F$7:$F$2048)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Points'!$A$7:$A$2048,A129,'Route Points'!$F$7:$F$2048)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Points'!$A$7:$A$2048,A130,'Route Points'!$F$7:$F$2048)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Points'!$A$7:$A$2048,A131,'Route Points'!$F$7:$F$2048)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Points'!$A$7:$A$2048,A132,'Route Points'!$F$7:$F$2048)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Points'!$A$7:$A$2048,A133,'Route Points'!$F$7:$F$2048)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Points'!$A$7:$A$2048,A134,'Route Points'!$F$7:$F$2048)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Points'!$A$7:$A$2048,A135,'Route Points'!$F$7:$F$2048)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Points'!$A$7:$A$2048,A136,'Route Points'!$F$7:$F$2048)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Points'!$A$7:$A$2048,A137,'Route Points'!$F$7:$F$2048)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Points'!$A$7:$A$2048,A138,'Route Points'!$F$7:$F$2048)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Points'!$A$7:$A$2048,A139,'Route Points'!$F$7:$F$2048)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Points'!$A$7:$A$2048,A140,'Route Points'!$F$7:$F$2048)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Points'!$A$7:$A$2048,A141,'Route Points'!$F$7:$F$2048)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Points'!$A$7:$A$2048,A142,'Route Points'!$F$7:$F$2048)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Points'!$A$7:$A$2048,A143,'Route Points'!$F$7:$F$2048)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Points'!$A$7:$A$2048,A144,'Route Points'!$F$7:$F$2048)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Points'!$A$7:$A$2048,A145,'Route Points'!$F$7:$F$2048)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Points'!$A$7:$A$2048,A146,'Route Points'!$F$7:$F$2048)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Points'!$A$7:$A$2048,A147,'Route Points'!$F$7:$F$2048)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Points'!$A$7:$A$2048,A148,'Route Points'!$F$7:$F$2048)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Points'!$A$7:$A$2048,A149,'Route Points'!$F$7:$F$2048)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Points'!$A$7:$A$2048,A150,'Route Points'!$F$7:$F$2048)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Points'!$A$7:$A$2048,A151,'Route Points'!$F$7:$F$2048)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Points'!$A$7:$A$2048,A152,'Route Points'!$F$7:$F$2048)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Points'!$A$7:$A$2048,A153,'Route Points'!$F$7:$F$2048)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Points'!$A$7:$A$2048,A154,'Route Points'!$F$7:$F$2048)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Points'!$A$7:$A$2048,A155,'Route Points'!$F$7:$F$2048)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Points'!$A$7:$A$2048,A156,'Route Points'!$F$7:$F$2048)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Points'!$A$7:$A$2048,A157,'Route Points'!$F$7:$F$2048)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Points'!$A$7:$A$2048,A158,'Route Points'!$F$7:$F$2048)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Points'!$A$7:$A$2048,A159,'Route Points'!$F$7:$F$2048)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Points'!$A$7:$A$2048,A160,'Route Points'!$F$7:$F$2048)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Points'!$A$7:$A$2048,A161,'Route Points'!$F$7:$F$2048)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Points'!$A$7:$A$2048,A162,'Route Points'!$F$7:$F$2048)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Points'!$A$7:$A$2048,A163,'Route Points'!$F$7:$F$2048)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Points'!$A$7:$A$2048,A164,'Route Points'!$F$7:$F$2048)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Points'!$A$7:$A$2048,A165,'Route Points'!$F$7:$F$2048)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Points'!$A$7:$A$2048,A166,'Route Points'!$F$7:$F$2048)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Points'!$A$7:$A$2048,A167,'Route Points'!$F$7:$F$2048)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Points'!$A$7:$A$2048,A168,'Route Points'!$F$7:$F$2048)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Points'!$A$7:$A$2048,A169,'Route Points'!$F$7:$F$2048)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Points'!$A$7:$A$2048,A170,'Route Points'!$F$7:$F$2048)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Points'!$A$7:$A$2048,A171,'Route Points'!$F$7:$F$2048)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Points'!$A$7:$A$2048,A172,'Route Points'!$F$7:$F$2048)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Points'!$A$7:$A$2048,A173,'Route Points'!$F$7:$F$2048)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Points'!$A$7:$A$2048,A174,'Route Points'!$F$7:$F$2048)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Points'!$A$7:$A$2048,A175,'Route Points'!$F$7:$F$2048)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Points'!$A$7:$A$2048,A176,'Route Points'!$F$7:$F$2048)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Points'!$A$7:$A$2048,A177,'Route Points'!$F$7:$F$2048)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Points'!$A$7:$A$2048,A178,'Route Points'!$F$7:$F$2048)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Points'!$A$7:$A$2048,A179,'Route Points'!$F$7:$F$2048)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Points'!$A$7:$A$2048,A180,'Route Points'!$F$7:$F$2048)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Points'!$A$7:$A$2048,A181,'Route Points'!$F$7:$F$2048)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Points'!$A$7:$A$2048,A182,'Route Points'!$F$7:$F$2048)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Points'!$A$7:$A$2048,A183,'Route Points'!$F$7:$F$2048)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Points'!$A$7:$A$2048,A184,'Route Points'!$F$7:$F$2048)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Points'!$A$7:$A$2048,A185,'Route Points'!$F$7:$F$2048)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Points'!$A$7:$A$2048,A186,'Route Points'!$F$7:$F$2048)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Points'!$A$7:$A$2048,A187,'Route Points'!$F$7:$F$2048)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Points'!$A$7:$A$2048,A188,'Route Points'!$F$7:$F$2048)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Points'!$A$7:$A$2048,A189,'Route Points'!$F$7:$F$2048)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Points'!$A$7:$A$2048,A190,'Route Points'!$F$7:$F$2048)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Points'!$A$7:$A$2048,A191,'Route Points'!$F$7:$F$2048)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Points'!$A$7:$A$2048,A192,'Route Points'!$F$7:$F$2048)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Points'!$A$7:$A$2048,A193,'Route Points'!$F$7:$F$2048)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Points'!$A$7:$A$2048,A194,'Route Points'!$F$7:$F$2048)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Points'!$A$7:$A$2048,A195,'Route Points'!$F$7:$F$2048)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Points'!$A$7:$A$2048,A196,'Route Points'!$F$7:$F$2048)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Points'!$A$7:$A$2048,A197,'Route Points'!$F$7:$F$2048)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Points'!$A$7:$A$2048,A198,'Route Points'!$F$7:$F$2048)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Points'!$A$7:$A$2048,A199,'Route Points'!$F$7:$F$2048)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Points'!$A$7:$A$2048,A200,'Route Points'!$F$7:$F$2048)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Points'!$A$7:$A$2048,A201,'Route Points'!$F$7:$F$2048)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Points'!$A$7:$A$2048,A202,'Route Points'!$F$7:$F$2048)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Points'!$A$7:$A$2048,A203,'Route Points'!$F$7:$F$2048)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Points'!$A$7:$A$2048,A204,'Route Points'!$F$7:$F$2048)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Points'!$A$7:$A$2048,A205,'Route Points'!$F$7:$F$2048)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Points'!$A$7:$A$2048,A206,'Route Points'!$F$7:$F$2048)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Points'!$A$7:$A$2048,A207,'Route Points'!$F$7:$F$2048)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Points'!$A$7:$A$2048,A208,'Route Points'!$F$7:$F$2048)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Points'!$A$7:$A$2048,A209,'Route Points'!$F$7:$F$2048)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Points'!$A$7:$A$2048,A210,'Route Points'!$F$7:$F$2048)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Points'!$A$7:$A$2048,A211,'Route Points'!$F$7:$F$2048)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Points'!$A$7:$A$2048,A212,'Route Points'!$F$7:$F$2048)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Points'!$A$7:$A$2048,A213,'Route Points'!$F$7:$F$2048)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Points'!$A$7:$A$2048,A214,'Route Points'!$F$7:$F$2048)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Points'!$A$7:$A$2048,A215,'Route Points'!$F$7:$F$2048)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Points'!$A$7:$A$2048,A216,'Route Points'!$F$7:$F$2048)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Points'!$A$7:$A$2048,A217,'Route Points'!$F$7:$F$2048)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Points'!$A$7:$A$2048,A218,'Route Points'!$F$7:$F$2048)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Points'!$A$7:$A$2048,A219,'Route Points'!$F$7:$F$2048)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Points'!$A$7:$A$2048,A220,'Route Points'!$F$7:$F$2048)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Points'!$A$7:$A$2048,A221,'Route Points'!$F$7:$F$2048)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Points'!$A$7:$A$2048,A222,'Route Points'!$F$7:$F$2048)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Points'!$A$7:$A$2048,A223,'Route Points'!$F$7:$F$2048)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Points'!$A$7:$A$2048,A224,'Route Points'!$F$7:$F$2048)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Points'!$A$7:$A$2048,A225,'Route Points'!$F$7:$F$2048)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Points'!$A$7:$A$2048,A226,'Route Points'!$F$7:$F$2048)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Points'!$A$7:$A$2048,A227,'Route Points'!$F$7:$F$2048)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Points'!$A$7:$A$2048,A228,'Route Points'!$F$7:$F$2048)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Points'!$A$7:$A$2048,A229,'Route Points'!$F$7:$F$2048)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Points'!$A$7:$A$2048,A230,'Route Points'!$F$7:$F$2048)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Points'!$A$7:$A$2048,A231,'Route Points'!$F$7:$F$2048)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Points'!$A$7:$A$2048,A232,'Route Points'!$F$7:$F$2048)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Points'!$A$7:$A$2048,A233,'Route Points'!$F$7:$F$2048)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Points'!$A$7:$A$2048,A234,'Route Points'!$F$7:$F$2048)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Points'!$A$7:$A$2048,A235,'Route Points'!$F$7:$F$2048)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Points'!$A$7:$A$2048,A236,'Route Points'!$F$7:$F$2048)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Points'!$A$7:$A$2048,A237,'Route Points'!$F$7:$F$2048)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Points'!$A$7:$A$2048,A238,'Route Points'!$F$7:$F$2048)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Points'!$A$7:$A$2048,A239,'Route Points'!$F$7:$F$2048)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Points'!$A$7:$A$2048,A240,'Route Points'!$F$7:$F$2048)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Points'!$A$7:$A$2048,A241,'Route Points'!$F$7:$F$2048)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Points'!$A$7:$A$2048,A242,'Route Points'!$F$7:$F$2048)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Points'!$A$7:$A$2048,A243,'Route Points'!$F$7:$F$2048)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drop:LC1:L8:light:-1:L64</x:v>
      </x:c>
      <x:c r="B244" s="8" t="str">
        <x:v>L8 → Wing light · B · front block · front rows</x:v>
      </x:c>
      <x:c r="C244" s="8" t="str">
        <x:v>LC1</x:v>
      </x:c>
      <x:c r="D244" s="8" t="str">
        <x:v>L64</x:v>
      </x:c>
      <x:c r="E244" s="8" t="str">
        <x:v>DB1</x:v>
      </x:c>
      <x:c r="F244" s="8" t="str">
        <x:v>L8</x:v>
      </x:c>
      <x:c r="G244" s="8" t="str">
        <x:v>light</x:v>
      </x:c>
      <x:c r="H244" s="8" t="str">
        <x:v>drop</x:v>
      </x:c>
      <x:c r="I244" s="11" t="n">
        <x:f>SUMIF('Route Points'!$A$7:$A$2048,A244,'Route Points'!$F$7:$F$2048)</x:f>
        <x:v>4.993150773195873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Above nave lining / covered soffit route at wings and verandas; cable continues inside the existing pendant stem. Roof build-up, supports and access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Retired</x:v>
      </x:c>
      <x:c r="Z244" s="8" t="str">
        <x:v>trunk:LC1:L8:light:-1</x:v>
      </x:c>
    </x:row>
    <x:row r="245" ht="90" customHeight="1">
      <x:c r="A245" s="8" t="str">
        <x:v>drop:LC1:L8:light:-1:L66</x:v>
      </x:c>
      <x:c r="B245" s="8" t="str">
        <x:v>L8 → Wing light · B · rear block · front rows</x:v>
      </x:c>
      <x:c r="C245" s="8" t="str">
        <x:v>LC1</x:v>
      </x:c>
      <x:c r="D245" s="8" t="str">
        <x:v>L66</x:v>
      </x:c>
      <x:c r="E245" s="8" t="str">
        <x:v>DB1</x:v>
      </x:c>
      <x:c r="F245" s="8" t="str">
        <x:v>L8</x:v>
      </x:c>
      <x:c r="G245" s="8" t="str">
        <x:v>light</x:v>
      </x:c>
      <x:c r="H245" s="8" t="str">
        <x:v>drop</x:v>
      </x:c>
      <x:c r="I245" s="11" t="n">
        <x:f>SUMIF('Route Points'!$A$7:$A$2048,A245,'Route Points'!$F$7:$F$2048)</x:f>
        <x:v>4.985096649484539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Above nave lining / covered soffit route at wings and verandas; cable continues inside the existing pendant stem. Roof build-up, supports and access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Retired</x:v>
      </x:c>
      <x:c r="Z245" s="8" t="str">
        <x:v>trunk:LC1:L8:light:-1</x:v>
      </x:c>
    </x:row>
    <x:row r="246" ht="90" customHeight="1">
      <x:c r="A246" s="8" t="str">
        <x:v>drop:LC1:L8:light:1:L68</x:v>
      </x:c>
      <x:c r="B246" s="8" t="str">
        <x:v>L8 → Wing light · H · front block · front rows</x:v>
      </x:c>
      <x:c r="C246" s="8" t="str">
        <x:v>LC1</x:v>
      </x:c>
      <x:c r="D246" s="8" t="str">
        <x:v>L68</x:v>
      </x:c>
      <x:c r="E246" s="8" t="str">
        <x:v>DB1</x:v>
      </x:c>
      <x:c r="F246" s="8" t="str">
        <x:v>L8</x:v>
      </x:c>
      <x:c r="G246" s="8" t="str">
        <x:v>light</x:v>
      </x:c>
      <x:c r="H246" s="8" t="str">
        <x:v>drop</x:v>
      </x:c>
      <x:c r="I246" s="11" t="n">
        <x:f>SUMIF('Route Points'!$A$7:$A$2048,A246,'Route Points'!$F$7:$F$2048)</x:f>
        <x:v>4.993150773195873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Above nave lining / covered soffit route at wings and verandas; cable continues inside the existing pendant stem. Roof build-up, supports and access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Retired</x:v>
      </x:c>
      <x:c r="Z246" s="8" t="str">
        <x:v>trunk:LC1:L8:light:1</x:v>
      </x:c>
    </x:row>
    <x:row r="247" ht="90" customHeight="1">
      <x:c r="A247" s="8" t="str">
        <x:v>drop:LC1:L8:light:1:L70</x:v>
      </x:c>
      <x:c r="B247" s="8" t="str">
        <x:v>L8 → Wing light · H · rear block · front rows</x:v>
      </x:c>
      <x:c r="C247" s="8" t="str">
        <x:v>LC1</x:v>
      </x:c>
      <x:c r="D247" s="8" t="str">
        <x:v>L70</x:v>
      </x:c>
      <x:c r="E247" s="8" t="str">
        <x:v>DB1</x:v>
      </x:c>
      <x:c r="F247" s="8" t="str">
        <x:v>L8</x:v>
      </x:c>
      <x:c r="G247" s="8" t="str">
        <x:v>light</x:v>
      </x:c>
      <x:c r="H247" s="8" t="str">
        <x:v>drop</x:v>
      </x:c>
      <x:c r="I247" s="11" t="n">
        <x:f>SUMIF('Route Points'!$A$7:$A$2048,A247,'Route Points'!$F$7:$F$2048)</x:f>
        <x:v>4.985096649484539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Above nave lining / covered soffit route at wings and verandas; cable continues inside the existing pendant stem. Roof build-up, supports and access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Retired</x:v>
      </x:c>
      <x:c r="Z247" s="8" t="str">
        <x:v>trunk:LC1:L8:light:1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fd708056a6449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drop:LC1:L8:light:-1:L64</x:v>
      </x:c>
      <x:c r="B2037" s="8" t="n">
        <x:v>1</x:v>
      </x:c>
      <x:c r="C2037" s="11" t="n">
        <x:v>38.94</x:v>
      </x:c>
      <x:c r="D2037" s="11" t="n">
        <x:v>7.953150773195872</x:v>
      </x:c>
      <x:c r="E2037" s="11" t="n">
        <x:v>-7.36</x:v>
      </x:c>
      <x:c r="F2037" s="11" t="n">
        <x:f>0</x:f>
        <x:v>0</x:v>
      </x:c>
      <x:c r="G2037" s="8" t="str">
        <x:v>Retired</x:v>
      </x:c>
    </x:row>
    <x:row r="2038" ht="32" customHeight="1">
      <x:c r="A2038" s="8" t="str">
        <x:v>drop:LC1:L8:light:-1:L64</x:v>
      </x:c>
      <x:c r="B2038" s="8" t="n">
        <x:v>2</x:v>
      </x:c>
      <x:c r="C2038" s="11" t="n">
        <x:v>38.94</x:v>
      </x:c>
      <x:c r="D2038" s="11" t="n">
        <x:v>7.953150773195873</x:v>
      </x:c>
      <x:c r="E2038" s="11" t="n">
        <x:v>-8.8</x:v>
      </x:c>
      <x:c r="F2038" s="11" t="n">
        <x:f>SQRT((C2038-C2037)^2+(D2038-D2037)^2+(E2038-E2037)^2)</x:f>
        <x:v>1.4400000000000004</x:v>
      </x:c>
      <x:c r="G2038" s="8" t="str">
        <x:v>Retired</x:v>
      </x:c>
    </x:row>
    <x:row r="2039" ht="32" customHeight="1">
      <x:c r="A2039" s="8" t="str">
        <x:v>drop:LC1:L8:light:-1:L64</x:v>
      </x:c>
      <x:c r="B2039" s="8" t="n">
        <x:v>3</x:v>
      </x:c>
      <x:c r="C2039" s="11" t="n">
        <x:v>38.94</x:v>
      </x:c>
      <x:c r="D2039" s="11" t="n">
        <x:v>4.4</x:v>
      </x:c>
      <x:c r="E2039" s="11" t="n">
        <x:v>-8.8</x:v>
      </x:c>
      <x:c r="F2039" s="11" t="n">
        <x:f>SQRT((C2039-C2038)^2+(D2039-D2038)^2+(E2039-E2038)^2)</x:f>
        <x:v>3.5531507731958722</x:v>
      </x:c>
      <x:c r="G2039" s="8" t="str">
        <x:v>Retired</x:v>
      </x:c>
    </x:row>
    <x:row r="2040" ht="32" customHeight="1">
      <x:c r="A2040" s="8" t="str">
        <x:v>drop:LC1:L8:light:-1:L66</x:v>
      </x:c>
      <x:c r="B2040" s="8" t="n">
        <x:v>1</x:v>
      </x:c>
      <x:c r="C2040" s="11" t="n">
        <x:v>42.22</x:v>
      </x:c>
      <x:c r="D2040" s="11" t="n">
        <x:v>7.945096649484534</x:v>
      </x:c>
      <x:c r="E2040" s="11" t="n">
        <x:v>-7.36</x:v>
      </x:c>
      <x:c r="F2040" s="11" t="n">
        <x:f>0</x:f>
        <x:v>0</x:v>
      </x:c>
      <x:c r="G2040" s="8" t="str">
        <x:v>Retired</x:v>
      </x:c>
    </x:row>
    <x:row r="2041" ht="32" customHeight="1">
      <x:c r="A2041" s="8" t="str">
        <x:v>drop:LC1:L8:light:-1:L66</x:v>
      </x:c>
      <x:c r="B2041" s="8" t="n">
        <x:v>2</x:v>
      </x:c>
      <x:c r="C2041" s="11" t="n">
        <x:v>42.22</x:v>
      </x:c>
      <x:c r="D2041" s="11" t="n">
        <x:v>7.9450966494845385</x:v>
      </x:c>
      <x:c r="E2041" s="11" t="n">
        <x:v>-8.8</x:v>
      </x:c>
      <x:c r="F2041" s="11" t="n">
        <x:f>SQRT((C2041-C2040)^2+(D2041-D2040)^2+(E2041-E2040)^2)</x:f>
        <x:v>1.4400000000000004</x:v>
      </x:c>
      <x:c r="G2041" s="8" t="str">
        <x:v>Retired</x:v>
      </x:c>
    </x:row>
    <x:row r="2042" ht="32" customHeight="1">
      <x:c r="A2042" s="8" t="str">
        <x:v>drop:LC1:L8:light:-1:L66</x:v>
      </x:c>
      <x:c r="B2042" s="8" t="n">
        <x:v>3</x:v>
      </x:c>
      <x:c r="C2042" s="11" t="n">
        <x:v>42.22</x:v>
      </x:c>
      <x:c r="D2042" s="11" t="n">
        <x:v>4.4</x:v>
      </x:c>
      <x:c r="E2042" s="11" t="n">
        <x:v>-8.8</x:v>
      </x:c>
      <x:c r="F2042" s="11" t="n">
        <x:f>SQRT((C2042-C2041)^2+(D2042-D2041)^2+(E2042-E2041)^2)</x:f>
        <x:v>3.545096649484538</x:v>
      </x:c>
      <x:c r="G2042" s="8" t="str">
        <x:v>Retired</x:v>
      </x:c>
    </x:row>
    <x:row r="2043" ht="32" customHeight="1">
      <x:c r="A2043" s="8" t="str">
        <x:v>drop:LC1:L8:light:1:L68</x:v>
      </x:c>
      <x:c r="B2043" s="8" t="n">
        <x:v>1</x:v>
      </x:c>
      <x:c r="C2043" s="11" t="n">
        <x:v>38.94</x:v>
      </x:c>
      <x:c r="D2043" s="11" t="n">
        <x:v>7.953150773195872</x:v>
      </x:c>
      <x:c r="E2043" s="11" t="n">
        <x:v>7.36</x:v>
      </x:c>
      <x:c r="F2043" s="11" t="n">
        <x:f>0</x:f>
        <x:v>0</x:v>
      </x:c>
      <x:c r="G2043" s="8" t="str">
        <x:v>Retired</x:v>
      </x:c>
    </x:row>
    <x:row r="2044" ht="32" customHeight="1">
      <x:c r="A2044" s="8" t="str">
        <x:v>drop:LC1:L8:light:1:L68</x:v>
      </x:c>
      <x:c r="B2044" s="8" t="n">
        <x:v>2</x:v>
      </x:c>
      <x:c r="C2044" s="11" t="n">
        <x:v>38.94</x:v>
      </x:c>
      <x:c r="D2044" s="11" t="n">
        <x:v>7.953150773195873</x:v>
      </x:c>
      <x:c r="E2044" s="11" t="n">
        <x:v>8.8</x:v>
      </x:c>
      <x:c r="F2044" s="11" t="n">
        <x:f>SQRT((C2044-C2043)^2+(D2044-D2043)^2+(E2044-E2043)^2)</x:f>
        <x:v>1.4400000000000004</x:v>
      </x:c>
      <x:c r="G2044" s="8" t="str">
        <x:v>Retired</x:v>
      </x:c>
    </x:row>
    <x:row r="2045" ht="32" customHeight="1">
      <x:c r="A2045" s="8" t="str">
        <x:v>drop:LC1:L8:light:1:L68</x:v>
      </x:c>
      <x:c r="B2045" s="8" t="n">
        <x:v>3</x:v>
      </x:c>
      <x:c r="C2045" s="11" t="n">
        <x:v>38.94</x:v>
      </x:c>
      <x:c r="D2045" s="11" t="n">
        <x:v>4.4</x:v>
      </x:c>
      <x:c r="E2045" s="11" t="n">
        <x:v>8.8</x:v>
      </x:c>
      <x:c r="F2045" s="11" t="n">
        <x:f>SQRT((C2045-C2044)^2+(D2045-D2044)^2+(E2045-E2044)^2)</x:f>
        <x:v>3.5531507731958722</x:v>
      </x:c>
      <x:c r="G2045" s="8" t="str">
        <x:v>Retired</x:v>
      </x:c>
    </x:row>
    <x:row r="2046" ht="32" customHeight="1">
      <x:c r="A2046" s="8" t="str">
        <x:v>drop:LC1:L8:light:1:L70</x:v>
      </x:c>
      <x:c r="B2046" s="8" t="n">
        <x:v>1</x:v>
      </x:c>
      <x:c r="C2046" s="11" t="n">
        <x:v>42.22</x:v>
      </x:c>
      <x:c r="D2046" s="11" t="n">
        <x:v>7.945096649484534</x:v>
      </x:c>
      <x:c r="E2046" s="11" t="n">
        <x:v>7.36</x:v>
      </x:c>
      <x:c r="F2046" s="11" t="n">
        <x:f>0</x:f>
        <x:v>0</x:v>
      </x:c>
      <x:c r="G2046" s="8" t="str">
        <x:v>Retired</x:v>
      </x:c>
    </x:row>
    <x:row r="2047" ht="32" customHeight="1">
      <x:c r="A2047" s="8" t="str">
        <x:v>drop:LC1:L8:light:1:L70</x:v>
      </x:c>
      <x:c r="B2047" s="8" t="n">
        <x:v>2</x:v>
      </x:c>
      <x:c r="C2047" s="11" t="n">
        <x:v>42.22</x:v>
      </x:c>
      <x:c r="D2047" s="11" t="n">
        <x:v>7.9450966494845385</x:v>
      </x:c>
      <x:c r="E2047" s="11" t="n">
        <x:v>8.8</x:v>
      </x:c>
      <x:c r="F2047" s="11" t="n">
        <x:f>SQRT((C2047-C2046)^2+(D2047-D2046)^2+(E2047-E2046)^2)</x:f>
        <x:v>1.4400000000000004</x:v>
      </x:c>
      <x:c r="G2047" s="8" t="str">
        <x:v>Retired</x:v>
      </x:c>
    </x:row>
    <x:row r="2048" ht="32" customHeight="1">
      <x:c r="A2048" s="8" t="str">
        <x:v>drop:LC1:L8:light:1:L70</x:v>
      </x:c>
      <x:c r="B2048" s="8" t="n">
        <x:v>3</x:v>
      </x:c>
      <x:c r="C2048" s="11" t="n">
        <x:v>42.22</x:v>
      </x:c>
      <x:c r="D2048" s="11" t="n">
        <x:v>4.4</x:v>
      </x:c>
      <x:c r="E2048" s="11" t="n">
        <x:v>8.8</x:v>
      </x:c>
      <x:c r="F2048" s="11" t="n">
        <x:f>SQRT((C2048-C2047)^2+(D2048-D2047)^2+(E2048-E2047)^2)</x:f>
        <x:v>3.545096649484538</x:v>
      </x:c>
      <x:c r="G2048" s="8" t="str">
        <x:v>Retired</x:v>
      </x:c>
    </x:row>
  </x:sheetData>
  <x:conditionalFormatting sqref="G7:G204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57d52f0d57f4e51"/>
  </x:tableParts>
</x:worksheet>
</file>