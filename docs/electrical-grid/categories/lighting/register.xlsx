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23b75e2f664b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900072e04304861"/>
    <x:sheet xmlns:r="http://schemas.openxmlformats.org/officeDocument/2006/relationships" name="Equipment" sheetId="2" r:id="Rc37a871433d74d54"/>
    <x:sheet xmlns:r="http://schemas.openxmlformats.org/officeDocument/2006/relationships" name="Electrical Lines" sheetId="3" r:id="R3245cab3782643f1"/>
    <x:sheet xmlns:r="http://schemas.openxmlformats.org/officeDocument/2006/relationships" name="Route Points" sheetId="4" r:id="R42abaa40500042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c0a44f588344c8" /><Relationship Type="http://schemas.openxmlformats.org/officeDocument/2006/relationships/theme" Target="/xl/theme/theme1.xml" Id="R2ae444d5abba40d7" /><Relationship Type="http://schemas.openxmlformats.org/officeDocument/2006/relationships/sharedStrings" Target="/xl/sharedStrings.xml" Id="R565e2ca95362405e" /><Relationship Type="http://schemas.openxmlformats.org/officeDocument/2006/relationships/worksheet" Target="/xl/worksheets/sheet1.xml" Id="Rc900072e04304861" /><Relationship Type="http://schemas.openxmlformats.org/officeDocument/2006/relationships/worksheet" Target="/xl/worksheets/sheet2.xml" Id="Rc37a871433d74d54" /><Relationship Type="http://schemas.openxmlformats.org/officeDocument/2006/relationships/worksheet" Target="/xl/worksheets/sheet3.xml" Id="R3245cab3782643f1" /><Relationship Type="http://schemas.openxmlformats.org/officeDocument/2006/relationships/worksheet" Target="/xl/worksheets/sheet4.xml" Id="R42abaa40500042cb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ccdf2108c242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0b8125da1d4c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c31f74bce944c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2026-10-24T00:39:01.684Z.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{"finish":"bronze","lumens":2500,"dim":1}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{"finish":"bronze","lumens":2500,"dim":1}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62.84276547079299</x:v>
      </x:c>
      <x:c r="P220" s="11" t="n">
        <x:v>23.064907415506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-62.84276547079299</x:v>
      </x:c>
      <x:c r="P222" s="11" t="n">
        <x:v>23.064907415506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3.95</x:v>
      </x:c>
      <x:c r="G223" s="11" t="n">
        <x:v>19.614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-86.3899092780562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3.95</x:v>
      </x:c>
      <x:c r="G224" s="11" t="n">
        <x:v>17.79</x:v>
      </x:c>
      <x:c r="H224" s="11" t="n">
        <x:v>-0.691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67.23310247717708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3.72</x:v>
      </x:c>
      <x:c r="G225" s="11" t="n">
        <x:v>16.683</x:v>
      </x:c>
      <x:c r="H225" s="11" t="n">
        <x:v>-0.3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3.95</x:v>
      </x:c>
      <x:c r="G226" s="11" t="n">
        <x:v>17.79</x:v>
      </x:c>
      <x:c r="H226" s="11" t="n">
        <x:v>0.691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-67.23310247717708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3.72</x:v>
      </x:c>
      <x:c r="G227" s="11" t="n">
        <x:v>16.683</x:v>
      </x:c>
      <x:c r="H227" s="11" t="n">
        <x:v>0.3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4.05</x:v>
      </x:c>
      <x:c r="G228" s="11" t="n">
        <x:v>12.917</x:v>
      </x:c>
      <x:c r="H228" s="11" t="n">
        <x:v>-5.35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-89.3540772015028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-5.928999999999999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-5.659999999999999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4.05</x:v>
      </x:c>
      <x:c r="G231" s="11" t="n">
        <x:v>11.35</x:v>
      </x:c>
      <x:c r="H231" s="11" t="n">
        <x:v>-4.771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-65.8175315098801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3.9600000000000004</x:v>
      </x:c>
      <x:c r="G232" s="11" t="n">
        <x:v>10.391</x:v>
      </x:c>
      <x:c r="H232" s="11" t="n">
        <x:v>-5.04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4.05</x:v>
      </x:c>
      <x:c r="G233" s="11" t="n">
        <x:v>12.917</x:v>
      </x:c>
      <x:c r="H233" s="11" t="n">
        <x:v>5.35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-89.3540772015028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4.05</x:v>
      </x:c>
      <x:c r="G234" s="11" t="n">
        <x:v>11.35</x:v>
      </x:c>
      <x:c r="H234" s="11" t="n">
        <x:v>4.771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65.8175315098801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3.9600000000000004</x:v>
      </x:c>
      <x:c r="G235" s="11" t="n">
        <x:v>10.391</x:v>
      </x:c>
      <x:c r="H235" s="11" t="n">
        <x:v>5.04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4.05</x:v>
      </x:c>
      <x:c r="G236" s="11" t="n">
        <x:v>11.35</x:v>
      </x:c>
      <x:c r="H236" s="11" t="n">
        <x:v>5.928999999999999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-65.8175315098801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3.9600000000000004</x:v>
      </x:c>
      <x:c r="G237" s="11" t="n">
        <x:v>10.391</x:v>
      </x:c>
      <x:c r="H237" s="11" t="n">
        <x:v>5.659999999999999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cccdf2108c242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Points'!$A$7:$A$2107,A7,'Route Points'!$F$7:$F$2107)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Points'!$A$7:$A$2107,A8,'Route Points'!$F$7:$F$2107)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Points'!$A$7:$A$2107,A9,'Route Points'!$F$7:$F$2107)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Points'!$A$7:$A$2107,A10,'Route Points'!$F$7:$F$2107)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Points'!$A$7:$A$2107,A11,'Route Points'!$F$7:$F$2107)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Points'!$A$7:$A$2107,A12,'Route Points'!$F$7:$F$2107)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Points'!$A$7:$A$2107,A13,'Route Points'!$F$7:$F$2107)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Points'!$A$7:$A$2107,A14,'Route Points'!$F$7:$F$2107)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Points'!$A$7:$A$2107,A15,'Route Points'!$F$7:$F$2107)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Points'!$A$7:$A$2107,A16,'Route Points'!$F$7:$F$2107)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Points'!$A$7:$A$2107,A17,'Route Points'!$F$7:$F$2107)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Points'!$A$7:$A$2107,A18,'Route Points'!$F$7:$F$2107)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Points'!$A$7:$A$2107,A19,'Route Points'!$F$7:$F$2107)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Points'!$A$7:$A$2107,A20,'Route Points'!$F$7:$F$2107)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Points'!$A$7:$A$2107,A21,'Route Points'!$F$7:$F$2107)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Points'!$A$7:$A$2107,A22,'Route Points'!$F$7:$F$2107)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Points'!$A$7:$A$2107,A23,'Route Points'!$F$7:$F$2107)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Points'!$A$7:$A$2107,A24,'Route Points'!$F$7:$F$2107)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Points'!$A$7:$A$2107,A25,'Route Points'!$F$7:$F$2107)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Points'!$A$7:$A$2107,A26,'Route Points'!$F$7:$F$2107)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Points'!$A$7:$A$2107,A27,'Route Points'!$F$7:$F$2107)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Points'!$A$7:$A$2107,A28,'Route Points'!$F$7:$F$2107)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Points'!$A$7:$A$2107,A29,'Route Points'!$F$7:$F$2107)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Points'!$A$7:$A$2107,A30,'Route Points'!$F$7:$F$2107)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Points'!$A$7:$A$2107,A31,'Route Points'!$F$7:$F$2107)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Points'!$A$7:$A$2107,A32,'Route Points'!$F$7:$F$2107)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Points'!$A$7:$A$2107,A33,'Route Points'!$F$7:$F$2107)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Points'!$A$7:$A$2107,A34,'Route Points'!$F$7:$F$2107)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Points'!$A$7:$A$2107,A35,'Route Points'!$F$7:$F$2107)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Points'!$A$7:$A$2107,A36,'Route Points'!$F$7:$F$2107)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Points'!$A$7:$A$2107,A37,'Route Points'!$F$7:$F$2107)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Points'!$A$7:$A$2107,A38,'Route Points'!$F$7:$F$2107)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Points'!$A$7:$A$2107,A39,'Route Points'!$F$7:$F$2107)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Points'!$A$7:$A$2107,A40,'Route Points'!$F$7:$F$2107)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Points'!$A$7:$A$2107,A41,'Route Points'!$F$7:$F$2107)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Points'!$A$7:$A$2107,A42,'Route Points'!$F$7:$F$2107)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Points'!$A$7:$A$2107,A43,'Route Points'!$F$7:$F$2107)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Points'!$A$7:$A$2107,A44,'Route Points'!$F$7:$F$2107)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Points'!$A$7:$A$2107,A45,'Route Points'!$F$7:$F$2107)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Points'!$A$7:$A$2107,A46,'Route Points'!$F$7:$F$2107)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Points'!$A$7:$A$2107,A47,'Route Points'!$F$7:$F$2107)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Points'!$A$7:$A$2107,A48,'Route Points'!$F$7:$F$2107)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Points'!$A$7:$A$2107,A49,'Route Points'!$F$7:$F$2107)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Points'!$A$7:$A$2107,A50,'Route Points'!$F$7:$F$2107)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Points'!$A$7:$A$2107,A51,'Route Points'!$F$7:$F$2107)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Points'!$A$7:$A$2107,A52,'Route Points'!$F$7:$F$2107)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Points'!$A$7:$A$2107,A53,'Route Points'!$F$7:$F$2107)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Points'!$A$7:$A$2107,A54,'Route Points'!$F$7:$F$2107)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Points'!$A$7:$A$2107,A55,'Route Points'!$F$7:$F$2107)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Points'!$A$7:$A$2107,A56,'Route Points'!$F$7:$F$2107)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Points'!$A$7:$A$2107,A57,'Route Points'!$F$7:$F$2107)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Points'!$A$7:$A$2107,A58,'Route Points'!$F$7:$F$2107)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Points'!$A$7:$A$2107,A59,'Route Points'!$F$7:$F$2107)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Points'!$A$7:$A$2107,A60,'Route Points'!$F$7:$F$2107)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Points'!$A$7:$A$2107,A61,'Route Points'!$F$7:$F$2107)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Points'!$A$7:$A$2107,A62,'Route Points'!$F$7:$F$2107)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Points'!$A$7:$A$2107,A63,'Route Points'!$F$7:$F$2107)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Points'!$A$7:$A$2107,A64,'Route Points'!$F$7:$F$2107)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Points'!$A$7:$A$2107,A65,'Route Points'!$F$7:$F$2107)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Points'!$A$7:$A$2107,A66,'Route Points'!$F$7:$F$2107)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Points'!$A$7:$A$2107,A67,'Route Points'!$F$7:$F$2107)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Points'!$A$7:$A$2107,A68,'Route Points'!$F$7:$F$2107)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Points'!$A$7:$A$2107,A69,'Route Points'!$F$7:$F$2107)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Points'!$A$7:$A$2107,A70,'Route Points'!$F$7:$F$2107)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Points'!$A$7:$A$2107,A71,'Route Points'!$F$7:$F$2107)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Points'!$A$7:$A$2107,A72,'Route Points'!$F$7:$F$2107)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Points'!$A$7:$A$2107,A73,'Route Points'!$F$7:$F$2107)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Points'!$A$7:$A$2107,A74,'Route Points'!$F$7:$F$2107)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Points'!$A$7:$A$2107,A75,'Route Points'!$F$7:$F$2107)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Points'!$A$7:$A$2107,A76,'Route Points'!$F$7:$F$2107)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Points'!$A$7:$A$2107,A77,'Route Points'!$F$7:$F$2107)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Points'!$A$7:$A$2107,A78,'Route Points'!$F$7:$F$2107)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Points'!$A$7:$A$2107,A79,'Route Points'!$F$7:$F$2107)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Points'!$A$7:$A$2107,A80,'Route Points'!$F$7:$F$2107)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Points'!$A$7:$A$2107,A81,'Route Points'!$F$7:$F$2107)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Points'!$A$7:$A$2107,A82,'Route Points'!$F$7:$F$2107)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Points'!$A$7:$A$2107,A83,'Route Points'!$F$7:$F$2107)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Points'!$A$7:$A$2107,A84,'Route Points'!$F$7:$F$2107)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Points'!$A$7:$A$2107,A85,'Route Points'!$F$7:$F$2107)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Points'!$A$7:$A$2107,A86,'Route Points'!$F$7:$F$2107)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Points'!$A$7:$A$2107,A87,'Route Points'!$F$7:$F$2107)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Points'!$A$7:$A$2107,A88,'Route Points'!$F$7:$F$2107)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Points'!$A$7:$A$2107,A89,'Route Points'!$F$7:$F$2107)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Points'!$A$7:$A$2107,A90,'Route Points'!$F$7:$F$2107)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Points'!$A$7:$A$2107,A91,'Route Points'!$F$7:$F$2107)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Points'!$A$7:$A$2107,A92,'Route Points'!$F$7:$F$2107)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Points'!$A$7:$A$2107,A93,'Route Points'!$F$7:$F$2107)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Points'!$A$7:$A$2107,A94,'Route Points'!$F$7:$F$2107)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Points'!$A$7:$A$2107,A95,'Route Points'!$F$7:$F$2107)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Points'!$A$7:$A$2107,A96,'Route Points'!$F$7:$F$2107)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Points'!$A$7:$A$2107,A97,'Route Points'!$F$7:$F$2107)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Points'!$A$7:$A$2107,A98,'Route Points'!$F$7:$F$2107)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Points'!$A$7:$A$2107,A99,'Route Points'!$F$7:$F$2107)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Points'!$A$7:$A$2107,A100,'Route Points'!$F$7:$F$2107)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Points'!$A$7:$A$2107,A101,'Route Points'!$F$7:$F$2107)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Points'!$A$7:$A$2107,A102,'Route Points'!$F$7:$F$2107)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Points'!$A$7:$A$2107,A103,'Route Points'!$F$7:$F$2107)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Points'!$A$7:$A$2107,A104,'Route Points'!$F$7:$F$2107)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Points'!$A$7:$A$2107,A105,'Route Points'!$F$7:$F$2107)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Points'!$A$7:$A$2107,A106,'Route Points'!$F$7:$F$2107)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Points'!$A$7:$A$2107,A107,'Route Points'!$F$7:$F$2107)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Points'!$A$7:$A$2107,A108,'Route Points'!$F$7:$F$2107)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Points'!$A$7:$A$2107,A109,'Route Points'!$F$7:$F$2107)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Points'!$A$7:$A$2107,A110,'Route Points'!$F$7:$F$2107)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Points'!$A$7:$A$2107,A111,'Route Points'!$F$7:$F$2107)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Points'!$A$7:$A$2107,A112,'Route Points'!$F$7:$F$2107)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Points'!$A$7:$A$2107,A113,'Route Points'!$F$7:$F$2107)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Points'!$A$7:$A$2107,A114,'Route Points'!$F$7:$F$2107)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Points'!$A$7:$A$2107,A115,'Route Points'!$F$7:$F$2107)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Points'!$A$7:$A$2107,A116,'Route Points'!$F$7:$F$2107)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Points'!$A$7:$A$2107,A117,'Route Points'!$F$7:$F$2107)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Points'!$A$7:$A$2107,A118,'Route Points'!$F$7:$F$2107)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Points'!$A$7:$A$2107,A119,'Route Points'!$F$7:$F$2107)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Points'!$A$7:$A$2107,A120,'Route Points'!$F$7:$F$2107)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Points'!$A$7:$A$2107,A121,'Route Points'!$F$7:$F$2107)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Points'!$A$7:$A$2107,A122,'Route Points'!$F$7:$F$2107)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Points'!$A$7:$A$2107,A123,'Route Points'!$F$7:$F$2107)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Points'!$A$7:$A$2107,A124,'Route Points'!$F$7:$F$2107)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Points'!$A$7:$A$2107,A125,'Route Points'!$F$7:$F$2107)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Points'!$A$7:$A$2107,A126,'Route Points'!$F$7:$F$2107)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Points'!$A$7:$A$2107,A127,'Route Points'!$F$7:$F$2107)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Points'!$A$7:$A$2107,A128,'Route Points'!$F$7:$F$2107)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Points'!$A$7:$A$2107,A129,'Route Points'!$F$7:$F$2107)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Points'!$A$7:$A$2107,A130,'Route Points'!$F$7:$F$2107)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Points'!$A$7:$A$2107,A131,'Route Points'!$F$7:$F$2107)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Points'!$A$7:$A$2107,A132,'Route Points'!$F$7:$F$2107)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Points'!$A$7:$A$2107,A133,'Route Points'!$F$7:$F$2107)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Points'!$A$7:$A$2107,A134,'Route Points'!$F$7:$F$2107)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Points'!$A$7:$A$2107,A135,'Route Points'!$F$7:$F$2107)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Points'!$A$7:$A$2107,A136,'Route Points'!$F$7:$F$2107)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Points'!$A$7:$A$2107,A137,'Route Points'!$F$7:$F$2107)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Points'!$A$7:$A$2107,A138,'Route Points'!$F$7:$F$2107)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Points'!$A$7:$A$2107,A139,'Route Points'!$F$7:$F$2107)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Points'!$A$7:$A$2107,A140,'Route Points'!$F$7:$F$2107)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Points'!$A$7:$A$2107,A141,'Route Points'!$F$7:$F$2107)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Points'!$A$7:$A$2107,A142,'Route Points'!$F$7:$F$2107)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Points'!$A$7:$A$2107,A143,'Route Points'!$F$7:$F$2107)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Points'!$A$7:$A$2107,A144,'Route Points'!$F$7:$F$2107)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Points'!$A$7:$A$2107,A145,'Route Points'!$F$7:$F$2107)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Points'!$A$7:$A$2107,A146,'Route Points'!$F$7:$F$2107)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Points'!$A$7:$A$2107,A147,'Route Points'!$F$7:$F$2107)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Points'!$A$7:$A$2107,A148,'Route Points'!$F$7:$F$2107)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Points'!$A$7:$A$2107,A149,'Route Points'!$F$7:$F$2107)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Points'!$A$7:$A$2107,A150,'Route Points'!$F$7:$F$2107)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Points'!$A$7:$A$2107,A151,'Route Points'!$F$7:$F$2107)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Points'!$A$7:$A$2107,A152,'Route Points'!$F$7:$F$2107)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Points'!$A$7:$A$2107,A153,'Route Points'!$F$7:$F$2107)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Points'!$A$7:$A$2107,A154,'Route Points'!$F$7:$F$2107)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Points'!$A$7:$A$2107,A155,'Route Points'!$F$7:$F$2107)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Points'!$A$7:$A$2107,A156,'Route Points'!$F$7:$F$2107)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Points'!$A$7:$A$2107,A157,'Route Points'!$F$7:$F$2107)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Points'!$A$7:$A$2107,A158,'Route Points'!$F$7:$F$2107)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Points'!$A$7:$A$2107,A159,'Route Points'!$F$7:$F$2107)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Points'!$A$7:$A$2107,A160,'Route Points'!$F$7:$F$2107)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Points'!$A$7:$A$2107,A161,'Route Points'!$F$7:$F$2107)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Points'!$A$7:$A$2107,A162,'Route Points'!$F$7:$F$2107)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Points'!$A$7:$A$2107,A163,'Route Points'!$F$7:$F$2107)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Points'!$A$7:$A$2107,A164,'Route Points'!$F$7:$F$2107)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Points'!$A$7:$A$2107,A165,'Route Points'!$F$7:$F$2107)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Points'!$A$7:$A$2107,A166,'Route Points'!$F$7:$F$2107)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Points'!$A$7:$A$2107,A167,'Route Points'!$F$7:$F$2107)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Points'!$A$7:$A$2107,A168,'Route Points'!$F$7:$F$2107)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Points'!$A$7:$A$2107,A169,'Route Points'!$F$7:$F$2107)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Points'!$A$7:$A$2107,A170,'Route Points'!$F$7:$F$2107)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Points'!$A$7:$A$2107,A171,'Route Points'!$F$7:$F$2107)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Points'!$A$7:$A$2107,A172,'Route Points'!$F$7:$F$2107)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Points'!$A$7:$A$2107,A173,'Route Points'!$F$7:$F$2107)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Points'!$A$7:$A$2107,A174,'Route Points'!$F$7:$F$2107)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Points'!$A$7:$A$2107,A175,'Route Points'!$F$7:$F$2107)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Points'!$A$7:$A$2107,A176,'Route Points'!$F$7:$F$2107)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Points'!$A$7:$A$2107,A177,'Route Points'!$F$7:$F$2107)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Points'!$A$7:$A$2107,A178,'Route Points'!$F$7:$F$2107)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Points'!$A$7:$A$2107,A179,'Route Points'!$F$7:$F$2107)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Points'!$A$7:$A$2107,A180,'Route Points'!$F$7:$F$2107)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Points'!$A$7:$A$2107,A181,'Route Points'!$F$7:$F$2107)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Points'!$A$7:$A$2107,A182,'Route Points'!$F$7:$F$2107)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Points'!$A$7:$A$2107,A183,'Route Points'!$F$7:$F$2107)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Points'!$A$7:$A$2107,A184,'Route Points'!$F$7:$F$2107)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Points'!$A$7:$A$2107,A185,'Route Points'!$F$7:$F$2107)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Points'!$A$7:$A$2107,A186,'Route Points'!$F$7:$F$2107)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Points'!$A$7:$A$2107,A187,'Route Points'!$F$7:$F$2107)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Points'!$A$7:$A$2107,A188,'Route Points'!$F$7:$F$2107)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Points'!$A$7:$A$2107,A189,'Route Points'!$F$7:$F$2107)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Points'!$A$7:$A$2107,A190,'Route Points'!$F$7:$F$2107)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Points'!$A$7:$A$2107,A191,'Route Points'!$F$7:$F$2107)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Points'!$A$7:$A$2107,A192,'Route Points'!$F$7:$F$2107)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Points'!$A$7:$A$2107,A193,'Route Points'!$F$7:$F$2107)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Points'!$A$7:$A$2107,A194,'Route Points'!$F$7:$F$2107)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Points'!$A$7:$A$2107,A195,'Route Points'!$F$7:$F$2107)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Points'!$A$7:$A$2107,A196,'Route Points'!$F$7:$F$2107)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Points'!$A$7:$A$2107,A197,'Route Points'!$F$7:$F$2107)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Points'!$A$7:$A$2107,A198,'Route Points'!$F$7:$F$2107)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Points'!$A$7:$A$2107,A199,'Route Points'!$F$7:$F$2107)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Points'!$A$7:$A$2107,A200,'Route Points'!$F$7:$F$2107)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Points'!$A$7:$A$2107,A201,'Route Points'!$F$7:$F$2107)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Points'!$A$7:$A$2107,A202,'Route Points'!$F$7:$F$2107)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Points'!$A$7:$A$2107,A203,'Route Points'!$F$7:$F$2107)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Points'!$A$7:$A$2107,A204,'Route Points'!$F$7:$F$2107)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Points'!$A$7:$A$2107,A205,'Route Points'!$F$7:$F$2107)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Points'!$A$7:$A$2107,A206,'Route Points'!$F$7:$F$2107)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Points'!$A$7:$A$2107,A207,'Route Points'!$F$7:$F$2107)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Points'!$A$7:$A$2107,A208,'Route Points'!$F$7:$F$2107)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Points'!$A$7:$A$2107,A209,'Route Points'!$F$7:$F$2107)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Points'!$A$7:$A$2107,A210,'Route Points'!$F$7:$F$2107)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Points'!$A$7:$A$2107,A211,'Route Points'!$F$7:$F$2107)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Points'!$A$7:$A$2107,A212,'Route Points'!$F$7:$F$2107)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Points'!$A$7:$A$2107,A213,'Route Points'!$F$7:$F$2107)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Points'!$A$7:$A$2107,A214,'Route Points'!$F$7:$F$2107)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Points'!$A$7:$A$2107,A215,'Route Points'!$F$7:$F$2107)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Points'!$A$7:$A$2107,A216,'Route Points'!$F$7:$F$2107)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Points'!$A$7:$A$2107,A217,'Route Points'!$F$7:$F$2107)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Points'!$A$7:$A$2107,A218,'Route Points'!$F$7:$F$2107)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Points'!$A$7:$A$2107,A219,'Route Points'!$F$7:$F$2107)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Points'!$A$7:$A$2107,A220,'Route Points'!$F$7:$F$2107)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Points'!$A$7:$A$2107,A221,'Route Points'!$F$7:$F$2107)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Points'!$A$7:$A$2107,A222,'Route Points'!$F$7:$F$2107)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Points'!$A$7:$A$2107,A223,'Route Points'!$F$7:$F$2107)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Points'!$A$7:$A$2107,A224,'Route Points'!$F$7:$F$2107)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Points'!$A$7:$A$2107,A225,'Route Points'!$F$7:$F$2107)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Points'!$A$7:$A$2107,A226,'Route Points'!$F$7:$F$2107)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Points'!$A$7:$A$2107,A227,'Route Points'!$F$7:$F$2107)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Points'!$A$7:$A$2107,A228,'Route Points'!$F$7:$F$2107)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Points'!$A$7:$A$2107,A229,'Route Points'!$F$7:$F$2107)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Points'!$A$7:$A$2107,A230,'Route Points'!$F$7:$F$2107)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Points'!$A$7:$A$2107,A231,'Route Points'!$F$7:$F$2107)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Points'!$A$7:$A$2107,A232,'Route Points'!$F$7:$F$2107)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Points'!$A$7:$A$2107,A233,'Route Points'!$F$7:$F$2107)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Points'!$A$7:$A$2107,A234,'Route Points'!$F$7:$F$2107)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Points'!$A$7:$A$2107,A235,'Route Points'!$F$7:$F$2107)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Points'!$A$7:$A$2107,A236,'Route Points'!$F$7:$F$2107)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Points'!$A$7:$A$2107,A237,'Route Points'!$F$7:$F$2107)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Points'!$A$7:$A$2107,A238,'Route Points'!$F$7:$F$2107)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Points'!$A$7:$A$2107,A239,'Route Points'!$F$7:$F$2107)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Points'!$A$7:$A$2107,A240,'Route Points'!$F$7:$F$2107)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Points'!$A$7:$A$2107,A241,'Route Points'!$F$7:$F$2107)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Points'!$A$7:$A$2107,A242,'Route Points'!$F$7:$F$2107)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Points'!$A$7:$A$2107,A243,'Route Points'!$F$7:$F$2107)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Points'!$A$7:$A$2107,A244,'Route Points'!$F$7:$F$2107)</x:f>
        <x:v>13.799999999999999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Points'!$A$7:$A$2107,A245,'Route Points'!$F$7:$F$2107)</x:f>
        <x:v>23.124022727155335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Points'!$A$7:$A$2107,A246,'Route Points'!$F$7:$F$2107)</x:f>
        <x:v>20.609022727155335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Points'!$A$7:$A$2107,A247,'Route Points'!$F$7:$F$2107)</x:f>
        <x:v>19.50187223729198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Points'!$A$7:$A$2107,A248,'Route Points'!$F$7:$F$2107)</x:f>
        <x:v>11.250785390048936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Points'!$A$7:$A$2107,A249,'Route Points'!$F$7:$F$2107)</x:f>
        <x:v>9.104785390048937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Points'!$A$7:$A$2107,A250,'Route Points'!$F$7:$F$2107)</x:f>
        <x:v>8.258306050369999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Points'!$A$7:$A$2107,A251,'Route Points'!$F$7:$F$2107)</x:f>
        <x:v>10.262785390048936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Points'!$A$7:$A$2107,A252,'Route Points'!$F$7:$F$2107)</x:f>
        <x:v>8.87830605037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Points'!$A$7:$A$2107,A253,'Route Points'!$F$7:$F$2107)</x:f>
        <x:v>20.400000000000002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Points'!$A$7:$A$2107,A254,'Route Points'!$F$7:$F$2107)</x:f>
        <x:v>20.609022727155335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Points'!$A$7:$A$2107,A255,'Route Points'!$F$7:$F$2107)</x:f>
        <x:v>19.50187223729198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Points'!$A$7:$A$2107,A256,'Route Points'!$F$7:$F$2107)</x:f>
        <x:v>11.250785390048936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Points'!$A$7:$A$2107,A257,'Route Points'!$F$7:$F$2107)</x:f>
        <x:v>10.262785390048936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Points'!$A$7:$A$2107,A258,'Route Points'!$F$7:$F$2107)</x:f>
        <x:v>8.87830605037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Points'!$A$7:$A$2107,A259,'Route Points'!$F$7:$F$2107)</x:f>
        <x:v>9.104785390048937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Points'!$A$7:$A$2107,A260,'Route Points'!$F$7:$F$2107)</x:f>
        <x:v>8.258306050369999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Points'!$A$7:$A$2107,A261,'Route Points'!$F$7:$F$2107)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Points'!$A$7:$A$2107,A262,'Route Points'!$F$7:$F$2107)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Points'!$A$7:$A$2107,A263,'Route Points'!$F$7:$F$2107)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Points'!$A$7:$A$2107,A264,'Route Points'!$F$7:$F$2107)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0b8125da1d4c2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trunk:DB2:L10:light:-1</x:v>
      </x:c>
      <x:c r="B2014" s="8" t="n">
        <x:v>6</x:v>
      </x:c>
      <x:c r="C2014" s="11" t="n">
        <x:v>4.05</x:v>
      </x:c>
      <x:c r="D2014" s="11" t="n">
        <x:v>6.140000000000001</x:v>
      </x:c>
      <x:c r="E2014" s="11" t="n">
        <x:v>-7.36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1</x:v>
      </x:c>
      <x:c r="C2015" s="11" t="n">
        <x:v>3.95</x:v>
      </x:c>
      <x:c r="D2015" s="11" t="n">
        <x:v>6.140000000000001</x:v>
      </x:c>
      <x:c r="E2015" s="11" t="n">
        <x:v>-7.36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-7.36</x:v>
      </x:c>
      <x:c r="F2016" s="11" t="n">
        <x:f>SQRT((C2016-C2015)^2+(D2016-D2015)^2+(E2016-E2015)^2)</x:f>
        <x:v>2.2000227271553356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0</x:v>
      </x:c>
      <x:c r="F2017" s="11" t="n">
        <x:f>SQRT((C2017-C2016)^2+(D2017-D2016)^2+(E2017-E2016)^2)</x:f>
        <x:v>7.36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4</x:v>
      </x:c>
      <x:c r="C2018" s="11" t="n">
        <x:v>2.35</x:v>
      </x:c>
      <x:c r="D2018" s="11" t="n">
        <x:v>19.614</x:v>
      </x:c>
      <x:c r="E2018" s="11" t="n">
        <x:v>0</x:v>
      </x:c>
      <x:c r="F2018" s="11" t="n">
        <x:f>SQRT((C2018-C2017)^2+(D2018-D2017)^2+(E2018-E2017)^2)</x:f>
        <x:v>11.964</x:v>
      </x:c>
      <x:c r="G2018" s="8" t="str">
        <x:v>Current</x:v>
      </x:c>
    </x:row>
    <x:row r="2019" ht="32" customHeight="1">
      <x:c r="A2019" s="8" t="str">
        <x:v>drop:DB2:L10:light:-1:L-STATUE-C-ARCH</x:v>
      </x:c>
      <x:c r="B2019" s="8" t="n">
        <x:v>5</x:v>
      </x:c>
      <x:c r="C2019" s="11" t="n">
        <x:v>3.95</x:v>
      </x:c>
      <x:c r="D2019" s="11" t="n">
        <x:v>19.614</x:v>
      </x:c>
      <x:c r="E2019" s="11" t="n">
        <x:v>0</x:v>
      </x:c>
      <x:c r="F2019" s="11" t="n">
        <x:f>SQRT((C2019-C2018)^2+(D2019-D2018)^2+(E2019-E2018)^2)</x:f>
        <x:v>1.6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1</x:v>
      </x:c>
      <x:c r="C2020" s="11" t="n">
        <x:v>3.95</x:v>
      </x:c>
      <x:c r="D2020" s="11" t="n">
        <x:v>6.140000000000001</x:v>
      </x:c>
      <x:c r="E2020" s="11" t="n">
        <x:v>-7.36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-7.36</x:v>
      </x:c>
      <x:c r="F2021" s="11" t="n">
        <x:f>SQRT((C2021-C2020)^2+(D2021-D2020)^2+(E2021-E2020)^2)</x:f>
        <x:v>2.2000227271553356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-0.691</x:v>
      </x:c>
      <x:c r="F2022" s="11" t="n">
        <x:f>SQRT((C2022-C2021)^2+(D2022-D2021)^2+(E2022-E2021)^2)</x:f>
        <x:v>6.6690000000000005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4</x:v>
      </x:c>
      <x:c r="C2023" s="11" t="n">
        <x:v>2.35</x:v>
      </x:c>
      <x:c r="D2023" s="11" t="n">
        <x:v>17.79</x:v>
      </x:c>
      <x:c r="E2023" s="11" t="n">
        <x:v>-0.691</x:v>
      </x:c>
      <x:c r="F2023" s="11" t="n">
        <x:f>SQRT((C2023-C2022)^2+(D2023-D2022)^2+(E2023-E2022)^2)</x:f>
        <x:v>10.139999999999999</x:v>
      </x:c>
      <x:c r="G2023" s="8" t="str">
        <x:v>Current</x:v>
      </x:c>
    </x:row>
    <x:row r="2024" ht="32" customHeight="1">
      <x:c r="A2024" s="8" t="str">
        <x:v>drop:DB2:L10:light:-1:L-STATUE-C-JAMB-1</x:v>
      </x:c>
      <x:c r="B2024" s="8" t="n">
        <x:v>5</x:v>
      </x:c>
      <x:c r="C2024" s="11" t="n">
        <x:v>3.95</x:v>
      </x:c>
      <x:c r="D2024" s="11" t="n">
        <x:v>17.79</x:v>
      </x:c>
      <x:c r="E2024" s="11" t="n">
        <x:v>-0.691</x:v>
      </x:c>
      <x:c r="F2024" s="11" t="n">
        <x:f>SQRT((C2024-C2023)^2+(D2024-D2023)^2+(E2024-E2023)^2)</x:f>
        <x:v>1.6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1</x:v>
      </x:c>
      <x:c r="C2025" s="11" t="n">
        <x:v>3.72</x:v>
      </x:c>
      <x:c r="D2025" s="11" t="n">
        <x:v>6.140000000000001</x:v>
      </x:c>
      <x:c r="E2025" s="11" t="n">
        <x:v>-7.36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-7.36</x:v>
      </x:c>
      <x:c r="F2026" s="11" t="n">
        <x:f>SQRT((C2026-C2025)^2+(D2026-D2025)^2+(E2026-E2025)^2)</x:f>
        <x:v>2.038872237291979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-0.3</x:v>
      </x:c>
      <x:c r="F2027" s="11" t="n">
        <x:f>SQRT((C2027-C2026)^2+(D2027-D2026)^2+(E2027-E2026)^2)</x:f>
        <x:v>7.0600000000000005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4</x:v>
      </x:c>
      <x:c r="C2028" s="11" t="n">
        <x:v>2.35</x:v>
      </x:c>
      <x:c r="D2028" s="11" t="n">
        <x:v>16.683</x:v>
      </x:c>
      <x:c r="E2028" s="11" t="n">
        <x:v>-0.3</x:v>
      </x:c>
      <x:c r="F2028" s="11" t="n">
        <x:f>SQRT((C2028-C2027)^2+(D2028-D2027)^2+(E2028-E2027)^2)</x:f>
        <x:v>9.033</x:v>
      </x:c>
      <x:c r="G2028" s="8" t="str">
        <x:v>Current</x:v>
      </x:c>
    </x:row>
    <x:row r="2029" ht="32" customHeight="1">
      <x:c r="A2029" s="8" t="str">
        <x:v>drop:DB2:L10:light:-1:L-STATUE-C-CANDLE-1</x:v>
      </x:c>
      <x:c r="B2029" s="8" t="n">
        <x:v>5</x:v>
      </x:c>
      <x:c r="C2029" s="11" t="n">
        <x:v>3.72</x:v>
      </x:c>
      <x:c r="D2029" s="11" t="n">
        <x:v>16.683</x:v>
      </x:c>
      <x:c r="E2029" s="11" t="n">
        <x:v>-0.3</x:v>
      </x:c>
      <x:c r="F2029" s="11" t="n">
        <x:f>SQRT((C2029-C2028)^2+(D2029-D2028)^2+(E2029-E2028)^2)</x:f>
        <x:v>1.37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1</x:v>
      </x:c>
      <x:c r="C2030" s="11" t="n">
        <x:v>4.05</x:v>
      </x:c>
      <x:c r="D2030" s="11" t="n">
        <x:v>6.140000000000001</x:v>
      </x:c>
      <x:c r="E2030" s="11" t="n">
        <x:v>-7.36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-7.36</x:v>
      </x:c>
      <x:c r="F2031" s="11" t="n">
        <x:f>SQRT((C2031-C2030)^2+(D2031-D2030)^2+(E2031-E2030)^2)</x:f>
        <x:v>2.2737853900489373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-5.35</x:v>
      </x:c>
      <x:c r="F2032" s="11" t="n">
        <x:f>SQRT((C2032-C2031)^2+(D2032-D2031)^2+(E2032-E2031)^2)</x:f>
        <x:v>2.0100000000000007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4</x:v>
      </x:c>
      <x:c r="C2033" s="11" t="n">
        <x:v>2.35</x:v>
      </x:c>
      <x:c r="D2033" s="11" t="n">
        <x:v>12.917</x:v>
      </x:c>
      <x:c r="E2033" s="11" t="n">
        <x:v>-5.35</x:v>
      </x:c>
      <x:c r="F2033" s="11" t="n">
        <x:f>SQRT((C2033-C2032)^2+(D2033-D2032)^2+(E2033-E2032)^2)</x:f>
        <x:v>5.2669999999999995</x:v>
      </x:c>
      <x:c r="G2033" s="8" t="str">
        <x:v>Current</x:v>
      </x:c>
    </x:row>
    <x:row r="2034" ht="32" customHeight="1">
      <x:c r="A2034" s="8" t="str">
        <x:v>drop:DB2:L10:light:-1:L-STATUE-B-ARCH</x:v>
      </x:c>
      <x:c r="B2034" s="8" t="n">
        <x:v>5</x:v>
      </x:c>
      <x:c r="C2034" s="11" t="n">
        <x:v>4.05</x:v>
      </x:c>
      <x:c r="D2034" s="11" t="n">
        <x:v>12.917</x:v>
      </x:c>
      <x:c r="E2034" s="11" t="n">
        <x:v>-5.35</x:v>
      </x:c>
      <x:c r="F2034" s="11" t="n">
        <x:f>SQRT((C2034-C2033)^2+(D2034-D2033)^2+(E2034-E2033)^2)</x:f>
        <x:v>1.6999999999999997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1</x:v>
      </x:c>
      <x:c r="C2035" s="11" t="n">
        <x:v>4.05</x:v>
      </x:c>
      <x:c r="D2035" s="11" t="n">
        <x:v>6.140000000000001</x:v>
      </x:c>
      <x:c r="E2035" s="11" t="n">
        <x:v>-7.36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2</x:v>
      </x:c>
      <x:c r="C2036" s="11" t="n">
        <x:v>2.35</x:v>
      </x:c>
      <x:c r="D2036" s="11" t="n">
        <x:v>7.65</x:v>
      </x:c>
      <x:c r="E2036" s="11" t="n">
        <x:v>-7.36</x:v>
      </x:c>
      <x:c r="F2036" s="11" t="n">
        <x:f>SQRT((C2036-C2035)^2+(D2036-D2035)^2+(E2036-E2035)^2)</x:f>
        <x:v>2.2737853900489373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3</x:v>
      </x:c>
      <x:c r="C2037" s="11" t="n">
        <x:v>2.35</x:v>
      </x:c>
      <x:c r="D2037" s="11" t="n">
        <x:v>7.65</x:v>
      </x:c>
      <x:c r="E2037" s="11" t="n">
        <x:v>-5.928999999999999</x:v>
      </x:c>
      <x:c r="F2037" s="11" t="n">
        <x:f>SQRT((C2037-C2036)^2+(D2037-D2036)^2+(E2037-E2036)^2)</x:f>
        <x:v>1.431000000000001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4</x:v>
      </x:c>
      <x:c r="C2038" s="11" t="n">
        <x:v>2.35</x:v>
      </x:c>
      <x:c r="D2038" s="11" t="n">
        <x:v>11.35</x:v>
      </x:c>
      <x:c r="E2038" s="11" t="n">
        <x:v>-5.928999999999999</x:v>
      </x:c>
      <x:c r="F2038" s="11" t="n">
        <x:f>SQRT((C2038-C2037)^2+(D2038-D2037)^2+(E2038-E2037)^2)</x:f>
        <x:v>3.6999999999999993</x:v>
      </x:c>
      <x:c r="G2038" s="8" t="str">
        <x:v>Current</x:v>
      </x:c>
    </x:row>
    <x:row r="2039" ht="32" customHeight="1">
      <x:c r="A2039" s="8" t="str">
        <x:v>drop:DB2:L10:light:-1:L-STATUE-B-JAMB-1</x:v>
      </x:c>
      <x:c r="B2039" s="8" t="n">
        <x:v>5</x:v>
      </x:c>
      <x:c r="C2039" s="11" t="n">
        <x:v>4.05</x:v>
      </x:c>
      <x:c r="D2039" s="11" t="n">
        <x:v>11.35</x:v>
      </x:c>
      <x:c r="E2039" s="11" t="n">
        <x:v>-5.928999999999999</x:v>
      </x:c>
      <x:c r="F2039" s="11" t="n">
        <x:f>SQRT((C2039-C2038)^2+(D2039-D2038)^2+(E2039-E2038)^2)</x:f>
        <x:v>1.6999999999999997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1</x:v>
      </x:c>
      <x:c r="C2040" s="11" t="n">
        <x:v>3.960000000000001</x:v>
      </x:c>
      <x:c r="D2040" s="11" t="n">
        <x:v>6.140000000000001</x:v>
      </x:c>
      <x:c r="E2040" s="11" t="n">
        <x:v>-7.36</x:v>
      </x:c>
      <x:c r="F2040" s="11" t="n">
        <x:f>0</x:f>
        <x:v>0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2</x:v>
      </x:c>
      <x:c r="C2041" s="11" t="n">
        <x:v>2.35</x:v>
      </x:c>
      <x:c r="D2041" s="11" t="n">
        <x:v>7.65</x:v>
      </x:c>
      <x:c r="E2041" s="11" t="n">
        <x:v>-7.36</x:v>
      </x:c>
      <x:c r="F2041" s="11" t="n">
        <x:f>SQRT((C2041-C2040)^2+(D2041-D2040)^2+(E2041-E2040)^2)</x:f>
        <x:v>2.2073060503699984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3</x:v>
      </x:c>
      <x:c r="C2042" s="11" t="n">
        <x:v>2.35</x:v>
      </x:c>
      <x:c r="D2042" s="11" t="n">
        <x:v>7.65</x:v>
      </x:c>
      <x:c r="E2042" s="11" t="n">
        <x:v>-5.659999999999999</x:v>
      </x:c>
      <x:c r="F2042" s="11" t="n">
        <x:f>SQRT((C2042-C2041)^2+(D2042-D2041)^2+(E2042-E2041)^2)</x:f>
        <x:v>1.700000000000001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4</x:v>
      </x:c>
      <x:c r="C2043" s="11" t="n">
        <x:v>2.35</x:v>
      </x:c>
      <x:c r="D2043" s="11" t="n">
        <x:v>10.391</x:v>
      </x:c>
      <x:c r="E2043" s="11" t="n">
        <x:v>-5.659999999999999</x:v>
      </x:c>
      <x:c r="F2043" s="11" t="n">
        <x:f>SQRT((C2043-C2042)^2+(D2043-D2042)^2+(E2043-E2042)^2)</x:f>
        <x:v>2.7409999999999997</x:v>
      </x:c>
      <x:c r="G2043" s="8" t="str">
        <x:v>Current</x:v>
      </x:c>
    </x:row>
    <x:row r="2044" ht="32" customHeight="1">
      <x:c r="A2044" s="8" t="str">
        <x:v>drop:DB2:L10:light:-1:L-STATUE-B-CANDLE-1</x:v>
      </x:c>
      <x:c r="B2044" s="8" t="n">
        <x:v>5</x:v>
      </x:c>
      <x:c r="C2044" s="11" t="n">
        <x:v>3.9600000000000004</x:v>
      </x:c>
      <x:c r="D2044" s="11" t="n">
        <x:v>10.391</x:v>
      </x:c>
      <x:c r="E2044" s="11" t="n">
        <x:v>-5.659999999999999</x:v>
      </x:c>
      <x:c r="F2044" s="11" t="n">
        <x:f>SQRT((C2044-C2043)^2+(D2044-D2043)^2+(E2044-E2043)^2)</x:f>
        <x:v>1.6100000000000003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1</x:v>
      </x:c>
      <x:c r="C2045" s="11" t="n">
        <x:v>4.05</x:v>
      </x:c>
      <x:c r="D2045" s="11" t="n">
        <x:v>6.140000000000001</x:v>
      </x:c>
      <x:c r="E2045" s="11" t="n">
        <x:v>-7.36</x:v>
      </x:c>
      <x:c r="F2045" s="11" t="n">
        <x:f>0</x:f>
        <x:v>0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2</x:v>
      </x:c>
      <x:c r="C2046" s="11" t="n">
        <x:v>2.35</x:v>
      </x:c>
      <x:c r="D2046" s="11" t="n">
        <x:v>7.65</x:v>
      </x:c>
      <x:c r="E2046" s="11" t="n">
        <x:v>-7.36</x:v>
      </x:c>
      <x:c r="F2046" s="11" t="n">
        <x:f>SQRT((C2046-C2045)^2+(D2046-D2045)^2+(E2046-E2045)^2)</x:f>
        <x:v>2.2737853900489373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3</x:v>
      </x:c>
      <x:c r="C2047" s="11" t="n">
        <x:v>2.35</x:v>
      </x:c>
      <x:c r="D2047" s="11" t="n">
        <x:v>7.65</x:v>
      </x:c>
      <x:c r="E2047" s="11" t="n">
        <x:v>-4.771</x:v>
      </x:c>
      <x:c r="F2047" s="11" t="n">
        <x:f>SQRT((C2047-C2046)^2+(D2047-D2046)^2+(E2047-E2046)^2)</x:f>
        <x:v>2.5890000000000004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4</x:v>
      </x:c>
      <x:c r="C2048" s="11" t="n">
        <x:v>2.35</x:v>
      </x:c>
      <x:c r="D2048" s="11" t="n">
        <x:v>11.35</x:v>
      </x:c>
      <x:c r="E2048" s="11" t="n">
        <x:v>-4.771</x:v>
      </x:c>
      <x:c r="F2048" s="11" t="n">
        <x:f>SQRT((C2048-C2047)^2+(D2048-D2047)^2+(E2048-E2047)^2)</x:f>
        <x:v>3.6999999999999993</x:v>
      </x:c>
      <x:c r="G2048" s="8" t="str">
        <x:v>Current</x:v>
      </x:c>
    </x:row>
    <x:row r="2049" ht="32" customHeight="1">
      <x:c r="A2049" s="8" t="str">
        <x:v>drop:DB2:L10:light:-1:L-STATUE-B-JAMB-2</x:v>
      </x:c>
      <x:c r="B2049" s="8" t="n">
        <x:v>5</x:v>
      </x:c>
      <x:c r="C2049" s="11" t="n">
        <x:v>4.05</x:v>
      </x:c>
      <x:c r="D2049" s="11" t="n">
        <x:v>11.35</x:v>
      </x:c>
      <x:c r="E2049" s="11" t="n">
        <x:v>-4.771</x:v>
      </x:c>
      <x:c r="F2049" s="11" t="n">
        <x:f>SQRT((C2049-C2048)^2+(D2049-D2048)^2+(E2049-E2048)^2)</x:f>
        <x:v>1.6999999999999997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1</x:v>
      </x:c>
      <x:c r="C2050" s="11" t="n">
        <x:v>3.960000000000001</x:v>
      </x:c>
      <x:c r="D2050" s="11" t="n">
        <x:v>6.140000000000001</x:v>
      </x:c>
      <x:c r="E2050" s="11" t="n">
        <x:v>-7.36</x:v>
      </x:c>
      <x:c r="F2050" s="11" t="n">
        <x:f>0</x:f>
        <x:v>0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2</x:v>
      </x:c>
      <x:c r="C2051" s="11" t="n">
        <x:v>2.35</x:v>
      </x:c>
      <x:c r="D2051" s="11" t="n">
        <x:v>7.65</x:v>
      </x:c>
      <x:c r="E2051" s="11" t="n">
        <x:v>-7.36</x:v>
      </x:c>
      <x:c r="F2051" s="11" t="n">
        <x:f>SQRT((C2051-C2050)^2+(D2051-D2050)^2+(E2051-E2050)^2)</x:f>
        <x:v>2.2073060503699984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3</x:v>
      </x:c>
      <x:c r="C2052" s="11" t="n">
        <x:v>2.35</x:v>
      </x:c>
      <x:c r="D2052" s="11" t="n">
        <x:v>7.65</x:v>
      </x:c>
      <x:c r="E2052" s="11" t="n">
        <x:v>-5.04</x:v>
      </x:c>
      <x:c r="F2052" s="11" t="n">
        <x:f>SQRT((C2052-C2051)^2+(D2052-D2051)^2+(E2052-E2051)^2)</x:f>
        <x:v>2.3200000000000003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4</x:v>
      </x:c>
      <x:c r="C2053" s="11" t="n">
        <x:v>2.35</x:v>
      </x:c>
      <x:c r="D2053" s="11" t="n">
        <x:v>10.391</x:v>
      </x:c>
      <x:c r="E2053" s="11" t="n">
        <x:v>-5.04</x:v>
      </x:c>
      <x:c r="F2053" s="11" t="n">
        <x:f>SQRT((C2053-C2052)^2+(D2053-D2052)^2+(E2053-E2052)^2)</x:f>
        <x:v>2.7409999999999997</x:v>
      </x:c>
      <x:c r="G2053" s="8" t="str">
        <x:v>Current</x:v>
      </x:c>
    </x:row>
    <x:row r="2054" ht="32" customHeight="1">
      <x:c r="A2054" s="8" t="str">
        <x:v>drop:DB2:L10:light:-1:L-STATUE-B-CANDLE-2</x:v>
      </x:c>
      <x:c r="B2054" s="8" t="n">
        <x:v>5</x:v>
      </x:c>
      <x:c r="C2054" s="11" t="n">
        <x:v>3.9600000000000004</x:v>
      </x:c>
      <x:c r="D2054" s="11" t="n">
        <x:v>10.391</x:v>
      </x:c>
      <x:c r="E2054" s="11" t="n">
        <x:v>-5.04</x:v>
      </x:c>
      <x:c r="F2054" s="11" t="n">
        <x:f>SQRT((C2054-C2053)^2+(D2054-D2053)^2+(E2054-E2053)^2)</x:f>
        <x:v>1.6100000000000003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1</x:v>
      </x:c>
      <x:c r="C2055" s="11" t="n">
        <x:v>2.73</x:v>
      </x:c>
      <x:c r="D2055" s="11" t="n">
        <x:v>1.5</x:v>
      </x:c>
      <x:c r="E2055" s="11" t="n">
        <x:v>-3.3</x:v>
      </x:c>
      <x:c r="F2055" s="11" t="n">
        <x:f>0</x:f>
        <x:v>0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2</x:v>
      </x:c>
      <x:c r="C2056" s="11" t="n">
        <x:v>2.35</x:v>
      </x:c>
      <x:c r="D2056" s="11" t="n">
        <x:v>1.5</x:v>
      </x:c>
      <x:c r="E2056" s="11" t="n">
        <x:v>-3.3</x:v>
      </x:c>
      <x:c r="F2056" s="11" t="n">
        <x:f>SQRT((C2056-C2055)^2+(D2056-D2055)^2+(E2056-E2055)^2)</x:f>
        <x:v>0.3799999999999999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3</x:v>
      </x:c>
      <x:c r="C2057" s="11" t="n">
        <x:v>2.35</x:v>
      </x:c>
      <x:c r="D2057" s="11" t="n">
        <x:v>7.65</x:v>
      </x:c>
      <x:c r="E2057" s="11" t="n">
        <x:v>-3.3</x:v>
      </x:c>
      <x:c r="F2057" s="11" t="n">
        <x:f>SQRT((C2057-C2056)^2+(D2057-D2056)^2+(E2057-E2056)^2)</x:f>
        <x:v>6.15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4</x:v>
      </x:c>
      <x:c r="C2058" s="11" t="n">
        <x:v>2.35</x:v>
      </x:c>
      <x:c r="D2058" s="11" t="n">
        <x:v>7.65</x:v>
      </x:c>
      <x:c r="E2058" s="11" t="n">
        <x:v>7.36</x:v>
      </x:c>
      <x:c r="F2058" s="11" t="n">
        <x:f>SQRT((C2058-C2057)^2+(D2058-D2057)^2+(E2058-E2057)^2)</x:f>
        <x:v>10.66</x:v>
      </x:c>
      <x:c r="G2058" s="8" t="str">
        <x:v>Current</x:v>
      </x:c>
    </x:row>
    <x:row r="2059" ht="32" customHeight="1">
      <x:c r="A2059" s="8" t="str">
        <x:v>trunk:DB2:L10:light:1</x:v>
      </x:c>
      <x:c r="B2059" s="8" t="n">
        <x:v>5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SQRT((C2059-C2058)^2+(D2059-D2058)^2+(E2059-E2058)^2)</x:f>
        <x:v>1.5099999999999998</x:v>
      </x:c>
      <x:c r="G2059" s="8" t="str">
        <x:v>Current</x:v>
      </x:c>
    </x:row>
    <x:row r="2060" ht="32" customHeight="1">
      <x:c r="A2060" s="8" t="str">
        <x:v>trunk:DB2:L10:light:1</x:v>
      </x:c>
      <x:c r="B2060" s="8" t="n">
        <x:v>6</x:v>
      </x:c>
      <x:c r="C2060" s="11" t="n">
        <x:v>4.05</x:v>
      </x:c>
      <x:c r="D2060" s="11" t="n">
        <x:v>6.140000000000001</x:v>
      </x:c>
      <x:c r="E2060" s="11" t="n">
        <x:v>7.36</x:v>
      </x:c>
      <x:c r="F2060" s="11" t="n">
        <x:f>SQRT((C2060-C2059)^2+(D2060-D2059)^2+(E2060-E2059)^2)</x:f>
        <x:v>1.6999999999999997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1</x:v>
      </x:c>
      <x:c r="C2061" s="11" t="n">
        <x:v>3.95</x:v>
      </x:c>
      <x:c r="D2061" s="11" t="n">
        <x:v>6.140000000000001</x:v>
      </x:c>
      <x:c r="E2061" s="11" t="n">
        <x:v>7.36</x:v>
      </x:c>
      <x:c r="F2061" s="11" t="n">
        <x:f>0</x:f>
        <x:v>0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2</x:v>
      </x:c>
      <x:c r="C2062" s="11" t="n">
        <x:v>2.35</x:v>
      </x:c>
      <x:c r="D2062" s="11" t="n">
        <x:v>7.65</x:v>
      </x:c>
      <x:c r="E2062" s="11" t="n">
        <x:v>7.36</x:v>
      </x:c>
      <x:c r="F2062" s="11" t="n">
        <x:f>SQRT((C2062-C2061)^2+(D2062-D2061)^2+(E2062-E2061)^2)</x:f>
        <x:v>2.2000227271553356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3</x:v>
      </x:c>
      <x:c r="C2063" s="11" t="n">
        <x:v>2.35</x:v>
      </x:c>
      <x:c r="D2063" s="11" t="n">
        <x:v>7.65</x:v>
      </x:c>
      <x:c r="E2063" s="11" t="n">
        <x:v>0.691</x:v>
      </x:c>
      <x:c r="F2063" s="11" t="n">
        <x:f>SQRT((C2063-C2062)^2+(D2063-D2062)^2+(E2063-E2062)^2)</x:f>
        <x:v>6.6690000000000005</x:v>
      </x:c>
      <x:c r="G2063" s="8" t="str">
        <x:v>Current</x:v>
      </x:c>
    </x:row>
    <x:row r="2064" ht="32" customHeight="1">
      <x:c r="A2064" s="8" t="str">
        <x:v>drop:DB2:L10:light:1:L-STATUE-C-JAMB-2</x:v>
      </x:c>
      <x:c r="B2064" s="8" t="n">
        <x:v>4</x:v>
      </x:c>
      <x:c r="C2064" s="11" t="n">
        <x:v>2.35</x:v>
      </x:c>
      <x:c r="D2064" s="11" t="n">
        <x:v>17.79</x:v>
      </x:c>
      <x:c r="E2064" s="11" t="n">
        <x:v>0.691</x:v>
      </x:c>
      <x:c r="F2064" s="11" t="n">
        <x:f>SQRT((C2064-C2063)^2+(D2064-D2063)^2+(E2064-E2063)^2)</x:f>
        <x:v>10.139999999999999</x:v>
      </x:c>
      <x:c r="G2064" s="8" t="str">
        <x:v>Current</x:v>
      </x:c>
    </x:row>
    <x:row r="2065" ht="32" customHeight="1">
      <x:c r="A2065" s="8" t="str">
        <x:v>drop:DB2:L10:light:1:L-STATUE-C-JAMB-2</x:v>
      </x:c>
      <x:c r="B2065" s="8" t="n">
        <x:v>5</x:v>
      </x:c>
      <x:c r="C2065" s="11" t="n">
        <x:v>3.95</x:v>
      </x:c>
      <x:c r="D2065" s="11" t="n">
        <x:v>17.79</x:v>
      </x:c>
      <x:c r="E2065" s="11" t="n">
        <x:v>0.691</x:v>
      </x:c>
      <x:c r="F2065" s="11" t="n">
        <x:f>SQRT((C2065-C2064)^2+(D2065-D2064)^2+(E2065-E2064)^2)</x:f>
        <x:v>1.6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1</x:v>
      </x:c>
      <x:c r="C2066" s="11" t="n">
        <x:v>3.72</x:v>
      </x:c>
      <x:c r="D2066" s="11" t="n">
        <x:v>6.140000000000001</x:v>
      </x:c>
      <x:c r="E2066" s="11" t="n">
        <x:v>7.36</x:v>
      </x:c>
      <x:c r="F2066" s="11" t="n">
        <x:f>0</x:f>
        <x:v>0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2</x:v>
      </x:c>
      <x:c r="C2067" s="11" t="n">
        <x:v>2.35</x:v>
      </x:c>
      <x:c r="D2067" s="11" t="n">
        <x:v>7.65</x:v>
      </x:c>
      <x:c r="E2067" s="11" t="n">
        <x:v>7.36</x:v>
      </x:c>
      <x:c r="F2067" s="11" t="n">
        <x:f>SQRT((C2067-C2066)^2+(D2067-D2066)^2+(E2067-E2066)^2)</x:f>
        <x:v>2.038872237291979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3</x:v>
      </x:c>
      <x:c r="C2068" s="11" t="n">
        <x:v>2.35</x:v>
      </x:c>
      <x:c r="D2068" s="11" t="n">
        <x:v>7.65</x:v>
      </x:c>
      <x:c r="E2068" s="11" t="n">
        <x:v>0.3</x:v>
      </x:c>
      <x:c r="F2068" s="11" t="n">
        <x:f>SQRT((C2068-C2067)^2+(D2068-D2067)^2+(E2068-E2067)^2)</x:f>
        <x:v>7.0600000000000005</x:v>
      </x:c>
      <x:c r="G2068" s="8" t="str">
        <x:v>Current</x:v>
      </x:c>
    </x:row>
    <x:row r="2069" ht="32" customHeight="1">
      <x:c r="A2069" s="8" t="str">
        <x:v>drop:DB2:L10:light:1:L-STATUE-C-CANDLE-2</x:v>
      </x:c>
      <x:c r="B2069" s="8" t="n">
        <x:v>4</x:v>
      </x:c>
      <x:c r="C2069" s="11" t="n">
        <x:v>2.35</x:v>
      </x:c>
      <x:c r="D2069" s="11" t="n">
        <x:v>16.683</x:v>
      </x:c>
      <x:c r="E2069" s="11" t="n">
        <x:v>0.3</x:v>
      </x:c>
      <x:c r="F2069" s="11" t="n">
        <x:f>SQRT((C2069-C2068)^2+(D2069-D2068)^2+(E2069-E2068)^2)</x:f>
        <x:v>9.033</x:v>
      </x:c>
      <x:c r="G2069" s="8" t="str">
        <x:v>Current</x:v>
      </x:c>
    </x:row>
    <x:row r="2070" ht="32" customHeight="1">
      <x:c r="A2070" s="8" t="str">
        <x:v>drop:DB2:L10:light:1:L-STATUE-C-CANDLE-2</x:v>
      </x:c>
      <x:c r="B2070" s="8" t="n">
        <x:v>5</x:v>
      </x:c>
      <x:c r="C2070" s="11" t="n">
        <x:v>3.72</x:v>
      </x:c>
      <x:c r="D2070" s="11" t="n">
        <x:v>16.683</x:v>
      </x:c>
      <x:c r="E2070" s="11" t="n">
        <x:v>0.3</x:v>
      </x:c>
      <x:c r="F2070" s="11" t="n">
        <x:f>SQRT((C2070-C2069)^2+(D2070-D2069)^2+(E2070-E2069)^2)</x:f>
        <x:v>1.37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1</x:v>
      </x:c>
      <x:c r="C2071" s="11" t="n">
        <x:v>4.05</x:v>
      </x:c>
      <x:c r="D2071" s="11" t="n">
        <x:v>6.140000000000001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2</x:v>
      </x:c>
      <x:c r="C2072" s="11" t="n">
        <x:v>2.35</x:v>
      </x:c>
      <x:c r="D2072" s="11" t="n">
        <x:v>7.65</x:v>
      </x:c>
      <x:c r="E2072" s="11" t="n">
        <x:v>7.36</x:v>
      </x:c>
      <x:c r="F2072" s="11" t="n">
        <x:f>SQRT((C2072-C2071)^2+(D2072-D2071)^2+(E2072-E2071)^2)</x:f>
        <x:v>2.2737853900489373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3</x:v>
      </x:c>
      <x:c r="C2073" s="11" t="n">
        <x:v>2.35</x:v>
      </x:c>
      <x:c r="D2073" s="11" t="n">
        <x:v>7.65</x:v>
      </x:c>
      <x:c r="E2073" s="11" t="n">
        <x:v>5.35</x:v>
      </x:c>
      <x:c r="F2073" s="11" t="n">
        <x:f>SQRT((C2073-C2072)^2+(D2073-D2072)^2+(E2073-E2072)^2)</x:f>
        <x:v>2.0100000000000007</x:v>
      </x:c>
      <x:c r="G2073" s="8" t="str">
        <x:v>Current</x:v>
      </x:c>
    </x:row>
    <x:row r="2074" ht="32" customHeight="1">
      <x:c r="A2074" s="8" t="str">
        <x:v>drop:DB2:L10:light:1:L-STATUE-H-ARCH</x:v>
      </x:c>
      <x:c r="B2074" s="8" t="n">
        <x:v>4</x:v>
      </x:c>
      <x:c r="C2074" s="11" t="n">
        <x:v>2.35</x:v>
      </x:c>
      <x:c r="D2074" s="11" t="n">
        <x:v>12.917</x:v>
      </x:c>
      <x:c r="E2074" s="11" t="n">
        <x:v>5.35</x:v>
      </x:c>
      <x:c r="F2074" s="11" t="n">
        <x:f>SQRT((C2074-C2073)^2+(D2074-D2073)^2+(E2074-E2073)^2)</x:f>
        <x:v>5.2669999999999995</x:v>
      </x:c>
      <x:c r="G2074" s="8" t="str">
        <x:v>Current</x:v>
      </x:c>
    </x:row>
    <x:row r="2075" ht="32" customHeight="1">
      <x:c r="A2075" s="8" t="str">
        <x:v>drop:DB2:L10:light:1:L-STATUE-H-ARCH</x:v>
      </x:c>
      <x:c r="B2075" s="8" t="n">
        <x:v>5</x:v>
      </x:c>
      <x:c r="C2075" s="11" t="n">
        <x:v>4.05</x:v>
      </x:c>
      <x:c r="D2075" s="11" t="n">
        <x:v>12.917</x:v>
      </x:c>
      <x:c r="E2075" s="11" t="n">
        <x:v>5.35</x:v>
      </x:c>
      <x:c r="F2075" s="11" t="n">
        <x:f>SQRT((C2075-C2074)^2+(D2075-D2074)^2+(E2075-E2074)^2)</x:f>
        <x:v>1.6999999999999997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1</x:v>
      </x:c>
      <x:c r="C2076" s="11" t="n">
        <x:v>4.05</x:v>
      </x:c>
      <x:c r="D2076" s="11" t="n">
        <x:v>6.140000000000001</x:v>
      </x:c>
      <x:c r="E2076" s="11" t="n">
        <x:v>7.36</x:v>
      </x:c>
      <x:c r="F2076" s="11" t="n">
        <x:f>0</x:f>
        <x:v>0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2</x:v>
      </x:c>
      <x:c r="C2077" s="11" t="n">
        <x:v>2.35</x:v>
      </x:c>
      <x:c r="D2077" s="11" t="n">
        <x:v>7.65</x:v>
      </x:c>
      <x:c r="E2077" s="11" t="n">
        <x:v>7.36</x:v>
      </x:c>
      <x:c r="F2077" s="11" t="n">
        <x:f>SQRT((C2077-C2076)^2+(D2077-D2076)^2+(E2077-E2076)^2)</x:f>
        <x:v>2.2737853900489373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3</x:v>
      </x:c>
      <x:c r="C2078" s="11" t="n">
        <x:v>2.35</x:v>
      </x:c>
      <x:c r="D2078" s="11" t="n">
        <x:v>7.65</x:v>
      </x:c>
      <x:c r="E2078" s="11" t="n">
        <x:v>4.771</x:v>
      </x:c>
      <x:c r="F2078" s="11" t="n">
        <x:f>SQRT((C2078-C2077)^2+(D2078-D2077)^2+(E2078-E2077)^2)</x:f>
        <x:v>2.5890000000000004</x:v>
      </x:c>
      <x:c r="G2078" s="8" t="str">
        <x:v>Current</x:v>
      </x:c>
    </x:row>
    <x:row r="2079" ht="32" customHeight="1">
      <x:c r="A2079" s="8" t="str">
        <x:v>drop:DB2:L10:light:1:L-STATUE-H-JAMB-1</x:v>
      </x:c>
      <x:c r="B2079" s="8" t="n">
        <x:v>4</x:v>
      </x:c>
      <x:c r="C2079" s="11" t="n">
        <x:v>2.35</x:v>
      </x:c>
      <x:c r="D2079" s="11" t="n">
        <x:v>11.35</x:v>
      </x:c>
      <x:c r="E2079" s="11" t="n">
        <x:v>4.771</x:v>
      </x:c>
      <x:c r="F2079" s="11" t="n">
        <x:f>SQRT((C2079-C2078)^2+(D2079-D2078)^2+(E2079-E2078)^2)</x:f>
        <x:v>3.6999999999999993</x:v>
      </x:c>
      <x:c r="G2079" s="8" t="str">
        <x:v>Current</x:v>
      </x:c>
    </x:row>
    <x:row r="2080" ht="32" customHeight="1">
      <x:c r="A2080" s="8" t="str">
        <x:v>drop:DB2:L10:light:1:L-STATUE-H-JAMB-1</x:v>
      </x:c>
      <x:c r="B2080" s="8" t="n">
        <x:v>5</x:v>
      </x:c>
      <x:c r="C2080" s="11" t="n">
        <x:v>4.05</x:v>
      </x:c>
      <x:c r="D2080" s="11" t="n">
        <x:v>11.35</x:v>
      </x:c>
      <x:c r="E2080" s="11" t="n">
        <x:v>4.771</x:v>
      </x:c>
      <x:c r="F2080" s="11" t="n">
        <x:f>SQRT((C2080-C2079)^2+(D2080-D2079)^2+(E2080-E2079)^2)</x:f>
        <x:v>1.6999999999999997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1</x:v>
      </x:c>
      <x:c r="C2081" s="11" t="n">
        <x:v>3.960000000000001</x:v>
      </x:c>
      <x:c r="D2081" s="11" t="n">
        <x:v>6.140000000000001</x:v>
      </x:c>
      <x:c r="E2081" s="11" t="n">
        <x:v>7.36</x:v>
      </x:c>
      <x:c r="F2081" s="11" t="n">
        <x:f>0</x:f>
        <x:v>0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2</x:v>
      </x:c>
      <x:c r="C2082" s="11" t="n">
        <x:v>2.35</x:v>
      </x:c>
      <x:c r="D2082" s="11" t="n">
        <x:v>7.65</x:v>
      </x:c>
      <x:c r="E2082" s="11" t="n">
        <x:v>7.36</x:v>
      </x:c>
      <x:c r="F2082" s="11" t="n">
        <x:f>SQRT((C2082-C2081)^2+(D2082-D2081)^2+(E2082-E2081)^2)</x:f>
        <x:v>2.2073060503699984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3</x:v>
      </x:c>
      <x:c r="C2083" s="11" t="n">
        <x:v>2.35</x:v>
      </x:c>
      <x:c r="D2083" s="11" t="n">
        <x:v>7.65</x:v>
      </x:c>
      <x:c r="E2083" s="11" t="n">
        <x:v>5.04</x:v>
      </x:c>
      <x:c r="F2083" s="11" t="n">
        <x:f>SQRT((C2083-C2082)^2+(D2083-D2082)^2+(E2083-E2082)^2)</x:f>
        <x:v>2.3200000000000003</x:v>
      </x:c>
      <x:c r="G2083" s="8" t="str">
        <x:v>Current</x:v>
      </x:c>
    </x:row>
    <x:row r="2084" ht="32" customHeight="1">
      <x:c r="A2084" s="8" t="str">
        <x:v>drop:DB2:L10:light:1:L-STATUE-H-CANDLE-1</x:v>
      </x:c>
      <x:c r="B2084" s="8" t="n">
        <x:v>4</x:v>
      </x:c>
      <x:c r="C2084" s="11" t="n">
        <x:v>2.35</x:v>
      </x:c>
      <x:c r="D2084" s="11" t="n">
        <x:v>10.391</x:v>
      </x:c>
      <x:c r="E2084" s="11" t="n">
        <x:v>5.04</x:v>
      </x:c>
      <x:c r="F2084" s="11" t="n">
        <x:f>SQRT((C2084-C2083)^2+(D2084-D2083)^2+(E2084-E2083)^2)</x:f>
        <x:v>2.7409999999999997</x:v>
      </x:c>
      <x:c r="G2084" s="8" t="str">
        <x:v>Current</x:v>
      </x:c>
    </x:row>
    <x:row r="2085" ht="32" customHeight="1">
      <x:c r="A2085" s="8" t="str">
        <x:v>drop:DB2:L10:light:1:L-STATUE-H-CANDLE-1</x:v>
      </x:c>
      <x:c r="B2085" s="8" t="n">
        <x:v>5</x:v>
      </x:c>
      <x:c r="C2085" s="11" t="n">
        <x:v>3.9600000000000004</x:v>
      </x:c>
      <x:c r="D2085" s="11" t="n">
        <x:v>10.391</x:v>
      </x:c>
      <x:c r="E2085" s="11" t="n">
        <x:v>5.04</x:v>
      </x:c>
      <x:c r="F2085" s="11" t="n">
        <x:f>SQRT((C2085-C2084)^2+(D2085-D2084)^2+(E2085-E2084)^2)</x:f>
        <x:v>1.6100000000000003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1</x:v>
      </x:c>
      <x:c r="C2086" s="11" t="n">
        <x:v>4.05</x:v>
      </x:c>
      <x:c r="D2086" s="11" t="n">
        <x:v>6.140000000000001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2</x:v>
      </x:c>
      <x:c r="C2087" s="11" t="n">
        <x:v>2.35</x:v>
      </x:c>
      <x:c r="D2087" s="11" t="n">
        <x:v>7.65</x:v>
      </x:c>
      <x:c r="E2087" s="11" t="n">
        <x:v>7.36</x:v>
      </x:c>
      <x:c r="F2087" s="11" t="n">
        <x:f>SQRT((C2087-C2086)^2+(D2087-D2086)^2+(E2087-E2086)^2)</x:f>
        <x:v>2.2737853900489373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3</x:v>
      </x:c>
      <x:c r="C2088" s="11" t="n">
        <x:v>2.35</x:v>
      </x:c>
      <x:c r="D2088" s="11" t="n">
        <x:v>7.65</x:v>
      </x:c>
      <x:c r="E2088" s="11" t="n">
        <x:v>5.928999999999999</x:v>
      </x:c>
      <x:c r="F2088" s="11" t="n">
        <x:f>SQRT((C2088-C2087)^2+(D2088-D2087)^2+(E2088-E2087)^2)</x:f>
        <x:v>1.431000000000001</x:v>
      </x:c>
      <x:c r="G2088" s="8" t="str">
        <x:v>Current</x:v>
      </x:c>
    </x:row>
    <x:row r="2089" ht="32" customHeight="1">
      <x:c r="A2089" s="8" t="str">
        <x:v>drop:DB2:L10:light:1:L-STATUE-H-JAMB-2</x:v>
      </x:c>
      <x:c r="B2089" s="8" t="n">
        <x:v>4</x:v>
      </x:c>
      <x:c r="C2089" s="11" t="n">
        <x:v>2.35</x:v>
      </x:c>
      <x:c r="D2089" s="11" t="n">
        <x:v>11.35</x:v>
      </x:c>
      <x:c r="E2089" s="11" t="n">
        <x:v>5.928999999999999</x:v>
      </x:c>
      <x:c r="F2089" s="11" t="n">
        <x:f>SQRT((C2089-C2088)^2+(D2089-D2088)^2+(E2089-E2088)^2)</x:f>
        <x:v>3.6999999999999993</x:v>
      </x:c>
      <x:c r="G2089" s="8" t="str">
        <x:v>Current</x:v>
      </x:c>
    </x:row>
    <x:row r="2090" ht="32" customHeight="1">
      <x:c r="A2090" s="8" t="str">
        <x:v>drop:DB2:L10:light:1:L-STATUE-H-JAMB-2</x:v>
      </x:c>
      <x:c r="B2090" s="8" t="n">
        <x:v>5</x:v>
      </x:c>
      <x:c r="C2090" s="11" t="n">
        <x:v>4.05</x:v>
      </x:c>
      <x:c r="D2090" s="11" t="n">
        <x:v>11.35</x:v>
      </x:c>
      <x:c r="E2090" s="11" t="n">
        <x:v>5.928999999999999</x:v>
      </x:c>
      <x:c r="F2090" s="11" t="n">
        <x:f>SQRT((C2090-C2089)^2+(D2090-D2089)^2+(E2090-E2089)^2)</x:f>
        <x:v>1.6999999999999997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1</x:v>
      </x:c>
      <x:c r="C2091" s="11" t="n">
        <x:v>3.960000000000001</x:v>
      </x:c>
      <x:c r="D2091" s="11" t="n">
        <x:v>6.140000000000001</x:v>
      </x:c>
      <x:c r="E2091" s="11" t="n">
        <x:v>7.36</x:v>
      </x:c>
      <x:c r="F2091" s="11" t="n">
        <x:f>0</x:f>
        <x:v>0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2</x:v>
      </x:c>
      <x:c r="C2092" s="11" t="n">
        <x:v>2.35</x:v>
      </x:c>
      <x:c r="D2092" s="11" t="n">
        <x:v>7.65</x:v>
      </x:c>
      <x:c r="E2092" s="11" t="n">
        <x:v>7.36</x:v>
      </x:c>
      <x:c r="F2092" s="11" t="n">
        <x:f>SQRT((C2092-C2091)^2+(D2092-D2091)^2+(E2092-E2091)^2)</x:f>
        <x:v>2.2073060503699984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3</x:v>
      </x:c>
      <x:c r="C2093" s="11" t="n">
        <x:v>2.35</x:v>
      </x:c>
      <x:c r="D2093" s="11" t="n">
        <x:v>7.65</x:v>
      </x:c>
      <x:c r="E2093" s="11" t="n">
        <x:v>5.659999999999999</x:v>
      </x:c>
      <x:c r="F2093" s="11" t="n">
        <x:f>SQRT((C2093-C2092)^2+(D2093-D2092)^2+(E2093-E2092)^2)</x:f>
        <x:v>1.700000000000001</x:v>
      </x:c>
      <x:c r="G2093" s="8" t="str">
        <x:v>Current</x:v>
      </x:c>
    </x:row>
    <x:row r="2094" ht="32" customHeight="1">
      <x:c r="A2094" s="8" t="str">
        <x:v>drop:DB2:L10:light:1:L-STATUE-H-CANDLE-2</x:v>
      </x:c>
      <x:c r="B2094" s="8" t="n">
        <x:v>4</x:v>
      </x:c>
      <x:c r="C2094" s="11" t="n">
        <x:v>2.35</x:v>
      </x:c>
      <x:c r="D2094" s="11" t="n">
        <x:v>10.391</x:v>
      </x:c>
      <x:c r="E2094" s="11" t="n">
        <x:v>5.659999999999999</x:v>
      </x:c>
      <x:c r="F2094" s="11" t="n">
        <x:f>SQRT((C2094-C2093)^2+(D2094-D2093)^2+(E2094-E2093)^2)</x:f>
        <x:v>2.7409999999999997</x:v>
      </x:c>
      <x:c r="G2094" s="8" t="str">
        <x:v>Current</x:v>
      </x:c>
    </x:row>
    <x:row r="2095" ht="32" customHeight="1">
      <x:c r="A2095" s="8" t="str">
        <x:v>drop:DB2:L10:light:1:L-STATUE-H-CANDLE-2</x:v>
      </x:c>
      <x:c r="B2095" s="8" t="n">
        <x:v>5</x:v>
      </x:c>
      <x:c r="C2095" s="11" t="n">
        <x:v>3.9600000000000004</x:v>
      </x:c>
      <x:c r="D2095" s="11" t="n">
        <x:v>10.391</x:v>
      </x:c>
      <x:c r="E2095" s="11" t="n">
        <x:v>5.659999999999999</x:v>
      </x:c>
      <x:c r="F2095" s="11" t="n">
        <x:f>SQRT((C2095-C2094)^2+(D2095-D2094)^2+(E2095-E2094)^2)</x:f>
        <x:v>1.6100000000000003</x:v>
      </x:c>
      <x:c r="G2095" s="8" t="str">
        <x:v>Current</x:v>
      </x:c>
    </x:row>
    <x:row r="2096" ht="32" customHeight="1">
      <x:c r="A2096" s="8" t="str">
        <x:v>drop:LC1:L8:light:-1:L64</x:v>
      </x:c>
      <x:c r="B2096" s="8" t="n">
        <x:v>1</x:v>
      </x:c>
      <x:c r="C2096" s="11" t="n">
        <x:v>38.94</x:v>
      </x:c>
      <x:c r="D2096" s="11" t="n">
        <x:v>7.953150773195872</x:v>
      </x:c>
      <x:c r="E2096" s="11" t="n">
        <x:v>-7.36</x:v>
      </x:c>
      <x:c r="F2096" s="11" t="n">
        <x:f>0</x:f>
        <x:v>0</x:v>
      </x:c>
      <x:c r="G2096" s="8" t="str">
        <x:v>Retired</x:v>
      </x:c>
    </x:row>
    <x:row r="2097" ht="32" customHeight="1">
      <x:c r="A2097" s="8" t="str">
        <x:v>drop:LC1:L8:light:-1:L64</x:v>
      </x:c>
      <x:c r="B2097" s="8" t="n">
        <x:v>2</x:v>
      </x:c>
      <x:c r="C2097" s="11" t="n">
        <x:v>38.94</x:v>
      </x:c>
      <x:c r="D2097" s="11" t="n">
        <x:v>7.953150773195873</x:v>
      </x:c>
      <x:c r="E2097" s="11" t="n">
        <x:v>-8.8</x:v>
      </x:c>
      <x:c r="F2097" s="11" t="n">
        <x:f>SQRT((C2097-C2096)^2+(D2097-D2096)^2+(E2097-E2096)^2)</x:f>
        <x:v>1.4400000000000004</x:v>
      </x:c>
      <x:c r="G2097" s="8" t="str">
        <x:v>Retired</x:v>
      </x:c>
    </x:row>
    <x:row r="2098" ht="32" customHeight="1">
      <x:c r="A2098" s="8" t="str">
        <x:v>drop:LC1:L8:light:-1:L64</x:v>
      </x:c>
      <x:c r="B2098" s="8" t="n">
        <x:v>3</x:v>
      </x:c>
      <x:c r="C2098" s="11" t="n">
        <x:v>38.94</x:v>
      </x:c>
      <x:c r="D2098" s="11" t="n">
        <x:v>4.4</x:v>
      </x:c>
      <x:c r="E2098" s="11" t="n">
        <x:v>-8.8</x:v>
      </x:c>
      <x:c r="F2098" s="11" t="n">
        <x:f>SQRT((C2098-C2097)^2+(D2098-D2097)^2+(E2098-E2097)^2)</x:f>
        <x:v>3.5531507731958722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1</x:v>
      </x:c>
      <x:c r="C2099" s="11" t="n">
        <x:v>42.22</x:v>
      </x:c>
      <x:c r="D2099" s="11" t="n">
        <x:v>7.945096649484534</x:v>
      </x:c>
      <x:c r="E2099" s="11" t="n">
        <x:v>-7.36</x:v>
      </x:c>
      <x:c r="F2099" s="11" t="n">
        <x:f>0</x:f>
        <x:v>0</x:v>
      </x:c>
      <x:c r="G2099" s="8" t="str">
        <x:v>Retired</x:v>
      </x:c>
    </x:row>
    <x:row r="2100" ht="32" customHeight="1">
      <x:c r="A2100" s="8" t="str">
        <x:v>drop:LC1:L8:light:-1:L66</x:v>
      </x:c>
      <x:c r="B2100" s="8" t="n">
        <x:v>2</x:v>
      </x:c>
      <x:c r="C2100" s="11" t="n">
        <x:v>42.22</x:v>
      </x:c>
      <x:c r="D2100" s="11" t="n">
        <x:v>7.9450966494845385</x:v>
      </x:c>
      <x:c r="E2100" s="11" t="n">
        <x:v>-8.8</x:v>
      </x:c>
      <x:c r="F2100" s="11" t="n">
        <x:f>SQRT((C2100-C2099)^2+(D2100-D2099)^2+(E2100-E2099)^2)</x:f>
        <x:v>1.4400000000000004</x:v>
      </x:c>
      <x:c r="G2100" s="8" t="str">
        <x:v>Retired</x:v>
      </x:c>
    </x:row>
    <x:row r="2101" ht="32" customHeight="1">
      <x:c r="A2101" s="8" t="str">
        <x:v>drop:LC1:L8:light:-1:L66</x:v>
      </x:c>
      <x:c r="B2101" s="8" t="n">
        <x:v>3</x:v>
      </x:c>
      <x:c r="C2101" s="11" t="n">
        <x:v>42.22</x:v>
      </x:c>
      <x:c r="D2101" s="11" t="n">
        <x:v>4.4</x:v>
      </x:c>
      <x:c r="E2101" s="11" t="n">
        <x:v>-8.8</x:v>
      </x:c>
      <x:c r="F2101" s="11" t="n">
        <x:f>SQRT((C2101-C2100)^2+(D2101-D2100)^2+(E2101-E2100)^2)</x:f>
        <x:v>3.545096649484538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1</x:v>
      </x:c>
      <x:c r="C2102" s="11" t="n">
        <x:v>38.94</x:v>
      </x:c>
      <x:c r="D2102" s="11" t="n">
        <x:v>7.953150773195872</x:v>
      </x:c>
      <x:c r="E2102" s="11" t="n">
        <x:v>7.36</x:v>
      </x:c>
      <x:c r="F2102" s="11" t="n">
        <x:f>0</x:f>
        <x:v>0</x:v>
      </x:c>
      <x:c r="G2102" s="8" t="str">
        <x:v>Retired</x:v>
      </x:c>
    </x:row>
    <x:row r="2103" ht="32" customHeight="1">
      <x:c r="A2103" s="8" t="str">
        <x:v>drop:LC1:L8:light:1:L68</x:v>
      </x:c>
      <x:c r="B2103" s="8" t="n">
        <x:v>2</x:v>
      </x:c>
      <x:c r="C2103" s="11" t="n">
        <x:v>38.94</x:v>
      </x:c>
      <x:c r="D2103" s="11" t="n">
        <x:v>7.953150773195873</x:v>
      </x:c>
      <x:c r="E2103" s="11" t="n">
        <x:v>8.8</x:v>
      </x:c>
      <x:c r="F2103" s="11" t="n">
        <x:f>SQRT((C2103-C2102)^2+(D2103-D2102)^2+(E2103-E2102)^2)</x:f>
        <x:v>1.4400000000000004</x:v>
      </x:c>
      <x:c r="G2103" s="8" t="str">
        <x:v>Retired</x:v>
      </x:c>
    </x:row>
    <x:row r="2104" ht="32" customHeight="1">
      <x:c r="A2104" s="8" t="str">
        <x:v>drop:LC1:L8:light:1:L68</x:v>
      </x:c>
      <x:c r="B2104" s="8" t="n">
        <x:v>3</x:v>
      </x:c>
      <x:c r="C2104" s="11" t="n">
        <x:v>38.94</x:v>
      </x:c>
      <x:c r="D2104" s="11" t="n">
        <x:v>4.4</x:v>
      </x:c>
      <x:c r="E2104" s="11" t="n">
        <x:v>8.8</x:v>
      </x:c>
      <x:c r="F2104" s="11" t="n">
        <x:f>SQRT((C2104-C2103)^2+(D2104-D2103)^2+(E2104-E2103)^2)</x:f>
        <x:v>3.5531507731958722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1</x:v>
      </x:c>
      <x:c r="C2105" s="11" t="n">
        <x:v>42.22</x:v>
      </x:c>
      <x:c r="D2105" s="11" t="n">
        <x:v>7.945096649484534</x:v>
      </x:c>
      <x:c r="E2105" s="11" t="n">
        <x:v>7.36</x:v>
      </x:c>
      <x:c r="F2105" s="11" t="n">
        <x:f>0</x:f>
        <x:v>0</x:v>
      </x:c>
      <x:c r="G2105" s="8" t="str">
        <x:v>Retired</x:v>
      </x:c>
    </x:row>
    <x:row r="2106" ht="32" customHeight="1">
      <x:c r="A2106" s="8" t="str">
        <x:v>drop:LC1:L8:light:1:L70</x:v>
      </x:c>
      <x:c r="B2106" s="8" t="n">
        <x:v>2</x:v>
      </x:c>
      <x:c r="C2106" s="11" t="n">
        <x:v>42.22</x:v>
      </x:c>
      <x:c r="D2106" s="11" t="n">
        <x:v>7.9450966494845385</x:v>
      </x:c>
      <x:c r="E2106" s="11" t="n">
        <x:v>8.8</x:v>
      </x:c>
      <x:c r="F2106" s="11" t="n">
        <x:f>SQRT((C2106-C2105)^2+(D2106-D2105)^2+(E2106-E2105)^2)</x:f>
        <x:v>1.4400000000000004</x:v>
      </x:c>
      <x:c r="G2106" s="8" t="str">
        <x:v>Retired</x:v>
      </x:c>
    </x:row>
    <x:row r="2107" ht="32" customHeight="1">
      <x:c r="A2107" s="8" t="str">
        <x:v>drop:LC1:L8:light:1:L70</x:v>
      </x:c>
      <x:c r="B2107" s="8" t="n">
        <x:v>3</x:v>
      </x:c>
      <x:c r="C2107" s="11" t="n">
        <x:v>42.22</x:v>
      </x:c>
      <x:c r="D2107" s="11" t="n">
        <x:v>4.4</x:v>
      </x:c>
      <x:c r="E2107" s="11" t="n">
        <x:v>8.8</x:v>
      </x:c>
      <x:c r="F2107" s="11" t="n">
        <x:f>SQRT((C2107-C2106)^2+(D2107-D2106)^2+(E2107-E2106)^2)</x:f>
        <x:v>3.545096649484538</x:v>
      </x:c>
      <x:c r="G2107" s="8" t="str">
        <x:v>Retired</x:v>
      </x:c>
    </x:row>
  </x:sheetData>
  <x:conditionalFormatting sqref="G7:G210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c31f74bce944c9e"/>
  </x:tableParts>
</x:worksheet>
</file>