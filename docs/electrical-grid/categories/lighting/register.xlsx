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7dc4bb41f4d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76de6540f9d417e"/>
    <x:sheet xmlns:r="http://schemas.openxmlformats.org/officeDocument/2006/relationships" name="Equipment" sheetId="2" r:id="Rb7b11eac2601405a"/>
    <x:sheet xmlns:r="http://schemas.openxmlformats.org/officeDocument/2006/relationships" name="Electrical Lines" sheetId="3" r:id="Re3e67d71839a4847"/>
    <x:sheet xmlns:r="http://schemas.openxmlformats.org/officeDocument/2006/relationships" name="Route Points" sheetId="4" r:id="R1d775b757ba64b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870e42df54d0b" /><Relationship Type="http://schemas.openxmlformats.org/officeDocument/2006/relationships/theme" Target="/xl/theme/theme1.xml" Id="Rf73e9a54e71548f8" /><Relationship Type="http://schemas.openxmlformats.org/officeDocument/2006/relationships/sharedStrings" Target="/xl/sharedStrings.xml" Id="Rb9f5a53366b5497e" /><Relationship Type="http://schemas.openxmlformats.org/officeDocument/2006/relationships/worksheet" Target="/xl/worksheets/sheet1.xml" Id="Ra76de6540f9d417e" /><Relationship Type="http://schemas.openxmlformats.org/officeDocument/2006/relationships/worksheet" Target="/xl/worksheets/sheet2.xml" Id="Rb7b11eac2601405a" /><Relationship Type="http://schemas.openxmlformats.org/officeDocument/2006/relationships/worksheet" Target="/xl/worksheets/sheet3.xml" Id="Re3e67d71839a4847" /><Relationship Type="http://schemas.openxmlformats.org/officeDocument/2006/relationships/worksheet" Target="/xl/worksheets/sheet4.xml" Id="R1d775b757ba64b86" /></Relationships>
</file>

<file path=xl/tables/table1.xml><?xml version="1.0" encoding="utf-8"?>
<x:table xmlns:x="http://schemas.openxmlformats.org/spreadsheetml/2006/main" id="1" name="EquipmentRegister" displayName="EquipmentRegister" ref="A6:AC31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91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a51224e78f433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37105cf99246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977fa36c6f4b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2026-11-01T01:42:20.339Z.</x:v>
      </x:c>
    </x:row>
    <x:row r="5" ht="34" customHeight="1">
      <x:c r="A5" s="20" t="str">
        <x:v>Current equipment</x:v>
      </x:c>
      <x:c r="B5" s="16" t="n">
        <x:f>COUNTIFS(Equipment!$AA$7:$AA$313,"Current")</x:f>
        <x:v>276</x:v>
      </x:c>
    </x:row>
    <x:row r="6" ht="34" customHeight="1">
      <x:c r="A6" s="20" t="str">
        <x:v>Current routes</x:v>
      </x:c>
      <x:c r="B6" s="16" t="n">
        <x:f>COUNTIFS('Electrical Lines'!$Y$7:$Y$399,"Current")</x:f>
        <x:v>299</x:v>
      </x:c>
    </x:row>
    <x:row r="7" ht="34" customHeight="1">
      <x:c r="A7" s="20" t="str">
        <x:v>Retired equipment / routes</x:v>
      </x:c>
      <x:c r="B7" s="16" t="n">
        <x:f>COUNTIFS(Equipment!$AA$7:$AA$313,"Retired")+COUNTIFS('Electrical Lines'!$Y$7:$Y$399,"Retired")</x:f>
        <x:v>125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-0.9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36° beam</x:v>
      </x:c>
      <x:c r="N9" s="11" t="n">
        <x:v>19.166666666666668</x:v>
      </x:c>
      <x:c r="O9" s="11" t="n">
        <x:v>-12.622877829714296</x:v>
      </x:c>
      <x:c r="P9" s="11" t="n">
        <x:v>-86.6382178499512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-2.48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176.5573020938274</x:v>
      </x:c>
      <x:c r="P10" s="11" t="n">
        <x:v>-80.29536789218335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0.9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36° beam</x:v>
      </x:c>
      <x:c r="N11" s="11" t="n">
        <x:v>19.166666666666668</x:v>
      </x:c>
      <x:c r="O11" s="11" t="n">
        <x:v>12.622877829714296</x:v>
      </x:c>
      <x:c r="P11" s="11" t="n">
        <x:v>-86.6382178499512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2.48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-176.5573020938274</x:v>
      </x:c>
      <x:c r="P12" s="11" t="n">
        <x:v>-80.29536789218335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-0.9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36° beam</x:v>
      </x:c>
      <x:c r="N13" s="11" t="n">
        <x:v>19.166666666666668</x:v>
      </x:c>
      <x:c r="O13" s="11" t="n">
        <x:v>-12.622877829714296</x:v>
      </x:c>
      <x:c r="P13" s="11" t="n">
        <x:v>-86.6382178499512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-2.48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28° beam</x:v>
      </x:c>
      <x:c r="N14" s="11" t="n">
        <x:v>19.166666666666668</x:v>
      </x:c>
      <x:c r="O14" s="11" t="n">
        <x:v>175.01157472464428</x:v>
      </x:c>
      <x:c r="P14" s="11" t="n">
        <x:v>-83.26440422811943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0.9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36° beam</x:v>
      </x:c>
      <x:c r="N15" s="11" t="n">
        <x:v>19.166666666666668</x:v>
      </x:c>
      <x:c r="O15" s="11" t="n">
        <x:v>12.622877829714296</x:v>
      </x:c>
      <x:c r="P15" s="11" t="n">
        <x:v>-86.6382178499512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2.48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28° beam</x:v>
      </x:c>
      <x:c r="N16" s="11" t="n">
        <x:v>19.166666666666668</x:v>
      </x:c>
      <x:c r="O16" s="11" t="n">
        <x:v>-175.01157472464428</x:v>
      </x:c>
      <x:c r="P16" s="11" t="n">
        <x:v>-83.26440422811943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-0.9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36° beam</x:v>
      </x:c>
      <x:c r="N17" s="11" t="n">
        <x:v>19.166666666666668</x:v>
      </x:c>
      <x:c r="O17" s="11" t="n">
        <x:v>-12.622877829714248</x:v>
      </x:c>
      <x:c r="P17" s="11" t="n">
        <x:v>-86.63821784995119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-2.48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28° beam</x:v>
      </x:c>
      <x:c r="N18" s="11" t="n">
        <x:v>19.166666666666668</x:v>
      </x:c>
      <x:c r="O18" s="11" t="n">
        <x:v>175.01157472464428</x:v>
      </x:c>
      <x:c r="P18" s="11" t="n">
        <x:v>-83.26440422811943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0.9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36° beam</x:v>
      </x:c>
      <x:c r="N19" s="11" t="n">
        <x:v>19.166666666666668</x:v>
      </x:c>
      <x:c r="O19" s="11" t="n">
        <x:v>12.622877829714248</x:v>
      </x:c>
      <x:c r="P19" s="11" t="n">
        <x:v>-86.63821784995119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2.48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28° beam</x:v>
      </x:c>
      <x:c r="N20" s="11" t="n">
        <x:v>19.166666666666668</x:v>
      </x:c>
      <x:c r="O20" s="11" t="n">
        <x:v>-175.01157472464428</x:v>
      </x:c>
      <x:c r="P20" s="11" t="n">
        <x:v>-83.26440422811943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-0.9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36° beam</x:v>
      </x:c>
      <x:c r="N21" s="11" t="n">
        <x:v>19.166666666666668</x:v>
      </x:c>
      <x:c r="O21" s="11" t="n">
        <x:v>-12.622877829714248</x:v>
      </x:c>
      <x:c r="P21" s="11" t="n">
        <x:v>-86.63821784995119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-2.48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28° beam</x:v>
      </x:c>
      <x:c r="N22" s="11" t="n">
        <x:v>19.166666666666668</x:v>
      </x:c>
      <x:c r="O22" s="11" t="n">
        <x:v>175.01157472464428</x:v>
      </x:c>
      <x:c r="P22" s="11" t="n">
        <x:v>-83.26440422811943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0.9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36° beam</x:v>
      </x:c>
      <x:c r="N23" s="11" t="n">
        <x:v>19.166666666666668</x:v>
      </x:c>
      <x:c r="O23" s="11" t="n">
        <x:v>12.622877829714248</x:v>
      </x:c>
      <x:c r="P23" s="11" t="n">
        <x:v>-86.63821784995119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2.48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28° beam</x:v>
      </x:c>
      <x:c r="N24" s="11" t="n">
        <x:v>19.166666666666668</x:v>
      </x:c>
      <x:c r="O24" s="11" t="n">
        <x:v>-175.01157472464428</x:v>
      </x:c>
      <x:c r="P24" s="11" t="n">
        <x:v>-83.26440422811943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-0.9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36° beam</x:v>
      </x:c>
      <x:c r="N25" s="11" t="n">
        <x:v>19.166666666666668</x:v>
      </x:c>
      <x:c r="O25" s="11" t="n">
        <x:v>-12.622877829714248</x:v>
      </x:c>
      <x:c r="P25" s="11" t="n">
        <x:v>-86.63821784995119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-2.48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28° beam</x:v>
      </x:c>
      <x:c r="N26" s="11" t="n">
        <x:v>19.166666666666668</x:v>
      </x:c>
      <x:c r="O26" s="11" t="n">
        <x:v>175.01157472464428</x:v>
      </x:c>
      <x:c r="P26" s="11" t="n">
        <x:v>-83.26440422811943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0.9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36° beam</x:v>
      </x:c>
      <x:c r="N27" s="11" t="n">
        <x:v>19.166666666666668</x:v>
      </x:c>
      <x:c r="O27" s="11" t="n">
        <x:v>12.622877829714248</x:v>
      </x:c>
      <x:c r="P27" s="11" t="n">
        <x:v>-86.63821784995119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2.48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28° beam</x:v>
      </x:c>
      <x:c r="N28" s="11" t="n">
        <x:v>19.166666666666668</x:v>
      </x:c>
      <x:c r="O28" s="11" t="n">
        <x:v>-175.01157472464428</x:v>
      </x:c>
      <x:c r="P28" s="11" t="n">
        <x:v>-83.26440422811943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-0.9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36° beam</x:v>
      </x:c>
      <x:c r="N29" s="11" t="n">
        <x:v>19.166666666666668</x:v>
      </x:c>
      <x:c r="O29" s="11" t="n">
        <x:v>-12.622877829714248</x:v>
      </x:c>
      <x:c r="P29" s="11" t="n">
        <x:v>-86.63821784995119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-2.48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28° beam</x:v>
      </x:c>
      <x:c r="N30" s="11" t="n">
        <x:v>19.166666666666668</x:v>
      </x:c>
      <x:c r="O30" s="11" t="n">
        <x:v>175.01157472464428</x:v>
      </x:c>
      <x:c r="P30" s="11" t="n">
        <x:v>-83.26440422811943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0.9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36° beam</x:v>
      </x:c>
      <x:c r="N31" s="11" t="n">
        <x:v>19.166666666666668</x:v>
      </x:c>
      <x:c r="O31" s="11" t="n">
        <x:v>12.622877829714248</x:v>
      </x:c>
      <x:c r="P31" s="11" t="n">
        <x:v>-86.63821784995119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2.48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28° beam</x:v>
      </x:c>
      <x:c r="N32" s="11" t="n">
        <x:v>19.166666666666668</x:v>
      </x:c>
      <x:c r="O32" s="11" t="n">
        <x:v>-175.01157472464428</x:v>
      </x:c>
      <x:c r="P32" s="11" t="n">
        <x:v>-83.26440422811943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-0.9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36° beam</x:v>
      </x:c>
      <x:c r="N33" s="11" t="n">
        <x:v>19.166666666666668</x:v>
      </x:c>
      <x:c r="O33" s="11" t="n">
        <x:v>-6.633943476428958</x:v>
      </x:c>
      <x:c r="P33" s="11" t="n">
        <x:v>-83.65942151447896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-2.48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28° beam</x:v>
      </x:c>
      <x:c r="N34" s="11" t="n">
        <x:v>19.166666666666668</x:v>
      </x:c>
      <x:c r="O34" s="11" t="n">
        <x:v>175.01157472464428</x:v>
      </x:c>
      <x:c r="P34" s="11" t="n">
        <x:v>-83.26440422811943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0.9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36° beam</x:v>
      </x:c>
      <x:c r="N35" s="11" t="n">
        <x:v>19.166666666666668</x:v>
      </x:c>
      <x:c r="O35" s="11" t="n">
        <x:v>6.633943476428958</x:v>
      </x:c>
      <x:c r="P35" s="11" t="n">
        <x:v>-83.65942151447896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2.48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28° beam</x:v>
      </x:c>
      <x:c r="N36" s="11" t="n">
        <x:v>19.166666666666668</x:v>
      </x:c>
      <x:c r="O36" s="11" t="n">
        <x:v>-175.01157472464428</x:v>
      </x:c>
      <x:c r="P36" s="11" t="n">
        <x:v>-83.26440422811943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L71</x:v>
      </x:c>
      <x:c r="B69" s="8" t="str">
        <x:v>Roof uplight · axis 3</x:v>
      </x:c>
      <x:c r="C69" s="8" t="str">
        <x:v>light</x:v>
      </x:c>
      <x:c r="D69" s="8" t="str">
        <x:v>DB1</x:v>
      </x:c>
      <x:c r="E69" s="8" t="str">
        <x:v>LA</x:v>
      </x:c>
      <x:c r="F69" s="11" t="n">
        <x:v>9.975</x:v>
      </x:c>
      <x:c r="G69" s="11" t="n">
        <x:v>9.18</x:v>
      </x:c>
      <x:c r="H69" s="11" t="n">
        <x:v>0</x:v>
      </x:c>
      <x:c r="I69" s="8" t="str">
        <x:v>floor</x:v>
      </x:c>
      <x:c r="J69" s="8" t="str">
        <x:v>Shown</x:v>
      </x:c>
      <x:c r="K69" s="8" t="str">
        <x:v>On</x:v>
      </x:c>
      <x:c r="L69" s="8" t="str">
        <x:v>320 × 220 × 300</x:v>
      </x:c>
      <x:c r="M69" s="8" t="str">
        <x:v>4000 lm · 2700 K · 100° beam</x:v>
      </x:c>
      <x:c r="N69" s="11" t="n">
        <x:v>32</x:v>
      </x:c>
      <x:c r="O69" s="11" t="n">
        <x:v>90</x:v>
      </x:c>
      <x:c r="P69" s="11" t="n">
        <x:v>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drop:LC1:LA:light:-1:L71</x:v>
      </x:c>
      <x:c r="AC69" s="8" t="str">
        <x:v>{"finish":"bronze","dim":1}</x:v>
      </x:c>
    </x:row>
    <x:row r="70" ht="96" customHeight="1">
      <x:c r="A70" s="8" t="str">
        <x:v>L72</x:v>
      </x:c>
      <x:c r="B70" s="8" t="str">
        <x:v>Roof uplight · axis 4</x:v>
      </x:c>
      <x:c r="C70" s="8" t="str">
        <x:v>light</x:v>
      </x:c>
      <x:c r="D70" s="8" t="str">
        <x:v>DB1</x:v>
      </x:c>
      <x:c r="E70" s="8" t="str">
        <x:v>LA</x:v>
      </x:c>
      <x:c r="F70" s="11" t="n">
        <x:v>14.475</x:v>
      </x:c>
      <x:c r="G70" s="11" t="n">
        <x:v>9.18</x:v>
      </x:c>
      <x:c r="H70" s="11" t="n">
        <x:v>0</x:v>
      </x:c>
      <x:c r="I70" s="8" t="str">
        <x:v>floor</x:v>
      </x:c>
      <x:c r="J70" s="8" t="str">
        <x:v>Shown</x:v>
      </x:c>
      <x:c r="K70" s="8" t="str">
        <x:v>On</x:v>
      </x:c>
      <x:c r="L70" s="8" t="str">
        <x:v>320 × 220 × 300</x:v>
      </x:c>
      <x:c r="M70" s="8" t="str">
        <x:v>4000 lm · 2700 K · 100° beam</x:v>
      </x:c>
      <x:c r="N70" s="11" t="n">
        <x:v>32</x:v>
      </x:c>
      <x:c r="O70" s="11" t="n">
        <x:v>90</x:v>
      </x:c>
      <x:c r="P70" s="11" t="n">
        <x:v>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drop:LC1:LA:light:-1:L72</x:v>
      </x:c>
      <x:c r="AC70" s="8" t="str">
        <x:v>{"finish":"bronze","dim":1}</x:v>
      </x:c>
    </x:row>
    <x:row r="71" ht="96" customHeight="1">
      <x:c r="A71" s="8" t="str">
        <x:v>L73</x:v>
      </x:c>
      <x:c r="B71" s="8" t="str">
        <x:v>Roof uplight · axis 5</x:v>
      </x:c>
      <x:c r="C71" s="8" t="str">
        <x:v>light</x:v>
      </x:c>
      <x:c r="D71" s="8" t="str">
        <x:v>DB1</x:v>
      </x:c>
      <x:c r="E71" s="8" t="str">
        <x:v>LA</x:v>
      </x:c>
      <x:c r="F71" s="11" t="n">
        <x:v>18.975</x:v>
      </x:c>
      <x:c r="G71" s="11" t="n">
        <x:v>9.18</x:v>
      </x:c>
      <x:c r="H71" s="11" t="n">
        <x:v>0</x:v>
      </x:c>
      <x:c r="I71" s="8" t="str">
        <x:v>floor</x:v>
      </x:c>
      <x:c r="J71" s="8" t="str">
        <x:v>Shown</x:v>
      </x:c>
      <x:c r="K71" s="8" t="str">
        <x:v>On</x:v>
      </x:c>
      <x:c r="L71" s="8" t="str">
        <x:v>320 × 220 × 300</x:v>
      </x:c>
      <x:c r="M71" s="8" t="str">
        <x:v>4000 lm · 2700 K · 100° beam</x:v>
      </x:c>
      <x:c r="N71" s="11" t="n">
        <x:v>32</x:v>
      </x:c>
      <x:c r="O71" s="11" t="n">
        <x:v>90</x:v>
      </x:c>
      <x:c r="P71" s="11" t="n">
        <x:v>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drop:LC1:LA:light:-1:L73</x:v>
      </x:c>
      <x:c r="AC71" s="8" t="str">
        <x:v>{"finish":"bronze","dim":1}</x:v>
      </x:c>
    </x:row>
    <x:row r="72" ht="96" customHeight="1">
      <x:c r="A72" s="8" t="str">
        <x:v>L74</x:v>
      </x:c>
      <x:c r="B72" s="8" t="str">
        <x:v>Roof uplight · axis 6</x:v>
      </x:c>
      <x:c r="C72" s="8" t="str">
        <x:v>light</x:v>
      </x:c>
      <x:c r="D72" s="8" t="str">
        <x:v>DB1</x:v>
      </x:c>
      <x:c r="E72" s="8" t="str">
        <x:v>LA</x:v>
      </x:c>
      <x:c r="F72" s="11" t="n">
        <x:v>23.475</x:v>
      </x:c>
      <x:c r="G72" s="11" t="n">
        <x:v>9.18</x:v>
      </x:c>
      <x:c r="H72" s="11" t="n">
        <x:v>0</x:v>
      </x:c>
      <x:c r="I72" s="8" t="str">
        <x:v>floor</x:v>
      </x:c>
      <x:c r="J72" s="8" t="str">
        <x:v>Shown</x:v>
      </x:c>
      <x:c r="K72" s="8" t="str">
        <x:v>On</x:v>
      </x:c>
      <x:c r="L72" s="8" t="str">
        <x:v>320 × 220 × 300</x:v>
      </x:c>
      <x:c r="M72" s="8" t="str">
        <x:v>4000 lm · 2700 K · 100° beam</x:v>
      </x:c>
      <x:c r="N72" s="11" t="n">
        <x:v>32</x:v>
      </x:c>
      <x:c r="O72" s="11" t="n">
        <x:v>90</x:v>
      </x:c>
      <x:c r="P72" s="11" t="n">
        <x:v>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drop:LC1:LA:light:-1:L74</x:v>
      </x:c>
      <x:c r="AC72" s="8" t="str">
        <x:v>{"finish":"bronze","dim":1}</x:v>
      </x:c>
    </x:row>
    <x:row r="73" ht="96" customHeight="1">
      <x:c r="A73" s="8" t="str">
        <x:v>L75</x:v>
      </x:c>
      <x:c r="B73" s="8" t="str">
        <x:v>Roof uplight · axis 7</x:v>
      </x:c>
      <x:c r="C73" s="8" t="str">
        <x:v>light</x:v>
      </x:c>
      <x:c r="D73" s="8" t="str">
        <x:v>DB1</x:v>
      </x:c>
      <x:c r="E73" s="8" t="str">
        <x:v>LA</x:v>
      </x:c>
      <x:c r="F73" s="11" t="n">
        <x:v>27.975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drop:LC1:LA:light:-1:L75</x:v>
      </x:c>
      <x:c r="AC73" s="8" t="str">
        <x:v>{"finish":"bronze","dim":1}</x:v>
      </x:c>
    </x:row>
    <x:row r="74" ht="96" customHeight="1">
      <x:c r="A74" s="8" t="str">
        <x:v>L76</x:v>
      </x:c>
      <x:c r="B74" s="8" t="str">
        <x:v>Roof uplight · axis 8</x:v>
      </x:c>
      <x:c r="C74" s="8" t="str">
        <x:v>light</x:v>
      </x:c>
      <x:c r="D74" s="8" t="str">
        <x:v>DB1</x:v>
      </x:c>
      <x:c r="E74" s="8" t="str">
        <x:v>LA</x:v>
      </x:c>
      <x:c r="F74" s="11" t="n">
        <x:v>32.475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drop:LC1:LA:light:-1:L76</x:v>
      </x:c>
      <x:c r="AC74" s="8" t="str">
        <x:v>{"finish":"bronze","dim":1}</x:v>
      </x:c>
    </x:row>
    <x:row r="75" ht="96" customHeight="1">
      <x:c r="A75" s="8" t="str">
        <x:v>L77</x:v>
      </x:c>
      <x:c r="B75" s="8" t="str">
        <x:v>Roof uplight · axis 9</x:v>
      </x:c>
      <x:c r="C75" s="8" t="str">
        <x:v>light</x:v>
      </x:c>
      <x:c r="D75" s="8" t="str">
        <x:v>DB1</x:v>
      </x:c>
      <x:c r="E75" s="8" t="str">
        <x:v>LA</x:v>
      </x:c>
      <x:c r="F75" s="11" t="n">
        <x:v>36.975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drop:LC1:LA:light:-1:L77</x:v>
      </x:c>
      <x:c r="AC75" s="8" t="str">
        <x:v>{"finish":"bronze","dim":1}</x:v>
      </x:c>
    </x:row>
    <x:row r="76" ht="96" customHeight="1">
      <x:c r="A76" s="8" t="str">
        <x:v>L81</x:v>
      </x:c>
      <x:c r="B76" s="8" t="str">
        <x:v>Grand chandelier · crossing 9–10</x:v>
      </x:c>
      <x:c r="C76" s="8" t="str">
        <x:v>light</x:v>
      </x:c>
      <x:c r="D76" s="8" t="str">
        <x:v>DB1</x:v>
      </x:c>
      <x:c r="E76" s="8" t="str">
        <x:v>L3</x:v>
      </x:c>
      <x:c r="F76" s="11" t="n">
        <x:v>40.575</x:v>
      </x:c>
      <x:c r="G76" s="11" t="n">
        <x:v>9.2</x:v>
      </x:c>
      <x:c r="H76" s="11" t="n">
        <x:v>0</x:v>
      </x:c>
      <x:c r="I76" s="8" t="str">
        <x:v>pendant</x:v>
      </x:c>
      <x:c r="J76" s="8" t="str">
        <x:v>Shown</x:v>
      </x:c>
      <x:c r="K76" s="8" t="str">
        <x:v>On</x:v>
      </x:c>
      <x:c r="L76" s="8" t="str">
        <x:v>2640 × 1150 × 2640</x:v>
      </x:c>
      <x:c r="M76" s="8" t="str">
        <x:v>5640 lm · 2700 K</x:v>
      </x:c>
      <x:c r="N76" s="11" t="n">
        <x:v>54</x:v>
      </x:c>
      <x:c r="O76" s="11" t="n">
        <x:v>0</x:v>
      </x:c>
      <x:c r="P76" s="11" t="n">
        <x:v>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drop:LC1:L3:light:-1:L81</x:v>
      </x:c>
      <x:c r="AC76" s="8" t="str">
        <x:v>{"dim":1,"anchorY":12.152}</x:v>
      </x:c>
    </x:row>
    <x:row r="77" ht="96" customHeight="1">
      <x:c r="A77" s="8" t="str">
        <x:v>L98</x:v>
      </x:c>
      <x:c r="B77" s="8" t="str">
        <x:v>Altar key light · B</x:v>
      </x:c>
      <x:c r="C77" s="8" t="str">
        <x:v>light</x:v>
      </x:c>
      <x:c r="D77" s="8" t="str">
        <x:v>DB1</x:v>
      </x:c>
      <x:c r="E77" s="8" t="str">
        <x:v>L3</x:v>
      </x:c>
      <x:c r="F77" s="11" t="n">
        <x:v>36.975</x:v>
      </x:c>
      <x:c r="G77" s="11" t="n">
        <x:v>8.584999999999999</x:v>
      </x:c>
      <x:c r="H77" s="11" t="n">
        <x:v>-1.4</x:v>
      </x:c>
      <x:c r="I77" s="8" t="str">
        <x:v>pendant</x:v>
      </x:c>
      <x:c r="J77" s="8" t="str">
        <x:v>Shown</x:v>
      </x:c>
      <x:c r="K77" s="8" t="str">
        <x:v>On</x:v>
      </x:c>
      <x:c r="L77" s="8" t="str">
        <x:v>330 × 222 × 240</x:v>
      </x:c>
      <x:c r="M77" s="8" t="str">
        <x:v>4500 lm · 3000 K · 24° beam</x:v>
      </x:c>
      <x:c r="N77" s="11" t="n">
        <x:v>37.5</x:v>
      </x:c>
      <x:c r="O77" s="11" t="n">
        <x:v>7.997806341019655</x:v>
      </x:c>
      <x:c r="P77" s="11" t="n">
        <x:v>-43.289366909219964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drop:LC1:L3:light:-1:L98</x:v>
      </x:c>
      <x:c r="AC77" s="8" t="str">
        <x:v>{"finish":"timber","lumens":4500,"dim":1,"anchorY":8.59}</x:v>
      </x:c>
    </x:row>
    <x:row r="78" ht="96" customHeight="1">
      <x:c r="A78" s="8" t="str">
        <x:v>L99</x:v>
      </x:c>
      <x:c r="B78" s="8" t="str">
        <x:v>Altar key light · H</x:v>
      </x:c>
      <x:c r="C78" s="8" t="str">
        <x:v>light</x:v>
      </x:c>
      <x:c r="D78" s="8" t="str">
        <x:v>DB1</x:v>
      </x:c>
      <x:c r="E78" s="8" t="str">
        <x:v>L3</x:v>
      </x:c>
      <x:c r="F78" s="11" t="n">
        <x:v>36.975</x:v>
      </x:c>
      <x:c r="G78" s="11" t="n">
        <x:v>8.584999999999999</x:v>
      </x:c>
      <x:c r="H78" s="11" t="n">
        <x:v>1.4</x:v>
      </x:c>
      <x:c r="I78" s="8" t="str">
        <x:v>pendant</x:v>
      </x:c>
      <x:c r="J78" s="8" t="str">
        <x:v>Shown</x:v>
      </x:c>
      <x:c r="K78" s="8" t="str">
        <x:v>On</x:v>
      </x:c>
      <x:c r="L78" s="8" t="str">
        <x:v>330 × 222 × 240</x:v>
      </x:c>
      <x:c r="M78" s="8" t="str">
        <x:v>4500 lm · 3000 K · 24° beam</x:v>
      </x:c>
      <x:c r="N78" s="11" t="n">
        <x:v>37.5</x:v>
      </x:c>
      <x:c r="O78" s="11" t="n">
        <x:v>-7.997806341019655</x:v>
      </x:c>
      <x:c r="P78" s="11" t="n">
        <x:v>-43.289366909219964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drop:LC1:L3:light:1:L99</x:v>
      </x:c>
      <x:c r="AC78" s="8" t="str">
        <x:v>{"finish":"timber","lumens":4500,"dim":1,"anchorY":8.59}</x:v>
      </x:c>
    </x:row>
    <x:row r="79" ht="96" customHeight="1">
      <x:c r="A79" s="8" t="str">
        <x:v>L100</x:v>
      </x:c>
      <x:c r="B79" s="8" t="str">
        <x:v>Ambo key light</x:v>
      </x:c>
      <x:c r="C79" s="8" t="str">
        <x:v>light</x:v>
      </x:c>
      <x:c r="D79" s="8" t="str">
        <x:v>DB1</x:v>
      </x:c>
      <x:c r="E79" s="8" t="str">
        <x:v>L3</x:v>
      </x:c>
      <x:c r="F79" s="11" t="n">
        <x:v>36.975</x:v>
      </x:c>
      <x:c r="G79" s="11" t="n">
        <x:v>8.584999999999999</x:v>
      </x:c>
      <x:c r="H79" s="11" t="n">
        <x:v>-3.15</x:v>
      </x:c>
      <x:c r="I79" s="8" t="str">
        <x:v>pendant</x:v>
      </x:c>
      <x:c r="J79" s="8" t="str">
        <x:v>Shown</x:v>
      </x:c>
      <x:c r="K79" s="8" t="str">
        <x:v>On</x:v>
      </x:c>
      <x:c r="L79" s="8" t="str">
        <x:v>269 × 197 × 190</x:v>
      </x:c>
      <x:c r="M79" s="8" t="str">
        <x:v>1900 lm · 3000 K · 15° beam</x:v>
      </x:c>
      <x:c r="N79" s="11" t="n">
        <x:v>16.72</x:v>
      </x:c>
      <x:c r="O79" s="11" t="n">
        <x:v>6.509365045221569</x:v>
      </x:c>
      <x:c r="P79" s="11" t="n">
        <x:v>-53.5732070312224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drop:LC1:L3:light:-1:L100</x:v>
      </x:c>
      <x:c r="AC79" s="8" t="str">
        <x:v>{"finish":"timber","lumens":1900,"dim":1,"anchorY":8.59}</x:v>
      </x:c>
    </x:row>
    <x:row r="80" ht="96" customHeight="1">
      <x:c r="A80" s="8" t="str">
        <x:v>L101</x:v>
      </x:c>
      <x:c r="B80" s="8" t="str">
        <x:v>Sanctuary step fill · B</x:v>
      </x:c>
      <x:c r="C80" s="8" t="str">
        <x:v>light</x:v>
      </x:c>
      <x:c r="D80" s="8" t="str">
        <x:v>DB1</x:v>
      </x:c>
      <x:c r="E80" s="8" t="str">
        <x:v>L3</x:v>
      </x:c>
      <x:c r="F80" s="11" t="n">
        <x:v>36.975</x:v>
      </x:c>
      <x:c r="G80" s="11" t="n">
        <x:v>8.584999999999999</x:v>
      </x:c>
      <x:c r="H80" s="11" t="n">
        <x:v>-1.9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330 × 222 × 240</x:v>
      </x:c>
      <x:c r="M80" s="8" t="str">
        <x:v>4000 lm · 3000 K · 36° beam</x:v>
      </x:c>
      <x:c r="N80" s="11" t="n">
        <x:v>33.333333333333336</x:v>
      </x:c>
      <x:c r="O80" s="11" t="n">
        <x:v>-4.696994876326327</x:v>
      </x:c>
      <x:c r="P80" s="11" t="n">
        <x:v>-59.36220621576156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drop:LC1:L3:light:-1:L101</x:v>
      </x:c>
      <x:c r="AC80" s="8" t="str">
        <x:v>{"finish":"timber","lumens":4000,"dim":1,"anchorY":8.59}</x:v>
      </x:c>
    </x:row>
    <x:row r="81" ht="96" customHeight="1">
      <x:c r="A81" s="8" t="str">
        <x:v>L102</x:v>
      </x:c>
      <x:c r="B81" s="8" t="str">
        <x:v>Sanctuary step fill · H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1.9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4000 lm · 3000 K · 36° beam</x:v>
      </x:c>
      <x:c r="N81" s="11" t="n">
        <x:v>33.333333333333336</x:v>
      </x:c>
      <x:c r="O81" s="11" t="n">
        <x:v>4.696994876326327</x:v>
      </x:c>
      <x:c r="P81" s="11" t="n">
        <x:v>-59.36220621576156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drop:LC1:L3:light:1:L102</x:v>
      </x:c>
      <x:c r="AC81" s="8" t="str">
        <x:v>{"finish":"timber","lumens":4000,"dim":1,"anchorY":8.59}</x:v>
      </x:c>
    </x:row>
    <x:row r="82" ht="96" customHeight="1">
      <x:c r="A82" s="8" t="str">
        <x:v>L103</x:v>
      </x:c>
      <x:c r="B82" s="8" t="str">
        <x:v>Presider chair light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3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269 × 197 × 190</x:v>
      </x:c>
      <x:c r="M82" s="8" t="str">
        <x:v>1400 lm · 3000 K · 15° beam</x:v>
      </x:c>
      <x:c r="N82" s="11" t="n">
        <x:v>12.32</x:v>
      </x:c>
      <x:c r="O82" s="11" t="n">
        <x:v>-4.751325315268188</x:v>
      </x:c>
      <x:c r="P82" s="11" t="n">
        <x:v>-33.0537873311373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drop:LC1:L3:light:1:L103</x:v>
      </x:c>
      <x:c r="AC82" s="8" t="str">
        <x:v>{"finish":"timber","lumens":1400,"dim":1,"anchorY":8.59}</x:v>
      </x:c>
    </x:row>
    <x:row r="83" ht="96" customHeight="1">
      <x:c r="A83" s="8" t="str">
        <x:v>L104</x:v>
      </x:c>
      <x:c r="B83" s="8" t="str">
        <x:v>Sanctuary frame wash · B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-0.6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330 × 222 × 240</x:v>
      </x:c>
      <x:c r="M83" s="8" t="str">
        <x:v>3500 lm · 3000 K · 50° beam</x:v>
      </x:c>
      <x:c r="N83" s="11" t="n">
        <x:v>29.166666666666668</x:v>
      </x:c>
      <x:c r="O83" s="11" t="n">
        <x:v>-9.727578551401615</x:v>
      </x:c>
      <x:c r="P83" s="11" t="n">
        <x:v>9.707945617134026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drop:LC1:L3:light:-1:L104</x:v>
      </x:c>
      <x:c r="AC83" s="8" t="str">
        <x:v>{"finish":"timber","lumens":3500,"dim":1,"anchorY":8.59}</x:v>
      </x:c>
    </x:row>
    <x:row r="84" ht="96" customHeight="1">
      <x:c r="A84" s="8" t="str">
        <x:v>L105</x:v>
      </x:c>
      <x:c r="B84" s="8" t="str">
        <x:v>Sanctuary frame wash · H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0.6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3500 lm · 3000 K · 50° beam</x:v>
      </x:c>
      <x:c r="N84" s="11" t="n">
        <x:v>29.166666666666668</x:v>
      </x:c>
      <x:c r="O84" s="11" t="n">
        <x:v>9.727578551401615</x:v>
      </x:c>
      <x:c r="P84" s="11" t="n">
        <x:v>9.707945617134026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drop:LC1:L3:light:1:L105</x:v>
      </x:c>
      <x:c r="AC84" s="8" t="str">
        <x:v>{"finish":"timber","lumens":3500,"dim":1,"anchorY":8.59}</x:v>
      </x:c>
    </x:row>
    <x:row r="85" ht="96" customHeight="1">
      <x:c r="A85" s="8" t="str">
        <x:v>L106</x:v>
      </x:c>
      <x:c r="B85" s="8" t="str">
        <x:v>Crucifix accent · B</x:v>
      </x:c>
      <x:c r="C85" s="8" t="str">
        <x:v>light</x:v>
      </x:c>
      <x:c r="D85" s="8" t="str">
        <x:v>DB1</x:v>
      </x:c>
      <x:c r="E85" s="8" t="str">
        <x:v>L3</x:v>
      </x:c>
      <x:c r="F85" s="11" t="n">
        <x:v>44.75</x:v>
      </x:c>
      <x:c r="G85" s="11" t="n">
        <x:v>7.6</x:v>
      </x:c>
      <x:c r="H85" s="11" t="n">
        <x:v>-3.2399999999999998</x:v>
      </x:c>
      <x:c r="I85" s="8" t="str">
        <x:v>wall</x:v>
      </x:c>
      <x:c r="J85" s="8" t="str">
        <x:v>Shown</x:v>
      </x:c>
      <x:c r="K85" s="8" t="str">
        <x:v>On</x:v>
      </x:c>
      <x:c r="L85" s="8" t="str">
        <x:v>269 × 197 × 190</x:v>
      </x:c>
      <x:c r="M85" s="8" t="str">
        <x:v>700 lm · 3000 K · 24° beam</x:v>
      </x:c>
      <x:c r="N85" s="11" t="n">
        <x:v>6.16</x:v>
      </x:c>
      <x:c r="O85" s="11" t="n">
        <x:v>40.827015523920494</x:v>
      </x:c>
      <x:c r="P85" s="11" t="n">
        <x:v>-26.76902251653982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drop:LC1:L3:light:-1:L106</x:v>
      </x:c>
      <x:c r="AC85" s="8" t="str">
        <x:v>{"finish":"chamber","lumens":700,"dim":1}</x:v>
      </x:c>
    </x:row>
    <x:row r="86" ht="96" customHeight="1">
      <x:c r="A86" s="8" t="str">
        <x:v>L107</x:v>
      </x:c>
      <x:c r="B86" s="8" t="str">
        <x:v>Reredos wash · B</x:v>
      </x:c>
      <x:c r="C86" s="8" t="str">
        <x:v>light</x:v>
      </x:c>
      <x:c r="D86" s="8" t="str">
        <x:v>DB1</x:v>
      </x:c>
      <x:c r="E86" s="8" t="str">
        <x:v>L3</x:v>
      </x:c>
      <x:c r="F86" s="11" t="n">
        <x:v>44.75</x:v>
      </x:c>
      <x:c r="G86" s="11" t="n">
        <x:v>7.25</x:v>
      </x:c>
      <x:c r="H86" s="11" t="n">
        <x:v>-3.2399999999999998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330 × 222 × 240</x:v>
      </x:c>
      <x:c r="M86" s="8" t="str">
        <x:v>850 lm · 3000 K · 36° beam</x:v>
      </x:c>
      <x:c r="N86" s="11" t="n">
        <x:v>7.083333333333333</x:v>
      </x:c>
      <x:c r="O86" s="11" t="n">
        <x:v>9.727578551401601</x:v>
      </x:c>
      <x:c r="P86" s="11" t="n">
        <x:v>-35.14615446872573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drop:LC1:L3:light:-1:L107</x:v>
      </x:c>
      <x:c r="AC86" s="8" t="str">
        <x:v>{"finish":"chamber","lumens":850,"dim":1}</x:v>
      </x:c>
    </x:row>
    <x:row r="87" ht="96" customHeight="1">
      <x:c r="A87" s="8" t="str">
        <x:v>L108</x:v>
      </x:c>
      <x:c r="B87" s="8" t="str">
        <x:v>Reredos base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45.2</x:v>
      </x:c>
      <x:c r="G87" s="11" t="n">
        <x:v>7.25</x:v>
      </x:c>
      <x:c r="H87" s="11" t="n">
        <x:v>-3.2399999999999998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1300 lm · 3000 K · 36° beam</x:v>
      </x:c>
      <x:c r="N87" s="11" t="n">
        <x:v>10.833333333333334</x:v>
      </x:c>
      <x:c r="O87" s="11" t="n">
        <x:v>72.94088618074167</x:v>
      </x:c>
      <x:c r="P87" s="11" t="n">
        <x:v>-40.50362289000834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drop:LC1:L3:light:-1:L108</x:v>
      </x:c>
      <x:c r="AC87" s="8" t="str">
        <x:v>{"finish":"chamber","lumens":1300,"dim":1}</x:v>
      </x:c>
    </x:row>
    <x:row r="88" ht="96" customHeight="1">
      <x:c r="A88" s="8" t="str">
        <x:v>L109</x:v>
      </x:c>
      <x:c r="B88" s="8" t="str">
        <x:v>Sanctuary vault uplight · B</x:v>
      </x:c>
      <x:c r="C88" s="8" t="str">
        <x:v>light</x:v>
      </x:c>
      <x:c r="D88" s="8" t="str">
        <x:v>DB1</x:v>
      </x:c>
      <x:c r="E88" s="8" t="str">
        <x:v>L3</x:v>
      </x:c>
      <x:c r="F88" s="11" t="n">
        <x:v>45.35</x:v>
      </x:c>
      <x:c r="G88" s="11" t="n">
        <x:v>8.42</x:v>
      </x:c>
      <x:c r="H88" s="11" t="n">
        <x:v>-2.94</x:v>
      </x:c>
      <x:c r="I88" s="8" t="str">
        <x:v>floor</x:v>
      </x:c>
      <x:c r="J88" s="8" t="str">
        <x:v>Shown</x:v>
      </x:c>
      <x:c r="K88" s="8" t="str">
        <x:v>On</x:v>
      </x:c>
      <x:c r="L88" s="8" t="str">
        <x:v>320 × 220 × 300</x:v>
      </x:c>
      <x:c r="M88" s="8" t="str">
        <x:v>2200 lm · 2700 K · 100° beam</x:v>
      </x:c>
      <x:c r="N88" s="11" t="n">
        <x:v>17.6</x:v>
      </x:c>
      <x:c r="O88" s="11" t="n">
        <x:v>57.56023709684557</x:v>
      </x:c>
      <x:c r="P88" s="11" t="n">
        <x:v>25.269330425715808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drop:LC1:L3:light:-1:L109</x:v>
      </x:c>
      <x:c r="AC88" s="8" t="str">
        <x:v>{"finish":"chamber","lumens":2200,"dim":1}</x:v>
      </x:c>
    </x:row>
    <x:row r="89" ht="96" customHeight="1">
      <x:c r="A89" s="8" t="str">
        <x:v>L110</x:v>
      </x:c>
      <x:c r="B89" s="8" t="str">
        <x:v>Crucifix accent · H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-40.827015523920494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drop:LC1:L3:light:1:L110</x:v>
      </x:c>
      <x:c r="AC89" s="8" t="str">
        <x:v>{"finish":"chamber","lumens":700,"dim":1}</x:v>
      </x:c>
    </x:row>
    <x:row r="90" ht="96" customHeight="1">
      <x:c r="A90" s="8" t="str">
        <x:v>L111</x:v>
      </x:c>
      <x:c r="B90" s="8" t="str">
        <x:v>Reredos wash · H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-9.727578551401601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drop:LC1:L3:light:1:L111</x:v>
      </x:c>
      <x:c r="AC90" s="8" t="str">
        <x:v>{"finish":"chamber","lumens":850,"dim":1}</x:v>
      </x:c>
    </x:row>
    <x:row r="91" ht="96" customHeight="1">
      <x:c r="A91" s="8" t="str">
        <x:v>L112</x:v>
      </x:c>
      <x:c r="B91" s="8" t="str">
        <x:v>Reredos base wash · H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-72.94088618074167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drop:LC1:L3:light:1:L112</x:v>
      </x:c>
      <x:c r="AC91" s="8" t="str">
        <x:v>{"finish":"chamber","lumens":1300,"dim":1}</x:v>
      </x:c>
    </x:row>
    <x:row r="92" ht="96" customHeight="1">
      <x:c r="A92" s="8" t="str">
        <x:v>L113</x:v>
      </x:c>
      <x:c r="B92" s="8" t="str">
        <x:v>Sanctuary vault uplight · H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-57.56023709684557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drop:LC1:L3:light:1:L113</x:v>
      </x:c>
      <x:c r="AC92" s="8" t="str">
        <x:v>{"finish":"chamber","lumens":2200,"dim":1}</x:v>
      </x:c>
    </x:row>
    <x:row r="93" ht="96" customHeight="1">
      <x:c r="A93" s="8" t="str">
        <x:v>L114</x:v>
      </x:c>
      <x:c r="B93" s="8" t="str">
        <x:v>Tabernacle accent</x:v>
      </x:c>
      <x:c r="C93" s="8" t="str">
        <x:v>light</x:v>
      </x:c>
      <x:c r="D93" s="8" t="str">
        <x:v>DB1</x:v>
      </x:c>
      <x:c r="E93" s="8" t="str">
        <x:v>L3</x:v>
      </x:c>
      <x:c r="F93" s="11" t="n">
        <x:v>45.65</x:v>
      </x:c>
      <x:c r="G93" s="11" t="n">
        <x:v>7.25</x:v>
      </x:c>
      <x:c r="H93" s="11" t="n">
        <x:v>-3.2399999999999998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900 lm · 3000 K · 10° beam</x:v>
      </x:c>
      <x:c r="N93" s="11" t="n">
        <x:v>7.92</x:v>
      </x:c>
      <x:c r="O93" s="11" t="n">
        <x:v>63.012109418251534</x:v>
      </x:c>
      <x:c r="P93" s="11" t="n">
        <x:v>-55.0379731303053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drop:LC1:L3:light:-1:L114</x:v>
      </x:c>
      <x:c r="AC93" s="8" t="str">
        <x:v>{"finish":"chamber","lumens":900,"dim":1}</x:v>
      </x:c>
    </x:row>
    <x:row r="94" ht="96" customHeight="1">
      <x:c r="A94" s="8" t="str">
        <x:v>L115</x:v>
      </x:c>
      <x:c r="B94" s="8" t="str">
        <x:v>Statue accent · B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44.419999999999995</x:v>
      </x:c>
      <x:c r="G94" s="11" t="n">
        <x:v>7.75</x:v>
      </x:c>
      <x:c r="H94" s="11" t="n">
        <x:v>-4.75</x:v>
      </x:c>
      <x:c r="I94" s="8" t="str">
        <x:v>wall</x:v>
      </x:c>
      <x:c r="J94" s="8" t="str">
        <x:v>Shown</x:v>
      </x:c>
      <x:c r="K94" s="8" t="str">
        <x:v>On</x:v>
      </x:c>
      <x:c r="L94" s="8" t="str">
        <x:v>269 × 197 × 190</x:v>
      </x:c>
      <x:c r="M94" s="8" t="str">
        <x:v>165 lm · 3000 K · 12° beam</x:v>
      </x:c>
      <x:c r="N94" s="11" t="n">
        <x:v>1.452</x:v>
      </x:c>
      <x:c r="O94" s="11" t="n">
        <x:v>-9.651833466804238</x:v>
      </x:c>
      <x:c r="P94" s="11" t="n">
        <x:v>-39.21267771222643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drop:LC1:L3:light:-1:L115</x:v>
      </x:c>
      <x:c r="AC94" s="8" t="str">
        <x:v>{"finish":"timber","lumens":165,"dim":1}</x:v>
      </x:c>
    </x:row>
    <x:row r="95" ht="96" customHeight="1">
      <x:c r="A95" s="8" t="str">
        <x:v>L116</x:v>
      </x:c>
      <x:c r="B95" s="8" t="str">
        <x:v>Shrine wash · B</x:v>
      </x:c>
      <x:c r="C95" s="8" t="str">
        <x:v>light</x:v>
      </x:c>
      <x:c r="D95" s="8" t="str">
        <x:v>DB1</x:v>
      </x:c>
      <x:c r="E95" s="8" t="str">
        <x:v>L3</x:v>
      </x:c>
      <x:c r="F95" s="11" t="n">
        <x:v>44.419999999999995</x:v>
      </x:c>
      <x:c r="G95" s="11" t="n">
        <x:v>7.75</x:v>
      </x:c>
      <x:c r="H95" s="11" t="n">
        <x:v>-6.25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1800 lm · 3000 K · 50° beam</x:v>
      </x:c>
      <x:c r="N95" s="11" t="n">
        <x:v>15</x:v>
      </x:c>
      <x:c r="O95" s="11" t="n">
        <x:v>10.101118347708251</x:v>
      </x:c>
      <x:c r="P95" s="11" t="n">
        <x:v>-39.69810503390403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drop:LC1:L3:light:-1:L116</x:v>
      </x:c>
      <x:c r="AC95" s="8" t="str">
        <x:v>{"finish":"timber","lumens":1800,"dim":1}</x:v>
      </x:c>
    </x:row>
    <x:row r="96" ht="96" customHeight="1">
      <x:c r="A96" s="8" t="str">
        <x:v>L117</x:v>
      </x:c>
      <x:c r="B96" s="8" t="str">
        <x:v>Statue accent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44.419999999999995</x:v>
      </x:c>
      <x:c r="G96" s="11" t="n">
        <x:v>7.75</x:v>
      </x:c>
      <x:c r="H96" s="11" t="n">
        <x:v>4.75</x:v>
      </x:c>
      <x:c r="I96" s="8" t="str">
        <x:v>wall</x:v>
      </x:c>
      <x:c r="J96" s="8" t="str">
        <x:v>Shown</x:v>
      </x:c>
      <x:c r="K96" s="8" t="str">
        <x:v>On</x:v>
      </x:c>
      <x:c r="L96" s="8" t="str">
        <x:v>269 × 197 × 190</x:v>
      </x:c>
      <x:c r="M96" s="8" t="str">
        <x:v>165 lm · 3000 K · 12° beam</x:v>
      </x:c>
      <x:c r="N96" s="11" t="n">
        <x:v>1.452</x:v>
      </x:c>
      <x:c r="O96" s="11" t="n">
        <x:v>9.651833466804238</x:v>
      </x:c>
      <x:c r="P96" s="11" t="n">
        <x:v>-39.21267771222643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drop:LC1:L3:light:1:L117</x:v>
      </x:c>
      <x:c r="AC96" s="8" t="str">
        <x:v>{"finish":"timber","lumens":165,"dim":1}</x:v>
      </x:c>
    </x:row>
    <x:row r="97" ht="96" customHeight="1">
      <x:c r="A97" s="8" t="str">
        <x:v>L118</x:v>
      </x:c>
      <x:c r="B97" s="8" t="str">
        <x:v>Shrine wash · H</x:v>
      </x:c>
      <x:c r="C97" s="8" t="str">
        <x:v>light</x:v>
      </x:c>
      <x:c r="D97" s="8" t="str">
        <x:v>DB1</x:v>
      </x:c>
      <x:c r="E97" s="8" t="str">
        <x:v>L3</x:v>
      </x:c>
      <x:c r="F97" s="11" t="n">
        <x:v>44.419999999999995</x:v>
      </x:c>
      <x:c r="G97" s="11" t="n">
        <x:v>7.75</x:v>
      </x:c>
      <x:c r="H97" s="11" t="n">
        <x:v>6.25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1800 lm · 3000 K · 50° beam</x:v>
      </x:c>
      <x:c r="N97" s="11" t="n">
        <x:v>15</x:v>
      </x:c>
      <x:c r="O97" s="11" t="n">
        <x:v>-10.101118347708251</x:v>
      </x:c>
      <x:c r="P97" s="11" t="n">
        <x:v>-39.69810503390403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drop:LC1:L3:light:1:L118</x:v>
      </x:c>
      <x:c r="AC97" s="8" t="str">
        <x:v>{"finish":"timber","lumens":1800,"dim":1}</x:v>
      </x:c>
    </x:row>
    <x:row r="98" ht="96" customHeight="1">
      <x:c r="A98" s="8" t="str">
        <x:v>L119</x:v>
      </x:c>
      <x:c r="B98" s="8" t="str">
        <x:v>Porch path light · B · bay 2′–3</x:v>
      </x:c>
      <x:c r="C98" s="8" t="str">
        <x:v>light</x:v>
      </x:c>
      <x:c r="D98" s="8" t="str">
        <x:v>DB1</x:v>
      </x:c>
      <x:c r="E98" s="8" t="str">
        <x:v>L4</x:v>
      </x:c>
      <x:c r="F98" s="11" t="n">
        <x:v>9.545</x:v>
      </x:c>
      <x:c r="G98" s="11" t="n">
        <x:v>3.1</x:v>
      </x:c>
      <x:c r="H98" s="11" t="n">
        <x:v>-7.47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180 × 150 × 120</x:v>
      </x:c>
      <x:c r="M98" s="8" t="str">
        <x:v>900 lm · 3000 K · 90° beam</x:v>
      </x:c>
      <x:c r="N98" s="11" t="n">
        <x:v>9</x:v>
      </x:c>
      <x:c r="O98" s="11" t="n">
        <x:v>-145.94822149962073</x:v>
      </x:c>
      <x:c r="P98" s="11" t="n">
        <x:v>-57.40139216738132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drop:LC1:L4:light:-1:L119</x:v>
      </x:c>
      <x:c r="AC9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99" ht="96" customHeight="1">
      <x:c r="A99" s="8" t="str">
        <x:v>L120</x:v>
      </x:c>
      <x:c r="B99" s="8" t="str">
        <x:v>Porch path light · B · bay 3–4</x:v>
      </x:c>
      <x:c r="C99" s="8" t="str">
        <x:v>light</x:v>
      </x:c>
      <x:c r="D99" s="8" t="str">
        <x:v>DB1</x:v>
      </x:c>
      <x:c r="E99" s="8" t="str">
        <x:v>L4</x:v>
      </x:c>
      <x:c r="F99" s="11" t="n">
        <x:v>14.045</x:v>
      </x:c>
      <x:c r="G99" s="11" t="n">
        <x:v>3.1</x:v>
      </x:c>
      <x:c r="H99" s="11" t="n">
        <x:v>-7.47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180 × 150 × 120</x:v>
      </x:c>
      <x:c r="M99" s="8" t="str">
        <x:v>900 lm · 3000 K · 90° beam</x:v>
      </x:c>
      <x:c r="N99" s="11" t="n">
        <x:v>9</x:v>
      </x:c>
      <x:c r="O99" s="11" t="n">
        <x:v>-145.94822149962073</x:v>
      </x:c>
      <x:c r="P99" s="11" t="n">
        <x:v>-57.40139216738132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drop:LC1:L4:light:-1:L120</x:v>
      </x:c>
      <x:c r="AC9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0" ht="96" customHeight="1">
      <x:c r="A100" s="8" t="str">
        <x:v>L121</x:v>
      </x:c>
      <x:c r="B100" s="8" t="str">
        <x:v>Porch path light · B · bay 4–5</x:v>
      </x:c>
      <x:c r="C100" s="8" t="str">
        <x:v>light</x:v>
      </x:c>
      <x:c r="D100" s="8" t="str">
        <x:v>DB1</x:v>
      </x:c>
      <x:c r="E100" s="8" t="str">
        <x:v>L4</x:v>
      </x:c>
      <x:c r="F100" s="11" t="n">
        <x:v>18.545</x:v>
      </x:c>
      <x:c r="G100" s="11" t="n">
        <x:v>3.1</x:v>
      </x:c>
      <x:c r="H100" s="11" t="n">
        <x:v>-7.47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180 × 150 × 120</x:v>
      </x:c>
      <x:c r="M100" s="8" t="str">
        <x:v>900 lm · 3000 K · 90° beam</x:v>
      </x:c>
      <x:c r="N100" s="11" t="n">
        <x:v>9</x:v>
      </x:c>
      <x:c r="O100" s="11" t="n">
        <x:v>-145.94822149962073</x:v>
      </x:c>
      <x:c r="P100" s="11" t="n">
        <x:v>-57.40139216738132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drop:LC1:L4:light:-1:L121</x:v>
      </x:c>
      <x:c r="AC10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1" ht="96" customHeight="1">
      <x:c r="A101" s="8" t="str">
        <x:v>L122</x:v>
      </x:c>
      <x:c r="B101" s="8" t="str">
        <x:v>Porch path light · B · bay 5–6</x:v>
      </x:c>
      <x:c r="C101" s="8" t="str">
        <x:v>light</x:v>
      </x:c>
      <x:c r="D101" s="8" t="str">
        <x:v>DB1</x:v>
      </x:c>
      <x:c r="E101" s="8" t="str">
        <x:v>L4</x:v>
      </x:c>
      <x:c r="F101" s="11" t="n">
        <x:v>23.045</x:v>
      </x:c>
      <x:c r="G101" s="11" t="n">
        <x:v>3.1</x:v>
      </x:c>
      <x:c r="H101" s="11" t="n">
        <x:v>-7.47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180 × 150 × 120</x:v>
      </x:c>
      <x:c r="M101" s="8" t="str">
        <x:v>900 lm · 3000 K · 90° beam</x:v>
      </x:c>
      <x:c r="N101" s="11" t="n">
        <x:v>9</x:v>
      </x:c>
      <x:c r="O101" s="11" t="n">
        <x:v>-145.94822149962073</x:v>
      </x:c>
      <x:c r="P101" s="11" t="n">
        <x:v>-57.40139216738132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drop:LC1:L4:light:-1:L122</x:v>
      </x:c>
      <x:c r="AC10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2" ht="96" customHeight="1">
      <x:c r="A102" s="8" t="str">
        <x:v>L123</x:v>
      </x:c>
      <x:c r="B102" s="8" t="str">
        <x:v>Porch path light · B · bay 6–7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27.545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drop:LC1:L4:light:-1:L123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L124</x:v>
      </x:c>
      <x:c r="B103" s="8" t="str">
        <x:v>Porch path light · B · bay 7–8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32.045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drop:LC1:L4:light:-1:L124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L125</x:v>
      </x:c>
      <x:c r="B104" s="8" t="str">
        <x:v>Porch path light · B · bay 8–9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36.545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drop:LC1:L4:light:-1:L125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L126</x:v>
      </x:c>
      <x:c r="B105" s="8" t="str">
        <x:v>Porch path light · B · bay 10–11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48.245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drop:LC1:L4:light:-1:L126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L127</x:v>
      </x:c>
      <x:c r="B106" s="8" t="str">
        <x:v>Porch path light · B · bay 11–12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52.586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-144.75140037827725</x:v>
      </x:c>
      <x:c r="P106" s="11" t="n">
        <x:v>-58.18237704400355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drop:LC1:L4:light:-1:L127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L128</x:v>
      </x:c>
      <x:c r="B107" s="8" t="str">
        <x:v>Porch path light · H · bay 2′–3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9.545</x:v>
      </x:c>
      <x:c r="G107" s="11" t="n">
        <x:v>3.1</x:v>
      </x:c>
      <x:c r="H107" s="11" t="n">
        <x:v>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drop:LC1:L4:light:1:L128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L129</x:v>
      </x:c>
      <x:c r="B108" s="8" t="str">
        <x:v>Porch path light · H · bay 3–4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14.045</x:v>
      </x:c>
      <x:c r="G108" s="11" t="n">
        <x:v>3.1</x:v>
      </x:c>
      <x:c r="H108" s="11" t="n">
        <x:v>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drop:LC1:L4:light:1:L129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L130</x:v>
      </x:c>
      <x:c r="B109" s="8" t="str">
        <x:v>Porch path light · H · bay 4–5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18.545</x:v>
      </x:c>
      <x:c r="G109" s="11" t="n">
        <x:v>3.1</x:v>
      </x:c>
      <x:c r="H109" s="11" t="n">
        <x:v>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drop:LC1:L4:light:1:L130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L131</x:v>
      </x:c>
      <x:c r="B110" s="8" t="str">
        <x:v>Porch path light · H · bay 5–6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23.045</x:v>
      </x:c>
      <x:c r="G110" s="11" t="n">
        <x:v>3.1</x:v>
      </x:c>
      <x:c r="H110" s="11" t="n">
        <x:v>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145.94822149962073</x:v>
      </x:c>
      <x:c r="P110" s="11" t="n">
        <x:v>-57.40139216738132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drop:LC1:L4:light:1:L131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L132</x:v>
      </x:c>
      <x:c r="B111" s="8" t="str">
        <x:v>Porch path light · H · bay 6–7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27.545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drop:LC1:L4:light:1:L132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L133</x:v>
      </x:c>
      <x:c r="B112" s="8" t="str">
        <x:v>Porch path light · H · bay 7–8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32.045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drop:LC1:L4:light:1:L133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L134</x:v>
      </x:c>
      <x:c r="B113" s="8" t="str">
        <x:v>Porch path light · H · bay 8–9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36.545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drop:LC1:L4:light:1:L134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L135</x:v>
      </x:c>
      <x:c r="B114" s="8" t="str">
        <x:v>Porch path light · H · bay 10–11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48.245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drop:LC1:L4:light:1:L135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L136</x:v>
      </x:c>
      <x:c r="B115" s="8" t="str">
        <x:v>Porch path light · H · bay 11–12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52.586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144.75140037827725</x:v>
      </x:c>
      <x:c r="P115" s="11" t="n">
        <x:v>-58.18237704400355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drop:LC1:L4:light:1:L136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L137</x:v>
      </x:c>
      <x:c r="B116" s="8" t="str">
        <x:v>Central front door lantern · B</x:v>
      </x:c>
      <x:c r="C116" s="8" t="str">
        <x:v>light</x:v>
      </x:c>
      <x:c r="D116" s="8" t="str">
        <x:v>DB2</x:v>
      </x:c>
      <x:c r="E116" s="8" t="str">
        <x:v>L9</x:v>
      </x:c>
      <x:c r="F116" s="11" t="n">
        <x:v>2.2</x:v>
      </x:c>
      <x:c r="G116" s="11" t="n">
        <x:v>3</x:v>
      </x:c>
      <x:c r="H116" s="11" t="n">
        <x:v>-2.3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404 × 440 × 240</x:v>
      </x:c>
      <x:c r="M116" s="8" t="str">
        <x:v>900 lm · 2700 K</x:v>
      </x:c>
      <x:c r="N116" s="11" t="n">
        <x:v>9</x:v>
      </x:c>
      <x:c r="O116" s="11" t="n">
        <x:v>180</x:v>
      </x:c>
      <x:c r="P116" s="11" t="n">
        <x:v>0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drop:DB2:L9:light:-1:L137</x:v>
      </x:c>
      <x:c r="AC116" s="8" t="str">
        <x:v>{"dim":1}</x:v>
      </x:c>
    </x:row>
    <x:row r="117" ht="96" customHeight="1">
      <x:c r="A117" s="8" t="str">
        <x:v>L138</x:v>
      </x:c>
      <x:c r="B117" s="8" t="str">
        <x:v>Central front door lantern · H</x:v>
      </x:c>
      <x:c r="C117" s="8" t="str">
        <x:v>light</x:v>
      </x:c>
      <x:c r="D117" s="8" t="str">
        <x:v>DB2</x:v>
      </x:c>
      <x:c r="E117" s="8" t="str">
        <x:v>L9</x:v>
      </x:c>
      <x:c r="F117" s="11" t="n">
        <x:v>2.2</x:v>
      </x:c>
      <x:c r="G117" s="11" t="n">
        <x:v>3</x:v>
      </x:c>
      <x:c r="H117" s="11" t="n">
        <x:v>2.3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404 × 440 × 240</x:v>
      </x:c>
      <x:c r="M117" s="8" t="str">
        <x:v>900 lm · 2700 K</x:v>
      </x:c>
      <x:c r="N117" s="11" t="n">
        <x:v>9</x:v>
      </x:c>
      <x:c r="O117" s="11" t="n">
        <x:v>180</x:v>
      </x:c>
      <x:c r="P117" s="11" t="n">
        <x:v>0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drop:DB2:L9:light:1:L138</x:v>
      </x:c>
      <x:c r="AC117" s="8" t="str">
        <x:v>{"dim":1}</x:v>
      </x:c>
    </x:row>
    <x:row r="118" ht="96" customHeight="1">
      <x:c r="A118" s="8" t="str">
        <x:v>L139</x:v>
      </x:c>
      <x:c r="B118" s="8" t="str">
        <x:v>Side door lantern · B · 16.725 · front</x:v>
      </x:c>
      <x:c r="C118" s="8" t="str">
        <x:v>light</x:v>
      </x:c>
      <x:c r="D118" s="8" t="str">
        <x:v>DB1</x:v>
      </x:c>
      <x:c r="E118" s="8" t="str">
        <x:v>L5</x:v>
      </x:c>
      <x:c r="F118" s="11" t="n">
        <x:v>15.3</x:v>
      </x:c>
      <x:c r="G118" s="11" t="n">
        <x:v>2.6</x:v>
      </x:c>
      <x:c r="H118" s="11" t="n">
        <x:v>-7.52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404 × 440 × 240</x:v>
      </x:c>
      <x:c r="M118" s="8" t="str">
        <x:v>900 lm · 2700 K</x:v>
      </x:c>
      <x:c r="N118" s="11" t="n">
        <x:v>9</x:v>
      </x:c>
      <x:c r="O118" s="11" t="n">
        <x:v>-90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drop:LC1:L5:light:-1:L139</x:v>
      </x:c>
      <x:c r="AC118" s="8" t="str">
        <x:v>{"dim":1}</x:v>
      </x:c>
    </x:row>
    <x:row r="119" ht="96" customHeight="1">
      <x:c r="A119" s="8" t="str">
        <x:v>L140</x:v>
      </x:c>
      <x:c r="B119" s="8" t="str">
        <x:v>Side door lantern · B · 16.725 · rear</x:v>
      </x:c>
      <x:c r="C119" s="8" t="str">
        <x:v>light</x:v>
      </x:c>
      <x:c r="D119" s="8" t="str">
        <x:v>DB1</x:v>
      </x:c>
      <x:c r="E119" s="8" t="str">
        <x:v>L5</x:v>
      </x:c>
      <x:c r="F119" s="11" t="n">
        <x:v>18.150000000000002</x:v>
      </x:c>
      <x:c r="G119" s="11" t="n">
        <x:v>2.6</x:v>
      </x:c>
      <x:c r="H119" s="11" t="n">
        <x:v>-7.52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404 × 440 × 240</x:v>
      </x:c>
      <x:c r="M119" s="8" t="str">
        <x:v>900 lm · 2700 K</x:v>
      </x:c>
      <x:c r="N119" s="11" t="n">
        <x:v>9</x:v>
      </x:c>
      <x:c r="O119" s="11" t="n">
        <x:v>-90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drop:LC1:L5:light:-1:L140</x:v>
      </x:c>
      <x:c r="AC119" s="8" t="str">
        <x:v>{"dim":1}</x:v>
      </x:c>
    </x:row>
    <x:row r="120" ht="96" customHeight="1">
      <x:c r="A120" s="8" t="str">
        <x:v>L141</x:v>
      </x:c>
      <x:c r="B120" s="8" t="str">
        <x:v>Side door lantern · B · 34.725 · front</x:v>
      </x:c>
      <x:c r="C120" s="8" t="str">
        <x:v>light</x:v>
      </x:c>
      <x:c r="D120" s="8" t="str">
        <x:v>DB1</x:v>
      </x:c>
      <x:c r="E120" s="8" t="str">
        <x:v>L5</x:v>
      </x:c>
      <x:c r="F120" s="11" t="n">
        <x:v>33.300000000000004</x:v>
      </x:c>
      <x:c r="G120" s="11" t="n">
        <x:v>2.6</x:v>
      </x:c>
      <x:c r="H120" s="11" t="n">
        <x:v>-7.52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-90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drop:LC1:L5:light:-1:L141</x:v>
      </x:c>
      <x:c r="AC120" s="8" t="str">
        <x:v>{"dim":1}</x:v>
      </x:c>
    </x:row>
    <x:row r="121" ht="96" customHeight="1">
      <x:c r="A121" s="8" t="str">
        <x:v>L142</x:v>
      </x:c>
      <x:c r="B121" s="8" t="str">
        <x:v>Side door lantern · B · 34.725 · rear</x:v>
      </x:c>
      <x:c r="C121" s="8" t="str">
        <x:v>light</x:v>
      </x:c>
      <x:c r="D121" s="8" t="str">
        <x:v>DB1</x:v>
      </x:c>
      <x:c r="E121" s="8" t="str">
        <x:v>L5</x:v>
      </x:c>
      <x:c r="F121" s="11" t="n">
        <x:v>36.15</x:v>
      </x:c>
      <x:c r="G121" s="11" t="n">
        <x:v>2.6</x:v>
      </x:c>
      <x:c r="H121" s="11" t="n">
        <x:v>-7.52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-90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drop:LC1:L5:light:-1:L142</x:v>
      </x:c>
      <x:c r="AC121" s="8" t="str">
        <x:v>{"dim":1}</x:v>
      </x:c>
    </x:row>
    <x:row r="122" ht="96" customHeight="1">
      <x:c r="A122" s="8" t="str">
        <x:v>L145</x:v>
      </x:c>
      <x:c r="B122" s="8" t="str">
        <x:v>Side door lantern · H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drop:LC1:L5:light:1:L145</x:v>
      </x:c>
      <x:c r="AC122" s="8" t="str">
        <x:v>{"dim":1}</x:v>
      </x:c>
    </x:row>
    <x:row r="123" ht="96" customHeight="1">
      <x:c r="A123" s="8" t="str">
        <x:v>L146</x:v>
      </x:c>
      <x:c r="B123" s="8" t="str">
        <x:v>Side door lantern · H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drop:LC1:L5:light:1:L146</x:v>
      </x:c>
      <x:c r="AC123" s="8" t="str">
        <x:v>{"dim":1}</x:v>
      </x:c>
    </x:row>
    <x:row r="124" ht="96" customHeight="1">
      <x:c r="A124" s="8" t="str">
        <x:v>L147</x:v>
      </x:c>
      <x:c r="B124" s="8" t="str">
        <x:v>Side door lantern · H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drop:LC1:L5:light:1:L147</x:v>
      </x:c>
      <x:c r="AC124" s="8" t="str">
        <x:v>{"dim":1}</x:v>
      </x:c>
    </x:row>
    <x:row r="125" ht="96" customHeight="1">
      <x:c r="A125" s="8" t="str">
        <x:v>L148</x:v>
      </x:c>
      <x:c r="B125" s="8" t="str">
        <x:v>Side door lantern · H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drop:LC1:L5:light:1:L148</x:v>
      </x:c>
      <x:c r="AC125" s="8" t="str">
        <x:v>{"dim":1}</x:v>
      </x:c>
    </x:row>
    <x:row r="126" ht="96" customHeight="1">
      <x:c r="A126" s="8" t="str">
        <x:v>L151</x:v>
      </x:c>
      <x:c r="B126" s="8" t="str">
        <x:v>Service door lantern · B · front</x:v>
      </x:c>
      <x:c r="C126" s="8" t="str">
        <x:v>light</x:v>
      </x:c>
      <x:c r="D126" s="8" t="str">
        <x:v>DB1</x:v>
      </x:c>
      <x:c r="E126" s="8" t="str">
        <x:v>L3</x:v>
      </x:c>
      <x:c r="F126" s="11" t="n">
        <x:v>52.8</x:v>
      </x:c>
      <x:c r="G126" s="11" t="n">
        <x:v>2.3</x:v>
      </x:c>
      <x:c r="H126" s="11" t="n">
        <x:v>-4.48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400 lm · 2700 K</x:v>
      </x:c>
      <x:c r="N126" s="11" t="n">
        <x:v>4</x:v>
      </x:c>
      <x:c r="O126" s="11" t="n">
        <x:v>180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drop:LC1:L3:light:-1:L151</x:v>
      </x:c>
      <x:c r="AC126" s="8" t="str">
        <x:v>{"lumens":400,"dim":1}</x:v>
      </x:c>
    </x:row>
    <x:row r="127" ht="96" customHeight="1">
      <x:c r="A127" s="8" t="str">
        <x:v>L152</x:v>
      </x:c>
      <x:c r="B127" s="8" t="str">
        <x:v>Service door lantern · B · rear</x:v>
      </x:c>
      <x:c r="C127" s="8" t="str">
        <x:v>light</x:v>
      </x:c>
      <x:c r="D127" s="8" t="str">
        <x:v>DB1</x:v>
      </x:c>
      <x:c r="E127" s="8" t="str">
        <x:v>L3</x:v>
      </x:c>
      <x:c r="F127" s="11" t="n">
        <x:v>52.8</x:v>
      </x:c>
      <x:c r="G127" s="11" t="n">
        <x:v>2.3</x:v>
      </x:c>
      <x:c r="H127" s="11" t="n">
        <x:v>-6.48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400 lm · 2700 K</x:v>
      </x:c>
      <x:c r="N127" s="11" t="n">
        <x:v>4</x:v>
      </x:c>
      <x:c r="O127" s="11" t="n">
        <x:v>180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drop:LC1:L3:light:-1:L152</x:v>
      </x:c>
      <x:c r="AC127" s="8" t="str">
        <x:v>{"lumens":400,"dim":1}</x:v>
      </x:c>
    </x:row>
    <x:row r="128" ht="96" customHeight="1">
      <x:c r="A128" s="8" t="str">
        <x:v>L153</x:v>
      </x:c>
      <x:c r="B128" s="8" t="str">
        <x:v>Service door lantern · H · front</x:v>
      </x:c>
      <x:c r="C128" s="8" t="str">
        <x:v>light</x:v>
      </x:c>
      <x:c r="D128" s="8" t="str">
        <x:v>DB1</x:v>
      </x:c>
      <x:c r="E128" s="8" t="str">
        <x:v>L3</x:v>
      </x:c>
      <x:c r="F128" s="11" t="n">
        <x:v>52.8</x:v>
      </x:c>
      <x:c r="G128" s="11" t="n">
        <x:v>2.3</x:v>
      </x:c>
      <x:c r="H128" s="11" t="n">
        <x:v>4.48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400 lm · 2700 K</x:v>
      </x:c>
      <x:c r="N128" s="11" t="n">
        <x:v>4</x:v>
      </x:c>
      <x:c r="O128" s="11" t="n">
        <x:v>180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drop:LC1:L3:light:1:L153</x:v>
      </x:c>
      <x:c r="AC128" s="8" t="str">
        <x:v>{"lumens":400,"dim":1}</x:v>
      </x:c>
    </x:row>
    <x:row r="129" ht="96" customHeight="1">
      <x:c r="A129" s="8" t="str">
        <x:v>L154</x:v>
      </x:c>
      <x:c r="B129" s="8" t="str">
        <x:v>Service door lantern · H · rear</x:v>
      </x:c>
      <x:c r="C129" s="8" t="str">
        <x:v>light</x:v>
      </x:c>
      <x:c r="D129" s="8" t="str">
        <x:v>DB1</x:v>
      </x:c>
      <x:c r="E129" s="8" t="str">
        <x:v>L3</x:v>
      </x:c>
      <x:c r="F129" s="11" t="n">
        <x:v>52.8</x:v>
      </x:c>
      <x:c r="G129" s="11" t="n">
        <x:v>2.3</x:v>
      </x:c>
      <x:c r="H129" s="11" t="n">
        <x:v>6.48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400 lm · 2700 K</x:v>
      </x:c>
      <x:c r="N129" s="11" t="n">
        <x:v>4</x:v>
      </x:c>
      <x:c r="O129" s="11" t="n">
        <x:v>180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drop:LC1:L3:light:1:L154</x:v>
      </x:c>
      <x:c r="AC129" s="8" t="str">
        <x:v>{"lumens":400,"dim":1}</x:v>
      </x:c>
    </x:row>
    <x:row r="130" ht="96" customHeight="1">
      <x:c r="A130" s="8" t="str">
        <x:v>L160</x:v>
      </x:c>
      <x:c r="B130" s="8" t="str">
        <x:v>Tower lower front wash · B</x:v>
      </x:c>
      <x:c r="C130" s="8" t="str">
        <x:v>light</x:v>
      </x:c>
      <x:c r="D130" s="8" t="str">
        <x:v>DB2</x:v>
      </x:c>
      <x:c r="E130" s="8" t="str">
        <x:v>L6</x:v>
      </x:c>
      <x:c r="F130" s="11" t="n">
        <x:v>-0.34</x:v>
      </x:c>
      <x:c r="G130" s="11" t="n">
        <x:v>8.39</x:v>
      </x:c>
      <x:c r="H130" s="11" t="n">
        <x:v>-11.453000000000001</x:v>
      </x:c>
      <x:c r="I130" s="8" t="str">
        <x:v>floor</x:v>
      </x:c>
      <x:c r="J130" s="8" t="str">
        <x:v>Shown</x:v>
      </x:c>
      <x:c r="K130" s="8" t="str">
        <x:v>On</x:v>
      </x:c>
      <x:c r="L130" s="8" t="str">
        <x:v>280 × 125 × 182</x:v>
      </x:c>
      <x:c r="M130" s="8" t="str">
        <x:v>3500 lm · 3000 K · 50° beam</x:v>
      </x:c>
      <x:c r="N130" s="11" t="n">
        <x:v>27.22222222222222</x:v>
      </x:c>
      <x:c r="O130" s="11" t="n">
        <x:v>82.11686068327029</x:v>
      </x:c>
      <x:c r="P130" s="11" t="n">
        <x:v>-58.77615553708832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drop:DB2:L6:light:-1:L160</x:v>
      </x:c>
      <x:c r="AC130" s="8" t="str">
        <x:v>{"outreach":0.12,"lumens":3500,"dim":1}</x:v>
      </x:c>
    </x:row>
    <x:row r="131" ht="96" customHeight="1">
      <x:c r="A131" s="8" t="str">
        <x:v>L161</x:v>
      </x:c>
      <x:c r="B131" s="8" t="str">
        <x:v>Tower stage 2 flood · B</x:v>
      </x:c>
      <x:c r="C131" s="8" t="str">
        <x:v>light</x:v>
      </x:c>
      <x:c r="D131" s="8" t="str">
        <x:v>DB2</x:v>
      </x:c>
      <x:c r="E131" s="8" t="str">
        <x:v>L6</x:v>
      </x:c>
      <x:c r="F131" s="11" t="n">
        <x:v>-0.34</x:v>
      </x:c>
      <x:c r="G131" s="11" t="n">
        <x:v>8.39</x:v>
      </x:c>
      <x:c r="H131" s="11" t="n">
        <x:v>-10.153</x:v>
      </x:c>
      <x:c r="I131" s="8" t="str">
        <x:v>floor</x:v>
      </x:c>
      <x:c r="J131" s="8" t="str">
        <x:v>Shown</x:v>
      </x:c>
      <x:c r="K131" s="8" t="str">
        <x:v>On</x:v>
      </x:c>
      <x:c r="L131" s="8" t="str">
        <x:v>240 × 85 × 2000</x:v>
      </x:c>
      <x:c r="M131" s="8" t="str">
        <x:v>7000 lm · 3000 K · 40° beam · 2 m strand</x:v>
      </x:c>
      <x:c r="N131" s="11" t="n">
        <x:v>54.44444444444444</x:v>
      </x:c>
      <x:c r="O131" s="11" t="n">
        <x:v>0</x:v>
      </x:c>
      <x:c r="P131" s="11" t="n">
        <x:v>85.58829356070004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drop:DB2:L6:light:-1:L161</x:v>
      </x:c>
      <x:c r="AC131" s="8" t="str">
        <x:v>{"length":2,"outreach":0.1,"lumens":7000,"dim":1}</x:v>
      </x:c>
    </x:row>
    <x:row r="132" ht="96" customHeight="1">
      <x:c r="A132" s="8" t="str">
        <x:v>L162</x:v>
      </x:c>
      <x:c r="B132" s="8" t="str">
        <x:v>Tower stage 3 flood · B</x:v>
      </x:c>
      <x:c r="C132" s="8" t="str">
        <x:v>light</x:v>
      </x:c>
      <x:c r="D132" s="8" t="str">
        <x:v>DB2</x:v>
      </x:c>
      <x:c r="E132" s="8" t="str">
        <x:v>L6</x:v>
      </x:c>
      <x:c r="F132" s="11" t="n">
        <x:v>-0.24999999999999997</x:v>
      </x:c>
      <x:c r="G132" s="11" t="n">
        <x:v>15.84</x:v>
      </x:c>
      <x:c r="H132" s="11" t="n">
        <x:v>-10.153</x:v>
      </x:c>
      <x:c r="I132" s="8" t="str">
        <x:v>floor</x:v>
      </x:c>
      <x:c r="J132" s="8" t="str">
        <x:v>Shown</x:v>
      </x:c>
      <x:c r="K132" s="8" t="str">
        <x:v>On</x:v>
      </x:c>
      <x:c r="L132" s="8" t="str">
        <x:v>240 × 85 × 2000</x:v>
      </x:c>
      <x:c r="M132" s="8" t="str">
        <x:v>6000 lm · 3000 K · 40° beam · 2 m strand</x:v>
      </x:c>
      <x:c r="N132" s="11" t="n">
        <x:v>46.666666666666664</x:v>
      </x:c>
      <x:c r="O132" s="11" t="n">
        <x:v>0</x:v>
      </x:c>
      <x:c r="P132" s="11" t="n">
        <x:v>85.14063031087433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drop:DB2:L6:light:-1:L162</x:v>
      </x:c>
      <x:c r="AC132" s="8" t="str">
        <x:v>{"length":2,"outreach":0.1,"lumens":6000,"dim":1}</x:v>
      </x:c>
    </x:row>
    <x:row r="133" ht="96" customHeight="1">
      <x:c r="A133" s="8" t="str">
        <x:v>L163</x:v>
      </x:c>
      <x:c r="B133" s="8" t="str">
        <x:v>Belfry front wash · B</x:v>
      </x:c>
      <x:c r="C133" s="8" t="str">
        <x:v>light</x:v>
      </x:c>
      <x:c r="D133" s="8" t="str">
        <x:v>DB2</x:v>
      </x:c>
      <x:c r="E133" s="8" t="str">
        <x:v>L6</x:v>
      </x:c>
      <x:c r="F133" s="11" t="n">
        <x:v>-0.15</x:v>
      </x:c>
      <x:c r="G133" s="11" t="n">
        <x:v>23.14</x:v>
      </x:c>
      <x:c r="H133" s="11" t="n">
        <x:v>-10.153</x:v>
      </x:c>
      <x:c r="I133" s="8" t="str">
        <x:v>floor</x:v>
      </x:c>
      <x:c r="J133" s="8" t="str">
        <x:v>Shown</x:v>
      </x:c>
      <x:c r="K133" s="8" t="str">
        <x:v>On</x:v>
      </x:c>
      <x:c r="L133" s="8" t="str">
        <x:v>240 × 85 × 1800</x:v>
      </x:c>
      <x:c r="M133" s="8" t="str">
        <x:v>4500 lm · 3000 K · 30° beam · 1.8 m strand</x:v>
      </x:c>
      <x:c r="N133" s="11" t="n">
        <x:v>35</x:v>
      </x:c>
      <x:c r="O133" s="11" t="n">
        <x:v>0</x:v>
      </x:c>
      <x:c r="P133" s="11" t="n">
        <x:v>81.88943917970877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drop:DB2:L6:light:-1:L163</x:v>
      </x:c>
      <x:c r="AC133" s="8" t="str">
        <x:v>{"length":1.8,"outreach":0.1,"lumens":4500,"dim":1}</x:v>
      </x:c>
    </x:row>
    <x:row r="134" ht="96" customHeight="1">
      <x:c r="A134" s="8" t="str">
        <x:v>L164</x:v>
      </x:c>
      <x:c r="B134" s="8" t="str">
        <x:v>Dome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0.14</x:v>
      </x:c>
      <x:c r="G134" s="11" t="n">
        <x:v>29.09</x:v>
      </x:c>
      <x:c r="H134" s="11" t="n">
        <x:v>-10.153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4000 lm · 3000 K · 36° beam</x:v>
      </x:c>
      <x:c r="N134" s="11" t="n">
        <x:v>31.11111111111111</x:v>
      </x:c>
      <x:c r="O134" s="11" t="n">
        <x:v>0</x:v>
      </x:c>
      <x:c r="P134" s="11" t="n">
        <x:v>62.93236715620101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drop:DB2:L6:light:-1:L164</x:v>
      </x:c>
      <x:c r="AC134" s="8" t="str">
        <x:v>{"outreach":0.12,"lumens":4000,"dim":1}</x:v>
      </x:c>
    </x:row>
    <x:row r="135" ht="96" customHeight="1">
      <x:c r="A135" s="8" t="str">
        <x:v>L165</x:v>
      </x:c>
      <x:c r="B135" s="8" t="str">
        <x:v>Belfry glow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2.45</x:v>
      </x:c>
      <x:c r="G135" s="11" t="n">
        <x:v>23.2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320 × 220 × 300</x:v>
      </x:c>
      <x:c r="M135" s="8" t="str">
        <x:v>2500 lm · 2700 K · 100° beam</x:v>
      </x:c>
      <x:c r="N135" s="11" t="n">
        <x:v>20</x:v>
      </x:c>
      <x:c r="O135" s="11" t="n">
        <x:v>0</x:v>
      </x:c>
      <x:c r="P135" s="11" t="n">
        <x:v>90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drop:DB2:L6:light:-1:L165</x:v>
      </x:c>
      <x:c r="AC135" s="8" t="str">
        <x:v>{"finish":"bronze","lumens":2500,"dim":1}</x:v>
      </x:c>
    </x:row>
    <x:row r="136" ht="96" customHeight="1">
      <x:c r="A136" s="8" t="str">
        <x:v>L166</x:v>
      </x:c>
      <x:c r="B136" s="8" t="str">
        <x:v>Tower lower side wash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3.75</x:v>
      </x:c>
      <x:c r="G136" s="11" t="n">
        <x:v>8.39</x:v>
      </x:c>
      <x:c r="H136" s="11" t="n">
        <x:v>-12.943000000000001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280 × 125 × 182</x:v>
      </x:c>
      <x:c r="M136" s="8" t="str">
        <x:v>2500 lm · 3000 K · 50° beam</x:v>
      </x:c>
      <x:c r="N136" s="11" t="n">
        <x:v>19.444444444444443</x:v>
      </x:c>
      <x:c r="O136" s="11" t="n">
        <x:v>172.11686068327032</x:v>
      </x:c>
      <x:c r="P136" s="11" t="n">
        <x:v>-58.77615553708834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drop:DB2:L6:light:-1:L166</x:v>
      </x:c>
      <x:c r="AC136" s="8" t="str">
        <x:v>{"outreach":0.12,"lumens":2500,"dim":1}</x:v>
      </x:c>
    </x:row>
    <x:row r="137" ht="96" customHeight="1">
      <x:c r="A137" s="8" t="str">
        <x:v>L167</x:v>
      </x:c>
      <x:c r="B137" s="8" t="str">
        <x:v>Tower stage 2 side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2.45</x:v>
      </x:c>
      <x:c r="G137" s="11" t="n">
        <x:v>8.39</x:v>
      </x:c>
      <x:c r="H137" s="11" t="n">
        <x:v>-12.943000000000001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2000</x:v>
      </x:c>
      <x:c r="M137" s="8" t="str">
        <x:v>5000 lm · 3000 K · 40° beam · 2 m strand</x:v>
      </x:c>
      <x:c r="N137" s="11" t="n">
        <x:v>38.888888888888886</x:v>
      </x:c>
      <x:c r="O137" s="11" t="n">
        <x:v>90</x:v>
      </x:c>
      <x:c r="P137" s="11" t="n">
        <x:v>85.19414975379085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drop:DB2:L6:light:-1:L167</x:v>
      </x:c>
      <x:c r="AC137" s="8" t="str">
        <x:v>{"length":2,"outreach":0.1,"lumens":5000,"dim":1}</x:v>
      </x:c>
    </x:row>
    <x:row r="138" ht="96" customHeight="1">
      <x:c r="A138" s="8" t="str">
        <x:v>L168</x:v>
      </x:c>
      <x:c r="B138" s="8" t="str">
        <x:v>Tower stage 3 side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2.45</x:v>
      </x:c>
      <x:c r="G138" s="11" t="n">
        <x:v>15.84</x:v>
      </x:c>
      <x:c r="H138" s="11" t="n">
        <x:v>-12.818000000000001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240 × 85 × 2000</x:v>
      </x:c>
      <x:c r="M138" s="8" t="str">
        <x:v>4000 lm · 3000 K · 40° beam · 2 m strand</x:v>
      </x:c>
      <x:c r="N138" s="11" t="n">
        <x:v>31.11111111111111</x:v>
      </x:c>
      <x:c r="O138" s="11" t="n">
        <x:v>90</x:v>
      </x:c>
      <x:c r="P138" s="11" t="n">
        <x:v>85.14063031087433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drop:DB2:L6:light:-1:L168</x:v>
      </x:c>
      <x:c r="AC138" s="8" t="str">
        <x:v>{"length":2,"outreach":0.1,"lumens":4000,"dim":1}</x:v>
      </x:c>
    </x:row>
    <x:row r="139" ht="96" customHeight="1">
      <x:c r="A139" s="8" t="str">
        <x:v>L169</x:v>
      </x:c>
      <x:c r="B139" s="8" t="str">
        <x:v>Belfry side wash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23.14</x:v>
      </x:c>
      <x:c r="H139" s="11" t="n">
        <x:v>-12.718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240 × 85 × 1800</x:v>
      </x:c>
      <x:c r="M139" s="8" t="str">
        <x:v>3000 lm · 3000 K · 30° beam · 1.8 m strand</x:v>
      </x:c>
      <x:c r="N139" s="11" t="n">
        <x:v>23.333333333333332</x:v>
      </x:c>
      <x:c r="O139" s="11" t="n">
        <x:v>90</x:v>
      </x:c>
      <x:c r="P139" s="11" t="n">
        <x:v>82.02628287199703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drop:DB2:L6:light:-1:L169</x:v>
      </x:c>
      <x:c r="AC139" s="8" t="str">
        <x:v>{"length":1.8,"outreach":0.1,"lumens":3000,"dim":1}</x:v>
      </x:c>
    </x:row>
    <x:row r="140" ht="96" customHeight="1">
      <x:c r="A140" s="8" t="str">
        <x:v>L170</x:v>
      </x:c>
      <x:c r="B140" s="8" t="str">
        <x:v>Façade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-0.15</x:v>
      </x:c>
      <x:c r="G140" s="11" t="n">
        <x:v>8.39</x:v>
      </x:c>
      <x:c r="H140" s="11" t="n">
        <x:v>-7.4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310 × 125 × 182</x:v>
      </x:c>
      <x:c r="M140" s="8" t="str">
        <x:v>6000 lm · 3000 K · 50° beam</x:v>
      </x:c>
      <x:c r="N140" s="11" t="n">
        <x:v>46.666666666666664</x:v>
      </x:c>
      <x:c r="O140" s="11" t="n">
        <x:v>66.08375458238065</x:v>
      </x:c>
      <x:c r="P140" s="11" t="n">
        <x:v>-43.48055876948856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drop:DB2:L6:light:-1:L170</x:v>
      </x:c>
      <x:c r="AC140" s="8" t="str">
        <x:v>{"outreach":0.15,"lumens":6000,"dim":1}</x:v>
      </x:c>
    </x:row>
    <x:row r="141" ht="96" customHeight="1">
      <x:c r="A141" s="8" t="str">
        <x:v>L171</x:v>
      </x:c>
      <x:c r="B141" s="8" t="str">
        <x:v>Tower lower front wash · H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-0.34</x:v>
      </x:c>
      <x:c r="G141" s="11" t="n">
        <x:v>8.39</x:v>
      </x:c>
      <x:c r="H141" s="11" t="n">
        <x:v>11.453000000000001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280 × 125 × 182</x:v>
      </x:c>
      <x:c r="M141" s="8" t="str">
        <x:v>3500 lm · 3000 K · 50° beam</x:v>
      </x:c>
      <x:c r="N141" s="11" t="n">
        <x:v>27.22222222222222</x:v>
      </x:c>
      <x:c r="O141" s="11" t="n">
        <x:v>-82.11686068327029</x:v>
      </x:c>
      <x:c r="P141" s="11" t="n">
        <x:v>-58.77615553708832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drop:DB2:L6:light:1:L171</x:v>
      </x:c>
      <x:c r="AC141" s="8" t="str">
        <x:v>{"outreach":0.12,"lumens":3500,"dim":1}</x:v>
      </x:c>
    </x:row>
    <x:row r="142" ht="96" customHeight="1">
      <x:c r="A142" s="8" t="str">
        <x:v>L172</x:v>
      </x:c>
      <x:c r="B142" s="8" t="str">
        <x:v>Tower stage 2 flood · H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-0.34</x:v>
      </x:c>
      <x:c r="G142" s="11" t="n">
        <x:v>8.39</x:v>
      </x:c>
      <x:c r="H142" s="11" t="n">
        <x:v>10.153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7000 lm · 3000 K · 40° beam · 2 m strand</x:v>
      </x:c>
      <x:c r="N142" s="11" t="n">
        <x:v>54.44444444444444</x:v>
      </x:c>
      <x:c r="O142" s="11" t="n">
        <x:v>0</x:v>
      </x:c>
      <x:c r="P142" s="11" t="n">
        <x:v>85.58829356070004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drop:DB2:L6:light:1:L172</x:v>
      </x:c>
      <x:c r="AC142" s="8" t="str">
        <x:v>{"length":2,"outreach":0.1,"lumens":7000,"dim":1}</x:v>
      </x:c>
    </x:row>
    <x:row r="143" ht="96" customHeight="1">
      <x:c r="A143" s="8" t="str">
        <x:v>L173</x:v>
      </x:c>
      <x:c r="B143" s="8" t="str">
        <x:v>Tower stage 3 flood · H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-0.24999999999999997</x:v>
      </x:c>
      <x:c r="G143" s="11" t="n">
        <x:v>15.84</x:v>
      </x:c>
      <x:c r="H143" s="11" t="n">
        <x:v>10.153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2000</x:v>
      </x:c>
      <x:c r="M143" s="8" t="str">
        <x:v>6000 lm · 3000 K · 40° beam · 2 m strand</x:v>
      </x:c>
      <x:c r="N143" s="11" t="n">
        <x:v>46.666666666666664</x:v>
      </x:c>
      <x:c r="O143" s="11" t="n">
        <x:v>0</x:v>
      </x:c>
      <x:c r="P143" s="11" t="n">
        <x:v>85.14063031087433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drop:DB2:L6:light:1:L173</x:v>
      </x:c>
      <x:c r="AC143" s="8" t="str">
        <x:v>{"length":2,"outreach":0.1,"lumens":6000,"dim":1}</x:v>
      </x:c>
    </x:row>
    <x:row r="144" ht="96" customHeight="1">
      <x:c r="A144" s="8" t="str">
        <x:v>L174</x:v>
      </x:c>
      <x:c r="B144" s="8" t="str">
        <x:v>Belfry front wash · H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23.14</x:v>
      </x:c>
      <x:c r="H144" s="11" t="n">
        <x:v>10.153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240 × 85 × 1800</x:v>
      </x:c>
      <x:c r="M144" s="8" t="str">
        <x:v>4500 lm · 3000 K · 30° beam · 1.8 m strand</x:v>
      </x:c>
      <x:c r="N144" s="11" t="n">
        <x:v>35</x:v>
      </x:c>
      <x:c r="O144" s="11" t="n">
        <x:v>0</x:v>
      </x:c>
      <x:c r="P144" s="11" t="n">
        <x:v>81.88943917970877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drop:DB2:L6:light:1:L174</x:v>
      </x:c>
      <x:c r="AC144" s="8" t="str">
        <x:v>{"length":1.8,"outreach":0.1,"lumens":4500,"dim":1}</x:v>
      </x:c>
    </x:row>
    <x:row r="145" ht="96" customHeight="1">
      <x:c r="A145" s="8" t="str">
        <x:v>L175</x:v>
      </x:c>
      <x:c r="B145" s="8" t="str">
        <x:v>Dome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0.14</x:v>
      </x:c>
      <x:c r="G145" s="11" t="n">
        <x:v>29.09</x:v>
      </x:c>
      <x:c r="H145" s="11" t="n">
        <x:v>10.153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4000 lm · 3000 K · 36° beam</x:v>
      </x:c>
      <x:c r="N145" s="11" t="n">
        <x:v>31.11111111111111</x:v>
      </x:c>
      <x:c r="O145" s="11" t="n">
        <x:v>0</x:v>
      </x:c>
      <x:c r="P145" s="11" t="n">
        <x:v>62.93236715620101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drop:DB2:L6:light:1:L175</x:v>
      </x:c>
      <x:c r="AC145" s="8" t="str">
        <x:v>{"outreach":0.12,"lumens":4000,"dim":1}</x:v>
      </x:c>
    </x:row>
    <x:row r="146" ht="96" customHeight="1">
      <x:c r="A146" s="8" t="str">
        <x:v>L176</x:v>
      </x:c>
      <x:c r="B146" s="8" t="str">
        <x:v>Belfry glow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2.45</x:v>
      </x:c>
      <x:c r="G146" s="11" t="n">
        <x:v>23.2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320 × 220 × 300</x:v>
      </x:c>
      <x:c r="M146" s="8" t="str">
        <x:v>2500 lm · 2700 K · 100° beam</x:v>
      </x:c>
      <x:c r="N146" s="11" t="n">
        <x:v>20</x:v>
      </x:c>
      <x:c r="O146" s="11" t="n">
        <x:v>0</x:v>
      </x:c>
      <x:c r="P146" s="11" t="n">
        <x:v>90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drop:DB2:L6:light:1:L176</x:v>
      </x:c>
      <x:c r="AC146" s="8" t="str">
        <x:v>{"finish":"bronze","lumens":2500,"dim":1}</x:v>
      </x:c>
    </x:row>
    <x:row r="147" ht="96" customHeight="1">
      <x:c r="A147" s="8" t="str">
        <x:v>L177</x:v>
      </x:c>
      <x:c r="B147" s="8" t="str">
        <x:v>Tower lower side wash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3.75</x:v>
      </x:c>
      <x:c r="G147" s="11" t="n">
        <x:v>8.39</x:v>
      </x:c>
      <x:c r="H147" s="11" t="n">
        <x:v>12.943000000000001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280 × 125 × 182</x:v>
      </x:c>
      <x:c r="M147" s="8" t="str">
        <x:v>2500 lm · 3000 K · 50° beam</x:v>
      </x:c>
      <x:c r="N147" s="11" t="n">
        <x:v>19.444444444444443</x:v>
      </x:c>
      <x:c r="O147" s="11" t="n">
        <x:v>-172.11686068327032</x:v>
      </x:c>
      <x:c r="P147" s="11" t="n">
        <x:v>-58.77615553708834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drop:DB2:L6:light:1:L177</x:v>
      </x:c>
      <x:c r="AC147" s="8" t="str">
        <x:v>{"outreach":0.12,"lumens":2500,"dim":1}</x:v>
      </x:c>
    </x:row>
    <x:row r="148" ht="96" customHeight="1">
      <x:c r="A148" s="8" t="str">
        <x:v>L178</x:v>
      </x:c>
      <x:c r="B148" s="8" t="str">
        <x:v>Tower stage 2 side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2.45</x:v>
      </x:c>
      <x:c r="G148" s="11" t="n">
        <x:v>8.39</x:v>
      </x:c>
      <x:c r="H148" s="11" t="n">
        <x:v>12.943000000000001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2000</x:v>
      </x:c>
      <x:c r="M148" s="8" t="str">
        <x:v>5000 lm · 3000 K · 40° beam · 2 m strand</x:v>
      </x:c>
      <x:c r="N148" s="11" t="n">
        <x:v>38.888888888888886</x:v>
      </x:c>
      <x:c r="O148" s="11" t="n">
        <x:v>-90</x:v>
      </x:c>
      <x:c r="P148" s="11" t="n">
        <x:v>85.19414975379085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drop:DB2:L6:light:1:L178</x:v>
      </x:c>
      <x:c r="AC148" s="8" t="str">
        <x:v>{"length":2,"outreach":0.1,"lumens":5000,"dim":1}</x:v>
      </x:c>
    </x:row>
    <x:row r="149" ht="96" customHeight="1">
      <x:c r="A149" s="8" t="str">
        <x:v>L179</x:v>
      </x:c>
      <x:c r="B149" s="8" t="str">
        <x:v>Tower stage 3 side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2.45</x:v>
      </x:c>
      <x:c r="G149" s="11" t="n">
        <x:v>15.84</x:v>
      </x:c>
      <x:c r="H149" s="11" t="n">
        <x:v>12.818000000000001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240 × 85 × 2000</x:v>
      </x:c>
      <x:c r="M149" s="8" t="str">
        <x:v>4000 lm · 3000 K · 40° beam · 2 m strand</x:v>
      </x:c>
      <x:c r="N149" s="11" t="n">
        <x:v>31.11111111111111</x:v>
      </x:c>
      <x:c r="O149" s="11" t="n">
        <x:v>-90</x:v>
      </x:c>
      <x:c r="P149" s="11" t="n">
        <x:v>85.14063031087433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drop:DB2:L6:light:1:L179</x:v>
      </x:c>
      <x:c r="AC149" s="8" t="str">
        <x:v>{"length":2,"outreach":0.1,"lumens":4000,"dim":1}</x:v>
      </x:c>
    </x:row>
    <x:row r="150" ht="96" customHeight="1">
      <x:c r="A150" s="8" t="str">
        <x:v>L180</x:v>
      </x:c>
      <x:c r="B150" s="8" t="str">
        <x:v>Belfry side wash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23.14</x:v>
      </x:c>
      <x:c r="H150" s="11" t="n">
        <x:v>12.718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240 × 85 × 1800</x:v>
      </x:c>
      <x:c r="M150" s="8" t="str">
        <x:v>3000 lm · 3000 K · 30° beam · 1.8 m strand</x:v>
      </x:c>
      <x:c r="N150" s="11" t="n">
        <x:v>23.333333333333332</x:v>
      </x:c>
      <x:c r="O150" s="11" t="n">
        <x:v>-90</x:v>
      </x:c>
      <x:c r="P150" s="11" t="n">
        <x:v>82.02628287199703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drop:DB2:L6:light:1:L180</x:v>
      </x:c>
      <x:c r="AC150" s="8" t="str">
        <x:v>{"length":1.8,"outreach":0.1,"lumens":3000,"dim":1}</x:v>
      </x:c>
    </x:row>
    <x:row r="151" ht="96" customHeight="1">
      <x:c r="A151" s="8" t="str">
        <x:v>L181</x:v>
      </x:c>
      <x:c r="B151" s="8" t="str">
        <x:v>Façade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-0.15</x:v>
      </x:c>
      <x:c r="G151" s="11" t="n">
        <x:v>8.39</x:v>
      </x:c>
      <x:c r="H151" s="11" t="n">
        <x:v>7.4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310 × 125 × 182</x:v>
      </x:c>
      <x:c r="M151" s="8" t="str">
        <x:v>6000 lm · 3000 K · 50° beam</x:v>
      </x:c>
      <x:c r="N151" s="11" t="n">
        <x:v>46.666666666666664</x:v>
      </x:c>
      <x:c r="O151" s="11" t="n">
        <x:v>-66.08375458238065</x:v>
      </x:c>
      <x:c r="P151" s="11" t="n">
        <x:v>-43.48055876948856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drop:DB2:L6:light:1:L181</x:v>
      </x:c>
      <x:c r="AC151" s="8" t="str">
        <x:v>{"outreach":0.15,"lumens":6000,"dim":1}</x:v>
      </x:c>
    </x:row>
    <x:row r="152" ht="96" customHeight="1">
      <x:c r="A152" s="8" t="str">
        <x:v>L182</x:v>
      </x:c>
      <x:c r="B152" s="8" t="str">
        <x:v>Stage flood · tower B · outer</x:v>
      </x:c>
      <x:c r="C152" s="8" t="str">
        <x:v>light</x:v>
      </x:c>
      <x:c r="D152" s="8" t="str">
        <x:v>DB2</x:v>
      </x:c>
      <x:c r="E152" s="8" t="str">
        <x:v>L9</x:v>
      </x:c>
      <x:c r="F152" s="11" t="n">
        <x:v>-0.3</x:v>
      </x:c>
      <x:c r="G152" s="11" t="n">
        <x:v>8.39</x:v>
      </x:c>
      <x:c r="H152" s="11" t="n">
        <x:v>-11.853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310 × 125 × 182</x:v>
      </x:c>
      <x:c r="M152" s="8" t="str">
        <x:v>9000 lm · 3000 K · 45° beam</x:v>
      </x:c>
      <x:c r="N152" s="11" t="n">
        <x:v>70</x:v>
      </x:c>
      <x:c r="O152" s="11" t="n">
        <x:v>133.63238454234857</x:v>
      </x:c>
      <x:c r="P152" s="11" t="n">
        <x:v>-56.08477147098569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drop:DB2:L9:light:-1:L182</x:v>
      </x:c>
      <x:c r="AC152" s="8" t="str">
        <x:v>{"outreach":0.15,"lumens":9000,"dim":1}</x:v>
      </x:c>
    </x:row>
    <x:row r="153" ht="96" customHeight="1">
      <x:c r="A153" s="8" t="str">
        <x:v>L183</x:v>
      </x:c>
      <x:c r="B153" s="8" t="str">
        <x:v>Stage flood · tower B · inner</x:v>
      </x:c>
      <x:c r="C153" s="8" t="str">
        <x:v>light</x:v>
      </x:c>
      <x:c r="D153" s="8" t="str">
        <x:v>DB2</x:v>
      </x:c>
      <x:c r="E153" s="8" t="str">
        <x:v>L9</x:v>
      </x:c>
      <x:c r="F153" s="11" t="n">
        <x:v>-0.3</x:v>
      </x:c>
      <x:c r="G153" s="11" t="n">
        <x:v>8.39</x:v>
      </x:c>
      <x:c r="H153" s="11" t="n">
        <x:v>-8.453000000000001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310 × 125 × 182</x:v>
      </x:c>
      <x:c r="M153" s="8" t="str">
        <x:v>9000 lm · 3000 K · 45° beam</x:v>
      </x:c>
      <x:c r="N153" s="11" t="n">
        <x:v>70</x:v>
      </x:c>
      <x:c r="O153" s="11" t="n">
        <x:v>123.57149111621084</x:v>
      </x:c>
      <x:c r="P153" s="11" t="n">
        <x:v>-50.003435063645014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drop:DB2:L9:light:-1:L183</x:v>
      </x:c>
      <x:c r="AC153" s="8" t="str">
        <x:v>{"outreach":0.15,"lumens":9000,"dim":1}</x:v>
      </x:c>
    </x:row>
    <x:row r="154" ht="96" customHeight="1">
      <x:c r="A154" s="8" t="str">
        <x:v>L184</x:v>
      </x:c>
      <x:c r="B154" s="8" t="str">
        <x:v>Path light · axis 4 · B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14.475</x:v>
      </x:c>
      <x:c r="G154" s="11" t="n">
        <x:v>5.9</x:v>
      </x:c>
      <x:c r="H154" s="11" t="n">
        <x:v>-10.75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330 × 222 × 240</x:v>
      </x:c>
      <x:c r="M154" s="8" t="str">
        <x:v>2500 lm · 3000 K · 50° beam</x:v>
      </x:c>
      <x:c r="N154" s="11" t="n">
        <x:v>20.833333333333332</x:v>
      </x:c>
      <x:c r="O154" s="11" t="n">
        <x:v>-90</x:v>
      </x:c>
      <x:c r="P154" s="11" t="n">
        <x:v>-64.83000408390343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drop:LC1:L5:light:-1:L184</x:v>
      </x:c>
      <x:c r="AC154" s="8" t="str">
        <x:v>{"finish":"black","lumens":2500,"dim":1}</x:v>
      </x:c>
    </x:row>
    <x:row r="155" ht="96" customHeight="1">
      <x:c r="A155" s="8" t="str">
        <x:v>L185</x:v>
      </x:c>
      <x:c r="B155" s="8" t="str">
        <x:v>Path light · axis 6 · B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23.475</x:v>
      </x:c>
      <x:c r="G155" s="11" t="n">
        <x:v>5.9</x:v>
      </x:c>
      <x:c r="H155" s="11" t="n">
        <x:v>-10.75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330 × 222 × 240</x:v>
      </x:c>
      <x:c r="M155" s="8" t="str">
        <x:v>2500 lm · 3000 K · 50° beam</x:v>
      </x:c>
      <x:c r="N155" s="11" t="n">
        <x:v>20.833333333333332</x:v>
      </x:c>
      <x:c r="O155" s="11" t="n">
        <x:v>-90</x:v>
      </x:c>
      <x:c r="P155" s="11" t="n">
        <x:v>-64.83000408390343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drop:LC1:L5:light:-1:L185</x:v>
      </x:c>
      <x:c r="AC155" s="8" t="str">
        <x:v>{"finish":"black","lumens":2500,"dim":1}</x:v>
      </x:c>
    </x:row>
    <x:row r="156" ht="96" customHeight="1">
      <x:c r="A156" s="8" t="str">
        <x:v>L186</x:v>
      </x:c>
      <x:c r="B156" s="8" t="str">
        <x:v>Path light · axis 11 · B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48.675</x:v>
      </x:c>
      <x:c r="G156" s="11" t="n">
        <x:v>5.9</x:v>
      </x:c>
      <x:c r="H156" s="11" t="n">
        <x:v>-10.75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330 × 222 × 240</x:v>
      </x:c>
      <x:c r="M156" s="8" t="str">
        <x:v>2500 lm · 3000 K · 50° beam</x:v>
      </x:c>
      <x:c r="N156" s="11" t="n">
        <x:v>20.833333333333332</x:v>
      </x:c>
      <x:c r="O156" s="11" t="n">
        <x:v>-90</x:v>
      </x:c>
      <x:c r="P156" s="11" t="n">
        <x:v>-64.83000408390343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drop:LC1:L5:light:-1:L186</x:v>
      </x:c>
      <x:c r="AC156" s="8" t="str">
        <x:v>{"finish":"black","lumens":2500,"dim":1}</x:v>
      </x:c>
    </x:row>
    <x:row r="157" ht="96" customHeight="1">
      <x:c r="A157" s="8" t="str">
        <x:v>L187</x:v>
      </x:c>
      <x:c r="B157" s="8" t="str">
        <x:v>Path light · wing gable B</x:v>
      </x:c>
      <x:c r="C157" s="8" t="str">
        <x:v>light</x:v>
      </x:c>
      <x:c r="D157" s="8" t="str">
        <x:v>DB1</x:v>
      </x:c>
      <x:c r="E157" s="8" t="str">
        <x:v>L5</x:v>
      </x:c>
      <x:c r="F157" s="11" t="n">
        <x:v>40.575</x:v>
      </x:c>
      <x:c r="G157" s="11" t="n">
        <x:v>6.2</x:v>
      </x:c>
      <x:c r="H157" s="11" t="n">
        <x:v>-13.13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330 × 222 × 240</x:v>
      </x:c>
      <x:c r="M157" s="8" t="str">
        <x:v>3000 lm · 3000 K · 55° beam</x:v>
      </x:c>
      <x:c r="N157" s="11" t="n">
        <x:v>25</x:v>
      </x:c>
      <x:c r="O157" s="11" t="n">
        <x:v>-90</x:v>
      </x:c>
      <x:c r="P157" s="11" t="n">
        <x:v>-64.94902218355713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drop:LC1:L5:light:-1:L187</x:v>
      </x:c>
      <x:c r="AC157" s="8" t="str">
        <x:v>{"finish":"black","lumens":3000,"dim":1}</x:v>
      </x:c>
    </x:row>
    <x:row r="158" ht="96" customHeight="1">
      <x:c r="A158" s="8" t="str">
        <x:v>L188</x:v>
      </x:c>
      <x:c r="B158" s="8" t="str">
        <x:v>Path light · rear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53.2</x:v>
      </x:c>
      <x:c r="G158" s="11" t="n">
        <x:v>5.2</x:v>
      </x:c>
      <x:c r="H158" s="11" t="n">
        <x:v>-4.5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3000 lm · 3000 K · 55° beam</x:v>
      </x:c>
      <x:c r="N158" s="11" t="n">
        <x:v>25</x:v>
      </x:c>
      <x:c r="O158" s="11" t="n">
        <x:v>-6.632514615138468</x:v>
      </x:c>
      <x:c r="P158" s="11" t="n">
        <x:v>-59.26263122264938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drop:LC1:L5:light:-1:L188</x:v>
      </x:c>
      <x:c r="AC158" s="8" t="str">
        <x:v>{"finish":"black","lumens":3000,"dim":1}</x:v>
      </x:c>
    </x:row>
    <x:row r="159" ht="96" customHeight="1">
      <x:c r="A159" s="8" t="str">
        <x:v>L189</x:v>
      </x:c>
      <x:c r="B159" s="8" t="str">
        <x:v>Stage flood · tower H · inner</x:v>
      </x:c>
      <x:c r="C159" s="8" t="str">
        <x:v>light</x:v>
      </x:c>
      <x:c r="D159" s="8" t="str">
        <x:v>DB2</x:v>
      </x:c>
      <x:c r="E159" s="8" t="str">
        <x:v>L9</x:v>
      </x:c>
      <x:c r="F159" s="11" t="n">
        <x:v>-0.3</x:v>
      </x:c>
      <x:c r="G159" s="11" t="n">
        <x:v>8.39</x:v>
      </x:c>
      <x:c r="H159" s="11" t="n">
        <x:v>8.453000000000001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310 × 125 × 182</x:v>
      </x:c>
      <x:c r="M159" s="8" t="str">
        <x:v>9000 lm · 3000 K · 45° beam</x:v>
      </x:c>
      <x:c r="N159" s="11" t="n">
        <x:v>70</x:v>
      </x:c>
      <x:c r="O159" s="11" t="n">
        <x:v>-123.57149111621084</x:v>
      </x:c>
      <x:c r="P159" s="11" t="n">
        <x:v>-50.003435063645014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drop:DB2:L9:light:1:L189</x:v>
      </x:c>
      <x:c r="AC159" s="8" t="str">
        <x:v>{"outreach":0.15,"lumens":9000,"dim":1}</x:v>
      </x:c>
    </x:row>
    <x:row r="160" ht="96" customHeight="1">
      <x:c r="A160" s="8" t="str">
        <x:v>L190</x:v>
      </x:c>
      <x:c r="B160" s="8" t="str">
        <x:v>Stage flood · tower H · outer</x:v>
      </x:c>
      <x:c r="C160" s="8" t="str">
        <x:v>light</x:v>
      </x:c>
      <x:c r="D160" s="8" t="str">
        <x:v>DB2</x:v>
      </x:c>
      <x:c r="E160" s="8" t="str">
        <x:v>L9</x:v>
      </x:c>
      <x:c r="F160" s="11" t="n">
        <x:v>-0.3</x:v>
      </x:c>
      <x:c r="G160" s="11" t="n">
        <x:v>8.39</x:v>
      </x:c>
      <x:c r="H160" s="11" t="n">
        <x:v>11.853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9000 lm · 3000 K · 45° beam</x:v>
      </x:c>
      <x:c r="N160" s="11" t="n">
        <x:v>70</x:v>
      </x:c>
      <x:c r="O160" s="11" t="n">
        <x:v>-133.63238454234857</x:v>
      </x:c>
      <x:c r="P160" s="11" t="n">
        <x:v>-56.08477147098569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drop:DB2:L9:light:1:L190</x:v>
      </x:c>
      <x:c r="AC160" s="8" t="str">
        <x:v>{"outreach":0.15,"lumens":9000,"dim":1}</x:v>
      </x:c>
    </x:row>
    <x:row r="161" ht="96" customHeight="1">
      <x:c r="A161" s="8" t="str">
        <x:v>L191</x:v>
      </x:c>
      <x:c r="B161" s="8" t="str">
        <x:v>Path light · axis 4 · H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14.475</x:v>
      </x:c>
      <x:c r="G161" s="11" t="n">
        <x:v>5.9</x:v>
      </x:c>
      <x:c r="H161" s="11" t="n">
        <x:v>10.75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2500 lm · 3000 K · 50° beam</x:v>
      </x:c>
      <x:c r="N161" s="11" t="n">
        <x:v>20.833333333333332</x:v>
      </x:c>
      <x:c r="O161" s="11" t="n">
        <x:v>90</x:v>
      </x:c>
      <x:c r="P161" s="11" t="n">
        <x:v>-64.83000408390343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drop:LC1:L5:light:1:L191</x:v>
      </x:c>
      <x:c r="AC161" s="8" t="str">
        <x:v>{"finish":"black","lumens":2500,"dim":1}</x:v>
      </x:c>
    </x:row>
    <x:row r="162" ht="96" customHeight="1">
      <x:c r="A162" s="8" t="str">
        <x:v>L192</x:v>
      </x:c>
      <x:c r="B162" s="8" t="str">
        <x:v>Path light · axis 6 · H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23.475</x:v>
      </x:c>
      <x:c r="G162" s="11" t="n">
        <x:v>5.9</x:v>
      </x:c>
      <x:c r="H162" s="11" t="n">
        <x:v>10.75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2500 lm · 3000 K · 50° beam</x:v>
      </x:c>
      <x:c r="N162" s="11" t="n">
        <x:v>20.833333333333332</x:v>
      </x:c>
      <x:c r="O162" s="11" t="n">
        <x:v>90</x:v>
      </x:c>
      <x:c r="P162" s="11" t="n">
        <x:v>-64.83000408390343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drop:LC1:L5:light:1:L192</x:v>
      </x:c>
      <x:c r="AC162" s="8" t="str">
        <x:v>{"finish":"black","lumens":2500,"dim":1}</x:v>
      </x:c>
    </x:row>
    <x:row r="163" ht="96" customHeight="1">
      <x:c r="A163" s="8" t="str">
        <x:v>L193</x:v>
      </x:c>
      <x:c r="B163" s="8" t="str">
        <x:v>Path light · axis 11 · H</x:v>
      </x:c>
      <x:c r="C163" s="8" t="str">
        <x:v>light</x:v>
      </x:c>
      <x:c r="D163" s="8" t="str">
        <x:v>DB1</x:v>
      </x:c>
      <x:c r="E163" s="8" t="str">
        <x:v>L5</x:v>
      </x:c>
      <x:c r="F163" s="11" t="n">
        <x:v>48.675</x:v>
      </x:c>
      <x:c r="G163" s="11" t="n">
        <x:v>5.9</x:v>
      </x:c>
      <x:c r="H163" s="11" t="n">
        <x:v>10.75</x:v>
      </x:c>
      <x:c r="I163" s="8" t="str">
        <x:v>wall</x:v>
      </x:c>
      <x:c r="J163" s="8" t="str">
        <x:v>Shown</x:v>
      </x:c>
      <x:c r="K163" s="8" t="str">
        <x:v>On</x:v>
      </x:c>
      <x:c r="L163" s="8" t="str">
        <x:v>330 × 222 × 240</x:v>
      </x:c>
      <x:c r="M163" s="8" t="str">
        <x:v>2500 lm · 3000 K · 50° beam</x:v>
      </x:c>
      <x:c r="N163" s="11" t="n">
        <x:v>20.833333333333332</x:v>
      </x:c>
      <x:c r="O163" s="11" t="n">
        <x:v>90</x:v>
      </x:c>
      <x:c r="P163" s="11" t="n">
        <x:v>-64.83000408390343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drop:LC1:L5:light:1:L193</x:v>
      </x:c>
      <x:c r="AC163" s="8" t="str">
        <x:v>{"finish":"black","lumens":2500,"dim":1}</x:v>
      </x:c>
    </x:row>
    <x:row r="164" ht="96" customHeight="1">
      <x:c r="A164" s="8" t="str">
        <x:v>L194</x:v>
      </x:c>
      <x:c r="B164" s="8" t="str">
        <x:v>Path light · wing gable H</x:v>
      </x:c>
      <x:c r="C164" s="8" t="str">
        <x:v>light</x:v>
      </x:c>
      <x:c r="D164" s="8" t="str">
        <x:v>DB1</x:v>
      </x:c>
      <x:c r="E164" s="8" t="str">
        <x:v>L5</x:v>
      </x:c>
      <x:c r="F164" s="11" t="n">
        <x:v>40.575</x:v>
      </x:c>
      <x:c r="G164" s="11" t="n">
        <x:v>6.2</x:v>
      </x:c>
      <x:c r="H164" s="11" t="n">
        <x:v>13.13</x:v>
      </x:c>
      <x:c r="I164" s="8" t="str">
        <x:v>wall</x:v>
      </x:c>
      <x:c r="J164" s="8" t="str">
        <x:v>Shown</x:v>
      </x:c>
      <x:c r="K164" s="8" t="str">
        <x:v>On</x:v>
      </x:c>
      <x:c r="L164" s="8" t="str">
        <x:v>330 × 222 × 240</x:v>
      </x:c>
      <x:c r="M164" s="8" t="str">
        <x:v>3000 lm · 3000 K · 55° beam</x:v>
      </x:c>
      <x:c r="N164" s="11" t="n">
        <x:v>25</x:v>
      </x:c>
      <x:c r="O164" s="11" t="n">
        <x:v>90</x:v>
      </x:c>
      <x:c r="P164" s="11" t="n">
        <x:v>-64.94902218355713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drop:LC1:L5:light:1:L194</x:v>
      </x:c>
      <x:c r="AC164" s="8" t="str">
        <x:v>{"finish":"black","lumens":3000,"dim":1}</x:v>
      </x:c>
    </x:row>
    <x:row r="165" ht="96" customHeight="1">
      <x:c r="A165" s="8" t="str">
        <x:v>L195</x:v>
      </x:c>
      <x:c r="B165" s="8" t="str">
        <x:v>Path light · rear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53.2</x:v>
      </x:c>
      <x:c r="G165" s="11" t="n">
        <x:v>5.2</x:v>
      </x:c>
      <x:c r="H165" s="11" t="n">
        <x:v>4.5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3000 lm · 3000 K · 55° beam</x:v>
      </x:c>
      <x:c r="N165" s="11" t="n">
        <x:v>25</x:v>
      </x:c>
      <x:c r="O165" s="11" t="n">
        <x:v>6.632514615138468</x:v>
      </x:c>
      <x:c r="P165" s="11" t="n">
        <x:v>-59.26263122264938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drop:LC1:L5:light:1:L195</x:v>
      </x:c>
      <x:c r="AC165" s="8" t="str">
        <x:v>{"finish":"black","lumens":3000,"dim":1}</x:v>
      </x:c>
    </x:row>
    <x:row r="166" ht="96" customHeight="1">
      <x:c r="A166" s="8" t="str">
        <x:v>L196</x:v>
      </x:c>
      <x:c r="B166" s="8" t="str">
        <x:v>Festival lights · roof ridge</x:v>
      </x:c>
      <x:c r="C166" s="8" t="str">
        <x:v>light</x:v>
      </x:c>
      <x:c r="D166" s="8" t="str">
        <x:v>DB2</x:v>
      </x:c>
      <x:c r="E166" s="8" t="str">
        <x:v>L7</x:v>
      </x:c>
      <x:c r="F166" s="11" t="n">
        <x:v>29.16</x:v>
      </x:c>
      <x:c r="G166" s="11" t="n">
        <x:v>12.69</x:v>
      </x:c>
      <x:c r="H166" s="11" t="n">
        <x:v>0</x:v>
      </x:c>
      <x:c r="I166" s="8" t="str">
        <x:v>floor</x:v>
      </x:c>
      <x:c r="J166" s="8" t="str">
        <x:v>Shown</x:v>
      </x:c>
      <x:c r="K166" s="8" t="str">
        <x:v>Off</x:v>
      </x:c>
      <x:c r="L166" s="8" t="str">
        <x:v>100 × 100 × 47387</x:v>
      </x:c>
      <x:c r="M166" s="8" t="str">
        <x:v>80 bulbs · 1 W/bulb assumed · lumen data needed · 2200 K · 47.3 m strand</x:v>
      </x:c>
      <x:c r="N166" s="11" t="n">
        <x:v>80</x:v>
      </x:c>
      <x:c r="O166" s="11" t="n">
        <x:v>90</x:v>
      </x:c>
      <x:c r="P166" s="11" t="n">
        <x:v>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drop:EB1:L7:light:-1:L196</x:v>
      </x:c>
      <x:c r="AC166" s="8" t="str">
        <x:v>{"length":47.3,"slope":0,"spacing":0.6,"dim":1}</x:v>
      </x:c>
    </x:row>
    <x:row r="167" ht="96" customHeight="1">
      <x:c r="A167" s="8" t="str">
        <x:v>L197</x:v>
      </x:c>
      <x:c r="B167" s="8" t="str">
        <x:v>Festival lights · main eave B · nave</x:v>
      </x:c>
      <x:c r="C167" s="8" t="str">
        <x:v>light</x:v>
      </x:c>
      <x:c r="D167" s="8" t="str">
        <x:v>DB2</x:v>
      </x:c>
      <x:c r="E167" s="8" t="str">
        <x:v>L7</x:v>
      </x:c>
      <x:c r="F167" s="11" t="n">
        <x:v>21.35</x:v>
      </x:c>
      <x:c r="G167" s="11" t="n">
        <x:v>7.32</x:v>
      </x:c>
      <x:c r="H167" s="11" t="n">
        <x:v>-7.3</x:v>
      </x:c>
      <x:c r="I167" s="8" t="str">
        <x:v>floor</x:v>
      </x:c>
      <x:c r="J167" s="8" t="str">
        <x:v>Shown</x:v>
      </x:c>
      <x:c r="K167" s="8" t="str">
        <x:v>Off</x:v>
      </x:c>
      <x:c r="L167" s="8" t="str">
        <x:v>100 × 100 × 31787</x:v>
      </x:c>
      <x:c r="M167" s="8" t="str">
        <x:v>54 bulbs · 1 W/bulb assumed · lumen data needed · 2200 K · 31.7 m strand</x:v>
      </x:c>
      <x:c r="N167" s="11" t="n">
        <x:v>54</x:v>
      </x:c>
      <x:c r="O167" s="11" t="n">
        <x:v>90</x:v>
      </x:c>
      <x:c r="P167" s="11" t="n">
        <x:v>0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drop:EB1:L7:light:-1:L197</x:v>
      </x:c>
      <x:c r="AC167" s="8" t="str">
        <x:v>{"length":31.7,"slope":0,"spacing":0.6,"dim":1}</x:v>
      </x:c>
    </x:row>
    <x:row r="168" ht="96" customHeight="1">
      <x:c r="A168" s="8" t="str">
        <x:v>L198</x:v>
      </x:c>
      <x:c r="B168" s="8" t="str">
        <x:v>Festival lights · main eave B · sanctuary</x:v>
      </x:c>
      <x:c r="C168" s="8" t="str">
        <x:v>light</x:v>
      </x:c>
      <x:c r="D168" s="8" t="str">
        <x:v>DB2</x:v>
      </x:c>
      <x:c r="E168" s="8" t="str">
        <x:v>L7</x:v>
      </x:c>
      <x:c r="F168" s="11" t="n">
        <x:v>48.4</x:v>
      </x:c>
      <x:c r="G168" s="11" t="n">
        <x:v>7.32</x:v>
      </x:c>
      <x:c r="H168" s="11" t="n">
        <x:v>-7.3</x:v>
      </x:c>
      <x:c r="I168" s="8" t="str">
        <x:v>floor</x:v>
      </x:c>
      <x:c r="J168" s="8" t="str">
        <x:v>Shown</x:v>
      </x:c>
      <x:c r="K168" s="8" t="str">
        <x:v>Off</x:v>
      </x:c>
      <x:c r="L168" s="8" t="str">
        <x:v>100 × 100 × 8987</x:v>
      </x:c>
      <x:c r="M168" s="8" t="str">
        <x:v>16 bulbs · 1 W/bulb assumed · lumen data needed · 2200 K · 8.9 m strand</x:v>
      </x:c>
      <x:c r="N168" s="11" t="n">
        <x:v>16</x:v>
      </x:c>
      <x:c r="O168" s="11" t="n">
        <x:v>90</x:v>
      </x:c>
      <x:c r="P168" s="11" t="n">
        <x:v>0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drop:EB1:L7:light:-1:L198</x:v>
      </x:c>
      <x:c r="AC168" s="8" t="str">
        <x:v>{"length":8.9,"slope":0,"spacing":0.6,"dim":1}</x:v>
      </x:c>
    </x:row>
    <x:row r="169" ht="96" customHeight="1">
      <x:c r="A169" s="8" t="str">
        <x:v>L199</x:v>
      </x:c>
      <x:c r="B169" s="8" t="str">
        <x:v>Festival lights · veranda eave B · nave</x:v>
      </x:c>
      <x:c r="C169" s="8" t="str">
        <x:v>light</x:v>
      </x:c>
      <x:c r="D169" s="8" t="str">
        <x:v>DB2</x:v>
      </x:c>
      <x:c r="E169" s="8" t="str">
        <x:v>L7</x:v>
      </x:c>
      <x:c r="F169" s="11" t="n">
        <x:v>21.35</x:v>
      </x:c>
      <x:c r="G169" s="11" t="n">
        <x:v>6.4</x:v>
      </x:c>
      <x:c r="H169" s="11" t="n">
        <x:v>-10.78</x:v>
      </x:c>
      <x:c r="I169" s="8" t="str">
        <x:v>floor</x:v>
      </x:c>
      <x:c r="J169" s="8" t="str">
        <x:v>Shown</x:v>
      </x:c>
      <x:c r="K169" s="8" t="str">
        <x:v>Off</x:v>
      </x:c>
      <x:c r="L169" s="8" t="str">
        <x:v>100 × 100 × 31787</x:v>
      </x:c>
      <x:c r="M169" s="8" t="str">
        <x:v>54 bulbs · 1 W/bulb assumed · lumen data needed · 2200 K · 31.7 m strand</x:v>
      </x:c>
      <x:c r="N169" s="11" t="n">
        <x:v>54</x:v>
      </x:c>
      <x:c r="O169" s="11" t="n">
        <x:v>90</x:v>
      </x:c>
      <x:c r="P169" s="11" t="n">
        <x:v>0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drop:EB1:L7:light:-1:L199</x:v>
      </x:c>
      <x:c r="AC169" s="8" t="str">
        <x:v>{"length":31.7,"slope":0,"spacing":0.6,"dim":1}</x:v>
      </x:c>
    </x:row>
    <x:row r="170" ht="96" customHeight="1">
      <x:c r="A170" s="8" t="str">
        <x:v>L200</x:v>
      </x:c>
      <x:c r="B170" s="8" t="str">
        <x:v>Festival lights · veranda eave B · sanctuary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48.4</x:v>
      </x:c>
      <x:c r="G170" s="11" t="n">
        <x:v>6.4</x:v>
      </x:c>
      <x:c r="H170" s="11" t="n">
        <x:v>-10.78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8987</x:v>
      </x:c>
      <x:c r="M170" s="8" t="str">
        <x:v>16 bulbs · 1 W/bulb assumed · lumen data needed · 2200 K · 8.9 m strand</x:v>
      </x:c>
      <x:c r="N170" s="11" t="n">
        <x:v>16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drop:EB1:L7:light:-1:L200</x:v>
      </x:c>
      <x:c r="AC170" s="8" t="str">
        <x:v>{"length":8.9,"slope":0,"spacing":0.6,"dim":1}</x:v>
      </x:c>
    </x:row>
    <x:row r="171" ht="96" customHeight="1">
      <x:c r="A171" s="8" t="str">
        <x:v>L201</x:v>
      </x:c>
      <x:c r="B171" s="8" t="str">
        <x:v>Festival lights · rear gable B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53.72</x:v>
      </x:c>
      <x:c r="G171" s="11" t="n">
        <x:v>9</x:v>
      </x:c>
      <x:c r="H171" s="11" t="n">
        <x:v>-5.475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2757 × 3143</x:v>
      </x:c>
      <x:c r="M171" s="8" t="str">
        <x:v>8 bulbs · 1 W/bulb assumed · lumen data needed · 2200 K · 4.05 m strand</x:v>
      </x:c>
      <x:c r="N171" s="11" t="n">
        <x:v>8</x:v>
      </x:c>
      <x:c r="O171" s="11" t="n">
        <x:v>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drop:EB1:L7:light:-1:L201</x:v>
      </x:c>
      <x:c r="AC171" s="8" t="str">
        <x:v>{"length":4.05,"slope":41,"spacing":0.6,"dim":1}</x:v>
      </x:c>
    </x:row>
    <x:row r="172" ht="96" customHeight="1">
      <x:c r="A172" s="8" t="str">
        <x:v>L202</x:v>
      </x:c>
      <x:c r="B172" s="8" t="str">
        <x:v>Festival lights · tower B · stage 1 · inner corner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-0.7749999999999999</x:v>
      </x:c>
      <x:c r="G172" s="11" t="n">
        <x:v>4.195</x:v>
      </x:c>
      <x:c r="H172" s="11" t="n">
        <x:v>-7.593</x:v>
      </x:c>
      <x:c r="I172" s="8" t="str">
        <x:v>wall</x:v>
      </x:c>
      <x:c r="J172" s="8" t="str">
        <x:v>Shown</x:v>
      </x:c>
      <x:c r="K172" s="8" t="str">
        <x:v>Off</x:v>
      </x:c>
      <x:c r="L172" s="8" t="str">
        <x:v>100 × 7890 × 87</x:v>
      </x:c>
      <x:c r="M172" s="8" t="str">
        <x:v>14 bulbs · 1 W/bulb assumed · lumen data needed · 2200 K · 7.790000000000001 m strand</x:v>
      </x:c>
      <x:c r="N172" s="11" t="n">
        <x:v>14</x:v>
      </x:c>
      <x:c r="O172" s="11" t="n">
        <x:v>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drop:EB1:L7:light:-1:L202</x:v>
      </x:c>
      <x:c r="AC172" s="8" t="str">
        <x:v>{"length":7.790000000000001,"slope":90,"spacing":0.6,"dim":1}</x:v>
      </x:c>
    </x:row>
    <x:row r="173" ht="96" customHeight="1">
      <x:c r="A173" s="8" t="str">
        <x:v>L203</x:v>
      </x:c>
      <x:c r="B173" s="8" t="str">
        <x:v>Festival lights · tower B · stage 1 · outer corner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-0.7749999999999999</x:v>
      </x:c>
      <x:c r="G173" s="11" t="n">
        <x:v>4.195</x:v>
      </x:c>
      <x:c r="H173" s="11" t="n">
        <x:v>-12.713000000000001</x:v>
      </x:c>
      <x:c r="I173" s="8" t="str">
        <x:v>wall</x:v>
      </x:c>
      <x:c r="J173" s="8" t="str">
        <x:v>Shown</x:v>
      </x:c>
      <x:c r="K173" s="8" t="str">
        <x:v>Off</x:v>
      </x:c>
      <x:c r="L173" s="8" t="str">
        <x:v>100 × 7890 × 87</x:v>
      </x:c>
      <x:c r="M173" s="8" t="str">
        <x:v>14 bulbs · 1 W/bulb assumed · lumen data needed · 2200 K · 7.790000000000001 m strand</x:v>
      </x:c>
      <x:c r="N173" s="11" t="n">
        <x:v>14</x:v>
      </x:c>
      <x:c r="O173" s="11" t="n">
        <x:v>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drop:EB1:L7:light:-1:L203</x:v>
      </x:c>
      <x:c r="AC173" s="8" t="str">
        <x:v>{"length":7.790000000000001,"slope":90,"spacing":0.6,"dim":1}</x:v>
      </x:c>
    </x:row>
    <x:row r="174" ht="96" customHeight="1">
      <x:c r="A174" s="8" t="str">
        <x:v>L204</x:v>
      </x:c>
      <x:c r="B174" s="8" t="str">
        <x:v>Festival lights · tower B · stage 2 · inner corner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-0.635</x:v>
      </x:c>
      <x:c r="G174" s="11" t="n">
        <x:v>12.115</x:v>
      </x:c>
      <x:c r="H174" s="11" t="n">
        <x:v>-7.663</x:v>
      </x:c>
      <x:c r="I174" s="8" t="str">
        <x:v>wall</x:v>
      </x:c>
      <x:c r="J174" s="8" t="str">
        <x:v>Shown</x:v>
      </x:c>
      <x:c r="K174" s="8" t="str">
        <x:v>Off</x:v>
      </x:c>
      <x:c r="L174" s="8" t="str">
        <x:v>100 × 6950 × 87</x:v>
      </x:c>
      <x:c r="M174" s="8" t="str">
        <x:v>12 bulbs · 1 W/bulb assumed · lumen data needed · 2200 K · 6.85 m strand</x:v>
      </x:c>
      <x:c r="N174" s="11" t="n">
        <x:v>12</x:v>
      </x:c>
      <x:c r="O174" s="11" t="n">
        <x:v>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drop:EB1:L7:light:-1:L204</x:v>
      </x:c>
      <x:c r="AC174" s="8" t="str">
        <x:v>{"length":6.85,"slope":90,"spacing":0.6,"dim":1}</x:v>
      </x:c>
    </x:row>
    <x:row r="175" ht="96" customHeight="1">
      <x:c r="A175" s="8" t="str">
        <x:v>L205</x:v>
      </x:c>
      <x:c r="B175" s="8" t="str">
        <x:v>Festival lights · tower B · stage 2 · outer corner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-0.635</x:v>
      </x:c>
      <x:c r="G175" s="11" t="n">
        <x:v>12.115</x:v>
      </x:c>
      <x:c r="H175" s="11" t="n">
        <x:v>-12.643</x:v>
      </x:c>
      <x:c r="I175" s="8" t="str">
        <x:v>wall</x:v>
      </x:c>
      <x:c r="J175" s="8" t="str">
        <x:v>Shown</x:v>
      </x:c>
      <x:c r="K175" s="8" t="str">
        <x:v>Off</x:v>
      </x:c>
      <x:c r="L175" s="8" t="str">
        <x:v>100 × 6950 × 87</x:v>
      </x:c>
      <x:c r="M175" s="8" t="str">
        <x:v>12 bulbs · 1 W/bulb assumed · lumen data needed · 2200 K · 6.85 m strand</x:v>
      </x:c>
      <x:c r="N175" s="11" t="n">
        <x:v>12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drop:EB1:L7:light:-1:L205</x:v>
      </x:c>
      <x:c r="AC175" s="8" t="str">
        <x:v>{"length":6.85,"slope":90,"spacing":0.6,"dim":1}</x:v>
      </x:c>
    </x:row>
    <x:row r="176" ht="96" customHeight="1">
      <x:c r="A176" s="8" t="str">
        <x:v>L206</x:v>
      </x:c>
      <x:c r="B176" s="8" t="str">
        <x:v>Festival lights · tower B · stage 3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-0.525</x:v>
      </x:c>
      <x:c r="G176" s="11" t="n">
        <x:v>19.490000000000002</x:v>
      </x:c>
      <x:c r="H176" s="11" t="n">
        <x:v>-7.7330000000000005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6800 × 87</x:v>
      </x:c>
      <x:c r="M176" s="8" t="str">
        <x:v>12 bulbs · 1 W/bulb assumed · lumen data needed · 2200 K · 6.700000000000001 m strand</x:v>
      </x:c>
      <x:c r="N176" s="11" t="n">
        <x:v>12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drop:EB1:L7:light:-1:L206</x:v>
      </x:c>
      <x:c r="AC176" s="8" t="str">
        <x:v>{"length":6.700000000000001,"slope":90,"spacing":0.6,"dim":1}</x:v>
      </x:c>
    </x:row>
    <x:row r="177" ht="96" customHeight="1">
      <x:c r="A177" s="8" t="str">
        <x:v>L207</x:v>
      </x:c>
      <x:c r="B177" s="8" t="str">
        <x:v>Festival lights · tower B · stage 3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-0.525</x:v>
      </x:c>
      <x:c r="G177" s="11" t="n">
        <x:v>19.490000000000002</x:v>
      </x:c>
      <x:c r="H177" s="11" t="n">
        <x:v>-12.573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6800 × 87</x:v>
      </x:c>
      <x:c r="M177" s="8" t="str">
        <x:v>12 bulbs · 1 W/bulb assumed · lumen data needed · 2200 K · 6.700000000000001 m strand</x:v>
      </x:c>
      <x:c r="N177" s="11" t="n">
        <x:v>12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drop:EB1:L7:light:-1:L207</x:v>
      </x:c>
      <x:c r="AC177" s="8" t="str">
        <x:v>{"length":6.700000000000001,"slope":90,"spacing":0.6,"dim":1}</x:v>
      </x:c>
    </x:row>
    <x:row r="178" ht="96" customHeight="1">
      <x:c r="A178" s="8" t="str">
        <x:v>L208</x:v>
      </x:c>
      <x:c r="B178" s="8" t="str">
        <x:v>Festival lights · main eave H · nave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21.35</x:v>
      </x:c>
      <x:c r="G178" s="11" t="n">
        <x:v>7.32</x:v>
      </x:c>
      <x:c r="H178" s="11" t="n">
        <x:v>7.3</x:v>
      </x:c>
      <x:c r="I178" s="8" t="str">
        <x:v>floor</x:v>
      </x:c>
      <x:c r="J178" s="8" t="str">
        <x:v>Shown</x:v>
      </x:c>
      <x:c r="K178" s="8" t="str">
        <x:v>Off</x:v>
      </x:c>
      <x:c r="L178" s="8" t="str">
        <x:v>100 × 100 × 31787</x:v>
      </x:c>
      <x:c r="M178" s="8" t="str">
        <x:v>54 bulbs · 1 W/bulb assumed · lumen data needed · 2200 K · 31.7 m strand</x:v>
      </x:c>
      <x:c r="N178" s="11" t="n">
        <x:v>54</x:v>
      </x:c>
      <x:c r="O178" s="11" t="n">
        <x:v>90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drop:EB1:L7:light:1:L208</x:v>
      </x:c>
      <x:c r="AC178" s="8" t="str">
        <x:v>{"length":31.7,"slope":0,"spacing":0.6,"dim":1}</x:v>
      </x:c>
    </x:row>
    <x:row r="179" ht="96" customHeight="1">
      <x:c r="A179" s="8" t="str">
        <x:v>L209</x:v>
      </x:c>
      <x:c r="B179" s="8" t="str">
        <x:v>Festival lights · main eave H · sanctuary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48.4</x:v>
      </x:c>
      <x:c r="G179" s="11" t="n">
        <x:v>7.32</x:v>
      </x:c>
      <x:c r="H179" s="11" t="n">
        <x:v>7.3</x:v>
      </x:c>
      <x:c r="I179" s="8" t="str">
        <x:v>floor</x:v>
      </x:c>
      <x:c r="J179" s="8" t="str">
        <x:v>Shown</x:v>
      </x:c>
      <x:c r="K179" s="8" t="str">
        <x:v>Off</x:v>
      </x:c>
      <x:c r="L179" s="8" t="str">
        <x:v>100 × 100 × 8987</x:v>
      </x:c>
      <x:c r="M179" s="8" t="str">
        <x:v>16 bulbs · 1 W/bulb assumed · lumen data needed · 2200 K · 8.9 m strand</x:v>
      </x:c>
      <x:c r="N179" s="11" t="n">
        <x:v>16</x:v>
      </x:c>
      <x:c r="O179" s="11" t="n">
        <x:v>90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drop:EB1:L7:light:1:L209</x:v>
      </x:c>
      <x:c r="AC179" s="8" t="str">
        <x:v>{"length":8.9,"slope":0,"spacing":0.6,"dim":1}</x:v>
      </x:c>
    </x:row>
    <x:row r="180" ht="96" customHeight="1">
      <x:c r="A180" s="8" t="str">
        <x:v>L210</x:v>
      </x:c>
      <x:c r="B180" s="8" t="str">
        <x:v>Festival lights · veranda eave H · nave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21.35</x:v>
      </x:c>
      <x:c r="G180" s="11" t="n">
        <x:v>6.4</x:v>
      </x:c>
      <x:c r="H180" s="11" t="n">
        <x:v>10.78</x:v>
      </x:c>
      <x:c r="I180" s="8" t="str">
        <x:v>floor</x:v>
      </x:c>
      <x:c r="J180" s="8" t="str">
        <x:v>Shown</x:v>
      </x:c>
      <x:c r="K180" s="8" t="str">
        <x:v>Off</x:v>
      </x:c>
      <x:c r="L180" s="8" t="str">
        <x:v>100 × 100 × 31787</x:v>
      </x:c>
      <x:c r="M180" s="8" t="str">
        <x:v>54 bulbs · 1 W/bulb assumed · lumen data needed · 2200 K · 31.7 m strand</x:v>
      </x:c>
      <x:c r="N180" s="11" t="n">
        <x:v>54</x:v>
      </x:c>
      <x:c r="O180" s="11" t="n">
        <x:v>90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drop:EB1:L7:light:1:L210</x:v>
      </x:c>
      <x:c r="AC180" s="8" t="str">
        <x:v>{"length":31.7,"slope":0,"spacing":0.6,"dim":1}</x:v>
      </x:c>
    </x:row>
    <x:row r="181" ht="96" customHeight="1">
      <x:c r="A181" s="8" t="str">
        <x:v>L211</x:v>
      </x:c>
      <x:c r="B181" s="8" t="str">
        <x:v>Festival lights · veranda eave H · sanctuary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48.4</x:v>
      </x:c>
      <x:c r="G181" s="11" t="n">
        <x:v>6.4</x:v>
      </x:c>
      <x:c r="H181" s="11" t="n">
        <x:v>10.78</x:v>
      </x:c>
      <x:c r="I181" s="8" t="str">
        <x:v>floor</x:v>
      </x:c>
      <x:c r="J181" s="8" t="str">
        <x:v>Shown</x:v>
      </x:c>
      <x:c r="K181" s="8" t="str">
        <x:v>Off</x:v>
      </x:c>
      <x:c r="L181" s="8" t="str">
        <x:v>100 × 100 × 8987</x:v>
      </x:c>
      <x:c r="M181" s="8" t="str">
        <x:v>16 bulbs · 1 W/bulb assumed · lumen data needed · 2200 K · 8.9 m strand</x:v>
      </x:c>
      <x:c r="N181" s="11" t="n">
        <x:v>16</x:v>
      </x:c>
      <x:c r="O181" s="11" t="n">
        <x:v>90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drop:EB1:L7:light:1:L211</x:v>
      </x:c>
      <x:c r="AC181" s="8" t="str">
        <x:v>{"length":8.9,"slope":0,"spacing":0.6,"dim":1}</x:v>
      </x:c>
    </x:row>
    <x:row r="182" ht="96" customHeight="1">
      <x:c r="A182" s="8" t="str">
        <x:v>L212</x:v>
      </x:c>
      <x:c r="B182" s="8" t="str">
        <x:v>Festival lights · rear gable H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53.72</x:v>
      </x:c>
      <x:c r="G182" s="11" t="n">
        <x:v>9</x:v>
      </x:c>
      <x:c r="H182" s="11" t="n">
        <x:v>5.475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2757 × 3143</x:v>
      </x:c>
      <x:c r="M182" s="8" t="str">
        <x:v>8 bulbs · 1 W/bulb assumed · lumen data needed · 2200 K · 4.05 m strand</x:v>
      </x:c>
      <x:c r="N182" s="11" t="n">
        <x:v>8</x:v>
      </x:c>
      <x:c r="O182" s="11" t="n">
        <x:v>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drop:EB1:L7:light:1:L212</x:v>
      </x:c>
      <x:c r="AC182" s="8" t="str">
        <x:v>{"length":4.05,"slope":-41,"spacing":0.6,"dim":1}</x:v>
      </x:c>
    </x:row>
    <x:row r="183" ht="96" customHeight="1">
      <x:c r="A183" s="8" t="str">
        <x:v>L213</x:v>
      </x:c>
      <x:c r="B183" s="8" t="str">
        <x:v>Festival lights · tower H · stage 1 · inner corner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-0.7749999999999999</x:v>
      </x:c>
      <x:c r="G183" s="11" t="n">
        <x:v>4.195</x:v>
      </x:c>
      <x:c r="H183" s="11" t="n">
        <x:v>7.593</x:v>
      </x:c>
      <x:c r="I183" s="8" t="str">
        <x:v>wall</x:v>
      </x:c>
      <x:c r="J183" s="8" t="str">
        <x:v>Shown</x:v>
      </x:c>
      <x:c r="K183" s="8" t="str">
        <x:v>Off</x:v>
      </x:c>
      <x:c r="L183" s="8" t="str">
        <x:v>100 × 7890 × 87</x:v>
      </x:c>
      <x:c r="M183" s="8" t="str">
        <x:v>14 bulbs · 1 W/bulb assumed · lumen data needed · 2200 K · 7.790000000000001 m strand</x:v>
      </x:c>
      <x:c r="N183" s="11" t="n">
        <x:v>14</x:v>
      </x:c>
      <x:c r="O183" s="11" t="n">
        <x:v>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drop:EB1:L7:light:1:L213</x:v>
      </x:c>
      <x:c r="AC183" s="8" t="str">
        <x:v>{"length":7.790000000000001,"slope":90,"spacing":0.6,"dim":1}</x:v>
      </x:c>
    </x:row>
    <x:row r="184" ht="96" customHeight="1">
      <x:c r="A184" s="8" t="str">
        <x:v>L214</x:v>
      </x:c>
      <x:c r="B184" s="8" t="str">
        <x:v>Festival lights · tower H · stage 1 · outer corner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-0.7749999999999999</x:v>
      </x:c>
      <x:c r="G184" s="11" t="n">
        <x:v>4.195</x:v>
      </x:c>
      <x:c r="H184" s="11" t="n">
        <x:v>12.713000000000001</x:v>
      </x:c>
      <x:c r="I184" s="8" t="str">
        <x:v>wall</x:v>
      </x:c>
      <x:c r="J184" s="8" t="str">
        <x:v>Shown</x:v>
      </x:c>
      <x:c r="K184" s="8" t="str">
        <x:v>Off</x:v>
      </x:c>
      <x:c r="L184" s="8" t="str">
        <x:v>100 × 7890 × 87</x:v>
      </x:c>
      <x:c r="M184" s="8" t="str">
        <x:v>14 bulbs · 1 W/bulb assumed · lumen data needed · 2200 K · 7.790000000000001 m strand</x:v>
      </x:c>
      <x:c r="N184" s="11" t="n">
        <x:v>14</x:v>
      </x:c>
      <x:c r="O184" s="11" t="n">
        <x:v>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drop:EB1:L7:light:1:L214</x:v>
      </x:c>
      <x:c r="AC184" s="8" t="str">
        <x:v>{"length":7.790000000000001,"slope":90,"spacing":0.6,"dim":1}</x:v>
      </x:c>
    </x:row>
    <x:row r="185" ht="96" customHeight="1">
      <x:c r="A185" s="8" t="str">
        <x:v>L215</x:v>
      </x:c>
      <x:c r="B185" s="8" t="str">
        <x:v>Festival lights · tower H · stage 2 · inner corner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-0.635</x:v>
      </x:c>
      <x:c r="G185" s="11" t="n">
        <x:v>12.115</x:v>
      </x:c>
      <x:c r="H185" s="11" t="n">
        <x:v>7.663</x:v>
      </x:c>
      <x:c r="I185" s="8" t="str">
        <x:v>wall</x:v>
      </x:c>
      <x:c r="J185" s="8" t="str">
        <x:v>Shown</x:v>
      </x:c>
      <x:c r="K185" s="8" t="str">
        <x:v>Off</x:v>
      </x:c>
      <x:c r="L185" s="8" t="str">
        <x:v>100 × 6950 × 87</x:v>
      </x:c>
      <x:c r="M185" s="8" t="str">
        <x:v>12 bulbs · 1 W/bulb assumed · lumen data needed · 2200 K · 6.85 m strand</x:v>
      </x:c>
      <x:c r="N185" s="11" t="n">
        <x:v>12</x:v>
      </x:c>
      <x:c r="O185" s="11" t="n">
        <x:v>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drop:EB1:L7:light:1:L215</x:v>
      </x:c>
      <x:c r="AC185" s="8" t="str">
        <x:v>{"length":6.85,"slope":90,"spacing":0.6,"dim":1}</x:v>
      </x:c>
    </x:row>
    <x:row r="186" ht="96" customHeight="1">
      <x:c r="A186" s="8" t="str">
        <x:v>L216</x:v>
      </x:c>
      <x:c r="B186" s="8" t="str">
        <x:v>Festival lights · tower H · stage 2 · outer corner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-0.635</x:v>
      </x:c>
      <x:c r="G186" s="11" t="n">
        <x:v>12.115</x:v>
      </x:c>
      <x:c r="H186" s="11" t="n">
        <x:v>12.643</x:v>
      </x:c>
      <x:c r="I186" s="8" t="str">
        <x:v>wall</x:v>
      </x:c>
      <x:c r="J186" s="8" t="str">
        <x:v>Shown</x:v>
      </x:c>
      <x:c r="K186" s="8" t="str">
        <x:v>Off</x:v>
      </x:c>
      <x:c r="L186" s="8" t="str">
        <x:v>100 × 6950 × 87</x:v>
      </x:c>
      <x:c r="M186" s="8" t="str">
        <x:v>12 bulbs · 1 W/bulb assumed · lumen data needed · 2200 K · 6.85 m strand</x:v>
      </x:c>
      <x:c r="N186" s="11" t="n">
        <x:v>12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drop:EB1:L7:light:1:L216</x:v>
      </x:c>
      <x:c r="AC186" s="8" t="str">
        <x:v>{"length":6.85,"slope":90,"spacing":0.6,"dim":1}</x:v>
      </x:c>
    </x:row>
    <x:row r="187" ht="96" customHeight="1">
      <x:c r="A187" s="8" t="str">
        <x:v>L217</x:v>
      </x:c>
      <x:c r="B187" s="8" t="str">
        <x:v>Festival lights · tower H · stage 3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-0.525</x:v>
      </x:c>
      <x:c r="G187" s="11" t="n">
        <x:v>19.490000000000002</x:v>
      </x:c>
      <x:c r="H187" s="11" t="n">
        <x:v>7.7330000000000005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6800 × 87</x:v>
      </x:c>
      <x:c r="M187" s="8" t="str">
        <x:v>12 bulbs · 1 W/bulb assumed · lumen data needed · 2200 K · 6.700000000000001 m strand</x:v>
      </x:c>
      <x:c r="N187" s="11" t="n">
        <x:v>12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drop:EB1:L7:light:1:L217</x:v>
      </x:c>
      <x:c r="AC187" s="8" t="str">
        <x:v>{"length":6.700000000000001,"slope":90,"spacing":0.6,"dim":1}</x:v>
      </x:c>
    </x:row>
    <x:row r="188" ht="96" customHeight="1">
      <x:c r="A188" s="8" t="str">
        <x:v>L218</x:v>
      </x:c>
      <x:c r="B188" s="8" t="str">
        <x:v>Festival lights · tower H · stage 3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-0.525</x:v>
      </x:c>
      <x:c r="G188" s="11" t="n">
        <x:v>19.490000000000002</x:v>
      </x:c>
      <x:c r="H188" s="11" t="n">
        <x:v>12.573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6800 × 87</x:v>
      </x:c>
      <x:c r="M188" s="8" t="str">
        <x:v>12 bulbs · 1 W/bulb assumed · lumen data needed · 2200 K · 6.700000000000001 m strand</x:v>
      </x:c>
      <x:c r="N188" s="11" t="n">
        <x:v>12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drop:EB1:L7:light:1:L218</x:v>
      </x:c>
      <x:c r="AC188" s="8" t="str">
        <x:v>{"length":6.700000000000001,"slope":90,"spacing":0.6,"dim":1}</x:v>
      </x:c>
    </x:row>
    <x:row r="189" ht="96" customHeight="1">
      <x:c r="A189" s="8" t="str">
        <x:v>L219</x:v>
      </x:c>
      <x:c r="B189" s="8" t="str">
        <x:v>Festival lights · front terrace between the towers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2.15</x:v>
      </x:c>
      <x:c r="G189" s="11" t="n">
        <x:v>8.5</x:v>
      </x:c>
      <x:c r="H189" s="11" t="n">
        <x:v>0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14887</x:v>
      </x:c>
      <x:c r="M189" s="8" t="str">
        <x:v>26 bulbs · 1 W/bulb assumed · lumen data needed · 2200 K · 14.8 m strand</x:v>
      </x:c>
      <x:c r="N189" s="11" t="n">
        <x:v>26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drop:EB1:L7:light:-1:L219</x:v>
      </x:c>
      <x:c r="AC189" s="8" t="str">
        <x:v>{"length":14.8,"slope":0,"spacing":0.6,"dim":1}</x:v>
      </x:c>
    </x:row>
    <x:row r="190" ht="96" customHeight="1">
      <x:c r="A190" s="8" t="str">
        <x:v>L220</x:v>
      </x:c>
      <x:c r="B190" s="8" t="str">
        <x:v>Festival flood · rear gable B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52.6</x:v>
      </x:c>
      <x:c r="G190" s="11" t="n">
        <x:v>6.55</x:v>
      </x:c>
      <x:c r="H190" s="11" t="n">
        <x:v>-9.8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215 × 535 × 340</x:v>
      </x:c>
      <x:c r="M190" s="8" t="str">
        <x:v>9000 lm · 3000 K · 40° beam</x:v>
      </x:c>
      <x:c r="N190" s="11" t="n">
        <x:v>70</x:v>
      </x:c>
      <x:c r="O190" s="11" t="n">
        <x:v>85.17923392190738</x:v>
      </x:c>
      <x:c r="P190" s="11" t="n">
        <x:v>34.05529935113207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drop:EB1:L7:light:-1:L220</x:v>
      </x:c>
      <x:c r="AC190" s="8" t="str">
        <x:v>{"lumens":9000,"dim":1}</x:v>
      </x:c>
    </x:row>
    <x:row r="191" ht="96" customHeight="1">
      <x:c r="A191" s="8" t="str">
        <x:v>L221</x:v>
      </x:c>
      <x:c r="B191" s="8" t="str">
        <x:v>Festival flood · rear gable H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52.6</x:v>
      </x:c>
      <x:c r="G191" s="11" t="n">
        <x:v>6.55</x:v>
      </x:c>
      <x:c r="H191" s="11" t="n">
        <x:v>9.8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215 × 535 × 340</x:v>
      </x:c>
      <x:c r="M191" s="8" t="str">
        <x:v>9000 lm · 3000 K · 40° beam</x:v>
      </x:c>
      <x:c r="N191" s="11" t="n">
        <x:v>70</x:v>
      </x:c>
      <x:c r="O191" s="11" t="n">
        <x:v>-85.17923392190738</x:v>
      </x:c>
      <x:c r="P191" s="11" t="n">
        <x:v>34.05529935113207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drop:EB1:L7:light:1:L221</x:v>
      </x:c>
      <x:c r="AC191" s="8" t="str">
        <x:v>{"lumens":9000,"dim":1}</x:v>
      </x:c>
    </x:row>
    <x:row r="192" ht="96" customHeight="1">
      <x:c r="A192" s="8" t="str">
        <x:v>L222</x:v>
      </x:c>
      <x:c r="B192" s="8" t="str">
        <x:v>Central gable flood · B</x:v>
      </x:c>
      <x:c r="C192" s="8" t="str">
        <x:v>light</x:v>
      </x:c>
      <x:c r="D192" s="8" t="str">
        <x:v>DB2</x:v>
      </x:c>
      <x:c r="E192" s="8" t="str">
        <x:v>L6</x:v>
      </x:c>
      <x:c r="F192" s="11" t="n">
        <x:v>-0.15</x:v>
      </x:c>
      <x:c r="G192" s="11" t="n">
        <x:v>8.39</x:v>
      </x:c>
      <x:c r="H192" s="11" t="n">
        <x:v>-7.7</x:v>
      </x:c>
      <x:c r="I192" s="8" t="str">
        <x:v>floor</x:v>
      </x:c>
      <x:c r="J192" s="8" t="str">
        <x:v>Shown</x:v>
      </x:c>
      <x:c r="K192" s="8" t="str">
        <x:v>On</x:v>
      </x:c>
      <x:c r="L192" s="8" t="str">
        <x:v>160 × 125 × 182</x:v>
      </x:c>
      <x:c r="M192" s="8" t="str">
        <x:v>6500 lm · 3000 K · 60° beam</x:v>
      </x:c>
      <x:c r="N192" s="11" t="n">
        <x:v>50.55555555555556</x:v>
      </x:c>
      <x:c r="O192" s="11" t="n">
        <x:v>74.54544378487549</x:v>
      </x:c>
      <x:c r="P192" s="11" t="n">
        <x:v>26.176861334664338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drop:DB2:L6:light:-1:L222</x:v>
      </x:c>
      <x:c r="AC192" s="8" t="str">
        <x:v>{"outreach":0,"lumens":6500,"dim":1}</x:v>
      </x:c>
    </x:row>
    <x:row r="193" ht="96" customHeight="1">
      <x:c r="A193" s="8" t="str">
        <x:v>L223</x:v>
      </x:c>
      <x:c r="B193" s="8" t="str">
        <x:v>Central crown wash · B</x:v>
      </x:c>
      <x:c r="C193" s="8" t="str">
        <x:v>light</x:v>
      </x:c>
      <x:c r="D193" s="8" t="str">
        <x:v>DB2</x:v>
      </x:c>
      <x:c r="E193" s="8" t="str">
        <x:v>L6</x:v>
      </x:c>
      <x:c r="F193" s="11" t="n">
        <x:v>-0.1</x:v>
      </x:c>
      <x:c r="G193" s="11" t="n">
        <x:v>15.84</x:v>
      </x:c>
      <x:c r="H193" s="11" t="n">
        <x:v>-7.7</x:v>
      </x:c>
      <x:c r="I193" s="8" t="str">
        <x:v>floor</x:v>
      </x:c>
      <x:c r="J193" s="8" t="str">
        <x:v>Shown</x:v>
      </x:c>
      <x:c r="K193" s="8" t="str">
        <x:v>On</x:v>
      </x:c>
      <x:c r="L193" s="8" t="str">
        <x:v>160 × 125 × 182</x:v>
      </x:c>
      <x:c r="M193" s="8" t="str">
        <x:v>6000 lm · 3000 K · 55° beam</x:v>
      </x:c>
      <x:c r="N193" s="11" t="n">
        <x:v>46.666666666666664</x:v>
      </x:c>
      <x:c r="O193" s="11" t="n">
        <x:v>62.84276547079299</x:v>
      </x:c>
      <x:c r="P193" s="11" t="n">
        <x:v>23.064907415506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drop:DB2:L6:light:-1:L223</x:v>
      </x:c>
      <x:c r="AC193" s="8" t="str">
        <x:v>{"outreach":0,"lumens":6000,"dim":1}</x:v>
      </x:c>
    </x:row>
    <x:row r="194" ht="96" customHeight="1">
      <x:c r="A194" s="8" t="str">
        <x:v>L224</x:v>
      </x:c>
      <x:c r="B194" s="8" t="str">
        <x:v>Central gable flood · H</x:v>
      </x:c>
      <x:c r="C194" s="8" t="str">
        <x:v>light</x:v>
      </x:c>
      <x:c r="D194" s="8" t="str">
        <x:v>DB2</x:v>
      </x:c>
      <x:c r="E194" s="8" t="str">
        <x:v>L6</x:v>
      </x:c>
      <x:c r="F194" s="11" t="n">
        <x:v>-0.15</x:v>
      </x:c>
      <x:c r="G194" s="11" t="n">
        <x:v>8.39</x:v>
      </x:c>
      <x:c r="H194" s="11" t="n">
        <x:v>7.7</x:v>
      </x:c>
      <x:c r="I194" s="8" t="str">
        <x:v>floor</x:v>
      </x:c>
      <x:c r="J194" s="8" t="str">
        <x:v>Shown</x:v>
      </x:c>
      <x:c r="K194" s="8" t="str">
        <x:v>On</x:v>
      </x:c>
      <x:c r="L194" s="8" t="str">
        <x:v>160 × 125 × 182</x:v>
      </x:c>
      <x:c r="M194" s="8" t="str">
        <x:v>6500 lm · 3000 K · 60° beam</x:v>
      </x:c>
      <x:c r="N194" s="11" t="n">
        <x:v>50.55555555555556</x:v>
      </x:c>
      <x:c r="O194" s="11" t="n">
        <x:v>-74.54544378487549</x:v>
      </x:c>
      <x:c r="P194" s="11" t="n">
        <x:v>26.176861334664338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drop:DB2:L6:light:1:L224</x:v>
      </x:c>
      <x:c r="AC194" s="8" t="str">
        <x:v>{"outreach":0,"lumens":6500,"dim":1}</x:v>
      </x:c>
    </x:row>
    <x:row r="195" ht="96" customHeight="1">
      <x:c r="A195" s="8" t="str">
        <x:v>L225</x:v>
      </x:c>
      <x:c r="B195" s="8" t="str">
        <x:v>Central crown wash · H</x:v>
      </x:c>
      <x:c r="C195" s="8" t="str">
        <x:v>light</x:v>
      </x:c>
      <x:c r="D195" s="8" t="str">
        <x:v>DB2</x:v>
      </x:c>
      <x:c r="E195" s="8" t="str">
        <x:v>L6</x:v>
      </x:c>
      <x:c r="F195" s="11" t="n">
        <x:v>-0.1</x:v>
      </x:c>
      <x:c r="G195" s="11" t="n">
        <x:v>15.84</x:v>
      </x:c>
      <x:c r="H195" s="11" t="n">
        <x:v>7.7</x:v>
      </x:c>
      <x:c r="I195" s="8" t="str">
        <x:v>floor</x:v>
      </x:c>
      <x:c r="J195" s="8" t="str">
        <x:v>Shown</x:v>
      </x:c>
      <x:c r="K195" s="8" t="str">
        <x:v>On</x:v>
      </x:c>
      <x:c r="L195" s="8" t="str">
        <x:v>160 × 125 × 182</x:v>
      </x:c>
      <x:c r="M195" s="8" t="str">
        <x:v>6000 lm · 3000 K · 55° beam</x:v>
      </x:c>
      <x:c r="N195" s="11" t="n">
        <x:v>46.666666666666664</x:v>
      </x:c>
      <x:c r="O195" s="11" t="n">
        <x:v>-62.84276547079299</x:v>
      </x:c>
      <x:c r="P195" s="11" t="n">
        <x:v>23.064907415506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drop:DB2:L6:light:1:L225</x:v>
      </x:c>
      <x:c r="AC195" s="8" t="str">
        <x:v>{"outreach":0,"lumens":6000,"dim":1}</x:v>
      </x:c>
    </x:row>
    <x:row r="196" ht="96" customHeight="1">
      <x:c r="A196" s="8" t="str">
        <x:v>L-STATUE-C-ARCH</x:v>
      </x:c>
      <x:c r="B196" s="8" t="str">
        <x:v>Hidden arch light · Assumption of Our Lady</x:v>
      </x:c>
      <x:c r="C196" s="8" t="str">
        <x:v>light</x:v>
      </x:c>
      <x:c r="D196" s="8" t="str">
        <x:v>DB2</x:v>
      </x:c>
      <x:c r="E196" s="8" t="str">
        <x:v>L10</x:v>
      </x:c>
      <x:c r="F196" s="11" t="n">
        <x:v>3.95</x:v>
      </x:c>
      <x:c r="G196" s="11" t="n">
        <x:v>19.614</x:v>
      </x:c>
      <x:c r="H196" s="11" t="n">
        <x:v>0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50 × 30 × 800</x:v>
      </x:c>
      <x:c r="M196" s="8" t="str">
        <x:v>440 lm · 3000 K · 60° beam · 0.8 m strand</x:v>
      </x:c>
      <x:c r="N196" s="11" t="n">
        <x:v>5.5</x:v>
      </x:c>
      <x:c r="O196" s="11" t="n">
        <x:v>0</x:v>
      </x:c>
      <x:c r="P196" s="11" t="n">
        <x:v>-86.3899092780562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drop:DB2:L10:light:-1:L-STATUE-C-ARCH</x:v>
      </x:c>
      <x:c r="AC196" s="8" t="str">
        <x:v>{"length":0.8,"lumens":440,"dim":1,"note":"CONCEPT: light line in a slot behind a matching lip under the arch; no lamp is seen. Slot, weatherproof product, driver place and access pending."}</x:v>
      </x:c>
    </x:row>
    <x:row r="197" ht="96" customHeight="1">
      <x:c r="A197" s="8" t="str">
        <x:v>L-STATUE-C-JAMB-1</x:v>
      </x:c>
      <x:c r="B197" s="8" t="str">
        <x:v>Hidden jamb light · Assumption of Our Lady · B side</x:v>
      </x:c>
      <x:c r="C197" s="8" t="str">
        <x:v>light</x:v>
      </x:c>
      <x:c r="D197" s="8" t="str">
        <x:v>DB2</x:v>
      </x:c>
      <x:c r="E197" s="8" t="str">
        <x:v>L10</x:v>
      </x:c>
      <x:c r="F197" s="11" t="n">
        <x:v>3.95</x:v>
      </x:c>
      <x:c r="G197" s="11" t="n">
        <x:v>17.79</x:v>
      </x:c>
      <x:c r="H197" s="11" t="n">
        <x:v>-0.691</x:v>
      </x:c>
      <x:c r="I197" s="8" t="str">
        <x:v>wall</x:v>
      </x:c>
      <x:c r="J197" s="8" t="str">
        <x:v>Shown</x:v>
      </x:c>
      <x:c r="K197" s="8" t="str">
        <x:v>On</x:v>
      </x:c>
      <x:c r="L197" s="8" t="str">
        <x:v>30 × 2000 × 50</x:v>
      </x:c>
      <x:c r="M197" s="8" t="str">
        <x:v>260 lm · 3000 K · 80° beam · 2 m strand</x:v>
      </x:c>
      <x:c r="N197" s="11" t="n">
        <x:v>3.611111111111111</x:v>
      </x:c>
      <x:c r="O197" s="11" t="n">
        <x:v>67.23310247717708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drop:DB2:L10:light:-1:L-STATUE-C-JAMB-1</x:v>
      </x:c>
      <x:c r="AC19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198" ht="96" customHeight="1">
      <x:c r="A198" s="8" t="str">
        <x:v>L-STATUE-C-CANDLE-1</x:v>
      </x:c>
      <x:c r="B198" s="8" t="str">
        <x:v>Statue candle light · Assumption of Our Lady · B side</x:v>
      </x:c>
      <x:c r="C198" s="8" t="str">
        <x:v>light</x:v>
      </x:c>
      <x:c r="D198" s="8" t="str">
        <x:v>DB2</x:v>
      </x:c>
      <x:c r="E198" s="8" t="str">
        <x:v>L10</x:v>
      </x:c>
      <x:c r="F198" s="11" t="n">
        <x:v>3.72</x:v>
      </x:c>
      <x:c r="G198" s="11" t="n">
        <x:v>16.683</x:v>
      </x:c>
      <x:c r="H198" s="11" t="n">
        <x:v>-0.3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180 × 508 × 180</x:v>
      </x:c>
      <x:c r="M198" s="8" t="str">
        <x:v>40 lm · 2200 K</x:v>
      </x:c>
      <x:c r="N198" s="11" t="n">
        <x:v>1</x:v>
      </x:c>
      <x:c r="O198" s="11" t="n">
        <x:v>180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drop:DB2:L10:light:-1:L-STATUE-C-CANDLE-1</x:v>
      </x:c>
      <x:c r="AC198" s="8" t="str">
        <x:v>{"dim":1,"note":"USER CONFIRMED: two candle lights on the base of each statue. CONCEPT electric candle; product, weather protection, fixing and lamp access pending."}</x:v>
      </x:c>
    </x:row>
    <x:row r="199" ht="96" customHeight="1">
      <x:c r="A199" s="8" t="str">
        <x:v>L-STATUE-C-JAMB-2</x:v>
      </x:c>
      <x:c r="B199" s="8" t="str">
        <x:v>Hidden jamb light · Assumption of Our Lady · H side</x:v>
      </x:c>
      <x:c r="C199" s="8" t="str">
        <x:v>light</x:v>
      </x:c>
      <x:c r="D199" s="8" t="str">
        <x:v>DB2</x:v>
      </x:c>
      <x:c r="E199" s="8" t="str">
        <x:v>L10</x:v>
      </x:c>
      <x:c r="F199" s="11" t="n">
        <x:v>3.95</x:v>
      </x:c>
      <x:c r="G199" s="11" t="n">
        <x:v>17.79</x:v>
      </x:c>
      <x:c r="H199" s="11" t="n">
        <x:v>0.691</x:v>
      </x:c>
      <x:c r="I199" s="8" t="str">
        <x:v>wall</x:v>
      </x:c>
      <x:c r="J199" s="8" t="str">
        <x:v>Shown</x:v>
      </x:c>
      <x:c r="K199" s="8" t="str">
        <x:v>On</x:v>
      </x:c>
      <x:c r="L199" s="8" t="str">
        <x:v>30 × 2000 × 50</x:v>
      </x:c>
      <x:c r="M199" s="8" t="str">
        <x:v>260 lm · 3000 K · 80° beam · 2 m strand</x:v>
      </x:c>
      <x:c r="N199" s="11" t="n">
        <x:v>3.611111111111111</x:v>
      </x:c>
      <x:c r="O199" s="11" t="n">
        <x:v>-67.23310247717708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drop:DB2:L10:light:1:L-STATUE-C-JAMB-2</x:v>
      </x:c>
      <x:c r="AC19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0" ht="96" customHeight="1">
      <x:c r="A200" s="8" t="str">
        <x:v>L-STATUE-C-CANDLE-2</x:v>
      </x:c>
      <x:c r="B200" s="8" t="str">
        <x:v>Statue candle light · Assumption of Our Lady · H side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3.72</x:v>
      </x:c>
      <x:c r="G200" s="11" t="n">
        <x:v>16.683</x:v>
      </x:c>
      <x:c r="H200" s="11" t="n">
        <x:v>0.3</x:v>
      </x:c>
      <x:c r="I200" s="8" t="str">
        <x:v>floor</x:v>
      </x:c>
      <x:c r="J200" s="8" t="str">
        <x:v>Shown</x:v>
      </x:c>
      <x:c r="K200" s="8" t="str">
        <x:v>On</x:v>
      </x:c>
      <x:c r="L200" s="8" t="str">
        <x:v>180 × 508 × 180</x:v>
      </x:c>
      <x:c r="M200" s="8" t="str">
        <x:v>40 lm · 2200 K</x:v>
      </x:c>
      <x:c r="N200" s="11" t="n">
        <x:v>1</x:v>
      </x:c>
      <x:c r="O200" s="11" t="n">
        <x:v>180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drop:DB2:L10:light:1:L-STATUE-C-CANDLE-2</x:v>
      </x:c>
      <x:c r="AC200" s="8" t="str">
        <x:v>{"dim":1,"note":"USER CONFIRMED: two candle lights on the base of each statue. CONCEPT electric candle; product, weather protection, fixing and lamp access pending."}</x:v>
      </x:c>
    </x:row>
    <x:row r="201" ht="96" customHeight="1">
      <x:c r="A201" s="8" t="str">
        <x:v>L-STATUE-B-ARCH</x:v>
      </x:c>
      <x:c r="B201" s="8" t="str">
        <x:v>Hidden arch light · Saint Peter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4.05</x:v>
      </x:c>
      <x:c r="G201" s="11" t="n">
        <x:v>12.917</x:v>
      </x:c>
      <x:c r="H201" s="11" t="n">
        <x:v>-5.35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50 × 30 × 500</x:v>
      </x:c>
      <x:c r="M201" s="8" t="str">
        <x:v>300 lm · 3000 K · 60° beam · 0.5 m strand</x:v>
      </x:c>
      <x:c r="N201" s="11" t="n">
        <x:v>3.75</x:v>
      </x:c>
      <x:c r="O201" s="11" t="n">
        <x:v>0</x:v>
      </x:c>
      <x:c r="P201" s="11" t="n">
        <x:v>-89.3540772015028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drop:DB2:L10:light:-1:L-STATUE-B-ARCH</x:v>
      </x:c>
      <x:c r="AC201" s="8" t="str">
        <x:v>{"length":0.5,"lumens":300,"dim":1,"note":"CONCEPT: light line in a slot behind a matching lip under the arch; no lamp is seen. Slot, weatherproof product, driver place and access pending."}</x:v>
      </x:c>
    </x:row>
    <x:row r="202" ht="96" customHeight="1">
      <x:c r="A202" s="8" t="str">
        <x:v>L-STATUE-B-JAMB-1</x:v>
      </x:c>
      <x:c r="B202" s="8" t="str">
        <x:v>Hidden jamb light · Saint Peter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4.05</x:v>
      </x:c>
      <x:c r="G202" s="11" t="n">
        <x:v>11.35</x:v>
      </x:c>
      <x:c r="H202" s="11" t="n">
        <x:v>-5.928999999999999</x:v>
      </x:c>
      <x:c r="I202" s="8" t="str">
        <x:v>wall</x:v>
      </x:c>
      <x:c r="J202" s="8" t="str">
        <x:v>Shown</x:v>
      </x:c>
      <x:c r="K202" s="8" t="str">
        <x:v>On</x:v>
      </x:c>
      <x:c r="L202" s="8" t="str">
        <x:v>30 × 1300 × 50</x:v>
      </x:c>
      <x:c r="M202" s="8" t="str">
        <x:v>140 lm · 3000 K · 80° beam · 1.3 m strand</x:v>
      </x:c>
      <x:c r="N202" s="11" t="n">
        <x:v>1.9444444444444444</x:v>
      </x:c>
      <x:c r="O202" s="11" t="n">
        <x:v>65.8175315098801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drop:DB2:L10:light:-1:L-STATUE-B-JAMB-1</x:v>
      </x:c>
      <x:c r="AC20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3" ht="96" customHeight="1">
      <x:c r="A203" s="8" t="str">
        <x:v>L-STATUE-B-CANDLE-1</x:v>
      </x:c>
      <x:c r="B203" s="8" t="str">
        <x:v>Statue candle light · Saint Peter · B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3.9600000000000004</x:v>
      </x:c>
      <x:c r="G203" s="11" t="n">
        <x:v>10.391</x:v>
      </x:c>
      <x:c r="H203" s="11" t="n">
        <x:v>-5.659999999999999</x:v>
      </x:c>
      <x:c r="I203" s="8" t="str">
        <x:v>floor</x:v>
      </x:c>
      <x:c r="J203" s="8" t="str">
        <x:v>Shown</x:v>
      </x:c>
      <x:c r="K203" s="8" t="str">
        <x:v>On</x:v>
      </x:c>
      <x:c r="L203" s="8" t="str">
        <x:v>180 × 508 × 180</x:v>
      </x:c>
      <x:c r="M203" s="8" t="str">
        <x:v>40 lm · 2200 K</x:v>
      </x:c>
      <x:c r="N203" s="11" t="n">
        <x:v>1</x:v>
      </x:c>
      <x:c r="O203" s="11" t="n">
        <x:v>180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drop:DB2:L10:light:-1:L-STATUE-B-CANDLE-1</x:v>
      </x:c>
      <x:c r="AC203" s="8" t="str">
        <x:v>{"dim":1,"note":"USER CONFIRMED: two candle lights on the base of each statue. CONCEPT electric candle; product, weather protection, fixing and lamp access pending."}</x:v>
      </x:c>
    </x:row>
    <x:row r="204" ht="96" customHeight="1">
      <x:c r="A204" s="8" t="str">
        <x:v>L-STATUE-B-JAMB-2</x:v>
      </x:c>
      <x:c r="B204" s="8" t="str">
        <x:v>Hidden jamb light · Saint Peter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4.05</x:v>
      </x:c>
      <x:c r="G204" s="11" t="n">
        <x:v>11.35</x:v>
      </x:c>
      <x:c r="H204" s="11" t="n">
        <x:v>-4.771</x:v>
      </x:c>
      <x:c r="I204" s="8" t="str">
        <x:v>wall</x:v>
      </x:c>
      <x:c r="J204" s="8" t="str">
        <x:v>Shown</x:v>
      </x:c>
      <x:c r="K204" s="8" t="str">
        <x:v>On</x:v>
      </x:c>
      <x:c r="L204" s="8" t="str">
        <x:v>30 × 1300 × 50</x:v>
      </x:c>
      <x:c r="M204" s="8" t="str">
        <x:v>140 lm · 3000 K · 80° beam · 1.3 m strand</x:v>
      </x:c>
      <x:c r="N204" s="11" t="n">
        <x:v>1.9444444444444444</x:v>
      </x:c>
      <x:c r="O204" s="11" t="n">
        <x:v>-65.8175315098801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drop:DB2:L10:light:-1:L-STATUE-B-JAMB-2</x:v>
      </x:c>
      <x:c r="AC20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5" ht="96" customHeight="1">
      <x:c r="A205" s="8" t="str">
        <x:v>L-STATUE-B-CANDLE-2</x:v>
      </x:c>
      <x:c r="B205" s="8" t="str">
        <x:v>Statue candle light · Saint Peter · H side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3.9600000000000004</x:v>
      </x:c>
      <x:c r="G205" s="11" t="n">
        <x:v>10.391</x:v>
      </x:c>
      <x:c r="H205" s="11" t="n">
        <x:v>-5.04</x:v>
      </x:c>
      <x:c r="I205" s="8" t="str">
        <x:v>floor</x:v>
      </x:c>
      <x:c r="J205" s="8" t="str">
        <x:v>Shown</x:v>
      </x:c>
      <x:c r="K205" s="8" t="str">
        <x:v>On</x:v>
      </x:c>
      <x:c r="L205" s="8" t="str">
        <x:v>180 × 508 × 180</x:v>
      </x:c>
      <x:c r="M205" s="8" t="str">
        <x:v>40 lm · 2200 K</x:v>
      </x:c>
      <x:c r="N205" s="11" t="n">
        <x:v>1</x:v>
      </x:c>
      <x:c r="O205" s="11" t="n">
        <x:v>180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drop:DB2:L10:light:-1:L-STATUE-B-CANDLE-2</x:v>
      </x:c>
      <x:c r="AC205" s="8" t="str">
        <x:v>{"dim":1,"note":"USER CONFIRMED: two candle lights on the base of each statue. CONCEPT electric candle; product, weather protection, fixing and lamp access pending."}</x:v>
      </x:c>
    </x:row>
    <x:row r="206" ht="96" customHeight="1">
      <x:c r="A206" s="8" t="str">
        <x:v>L-STATUE-H-ARCH</x:v>
      </x:c>
      <x:c r="B206" s="8" t="str">
        <x:v>Hidden arch light · Saint Paul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12.917</x:v>
      </x:c>
      <x:c r="H206" s="11" t="n">
        <x:v>5.35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50 × 30 × 500</x:v>
      </x:c>
      <x:c r="M206" s="8" t="str">
        <x:v>300 lm · 3000 K · 60° beam · 0.5 m strand</x:v>
      </x:c>
      <x:c r="N206" s="11" t="n">
        <x:v>3.75</x:v>
      </x:c>
      <x:c r="O206" s="11" t="n">
        <x:v>0</x:v>
      </x:c>
      <x:c r="P206" s="11" t="n">
        <x:v>-89.3540772015028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drop:DB2:L10:light:1:L-STATUE-H-ARCH</x:v>
      </x:c>
      <x:c r="AC206" s="8" t="str">
        <x:v>{"length":0.5,"lumens":300,"dim":1,"note":"CONCEPT: light line in a slot behind a matching lip under the arch; no lamp is seen. Slot, weatherproof product, driver place and access pending."}</x:v>
      </x:c>
    </x:row>
    <x:row r="207" ht="96" customHeight="1">
      <x:c r="A207" s="8" t="str">
        <x:v>L-STATUE-H-JAMB-1</x:v>
      </x:c>
      <x:c r="B207" s="8" t="str">
        <x:v>Hidden jamb light · Saint Paul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4.05</x:v>
      </x:c>
      <x:c r="G207" s="11" t="n">
        <x:v>11.35</x:v>
      </x:c>
      <x:c r="H207" s="11" t="n">
        <x:v>4.771</x:v>
      </x:c>
      <x:c r="I207" s="8" t="str">
        <x:v>wall</x:v>
      </x:c>
      <x:c r="J207" s="8" t="str">
        <x:v>Shown</x:v>
      </x:c>
      <x:c r="K207" s="8" t="str">
        <x:v>On</x:v>
      </x:c>
      <x:c r="L207" s="8" t="str">
        <x:v>30 × 1300 × 50</x:v>
      </x:c>
      <x:c r="M207" s="8" t="str">
        <x:v>140 lm · 3000 K · 80° beam · 1.3 m strand</x:v>
      </x:c>
      <x:c r="N207" s="11" t="n">
        <x:v>1.9444444444444444</x:v>
      </x:c>
      <x:c r="O207" s="11" t="n">
        <x:v>65.8175315098801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drop:DB2:L10:light:1:L-STATUE-H-JAMB-1</x:v>
      </x:c>
      <x:c r="AC20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8" ht="96" customHeight="1">
      <x:c r="A208" s="8" t="str">
        <x:v>L-STATUE-H-CANDLE-1</x:v>
      </x:c>
      <x:c r="B208" s="8" t="str">
        <x:v>Statue candle light · Saint Paul · B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3.9600000000000004</x:v>
      </x:c>
      <x:c r="G208" s="11" t="n">
        <x:v>10.391</x:v>
      </x:c>
      <x:c r="H208" s="11" t="n">
        <x:v>5.04</x:v>
      </x:c>
      <x:c r="I208" s="8" t="str">
        <x:v>floor</x:v>
      </x:c>
      <x:c r="J208" s="8" t="str">
        <x:v>Shown</x:v>
      </x:c>
      <x:c r="K208" s="8" t="str">
        <x:v>On</x:v>
      </x:c>
      <x:c r="L208" s="8" t="str">
        <x:v>180 × 508 × 180</x:v>
      </x:c>
      <x:c r="M208" s="8" t="str">
        <x:v>40 lm · 2200 K</x:v>
      </x:c>
      <x:c r="N208" s="11" t="n">
        <x:v>1</x:v>
      </x:c>
      <x:c r="O208" s="11" t="n">
        <x:v>180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drop:DB2:L10:light:1:L-STATUE-H-CANDLE-1</x:v>
      </x:c>
      <x:c r="AC208" s="8" t="str">
        <x:v>{"dim":1,"note":"USER CONFIRMED: two candle lights on the base of each statue. CONCEPT electric candle; product, weather protection, fixing and lamp access pending."}</x:v>
      </x:c>
    </x:row>
    <x:row r="209" ht="96" customHeight="1">
      <x:c r="A209" s="8" t="str">
        <x:v>L-STATUE-H-JAMB-2</x:v>
      </x:c>
      <x:c r="B209" s="8" t="str">
        <x:v>Hidden jamb light · Saint Paul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4.05</x:v>
      </x:c>
      <x:c r="G209" s="11" t="n">
        <x:v>11.35</x:v>
      </x:c>
      <x:c r="H209" s="11" t="n">
        <x:v>5.928999999999999</x:v>
      </x:c>
      <x:c r="I209" s="8" t="str">
        <x:v>wall</x:v>
      </x:c>
      <x:c r="J209" s="8" t="str">
        <x:v>Shown</x:v>
      </x:c>
      <x:c r="K209" s="8" t="str">
        <x:v>On</x:v>
      </x:c>
      <x:c r="L209" s="8" t="str">
        <x:v>30 × 1300 × 50</x:v>
      </x:c>
      <x:c r="M209" s="8" t="str">
        <x:v>140 lm · 3000 K · 80° beam · 1.3 m strand</x:v>
      </x:c>
      <x:c r="N209" s="11" t="n">
        <x:v>1.9444444444444444</x:v>
      </x:c>
      <x:c r="O209" s="11" t="n">
        <x:v>-65.8175315098801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drop:DB2:L10:light:1:L-STATUE-H-JAMB-2</x:v>
      </x:c>
      <x:c r="AC20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0" ht="96" customHeight="1">
      <x:c r="A210" s="8" t="str">
        <x:v>L-STATUE-H-CANDLE-2</x:v>
      </x:c>
      <x:c r="B210" s="8" t="str">
        <x:v>Statue candle light · Saint Paul · H side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3.9600000000000004</x:v>
      </x:c>
      <x:c r="G210" s="11" t="n">
        <x:v>10.391</x:v>
      </x:c>
      <x:c r="H210" s="11" t="n">
        <x:v>5.659999999999999</x:v>
      </x:c>
      <x:c r="I210" s="8" t="str">
        <x:v>floor</x:v>
      </x:c>
      <x:c r="J210" s="8" t="str">
        <x:v>Shown</x:v>
      </x:c>
      <x:c r="K210" s="8" t="str">
        <x:v>On</x:v>
      </x:c>
      <x:c r="L210" s="8" t="str">
        <x:v>180 × 508 × 180</x:v>
      </x:c>
      <x:c r="M210" s="8" t="str">
        <x:v>40 lm · 2200 K</x:v>
      </x:c>
      <x:c r="N210" s="11" t="n">
        <x:v>1</x:v>
      </x:c>
      <x:c r="O210" s="11" t="n">
        <x:v>180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drop:DB2:L10:light:1:L-STATUE-H-CANDLE-2</x:v>
      </x:c>
      <x:c r="AC210" s="8" t="str">
        <x:v>{"dim":1,"note":"USER CONFIRMED: two candle lights on the base of each statue. CONCEPT electric candle; product, weather protection, fixing and lamp access pending."}</x:v>
      </x:c>
    </x:row>
    <x:row r="211" ht="96" customHeight="1">
      <x:c r="A211" s="8" t="str">
        <x:v>L-STATION-1-A</x:v>
      </x:c>
      <x:c r="B211" s="8" t="str">
        <x:v>Station candle · I · front</x:v>
      </x:c>
      <x:c r="C211" s="8" t="str">
        <x:v>light</x:v>
      </x:c>
      <x:c r="D211" s="8" t="str">
        <x:v>DB1</x:v>
      </x:c>
      <x:c r="E211" s="8" t="str">
        <x:v>LS</x:v>
      </x:c>
      <x:c r="F211" s="11" t="n">
        <x:v>34.405</x:v>
      </x:c>
      <x:c r="G211" s="11" t="n">
        <x:v>4.72</x:v>
      </x:c>
      <x:c r="H211" s="11" t="n">
        <x:v>7.23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164 × 355 × 90</x:v>
      </x:c>
      <x:c r="M211" s="8" t="str">
        <x:v>60 lm · 2200 K</x:v>
      </x:c>
      <x:c r="N211" s="11" t="n">
        <x:v>1.5</x:v>
      </x:c>
      <x:c r="O211" s="11" t="n">
        <x:v>-90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drop:LC1:LS:light:1:L-STATION-1-A</x:v>
      </x:c>
      <x:c r="AC211" s="8" t="str">
        <x:v>{"dim":1}</x:v>
      </x:c>
    </x:row>
    <x:row r="212" ht="96" customHeight="1">
      <x:c r="A212" s="8" t="str">
        <x:v>L-STATION-1-B</x:v>
      </x:c>
      <x:c r="B212" s="8" t="str">
        <x:v>Station candle · I · rear</x:v>
      </x:c>
      <x:c r="C212" s="8" t="str">
        <x:v>light</x:v>
      </x:c>
      <x:c r="D212" s="8" t="str">
        <x:v>DB1</x:v>
      </x:c>
      <x:c r="E212" s="8" t="str">
        <x:v>LS</x:v>
      </x:c>
      <x:c r="F212" s="11" t="n">
        <x:v>35.045</x:v>
      </x:c>
      <x:c r="G212" s="11" t="n">
        <x:v>4.72</x:v>
      </x:c>
      <x:c r="H212" s="11" t="n">
        <x:v>7.23</x:v>
      </x:c>
      <x:c r="I212" s="8" t="str">
        <x:v>wall</x:v>
      </x:c>
      <x:c r="J212" s="8" t="str">
        <x:v>Shown</x:v>
      </x:c>
      <x:c r="K212" s="8" t="str">
        <x:v>On</x:v>
      </x:c>
      <x:c r="L212" s="8" t="str">
        <x:v>164 × 355 × 90</x:v>
      </x:c>
      <x:c r="M212" s="8" t="str">
        <x:v>60 lm · 2200 K</x:v>
      </x:c>
      <x:c r="N212" s="11" t="n">
        <x:v>1.5</x:v>
      </x:c>
      <x:c r="O212" s="11" t="n">
        <x:v>-90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drop:LC1:LS:light:1:L-STATION-1-B</x:v>
      </x:c>
      <x:c r="AC212" s="8" t="str">
        <x:v>{"dim":1}</x:v>
      </x:c>
    </x:row>
    <x:row r="213" ht="96" customHeight="1">
      <x:c r="A213" s="8" t="str">
        <x:v>L-STATION-2-A</x:v>
      </x:c>
      <x:c r="B213" s="8" t="str">
        <x:v>Station candle · II · front</x:v>
      </x:c>
      <x:c r="C213" s="8" t="str">
        <x:v>light</x:v>
      </x:c>
      <x:c r="D213" s="8" t="str">
        <x:v>DB1</x:v>
      </x:c>
      <x:c r="E213" s="8" t="str">
        <x:v>LS</x:v>
      </x:c>
      <x:c r="F213" s="11" t="n">
        <x:v>29.905</x:v>
      </x:c>
      <x:c r="G213" s="11" t="n">
        <x:v>4.72</x:v>
      </x:c>
      <x:c r="H213" s="11" t="n">
        <x:v>7.23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164 × 355 × 90</x:v>
      </x:c>
      <x:c r="M213" s="8" t="str">
        <x:v>60 lm · 2200 K</x:v>
      </x:c>
      <x:c r="N213" s="11" t="n">
        <x:v>1.5</x:v>
      </x:c>
      <x:c r="O213" s="11" t="n">
        <x:v>-90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drop:LC1:LS:light:1:L-STATION-2-A</x:v>
      </x:c>
      <x:c r="AC213" s="8" t="str">
        <x:v>{"dim":1}</x:v>
      </x:c>
    </x:row>
    <x:row r="214" ht="96" customHeight="1">
      <x:c r="A214" s="8" t="str">
        <x:v>L-STATION-2-B</x:v>
      </x:c>
      <x:c r="B214" s="8" t="str">
        <x:v>Station candle · II · rear</x:v>
      </x:c>
      <x:c r="C214" s="8" t="str">
        <x:v>light</x:v>
      </x:c>
      <x:c r="D214" s="8" t="str">
        <x:v>DB1</x:v>
      </x:c>
      <x:c r="E214" s="8" t="str">
        <x:v>LS</x:v>
      </x:c>
      <x:c r="F214" s="11" t="n">
        <x:v>30.545</x:v>
      </x:c>
      <x:c r="G214" s="11" t="n">
        <x:v>4.72</x:v>
      </x:c>
      <x:c r="H214" s="11" t="n">
        <x:v>7.23</x:v>
      </x:c>
      <x:c r="I214" s="8" t="str">
        <x:v>wall</x:v>
      </x:c>
      <x:c r="J214" s="8" t="str">
        <x:v>Shown</x:v>
      </x:c>
      <x:c r="K214" s="8" t="str">
        <x:v>On</x:v>
      </x:c>
      <x:c r="L214" s="8" t="str">
        <x:v>164 × 355 × 90</x:v>
      </x:c>
      <x:c r="M214" s="8" t="str">
        <x:v>60 lm · 2200 K</x:v>
      </x:c>
      <x:c r="N214" s="11" t="n">
        <x:v>1.5</x:v>
      </x:c>
      <x:c r="O214" s="11" t="n">
        <x:v>-90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drop:LC1:LS:light:1:L-STATION-2-B</x:v>
      </x:c>
      <x:c r="AC214" s="8" t="str">
        <x:v>{"dim":1}</x:v>
      </x:c>
    </x:row>
    <x:row r="215" ht="96" customHeight="1">
      <x:c r="A215" s="8" t="str">
        <x:v>L-STATION-3-A</x:v>
      </x:c>
      <x:c r="B215" s="8" t="str">
        <x:v>Station candle · III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25.405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drop:LC1:LS:light:1:L-STATION-3-A</x:v>
      </x:c>
      <x:c r="AC215" s="8" t="str">
        <x:v>{"dim":1}</x:v>
      </x:c>
    </x:row>
    <x:row r="216" ht="96" customHeight="1">
      <x:c r="A216" s="8" t="str">
        <x:v>L-STATION-3-B</x:v>
      </x:c>
      <x:c r="B216" s="8" t="str">
        <x:v>Station candle · III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26.045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drop:LC1:LS:light:1:L-STATION-3-B</x:v>
      </x:c>
      <x:c r="AC216" s="8" t="str">
        <x:v>{"dim":1}</x:v>
      </x:c>
    </x:row>
    <x:row r="217" ht="96" customHeight="1">
      <x:c r="A217" s="8" t="str">
        <x:v>L-STATION-4-A</x:v>
      </x:c>
      <x:c r="B217" s="8" t="str">
        <x:v>Station candle · IV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20.905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drop:LC1:LS:light:1:L-STATION-4-A</x:v>
      </x:c>
      <x:c r="AC217" s="8" t="str">
        <x:v>{"dim":1}</x:v>
      </x:c>
    </x:row>
    <x:row r="218" ht="96" customHeight="1">
      <x:c r="A218" s="8" t="str">
        <x:v>L-STATION-4-B</x:v>
      </x:c>
      <x:c r="B218" s="8" t="str">
        <x:v>Station candle · IV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21.545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drop:LC1:LS:light:1:L-STATION-4-B</x:v>
      </x:c>
      <x:c r="AC218" s="8" t="str">
        <x:v>{"dim":1}</x:v>
      </x:c>
    </x:row>
    <x:row r="219" ht="96" customHeight="1">
      <x:c r="A219" s="8" t="str">
        <x:v>L-STATION-5-A</x:v>
      </x:c>
      <x:c r="B219" s="8" t="str">
        <x:v>Station candle · V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16.405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drop:LC1:LS:light:1:L-STATION-5-A</x:v>
      </x:c>
      <x:c r="AC219" s="8" t="str">
        <x:v>{"dim":1}</x:v>
      </x:c>
    </x:row>
    <x:row r="220" ht="96" customHeight="1">
      <x:c r="A220" s="8" t="str">
        <x:v>L-STATION-5-B</x:v>
      </x:c>
      <x:c r="B220" s="8" t="str">
        <x:v>Station candle · V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17.045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drop:LC1:LS:light:1:L-STATION-5-B</x:v>
      </x:c>
      <x:c r="AC220" s="8" t="str">
        <x:v>{"dim":1}</x:v>
      </x:c>
    </x:row>
    <x:row r="221" ht="96" customHeight="1">
      <x:c r="A221" s="8" t="str">
        <x:v>L-STATION-6-A</x:v>
      </x:c>
      <x:c r="B221" s="8" t="str">
        <x:v>Station candle · VI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11.905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drop:LC1:LS:light:1:L-STATION-6-A</x:v>
      </x:c>
      <x:c r="AC221" s="8" t="str">
        <x:v>{"dim":1}</x:v>
      </x:c>
    </x:row>
    <x:row r="222" ht="96" customHeight="1">
      <x:c r="A222" s="8" t="str">
        <x:v>L-STATION-6-B</x:v>
      </x:c>
      <x:c r="B222" s="8" t="str">
        <x:v>Station candle · VI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12.545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drop:LC1:LS:light:1:L-STATION-6-B</x:v>
      </x:c>
      <x:c r="AC222" s="8" t="str">
        <x:v>{"dim":1}</x:v>
      </x:c>
    </x:row>
    <x:row r="223" ht="96" customHeight="1">
      <x:c r="A223" s="8" t="str">
        <x:v>L-STATION-7-A</x:v>
      </x:c>
      <x:c r="B223" s="8" t="str">
        <x:v>Station candle · VII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7.404999999999999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drop:LC1:LS:light:1:L-STATION-7-A</x:v>
      </x:c>
      <x:c r="AC223" s="8" t="str">
        <x:v>{"dim":1}</x:v>
      </x:c>
    </x:row>
    <x:row r="224" ht="96" customHeight="1">
      <x:c r="A224" s="8" t="str">
        <x:v>L-STATION-7-B</x:v>
      </x:c>
      <x:c r="B224" s="8" t="str">
        <x:v>Station candle · VII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8.045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drop:LC1:LS:light:1:L-STATION-7-B</x:v>
      </x:c>
      <x:c r="AC224" s="8" t="str">
        <x:v>{"dim":1}</x:v>
      </x:c>
    </x:row>
    <x:row r="225" ht="96" customHeight="1">
      <x:c r="A225" s="8" t="str">
        <x:v>L-STATION-8-A</x:v>
      </x:c>
      <x:c r="B225" s="8" t="str">
        <x:v>Station candle · VIII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7.404999999999999</x:v>
      </x:c>
      <x:c r="G225" s="11" t="n">
        <x:v>4.72</x:v>
      </x:c>
      <x:c r="H225" s="11" t="n">
        <x:v>-7.23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drop:LC1:LS:light:-1:L-STATION-8-A</x:v>
      </x:c>
      <x:c r="AC225" s="8" t="str">
        <x:v>{"dim":1}</x:v>
      </x:c>
    </x:row>
    <x:row r="226" ht="96" customHeight="1">
      <x:c r="A226" s="8" t="str">
        <x:v>L-STATION-8-B</x:v>
      </x:c>
      <x:c r="B226" s="8" t="str">
        <x:v>Station candle · VIII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8.045</x:v>
      </x:c>
      <x:c r="G226" s="11" t="n">
        <x:v>4.72</x:v>
      </x:c>
      <x:c r="H226" s="11" t="n">
        <x:v>-7.23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drop:LC1:LS:light:-1:L-STATION-8-B</x:v>
      </x:c>
      <x:c r="AC226" s="8" t="str">
        <x:v>{"dim":1}</x:v>
      </x:c>
    </x:row>
    <x:row r="227" ht="96" customHeight="1">
      <x:c r="A227" s="8" t="str">
        <x:v>L-STATION-9-A</x:v>
      </x:c>
      <x:c r="B227" s="8" t="str">
        <x:v>Station candle · IX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11.905</x:v>
      </x:c>
      <x:c r="G227" s="11" t="n">
        <x:v>4.72</x:v>
      </x:c>
      <x:c r="H227" s="11" t="n">
        <x:v>-7.23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drop:LC1:LS:light:-1:L-STATION-9-A</x:v>
      </x:c>
      <x:c r="AC227" s="8" t="str">
        <x:v>{"dim":1}</x:v>
      </x:c>
    </x:row>
    <x:row r="228" ht="96" customHeight="1">
      <x:c r="A228" s="8" t="str">
        <x:v>L-STATION-9-B</x:v>
      </x:c>
      <x:c r="B228" s="8" t="str">
        <x:v>Station candle · IX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12.545</x:v>
      </x:c>
      <x:c r="G228" s="11" t="n">
        <x:v>4.72</x:v>
      </x:c>
      <x:c r="H228" s="11" t="n">
        <x:v>-7.23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drop:LC1:LS:light:-1:L-STATION-9-B</x:v>
      </x:c>
      <x:c r="AC228" s="8" t="str">
        <x:v>{"dim":1}</x:v>
      </x:c>
    </x:row>
    <x:row r="229" ht="96" customHeight="1">
      <x:c r="A229" s="8" t="str">
        <x:v>L-STATION-10-A</x:v>
      </x:c>
      <x:c r="B229" s="8" t="str">
        <x:v>Station candle · X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16.405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drop:LC1:LS:light:-1:L-STATION-10-A</x:v>
      </x:c>
      <x:c r="AC229" s="8" t="str">
        <x:v>{"dim":1}</x:v>
      </x:c>
    </x:row>
    <x:row r="230" ht="96" customHeight="1">
      <x:c r="A230" s="8" t="str">
        <x:v>L-STATION-10-B</x:v>
      </x:c>
      <x:c r="B230" s="8" t="str">
        <x:v>Station candle · X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17.045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drop:LC1:LS:light:-1:L-STATION-10-B</x:v>
      </x:c>
      <x:c r="AC230" s="8" t="str">
        <x:v>{"dim":1}</x:v>
      </x:c>
    </x:row>
    <x:row r="231" ht="96" customHeight="1">
      <x:c r="A231" s="8" t="str">
        <x:v>L-STATION-11-A</x:v>
      </x:c>
      <x:c r="B231" s="8" t="str">
        <x:v>Station candle · XI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20.905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drop:LC1:LS:light:-1:L-STATION-11-A</x:v>
      </x:c>
      <x:c r="AC231" s="8" t="str">
        <x:v>{"dim":1}</x:v>
      </x:c>
    </x:row>
    <x:row r="232" ht="96" customHeight="1">
      <x:c r="A232" s="8" t="str">
        <x:v>L-STATION-11-B</x:v>
      </x:c>
      <x:c r="B232" s="8" t="str">
        <x:v>Station candle · XI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21.545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drop:LC1:LS:light:-1:L-STATION-11-B</x:v>
      </x:c>
      <x:c r="AC232" s="8" t="str">
        <x:v>{"dim":1}</x:v>
      </x:c>
    </x:row>
    <x:row r="233" ht="96" customHeight="1">
      <x:c r="A233" s="8" t="str">
        <x:v>L-STATION-12-A</x:v>
      </x:c>
      <x:c r="B233" s="8" t="str">
        <x:v>Station candle · XII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25.405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drop:LC1:LS:light:-1:L-STATION-12-A</x:v>
      </x:c>
      <x:c r="AC233" s="8" t="str">
        <x:v>{"dim":1}</x:v>
      </x:c>
    </x:row>
    <x:row r="234" ht="96" customHeight="1">
      <x:c r="A234" s="8" t="str">
        <x:v>L-STATION-12-B</x:v>
      </x:c>
      <x:c r="B234" s="8" t="str">
        <x:v>Station candle · XII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26.045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drop:LC1:LS:light:-1:L-STATION-12-B</x:v>
      </x:c>
      <x:c r="AC234" s="8" t="str">
        <x:v>{"dim":1}</x:v>
      </x:c>
    </x:row>
    <x:row r="235" ht="96" customHeight="1">
      <x:c r="A235" s="8" t="str">
        <x:v>L-STATION-13-A</x:v>
      </x:c>
      <x:c r="B235" s="8" t="str">
        <x:v>Station candle · XIII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29.905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drop:LC1:LS:light:-1:L-STATION-13-A</x:v>
      </x:c>
      <x:c r="AC235" s="8" t="str">
        <x:v>{"dim":1}</x:v>
      </x:c>
    </x:row>
    <x:row r="236" ht="96" customHeight="1">
      <x:c r="A236" s="8" t="str">
        <x:v>L-STATION-13-B</x:v>
      </x:c>
      <x:c r="B236" s="8" t="str">
        <x:v>Station candle · XIII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30.545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drop:LC1:LS:light:-1:L-STATION-13-B</x:v>
      </x:c>
      <x:c r="AC236" s="8" t="str">
        <x:v>{"dim":1}</x:v>
      </x:c>
    </x:row>
    <x:row r="237" ht="96" customHeight="1">
      <x:c r="A237" s="8" t="str">
        <x:v>L-STATION-14-A</x:v>
      </x:c>
      <x:c r="B237" s="8" t="str">
        <x:v>Station candle · XIV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34.405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drop:LC1:LS:light:-1:L-STATION-14-A</x:v>
      </x:c>
      <x:c r="AC237" s="8" t="str">
        <x:v>{"dim":1}</x:v>
      </x:c>
    </x:row>
    <x:row r="238" ht="96" customHeight="1">
      <x:c r="A238" s="8" t="str">
        <x:v>L-STATION-14-B</x:v>
      </x:c>
      <x:c r="B238" s="8" t="str">
        <x:v>Station candle · XIV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35.045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drop:LC1:LS:light:-1:L-STATION-14-B</x:v>
      </x:c>
      <x:c r="AC238" s="8" t="str">
        <x:v>{"dim":1}</x:v>
      </x:c>
    </x:row>
    <x:row r="239" ht="96" customHeight="1">
      <x:c r="A239" s="8" t="str">
        <x:v>L-WING-B-FI</x:v>
      </x:c>
      <x:c r="B239" s="8" t="str">
        <x:v>Wing downlight · B · front block · inner row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38.94</x:v>
      </x:c>
      <x:c r="G239" s="11" t="n">
        <x:v>8.095059999999997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330 × 222 × 240</x:v>
      </x:c>
      <x:c r="M239" s="8" t="str">
        <x:v>2100 lm · 2700 K · 24° beam</x:v>
      </x:c>
      <x:c r="N239" s="11" t="n">
        <x:v>17.5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drop:LC1:L8:light:-1:L-WING-B-FI</x:v>
      </x:c>
      <x:c r="AC239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0" ht="96" customHeight="1">
      <x:c r="A240" s="8" t="str">
        <x:v>L-WING-B-FO</x:v>
      </x:c>
      <x:c r="B240" s="8" t="str">
        <x:v>Wing downlight · B · front block · outer row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8.095059999999997</x:v>
      </x:c>
      <x:c r="H240" s="11" t="n">
        <x:v>-11.4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330 × 222 × 240</x:v>
      </x:c>
      <x:c r="M240" s="8" t="str">
        <x:v>2100 lm · 2700 K · 24° beam</x:v>
      </x:c>
      <x:c r="N240" s="11" t="n">
        <x:v>17.5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drop:LC1:L8:light:-1:L-WING-B-FO</x:v>
      </x:c>
      <x:c r="AC240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1" ht="96" customHeight="1">
      <x:c r="A241" s="8" t="str">
        <x:v>L-WING-B-RI</x:v>
      </x:c>
      <x:c r="B241" s="8" t="str">
        <x:v>Wing downlight · B · rear block · inner row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8.063580000000004</x:v>
      </x:c>
      <x:c r="H241" s="11" t="n">
        <x:v>-8.8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330 × 222 × 240</x:v>
      </x:c>
      <x:c r="M241" s="8" t="str">
        <x:v>2100 lm · 2700 K · 24° beam</x:v>
      </x:c>
      <x:c r="N241" s="11" t="n">
        <x:v>17.5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drop:LC1:L8:light:-1:L-WING-B-RI</x:v>
      </x:c>
      <x:c r="AC241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2" ht="96" customHeight="1">
      <x:c r="A242" s="8" t="str">
        <x:v>L-WING-B-RO</x:v>
      </x:c>
      <x:c r="B242" s="8" t="str">
        <x:v>Wing downlight · B · rear block · outer row</x:v>
      </x:c>
      <x:c r="C242" s="8" t="str">
        <x:v>light</x:v>
      </x:c>
      <x:c r="D242" s="8" t="str">
        <x:v>DB1</x:v>
      </x:c>
      <x:c r="E242" s="8" t="str">
        <x:v>L8</x:v>
      </x:c>
      <x:c r="F242" s="11" t="n">
        <x:v>42.22</x:v>
      </x:c>
      <x:c r="G242" s="11" t="n">
        <x:v>8.063580000000004</x:v>
      </x:c>
      <x:c r="H242" s="11" t="n">
        <x:v>-11.4</x:v>
      </x:c>
      <x:c r="I242" s="8" t="str">
        <x:v>pendant</x:v>
      </x:c>
      <x:c r="J242" s="8" t="str">
        <x:v>Shown</x:v>
      </x:c>
      <x:c r="K242" s="8" t="str">
        <x:v>On</x:v>
      </x:c>
      <x:c r="L242" s="8" t="str">
        <x:v>330 × 222 × 240</x:v>
      </x:c>
      <x:c r="M242" s="8" t="str">
        <x:v>2100 lm · 2700 K · 24° beam</x:v>
      </x:c>
      <x:c r="N242" s="11" t="n">
        <x:v>17.5</x:v>
      </x:c>
      <x:c r="O242" s="11" t="n">
        <x:v>0</x:v>
      </x:c>
      <x:c r="P242" s="11" t="n">
        <x:v>-90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drop:LC1:L8:light:-1:L-WING-B-RO</x:v>
      </x:c>
      <x:c r="AC242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3" ht="96" customHeight="1">
      <x:c r="A243" s="8" t="str">
        <x:v>L-WING-H-FI</x:v>
      </x:c>
      <x:c r="B243" s="8" t="str">
        <x:v>Wing downlight · H · front block · inner row</x:v>
      </x:c>
      <x:c r="C243" s="8" t="str">
        <x:v>light</x:v>
      </x:c>
      <x:c r="D243" s="8" t="str">
        <x:v>DB1</x:v>
      </x:c>
      <x:c r="E243" s="8" t="str">
        <x:v>L8</x:v>
      </x:c>
      <x:c r="F243" s="11" t="n">
        <x:v>38.94</x:v>
      </x:c>
      <x:c r="G243" s="11" t="n">
        <x:v>8.095059999999997</x:v>
      </x:c>
      <x:c r="H243" s="11" t="n">
        <x:v>8.8</x:v>
      </x:c>
      <x:c r="I243" s="8" t="str">
        <x:v>pendant</x:v>
      </x:c>
      <x:c r="J243" s="8" t="str">
        <x:v>Shown</x:v>
      </x:c>
      <x:c r="K243" s="8" t="str">
        <x:v>On</x:v>
      </x:c>
      <x:c r="L243" s="8" t="str">
        <x:v>330 × 222 × 240</x:v>
      </x:c>
      <x:c r="M243" s="8" t="str">
        <x:v>2100 lm · 2700 K · 24° beam</x:v>
      </x:c>
      <x:c r="N243" s="11" t="n">
        <x:v>17.5</x:v>
      </x:c>
      <x:c r="O243" s="11" t="n">
        <x:v>0</x:v>
      </x:c>
      <x:c r="P243" s="11" t="n">
        <x:v>-90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drop:LC1:L8:light:1:L-WING-H-FI</x:v>
      </x:c>
      <x:c r="AC243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4" ht="96" customHeight="1">
      <x:c r="A244" s="8" t="str">
        <x:v>L-WING-H-FO</x:v>
      </x:c>
      <x:c r="B244" s="8" t="str">
        <x:v>Wing downlight · H · front block · outer row</x:v>
      </x:c>
      <x:c r="C244" s="8" t="str">
        <x:v>light</x:v>
      </x:c>
      <x:c r="D244" s="8" t="str">
        <x:v>DB1</x:v>
      </x:c>
      <x:c r="E244" s="8" t="str">
        <x:v>L8</x:v>
      </x:c>
      <x:c r="F244" s="11" t="n">
        <x:v>38.94</x:v>
      </x:c>
      <x:c r="G244" s="11" t="n">
        <x:v>8.095059999999997</x:v>
      </x:c>
      <x:c r="H244" s="11" t="n">
        <x:v>11.4</x:v>
      </x:c>
      <x:c r="I244" s="8" t="str">
        <x:v>pendant</x:v>
      </x:c>
      <x:c r="J244" s="8" t="str">
        <x:v>Shown</x:v>
      </x:c>
      <x:c r="K244" s="8" t="str">
        <x:v>On</x:v>
      </x:c>
      <x:c r="L244" s="8" t="str">
        <x:v>330 × 222 × 240</x:v>
      </x:c>
      <x:c r="M244" s="8" t="str">
        <x:v>2100 lm · 2700 K · 24° beam</x:v>
      </x:c>
      <x:c r="N244" s="11" t="n">
        <x:v>17.5</x:v>
      </x:c>
      <x:c r="O244" s="11" t="n">
        <x:v>0</x:v>
      </x:c>
      <x:c r="P244" s="11" t="n">
        <x:v>-90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drop:LC1:L8:light:1:L-WING-H-FO</x:v>
      </x:c>
      <x:c r="AC244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5" ht="96" customHeight="1">
      <x:c r="A245" s="8" t="str">
        <x:v>L-WING-H-RI</x:v>
      </x:c>
      <x:c r="B245" s="8" t="str">
        <x:v>Wing downlight · H · rear block · inner row</x:v>
      </x:c>
      <x:c r="C245" s="8" t="str">
        <x:v>light</x:v>
      </x:c>
      <x:c r="D245" s="8" t="str">
        <x:v>DB1</x:v>
      </x:c>
      <x:c r="E245" s="8" t="str">
        <x:v>L8</x:v>
      </x:c>
      <x:c r="F245" s="11" t="n">
        <x:v>42.22</x:v>
      </x:c>
      <x:c r="G245" s="11" t="n">
        <x:v>8.063580000000004</x:v>
      </x:c>
      <x:c r="H245" s="11" t="n">
        <x:v>8.8</x:v>
      </x:c>
      <x:c r="I245" s="8" t="str">
        <x:v>pendant</x:v>
      </x:c>
      <x:c r="J245" s="8" t="str">
        <x:v>Shown</x:v>
      </x:c>
      <x:c r="K245" s="8" t="str">
        <x:v>On</x:v>
      </x:c>
      <x:c r="L245" s="8" t="str">
        <x:v>330 × 222 × 240</x:v>
      </x:c>
      <x:c r="M245" s="8" t="str">
        <x:v>2100 lm · 2700 K · 24° beam</x:v>
      </x:c>
      <x:c r="N245" s="11" t="n">
        <x:v>17.5</x:v>
      </x:c>
      <x:c r="O245" s="11" t="n">
        <x:v>0</x:v>
      </x:c>
      <x:c r="P245" s="11" t="n">
        <x:v>-90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drop:LC1:L8:light:1:L-WING-H-RI</x:v>
      </x:c>
      <x:c r="AC245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6" ht="96" customHeight="1">
      <x:c r="A246" s="8" t="str">
        <x:v>L-WING-H-RO</x:v>
      </x:c>
      <x:c r="B246" s="8" t="str">
        <x:v>Wing downlight · H · rear block · outer row</x:v>
      </x:c>
      <x:c r="C246" s="8" t="str">
        <x:v>light</x:v>
      </x:c>
      <x:c r="D246" s="8" t="str">
        <x:v>DB1</x:v>
      </x:c>
      <x:c r="E246" s="8" t="str">
        <x:v>L8</x:v>
      </x:c>
      <x:c r="F246" s="11" t="n">
        <x:v>42.22</x:v>
      </x:c>
      <x:c r="G246" s="11" t="n">
        <x:v>8.063580000000004</x:v>
      </x:c>
      <x:c r="H246" s="11" t="n">
        <x:v>11.4</x:v>
      </x:c>
      <x:c r="I246" s="8" t="str">
        <x:v>pendant</x:v>
      </x:c>
      <x:c r="J246" s="8" t="str">
        <x:v>Shown</x:v>
      </x:c>
      <x:c r="K246" s="8" t="str">
        <x:v>On</x:v>
      </x:c>
      <x:c r="L246" s="8" t="str">
        <x:v>330 × 222 × 240</x:v>
      </x:c>
      <x:c r="M246" s="8" t="str">
        <x:v>2100 lm · 2700 K · 24° beam</x:v>
      </x:c>
      <x:c r="N246" s="11" t="n">
        <x:v>17.5</x:v>
      </x:c>
      <x:c r="O246" s="11" t="n">
        <x:v>0</x:v>
      </x:c>
      <x:c r="P246" s="11" t="n">
        <x:v>-90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drop:LC1:L8:light:1:L-WING-H-RO</x:v>
      </x:c>
      <x:c r="AC246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7" ht="96" customHeight="1">
      <x:c r="A247" s="8" t="str">
        <x:v>L-ARCH-B-2P-3-A</x:v>
      </x:c>
      <x:c r="B247" s="8" t="str">
        <x:v>Porch arch wash · B · bay 2′–3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5.55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5.29922901468893</x:v>
      </x:c>
      <x:c r="P247" s="11" t="n">
        <x:v>57.45860896531414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drop:LC1:L4:light:-1:L-ARCH-B-2P-3-A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L-ARCH-B-2P-3-B</x:v>
      </x:c>
      <x:c r="B248" s="8" t="str">
        <x:v>Porch arch wash · B · bay 2′–3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9.9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drop:LC1:L4:light:-1:L-ARCH-B-2P-3-B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L-ARCH-B-3-4-A</x:v>
      </x:c>
      <x:c r="B249" s="8" t="str">
        <x:v>Porch arch wash · B · bay 3–4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10.049999999999999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drop:LC1:L4:light:-1:L-ARCH-B-3-4-A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L-ARCH-B-3-4-B</x:v>
      </x:c>
      <x:c r="B250" s="8" t="str">
        <x:v>Porch arch wash · B · bay 3–4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14.4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drop:LC1:L4:light:-1:L-ARCH-B-3-4-B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L-ARCH-B-4-5-A</x:v>
      </x:c>
      <x:c r="B251" s="8" t="str">
        <x:v>Porch arch wash · B · bay 4–5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14.549999999999999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5.299229014688918</x:v>
      </x:c>
      <x:c r="P251" s="11" t="n">
        <x:v>57.45860896531409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drop:LC1:L4:light:-1:L-ARCH-B-4-5-A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L-ARCH-B-4-5-B</x:v>
      </x:c>
      <x:c r="B252" s="8" t="str">
        <x:v>Porch arch wash · B · bay 4–5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18.900000000000002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drop:LC1:L4:light:-1:L-ARCH-B-4-5-B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L-ARCH-B-5-6-A</x:v>
      </x:c>
      <x:c r="B253" s="8" t="str">
        <x:v>Porch arch wash · B · bay 5–6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19.05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drop:LC1:L4:light:-1:L-ARCH-B-5-6-A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L-ARCH-B-5-6-B</x:v>
      </x:c>
      <x:c r="B254" s="8" t="str">
        <x:v>Porch arch wash · B · bay 5–6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23.400000000000002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57.45860896531411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drop:LC1:L4:light:-1:L-ARCH-B-5-6-B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L-ARCH-B-6-7-A</x:v>
      </x:c>
      <x:c r="B255" s="8" t="str">
        <x:v>Porch arch wash · B · bay 6–7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23.55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5.299229014688923</x:v>
      </x:c>
      <x:c r="P255" s="11" t="n">
        <x:v>57.45860896531411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drop:LC1:L4:light:-1:L-ARCH-B-6-7-A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L-ARCH-B-6-7-B</x:v>
      </x:c>
      <x:c r="B256" s="8" t="str">
        <x:v>Porch arch wash · B · bay 6–7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27.900000000000002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57.45860896531411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drop:LC1:L4:light:-1:L-ARCH-B-6-7-B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L-ARCH-B-7-8-A</x:v>
      </x:c>
      <x:c r="B257" s="8" t="str">
        <x:v>Porch arch wash · B · bay 7–8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28.05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5.299229014688923</x:v>
      </x:c>
      <x:c r="P257" s="11" t="n">
        <x:v>57.45860896531411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drop:LC1:L4:light:-1:L-ARCH-B-7-8-A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L-ARCH-B-7-8-B</x:v>
      </x:c>
      <x:c r="B258" s="8" t="str">
        <x:v>Porch arch wash · B · bay 7–8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32.4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57.45860896531417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drop:LC1:L4:light:-1:L-ARCH-B-7-8-B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L-ARCH-B-8-9-A</x:v>
      </x:c>
      <x:c r="B259" s="8" t="str">
        <x:v>Porch arch wash · B · bay 8–9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32.550000000000004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5.2992290146889465</x:v>
      </x:c>
      <x:c r="P259" s="11" t="n">
        <x:v>57.45860896531421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drop:LC1:L4:light:-1:L-ARCH-B-8-9-A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L-ARCH-B-8-9-B</x:v>
      </x:c>
      <x:c r="B260" s="8" t="str">
        <x:v>Porch arch wash · B · bay 8–9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36.9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174.70077098531107</x:v>
      </x:c>
      <x:c r="P260" s="11" t="n">
        <x:v>57.45860896531421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drop:LC1:L4:light:-1:L-ARCH-B-8-9-B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L-ARCH-B-10-11-A</x:v>
      </x:c>
      <x:c r="B261" s="8" t="str">
        <x:v>Porch arch wash · B · bay 10–11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44.25</x:v>
      </x:c>
      <x:c r="G261" s="11" t="n">
        <x:v>2.6</x:v>
      </x:c>
      <x:c r="H261" s="11" t="n">
        <x:v>-10.654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5.2992290146889465</x:v>
      </x:c>
      <x:c r="P261" s="11" t="n">
        <x:v>57.45860896531421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drop:LC1:L4:light:-1:L-ARCH-B-10-11-A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L-ARCH-B-10-11-B</x:v>
      </x:c>
      <x:c r="B262" s="8" t="str">
        <x:v>Porch arch wash · B · bay 10–11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48.599999999999994</x:v>
      </x:c>
      <x:c r="G262" s="11" t="n">
        <x:v>2.6</x:v>
      </x:c>
      <x:c r="H262" s="11" t="n">
        <x:v>-10.654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174.70077098531107</x:v>
      </x:c>
      <x:c r="P262" s="11" t="n">
        <x:v>57.45860896531421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drop:LC1:L4:light:-1:L-ARCH-B-10-11-B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L-ARCH-B-11-12-A</x:v>
      </x:c>
      <x:c r="B263" s="8" t="str">
        <x:v>Porch arch wash · B · bay 11–12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48.75</x:v>
      </x:c>
      <x:c r="G263" s="11" t="n">
        <x:v>2.6</x:v>
      </x:c>
      <x:c r="H263" s="11" t="n">
        <x:v>-10.654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5.553689649623197</x:v>
      </x:c>
      <x:c r="P263" s="11" t="n">
        <x:v>58.66127172059477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drop:LC1:L4:light:-1:L-ARCH-B-11-12-A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L-ARCH-B-11-12-B</x:v>
      </x:c>
      <x:c r="B264" s="8" t="str">
        <x:v>Porch arch wash · B · bay 11–12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52.940999999999995</x:v>
      </x:c>
      <x:c r="G264" s="11" t="n">
        <x:v>2.6</x:v>
      </x:c>
      <x:c r="H264" s="11" t="n">
        <x:v>-10.654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174.44631035037676</x:v>
      </x:c>
      <x:c r="P264" s="11" t="n">
        <x:v>58.66127172059488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drop:LC1:L4:light:-1:L-ARCH-B-11-12-B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L-ARCH-H-2P-3-A</x:v>
      </x:c>
      <x:c r="B265" s="8" t="str">
        <x:v>Porch arch wash · H · bay 2′–3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5.55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-5.29922901468893</x:v>
      </x:c>
      <x:c r="P265" s="11" t="n">
        <x:v>57.45860896531414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drop:LC1:L4:light:1:L-ARCH-H-2P-3-A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L-ARCH-H-2P-3-B</x:v>
      </x:c>
      <x:c r="B266" s="8" t="str">
        <x:v>Porch arch wash · H · bay 2′–3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9.9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drop:LC1:L4:light:1:L-ARCH-H-2P-3-B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L-ARCH-H-3-4-A</x:v>
      </x:c>
      <x:c r="B267" s="8" t="str">
        <x:v>Porch arch wash · H · bay 3–4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10.049999999999999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drop:LC1:L4:light:1:L-ARCH-H-3-4-A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L-ARCH-H-3-4-B</x:v>
      </x:c>
      <x:c r="B268" s="8" t="str">
        <x:v>Porch arch wash · H · bay 3–4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14.4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drop:LC1:L4:light:1:L-ARCH-H-3-4-B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L-ARCH-H-4-5-A</x:v>
      </x:c>
      <x:c r="B269" s="8" t="str">
        <x:v>Porch arch wash · H · bay 4–5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14.549999999999999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-5.299229014688918</x:v>
      </x:c>
      <x:c r="P269" s="11" t="n">
        <x:v>57.45860896531409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drop:LC1:L4:light:1:L-ARCH-H-4-5-A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L-ARCH-H-4-5-B</x:v>
      </x:c>
      <x:c r="B270" s="8" t="str">
        <x:v>Porch arch wash · H · bay 4–5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18.900000000000002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drop:LC1:L4:light:1:L-ARCH-H-4-5-B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L-ARCH-H-5-6-A</x:v>
      </x:c>
      <x:c r="B271" s="8" t="str">
        <x:v>Porch arch wash · H · bay 5–6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19.05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drop:LC1:L4:light:1:L-ARCH-H-5-6-A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L-ARCH-H-5-6-B</x:v>
      </x:c>
      <x:c r="B272" s="8" t="str">
        <x:v>Porch arch wash · H · bay 5–6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23.400000000000002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57.45860896531411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drop:LC1:L4:light:1:L-ARCH-H-5-6-B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L-ARCH-H-6-7-A</x:v>
      </x:c>
      <x:c r="B273" s="8" t="str">
        <x:v>Porch arch wash · H · bay 6–7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23.55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-5.299229014688923</x:v>
      </x:c>
      <x:c r="P273" s="11" t="n">
        <x:v>57.45860896531411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drop:LC1:L4:light:1:L-ARCH-H-6-7-A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L-ARCH-H-6-7-B</x:v>
      </x:c>
      <x:c r="B274" s="8" t="str">
        <x:v>Porch arch wash · H · bay 6–7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27.900000000000002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57.45860896531411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drop:LC1:L4:light:1:L-ARCH-H-6-7-B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L-ARCH-H-7-8-A</x:v>
      </x:c>
      <x:c r="B275" s="8" t="str">
        <x:v>Porch arch wash · H · bay 7–8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28.05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-5.299229014688923</x:v>
      </x:c>
      <x:c r="P275" s="11" t="n">
        <x:v>57.45860896531411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drop:LC1:L4:light:1:L-ARCH-H-7-8-A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L-ARCH-H-7-8-B</x:v>
      </x:c>
      <x:c r="B276" s="8" t="str">
        <x:v>Porch arch wash · H · bay 7–8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32.4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57.45860896531417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drop:LC1:L4:light:1:L-ARCH-H-7-8-B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L-ARCH-H-8-9-A</x:v>
      </x:c>
      <x:c r="B277" s="8" t="str">
        <x:v>Porch arch wash · H · bay 8–9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32.550000000000004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-5.2992290146889465</x:v>
      </x:c>
      <x:c r="P277" s="11" t="n">
        <x:v>57.45860896531421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drop:LC1:L4:light:1:L-ARCH-H-8-9-A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L-ARCH-H-8-9-B</x:v>
      </x:c>
      <x:c r="B278" s="8" t="str">
        <x:v>Porch arch wash · H · bay 8–9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36.9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-174.70077098531107</x:v>
      </x:c>
      <x:c r="P278" s="11" t="n">
        <x:v>57.45860896531421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drop:LC1:L4:light:1:L-ARCH-H-8-9-B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L-ARCH-H-10-11-A</x:v>
      </x:c>
      <x:c r="B279" s="8" t="str">
        <x:v>Porch arch wash · H · bay 10–11 · A</x:v>
      </x:c>
      <x:c r="C279" s="8" t="str">
        <x:v>light</x:v>
      </x:c>
      <x:c r="D279" s="8" t="str">
        <x:v>DB1</x:v>
      </x:c>
      <x:c r="E279" s="8" t="str">
        <x:v>L4</x:v>
      </x:c>
      <x:c r="F279" s="11" t="n">
        <x:v>44.25</x:v>
      </x:c>
      <x:c r="G279" s="11" t="n">
        <x:v>2.6</x:v>
      </x:c>
      <x:c r="H279" s="11" t="n">
        <x:v>10.654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180 × 150 × 120</x:v>
      </x:c>
      <x:c r="M279" s="8" t="str">
        <x:v>750 lm · 3000 K · 45° beam</x:v>
      </x:c>
      <x:c r="N279" s="11" t="n">
        <x:v>7.5</x:v>
      </x:c>
      <x:c r="O279" s="11" t="n">
        <x:v>-5.2992290146889465</x:v>
      </x:c>
      <x:c r="P279" s="11" t="n">
        <x:v>57.45860896531421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Current</x:v>
      </x:c>
      <x:c r="AB279" s="8" t="str">
        <x:v>drop:LC1:L4:light:1:L-ARCH-H-10-11-A</x:v>
      </x:c>
      <x:c r="AC27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0" ht="96" customHeight="1">
      <x:c r="A280" s="8" t="str">
        <x:v>L-ARCH-H-10-11-B</x:v>
      </x:c>
      <x:c r="B280" s="8" t="str">
        <x:v>Porch arch wash · H · bay 10–11 · B</x:v>
      </x:c>
      <x:c r="C280" s="8" t="str">
        <x:v>light</x:v>
      </x:c>
      <x:c r="D280" s="8" t="str">
        <x:v>DB1</x:v>
      </x:c>
      <x:c r="E280" s="8" t="str">
        <x:v>L4</x:v>
      </x:c>
      <x:c r="F280" s="11" t="n">
        <x:v>48.599999999999994</x:v>
      </x:c>
      <x:c r="G280" s="11" t="n">
        <x:v>2.6</x:v>
      </x:c>
      <x:c r="H280" s="11" t="n">
        <x:v>10.654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180 × 150 × 120</x:v>
      </x:c>
      <x:c r="M280" s="8" t="str">
        <x:v>750 lm · 3000 K · 45° beam</x:v>
      </x:c>
      <x:c r="N280" s="11" t="n">
        <x:v>7.5</x:v>
      </x:c>
      <x:c r="O280" s="11" t="n">
        <x:v>-174.70077098531107</x:v>
      </x:c>
      <x:c r="P280" s="11" t="n">
        <x:v>57.45860896531421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Current</x:v>
      </x:c>
      <x:c r="AB280" s="8" t="str">
        <x:v>drop:LC1:L4:light:1:L-ARCH-H-10-11-B</x:v>
      </x:c>
      <x:c r="AC28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1" ht="96" customHeight="1">
      <x:c r="A281" s="8" t="str">
        <x:v>L-ARCH-H-11-12-A</x:v>
      </x:c>
      <x:c r="B281" s="8" t="str">
        <x:v>Porch arch wash · H · bay 11–12 · A</x:v>
      </x:c>
      <x:c r="C281" s="8" t="str">
        <x:v>light</x:v>
      </x:c>
      <x:c r="D281" s="8" t="str">
        <x:v>DB1</x:v>
      </x:c>
      <x:c r="E281" s="8" t="str">
        <x:v>L4</x:v>
      </x:c>
      <x:c r="F281" s="11" t="n">
        <x:v>48.75</x:v>
      </x:c>
      <x:c r="G281" s="11" t="n">
        <x:v>2.6</x:v>
      </x:c>
      <x:c r="H281" s="11" t="n">
        <x:v>10.654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180 × 150 × 120</x:v>
      </x:c>
      <x:c r="M281" s="8" t="str">
        <x:v>750 lm · 3000 K · 45° beam</x:v>
      </x:c>
      <x:c r="N281" s="11" t="n">
        <x:v>7.5</x:v>
      </x:c>
      <x:c r="O281" s="11" t="n">
        <x:v>-5.553689649623197</x:v>
      </x:c>
      <x:c r="P281" s="11" t="n">
        <x:v>58.66127172059477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Current</x:v>
      </x:c>
      <x:c r="AB281" s="8" t="str">
        <x:v>drop:LC1:L4:light:1:L-ARCH-H-11-12-A</x:v>
      </x:c>
      <x:c r="AC28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2" ht="96" customHeight="1">
      <x:c r="A282" s="8" t="str">
        <x:v>L-ARCH-H-11-12-B</x:v>
      </x:c>
      <x:c r="B282" s="8" t="str">
        <x:v>Porch arch wash · H · bay 11–12 · B</x:v>
      </x:c>
      <x:c r="C282" s="8" t="str">
        <x:v>light</x:v>
      </x:c>
      <x:c r="D282" s="8" t="str">
        <x:v>DB1</x:v>
      </x:c>
      <x:c r="E282" s="8" t="str">
        <x:v>L4</x:v>
      </x:c>
      <x:c r="F282" s="11" t="n">
        <x:v>52.940999999999995</x:v>
      </x:c>
      <x:c r="G282" s="11" t="n">
        <x:v>2.6</x:v>
      </x:c>
      <x:c r="H282" s="11" t="n">
        <x:v>10.654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180 × 150 × 120</x:v>
      </x:c>
      <x:c r="M282" s="8" t="str">
        <x:v>750 lm · 3000 K · 45° beam</x:v>
      </x:c>
      <x:c r="N282" s="11" t="n">
        <x:v>7.5</x:v>
      </x:c>
      <x:c r="O282" s="11" t="n">
        <x:v>-174.44631035037676</x:v>
      </x:c>
      <x:c r="P282" s="11" t="n">
        <x:v>58.66127172059488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Current</x:v>
      </x:c>
      <x:c r="AB282" s="8" t="str">
        <x:v>drop:LC1:L4:light:1:L-ARCH-H-11-12-B</x:v>
      </x:c>
      <x:c r="AC28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3" ht="96" customHeight="1">
      <x:c r="A283" s="8" t="str">
        <x:v>L63</x:v>
      </x:c>
      <x:c r="B283" s="8" t="str">
        <x:v>Wing light · B · front block · back rows</x:v>
      </x:c>
      <x:c r="C283" s="8" t="str">
        <x:v>light</x:v>
      </x:c>
      <x:c r="D283" s="8" t="str">
        <x:v>DB1</x:v>
      </x:c>
      <x:c r="E283" s="8" t="str">
        <x:v>L8</x:v>
      </x:c>
      <x:c r="F283" s="11" t="n">
        <x:v>38.94</x:v>
      </x:c>
      <x:c r="G283" s="11" t="n">
        <x:v>3.8</x:v>
      </x:c>
      <x:c r="H283" s="11" t="n">
        <x:v>-10.15</x:v>
      </x:c>
      <x:c r="I283" s="8" t="str">
        <x:v>pendant</x:v>
      </x:c>
      <x:c r="J283" s="8" t="str">
        <x:v>Shown</x:v>
      </x:c>
      <x:c r="K283" s="8" t="str">
        <x:v>On</x:v>
      </x:c>
      <x:c r="L283" s="8" t="str">
        <x:v>1340 × 1240 × 1179</x:v>
      </x:c>
      <x:c r="M283" s="8" t="str">
        <x:v>5640 lm · 2700 K · 100° beam</x:v>
      </x:c>
      <x:c r="N283" s="11" t="n">
        <x:v>51</x:v>
      </x:c>
      <x:c r="O283" s="11" t="n">
        <x:v>0</x:v>
      </x:c>
      <x:c r="P283" s="11" t="n">
        <x:v>-90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drop:LC1:L8:light:-1:L63</x:v>
      </x:c>
      <x:c r="AC283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284" ht="96" customHeight="1">
      <x:c r="A284" s="8" t="str">
        <x:v>L65</x:v>
      </x:c>
      <x:c r="B284" s="8" t="str">
        <x:v>Wing light · B · rear block · back rows</x:v>
      </x:c>
      <x:c r="C284" s="8" t="str">
        <x:v>light</x:v>
      </x:c>
      <x:c r="D284" s="8" t="str">
        <x:v>DB1</x:v>
      </x:c>
      <x:c r="E284" s="8" t="str">
        <x:v>L8</x:v>
      </x:c>
      <x:c r="F284" s="11" t="n">
        <x:v>42.22</x:v>
      </x:c>
      <x:c r="G284" s="11" t="n">
        <x:v>3.8</x:v>
      </x:c>
      <x:c r="H284" s="11" t="n">
        <x:v>-10.15</x:v>
      </x:c>
      <x:c r="I284" s="8" t="str">
        <x:v>pendant</x:v>
      </x:c>
      <x:c r="J284" s="8" t="str">
        <x:v>Shown</x:v>
      </x:c>
      <x:c r="K284" s="8" t="str">
        <x:v>On</x:v>
      </x:c>
      <x:c r="L284" s="8" t="str">
        <x:v>1340 × 1240 × 1179</x:v>
      </x:c>
      <x:c r="M284" s="8" t="str">
        <x:v>5640 lm · 2700 K · 100° beam</x:v>
      </x:c>
      <x:c r="N284" s="11" t="n">
        <x:v>51</x:v>
      </x:c>
      <x:c r="O284" s="11" t="n">
        <x:v>0</x:v>
      </x:c>
      <x:c r="P284" s="11" t="n">
        <x:v>-90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drop:LC1:L8:light:-1:L65</x:v>
      </x:c>
      <x:c r="AC284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285" ht="96" customHeight="1">
      <x:c r="A285" s="8" t="str">
        <x:v>L67</x:v>
      </x:c>
      <x:c r="B285" s="8" t="str">
        <x:v>Wing light · H · front block · back rows</x:v>
      </x:c>
      <x:c r="C285" s="8" t="str">
        <x:v>light</x:v>
      </x:c>
      <x:c r="D285" s="8" t="str">
        <x:v>DB1</x:v>
      </x:c>
      <x:c r="E285" s="8" t="str">
        <x:v>L8</x:v>
      </x:c>
      <x:c r="F285" s="11" t="n">
        <x:v>38.94</x:v>
      </x:c>
      <x:c r="G285" s="11" t="n">
        <x:v>3.8</x:v>
      </x:c>
      <x:c r="H285" s="11" t="n">
        <x:v>10.15</x:v>
      </x:c>
      <x:c r="I285" s="8" t="str">
        <x:v>pendant</x:v>
      </x:c>
      <x:c r="J285" s="8" t="str">
        <x:v>Shown</x:v>
      </x:c>
      <x:c r="K285" s="8" t="str">
        <x:v>On</x:v>
      </x:c>
      <x:c r="L285" s="8" t="str">
        <x:v>1340 × 1240 × 1179</x:v>
      </x:c>
      <x:c r="M285" s="8" t="str">
        <x:v>5640 lm · 2700 K · 100° beam</x:v>
      </x:c>
      <x:c r="N285" s="11" t="n">
        <x:v>51</x:v>
      </x:c>
      <x:c r="O285" s="11" t="n">
        <x:v>0</x:v>
      </x:c>
      <x:c r="P285" s="11" t="n">
        <x:v>-90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drop:LC1:L8:light:1:L67</x:v>
      </x:c>
      <x:c r="AC285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286" ht="96" customHeight="1">
      <x:c r="A286" s="8" t="str">
        <x:v>L69</x:v>
      </x:c>
      <x:c r="B286" s="8" t="str">
        <x:v>Wing light · H · rear block · back rows</x:v>
      </x:c>
      <x:c r="C286" s="8" t="str">
        <x:v>light</x:v>
      </x:c>
      <x:c r="D286" s="8" t="str">
        <x:v>DB1</x:v>
      </x:c>
      <x:c r="E286" s="8" t="str">
        <x:v>L8</x:v>
      </x:c>
      <x:c r="F286" s="11" t="n">
        <x:v>42.22</x:v>
      </x:c>
      <x:c r="G286" s="11" t="n">
        <x:v>3.8</x:v>
      </x:c>
      <x:c r="H286" s="11" t="n">
        <x:v>10.15</x:v>
      </x:c>
      <x:c r="I286" s="8" t="str">
        <x:v>pendant</x:v>
      </x:c>
      <x:c r="J286" s="8" t="str">
        <x:v>Shown</x:v>
      </x:c>
      <x:c r="K286" s="8" t="str">
        <x:v>On</x:v>
      </x:c>
      <x:c r="L286" s="8" t="str">
        <x:v>1340 × 1240 × 1179</x:v>
      </x:c>
      <x:c r="M286" s="8" t="str">
        <x:v>5640 lm · 2700 K · 100° beam</x:v>
      </x:c>
      <x:c r="N286" s="11" t="n">
        <x:v>51</x:v>
      </x:c>
      <x:c r="O286" s="11" t="n">
        <x:v>0</x:v>
      </x:c>
      <x:c r="P286" s="11" t="n">
        <x:v>-90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drop:LC1:L8:light:1:L69</x:v>
      </x:c>
      <x:c r="AC286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287" ht="96" customHeight="1">
      <x:c r="A287" s="8" t="str">
        <x:v>L82</x:v>
      </x:c>
      <x:c r="B287" s="8" t="str">
        <x:v>Sconce · axis 3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9.975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drop:LC1:LD:light:-1:L82</x:v>
      </x:c>
      <x:c r="AC287" s="8" t="str">
        <x:v>{"dim":1}</x:v>
      </x:c>
    </x:row>
    <x:row r="288" ht="96" customHeight="1">
      <x:c r="A288" s="8" t="str">
        <x:v>L83</x:v>
      </x:c>
      <x:c r="B288" s="8" t="str">
        <x:v>Sconce · axis 3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9.975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drop:LC1:LD:light:1:L83</x:v>
      </x:c>
      <x:c r="AC288" s="8" t="str">
        <x:v>{"dim":1}</x:v>
      </x:c>
    </x:row>
    <x:row r="289" ht="96" customHeight="1">
      <x:c r="A289" s="8" t="str">
        <x:v>L84</x:v>
      </x:c>
      <x:c r="B289" s="8" t="str">
        <x:v>Sconce · axis 4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14.475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drop:LC1:LD:light:-1:L84</x:v>
      </x:c>
      <x:c r="AC289" s="8" t="str">
        <x:v>{"dim":1}</x:v>
      </x:c>
    </x:row>
    <x:row r="290" ht="96" customHeight="1">
      <x:c r="A290" s="8" t="str">
        <x:v>L85</x:v>
      </x:c>
      <x:c r="B290" s="8" t="str">
        <x:v>Sconce · axis 4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14.475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drop:LC1:LD:light:1:L85</x:v>
      </x:c>
      <x:c r="AC290" s="8" t="str">
        <x:v>{"dim":1}</x:v>
      </x:c>
    </x:row>
    <x:row r="291" ht="96" customHeight="1">
      <x:c r="A291" s="8" t="str">
        <x:v>L86</x:v>
      </x:c>
      <x:c r="B291" s="8" t="str">
        <x:v>Sconce · axis 5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18.975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drop:LC1:LD:light:-1:L86</x:v>
      </x:c>
      <x:c r="AC291" s="8" t="str">
        <x:v>{"dim":1}</x:v>
      </x:c>
    </x:row>
    <x:row r="292" ht="96" customHeight="1">
      <x:c r="A292" s="8" t="str">
        <x:v>L87</x:v>
      </x:c>
      <x:c r="B292" s="8" t="str">
        <x:v>Sconce · axis 5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18.975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drop:LC1:LD:light:1:L87</x:v>
      </x:c>
      <x:c r="AC292" s="8" t="str">
        <x:v>{"dim":1}</x:v>
      </x:c>
    </x:row>
    <x:row r="293" ht="96" customHeight="1">
      <x:c r="A293" s="8" t="str">
        <x:v>L88</x:v>
      </x:c>
      <x:c r="B293" s="8" t="str">
        <x:v>Sconce · axis 6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23.475</x:v>
      </x:c>
      <x:c r="G293" s="11" t="n">
        <x:v>5</x:v>
      </x:c>
      <x:c r="H293" s="11" t="n">
        <x:v>-7.07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940 lm · 2700 K</x:v>
      </x:c>
      <x:c r="N293" s="11" t="n">
        <x:v>9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drop:LC1:LD:light:-1:L88</x:v>
      </x:c>
      <x:c r="AC293" s="8" t="str">
        <x:v>{"dim":1}</x:v>
      </x:c>
    </x:row>
    <x:row r="294" ht="96" customHeight="1">
      <x:c r="A294" s="8" t="str">
        <x:v>L89</x:v>
      </x:c>
      <x:c r="B294" s="8" t="str">
        <x:v>Sconce · axis 6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23.475</x:v>
      </x:c>
      <x:c r="G294" s="11" t="n">
        <x:v>5</x:v>
      </x:c>
      <x:c r="H294" s="11" t="n">
        <x:v>7.07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940 lm · 2700 K</x:v>
      </x:c>
      <x:c r="N294" s="11" t="n">
        <x:v>9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drop:LC1:LD:light:1:L89</x:v>
      </x:c>
      <x:c r="AC294" s="8" t="str">
        <x:v>{"dim":1}</x:v>
      </x:c>
    </x:row>
    <x:row r="295" ht="96" customHeight="1">
      <x:c r="A295" s="8" t="str">
        <x:v>L90</x:v>
      </x:c>
      <x:c r="B295" s="8" t="str">
        <x:v>Sconce · axis 7 · B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27.975</x:v>
      </x:c>
      <x:c r="G295" s="11" t="n">
        <x:v>5</x:v>
      </x:c>
      <x:c r="H295" s="11" t="n">
        <x:v>-7.07</x:v>
      </x:c>
      <x:c r="I295" s="8" t="str">
        <x:v>wall</x:v>
      </x:c>
      <x:c r="J295" s="8" t="str">
        <x:v>Shown</x:v>
      </x:c>
      <x:c r="K295" s="8" t="str">
        <x:v>On</x:v>
      </x:c>
      <x:c r="L295" s="8" t="str">
        <x:v>306 × 516 × 453</x:v>
      </x:c>
      <x:c r="M295" s="8" t="str">
        <x:v>940 lm · 2700 K</x:v>
      </x:c>
      <x:c r="N295" s="11" t="n">
        <x:v>9</x:v>
      </x:c>
      <x:c r="O295" s="11" t="n">
        <x:v>90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drop:LC1:LD:light:-1:L90</x:v>
      </x:c>
      <x:c r="AC295" s="8" t="str">
        <x:v>{"dim":1}</x:v>
      </x:c>
    </x:row>
    <x:row r="296" ht="96" customHeight="1">
      <x:c r="A296" s="8" t="str">
        <x:v>L91</x:v>
      </x:c>
      <x:c r="B296" s="8" t="str">
        <x:v>Sconce · axis 7 · H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27.975</x:v>
      </x:c>
      <x:c r="G296" s="11" t="n">
        <x:v>5</x:v>
      </x:c>
      <x:c r="H296" s="11" t="n">
        <x:v>7.07</x:v>
      </x:c>
      <x:c r="I296" s="8" t="str">
        <x:v>wall</x:v>
      </x:c>
      <x:c r="J296" s="8" t="str">
        <x:v>Shown</x:v>
      </x:c>
      <x:c r="K296" s="8" t="str">
        <x:v>On</x:v>
      </x:c>
      <x:c r="L296" s="8" t="str">
        <x:v>306 × 516 × 453</x:v>
      </x:c>
      <x:c r="M296" s="8" t="str">
        <x:v>940 lm · 2700 K</x:v>
      </x:c>
      <x:c r="N296" s="11" t="n">
        <x:v>9</x:v>
      </x:c>
      <x:c r="O296" s="11" t="n">
        <x:v>-90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drop:LC1:LD:light:1:L91</x:v>
      </x:c>
      <x:c r="AC296" s="8" t="str">
        <x:v>{"dim":1}</x:v>
      </x:c>
    </x:row>
    <x:row r="297" ht="96" customHeight="1">
      <x:c r="A297" s="8" t="str">
        <x:v>L92</x:v>
      </x:c>
      <x:c r="B297" s="8" t="str">
        <x:v>Sconce · axis 8 · B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32.475</x:v>
      </x:c>
      <x:c r="G297" s="11" t="n">
        <x:v>5</x:v>
      </x:c>
      <x:c r="H297" s="11" t="n">
        <x:v>-7.07</x:v>
      </x:c>
      <x:c r="I297" s="8" t="str">
        <x:v>wall</x:v>
      </x:c>
      <x:c r="J297" s="8" t="str">
        <x:v>Shown</x:v>
      </x:c>
      <x:c r="K297" s="8" t="str">
        <x:v>On</x:v>
      </x:c>
      <x:c r="L297" s="8" t="str">
        <x:v>306 × 516 × 453</x:v>
      </x:c>
      <x:c r="M297" s="8" t="str">
        <x:v>940 lm · 2700 K</x:v>
      </x:c>
      <x:c r="N297" s="11" t="n">
        <x:v>9</x:v>
      </x:c>
      <x:c r="O297" s="11" t="n">
        <x:v>90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drop:LC1:LD:light:-1:L92</x:v>
      </x:c>
      <x:c r="AC297" s="8" t="str">
        <x:v>{"dim":1}</x:v>
      </x:c>
    </x:row>
    <x:row r="298" ht="96" customHeight="1">
      <x:c r="A298" s="8" t="str">
        <x:v>L93</x:v>
      </x:c>
      <x:c r="B298" s="8" t="str">
        <x:v>Sconce · axis 8 · H</x:v>
      </x:c>
      <x:c r="C298" s="8" t="str">
        <x:v>light</x:v>
      </x:c>
      <x:c r="D298" s="8" t="str">
        <x:v>DB1</x:v>
      </x:c>
      <x:c r="E298" s="8" t="str">
        <x:v>LD</x:v>
      </x:c>
      <x:c r="F298" s="11" t="n">
        <x:v>32.475</x:v>
      </x:c>
      <x:c r="G298" s="11" t="n">
        <x:v>5</x:v>
      </x:c>
      <x:c r="H298" s="11" t="n">
        <x:v>7.07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306 × 516 × 453</x:v>
      </x:c>
      <x:c r="M298" s="8" t="str">
        <x:v>940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drop:LC1:LD:light:1:L93</x:v>
      </x:c>
      <x:c r="AC298" s="8" t="str">
        <x:v>{"dim":1}</x:v>
      </x:c>
    </x:row>
    <x:row r="299" ht="96" customHeight="1">
      <x:c r="A299" s="8" t="str">
        <x:v>L94</x:v>
      </x:c>
      <x:c r="B299" s="8" t="str">
        <x:v>Sconce · axis 9 · B</x:v>
      </x:c>
      <x:c r="C299" s="8" t="str">
        <x:v>light</x:v>
      </x:c>
      <x:c r="D299" s="8" t="str">
        <x:v>DB1</x:v>
      </x:c>
      <x:c r="E299" s="8" t="str">
        <x:v>LD</x:v>
      </x:c>
      <x:c r="F299" s="11" t="n">
        <x:v>36.975</x:v>
      </x:c>
      <x:c r="G299" s="11" t="n">
        <x:v>5</x:v>
      </x:c>
      <x:c r="H299" s="11" t="n">
        <x:v>-7.07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306 × 516 × 453</x:v>
      </x:c>
      <x:c r="M299" s="8" t="str">
        <x:v>940 lm · 2700 K</x:v>
      </x:c>
      <x:c r="N299" s="11" t="n">
        <x:v>9</x:v>
      </x:c>
      <x:c r="O299" s="11" t="n">
        <x:v>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drop:LC1:LD:light:-1:L94</x:v>
      </x:c>
      <x:c r="AC299" s="8" t="str">
        <x:v>{"dim":1}</x:v>
      </x:c>
    </x:row>
    <x:row r="300" ht="96" customHeight="1">
      <x:c r="A300" s="8" t="str">
        <x:v>L95</x:v>
      </x:c>
      <x:c r="B300" s="8" t="str">
        <x:v>Sconce · axis 9 · H</x:v>
      </x:c>
      <x:c r="C300" s="8" t="str">
        <x:v>light</x:v>
      </x:c>
      <x:c r="D300" s="8" t="str">
        <x:v>DB1</x:v>
      </x:c>
      <x:c r="E300" s="8" t="str">
        <x:v>LD</x:v>
      </x:c>
      <x:c r="F300" s="11" t="n">
        <x:v>36.975</x:v>
      </x:c>
      <x:c r="G300" s="11" t="n">
        <x:v>5</x:v>
      </x:c>
      <x:c r="H300" s="11" t="n">
        <x:v>7.07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306 × 516 × 453</x:v>
      </x:c>
      <x:c r="M300" s="8" t="str">
        <x:v>940 lm · 2700 K</x:v>
      </x:c>
      <x:c r="N300" s="11" t="n">
        <x:v>9</x:v>
      </x:c>
      <x:c r="O300" s="11" t="n">
        <x:v>-90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drop:LC1:LD:light:1:L95</x:v>
      </x:c>
      <x:c r="AC300" s="8" t="str">
        <x:v>{"dim":1}</x:v>
      </x:c>
    </x:row>
    <x:row r="301" ht="96" customHeight="1">
      <x:c r="A301" s="8" t="str">
        <x:v>L96</x:v>
      </x:c>
      <x:c r="B301" s="8" t="str">
        <x:v>Sconce · sanctuary pier · B</x:v>
      </x:c>
      <x:c r="C301" s="8" t="str">
        <x:v>light</x:v>
      </x:c>
      <x:c r="D301" s="8" t="str">
        <x:v>DB1</x:v>
      </x:c>
      <x:c r="E301" s="8" t="str">
        <x:v>LD</x:v>
      </x:c>
      <x:c r="F301" s="11" t="n">
        <x:v>46.455</x:v>
      </x:c>
      <x:c r="G301" s="11" t="n">
        <x:v>4.3</x:v>
      </x:c>
      <x:c r="H301" s="11" t="n">
        <x:v>-3.2399999999999998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306 × 516 × 453</x:v>
      </x:c>
      <x:c r="M301" s="8" t="str">
        <x:v>560 lm · 2700 K</x:v>
      </x:c>
      <x:c r="N301" s="11" t="n">
        <x:v>5.361702127659575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drop:LC1:LD:light:-1:L96</x:v>
      </x:c>
      <x:c r="AC301" s="8" t="str">
        <x:v>{"lumens":560,"dim":1}</x:v>
      </x:c>
    </x:row>
    <x:row r="302" ht="96" customHeight="1">
      <x:c r="A302" s="8" t="str">
        <x:v>L97</x:v>
      </x:c>
      <x:c r="B302" s="8" t="str">
        <x:v>Sconce · sanctuary pier · H</x:v>
      </x:c>
      <x:c r="C302" s="8" t="str">
        <x:v>light</x:v>
      </x:c>
      <x:c r="D302" s="8" t="str">
        <x:v>DB1</x:v>
      </x:c>
      <x:c r="E302" s="8" t="str">
        <x:v>LD</x:v>
      </x:c>
      <x:c r="F302" s="11" t="n">
        <x:v>46.455</x:v>
      </x:c>
      <x:c r="G302" s="11" t="n">
        <x:v>4.3</x:v>
      </x:c>
      <x:c r="H302" s="11" t="n">
        <x:v>3.2399999999999998</x:v>
      </x:c>
      <x:c r="I302" s="8" t="str">
        <x:v>wall</x:v>
      </x:c>
      <x:c r="J302" s="8" t="str">
        <x:v>Shown</x:v>
      </x:c>
      <x:c r="K302" s="8" t="str">
        <x:v>On</x:v>
      </x:c>
      <x:c r="L302" s="8" t="str">
        <x:v>306 × 516 × 453</x:v>
      </x:c>
      <x:c r="M302" s="8" t="str">
        <x:v>560 lm · 2700 K</x:v>
      </x:c>
      <x:c r="N302" s="11" t="n">
        <x:v>5.361702127659575</x:v>
      </x:c>
      <x:c r="O302" s="11" t="n">
        <x:v>-90</x:v>
      </x:c>
      <x:c r="P302" s="11" t="n">
        <x:v>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drop:LC1:LD:light:1:L97</x:v>
      </x:c>
      <x:c r="AC302" s="8" t="str">
        <x:v>{"lumens":560,"dim":1}</x:v>
      </x:c>
    </x:row>
    <x:row r="303" ht="96" customHeight="1">
      <x:c r="A303" s="8" t="str">
        <x:v>L78</x:v>
      </x:c>
      <x:c r="B303" s="8" t="str">
        <x:v>Chandelier · bay 4–5</x:v>
      </x:c>
      <x:c r="C303" s="8" t="str">
        <x:v>light</x:v>
      </x:c>
      <x:c r="D303" s="8" t="str">
        <x:v>DB1</x:v>
      </x:c>
      <x:c r="E303" s="8" t="str">
        <x:v>LD</x:v>
      </x:c>
      <x:c r="F303" s="11" t="n">
        <x:v>16.725</x:v>
      </x:c>
      <x:c r="G303" s="11" t="n">
        <x:v>7.3</x:v>
      </x:c>
      <x:c r="H303" s="11" t="n">
        <x:v>0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2040 × 1150 × 2040</x:v>
      </x:c>
      <x:c r="M303" s="8" t="str">
        <x:v>3760 lm · 2700 K</x:v>
      </x:c>
      <x:c r="N303" s="11" t="n">
        <x:v>36</x:v>
      </x:c>
      <x:c r="O303" s="11" t="n">
        <x:v>0</x:v>
      </x:c>
      <x:c r="P303" s="11" t="n">
        <x:v>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drop:LC1:LD:light:-1:L78</x:v>
      </x:c>
      <x:c r="AC303" s="8" t="str">
        <x:v>{"dim":1,"anchorY":12.152}</x:v>
      </x:c>
    </x:row>
    <x:row r="304" ht="96" customHeight="1">
      <x:c r="A304" s="8" t="str">
        <x:v>L79</x:v>
      </x:c>
      <x:c r="B304" s="8" t="str">
        <x:v>Chandelier · bay 6–7</x:v>
      </x:c>
      <x:c r="C304" s="8" t="str">
        <x:v>light</x:v>
      </x:c>
      <x:c r="D304" s="8" t="str">
        <x:v>DB1</x:v>
      </x:c>
      <x:c r="E304" s="8" t="str">
        <x:v>LD</x:v>
      </x:c>
      <x:c r="F304" s="11" t="n">
        <x:v>25.725</x:v>
      </x:c>
      <x:c r="G304" s="11" t="n">
        <x:v>7.3</x:v>
      </x:c>
      <x:c r="H304" s="11" t="n">
        <x:v>0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2040 × 1150 × 2040</x:v>
      </x:c>
      <x:c r="M304" s="8" t="str">
        <x:v>3760 lm · 2700 K</x:v>
      </x:c>
      <x:c r="N304" s="11" t="n">
        <x:v>36</x:v>
      </x:c>
      <x:c r="O304" s="11" t="n">
        <x:v>0</x:v>
      </x:c>
      <x:c r="P304" s="11" t="n">
        <x:v>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drop:LC1:LD:light:-1:L79</x:v>
      </x:c>
      <x:c r="AC304" s="8" t="str">
        <x:v>{"dim":1,"anchorY":12.152}</x:v>
      </x:c>
    </x:row>
    <x:row r="305" ht="96" customHeight="1">
      <x:c r="A305" s="8" t="str">
        <x:v>L80</x:v>
      </x:c>
      <x:c r="B305" s="8" t="str">
        <x:v>Chandelier · bay 8–9</x:v>
      </x:c>
      <x:c r="C305" s="8" t="str">
        <x:v>light</x:v>
      </x:c>
      <x:c r="D305" s="8" t="str">
        <x:v>DB1</x:v>
      </x:c>
      <x:c r="E305" s="8" t="str">
        <x:v>LD</x:v>
      </x:c>
      <x:c r="F305" s="11" t="n">
        <x:v>34.725</x:v>
      </x:c>
      <x:c r="G305" s="11" t="n">
        <x:v>7.3</x:v>
      </x:c>
      <x:c r="H305" s="11" t="n">
        <x:v>0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2040 × 1150 × 2040</x:v>
      </x:c>
      <x:c r="M305" s="8" t="str">
        <x:v>3760 lm · 2700 K</x:v>
      </x:c>
      <x:c r="N305" s="11" t="n">
        <x:v>36</x:v>
      </x:c>
      <x:c r="O305" s="11" t="n">
        <x:v>0</x:v>
      </x:c>
      <x:c r="P305" s="11" t="n">
        <x:v>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drop:LC1:LD:light:-1:L80</x:v>
      </x:c>
      <x:c r="AC305" s="8" t="str">
        <x:v>{"dim":1,"anchorY":12.152}</x:v>
      </x:c>
    </x:row>
    <x:row r="306" ht="96" customHeight="1">
      <x:c r="A306" s="8" t="str">
        <x:v>L143</x:v>
      </x:c>
      <x:c r="B306" s="8" t="str">
        <x:v>Side door lantern · B · 46.425 · front</x:v>
      </x:c>
      <x:c r="C306" s="8" t="str">
        <x:v>light</x:v>
      </x:c>
      <x:c r="D306" s="8" t="str">
        <x:v>DB1</x:v>
      </x:c>
      <x:c r="E306" s="8" t="str">
        <x:v>L5</x:v>
      </x:c>
      <x:c r="F306" s="11" t="n">
        <x:v>45</x:v>
      </x:c>
      <x:c r="G306" s="11" t="n">
        <x:v>2.6</x:v>
      </x:c>
      <x:c r="H306" s="11" t="n">
        <x:v>-10.55</x:v>
      </x:c>
      <x:c r="I306" s="8" t="str">
        <x:v>wall</x:v>
      </x:c>
      <x:c r="J306" s="8" t="str">
        <x:v>Shown</x:v>
      </x:c>
      <x:c r="K306" s="8" t="str">
        <x:v>On</x:v>
      </x:c>
      <x:c r="L306" s="8" t="str">
        <x:v>404 × 440 × 240</x:v>
      </x:c>
      <x:c r="M306" s="8" t="str">
        <x:v>900 lm · 2700 K</x:v>
      </x:c>
      <x:c r="N306" s="11" t="n">
        <x:v>9</x:v>
      </x:c>
      <x:c r="O306" s="11" t="n">
        <x:v>-90</x:v>
      </x:c>
      <x:c r="P306" s="11" t="n">
        <x:v>0</x:v>
      </x:c>
      <x:c r="Q306" s="9"/>
      <x:c r="R306" s="9"/>
      <x:c r="S306" s="9"/>
      <x:c r="T306" s="9"/>
      <x:c r="U306" s="9"/>
      <x:c r="V306" s="9"/>
      <x:c r="W306" s="13"/>
      <x:c r="X306" s="13"/>
      <x:c r="Y306" s="13"/>
      <x:c r="Z306" s="9"/>
      <x:c r="AA306" s="8" t="str">
        <x:v>Retired</x:v>
      </x:c>
      <x:c r="AB306" s="8" t="str">
        <x:v>drop:LC1:L5:light:-1:L143</x:v>
      </x:c>
      <x:c r="AC306" s="8" t="str">
        <x:v>{"dim":1}</x:v>
      </x:c>
    </x:row>
    <x:row r="307" ht="96" customHeight="1">
      <x:c r="A307" s="8" t="str">
        <x:v>L144</x:v>
      </x:c>
      <x:c r="B307" s="8" t="str">
        <x:v>Side door lantern · B · 46.425 · rear</x:v>
      </x:c>
      <x:c r="C307" s="8" t="str">
        <x:v>light</x:v>
      </x:c>
      <x:c r="D307" s="8" t="str">
        <x:v>DB1</x:v>
      </x:c>
      <x:c r="E307" s="8" t="str">
        <x:v>L5</x:v>
      </x:c>
      <x:c r="F307" s="11" t="n">
        <x:v>47.849999999999994</x:v>
      </x:c>
      <x:c r="G307" s="11" t="n">
        <x:v>2.6</x:v>
      </x:c>
      <x:c r="H307" s="11" t="n">
        <x:v>-10.55</x:v>
      </x:c>
      <x:c r="I307" s="8" t="str">
        <x:v>wall</x:v>
      </x:c>
      <x:c r="J307" s="8" t="str">
        <x:v>Shown</x:v>
      </x:c>
      <x:c r="K307" s="8" t="str">
        <x:v>On</x:v>
      </x:c>
      <x:c r="L307" s="8" t="str">
        <x:v>404 × 440 × 240</x:v>
      </x:c>
      <x:c r="M307" s="8" t="str">
        <x:v>900 lm · 2700 K</x:v>
      </x:c>
      <x:c r="N307" s="11" t="n">
        <x:v>9</x:v>
      </x:c>
      <x:c r="O307" s="11" t="n">
        <x:v>-90</x:v>
      </x:c>
      <x:c r="P307" s="11" t="n">
        <x:v>0</x:v>
      </x:c>
      <x:c r="Q307" s="9"/>
      <x:c r="R307" s="9"/>
      <x:c r="S307" s="9"/>
      <x:c r="T307" s="9"/>
      <x:c r="U307" s="9"/>
      <x:c r="V307" s="9"/>
      <x:c r="W307" s="13"/>
      <x:c r="X307" s="13"/>
      <x:c r="Y307" s="13"/>
      <x:c r="Z307" s="9"/>
      <x:c r="AA307" s="8" t="str">
        <x:v>Retired</x:v>
      </x:c>
      <x:c r="AB307" s="8" t="str">
        <x:v>drop:LC1:L5:light:-1:L144</x:v>
      </x:c>
      <x:c r="AC307" s="8" t="str">
        <x:v>{"dim":1}</x:v>
      </x:c>
    </x:row>
    <x:row r="308" ht="96" customHeight="1">
      <x:c r="A308" s="8" t="str">
        <x:v>L149</x:v>
      </x:c>
      <x:c r="B308" s="8" t="str">
        <x:v>Side door lantern · H · 46.425 · front</x:v>
      </x:c>
      <x:c r="C308" s="8" t="str">
        <x:v>light</x:v>
      </x:c>
      <x:c r="D308" s="8" t="str">
        <x:v>DB1</x:v>
      </x:c>
      <x:c r="E308" s="8" t="str">
        <x:v>L5</x:v>
      </x:c>
      <x:c r="F308" s="11" t="n">
        <x:v>45</x:v>
      </x:c>
      <x:c r="G308" s="11" t="n">
        <x:v>2.6</x:v>
      </x:c>
      <x:c r="H308" s="11" t="n">
        <x:v>10.55</x:v>
      </x:c>
      <x:c r="I308" s="8" t="str">
        <x:v>wall</x:v>
      </x:c>
      <x:c r="J308" s="8" t="str">
        <x:v>Shown</x:v>
      </x:c>
      <x:c r="K308" s="8" t="str">
        <x:v>On</x:v>
      </x:c>
      <x:c r="L308" s="8" t="str">
        <x:v>404 × 440 × 240</x:v>
      </x:c>
      <x:c r="M308" s="8" t="str">
        <x:v>900 lm · 2700 K</x:v>
      </x:c>
      <x:c r="N308" s="11" t="n">
        <x:v>9</x:v>
      </x:c>
      <x:c r="O308" s="11" t="n">
        <x:v>90</x:v>
      </x:c>
      <x:c r="P308" s="11" t="n">
        <x:v>0</x:v>
      </x:c>
      <x:c r="Q308" s="9"/>
      <x:c r="R308" s="9"/>
      <x:c r="S308" s="9"/>
      <x:c r="T308" s="9"/>
      <x:c r="U308" s="9"/>
      <x:c r="V308" s="9"/>
      <x:c r="W308" s="13"/>
      <x:c r="X308" s="13"/>
      <x:c r="Y308" s="13"/>
      <x:c r="Z308" s="9"/>
      <x:c r="AA308" s="8" t="str">
        <x:v>Retired</x:v>
      </x:c>
      <x:c r="AB308" s="8" t="str">
        <x:v>drop:LC1:L5:light:1:L149</x:v>
      </x:c>
      <x:c r="AC308" s="8" t="str">
        <x:v>{"dim":1}</x:v>
      </x:c>
    </x:row>
    <x:row r="309" ht="96" customHeight="1">
      <x:c r="A309" s="8" t="str">
        <x:v>L150</x:v>
      </x:c>
      <x:c r="B309" s="8" t="str">
        <x:v>Side door lantern · H · 46.425 · rear</x:v>
      </x:c>
      <x:c r="C309" s="8" t="str">
        <x:v>light</x:v>
      </x:c>
      <x:c r="D309" s="8" t="str">
        <x:v>DB1</x:v>
      </x:c>
      <x:c r="E309" s="8" t="str">
        <x:v>L5</x:v>
      </x:c>
      <x:c r="F309" s="11" t="n">
        <x:v>47.849999999999994</x:v>
      </x:c>
      <x:c r="G309" s="11" t="n">
        <x:v>2.6</x:v>
      </x:c>
      <x:c r="H309" s="11" t="n">
        <x:v>10.55</x:v>
      </x:c>
      <x:c r="I309" s="8" t="str">
        <x:v>wall</x:v>
      </x:c>
      <x:c r="J309" s="8" t="str">
        <x:v>Shown</x:v>
      </x:c>
      <x:c r="K309" s="8" t="str">
        <x:v>On</x:v>
      </x:c>
      <x:c r="L309" s="8" t="str">
        <x:v>404 × 440 × 240</x:v>
      </x:c>
      <x:c r="M309" s="8" t="str">
        <x:v>900 lm · 2700 K</x:v>
      </x:c>
      <x:c r="N309" s="11" t="n">
        <x:v>9</x:v>
      </x:c>
      <x:c r="O309" s="11" t="n">
        <x:v>90</x:v>
      </x:c>
      <x:c r="P309" s="11" t="n">
        <x:v>0</x:v>
      </x:c>
      <x:c r="Q309" s="9"/>
      <x:c r="R309" s="9"/>
      <x:c r="S309" s="9"/>
      <x:c r="T309" s="9"/>
      <x:c r="U309" s="9"/>
      <x:c r="V309" s="9"/>
      <x:c r="W309" s="13"/>
      <x:c r="X309" s="13"/>
      <x:c r="Y309" s="13"/>
      <x:c r="Z309" s="9"/>
      <x:c r="AA309" s="8" t="str">
        <x:v>Retired</x:v>
      </x:c>
      <x:c r="AB309" s="8" t="str">
        <x:v>drop:LC1:L5:light:1:L150</x:v>
      </x:c>
      <x:c r="AC309" s="8" t="str">
        <x:v>{"dim":1}</x:v>
      </x:c>
    </x:row>
    <x:row r="310" ht="96" customHeight="1">
      <x:c r="A310" s="8" t="str">
        <x:v>L64</x:v>
      </x:c>
      <x:c r="B310" s="8" t="str">
        <x:v>Wing light · B · front block · front rows</x:v>
      </x:c>
      <x:c r="C310" s="8" t="str">
        <x:v>light</x:v>
      </x:c>
      <x:c r="D310" s="8" t="str">
        <x:v>DB1</x:v>
      </x:c>
      <x:c r="E310" s="8" t="str">
        <x:v>L8</x:v>
      </x:c>
      <x:c r="F310" s="11" t="n">
        <x:v>38.94</x:v>
      </x:c>
      <x:c r="G310" s="11" t="n">
        <x:v>4.4</x:v>
      </x:c>
      <x:c r="H310" s="11" t="n">
        <x:v>-8.8</x:v>
      </x:c>
      <x:c r="I310" s="8" t="str">
        <x:v>pendant</x:v>
      </x:c>
      <x:c r="J310" s="8" t="str">
        <x:v>Shown</x:v>
      </x:c>
      <x:c r="K310" s="8" t="str">
        <x:v>On</x:v>
      </x:c>
      <x:c r="L310" s="8" t="str">
        <x:v>1340 × 1240 × 1179</x:v>
      </x:c>
      <x:c r="M310" s="8" t="str">
        <x:v>5640 lm · 2700 K · 100° beam</x:v>
      </x:c>
      <x:c r="N310" s="11" t="n">
        <x:v>51</x:v>
      </x:c>
      <x:c r="O310" s="11" t="n">
        <x:v>0</x:v>
      </x:c>
      <x:c r="P310" s="11" t="n">
        <x:v>-90</x:v>
      </x:c>
      <x:c r="Q310" s="9"/>
      <x:c r="R310" s="9"/>
      <x:c r="S310" s="9"/>
      <x:c r="T310" s="9"/>
      <x:c r="U310" s="9"/>
      <x:c r="V310" s="9"/>
      <x:c r="W310" s="13"/>
      <x:c r="X310" s="13"/>
      <x:c r="Y310" s="13"/>
      <x:c r="Z310" s="9"/>
      <x:c r="AA310" s="8" t="str">
        <x:v>Retired</x:v>
      </x:c>
      <x:c r="AB310" s="8" t="str">
        <x:v>drop:LC1:L8:light:-1:L64</x:v>
      </x:c>
      <x:c r="AC31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11" ht="96" customHeight="1">
      <x:c r="A311" s="8" t="str">
        <x:v>L66</x:v>
      </x:c>
      <x:c r="B311" s="8" t="str">
        <x:v>Wing light · B · rear block · front rows</x:v>
      </x:c>
      <x:c r="C311" s="8" t="str">
        <x:v>light</x:v>
      </x:c>
      <x:c r="D311" s="8" t="str">
        <x:v>DB1</x:v>
      </x:c>
      <x:c r="E311" s="8" t="str">
        <x:v>L8</x:v>
      </x:c>
      <x:c r="F311" s="11" t="n">
        <x:v>42.22</x:v>
      </x:c>
      <x:c r="G311" s="11" t="n">
        <x:v>4.4</x:v>
      </x:c>
      <x:c r="H311" s="11" t="n">
        <x:v>-8.8</x:v>
      </x:c>
      <x:c r="I311" s="8" t="str">
        <x:v>pendant</x:v>
      </x:c>
      <x:c r="J311" s="8" t="str">
        <x:v>Shown</x:v>
      </x:c>
      <x:c r="K311" s="8" t="str">
        <x:v>On</x:v>
      </x:c>
      <x:c r="L311" s="8" t="str">
        <x:v>1340 × 1240 × 1179</x:v>
      </x:c>
      <x:c r="M311" s="8" t="str">
        <x:v>5640 lm · 2700 K · 100° beam</x:v>
      </x:c>
      <x:c r="N311" s="11" t="n">
        <x:v>51</x:v>
      </x:c>
      <x:c r="O311" s="11" t="n">
        <x:v>0</x:v>
      </x:c>
      <x:c r="P311" s="11" t="n">
        <x:v>-90</x:v>
      </x:c>
      <x:c r="Q311" s="9"/>
      <x:c r="R311" s="9"/>
      <x:c r="S311" s="9"/>
      <x:c r="T311" s="9"/>
      <x:c r="U311" s="9"/>
      <x:c r="V311" s="9"/>
      <x:c r="W311" s="13"/>
      <x:c r="X311" s="13"/>
      <x:c r="Y311" s="13"/>
      <x:c r="Z311" s="9"/>
      <x:c r="AA311" s="8" t="str">
        <x:v>Retired</x:v>
      </x:c>
      <x:c r="AB311" s="8" t="str">
        <x:v>drop:LC1:L8:light:-1:L66</x:v>
      </x:c>
      <x:c r="AC31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12" ht="96" customHeight="1">
      <x:c r="A312" s="8" t="str">
        <x:v>L68</x:v>
      </x:c>
      <x:c r="B312" s="8" t="str">
        <x:v>Wing light · H · front block · front rows</x:v>
      </x:c>
      <x:c r="C312" s="8" t="str">
        <x:v>light</x:v>
      </x:c>
      <x:c r="D312" s="8" t="str">
        <x:v>DB1</x:v>
      </x:c>
      <x:c r="E312" s="8" t="str">
        <x:v>L8</x:v>
      </x:c>
      <x:c r="F312" s="11" t="n">
        <x:v>38.94</x:v>
      </x:c>
      <x:c r="G312" s="11" t="n">
        <x:v>4.4</x:v>
      </x:c>
      <x:c r="H312" s="11" t="n">
        <x:v>8.8</x:v>
      </x:c>
      <x:c r="I312" s="8" t="str">
        <x:v>pendant</x:v>
      </x:c>
      <x:c r="J312" s="8" t="str">
        <x:v>Shown</x:v>
      </x:c>
      <x:c r="K312" s="8" t="str">
        <x:v>On</x:v>
      </x:c>
      <x:c r="L312" s="8" t="str">
        <x:v>1340 × 1240 × 1179</x:v>
      </x:c>
      <x:c r="M312" s="8" t="str">
        <x:v>5640 lm · 2700 K · 100° beam</x:v>
      </x:c>
      <x:c r="N312" s="11" t="n">
        <x:v>51</x:v>
      </x:c>
      <x:c r="O312" s="11" t="n">
        <x:v>0</x:v>
      </x:c>
      <x:c r="P312" s="11" t="n">
        <x:v>-90</x:v>
      </x:c>
      <x:c r="Q312" s="9"/>
      <x:c r="R312" s="9"/>
      <x:c r="S312" s="9"/>
      <x:c r="T312" s="9"/>
      <x:c r="U312" s="9"/>
      <x:c r="V312" s="9"/>
      <x:c r="W312" s="13"/>
      <x:c r="X312" s="13"/>
      <x:c r="Y312" s="13"/>
      <x:c r="Z312" s="9"/>
      <x:c r="AA312" s="8" t="str">
        <x:v>Retired</x:v>
      </x:c>
      <x:c r="AB312" s="8" t="str">
        <x:v>drop:LC1:L8:light:1:L68</x:v>
      </x:c>
      <x:c r="AC31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13" ht="96" customHeight="1">
      <x:c r="A313" s="8" t="str">
        <x:v>L70</x:v>
      </x:c>
      <x:c r="B313" s="8" t="str">
        <x:v>Wing light · H · rear block · front rows</x:v>
      </x:c>
      <x:c r="C313" s="8" t="str">
        <x:v>light</x:v>
      </x:c>
      <x:c r="D313" s="8" t="str">
        <x:v>DB1</x:v>
      </x:c>
      <x:c r="E313" s="8" t="str">
        <x:v>L8</x:v>
      </x:c>
      <x:c r="F313" s="11" t="n">
        <x:v>42.22</x:v>
      </x:c>
      <x:c r="G313" s="11" t="n">
        <x:v>4.4</x:v>
      </x:c>
      <x:c r="H313" s="11" t="n">
        <x:v>8.8</x:v>
      </x:c>
      <x:c r="I313" s="8" t="str">
        <x:v>pendant</x:v>
      </x:c>
      <x:c r="J313" s="8" t="str">
        <x:v>Shown</x:v>
      </x:c>
      <x:c r="K313" s="8" t="str">
        <x:v>On</x:v>
      </x:c>
      <x:c r="L313" s="8" t="str">
        <x:v>1340 × 1240 × 1179</x:v>
      </x:c>
      <x:c r="M313" s="8" t="str">
        <x:v>5640 lm · 2700 K · 100° beam</x:v>
      </x:c>
      <x:c r="N313" s="11" t="n">
        <x:v>51</x:v>
      </x:c>
      <x:c r="O313" s="11" t="n">
        <x:v>0</x:v>
      </x:c>
      <x:c r="P313" s="11" t="n">
        <x:v>-90</x:v>
      </x:c>
      <x:c r="Q313" s="9"/>
      <x:c r="R313" s="9"/>
      <x:c r="S313" s="9"/>
      <x:c r="T313" s="9"/>
      <x:c r="U313" s="9"/>
      <x:c r="V313" s="9"/>
      <x:c r="W313" s="13"/>
      <x:c r="X313" s="13"/>
      <x:c r="Y313" s="13"/>
      <x:c r="Z313" s="9"/>
      <x:c r="AA313" s="8" t="str">
        <x:v>Retired</x:v>
      </x:c>
      <x:c r="AB313" s="8" t="str">
        <x:v>drop:LC1:L8:light:1:L70</x:v>
      </x:c>
      <x:c r="AC31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13">
    <x:cfRule type="containsText" dxfId="0" priority="1" operator="containsText" text="Retired"/>
  </x:conditionalFormatting>
  <x:dataValidations count="3">
    <x:dataValidation type="decimal" operator="between" sqref="W7:W313">
      <x:formula1>-1000</x:formula1>
      <x:formula2>1000</x:formula2>
    </x:dataValidation>
    <x:dataValidation type="decimal" operator="between" sqref="X7:X313">
      <x:formula1>-1000</x:formula1>
      <x:formula2>1000</x:formula2>
    </x:dataValidation>
    <x:dataValidation type="decimal" operator="between" sqref="Y7:Y31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fa51224e78f433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Points'!$A$7:$A$2910,A7,'Route Points'!$F$7:$F$2910)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Points'!$A$7:$A$2910,A8,'Route Points'!$F$7:$F$2910)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Points'!$A$7:$A$2910,A9,'Route Points'!$F$7:$F$2910)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Points'!$A$7:$A$2910,A10,'Route Points'!$F$7:$F$2910)</x:f>
        <x:v>9.699769132839064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Points'!$A$7:$A$2910,A11,'Route Points'!$F$7:$F$2910)</x:f>
        <x:v>8.135621170805727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Points'!$A$7:$A$2910,A12,'Route Points'!$F$7:$F$2910)</x:f>
        <x:v>9.699769132839064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Points'!$A$7:$A$2910,A13,'Route Points'!$F$7:$F$2910)</x:f>
        <x:v>8.135621170805727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Points'!$A$7:$A$2910,A14,'Route Points'!$F$7:$F$2910)</x:f>
        <x:v>9.699769132839062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Points'!$A$7:$A$2910,A15,'Route Points'!$F$7:$F$2910)</x:f>
        <x:v>8.135621170805724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Points'!$A$7:$A$2910,A16,'Route Points'!$F$7:$F$2910)</x:f>
        <x:v>8.135621170805724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Points'!$A$7:$A$2910,A17,'Route Points'!$F$7:$F$2910)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Points'!$A$7:$A$2910,A18,'Route Points'!$F$7:$F$2910)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Points'!$A$7:$A$2910,A19,'Route Points'!$F$7:$F$2910)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Points'!$A$7:$A$2910,A20,'Route Points'!$F$7:$F$2910)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Points'!$A$7:$A$2910,A21,'Route Points'!$F$7:$F$2910)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Points'!$A$7:$A$2910,A22,'Route Points'!$F$7:$F$2910)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Points'!$A$7:$A$2910,A23,'Route Points'!$F$7:$F$2910)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Points'!$A$7:$A$2910,A24,'Route Points'!$F$7:$F$2910)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Points'!$A$7:$A$2910,A25,'Route Points'!$F$7:$F$2910)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Points'!$A$7:$A$2910,A26,'Route Points'!$F$7:$F$2910)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Points'!$A$7:$A$2910,A27,'Route Points'!$F$7:$F$2910)</x:f>
        <x:v>9.699769132839064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Points'!$A$7:$A$2910,A28,'Route Points'!$F$7:$F$2910)</x:f>
        <x:v>8.135621170805727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Points'!$A$7:$A$2910,A29,'Route Points'!$F$7:$F$2910)</x:f>
        <x:v>9.699769132839064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Points'!$A$7:$A$2910,A30,'Route Points'!$F$7:$F$2910)</x:f>
        <x:v>8.135621170805727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Points'!$A$7:$A$2910,A31,'Route Points'!$F$7:$F$2910)</x:f>
        <x:v>9.699769132839062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Points'!$A$7:$A$2910,A32,'Route Points'!$F$7:$F$2910)</x:f>
        <x:v>8.135621170805724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Points'!$A$7:$A$2910,A33,'Route Points'!$F$7:$F$2910)</x:f>
        <x:v>8.135621170805724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Points'!$A$7:$A$2910,A34,'Route Points'!$F$7:$F$2910)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Points'!$A$7:$A$2910,A35,'Route Points'!$F$7:$F$2910)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Points'!$A$7:$A$2910,A36,'Route Points'!$F$7:$F$2910)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Points'!$A$7:$A$2910,A37,'Route Points'!$F$7:$F$2910)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Points'!$A$7:$A$2910,A38,'Route Points'!$F$7:$F$2910)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Points'!$A$7:$A$2910,A39,'Route Points'!$F$7:$F$2910)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Points'!$A$7:$A$2910,A40,'Route Points'!$F$7:$F$2910)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Points'!$A$7:$A$2910,A41,'Route Points'!$F$7:$F$2910)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Points'!$A$7:$A$2910,A42,'Route Points'!$F$7:$F$2910)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Points'!$A$7:$A$2910,A43,'Route Points'!$F$7:$F$2910)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Points'!$A$7:$A$2910,A44,'Route Points'!$F$7:$F$2910)</x:f>
        <x:v>9.707769132839063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Points'!$A$7:$A$2910,A45,'Route Points'!$F$7:$F$2910)</x:f>
        <x:v>9.707769132839063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Points'!$A$7:$A$2910,A46,'Route Points'!$F$7:$F$2910)</x:f>
        <x:v>8.143621170805725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Points'!$A$7:$A$2910,A47,'Route Points'!$F$7:$F$2910)</x:f>
        <x:v>9.707769132839063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Points'!$A$7:$A$2910,A48,'Route Points'!$F$7:$F$2910)</x:f>
        <x:v>8.143621170805725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Points'!$A$7:$A$2910,A49,'Route Points'!$F$7:$F$2910)</x:f>
        <x:v>8.567769132839063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Points'!$A$7:$A$2910,A50,'Route Points'!$F$7:$F$2910)</x:f>
        <x:v>7.003621170805725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Points'!$A$7:$A$2910,A51,'Route Points'!$F$7:$F$2910)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Points'!$A$7:$A$2910,A52,'Route Points'!$F$7:$F$2910)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Points'!$A$7:$A$2910,A53,'Route Points'!$F$7:$F$2910)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Points'!$A$7:$A$2910,A54,'Route Points'!$F$7:$F$2910)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Points'!$A$7:$A$2910,A55,'Route Points'!$F$7:$F$2910)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Points'!$A$7:$A$2910,A56,'Route Points'!$F$7:$F$2910)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Points'!$A$7:$A$2910,A57,'Route Points'!$F$7:$F$2910)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Points'!$A$7:$A$2910,A58,'Route Points'!$F$7:$F$2910)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Points'!$A$7:$A$2910,A59,'Route Points'!$F$7:$F$2910)</x:f>
        <x:v>9.707769132839063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Points'!$A$7:$A$2910,A60,'Route Points'!$F$7:$F$2910)</x:f>
        <x:v>9.707769132839063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Points'!$A$7:$A$2910,A61,'Route Points'!$F$7:$F$2910)</x:f>
        <x:v>8.143621170805725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Points'!$A$7:$A$2910,A62,'Route Points'!$F$7:$F$2910)</x:f>
        <x:v>9.707769132839063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Points'!$A$7:$A$2910,A63,'Route Points'!$F$7:$F$2910)</x:f>
        <x:v>8.143621170805725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Points'!$A$7:$A$2910,A64,'Route Points'!$F$7:$F$2910)</x:f>
        <x:v>8.567769132839063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Points'!$A$7:$A$2910,A65,'Route Points'!$F$7:$F$2910)</x:f>
        <x:v>7.003621170805725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Points'!$A$7:$A$2910,A66,'Route Points'!$F$7:$F$2910)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Points'!$A$7:$A$2910,A67,'Route Points'!$F$7:$F$2910)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Points'!$A$7:$A$2910,A68,'Route Points'!$F$7:$F$2910)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Points'!$A$7:$A$2910,A69,'Route Points'!$F$7:$F$2910)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Points'!$A$7:$A$2910,A70,'Route Points'!$F$7:$F$2910)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Points'!$A$7:$A$2910,A71,'Route Points'!$F$7:$F$2910)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Points'!$A$7:$A$2910,A72,'Route Points'!$F$7:$F$2910)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103" customHeight="1">
      <x:c r="A73" s="8" t="str">
        <x:v>trunk:LC1:LA:light:-1</x:v>
      </x:c>
      <x:c r="B73" s="8" t="str">
        <x:v>LA · B · circuit trunk</x:v>
      </x:c>
      <x:c r="C73" s="8" t="str">
        <x:v>LC1</x:v>
      </x:c>
      <x:c r="D73" s="8" t="str">
        <x:v>L71
L72
L73
L74
L75
L76
L77</x:v>
      </x:c>
      <x:c r="E73" s="8" t="str">
        <x:v>DB1</x:v>
      </x:c>
      <x:c r="F73" s="8" t="str">
        <x:v>LA</x:v>
      </x:c>
      <x:c r="G73" s="8" t="str">
        <x:v>light</x:v>
      </x:c>
      <x:c r="H73" s="8" t="str">
        <x:v>trunk</x:v>
      </x:c>
      <x:c r="I73" s="11" t="n">
        <x:f>SUMIF('Route Points'!$A$7:$A$2910,A73,'Route Points'!$F$7:$F$2910)</x:f>
        <x:v>62.30613031117919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drop:LC1:LA:light:-1:L71</x:v>
      </x:c>
      <x:c r="B74" s="8" t="str">
        <x:v>LA → Roof uplight · axis 3</x:v>
      </x:c>
      <x:c r="C74" s="8" t="str">
        <x:v>LC1</x:v>
      </x:c>
      <x:c r="D74" s="8" t="str">
        <x:v>L71</x:v>
      </x:c>
      <x:c r="E74" s="8" t="str">
        <x:v>DB1</x:v>
      </x:c>
      <x:c r="F74" s="8" t="str">
        <x:v>LA</x:v>
      </x:c>
      <x:c r="G74" s="8" t="str">
        <x:v>light</x:v>
      </x:c>
      <x:c r="H74" s="8" t="str">
        <x:v>drop</x:v>
      </x:c>
      <x:c r="I74" s="11" t="n">
        <x:f>SUMIF('Route Points'!$A$7:$A$2910,A74,'Route Points'!$F$7:$F$2910)</x:f>
        <x:v>10.200418805696334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lining / beam tops, short covered joint and rear-face return to fitting. Roof access, rafter/tie interface and removable cover details pending; no timber drilling / notching.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trunk:LC1:LA:light:-1</x:v>
      </x:c>
    </x:row>
    <x:row r="75" ht="90" customHeight="1">
      <x:c r="A75" s="8" t="str">
        <x:v>drop:LC1:LA:light:-1:L72</x:v>
      </x:c>
      <x:c r="B75" s="8" t="str">
        <x:v>LA → Roof uplight · axis 4</x:v>
      </x:c>
      <x:c r="C75" s="8" t="str">
        <x:v>LC1</x:v>
      </x:c>
      <x:c r="D75" s="8" t="str">
        <x:v>L72</x:v>
      </x:c>
      <x:c r="E75" s="8" t="str">
        <x:v>DB1</x:v>
      </x:c>
      <x:c r="F75" s="8" t="str">
        <x:v>LA</x:v>
      </x:c>
      <x:c r="G75" s="8" t="str">
        <x:v>light</x:v>
      </x:c>
      <x:c r="H75" s="8" t="str">
        <x:v>drop</x:v>
      </x:c>
      <x:c r="I75" s="11" t="n">
        <x:f>SUMIF('Route Points'!$A$7:$A$2910,A75,'Route Points'!$F$7:$F$2910)</x:f>
        <x:v>10.200418805696334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lining / beam tops, short covered joint and rear-face return to fitting. Roof access, rafter/tie interface and removable cover details pending; no timber drilling / notching.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trunk:LC1:LA:light:-1</x:v>
      </x:c>
    </x:row>
    <x:row r="76" ht="90" customHeight="1">
      <x:c r="A76" s="8" t="str">
        <x:v>drop:LC1:LA:light:-1:L73</x:v>
      </x:c>
      <x:c r="B76" s="8" t="str">
        <x:v>LA → Roof uplight · axis 5</x:v>
      </x:c>
      <x:c r="C76" s="8" t="str">
        <x:v>LC1</x:v>
      </x:c>
      <x:c r="D76" s="8" t="str">
        <x:v>L73</x:v>
      </x:c>
      <x:c r="E76" s="8" t="str">
        <x:v>DB1</x:v>
      </x:c>
      <x:c r="F76" s="8" t="str">
        <x:v>LA</x:v>
      </x:c>
      <x:c r="G76" s="8" t="str">
        <x:v>light</x:v>
      </x:c>
      <x:c r="H76" s="8" t="str">
        <x:v>drop</x:v>
      </x:c>
      <x:c r="I76" s="11" t="n">
        <x:f>SUMIF('Route Points'!$A$7:$A$2910,A76,'Route Points'!$F$7:$F$2910)</x:f>
        <x:v>10.200418805696332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lining / beam tops, short covered joint and rear-face return to fitting. Roof access, rafter/tie interface and removable cover details pending; no timber drilling / notching.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trunk:LC1:LA:light:-1</x:v>
      </x:c>
    </x:row>
    <x:row r="77" ht="90" customHeight="1">
      <x:c r="A77" s="8" t="str">
        <x:v>drop:LC1:LA:light:-1:L74</x:v>
      </x:c>
      <x:c r="B77" s="8" t="str">
        <x:v>LA → Roof uplight · axis 6</x:v>
      </x:c>
      <x:c r="C77" s="8" t="str">
        <x:v>LC1</x:v>
      </x:c>
      <x:c r="D77" s="8" t="str">
        <x:v>L74</x:v>
      </x:c>
      <x:c r="E77" s="8" t="str">
        <x:v>DB1</x:v>
      </x:c>
      <x:c r="F77" s="8" t="str">
        <x:v>LA</x:v>
      </x:c>
      <x:c r="G77" s="8" t="str">
        <x:v>light</x:v>
      </x:c>
      <x:c r="H77" s="8" t="str">
        <x:v>drop</x:v>
      </x:c>
      <x:c r="I77" s="11" t="n">
        <x:f>SUMIF('Route Points'!$A$7:$A$2910,A77,'Route Points'!$F$7:$F$2910)</x:f>
        <x:v>10.200418805696332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lining / beam tops, short covered joint and rear-face return to fitting. Roof access, rafter/tie interface and removable cover details pending; no timber drilling / notching.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trunk:LC1:LA:light:-1</x:v>
      </x:c>
    </x:row>
    <x:row r="78" ht="90" customHeight="1">
      <x:c r="A78" s="8" t="str">
        <x:v>drop:LC1:LA:light:-1:L75</x:v>
      </x:c>
      <x:c r="B78" s="8" t="str">
        <x:v>LA → Roof uplight · axis 7</x:v>
      </x:c>
      <x:c r="C78" s="8" t="str">
        <x:v>LC1</x:v>
      </x:c>
      <x:c r="D78" s="8" t="str">
        <x:v>L75</x:v>
      </x:c>
      <x:c r="E78" s="8" t="str">
        <x:v>DB1</x:v>
      </x:c>
      <x:c r="F78" s="8" t="str">
        <x:v>LA</x:v>
      </x:c>
      <x:c r="G78" s="8" t="str">
        <x:v>light</x:v>
      </x:c>
      <x:c r="H78" s="8" t="str">
        <x:v>drop</x:v>
      </x:c>
      <x:c r="I78" s="11" t="n">
        <x:f>SUMIF('Route Points'!$A$7:$A$2910,A78,'Route Points'!$F$7:$F$2910)</x:f>
        <x:v>10.200418805696332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lining / beam tops, short covered joint and rear-face return to fitting. Roof access, rafter/tie interface and removable cover details pending; no timber drilling / notching.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trunk:LC1:LA:light:-1</x:v>
      </x:c>
    </x:row>
    <x:row r="79" ht="90" customHeight="1">
      <x:c r="A79" s="8" t="str">
        <x:v>drop:LC1:LA:light:-1:L76</x:v>
      </x:c>
      <x:c r="B79" s="8" t="str">
        <x:v>LA → Roof uplight · axis 8</x:v>
      </x:c>
      <x:c r="C79" s="8" t="str">
        <x:v>LC1</x:v>
      </x:c>
      <x:c r="D79" s="8" t="str">
        <x:v>L76</x:v>
      </x:c>
      <x:c r="E79" s="8" t="str">
        <x:v>DB1</x:v>
      </x:c>
      <x:c r="F79" s="8" t="str">
        <x:v>LA</x:v>
      </x:c>
      <x:c r="G79" s="8" t="str">
        <x:v>light</x:v>
      </x:c>
      <x:c r="H79" s="8" t="str">
        <x:v>drop</x:v>
      </x:c>
      <x:c r="I79" s="11" t="n">
        <x:f>SUMIF('Route Points'!$A$7:$A$2910,A79,'Route Points'!$F$7:$F$2910)</x:f>
        <x:v>10.200418805696332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Above lining / beam tops, short covered joint and rear-face return to fitting. Roof access, rafter/tie interface and removable cover details pending; no timber drilling / notching.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trunk:LC1:LA:light:-1</x:v>
      </x:c>
    </x:row>
    <x:row r="80" ht="90" customHeight="1">
      <x:c r="A80" s="8" t="str">
        <x:v>drop:LC1:LA:light:-1:L77</x:v>
      </x:c>
      <x:c r="B80" s="8" t="str">
        <x:v>LA → Roof uplight · axis 9</x:v>
      </x:c>
      <x:c r="C80" s="8" t="str">
        <x:v>LC1</x:v>
      </x:c>
      <x:c r="D80" s="8" t="str">
        <x:v>L77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Points'!$A$7:$A$2910,A80,'Route Points'!$F$7:$F$2910)</x:f>
        <x:v>10.200418805696332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194" customHeight="1">
      <x:c r="A81" s="8" t="str">
        <x:v>trunk:LC1:L3:light:-1</x:v>
      </x:c>
      <x:c r="B81" s="8" t="str">
        <x:v>L3 · B · circuit trunk</x:v>
      </x:c>
      <x:c r="C81" s="8" t="str">
        <x:v>LC1</x:v>
      </x:c>
      <x:c r="D81" s="8" t="str">
        <x:v>L81
L98
L100
L101
L104
L106
L107
L108
L109
L114
L115
L116
L151
L152</x:v>
      </x:c>
      <x:c r="E81" s="8" t="str">
        <x:v>DB1</x:v>
      </x:c>
      <x:c r="F81" s="8" t="str">
        <x:v>L3</x:v>
      </x:c>
      <x:c r="G81" s="8" t="str">
        <x:v>light</x:v>
      </x:c>
      <x:c r="H81" s="8" t="str">
        <x:v>trunk</x:v>
      </x:c>
      <x:c r="I81" s="11" t="n">
        <x:f>SUMIF('Route Points'!$A$7:$A$2910,A81,'Route Points'!$F$7:$F$2910)</x:f>
        <x:v>35.322130311179194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Wall bands above openings; concealed finish-matched soffit crossing over the 9–10 wing opening.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/>
    </x:row>
    <x:row r="82" ht="90" customHeight="1">
      <x:c r="A82" s="8" t="str">
        <x:v>drop:LC1:L3:light:-1:L81</x:v>
      </x:c>
      <x:c r="B82" s="8" t="str">
        <x:v>L3 → Grand chandelier · crossing 9–10</x:v>
      </x:c>
      <x:c r="C82" s="8" t="str">
        <x:v>LC1</x:v>
      </x:c>
      <x:c r="D82" s="8" t="str">
        <x:v>L81</x:v>
      </x:c>
      <x:c r="E82" s="8" t="str">
        <x:v>DB1</x:v>
      </x:c>
      <x:c r="F82" s="8" t="str">
        <x:v>L3</x:v>
      </x:c>
      <x:c r="G82" s="8" t="str">
        <x:v>light</x:v>
      </x:c>
      <x:c r="H82" s="8" t="str">
        <x:v>drop</x:v>
      </x:c>
      <x:c r="I82" s="11" t="n">
        <x:f>SUMIF('Route Points'!$A$7:$A$2910,A82,'Route Points'!$F$7:$F$2910)</x:f>
        <x:v>11.56464294113543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nave lining / covered soffit route at wings and verandas; cable continues inside the existing pendant stem. Roof build-up, supports and access pending.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trunk:LC1:L3:light:-1</x:v>
      </x:c>
    </x:row>
    <x:row r="83" ht="90" customHeight="1">
      <x:c r="A83" s="8" t="str">
        <x:v>drop:LC1:L3:light:-1:L98</x:v>
      </x:c>
      <x:c r="B83" s="8" t="str">
        <x:v>L3 → Altar key light · B</x:v>
      </x:c>
      <x:c r="C83" s="8" t="str">
        <x:v>LC1</x:v>
      </x:c>
      <x:c r="D83" s="8" t="str">
        <x:v>L98</x:v>
      </x:c>
      <x:c r="E83" s="8" t="str">
        <x:v>DB1</x:v>
      </x:c>
      <x:c r="F83" s="8" t="str">
        <x:v>L3</x:v>
      </x:c>
      <x:c r="G83" s="8" t="str">
        <x:v>light</x:v>
      </x:c>
      <x:c r="H83" s="8" t="str">
        <x:v>drop</x:v>
      </x:c>
      <x:c r="I83" s="11" t="n">
        <x:f>SUMIF('Route Points'!$A$7:$A$2910,A83,'Route Points'!$F$7:$F$2910)</x:f>
        <x:v>9.911418805696329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trunk:LC1:L3:light:-1</x:v>
      </x:c>
    </x:row>
    <x:row r="84" ht="90" customHeight="1">
      <x:c r="A84" s="8" t="str">
        <x:v>drop:LC1:L3:light:-1:L100</x:v>
      </x:c>
      <x:c r="B84" s="8" t="str">
        <x:v>L3 → Ambo key light</x:v>
      </x:c>
      <x:c r="C84" s="8" t="str">
        <x:v>LC1</x:v>
      </x:c>
      <x:c r="D84" s="8" t="str">
        <x:v>L100</x:v>
      </x:c>
      <x:c r="E84" s="8" t="str">
        <x:v>DB1</x:v>
      </x:c>
      <x:c r="F84" s="8" t="str">
        <x:v>L3</x:v>
      </x:c>
      <x:c r="G84" s="8" t="str">
        <x:v>light</x:v>
      </x:c>
      <x:c r="H84" s="8" t="str">
        <x:v>drop</x:v>
      </x:c>
      <x:c r="I84" s="11" t="n">
        <x:f>SUMIF('Route Points'!$A$7:$A$2910,A84,'Route Points'!$F$7:$F$2910)</x:f>
        <x:v>9.188370756381541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beam and covered rear-face return to lamp-body cable entry. Existing canopy/capital contact remains on mounting coordination hold; optical position unchanged.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trunk:LC1:L3:light:-1</x:v>
      </x:c>
    </x:row>
    <x:row r="85" ht="90" customHeight="1">
      <x:c r="A85" s="8" t="str">
        <x:v>drop:LC1:L3:light:-1:L101</x:v>
      </x:c>
      <x:c r="B85" s="8" t="str">
        <x:v>L3 → Sanctuary step fill · B</x:v>
      </x:c>
      <x:c r="C85" s="8" t="str">
        <x:v>LC1</x:v>
      </x:c>
      <x:c r="D85" s="8" t="str">
        <x:v>L101</x:v>
      </x:c>
      <x:c r="E85" s="8" t="str">
        <x:v>DB1</x:v>
      </x:c>
      <x:c r="F85" s="8" t="str">
        <x:v>L3</x:v>
      </x:c>
      <x:c r="G85" s="8" t="str">
        <x:v>light</x:v>
      </x:c>
      <x:c r="H85" s="8" t="str">
        <x:v>drop</x:v>
      </x:c>
      <x:c r="I85" s="11" t="n">
        <x:f>SUMIF('Route Points'!$A$7:$A$2910,A85,'Route Points'!$F$7:$F$2910)</x:f>
        <x:v>9.411418805696329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trunk:LC1:L3:light:-1</x:v>
      </x:c>
    </x:row>
    <x:row r="86" ht="90" customHeight="1">
      <x:c r="A86" s="8" t="str">
        <x:v>drop:LC1:L3:light:-1:L104</x:v>
      </x:c>
      <x:c r="B86" s="8" t="str">
        <x:v>L3 → Sanctuary frame wash · B</x:v>
      </x:c>
      <x:c r="C86" s="8" t="str">
        <x:v>LC1</x:v>
      </x:c>
      <x:c r="D86" s="8" t="str">
        <x:v>L104</x:v>
      </x:c>
      <x:c r="E86" s="8" t="str">
        <x:v>DB1</x:v>
      </x:c>
      <x:c r="F86" s="8" t="str">
        <x:v>L3</x:v>
      </x:c>
      <x:c r="G86" s="8" t="str">
        <x:v>light</x:v>
      </x:c>
      <x:c r="H86" s="8" t="str">
        <x:v>drop</x:v>
      </x:c>
      <x:c r="I86" s="11" t="n">
        <x:f>SUMIF('Route Points'!$A$7:$A$2910,A86,'Route Points'!$F$7:$F$2910)</x:f>
        <x:v>10.71141880569633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trunk:LC1:L3:light:-1</x:v>
      </x:c>
    </x:row>
    <x:row r="87" ht="90" customHeight="1">
      <x:c r="A87" s="8" t="str">
        <x:v>drop:LC1:L3:light:-1:L106</x:v>
      </x:c>
      <x:c r="B87" s="8" t="str">
        <x:v>L3 → Crucifix accent · B</x:v>
      </x:c>
      <x:c r="C87" s="8" t="str">
        <x:v>LC1</x:v>
      </x:c>
      <x:c r="D87" s="8" t="str">
        <x:v>L106</x:v>
      </x:c>
      <x:c r="E87" s="8" t="str">
        <x:v>DB1</x:v>
      </x:c>
      <x:c r="F87" s="8" t="str">
        <x:v>L3</x:v>
      </x:c>
      <x:c r="G87" s="8" t="str">
        <x:v>light</x:v>
      </x:c>
      <x:c r="H87" s="8" t="str">
        <x:v>drop</x:v>
      </x:c>
      <x:c r="I87" s="11" t="n">
        <x:f>SUMIF('Route Points'!$A$7:$A$2910,A87,'Route Points'!$F$7:$F$2910)</x:f>
        <x:v>9.554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Back-wall band to service space behind chamber lining; local termination behind the fitting / cornice. Removable lining and cable-entry detail pending.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trunk:LC1:L3:light:-1</x:v>
      </x:c>
    </x:row>
    <x:row r="88" ht="90" customHeight="1">
      <x:c r="A88" s="8" t="str">
        <x:v>drop:LC1:L3:light:-1:L107</x:v>
      </x:c>
      <x:c r="B88" s="8" t="str">
        <x:v>L3 → Reredos wash · B</x:v>
      </x:c>
      <x:c r="C88" s="8" t="str">
        <x:v>LC1</x:v>
      </x:c>
      <x:c r="D88" s="8" t="str">
        <x:v>L107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Points'!$A$7:$A$2910,A88,'Route Points'!$F$7:$F$2910)</x:f>
        <x:v>9.204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Back-wall band to service space behind chamber lining; local termination behind the fitting / cornice. Removable lining and cable-entry detail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drop:LC1:L3:light:-1:L108</x:v>
      </x:c>
      <x:c r="B89" s="8" t="str">
        <x:v>L3 → Reredos base wash · B</x:v>
      </x:c>
      <x:c r="C89" s="8" t="str">
        <x:v>LC1</x:v>
      </x:c>
      <x:c r="D89" s="8" t="str">
        <x:v>L108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Points'!$A$7:$A$2910,A89,'Route Points'!$F$7:$F$2910)</x:f>
        <x:v>8.753999999999998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Back-wall band to service space behind chamber lining; local termination behind the fitting / cornice. Removable lining and cable-entry detail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drop:LC1:L3:light:-1:L109</x:v>
      </x:c>
      <x:c r="B90" s="8" t="str">
        <x:v>L3 → Sanctuary vault uplight · B</x:v>
      </x:c>
      <x:c r="C90" s="8" t="str">
        <x:v>LC1</x:v>
      </x:c>
      <x:c r="D90" s="8" t="str">
        <x:v>L109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Points'!$A$7:$A$2910,A90,'Route Points'!$F$7:$F$2910)</x:f>
        <x:v>10.073999999999998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Back-wall band to service space behind chamber lining; local termination behind the fitting / cornice. Removable lining and cable-entry detail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drop:LC1:L3:light:-1:L114</x:v>
      </x:c>
      <x:c r="B91" s="8" t="str">
        <x:v>L3 → Tabernacle accent</x:v>
      </x:c>
      <x:c r="C91" s="8" t="str">
        <x:v>LC1</x:v>
      </x:c>
      <x:c r="D91" s="8" t="str">
        <x:v>L114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Points'!$A$7:$A$2910,A91,'Route Points'!$F$7:$F$2910)</x:f>
        <x:v>8.304000000000002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Back-wall band to service space behind chamber lining; local termination behind the fitting / cornice. Removable lining and cable-entry detail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drop:LC1:L3:light:-1:L115</x:v>
      </x:c>
      <x:c r="B92" s="8" t="str">
        <x:v>L3 → Statue accent · B</x:v>
      </x:c>
      <x:c r="C92" s="8" t="str">
        <x:v>LC1</x:v>
      </x:c>
      <x:c r="D92" s="8" t="str">
        <x:v>L115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Points'!$A$7:$A$2910,A92,'Route Points'!$F$7:$F$2910)</x:f>
        <x:v>5.533399722920674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to a local roof fitting; roof entry / weatherproof termination pending.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drop:LC1:L3:light:-1:L116</x:v>
      </x:c>
      <x:c r="B93" s="8" t="str">
        <x:v>L3 → Shrine wash · B</x:v>
      </x:c>
      <x:c r="C93" s="8" t="str">
        <x:v>LC1</x:v>
      </x:c>
      <x:c r="D93" s="8" t="str">
        <x:v>L116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Points'!$A$7:$A$2910,A93,'Route Points'!$F$7:$F$2910)</x:f>
        <x:v>2.5912159741156904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Above lining to a local roof fitting; roof entry / weatherproof termination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drop:LC1:L3:light:-1:L151</x:v>
      </x:c>
      <x:c r="B94" s="8" t="str">
        <x:v>L3 → Service door lantern · B · front</x:v>
      </x:c>
      <x:c r="C94" s="8" t="str">
        <x:v>LC1</x:v>
      </x:c>
      <x:c r="D94" s="8" t="str">
        <x:v>L151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Points'!$A$7:$A$2910,A94,'Route Points'!$F$7:$F$2910)</x:f>
        <x:v>6.928000000000003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Rear-wall band and local termination; gable / weatherproof entry details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drop:LC1:L3:light:-1:L152</x:v>
      </x:c>
      <x:c r="B95" s="8" t="str">
        <x:v>L3 → Service door lantern · B · rear</x:v>
      </x:c>
      <x:c r="C95" s="8" t="str">
        <x:v>LC1</x:v>
      </x:c>
      <x:c r="D95" s="8" t="str">
        <x:v>L152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Points'!$A$7:$A$2910,A95,'Route Points'!$F$7:$F$2910)</x:f>
        <x:v>4.928000000000003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Rear-wall band and local termination; gable / weatherproof entry details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168" customHeight="1">
      <x:c r="A96" s="8" t="str">
        <x:v>trunk:LC1:L3:light:1</x:v>
      </x:c>
      <x:c r="B96" s="8" t="str">
        <x:v>L3 · H · circuit trunk</x:v>
      </x:c>
      <x:c r="C96" s="8" t="str">
        <x:v>LC1</x:v>
      </x:c>
      <x:c r="D96" s="8" t="str">
        <x:v>L99
L102
L103
L105
L110
L111
L112
L113
L117
L118
L153
L154</x:v>
      </x:c>
      <x:c r="E96" s="8" t="str">
        <x:v>DB1</x:v>
      </x:c>
      <x:c r="F96" s="8" t="str">
        <x:v>L3</x:v>
      </x:c>
      <x:c r="G96" s="8" t="str">
        <x:v>light</x:v>
      </x:c>
      <x:c r="H96" s="8" t="str">
        <x:v>trunk</x:v>
      </x:c>
      <x:c r="I96" s="11" t="n">
        <x:f>SUMIF('Route Points'!$A$7:$A$2910,A96,'Route Points'!$F$7:$F$2910)</x:f>
        <x:v>41.922130311179195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Wall bands above openings; concealed finish-matched soffit crossing over the 9–10 wing opening.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/>
    </x:row>
    <x:row r="97" ht="90" customHeight="1">
      <x:c r="A97" s="8" t="str">
        <x:v>drop:LC1:L3:light:1:L99</x:v>
      </x:c>
      <x:c r="B97" s="8" t="str">
        <x:v>L3 → Altar key light · H</x:v>
      </x:c>
      <x:c r="C97" s="8" t="str">
        <x:v>LC1</x:v>
      </x:c>
      <x:c r="D97" s="8" t="str">
        <x:v>L99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Points'!$A$7:$A$2910,A97,'Route Points'!$F$7:$F$2910)</x:f>
        <x:v>9.911418805696329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Above lining / beam tops, short covered joint and rear-face return to fitting. Roof access, rafter/tie interface and removable cover details pending; no timber drilling / notching.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trunk:LC1:L3:light:1</x:v>
      </x:c>
    </x:row>
    <x:row r="98" ht="90" customHeight="1">
      <x:c r="A98" s="8" t="str">
        <x:v>drop:LC1:L3:light:1:L102</x:v>
      </x:c>
      <x:c r="B98" s="8" t="str">
        <x:v>L3 → Sanctuary step fill · H</x:v>
      </x:c>
      <x:c r="C98" s="8" t="str">
        <x:v>LC1</x:v>
      </x:c>
      <x:c r="D98" s="8" t="str">
        <x:v>L102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Points'!$A$7:$A$2910,A98,'Route Points'!$F$7:$F$2910)</x:f>
        <x:v>9.411418805696329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/ beam tops, short covered joint and rear-face return to fitting. Roof access, rafter/tie interface and removable cover details pending; no timber drilling / notching.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trunk:LC1:L3:light:1</x:v>
      </x:c>
    </x:row>
    <x:row r="99" ht="90" customHeight="1">
      <x:c r="A99" s="8" t="str">
        <x:v>drop:LC1:L3:light:1:L103</x:v>
      </x:c>
      <x:c r="B99" s="8" t="str">
        <x:v>L3 → Presider chair light</x:v>
      </x:c>
      <x:c r="C99" s="8" t="str">
        <x:v>LC1</x:v>
      </x:c>
      <x:c r="D99" s="8" t="str">
        <x:v>L103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Points'!$A$7:$A$2910,A99,'Route Points'!$F$7:$F$2910)</x:f>
        <x:v>8.311418805696329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/ beam tops, short covered joint and rear-face return to fitting. Roof access, rafter/tie interface and removable cover details pending; no timber drilling / notching.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trunk:LC1:L3:light:1</x:v>
      </x:c>
    </x:row>
    <x:row r="100" ht="90" customHeight="1">
      <x:c r="A100" s="8" t="str">
        <x:v>drop:LC1:L3:light:1:L105</x:v>
      </x:c>
      <x:c r="B100" s="8" t="str">
        <x:v>L3 → Sanctuary frame wash · H</x:v>
      </x:c>
      <x:c r="C100" s="8" t="str">
        <x:v>LC1</x:v>
      </x:c>
      <x:c r="D100" s="8" t="str">
        <x:v>L105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Points'!$A$7:$A$2910,A100,'Route Points'!$F$7:$F$2910)</x:f>
        <x:v>10.71141880569633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Above lining / beam tops, short covered joint and rear-face return to fitting. Roof access, rafter/tie interface and removable cover details pending; no timber drilling / notching.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trunk:LC1:L3:light:1</x:v>
      </x:c>
    </x:row>
    <x:row r="101" ht="90" customHeight="1">
      <x:c r="A101" s="8" t="str">
        <x:v>drop:LC1:L3:light:1:L110</x:v>
      </x:c>
      <x:c r="B101" s="8" t="str">
        <x:v>L3 → Crucifix accent · H</x:v>
      </x:c>
      <x:c r="C101" s="8" t="str">
        <x:v>LC1</x:v>
      </x:c>
      <x:c r="D101" s="8" t="str">
        <x:v>L110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Points'!$A$7:$A$2910,A101,'Route Points'!$F$7:$F$2910)</x:f>
        <x:v>9.554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Back-wall band to service space behind chamber lining; local termination behind the fitting / cornice. Removable lining and cable-entry detail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trunk:LC1:L3:light:1</x:v>
      </x:c>
    </x:row>
    <x:row r="102" ht="90" customHeight="1">
      <x:c r="A102" s="8" t="str">
        <x:v>drop:LC1:L3:light:1:L111</x:v>
      </x:c>
      <x:c r="B102" s="8" t="str">
        <x:v>L3 → Reredos wash · H</x:v>
      </x:c>
      <x:c r="C102" s="8" t="str">
        <x:v>LC1</x:v>
      </x:c>
      <x:c r="D102" s="8" t="str">
        <x:v>L111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drop</x:v>
      </x:c>
      <x:c r="I102" s="11" t="n">
        <x:f>SUMIF('Route Points'!$A$7:$A$2910,A102,'Route Points'!$F$7:$F$2910)</x:f>
        <x:v>9.204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Back-wall band to service space behind chamber lining; local termination behind the fitting / cornice. Removable lining and cable-entry detail pending.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trunk:LC1:L3:light:1</x:v>
      </x:c>
    </x:row>
    <x:row r="103" ht="90" customHeight="1">
      <x:c r="A103" s="8" t="str">
        <x:v>drop:LC1:L3:light:1:L112</x:v>
      </x:c>
      <x:c r="B103" s="8" t="str">
        <x:v>L3 → Reredos base wash · H</x:v>
      </x:c>
      <x:c r="C103" s="8" t="str">
        <x:v>LC1</x:v>
      </x:c>
      <x:c r="D103" s="8" t="str">
        <x:v>L112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Points'!$A$7:$A$2910,A103,'Route Points'!$F$7:$F$2910)</x:f>
        <x:v>8.753999999999998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Back-wall band to service space behind chamber lining; local termination behind the fitting / cornice. Removable lining and cable-entry detail pending.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drop:LC1:L3:light:1:L113</x:v>
      </x:c>
      <x:c r="B104" s="8" t="str">
        <x:v>L3 → Sanctuary vault uplight · H</x:v>
      </x:c>
      <x:c r="C104" s="8" t="str">
        <x:v>LC1</x:v>
      </x:c>
      <x:c r="D104" s="8" t="str">
        <x:v>L113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Points'!$A$7:$A$2910,A104,'Route Points'!$F$7:$F$2910)</x:f>
        <x:v>10.073999999999998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Back-wall band to service space behind chamber lining; local termination behind the fitting / cornice. Removable lining and cable-entry detail pending.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drop:LC1:L3:light:1:L117</x:v>
      </x:c>
      <x:c r="B105" s="8" t="str">
        <x:v>L3 → Statue accent · H</x:v>
      </x:c>
      <x:c r="C105" s="8" t="str">
        <x:v>LC1</x:v>
      </x:c>
      <x:c r="D105" s="8" t="str">
        <x:v>L117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Points'!$A$7:$A$2910,A105,'Route Points'!$F$7:$F$2910)</x:f>
        <x:v>5.533399722920674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to a local roof fitting; roof entry / weatherproof termination pending.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drop:LC1:L3:light:1:L118</x:v>
      </x:c>
      <x:c r="B106" s="8" t="str">
        <x:v>L3 → Shrine wash · H</x:v>
      </x:c>
      <x:c r="C106" s="8" t="str">
        <x:v>LC1</x:v>
      </x:c>
      <x:c r="D106" s="8" t="str">
        <x:v>L118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Points'!$A$7:$A$2910,A106,'Route Points'!$F$7:$F$2910)</x:f>
        <x:v>2.5912159741156904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to a local roof fitting; roof entry / weatherproof termination pending.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drop:LC1:L3:light:1:L153</x:v>
      </x:c>
      <x:c r="B107" s="8" t="str">
        <x:v>L3 → Service door lantern · H · front</x:v>
      </x:c>
      <x:c r="C107" s="8" t="str">
        <x:v>LC1</x:v>
      </x:c>
      <x:c r="D107" s="8" t="str">
        <x:v>L153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Points'!$A$7:$A$2910,A107,'Route Points'!$F$7:$F$2910)</x:f>
        <x:v>6.928000000000003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Rear-wall band and local termination; gable / weatherproof entry details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drop:LC1:L3:light:1:L154</x:v>
      </x:c>
      <x:c r="B108" s="8" t="str">
        <x:v>L3 → Service door lantern · H · rear</x:v>
      </x:c>
      <x:c r="C108" s="8" t="str">
        <x:v>LC1</x:v>
      </x:c>
      <x:c r="D108" s="8" t="str">
        <x:v>L154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Points'!$A$7:$A$2910,A108,'Route Points'!$F$7:$F$2910)</x:f>
        <x:v>4.928000000000003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Rear-wall band and local termination; gable / weatherproof entry details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363" customHeight="1">
      <x:c r="A109" s="8" t="str">
        <x:v>trunk:LC1:L4:light:-1</x:v>
      </x:c>
      <x:c r="B109" s="8" t="str">
        <x:v>L4 · B · circuit trunk</x:v>
      </x:c>
      <x:c r="C109" s="8" t="str">
        <x:v>LC1</x:v>
      </x:c>
      <x:c r="D109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09" s="8" t="str">
        <x:v>DB1</x:v>
      </x:c>
      <x:c r="F109" s="8" t="str">
        <x:v>L4</x:v>
      </x:c>
      <x:c r="G109" s="8" t="str">
        <x:v>light</x:v>
      </x:c>
      <x:c r="H109" s="8" t="str">
        <x:v>trunk</x:v>
      </x:c>
      <x:c r="I109" s="11" t="n">
        <x:f>SUMIF('Route Points'!$A$7:$A$2910,A109,'Route Points'!$F$7:$F$2910)</x:f>
        <x:v>66.7391303111792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drop:LC1:L4:light:-1:L119</x:v>
      </x:c>
      <x:c r="B110" s="8" t="str">
        <x:v>L4 → Porch path light · B · bay 2′–3</x:v>
      </x:c>
      <x:c r="C110" s="8" t="str">
        <x:v>LC1</x:v>
      </x:c>
      <x:c r="D110" s="8" t="str">
        <x:v>L119</x:v>
      </x:c>
      <x:c r="E110" s="8" t="str">
        <x:v>DB1</x:v>
      </x:c>
      <x:c r="F110" s="8" t="str">
        <x:v>L4</x:v>
      </x:c>
      <x:c r="G110" s="8" t="str">
        <x:v>light</x:v>
      </x:c>
      <x:c r="H110" s="8" t="str">
        <x:v>drop</x:v>
      </x:c>
      <x:c r="I110" s="11" t="n">
        <x:f>SUMIF('Route Points'!$A$7:$A$2910,A110,'Route Points'!$F$7:$F$2910)</x:f>
        <x:v>2.9339999999999997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solid-pier / wall drop and local termination.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trunk:LC1:L4:light:-1</x:v>
      </x:c>
    </x:row>
    <x:row r="111" ht="90" customHeight="1">
      <x:c r="A111" s="8" t="str">
        <x:v>drop:LC1:L4:light:-1:L120</x:v>
      </x:c>
      <x:c r="B111" s="8" t="str">
        <x:v>L4 → Porch path light · B · bay 3–4</x:v>
      </x:c>
      <x:c r="C111" s="8" t="str">
        <x:v>LC1</x:v>
      </x:c>
      <x:c r="D111" s="8" t="str">
        <x:v>L120</x:v>
      </x:c>
      <x:c r="E111" s="8" t="str">
        <x:v>DB1</x:v>
      </x:c>
      <x:c r="F111" s="8" t="str">
        <x:v>L4</x:v>
      </x:c>
      <x:c r="G111" s="8" t="str">
        <x:v>light</x:v>
      </x:c>
      <x:c r="H111" s="8" t="str">
        <x:v>drop</x:v>
      </x:c>
      <x:c r="I111" s="11" t="n">
        <x:f>SUMIF('Route Points'!$A$7:$A$2910,A111,'Route Points'!$F$7:$F$2910)</x:f>
        <x:v>2.9339999999999997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trunk:LC1:L4:light:-1</x:v>
      </x:c>
    </x:row>
    <x:row r="112" ht="90" customHeight="1">
      <x:c r="A112" s="8" t="str">
        <x:v>drop:LC1:L4:light:-1:L121</x:v>
      </x:c>
      <x:c r="B112" s="8" t="str">
        <x:v>L4 → Porch path light · B · bay 4–5</x:v>
      </x:c>
      <x:c r="C112" s="8" t="str">
        <x:v>LC1</x:v>
      </x:c>
      <x:c r="D112" s="8" t="str">
        <x:v>L121</x:v>
      </x:c>
      <x:c r="E112" s="8" t="str">
        <x:v>DB1</x:v>
      </x:c>
      <x:c r="F112" s="8" t="str">
        <x:v>L4</x:v>
      </x:c>
      <x:c r="G112" s="8" t="str">
        <x:v>light</x:v>
      </x:c>
      <x:c r="H112" s="8" t="str">
        <x:v>drop</x:v>
      </x:c>
      <x:c r="I112" s="11" t="n">
        <x:f>SUMIF('Route Points'!$A$7:$A$2910,A112,'Route Points'!$F$7:$F$2910)</x:f>
        <x:v>2.9339999999999997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trunk:LC1:L4:light:-1</x:v>
      </x:c>
    </x:row>
    <x:row r="113" ht="90" customHeight="1">
      <x:c r="A113" s="8" t="str">
        <x:v>drop:LC1:L4:light:-1:L122</x:v>
      </x:c>
      <x:c r="B113" s="8" t="str">
        <x:v>L4 → Porch path light · B · bay 5–6</x:v>
      </x:c>
      <x:c r="C113" s="8" t="str">
        <x:v>LC1</x:v>
      </x:c>
      <x:c r="D113" s="8" t="str">
        <x:v>L122</x:v>
      </x:c>
      <x:c r="E113" s="8" t="str">
        <x:v>DB1</x:v>
      </x:c>
      <x:c r="F113" s="8" t="str">
        <x:v>L4</x:v>
      </x:c>
      <x:c r="G113" s="8" t="str">
        <x:v>light</x:v>
      </x:c>
      <x:c r="H113" s="8" t="str">
        <x:v>drop</x:v>
      </x:c>
      <x:c r="I113" s="11" t="n">
        <x:f>SUMIF('Route Points'!$A$7:$A$2910,A113,'Route Points'!$F$7:$F$2910)</x:f>
        <x:v>2.9339999999999997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trunk:LC1:L4:light:-1</x:v>
      </x:c>
    </x:row>
    <x:row r="114" ht="90" customHeight="1">
      <x:c r="A114" s="8" t="str">
        <x:v>drop:LC1:L4:light:-1:L123</x:v>
      </x:c>
      <x:c r="B114" s="8" t="str">
        <x:v>L4 → Porch path light · B · bay 6–7</x:v>
      </x:c>
      <x:c r="C114" s="8" t="str">
        <x:v>LC1</x:v>
      </x:c>
      <x:c r="D114" s="8" t="str">
        <x:v>L123</x:v>
      </x:c>
      <x:c r="E114" s="8" t="str">
        <x:v>DB1</x:v>
      </x:c>
      <x:c r="F114" s="8" t="str">
        <x:v>L4</x:v>
      </x:c>
      <x:c r="G114" s="8" t="str">
        <x:v>light</x:v>
      </x:c>
      <x:c r="H114" s="8" t="str">
        <x:v>drop</x:v>
      </x:c>
      <x:c r="I114" s="11" t="n">
        <x:f>SUMIF('Route Points'!$A$7:$A$2910,A114,'Route Points'!$F$7:$F$2910)</x:f>
        <x:v>2.9339999999999997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trunk:LC1:L4:light:-1</x:v>
      </x:c>
    </x:row>
    <x:row r="115" ht="90" customHeight="1">
      <x:c r="A115" s="8" t="str">
        <x:v>drop:LC1:L4:light:-1:L124</x:v>
      </x:c>
      <x:c r="B115" s="8" t="str">
        <x:v>L4 → Porch path light · B · bay 7–8</x:v>
      </x:c>
      <x:c r="C115" s="8" t="str">
        <x:v>LC1</x:v>
      </x:c>
      <x:c r="D115" s="8" t="str">
        <x:v>L124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drop</x:v>
      </x:c>
      <x:c r="I115" s="11" t="n">
        <x:f>SUMIF('Route Points'!$A$7:$A$2910,A115,'Route Points'!$F$7:$F$2910)</x:f>
        <x:v>2.9339999999999997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trunk:LC1:L4:light:-1</x:v>
      </x:c>
    </x:row>
    <x:row r="116" ht="90" customHeight="1">
      <x:c r="A116" s="8" t="str">
        <x:v>drop:LC1:L4:light:-1:L125</x:v>
      </x:c>
      <x:c r="B116" s="8" t="str">
        <x:v>L4 → Porch path light · B · bay 8–9</x:v>
      </x:c>
      <x:c r="C116" s="8" t="str">
        <x:v>LC1</x:v>
      </x:c>
      <x:c r="D116" s="8" t="str">
        <x:v>L125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Points'!$A$7:$A$2910,A116,'Route Points'!$F$7:$F$2910)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drop:LC1:L4:light:-1:L126</x:v>
      </x:c>
      <x:c r="B117" s="8" t="str">
        <x:v>L4 → Porch path light · B · bay 10–11</x:v>
      </x:c>
      <x:c r="C117" s="8" t="str">
        <x:v>LC1</x:v>
      </x:c>
      <x:c r="D117" s="8" t="str">
        <x:v>L126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Points'!$A$7:$A$2910,A117,'Route Points'!$F$7:$F$2910)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drop:LC1:L4:light:-1:L127</x:v>
      </x:c>
      <x:c r="B118" s="8" t="str">
        <x:v>L4 → Porch path light · B · bay 11–12</x:v>
      </x:c>
      <x:c r="C118" s="8" t="str">
        <x:v>LC1</x:v>
      </x:c>
      <x:c r="D118" s="8" t="str">
        <x:v>L127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Points'!$A$7:$A$2910,A118,'Route Points'!$F$7:$F$2910)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drop:LC1:L4:light:-1:L-ARCH-B-2P-3-A</x:v>
      </x:c>
      <x:c r="B119" s="8" t="str">
        <x:v>L4 → Porch arch wash · B · bay 2′–3 · A</x:v>
      </x:c>
      <x:c r="C119" s="8" t="str">
        <x:v>LC1</x:v>
      </x:c>
      <x:c r="D119" s="8" t="str">
        <x:v>L-ARCH-B-2P-3-A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Points'!$A$7:$A$2910,A119,'Route Points'!$F$7:$F$2910)</x:f>
        <x:v>8.208172388861076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Covered roof-soffit crossing into outer arcade / wing-gable wall, then concealed pier drop. No exposed crossing at equipment height.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drop:LC1:L4:light:-1:L-ARCH-B-2P-3-B</x:v>
      </x:c>
      <x:c r="B120" s="8" t="str">
        <x:v>L4 → Porch arch wash · B · bay 2′–3 · B</x:v>
      </x:c>
      <x:c r="C120" s="8" t="str">
        <x:v>LC1</x:v>
      </x:c>
      <x:c r="D120" s="8" t="str">
        <x:v>L-ARCH-B-2P-3-B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Points'!$A$7:$A$2910,A120,'Route Points'!$F$7:$F$2910)</x:f>
        <x:v>8.208172388861076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Covered roof-soffit crossing into outer arcade / wing-gable wall, then concealed pier drop. No exposed crossing at equipment height.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drop:LC1:L4:light:-1:L-ARCH-B-3-4-A</x:v>
      </x:c>
      <x:c r="B121" s="8" t="str">
        <x:v>L4 → Porch arch wash · B · bay 3–4 · A</x:v>
      </x:c>
      <x:c r="C121" s="8" t="str">
        <x:v>LC1</x:v>
      </x:c>
      <x:c r="D121" s="8" t="str">
        <x:v>L-ARCH-B-3-4-A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Points'!$A$7:$A$2910,A121,'Route Points'!$F$7:$F$2910)</x:f>
        <x:v>8.208172388861076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Covered roof-soffit crossing into outer arcade / wing-gable wall, then concealed pier drop. No exposed crossing at equipment height.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drop:LC1:L4:light:-1:L-ARCH-B-3-4-B</x:v>
      </x:c>
      <x:c r="B122" s="8" t="str">
        <x:v>L4 → Porch arch wash · B · bay 3–4 · B</x:v>
      </x:c>
      <x:c r="C122" s="8" t="str">
        <x:v>LC1</x:v>
      </x:c>
      <x:c r="D122" s="8" t="str">
        <x:v>L-ARCH-B-3-4-B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Points'!$A$7:$A$2910,A122,'Route Points'!$F$7:$F$2910)</x:f>
        <x:v>8.208172388861076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Covered roof-soffit crossing into outer arcade / wing-gable wall, then concealed pier drop. No exposed crossing at equipment height.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drop:LC1:L4:light:-1:L-ARCH-B-4-5-A</x:v>
      </x:c>
      <x:c r="B123" s="8" t="str">
        <x:v>L4 → Porch arch wash · B · bay 4–5 · A</x:v>
      </x:c>
      <x:c r="C123" s="8" t="str">
        <x:v>LC1</x:v>
      </x:c>
      <x:c r="D123" s="8" t="str">
        <x:v>L-ARCH-B-4-5-A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Points'!$A$7:$A$2910,A123,'Route Points'!$F$7:$F$2910)</x:f>
        <x:v>8.208172388861076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Covered roof-soffit crossing into outer arcade / wing-gable wall, then concealed pier drop. No exposed crossing at equipment height.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drop:LC1:L4:light:-1:L-ARCH-B-4-5-B</x:v>
      </x:c>
      <x:c r="B124" s="8" t="str">
        <x:v>L4 → Porch arch wash · B · bay 4–5 · B</x:v>
      </x:c>
      <x:c r="C124" s="8" t="str">
        <x:v>LC1</x:v>
      </x:c>
      <x:c r="D124" s="8" t="str">
        <x:v>L-ARCH-B-4-5-B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Points'!$A$7:$A$2910,A124,'Route Points'!$F$7:$F$2910)</x:f>
        <x:v>8.208172388861076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Covered roof-soffit crossing into outer arcade / wing-gable wall, then concealed pier drop. No exposed crossing at equipment height.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drop:LC1:L4:light:-1:L-ARCH-B-5-6-A</x:v>
      </x:c>
      <x:c r="B125" s="8" t="str">
        <x:v>L4 → Porch arch wash · B · bay 5–6 · A</x:v>
      </x:c>
      <x:c r="C125" s="8" t="str">
        <x:v>LC1</x:v>
      </x:c>
      <x:c r="D125" s="8" t="str">
        <x:v>L-ARCH-B-5-6-A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Points'!$A$7:$A$2910,A125,'Route Points'!$F$7:$F$2910)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drop:LC1:L4:light:-1:L-ARCH-B-5-6-B</x:v>
      </x:c>
      <x:c r="B126" s="8" t="str">
        <x:v>L4 → Porch arch wash · B · bay 5–6 · B</x:v>
      </x:c>
      <x:c r="C126" s="8" t="str">
        <x:v>LC1</x:v>
      </x:c>
      <x:c r="D126" s="8" t="str">
        <x:v>L-ARCH-B-5-6-B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Points'!$A$7:$A$2910,A126,'Route Points'!$F$7:$F$2910)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drop:LC1:L4:light:-1:L-ARCH-B-6-7-A</x:v>
      </x:c>
      <x:c r="B127" s="8" t="str">
        <x:v>L4 → Porch arch wash · B · bay 6–7 · A</x:v>
      </x:c>
      <x:c r="C127" s="8" t="str">
        <x:v>LC1</x:v>
      </x:c>
      <x:c r="D127" s="8" t="str">
        <x:v>L-ARCH-B-6-7-A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Points'!$A$7:$A$2910,A127,'Route Points'!$F$7:$F$2910)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drop:LC1:L4:light:-1:L-ARCH-B-6-7-B</x:v>
      </x:c>
      <x:c r="B128" s="8" t="str">
        <x:v>L4 → Porch arch wash · B · bay 6–7 · B</x:v>
      </x:c>
      <x:c r="C128" s="8" t="str">
        <x:v>LC1</x:v>
      </x:c>
      <x:c r="D128" s="8" t="str">
        <x:v>L-ARCH-B-6-7-B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Points'!$A$7:$A$2910,A128,'Route Points'!$F$7:$F$2910)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drop:LC1:L4:light:-1:L-ARCH-B-7-8-A</x:v>
      </x:c>
      <x:c r="B129" s="8" t="str">
        <x:v>L4 → Porch arch wash · B · bay 7–8 · A</x:v>
      </x:c>
      <x:c r="C129" s="8" t="str">
        <x:v>LC1</x:v>
      </x:c>
      <x:c r="D129" s="8" t="str">
        <x:v>L-ARCH-B-7-8-A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Points'!$A$7:$A$2910,A129,'Route Points'!$F$7:$F$2910)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drop:LC1:L4:light:-1:L-ARCH-B-7-8-B</x:v>
      </x:c>
      <x:c r="B130" s="8" t="str">
        <x:v>L4 → Porch arch wash · B · bay 7–8 · B</x:v>
      </x:c>
      <x:c r="C130" s="8" t="str">
        <x:v>LC1</x:v>
      </x:c>
      <x:c r="D130" s="8" t="str">
        <x:v>L-ARCH-B-7-8-B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Points'!$A$7:$A$2910,A130,'Route Points'!$F$7:$F$2910)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drop:LC1:L4:light:-1:L-ARCH-B-8-9-A</x:v>
      </x:c>
      <x:c r="B131" s="8" t="str">
        <x:v>L4 → Porch arch wash · B · bay 8–9 · A</x:v>
      </x:c>
      <x:c r="C131" s="8" t="str">
        <x:v>LC1</x:v>
      </x:c>
      <x:c r="D131" s="8" t="str">
        <x:v>L-ARCH-B-8-9-A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Points'!$A$7:$A$2910,A131,'Route Points'!$F$7:$F$2910)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drop:LC1:L4:light:-1:L-ARCH-B-8-9-B</x:v>
      </x:c>
      <x:c r="B132" s="8" t="str">
        <x:v>L4 → Porch arch wash · B · bay 8–9 · B</x:v>
      </x:c>
      <x:c r="C132" s="8" t="str">
        <x:v>LC1</x:v>
      </x:c>
      <x:c r="D132" s="8" t="str">
        <x:v>L-ARCH-B-8-9-B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Points'!$A$7:$A$2910,A132,'Route Points'!$F$7:$F$2910)</x:f>
        <x:v>8.242749921577047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drop:LC1:L4:light:-1:L-ARCH-B-10-11-A</x:v>
      </x:c>
      <x:c r="B133" s="8" t="str">
        <x:v>L4 → Porch arch wash · B · bay 10–11 · A</x:v>
      </x:c>
      <x:c r="C133" s="8" t="str">
        <x:v>LC1</x:v>
      </x:c>
      <x:c r="D133" s="8" t="str">
        <x:v>L-ARCH-B-10-11-A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Points'!$A$7:$A$2910,A133,'Route Points'!$F$7:$F$2910)</x:f>
        <x:v>8.242749921577053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drop:LC1:L4:light:-1:L-ARCH-B-10-11-B</x:v>
      </x:c>
      <x:c r="B134" s="8" t="str">
        <x:v>L4 → Porch arch wash · B · bay 10–11 · B</x:v>
      </x:c>
      <x:c r="C134" s="8" t="str">
        <x:v>LC1</x:v>
      </x:c>
      <x:c r="D134" s="8" t="str">
        <x:v>L-ARCH-B-10-11-B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Points'!$A$7:$A$2910,A134,'Route Points'!$F$7:$F$2910)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drop:LC1:L4:light:-1:L-ARCH-B-11-12-A</x:v>
      </x:c>
      <x:c r="B135" s="8" t="str">
        <x:v>L4 → Porch arch wash · B · bay 11–12 · A</x:v>
      </x:c>
      <x:c r="C135" s="8" t="str">
        <x:v>LC1</x:v>
      </x:c>
      <x:c r="D135" s="8" t="str">
        <x:v>L-ARCH-B-11-12-A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Points'!$A$7:$A$2910,A135,'Route Points'!$F$7:$F$2910)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drop:LC1:L4:light:-1:L-ARCH-B-11-12-B</x:v>
      </x:c>
      <x:c r="B136" s="8" t="str">
        <x:v>L4 → Porch arch wash · B · bay 11–12 · B</x:v>
      </x:c>
      <x:c r="C136" s="8" t="str">
        <x:v>LC1</x:v>
      </x:c>
      <x:c r="D136" s="8" t="str">
        <x:v>L-ARCH-B-11-12-B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Points'!$A$7:$A$2910,A136,'Route Points'!$F$7:$F$2910)</x:f>
        <x:v>6.768000000000006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Rear-wall band and local termination; gable / weatherproof entry details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363" customHeight="1">
      <x:c r="A137" s="8" t="str">
        <x:v>trunk:LC1:L4:light:1</x:v>
      </x:c>
      <x:c r="B137" s="8" t="str">
        <x:v>L4 · H · circuit trunk</x:v>
      </x:c>
      <x:c r="C137" s="8" t="str">
        <x:v>LC1</x:v>
      </x:c>
      <x:c r="D137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trunk</x:v>
      </x:c>
      <x:c r="I137" s="11" t="n">
        <x:f>SUMIF('Route Points'!$A$7:$A$2910,A137,'Route Points'!$F$7:$F$2910)</x:f>
        <x:v>73.33913031117919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Wall bands above openings; concealed finish-matched soffit crossing over the 9–10 wing opening.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/>
    </x:row>
    <x:row r="138" ht="90" customHeight="1">
      <x:c r="A138" s="8" t="str">
        <x:v>drop:LC1:L4:light:1:L128</x:v>
      </x:c>
      <x:c r="B138" s="8" t="str">
        <x:v>L4 → Porch path light · H · bay 2′–3</x:v>
      </x:c>
      <x:c r="C138" s="8" t="str">
        <x:v>LC1</x:v>
      </x:c>
      <x:c r="D138" s="8" t="str">
        <x:v>L128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Points'!$A$7:$A$2910,A138,'Route Points'!$F$7:$F$2910)</x:f>
        <x:v>2.9339999999999997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Concealed solid-pier / wall drop and local termination.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trunk:LC1:L4:light:1</x:v>
      </x:c>
    </x:row>
    <x:row r="139" ht="90" customHeight="1">
      <x:c r="A139" s="8" t="str">
        <x:v>drop:LC1:L4:light:1:L129</x:v>
      </x:c>
      <x:c r="B139" s="8" t="str">
        <x:v>L4 → Porch path light · H · bay 3–4</x:v>
      </x:c>
      <x:c r="C139" s="8" t="str">
        <x:v>LC1</x:v>
      </x:c>
      <x:c r="D139" s="8" t="str">
        <x:v>L129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Points'!$A$7:$A$2910,A139,'Route Points'!$F$7:$F$2910)</x:f>
        <x:v>2.9339999999999997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Concealed solid-pier / wall drop and local termination.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trunk:LC1:L4:light:1</x:v>
      </x:c>
    </x:row>
    <x:row r="140" ht="90" customHeight="1">
      <x:c r="A140" s="8" t="str">
        <x:v>drop:LC1:L4:light:1:L130</x:v>
      </x:c>
      <x:c r="B140" s="8" t="str">
        <x:v>L4 → Porch path light · H · bay 4–5</x:v>
      </x:c>
      <x:c r="C140" s="8" t="str">
        <x:v>LC1</x:v>
      </x:c>
      <x:c r="D140" s="8" t="str">
        <x:v>L130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Points'!$A$7:$A$2910,A140,'Route Points'!$F$7:$F$2910)</x:f>
        <x:v>2.9339999999999997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Concealed solid-pier / wall drop and local termination.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trunk:LC1:L4:light:1</x:v>
      </x:c>
    </x:row>
    <x:row r="141" ht="90" customHeight="1">
      <x:c r="A141" s="8" t="str">
        <x:v>drop:LC1:L4:light:1:L131</x:v>
      </x:c>
      <x:c r="B141" s="8" t="str">
        <x:v>L4 → Porch path light · H · bay 5–6</x:v>
      </x:c>
      <x:c r="C141" s="8" t="str">
        <x:v>LC1</x:v>
      </x:c>
      <x:c r="D141" s="8" t="str">
        <x:v>L131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Points'!$A$7:$A$2910,A141,'Route Points'!$F$7:$F$2910)</x:f>
        <x:v>2.9339999999999997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Concealed solid-pier / wall drop and local termination.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trunk:LC1:L4:light:1</x:v>
      </x:c>
    </x:row>
    <x:row r="142" ht="90" customHeight="1">
      <x:c r="A142" s="8" t="str">
        <x:v>drop:LC1:L4:light:1:L132</x:v>
      </x:c>
      <x:c r="B142" s="8" t="str">
        <x:v>L4 → Porch path light · H · bay 6–7</x:v>
      </x:c>
      <x:c r="C142" s="8" t="str">
        <x:v>LC1</x:v>
      </x:c>
      <x:c r="D142" s="8" t="str">
        <x:v>L132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Points'!$A$7:$A$2910,A142,'Route Points'!$F$7:$F$2910)</x:f>
        <x:v>2.9339999999999997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Concealed solid-pier / wall drop and local termination.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trunk:LC1:L4:light:1</x:v>
      </x:c>
    </x:row>
    <x:row r="143" ht="90" customHeight="1">
      <x:c r="A143" s="8" t="str">
        <x:v>drop:LC1:L4:light:1:L133</x:v>
      </x:c>
      <x:c r="B143" s="8" t="str">
        <x:v>L4 → Porch path light · H · bay 7–8</x:v>
      </x:c>
      <x:c r="C143" s="8" t="str">
        <x:v>LC1</x:v>
      </x:c>
      <x:c r="D143" s="8" t="str">
        <x:v>L133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Points'!$A$7:$A$2910,A143,'Route Points'!$F$7:$F$2910)</x:f>
        <x:v>2.9339999999999997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Concealed solid-pier / wall drop and local termination.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trunk:LC1:L4:light:1</x:v>
      </x:c>
    </x:row>
    <x:row r="144" ht="90" customHeight="1">
      <x:c r="A144" s="8" t="str">
        <x:v>drop:LC1:L4:light:1:L134</x:v>
      </x:c>
      <x:c r="B144" s="8" t="str">
        <x:v>L4 → Porch path light · H · bay 8–9</x:v>
      </x:c>
      <x:c r="C144" s="8" t="str">
        <x:v>LC1</x:v>
      </x:c>
      <x:c r="D144" s="8" t="str">
        <x:v>L134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Points'!$A$7:$A$2910,A144,'Route Points'!$F$7:$F$2910)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drop:LC1:L4:light:1:L135</x:v>
      </x:c>
      <x:c r="B145" s="8" t="str">
        <x:v>L4 → Porch path light · H · bay 10–11</x:v>
      </x:c>
      <x:c r="C145" s="8" t="str">
        <x:v>LC1</x:v>
      </x:c>
      <x:c r="D145" s="8" t="str">
        <x:v>L135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Points'!$A$7:$A$2910,A145,'Route Points'!$F$7:$F$2910)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drop:LC1:L4:light:1:L136</x:v>
      </x:c>
      <x:c r="B146" s="8" t="str">
        <x:v>L4 → Porch path light · H · bay 11–12</x:v>
      </x:c>
      <x:c r="C146" s="8" t="str">
        <x:v>LC1</x:v>
      </x:c>
      <x:c r="D146" s="8" t="str">
        <x:v>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Points'!$A$7:$A$2910,A146,'Route Points'!$F$7:$F$2910)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drop:LC1:L4:light:1:L-ARCH-H-2P-3-A</x:v>
      </x:c>
      <x:c r="B147" s="8" t="str">
        <x:v>L4 → Porch arch wash · H · bay 2′–3 · A</x:v>
      </x:c>
      <x:c r="C147" s="8" t="str">
        <x:v>LC1</x:v>
      </x:c>
      <x:c r="D147" s="8" t="str">
        <x:v>L-ARCH-H-2P-3-A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Points'!$A$7:$A$2910,A147,'Route Points'!$F$7:$F$2910)</x:f>
        <x:v>8.208172388861076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Covered roof-soffit crossing into outer arcade / wing-gable wall, then concealed pier drop. No exposed crossing at equipment height.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drop:LC1:L4:light:1:L-ARCH-H-2P-3-B</x:v>
      </x:c>
      <x:c r="B148" s="8" t="str">
        <x:v>L4 → Porch arch wash · H · bay 2′–3 · B</x:v>
      </x:c>
      <x:c r="C148" s="8" t="str">
        <x:v>LC1</x:v>
      </x:c>
      <x:c r="D148" s="8" t="str">
        <x:v>L-ARCH-H-2P-3-B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Points'!$A$7:$A$2910,A148,'Route Points'!$F$7:$F$2910)</x:f>
        <x:v>8.208172388861076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Covered roof-soffit crossing into outer arcade / wing-gable wall, then concealed pier drop. No exposed crossing at equipment height.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drop:LC1:L4:light:1:L-ARCH-H-3-4-A</x:v>
      </x:c>
      <x:c r="B149" s="8" t="str">
        <x:v>L4 → Porch arch wash · H · bay 3–4 · A</x:v>
      </x:c>
      <x:c r="C149" s="8" t="str">
        <x:v>LC1</x:v>
      </x:c>
      <x:c r="D149" s="8" t="str">
        <x:v>L-ARCH-H-3-4-A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Points'!$A$7:$A$2910,A149,'Route Points'!$F$7:$F$2910)</x:f>
        <x:v>8.208172388861076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Covered roof-soffit crossing into outer arcade / wing-gable wall, then concealed pier drop. No exposed crossing at equipment height.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drop:LC1:L4:light:1:L-ARCH-H-3-4-B</x:v>
      </x:c>
      <x:c r="B150" s="8" t="str">
        <x:v>L4 → Porch arch wash · H · bay 3–4 · B</x:v>
      </x:c>
      <x:c r="C150" s="8" t="str">
        <x:v>LC1</x:v>
      </x:c>
      <x:c r="D150" s="8" t="str">
        <x:v>L-ARCH-H-3-4-B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Points'!$A$7:$A$2910,A150,'Route Points'!$F$7:$F$2910)</x:f>
        <x:v>8.208172388861076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Covered roof-soffit crossing into outer arcade / wing-gable wall, then concealed pier drop. No exposed crossing at equipment height.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drop:LC1:L4:light:1:L-ARCH-H-4-5-A</x:v>
      </x:c>
      <x:c r="B151" s="8" t="str">
        <x:v>L4 → Porch arch wash · H · bay 4–5 · A</x:v>
      </x:c>
      <x:c r="C151" s="8" t="str">
        <x:v>LC1</x:v>
      </x:c>
      <x:c r="D151" s="8" t="str">
        <x:v>L-ARCH-H-4-5-A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Points'!$A$7:$A$2910,A151,'Route Points'!$F$7:$F$2910)</x:f>
        <x:v>8.208172388861076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Covered roof-soffit crossing into outer arcade / wing-gable wall, then concealed pier drop. No exposed crossing at equipment height.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drop:LC1:L4:light:1:L-ARCH-H-4-5-B</x:v>
      </x:c>
      <x:c r="B152" s="8" t="str">
        <x:v>L4 → Porch arch wash · H · bay 4–5 · B</x:v>
      </x:c>
      <x:c r="C152" s="8" t="str">
        <x:v>LC1</x:v>
      </x:c>
      <x:c r="D152" s="8" t="str">
        <x:v>L-ARCH-H-4-5-B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Points'!$A$7:$A$2910,A152,'Route Points'!$F$7:$F$2910)</x:f>
        <x:v>8.208172388861076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Covered roof-soffit crossing into outer arcade / wing-gable wall, then concealed pier drop. No exposed crossing at equipment height.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drop:LC1:L4:light:1:L-ARCH-H-5-6-A</x:v>
      </x:c>
      <x:c r="B153" s="8" t="str">
        <x:v>L4 → Porch arch wash · H · bay 5–6 · A</x:v>
      </x:c>
      <x:c r="C153" s="8" t="str">
        <x:v>LC1</x:v>
      </x:c>
      <x:c r="D153" s="8" t="str">
        <x:v>L-ARCH-H-5-6-A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Points'!$A$7:$A$2910,A153,'Route Points'!$F$7:$F$2910)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drop:LC1:L4:light:1:L-ARCH-H-5-6-B</x:v>
      </x:c>
      <x:c r="B154" s="8" t="str">
        <x:v>L4 → Porch arch wash · H · bay 5–6 · B</x:v>
      </x:c>
      <x:c r="C154" s="8" t="str">
        <x:v>LC1</x:v>
      </x:c>
      <x:c r="D154" s="8" t="str">
        <x:v>L-ARCH-H-5-6-B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Points'!$A$7:$A$2910,A154,'Route Points'!$F$7:$F$2910)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drop:LC1:L4:light:1:L-ARCH-H-6-7-A</x:v>
      </x:c>
      <x:c r="B155" s="8" t="str">
        <x:v>L4 → Porch arch wash · H · bay 6–7 · A</x:v>
      </x:c>
      <x:c r="C155" s="8" t="str">
        <x:v>LC1</x:v>
      </x:c>
      <x:c r="D155" s="8" t="str">
        <x:v>L-ARCH-H-6-7-A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Points'!$A$7:$A$2910,A155,'Route Points'!$F$7:$F$2910)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drop:LC1:L4:light:1:L-ARCH-H-6-7-B</x:v>
      </x:c>
      <x:c r="B156" s="8" t="str">
        <x:v>L4 → Porch arch wash · H · bay 6–7 · B</x:v>
      </x:c>
      <x:c r="C156" s="8" t="str">
        <x:v>LC1</x:v>
      </x:c>
      <x:c r="D156" s="8" t="str">
        <x:v>L-ARCH-H-6-7-B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Points'!$A$7:$A$2910,A156,'Route Points'!$F$7:$F$2910)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drop:LC1:L4:light:1:L-ARCH-H-7-8-A</x:v>
      </x:c>
      <x:c r="B157" s="8" t="str">
        <x:v>L4 → Porch arch wash · H · bay 7–8 · A</x:v>
      </x:c>
      <x:c r="C157" s="8" t="str">
        <x:v>LC1</x:v>
      </x:c>
      <x:c r="D157" s="8" t="str">
        <x:v>L-ARCH-H-7-8-A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Points'!$A$7:$A$2910,A157,'Route Points'!$F$7:$F$2910)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drop:LC1:L4:light:1:L-ARCH-H-7-8-B</x:v>
      </x:c>
      <x:c r="B158" s="8" t="str">
        <x:v>L4 → Porch arch wash · H · bay 7–8 · B</x:v>
      </x:c>
      <x:c r="C158" s="8" t="str">
        <x:v>LC1</x:v>
      </x:c>
      <x:c r="D158" s="8" t="str">
        <x:v>L-ARCH-H-7-8-B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Points'!$A$7:$A$2910,A158,'Route Points'!$F$7:$F$2910)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drop:LC1:L4:light:1:L-ARCH-H-8-9-A</x:v>
      </x:c>
      <x:c r="B159" s="8" t="str">
        <x:v>L4 → Porch arch wash · H · bay 8–9 · A</x:v>
      </x:c>
      <x:c r="C159" s="8" t="str">
        <x:v>LC1</x:v>
      </x:c>
      <x:c r="D159" s="8" t="str">
        <x:v>L-ARCH-H-8-9-A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Points'!$A$7:$A$2910,A159,'Route Points'!$F$7:$F$2910)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drop:LC1:L4:light:1:L-ARCH-H-8-9-B</x:v>
      </x:c>
      <x:c r="B160" s="8" t="str">
        <x:v>L4 → Porch arch wash · H · bay 8–9 · B</x:v>
      </x:c>
      <x:c r="C160" s="8" t="str">
        <x:v>LC1</x:v>
      </x:c>
      <x:c r="D160" s="8" t="str">
        <x:v>L-ARCH-H-8-9-B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Points'!$A$7:$A$2910,A160,'Route Points'!$F$7:$F$2910)</x:f>
        <x:v>8.242749921577047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drop:LC1:L4:light:1:L-ARCH-H-10-11-A</x:v>
      </x:c>
      <x:c r="B161" s="8" t="str">
        <x:v>L4 → Porch arch wash · H · bay 10–11 · A</x:v>
      </x:c>
      <x:c r="C161" s="8" t="str">
        <x:v>LC1</x:v>
      </x:c>
      <x:c r="D161" s="8" t="str">
        <x:v>L-ARCH-H-10-11-A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Points'!$A$7:$A$2910,A161,'Route Points'!$F$7:$F$2910)</x:f>
        <x:v>8.242749921577053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drop:LC1:L4:light:1:L-ARCH-H-10-11-B</x:v>
      </x:c>
      <x:c r="B162" s="8" t="str">
        <x:v>L4 → Porch arch wash · H · bay 10–11 · B</x:v>
      </x:c>
      <x:c r="C162" s="8" t="str">
        <x:v>LC1</x:v>
      </x:c>
      <x:c r="D162" s="8" t="str">
        <x:v>L-ARCH-H-10-11-B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Points'!$A$7:$A$2910,A162,'Route Points'!$F$7:$F$2910)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drop:LC1:L4:light:1:L-ARCH-H-11-12-A</x:v>
      </x:c>
      <x:c r="B163" s="8" t="str">
        <x:v>L4 → Porch arch wash · H · bay 11–12 · A</x:v>
      </x:c>
      <x:c r="C163" s="8" t="str">
        <x:v>LC1</x:v>
      </x:c>
      <x:c r="D163" s="8" t="str">
        <x:v>L-ARCH-H-11-12-A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Points'!$A$7:$A$2910,A163,'Route Points'!$F$7:$F$2910)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drop:LC1:L4:light:1:L-ARCH-H-11-12-B</x:v>
      </x:c>
      <x:c r="B164" s="8" t="str">
        <x:v>L4 → Porch arch wash · H · bay 11–12 · B</x:v>
      </x:c>
      <x:c r="C164" s="8" t="str">
        <x:v>LC1</x:v>
      </x:c>
      <x:c r="D164" s="8" t="str">
        <x:v>L-ARCH-H-11-12-B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Points'!$A$7:$A$2910,A164,'Route Points'!$F$7:$F$2910)</x:f>
        <x:v>6.768000000000006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Rear-wall band and local termination; gable / weatherproof entry details pending.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trunk:DB2:L9:light:-1</x:v>
      </x:c>
      <x:c r="B165" s="8" t="str">
        <x:v>L9 · B · circuit trunk</x:v>
      </x:c>
      <x:c r="C165" s="8" t="str">
        <x:v>DB2</x:v>
      </x:c>
      <x:c r="D165" s="8" t="str">
        <x:v>L137
L182
L183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trunk</x:v>
      </x:c>
      <x:c r="I165" s="11" t="n">
        <x:f>SUMIF('Route Points'!$A$7:$A$2910,A165,'Route Points'!$F$7:$F$2910)</x:f>
        <x:v>26.548000000000002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Wall bands above openings; concealed finish-matched soffit crossing over the 9–10 wing opening.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/>
    </x:row>
    <x:row r="166" ht="90" customHeight="1">
      <x:c r="A166" s="8" t="str">
        <x:v>drop:DB2:L9:light:-1:L137</x:v>
      </x:c>
      <x:c r="B166" s="8" t="str">
        <x:v>L9 → Central front door lantern · B</x:v>
      </x:c>
      <x:c r="C166" s="8" t="str">
        <x:v>DB2</x:v>
      </x:c>
      <x:c r="D166" s="8" t="str">
        <x:v>L137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Points'!$A$7:$A$2910,A166,'Route Points'!$F$7:$F$2910)</x:f>
        <x:v>11.538000000000002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entrance wall band, solid pier and local termination.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trunk:DB2:L9:light:-1</x:v>
      </x:c>
    </x:row>
    <x:row r="167" ht="90" customHeight="1">
      <x:c r="A167" s="8" t="str">
        <x:v>drop:DB2:L9:light:-1:L182</x:v>
      </x:c>
      <x:c r="B167" s="8" t="str">
        <x:v>L9 → Stage flood · tower B · outer</x:v>
      </x:c>
      <x:c r="C167" s="8" t="str">
        <x:v>DB2</x:v>
      </x:c>
      <x:c r="D167" s="8" t="str">
        <x:v>L182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Points'!$A$7:$A$2910,A167,'Route Points'!$F$7:$F$2910)</x:f>
        <x:v>10.780999999999999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Solid tower corner/piers, stepped behind cornices; local ledge/fitting connection. No riser through louver openings; chase/finish and weathering details pending.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trunk:DB2:L9:light:-1</x:v>
      </x:c>
    </x:row>
    <x:row r="168" ht="90" customHeight="1">
      <x:c r="A168" s="8" t="str">
        <x:v>drop:DB2:L9:light:-1:L183</x:v>
      </x:c>
      <x:c r="B168" s="8" t="str">
        <x:v>L9 → Stage flood · tower B · inner</x:v>
      </x:c>
      <x:c r="C168" s="8" t="str">
        <x:v>DB2</x:v>
      </x:c>
      <x:c r="D168" s="8" t="str">
        <x:v>L183</x:v>
      </x:c>
      <x:c r="E168" s="8" t="str">
        <x:v>DB2</x:v>
      </x:c>
      <x:c r="F168" s="8" t="str">
        <x:v>L9</x:v>
      </x:c>
      <x:c r="G168" s="8" t="str">
        <x:v>light</x:v>
      </x:c>
      <x:c r="H168" s="8" t="str">
        <x:v>drop</x:v>
      </x:c>
      <x:c r="I168" s="11" t="n">
        <x:f>SUMIF('Route Points'!$A$7:$A$2910,A168,'Route Points'!$F$7:$F$2910)</x:f>
        <x:v>6.361000000000001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Solid tower corner/piers, stepped behind cornices; local ledge/fitting connection. No riser through louver openings; chase/finish and weathering details pending.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trunk:DB2:L9:light:-1</x:v>
      </x:c>
    </x:row>
    <x:row r="169" ht="90" customHeight="1">
      <x:c r="A169" s="8" t="str">
        <x:v>trunk:DB2:L9:light:1</x:v>
      </x:c>
      <x:c r="B169" s="8" t="str">
        <x:v>L9 · H · circuit trunk</x:v>
      </x:c>
      <x:c r="C169" s="8" t="str">
        <x:v>DB2</x:v>
      </x:c>
      <x:c r="D169" s="8" t="str">
        <x:v>L138
L189
L190</x:v>
      </x:c>
      <x:c r="E169" s="8" t="str">
        <x:v>DB2</x:v>
      </x:c>
      <x:c r="F169" s="8" t="str">
        <x:v>L9</x:v>
      </x:c>
      <x:c r="G169" s="8" t="str">
        <x:v>light</x:v>
      </x:c>
      <x:c r="H169" s="8" t="str">
        <x:v>trunk</x:v>
      </x:c>
      <x:c r="I169" s="11" t="n">
        <x:f>SUMIF('Route Points'!$A$7:$A$2910,A169,'Route Points'!$F$7:$F$2910)</x:f>
        <x:v>11.828000000000003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Wall bands above openings; concealed finish-matched soffit crossing over the 9–10 wing opening.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/>
    </x:row>
    <x:row r="170" ht="90" customHeight="1">
      <x:c r="A170" s="8" t="str">
        <x:v>drop:DB2:L9:light:1:L138</x:v>
      </x:c>
      <x:c r="B170" s="8" t="str">
        <x:v>L9 → Central front door lantern · H</x:v>
      </x:c>
      <x:c r="C170" s="8" t="str">
        <x:v>DB2</x:v>
      </x:c>
      <x:c r="D170" s="8" t="str">
        <x:v>L138</x:v>
      </x:c>
      <x:c r="E170" s="8" t="str">
        <x:v>DB2</x:v>
      </x:c>
      <x:c r="F170" s="8" t="str">
        <x:v>L9</x:v>
      </x:c>
      <x:c r="G170" s="8" t="str">
        <x:v>light</x:v>
      </x:c>
      <x:c r="H170" s="8" t="str">
        <x:v>drop</x:v>
      </x:c>
      <x:c r="I170" s="11" t="n">
        <x:f>SUMIF('Route Points'!$A$7:$A$2910,A170,'Route Points'!$F$7:$F$2910)</x:f>
        <x:v>11.538000000000002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Concealed entrance wall band, solid pier and local termination.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trunk:DB2:L9:light:1</x:v>
      </x:c>
    </x:row>
    <x:row r="171" ht="90" customHeight="1">
      <x:c r="A171" s="8" t="str">
        <x:v>drop:DB2:L9:light:1:L189</x:v>
      </x:c>
      <x:c r="B171" s="8" t="str">
        <x:v>L9 → Stage flood · tower H · inner</x:v>
      </x:c>
      <x:c r="C171" s="8" t="str">
        <x:v>DB2</x:v>
      </x:c>
      <x:c r="D171" s="8" t="str">
        <x:v>L189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drop</x:v>
      </x:c>
      <x:c r="I171" s="11" t="n">
        <x:f>SUMIF('Route Points'!$A$7:$A$2910,A171,'Route Points'!$F$7:$F$2910)</x:f>
        <x:v>6.361000000000001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Solid tower corner/piers, stepped behind cornices; local ledge/fitting connection. No riser through louver openings; chase/finish and weathering details pending.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trunk:DB2:L9:light:1</x:v>
      </x:c>
    </x:row>
    <x:row r="172" ht="90" customHeight="1">
      <x:c r="A172" s="8" t="str">
        <x:v>drop:DB2:L9:light:1:L190</x:v>
      </x:c>
      <x:c r="B172" s="8" t="str">
        <x:v>L9 → Stage flood · tower H · outer</x:v>
      </x:c>
      <x:c r="C172" s="8" t="str">
        <x:v>DB2</x:v>
      </x:c>
      <x:c r="D172" s="8" t="str">
        <x:v>L190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Points'!$A$7:$A$2910,A172,'Route Points'!$F$7:$F$2910)</x:f>
        <x:v>10.780999999999999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Solid tower corner/piers, stepped behind cornices; local ledge/fitting connection. No riser through louver openings; chase/finish and weathering details pending.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trunk:DB2:L9:light:1</x:v>
      </x:c>
    </x:row>
    <x:row r="173" ht="129" customHeight="1">
      <x:c r="A173" s="8" t="str">
        <x:v>trunk:LC1:L5:light:-1</x:v>
      </x:c>
      <x:c r="B173" s="8" t="str">
        <x:v>L5 · B · circuit trunk</x:v>
      </x:c>
      <x:c r="C173" s="8" t="str">
        <x:v>LC1</x:v>
      </x:c>
      <x:c r="D173" s="8" t="str">
        <x:v>L139
L140
L141
L142
L184
L185
L186
L187
L188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trunk</x:v>
      </x:c>
      <x:c r="I173" s="11" t="n">
        <x:f>SUMIF('Route Points'!$A$7:$A$2910,A173,'Route Points'!$F$7:$F$2910)</x:f>
        <x:v>57.79013031117919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Wall bands above openings; concealed finish-matched soffit crossing over the 9–10 wing opening.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/>
    </x:row>
    <x:row r="174" ht="90" customHeight="1">
      <x:c r="A174" s="8" t="str">
        <x:v>drop:LC1:L5:light:-1:L139</x:v>
      </x:c>
      <x:c r="B174" s="8" t="str">
        <x:v>L5 → Side door lantern · B · 16.725 · front</x:v>
      </x:c>
      <x:c r="C174" s="8" t="str">
        <x:v>LC1</x:v>
      </x:c>
      <x:c r="D174" s="8" t="str">
        <x:v>L139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Points'!$A$7:$A$2910,A174,'Route Points'!$F$7:$F$2910)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drop:LC1:L5:light:-1:L140</x:v>
      </x:c>
      <x:c r="B175" s="8" t="str">
        <x:v>L5 → Side door lantern · B · 16.725 · rear</x:v>
      </x:c>
      <x:c r="C175" s="8" t="str">
        <x:v>LC1</x:v>
      </x:c>
      <x:c r="D175" s="8" t="str">
        <x:v>L140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Points'!$A$7:$A$2910,A175,'Route Points'!$F$7:$F$2910)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drop:LC1:L5:light:-1:L141</x:v>
      </x:c>
      <x:c r="B176" s="8" t="str">
        <x:v>L5 → Side door lantern · B · 34.725 · front</x:v>
      </x:c>
      <x:c r="C176" s="8" t="str">
        <x:v>LC1</x:v>
      </x:c>
      <x:c r="D176" s="8" t="str">
        <x:v>L141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Points'!$A$7:$A$2910,A176,'Route Points'!$F$7:$F$2910)</x:f>
        <x:v>3.5079999999999996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solid-pier / wall drop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drop:LC1:L5:light:-1:L142</x:v>
      </x:c>
      <x:c r="B177" s="8" t="str">
        <x:v>L5 → Side door lantern · B · 34.725 · rear</x:v>
      </x:c>
      <x:c r="C177" s="8" t="str">
        <x:v>LC1</x:v>
      </x:c>
      <x:c r="D177" s="8" t="str">
        <x:v>L142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Points'!$A$7:$A$2910,A177,'Route Points'!$F$7:$F$2910)</x:f>
        <x:v>3.5079999999999996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solid-pier / wall drop and local termination.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drop:LC1:L5:light:-1:L184</x:v>
      </x:c>
      <x:c r="B178" s="8" t="str">
        <x:v>L5 → Path light · axis 4 · B</x:v>
      </x:c>
      <x:c r="C178" s="8" t="str">
        <x:v>LC1</x:v>
      </x:c>
      <x:c r="D178" s="8" t="str">
        <x:v>L184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Points'!$A$7:$A$2910,A178,'Route Points'!$F$7:$F$2910)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drop:LC1:L5:light:-1:L185</x:v>
      </x:c>
      <x:c r="B179" s="8" t="str">
        <x:v>L5 → Path light · axis 6 · B</x:v>
      </x:c>
      <x:c r="C179" s="8" t="str">
        <x:v>LC1</x:v>
      </x:c>
      <x:c r="D179" s="8" t="str">
        <x:v>L185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Points'!$A$7:$A$2910,A179,'Route Points'!$F$7:$F$2910)</x:f>
        <x:v>4.980172388861076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90" customHeight="1">
      <x:c r="A180" s="8" t="str">
        <x:v>drop:LC1:L5:light:-1:L186</x:v>
      </x:c>
      <x:c r="B180" s="8" t="str">
        <x:v>L5 → Path light · axis 11 · B</x:v>
      </x:c>
      <x:c r="C180" s="8" t="str">
        <x:v>LC1</x:v>
      </x:c>
      <x:c r="D180" s="8" t="str">
        <x:v>L186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Points'!$A$7:$A$2910,A180,'Route Points'!$F$7:$F$2910)</x:f>
        <x:v>4.980172388861076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drop:LC1:L5:light:-1:L187</x:v>
      </x:c>
      <x:c r="B181" s="8" t="str">
        <x:v>L5 → Path light · wing gable B</x:v>
      </x:c>
      <x:c r="C181" s="8" t="str">
        <x:v>LC1</x:v>
      </x:c>
      <x:c r="D181" s="8" t="str">
        <x:v>L187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Points'!$A$7:$A$2910,A181,'Route Points'!$F$7:$F$2910)</x:f>
        <x:v>9.078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drop:LC1:L5:light:-1:L188</x:v>
      </x:c>
      <x:c r="B182" s="8" t="str">
        <x:v>L5 → Path light · rear · B</x:v>
      </x:c>
      <x:c r="C182" s="8" t="str">
        <x:v>LC1</x:v>
      </x:c>
      <x:c r="D182" s="8" t="str">
        <x:v>L188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Points'!$A$7:$A$2910,A182,'Route Points'!$F$7:$F$2910)</x:f>
        <x:v>3.792000000000005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Rear-wall band and local termination; gable / weatherproof entry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129" customHeight="1">
      <x:c r="A183" s="8" t="str">
        <x:v>trunk:LC1:L5:light:1</x:v>
      </x:c>
      <x:c r="B183" s="8" t="str">
        <x:v>L5 · H · circuit trunk</x:v>
      </x:c>
      <x:c r="C183" s="8" t="str">
        <x:v>LC1</x:v>
      </x:c>
      <x:c r="D183" s="8" t="str">
        <x:v>L145
L146
L147
L148
L191
L192
L193
L194
L195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trunk</x:v>
      </x:c>
      <x:c r="I183" s="11" t="n">
        <x:f>SUMIF('Route Points'!$A$7:$A$2910,A183,'Route Points'!$F$7:$F$2910)</x:f>
        <x:v>64.39013031117919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Wall bands above openings; concealed finish-matched soffit crossing over the 9–10 wing opening.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/>
    </x:row>
    <x:row r="184" ht="90" customHeight="1">
      <x:c r="A184" s="8" t="str">
        <x:v>drop:LC1:L5:light:1:L145</x:v>
      </x:c>
      <x:c r="B184" s="8" t="str">
        <x:v>L5 → Side door lantern · H · 16.725 · front</x:v>
      </x:c>
      <x:c r="C184" s="8" t="str">
        <x:v>LC1</x:v>
      </x:c>
      <x:c r="D184" s="8" t="str">
        <x:v>L145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Points'!$A$7:$A$2910,A184,'Route Points'!$F$7:$F$2910)</x:f>
        <x:v>3.5079999999999996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Concealed solid-pier / wall drop and local termination.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drop:LC1:L5:light:1:L146</x:v>
      </x:c>
      <x:c r="B185" s="8" t="str">
        <x:v>L5 → Side door lantern · H · 16.725 · rear</x:v>
      </x:c>
      <x:c r="C185" s="8" t="str">
        <x:v>LC1</x:v>
      </x:c>
      <x:c r="D185" s="8" t="str">
        <x:v>L146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Points'!$A$7:$A$2910,A185,'Route Points'!$F$7:$F$2910)</x:f>
        <x:v>3.5079999999999996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Concealed solid-pier / wall drop and local termination.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drop:LC1:L5:light:1:L147</x:v>
      </x:c>
      <x:c r="B186" s="8" t="str">
        <x:v>L5 → Side door lantern · H · 34.725 · front</x:v>
      </x:c>
      <x:c r="C186" s="8" t="str">
        <x:v>LC1</x:v>
      </x:c>
      <x:c r="D186" s="8" t="str">
        <x:v>L147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Points'!$A$7:$A$2910,A186,'Route Points'!$F$7:$F$2910)</x:f>
        <x:v>3.5079999999999996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Concealed solid-pier / wall drop and local termination.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drop:LC1:L5:light:1:L148</x:v>
      </x:c>
      <x:c r="B187" s="8" t="str">
        <x:v>L5 → Side door lantern · H · 34.725 · rear</x:v>
      </x:c>
      <x:c r="C187" s="8" t="str">
        <x:v>LC1</x:v>
      </x:c>
      <x:c r="D187" s="8" t="str">
        <x:v>L148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Points'!$A$7:$A$2910,A187,'Route Points'!$F$7:$F$2910)</x:f>
        <x:v>3.5079999999999996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Concealed solid-pier / wall drop and local termination.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drop:LC1:L5:light:1:L191</x:v>
      </x:c>
      <x:c r="B188" s="8" t="str">
        <x:v>L5 → Path light · axis 4 · H</x:v>
      </x:c>
      <x:c r="C188" s="8" t="str">
        <x:v>LC1</x:v>
      </x:c>
      <x:c r="D188" s="8" t="str">
        <x:v>L191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Points'!$A$7:$A$2910,A188,'Route Points'!$F$7:$F$2910)</x:f>
        <x:v>4.980172388861076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Covered roof-soffit crossing into outer arcade / wing-gable wall, then concealed pier drop. No exposed crossing at equipment height.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drop:LC1:L5:light:1:L192</x:v>
      </x:c>
      <x:c r="B189" s="8" t="str">
        <x:v>L5 → Path light · axis 6 · H</x:v>
      </x:c>
      <x:c r="C189" s="8" t="str">
        <x:v>LC1</x:v>
      </x:c>
      <x:c r="D189" s="8" t="str">
        <x:v>L192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Points'!$A$7:$A$2910,A189,'Route Points'!$F$7:$F$2910)</x:f>
        <x:v>4.980172388861076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Covered roof-soffit crossing into outer arcade / wing-gable wall, then concealed pier drop. No exposed crossing at equipment height.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drop:LC1:L5:light:1:L193</x:v>
      </x:c>
      <x:c r="B190" s="8" t="str">
        <x:v>L5 → Path light · axis 11 · H</x:v>
      </x:c>
      <x:c r="C190" s="8" t="str">
        <x:v>LC1</x:v>
      </x:c>
      <x:c r="D190" s="8" t="str">
        <x:v>L193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Points'!$A$7:$A$2910,A190,'Route Points'!$F$7:$F$2910)</x:f>
        <x:v>4.980172388861076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Covered roof-soffit crossing into outer arcade / wing-gable wall, then concealed pier drop. No exposed crossing at equipment height.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drop:LC1:L5:light:1:L194</x:v>
      </x:c>
      <x:c r="B191" s="8" t="str">
        <x:v>L5 → Path light · wing gable H</x:v>
      </x:c>
      <x:c r="C191" s="8" t="str">
        <x:v>LC1</x:v>
      </x:c>
      <x:c r="D191" s="8" t="str">
        <x:v>L194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Points'!$A$7:$A$2910,A191,'Route Points'!$F$7:$F$2910)</x:f>
        <x:v>9.078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Covered roof-soffit crossing into outer arcade / wing-gable wall, then concealed pier drop. No exposed crossing at equipment height.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drop:LC1:L5:light:1:L195</x:v>
      </x:c>
      <x:c r="B192" s="8" t="str">
        <x:v>L5 → Path light · rear · H</x:v>
      </x:c>
      <x:c r="C192" s="8" t="str">
        <x:v>LC1</x:v>
      </x:c>
      <x:c r="D192" s="8" t="str">
        <x:v>L195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Points'!$A$7:$A$2910,A192,'Route Points'!$F$7:$F$2910)</x:f>
        <x:v>3.792000000000005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Rear-wall band and local termination; gable / weatherproof entry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181" customHeight="1">
      <x:c r="A193" s="8" t="str">
        <x:v>trunk:DB2:L6:light:-1</x:v>
      </x:c>
      <x:c r="B193" s="8" t="str">
        <x:v>L6 · B · circuit trunk</x:v>
      </x:c>
      <x:c r="C193" s="8" t="str">
        <x:v>DB2</x:v>
      </x:c>
      <x:c r="D193" s="8" t="str">
        <x:v>L160
L161
L162
L163
L164
L165
L166
L167
L168
L169
L170
L222
L223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trunk</x:v>
      </x:c>
      <x:c r="I193" s="11" t="n">
        <x:f>SUMIF('Route Points'!$A$7:$A$2910,A193,'Route Points'!$F$7:$F$2910)</x:f>
        <x:v>27.956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Wall bands above openings; concealed finish-matched soffit crossing over the 9–10 wing opening.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/>
    </x:row>
    <x:row r="194" ht="90" customHeight="1">
      <x:c r="A194" s="8" t="str">
        <x:v>drop:DB2:L6:light:-1:L160</x:v>
      </x:c>
      <x:c r="B194" s="8" t="str">
        <x:v>L6 → Tower lower front wash · B</x:v>
      </x:c>
      <x:c r="C194" s="8" t="str">
        <x:v>DB2</x:v>
      </x:c>
      <x:c r="D194" s="8" t="str">
        <x:v>L160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Points'!$A$7:$A$2910,A194,'Route Points'!$F$7:$F$2910)</x:f>
        <x:v>11.228999999999996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drop:DB2:L6:light:-1:L161</x:v>
      </x:c>
      <x:c r="B195" s="8" t="str">
        <x:v>L6 → Tower stage 2 flood · B</x:v>
      </x:c>
      <x:c r="C195" s="8" t="str">
        <x:v>DB2</x:v>
      </x:c>
      <x:c r="D195" s="8" t="str">
        <x:v>L161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Points'!$A$7:$A$2910,A195,'Route Points'!$F$7:$F$2910)</x:f>
        <x:v>12.528999999999996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drop:DB2:L6:light:-1:L162</x:v>
      </x:c>
      <x:c r="B196" s="8" t="str">
        <x:v>L6 → Tower stage 3 flood · B</x:v>
      </x:c>
      <x:c r="C196" s="8" t="str">
        <x:v>DB2</x:v>
      </x:c>
      <x:c r="D196" s="8" t="str">
        <x:v>L162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Points'!$A$7:$A$2910,A196,'Route Points'!$F$7:$F$2910)</x:f>
        <x:v>20.088999999999995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drop:DB2:L6:light:-1:L163</x:v>
      </x:c>
      <x:c r="B197" s="8" t="str">
        <x:v>L6 → Belfry front wash · B</x:v>
      </x:c>
      <x:c r="C197" s="8" t="str">
        <x:v>DB2</x:v>
      </x:c>
      <x:c r="D197" s="8" t="str">
        <x:v>L163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Points'!$A$7:$A$2910,A197,'Route Points'!$F$7:$F$2910)</x:f>
        <x:v>27.859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drop:DB2:L6:light:-1:L164</x:v>
      </x:c>
      <x:c r="B198" s="8" t="str">
        <x:v>L6 → Dome front wash · B</x:v>
      </x:c>
      <x:c r="C198" s="8" t="str">
        <x:v>DB2</x:v>
      </x:c>
      <x:c r="D198" s="8" t="str">
        <x:v>L164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Points'!$A$7:$A$2910,A198,'Route Points'!$F$7:$F$2910)</x:f>
        <x:v>33.498999999999995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Tower pier to proposed service space behind removable cornice finish, then local fitting lead. Cornice cavity, access, weathering and cable-entry details remain unresolved.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drop:DB2:L6:light:-1:L165</x:v>
      </x:c>
      <x:c r="B199" s="8" t="str">
        <x:v>L6 → Belfry glow · B</x:v>
      </x:c>
      <x:c r="C199" s="8" t="str">
        <x:v>DB2</x:v>
      </x:c>
      <x:c r="D199" s="8" t="str">
        <x:v>L165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Points'!$A$7:$A$2910,A199,'Route Points'!$F$7:$F$2910)</x:f>
        <x:v>29.39196299545017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Tower pier to proposed service space behind removable cornice finish, then local fitting lead. Cornice cavity, access, weathering and cable-entry details remain unresolved.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drop:DB2:L6:light:-1:L166</x:v>
      </x:c>
      <x:c r="B200" s="8" t="str">
        <x:v>L6 → Tower lower side wash · B</x:v>
      </x:c>
      <x:c r="C200" s="8" t="str">
        <x:v>DB2</x:v>
      </x:c>
      <x:c r="D200" s="8" t="str">
        <x:v>L166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Points'!$A$7:$A$2910,A200,'Route Points'!$F$7:$F$2910)</x:f>
        <x:v>14.88448260317074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drop:DB2:L6:light:-1:L167</x:v>
      </x:c>
      <x:c r="B201" s="8" t="str">
        <x:v>L6 → Tower stage 2 side wash · B</x:v>
      </x:c>
      <x:c r="C201" s="8" t="str">
        <x:v>DB2</x:v>
      </x:c>
      <x:c r="D201" s="8" t="str">
        <x:v>L167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Points'!$A$7:$A$2910,A201,'Route Points'!$F$7:$F$2910)</x:f>
        <x:v>13.08196299545017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drop:DB2:L6:light:-1:L168</x:v>
      </x:c>
      <x:c r="B202" s="8" t="str">
        <x:v>L6 → Tower stage 3 side wash · B</x:v>
      </x:c>
      <x:c r="C202" s="8" t="str">
        <x:v>DB2</x:v>
      </x:c>
      <x:c r="D202" s="8" t="str">
        <x:v>L168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Points'!$A$7:$A$2910,A202,'Route Points'!$F$7:$F$2910)</x:f>
        <x:v>20.606962995450168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drop:DB2:L6:light:-1:L169</x:v>
      </x:c>
      <x:c r="B203" s="8" t="str">
        <x:v>L6 → Belfry side wash · B</x:v>
      </x:c>
      <x:c r="C203" s="8" t="str">
        <x:v>DB2</x:v>
      </x:c>
      <x:c r="D203" s="8" t="str">
        <x:v>L169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Points'!$A$7:$A$2910,A203,'Route Points'!$F$7:$F$2910)</x:f>
        <x:v>28.356962995450175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drop:DB2:L6:light:-1:L170</x:v>
      </x:c>
      <x:c r="B204" s="8" t="str">
        <x:v>L6 → Façade wash · B</x:v>
      </x:c>
      <x:c r="C204" s="8" t="str">
        <x:v>DB2</x:v>
      </x:c>
      <x:c r="D204" s="8" t="str">
        <x:v>L170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Points'!$A$7:$A$2910,A204,'Route Points'!$F$7:$F$2910)</x:f>
        <x:v>4.966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Concealed entrance wall band, solid pier and local termination.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drop:DB2:L6:light:-1:L222</x:v>
      </x:c>
      <x:c r="B205" s="8" t="str">
        <x:v>L6 → Central gable flood · B</x:v>
      </x:c>
      <x:c r="C205" s="8" t="str">
        <x:v>DB2</x:v>
      </x:c>
      <x:c r="D205" s="8" t="str">
        <x:v>L222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Points'!$A$7:$A$2910,A205,'Route Points'!$F$7:$F$2910)</x:f>
        <x:v>6.202000000000002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drop:DB2:L6:light:-1:L223</x:v>
      </x:c>
      <x:c r="B206" s="8" t="str">
        <x:v>L6 → Central crown wash · B</x:v>
      </x:c>
      <x:c r="C206" s="8" t="str">
        <x:v>DB2</x:v>
      </x:c>
      <x:c r="D206" s="8" t="str">
        <x:v>L223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Points'!$A$7:$A$2910,A206,'Route Points'!$F$7:$F$2910)</x:f>
        <x:v>14.001999999999999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181" customHeight="1">
      <x:c r="A207" s="8" t="str">
        <x:v>trunk:DB2:L6:light:1</x:v>
      </x:c>
      <x:c r="B207" s="8" t="str">
        <x:v>L6 · H · circuit trunk</x:v>
      </x:c>
      <x:c r="C207" s="8" t="str">
        <x:v>DB2</x:v>
      </x:c>
      <x:c r="D207" s="8" t="str">
        <x:v>L171
L172
L173
L174
L175
L176
L177
L178
L179
L180
L181
L224
L225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trunk</x:v>
      </x:c>
      <x:c r="I207" s="11" t="n">
        <x:f>SUMIF('Route Points'!$A$7:$A$2910,A207,'Route Points'!$F$7:$F$2910)</x:f>
        <x:v>13.236000000000002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Wall bands above openings; concealed finish-matched soffit crossing over the 9–10 wing opening.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/>
    </x:row>
    <x:row r="208" ht="90" customHeight="1">
      <x:c r="A208" s="8" t="str">
        <x:v>drop:DB2:L6:light:1:L171</x:v>
      </x:c>
      <x:c r="B208" s="8" t="str">
        <x:v>L6 → Tower lower front wash · H</x:v>
      </x:c>
      <x:c r="C208" s="8" t="str">
        <x:v>DB2</x:v>
      </x:c>
      <x:c r="D208" s="8" t="str">
        <x:v>L171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Points'!$A$7:$A$2910,A208,'Route Points'!$F$7:$F$2910)</x:f>
        <x:v>11.228999999999996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drop:DB2:L6:light:1:L172</x:v>
      </x:c>
      <x:c r="B209" s="8" t="str">
        <x:v>L6 → Tower stage 2 flood · H</x:v>
      </x:c>
      <x:c r="C209" s="8" t="str">
        <x:v>DB2</x:v>
      </x:c>
      <x:c r="D209" s="8" t="str">
        <x:v>L172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Points'!$A$7:$A$2910,A209,'Route Points'!$F$7:$F$2910)</x:f>
        <x:v>12.528999999999996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drop:DB2:L6:light:1:L173</x:v>
      </x:c>
      <x:c r="B210" s="8" t="str">
        <x:v>L6 → Tower stage 3 flood · H</x:v>
      </x:c>
      <x:c r="C210" s="8" t="str">
        <x:v>DB2</x:v>
      </x:c>
      <x:c r="D210" s="8" t="str">
        <x:v>L173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Points'!$A$7:$A$2910,A210,'Route Points'!$F$7:$F$2910)</x:f>
        <x:v>20.088999999999995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drop:DB2:L6:light:1:L174</x:v>
      </x:c>
      <x:c r="B211" s="8" t="str">
        <x:v>L6 → Belfry front wash · H</x:v>
      </x:c>
      <x:c r="C211" s="8" t="str">
        <x:v>DB2</x:v>
      </x:c>
      <x:c r="D211" s="8" t="str">
        <x:v>L174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Points'!$A$7:$A$2910,A211,'Route Points'!$F$7:$F$2910)</x:f>
        <x:v>27.859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drop:DB2:L6:light:1:L175</x:v>
      </x:c>
      <x:c r="B212" s="8" t="str">
        <x:v>L6 → Dome front wash · H</x:v>
      </x:c>
      <x:c r="C212" s="8" t="str">
        <x:v>DB2</x:v>
      </x:c>
      <x:c r="D212" s="8" t="str">
        <x:v>L175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Points'!$A$7:$A$2910,A212,'Route Points'!$F$7:$F$2910)</x:f>
        <x:v>33.498999999999995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Tower pier to proposed service space behind removable cornice finish, then local fitting lead. Cornice cavity, access, weathering and cable-entry details remain unresolved.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drop:DB2:L6:light:1:L176</x:v>
      </x:c>
      <x:c r="B213" s="8" t="str">
        <x:v>L6 → Belfry glow · H</x:v>
      </x:c>
      <x:c r="C213" s="8" t="str">
        <x:v>DB2</x:v>
      </x:c>
      <x:c r="D213" s="8" t="str">
        <x:v>L176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Points'!$A$7:$A$2910,A213,'Route Points'!$F$7:$F$2910)</x:f>
        <x:v>29.39196299545017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Tower pier to proposed service space behind removable cornice finish, then local fitting lead. Cornice cavity, access, weathering and cable-entry details remain unresolved.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drop:DB2:L6:light:1:L177</x:v>
      </x:c>
      <x:c r="B214" s="8" t="str">
        <x:v>L6 → Tower lower side wash · H</x:v>
      </x:c>
      <x:c r="C214" s="8" t="str">
        <x:v>DB2</x:v>
      </x:c>
      <x:c r="D214" s="8" t="str">
        <x:v>L177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Points'!$A$7:$A$2910,A214,'Route Points'!$F$7:$F$2910)</x:f>
        <x:v>14.88448260317074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drop:DB2:L6:light:1:L178</x:v>
      </x:c>
      <x:c r="B215" s="8" t="str">
        <x:v>L6 → Tower stage 2 side wash · H</x:v>
      </x:c>
      <x:c r="C215" s="8" t="str">
        <x:v>DB2</x:v>
      </x:c>
      <x:c r="D215" s="8" t="str">
        <x:v>L178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Points'!$A$7:$A$2910,A215,'Route Points'!$F$7:$F$2910)</x:f>
        <x:v>13.08196299545017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drop:DB2:L6:light:1:L179</x:v>
      </x:c>
      <x:c r="B216" s="8" t="str">
        <x:v>L6 → Tower stage 3 side wash · H</x:v>
      </x:c>
      <x:c r="C216" s="8" t="str">
        <x:v>DB2</x:v>
      </x:c>
      <x:c r="D216" s="8" t="str">
        <x:v>L179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Points'!$A$7:$A$2910,A216,'Route Points'!$F$7:$F$2910)</x:f>
        <x:v>20.606962995450168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drop:DB2:L6:light:1:L180</x:v>
      </x:c>
      <x:c r="B217" s="8" t="str">
        <x:v>L6 → Belfry side wash · H</x:v>
      </x:c>
      <x:c r="C217" s="8" t="str">
        <x:v>DB2</x:v>
      </x:c>
      <x:c r="D217" s="8" t="str">
        <x:v>L180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Points'!$A$7:$A$2910,A217,'Route Points'!$F$7:$F$2910)</x:f>
        <x:v>28.356962995450175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drop:DB2:L6:light:1:L181</x:v>
      </x:c>
      <x:c r="B218" s="8" t="str">
        <x:v>L6 → Façade wash · H</x:v>
      </x:c>
      <x:c r="C218" s="8" t="str">
        <x:v>DB2</x:v>
      </x:c>
      <x:c r="D218" s="8" t="str">
        <x:v>L181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Points'!$A$7:$A$2910,A218,'Route Points'!$F$7:$F$2910)</x:f>
        <x:v>4.966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entrance wall band, solid pier and local termination.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drop:DB2:L6:light:1:L224</x:v>
      </x:c>
      <x:c r="B219" s="8" t="str">
        <x:v>L6 → Central gable flood · H</x:v>
      </x:c>
      <x:c r="C219" s="8" t="str">
        <x:v>DB2</x:v>
      </x:c>
      <x:c r="D219" s="8" t="str">
        <x:v>L224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Points'!$A$7:$A$2910,A219,'Route Points'!$F$7:$F$2910)</x:f>
        <x:v>6.202000000000002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drop:DB2:L6:light:1:L225</x:v>
      </x:c>
      <x:c r="B220" s="8" t="str">
        <x:v>L6 → Central crown wash · H</x:v>
      </x:c>
      <x:c r="C220" s="8" t="str">
        <x:v>DB2</x:v>
      </x:c>
      <x:c r="D220" s="8" t="str">
        <x:v>L225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Points'!$A$7:$A$2910,A220,'Route Points'!$F$7:$F$2910)</x:f>
        <x:v>14.001999999999999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194" customHeight="1">
      <x:c r="A221" s="8" t="str">
        <x:v>trunk:EB1:L7:light:-1</x:v>
      </x:c>
      <x:c r="B221" s="8" t="str">
        <x:v>L7 · B · circuit trunk</x:v>
      </x:c>
      <x:c r="C221" s="8" t="str">
        <x:v>EB1</x:v>
      </x:c>
      <x:c r="D221" s="8" t="str">
        <x:v>L196
L197
L198
L199
L200
L201
L202
L203
L204
L205
L206
L207
L219
L220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trunk</x:v>
      </x:c>
      <x:c r="I221" s="11" t="n">
        <x:f>SUMIF('Route Points'!$A$7:$A$2910,A221,'Route Points'!$F$7:$F$2910)</x:f>
        <x:v>82.54213031117919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Wall bands above openings; concealed finish-matched soffit crossing over the 9–10 wing opening.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/>
    </x:row>
    <x:row r="222" ht="90" customHeight="1">
      <x:c r="A222" s="8" t="str">
        <x:v>drop:EB1:L7:light:-1:L196</x:v>
      </x:c>
      <x:c r="B222" s="8" t="str">
        <x:v>L7 → Festival lights · roof ridge</x:v>
      </x:c>
      <x:c r="C222" s="8" t="str">
        <x:v>EB1</x:v>
      </x:c>
      <x:c r="D222" s="8" t="str">
        <x:v>L196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Points'!$A$7:$A$2910,A222,'Route Points'!$F$7:$F$2910)</x:f>
        <x:v>10.462314927469798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roof route to local roof-mounted fitting; weatherproof cable entry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trunk:EB1:L7:light:-1</x:v>
      </x:c>
    </x:row>
    <x:row r="223" ht="90" customHeight="1">
      <x:c r="A223" s="8" t="str">
        <x:v>drop:EB1:L7:light:-1:L197</x:v>
      </x:c>
      <x:c r="B223" s="8" t="str">
        <x:v>L7 → Festival lights · main eave B · nave</x:v>
      </x:c>
      <x:c r="C223" s="8" t="str">
        <x:v>EB1</x:v>
      </x:c>
      <x:c r="D223" s="8" t="str">
        <x:v>L197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Points'!$A$7:$A$2910,A223,'Route Points'!$F$7:$F$2910)</x:f>
        <x:v>1.370589523865243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trunk:EB1:L7:light:-1</x:v>
      </x:c>
    </x:row>
    <x:row r="224" ht="90" customHeight="1">
      <x:c r="A224" s="8" t="str">
        <x:v>drop:EB1:L7:light:-1:L198</x:v>
      </x:c>
      <x:c r="B224" s="8" t="str">
        <x:v>L7 → Festival lights · main eave B · sanctuary</x:v>
      </x:c>
      <x:c r="C224" s="8" t="str">
        <x:v>EB1</x:v>
      </x:c>
      <x:c r="D224" s="8" t="str">
        <x:v>L198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Points'!$A$7:$A$2910,A224,'Route Points'!$F$7:$F$2910)</x:f>
        <x:v>1.370589523865243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roof route to local roof-mounted fitting; weatherproof cable entry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trunk:EB1:L7:light:-1</x:v>
      </x:c>
    </x:row>
    <x:row r="225" ht="90" customHeight="1">
      <x:c r="A225" s="8" t="str">
        <x:v>drop:EB1:L7:light:-1:L199</x:v>
      </x:c>
      <x:c r="B225" s="8" t="str">
        <x:v>L7 → Festival lights · veranda eave B · nave</x:v>
      </x:c>
      <x:c r="C225" s="8" t="str">
        <x:v>EB1</x:v>
      </x:c>
      <x:c r="D225" s="8" t="str">
        <x:v>L199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Points'!$A$7:$A$2910,A225,'Route Points'!$F$7:$F$2910)</x:f>
        <x:v>4.826461805692566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trunk:EB1:L7:light:-1</x:v>
      </x:c>
    </x:row>
    <x:row r="226" ht="90" customHeight="1">
      <x:c r="A226" s="8" t="str">
        <x:v>drop:EB1:L7:light:-1:L200</x:v>
      </x:c>
      <x:c r="B226" s="8" t="str">
        <x:v>L7 → Festival lights · veranda eave B · sanctuary</x:v>
      </x:c>
      <x:c r="C226" s="8" t="str">
        <x:v>EB1</x:v>
      </x:c>
      <x:c r="D226" s="8" t="str">
        <x:v>L200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Points'!$A$7:$A$2910,A226,'Route Points'!$F$7:$F$2910)</x:f>
        <x:v>4.826461805692566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trunk:EB1:L7:light:-1</x:v>
      </x:c>
    </x:row>
    <x:row r="227" ht="90" customHeight="1">
      <x:c r="A227" s="8" t="str">
        <x:v>drop:EB1:L7:light:-1:L201</x:v>
      </x:c>
      <x:c r="B227" s="8" t="str">
        <x:v>L7 → Festival lights · rear gable B</x:v>
      </x:c>
      <x:c r="C227" s="8" t="str">
        <x:v>EB1</x:v>
      </x:c>
      <x:c r="D227" s="8" t="str">
        <x:v>L201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Points'!$A$7:$A$2910,A227,'Route Points'!$F$7:$F$2910)</x:f>
        <x:v>5.609000000000001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Rear-wall band and local termination; gable / weatherproof entry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trunk:EB1:L7:light:-1</x:v>
      </x:c>
    </x:row>
    <x:row r="228" ht="90" customHeight="1">
      <x:c r="A228" s="8" t="str">
        <x:v>drop:EB1:L7:light:-1:L202</x:v>
      </x:c>
      <x:c r="B228" s="8" t="str">
        <x:v>L7 → Festival lights · tower B · stage 1 · inner corner</x:v>
      </x:c>
      <x:c r="C228" s="8" t="str">
        <x:v>EB1</x:v>
      </x:c>
      <x:c r="D228" s="8" t="str">
        <x:v>L202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Points'!$A$7:$A$2910,A228,'Route Points'!$F$7:$F$2910)</x:f>
        <x:v>9.183000000000002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drop:EB1:L7:light:-1:L203</x:v>
      </x:c>
      <x:c r="B229" s="8" t="str">
        <x:v>L7 → Festival lights · tower B · stage 1 · outer corner</x:v>
      </x:c>
      <x:c r="C229" s="8" t="str">
        <x:v>EB1</x:v>
      </x:c>
      <x:c r="D229" s="8" t="str">
        <x:v>L203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Points'!$A$7:$A$2910,A229,'Route Points'!$F$7:$F$2910)</x:f>
        <x:v>13.603000000000002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Solid tower corner/piers, stepped behind cornices; local ledge/fitting connection. No riser through louver openings; chase/finish and weathering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drop:EB1:L7:light:-1:L204</x:v>
      </x:c>
      <x:c r="B230" s="8" t="str">
        <x:v>L7 → Festival lights · tower B · stage 2 · inner corner</x:v>
      </x:c>
      <x:c r="C230" s="8" t="str">
        <x:v>EB1</x:v>
      </x:c>
      <x:c r="D230" s="8" t="str">
        <x:v>L204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Points'!$A$7:$A$2910,A230,'Route Points'!$F$7:$F$2910)</x:f>
        <x:v>10.413000000000002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drop:EB1:L7:light:-1:L205</x:v>
      </x:c>
      <x:c r="B231" s="8" t="str">
        <x:v>L7 → Festival lights · tower B · stage 2 · outer corner</x:v>
      </x:c>
      <x:c r="C231" s="8" t="str">
        <x:v>EB1</x:v>
      </x:c>
      <x:c r="D231" s="8" t="str">
        <x:v>L205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Points'!$A$7:$A$2910,A231,'Route Points'!$F$7:$F$2910)</x:f>
        <x:v>14.833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drop:EB1:L7:light:-1:L206</x:v>
      </x:c>
      <x:c r="B232" s="8" t="str">
        <x:v>L7 → Festival lights · tower B · stage 3 · inner corner</x:v>
      </x:c>
      <x:c r="C232" s="8" t="str">
        <x:v>EB1</x:v>
      </x:c>
      <x:c r="D232" s="8" t="str">
        <x:v>L206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Points'!$A$7:$A$2910,A232,'Route Points'!$F$7:$F$2910)</x:f>
        <x:v>18.008000000000006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drop:EB1:L7:light:-1:L207</x:v>
      </x:c>
      <x:c r="B233" s="8" t="str">
        <x:v>L7 → Festival lights · tower B · stage 3 · outer corner</x:v>
      </x:c>
      <x:c r="C233" s="8" t="str">
        <x:v>EB1</x:v>
      </x:c>
      <x:c r="D233" s="8" t="str">
        <x:v>L207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Points'!$A$7:$A$2910,A233,'Route Points'!$F$7:$F$2910)</x:f>
        <x:v>22.428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drop:EB1:L7:light:-1:L219</x:v>
      </x:c>
      <x:c r="B234" s="8" t="str">
        <x:v>L7 → Festival lights · front terrace between the towers</x:v>
      </x:c>
      <x:c r="C234" s="8" t="str">
        <x:v>EB1</x:v>
      </x:c>
      <x:c r="D234" s="8" t="str">
        <x:v>L219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Points'!$A$7:$A$2910,A234,'Route Points'!$F$7:$F$2910)</x:f>
        <x:v>10.080000000000002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entrance wall band, solid pier and local termination.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drop:EB1:L7:light:-1:L220</x:v>
      </x:c>
      <x:c r="B235" s="8" t="str">
        <x:v>L7 → Festival flood · rear gable B</x:v>
      </x:c>
      <x:c r="C235" s="8" t="str">
        <x:v>EB1</x:v>
      </x:c>
      <x:c r="D235" s="8" t="str">
        <x:v>L220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Points'!$A$7:$A$2910,A235,'Route Points'!$F$7:$F$2910)</x:f>
        <x:v>3.7548036909452107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168" customHeight="1">
      <x:c r="A236" s="8" t="str">
        <x:v>trunk:EB1:L7:light:1</x:v>
      </x:c>
      <x:c r="B236" s="8" t="str">
        <x:v>L7 · H · circuit trunk</x:v>
      </x:c>
      <x:c r="C236" s="8" t="str">
        <x:v>EB1</x:v>
      </x:c>
      <x:c r="D236" s="8" t="str">
        <x:v>L208
L209
L210
L211
L212
L213
L214
L215
L216
L217
L218
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trunk</x:v>
      </x:c>
      <x:c r="I236" s="11" t="n">
        <x:f>SUMIF('Route Points'!$A$7:$A$2910,A236,'Route Points'!$F$7:$F$2910)</x:f>
        <x:v>67.8221303111792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Wall bands above openings; concealed finish-matched soffit crossing over the 9–10 wing opening.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/>
    </x:row>
    <x:row r="237" ht="90" customHeight="1">
      <x:c r="A237" s="8" t="str">
        <x:v>drop:EB1:L7:light:1:L208</x:v>
      </x:c>
      <x:c r="B237" s="8" t="str">
        <x:v>L7 → Festival lights · main eave H · nave</x:v>
      </x:c>
      <x:c r="C237" s="8" t="str">
        <x:v>EB1</x:v>
      </x:c>
      <x:c r="D237" s="8" t="str">
        <x:v>L208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Points'!$A$7:$A$2910,A237,'Route Points'!$F$7:$F$2910)</x:f>
        <x:v>1.370589523865243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roof route to local roof-mounted fitting; weatherproof cable entry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trunk:EB1:L7:light:1</x:v>
      </x:c>
    </x:row>
    <x:row r="238" ht="90" customHeight="1">
      <x:c r="A238" s="8" t="str">
        <x:v>drop:EB1:L7:light:1:L209</x:v>
      </x:c>
      <x:c r="B238" s="8" t="str">
        <x:v>L7 → Festival lights · main eave H · sanctuary</x:v>
      </x:c>
      <x:c r="C238" s="8" t="str">
        <x:v>EB1</x:v>
      </x:c>
      <x:c r="D238" s="8" t="str">
        <x:v>L209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Points'!$A$7:$A$2910,A238,'Route Points'!$F$7:$F$2910)</x:f>
        <x:v>1.370589523865243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roof route to local roof-mounted fitting; weatherproof cable entry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trunk:EB1:L7:light:1</x:v>
      </x:c>
    </x:row>
    <x:row r="239" ht="90" customHeight="1">
      <x:c r="A239" s="8" t="str">
        <x:v>drop:EB1:L7:light:1:L210</x:v>
      </x:c>
      <x:c r="B239" s="8" t="str">
        <x:v>L7 → Festival lights · veranda eave H · nave</x:v>
      </x:c>
      <x:c r="C239" s="8" t="str">
        <x:v>EB1</x:v>
      </x:c>
      <x:c r="D239" s="8" t="str">
        <x:v>L210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Points'!$A$7:$A$2910,A239,'Route Points'!$F$7:$F$2910)</x:f>
        <x:v>4.826461805692566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trunk:EB1:L7:light:1</x:v>
      </x:c>
    </x:row>
    <x:row r="240" ht="90" customHeight="1">
      <x:c r="A240" s="8" t="str">
        <x:v>drop:EB1:L7:light:1:L211</x:v>
      </x:c>
      <x:c r="B240" s="8" t="str">
        <x:v>L7 → Festival lights · veranda eave H · sanctuary</x:v>
      </x:c>
      <x:c r="C240" s="8" t="str">
        <x:v>EB1</x:v>
      </x:c>
      <x:c r="D240" s="8" t="str">
        <x:v>L211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Points'!$A$7:$A$2910,A240,'Route Points'!$F$7:$F$2910)</x:f>
        <x:v>4.826461805692566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roof route to local roof-mounted fitting; weatherproof cable entry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trunk:EB1:L7:light:1</x:v>
      </x:c>
    </x:row>
    <x:row r="241" ht="90" customHeight="1">
      <x:c r="A241" s="8" t="str">
        <x:v>drop:EB1:L7:light:1:L212</x:v>
      </x:c>
      <x:c r="B241" s="8" t="str">
        <x:v>L7 → Festival lights · rear gable H</x:v>
      </x:c>
      <x:c r="C241" s="8" t="str">
        <x:v>EB1</x:v>
      </x:c>
      <x:c r="D241" s="8" t="str">
        <x:v>L212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Points'!$A$7:$A$2910,A241,'Route Points'!$F$7:$F$2910)</x:f>
        <x:v>5.609000000000001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Rear-wall band and local termination; gable / weatherproof entry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trunk:EB1:L7:light:1</x:v>
      </x:c>
    </x:row>
    <x:row r="242" ht="90" customHeight="1">
      <x:c r="A242" s="8" t="str">
        <x:v>drop:EB1:L7:light:1:L213</x:v>
      </x:c>
      <x:c r="B242" s="8" t="str">
        <x:v>L7 → Festival lights · tower H · stage 1 · inner corner</x:v>
      </x:c>
      <x:c r="C242" s="8" t="str">
        <x:v>EB1</x:v>
      </x:c>
      <x:c r="D242" s="8" t="str">
        <x:v>L213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Points'!$A$7:$A$2910,A242,'Route Points'!$F$7:$F$2910)</x:f>
        <x:v>9.183000000000002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trunk:EB1:L7:light:1</x:v>
      </x:c>
    </x:row>
    <x:row r="243" ht="90" customHeight="1">
      <x:c r="A243" s="8" t="str">
        <x:v>drop:EB1:L7:light:1:L214</x:v>
      </x:c>
      <x:c r="B243" s="8" t="str">
        <x:v>L7 → Festival lights · tower H · stage 1 · outer corner</x:v>
      </x:c>
      <x:c r="C243" s="8" t="str">
        <x:v>EB1</x:v>
      </x:c>
      <x:c r="D243" s="8" t="str">
        <x:v>L214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Points'!$A$7:$A$2910,A243,'Route Points'!$F$7:$F$2910)</x:f>
        <x:v>13.603000000000002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Solid tower corner/piers, stepped behind cornices; local ledge/fitting connection. No riser through louver openings; chase/finish and weathering details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drop:EB1:L7:light:1:L215</x:v>
      </x:c>
      <x:c r="B244" s="8" t="str">
        <x:v>L7 → Festival lights · tower H · stage 2 · inner corner</x:v>
      </x:c>
      <x:c r="C244" s="8" t="str">
        <x:v>EB1</x:v>
      </x:c>
      <x:c r="D244" s="8" t="str">
        <x:v>L215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Points'!$A$7:$A$2910,A244,'Route Points'!$F$7:$F$2910)</x:f>
        <x:v>10.413000000000002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Solid tower corner/piers, stepped behind cornices; local ledge/fitting connection. No riser through louver openings; chase/finish and weathering details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drop:EB1:L7:light:1:L216</x:v>
      </x:c>
      <x:c r="B245" s="8" t="str">
        <x:v>L7 → Festival lights · tower H · stage 2 · outer corner</x:v>
      </x:c>
      <x:c r="C245" s="8" t="str">
        <x:v>EB1</x:v>
      </x:c>
      <x:c r="D245" s="8" t="str">
        <x:v>L216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Points'!$A$7:$A$2910,A245,'Route Points'!$F$7:$F$2910)</x:f>
        <x:v>14.833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Solid tower corner/piers, stepped behind cornices; local ledge/fitting connection. No riser through louver openings; chase/finish and weathering details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drop:EB1:L7:light:1:L217</x:v>
      </x:c>
      <x:c r="B246" s="8" t="str">
        <x:v>L7 → Festival lights · tower H · stage 3 · inner corner</x:v>
      </x:c>
      <x:c r="C246" s="8" t="str">
        <x:v>EB1</x:v>
      </x:c>
      <x:c r="D246" s="8" t="str">
        <x:v>L217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Points'!$A$7:$A$2910,A246,'Route Points'!$F$7:$F$2910)</x:f>
        <x:v>18.008000000000006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Solid tower corner/piers, stepped behind cornices; local ledge/fitting connection. No riser through louver openings; chase/finish and weathering details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drop:EB1:L7:light:1:L218</x:v>
      </x:c>
      <x:c r="B247" s="8" t="str">
        <x:v>L7 → Festival lights · tower H · stage 3 · outer corner</x:v>
      </x:c>
      <x:c r="C247" s="8" t="str">
        <x:v>EB1</x:v>
      </x:c>
      <x:c r="D247" s="8" t="str">
        <x:v>L218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Points'!$A$7:$A$2910,A247,'Route Points'!$F$7:$F$2910)</x:f>
        <x:v>22.428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Solid tower corner/piers, stepped behind cornices; local ledge/fitting connection. No riser through louver openings; chase/finish and weathering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drop:EB1:L7:light:1:L221</x:v>
      </x:c>
      <x:c r="B248" s="8" t="str">
        <x:v>L7 → Festival flood · rear gable H</x:v>
      </x:c>
      <x:c r="C248" s="8" t="str">
        <x:v>EB1</x:v>
      </x:c>
      <x:c r="D248" s="8" t="str">
        <x:v>L221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Points'!$A$7:$A$2910,A248,'Route Points'!$F$7:$F$2910)</x:f>
        <x:v>3.7548036909452107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roof route to local roof-mounted fitting; weatherproof cable entry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116" customHeight="1">
      <x:c r="A249" s="8" t="str">
        <x:v>trunk:DB2:L10:light:-1</x:v>
      </x:c>
      <x:c r="B249" s="8" t="str">
        <x:v>L10 · B · circuit trunk</x:v>
      </x:c>
      <x:c r="C249" s="8" t="str">
        <x:v>DB2</x:v>
      </x:c>
      <x:c r="D249" s="8" t="str">
        <x:v>L-STATUE-C-ARCH
L-STATUE-C-JAMB-1
L-STATUE-C-CANDLE-1
L-STATUE-B-ARCH
L-STATUE-B-JAMB-1
L-STATUE-B-CANDLE-1
L-STATUE-B-JAMB-2
L-STATUE-B-CANDLE-2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trunk</x:v>
      </x:c>
      <x:c r="I249" s="11" t="n">
        <x:f>SUMIF('Route Points'!$A$7:$A$2910,A249,'Route Points'!$F$7:$F$2910)</x:f>
        <x:v>28.080000000000002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Wall bands above openings; concealed finish-matched soffit crossing over the 9–10 wing opening.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/>
    </x:row>
    <x:row r="250" ht="90" customHeight="1">
      <x:c r="A250" s="8" t="str">
        <x:v>drop:DB2:L10:light:-1:L-STATUE-C-ARCH</x:v>
      </x:c>
      <x:c r="B250" s="8" t="str">
        <x:v>L10 → Hidden arch light · Assumption of Our Lady</x:v>
      </x:c>
      <x:c r="C250" s="8" t="str">
        <x:v>DB2</x:v>
      </x:c>
      <x:c r="D250" s="8" t="str">
        <x:v>L-STATUE-C-ARCH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Points'!$A$7:$A$2910,A250,'Route Points'!$F$7:$F$2910)</x:f>
        <x:v>23.124022727155335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drop:DB2:L10:light:-1:L-STATUE-C-JAMB-1</x:v>
      </x:c>
      <x:c r="B251" s="8" t="str">
        <x:v>L10 → Hidden jamb light · Assumption of Our Lady · B side</x:v>
      </x:c>
      <x:c r="C251" s="8" t="str">
        <x:v>DB2</x:v>
      </x:c>
      <x:c r="D251" s="8" t="str">
        <x:v>L-STATUE-C-JAMB-1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Points'!$A$7:$A$2910,A251,'Route Points'!$F$7:$F$2910)</x:f>
        <x:v>20.609022727155335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drop:DB2:L10:light:-1:L-STATUE-C-CANDLE-1</x:v>
      </x:c>
      <x:c r="B252" s="8" t="str">
        <x:v>L10 → Statue candle light · Assumption of Our Lady · B side</x:v>
      </x:c>
      <x:c r="C252" s="8" t="str">
        <x:v>DB2</x:v>
      </x:c>
      <x:c r="D252" s="8" t="str">
        <x:v>L-STATUE-C-CANDLE-1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Points'!$A$7:$A$2910,A252,'Route Points'!$F$7:$F$2910)</x:f>
        <x:v>19.50187223729198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90" customHeight="1">
      <x:c r="A253" s="8" t="str">
        <x:v>drop:DB2:L10:light:-1:L-STATUE-B-ARCH</x:v>
      </x:c>
      <x:c r="B253" s="8" t="str">
        <x:v>L10 → Hidden arch light · Saint Peter</x:v>
      </x:c>
      <x:c r="C253" s="8" t="str">
        <x:v>DB2</x:v>
      </x:c>
      <x:c r="D253" s="8" t="str">
        <x:v>L-STATUE-B-ARCH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Points'!$A$7:$A$2910,A253,'Route Points'!$F$7:$F$2910)</x:f>
        <x:v>11.250785390048936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trunk:DB2:L10:light:-1</x:v>
      </x:c>
    </x:row>
    <x:row r="254" ht="90" customHeight="1">
      <x:c r="A254" s="8" t="str">
        <x:v>drop:DB2:L10:light:-1:L-STATUE-B-JAMB-1</x:v>
      </x:c>
      <x:c r="B254" s="8" t="str">
        <x:v>L10 → Hidden jamb light · Saint Peter · B side</x:v>
      </x:c>
      <x:c r="C254" s="8" t="str">
        <x:v>DB2</x:v>
      </x:c>
      <x:c r="D254" s="8" t="str">
        <x:v>L-STATUE-B-JAMB-1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Points'!$A$7:$A$2910,A254,'Route Points'!$F$7:$F$2910)</x:f>
        <x:v>9.104785390048937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trunk:DB2:L10:light:-1</x:v>
      </x:c>
    </x:row>
    <x:row r="255" ht="90" customHeight="1">
      <x:c r="A255" s="8" t="str">
        <x:v>drop:DB2:L10:light:-1:L-STATUE-B-CANDLE-1</x:v>
      </x:c>
      <x:c r="B255" s="8" t="str">
        <x:v>L10 → Statue candle light · Saint Peter · B side</x:v>
      </x:c>
      <x:c r="C255" s="8" t="str">
        <x:v>DB2</x:v>
      </x:c>
      <x:c r="D255" s="8" t="str">
        <x:v>L-STATUE-B-CANDLE-1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Points'!$A$7:$A$2910,A255,'Route Points'!$F$7:$F$2910)</x:f>
        <x:v>8.258306050369999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trunk:DB2:L10:light:-1</x:v>
      </x:c>
    </x:row>
    <x:row r="256" ht="90" customHeight="1">
      <x:c r="A256" s="8" t="str">
        <x:v>drop:DB2:L10:light:-1:L-STATUE-B-JAMB-2</x:v>
      </x:c>
      <x:c r="B256" s="8" t="str">
        <x:v>L10 → Hidden jamb light · Saint Peter · H side</x:v>
      </x:c>
      <x:c r="C256" s="8" t="str">
        <x:v>DB2</x:v>
      </x:c>
      <x:c r="D256" s="8" t="str">
        <x:v>L-STATUE-B-JAMB-2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Points'!$A$7:$A$2910,A256,'Route Points'!$F$7:$F$2910)</x:f>
        <x:v>10.262785390048936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drop:DB2:L10:light:-1:L-STATUE-B-CANDLE-2</x:v>
      </x:c>
      <x:c r="B257" s="8" t="str">
        <x:v>L10 → Statue candle light · Saint Peter · H side</x:v>
      </x:c>
      <x:c r="C257" s="8" t="str">
        <x:v>DB2</x:v>
      </x:c>
      <x:c r="D257" s="8" t="str">
        <x:v>L-STATUE-B-CANDLE-2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Points'!$A$7:$A$2910,A257,'Route Points'!$F$7:$F$2910)</x:f>
        <x:v>8.87830605037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103" customHeight="1">
      <x:c r="A258" s="8" t="str">
        <x:v>trunk:DB2:L10:light:1</x:v>
      </x:c>
      <x:c r="B258" s="8" t="str">
        <x:v>L10 · H · circuit trunk</x:v>
      </x:c>
      <x:c r="C258" s="8" t="str">
        <x:v>DB2</x:v>
      </x:c>
      <x:c r="D258" s="8" t="str">
        <x:v>L-STATUE-C-JAMB-2
L-STATUE-C-CANDLE-2
L-STATUE-H-ARCH
L-STATUE-H-JAMB-1
L-STATUE-H-CANDLE-1
L-STATUE-H-JAMB-2
L-STATUE-H-CANDLE-2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trunk</x:v>
      </x:c>
      <x:c r="I258" s="11" t="n">
        <x:f>SUMIF('Route Points'!$A$7:$A$2910,A258,'Route Points'!$F$7:$F$2910)</x:f>
        <x:v>13.360000000000001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Wall bands above openings; concealed finish-matched soffit crossing over the 9–10 wing opening.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/>
    </x:row>
    <x:row r="259" ht="90" customHeight="1">
      <x:c r="A259" s="8" t="str">
        <x:v>drop:DB2:L10:light:1:L-STATUE-C-JAMB-2</x:v>
      </x:c>
      <x:c r="B259" s="8" t="str">
        <x:v>L10 → Hidden jamb light · Assumption of Our Lady · H side</x:v>
      </x:c>
      <x:c r="C259" s="8" t="str">
        <x:v>DB2</x:v>
      </x:c>
      <x:c r="D259" s="8" t="str">
        <x:v>L-STATUE-C-JAMB-2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Points'!$A$7:$A$2910,A259,'Route Points'!$F$7:$F$2910)</x:f>
        <x:v>20.609022727155335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drop:DB2:L10:light:1:L-STATUE-C-CANDLE-2</x:v>
      </x:c>
      <x:c r="B260" s="8" t="str">
        <x:v>L10 → Statue candle light · Assumption of Our Lady · H side</x:v>
      </x:c>
      <x:c r="C260" s="8" t="str">
        <x:v>DB2</x:v>
      </x:c>
      <x:c r="D260" s="8" t="str">
        <x:v>L-STATUE-C-CANDLE-2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Points'!$A$7:$A$2910,A260,'Route Points'!$F$7:$F$2910)</x:f>
        <x:v>19.50187223729198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drop:DB2:L10:light:1:L-STATUE-H-ARCH</x:v>
      </x:c>
      <x:c r="B261" s="8" t="str">
        <x:v>L10 → Hidden arch light · Saint Paul</x:v>
      </x:c>
      <x:c r="C261" s="8" t="str">
        <x:v>DB2</x:v>
      </x:c>
      <x:c r="D261" s="8" t="str">
        <x:v>L-STATUE-H-ARCH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Points'!$A$7:$A$2910,A261,'Route Points'!$F$7:$F$2910)</x:f>
        <x:v>11.250785390048936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trunk:DB2:L10:light:1</x:v>
      </x:c>
    </x:row>
    <x:row r="262" ht="90" customHeight="1">
      <x:c r="A262" s="8" t="str">
        <x:v>drop:DB2:L10:light:1:L-STATUE-H-JAMB-1</x:v>
      </x:c>
      <x:c r="B262" s="8" t="str">
        <x:v>L10 → Hidden jamb light · Saint Paul · B side</x:v>
      </x:c>
      <x:c r="C262" s="8" t="str">
        <x:v>DB2</x:v>
      </x:c>
      <x:c r="D262" s="8" t="str">
        <x:v>L-STATUE-H-JAMB-1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Points'!$A$7:$A$2910,A262,'Route Points'!$F$7:$F$2910)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trunk:DB2:L10:light:1</x:v>
      </x:c>
    </x:row>
    <x:row r="263" ht="90" customHeight="1">
      <x:c r="A263" s="8" t="str">
        <x:v>drop:DB2:L10:light:1:L-STATUE-H-CANDLE-1</x:v>
      </x:c>
      <x:c r="B263" s="8" t="str">
        <x:v>L10 → Statue candle light · Saint Paul · B side</x:v>
      </x:c>
      <x:c r="C263" s="8" t="str">
        <x:v>DB2</x:v>
      </x:c>
      <x:c r="D263" s="8" t="str">
        <x:v>L-STATUE-H-CANDLE-1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Points'!$A$7:$A$2910,A263,'Route Points'!$F$7:$F$2910)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trunk:DB2:L10:light:1</x:v>
      </x:c>
    </x:row>
    <x:row r="264" ht="90" customHeight="1">
      <x:c r="A264" s="8" t="str">
        <x:v>drop:DB2:L10:light:1:L-STATUE-H-JAMB-2</x:v>
      </x:c>
      <x:c r="B264" s="8" t="str">
        <x:v>L10 → Hidden jamb light · Saint Paul · H side</x:v>
      </x:c>
      <x:c r="C264" s="8" t="str">
        <x:v>DB2</x:v>
      </x:c>
      <x:c r="D264" s="8" t="str">
        <x:v>L-STATUE-H-JAMB-2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drop</x:v>
      </x:c>
      <x:c r="I264" s="11" t="n">
        <x:f>SUMIF('Route Points'!$A$7:$A$2910,A264,'Route Points'!$F$7:$F$2910)</x:f>
        <x:v>9.104785390048937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entrance wall band, solid pier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trunk:DB2:L10:light:1</x:v>
      </x:c>
    </x:row>
    <x:row r="265" ht="90" customHeight="1">
      <x:c r="A265" s="8" t="str">
        <x:v>drop:DB2:L10:light:1:L-STATUE-H-CANDLE-2</x:v>
      </x:c>
      <x:c r="B265" s="8" t="str">
        <x:v>L10 → Statue candle light · Saint Paul · H side</x:v>
      </x:c>
      <x:c r="C265" s="8" t="str">
        <x:v>DB2</x:v>
      </x:c>
      <x:c r="D265" s="8" t="str">
        <x:v>L-STATUE-H-CANDLE-2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Points'!$A$7:$A$2910,A265,'Route Points'!$F$7:$F$2910)</x:f>
        <x:v>8.258306050369999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194" customHeight="1">
      <x:c r="A266" s="8" t="str">
        <x:v>trunk:LC1:LS:light:1</x:v>
      </x:c>
      <x:c r="B266" s="8" t="str">
        <x:v>LS · H · circuit trunk</x:v>
      </x:c>
      <x:c r="C266" s="8" t="str">
        <x:v>LC1</x:v>
      </x:c>
      <x:c r="D266" s="8" t="str">
        <x:v>L-STATION-1-A
L-STATION-1-B
L-STATION-2-A
L-STATION-2-B
L-STATION-3-A
L-STATION-3-B
L-STATION-4-A
L-STATION-4-B
L-STATION-5-A
L-STATION-5-B
L-STATION-6-A
L-STATION-6-B
L-STATION-7-A
L-STATION-7-B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trunk</x:v>
      </x:c>
      <x:c r="I266" s="11" t="n">
        <x:f>SUMIF('Route Points'!$A$7:$A$2910,A266,'Route Points'!$F$7:$F$2910)</x:f>
        <x:v>71.24413031117919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Wall bands above openings; concealed finish-matched soffit crossing over the 9–10 wing opening.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/>
    </x:row>
    <x:row r="267" ht="90" customHeight="1">
      <x:c r="A267" s="8" t="str">
        <x:v>drop:LC1:LS:light:1:L-STATION-1-A</x:v>
      </x:c>
      <x:c r="B267" s="8" t="str">
        <x:v>LS → Station candle · I · front</x:v>
      </x:c>
      <x:c r="C267" s="8" t="str">
        <x:v>LC1</x:v>
      </x:c>
      <x:c r="D267" s="8" t="str">
        <x:v>L-STATION-1-A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Points'!$A$7:$A$2910,A267,'Route Points'!$F$7:$F$2910)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drop:LC1:LS:light:1:L-STATION-1-B</x:v>
      </x:c>
      <x:c r="B268" s="8" t="str">
        <x:v>LS → Station candle · I · rear</x:v>
      </x:c>
      <x:c r="C268" s="8" t="str">
        <x:v>LC1</x:v>
      </x:c>
      <x:c r="D268" s="8" t="str">
        <x:v>L-STATION-1-B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Points'!$A$7:$A$2910,A268,'Route Points'!$F$7:$F$2910)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90" customHeight="1">
      <x:c r="A269" s="8" t="str">
        <x:v>drop:LC1:LS:light:1:L-STATION-2-A</x:v>
      </x:c>
      <x:c r="B269" s="8" t="str">
        <x:v>LS → Station candle · II · front</x:v>
      </x:c>
      <x:c r="C269" s="8" t="str">
        <x:v>LC1</x:v>
      </x:c>
      <x:c r="D269" s="8" t="str">
        <x:v>L-STATION-2-A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drop</x:v>
      </x:c>
      <x:c r="I269" s="11" t="n">
        <x:f>SUMIF('Route Points'!$A$7:$A$2910,A269,'Route Points'!$F$7:$F$2910)</x:f>
        <x:v>1.5740000000000007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solid-pier / wall drop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trunk:LC1:LS:light:1</x:v>
      </x:c>
    </x:row>
    <x:row r="270" ht="90" customHeight="1">
      <x:c r="A270" s="8" t="str">
        <x:v>drop:LC1:LS:light:1:L-STATION-2-B</x:v>
      </x:c>
      <x:c r="B270" s="8" t="str">
        <x:v>LS → Station candle · II · rear</x:v>
      </x:c>
      <x:c r="C270" s="8" t="str">
        <x:v>LC1</x:v>
      </x:c>
      <x:c r="D270" s="8" t="str">
        <x:v>L-STATION-2-B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Points'!$A$7:$A$2910,A270,'Route Points'!$F$7:$F$2910)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trunk:LC1:LS:light:1</x:v>
      </x:c>
    </x:row>
    <x:row r="271" ht="90" customHeight="1">
      <x:c r="A271" s="8" t="str">
        <x:v>drop:LC1:LS:light:1:L-STATION-3-A</x:v>
      </x:c>
      <x:c r="B271" s="8" t="str">
        <x:v>LS → Station candle · III · front</x:v>
      </x:c>
      <x:c r="C271" s="8" t="str">
        <x:v>LC1</x:v>
      </x:c>
      <x:c r="D271" s="8" t="str">
        <x:v>L-STATION-3-A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Points'!$A$7:$A$2910,A271,'Route Points'!$F$7:$F$2910)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trunk:LC1:LS:light:1</x:v>
      </x:c>
    </x:row>
    <x:row r="272" ht="90" customHeight="1">
      <x:c r="A272" s="8" t="str">
        <x:v>drop:LC1:LS:light:1:L-STATION-3-B</x:v>
      </x:c>
      <x:c r="B272" s="8" t="str">
        <x:v>LS → Station candle · III · rear</x:v>
      </x:c>
      <x:c r="C272" s="8" t="str">
        <x:v>LC1</x:v>
      </x:c>
      <x:c r="D272" s="8" t="str">
        <x:v>L-STATION-3-B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Points'!$A$7:$A$2910,A272,'Route Points'!$F$7:$F$2910)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trunk:LC1:LS:light:1</x:v>
      </x:c>
    </x:row>
    <x:row r="273" ht="90" customHeight="1">
      <x:c r="A273" s="8" t="str">
        <x:v>drop:LC1:LS:light:1:L-STATION-4-A</x:v>
      </x:c>
      <x:c r="B273" s="8" t="str">
        <x:v>LS → Station candle · IV · front</x:v>
      </x:c>
      <x:c r="C273" s="8" t="str">
        <x:v>LC1</x:v>
      </x:c>
      <x:c r="D273" s="8" t="str">
        <x:v>L-STATION-4-A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Points'!$A$7:$A$2910,A273,'Route Points'!$F$7:$F$2910)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drop:LC1:LS:light:1:L-STATION-4-B</x:v>
      </x:c>
      <x:c r="B274" s="8" t="str">
        <x:v>LS → Station candle · IV · rear</x:v>
      </x:c>
      <x:c r="C274" s="8" t="str">
        <x:v>LC1</x:v>
      </x:c>
      <x:c r="D274" s="8" t="str">
        <x:v>L-STATION-4-B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Points'!$A$7:$A$2910,A274,'Route Points'!$F$7:$F$2910)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drop:LC1:LS:light:1:L-STATION-5-A</x:v>
      </x:c>
      <x:c r="B275" s="8" t="str">
        <x:v>LS → Station candle · V · front</x:v>
      </x:c>
      <x:c r="C275" s="8" t="str">
        <x:v>LC1</x:v>
      </x:c>
      <x:c r="D275" s="8" t="str">
        <x:v>L-STATION-5-A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Points'!$A$7:$A$2910,A275,'Route Points'!$F$7:$F$2910)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drop:LC1:LS:light:1:L-STATION-5-B</x:v>
      </x:c>
      <x:c r="B276" s="8" t="str">
        <x:v>LS → Station candle · V · rear</x:v>
      </x:c>
      <x:c r="C276" s="8" t="str">
        <x:v>LC1</x:v>
      </x:c>
      <x:c r="D276" s="8" t="str">
        <x:v>L-STATION-5-B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Points'!$A$7:$A$2910,A276,'Route Points'!$F$7:$F$2910)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drop:LC1:LS:light:1:L-STATION-6-A</x:v>
      </x:c>
      <x:c r="B277" s="8" t="str">
        <x:v>LS → Station candle · VI · front</x:v>
      </x:c>
      <x:c r="C277" s="8" t="str">
        <x:v>LC1</x:v>
      </x:c>
      <x:c r="D277" s="8" t="str">
        <x:v>L-STATION-6-A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Points'!$A$7:$A$2910,A277,'Route Points'!$F$7:$F$2910)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drop:LC1:LS:light:1:L-STATION-6-B</x:v>
      </x:c>
      <x:c r="B278" s="8" t="str">
        <x:v>LS → Station candle · VI · rear</x:v>
      </x:c>
      <x:c r="C278" s="8" t="str">
        <x:v>LC1</x:v>
      </x:c>
      <x:c r="D278" s="8" t="str">
        <x:v>L-STATION-6-B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Points'!$A$7:$A$2910,A278,'Route Points'!$F$7:$F$2910)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drop:LC1:LS:light:1:L-STATION-7-A</x:v>
      </x:c>
      <x:c r="B279" s="8" t="str">
        <x:v>LS → Station candle · VII · front</x:v>
      </x:c>
      <x:c r="C279" s="8" t="str">
        <x:v>LC1</x:v>
      </x:c>
      <x:c r="D279" s="8" t="str">
        <x:v>L-STATION-7-A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Points'!$A$7:$A$2910,A279,'Route Points'!$F$7:$F$2910)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drop:LC1:LS:light:1:L-STATION-7-B</x:v>
      </x:c>
      <x:c r="B280" s="8" t="str">
        <x:v>LS → Station candle · VII · rear</x:v>
      </x:c>
      <x:c r="C280" s="8" t="str">
        <x:v>LC1</x:v>
      </x:c>
      <x:c r="D280" s="8" t="str">
        <x:v>L-STATION-7-B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Points'!$A$7:$A$2910,A280,'Route Points'!$F$7:$F$2910)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194" customHeight="1">
      <x:c r="A281" s="8" t="str">
        <x:v>trunk:LC1:LS:light:-1</x:v>
      </x:c>
      <x:c r="B281" s="8" t="str">
        <x:v>LS · B · circuit trunk</x:v>
      </x:c>
      <x:c r="C281" s="8" t="str">
        <x:v>LC1</x:v>
      </x:c>
      <x:c r="D281" s="8" t="str">
        <x:v>L-STATION-8-A
L-STATION-8-B
L-STATION-9-A
L-STATION-9-B
L-STATION-10-A
L-STATION-10-B
L-STATION-11-A
L-STATION-11-B
L-STATION-12-A
L-STATION-12-B
L-STATION-13-A
L-STATION-13-B
L-STATION-14-A
L-STATION-14-B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trunk</x:v>
      </x:c>
      <x:c r="I281" s="11" t="n">
        <x:f>SUMIF('Route Points'!$A$7:$A$2910,A281,'Route Points'!$F$7:$F$2910)</x:f>
        <x:v>64.6441303111792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Wall bands above openings; concealed finish-matched soffit crossing over the 9–10 wing opening.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/>
    </x:row>
    <x:row r="282" ht="90" customHeight="1">
      <x:c r="A282" s="8" t="str">
        <x:v>drop:LC1:LS:light:-1:L-STATION-8-A</x:v>
      </x:c>
      <x:c r="B282" s="8" t="str">
        <x:v>LS → Station candle · VIII · front</x:v>
      </x:c>
      <x:c r="C282" s="8" t="str">
        <x:v>LC1</x:v>
      </x:c>
      <x:c r="D282" s="8" t="str">
        <x:v>L-STATION-8-A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Points'!$A$7:$A$2910,A282,'Route Points'!$F$7:$F$2910)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drop:LC1:LS:light:-1:L-STATION-8-B</x:v>
      </x:c>
      <x:c r="B283" s="8" t="str">
        <x:v>LS → Station candle · VIII · rear</x:v>
      </x:c>
      <x:c r="C283" s="8" t="str">
        <x:v>LC1</x:v>
      </x:c>
      <x:c r="D283" s="8" t="str">
        <x:v>L-STATION-8-B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Points'!$A$7:$A$2910,A283,'Route Points'!$F$7:$F$2910)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90" customHeight="1">
      <x:c r="A284" s="8" t="str">
        <x:v>drop:LC1:LS:light:-1:L-STATION-9-A</x:v>
      </x:c>
      <x:c r="B284" s="8" t="str">
        <x:v>LS → Station candle · IX · front</x:v>
      </x:c>
      <x:c r="C284" s="8" t="str">
        <x:v>LC1</x:v>
      </x:c>
      <x:c r="D284" s="8" t="str">
        <x:v>L-STATION-9-A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Points'!$A$7:$A$2910,A284,'Route Points'!$F$7:$F$2910)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trunk:LC1:LS:light:-1</x:v>
      </x:c>
    </x:row>
    <x:row r="285" ht="90" customHeight="1">
      <x:c r="A285" s="8" t="str">
        <x:v>drop:LC1:LS:light:-1:L-STATION-9-B</x:v>
      </x:c>
      <x:c r="B285" s="8" t="str">
        <x:v>LS → Station candle · IX · rear</x:v>
      </x:c>
      <x:c r="C285" s="8" t="str">
        <x:v>LC1</x:v>
      </x:c>
      <x:c r="D285" s="8" t="str">
        <x:v>L-STATION-9-B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Points'!$A$7:$A$2910,A285,'Route Points'!$F$7:$F$2910)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trunk:LC1:LS:light:-1</x:v>
      </x:c>
    </x:row>
    <x:row r="286" ht="90" customHeight="1">
      <x:c r="A286" s="8" t="str">
        <x:v>drop:LC1:LS:light:-1:L-STATION-10-A</x:v>
      </x:c>
      <x:c r="B286" s="8" t="str">
        <x:v>LS → Station candle · X · front</x:v>
      </x:c>
      <x:c r="C286" s="8" t="str">
        <x:v>LC1</x:v>
      </x:c>
      <x:c r="D286" s="8" t="str">
        <x:v>L-STATION-10-A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Points'!$A$7:$A$2910,A286,'Route Points'!$F$7:$F$2910)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trunk:LC1:LS:light:-1</x:v>
      </x:c>
    </x:row>
    <x:row r="287" ht="90" customHeight="1">
      <x:c r="A287" s="8" t="str">
        <x:v>drop:LC1:LS:light:-1:L-STATION-10-B</x:v>
      </x:c>
      <x:c r="B287" s="8" t="str">
        <x:v>LS → Station candle · X · rear</x:v>
      </x:c>
      <x:c r="C287" s="8" t="str">
        <x:v>LC1</x:v>
      </x:c>
      <x:c r="D287" s="8" t="str">
        <x:v>L-STATION-10-B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drop</x:v>
      </x:c>
      <x:c r="I287" s="11" t="n">
        <x:f>SUMIF('Route Points'!$A$7:$A$2910,A287,'Route Points'!$F$7:$F$2910)</x:f>
        <x:v>1.5740000000000007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solid-pier / wall drop and local termination.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 t="str">
        <x:v>trunk:LC1:LS:light:-1</x:v>
      </x:c>
    </x:row>
    <x:row r="288" ht="90" customHeight="1">
      <x:c r="A288" s="8" t="str">
        <x:v>drop:LC1:LS:light:-1:L-STATION-11-A</x:v>
      </x:c>
      <x:c r="B288" s="8" t="str">
        <x:v>LS → Station candle · XI · front</x:v>
      </x:c>
      <x:c r="C288" s="8" t="str">
        <x:v>LC1</x:v>
      </x:c>
      <x:c r="D288" s="8" t="str">
        <x:v>L-STATION-11-A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Points'!$A$7:$A$2910,A288,'Route Points'!$F$7:$F$2910)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drop:LC1:LS:light:-1:L-STATION-11-B</x:v>
      </x:c>
      <x:c r="B289" s="8" t="str">
        <x:v>LS → Station candle · XI · rear</x:v>
      </x:c>
      <x:c r="C289" s="8" t="str">
        <x:v>LC1</x:v>
      </x:c>
      <x:c r="D289" s="8" t="str">
        <x:v>L-STATION-11-B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Points'!$A$7:$A$2910,A289,'Route Points'!$F$7:$F$2910)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drop:LC1:LS:light:-1:L-STATION-12-A</x:v>
      </x:c>
      <x:c r="B290" s="8" t="str">
        <x:v>LS → Station candle · XII · front</x:v>
      </x:c>
      <x:c r="C290" s="8" t="str">
        <x:v>LC1</x:v>
      </x:c>
      <x:c r="D290" s="8" t="str">
        <x:v>L-STATION-12-A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Points'!$A$7:$A$2910,A290,'Route Points'!$F$7:$F$2910)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drop:LC1:LS:light:-1:L-STATION-12-B</x:v>
      </x:c>
      <x:c r="B291" s="8" t="str">
        <x:v>LS → Station candle · XII · rear</x:v>
      </x:c>
      <x:c r="C291" s="8" t="str">
        <x:v>LC1</x:v>
      </x:c>
      <x:c r="D291" s="8" t="str">
        <x:v>L-STATION-12-B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Points'!$A$7:$A$2910,A291,'Route Points'!$F$7:$F$2910)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drop:LC1:LS:light:-1:L-STATION-13-A</x:v>
      </x:c>
      <x:c r="B292" s="8" t="str">
        <x:v>LS → Station candle · XIII · front</x:v>
      </x:c>
      <x:c r="C292" s="8" t="str">
        <x:v>LC1</x:v>
      </x:c>
      <x:c r="D292" s="8" t="str">
        <x:v>L-STATION-13-A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Points'!$A$7:$A$2910,A292,'Route Points'!$F$7:$F$2910)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drop:LC1:LS:light:-1:L-STATION-13-B</x:v>
      </x:c>
      <x:c r="B293" s="8" t="str">
        <x:v>LS → Station candle · XIII · rear</x:v>
      </x:c>
      <x:c r="C293" s="8" t="str">
        <x:v>LC1</x:v>
      </x:c>
      <x:c r="D293" s="8" t="str">
        <x:v>L-STATION-13-B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Points'!$A$7:$A$2910,A293,'Route Points'!$F$7:$F$2910)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drop:LC1:LS:light:-1:L-STATION-14-A</x:v>
      </x:c>
      <x:c r="B294" s="8" t="str">
        <x:v>LS → Station candle · XIV · front</x:v>
      </x:c>
      <x:c r="C294" s="8" t="str">
        <x:v>LC1</x:v>
      </x:c>
      <x:c r="D294" s="8" t="str">
        <x:v>L-STATION-14-A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Points'!$A$7:$A$2910,A294,'Route Points'!$F$7:$F$2910)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drop:LC1:LS:light:-1:L-STATION-14-B</x:v>
      </x:c>
      <x:c r="B295" s="8" t="str">
        <x:v>LS → Station candle · XIV · rear</x:v>
      </x:c>
      <x:c r="C295" s="8" t="str">
        <x:v>LC1</x:v>
      </x:c>
      <x:c r="D295" s="8" t="str">
        <x:v>L-STATION-14-B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Points'!$A$7:$A$2910,A295,'Route Points'!$F$7:$F$2910)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trunk:LC1:L8:light:-1</x:v>
      </x:c>
      <x:c r="B296" s="8" t="str">
        <x:v>L8 · B · circuit trunk</x:v>
      </x:c>
      <x:c r="C296" s="8" t="str">
        <x:v>LC1</x:v>
      </x:c>
      <x:c r="D296" s="8" t="str">
        <x:v>L-WING-B-FI
L-WING-B-FO
L-WING-B-RI
L-WING-B-RO</x:v>
      </x:c>
      <x:c r="E296" s="8" t="str">
        <x:v>DB1</x:v>
      </x:c>
      <x:c r="F296" s="8" t="str">
        <x:v>L8</x:v>
      </x:c>
      <x:c r="G296" s="8" t="str">
        <x:v>light</x:v>
      </x:c>
      <x:c r="H296" s="8" t="str">
        <x:v>trunk</x:v>
      </x:c>
      <x:c r="I296" s="11" t="n">
        <x:f>SUMIF('Route Points'!$A$7:$A$2910,A296,'Route Points'!$F$7:$F$2910)</x:f>
        <x:v>31.83942622175583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Wall bands above openings; concealed finish-matched soffit crossing over the 9–10 wing opening.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/>
    </x:row>
    <x:row r="297" ht="90" customHeight="1">
      <x:c r="A297" s="8" t="str">
        <x:v>drop:LC1:L8:light:-1:L-WING-B-FI</x:v>
      </x:c>
      <x:c r="B297" s="8" t="str">
        <x:v>L8 → Wing downlight · B · front block · inner row</x:v>
      </x:c>
      <x:c r="C297" s="8" t="str">
        <x:v>LC1</x:v>
      </x:c>
      <x:c r="D297" s="8" t="str">
        <x:v>L-WING-B-FI</x:v>
      </x:c>
      <x:c r="E297" s="8" t="str">
        <x:v>DB1</x:v>
      </x:c>
      <x:c r="F297" s="8" t="str">
        <x:v>L8</x:v>
      </x:c>
      <x:c r="G297" s="8" t="str">
        <x:v>light</x:v>
      </x:c>
      <x:c r="H297" s="8" t="str">
        <x:v>drop</x:v>
      </x:c>
      <x:c r="I297" s="11" t="n">
        <x:f>SUMIF('Route Points'!$A$7:$A$2910,A297,'Route Points'!$F$7:$F$2910)</x:f>
        <x:v>1.5819092268041244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Above nave lining / covered soffit route at wings and verandas; cable continues inside the existing pendant stem. Roof build-up, supports and access pending.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trunk:LC1:L8:light:-1</x:v>
      </x:c>
    </x:row>
    <x:row r="298" ht="90" customHeight="1">
      <x:c r="A298" s="8" t="str">
        <x:v>drop:LC1:L8:light:-1:L-WING-B-FO</x:v>
      </x:c>
      <x:c r="B298" s="8" t="str">
        <x:v>L8 → Wing downlight · B · front block · outer row</x:v>
      </x:c>
      <x:c r="C298" s="8" t="str">
        <x:v>LC1</x:v>
      </x:c>
      <x:c r="D298" s="8" t="str">
        <x:v>L-WING-B-FO</x:v>
      </x:c>
      <x:c r="E298" s="8" t="str">
        <x:v>DB1</x:v>
      </x:c>
      <x:c r="F298" s="8" t="str">
        <x:v>L8</x:v>
      </x:c>
      <x:c r="G298" s="8" t="str">
        <x:v>light</x:v>
      </x:c>
      <x:c r="H298" s="8" t="str">
        <x:v>drop</x:v>
      </x:c>
      <x:c r="I298" s="11" t="n">
        <x:f>SUMIF('Route Points'!$A$7:$A$2910,A298,'Route Points'!$F$7:$F$2910)</x:f>
        <x:v>4.181909226804124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Above nave lining / covered soffit route at wings and verandas; cable continues inside the existing pendant stem. Roof build-up, supports and access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trunk:LC1:L8:light:-1</x:v>
      </x:c>
    </x:row>
    <x:row r="299" ht="90" customHeight="1">
      <x:c r="A299" s="8" t="str">
        <x:v>drop:LC1:L8:light:-1:L-WING-B-RI</x:v>
      </x:c>
      <x:c r="B299" s="8" t="str">
        <x:v>L8 → Wing downlight · B · rear block · inner row</x:v>
      </x:c>
      <x:c r="C299" s="8" t="str">
        <x:v>LC1</x:v>
      </x:c>
      <x:c r="D299" s="8" t="str">
        <x:v>L-WING-B-RI</x:v>
      </x:c>
      <x:c r="E299" s="8" t="str">
        <x:v>DB1</x:v>
      </x:c>
      <x:c r="F299" s="8" t="str">
        <x:v>L8</x:v>
      </x:c>
      <x:c r="G299" s="8" t="str">
        <x:v>light</x:v>
      </x:c>
      <x:c r="H299" s="8" t="str">
        <x:v>drop</x:v>
      </x:c>
      <x:c r="I299" s="11" t="n">
        <x:f>SUMIF('Route Points'!$A$7:$A$2910,A299,'Route Points'!$F$7:$F$2910)</x:f>
        <x:v>1.5584833505154654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Above nave lining / covered soffit route at wings and verandas; cable continues inside the existing pendant stem. Roof build-up, supports and access pending.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trunk:LC1:L8:light:-1</x:v>
      </x:c>
    </x:row>
    <x:row r="300" ht="90" customHeight="1">
      <x:c r="A300" s="8" t="str">
        <x:v>drop:LC1:L8:light:-1:L-WING-B-RO</x:v>
      </x:c>
      <x:c r="B300" s="8" t="str">
        <x:v>L8 → Wing downlight · B · rear block · outer row</x:v>
      </x:c>
      <x:c r="C300" s="8" t="str">
        <x:v>LC1</x:v>
      </x:c>
      <x:c r="D300" s="8" t="str">
        <x:v>L-WING-B-RO</x:v>
      </x:c>
      <x:c r="E300" s="8" t="str">
        <x:v>DB1</x:v>
      </x:c>
      <x:c r="F300" s="8" t="str">
        <x:v>L8</x:v>
      </x:c>
      <x:c r="G300" s="8" t="str">
        <x:v>light</x:v>
      </x:c>
      <x:c r="H300" s="8" t="str">
        <x:v>drop</x:v>
      </x:c>
      <x:c r="I300" s="11" t="n">
        <x:f>SUMIF('Route Points'!$A$7:$A$2910,A300,'Route Points'!$F$7:$F$2910)</x:f>
        <x:v>4.158483350515465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Above nave lining / covered soffit route at wings and verandas; cable continues inside the existing pendant stem. Roof build-up, supports and access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trunk:LC1:L8:light:-1</x:v>
      </x:c>
    </x:row>
    <x:row r="301" ht="90" customHeight="1">
      <x:c r="A301" s="8" t="str">
        <x:v>trunk:LC1:L8:light:1</x:v>
      </x:c>
      <x:c r="B301" s="8" t="str">
        <x:v>L8 · H · circuit trunk</x:v>
      </x:c>
      <x:c r="C301" s="8" t="str">
        <x:v>LC1</x:v>
      </x:c>
      <x:c r="D301" s="8" t="str">
        <x:v>L-WING-H-FI
L-WING-H-FO
L-WING-H-RI
L-WING-H-RO</x:v>
      </x:c>
      <x:c r="E301" s="8" t="str">
        <x:v>DB1</x:v>
      </x:c>
      <x:c r="F301" s="8" t="str">
        <x:v>L8</x:v>
      </x:c>
      <x:c r="G301" s="8" t="str">
        <x:v>light</x:v>
      </x:c>
      <x:c r="H301" s="8" t="str">
        <x:v>trunk</x:v>
      </x:c>
      <x:c r="I301" s="11" t="n">
        <x:f>SUMIF('Route Points'!$A$7:$A$2910,A301,'Route Points'!$F$7:$F$2910)</x:f>
        <x:v>38.43942622175583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Wall bands above openings; concealed finish-matched soffit crossing over the 9–10 wing opening.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/>
    </x:row>
    <x:row r="302" ht="90" customHeight="1">
      <x:c r="A302" s="8" t="str">
        <x:v>drop:LC1:L8:light:1:L-WING-H-FI</x:v>
      </x:c>
      <x:c r="B302" s="8" t="str">
        <x:v>L8 → Wing downlight · H · front block · inner row</x:v>
      </x:c>
      <x:c r="C302" s="8" t="str">
        <x:v>LC1</x:v>
      </x:c>
      <x:c r="D302" s="8" t="str">
        <x:v>L-WING-H-FI</x:v>
      </x:c>
      <x:c r="E302" s="8" t="str">
        <x:v>DB1</x:v>
      </x:c>
      <x:c r="F302" s="8" t="str">
        <x:v>L8</x:v>
      </x:c>
      <x:c r="G302" s="8" t="str">
        <x:v>light</x:v>
      </x:c>
      <x:c r="H302" s="8" t="str">
        <x:v>drop</x:v>
      </x:c>
      <x:c r="I302" s="11" t="n">
        <x:f>SUMIF('Route Points'!$A$7:$A$2910,A302,'Route Points'!$F$7:$F$2910)</x:f>
        <x:v>1.5819092268041244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Above nave lining / covered soffit route at wings and verandas; cable continues inside the existing pendant stem. Roof build-up, supports and access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Current</x:v>
      </x:c>
      <x:c r="Z302" s="8" t="str">
        <x:v>trunk:LC1:L8:light:1</x:v>
      </x:c>
    </x:row>
    <x:row r="303" ht="90" customHeight="1">
      <x:c r="A303" s="8" t="str">
        <x:v>drop:LC1:L8:light:1:L-WING-H-FO</x:v>
      </x:c>
      <x:c r="B303" s="8" t="str">
        <x:v>L8 → Wing downlight · H · front block · outer row</x:v>
      </x:c>
      <x:c r="C303" s="8" t="str">
        <x:v>LC1</x:v>
      </x:c>
      <x:c r="D303" s="8" t="str">
        <x:v>L-WING-H-FO</x:v>
      </x:c>
      <x:c r="E303" s="8" t="str">
        <x:v>DB1</x:v>
      </x:c>
      <x:c r="F303" s="8" t="str">
        <x:v>L8</x:v>
      </x:c>
      <x:c r="G303" s="8" t="str">
        <x:v>light</x:v>
      </x:c>
      <x:c r="H303" s="8" t="str">
        <x:v>drop</x:v>
      </x:c>
      <x:c r="I303" s="11" t="n">
        <x:f>SUMIF('Route Points'!$A$7:$A$2910,A303,'Route Points'!$F$7:$F$2910)</x:f>
        <x:v>4.181909226804124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Above nave lining / covered soffit route at wings and verandas; cable continues inside the existing pendant stem. Roof build-up, supports and access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Current</x:v>
      </x:c>
      <x:c r="Z303" s="8" t="str">
        <x:v>trunk:LC1:L8:light:1</x:v>
      </x:c>
    </x:row>
    <x:row r="304" ht="90" customHeight="1">
      <x:c r="A304" s="8" t="str">
        <x:v>drop:LC1:L8:light:1:L-WING-H-RI</x:v>
      </x:c>
      <x:c r="B304" s="8" t="str">
        <x:v>L8 → Wing downlight · H · rear block · inner row</x:v>
      </x:c>
      <x:c r="C304" s="8" t="str">
        <x:v>LC1</x:v>
      </x:c>
      <x:c r="D304" s="8" t="str">
        <x:v>L-WING-H-RI</x:v>
      </x:c>
      <x:c r="E304" s="8" t="str">
        <x:v>DB1</x:v>
      </x:c>
      <x:c r="F304" s="8" t="str">
        <x:v>L8</x:v>
      </x:c>
      <x:c r="G304" s="8" t="str">
        <x:v>light</x:v>
      </x:c>
      <x:c r="H304" s="8" t="str">
        <x:v>drop</x:v>
      </x:c>
      <x:c r="I304" s="11" t="n">
        <x:f>SUMIF('Route Points'!$A$7:$A$2910,A304,'Route Points'!$F$7:$F$2910)</x:f>
        <x:v>1.5584833505154654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Above nave lining / covered soffit route at wings and verandas; cable continues inside the existing pendant stem. Roof build-up, supports and access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Current</x:v>
      </x:c>
      <x:c r="Z304" s="8" t="str">
        <x:v>trunk:LC1:L8:light:1</x:v>
      </x:c>
    </x:row>
    <x:row r="305" ht="90" customHeight="1">
      <x:c r="A305" s="8" t="str">
        <x:v>drop:LC1:L8:light:1:L-WING-H-RO</x:v>
      </x:c>
      <x:c r="B305" s="8" t="str">
        <x:v>L8 → Wing downlight · H · rear block · outer row</x:v>
      </x:c>
      <x:c r="C305" s="8" t="str">
        <x:v>LC1</x:v>
      </x:c>
      <x:c r="D305" s="8" t="str">
        <x:v>L-WING-H-RO</x:v>
      </x:c>
      <x:c r="E305" s="8" t="str">
        <x:v>DB1</x:v>
      </x:c>
      <x:c r="F305" s="8" t="str">
        <x:v>L8</x:v>
      </x:c>
      <x:c r="G305" s="8" t="str">
        <x:v>light</x:v>
      </x:c>
      <x:c r="H305" s="8" t="str">
        <x:v>drop</x:v>
      </x:c>
      <x:c r="I305" s="11" t="n">
        <x:f>SUMIF('Route Points'!$A$7:$A$2910,A305,'Route Points'!$F$7:$F$2910)</x:f>
        <x:v>4.158483350515465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Above nave lining / covered soffit route at wings and verandas; cable continues inside the existing pendant stem. Roof build-up, supports and access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Current</x:v>
      </x:c>
      <x:c r="Z305" s="8" t="str">
        <x:v>trunk:LC1:L8:light:1</x:v>
      </x:c>
    </x:row>
    <x:row r="306" ht="90" customHeight="1">
      <x:c r="A306" s="8" t="str">
        <x:v>drop:LC1:L8:light:-1:L63</x:v>
      </x:c>
      <x:c r="B306" s="8" t="str">
        <x:v>L8 → Wing light · B · front block · back rows</x:v>
      </x:c>
      <x:c r="C306" s="8" t="str">
        <x:v>LC1</x:v>
      </x:c>
      <x:c r="D306" s="8" t="str">
        <x:v>L63</x:v>
      </x:c>
      <x:c r="E306" s="8" t="str">
        <x:v>DB1</x:v>
      </x:c>
      <x:c r="F306" s="8" t="str">
        <x:v>L8</x:v>
      </x:c>
      <x:c r="G306" s="8" t="str">
        <x:v>light</x:v>
      </x:c>
      <x:c r="H306" s="8" t="str">
        <x:v>drop</x:v>
      </x:c>
      <x:c r="I306" s="11" t="n">
        <x:f>SUMIF('Route Points'!$A$7:$A$2910,A306,'Route Points'!$F$7:$F$2910)</x:f>
        <x:v>6.943150773195873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Above nave lining / covered soffit route at wings and verandas; cable continues inside the existing pendant stem. Roof build-up, supports and access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trunk:LC1:L8:light:-1</x:v>
      </x:c>
    </x:row>
    <x:row r="307" ht="90" customHeight="1">
      <x:c r="A307" s="8" t="str">
        <x:v>drop:LC1:L8:light:-1:L65</x:v>
      </x:c>
      <x:c r="B307" s="8" t="str">
        <x:v>L8 → Wing light · B · rear block · back rows</x:v>
      </x:c>
      <x:c r="C307" s="8" t="str">
        <x:v>LC1</x:v>
      </x:c>
      <x:c r="D307" s="8" t="str">
        <x:v>L65</x:v>
      </x:c>
      <x:c r="E307" s="8" t="str">
        <x:v>DB1</x:v>
      </x:c>
      <x:c r="F307" s="8" t="str">
        <x:v>L8</x:v>
      </x:c>
      <x:c r="G307" s="8" t="str">
        <x:v>light</x:v>
      </x:c>
      <x:c r="H307" s="8" t="str">
        <x:v>drop</x:v>
      </x:c>
      <x:c r="I307" s="11" t="n">
        <x:f>SUMIF('Route Points'!$A$7:$A$2910,A307,'Route Points'!$F$7:$F$2910)</x:f>
        <x:v>6.935096649484539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Above nave lining / covered soffit route at wings and verandas; cable continues inside the existing pendant stem. Roof build-up, supports and access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trunk:LC1:L8:light:-1</x:v>
      </x:c>
    </x:row>
    <x:row r="308" ht="90" customHeight="1">
      <x:c r="A308" s="8" t="str">
        <x:v>drop:LC1:L8:light:1:L67</x:v>
      </x:c>
      <x:c r="B308" s="8" t="str">
        <x:v>L8 → Wing light · H · front block · back rows</x:v>
      </x:c>
      <x:c r="C308" s="8" t="str">
        <x:v>LC1</x:v>
      </x:c>
      <x:c r="D308" s="8" t="str">
        <x:v>L67</x:v>
      </x:c>
      <x:c r="E308" s="8" t="str">
        <x:v>DB1</x:v>
      </x:c>
      <x:c r="F308" s="8" t="str">
        <x:v>L8</x:v>
      </x:c>
      <x:c r="G308" s="8" t="str">
        <x:v>light</x:v>
      </x:c>
      <x:c r="H308" s="8" t="str">
        <x:v>drop</x:v>
      </x:c>
      <x:c r="I308" s="11" t="n">
        <x:f>SUMIF('Route Points'!$A$7:$A$2910,A308,'Route Points'!$F$7:$F$2910)</x:f>
        <x:v>6.943150773195873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Above nave lining / covered soffit route at wings and verandas; cable continues inside the existing pendant stem. Roof build-up, supports and access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trunk:LC1:L8:light:1</x:v>
      </x:c>
    </x:row>
    <x:row r="309" ht="90" customHeight="1">
      <x:c r="A309" s="8" t="str">
        <x:v>drop:LC1:L8:light:1:L69</x:v>
      </x:c>
      <x:c r="B309" s="8" t="str">
        <x:v>L8 → Wing light · H · rear block · back rows</x:v>
      </x:c>
      <x:c r="C309" s="8" t="str">
        <x:v>LC1</x:v>
      </x:c>
      <x:c r="D309" s="8" t="str">
        <x:v>L69</x:v>
      </x:c>
      <x:c r="E309" s="8" t="str">
        <x:v>DB1</x:v>
      </x:c>
      <x:c r="F309" s="8" t="str">
        <x:v>L8</x:v>
      </x:c>
      <x:c r="G309" s="8" t="str">
        <x:v>light</x:v>
      </x:c>
      <x:c r="H309" s="8" t="str">
        <x:v>drop</x:v>
      </x:c>
      <x:c r="I309" s="11" t="n">
        <x:f>SUMIF('Route Points'!$A$7:$A$2910,A309,'Route Points'!$F$7:$F$2910)</x:f>
        <x:v>6.935096649484539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Above nave lining / covered soffit route at wings and verandas; cable continues inside the existing pendant stem. Roof build-up, supports and access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trunk:LC1:L8:light:1</x:v>
      </x:c>
    </x:row>
    <x:row r="310" ht="103" customHeight="1">
      <x:c r="A310" s="8" t="str">
        <x:v>trunk:LC1:LD:light:-1</x:v>
      </x:c>
      <x:c r="B310" s="8" t="str">
        <x:v>LD · B · circuit trunk</x:v>
      </x:c>
      <x:c r="C310" s="8" t="str">
        <x:v>LC1</x:v>
      </x:c>
      <x:c r="D310" s="8" t="str">
        <x:v>L82
L84
L86
L88
L90
L92
L94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Points'!$A$7:$A$2910,A310,'Route Points'!$F$7:$F$2910)</x:f>
        <x:v>62.29813031117919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drop:LC1:LD:light:-1:L82</x:v>
      </x:c>
      <x:c r="B311" s="8" t="str">
        <x:v>LD → Sconce · axis 3 · B</x:v>
      </x:c>
      <x:c r="C311" s="8" t="str">
        <x:v>LC1</x:v>
      </x:c>
      <x:c r="D311" s="8" t="str">
        <x:v>L82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Points'!$A$7:$A$2910,A311,'Route Points'!$F$7:$F$2910)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trunk:LC1:LD:light:-1</x:v>
      </x:c>
    </x:row>
    <x:row r="312" ht="90" customHeight="1">
      <x:c r="A312" s="8" t="str">
        <x:v>drop:LC1:LD:light:-1:L84</x:v>
      </x:c>
      <x:c r="B312" s="8" t="str">
        <x:v>LD → Sconce · axis 4 · B</x:v>
      </x:c>
      <x:c r="C312" s="8" t="str">
        <x:v>LC1</x:v>
      </x:c>
      <x:c r="D312" s="8" t="str">
        <x:v>L84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Points'!$A$7:$A$2910,A312,'Route Points'!$F$7:$F$2910)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trunk:LC1:LD:light:-1</x:v>
      </x:c>
    </x:row>
    <x:row r="313" ht="90" customHeight="1">
      <x:c r="A313" s="8" t="str">
        <x:v>drop:LC1:LD:light:-1:L86</x:v>
      </x:c>
      <x:c r="B313" s="8" t="str">
        <x:v>LD → Sconce · axis 5 · B</x:v>
      </x:c>
      <x:c r="C313" s="8" t="str">
        <x:v>LC1</x:v>
      </x:c>
      <x:c r="D313" s="8" t="str">
        <x:v>L86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Points'!$A$7:$A$2910,A313,'Route Points'!$F$7:$F$2910)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trunk:LC1:LD:light:-1</x:v>
      </x:c>
    </x:row>
    <x:row r="314" ht="90" customHeight="1">
      <x:c r="A314" s="8" t="str">
        <x:v>drop:LC1:LD:light:-1:L88</x:v>
      </x:c>
      <x:c r="B314" s="8" t="str">
        <x:v>LD → Sconce · axis 6 · B</x:v>
      </x:c>
      <x:c r="C314" s="8" t="str">
        <x:v>LC1</x:v>
      </x:c>
      <x:c r="D314" s="8" t="str">
        <x:v>L88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Points'!$A$7:$A$2910,A314,'Route Points'!$F$7:$F$2910)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trunk:LC1:LD:light:-1</x:v>
      </x:c>
    </x:row>
    <x:row r="315" ht="90" customHeight="1">
      <x:c r="A315" s="8" t="str">
        <x:v>drop:LC1:LD:light:-1:L90</x:v>
      </x:c>
      <x:c r="B315" s="8" t="str">
        <x:v>LD → Sconce · axis 7 · B</x:v>
      </x:c>
      <x:c r="C315" s="8" t="str">
        <x:v>LC1</x:v>
      </x:c>
      <x:c r="D315" s="8" t="str">
        <x:v>L90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Points'!$A$7:$A$2910,A315,'Route Points'!$F$7:$F$2910)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trunk:LC1:LD:light:-1</x:v>
      </x:c>
    </x:row>
    <x:row r="316" ht="90" customHeight="1">
      <x:c r="A316" s="8" t="str">
        <x:v>drop:LC1:LD:light:-1:L92</x:v>
      </x:c>
      <x:c r="B316" s="8" t="str">
        <x:v>LD → Sconce · axis 8 · B</x:v>
      </x:c>
      <x:c r="C316" s="8" t="str">
        <x:v>LC1</x:v>
      </x:c>
      <x:c r="D316" s="8" t="str">
        <x:v>L92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Points'!$A$7:$A$2910,A316,'Route Points'!$F$7:$F$2910)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trunk:LC1:LD:light:-1</x:v>
      </x:c>
    </x:row>
    <x:row r="317" ht="90" customHeight="1">
      <x:c r="A317" s="8" t="str">
        <x:v>drop:LC1:LD:light:-1:L94</x:v>
      </x:c>
      <x:c r="B317" s="8" t="str">
        <x:v>LD → Sconce · axis 9 · B</x:v>
      </x:c>
      <x:c r="C317" s="8" t="str">
        <x:v>LC1</x:v>
      </x:c>
      <x:c r="D317" s="8" t="str">
        <x:v>L94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Points'!$A$7:$A$2910,A317,'Route Points'!$F$7:$F$2910)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trunk:LC1:LD:light:-1</x:v>
      </x:c>
    </x:row>
    <x:row r="318" ht="103" customHeight="1">
      <x:c r="A318" s="8" t="str">
        <x:v>trunk:LC1:LD:light:1</x:v>
      </x:c>
      <x:c r="B318" s="8" t="str">
        <x:v>LD · H · circuit trunk</x:v>
      </x:c>
      <x:c r="C318" s="8" t="str">
        <x:v>LC1</x:v>
      </x:c>
      <x:c r="D318" s="8" t="str">
        <x:v>L83
L85
L87
L89
L91
L93
L95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trunk</x:v>
      </x:c>
      <x:c r="I318" s="11" t="n">
        <x:f>SUMIF('Route Points'!$A$7:$A$2910,A318,'Route Points'!$F$7:$F$2910)</x:f>
        <x:v>68.89813031117919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Wall bands above openings; concealed finish-matched soffit crossing over the 9–10 wing opening.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/>
    </x:row>
    <x:row r="319" ht="90" customHeight="1">
      <x:c r="A319" s="8" t="str">
        <x:v>drop:LC1:LD:light:1:L83</x:v>
      </x:c>
      <x:c r="B319" s="8" t="str">
        <x:v>LD → Sconce · axis 3 · H</x:v>
      </x:c>
      <x:c r="C319" s="8" t="str">
        <x:v>LC1</x:v>
      </x:c>
      <x:c r="D319" s="8" t="str">
        <x:v>L83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Points'!$A$7:$A$2910,A319,'Route Points'!$F$7:$F$2910)</x:f>
        <x:v>1.2300000000000004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solid-pier / wall drop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90" customHeight="1">
      <x:c r="A320" s="8" t="str">
        <x:v>drop:LC1:LD:light:1:L85</x:v>
      </x:c>
      <x:c r="B320" s="8" t="str">
        <x:v>LD → Sconce · axis 4 · H</x:v>
      </x:c>
      <x:c r="C320" s="8" t="str">
        <x:v>LC1</x:v>
      </x:c>
      <x:c r="D320" s="8" t="str">
        <x:v>L85</x:v>
      </x:c>
      <x:c r="E320" s="8" t="str">
        <x:v>DB1</x:v>
      </x:c>
      <x:c r="F320" s="8" t="str">
        <x:v>LD</x:v>
      </x:c>
      <x:c r="G320" s="8" t="str">
        <x:v>light</x:v>
      </x:c>
      <x:c r="H320" s="8" t="str">
        <x:v>drop</x:v>
      </x:c>
      <x:c r="I320" s="11" t="n">
        <x:f>SUMIF('Route Points'!$A$7:$A$2910,A320,'Route Points'!$F$7:$F$2910)</x:f>
        <x:v>1.2300000000000004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solid-pier / wall drop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trunk:LC1:LD:light:1</x:v>
      </x:c>
    </x:row>
    <x:row r="321" ht="90" customHeight="1">
      <x:c r="A321" s="8" t="str">
        <x:v>drop:LC1:LD:light:1:L87</x:v>
      </x:c>
      <x:c r="B321" s="8" t="str">
        <x:v>LD → Sconce · axis 5 · H</x:v>
      </x:c>
      <x:c r="C321" s="8" t="str">
        <x:v>LC1</x:v>
      </x:c>
      <x:c r="D321" s="8" t="str">
        <x:v>L87</x:v>
      </x:c>
      <x:c r="E321" s="8" t="str">
        <x:v>DB1</x:v>
      </x:c>
      <x:c r="F321" s="8" t="str">
        <x:v>LD</x:v>
      </x:c>
      <x:c r="G321" s="8" t="str">
        <x:v>light</x:v>
      </x:c>
      <x:c r="H321" s="8" t="str">
        <x:v>drop</x:v>
      </x:c>
      <x:c r="I321" s="11" t="n">
        <x:f>SUMIF('Route Points'!$A$7:$A$2910,A321,'Route Points'!$F$7:$F$2910)</x:f>
        <x:v>1.2300000000000004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solid-pier / wall drop and local termination.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trunk:LC1:LD:light:1</x:v>
      </x:c>
    </x:row>
    <x:row r="322" ht="90" customHeight="1">
      <x:c r="A322" s="8" t="str">
        <x:v>drop:LC1:LD:light:1:L89</x:v>
      </x:c>
      <x:c r="B322" s="8" t="str">
        <x:v>LD → Sconce · axis 6 · H</x:v>
      </x:c>
      <x:c r="C322" s="8" t="str">
        <x:v>LC1</x:v>
      </x:c>
      <x:c r="D322" s="8" t="str">
        <x:v>L89</x:v>
      </x:c>
      <x:c r="E322" s="8" t="str">
        <x:v>DB1</x:v>
      </x:c>
      <x:c r="F322" s="8" t="str">
        <x:v>LD</x:v>
      </x:c>
      <x:c r="G322" s="8" t="str">
        <x:v>light</x:v>
      </x:c>
      <x:c r="H322" s="8" t="str">
        <x:v>drop</x:v>
      </x:c>
      <x:c r="I322" s="11" t="n">
        <x:f>SUMIF('Route Points'!$A$7:$A$2910,A322,'Route Points'!$F$7:$F$2910)</x:f>
        <x:v>1.2300000000000004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solid-pier / wall drop and local termination.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trunk:LC1:LD:light:1</x:v>
      </x:c>
    </x:row>
    <x:row r="323" ht="90" customHeight="1">
      <x:c r="A323" s="8" t="str">
        <x:v>drop:LC1:LD:light:1:L91</x:v>
      </x:c>
      <x:c r="B323" s="8" t="str">
        <x:v>LD → Sconce · axis 7 · H</x:v>
      </x:c>
      <x:c r="C323" s="8" t="str">
        <x:v>LC1</x:v>
      </x:c>
      <x:c r="D323" s="8" t="str">
        <x:v>L91</x:v>
      </x:c>
      <x:c r="E323" s="8" t="str">
        <x:v>DB1</x:v>
      </x:c>
      <x:c r="F323" s="8" t="str">
        <x:v>LD</x:v>
      </x:c>
      <x:c r="G323" s="8" t="str">
        <x:v>light</x:v>
      </x:c>
      <x:c r="H323" s="8" t="str">
        <x:v>drop</x:v>
      </x:c>
      <x:c r="I323" s="11" t="n">
        <x:f>SUMIF('Route Points'!$A$7:$A$2910,A323,'Route Points'!$F$7:$F$2910)</x:f>
        <x:v>1.2300000000000004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solid-pier / wall drop and local termination.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trunk:LC1:LD:light:1</x:v>
      </x:c>
    </x:row>
    <x:row r="324" ht="90" customHeight="1">
      <x:c r="A324" s="8" t="str">
        <x:v>drop:LC1:LD:light:1:L93</x:v>
      </x:c>
      <x:c r="B324" s="8" t="str">
        <x:v>LD → Sconce · axis 8 · H</x:v>
      </x:c>
      <x:c r="C324" s="8" t="str">
        <x:v>LC1</x:v>
      </x:c>
      <x:c r="D324" s="8" t="str">
        <x:v>L93</x:v>
      </x:c>
      <x:c r="E324" s="8" t="str">
        <x:v>DB1</x:v>
      </x:c>
      <x:c r="F324" s="8" t="str">
        <x:v>LD</x:v>
      </x:c>
      <x:c r="G324" s="8" t="str">
        <x:v>light</x:v>
      </x:c>
      <x:c r="H324" s="8" t="str">
        <x:v>drop</x:v>
      </x:c>
      <x:c r="I324" s="11" t="n">
        <x:f>SUMIF('Route Points'!$A$7:$A$2910,A324,'Route Points'!$F$7:$F$2910)</x:f>
        <x:v>1.2300000000000004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solid-pier / wall drop and local termination.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trunk:LC1:LD:light:1</x:v>
      </x:c>
    </x:row>
    <x:row r="325" ht="90" customHeight="1">
      <x:c r="A325" s="8" t="str">
        <x:v>drop:LC1:LD:light:1:L95</x:v>
      </x:c>
      <x:c r="B325" s="8" t="str">
        <x:v>LD → Sconce · axis 9 · H</x:v>
      </x:c>
      <x:c r="C325" s="8" t="str">
        <x:v>LC1</x:v>
      </x:c>
      <x:c r="D325" s="8" t="str">
        <x:v>L95</x:v>
      </x:c>
      <x:c r="E325" s="8" t="str">
        <x:v>DB1</x:v>
      </x:c>
      <x:c r="F325" s="8" t="str">
        <x:v>LD</x:v>
      </x:c>
      <x:c r="G325" s="8" t="str">
        <x:v>light</x:v>
      </x:c>
      <x:c r="H325" s="8" t="str">
        <x:v>drop</x:v>
      </x:c>
      <x:c r="I325" s="11" t="n">
        <x:f>SUMIF('Route Points'!$A$7:$A$2910,A325,'Route Points'!$F$7:$F$2910)</x:f>
        <x:v>1.2300000000000004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solid-pier / wall drop and local termination.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trunk:LC1:LD:light:1</x:v>
      </x:c>
    </x:row>
    <x:row r="326" ht="90" customHeight="1">
      <x:c r="A326" s="8" t="str">
        <x:v>drop:LC1:LD:light:-1:L96</x:v>
      </x:c>
      <x:c r="B326" s="8" t="str">
        <x:v>LD → Sconce · sanctuary pier · B</x:v>
      </x:c>
      <x:c r="C326" s="8" t="str">
        <x:v>LC1</x:v>
      </x:c>
      <x:c r="D326" s="8" t="str">
        <x:v>L96</x:v>
      </x:c>
      <x:c r="E326" s="8" t="str">
        <x:v>DB1</x:v>
      </x:c>
      <x:c r="F326" s="8" t="str">
        <x:v>LD</x:v>
      </x:c>
      <x:c r="G326" s="8" t="str">
        <x:v>light</x:v>
      </x:c>
      <x:c r="H326" s="8" t="str">
        <x:v>drop</x:v>
      </x:c>
      <x:c r="I326" s="11" t="n">
        <x:f>SUMIF('Route Points'!$A$7:$A$2910,A326,'Route Points'!$F$7:$F$2910)</x:f>
        <x:v>7.805000000000003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Back-wall band to service space behind chamber lining; local termination behind the fitting / cornice. Removable lining and cable-entry detail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trunk:LC1:LD:light:-1</x:v>
      </x:c>
    </x:row>
    <x:row r="327" ht="90" customHeight="1">
      <x:c r="A327" s="8" t="str">
        <x:v>drop:LC1:LD:light:1:L97</x:v>
      </x:c>
      <x:c r="B327" s="8" t="str">
        <x:v>LD → Sconce · sanctuary pier · H</x:v>
      </x:c>
      <x:c r="C327" s="8" t="str">
        <x:v>LC1</x:v>
      </x:c>
      <x:c r="D327" s="8" t="str">
        <x:v>L97</x:v>
      </x:c>
      <x:c r="E327" s="8" t="str">
        <x:v>DB1</x:v>
      </x:c>
      <x:c r="F327" s="8" t="str">
        <x:v>LD</x:v>
      </x:c>
      <x:c r="G327" s="8" t="str">
        <x:v>light</x:v>
      </x:c>
      <x:c r="H327" s="8" t="str">
        <x:v>drop</x:v>
      </x:c>
      <x:c r="I327" s="11" t="n">
        <x:f>SUMIF('Route Points'!$A$7:$A$2910,A327,'Route Points'!$F$7:$F$2910)</x:f>
        <x:v>7.805000000000003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Back-wall band to service space behind chamber lining; local termination behind the fitting / cornice. Removable lining and cable-entry detail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trunk:LC1:LD:light:1</x:v>
      </x:c>
    </x:row>
    <x:row r="328" ht="194" customHeight="1">
      <x:c r="A328" s="8" t="str">
        <x:v>trunk:DB2:L7:light:-1</x:v>
      </x:c>
      <x:c r="B328" s="8" t="str">
        <x:v>L7 · B · circuit trunk</x:v>
      </x:c>
      <x:c r="C328" s="8" t="str">
        <x:v>DB2</x:v>
      </x:c>
      <x:c r="D328" s="8" t="str">
        <x:v>L196
L197
L198
L199
L200
L201
L202
L203
L204
L205
L206
L207
L219
L220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trunk</x:v>
      </x:c>
      <x:c r="I328" s="11" t="n">
        <x:f>SUMIF('Route Points'!$A$7:$A$2910,A328,'Route Points'!$F$7:$F$2910)</x:f>
        <x:v>66.76213031117919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Wall bands above openings; concealed finish-matched soffit crossing over the 9–10 wing opening.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/>
    </x:row>
    <x:row r="329" ht="90" customHeight="1">
      <x:c r="A329" s="8" t="str">
        <x:v>drop:DB2:L7:light:-1:L196</x:v>
      </x:c>
      <x:c r="B329" s="8" t="str">
        <x:v>L7 → Festival lights · roof ridge</x:v>
      </x:c>
      <x:c r="C329" s="8" t="str">
        <x:v>DB2</x:v>
      </x:c>
      <x:c r="D329" s="8" t="str">
        <x:v>L196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Points'!$A$7:$A$2910,A329,'Route Points'!$F$7:$F$2910)</x:f>
        <x:v>10.462314927469798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roof route to local roof-mounted fitting; weatherproof cable entry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drop:DB2:L7:light:-1:L197</x:v>
      </x:c>
      <x:c r="B330" s="8" t="str">
        <x:v>L7 → Festival lights · main eave B · nave</x:v>
      </x:c>
      <x:c r="C330" s="8" t="str">
        <x:v>DB2</x:v>
      </x:c>
      <x:c r="D330" s="8" t="str">
        <x:v>L197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Points'!$A$7:$A$2910,A330,'Route Points'!$F$7:$F$2910)</x:f>
        <x:v>1.370589523865243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Concealed roof route to local roof-mounted fitting; weatherproof cable entry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drop:DB2:L7:light:-1:L198</x:v>
      </x:c>
      <x:c r="B331" s="8" t="str">
        <x:v>L7 → Festival lights · main eave B · sanctuary</x:v>
      </x:c>
      <x:c r="C331" s="8" t="str">
        <x:v>DB2</x:v>
      </x:c>
      <x:c r="D331" s="8" t="str">
        <x:v>L198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Points'!$A$7:$A$2910,A331,'Route Points'!$F$7:$F$2910)</x:f>
        <x:v>1.370589523865243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Concealed roof route to local roof-mounted fitting; weatherproof cable entry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drop:DB2:L7:light:-1:L199</x:v>
      </x:c>
      <x:c r="B332" s="8" t="str">
        <x:v>L7 → Festival lights · veranda eave B · nave</x:v>
      </x:c>
      <x:c r="C332" s="8" t="str">
        <x:v>DB2</x:v>
      </x:c>
      <x:c r="D332" s="8" t="str">
        <x:v>L199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Points'!$A$7:$A$2910,A332,'Route Points'!$F$7:$F$2910)</x:f>
        <x:v>4.672166101158713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Concealed roof route to local roof-mounted fitting; weatherproof cable entry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drop:DB2:L7:light:-1:L200</x:v>
      </x:c>
      <x:c r="B333" s="8" t="str">
        <x:v>L7 → Festival lights · veranda eave B · sanctuary</x:v>
      </x:c>
      <x:c r="C333" s="8" t="str">
        <x:v>DB2</x:v>
      </x:c>
      <x:c r="D333" s="8" t="str">
        <x:v>L200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Points'!$A$7:$A$2910,A333,'Route Points'!$F$7:$F$2910)</x:f>
        <x:v>4.672166101158713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roof route to local roof-mounted fitting; weatherproof cable entry pending.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drop:DB2:L7:light:-1:L201</x:v>
      </x:c>
      <x:c r="B334" s="8" t="str">
        <x:v>L7 → Festival lights · rear gable B</x:v>
      </x:c>
      <x:c r="C334" s="8" t="str">
        <x:v>DB2</x:v>
      </x:c>
      <x:c r="D334" s="8" t="str">
        <x:v>L201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Points'!$A$7:$A$2910,A334,'Route Points'!$F$7:$F$2910)</x:f>
        <x:v>8.164000000000005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Rear-wall band and local termination; gable / weatherproof entry details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90" customHeight="1">
      <x:c r="A335" s="8" t="str">
        <x:v>drop:DB2:L7:light:-1:L202</x:v>
      </x:c>
      <x:c r="B335" s="8" t="str">
        <x:v>L7 → Festival lights · tower B · stage 1 · inner corner</x:v>
      </x:c>
      <x:c r="C335" s="8" t="str">
        <x:v>DB2</x:v>
      </x:c>
      <x:c r="D335" s="8" t="str">
        <x:v>L202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drop</x:v>
      </x:c>
      <x:c r="I335" s="11" t="n">
        <x:f>SUMIF('Route Points'!$A$7:$A$2910,A335,'Route Points'!$F$7:$F$2910)</x:f>
        <x:v>9.203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Solid tower corner/piers, stepped behind cornices; local ledge/fitting connection. No riser through louver openings; chase/finish and weathering details pending.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trunk:DB2:L7:light:-1</x:v>
      </x:c>
    </x:row>
    <x:row r="336" ht="90" customHeight="1">
      <x:c r="A336" s="8" t="str">
        <x:v>drop:DB2:L7:light:-1:L203</x:v>
      </x:c>
      <x:c r="B336" s="8" t="str">
        <x:v>L7 → Festival lights · tower B · stage 1 · outer corner</x:v>
      </x:c>
      <x:c r="C336" s="8" t="str">
        <x:v>DB2</x:v>
      </x:c>
      <x:c r="D336" s="8" t="str">
        <x:v>L203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Points'!$A$7:$A$2910,A336,'Route Points'!$F$7:$F$2910)</x:f>
        <x:v>13.623000000000001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Solid tower corner/piers, stepped behind cornices; local ledge/fitting connection. No riser through louver openings; chase/finish and weathering details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trunk:DB2:L7:light:-1</x:v>
      </x:c>
    </x:row>
    <x:row r="337" ht="90" customHeight="1">
      <x:c r="A337" s="8" t="str">
        <x:v>drop:DB2:L7:light:-1:L204</x:v>
      </x:c>
      <x:c r="B337" s="8" t="str">
        <x:v>L7 → Festival lights · tower B · stage 2 · inner corner</x:v>
      </x:c>
      <x:c r="C337" s="8" t="str">
        <x:v>DB2</x:v>
      </x:c>
      <x:c r="D337" s="8" t="str">
        <x:v>L204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Points'!$A$7:$A$2910,A337,'Route Points'!$F$7:$F$2910)</x:f>
        <x:v>10.133000000000001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Solid tower corner/piers, stepped behind cornices; local ledge/fitting connection. No riser through louver openings; chase/finish and weathering details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trunk:DB2:L7:light:-1</x:v>
      </x:c>
    </x:row>
    <x:row r="338" ht="90" customHeight="1">
      <x:c r="A338" s="8" t="str">
        <x:v>drop:DB2:L7:light:-1:L205</x:v>
      </x:c>
      <x:c r="B338" s="8" t="str">
        <x:v>L7 → Festival lights · tower B · stage 2 · outer corner</x:v>
      </x:c>
      <x:c r="C338" s="8" t="str">
        <x:v>DB2</x:v>
      </x:c>
      <x:c r="D338" s="8" t="str">
        <x:v>L205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Points'!$A$7:$A$2910,A338,'Route Points'!$F$7:$F$2910)</x:f>
        <x:v>14.552999999999999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Solid tower corner/piers, stepped behind cornices; local ledge/fitting connection. No riser through louver openings; chase/finish and weathering details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trunk:DB2:L7:light:-1</x:v>
      </x:c>
    </x:row>
    <x:row r="339" ht="90" customHeight="1">
      <x:c r="A339" s="8" t="str">
        <x:v>drop:DB2:L7:light:-1:L206</x:v>
      </x:c>
      <x:c r="B339" s="8" t="str">
        <x:v>L7 → Festival lights · tower B · stage 3 · inner corner</x:v>
      </x:c>
      <x:c r="C339" s="8" t="str">
        <x:v>DB2</x:v>
      </x:c>
      <x:c r="D339" s="8" t="str">
        <x:v>L206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Points'!$A$7:$A$2910,A339,'Route Points'!$F$7:$F$2910)</x:f>
        <x:v>17.808000000000003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Solid tower corner/piers, stepped behind cornices; local ledge/fitting connection. No riser through louver openings; chase/finish and weathering details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trunk:DB2:L7:light:-1</x:v>
      </x:c>
    </x:row>
    <x:row r="340" ht="90" customHeight="1">
      <x:c r="A340" s="8" t="str">
        <x:v>drop:DB2:L7:light:-1:L207</x:v>
      </x:c>
      <x:c r="B340" s="8" t="str">
        <x:v>L7 → Festival lights · tower B · stage 3 · outer corner</x:v>
      </x:c>
      <x:c r="C340" s="8" t="str">
        <x:v>DB2</x:v>
      </x:c>
      <x:c r="D340" s="8" t="str">
        <x:v>L207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Points'!$A$7:$A$2910,A340,'Route Points'!$F$7:$F$2910)</x:f>
        <x:v>22.227999999999994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Solid tower corner/piers, stepped behind cornices; local ledge/fitting connection. No riser through louver openings; chase/finish and weathering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trunk:DB2:L7:light:-1</x:v>
      </x:c>
    </x:row>
    <x:row r="341" ht="90" customHeight="1">
      <x:c r="A341" s="8" t="str">
        <x:v>drop:DB2:L7:light:-1:L219</x:v>
      </x:c>
      <x:c r="B341" s="8" t="str">
        <x:v>L7 → Festival lights · front terrace between the towers</x:v>
      </x:c>
      <x:c r="C341" s="8" t="str">
        <x:v>DB2</x:v>
      </x:c>
      <x:c r="D341" s="8" t="str">
        <x:v>L219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Points'!$A$7:$A$2910,A341,'Route Points'!$F$7:$F$2910)</x:f>
        <x:v>10.080000000000002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Concealed entrance wall band, solid pier and local termination.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trunk:DB2:L7:light:-1</x:v>
      </x:c>
    </x:row>
    <x:row r="342" ht="90" customHeight="1">
      <x:c r="A342" s="8" t="str">
        <x:v>drop:DB2:L7:light:-1:L220</x:v>
      </x:c>
      <x:c r="B342" s="8" t="str">
        <x:v>L7 → Festival flood · rear gable B</x:v>
      </x:c>
      <x:c r="C342" s="8" t="str">
        <x:v>DB2</x:v>
      </x:c>
      <x:c r="D342" s="8" t="str">
        <x:v>L220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Points'!$A$7:$A$2910,A342,'Route Points'!$F$7:$F$2910)</x:f>
        <x:v>3.7548036909452107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Concealed roof route to local roof-mounted fitting; weatherproof cable entry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trunk:DB2:L7:light:-1</x:v>
      </x:c>
    </x:row>
    <x:row r="343" ht="168" customHeight="1">
      <x:c r="A343" s="8" t="str">
        <x:v>trunk:DB2:L7:light:1</x:v>
      </x:c>
      <x:c r="B343" s="8" t="str">
        <x:v>L7 · H · circuit trunk</x:v>
      </x:c>
      <x:c r="C343" s="8" t="str">
        <x:v>DB2</x:v>
      </x:c>
      <x:c r="D343" s="8" t="str">
        <x:v>L208
L209
L210
L211
L212
L213
L214
L215
L216
L217
L218
L221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trunk</x:v>
      </x:c>
      <x:c r="I343" s="11" t="n">
        <x:f>SUMIF('Route Points'!$A$7:$A$2910,A343,'Route Points'!$F$7:$F$2910)</x:f>
        <x:v>73.36213031117919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Wall bands above openings; concealed finish-matched soffit crossing over the 9–10 wing opening.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/>
    </x:row>
    <x:row r="344" ht="90" customHeight="1">
      <x:c r="A344" s="8" t="str">
        <x:v>drop:DB2:L7:light:1:L208</x:v>
      </x:c>
      <x:c r="B344" s="8" t="str">
        <x:v>L7 → Festival lights · main eave H · nave</x:v>
      </x:c>
      <x:c r="C344" s="8" t="str">
        <x:v>DB2</x:v>
      </x:c>
      <x:c r="D344" s="8" t="str">
        <x:v>L208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Points'!$A$7:$A$2910,A344,'Route Points'!$F$7:$F$2910)</x:f>
        <x:v>1.370589523865243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Concealed roof route to local roof-mounted fitting; weatherproof cable entry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drop:DB2:L7:light:1:L209</x:v>
      </x:c>
      <x:c r="B345" s="8" t="str">
        <x:v>L7 → Festival lights · main eave H · sanctuary</x:v>
      </x:c>
      <x:c r="C345" s="8" t="str">
        <x:v>DB2</x:v>
      </x:c>
      <x:c r="D345" s="8" t="str">
        <x:v>L209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Points'!$A$7:$A$2910,A345,'Route Points'!$F$7:$F$2910)</x:f>
        <x:v>1.370589523865243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Concealed roof route to local roof-mounted fitting; weatherproof cable entry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drop:DB2:L7:light:1:L210</x:v>
      </x:c>
      <x:c r="B346" s="8" t="str">
        <x:v>L7 → Festival lights · veranda eave H · nave</x:v>
      </x:c>
      <x:c r="C346" s="8" t="str">
        <x:v>DB2</x:v>
      </x:c>
      <x:c r="D346" s="8" t="str">
        <x:v>L210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Points'!$A$7:$A$2910,A346,'Route Points'!$F$7:$F$2910)</x:f>
        <x:v>4.672166101158713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Concealed roof route to local roof-mounted fitting; weatherproof cable entry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drop:DB2:L7:light:1:L211</x:v>
      </x:c>
      <x:c r="B347" s="8" t="str">
        <x:v>L7 → Festival lights · veranda eave H · sanctuary</x:v>
      </x:c>
      <x:c r="C347" s="8" t="str">
        <x:v>DB2</x:v>
      </x:c>
      <x:c r="D347" s="8" t="str">
        <x:v>L211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Points'!$A$7:$A$2910,A347,'Route Points'!$F$7:$F$2910)</x:f>
        <x:v>4.672166101158713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drop:DB2:L7:light:1:L212</x:v>
      </x:c>
      <x:c r="B348" s="8" t="str">
        <x:v>L7 → Festival lights · rear gable H</x:v>
      </x:c>
      <x:c r="C348" s="8" t="str">
        <x:v>DB2</x:v>
      </x:c>
      <x:c r="D348" s="8" t="str">
        <x:v>L212</x:v>
      </x:c>
      <x:c r="E348" s="8" t="str">
        <x:v>DB2</x:v>
      </x:c>
      <x:c r="F348" s="8" t="str">
        <x:v>L7</x:v>
      </x:c>
      <x:c r="G348" s="8" t="str">
        <x:v>light</x:v>
      </x:c>
      <x:c r="H348" s="8" t="str">
        <x:v>drop</x:v>
      </x:c>
      <x:c r="I348" s="11" t="n">
        <x:f>SUMIF('Route Points'!$A$7:$A$2910,A348,'Route Points'!$F$7:$F$2910)</x:f>
        <x:v>8.164000000000005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Rear-wall band and local termination; gable / weatherproof entry details pending.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trunk:DB2:L7:light:1</x:v>
      </x:c>
    </x:row>
    <x:row r="349" ht="90" customHeight="1">
      <x:c r="A349" s="8" t="str">
        <x:v>drop:DB2:L7:light:1:L213</x:v>
      </x:c>
      <x:c r="B349" s="8" t="str">
        <x:v>L7 → Festival lights · tower H · stage 1 · inner corner</x:v>
      </x:c>
      <x:c r="C349" s="8" t="str">
        <x:v>DB2</x:v>
      </x:c>
      <x:c r="D349" s="8" t="str">
        <x:v>L213</x:v>
      </x:c>
      <x:c r="E349" s="8" t="str">
        <x:v>DB2</x:v>
      </x:c>
      <x:c r="F349" s="8" t="str">
        <x:v>L7</x:v>
      </x:c>
      <x:c r="G349" s="8" t="str">
        <x:v>light</x:v>
      </x:c>
      <x:c r="H349" s="8" t="str">
        <x:v>drop</x:v>
      </x:c>
      <x:c r="I349" s="11" t="n">
        <x:f>SUMIF('Route Points'!$A$7:$A$2910,A349,'Route Points'!$F$7:$F$2910)</x:f>
        <x:v>9.203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Solid tower corner/piers, stepped behind cornices; local ledge/fitting connection. No riser through louver openings; chase/finish and weathering details pending.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trunk:DB2:L7:light:1</x:v>
      </x:c>
    </x:row>
    <x:row r="350" ht="90" customHeight="1">
      <x:c r="A350" s="8" t="str">
        <x:v>drop:DB2:L7:light:1:L214</x:v>
      </x:c>
      <x:c r="B350" s="8" t="str">
        <x:v>L7 → Festival lights · tower H · stage 1 · outer corner</x:v>
      </x:c>
      <x:c r="C350" s="8" t="str">
        <x:v>DB2</x:v>
      </x:c>
      <x:c r="D350" s="8" t="str">
        <x:v>L214</x:v>
      </x:c>
      <x:c r="E350" s="8" t="str">
        <x:v>DB2</x:v>
      </x:c>
      <x:c r="F350" s="8" t="str">
        <x:v>L7</x:v>
      </x:c>
      <x:c r="G350" s="8" t="str">
        <x:v>light</x:v>
      </x:c>
      <x:c r="H350" s="8" t="str">
        <x:v>drop</x:v>
      </x:c>
      <x:c r="I350" s="11" t="n">
        <x:f>SUMIF('Route Points'!$A$7:$A$2910,A350,'Route Points'!$F$7:$F$2910)</x:f>
        <x:v>13.623000000000001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Solid tower corner/piers, stepped behind cornices; local ledge/fitting connection. No riser through louver openings; chase/finish and weathering details pending.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trunk:DB2:L7:light:1</x:v>
      </x:c>
    </x:row>
    <x:row r="351" ht="90" customHeight="1">
      <x:c r="A351" s="8" t="str">
        <x:v>drop:DB2:L7:light:1:L215</x:v>
      </x:c>
      <x:c r="B351" s="8" t="str">
        <x:v>L7 → Festival lights · tower H · stage 2 · inner corner</x:v>
      </x:c>
      <x:c r="C351" s="8" t="str">
        <x:v>DB2</x:v>
      </x:c>
      <x:c r="D351" s="8" t="str">
        <x:v>L215</x:v>
      </x:c>
      <x:c r="E351" s="8" t="str">
        <x:v>DB2</x:v>
      </x:c>
      <x:c r="F351" s="8" t="str">
        <x:v>L7</x:v>
      </x:c>
      <x:c r="G351" s="8" t="str">
        <x:v>light</x:v>
      </x:c>
      <x:c r="H351" s="8" t="str">
        <x:v>drop</x:v>
      </x:c>
      <x:c r="I351" s="11" t="n">
        <x:f>SUMIF('Route Points'!$A$7:$A$2910,A351,'Route Points'!$F$7:$F$2910)</x:f>
        <x:v>10.133000000000001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Solid tower corner/piers, stepped behind cornices; local ledge/fitting connection. No riser through louver openings; chase/finish and weathering details pending.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trunk:DB2:L7:light:1</x:v>
      </x:c>
    </x:row>
    <x:row r="352" ht="90" customHeight="1">
      <x:c r="A352" s="8" t="str">
        <x:v>drop:DB2:L7:light:1:L216</x:v>
      </x:c>
      <x:c r="B352" s="8" t="str">
        <x:v>L7 → Festival lights · tower H · stage 2 · outer corner</x:v>
      </x:c>
      <x:c r="C352" s="8" t="str">
        <x:v>DB2</x:v>
      </x:c>
      <x:c r="D352" s="8" t="str">
        <x:v>L216</x:v>
      </x:c>
      <x:c r="E352" s="8" t="str">
        <x:v>DB2</x:v>
      </x:c>
      <x:c r="F352" s="8" t="str">
        <x:v>L7</x:v>
      </x:c>
      <x:c r="G352" s="8" t="str">
        <x:v>light</x:v>
      </x:c>
      <x:c r="H352" s="8" t="str">
        <x:v>drop</x:v>
      </x:c>
      <x:c r="I352" s="11" t="n">
        <x:f>SUMIF('Route Points'!$A$7:$A$2910,A352,'Route Points'!$F$7:$F$2910)</x:f>
        <x:v>14.552999999999999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Solid tower corner/piers, stepped behind cornices; local ledge/fitting connection. No riser through louver openings; chase/finish and weathering details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trunk:DB2:L7:light:1</x:v>
      </x:c>
    </x:row>
    <x:row r="353" ht="90" customHeight="1">
      <x:c r="A353" s="8" t="str">
        <x:v>drop:DB2:L7:light:1:L217</x:v>
      </x:c>
      <x:c r="B353" s="8" t="str">
        <x:v>L7 → Festival lights · tower H · stage 3 · inner corner</x:v>
      </x:c>
      <x:c r="C353" s="8" t="str">
        <x:v>DB2</x:v>
      </x:c>
      <x:c r="D353" s="8" t="str">
        <x:v>L217</x:v>
      </x:c>
      <x:c r="E353" s="8" t="str">
        <x:v>DB2</x:v>
      </x:c>
      <x:c r="F353" s="8" t="str">
        <x:v>L7</x:v>
      </x:c>
      <x:c r="G353" s="8" t="str">
        <x:v>light</x:v>
      </x:c>
      <x:c r="H353" s="8" t="str">
        <x:v>drop</x:v>
      </x:c>
      <x:c r="I353" s="11" t="n">
        <x:f>SUMIF('Route Points'!$A$7:$A$2910,A353,'Route Points'!$F$7:$F$2910)</x:f>
        <x:v>17.808000000000003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Solid tower corner/piers, stepped behind cornices; local ledge/fitting connection. No riser through louver openings; chase/finish and weathering details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trunk:DB2:L7:light:1</x:v>
      </x:c>
    </x:row>
    <x:row r="354" ht="90" customHeight="1">
      <x:c r="A354" s="8" t="str">
        <x:v>drop:DB2:L7:light:1:L218</x:v>
      </x:c>
      <x:c r="B354" s="8" t="str">
        <x:v>L7 → Festival lights · tower H · stage 3 · outer corner</x:v>
      </x:c>
      <x:c r="C354" s="8" t="str">
        <x:v>DB2</x:v>
      </x:c>
      <x:c r="D354" s="8" t="str">
        <x:v>L218</x:v>
      </x:c>
      <x:c r="E354" s="8" t="str">
        <x:v>DB2</x:v>
      </x:c>
      <x:c r="F354" s="8" t="str">
        <x:v>L7</x:v>
      </x:c>
      <x:c r="G354" s="8" t="str">
        <x:v>light</x:v>
      </x:c>
      <x:c r="H354" s="8" t="str">
        <x:v>drop</x:v>
      </x:c>
      <x:c r="I354" s="11" t="n">
        <x:f>SUMIF('Route Points'!$A$7:$A$2910,A354,'Route Points'!$F$7:$F$2910)</x:f>
        <x:v>22.227999999999994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Solid tower corner/piers, stepped behind cornices; local ledge/fitting connection. No riser through louver openings; chase/finish and weathering details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trunk:DB2:L7:light:1</x:v>
      </x:c>
    </x:row>
    <x:row r="355" ht="90" customHeight="1">
      <x:c r="A355" s="8" t="str">
        <x:v>drop:DB2:L7:light:1:L221</x:v>
      </x:c>
      <x:c r="B355" s="8" t="str">
        <x:v>L7 → Festival flood · rear gable H</x:v>
      </x:c>
      <x:c r="C355" s="8" t="str">
        <x:v>DB2</x:v>
      </x:c>
      <x:c r="D355" s="8" t="str">
        <x:v>L221</x:v>
      </x:c>
      <x:c r="E355" s="8" t="str">
        <x:v>DB2</x:v>
      </x:c>
      <x:c r="F355" s="8" t="str">
        <x:v>L7</x:v>
      </x:c>
      <x:c r="G355" s="8" t="str">
        <x:v>light</x:v>
      </x:c>
      <x:c r="H355" s="8" t="str">
        <x:v>drop</x:v>
      </x:c>
      <x:c r="I355" s="11" t="n">
        <x:f>SUMIF('Route Points'!$A$7:$A$2910,A355,'Route Points'!$F$7:$F$2910)</x:f>
        <x:v>3.7548036909452107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roof route to local roof-mounted fitting; weatherproof cable entry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trunk:DB2:L7:light:1</x:v>
      </x:c>
    </x:row>
    <x:row r="356" ht="90" customHeight="1">
      <x:c r="A356" s="8" t="str">
        <x:v>drop:LC1:L1:light:-1:L3</x:v>
      </x:c>
      <x:c r="B356" s="8" t="str">
        <x:v>L1 → Reading light · axis 3 · B central</x:v>
      </x:c>
      <x:c r="C356" s="8" t="str">
        <x:v>LC1</x:v>
      </x:c>
      <x:c r="D356" s="8" t="str">
        <x:v>L3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Points'!$A$7:$A$2910,A356,'Route Points'!$F$7:$F$2910)</x:f>
        <x:v>8.143621170805726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Above lining / beam tops, short covered joint and rear-face return to fitting. Roof access, rafter/tie interface and removable cover details pending; no timber drilling / notching.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drop:LC1:L1:light:-1:L4</x:v>
      </x:c>
      <x:c r="B357" s="8" t="str">
        <x:v>L1 → Reading light · axis 3 · B central · twin</x:v>
      </x:c>
      <x:c r="C357" s="8" t="str">
        <x:v>LC1</x:v>
      </x:c>
      <x:c r="D357" s="8" t="str">
        <x:v>L4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Points'!$A$7:$A$2910,A357,'Route Points'!$F$7:$F$2910)</x:f>
        <x:v>7.920066409181707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trunk:LC1:L1:light:-1</x:v>
      </x:c>
    </x:row>
    <x:row r="358" ht="90" customHeight="1">
      <x:c r="A358" s="8" t="str">
        <x:v>drop:LC1:L1:light:-1:L7</x:v>
      </x:c>
      <x:c r="B358" s="8" t="str">
        <x:v>L1 → Reading light · axis 4 · B central</x:v>
      </x:c>
      <x:c r="C358" s="8" t="str">
        <x:v>LC1</x:v>
      </x:c>
      <x:c r="D358" s="8" t="str">
        <x:v>L7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Points'!$A$7:$A$2910,A358,'Route Points'!$F$7:$F$2910)</x:f>
        <x:v>8.143621170805726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trunk:LC1:L1:light:-1</x:v>
      </x:c>
    </x:row>
    <x:row r="359" ht="90" customHeight="1">
      <x:c r="A359" s="8" t="str">
        <x:v>drop:LC1:L1:light:-1:L8</x:v>
      </x:c>
      <x:c r="B359" s="8" t="str">
        <x:v>L1 → Reading light · axis 4 · B central · twin</x:v>
      </x:c>
      <x:c r="C359" s="8" t="str">
        <x:v>LC1</x:v>
      </x:c>
      <x:c r="D359" s="8" t="str">
        <x:v>L8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Points'!$A$7:$A$2910,A359,'Route Points'!$F$7:$F$2910)</x:f>
        <x:v>7.920066409181707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trunk:LC1:L1:light:-1</x:v>
      </x:c>
    </x:row>
    <x:row r="360" ht="90" customHeight="1">
      <x:c r="A360" s="8" t="str">
        <x:v>drop:LC1:L1:light:-1:L11</x:v>
      </x:c>
      <x:c r="B360" s="8" t="str">
        <x:v>L1 → Reading light · axis 5 · B central</x:v>
      </x:c>
      <x:c r="C360" s="8" t="str">
        <x:v>LC1</x:v>
      </x:c>
      <x:c r="D360" s="8" t="str">
        <x:v>L11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Points'!$A$7:$A$2910,A360,'Route Points'!$F$7:$F$2910)</x:f>
        <x:v>8.143621170805725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trunk:LC1:L1:light:-1</x:v>
      </x:c>
    </x:row>
    <x:row r="361" ht="90" customHeight="1">
      <x:c r="A361" s="8" t="str">
        <x:v>drop:LC1:L1:light:-1:L12</x:v>
      </x:c>
      <x:c r="B361" s="8" t="str">
        <x:v>L1 → Reading light · axis 5 · B central · twin</x:v>
      </x:c>
      <x:c r="C361" s="8" t="str">
        <x:v>LC1</x:v>
      </x:c>
      <x:c r="D361" s="8" t="str">
        <x:v>L12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Points'!$A$7:$A$2910,A361,'Route Points'!$F$7:$F$2910)</x:f>
        <x:v>7.920066409181704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trunk:LC1:L1:light:-1</x:v>
      </x:c>
    </x:row>
    <x:row r="362" ht="90" customHeight="1">
      <x:c r="A362" s="8" t="str">
        <x:v>drop:LC1:L1:light:-1:L16</x:v>
      </x:c>
      <x:c r="B362" s="8" t="str">
        <x:v>L1 → Reading light · axis 6 · B central · twin</x:v>
      </x:c>
      <x:c r="C362" s="8" t="str">
        <x:v>LC1</x:v>
      </x:c>
      <x:c r="D362" s="8" t="str">
        <x:v>L16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Points'!$A$7:$A$2910,A362,'Route Points'!$F$7:$F$2910)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trunk:LC1:L1:light:-1</x:v>
      </x:c>
    </x:row>
    <x:row r="363" ht="90" customHeight="1">
      <x:c r="A363" s="8" t="str">
        <x:v>drop:LC1:L1:light:-1:L59</x:v>
      </x:c>
      <x:c r="B363" s="8" t="str">
        <x:v>L1 → Rear rows light · entrance façade · B</x:v>
      </x:c>
      <x:c r="C363" s="8" t="str">
        <x:v>LC1</x:v>
      </x:c>
      <x:c r="D363" s="8" t="str">
        <x:v>L59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Points'!$A$7:$A$2910,A363,'Route Points'!$F$7:$F$2910)</x:f>
        <x:v>9.435528090456472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Concealed entrance wall band, solid pier and local termination.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trunk:LC1:L1:light:-1</x:v>
      </x:c>
    </x:row>
    <x:row r="364" ht="90" customHeight="1">
      <x:c r="A364" s="8" t="str">
        <x:v>drop:LC1:L1:light:-1:L60</x:v>
      </x:c>
      <x:c r="B364" s="8" t="str">
        <x:v>L1 → Rear centre light · entrance façade · B</x:v>
      </x:c>
      <x:c r="C364" s="8" t="str">
        <x:v>LC1</x:v>
      </x:c>
      <x:c r="D364" s="8" t="str">
        <x:v>L60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Points'!$A$7:$A$2910,A364,'Route Points'!$F$7:$F$2910)</x:f>
        <x:v>6.9355280904564705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trunk:LC1:L1:light:-1</x:v>
      </x:c>
    </x:row>
    <x:row r="365" ht="90" customHeight="1">
      <x:c r="A365" s="8" t="str">
        <x:v>drop:LC1:L1:light:1:L5</x:v>
      </x:c>
      <x:c r="B365" s="8" t="str">
        <x:v>L1 → Reading light · axis 3 · H central</x:v>
      </x:c>
      <x:c r="C365" s="8" t="str">
        <x:v>LC1</x:v>
      </x:c>
      <x:c r="D365" s="8" t="str">
        <x:v>L5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Points'!$A$7:$A$2910,A365,'Route Points'!$F$7:$F$2910)</x:f>
        <x:v>8.143621170805726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Above lining / beam tops, short covered joint and rear-face return to fitting. Roof access, rafter/tie interface and removable cover details pending; no timber drilling / notching.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drop:LC1:L1:light:1:L6</x:v>
      </x:c>
      <x:c r="B366" s="8" t="str">
        <x:v>L1 → Reading light · axis 3 · H central · twin</x:v>
      </x:c>
      <x:c r="C366" s="8" t="str">
        <x:v>LC1</x:v>
      </x:c>
      <x:c r="D366" s="8" t="str">
        <x:v>L6</x:v>
      </x:c>
      <x:c r="E366" s="8" t="str">
        <x:v>DB1</x:v>
      </x:c>
      <x:c r="F366" s="8" t="str">
        <x:v>L1</x:v>
      </x:c>
      <x:c r="G366" s="8" t="str">
        <x:v>light</x:v>
      </x:c>
      <x:c r="H366" s="8" t="str">
        <x:v>drop</x:v>
      </x:c>
      <x:c r="I366" s="11" t="n">
        <x:f>SUMIF('Route Points'!$A$7:$A$2910,A366,'Route Points'!$F$7:$F$2910)</x:f>
        <x:v>7.920066409181707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trunk:LC1:L1:light:1</x:v>
      </x:c>
    </x:row>
    <x:row r="367" ht="90" customHeight="1">
      <x:c r="A367" s="8" t="str">
        <x:v>drop:LC1:L1:light:1:L9</x:v>
      </x:c>
      <x:c r="B367" s="8" t="str">
        <x:v>L1 → Reading light · axis 4 · H central</x:v>
      </x:c>
      <x:c r="C367" s="8" t="str">
        <x:v>LC1</x:v>
      </x:c>
      <x:c r="D367" s="8" t="str">
        <x:v>L9</x:v>
      </x:c>
      <x:c r="E367" s="8" t="str">
        <x:v>DB1</x:v>
      </x:c>
      <x:c r="F367" s="8" t="str">
        <x:v>L1</x:v>
      </x:c>
      <x:c r="G367" s="8" t="str">
        <x:v>light</x:v>
      </x:c>
      <x:c r="H367" s="8" t="str">
        <x:v>drop</x:v>
      </x:c>
      <x:c r="I367" s="11" t="n">
        <x:f>SUMIF('Route Points'!$A$7:$A$2910,A367,'Route Points'!$F$7:$F$2910)</x:f>
        <x:v>8.143621170805726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trunk:LC1:L1:light:1</x:v>
      </x:c>
    </x:row>
    <x:row r="368" ht="90" customHeight="1">
      <x:c r="A368" s="8" t="str">
        <x:v>drop:LC1:L1:light:1:L10</x:v>
      </x:c>
      <x:c r="B368" s="8" t="str">
        <x:v>L1 → Reading light · axis 4 · H central · twin</x:v>
      </x:c>
      <x:c r="C368" s="8" t="str">
        <x:v>LC1</x:v>
      </x:c>
      <x:c r="D368" s="8" t="str">
        <x:v>L10</x:v>
      </x:c>
      <x:c r="E368" s="8" t="str">
        <x:v>DB1</x:v>
      </x:c>
      <x:c r="F368" s="8" t="str">
        <x:v>L1</x:v>
      </x:c>
      <x:c r="G368" s="8" t="str">
        <x:v>light</x:v>
      </x:c>
      <x:c r="H368" s="8" t="str">
        <x:v>drop</x:v>
      </x:c>
      <x:c r="I368" s="11" t="n">
        <x:f>SUMIF('Route Points'!$A$7:$A$2910,A368,'Route Points'!$F$7:$F$2910)</x:f>
        <x:v>7.920066409181707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trunk:LC1:L1:light:1</x:v>
      </x:c>
    </x:row>
    <x:row r="369" ht="90" customHeight="1">
      <x:c r="A369" s="8" t="str">
        <x:v>drop:LC1:L1:light:1:L13</x:v>
      </x:c>
      <x:c r="B369" s="8" t="str">
        <x:v>L1 → Reading light · axis 5 · H central</x:v>
      </x:c>
      <x:c r="C369" s="8" t="str">
        <x:v>LC1</x:v>
      </x:c>
      <x:c r="D369" s="8" t="str">
        <x:v>L13</x:v>
      </x:c>
      <x:c r="E369" s="8" t="str">
        <x:v>DB1</x:v>
      </x:c>
      <x:c r="F369" s="8" t="str">
        <x:v>L1</x:v>
      </x:c>
      <x:c r="G369" s="8" t="str">
        <x:v>light</x:v>
      </x:c>
      <x:c r="H369" s="8" t="str">
        <x:v>drop</x:v>
      </x:c>
      <x:c r="I369" s="11" t="n">
        <x:f>SUMIF('Route Points'!$A$7:$A$2910,A369,'Route Points'!$F$7:$F$2910)</x:f>
        <x:v>8.143621170805725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trunk:LC1:L1:light:1</x:v>
      </x:c>
    </x:row>
    <x:row r="370" ht="90" customHeight="1">
      <x:c r="A370" s="8" t="str">
        <x:v>drop:LC1:L1:light:1:L14</x:v>
      </x:c>
      <x:c r="B370" s="8" t="str">
        <x:v>L1 → Reading light · axis 5 · H central · twin</x:v>
      </x:c>
      <x:c r="C370" s="8" t="str">
        <x:v>LC1</x:v>
      </x:c>
      <x:c r="D370" s="8" t="str">
        <x:v>L14</x:v>
      </x:c>
      <x:c r="E370" s="8" t="str">
        <x:v>DB1</x:v>
      </x:c>
      <x:c r="F370" s="8" t="str">
        <x:v>L1</x:v>
      </x:c>
      <x:c r="G370" s="8" t="str">
        <x:v>light</x:v>
      </x:c>
      <x:c r="H370" s="8" t="str">
        <x:v>drop</x:v>
      </x:c>
      <x:c r="I370" s="11" t="n">
        <x:f>SUMIF('Route Points'!$A$7:$A$2910,A370,'Route Points'!$F$7:$F$2910)</x:f>
        <x:v>7.920066409181704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trunk:LC1:L1:light:1</x:v>
      </x:c>
    </x:row>
    <x:row r="371" ht="90" customHeight="1">
      <x:c r="A371" s="8" t="str">
        <x:v>drop:LC1:L1:light:1:L18</x:v>
      </x:c>
      <x:c r="B371" s="8" t="str">
        <x:v>L1 → Reading light · axis 6 · H central · twin</x:v>
      </x:c>
      <x:c r="C371" s="8" t="str">
        <x:v>LC1</x:v>
      </x:c>
      <x:c r="D371" s="8" t="str">
        <x:v>L18</x:v>
      </x:c>
      <x:c r="E371" s="8" t="str">
        <x:v>DB1</x:v>
      </x:c>
      <x:c r="F371" s="8" t="str">
        <x:v>L1</x:v>
      </x:c>
      <x:c r="G371" s="8" t="str">
        <x:v>light</x:v>
      </x:c>
      <x:c r="H371" s="8" t="str">
        <x:v>drop</x:v>
      </x:c>
      <x:c r="I371" s="11" t="n">
        <x:f>SUMIF('Route Points'!$A$7:$A$2910,A371,'Route Points'!$F$7:$F$2910)</x:f>
        <x:v>7.920066409181704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trunk:LC1:L1:light:1</x:v>
      </x:c>
    </x:row>
    <x:row r="372" ht="90" customHeight="1">
      <x:c r="A372" s="8" t="str">
        <x:v>drop:LC1:L1:light:1:L61</x:v>
      </x:c>
      <x:c r="B372" s="8" t="str">
        <x:v>L1 → Rear rows light · entrance façade · H</x:v>
      </x:c>
      <x:c r="C372" s="8" t="str">
        <x:v>LC1</x:v>
      </x:c>
      <x:c r="D372" s="8" t="str">
        <x:v>L61</x:v>
      </x:c>
      <x:c r="E372" s="8" t="str">
        <x:v>DB1</x:v>
      </x:c>
      <x:c r="F372" s="8" t="str">
        <x:v>L1</x:v>
      </x:c>
      <x:c r="G372" s="8" t="str">
        <x:v>light</x:v>
      </x:c>
      <x:c r="H372" s="8" t="str">
        <x:v>drop</x:v>
      </x:c>
      <x:c r="I372" s="11" t="n">
        <x:f>SUMIF('Route Points'!$A$7:$A$2910,A372,'Route Points'!$F$7:$F$2910)</x:f>
        <x:v>9.435528090456472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Concealed entrance wall band, solid pier and local termination.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trunk:LC1:L1:light:1</x:v>
      </x:c>
    </x:row>
    <x:row r="373" ht="90" customHeight="1">
      <x:c r="A373" s="8" t="str">
        <x:v>drop:LC1:L1:light:1:L62</x:v>
      </x:c>
      <x:c r="B373" s="8" t="str">
        <x:v>L1 → Rear centre light · entrance façade · H</x:v>
      </x:c>
      <x:c r="C373" s="8" t="str">
        <x:v>LC1</x:v>
      </x:c>
      <x:c r="D373" s="8" t="str">
        <x:v>L62</x:v>
      </x:c>
      <x:c r="E373" s="8" t="str">
        <x:v>DB1</x:v>
      </x:c>
      <x:c r="F373" s="8" t="str">
        <x:v>L1</x:v>
      </x:c>
      <x:c r="G373" s="8" t="str">
        <x:v>light</x:v>
      </x:c>
      <x:c r="H373" s="8" t="str">
        <x:v>drop</x:v>
      </x:c>
      <x:c r="I373" s="11" t="n">
        <x:f>SUMIF('Route Points'!$A$7:$A$2910,A373,'Route Points'!$F$7:$F$2910)</x:f>
        <x:v>6.9355280904564705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Concealed entrance wall band, solid pier and local termination.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trunk:LC1:L1:light:1</x:v>
      </x:c>
    </x:row>
    <x:row r="374" ht="90" customHeight="1">
      <x:c r="A374" s="8" t="str">
        <x:v>drop:LC1:L2:light:-1:L43</x:v>
      </x:c>
      <x:c r="B374" s="8" t="str">
        <x:v>L2 → Reading light · axis 6 · B outer</x:v>
      </x:c>
      <x:c r="C374" s="8" t="str">
        <x:v>LC1</x:v>
      </x:c>
      <x:c r="D374" s="8" t="str">
        <x:v>L43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Points'!$A$7:$A$2910,A374,'Route Points'!$F$7:$F$2910)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trunk:LC1:L2:light:-1</x:v>
      </x:c>
    </x:row>
    <x:row r="375" ht="90" customHeight="1">
      <x:c r="A375" s="8" t="str">
        <x:v>drop:LC1:L2:light:-1:L47</x:v>
      </x:c>
      <x:c r="B375" s="8" t="str">
        <x:v>L2 → Reading light · axis 7 · B outer</x:v>
      </x:c>
      <x:c r="C375" s="8" t="str">
        <x:v>LC1</x:v>
      </x:c>
      <x:c r="D375" s="8" t="str">
        <x:v>L47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Points'!$A$7:$A$2910,A375,'Route Points'!$F$7:$F$2910)</x:f>
        <x:v>2.8567548783981946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trunk:LC1:L2:light:-1</x:v>
      </x:c>
    </x:row>
    <x:row r="376" ht="90" customHeight="1">
      <x:c r="A376" s="8" t="str">
        <x:v>drop:LC1:L2:light:-1:L48</x:v>
      </x:c>
      <x:c r="B376" s="8" t="str">
        <x:v>L2 → Reading light · axis 7 · B outer · twin</x:v>
      </x:c>
      <x:c r="C376" s="8" t="str">
        <x:v>LC1</x:v>
      </x:c>
      <x:c r="D376" s="8" t="str">
        <x:v>L48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Points'!$A$7:$A$2910,A376,'Route Points'!$F$7:$F$2910)</x:f>
        <x:v>4.1043996511258865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trunk:LC1:L2:light:-1</x:v>
      </x:c>
    </x:row>
    <x:row r="377" ht="90" customHeight="1">
      <x:c r="A377" s="8" t="str">
        <x:v>drop:LC1:L2:light:-1:L51</x:v>
      </x:c>
      <x:c r="B377" s="8" t="str">
        <x:v>L2 → Reading light · axis 8 · B outer</x:v>
      </x:c>
      <x:c r="C377" s="8" t="str">
        <x:v>LC1</x:v>
      </x:c>
      <x:c r="D377" s="8" t="str">
        <x:v>L51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Points'!$A$7:$A$2910,A377,'Route Points'!$F$7:$F$2910)</x:f>
        <x:v>2.8567548783981946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trunk:LC1:L2:light:-1</x:v>
      </x:c>
    </x:row>
    <x:row r="378" ht="90" customHeight="1">
      <x:c r="A378" s="8" t="str">
        <x:v>drop:LC1:L2:light:-1:L52</x:v>
      </x:c>
      <x:c r="B378" s="8" t="str">
        <x:v>L2 → Reading light · axis 8 · B outer · twin</x:v>
      </x:c>
      <x:c r="C378" s="8" t="str">
        <x:v>LC1</x:v>
      </x:c>
      <x:c r="D378" s="8" t="str">
        <x:v>L52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Points'!$A$7:$A$2910,A378,'Route Points'!$F$7:$F$2910)</x:f>
        <x:v>4.1043996511258865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trunk:LC1:L2:light:-1</x:v>
      </x:c>
    </x:row>
    <x:row r="379" ht="90" customHeight="1">
      <x:c r="A379" s="8" t="str">
        <x:v>drop:LC1:L2:light:-1:L55</x:v>
      </x:c>
      <x:c r="B379" s="8" t="str">
        <x:v>L2 → Reading light · axis 9 · B outer</x:v>
      </x:c>
      <x:c r="C379" s="8" t="str">
        <x:v>LC1</x:v>
      </x:c>
      <x:c r="D379" s="8" t="str">
        <x:v>L55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Points'!$A$7:$A$2910,A379,'Route Points'!$F$7:$F$2910)</x:f>
        <x:v>1.724754878398195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trunk:LC1:L2:light:-1</x:v>
      </x:c>
    </x:row>
    <x:row r="380" ht="90" customHeight="1">
      <x:c r="A380" s="8" t="str">
        <x:v>drop:LC1:L2:light:-1:L56</x:v>
      </x:c>
      <x:c r="B380" s="8" t="str">
        <x:v>L2 → Reading light · axis 9 · B outer · twin</x:v>
      </x:c>
      <x:c r="C380" s="8" t="str">
        <x:v>LC1</x:v>
      </x:c>
      <x:c r="D380" s="8" t="str">
        <x:v>L56</x:v>
      </x:c>
      <x:c r="E380" s="8" t="str">
        <x:v>DB1</x:v>
      </x:c>
      <x:c r="F380" s="8" t="str">
        <x:v>L2</x:v>
      </x:c>
      <x:c r="G380" s="8" t="str">
        <x:v>light</x:v>
      </x:c>
      <x:c r="H380" s="8" t="str">
        <x:v>drop</x:v>
      </x:c>
      <x:c r="I380" s="11" t="n">
        <x:f>SUMIF('Route Points'!$A$7:$A$2910,A380,'Route Points'!$F$7:$F$2910)</x:f>
        <x:v>2.9723996511258868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lining / beam tops, short covered joint and rear-face return to fitting. Roof access, rafter/tie interface and removable cover details pending; no timber drilling / notching.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trunk:LC1:L2:light:-1</x:v>
      </x:c>
    </x:row>
    <x:row r="381" ht="90" customHeight="1">
      <x:c r="A381" s="8" t="str">
        <x:v>drop:LC1:L2:light:1:L45</x:v>
      </x:c>
      <x:c r="B381" s="8" t="str">
        <x:v>L2 → Reading light · axis 6 · H outer</x:v>
      </x:c>
      <x:c r="C381" s="8" t="str">
        <x:v>LC1</x:v>
      </x:c>
      <x:c r="D381" s="8" t="str">
        <x:v>L45</x:v>
      </x:c>
      <x:c r="E381" s="8" t="str">
        <x:v>DB1</x:v>
      </x:c>
      <x:c r="F381" s="8" t="str">
        <x:v>L2</x:v>
      </x:c>
      <x:c r="G381" s="8" t="str">
        <x:v>light</x:v>
      </x:c>
      <x:c r="H381" s="8" t="str">
        <x:v>drop</x:v>
      </x:c>
      <x:c r="I381" s="11" t="n">
        <x:f>SUMIF('Route Points'!$A$7:$A$2910,A381,'Route Points'!$F$7:$F$2910)</x:f>
        <x:v>2.8567548783981946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lining / beam tops, short covered joint and rear-face return to fitting. Roof access, rafter/tie interface and removable cover details pending; no timber drilling / notching.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trunk:LC1:L2:light:1</x:v>
      </x:c>
    </x:row>
    <x:row r="382" ht="90" customHeight="1">
      <x:c r="A382" s="8" t="str">
        <x:v>drop:LC1:L2:light:1:L49</x:v>
      </x:c>
      <x:c r="B382" s="8" t="str">
        <x:v>L2 → Reading light · axis 7 · H outer</x:v>
      </x:c>
      <x:c r="C382" s="8" t="str">
        <x:v>LC1</x:v>
      </x:c>
      <x:c r="D382" s="8" t="str">
        <x:v>L49</x:v>
      </x:c>
      <x:c r="E382" s="8" t="str">
        <x:v>DB1</x:v>
      </x:c>
      <x:c r="F382" s="8" t="str">
        <x:v>L2</x:v>
      </x:c>
      <x:c r="G382" s="8" t="str">
        <x:v>light</x:v>
      </x:c>
      <x:c r="H382" s="8" t="str">
        <x:v>drop</x:v>
      </x:c>
      <x:c r="I382" s="11" t="n">
        <x:f>SUMIF('Route Points'!$A$7:$A$2910,A382,'Route Points'!$F$7:$F$2910)</x:f>
        <x:v>2.8567548783981946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lining / beam tops, short covered joint and rear-face return to fitting. Roof access, rafter/tie interface and removable cover details pending; no timber drilling / notching.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trunk:LC1:L2:light:1</x:v>
      </x:c>
    </x:row>
    <x:row r="383" ht="90" customHeight="1">
      <x:c r="A383" s="8" t="str">
        <x:v>drop:LC1:L2:light:1:L50</x:v>
      </x:c>
      <x:c r="B383" s="8" t="str">
        <x:v>L2 → Reading light · axis 7 · H outer · twin</x:v>
      </x:c>
      <x:c r="C383" s="8" t="str">
        <x:v>LC1</x:v>
      </x:c>
      <x:c r="D383" s="8" t="str">
        <x:v>L50</x:v>
      </x:c>
      <x:c r="E383" s="8" t="str">
        <x:v>DB1</x:v>
      </x:c>
      <x:c r="F383" s="8" t="str">
        <x:v>L2</x:v>
      </x:c>
      <x:c r="G383" s="8" t="str">
        <x:v>light</x:v>
      </x:c>
      <x:c r="H383" s="8" t="str">
        <x:v>drop</x:v>
      </x:c>
      <x:c r="I383" s="11" t="n">
        <x:f>SUMIF('Route Points'!$A$7:$A$2910,A383,'Route Points'!$F$7:$F$2910)</x:f>
        <x:v>4.1043996511258865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lining / beam tops, short covered joint and rear-face return to fitting. Roof access, rafter/tie interface and removable cover details pending; no timber drilling / notching.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trunk:LC1:L2:light:1</x:v>
      </x:c>
    </x:row>
    <x:row r="384" ht="90" customHeight="1">
      <x:c r="A384" s="8" t="str">
        <x:v>drop:LC1:L2:light:1:L53</x:v>
      </x:c>
      <x:c r="B384" s="8" t="str">
        <x:v>L2 → Reading light · axis 8 · H outer</x:v>
      </x:c>
      <x:c r="C384" s="8" t="str">
        <x:v>LC1</x:v>
      </x:c>
      <x:c r="D384" s="8" t="str">
        <x:v>L53</x:v>
      </x:c>
      <x:c r="E384" s="8" t="str">
        <x:v>DB1</x:v>
      </x:c>
      <x:c r="F384" s="8" t="str">
        <x:v>L2</x:v>
      </x:c>
      <x:c r="G384" s="8" t="str">
        <x:v>light</x:v>
      </x:c>
      <x:c r="H384" s="8" t="str">
        <x:v>drop</x:v>
      </x:c>
      <x:c r="I384" s="11" t="n">
        <x:f>SUMIF('Route Points'!$A$7:$A$2910,A384,'Route Points'!$F$7:$F$2910)</x:f>
        <x:v>2.8567548783981946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Above lining / beam tops, short covered joint and rear-face return to fitting. Roof access, rafter/tie interface and removable cover details pending; no timber drilling / notching.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trunk:LC1:L2:light:1</x:v>
      </x:c>
    </x:row>
    <x:row r="385" ht="90" customHeight="1">
      <x:c r="A385" s="8" t="str">
        <x:v>drop:LC1:L2:light:1:L54</x:v>
      </x:c>
      <x:c r="B385" s="8" t="str">
        <x:v>L2 → Reading light · axis 8 · H outer · twin</x:v>
      </x:c>
      <x:c r="C385" s="8" t="str">
        <x:v>LC1</x:v>
      </x:c>
      <x:c r="D385" s="8" t="str">
        <x:v>L54</x:v>
      </x:c>
      <x:c r="E385" s="8" t="str">
        <x:v>DB1</x:v>
      </x:c>
      <x:c r="F385" s="8" t="str">
        <x:v>L2</x:v>
      </x:c>
      <x:c r="G385" s="8" t="str">
        <x:v>light</x:v>
      </x:c>
      <x:c r="H385" s="8" t="str">
        <x:v>drop</x:v>
      </x:c>
      <x:c r="I385" s="11" t="n">
        <x:f>SUMIF('Route Points'!$A$7:$A$2910,A385,'Route Points'!$F$7:$F$2910)</x:f>
        <x:v>4.1043996511258865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Above lining / beam tops, short covered joint and rear-face return to fitting. Roof access, rafter/tie interface and removable cover details pending; no timber drilling / notching.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trunk:LC1:L2:light:1</x:v>
      </x:c>
    </x:row>
    <x:row r="386" ht="90" customHeight="1">
      <x:c r="A386" s="8" t="str">
        <x:v>drop:LC1:L2:light:1:L57</x:v>
      </x:c>
      <x:c r="B386" s="8" t="str">
        <x:v>L2 → Reading light · axis 9 · H outer</x:v>
      </x:c>
      <x:c r="C386" s="8" t="str">
        <x:v>LC1</x:v>
      </x:c>
      <x:c r="D386" s="8" t="str">
        <x:v>L57</x:v>
      </x:c>
      <x:c r="E386" s="8" t="str">
        <x:v>DB1</x:v>
      </x:c>
      <x:c r="F386" s="8" t="str">
        <x:v>L2</x:v>
      </x:c>
      <x:c r="G386" s="8" t="str">
        <x:v>light</x:v>
      </x:c>
      <x:c r="H386" s="8" t="str">
        <x:v>drop</x:v>
      </x:c>
      <x:c r="I386" s="11" t="n">
        <x:f>SUMIF('Route Points'!$A$7:$A$2910,A386,'Route Points'!$F$7:$F$2910)</x:f>
        <x:v>1.724754878398195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Above lining / beam tops, short covered joint and rear-face return to fitting. Roof access, rafter/tie interface and removable cover details pending; no timber drilling / notching.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trunk:LC1:L2:light:1</x:v>
      </x:c>
    </x:row>
    <x:row r="387" ht="90" customHeight="1">
      <x:c r="A387" s="8" t="str">
        <x:v>drop:LC1:L2:light:1:L58</x:v>
      </x:c>
      <x:c r="B387" s="8" t="str">
        <x:v>L2 → Reading light · axis 9 · H outer · twin</x:v>
      </x:c>
      <x:c r="C387" s="8" t="str">
        <x:v>LC1</x:v>
      </x:c>
      <x:c r="D387" s="8" t="str">
        <x:v>L58</x:v>
      </x:c>
      <x:c r="E387" s="8" t="str">
        <x:v>DB1</x:v>
      </x:c>
      <x:c r="F387" s="8" t="str">
        <x:v>L2</x:v>
      </x:c>
      <x:c r="G387" s="8" t="str">
        <x:v>light</x:v>
      </x:c>
      <x:c r="H387" s="8" t="str">
        <x:v>drop</x:v>
      </x:c>
      <x:c r="I387" s="11" t="n">
        <x:f>SUMIF('Route Points'!$A$7:$A$2910,A387,'Route Points'!$F$7:$F$2910)</x:f>
        <x:v>2.9723996511258868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Above lining / beam tops, short covered joint and rear-face return to fitting. Roof access, rafter/tie interface and removable cover details pending; no timber drilling / notching.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trunk:LC1:L2:light:1</x:v>
      </x:c>
    </x:row>
    <x:row r="388" ht="90" customHeight="1">
      <x:c r="A388" s="8" t="str">
        <x:v>drop:LC1:LD:light:-1:L78</x:v>
      </x:c>
      <x:c r="B388" s="8" t="str">
        <x:v>LD → Chandelier · bay 4–5</x:v>
      </x:c>
      <x:c r="C388" s="8" t="str">
        <x:v>LC1</x:v>
      </x:c>
      <x:c r="D388" s="8" t="str">
        <x:v>L78</x:v>
      </x:c>
      <x:c r="E388" s="8" t="str">
        <x:v>DB1</x:v>
      </x:c>
      <x:c r="F388" s="8" t="str">
        <x:v>LD</x:v>
      </x:c>
      <x:c r="G388" s="8" t="str">
        <x:v>light</x:v>
      </x:c>
      <x:c r="H388" s="8" t="str">
        <x:v>drop</x:v>
      </x:c>
      <x:c r="I388" s="11" t="n">
        <x:f>SUMIF('Route Points'!$A$7:$A$2910,A388,'Route Points'!$F$7:$F$2910)</x:f>
        <x:v>15.276314927469798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trunk:LC1:LD:light:-1</x:v>
      </x:c>
    </x:row>
    <x:row r="389" ht="90" customHeight="1">
      <x:c r="A389" s="8" t="str">
        <x:v>drop:LC1:LD:light:-1:L79</x:v>
      </x:c>
      <x:c r="B389" s="8" t="str">
        <x:v>LD → Chandelier · bay 6–7</x:v>
      </x:c>
      <x:c r="C389" s="8" t="str">
        <x:v>LC1</x:v>
      </x:c>
      <x:c r="D389" s="8" t="str">
        <x:v>L79</x:v>
      </x:c>
      <x:c r="E389" s="8" t="str">
        <x:v>DB1</x:v>
      </x:c>
      <x:c r="F389" s="8" t="str">
        <x:v>LD</x:v>
      </x:c>
      <x:c r="G389" s="8" t="str">
        <x:v>light</x:v>
      </x:c>
      <x:c r="H389" s="8" t="str">
        <x:v>drop</x:v>
      </x:c>
      <x:c r="I389" s="11" t="n">
        <x:f>SUMIF('Route Points'!$A$7:$A$2910,A389,'Route Points'!$F$7:$F$2910)</x:f>
        <x:v>15.276314927469798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trunk:LC1:LD:light:-1</x:v>
      </x:c>
    </x:row>
    <x:row r="390" ht="90" customHeight="1">
      <x:c r="A390" s="8" t="str">
        <x:v>drop:LC1:LD:light:-1:L80</x:v>
      </x:c>
      <x:c r="B390" s="8" t="str">
        <x:v>LD → Chandelier · bay 8–9</x:v>
      </x:c>
      <x:c r="C390" s="8" t="str">
        <x:v>LC1</x:v>
      </x:c>
      <x:c r="D390" s="8" t="str">
        <x:v>L80</x:v>
      </x:c>
      <x:c r="E390" s="8" t="str">
        <x:v>DB1</x:v>
      </x:c>
      <x:c r="F390" s="8" t="str">
        <x:v>LD</x:v>
      </x:c>
      <x:c r="G390" s="8" t="str">
        <x:v>light</x:v>
      </x:c>
      <x:c r="H390" s="8" t="str">
        <x:v>drop</x:v>
      </x:c>
      <x:c r="I390" s="11" t="n">
        <x:f>SUMIF('Route Points'!$A$7:$A$2910,A390,'Route Points'!$F$7:$F$2910)</x:f>
        <x:v>15.276314927469798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trunk:LC1:LD:light:-1</x:v>
      </x:c>
    </x:row>
    <x:row r="391" ht="90" customHeight="1">
      <x:c r="A391" s="8" t="str">
        <x:v>drop:LC1:LD:light:-1:L81</x:v>
      </x:c>
      <x:c r="B391" s="8" t="str">
        <x:v>LD → Grand chandelier · crossing 9–10</x:v>
      </x:c>
      <x:c r="C391" s="8" t="str">
        <x:v>LC1</x:v>
      </x:c>
      <x:c r="D391" s="8" t="str">
        <x:v>L81</x:v>
      </x:c>
      <x:c r="E391" s="8" t="str">
        <x:v>DB1</x:v>
      </x:c>
      <x:c r="F391" s="8" t="str">
        <x:v>LD</x:v>
      </x:c>
      <x:c r="G391" s="8" t="str">
        <x:v>light</x:v>
      </x:c>
      <x:c r="H391" s="8" t="str">
        <x:v>drop</x:v>
      </x:c>
      <x:c r="I391" s="11" t="n">
        <x:f>SUMIF('Route Points'!$A$7:$A$2910,A391,'Route Points'!$F$7:$F$2910)</x:f>
        <x:v>11.56464294113543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trunk:LC1:LD:light:-1</x:v>
      </x:c>
    </x:row>
    <x:row r="392" ht="90" customHeight="1">
      <x:c r="A392" s="8" t="str">
        <x:v>drop:LC1:L5:light:-1:L143</x:v>
      </x:c>
      <x:c r="B392" s="8" t="str">
        <x:v>L5 → Side door lantern · B · 46.425 · front</x:v>
      </x:c>
      <x:c r="C392" s="8" t="str">
        <x:v>LC1</x:v>
      </x:c>
      <x:c r="D392" s="8" t="str">
        <x:v>L143</x:v>
      </x:c>
      <x:c r="E392" s="8" t="str">
        <x:v>DB1</x:v>
      </x:c>
      <x:c r="F392" s="8" t="str">
        <x:v>L5</x:v>
      </x:c>
      <x:c r="G392" s="8" t="str">
        <x:v>light</x:v>
      </x:c>
      <x:c r="H392" s="8" t="str">
        <x:v>drop</x:v>
      </x:c>
      <x:c r="I392" s="11" t="n">
        <x:f>SUMIF('Route Points'!$A$7:$A$2910,A392,'Route Points'!$F$7:$F$2910)</x:f>
        <x:v>8.080172388861078</x:v>
      </x:c>
      <x:c r="J392" s="11"/>
      <x:c r="K392" s="11" t="str">
        <x:f>IF(L392="Full home run",I392+J392,"")</x:f>
      </x:c>
      <x:c r="L392" s="8" t="str">
        <x:v>Route segment</x:v>
      </x:c>
      <x:c r="M392" s="13"/>
      <x:c r="N392" s="11" t="str">
        <x:f>IF(AND(ISNUMBER(M392),L392&lt;&gt;"Shared bundle"),IF(L392="Full home run",K392,I392)+M392,"")</x:f>
      </x:c>
      <x:c r="O392" s="8" t="str">
        <x:v>Cable type / conductors / cross-section / conduit: pending electrical design</x:v>
      </x:c>
      <x:c r="P392" s="8" t="str">
        <x:v>Covered roof-soffit crossing into outer arcade / wing-gable wall, then concealed pier drop. No exposed crossing at equipment height.</x:v>
      </x:c>
      <x:c r="Q392" s="9"/>
      <x:c r="R392" s="9"/>
      <x:c r="S392" s="13"/>
      <x:c r="T392" s="9"/>
      <x:c r="U392" s="9"/>
      <x:c r="V392" s="9"/>
      <x:c r="W392" s="9"/>
      <x:c r="X392" s="9"/>
      <x:c r="Y392" s="8" t="str">
        <x:v>Retired</x:v>
      </x:c>
      <x:c r="Z392" s="8" t="str">
        <x:v>trunk:LC1:L5:light:-1</x:v>
      </x:c>
    </x:row>
    <x:row r="393" ht="90" customHeight="1">
      <x:c r="A393" s="8" t="str">
        <x:v>drop:LC1:L5:light:-1:L144</x:v>
      </x:c>
      <x:c r="B393" s="8" t="str">
        <x:v>L5 → Side door lantern · B · 46.425 · rear</x:v>
      </x:c>
      <x:c r="C393" s="8" t="str">
        <x:v>LC1</x:v>
      </x:c>
      <x:c r="D393" s="8" t="str">
        <x:v>L144</x:v>
      </x:c>
      <x:c r="E393" s="8" t="str">
        <x:v>DB1</x:v>
      </x:c>
      <x:c r="F393" s="8" t="str">
        <x:v>L5</x:v>
      </x:c>
      <x:c r="G393" s="8" t="str">
        <x:v>light</x:v>
      </x:c>
      <x:c r="H393" s="8" t="str">
        <x:v>drop</x:v>
      </x:c>
      <x:c r="I393" s="11" t="n">
        <x:f>SUMIF('Route Points'!$A$7:$A$2910,A393,'Route Points'!$F$7:$F$2910)</x:f>
        <x:v>8.080172388861078</x:v>
      </x:c>
      <x:c r="J393" s="11"/>
      <x:c r="K393" s="11" t="str">
        <x:f>IF(L393="Full home run",I393+J393,"")</x:f>
      </x:c>
      <x:c r="L393" s="8" t="str">
        <x:v>Route segment</x:v>
      </x:c>
      <x:c r="M393" s="13"/>
      <x:c r="N393" s="11" t="str">
        <x:f>IF(AND(ISNUMBER(M393),L393&lt;&gt;"Shared bundle"),IF(L393="Full home run",K393,I393)+M393,"")</x:f>
      </x:c>
      <x:c r="O393" s="8" t="str">
        <x:v>Cable type / conductors / cross-section / conduit: pending electrical design</x:v>
      </x:c>
      <x:c r="P393" s="8" t="str">
        <x:v>Covered roof-soffit crossing into outer arcade / wing-gable wall, then concealed pier drop. No exposed crossing at equipment height.</x:v>
      </x:c>
      <x:c r="Q393" s="9"/>
      <x:c r="R393" s="9"/>
      <x:c r="S393" s="13"/>
      <x:c r="T393" s="9"/>
      <x:c r="U393" s="9"/>
      <x:c r="V393" s="9"/>
      <x:c r="W393" s="9"/>
      <x:c r="X393" s="9"/>
      <x:c r="Y393" s="8" t="str">
        <x:v>Retired</x:v>
      </x:c>
      <x:c r="Z393" s="8" t="str">
        <x:v>trunk:LC1:L5:light:-1</x:v>
      </x:c>
    </x:row>
    <x:row r="394" ht="90" customHeight="1">
      <x:c r="A394" s="8" t="str">
        <x:v>drop:LC1:L5:light:1:L149</x:v>
      </x:c>
      <x:c r="B394" s="8" t="str">
        <x:v>L5 → Side door lantern · H · 46.425 · front</x:v>
      </x:c>
      <x:c r="C394" s="8" t="str">
        <x:v>LC1</x:v>
      </x:c>
      <x:c r="D394" s="8" t="str">
        <x:v>L149</x:v>
      </x:c>
      <x:c r="E394" s="8" t="str">
        <x:v>DB1</x:v>
      </x:c>
      <x:c r="F394" s="8" t="str">
        <x:v>L5</x:v>
      </x:c>
      <x:c r="G394" s="8" t="str">
        <x:v>light</x:v>
      </x:c>
      <x:c r="H394" s="8" t="str">
        <x:v>drop</x:v>
      </x:c>
      <x:c r="I394" s="11" t="n">
        <x:f>SUMIF('Route Points'!$A$7:$A$2910,A394,'Route Points'!$F$7:$F$2910)</x:f>
        <x:v>8.080172388861078</x:v>
      </x:c>
      <x:c r="J394" s="11"/>
      <x:c r="K394" s="11" t="str">
        <x:f>IF(L394="Full home run",I394+J394,"")</x:f>
      </x:c>
      <x:c r="L394" s="8" t="str">
        <x:v>Route segment</x:v>
      </x:c>
      <x:c r="M394" s="13"/>
      <x:c r="N394" s="11" t="str">
        <x:f>IF(AND(ISNUMBER(M394),L394&lt;&gt;"Shared bundle"),IF(L394="Full home run",K394,I394)+M394,"")</x:f>
      </x:c>
      <x:c r="O394" s="8" t="str">
        <x:v>Cable type / conductors / cross-section / conduit: pending electrical design</x:v>
      </x:c>
      <x:c r="P394" s="8" t="str">
        <x:v>Covered roof-soffit crossing into outer arcade / wing-gable wall, then concealed pier drop. No exposed crossing at equipment height.</x:v>
      </x:c>
      <x:c r="Q394" s="9"/>
      <x:c r="R394" s="9"/>
      <x:c r="S394" s="13"/>
      <x:c r="T394" s="9"/>
      <x:c r="U394" s="9"/>
      <x:c r="V394" s="9"/>
      <x:c r="W394" s="9"/>
      <x:c r="X394" s="9"/>
      <x:c r="Y394" s="8" t="str">
        <x:v>Retired</x:v>
      </x:c>
      <x:c r="Z394" s="8" t="str">
        <x:v>trunk:LC1:L5:light:1</x:v>
      </x:c>
    </x:row>
    <x:row r="395" ht="90" customHeight="1">
      <x:c r="A395" s="8" t="str">
        <x:v>drop:LC1:L5:light:1:L150</x:v>
      </x:c>
      <x:c r="B395" s="8" t="str">
        <x:v>L5 → Side door lantern · H · 46.425 · rear</x:v>
      </x:c>
      <x:c r="C395" s="8" t="str">
        <x:v>LC1</x:v>
      </x:c>
      <x:c r="D395" s="8" t="str">
        <x:v>L150</x:v>
      </x:c>
      <x:c r="E395" s="8" t="str">
        <x:v>DB1</x:v>
      </x:c>
      <x:c r="F395" s="8" t="str">
        <x:v>L5</x:v>
      </x:c>
      <x:c r="G395" s="8" t="str">
        <x:v>light</x:v>
      </x:c>
      <x:c r="H395" s="8" t="str">
        <x:v>drop</x:v>
      </x:c>
      <x:c r="I395" s="11" t="n">
        <x:f>SUMIF('Route Points'!$A$7:$A$2910,A395,'Route Points'!$F$7:$F$2910)</x:f>
        <x:v>8.080172388861078</x:v>
      </x:c>
      <x:c r="J395" s="11"/>
      <x:c r="K395" s="11" t="str">
        <x:f>IF(L395="Full home run",I395+J395,"")</x:f>
      </x:c>
      <x:c r="L395" s="8" t="str">
        <x:v>Route segment</x:v>
      </x:c>
      <x:c r="M395" s="13"/>
      <x:c r="N395" s="11" t="str">
        <x:f>IF(AND(ISNUMBER(M395),L395&lt;&gt;"Shared bundle"),IF(L395="Full home run",K395,I395)+M395,"")</x:f>
      </x:c>
      <x:c r="O395" s="8" t="str">
        <x:v>Cable type / conductors / cross-section / conduit: pending electrical design</x:v>
      </x:c>
      <x:c r="P395" s="8" t="str">
        <x:v>Covered roof-soffit crossing into outer arcade / wing-gable wall, then concealed pier drop. No exposed crossing at equipment height.</x:v>
      </x:c>
      <x:c r="Q395" s="9"/>
      <x:c r="R395" s="9"/>
      <x:c r="S395" s="13"/>
      <x:c r="T395" s="9"/>
      <x:c r="U395" s="9"/>
      <x:c r="V395" s="9"/>
      <x:c r="W395" s="9"/>
      <x:c r="X395" s="9"/>
      <x:c r="Y395" s="8" t="str">
        <x:v>Retired</x:v>
      </x:c>
      <x:c r="Z395" s="8" t="str">
        <x:v>trunk:LC1:L5:light:1</x:v>
      </x:c>
    </x:row>
    <x:row r="396" ht="90" customHeight="1">
      <x:c r="A396" s="8" t="str">
        <x:v>drop:LC1:L8:light:-1:L64</x:v>
      </x:c>
      <x:c r="B396" s="8" t="str">
        <x:v>L8 → Wing light · B · front block · front rows</x:v>
      </x:c>
      <x:c r="C396" s="8" t="str">
        <x:v>LC1</x:v>
      </x:c>
      <x:c r="D396" s="8" t="str">
        <x:v>L64</x:v>
      </x:c>
      <x:c r="E396" s="8" t="str">
        <x:v>DB1</x:v>
      </x:c>
      <x:c r="F396" s="8" t="str">
        <x:v>L8</x:v>
      </x:c>
      <x:c r="G396" s="8" t="str">
        <x:v>light</x:v>
      </x:c>
      <x:c r="H396" s="8" t="str">
        <x:v>drop</x:v>
      </x:c>
      <x:c r="I396" s="11" t="n">
        <x:f>SUMIF('Route Points'!$A$7:$A$2910,A396,'Route Points'!$F$7:$F$2910)</x:f>
        <x:v>4.993150773195873</x:v>
      </x:c>
      <x:c r="J396" s="11"/>
      <x:c r="K396" s="11" t="str">
        <x:f>IF(L396="Full home run",I396+J396,"")</x:f>
      </x:c>
      <x:c r="L396" s="8" t="str">
        <x:v>Route segment</x:v>
      </x:c>
      <x:c r="M396" s="13"/>
      <x:c r="N396" s="11" t="str">
        <x:f>IF(AND(ISNUMBER(M396),L396&lt;&gt;"Shared bundle"),IF(L396="Full home run",K396,I396)+M396,"")</x:f>
      </x:c>
      <x:c r="O396" s="8" t="str">
        <x:v>Cable type / conductors / cross-section / conduit: pending electrical design</x:v>
      </x:c>
      <x:c r="P396" s="8" t="str">
        <x:v>Above nave lining / covered soffit route at wings and verandas; cable continues inside the existing pendant stem. Roof build-up, supports and access pending.</x:v>
      </x:c>
      <x:c r="Q396" s="9"/>
      <x:c r="R396" s="9"/>
      <x:c r="S396" s="13"/>
      <x:c r="T396" s="9"/>
      <x:c r="U396" s="9"/>
      <x:c r="V396" s="9"/>
      <x:c r="W396" s="9"/>
      <x:c r="X396" s="9"/>
      <x:c r="Y396" s="8" t="str">
        <x:v>Retired</x:v>
      </x:c>
      <x:c r="Z396" s="8" t="str">
        <x:v>trunk:LC1:L8:light:-1</x:v>
      </x:c>
    </x:row>
    <x:row r="397" ht="90" customHeight="1">
      <x:c r="A397" s="8" t="str">
        <x:v>drop:LC1:L8:light:-1:L66</x:v>
      </x:c>
      <x:c r="B397" s="8" t="str">
        <x:v>L8 → Wing light · B · rear block · front rows</x:v>
      </x:c>
      <x:c r="C397" s="8" t="str">
        <x:v>LC1</x:v>
      </x:c>
      <x:c r="D397" s="8" t="str">
        <x:v>L66</x:v>
      </x:c>
      <x:c r="E397" s="8" t="str">
        <x:v>DB1</x:v>
      </x:c>
      <x:c r="F397" s="8" t="str">
        <x:v>L8</x:v>
      </x:c>
      <x:c r="G397" s="8" t="str">
        <x:v>light</x:v>
      </x:c>
      <x:c r="H397" s="8" t="str">
        <x:v>drop</x:v>
      </x:c>
      <x:c r="I397" s="11" t="n">
        <x:f>SUMIF('Route Points'!$A$7:$A$2910,A397,'Route Points'!$F$7:$F$2910)</x:f>
        <x:v>4.985096649484539</x:v>
      </x:c>
      <x:c r="J397" s="11"/>
      <x:c r="K397" s="11" t="str">
        <x:f>IF(L397="Full home run",I397+J397,"")</x:f>
      </x:c>
      <x:c r="L397" s="8" t="str">
        <x:v>Route segment</x:v>
      </x:c>
      <x:c r="M397" s="13"/>
      <x:c r="N397" s="11" t="str">
        <x:f>IF(AND(ISNUMBER(M397),L397&lt;&gt;"Shared bundle"),IF(L397="Full home run",K397,I397)+M397,"")</x:f>
      </x:c>
      <x:c r="O397" s="8" t="str">
        <x:v>Cable type / conductors / cross-section / conduit: pending electrical design</x:v>
      </x:c>
      <x:c r="P397" s="8" t="str">
        <x:v>Above nave lining / covered soffit route at wings and verandas; cable continues inside the existing pendant stem. Roof build-up, supports and access pending.</x:v>
      </x:c>
      <x:c r="Q397" s="9"/>
      <x:c r="R397" s="9"/>
      <x:c r="S397" s="13"/>
      <x:c r="T397" s="9"/>
      <x:c r="U397" s="9"/>
      <x:c r="V397" s="9"/>
      <x:c r="W397" s="9"/>
      <x:c r="X397" s="9"/>
      <x:c r="Y397" s="8" t="str">
        <x:v>Retired</x:v>
      </x:c>
      <x:c r="Z397" s="8" t="str">
        <x:v>trunk:LC1:L8:light:-1</x:v>
      </x:c>
    </x:row>
    <x:row r="398" ht="90" customHeight="1">
      <x:c r="A398" s="8" t="str">
        <x:v>drop:LC1:L8:light:1:L68</x:v>
      </x:c>
      <x:c r="B398" s="8" t="str">
        <x:v>L8 → Wing light · H · front block · front rows</x:v>
      </x:c>
      <x:c r="C398" s="8" t="str">
        <x:v>LC1</x:v>
      </x:c>
      <x:c r="D398" s="8" t="str">
        <x:v>L68</x:v>
      </x:c>
      <x:c r="E398" s="8" t="str">
        <x:v>DB1</x:v>
      </x:c>
      <x:c r="F398" s="8" t="str">
        <x:v>L8</x:v>
      </x:c>
      <x:c r="G398" s="8" t="str">
        <x:v>light</x:v>
      </x:c>
      <x:c r="H398" s="8" t="str">
        <x:v>drop</x:v>
      </x:c>
      <x:c r="I398" s="11" t="n">
        <x:f>SUMIF('Route Points'!$A$7:$A$2910,A398,'Route Points'!$F$7:$F$2910)</x:f>
        <x:v>4.993150773195873</x:v>
      </x:c>
      <x:c r="J398" s="11"/>
      <x:c r="K398" s="11" t="str">
        <x:f>IF(L398="Full home run",I398+J398,"")</x:f>
      </x:c>
      <x:c r="L398" s="8" t="str">
        <x:v>Route segment</x:v>
      </x:c>
      <x:c r="M398" s="13"/>
      <x:c r="N398" s="11" t="str">
        <x:f>IF(AND(ISNUMBER(M398),L398&lt;&gt;"Shared bundle"),IF(L398="Full home run",K398,I398)+M398,"")</x:f>
      </x:c>
      <x:c r="O398" s="8" t="str">
        <x:v>Cable type / conductors / cross-section / conduit: pending electrical design</x:v>
      </x:c>
      <x:c r="P398" s="8" t="str">
        <x:v>Above nave lining / covered soffit route at wings and verandas; cable continues inside the existing pendant stem. Roof build-up, supports and access pending.</x:v>
      </x:c>
      <x:c r="Q398" s="9"/>
      <x:c r="R398" s="9"/>
      <x:c r="S398" s="13"/>
      <x:c r="T398" s="9"/>
      <x:c r="U398" s="9"/>
      <x:c r="V398" s="9"/>
      <x:c r="W398" s="9"/>
      <x:c r="X398" s="9"/>
      <x:c r="Y398" s="8" t="str">
        <x:v>Retired</x:v>
      </x:c>
      <x:c r="Z398" s="8" t="str">
        <x:v>trunk:LC1:L8:light:1</x:v>
      </x:c>
    </x:row>
    <x:row r="399" ht="90" customHeight="1">
      <x:c r="A399" s="8" t="str">
        <x:v>drop:LC1:L8:light:1:L70</x:v>
      </x:c>
      <x:c r="B399" s="8" t="str">
        <x:v>L8 → Wing light · H · rear block · front rows</x:v>
      </x:c>
      <x:c r="C399" s="8" t="str">
        <x:v>LC1</x:v>
      </x:c>
      <x:c r="D399" s="8" t="str">
        <x:v>L70</x:v>
      </x:c>
      <x:c r="E399" s="8" t="str">
        <x:v>DB1</x:v>
      </x:c>
      <x:c r="F399" s="8" t="str">
        <x:v>L8</x:v>
      </x:c>
      <x:c r="G399" s="8" t="str">
        <x:v>light</x:v>
      </x:c>
      <x:c r="H399" s="8" t="str">
        <x:v>drop</x:v>
      </x:c>
      <x:c r="I399" s="11" t="n">
        <x:f>SUMIF('Route Points'!$A$7:$A$2910,A399,'Route Points'!$F$7:$F$2910)</x:f>
        <x:v>4.985096649484539</x:v>
      </x:c>
      <x:c r="J399" s="11"/>
      <x:c r="K399" s="11" t="str">
        <x:f>IF(L399="Full home run",I399+J399,"")</x:f>
      </x:c>
      <x:c r="L399" s="8" t="str">
        <x:v>Route segment</x:v>
      </x:c>
      <x:c r="M399" s="13"/>
      <x:c r="N399" s="11" t="str">
        <x:f>IF(AND(ISNUMBER(M399),L399&lt;&gt;"Shared bundle"),IF(L399="Full home run",K399,I399)+M399,"")</x:f>
      </x:c>
      <x:c r="O399" s="8" t="str">
        <x:v>Cable type / conductors / cross-section / conduit: pending electrical design</x:v>
      </x:c>
      <x:c r="P399" s="8" t="str">
        <x:v>Above nave lining / covered soffit route at wings and verandas; cable continues inside the existing pendant stem. Roof build-up, supports and access pending.</x:v>
      </x:c>
      <x:c r="Q399" s="9"/>
      <x:c r="R399" s="9"/>
      <x:c r="S399" s="13"/>
      <x:c r="T399" s="9"/>
      <x:c r="U399" s="9"/>
      <x:c r="V399" s="9"/>
      <x:c r="W399" s="9"/>
      <x:c r="X399" s="9"/>
      <x:c r="Y399" s="8" t="str">
        <x:v>Retired</x:v>
      </x:c>
      <x:c r="Z399" s="8" t="str">
        <x:v>trunk:LC1:L8:light:1</x:v>
      </x:c>
    </x:row>
  </x:sheetData>
  <x:conditionalFormatting sqref="Y7:Y399">
    <x:cfRule type="containsText" dxfId="1" priority="1" operator="containsText" text="Retired"/>
  </x:conditionalFormatting>
  <x:dataValidations count="3">
    <x:dataValidation type="decimal" operator="greaterThanOrEqual" sqref="M7:M399">
      <x:formula1>0</x:formula1>
    </x:dataValidation>
    <x:dataValidation type="decimal" operator="greaterThanOrEqual" sqref="R7:R399">
      <x:formula1>0</x:formula1>
    </x:dataValidation>
    <x:dataValidation type="decimal" operator="greaterThanOrEqual" sqref="S7:S39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37105cf99246d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-0.9</x:v>
      </x:c>
      <x:c r="F47" s="11" t="n">
        <x:f>SQRT((C47-C46)^2+(D47-D46)^2+(E47-E46)^2)</x:f>
        <x:v>2.10535032714273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-0.9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-0.9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-0.9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-2.48</x:v>
      </x:c>
      <x:c r="F58" s="11" t="n">
        <x:f>SQRT((C58-C57)^2+(D58-D57)^2+(E58-E57)^2)</x:f>
        <x:v>0.5412023651093925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-2.48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-2.48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-2.48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-0.9</x:v>
      </x:c>
      <x:c r="F69" s="11" t="n">
        <x:f>SQRT((C69-C68)^2+(D69-D68)^2+(E69-E68)^2)</x:f>
        <x:v>2.10535032714273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-0.9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-0.9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-0.9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-2.48</x:v>
      </x:c>
      <x:c r="F80" s="11" t="n">
        <x:f>SQRT((C80-C79)^2+(D80-D79)^2+(E80-E79)^2)</x:f>
        <x:v>0.5412023651093925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-2.48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-2.48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-2.48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-0.9</x:v>
      </x:c>
      <x:c r="F91" s="11" t="n">
        <x:f>SQRT((C91-C90)^2+(D91-D90)^2+(E91-E90)^2)</x:f>
        <x:v>2.10535032714273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-0.9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-0.9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-0.9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-2.48</x:v>
      </x:c>
      <x:c r="F102" s="11" t="n">
        <x:f>SQRT((C102-C101)^2+(D102-D101)^2+(E102-E101)^2)</x:f>
        <x:v>0.541202365109392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-2.48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-2.48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-2.48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0.9</x:v>
      </x:c>
      <x:c r="F202" s="11" t="n">
        <x:f>SQRT((C202-C201)^2+(D202-D201)^2+(E202-E201)^2)</x:f>
        <x:v>2.10535032714273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0.9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0.9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0.9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2.48</x:v>
      </x:c>
      <x:c r="F213" s="11" t="n">
        <x:f>SQRT((C213-C212)^2+(D213-D212)^2+(E213-E212)^2)</x:f>
        <x:v>0.5412023651093925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2.48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2.48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2.48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0.9</x:v>
      </x:c>
      <x:c r="F224" s="11" t="n">
        <x:f>SQRT((C224-C223)^2+(D224-D223)^2+(E224-E223)^2)</x:f>
        <x:v>2.10535032714273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0.9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0.9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0.9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2.48</x:v>
      </x:c>
      <x:c r="F235" s="11" t="n">
        <x:f>SQRT((C235-C234)^2+(D235-D234)^2+(E235-E234)^2)</x:f>
        <x:v>0.5412023651093925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2.48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2.48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2.48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0.9</x:v>
      </x:c>
      <x:c r="F246" s="11" t="n">
        <x:f>SQRT((C246-C245)^2+(D246-D245)^2+(E246-E245)^2)</x:f>
        <x:v>2.10535032714273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0.9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0.9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0.9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2.48</x:v>
      </x:c>
      <x:c r="F257" s="11" t="n">
        <x:f>SQRT((C257-C256)^2+(D257-D256)^2+(E257-E256)^2)</x:f>
        <x:v>0.541202365109392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2.48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2.48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2.48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2.48</x:v>
      </x:c>
      <x:c r="F268" s="11" t="n">
        <x:f>SQRT((C268-C267)^2+(D268-D267)^2+(E268-E267)^2)</x:f>
        <x:v>0.541202365109392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2.48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2.48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2.48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-0.9</x:v>
      </x:c>
      <x:c r="F356" s="11" t="n">
        <x:f>SQRT((C356-C355)^2+(D356-D355)^2+(E356-E355)^2)</x:f>
        <x:v>2.10535032714273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-0.9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-0.9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-0.9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-0.9</x:v>
      </x:c>
      <x:c r="F367" s="11" t="n">
        <x:f>SQRT((C367-C366)^2+(D367-D366)^2+(E367-E366)^2)</x:f>
        <x:v>2.10535032714273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-0.9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-0.9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-0.9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-2.48</x:v>
      </x:c>
      <x:c r="F378" s="11" t="n">
        <x:f>SQRT((C378-C377)^2+(D378-D377)^2+(E378-E377)^2)</x:f>
        <x:v>0.541202365109392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-2.48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-2.48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-2.48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-0.9</x:v>
      </x:c>
      <x:c r="F389" s="11" t="n">
        <x:f>SQRT((C389-C388)^2+(D389-D388)^2+(E389-E388)^2)</x:f>
        <x:v>2.10535032714273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-0.9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-0.9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-0.9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-2.48</x:v>
      </x:c>
      <x:c r="F400" s="11" t="n">
        <x:f>SQRT((C400-C399)^2+(D400-D399)^2+(E400-E399)^2)</x:f>
        <x:v>0.541202365109392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-2.48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-2.48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-2.48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-0.9</x:v>
      </x:c>
      <x:c r="F410" s="11" t="n">
        <x:f>SQRT((C410-C409)^2+(D410-D409)^2+(E410-E409)^2)</x:f>
        <x:v>2.10535032714273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-0.9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-0.9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-0.9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-2.48</x:v>
      </x:c>
      <x:c r="F420" s="11" t="n">
        <x:f>SQRT((C420-C419)^2+(D420-D419)^2+(E420-E419)^2)</x:f>
        <x:v>0.541202365109392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-2.48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-2.48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-2.48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0.9</x:v>
      </x:c>
      <x:c r="F498" s="11" t="n">
        <x:f>SQRT((C498-C497)^2+(D498-D497)^2+(E498-E497)^2)</x:f>
        <x:v>2.10535032714273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0.9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0.9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0.9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0.9</x:v>
      </x:c>
      <x:c r="F509" s="11" t="n">
        <x:f>SQRT((C509-C508)^2+(D509-D508)^2+(E509-E508)^2)</x:f>
        <x:v>2.10535032714273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0.9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0.9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0.9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2.48</x:v>
      </x:c>
      <x:c r="F520" s="11" t="n">
        <x:f>SQRT((C520-C519)^2+(D520-D519)^2+(E520-E519)^2)</x:f>
        <x:v>0.541202365109392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2.48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2.48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2.48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0.9</x:v>
      </x:c>
      <x:c r="F531" s="11" t="n">
        <x:f>SQRT((C531-C530)^2+(D531-D530)^2+(E531-E530)^2)</x:f>
        <x:v>2.10535032714273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0.9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0.9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0.9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2.48</x:v>
      </x:c>
      <x:c r="F542" s="11" t="n">
        <x:f>SQRT((C542-C541)^2+(D542-D541)^2+(E542-E541)^2)</x:f>
        <x:v>0.541202365109392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2.48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2.48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2.48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0.9</x:v>
      </x:c>
      <x:c r="F552" s="11" t="n">
        <x:f>SQRT((C552-C551)^2+(D552-D551)^2+(E552-E551)^2)</x:f>
        <x:v>2.10535032714273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0.9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0.9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0.9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2.48</x:v>
      </x:c>
      <x:c r="F562" s="11" t="n">
        <x:f>SQRT((C562-C561)^2+(D562-D561)^2+(E562-E561)^2)</x:f>
        <x:v>0.541202365109392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2.48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2.48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2.48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trunk:LC1:LA:light:-1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trunk:LC1:LA:light:-1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trunk:LC1:LA:light:-1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trunk:LC1:LA:light:-1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trunk:LC1:LA:light:-1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trunk:LC1:LA:light:-1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trunk:LC1:LA:light:-1</x:v>
      </x:c>
      <x:c r="B621" s="8" t="n">
        <x:v>7</x:v>
      </x:c>
      <x:c r="C621" s="11" t="n">
        <x:v>53.016</x:v>
      </x:c>
      <x:c r="D621" s="11" t="n">
        <x:v>5.932</x:v>
      </x:c>
      <x:c r="E621" s="11" t="n">
        <x:v>-3.3</x:v>
      </x:c>
      <x:c r="F621" s="11" t="n">
        <x:f>SQRT((C621-C620)^2+(D621-D620)^2+(E621-E620)^2)</x:f>
        <x:v>1.6020000000000003</x:v>
      </x:c>
      <x:c r="G621" s="8" t="str">
        <x:v>Current</x:v>
      </x:c>
    </x:row>
    <x:row r="622" ht="32" customHeight="1">
      <x:c r="A622" s="8" t="str">
        <x:v>trunk:LC1:LA:light:-1</x:v>
      </x:c>
      <x:c r="B622" s="8" t="n">
        <x:v>8</x:v>
      </x:c>
      <x:c r="C622" s="11" t="n">
        <x:v>53.016</x:v>
      </x:c>
      <x:c r="D622" s="11" t="n">
        <x:v>5.932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trunk:LC1:LA:light:-1</x:v>
      </x:c>
      <x:c r="B623" s="8" t="n">
        <x:v>9</x:v>
      </x:c>
      <x:c r="C623" s="11" t="n">
        <x:v>44.175</x:v>
      </x:c>
      <x:c r="D623" s="11" t="n">
        <x:v>5.932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trunk:LC1:LA:light:-1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1.1079999999999997</x:v>
      </x:c>
      <x:c r="G624" s="8" t="str">
        <x:v>Current</x:v>
      </x:c>
    </x:row>
    <x:row r="625" ht="32" customHeight="1">
      <x:c r="A625" s="8" t="str">
        <x:v>trunk:LC1:LA:light:-1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trunk:LC1:LA:light:-1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trunk:LC1:LA:light:-1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trunk:LC1:LA:light:-1</x:v>
      </x:c>
      <x:c r="B628" s="8" t="n">
        <x:v>14</x:v>
      </x:c>
      <x:c r="C628" s="11" t="n">
        <x:v>37.695</x:v>
      </x:c>
      <x:c r="D628" s="11" t="n">
        <x:v>6.950412371134018</x:v>
      </x:c>
      <x:c r="E628" s="11" t="n">
        <x:v>-7.36</x:v>
      </x:c>
      <x:c r="F628" s="11" t="n">
        <x:f>SQRT((C628-C627)^2+(D628-D627)^2+(E628-E627)^2)</x:f>
        <x:v>3.697957107375376</x:v>
      </x:c>
      <x:c r="G628" s="8" t="str">
        <x:v>Current</x:v>
      </x:c>
    </x:row>
    <x:row r="629" ht="32" customHeight="1">
      <x:c r="A629" s="8" t="str">
        <x:v>trunk:LC1:LA:light:-1</x:v>
      </x:c>
      <x:c r="B629" s="8" t="n">
        <x:v>15</x:v>
      </x:c>
      <x:c r="C629" s="11" t="n">
        <x:v>37.615</x:v>
      </x:c>
      <x:c r="D629" s="11" t="n">
        <x:v>7.04</x:v>
      </x:c>
      <x:c r="E629" s="11" t="n">
        <x:v>-7.36</x:v>
      </x:c>
      <x:c r="F629" s="11" t="n">
        <x:f>SQRT((C629-C628)^2+(D629-D628)^2+(E629-E628)^2)</x:f>
        <x:v>0.12010804821421713</x:v>
      </x:c>
      <x:c r="G629" s="8" t="str">
        <x:v>Current</x:v>
      </x:c>
    </x:row>
    <x:row r="630" ht="32" customHeight="1">
      <x:c r="A630" s="8" t="str">
        <x:v>trunk:LC1:LA:light:-1</x:v>
      </x:c>
      <x:c r="B630" s="8" t="n">
        <x:v>16</x:v>
      </x:c>
      <x:c r="C630" s="11" t="n">
        <x:v>36.975</x:v>
      </x:c>
      <x:c r="D630" s="11" t="n">
        <x:v>7.04</x:v>
      </x:c>
      <x:c r="E630" s="11" t="n">
        <x:v>-7.36</x:v>
      </x:c>
      <x:c r="F630" s="11" t="n">
        <x:f>SQRT((C630-C629)^2+(D630-D629)^2+(E630-E629)^2)</x:f>
        <x:v>0.6400000000000006</x:v>
      </x:c>
      <x:c r="G630" s="8" t="str">
        <x:v>Current</x:v>
      </x:c>
    </x:row>
    <x:row r="631" ht="32" customHeight="1">
      <x:c r="A631" s="8" t="str">
        <x:v>trunk:LC1:LA:light:-1</x:v>
      </x:c>
      <x:c r="B631" s="8" t="n">
        <x:v>17</x:v>
      </x:c>
      <x:c r="C631" s="11" t="n">
        <x:v>36.975</x:v>
      </x:c>
      <x:c r="D631" s="11" t="n">
        <x:v>5.932</x:v>
      </x:c>
      <x:c r="E631" s="11" t="n">
        <x:v>-7.36</x:v>
      </x:c>
      <x:c r="F631" s="11" t="n">
        <x:f>SQRT((C631-C630)^2+(D631-D630)^2+(E631-E630)^2)</x:f>
        <x:v>1.1079999999999997</x:v>
      </x:c>
      <x:c r="G631" s="8" t="str">
        <x:v>Current</x:v>
      </x:c>
    </x:row>
    <x:row r="632" ht="32" customHeight="1">
      <x:c r="A632" s="8" t="str">
        <x:v>trunk:LC1:LA:light:-1</x:v>
      </x:c>
      <x:c r="B632" s="8" t="n">
        <x:v>18</x:v>
      </x:c>
      <x:c r="C632" s="11" t="n">
        <x:v>9.975000000000001</x:v>
      </x:c>
      <x:c r="D632" s="11" t="n">
        <x:v>5.932</x:v>
      </x:c>
      <x:c r="E632" s="11" t="n">
        <x:v>-7.36</x:v>
      </x:c>
      <x:c r="F632" s="11" t="n">
        <x:f>SQRT((C632-C631)^2+(D632-D631)^2+(E632-E631)^2)</x:f>
        <x:v>27</x:v>
      </x:c>
      <x:c r="G632" s="8" t="str">
        <x:v>Current</x:v>
      </x:c>
    </x:row>
    <x:row r="633" ht="32" customHeight="1">
      <x:c r="A633" s="8" t="str">
        <x:v>drop:LC1:LA:light:-1:L71</x:v>
      </x:c>
      <x:c r="B633" s="8" t="n">
        <x:v>1</x:v>
      </x:c>
      <x:c r="C633" s="11" t="n">
        <x:v>9.975000000000001</x:v>
      </x:c>
      <x:c r="D633" s="11" t="n">
        <x:v>5.932</x:v>
      </x:c>
      <x:c r="E633" s="11" t="n">
        <x:v>-7.36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drop:LC1:LA:light:-1:L71</x:v>
      </x:c>
      <x:c r="B634" s="8" t="n">
        <x:v>2</x:v>
      </x:c>
      <x:c r="C634" s="11" t="n">
        <x:v>10.32</x:v>
      </x:c>
      <x:c r="D634" s="11" t="n">
        <x:v>5.932</x:v>
      </x:c>
      <x:c r="E634" s="11" t="n">
        <x:v>-7.36</x:v>
      </x:c>
      <x:c r="F634" s="11" t="n">
        <x:f>SQRT((C634-C633)^2+(D634-D633)^2+(E634-E633)^2)</x:f>
        <x:v>0.34499999999999886</x:v>
      </x:c>
      <x:c r="G634" s="8" t="str">
        <x:v>Current</x:v>
      </x:c>
    </x:row>
    <x:row r="635" ht="32" customHeight="1">
      <x:c r="A635" s="8" t="str">
        <x:v>drop:LC1:LA:light:-1:L71</x:v>
      </x:c>
      <x:c r="B635" s="8" t="n">
        <x:v>3</x:v>
      </x:c>
      <x:c r="C635" s="11" t="n">
        <x:v>10.32</x:v>
      </x:c>
      <x:c r="D635" s="11" t="n">
        <x:v>7.04</x:v>
      </x:c>
      <x:c r="E635" s="11" t="n">
        <x:v>-7.36</x:v>
      </x:c>
      <x:c r="F635" s="11" t="n">
        <x:f>SQRT((C635-C634)^2+(D635-D634)^2+(E635-E634)^2)</x:f>
        <x:v>1.1079999999999997</x:v>
      </x:c>
      <x:c r="G635" s="8" t="str">
        <x:v>Current</x:v>
      </x:c>
    </x:row>
    <x:row r="636" ht="32" customHeight="1">
      <x:c r="A636" s="8" t="str">
        <x:v>drop:LC1:LA:light:-1:L71</x:v>
      </x:c>
      <x:c r="B636" s="8" t="n">
        <x:v>4</x:v>
      </x:c>
      <x:c r="C636" s="11" t="n">
        <x:v>10.32</x:v>
      </x:c>
      <x:c r="D636" s="11" t="n">
        <x:v>9.442448369565216</x:v>
      </x:c>
      <x:c r="E636" s="11" t="n">
        <x:v>-4.050000000000001</x:v>
      </x:c>
      <x:c r="F636" s="11" t="n">
        <x:f>SQRT((C636-C635)^2+(D636-D635)^2+(E636-E635)^2)</x:f>
        <x:v>4.089970436131118</x:v>
      </x:c>
      <x:c r="G636" s="8" t="str">
        <x:v>Current</x:v>
      </x:c>
    </x:row>
    <x:row r="637" ht="32" customHeight="1">
      <x:c r="A637" s="8" t="str">
        <x:v>drop:LC1:LA:light:-1:L71</x:v>
      </x:c>
      <x:c r="B637" s="8" t="n">
        <x:v>5</x:v>
      </x:c>
      <x:c r="C637" s="11" t="n">
        <x:v>10.32</x:v>
      </x:c>
      <x:c r="D637" s="11" t="n">
        <x:v>9.235</x:v>
      </x:c>
      <x:c r="E637" s="11" t="n">
        <x:v>-4.05</x:v>
      </x:c>
      <x:c r="F637" s="11" t="n">
        <x:f>SQRT((C637-C636)^2+(D637-D636)^2+(E637-E636)^2)</x:f>
        <x:v>0.20744836956521695</x:v>
      </x:c>
      <x:c r="G637" s="8" t="str">
        <x:v>Current</x:v>
      </x:c>
    </x:row>
    <x:row r="638" ht="32" customHeight="1">
      <x:c r="A638" s="8" t="str">
        <x:v>drop:LC1:LA:light:-1:L71</x:v>
      </x:c>
      <x:c r="B638" s="8" t="n">
        <x:v>6</x:v>
      </x:c>
      <x:c r="C638" s="11" t="n">
        <x:v>10.32</x:v>
      </x:c>
      <x:c r="D638" s="11" t="n">
        <x:v>9.235</x:v>
      </x:c>
      <x:c r="E638" s="11" t="n">
        <x:v>-3</x:v>
      </x:c>
      <x:c r="F638" s="11" t="n">
        <x:f>SQRT((C638-C637)^2+(D638-D637)^2+(E638-E637)^2)</x:f>
        <x:v>1.0499999999999998</x:v>
      </x:c>
      <x:c r="G638" s="8" t="str">
        <x:v>Current</x:v>
      </x:c>
    </x:row>
    <x:row r="639" ht="32" customHeight="1">
      <x:c r="A639" s="8" t="str">
        <x:v>drop:LC1:LA:light:-1:L71</x:v>
      </x:c>
      <x:c r="B639" s="8" t="n">
        <x:v>7</x:v>
      </x:c>
      <x:c r="C639" s="11" t="n">
        <x:v>9.975</x:v>
      </x:c>
      <x:c r="D639" s="11" t="n">
        <x:v>9.235</x:v>
      </x:c>
      <x:c r="E639" s="11" t="n">
        <x:v>-3</x:v>
      </x:c>
      <x:c r="F639" s="11" t="n">
        <x:f>SQRT((C639-C638)^2+(D639-D638)^2+(E639-E638)^2)</x:f>
        <x:v>0.34500000000000064</x:v>
      </x:c>
      <x:c r="G639" s="8" t="str">
        <x:v>Current</x:v>
      </x:c>
    </x:row>
    <x:row r="640" ht="32" customHeight="1">
      <x:c r="A640" s="8" t="str">
        <x:v>drop:LC1:LA:light:-1:L71</x:v>
      </x:c>
      <x:c r="B640" s="8" t="n">
        <x:v>8</x:v>
      </x:c>
      <x:c r="C640" s="11" t="n">
        <x:v>9.975</x:v>
      </x:c>
      <x:c r="D640" s="11" t="n">
        <x:v>9.235</x:v>
      </x:c>
      <x:c r="E640" s="11" t="n">
        <x:v>0</x:v>
      </x:c>
      <x:c r="F640" s="11" t="n">
        <x:f>SQRT((C640-C639)^2+(D640-D639)^2+(E640-E639)^2)</x:f>
        <x:v>3</x:v>
      </x:c>
      <x:c r="G640" s="8" t="str">
        <x:v>Current</x:v>
      </x:c>
    </x:row>
    <x:row r="641" ht="32" customHeight="1">
      <x:c r="A641" s="8" t="str">
        <x:v>drop:LC1:LA:light:-1:L71</x:v>
      </x:c>
      <x:c r="B641" s="8" t="n">
        <x:v>9</x:v>
      </x:c>
      <x:c r="C641" s="11" t="n">
        <x:v>9.975</x:v>
      </x:c>
      <x:c r="D641" s="11" t="n">
        <x:v>9.18</x:v>
      </x:c>
      <x:c r="E641" s="11" t="n">
        <x:v>0</x:v>
      </x:c>
      <x:c r="F641" s="11" t="n">
        <x:f>SQRT((C641-C640)^2+(D641-D640)^2+(E641-E640)^2)</x:f>
        <x:v>0.054999999999999716</x:v>
      </x:c>
      <x:c r="G641" s="8" t="str">
        <x:v>Current</x:v>
      </x:c>
    </x:row>
    <x:row r="642" ht="32" customHeight="1">
      <x:c r="A642" s="8" t="str">
        <x:v>drop:LC1:LA:light:-1:L72</x:v>
      </x:c>
      <x:c r="B642" s="8" t="n">
        <x:v>1</x:v>
      </x:c>
      <x:c r="C642" s="11" t="n">
        <x:v>14.475000000000001</x:v>
      </x:c>
      <x:c r="D642" s="11" t="n">
        <x:v>5.932</x:v>
      </x:c>
      <x:c r="E642" s="11" t="n">
        <x:v>-7.36</x:v>
      </x:c>
      <x:c r="F642" s="11" t="n">
        <x:f>0</x:f>
        <x:v>0</x:v>
      </x:c>
      <x:c r="G642" s="8" t="str">
        <x:v>Current</x:v>
      </x:c>
    </x:row>
    <x:row r="643" ht="32" customHeight="1">
      <x:c r="A643" s="8" t="str">
        <x:v>drop:LC1:LA:light:-1:L72</x:v>
      </x:c>
      <x:c r="B643" s="8" t="n">
        <x:v>2</x:v>
      </x:c>
      <x:c r="C643" s="11" t="n">
        <x:v>14.82</x:v>
      </x:c>
      <x:c r="D643" s="11" t="n">
        <x:v>5.932</x:v>
      </x:c>
      <x:c r="E643" s="11" t="n">
        <x:v>-7.36</x:v>
      </x:c>
      <x:c r="F643" s="11" t="n">
        <x:f>SQRT((C643-C642)^2+(D643-D642)^2+(E643-E642)^2)</x:f>
        <x:v>0.34499999999999886</x:v>
      </x:c>
      <x:c r="G643" s="8" t="str">
        <x:v>Current</x:v>
      </x:c>
    </x:row>
    <x:row r="644" ht="32" customHeight="1">
      <x:c r="A644" s="8" t="str">
        <x:v>drop:LC1:LA:light:-1:L72</x:v>
      </x:c>
      <x:c r="B644" s="8" t="n">
        <x:v>3</x:v>
      </x:c>
      <x:c r="C644" s="11" t="n">
        <x:v>14.82</x:v>
      </x:c>
      <x:c r="D644" s="11" t="n">
        <x:v>7.04</x:v>
      </x:c>
      <x:c r="E644" s="11" t="n">
        <x:v>-7.36</x:v>
      </x:c>
      <x:c r="F644" s="11" t="n">
        <x:f>SQRT((C644-C643)^2+(D644-D643)^2+(E644-E643)^2)</x:f>
        <x:v>1.1079999999999997</x:v>
      </x:c>
      <x:c r="G644" s="8" t="str">
        <x:v>Current</x:v>
      </x:c>
    </x:row>
    <x:row r="645" ht="32" customHeight="1">
      <x:c r="A645" s="8" t="str">
        <x:v>drop:LC1:LA:light:-1:L72</x:v>
      </x:c>
      <x:c r="B645" s="8" t="n">
        <x:v>4</x:v>
      </x:c>
      <x:c r="C645" s="11" t="n">
        <x:v>14.82</x:v>
      </x:c>
      <x:c r="D645" s="11" t="n">
        <x:v>9.442448369565216</x:v>
      </x:c>
      <x:c r="E645" s="11" t="n">
        <x:v>-4.050000000000001</x:v>
      </x:c>
      <x:c r="F645" s="11" t="n">
        <x:f>SQRT((C645-C644)^2+(D645-D644)^2+(E645-E644)^2)</x:f>
        <x:v>4.089970436131118</x:v>
      </x:c>
      <x:c r="G645" s="8" t="str">
        <x:v>Current</x:v>
      </x:c>
    </x:row>
    <x:row r="646" ht="32" customHeight="1">
      <x:c r="A646" s="8" t="str">
        <x:v>drop:LC1:LA:light:-1:L72</x:v>
      </x:c>
      <x:c r="B646" s="8" t="n">
        <x:v>5</x:v>
      </x:c>
      <x:c r="C646" s="11" t="n">
        <x:v>14.82</x:v>
      </x:c>
      <x:c r="D646" s="11" t="n">
        <x:v>9.235</x:v>
      </x:c>
      <x:c r="E646" s="11" t="n">
        <x:v>-4.05</x:v>
      </x:c>
      <x:c r="F646" s="11" t="n">
        <x:f>SQRT((C646-C645)^2+(D646-D645)^2+(E646-E645)^2)</x:f>
        <x:v>0.20744836956521695</x:v>
      </x:c>
      <x:c r="G646" s="8" t="str">
        <x:v>Current</x:v>
      </x:c>
    </x:row>
    <x:row r="647" ht="32" customHeight="1">
      <x:c r="A647" s="8" t="str">
        <x:v>drop:LC1:LA:light:-1:L72</x:v>
      </x:c>
      <x:c r="B647" s="8" t="n">
        <x:v>6</x:v>
      </x:c>
      <x:c r="C647" s="11" t="n">
        <x:v>14.82</x:v>
      </x:c>
      <x:c r="D647" s="11" t="n">
        <x:v>9.235</x:v>
      </x:c>
      <x:c r="E647" s="11" t="n">
        <x:v>-3</x:v>
      </x:c>
      <x:c r="F647" s="11" t="n">
        <x:f>SQRT((C647-C646)^2+(D647-D646)^2+(E647-E646)^2)</x:f>
        <x:v>1.0499999999999998</x:v>
      </x:c>
      <x:c r="G647" s="8" t="str">
        <x:v>Current</x:v>
      </x:c>
    </x:row>
    <x:row r="648" ht="32" customHeight="1">
      <x:c r="A648" s="8" t="str">
        <x:v>drop:LC1:LA:light:-1:L72</x:v>
      </x:c>
      <x:c r="B648" s="8" t="n">
        <x:v>7</x:v>
      </x:c>
      <x:c r="C648" s="11" t="n">
        <x:v>14.475</x:v>
      </x:c>
      <x:c r="D648" s="11" t="n">
        <x:v>9.235</x:v>
      </x:c>
      <x:c r="E648" s="11" t="n">
        <x:v>-3</x:v>
      </x:c>
      <x:c r="F648" s="11" t="n">
        <x:f>SQRT((C648-C647)^2+(D648-D647)^2+(E648-E647)^2)</x:f>
        <x:v>0.34500000000000064</x:v>
      </x:c>
      <x:c r="G648" s="8" t="str">
        <x:v>Current</x:v>
      </x:c>
    </x:row>
    <x:row r="649" ht="32" customHeight="1">
      <x:c r="A649" s="8" t="str">
        <x:v>drop:LC1:LA:light:-1:L72</x:v>
      </x:c>
      <x:c r="B649" s="8" t="n">
        <x:v>8</x:v>
      </x:c>
      <x:c r="C649" s="11" t="n">
        <x:v>14.475</x:v>
      </x:c>
      <x:c r="D649" s="11" t="n">
        <x:v>9.235</x:v>
      </x:c>
      <x:c r="E649" s="11" t="n">
        <x:v>0</x:v>
      </x:c>
      <x:c r="F649" s="11" t="n">
        <x:f>SQRT((C649-C648)^2+(D649-D648)^2+(E649-E648)^2)</x:f>
        <x:v>3</x:v>
      </x:c>
      <x:c r="G649" s="8" t="str">
        <x:v>Current</x:v>
      </x:c>
    </x:row>
    <x:row r="650" ht="32" customHeight="1">
      <x:c r="A650" s="8" t="str">
        <x:v>drop:LC1:LA:light:-1:L72</x:v>
      </x:c>
      <x:c r="B650" s="8" t="n">
        <x:v>9</x:v>
      </x:c>
      <x:c r="C650" s="11" t="n">
        <x:v>14.475</x:v>
      </x:c>
      <x:c r="D650" s="11" t="n">
        <x:v>9.18</x:v>
      </x:c>
      <x:c r="E650" s="11" t="n">
        <x:v>0</x:v>
      </x:c>
      <x:c r="F650" s="11" t="n">
        <x:f>SQRT((C650-C649)^2+(D650-D649)^2+(E650-E649)^2)</x:f>
        <x:v>0.054999999999999716</x:v>
      </x:c>
      <x:c r="G650" s="8" t="str">
        <x:v>Current</x:v>
      </x:c>
    </x:row>
    <x:row r="651" ht="32" customHeight="1">
      <x:c r="A651" s="8" t="str">
        <x:v>drop:LC1:LA:light:-1:L73</x:v>
      </x:c>
      <x:c r="B651" s="8" t="n">
        <x:v>1</x:v>
      </x:c>
      <x:c r="C651" s="11" t="n">
        <x:v>18.975</x:v>
      </x:c>
      <x:c r="D651" s="11" t="n">
        <x:v>5.932</x:v>
      </x:c>
      <x:c r="E651" s="11" t="n">
        <x:v>-7.36</x:v>
      </x:c>
      <x:c r="F651" s="11" t="n">
        <x:f>0</x:f>
        <x:v>0</x:v>
      </x:c>
      <x:c r="G651" s="8" t="str">
        <x:v>Current</x:v>
      </x:c>
    </x:row>
    <x:row r="652" ht="32" customHeight="1">
      <x:c r="A652" s="8" t="str">
        <x:v>drop:LC1:LA:light:-1:L73</x:v>
      </x:c>
      <x:c r="B652" s="8" t="n">
        <x:v>2</x:v>
      </x:c>
      <x:c r="C652" s="11" t="n">
        <x:v>19.32</x:v>
      </x:c>
      <x:c r="D652" s="11" t="n">
        <x:v>5.932</x:v>
      </x:c>
      <x:c r="E652" s="11" t="n">
        <x:v>-7.36</x:v>
      </x:c>
      <x:c r="F652" s="11" t="n">
        <x:f>SQRT((C652-C651)^2+(D652-D651)^2+(E652-E651)^2)</x:f>
        <x:v>0.34499999999999886</x:v>
      </x:c>
      <x:c r="G652" s="8" t="str">
        <x:v>Current</x:v>
      </x:c>
    </x:row>
    <x:row r="653" ht="32" customHeight="1">
      <x:c r="A653" s="8" t="str">
        <x:v>drop:LC1:LA:light:-1:L73</x:v>
      </x:c>
      <x:c r="B653" s="8" t="n">
        <x:v>3</x:v>
      </x:c>
      <x:c r="C653" s="11" t="n">
        <x:v>19.32</x:v>
      </x:c>
      <x:c r="D653" s="11" t="n">
        <x:v>7.04</x:v>
      </x:c>
      <x:c r="E653" s="11" t="n">
        <x:v>-7.36</x:v>
      </x:c>
      <x:c r="F653" s="11" t="n">
        <x:f>SQRT((C653-C652)^2+(D653-D652)^2+(E653-E652)^2)</x:f>
        <x:v>1.1079999999999997</x:v>
      </x:c>
      <x:c r="G653" s="8" t="str">
        <x:v>Current</x:v>
      </x:c>
    </x:row>
    <x:row r="654" ht="32" customHeight="1">
      <x:c r="A654" s="8" t="str">
        <x:v>drop:LC1:LA:light:-1:L73</x:v>
      </x:c>
      <x:c r="B654" s="8" t="n">
        <x:v>4</x:v>
      </x:c>
      <x:c r="C654" s="11" t="n">
        <x:v>19.32</x:v>
      </x:c>
      <x:c r="D654" s="11" t="n">
        <x:v>9.442448369565216</x:v>
      </x:c>
      <x:c r="E654" s="11" t="n">
        <x:v>-4.050000000000001</x:v>
      </x:c>
      <x:c r="F654" s="11" t="n">
        <x:f>SQRT((C654-C653)^2+(D654-D653)^2+(E654-E653)^2)</x:f>
        <x:v>4.089970436131118</x:v>
      </x:c>
      <x:c r="G654" s="8" t="str">
        <x:v>Current</x:v>
      </x:c>
    </x:row>
    <x:row r="655" ht="32" customHeight="1">
      <x:c r="A655" s="8" t="str">
        <x:v>drop:LC1:LA:light:-1:L73</x:v>
      </x:c>
      <x:c r="B655" s="8" t="n">
        <x:v>5</x:v>
      </x:c>
      <x:c r="C655" s="11" t="n">
        <x:v>19.32</x:v>
      </x:c>
      <x:c r="D655" s="11" t="n">
        <x:v>9.235</x:v>
      </x:c>
      <x:c r="E655" s="11" t="n">
        <x:v>-4.05</x:v>
      </x:c>
      <x:c r="F655" s="11" t="n">
        <x:f>SQRT((C655-C654)^2+(D655-D654)^2+(E655-E654)^2)</x:f>
        <x:v>0.20744836956521695</x:v>
      </x:c>
      <x:c r="G655" s="8" t="str">
        <x:v>Current</x:v>
      </x:c>
    </x:row>
    <x:row r="656" ht="32" customHeight="1">
      <x:c r="A656" s="8" t="str">
        <x:v>drop:LC1:LA:light:-1:L73</x:v>
      </x:c>
      <x:c r="B656" s="8" t="n">
        <x:v>6</x:v>
      </x:c>
      <x:c r="C656" s="11" t="n">
        <x:v>19.32</x:v>
      </x:c>
      <x:c r="D656" s="11" t="n">
        <x:v>9.235</x:v>
      </x:c>
      <x:c r="E656" s="11" t="n">
        <x:v>-3</x:v>
      </x:c>
      <x:c r="F656" s="11" t="n">
        <x:f>SQRT((C656-C655)^2+(D656-D655)^2+(E656-E655)^2)</x:f>
        <x:v>1.0499999999999998</x:v>
      </x:c>
      <x:c r="G656" s="8" t="str">
        <x:v>Current</x:v>
      </x:c>
    </x:row>
    <x:row r="657" ht="32" customHeight="1">
      <x:c r="A657" s="8" t="str">
        <x:v>drop:LC1:LA:light:-1:L73</x:v>
      </x:c>
      <x:c r="B657" s="8" t="n">
        <x:v>7</x:v>
      </x:c>
      <x:c r="C657" s="11" t="n">
        <x:v>18.975</x:v>
      </x:c>
      <x:c r="D657" s="11" t="n">
        <x:v>9.235</x:v>
      </x:c>
      <x:c r="E657" s="11" t="n">
        <x:v>-3</x:v>
      </x:c>
      <x:c r="F657" s="11" t="n">
        <x:f>SQRT((C657-C656)^2+(D657-D656)^2+(E657-E656)^2)</x:f>
        <x:v>0.34499999999999886</x:v>
      </x:c>
      <x:c r="G657" s="8" t="str">
        <x:v>Current</x:v>
      </x:c>
    </x:row>
    <x:row r="658" ht="32" customHeight="1">
      <x:c r="A658" s="8" t="str">
        <x:v>drop:LC1:LA:light:-1:L73</x:v>
      </x:c>
      <x:c r="B658" s="8" t="n">
        <x:v>8</x:v>
      </x:c>
      <x:c r="C658" s="11" t="n">
        <x:v>18.975</x:v>
      </x:c>
      <x:c r="D658" s="11" t="n">
        <x:v>9.235</x:v>
      </x:c>
      <x:c r="E658" s="11" t="n">
        <x:v>0</x:v>
      </x:c>
      <x:c r="F658" s="11" t="n">
        <x:f>SQRT((C658-C657)^2+(D658-D657)^2+(E658-E657)^2)</x:f>
        <x:v>3</x:v>
      </x:c>
      <x:c r="G658" s="8" t="str">
        <x:v>Current</x:v>
      </x:c>
    </x:row>
    <x:row r="659" ht="32" customHeight="1">
      <x:c r="A659" s="8" t="str">
        <x:v>drop:LC1:LA:light:-1:L73</x:v>
      </x:c>
      <x:c r="B659" s="8" t="n">
        <x:v>9</x:v>
      </x:c>
      <x:c r="C659" s="11" t="n">
        <x:v>18.975</x:v>
      </x:c>
      <x:c r="D659" s="11" t="n">
        <x:v>9.18</x:v>
      </x:c>
      <x:c r="E659" s="11" t="n">
        <x:v>0</x:v>
      </x:c>
      <x:c r="F659" s="11" t="n">
        <x:f>SQRT((C659-C658)^2+(D659-D658)^2+(E659-E658)^2)</x:f>
        <x:v>0.054999999999999716</x:v>
      </x:c>
      <x:c r="G659" s="8" t="str">
        <x:v>Current</x:v>
      </x:c>
    </x:row>
    <x:row r="660" ht="32" customHeight="1">
      <x:c r="A660" s="8" t="str">
        <x:v>drop:LC1:LA:light:-1:L74</x:v>
      </x:c>
      <x:c r="B660" s="8" t="n">
        <x:v>1</x:v>
      </x:c>
      <x:c r="C660" s="11" t="n">
        <x:v>23.475</x:v>
      </x:c>
      <x:c r="D660" s="11" t="n">
        <x:v>5.932</x:v>
      </x:c>
      <x:c r="E660" s="11" t="n">
        <x:v>-7.36</x:v>
      </x:c>
      <x:c r="F660" s="11" t="n">
        <x:f>0</x:f>
        <x:v>0</x:v>
      </x:c>
      <x:c r="G660" s="8" t="str">
        <x:v>Current</x:v>
      </x:c>
    </x:row>
    <x:row r="661" ht="32" customHeight="1">
      <x:c r="A661" s="8" t="str">
        <x:v>drop:LC1:LA:light:-1:L74</x:v>
      </x:c>
      <x:c r="B661" s="8" t="n">
        <x:v>2</x:v>
      </x:c>
      <x:c r="C661" s="11" t="n">
        <x:v>23.82</x:v>
      </x:c>
      <x:c r="D661" s="11" t="n">
        <x:v>5.932</x:v>
      </x:c>
      <x:c r="E661" s="11" t="n">
        <x:v>-7.36</x:v>
      </x:c>
      <x:c r="F661" s="11" t="n">
        <x:f>SQRT((C661-C660)^2+(D661-D660)^2+(E661-E660)^2)</x:f>
        <x:v>0.34499999999999886</x:v>
      </x:c>
      <x:c r="G661" s="8" t="str">
        <x:v>Current</x:v>
      </x:c>
    </x:row>
    <x:row r="662" ht="32" customHeight="1">
      <x:c r="A662" s="8" t="str">
        <x:v>drop:LC1:LA:light:-1:L74</x:v>
      </x:c>
      <x:c r="B662" s="8" t="n">
        <x:v>3</x:v>
      </x:c>
      <x:c r="C662" s="11" t="n">
        <x:v>23.82</x:v>
      </x:c>
      <x:c r="D662" s="11" t="n">
        <x:v>7.04</x:v>
      </x:c>
      <x:c r="E662" s="11" t="n">
        <x:v>-7.36</x:v>
      </x:c>
      <x:c r="F662" s="11" t="n">
        <x:f>SQRT((C662-C661)^2+(D662-D661)^2+(E662-E661)^2)</x:f>
        <x:v>1.1079999999999997</x:v>
      </x:c>
      <x:c r="G662" s="8" t="str">
        <x:v>Current</x:v>
      </x:c>
    </x:row>
    <x:row r="663" ht="32" customHeight="1">
      <x:c r="A663" s="8" t="str">
        <x:v>drop:LC1:LA:light:-1:L74</x:v>
      </x:c>
      <x:c r="B663" s="8" t="n">
        <x:v>4</x:v>
      </x:c>
      <x:c r="C663" s="11" t="n">
        <x:v>23.82</x:v>
      </x:c>
      <x:c r="D663" s="11" t="n">
        <x:v>9.442448369565216</x:v>
      </x:c>
      <x:c r="E663" s="11" t="n">
        <x:v>-4.050000000000001</x:v>
      </x:c>
      <x:c r="F663" s="11" t="n">
        <x:f>SQRT((C663-C662)^2+(D663-D662)^2+(E663-E662)^2)</x:f>
        <x:v>4.089970436131118</x:v>
      </x:c>
      <x:c r="G663" s="8" t="str">
        <x:v>Current</x:v>
      </x:c>
    </x:row>
    <x:row r="664" ht="32" customHeight="1">
      <x:c r="A664" s="8" t="str">
        <x:v>drop:LC1:LA:light:-1:L74</x:v>
      </x:c>
      <x:c r="B664" s="8" t="n">
        <x:v>5</x:v>
      </x:c>
      <x:c r="C664" s="11" t="n">
        <x:v>23.82</x:v>
      </x:c>
      <x:c r="D664" s="11" t="n">
        <x:v>9.235</x:v>
      </x:c>
      <x:c r="E664" s="11" t="n">
        <x:v>-4.05</x:v>
      </x:c>
      <x:c r="F664" s="11" t="n">
        <x:f>SQRT((C664-C663)^2+(D664-D663)^2+(E664-E663)^2)</x:f>
        <x:v>0.20744836956521695</x:v>
      </x:c>
      <x:c r="G664" s="8" t="str">
        <x:v>Current</x:v>
      </x:c>
    </x:row>
    <x:row r="665" ht="32" customHeight="1">
      <x:c r="A665" s="8" t="str">
        <x:v>drop:LC1:LA:light:-1:L74</x:v>
      </x:c>
      <x:c r="B665" s="8" t="n">
        <x:v>6</x:v>
      </x:c>
      <x:c r="C665" s="11" t="n">
        <x:v>23.82</x:v>
      </x:c>
      <x:c r="D665" s="11" t="n">
        <x:v>9.235</x:v>
      </x:c>
      <x:c r="E665" s="11" t="n">
        <x:v>-3</x:v>
      </x:c>
      <x:c r="F665" s="11" t="n">
        <x:f>SQRT((C665-C664)^2+(D665-D664)^2+(E665-E664)^2)</x:f>
        <x:v>1.0499999999999998</x:v>
      </x:c>
      <x:c r="G665" s="8" t="str">
        <x:v>Current</x:v>
      </x:c>
    </x:row>
    <x:row r="666" ht="32" customHeight="1">
      <x:c r="A666" s="8" t="str">
        <x:v>drop:LC1:LA:light:-1:L74</x:v>
      </x:c>
      <x:c r="B666" s="8" t="n">
        <x:v>7</x:v>
      </x:c>
      <x:c r="C666" s="11" t="n">
        <x:v>23.475</x:v>
      </x:c>
      <x:c r="D666" s="11" t="n">
        <x:v>9.235</x:v>
      </x:c>
      <x:c r="E666" s="11" t="n">
        <x:v>-3</x:v>
      </x:c>
      <x:c r="F666" s="11" t="n">
        <x:f>SQRT((C666-C665)^2+(D666-D665)^2+(E666-E665)^2)</x:f>
        <x:v>0.34499999999999886</x:v>
      </x:c>
      <x:c r="G666" s="8" t="str">
        <x:v>Current</x:v>
      </x:c>
    </x:row>
    <x:row r="667" ht="32" customHeight="1">
      <x:c r="A667" s="8" t="str">
        <x:v>drop:LC1:LA:light:-1:L74</x:v>
      </x:c>
      <x:c r="B667" s="8" t="n">
        <x:v>8</x:v>
      </x:c>
      <x:c r="C667" s="11" t="n">
        <x:v>23.475</x:v>
      </x:c>
      <x:c r="D667" s="11" t="n">
        <x:v>9.235</x:v>
      </x:c>
      <x:c r="E667" s="11" t="n">
        <x:v>0</x:v>
      </x:c>
      <x:c r="F667" s="11" t="n">
        <x:f>SQRT((C667-C666)^2+(D667-D666)^2+(E667-E666)^2)</x:f>
        <x:v>3</x:v>
      </x:c>
      <x:c r="G667" s="8" t="str">
        <x:v>Current</x:v>
      </x:c>
    </x:row>
    <x:row r="668" ht="32" customHeight="1">
      <x:c r="A668" s="8" t="str">
        <x:v>drop:LC1:LA:light:-1:L74</x:v>
      </x:c>
      <x:c r="B668" s="8" t="n">
        <x:v>9</x:v>
      </x:c>
      <x:c r="C668" s="11" t="n">
        <x:v>23.475</x:v>
      </x:c>
      <x:c r="D668" s="11" t="n">
        <x:v>9.18</x:v>
      </x:c>
      <x:c r="E668" s="11" t="n">
        <x:v>0</x:v>
      </x:c>
      <x:c r="F668" s="11" t="n">
        <x:f>SQRT((C668-C667)^2+(D668-D667)^2+(E668-E667)^2)</x:f>
        <x:v>0.054999999999999716</x:v>
      </x:c>
      <x:c r="G668" s="8" t="str">
        <x:v>Current</x:v>
      </x:c>
    </x:row>
    <x:row r="669" ht="32" customHeight="1">
      <x:c r="A669" s="8" t="str">
        <x:v>drop:LC1:LA:light:-1:L75</x:v>
      </x:c>
      <x:c r="B669" s="8" t="n">
        <x:v>1</x:v>
      </x:c>
      <x:c r="C669" s="11" t="n">
        <x:v>27.975</x:v>
      </x:c>
      <x:c r="D669" s="11" t="n">
        <x:v>5.932</x:v>
      </x:c>
      <x:c r="E669" s="11" t="n">
        <x:v>-7.36</x:v>
      </x:c>
      <x:c r="F669" s="11" t="n">
        <x:f>0</x:f>
        <x:v>0</x:v>
      </x:c>
      <x:c r="G669" s="8" t="str">
        <x:v>Current</x:v>
      </x:c>
    </x:row>
    <x:row r="670" ht="32" customHeight="1">
      <x:c r="A670" s="8" t="str">
        <x:v>drop:LC1:LA:light:-1:L75</x:v>
      </x:c>
      <x:c r="B670" s="8" t="n">
        <x:v>2</x:v>
      </x:c>
      <x:c r="C670" s="11" t="n">
        <x:v>28.32</x:v>
      </x:c>
      <x:c r="D670" s="11" t="n">
        <x:v>5.932</x:v>
      </x:c>
      <x:c r="E670" s="11" t="n">
        <x:v>-7.36</x:v>
      </x:c>
      <x:c r="F670" s="11" t="n">
        <x:f>SQRT((C670-C669)^2+(D670-D669)^2+(E670-E669)^2)</x:f>
        <x:v>0.34499999999999886</x:v>
      </x:c>
      <x:c r="G670" s="8" t="str">
        <x:v>Current</x:v>
      </x:c>
    </x:row>
    <x:row r="671" ht="32" customHeight="1">
      <x:c r="A671" s="8" t="str">
        <x:v>drop:LC1:LA:light:-1:L75</x:v>
      </x:c>
      <x:c r="B671" s="8" t="n">
        <x:v>3</x:v>
      </x:c>
      <x:c r="C671" s="11" t="n">
        <x:v>28.32</x:v>
      </x:c>
      <x:c r="D671" s="11" t="n">
        <x:v>7.04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drop:LC1:LA:light:-1:L75</x:v>
      </x:c>
      <x:c r="B672" s="8" t="n">
        <x:v>4</x:v>
      </x:c>
      <x:c r="C672" s="11" t="n">
        <x:v>28.32</x:v>
      </x:c>
      <x:c r="D672" s="11" t="n">
        <x:v>9.442448369565216</x:v>
      </x:c>
      <x:c r="E672" s="11" t="n">
        <x:v>-4.050000000000001</x:v>
      </x:c>
      <x:c r="F672" s="11" t="n">
        <x:f>SQRT((C672-C671)^2+(D672-D671)^2+(E672-E671)^2)</x:f>
        <x:v>4.089970436131118</x:v>
      </x:c>
      <x:c r="G672" s="8" t="str">
        <x:v>Current</x:v>
      </x:c>
    </x:row>
    <x:row r="673" ht="32" customHeight="1">
      <x:c r="A673" s="8" t="str">
        <x:v>drop:LC1:LA:light:-1:L75</x:v>
      </x:c>
      <x:c r="B673" s="8" t="n">
        <x:v>5</x:v>
      </x:c>
      <x:c r="C673" s="11" t="n">
        <x:v>28.32</x:v>
      </x:c>
      <x:c r="D673" s="11" t="n">
        <x:v>9.235</x:v>
      </x:c>
      <x:c r="E673" s="11" t="n">
        <x:v>-4.05</x:v>
      </x:c>
      <x:c r="F673" s="11" t="n">
        <x:f>SQRT((C673-C672)^2+(D673-D672)^2+(E673-E672)^2)</x:f>
        <x:v>0.20744836956521695</x:v>
      </x:c>
      <x:c r="G673" s="8" t="str">
        <x:v>Current</x:v>
      </x:c>
    </x:row>
    <x:row r="674" ht="32" customHeight="1">
      <x:c r="A674" s="8" t="str">
        <x:v>drop:LC1:LA:light:-1:L75</x:v>
      </x:c>
      <x:c r="B674" s="8" t="n">
        <x:v>6</x:v>
      </x:c>
      <x:c r="C674" s="11" t="n">
        <x:v>28.32</x:v>
      </x:c>
      <x:c r="D674" s="11" t="n">
        <x:v>9.235</x:v>
      </x:c>
      <x:c r="E674" s="11" t="n">
        <x:v>-3</x:v>
      </x:c>
      <x:c r="F674" s="11" t="n">
        <x:f>SQRT((C674-C673)^2+(D674-D673)^2+(E674-E673)^2)</x:f>
        <x:v>1.0499999999999998</x:v>
      </x:c>
      <x:c r="G674" s="8" t="str">
        <x:v>Current</x:v>
      </x:c>
    </x:row>
    <x:row r="675" ht="32" customHeight="1">
      <x:c r="A675" s="8" t="str">
        <x:v>drop:LC1:LA:light:-1:L75</x:v>
      </x:c>
      <x:c r="B675" s="8" t="n">
        <x:v>7</x:v>
      </x:c>
      <x:c r="C675" s="11" t="n">
        <x:v>27.975</x:v>
      </x:c>
      <x:c r="D675" s="11" t="n">
        <x:v>9.235</x:v>
      </x:c>
      <x:c r="E675" s="11" t="n">
        <x:v>-3</x:v>
      </x:c>
      <x:c r="F675" s="11" t="n">
        <x:f>SQRT((C675-C674)^2+(D675-D674)^2+(E675-E674)^2)</x:f>
        <x:v>0.34499999999999886</x:v>
      </x:c>
      <x:c r="G675" s="8" t="str">
        <x:v>Current</x:v>
      </x:c>
    </x:row>
    <x:row r="676" ht="32" customHeight="1">
      <x:c r="A676" s="8" t="str">
        <x:v>drop:LC1:LA:light:-1:L75</x:v>
      </x:c>
      <x:c r="B676" s="8" t="n">
        <x:v>8</x:v>
      </x:c>
      <x:c r="C676" s="11" t="n">
        <x:v>27.975</x:v>
      </x:c>
      <x:c r="D676" s="11" t="n">
        <x:v>9.235</x:v>
      </x:c>
      <x:c r="E676" s="11" t="n">
        <x:v>0</x:v>
      </x:c>
      <x:c r="F676" s="11" t="n">
        <x:f>SQRT((C676-C675)^2+(D676-D675)^2+(E676-E675)^2)</x:f>
        <x:v>3</x:v>
      </x:c>
      <x:c r="G676" s="8" t="str">
        <x:v>Current</x:v>
      </x:c>
    </x:row>
    <x:row r="677" ht="32" customHeight="1">
      <x:c r="A677" s="8" t="str">
        <x:v>drop:LC1:LA:light:-1:L75</x:v>
      </x:c>
      <x:c r="B677" s="8" t="n">
        <x:v>9</x:v>
      </x:c>
      <x:c r="C677" s="11" t="n">
        <x:v>27.975</x:v>
      </x:c>
      <x:c r="D677" s="11" t="n">
        <x:v>9.18</x:v>
      </x:c>
      <x:c r="E677" s="11" t="n">
        <x:v>0</x:v>
      </x:c>
      <x:c r="F677" s="11" t="n">
        <x:f>SQRT((C677-C676)^2+(D677-D676)^2+(E677-E676)^2)</x:f>
        <x:v>0.054999999999999716</x:v>
      </x:c>
      <x:c r="G677" s="8" t="str">
        <x:v>Current</x:v>
      </x:c>
    </x:row>
    <x:row r="678" ht="32" customHeight="1">
      <x:c r="A678" s="8" t="str">
        <x:v>drop:LC1:LA:light:-1:L76</x:v>
      </x:c>
      <x:c r="B678" s="8" t="n">
        <x:v>1</x:v>
      </x:c>
      <x:c r="C678" s="11" t="n">
        <x:v>32.475</x:v>
      </x:c>
      <x:c r="D678" s="11" t="n">
        <x:v>5.932</x:v>
      </x:c>
      <x:c r="E678" s="11" t="n">
        <x:v>-7.36</x:v>
      </x:c>
      <x:c r="F678" s="11" t="n">
        <x:f>0</x:f>
        <x:v>0</x:v>
      </x:c>
      <x:c r="G678" s="8" t="str">
        <x:v>Current</x:v>
      </x:c>
    </x:row>
    <x:row r="679" ht="32" customHeight="1">
      <x:c r="A679" s="8" t="str">
        <x:v>drop:LC1:LA:light:-1:L76</x:v>
      </x:c>
      <x:c r="B679" s="8" t="n">
        <x:v>2</x:v>
      </x:c>
      <x:c r="C679" s="11" t="n">
        <x:v>32.82</x:v>
      </x:c>
      <x:c r="D679" s="11" t="n">
        <x:v>5.932</x:v>
      </x:c>
      <x:c r="E679" s="11" t="n">
        <x:v>-7.36</x:v>
      </x:c>
      <x:c r="F679" s="11" t="n">
        <x:f>SQRT((C679-C678)^2+(D679-D678)^2+(E679-E678)^2)</x:f>
        <x:v>0.34499999999999886</x:v>
      </x:c>
      <x:c r="G679" s="8" t="str">
        <x:v>Current</x:v>
      </x:c>
    </x:row>
    <x:row r="680" ht="32" customHeight="1">
      <x:c r="A680" s="8" t="str">
        <x:v>drop:LC1:LA:light:-1:L76</x:v>
      </x:c>
      <x:c r="B680" s="8" t="n">
        <x:v>3</x:v>
      </x:c>
      <x:c r="C680" s="11" t="n">
        <x:v>32.82</x:v>
      </x:c>
      <x:c r="D680" s="11" t="n">
        <x:v>7.04</x:v>
      </x:c>
      <x:c r="E680" s="11" t="n">
        <x:v>-7.36</x:v>
      </x:c>
      <x:c r="F680" s="11" t="n">
        <x:f>SQRT((C680-C679)^2+(D680-D679)^2+(E680-E679)^2)</x:f>
        <x:v>1.1079999999999997</x:v>
      </x:c>
      <x:c r="G680" s="8" t="str">
        <x:v>Current</x:v>
      </x:c>
    </x:row>
    <x:row r="681" ht="32" customHeight="1">
      <x:c r="A681" s="8" t="str">
        <x:v>drop:LC1:LA:light:-1:L76</x:v>
      </x:c>
      <x:c r="B681" s="8" t="n">
        <x:v>4</x:v>
      </x:c>
      <x:c r="C681" s="11" t="n">
        <x:v>32.82</x:v>
      </x:c>
      <x:c r="D681" s="11" t="n">
        <x:v>9.442448369565216</x:v>
      </x:c>
      <x:c r="E681" s="11" t="n">
        <x:v>-4.050000000000001</x:v>
      </x:c>
      <x:c r="F681" s="11" t="n">
        <x:f>SQRT((C681-C680)^2+(D681-D680)^2+(E681-E680)^2)</x:f>
        <x:v>4.089970436131118</x:v>
      </x:c>
      <x:c r="G681" s="8" t="str">
        <x:v>Current</x:v>
      </x:c>
    </x:row>
    <x:row r="682" ht="32" customHeight="1">
      <x:c r="A682" s="8" t="str">
        <x:v>drop:LC1:LA:light:-1:L76</x:v>
      </x:c>
      <x:c r="B682" s="8" t="n">
        <x:v>5</x:v>
      </x:c>
      <x:c r="C682" s="11" t="n">
        <x:v>32.82</x:v>
      </x:c>
      <x:c r="D682" s="11" t="n">
        <x:v>9.235</x:v>
      </x:c>
      <x:c r="E682" s="11" t="n">
        <x:v>-4.05</x:v>
      </x:c>
      <x:c r="F682" s="11" t="n">
        <x:f>SQRT((C682-C681)^2+(D682-D681)^2+(E682-E681)^2)</x:f>
        <x:v>0.20744836956521695</x:v>
      </x:c>
      <x:c r="G682" s="8" t="str">
        <x:v>Current</x:v>
      </x:c>
    </x:row>
    <x:row r="683" ht="32" customHeight="1">
      <x:c r="A683" s="8" t="str">
        <x:v>drop:LC1:LA:light:-1:L76</x:v>
      </x:c>
      <x:c r="B683" s="8" t="n">
        <x:v>6</x:v>
      </x:c>
      <x:c r="C683" s="11" t="n">
        <x:v>32.82</x:v>
      </x:c>
      <x:c r="D683" s="11" t="n">
        <x:v>9.235</x:v>
      </x:c>
      <x:c r="E683" s="11" t="n">
        <x:v>-3</x:v>
      </x:c>
      <x:c r="F683" s="11" t="n">
        <x:f>SQRT((C683-C682)^2+(D683-D682)^2+(E683-E682)^2)</x:f>
        <x:v>1.0499999999999998</x:v>
      </x:c>
      <x:c r="G683" s="8" t="str">
        <x:v>Current</x:v>
      </x:c>
    </x:row>
    <x:row r="684" ht="32" customHeight="1">
      <x:c r="A684" s="8" t="str">
        <x:v>drop:LC1:LA:light:-1:L76</x:v>
      </x:c>
      <x:c r="B684" s="8" t="n">
        <x:v>7</x:v>
      </x:c>
      <x:c r="C684" s="11" t="n">
        <x:v>32.475</x:v>
      </x:c>
      <x:c r="D684" s="11" t="n">
        <x:v>9.235</x:v>
      </x:c>
      <x:c r="E684" s="11" t="n">
        <x:v>-3</x:v>
      </x:c>
      <x:c r="F684" s="11" t="n">
        <x:f>SQRT((C684-C683)^2+(D684-D683)^2+(E684-E683)^2)</x:f>
        <x:v>0.34499999999999886</x:v>
      </x:c>
      <x:c r="G684" s="8" t="str">
        <x:v>Current</x:v>
      </x:c>
    </x:row>
    <x:row r="685" ht="32" customHeight="1">
      <x:c r="A685" s="8" t="str">
        <x:v>drop:LC1:LA:light:-1:L76</x:v>
      </x:c>
      <x:c r="B685" s="8" t="n">
        <x:v>8</x:v>
      </x:c>
      <x:c r="C685" s="11" t="n">
        <x:v>32.475</x:v>
      </x:c>
      <x:c r="D685" s="11" t="n">
        <x:v>9.235</x:v>
      </x:c>
      <x:c r="E685" s="11" t="n">
        <x:v>0</x:v>
      </x:c>
      <x:c r="F685" s="11" t="n">
        <x:f>SQRT((C685-C684)^2+(D685-D684)^2+(E685-E684)^2)</x:f>
        <x:v>3</x:v>
      </x:c>
      <x:c r="G685" s="8" t="str">
        <x:v>Current</x:v>
      </x:c>
    </x:row>
    <x:row r="686" ht="32" customHeight="1">
      <x:c r="A686" s="8" t="str">
        <x:v>drop:LC1:LA:light:-1:L76</x:v>
      </x:c>
      <x:c r="B686" s="8" t="n">
        <x:v>9</x:v>
      </x:c>
      <x:c r="C686" s="11" t="n">
        <x:v>32.475</x:v>
      </x:c>
      <x:c r="D686" s="11" t="n">
        <x:v>9.18</x:v>
      </x:c>
      <x:c r="E686" s="11" t="n">
        <x:v>0</x:v>
      </x:c>
      <x:c r="F686" s="11" t="n">
        <x:f>SQRT((C686-C685)^2+(D686-D685)^2+(E686-E685)^2)</x:f>
        <x:v>0.054999999999999716</x:v>
      </x:c>
      <x:c r="G686" s="8" t="str">
        <x:v>Current</x:v>
      </x:c>
    </x:row>
    <x:row r="687" ht="32" customHeight="1">
      <x:c r="A687" s="8" t="str">
        <x:v>drop:LC1:LA:light:-1:L77</x:v>
      </x:c>
      <x:c r="B687" s="8" t="n">
        <x:v>1</x:v>
      </x:c>
      <x:c r="C687" s="11" t="n">
        <x:v>36.975</x:v>
      </x:c>
      <x:c r="D687" s="11" t="n">
        <x:v>5.932</x:v>
      </x:c>
      <x:c r="E687" s="11" t="n">
        <x:v>-7.36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drop:LC1:LA:light:-1:L77</x:v>
      </x:c>
      <x:c r="B688" s="8" t="n">
        <x:v>2</x:v>
      </x:c>
      <x:c r="C688" s="11" t="n">
        <x:v>37.32</x:v>
      </x:c>
      <x:c r="D688" s="11" t="n">
        <x:v>5.932</x:v>
      </x:c>
      <x:c r="E688" s="11" t="n">
        <x:v>-7.36</x:v>
      </x:c>
      <x:c r="F688" s="11" t="n">
        <x:f>SQRT((C688-C687)^2+(D688-D687)^2+(E688-E687)^2)</x:f>
        <x:v>0.34499999999999886</x:v>
      </x:c>
      <x:c r="G688" s="8" t="str">
        <x:v>Current</x:v>
      </x:c>
    </x:row>
    <x:row r="689" ht="32" customHeight="1">
      <x:c r="A689" s="8" t="str">
        <x:v>drop:LC1:LA:light:-1:L77</x:v>
      </x:c>
      <x:c r="B689" s="8" t="n">
        <x:v>3</x:v>
      </x:c>
      <x:c r="C689" s="11" t="n">
        <x:v>37.32</x:v>
      </x:c>
      <x:c r="D689" s="11" t="n">
        <x:v>7.04</x:v>
      </x:c>
      <x:c r="E689" s="11" t="n">
        <x:v>-7.36</x:v>
      </x:c>
      <x:c r="F689" s="11" t="n">
        <x:f>SQRT((C689-C688)^2+(D689-D688)^2+(E689-E688)^2)</x:f>
        <x:v>1.1079999999999997</x:v>
      </x:c>
      <x:c r="G689" s="8" t="str">
        <x:v>Current</x:v>
      </x:c>
    </x:row>
    <x:row r="690" ht="32" customHeight="1">
      <x:c r="A690" s="8" t="str">
        <x:v>drop:LC1:LA:light:-1:L77</x:v>
      </x:c>
      <x:c r="B690" s="8" t="n">
        <x:v>4</x:v>
      </x:c>
      <x:c r="C690" s="11" t="n">
        <x:v>37.32</x:v>
      </x:c>
      <x:c r="D690" s="11" t="n">
        <x:v>9.442448369565216</x:v>
      </x:c>
      <x:c r="E690" s="11" t="n">
        <x:v>-4.050000000000001</x:v>
      </x:c>
      <x:c r="F690" s="11" t="n">
        <x:f>SQRT((C690-C689)^2+(D690-D689)^2+(E690-E689)^2)</x:f>
        <x:v>4.089970436131118</x:v>
      </x:c>
      <x:c r="G690" s="8" t="str">
        <x:v>Current</x:v>
      </x:c>
    </x:row>
    <x:row r="691" ht="32" customHeight="1">
      <x:c r="A691" s="8" t="str">
        <x:v>drop:LC1:LA:light:-1:L77</x:v>
      </x:c>
      <x:c r="B691" s="8" t="n">
        <x:v>5</x:v>
      </x:c>
      <x:c r="C691" s="11" t="n">
        <x:v>37.32</x:v>
      </x:c>
      <x:c r="D691" s="11" t="n">
        <x:v>9.235</x:v>
      </x:c>
      <x:c r="E691" s="11" t="n">
        <x:v>-4.05</x:v>
      </x:c>
      <x:c r="F691" s="11" t="n">
        <x:f>SQRT((C691-C690)^2+(D691-D690)^2+(E691-E690)^2)</x:f>
        <x:v>0.20744836956521695</x:v>
      </x:c>
      <x:c r="G691" s="8" t="str">
        <x:v>Current</x:v>
      </x:c>
    </x:row>
    <x:row r="692" ht="32" customHeight="1">
      <x:c r="A692" s="8" t="str">
        <x:v>drop:LC1:LA:light:-1:L77</x:v>
      </x:c>
      <x:c r="B692" s="8" t="n">
        <x:v>6</x:v>
      </x:c>
      <x:c r="C692" s="11" t="n">
        <x:v>37.32</x:v>
      </x:c>
      <x:c r="D692" s="11" t="n">
        <x:v>9.235</x:v>
      </x:c>
      <x:c r="E692" s="11" t="n">
        <x:v>-3</x:v>
      </x:c>
      <x:c r="F692" s="11" t="n">
        <x:f>SQRT((C692-C691)^2+(D692-D691)^2+(E692-E691)^2)</x:f>
        <x:v>1.0499999999999998</x:v>
      </x:c>
      <x:c r="G692" s="8" t="str">
        <x:v>Current</x:v>
      </x:c>
    </x:row>
    <x:row r="693" ht="32" customHeight="1">
      <x:c r="A693" s="8" t="str">
        <x:v>drop:LC1:LA:light:-1:L77</x:v>
      </x:c>
      <x:c r="B693" s="8" t="n">
        <x:v>7</x:v>
      </x:c>
      <x:c r="C693" s="11" t="n">
        <x:v>36.975</x:v>
      </x:c>
      <x:c r="D693" s="11" t="n">
        <x:v>9.235</x:v>
      </x:c>
      <x:c r="E693" s="11" t="n">
        <x:v>-3</x:v>
      </x:c>
      <x:c r="F693" s="11" t="n">
        <x:f>SQRT((C693-C692)^2+(D693-D692)^2+(E693-E692)^2)</x:f>
        <x:v>0.34499999999999886</x:v>
      </x:c>
      <x:c r="G693" s="8" t="str">
        <x:v>Current</x:v>
      </x:c>
    </x:row>
    <x:row r="694" ht="32" customHeight="1">
      <x:c r="A694" s="8" t="str">
        <x:v>drop:LC1:LA:light:-1:L77</x:v>
      </x:c>
      <x:c r="B694" s="8" t="n">
        <x:v>8</x:v>
      </x:c>
      <x:c r="C694" s="11" t="n">
        <x:v>36.975</x:v>
      </x:c>
      <x:c r="D694" s="11" t="n">
        <x:v>9.235</x:v>
      </x:c>
      <x:c r="E694" s="11" t="n">
        <x:v>0</x:v>
      </x:c>
      <x:c r="F694" s="11" t="n">
        <x:f>SQRT((C694-C693)^2+(D694-D693)^2+(E694-E693)^2)</x:f>
        <x:v>3</x:v>
      </x:c>
      <x:c r="G694" s="8" t="str">
        <x:v>Current</x:v>
      </x:c>
    </x:row>
    <x:row r="695" ht="32" customHeight="1">
      <x:c r="A695" s="8" t="str">
        <x:v>drop:LC1:LA:light:-1:L77</x:v>
      </x:c>
      <x:c r="B695" s="8" t="n">
        <x:v>9</x:v>
      </x:c>
      <x:c r="C695" s="11" t="n">
        <x:v>36.975</x:v>
      </x:c>
      <x:c r="D695" s="11" t="n">
        <x:v>9.18</x:v>
      </x:c>
      <x:c r="E695" s="11" t="n">
        <x:v>0</x:v>
      </x:c>
      <x:c r="F695" s="11" t="n">
        <x:f>SQRT((C695-C694)^2+(D695-D694)^2+(E695-E694)^2)</x:f>
        <x:v>0.054999999999999716</x:v>
      </x:c>
      <x:c r="G695" s="8" t="str">
        <x:v>Current</x:v>
      </x:c>
    </x:row>
    <x:row r="696" ht="32" customHeight="1">
      <x:c r="A696" s="8" t="str">
        <x:v>trunk:LC1:L3:light:-1</x:v>
      </x:c>
      <x:c r="B696" s="8" t="n">
        <x:v>1</x:v>
      </x:c>
      <x:c r="C696" s="11" t="n">
        <x:v>48.895</x:v>
      </x:c>
      <x:c r="D696" s="11" t="n">
        <x:v>1.85</x:v>
      </x:c>
      <x:c r="E696" s="11" t="n">
        <x:v>-0.55</x:v>
      </x:c>
      <x:c r="F696" s="11" t="n">
        <x:f>0</x:f>
        <x:v>0</x:v>
      </x:c>
      <x:c r="G696" s="8" t="str">
        <x:v>Current</x:v>
      </x:c>
    </x:row>
    <x:row r="697" ht="32" customHeight="1">
      <x:c r="A697" s="8" t="str">
        <x:v>trunk:LC1:L3:light:-1</x:v>
      </x:c>
      <x:c r="B697" s="8" t="n">
        <x:v>2</x:v>
      </x:c>
      <x:c r="C697" s="11" t="n">
        <x:v>48.735</x:v>
      </x:c>
      <x:c r="D697" s="11" t="n">
        <x:v>1.85</x:v>
      </x:c>
      <x:c r="E697" s="11" t="n">
        <x:v>-0.55</x:v>
      </x:c>
      <x:c r="F697" s="11" t="n">
        <x:f>SQRT((C697-C696)^2+(D697-D696)^2+(E697-E696)^2)</x:f>
        <x:v>0.1600000000000037</x:v>
      </x:c>
      <x:c r="G697" s="8" t="str">
        <x:v>Current</x:v>
      </x:c>
    </x:row>
    <x:row r="698" ht="32" customHeight="1">
      <x:c r="A698" s="8" t="str">
        <x:v>trunk:LC1:L3:light:-1</x:v>
      </x:c>
      <x:c r="B698" s="8" t="n">
        <x:v>3</x:v>
      </x:c>
      <x:c r="C698" s="11" t="n">
        <x:v>48.735</x:v>
      </x:c>
      <x:c r="D698" s="11" t="n">
        <x:v>1.85</x:v>
      </x:c>
      <x:c r="E698" s="11" t="n">
        <x:v>-2.24</x:v>
      </x:c>
      <x:c r="F698" s="11" t="n">
        <x:f>SQRT((C698-C697)^2+(D698-D697)^2+(E698-E697)^2)</x:f>
        <x:v>1.6900000000000002</x:v>
      </x:c>
      <x:c r="G698" s="8" t="str">
        <x:v>Current</x:v>
      </x:c>
    </x:row>
    <x:row r="699" ht="32" customHeight="1">
      <x:c r="A699" s="8" t="str">
        <x:v>trunk:LC1:L3:light:-1</x:v>
      </x:c>
      <x:c r="B699" s="8" t="n">
        <x:v>4</x:v>
      </x:c>
      <x:c r="C699" s="11" t="n">
        <x:v>48.735</x:v>
      </x:c>
      <x:c r="D699" s="11" t="n">
        <x:v>4.33</x:v>
      </x:c>
      <x:c r="E699" s="11" t="n">
        <x:v>-2.24</x:v>
      </x:c>
      <x:c r="F699" s="11" t="n">
        <x:f>SQRT((C699-C698)^2+(D699-D698)^2+(E699-E698)^2)</x:f>
        <x:v>2.48</x:v>
      </x:c>
      <x:c r="G699" s="8" t="str">
        <x:v>Current</x:v>
      </x:c>
    </x:row>
    <x:row r="700" ht="32" customHeight="1">
      <x:c r="A700" s="8" t="str">
        <x:v>trunk:LC1:L3:light:-1</x:v>
      </x:c>
      <x:c r="B700" s="8" t="n">
        <x:v>5</x:v>
      </x:c>
      <x:c r="C700" s="11" t="n">
        <x:v>48.735</x:v>
      </x:c>
      <x:c r="D700" s="11" t="n">
        <x:v>4.33</x:v>
      </x:c>
      <x:c r="E700" s="11" t="n">
        <x:v>-3.3</x:v>
      </x:c>
      <x:c r="F700" s="11" t="n">
        <x:f>SQRT((C700-C699)^2+(D700-D699)^2+(E700-E699)^2)</x:f>
        <x:v>1.0599999999999996</x:v>
      </x:c>
      <x:c r="G700" s="8" t="str">
        <x:v>Current</x:v>
      </x:c>
    </x:row>
    <x:row r="701" ht="32" customHeight="1">
      <x:c r="A701" s="8" t="str">
        <x:v>trunk:LC1:L3:light:-1</x:v>
      </x:c>
      <x:c r="B701" s="8" t="n">
        <x:v>6</x:v>
      </x:c>
      <x:c r="C701" s="11" t="n">
        <x:v>53.016</x:v>
      </x:c>
      <x:c r="D701" s="11" t="n">
        <x:v>4.33</x:v>
      </x:c>
      <x:c r="E701" s="11" t="n">
        <x:v>-3.3</x:v>
      </x:c>
      <x:c r="F701" s="11" t="n">
        <x:f>SQRT((C701-C700)^2+(D701-D700)^2+(E701-E700)^2)</x:f>
        <x:v>4.280999999999999</x:v>
      </x:c>
      <x:c r="G701" s="8" t="str">
        <x:v>Current</x:v>
      </x:c>
    </x:row>
    <x:row r="702" ht="32" customHeight="1">
      <x:c r="A702" s="8" t="str">
        <x:v>trunk:LC1:L3:light:-1</x:v>
      </x:c>
      <x:c r="B702" s="8" t="n">
        <x:v>7</x:v>
      </x:c>
      <x:c r="C702" s="11" t="n">
        <x:v>53.016</x:v>
      </x:c>
      <x:c r="D702" s="11" t="n">
        <x:v>5.916</x:v>
      </x:c>
      <x:c r="E702" s="11" t="n">
        <x:v>-3.3</x:v>
      </x:c>
      <x:c r="F702" s="11" t="n">
        <x:f>SQRT((C702-C701)^2+(D702-D701)^2+(E702-E701)^2)</x:f>
        <x:v>1.5860000000000003</x:v>
      </x:c>
      <x:c r="G702" s="8" t="str">
        <x:v>Current</x:v>
      </x:c>
    </x:row>
    <x:row r="703" ht="32" customHeight="1">
      <x:c r="A703" s="8" t="str">
        <x:v>trunk:LC1:L3:light:-1</x:v>
      </x:c>
      <x:c r="B703" s="8" t="n">
        <x:v>8</x:v>
      </x:c>
      <x:c r="C703" s="11" t="n">
        <x:v>53.016</x:v>
      </x:c>
      <x:c r="D703" s="11" t="n">
        <x:v>5.916</x:v>
      </x:c>
      <x:c r="E703" s="11" t="n">
        <x:v>-7.36</x:v>
      </x:c>
      <x:c r="F703" s="11" t="n">
        <x:f>SQRT((C703-C702)^2+(D703-D702)^2+(E703-E702)^2)</x:f>
        <x:v>4.0600000000000005</x:v>
      </x:c>
      <x:c r="G703" s="8" t="str">
        <x:v>Current</x:v>
      </x:c>
    </x:row>
    <x:row r="704" ht="32" customHeight="1">
      <x:c r="A704" s="8" t="str">
        <x:v>trunk:LC1:L3:light:-1</x:v>
      </x:c>
      <x:c r="B704" s="8" t="n">
        <x:v>9</x:v>
      </x:c>
      <x:c r="C704" s="11" t="n">
        <x:v>44.175</x:v>
      </x:c>
      <x:c r="D704" s="11" t="n">
        <x:v>5.916</x:v>
      </x:c>
      <x:c r="E704" s="11" t="n">
        <x:v>-7.36</x:v>
      </x:c>
      <x:c r="F704" s="11" t="n">
        <x:f>SQRT((C704-C703)^2+(D704-D703)^2+(E704-E703)^2)</x:f>
        <x:v>8.841000000000001</x:v>
      </x:c>
      <x:c r="G704" s="8" t="str">
        <x:v>Current</x:v>
      </x:c>
    </x:row>
    <x:row r="705" ht="32" customHeight="1">
      <x:c r="A705" s="8" t="str">
        <x:v>trunk:LC1:L3:light:-1</x:v>
      </x:c>
      <x:c r="B705" s="8" t="n">
        <x:v>10</x:v>
      </x:c>
      <x:c r="C705" s="11" t="n">
        <x:v>44.175</x:v>
      </x:c>
      <x:c r="D705" s="11" t="n">
        <x:v>7.04</x:v>
      </x:c>
      <x:c r="E705" s="11" t="n">
        <x:v>-7.36</x:v>
      </x:c>
      <x:c r="F705" s="11" t="n">
        <x:f>SQRT((C705-C704)^2+(D705-D704)^2+(E705-E704)^2)</x:f>
        <x:v>1.1239999999999997</x:v>
      </x:c>
      <x:c r="G705" s="8" t="str">
        <x:v>Current</x:v>
      </x:c>
    </x:row>
    <x:row r="706" ht="32" customHeight="1">
      <x:c r="A706" s="8" t="str">
        <x:v>trunk:LC1:L3:light:-1</x:v>
      </x:c>
      <x:c r="B706" s="8" t="n">
        <x:v>11</x:v>
      </x:c>
      <x:c r="C706" s="11" t="n">
        <x:v>43.535</x:v>
      </x:c>
      <x:c r="D706" s="11" t="n">
        <x:v>7.04</x:v>
      </x:c>
      <x:c r="E706" s="11" t="n">
        <x:v>-7.36</x:v>
      </x:c>
      <x:c r="F706" s="11" t="n">
        <x:f>SQRT((C706-C705)^2+(D706-D705)^2+(E706-E705)^2)</x:f>
        <x:v>0.6400000000000006</x:v>
      </x:c>
      <x:c r="G706" s="8" t="str">
        <x:v>Current</x:v>
      </x:c>
    </x:row>
    <x:row r="707" ht="32" customHeight="1">
      <x:c r="A707" s="8" t="str">
        <x:v>trunk:LC1:L3:light:-1</x:v>
      </x:c>
      <x:c r="B707" s="8" t="n">
        <x:v>12</x:v>
      </x:c>
      <x:c r="C707" s="11" t="n">
        <x:v>43.455</x:v>
      </x:c>
      <x:c r="D707" s="11" t="n">
        <x:v>6.950412371134024</x:v>
      </x:c>
      <x:c r="E707" s="11" t="n">
        <x:v>-7.36</x:v>
      </x:c>
      <x:c r="F707" s="11" t="n">
        <x:f>SQRT((C707-C706)^2+(D707-D706)^2+(E707-E706)^2)</x:f>
        <x:v>0.12010804821421249</x:v>
      </x:c>
      <x:c r="G707" s="8" t="str">
        <x:v>Current</x:v>
      </x:c>
    </x:row>
    <x:row r="708" ht="32" customHeight="1">
      <x:c r="A708" s="8" t="str">
        <x:v>trunk:LC1:L3:light:-1</x:v>
      </x:c>
      <x:c r="B708" s="8" t="n">
        <x:v>13</x:v>
      </x:c>
      <x:c r="C708" s="11" t="n">
        <x:v>40.574999999999996</x:v>
      </x:c>
      <x:c r="D708" s="11" t="n">
        <x:v>9.269999999999994</x:v>
      </x:c>
      <x:c r="E708" s="11" t="n">
        <x:v>-7.36</x:v>
      </x:c>
      <x:c r="F708" s="11" t="n">
        <x:f>SQRT((C708-C707)^2+(D708-D707)^2+(E708-E707)^2)</x:f>
        <x:v>3.6979571073753776</x:v>
      </x:c>
      <x:c r="G708" s="8" t="str">
        <x:v>Current</x:v>
      </x:c>
    </x:row>
    <x:row r="709" ht="32" customHeight="1">
      <x:c r="A709" s="8" t="str">
        <x:v>trunk:LC1:L3:light:-1</x:v>
      </x:c>
      <x:c r="B709" s="8" t="n">
        <x:v>14</x:v>
      </x:c>
      <x:c r="C709" s="11" t="n">
        <x:v>37.695</x:v>
      </x:c>
      <x:c r="D709" s="11" t="n">
        <x:v>6.950412371134018</x:v>
      </x:c>
      <x:c r="E709" s="11" t="n">
        <x:v>-7.36</x:v>
      </x:c>
      <x:c r="F709" s="11" t="n">
        <x:f>SQRT((C709-C708)^2+(D709-D708)^2+(E709-E708)^2)</x:f>
        <x:v>3.697957107375376</x:v>
      </x:c>
      <x:c r="G709" s="8" t="str">
        <x:v>Current</x:v>
      </x:c>
    </x:row>
    <x:row r="710" ht="32" customHeight="1">
      <x:c r="A710" s="8" t="str">
        <x:v>trunk:LC1:L3:light:-1</x:v>
      </x:c>
      <x:c r="B710" s="8" t="n">
        <x:v>15</x:v>
      </x:c>
      <x:c r="C710" s="11" t="n">
        <x:v>37.615</x:v>
      </x:c>
      <x:c r="D710" s="11" t="n">
        <x:v>7.04</x:v>
      </x:c>
      <x:c r="E710" s="11" t="n">
        <x:v>-7.36</x:v>
      </x:c>
      <x:c r="F710" s="11" t="n">
        <x:f>SQRT((C710-C709)^2+(D710-D709)^2+(E710-E709)^2)</x:f>
        <x:v>0.12010804821421713</x:v>
      </x:c>
      <x:c r="G710" s="8" t="str">
        <x:v>Current</x:v>
      </x:c>
    </x:row>
    <x:row r="711" ht="32" customHeight="1">
      <x:c r="A711" s="8" t="str">
        <x:v>trunk:LC1:L3:light:-1</x:v>
      </x:c>
      <x:c r="B711" s="8" t="n">
        <x:v>16</x:v>
      </x:c>
      <x:c r="C711" s="11" t="n">
        <x:v>36.975</x:v>
      </x:c>
      <x:c r="D711" s="11" t="n">
        <x:v>7.04</x:v>
      </x:c>
      <x:c r="E711" s="11" t="n">
        <x:v>-7.36</x:v>
      </x:c>
      <x:c r="F711" s="11" t="n">
        <x:f>SQRT((C711-C710)^2+(D711-D710)^2+(E711-E710)^2)</x:f>
        <x:v>0.6400000000000006</x:v>
      </x:c>
      <x:c r="G711" s="8" t="str">
        <x:v>Current</x:v>
      </x:c>
    </x:row>
    <x:row r="712" ht="32" customHeight="1">
      <x:c r="A712" s="8" t="str">
        <x:v>trunk:LC1:L3:light:-1</x:v>
      </x:c>
      <x:c r="B712" s="8" t="n">
        <x:v>17</x:v>
      </x:c>
      <x:c r="C712" s="11" t="n">
        <x:v>36.975</x:v>
      </x:c>
      <x:c r="D712" s="11" t="n">
        <x:v>5.916</x:v>
      </x:c>
      <x:c r="E712" s="11" t="n">
        <x:v>-7.36</x:v>
      </x:c>
      <x:c r="F712" s="11" t="n">
        <x:f>SQRT((C712-C711)^2+(D712-D711)^2+(E712-E711)^2)</x:f>
        <x:v>1.1239999999999997</x:v>
      </x:c>
      <x:c r="G712" s="8" t="str">
        <x:v>Current</x:v>
      </x:c>
    </x:row>
    <x:row r="713" ht="32" customHeight="1">
      <x:c r="A713" s="8" t="str">
        <x:v>drop:LC1:L3:light:-1:L81</x:v>
      </x:c>
      <x:c r="B713" s="8" t="n">
        <x:v>1</x:v>
      </x:c>
      <x:c r="C713" s="11" t="n">
        <x:v>40.575</x:v>
      </x:c>
      <x:c r="D713" s="11" t="n">
        <x:v>9.269999999999989</x:v>
      </x:c>
      <x:c r="E713" s="11" t="n">
        <x:v>-7.36</x:v>
      </x:c>
      <x:c r="F713" s="11" t="n">
        <x:f>0</x:f>
        <x:v>0</x:v>
      </x:c>
      <x:c r="G713" s="8" t="str">
        <x:v>Current</x:v>
      </x:c>
    </x:row>
    <x:row r="714" ht="32" customHeight="1">
      <x:c r="A714" s="8" t="str">
        <x:v>drop:LC1:L3:light:-1:L81</x:v>
      </x:c>
      <x:c r="B714" s="8" t="n">
        <x:v>2</x:v>
      </x:c>
      <x:c r="C714" s="11" t="n">
        <x:v>40.575</x:v>
      </x:c>
      <x:c r="D714" s="11" t="n">
        <x:v>9.27</x:v>
      </x:c>
      <x:c r="E714" s="11" t="n">
        <x:v>-4.24</x:v>
      </x:c>
      <x:c r="F714" s="11" t="n">
        <x:f>SQRT((C714-C713)^2+(D714-D713)^2+(E714-E713)^2)</x:f>
        <x:v>3.12</x:v>
      </x:c>
      <x:c r="G714" s="8" t="str">
        <x:v>Current</x:v>
      </x:c>
    </x:row>
    <x:row r="715" ht="32" customHeight="1">
      <x:c r="A715" s="8" t="str">
        <x:v>drop:LC1:L3:light:-1:L81</x:v>
      </x:c>
      <x:c r="B715" s="8" t="n">
        <x:v>3</x:v>
      </x:c>
      <x:c r="C715" s="11" t="n">
        <x:v>40.575</x:v>
      </x:c>
      <x:c r="D715" s="11" t="n">
        <x:v>9.362608695652174</x:v>
      </x:c>
      <x:c r="E715" s="11" t="n">
        <x:v>-4.16</x:v>
      </x:c>
      <x:c r="F715" s="11" t="n">
        <x:f>SQRT((C715-C714)^2+(D715-D714)^2+(E715-E714)^2)</x:f>
        <x:v>0.12237798213076184</x:v>
      </x:c>
      <x:c r="G715" s="8" t="str">
        <x:v>Current</x:v>
      </x:c>
    </x:row>
    <x:row r="716" ht="32" customHeight="1">
      <x:c r="A716" s="8" t="str">
        <x:v>drop:LC1:L3:light:-1:L81</x:v>
      </x:c>
      <x:c r="B716" s="8" t="n">
        <x:v>4</x:v>
      </x:c>
      <x:c r="C716" s="11" t="n">
        <x:v>40.575</x:v>
      </x:c>
      <x:c r="D716" s="11" t="n">
        <x:v>12.382</x:v>
      </x:c>
      <x:c r="E716" s="11" t="n">
        <x:v>0</x:v>
      </x:c>
      <x:c r="F716" s="11" t="n">
        <x:f>SQRT((C716-C715)^2+(D716-D715)^2+(E716-E715)^2)</x:f>
        <x:v>5.140264959004669</x:v>
      </x:c>
      <x:c r="G716" s="8" t="str">
        <x:v>Current</x:v>
      </x:c>
    </x:row>
    <x:row r="717" ht="32" customHeight="1">
      <x:c r="A717" s="8" t="str">
        <x:v>drop:LC1:L3:light:-1:L81</x:v>
      </x:c>
      <x:c r="B717" s="8" t="n">
        <x:v>5</x:v>
      </x:c>
      <x:c r="C717" s="11" t="n">
        <x:v>40.575</x:v>
      </x:c>
      <x:c r="D717" s="11" t="n">
        <x:v>12.152</x:v>
      </x:c>
      <x:c r="E717" s="11" t="n">
        <x:v>0</x:v>
      </x:c>
      <x:c r="F717" s="11" t="n">
        <x:f>SQRT((C717-C716)^2+(D717-D716)^2+(E717-E716)^2)</x:f>
        <x:v>0.23000000000000043</x:v>
      </x:c>
      <x:c r="G717" s="8" t="str">
        <x:v>Current</x:v>
      </x:c>
    </x:row>
    <x:row r="718" ht="32" customHeight="1">
      <x:c r="A718" s="8" t="str">
        <x:v>drop:LC1:L3:light:-1:L81</x:v>
      </x:c>
      <x:c r="B718" s="8" t="n">
        <x:v>6</x:v>
      </x:c>
      <x:c r="C718" s="11" t="n">
        <x:v>40.575</x:v>
      </x:c>
      <x:c r="D718" s="11" t="n">
        <x:v>9.2</x:v>
      </x:c>
      <x:c r="E718" s="11" t="n">
        <x:v>0</x:v>
      </x:c>
      <x:c r="F718" s="11" t="n">
        <x:f>SQRT((C718-C717)^2+(D718-D717)^2+(E718-E717)^2)</x:f>
        <x:v>2.952</x:v>
      </x:c>
      <x:c r="G718" s="8" t="str">
        <x:v>Current</x:v>
      </x:c>
    </x:row>
    <x:row r="719" ht="32" customHeight="1">
      <x:c r="A719" s="8" t="str">
        <x:v>drop:LC1:L3:light:-1:L98</x:v>
      </x:c>
      <x:c r="B719" s="8" t="n">
        <x:v>1</x:v>
      </x:c>
      <x:c r="C719" s="11" t="n">
        <x:v>36.975</x:v>
      </x:c>
      <x:c r="D719" s="11" t="n">
        <x:v>5.916</x:v>
      </x:c>
      <x:c r="E719" s="11" t="n">
        <x:v>-7.36</x:v>
      </x:c>
      <x:c r="F719" s="11" t="n">
        <x:f>0</x:f>
        <x:v>0</x:v>
      </x:c>
      <x:c r="G719" s="8" t="str">
        <x:v>Current</x:v>
      </x:c>
    </x:row>
    <x:row r="720" ht="32" customHeight="1">
      <x:c r="A720" s="8" t="str">
        <x:v>drop:LC1:L3:light:-1:L98</x:v>
      </x:c>
      <x:c r="B720" s="8" t="n">
        <x:v>2</x:v>
      </x:c>
      <x:c r="C720" s="11" t="n">
        <x:v>37.32</x:v>
      </x:c>
      <x:c r="D720" s="11" t="n">
        <x:v>5.916</x:v>
      </x:c>
      <x:c r="E720" s="11" t="n">
        <x:v>-7.36</x:v>
      </x:c>
      <x:c r="F720" s="11" t="n">
        <x:f>SQRT((C720-C719)^2+(D720-D719)^2+(E720-E719)^2)</x:f>
        <x:v>0.34499999999999886</x:v>
      </x:c>
      <x:c r="G720" s="8" t="str">
        <x:v>Current</x:v>
      </x:c>
    </x:row>
    <x:row r="721" ht="32" customHeight="1">
      <x:c r="A721" s="8" t="str">
        <x:v>drop:LC1:L3:light:-1:L98</x:v>
      </x:c>
      <x:c r="B721" s="8" t="n">
        <x:v>3</x:v>
      </x:c>
      <x:c r="C721" s="11" t="n">
        <x:v>37.32</x:v>
      </x:c>
      <x:c r="D721" s="11" t="n">
        <x:v>7.04</x:v>
      </x:c>
      <x:c r="E721" s="11" t="n">
        <x:v>-7.36</x:v>
      </x:c>
      <x:c r="F721" s="11" t="n">
        <x:f>SQRT((C721-C720)^2+(D721-D720)^2+(E721-E720)^2)</x:f>
        <x:v>1.1239999999999997</x:v>
      </x:c>
      <x:c r="G721" s="8" t="str">
        <x:v>Current</x:v>
      </x:c>
    </x:row>
    <x:row r="722" ht="32" customHeight="1">
      <x:c r="A722" s="8" t="str">
        <x:v>drop:LC1:L3:light:-1:L98</x:v>
      </x:c>
      <x:c r="B722" s="8" t="n">
        <x:v>4</x:v>
      </x:c>
      <x:c r="C722" s="11" t="n">
        <x:v>37.32</x:v>
      </x:c>
      <x:c r="D722" s="11" t="n">
        <x:v>9.442448369565216</x:v>
      </x:c>
      <x:c r="E722" s="11" t="n">
        <x:v>-4.050000000000001</x:v>
      </x:c>
      <x:c r="F722" s="11" t="n">
        <x:f>SQRT((C722-C721)^2+(D722-D721)^2+(E722-E721)^2)</x:f>
        <x:v>4.089970436131118</x:v>
      </x:c>
      <x:c r="G722" s="8" t="str">
        <x:v>Current</x:v>
      </x:c>
    </x:row>
    <x:row r="723" ht="32" customHeight="1">
      <x:c r="A723" s="8" t="str">
        <x:v>drop:LC1:L3:light:-1:L98</x:v>
      </x:c>
      <x:c r="B723" s="8" t="n">
        <x:v>5</x:v>
      </x:c>
      <x:c r="C723" s="11" t="n">
        <x:v>37.32</x:v>
      </x:c>
      <x:c r="D723" s="11" t="n">
        <x:v>9.235</x:v>
      </x:c>
      <x:c r="E723" s="11" t="n">
        <x:v>-4.05</x:v>
      </x:c>
      <x:c r="F723" s="11" t="n">
        <x:f>SQRT((C723-C722)^2+(D723-D722)^2+(E723-E722)^2)</x:f>
        <x:v>0.20744836956521695</x:v>
      </x:c>
      <x:c r="G723" s="8" t="str">
        <x:v>Current</x:v>
      </x:c>
    </x:row>
    <x:row r="724" ht="32" customHeight="1">
      <x:c r="A724" s="8" t="str">
        <x:v>drop:LC1:L3:light:-1:L98</x:v>
      </x:c>
      <x:c r="B724" s="8" t="n">
        <x:v>6</x:v>
      </x:c>
      <x:c r="C724" s="11" t="n">
        <x:v>37.32</x:v>
      </x:c>
      <x:c r="D724" s="11" t="n">
        <x:v>9.235</x:v>
      </x:c>
      <x:c r="E724" s="11" t="n">
        <x:v>-3</x:v>
      </x:c>
      <x:c r="F724" s="11" t="n">
        <x:f>SQRT((C724-C723)^2+(D724-D723)^2+(E724-E723)^2)</x:f>
        <x:v>1.0499999999999998</x:v>
      </x:c>
      <x:c r="G724" s="8" t="str">
        <x:v>Current</x:v>
      </x:c>
    </x:row>
    <x:row r="725" ht="32" customHeight="1">
      <x:c r="A725" s="8" t="str">
        <x:v>drop:LC1:L3:light:-1:L98</x:v>
      </x:c>
      <x:c r="B725" s="8" t="n">
        <x:v>7</x:v>
      </x:c>
      <x:c r="C725" s="11" t="n">
        <x:v>36.975</x:v>
      </x:c>
      <x:c r="D725" s="11" t="n">
        <x:v>9.235</x:v>
      </x:c>
      <x:c r="E725" s="11" t="n">
        <x:v>-3</x:v>
      </x:c>
      <x:c r="F725" s="11" t="n">
        <x:f>SQRT((C725-C724)^2+(D725-D724)^2+(E725-E724)^2)</x:f>
        <x:v>0.34499999999999886</x:v>
      </x:c>
      <x:c r="G725" s="8" t="str">
        <x:v>Current</x:v>
      </x:c>
    </x:row>
    <x:row r="726" ht="32" customHeight="1">
      <x:c r="A726" s="8" t="str">
        <x:v>drop:LC1:L3:light:-1:L98</x:v>
      </x:c>
      <x:c r="B726" s="8" t="n">
        <x:v>8</x:v>
      </x:c>
      <x:c r="C726" s="11" t="n">
        <x:v>36.975</x:v>
      </x:c>
      <x:c r="D726" s="11" t="n">
        <x:v>9.235</x:v>
      </x:c>
      <x:c r="E726" s="11" t="n">
        <x:v>-1.4</x:v>
      </x:c>
      <x:c r="F726" s="11" t="n">
        <x:f>SQRT((C726-C725)^2+(D726-D725)^2+(E726-E725)^2)</x:f>
        <x:v>1.6</x:v>
      </x:c>
      <x:c r="G726" s="8" t="str">
        <x:v>Current</x:v>
      </x:c>
    </x:row>
    <x:row r="727" ht="32" customHeight="1">
      <x:c r="A727" s="8" t="str">
        <x:v>drop:LC1:L3:light:-1:L98</x:v>
      </x:c>
      <x:c r="B727" s="8" t="n">
        <x:v>9</x:v>
      </x:c>
      <x:c r="C727" s="11" t="n">
        <x:v>37.18</x:v>
      </x:c>
      <x:c r="D727" s="11" t="n">
        <x:v>9.235</x:v>
      </x:c>
      <x:c r="E727" s="11" t="n">
        <x:v>-1.4</x:v>
      </x:c>
      <x:c r="F727" s="11" t="n">
        <x:f>SQRT((C727-C726)^2+(D727-D726)^2+(E727-E726)^2)</x:f>
        <x:v>0.2049999999999983</x:v>
      </x:c>
      <x:c r="G727" s="8" t="str">
        <x:v>Current</x:v>
      </x:c>
    </x:row>
    <x:row r="728" ht="32" customHeight="1">
      <x:c r="A728" s="8" t="str">
        <x:v>drop:LC1:L3:light:-1:L98</x:v>
      </x:c>
      <x:c r="B728" s="8" t="n">
        <x:v>10</x:v>
      </x:c>
      <x:c r="C728" s="11" t="n">
        <x:v>37.18</x:v>
      </x:c>
      <x:c r="D728" s="11" t="n">
        <x:v>8.54</x:v>
      </x:c>
      <x:c r="E728" s="11" t="n">
        <x:v>-1.4</x:v>
      </x:c>
      <x:c r="F728" s="11" t="n">
        <x:f>SQRT((C728-C727)^2+(D728-D727)^2+(E728-E727)^2)</x:f>
        <x:v>0.6950000000000003</x:v>
      </x:c>
      <x:c r="G728" s="8" t="str">
        <x:v>Current</x:v>
      </x:c>
    </x:row>
    <x:row r="729" ht="32" customHeight="1">
      <x:c r="A729" s="8" t="str">
        <x:v>drop:LC1:L3:light:-1:L98</x:v>
      </x:c>
      <x:c r="B729" s="8" t="n">
        <x:v>11</x:v>
      </x:c>
      <x:c r="C729" s="11" t="n">
        <x:v>36.975</x:v>
      </x:c>
      <x:c r="D729" s="11" t="n">
        <x:v>8.54</x:v>
      </x:c>
      <x:c r="E729" s="11" t="n">
        <x:v>-1.4</x:v>
      </x:c>
      <x:c r="F729" s="11" t="n">
        <x:f>SQRT((C729-C728)^2+(D729-D728)^2+(E729-E728)^2)</x:f>
        <x:v>0.2049999999999983</x:v>
      </x:c>
      <x:c r="G729" s="8" t="str">
        <x:v>Current</x:v>
      </x:c>
    </x:row>
    <x:row r="730" ht="32" customHeight="1">
      <x:c r="A730" s="8" t="str">
        <x:v>drop:LC1:L3:light:-1:L98</x:v>
      </x:c>
      <x:c r="B730" s="8" t="n">
        <x:v>12</x:v>
      </x:c>
      <x:c r="C730" s="11" t="n">
        <x:v>36.975</x:v>
      </x:c>
      <x:c r="D730" s="11" t="n">
        <x:v>8.584999999999999</x:v>
      </x:c>
      <x:c r="E730" s="11" t="n">
        <x:v>-1.4</x:v>
      </x:c>
      <x:c r="F730" s="11" t="n">
        <x:f>SQRT((C730-C729)^2+(D730-D729)^2+(E730-E729)^2)</x:f>
        <x:v>0.04499999999999993</x:v>
      </x:c>
      <x:c r="G730" s="8" t="str">
        <x:v>Current</x:v>
      </x:c>
    </x:row>
    <x:row r="731" ht="32" customHeight="1">
      <x:c r="A731" s="8" t="str">
        <x:v>drop:LC1:L3:light:-1:L100</x:v>
      </x:c>
      <x:c r="B731" s="8" t="n">
        <x:v>1</x:v>
      </x:c>
      <x:c r="C731" s="11" t="n">
        <x:v>36.975</x:v>
      </x:c>
      <x:c r="D731" s="11" t="n">
        <x:v>5.916</x:v>
      </x:c>
      <x:c r="E731" s="11" t="n">
        <x:v>-7.36</x:v>
      </x:c>
      <x:c r="F731" s="11" t="n">
        <x:f>0</x:f>
        <x:v>0</x:v>
      </x:c>
      <x:c r="G731" s="8" t="str">
        <x:v>Current</x:v>
      </x:c>
    </x:row>
    <x:row r="732" ht="32" customHeight="1">
      <x:c r="A732" s="8" t="str">
        <x:v>drop:LC1:L3:light:-1:L100</x:v>
      </x:c>
      <x:c r="B732" s="8" t="n">
        <x:v>2</x:v>
      </x:c>
      <x:c r="C732" s="11" t="n">
        <x:v>37.32</x:v>
      </x:c>
      <x:c r="D732" s="11" t="n">
        <x:v>5.916</x:v>
      </x:c>
      <x:c r="E732" s="11" t="n">
        <x:v>-7.36</x:v>
      </x:c>
      <x:c r="F732" s="11" t="n">
        <x:f>SQRT((C732-C731)^2+(D732-D731)^2+(E732-E731)^2)</x:f>
        <x:v>0.34499999999999886</x:v>
      </x:c>
      <x:c r="G732" s="8" t="str">
        <x:v>Current</x:v>
      </x:c>
    </x:row>
    <x:row r="733" ht="32" customHeight="1">
      <x:c r="A733" s="8" t="str">
        <x:v>drop:LC1:L3:light:-1:L100</x:v>
      </x:c>
      <x:c r="B733" s="8" t="n">
        <x:v>3</x:v>
      </x:c>
      <x:c r="C733" s="11" t="n">
        <x:v>37.32</x:v>
      </x:c>
      <x:c r="D733" s="11" t="n">
        <x:v>7.04</x:v>
      </x:c>
      <x:c r="E733" s="11" t="n">
        <x:v>-7.36</x:v>
      </x:c>
      <x:c r="F733" s="11" t="n">
        <x:f>SQRT((C733-C732)^2+(D733-D732)^2+(E733-E732)^2)</x:f>
        <x:v>1.1239999999999997</x:v>
      </x:c>
      <x:c r="G733" s="8" t="str">
        <x:v>Current</x:v>
      </x:c>
    </x:row>
    <x:row r="734" ht="32" customHeight="1">
      <x:c r="A734" s="8" t="str">
        <x:v>drop:LC1:L3:light:-1:L100</x:v>
      </x:c>
      <x:c r="B734" s="8" t="n">
        <x:v>4</x:v>
      </x:c>
      <x:c r="C734" s="11" t="n">
        <x:v>37.32</x:v>
      </x:c>
      <x:c r="D734" s="11" t="n">
        <x:v>9.442448369565216</x:v>
      </x:c>
      <x:c r="E734" s="11" t="n">
        <x:v>-4.050000000000001</x:v>
      </x:c>
      <x:c r="F734" s="11" t="n">
        <x:f>SQRT((C734-C733)^2+(D734-D733)^2+(E734-E733)^2)</x:f>
        <x:v>4.089970436131118</x:v>
      </x:c>
      <x:c r="G734" s="8" t="str">
        <x:v>Current</x:v>
      </x:c>
    </x:row>
    <x:row r="735" ht="32" customHeight="1">
      <x:c r="A735" s="8" t="str">
        <x:v>drop:LC1:L3:light:-1:L100</x:v>
      </x:c>
      <x:c r="B735" s="8" t="n">
        <x:v>5</x:v>
      </x:c>
      <x:c r="C735" s="11" t="n">
        <x:v>37.32</x:v>
      </x:c>
      <x:c r="D735" s="11" t="n">
        <x:v>9.235</x:v>
      </x:c>
      <x:c r="E735" s="11" t="n">
        <x:v>-4.05</x:v>
      </x:c>
      <x:c r="F735" s="11" t="n">
        <x:f>SQRT((C735-C734)^2+(D735-D734)^2+(E735-E734)^2)</x:f>
        <x:v>0.20744836956521695</x:v>
      </x:c>
      <x:c r="G735" s="8" t="str">
        <x:v>Current</x:v>
      </x:c>
    </x:row>
    <x:row r="736" ht="32" customHeight="1">
      <x:c r="A736" s="8" t="str">
        <x:v>drop:LC1:L3:light:-1:L100</x:v>
      </x:c>
      <x:c r="B736" s="8" t="n">
        <x:v>6</x:v>
      </x:c>
      <x:c r="C736" s="11" t="n">
        <x:v>37.32</x:v>
      </x:c>
      <x:c r="D736" s="11" t="n">
        <x:v>9.235</x:v>
      </x:c>
      <x:c r="E736" s="11" t="n">
        <x:v>-3</x:v>
      </x:c>
      <x:c r="F736" s="11" t="n">
        <x:f>SQRT((C736-C735)^2+(D736-D735)^2+(E736-E735)^2)</x:f>
        <x:v>1.0499999999999998</x:v>
      </x:c>
      <x:c r="G736" s="8" t="str">
        <x:v>Current</x:v>
      </x:c>
    </x:row>
    <x:row r="737" ht="32" customHeight="1">
      <x:c r="A737" s="8" t="str">
        <x:v>drop:LC1:L3:light:-1:L100</x:v>
      </x:c>
      <x:c r="B737" s="8" t="n">
        <x:v>7</x:v>
      </x:c>
      <x:c r="C737" s="11" t="n">
        <x:v>36.975</x:v>
      </x:c>
      <x:c r="D737" s="11" t="n">
        <x:v>9.235</x:v>
      </x:c>
      <x:c r="E737" s="11" t="n">
        <x:v>-3</x:v>
      </x:c>
      <x:c r="F737" s="11" t="n">
        <x:f>SQRT((C737-C736)^2+(D737-D736)^2+(E737-E736)^2)</x:f>
        <x:v>0.34499999999999886</x:v>
      </x:c>
      <x:c r="G737" s="8" t="str">
        <x:v>Current</x:v>
      </x:c>
    </x:row>
    <x:row r="738" ht="32" customHeight="1">
      <x:c r="A738" s="8" t="str">
        <x:v>drop:LC1:L3:light:-1:L100</x:v>
      </x:c>
      <x:c r="B738" s="8" t="n">
        <x:v>8</x:v>
      </x:c>
      <x:c r="C738" s="11" t="n">
        <x:v>36.975</x:v>
      </x:c>
      <x:c r="D738" s="11" t="n">
        <x:v>9.235</x:v>
      </x:c>
      <x:c r="E738" s="11" t="n">
        <x:v>-3.15</x:v>
      </x:c>
      <x:c r="F738" s="11" t="n">
        <x:f>SQRT((C738-C737)^2+(D738-D737)^2+(E738-E737)^2)</x:f>
        <x:v>0.1499999999999999</x:v>
      </x:c>
      <x:c r="G738" s="8" t="str">
        <x:v>Current</x:v>
      </x:c>
    </x:row>
    <x:row r="739" ht="32" customHeight="1">
      <x:c r="A739" s="8" t="str">
        <x:v>drop:LC1:L3:light:-1:L100</x:v>
      </x:c>
      <x:c r="B739" s="8" t="n">
        <x:v>9</x:v>
      </x:c>
      <x:c r="C739" s="11" t="n">
        <x:v>37.495000000000005</x:v>
      </x:c>
      <x:c r="D739" s="11" t="n">
        <x:v>9.235</x:v>
      </x:c>
      <x:c r="E739" s="11" t="n">
        <x:v>-3.15</x:v>
      </x:c>
      <x:c r="F739" s="11" t="n">
        <x:f>SQRT((C739-C738)^2+(D739-D738)^2+(E739-E738)^2)</x:f>
        <x:v>0.5200000000000031</x:v>
      </x:c>
      <x:c r="G739" s="8" t="str">
        <x:v>Current</x:v>
      </x:c>
    </x:row>
    <x:row r="740" ht="32" customHeight="1">
      <x:c r="A740" s="8" t="str">
        <x:v>drop:LC1:L3:light:-1:L100</x:v>
      </x:c>
      <x:c r="B740" s="8" t="n">
        <x:v>10</x:v>
      </x:c>
      <x:c r="C740" s="11" t="n">
        <x:v>37.495000000000005</x:v>
      </x:c>
      <x:c r="D740" s="11" t="n">
        <x:v>8.48</x:v>
      </x:c>
      <x:c r="E740" s="11" t="n">
        <x:v>-3.15</x:v>
      </x:c>
      <x:c r="F740" s="11" t="n">
        <x:f>SQRT((C740-C739)^2+(D740-D739)^2+(E740-E739)^2)</x:f>
        <x:v>0.754999999999999</x:v>
      </x:c>
      <x:c r="G740" s="8" t="str">
        <x:v>Current</x:v>
      </x:c>
    </x:row>
    <x:row r="741" ht="32" customHeight="1">
      <x:c r="A741" s="8" t="str">
        <x:v>drop:LC1:L3:light:-1:L100</x:v>
      </x:c>
      <x:c r="B741" s="8" t="n">
        <x:v>11</x:v>
      </x:c>
      <x:c r="C741" s="11" t="n">
        <x:v>36.92780262285554</x:v>
      </x:c>
      <x:c r="D741" s="11" t="n">
        <x:v>8.48</x:v>
      </x:c>
      <x:c r="E741" s="11" t="n">
        <x:v>-3.15</x:v>
      </x:c>
      <x:c r="F741" s="11" t="n">
        <x:f>SQRT((C741-C740)^2+(D741-D740)^2+(E741-E740)^2)</x:f>
        <x:v>0.5671973771444669</x:v>
      </x:c>
      <x:c r="G741" s="8" t="str">
        <x:v>Current</x:v>
      </x:c>
    </x:row>
    <x:row r="742" ht="32" customHeight="1">
      <x:c r="A742" s="8" t="str">
        <x:v>drop:LC1:L3:light:-1:L100</x:v>
      </x:c>
      <x:c r="B742" s="8" t="n">
        <x:v>12</x:v>
      </x:c>
      <x:c r="C742" s="11" t="n">
        <x:v>36.92780262285554</x:v>
      </x:c>
      <x:c r="D742" s="11" t="n">
        <x:v>8.48</x:v>
      </x:c>
      <x:c r="E742" s="11" t="n">
        <x:v>-3.155385276617129</x:v>
      </x:c>
      <x:c r="F742" s="11" t="n">
        <x:f>SQRT((C742-C741)^2+(D742-D741)^2+(E742-E741)^2)</x:f>
        <x:v>0.0053852766171291755</x:v>
      </x:c>
      <x:c r="G742" s="8" t="str">
        <x:v>Current</x:v>
      </x:c>
    </x:row>
    <x:row r="743" ht="32" customHeight="1">
      <x:c r="A743" s="8" t="str">
        <x:v>drop:LC1:L3:light:-1:L100</x:v>
      </x:c>
      <x:c r="B743" s="8" t="n">
        <x:v>13</x:v>
      </x:c>
      <x:c r="C743" s="11" t="n">
        <x:v>36.92780262285554</x:v>
      </x:c>
      <x:c r="D743" s="11" t="n">
        <x:v>8.50936929692361</x:v>
      </x:c>
      <x:c r="E743" s="11" t="n">
        <x:v>-3.155385276617129</x:v>
      </x:c>
      <x:c r="F743" s="11" t="n">
        <x:f>SQRT((C743-C742)^2+(D743-D742)^2+(E743-E742)^2)</x:f>
        <x:v>0.029369296923610122</x:v>
      </x:c>
      <x:c r="G743" s="8" t="str">
        <x:v>Current</x:v>
      </x:c>
    </x:row>
    <x:row r="744" ht="32" customHeight="1">
      <x:c r="A744" s="8" t="str">
        <x:v>drop:LC1:L3:light:-1:L101</x:v>
      </x:c>
      <x:c r="B744" s="8" t="n">
        <x:v>1</x:v>
      </x:c>
      <x:c r="C744" s="11" t="n">
        <x:v>36.975</x:v>
      </x:c>
      <x:c r="D744" s="11" t="n">
        <x:v>5.916</x:v>
      </x:c>
      <x:c r="E744" s="11" t="n">
        <x:v>-7.36</x:v>
      </x:c>
      <x:c r="F744" s="11" t="n">
        <x:f>0</x:f>
        <x:v>0</x:v>
      </x:c>
      <x:c r="G744" s="8" t="str">
        <x:v>Current</x:v>
      </x:c>
    </x:row>
    <x:row r="745" ht="32" customHeight="1">
      <x:c r="A745" s="8" t="str">
        <x:v>drop:LC1:L3:light:-1:L101</x:v>
      </x:c>
      <x:c r="B745" s="8" t="n">
        <x:v>2</x:v>
      </x:c>
      <x:c r="C745" s="11" t="n">
        <x:v>37.32</x:v>
      </x:c>
      <x:c r="D745" s="11" t="n">
        <x:v>5.916</x:v>
      </x:c>
      <x:c r="E745" s="11" t="n">
        <x:v>-7.36</x:v>
      </x:c>
      <x:c r="F745" s="11" t="n">
        <x:f>SQRT((C745-C744)^2+(D745-D744)^2+(E745-E744)^2)</x:f>
        <x:v>0.34499999999999886</x:v>
      </x:c>
      <x:c r="G745" s="8" t="str">
        <x:v>Current</x:v>
      </x:c>
    </x:row>
    <x:row r="746" ht="32" customHeight="1">
      <x:c r="A746" s="8" t="str">
        <x:v>drop:LC1:L3:light:-1:L101</x:v>
      </x:c>
      <x:c r="B746" s="8" t="n">
        <x:v>3</x:v>
      </x:c>
      <x:c r="C746" s="11" t="n">
        <x:v>37.32</x:v>
      </x:c>
      <x:c r="D746" s="11" t="n">
        <x:v>7.04</x:v>
      </x:c>
      <x:c r="E746" s="11" t="n">
        <x:v>-7.36</x:v>
      </x:c>
      <x:c r="F746" s="11" t="n">
        <x:f>SQRT((C746-C745)^2+(D746-D745)^2+(E746-E745)^2)</x:f>
        <x:v>1.1239999999999997</x:v>
      </x:c>
      <x:c r="G746" s="8" t="str">
        <x:v>Current</x:v>
      </x:c>
    </x:row>
    <x:row r="747" ht="32" customHeight="1">
      <x:c r="A747" s="8" t="str">
        <x:v>drop:LC1:L3:light:-1:L101</x:v>
      </x:c>
      <x:c r="B747" s="8" t="n">
        <x:v>4</x:v>
      </x:c>
      <x:c r="C747" s="11" t="n">
        <x:v>37.32</x:v>
      </x:c>
      <x:c r="D747" s="11" t="n">
        <x:v>9.442448369565216</x:v>
      </x:c>
      <x:c r="E747" s="11" t="n">
        <x:v>-4.050000000000001</x:v>
      </x:c>
      <x:c r="F747" s="11" t="n">
        <x:f>SQRT((C747-C746)^2+(D747-D746)^2+(E747-E746)^2)</x:f>
        <x:v>4.089970436131118</x:v>
      </x:c>
      <x:c r="G747" s="8" t="str">
        <x:v>Current</x:v>
      </x:c>
    </x:row>
    <x:row r="748" ht="32" customHeight="1">
      <x:c r="A748" s="8" t="str">
        <x:v>drop:LC1:L3:light:-1:L101</x:v>
      </x:c>
      <x:c r="B748" s="8" t="n">
        <x:v>5</x:v>
      </x:c>
      <x:c r="C748" s="11" t="n">
        <x:v>37.32</x:v>
      </x:c>
      <x:c r="D748" s="11" t="n">
        <x:v>9.235</x:v>
      </x:c>
      <x:c r="E748" s="11" t="n">
        <x:v>-4.05</x:v>
      </x:c>
      <x:c r="F748" s="11" t="n">
        <x:f>SQRT((C748-C747)^2+(D748-D747)^2+(E748-E747)^2)</x:f>
        <x:v>0.20744836956521695</x:v>
      </x:c>
      <x:c r="G748" s="8" t="str">
        <x:v>Current</x:v>
      </x:c>
    </x:row>
    <x:row r="749" ht="32" customHeight="1">
      <x:c r="A749" s="8" t="str">
        <x:v>drop:LC1:L3:light:-1:L101</x:v>
      </x:c>
      <x:c r="B749" s="8" t="n">
        <x:v>6</x:v>
      </x:c>
      <x:c r="C749" s="11" t="n">
        <x:v>37.32</x:v>
      </x:c>
      <x:c r="D749" s="11" t="n">
        <x:v>9.235</x:v>
      </x:c>
      <x:c r="E749" s="11" t="n">
        <x:v>-3</x:v>
      </x:c>
      <x:c r="F749" s="11" t="n">
        <x:f>SQRT((C749-C748)^2+(D749-D748)^2+(E749-E748)^2)</x:f>
        <x:v>1.0499999999999998</x:v>
      </x:c>
      <x:c r="G749" s="8" t="str">
        <x:v>Current</x:v>
      </x:c>
    </x:row>
    <x:row r="750" ht="32" customHeight="1">
      <x:c r="A750" s="8" t="str">
        <x:v>drop:LC1:L3:light:-1:L101</x:v>
      </x:c>
      <x:c r="B750" s="8" t="n">
        <x:v>7</x:v>
      </x:c>
      <x:c r="C750" s="11" t="n">
        <x:v>36.975</x:v>
      </x:c>
      <x:c r="D750" s="11" t="n">
        <x:v>9.235</x:v>
      </x:c>
      <x:c r="E750" s="11" t="n">
        <x:v>-3</x:v>
      </x:c>
      <x:c r="F750" s="11" t="n">
        <x:f>SQRT((C750-C749)^2+(D750-D749)^2+(E750-E749)^2)</x:f>
        <x:v>0.34499999999999886</x:v>
      </x:c>
      <x:c r="G750" s="8" t="str">
        <x:v>Current</x:v>
      </x:c>
    </x:row>
    <x:row r="751" ht="32" customHeight="1">
      <x:c r="A751" s="8" t="str">
        <x:v>drop:LC1:L3:light:-1:L101</x:v>
      </x:c>
      <x:c r="B751" s="8" t="n">
        <x:v>8</x:v>
      </x:c>
      <x:c r="C751" s="11" t="n">
        <x:v>36.975</x:v>
      </x:c>
      <x:c r="D751" s="11" t="n">
        <x:v>9.235</x:v>
      </x:c>
      <x:c r="E751" s="11" t="n">
        <x:v>-1.9</x:v>
      </x:c>
      <x:c r="F751" s="11" t="n">
        <x:f>SQRT((C751-C750)^2+(D751-D750)^2+(E751-E750)^2)</x:f>
        <x:v>1.1</x:v>
      </x:c>
      <x:c r="G751" s="8" t="str">
        <x:v>Current</x:v>
      </x:c>
    </x:row>
    <x:row r="752" ht="32" customHeight="1">
      <x:c r="A752" s="8" t="str">
        <x:v>drop:LC1:L3:light:-1:L101</x:v>
      </x:c>
      <x:c r="B752" s="8" t="n">
        <x:v>9</x:v>
      </x:c>
      <x:c r="C752" s="11" t="n">
        <x:v>37.18</x:v>
      </x:c>
      <x:c r="D752" s="11" t="n">
        <x:v>9.235</x:v>
      </x:c>
      <x:c r="E752" s="11" t="n">
        <x:v>-1.9</x:v>
      </x:c>
      <x:c r="F752" s="11" t="n">
        <x:f>SQRT((C752-C751)^2+(D752-D751)^2+(E752-E751)^2)</x:f>
        <x:v>0.2049999999999983</x:v>
      </x:c>
      <x:c r="G752" s="8" t="str">
        <x:v>Current</x:v>
      </x:c>
    </x:row>
    <x:row r="753" ht="32" customHeight="1">
      <x:c r="A753" s="8" t="str">
        <x:v>drop:LC1:L3:light:-1:L101</x:v>
      </x:c>
      <x:c r="B753" s="8" t="n">
        <x:v>10</x:v>
      </x:c>
      <x:c r="C753" s="11" t="n">
        <x:v>37.18</x:v>
      </x:c>
      <x:c r="D753" s="11" t="n">
        <x:v>8.54</x:v>
      </x:c>
      <x:c r="E753" s="11" t="n">
        <x:v>-1.9</x:v>
      </x:c>
      <x:c r="F753" s="11" t="n">
        <x:f>SQRT((C753-C752)^2+(D753-D752)^2+(E753-E752)^2)</x:f>
        <x:v>0.6950000000000003</x:v>
      </x:c>
      <x:c r="G753" s="8" t="str">
        <x:v>Current</x:v>
      </x:c>
    </x:row>
    <x:row r="754" ht="32" customHeight="1">
      <x:c r="A754" s="8" t="str">
        <x:v>drop:LC1:L3:light:-1:L101</x:v>
      </x:c>
      <x:c r="B754" s="8" t="n">
        <x:v>11</x:v>
      </x:c>
      <x:c r="C754" s="11" t="n">
        <x:v>36.975</x:v>
      </x:c>
      <x:c r="D754" s="11" t="n">
        <x:v>8.54</x:v>
      </x:c>
      <x:c r="E754" s="11" t="n">
        <x:v>-1.9</x:v>
      </x:c>
      <x:c r="F754" s="11" t="n">
        <x:f>SQRT((C754-C753)^2+(D754-D753)^2+(E754-E753)^2)</x:f>
        <x:v>0.2049999999999983</x:v>
      </x:c>
      <x:c r="G754" s="8" t="str">
        <x:v>Current</x:v>
      </x:c>
    </x:row>
    <x:row r="755" ht="32" customHeight="1">
      <x:c r="A755" s="8" t="str">
        <x:v>drop:LC1:L3:light:-1:L101</x:v>
      </x:c>
      <x:c r="B755" s="8" t="n">
        <x:v>12</x:v>
      </x:c>
      <x:c r="C755" s="11" t="n">
        <x:v>36.975</x:v>
      </x:c>
      <x:c r="D755" s="11" t="n">
        <x:v>8.584999999999999</x:v>
      </x:c>
      <x:c r="E755" s="11" t="n">
        <x:v>-1.9</x:v>
      </x:c>
      <x:c r="F755" s="11" t="n">
        <x:f>SQRT((C755-C754)^2+(D755-D754)^2+(E755-E754)^2)</x:f>
        <x:v>0.04499999999999993</x:v>
      </x:c>
      <x:c r="G755" s="8" t="str">
        <x:v>Current</x:v>
      </x:c>
    </x:row>
    <x:row r="756" ht="32" customHeight="1">
      <x:c r="A756" s="8" t="str">
        <x:v>drop:LC1:L3:light:-1:L104</x:v>
      </x:c>
      <x:c r="B756" s="8" t="n">
        <x:v>1</x:v>
      </x:c>
      <x:c r="C756" s="11" t="n">
        <x:v>36.975</x:v>
      </x:c>
      <x:c r="D756" s="11" t="n">
        <x:v>5.916</x:v>
      </x:c>
      <x:c r="E756" s="11" t="n">
        <x:v>-7.36</x:v>
      </x:c>
      <x:c r="F756" s="11" t="n">
        <x:f>0</x:f>
        <x:v>0</x:v>
      </x:c>
      <x:c r="G756" s="8" t="str">
        <x:v>Current</x:v>
      </x:c>
    </x:row>
    <x:row r="757" ht="32" customHeight="1">
      <x:c r="A757" s="8" t="str">
        <x:v>drop:LC1:L3:light:-1:L104</x:v>
      </x:c>
      <x:c r="B757" s="8" t="n">
        <x:v>2</x:v>
      </x:c>
      <x:c r="C757" s="11" t="n">
        <x:v>37.32</x:v>
      </x:c>
      <x:c r="D757" s="11" t="n">
        <x:v>5.916</x:v>
      </x:c>
      <x:c r="E757" s="11" t="n">
        <x:v>-7.36</x:v>
      </x:c>
      <x:c r="F757" s="11" t="n">
        <x:f>SQRT((C757-C756)^2+(D757-D756)^2+(E757-E756)^2)</x:f>
        <x:v>0.34499999999999886</x:v>
      </x:c>
      <x:c r="G757" s="8" t="str">
        <x:v>Current</x:v>
      </x:c>
    </x:row>
    <x:row r="758" ht="32" customHeight="1">
      <x:c r="A758" s="8" t="str">
        <x:v>drop:LC1:L3:light:-1:L104</x:v>
      </x:c>
      <x:c r="B758" s="8" t="n">
        <x:v>3</x:v>
      </x:c>
      <x:c r="C758" s="11" t="n">
        <x:v>37.32</x:v>
      </x:c>
      <x:c r="D758" s="11" t="n">
        <x:v>7.04</x:v>
      </x:c>
      <x:c r="E758" s="11" t="n">
        <x:v>-7.36</x:v>
      </x:c>
      <x:c r="F758" s="11" t="n">
        <x:f>SQRT((C758-C757)^2+(D758-D757)^2+(E758-E757)^2)</x:f>
        <x:v>1.1239999999999997</x:v>
      </x:c>
      <x:c r="G758" s="8" t="str">
        <x:v>Current</x:v>
      </x:c>
    </x:row>
    <x:row r="759" ht="32" customHeight="1">
      <x:c r="A759" s="8" t="str">
        <x:v>drop:LC1:L3:light:-1:L104</x:v>
      </x:c>
      <x:c r="B759" s="8" t="n">
        <x:v>4</x:v>
      </x:c>
      <x:c r="C759" s="11" t="n">
        <x:v>37.32</x:v>
      </x:c>
      <x:c r="D759" s="11" t="n">
        <x:v>9.442448369565216</x:v>
      </x:c>
      <x:c r="E759" s="11" t="n">
        <x:v>-4.050000000000001</x:v>
      </x:c>
      <x:c r="F759" s="11" t="n">
        <x:f>SQRT((C759-C758)^2+(D759-D758)^2+(E759-E758)^2)</x:f>
        <x:v>4.089970436131118</x:v>
      </x:c>
      <x:c r="G759" s="8" t="str">
        <x:v>Current</x:v>
      </x:c>
    </x:row>
    <x:row r="760" ht="32" customHeight="1">
      <x:c r="A760" s="8" t="str">
        <x:v>drop:LC1:L3:light:-1:L104</x:v>
      </x:c>
      <x:c r="B760" s="8" t="n">
        <x:v>5</x:v>
      </x:c>
      <x:c r="C760" s="11" t="n">
        <x:v>37.32</x:v>
      </x:c>
      <x:c r="D760" s="11" t="n">
        <x:v>9.235</x:v>
      </x:c>
      <x:c r="E760" s="11" t="n">
        <x:v>-4.05</x:v>
      </x:c>
      <x:c r="F760" s="11" t="n">
        <x:f>SQRT((C760-C759)^2+(D760-D759)^2+(E760-E759)^2)</x:f>
        <x:v>0.20744836956521695</x:v>
      </x:c>
      <x:c r="G760" s="8" t="str">
        <x:v>Current</x:v>
      </x:c>
    </x:row>
    <x:row r="761" ht="32" customHeight="1">
      <x:c r="A761" s="8" t="str">
        <x:v>drop:LC1:L3:light:-1:L104</x:v>
      </x:c>
      <x:c r="B761" s="8" t="n">
        <x:v>6</x:v>
      </x:c>
      <x:c r="C761" s="11" t="n">
        <x:v>37.32</x:v>
      </x:c>
      <x:c r="D761" s="11" t="n">
        <x:v>9.235</x:v>
      </x:c>
      <x:c r="E761" s="11" t="n">
        <x:v>-3</x:v>
      </x:c>
      <x:c r="F761" s="11" t="n">
        <x:f>SQRT((C761-C760)^2+(D761-D760)^2+(E761-E760)^2)</x:f>
        <x:v>1.0499999999999998</x:v>
      </x:c>
      <x:c r="G761" s="8" t="str">
        <x:v>Current</x:v>
      </x:c>
    </x:row>
    <x:row r="762" ht="32" customHeight="1">
      <x:c r="A762" s="8" t="str">
        <x:v>drop:LC1:L3:light:-1:L104</x:v>
      </x:c>
      <x:c r="B762" s="8" t="n">
        <x:v>7</x:v>
      </x:c>
      <x:c r="C762" s="11" t="n">
        <x:v>36.975</x:v>
      </x:c>
      <x:c r="D762" s="11" t="n">
        <x:v>9.235</x:v>
      </x:c>
      <x:c r="E762" s="11" t="n">
        <x:v>-3</x:v>
      </x:c>
      <x:c r="F762" s="11" t="n">
        <x:f>SQRT((C762-C761)^2+(D762-D761)^2+(E762-E761)^2)</x:f>
        <x:v>0.34499999999999886</x:v>
      </x:c>
      <x:c r="G762" s="8" t="str">
        <x:v>Current</x:v>
      </x:c>
    </x:row>
    <x:row r="763" ht="32" customHeight="1">
      <x:c r="A763" s="8" t="str">
        <x:v>drop:LC1:L3:light:-1:L104</x:v>
      </x:c>
      <x:c r="B763" s="8" t="n">
        <x:v>8</x:v>
      </x:c>
      <x:c r="C763" s="11" t="n">
        <x:v>36.975</x:v>
      </x:c>
      <x:c r="D763" s="11" t="n">
        <x:v>9.235</x:v>
      </x:c>
      <x:c r="E763" s="11" t="n">
        <x:v>-0.6</x:v>
      </x:c>
      <x:c r="F763" s="11" t="n">
        <x:f>SQRT((C763-C762)^2+(D763-D762)^2+(E763-E762)^2)</x:f>
        <x:v>2.4</x:v>
      </x:c>
      <x:c r="G763" s="8" t="str">
        <x:v>Current</x:v>
      </x:c>
    </x:row>
    <x:row r="764" ht="32" customHeight="1">
      <x:c r="A764" s="8" t="str">
        <x:v>drop:LC1:L3:light:-1:L104</x:v>
      </x:c>
      <x:c r="B764" s="8" t="n">
        <x:v>9</x:v>
      </x:c>
      <x:c r="C764" s="11" t="n">
        <x:v>37.18</x:v>
      </x:c>
      <x:c r="D764" s="11" t="n">
        <x:v>9.235</x:v>
      </x:c>
      <x:c r="E764" s="11" t="n">
        <x:v>-0.6</x:v>
      </x:c>
      <x:c r="F764" s="11" t="n">
        <x:f>SQRT((C764-C763)^2+(D764-D763)^2+(E764-E763)^2)</x:f>
        <x:v>0.2049999999999983</x:v>
      </x:c>
      <x:c r="G764" s="8" t="str">
        <x:v>Current</x:v>
      </x:c>
    </x:row>
    <x:row r="765" ht="32" customHeight="1">
      <x:c r="A765" s="8" t="str">
        <x:v>drop:LC1:L3:light:-1:L104</x:v>
      </x:c>
      <x:c r="B765" s="8" t="n">
        <x:v>10</x:v>
      </x:c>
      <x:c r="C765" s="11" t="n">
        <x:v>37.18</x:v>
      </x:c>
      <x:c r="D765" s="11" t="n">
        <x:v>8.54</x:v>
      </x:c>
      <x:c r="E765" s="11" t="n">
        <x:v>-0.6</x:v>
      </x:c>
      <x:c r="F765" s="11" t="n">
        <x:f>SQRT((C765-C764)^2+(D765-D764)^2+(E765-E764)^2)</x:f>
        <x:v>0.6950000000000003</x:v>
      </x:c>
      <x:c r="G765" s="8" t="str">
        <x:v>Current</x:v>
      </x:c>
    </x:row>
    <x:row r="766" ht="32" customHeight="1">
      <x:c r="A766" s="8" t="str">
        <x:v>drop:LC1:L3:light:-1:L104</x:v>
      </x:c>
      <x:c r="B766" s="8" t="n">
        <x:v>11</x:v>
      </x:c>
      <x:c r="C766" s="11" t="n">
        <x:v>36.975</x:v>
      </x:c>
      <x:c r="D766" s="11" t="n">
        <x:v>8.54</x:v>
      </x:c>
      <x:c r="E766" s="11" t="n">
        <x:v>-0.6</x:v>
      </x:c>
      <x:c r="F766" s="11" t="n">
        <x:f>SQRT((C766-C765)^2+(D766-D765)^2+(E766-E765)^2)</x:f>
        <x:v>0.2049999999999983</x:v>
      </x:c>
      <x:c r="G766" s="8" t="str">
        <x:v>Current</x:v>
      </x:c>
    </x:row>
    <x:row r="767" ht="32" customHeight="1">
      <x:c r="A767" s="8" t="str">
        <x:v>drop:LC1:L3:light:-1:L104</x:v>
      </x:c>
      <x:c r="B767" s="8" t="n">
        <x:v>12</x:v>
      </x:c>
      <x:c r="C767" s="11" t="n">
        <x:v>36.975</x:v>
      </x:c>
      <x:c r="D767" s="11" t="n">
        <x:v>8.584999999999999</x:v>
      </x:c>
      <x:c r="E767" s="11" t="n">
        <x:v>-0.6</x:v>
      </x:c>
      <x:c r="F767" s="11" t="n">
        <x:f>SQRT((C767-C766)^2+(D767-D766)^2+(E767-E766)^2)</x:f>
        <x:v>0.04499999999999993</x:v>
      </x:c>
      <x:c r="G767" s="8" t="str">
        <x:v>Current</x:v>
      </x:c>
    </x:row>
    <x:row r="768" ht="32" customHeight="1">
      <x:c r="A768" s="8" t="str">
        <x:v>drop:LC1:L3:light:-1:L106</x:v>
      </x:c>
      <x:c r="B768" s="8" t="n">
        <x:v>1</x:v>
      </x:c>
      <x:c r="C768" s="11" t="n">
        <x:v>48.5</x:v>
      </x:c>
      <x:c r="D768" s="11" t="n">
        <x:v>5.916</x:v>
      </x:c>
      <x:c r="E768" s="11" t="n">
        <x:v>-7.36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drop:LC1:L3:light:-1:L106</x:v>
      </x:c>
      <x:c r="B769" s="8" t="n">
        <x:v>2</x:v>
      </x:c>
      <x:c r="C769" s="11" t="n">
        <x:v>48.5</x:v>
      </x:c>
      <x:c r="D769" s="11" t="n">
        <x:v>5.916</x:v>
      </x:c>
      <x:c r="E769" s="11" t="n">
        <x:v>-3.525</x:v>
      </x:c>
      <x:c r="F769" s="11" t="n">
        <x:f>SQRT((C769-C768)^2+(D769-D768)^2+(E769-E768)^2)</x:f>
        <x:v>3.8350000000000004</x:v>
      </x:c>
      <x:c r="G769" s="8" t="str">
        <x:v>Current</x:v>
      </x:c>
    </x:row>
    <x:row r="770" ht="32" customHeight="1">
      <x:c r="A770" s="8" t="str">
        <x:v>drop:LC1:L3:light:-1:L106</x:v>
      </x:c>
      <x:c r="B770" s="8" t="n">
        <x:v>3</x:v>
      </x:c>
      <x:c r="C770" s="11" t="n">
        <x:v>48.5</x:v>
      </x:c>
      <x:c r="D770" s="11" t="n">
        <x:v>7.25</x:v>
      </x:c>
      <x:c r="E770" s="11" t="n">
        <x:v>-3.525</x:v>
      </x:c>
      <x:c r="F770" s="11" t="n">
        <x:f>SQRT((C770-C769)^2+(D770-D769)^2+(E770-E769)^2)</x:f>
        <x:v>1.3339999999999996</x:v>
      </x:c>
      <x:c r="G770" s="8" t="str">
        <x:v>Current</x:v>
      </x:c>
    </x:row>
    <x:row r="771" ht="32" customHeight="1">
      <x:c r="A771" s="8" t="str">
        <x:v>drop:LC1:L3:light:-1:L106</x:v>
      </x:c>
      <x:c r="B771" s="8" t="n">
        <x:v>4</x:v>
      </x:c>
      <x:c r="C771" s="11" t="n">
        <x:v>44.75</x:v>
      </x:c>
      <x:c r="D771" s="11" t="n">
        <x:v>7.25</x:v>
      </x:c>
      <x:c r="E771" s="11" t="n">
        <x:v>-3.525</x:v>
      </x:c>
      <x:c r="F771" s="11" t="n">
        <x:f>SQRT((C771-C770)^2+(D771-D770)^2+(E771-E770)^2)</x:f>
        <x:v>3.75</x:v>
      </x:c>
      <x:c r="G771" s="8" t="str">
        <x:v>Current</x:v>
      </x:c>
    </x:row>
    <x:row r="772" ht="32" customHeight="1">
      <x:c r="A772" s="8" t="str">
        <x:v>drop:LC1:L3:light:-1:L106</x:v>
      </x:c>
      <x:c r="B772" s="8" t="n">
        <x:v>5</x:v>
      </x:c>
      <x:c r="C772" s="11" t="n">
        <x:v>44.75</x:v>
      </x:c>
      <x:c r="D772" s="11" t="n">
        <x:v>7.6</x:v>
      </x:c>
      <x:c r="E772" s="11" t="n">
        <x:v>-3.525</x:v>
      </x:c>
      <x:c r="F772" s="11" t="n">
        <x:f>SQRT((C772-C771)^2+(D772-D771)^2+(E772-E771)^2)</x:f>
        <x:v>0.34999999999999964</x:v>
      </x:c>
      <x:c r="G772" s="8" t="str">
        <x:v>Current</x:v>
      </x:c>
    </x:row>
    <x:row r="773" ht="32" customHeight="1">
      <x:c r="A773" s="8" t="str">
        <x:v>drop:LC1:L3:light:-1:L106</x:v>
      </x:c>
      <x:c r="B773" s="8" t="n">
        <x:v>6</x:v>
      </x:c>
      <x:c r="C773" s="11" t="n">
        <x:v>44.75</x:v>
      </x:c>
      <x:c r="D773" s="11" t="n">
        <x:v>7.6</x:v>
      </x:c>
      <x:c r="E773" s="11" t="n">
        <x:v>-3.2399999999999998</x:v>
      </x:c>
      <x:c r="F773" s="11" t="n">
        <x:f>SQRT((C773-C772)^2+(D773-D772)^2+(E773-E772)^2)</x:f>
        <x:v>0.28500000000000014</x:v>
      </x:c>
      <x:c r="G773" s="8" t="str">
        <x:v>Current</x:v>
      </x:c>
    </x:row>
    <x:row r="774" ht="32" customHeight="1">
      <x:c r="A774" s="8" t="str">
        <x:v>drop:LC1:L3:light:-1:L107</x:v>
      </x:c>
      <x:c r="B774" s="8" t="n">
        <x:v>1</x:v>
      </x:c>
      <x:c r="C774" s="11" t="n">
        <x:v>48.5</x:v>
      </x:c>
      <x:c r="D774" s="11" t="n">
        <x:v>5.916</x:v>
      </x:c>
      <x:c r="E774" s="11" t="n">
        <x:v>-7.36</x:v>
      </x:c>
      <x:c r="F774" s="11" t="n">
        <x:f>0</x:f>
        <x:v>0</x:v>
      </x:c>
      <x:c r="G774" s="8" t="str">
        <x:v>Current</x:v>
      </x:c>
    </x:row>
    <x:row r="775" ht="32" customHeight="1">
      <x:c r="A775" s="8" t="str">
        <x:v>drop:LC1:L3:light:-1:L107</x:v>
      </x:c>
      <x:c r="B775" s="8" t="n">
        <x:v>2</x:v>
      </x:c>
      <x:c r="C775" s="11" t="n">
        <x:v>48.5</x:v>
      </x:c>
      <x:c r="D775" s="11" t="n">
        <x:v>5.916</x:v>
      </x:c>
      <x:c r="E775" s="11" t="n">
        <x:v>-3.525</x:v>
      </x:c>
      <x:c r="F775" s="11" t="n">
        <x:f>SQRT((C775-C774)^2+(D775-D774)^2+(E775-E774)^2)</x:f>
        <x:v>3.8350000000000004</x:v>
      </x:c>
      <x:c r="G775" s="8" t="str">
        <x:v>Current</x:v>
      </x:c>
    </x:row>
    <x:row r="776" ht="32" customHeight="1">
      <x:c r="A776" s="8" t="str">
        <x:v>drop:LC1:L3:light:-1:L107</x:v>
      </x:c>
      <x:c r="B776" s="8" t="n">
        <x:v>3</x:v>
      </x:c>
      <x:c r="C776" s="11" t="n">
        <x:v>48.5</x:v>
      </x:c>
      <x:c r="D776" s="11" t="n">
        <x:v>7.25</x:v>
      </x:c>
      <x:c r="E776" s="11" t="n">
        <x:v>-3.525</x:v>
      </x:c>
      <x:c r="F776" s="11" t="n">
        <x:f>SQRT((C776-C775)^2+(D776-D775)^2+(E776-E775)^2)</x:f>
        <x:v>1.3339999999999996</x:v>
      </x:c>
      <x:c r="G776" s="8" t="str">
        <x:v>Current</x:v>
      </x:c>
    </x:row>
    <x:row r="777" ht="32" customHeight="1">
      <x:c r="A777" s="8" t="str">
        <x:v>drop:LC1:L3:light:-1:L107</x:v>
      </x:c>
      <x:c r="B777" s="8" t="n">
        <x:v>4</x:v>
      </x:c>
      <x:c r="C777" s="11" t="n">
        <x:v>44.75</x:v>
      </x:c>
      <x:c r="D777" s="11" t="n">
        <x:v>7.25</x:v>
      </x:c>
      <x:c r="E777" s="11" t="n">
        <x:v>-3.525</x:v>
      </x:c>
      <x:c r="F777" s="11" t="n">
        <x:f>SQRT((C777-C776)^2+(D777-D776)^2+(E777-E776)^2)</x:f>
        <x:v>3.75</x:v>
      </x:c>
      <x:c r="G777" s="8" t="str">
        <x:v>Current</x:v>
      </x:c>
    </x:row>
    <x:row r="778" ht="32" customHeight="1">
      <x:c r="A778" s="8" t="str">
        <x:v>drop:LC1:L3:light:-1:L107</x:v>
      </x:c>
      <x:c r="B778" s="8" t="n">
        <x:v>5</x:v>
      </x:c>
      <x:c r="C778" s="11" t="n">
        <x:v>44.75</x:v>
      </x:c>
      <x:c r="D778" s="11" t="n">
        <x:v>7.25</x:v>
      </x:c>
      <x:c r="E778" s="11" t="n">
        <x:v>-3.2399999999999998</x:v>
      </x:c>
      <x:c r="F778" s="11" t="n">
        <x:f>SQRT((C778-C777)^2+(D778-D777)^2+(E778-E777)^2)</x:f>
        <x:v>0.28500000000000014</x:v>
      </x:c>
      <x:c r="G778" s="8" t="str">
        <x:v>Current</x:v>
      </x:c>
    </x:row>
    <x:row r="779" ht="32" customHeight="1">
      <x:c r="A779" s="8" t="str">
        <x:v>drop:LC1:L3:light:-1:L108</x:v>
      </x:c>
      <x:c r="B779" s="8" t="n">
        <x:v>1</x:v>
      </x:c>
      <x:c r="C779" s="11" t="n">
        <x:v>48.5</x:v>
      </x:c>
      <x:c r="D779" s="11" t="n">
        <x:v>5.916</x:v>
      </x:c>
      <x:c r="E779" s="11" t="n">
        <x:v>-7.36</x:v>
      </x:c>
      <x:c r="F779" s="11" t="n">
        <x:f>0</x:f>
        <x:v>0</x:v>
      </x:c>
      <x:c r="G779" s="8" t="str">
        <x:v>Current</x:v>
      </x:c>
    </x:row>
    <x:row r="780" ht="32" customHeight="1">
      <x:c r="A780" s="8" t="str">
        <x:v>drop:LC1:L3:light:-1:L108</x:v>
      </x:c>
      <x:c r="B780" s="8" t="n">
        <x:v>2</x:v>
      </x:c>
      <x:c r="C780" s="11" t="n">
        <x:v>48.5</x:v>
      </x:c>
      <x:c r="D780" s="11" t="n">
        <x:v>5.916</x:v>
      </x:c>
      <x:c r="E780" s="11" t="n">
        <x:v>-3.525</x:v>
      </x:c>
      <x:c r="F780" s="11" t="n">
        <x:f>SQRT((C780-C779)^2+(D780-D779)^2+(E780-E779)^2)</x:f>
        <x:v>3.8350000000000004</x:v>
      </x:c>
      <x:c r="G780" s="8" t="str">
        <x:v>Current</x:v>
      </x:c>
    </x:row>
    <x:row r="781" ht="32" customHeight="1">
      <x:c r="A781" s="8" t="str">
        <x:v>drop:LC1:L3:light:-1:L108</x:v>
      </x:c>
      <x:c r="B781" s="8" t="n">
        <x:v>3</x:v>
      </x:c>
      <x:c r="C781" s="11" t="n">
        <x:v>48.5</x:v>
      </x:c>
      <x:c r="D781" s="11" t="n">
        <x:v>7.25</x:v>
      </x:c>
      <x:c r="E781" s="11" t="n">
        <x:v>-3.525</x:v>
      </x:c>
      <x:c r="F781" s="11" t="n">
        <x:f>SQRT((C781-C780)^2+(D781-D780)^2+(E781-E780)^2)</x:f>
        <x:v>1.3339999999999996</x:v>
      </x:c>
      <x:c r="G781" s="8" t="str">
        <x:v>Current</x:v>
      </x:c>
    </x:row>
    <x:row r="782" ht="32" customHeight="1">
      <x:c r="A782" s="8" t="str">
        <x:v>drop:LC1:L3:light:-1:L108</x:v>
      </x:c>
      <x:c r="B782" s="8" t="n">
        <x:v>4</x:v>
      </x:c>
      <x:c r="C782" s="11" t="n">
        <x:v>45.2</x:v>
      </x:c>
      <x:c r="D782" s="11" t="n">
        <x:v>7.25</x:v>
      </x:c>
      <x:c r="E782" s="11" t="n">
        <x:v>-3.525</x:v>
      </x:c>
      <x:c r="F782" s="11" t="n">
        <x:f>SQRT((C782-C781)^2+(D782-D781)^2+(E782-E781)^2)</x:f>
        <x:v>3.299999999999997</x:v>
      </x:c>
      <x:c r="G782" s="8" t="str">
        <x:v>Current</x:v>
      </x:c>
    </x:row>
    <x:row r="783" ht="32" customHeight="1">
      <x:c r="A783" s="8" t="str">
        <x:v>drop:LC1:L3:light:-1:L108</x:v>
      </x:c>
      <x:c r="B783" s="8" t="n">
        <x:v>5</x:v>
      </x:c>
      <x:c r="C783" s="11" t="n">
        <x:v>45.2</x:v>
      </x:c>
      <x:c r="D783" s="11" t="n">
        <x:v>7.25</x:v>
      </x:c>
      <x:c r="E783" s="11" t="n">
        <x:v>-3.2399999999999998</x:v>
      </x:c>
      <x:c r="F783" s="11" t="n">
        <x:f>SQRT((C783-C782)^2+(D783-D782)^2+(E783-E782)^2)</x:f>
        <x:v>0.28500000000000014</x:v>
      </x:c>
      <x:c r="G783" s="8" t="str">
        <x:v>Current</x:v>
      </x:c>
    </x:row>
    <x:row r="784" ht="32" customHeight="1">
      <x:c r="A784" s="8" t="str">
        <x:v>drop:LC1:L3:light:-1:L109</x:v>
      </x:c>
      <x:c r="B784" s="8" t="n">
        <x:v>1</x:v>
      </x:c>
      <x:c r="C784" s="11" t="n">
        <x:v>48.5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drop:LC1:L3:light:-1:L109</x:v>
      </x:c>
      <x:c r="B785" s="8" t="n">
        <x:v>2</x:v>
      </x:c>
      <x:c r="C785" s="11" t="n">
        <x:v>48.5</x:v>
      </x:c>
      <x:c r="D785" s="11" t="n">
        <x:v>5.916</x:v>
      </x:c>
      <x:c r="E785" s="11" t="n">
        <x:v>-3.525</x:v>
      </x:c>
      <x:c r="F785" s="11" t="n">
        <x:f>SQRT((C785-C784)^2+(D785-D784)^2+(E785-E784)^2)</x:f>
        <x:v>3.8350000000000004</x:v>
      </x:c>
      <x:c r="G785" s="8" t="str">
        <x:v>Current</x:v>
      </x:c>
    </x:row>
    <x:row r="786" ht="32" customHeight="1">
      <x:c r="A786" s="8" t="str">
        <x:v>drop:LC1:L3:light:-1:L109</x:v>
      </x:c>
      <x:c r="B786" s="8" t="n">
        <x:v>3</x:v>
      </x:c>
      <x:c r="C786" s="11" t="n">
        <x:v>48.5</x:v>
      </x:c>
      <x:c r="D786" s="11" t="n">
        <x:v>7.25</x:v>
      </x:c>
      <x:c r="E786" s="11" t="n">
        <x:v>-3.525</x:v>
      </x:c>
      <x:c r="F786" s="11" t="n">
        <x:f>SQRT((C786-C785)^2+(D786-D785)^2+(E786-E785)^2)</x:f>
        <x:v>1.3339999999999996</x:v>
      </x:c>
      <x:c r="G786" s="8" t="str">
        <x:v>Current</x:v>
      </x:c>
    </x:row>
    <x:row r="787" ht="32" customHeight="1">
      <x:c r="A787" s="8" t="str">
        <x:v>drop:LC1:L3:light:-1:L109</x:v>
      </x:c>
      <x:c r="B787" s="8" t="n">
        <x:v>4</x:v>
      </x:c>
      <x:c r="C787" s="11" t="n">
        <x:v>45.35</x:v>
      </x:c>
      <x:c r="D787" s="11" t="n">
        <x:v>7.25</x:v>
      </x:c>
      <x:c r="E787" s="11" t="n">
        <x:v>-3.525</x:v>
      </x:c>
      <x:c r="F787" s="11" t="n">
        <x:f>SQRT((C787-C786)^2+(D787-D786)^2+(E787-E786)^2)</x:f>
        <x:v>3.1499999999999986</x:v>
      </x:c>
      <x:c r="G787" s="8" t="str">
        <x:v>Current</x:v>
      </x:c>
    </x:row>
    <x:row r="788" ht="32" customHeight="1">
      <x:c r="A788" s="8" t="str">
        <x:v>drop:LC1:L3:light:-1:L109</x:v>
      </x:c>
      <x:c r="B788" s="8" t="n">
        <x:v>5</x:v>
      </x:c>
      <x:c r="C788" s="11" t="n">
        <x:v>45.35</x:v>
      </x:c>
      <x:c r="D788" s="11" t="n">
        <x:v>8.42</x:v>
      </x:c>
      <x:c r="E788" s="11" t="n">
        <x:v>-3.525</x:v>
      </x:c>
      <x:c r="F788" s="11" t="n">
        <x:f>SQRT((C788-C787)^2+(D788-D787)^2+(E788-E787)^2)</x:f>
        <x:v>1.17</x:v>
      </x:c>
      <x:c r="G788" s="8" t="str">
        <x:v>Current</x:v>
      </x:c>
    </x:row>
    <x:row r="789" ht="32" customHeight="1">
      <x:c r="A789" s="8" t="str">
        <x:v>drop:LC1:L3:light:-1:L109</x:v>
      </x:c>
      <x:c r="B789" s="8" t="n">
        <x:v>6</x:v>
      </x:c>
      <x:c r="C789" s="11" t="n">
        <x:v>45.35</x:v>
      </x:c>
      <x:c r="D789" s="11" t="n">
        <x:v>8.42</x:v>
      </x:c>
      <x:c r="E789" s="11" t="n">
        <x:v>-2.94</x:v>
      </x:c>
      <x:c r="F789" s="11" t="n">
        <x:f>SQRT((C789-C788)^2+(D789-D788)^2+(E789-E788)^2)</x:f>
        <x:v>0.585</x:v>
      </x:c>
      <x:c r="G789" s="8" t="str">
        <x:v>Current</x:v>
      </x:c>
    </x:row>
    <x:row r="790" ht="32" customHeight="1">
      <x:c r="A790" s="8" t="str">
        <x:v>drop:LC1:L3:light:-1:L114</x:v>
      </x:c>
      <x:c r="B790" s="8" t="n">
        <x:v>1</x:v>
      </x:c>
      <x:c r="C790" s="11" t="n">
        <x:v>48.5</x:v>
      </x:c>
      <x:c r="D790" s="11" t="n">
        <x:v>5.916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drop:LC1:L3:light:-1:L114</x:v>
      </x:c>
      <x:c r="B791" s="8" t="n">
        <x:v>2</x:v>
      </x:c>
      <x:c r="C791" s="11" t="n">
        <x:v>48.5</x:v>
      </x:c>
      <x:c r="D791" s="11" t="n">
        <x:v>5.916</x:v>
      </x:c>
      <x:c r="E791" s="11" t="n">
        <x:v>-3.525</x:v>
      </x:c>
      <x:c r="F791" s="11" t="n">
        <x:f>SQRT((C791-C790)^2+(D791-D790)^2+(E791-E790)^2)</x:f>
        <x:v>3.8350000000000004</x:v>
      </x:c>
      <x:c r="G791" s="8" t="str">
        <x:v>Current</x:v>
      </x:c>
    </x:row>
    <x:row r="792" ht="32" customHeight="1">
      <x:c r="A792" s="8" t="str">
        <x:v>drop:LC1:L3:light:-1:L114</x:v>
      </x:c>
      <x:c r="B792" s="8" t="n">
        <x:v>3</x:v>
      </x:c>
      <x:c r="C792" s="11" t="n">
        <x:v>48.5</x:v>
      </x:c>
      <x:c r="D792" s="11" t="n">
        <x:v>7.25</x:v>
      </x:c>
      <x:c r="E792" s="11" t="n">
        <x:v>-3.525</x:v>
      </x:c>
      <x:c r="F792" s="11" t="n">
        <x:f>SQRT((C792-C791)^2+(D792-D791)^2+(E792-E791)^2)</x:f>
        <x:v>1.3339999999999996</x:v>
      </x:c>
      <x:c r="G792" s="8" t="str">
        <x:v>Current</x:v>
      </x:c>
    </x:row>
    <x:row r="793" ht="32" customHeight="1">
      <x:c r="A793" s="8" t="str">
        <x:v>drop:LC1:L3:light:-1:L114</x:v>
      </x:c>
      <x:c r="B793" s="8" t="n">
        <x:v>4</x:v>
      </x:c>
      <x:c r="C793" s="11" t="n">
        <x:v>45.65</x:v>
      </x:c>
      <x:c r="D793" s="11" t="n">
        <x:v>7.25</x:v>
      </x:c>
      <x:c r="E793" s="11" t="n">
        <x:v>-3.525</x:v>
      </x:c>
      <x:c r="F793" s="11" t="n">
        <x:f>SQRT((C793-C792)^2+(D793-D792)^2+(E793-E792)^2)</x:f>
        <x:v>2.8500000000000014</x:v>
      </x:c>
      <x:c r="G793" s="8" t="str">
        <x:v>Current</x:v>
      </x:c>
    </x:row>
    <x:row r="794" ht="32" customHeight="1">
      <x:c r="A794" s="8" t="str">
        <x:v>drop:LC1:L3:light:-1:L114</x:v>
      </x:c>
      <x:c r="B794" s="8" t="n">
        <x:v>5</x:v>
      </x:c>
      <x:c r="C794" s="11" t="n">
        <x:v>45.65</x:v>
      </x:c>
      <x:c r="D794" s="11" t="n">
        <x:v>7.25</x:v>
      </x:c>
      <x:c r="E794" s="11" t="n">
        <x:v>-3.2399999999999998</x:v>
      </x:c>
      <x:c r="F794" s="11" t="n">
        <x:f>SQRT((C794-C793)^2+(D794-D793)^2+(E794-E793)^2)</x:f>
        <x:v>0.28500000000000014</x:v>
      </x:c>
      <x:c r="G794" s="8" t="str">
        <x:v>Current</x:v>
      </x:c>
    </x:row>
    <x:row r="795" ht="32" customHeight="1">
      <x:c r="A795" s="8" t="str">
        <x:v>drop:LC1:L3:light:-1:L115</x:v>
      </x:c>
      <x:c r="B795" s="8" t="n">
        <x:v>1</x:v>
      </x:c>
      <x:c r="C795" s="11" t="n">
        <x:v>44.419999999999995</x:v>
      </x:c>
      <x:c r="D795" s="11" t="n">
        <x:v>5.916</x:v>
      </x:c>
      <x:c r="E795" s="11" t="n">
        <x:v>-7.36</x:v>
      </x:c>
      <x:c r="F795" s="11" t="n">
        <x:f>0</x:f>
        <x:v>0</x:v>
      </x:c>
      <x:c r="G795" s="8" t="str">
        <x:v>Current</x:v>
      </x:c>
    </x:row>
    <x:row r="796" ht="32" customHeight="1">
      <x:c r="A796" s="8" t="str">
        <x:v>drop:LC1:L3:light:-1:L115</x:v>
      </x:c>
      <x:c r="B796" s="8" t="n">
        <x:v>2</x:v>
      </x:c>
      <x:c r="C796" s="11" t="n">
        <x:v>44.419999999999995</x:v>
      </x:c>
      <x:c r="D796" s="11" t="n">
        <x:v>7.04</x:v>
      </x:c>
      <x:c r="E796" s="11" t="n">
        <x:v>-7.36</x:v>
      </x:c>
      <x:c r="F796" s="11" t="n">
        <x:f>SQRT((C796-C795)^2+(D796-D795)^2+(E796-E795)^2)</x:f>
        <x:v>1.1239999999999997</x:v>
      </x:c>
      <x:c r="G796" s="8" t="str">
        <x:v>Current</x:v>
      </x:c>
    </x:row>
    <x:row r="797" ht="32" customHeight="1">
      <x:c r="A797" s="8" t="str">
        <x:v>drop:LC1:L3:light:-1:L115</x:v>
      </x:c>
      <x:c r="B797" s="8" t="n">
        <x:v>3</x:v>
      </x:c>
      <x:c r="C797" s="11" t="n">
        <x:v>44.419999999999995</x:v>
      </x:c>
      <x:c r="D797" s="11" t="n">
        <x:v>8.934377717391303</x:v>
      </x:c>
      <x:c r="E797" s="11" t="n">
        <x:v>-4.75</x:v>
      </x:c>
      <x:c r="F797" s="11" t="n">
        <x:f>SQRT((C797-C796)^2+(D797-D796)^2+(E797-E796)^2)</x:f>
        <x:v>3.2250220055293712</x:v>
      </x:c>
      <x:c r="G797" s="8" t="str">
        <x:v>Current</x:v>
      </x:c>
    </x:row>
    <x:row r="798" ht="32" customHeight="1">
      <x:c r="A798" s="8" t="str">
        <x:v>drop:LC1:L3:light:-1:L115</x:v>
      </x:c>
      <x:c r="B798" s="8" t="n">
        <x:v>4</x:v>
      </x:c>
      <x:c r="C798" s="11" t="n">
        <x:v>44.419999999999995</x:v>
      </x:c>
      <x:c r="D798" s="11" t="n">
        <x:v>7.75</x:v>
      </x:c>
      <x:c r="E798" s="11" t="n">
        <x:v>-4.75</x:v>
      </x:c>
      <x:c r="F798" s="11" t="n">
        <x:f>SQRT((C798-C797)^2+(D798-D797)^2+(E798-E797)^2)</x:f>
        <x:v>1.1843777173913033</x:v>
      </x:c>
      <x:c r="G798" s="8" t="str">
        <x:v>Current</x:v>
      </x:c>
    </x:row>
    <x:row r="799" ht="32" customHeight="1">
      <x:c r="A799" s="8" t="str">
        <x:v>drop:LC1:L3:light:-1:L116</x:v>
      </x:c>
      <x:c r="B799" s="8" t="n">
        <x:v>1</x:v>
      </x:c>
      <x:c r="C799" s="11" t="n">
        <x:v>44.419999999999995</x:v>
      </x:c>
      <x:c r="D799" s="11" t="n">
        <x:v>5.916</x:v>
      </x:c>
      <x:c r="E799" s="11" t="n">
        <x:v>-7.36</x:v>
      </x:c>
      <x:c r="F799" s="11" t="n">
        <x:f>0</x:f>
        <x:v>0</x:v>
      </x:c>
      <x:c r="G799" s="8" t="str">
        <x:v>Current</x:v>
      </x:c>
    </x:row>
    <x:row r="800" ht="32" customHeight="1">
      <x:c r="A800" s="8" t="str">
        <x:v>drop:LC1:L3:light:-1:L116</x:v>
      </x:c>
      <x:c r="B800" s="8" t="n">
        <x:v>2</x:v>
      </x:c>
      <x:c r="C800" s="11" t="n">
        <x:v>44.419999999999995</x:v>
      </x:c>
      <x:c r="D800" s="11" t="n">
        <x:v>7.04</x:v>
      </x:c>
      <x:c r="E800" s="11" t="n">
        <x:v>-7.36</x:v>
      </x:c>
      <x:c r="F800" s="11" t="n">
        <x:f>SQRT((C800-C799)^2+(D800-D799)^2+(E800-E799)^2)</x:f>
        <x:v>1.1239999999999997</x:v>
      </x:c>
      <x:c r="G800" s="8" t="str">
        <x:v>Current</x:v>
      </x:c>
    </x:row>
    <x:row r="801" ht="32" customHeight="1">
      <x:c r="A801" s="8" t="str">
        <x:v>drop:LC1:L3:light:-1:L116</x:v>
      </x:c>
      <x:c r="B801" s="8" t="n">
        <x:v>3</x:v>
      </x:c>
      <x:c r="C801" s="11" t="n">
        <x:v>44.419999999999995</x:v>
      </x:c>
      <x:c r="D801" s="11" t="n">
        <x:v>7.845654891304348</x:v>
      </x:c>
      <x:c r="E801" s="11" t="n">
        <x:v>-6.25</x:v>
      </x:c>
      <x:c r="F801" s="11" t="n">
        <x:f>SQRT((C801-C800)^2+(D801-D800)^2+(E801-E800)^2)</x:f>
        <x:v>1.3715610828113423</x:v>
      </x:c>
      <x:c r="G801" s="8" t="str">
        <x:v>Current</x:v>
      </x:c>
    </x:row>
    <x:row r="802" ht="32" customHeight="1">
      <x:c r="A802" s="8" t="str">
        <x:v>drop:LC1:L3:light:-1:L116</x:v>
      </x:c>
      <x:c r="B802" s="8" t="n">
        <x:v>4</x:v>
      </x:c>
      <x:c r="C802" s="11" t="n">
        <x:v>44.419999999999995</x:v>
      </x:c>
      <x:c r="D802" s="11" t="n">
        <x:v>7.75</x:v>
      </x:c>
      <x:c r="E802" s="11" t="n">
        <x:v>-6.25</x:v>
      </x:c>
      <x:c r="F802" s="11" t="n">
        <x:f>SQRT((C802-C801)^2+(D802-D801)^2+(E802-E801)^2)</x:f>
        <x:v>0.09565489130434823</x:v>
      </x:c>
      <x:c r="G802" s="8" t="str">
        <x:v>Current</x:v>
      </x:c>
    </x:row>
    <x:row r="803" ht="32" customHeight="1">
      <x:c r="A803" s="8" t="str">
        <x:v>drop:LC1:L3:light:-1:L151</x:v>
      </x:c>
      <x:c r="B803" s="8" t="n">
        <x:v>1</x:v>
      </x:c>
      <x:c r="C803" s="11" t="n">
        <x:v>52.8</x:v>
      </x:c>
      <x:c r="D803" s="11" t="n">
        <x:v>5.916</x:v>
      </x:c>
      <x:c r="E803" s="11" t="n">
        <x:v>-7.36</x:v>
      </x:c>
      <x:c r="F803" s="11" t="n">
        <x:f>0</x:f>
        <x:v>0</x:v>
      </x:c>
      <x:c r="G803" s="8" t="str">
        <x:v>Current</x:v>
      </x:c>
    </x:row>
    <x:row r="804" ht="32" customHeight="1">
      <x:c r="A804" s="8" t="str">
        <x:v>drop:LC1:L3:light:-1:L151</x:v>
      </x:c>
      <x:c r="B804" s="8" t="n">
        <x:v>2</x:v>
      </x:c>
      <x:c r="C804" s="11" t="n">
        <x:v>53.016</x:v>
      </x:c>
      <x:c r="D804" s="11" t="n">
        <x:v>5.916</x:v>
      </x:c>
      <x:c r="E804" s="11" t="n">
        <x:v>-7.36</x:v>
      </x:c>
      <x:c r="F804" s="11" t="n">
        <x:f>SQRT((C804-C803)^2+(D804-D803)^2+(E804-E803)^2)</x:f>
        <x:v>0.21600000000000108</x:v>
      </x:c>
      <x:c r="G804" s="8" t="str">
        <x:v>Current</x:v>
      </x:c>
    </x:row>
    <x:row r="805" ht="32" customHeight="1">
      <x:c r="A805" s="8" t="str">
        <x:v>drop:LC1:L3:light:-1:L151</x:v>
      </x:c>
      <x:c r="B805" s="8" t="n">
        <x:v>3</x:v>
      </x:c>
      <x:c r="C805" s="11" t="n">
        <x:v>53.016</x:v>
      </x:c>
      <x:c r="D805" s="11" t="n">
        <x:v>5.916</x:v>
      </x:c>
      <x:c r="E805" s="11" t="n">
        <x:v>-4.48</x:v>
      </x:c>
      <x:c r="F805" s="11" t="n">
        <x:f>SQRT((C805-C804)^2+(D805-D804)^2+(E805-E804)^2)</x:f>
        <x:v>2.88</x:v>
      </x:c>
      <x:c r="G805" s="8" t="str">
        <x:v>Current</x:v>
      </x:c>
    </x:row>
    <x:row r="806" ht="32" customHeight="1">
      <x:c r="A806" s="8" t="str">
        <x:v>drop:LC1:L3:light:-1:L151</x:v>
      </x:c>
      <x:c r="B806" s="8" t="n">
        <x:v>4</x:v>
      </x:c>
      <x:c r="C806" s="11" t="n">
        <x:v>53.016</x:v>
      </x:c>
      <x:c r="D806" s="11" t="n">
        <x:v>2.3</x:v>
      </x:c>
      <x:c r="E806" s="11" t="n">
        <x:v>-4.48</x:v>
      </x:c>
      <x:c r="F806" s="11" t="n">
        <x:f>SQRT((C806-C805)^2+(D806-D805)^2+(E806-E805)^2)</x:f>
        <x:v>3.6160000000000005</x:v>
      </x:c>
      <x:c r="G806" s="8" t="str">
        <x:v>Current</x:v>
      </x:c>
    </x:row>
    <x:row r="807" ht="32" customHeight="1">
      <x:c r="A807" s="8" t="str">
        <x:v>drop:LC1:L3:light:-1:L151</x:v>
      </x:c>
      <x:c r="B807" s="8" t="n">
        <x:v>5</x:v>
      </x:c>
      <x:c r="C807" s="11" t="n">
        <x:v>52.8</x:v>
      </x:c>
      <x:c r="D807" s="11" t="n">
        <x:v>2.3</x:v>
      </x:c>
      <x:c r="E807" s="11" t="n">
        <x:v>-4.48</x:v>
      </x:c>
      <x:c r="F807" s="11" t="n">
        <x:f>SQRT((C807-C806)^2+(D807-D806)^2+(E807-E806)^2)</x:f>
        <x:v>0.21600000000000108</x:v>
      </x:c>
      <x:c r="G807" s="8" t="str">
        <x:v>Current</x:v>
      </x:c>
    </x:row>
    <x:row r="808" ht="32" customHeight="1">
      <x:c r="A808" s="8" t="str">
        <x:v>drop:LC1:L3:light:-1:L152</x:v>
      </x:c>
      <x:c r="B808" s="8" t="n">
        <x:v>1</x:v>
      </x:c>
      <x:c r="C808" s="11" t="n">
        <x:v>52.8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drop:LC1:L3:light:-1:L152</x:v>
      </x:c>
      <x:c r="B809" s="8" t="n">
        <x:v>2</x:v>
      </x:c>
      <x:c r="C809" s="11" t="n">
        <x:v>53.016</x:v>
      </x:c>
      <x:c r="D809" s="11" t="n">
        <x:v>5.916</x:v>
      </x:c>
      <x:c r="E809" s="11" t="n">
        <x:v>-7.36</x:v>
      </x:c>
      <x:c r="F809" s="11" t="n">
        <x:f>SQRT((C809-C808)^2+(D809-D808)^2+(E809-E808)^2)</x:f>
        <x:v>0.21600000000000108</x:v>
      </x:c>
      <x:c r="G809" s="8" t="str">
        <x:v>Current</x:v>
      </x:c>
    </x:row>
    <x:row r="810" ht="32" customHeight="1">
      <x:c r="A810" s="8" t="str">
        <x:v>drop:LC1:L3:light:-1:L152</x:v>
      </x:c>
      <x:c r="B810" s="8" t="n">
        <x:v>3</x:v>
      </x:c>
      <x:c r="C810" s="11" t="n">
        <x:v>53.016</x:v>
      </x:c>
      <x:c r="D810" s="11" t="n">
        <x:v>5.916</x:v>
      </x:c>
      <x:c r="E810" s="11" t="n">
        <x:v>-6.48</x:v>
      </x:c>
      <x:c r="F810" s="11" t="n">
        <x:f>SQRT((C810-C809)^2+(D810-D809)^2+(E810-E809)^2)</x:f>
        <x:v>0.8799999999999999</x:v>
      </x:c>
      <x:c r="G810" s="8" t="str">
        <x:v>Current</x:v>
      </x:c>
    </x:row>
    <x:row r="811" ht="32" customHeight="1">
      <x:c r="A811" s="8" t="str">
        <x:v>drop:LC1:L3:light:-1:L152</x:v>
      </x:c>
      <x:c r="B811" s="8" t="n">
        <x:v>4</x:v>
      </x:c>
      <x:c r="C811" s="11" t="n">
        <x:v>53.016</x:v>
      </x:c>
      <x:c r="D811" s="11" t="n">
        <x:v>2.3</x:v>
      </x:c>
      <x:c r="E811" s="11" t="n">
        <x:v>-6.48</x:v>
      </x:c>
      <x:c r="F811" s="11" t="n">
        <x:f>SQRT((C811-C810)^2+(D811-D810)^2+(E811-E810)^2)</x:f>
        <x:v>3.6160000000000005</x:v>
      </x:c>
      <x:c r="G811" s="8" t="str">
        <x:v>Current</x:v>
      </x:c>
    </x:row>
    <x:row r="812" ht="32" customHeight="1">
      <x:c r="A812" s="8" t="str">
        <x:v>drop:LC1:L3:light:-1:L152</x:v>
      </x:c>
      <x:c r="B812" s="8" t="n">
        <x:v>5</x:v>
      </x:c>
      <x:c r="C812" s="11" t="n">
        <x:v>52.8</x:v>
      </x:c>
      <x:c r="D812" s="11" t="n">
        <x:v>2.3</x:v>
      </x:c>
      <x:c r="E812" s="11" t="n">
        <x:v>-6.48</x:v>
      </x:c>
      <x:c r="F812" s="11" t="n">
        <x:f>SQRT((C812-C811)^2+(D812-D811)^2+(E812-E811)^2)</x:f>
        <x:v>0.21600000000000108</x:v>
      </x:c>
      <x:c r="G812" s="8" t="str">
        <x:v>Current</x:v>
      </x:c>
    </x:row>
    <x:row r="813" ht="32" customHeight="1">
      <x:c r="A813" s="8" t="str">
        <x:v>trunk:LC1:L3:light:1</x:v>
      </x:c>
      <x:c r="B813" s="8" t="n">
        <x:v>1</x:v>
      </x:c>
      <x:c r="C813" s="11" t="n">
        <x:v>48.895</x:v>
      </x:c>
      <x:c r="D813" s="11" t="n">
        <x:v>1.85</x:v>
      </x:c>
      <x:c r="E813" s="11" t="n">
        <x:v>-0.55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trunk:LC1:L3:light:1</x:v>
      </x:c>
      <x:c r="B814" s="8" t="n">
        <x:v>2</x:v>
      </x:c>
      <x:c r="C814" s="11" t="n">
        <x:v>48.735</x:v>
      </x:c>
      <x:c r="D814" s="11" t="n">
        <x:v>1.85</x:v>
      </x:c>
      <x:c r="E814" s="11" t="n">
        <x:v>-0.55</x:v>
      </x:c>
      <x:c r="F814" s="11" t="n">
        <x:f>SQRT((C814-C813)^2+(D814-D813)^2+(E814-E813)^2)</x:f>
        <x:v>0.1600000000000037</x:v>
      </x:c>
      <x:c r="G814" s="8" t="str">
        <x:v>Current</x:v>
      </x:c>
    </x:row>
    <x:row r="815" ht="32" customHeight="1">
      <x:c r="A815" s="8" t="str">
        <x:v>trunk:LC1:L3:light:1</x:v>
      </x:c>
      <x:c r="B815" s="8" t="n">
        <x:v>3</x:v>
      </x:c>
      <x:c r="C815" s="11" t="n">
        <x:v>48.735</x:v>
      </x:c>
      <x:c r="D815" s="11" t="n">
        <x:v>1.85</x:v>
      </x:c>
      <x:c r="E815" s="11" t="n">
        <x:v>-2.24</x:v>
      </x:c>
      <x:c r="F815" s="11" t="n">
        <x:f>SQRT((C815-C814)^2+(D815-D814)^2+(E815-E814)^2)</x:f>
        <x:v>1.6900000000000002</x:v>
      </x:c>
      <x:c r="G815" s="8" t="str">
        <x:v>Current</x:v>
      </x:c>
    </x:row>
    <x:row r="816" ht="32" customHeight="1">
      <x:c r="A816" s="8" t="str">
        <x:v>trunk:LC1:L3:light:1</x:v>
      </x:c>
      <x:c r="B816" s="8" t="n">
        <x:v>4</x:v>
      </x:c>
      <x:c r="C816" s="11" t="n">
        <x:v>48.735</x:v>
      </x:c>
      <x:c r="D816" s="11" t="n">
        <x:v>4.33</x:v>
      </x:c>
      <x:c r="E816" s="11" t="n">
        <x:v>-2.24</x:v>
      </x:c>
      <x:c r="F816" s="11" t="n">
        <x:f>SQRT((C816-C815)^2+(D816-D815)^2+(E816-E815)^2)</x:f>
        <x:v>2.48</x:v>
      </x:c>
      <x:c r="G816" s="8" t="str">
        <x:v>Current</x:v>
      </x:c>
    </x:row>
    <x:row r="817" ht="32" customHeight="1">
      <x:c r="A817" s="8" t="str">
        <x:v>trunk:LC1:L3:light:1</x:v>
      </x:c>
      <x:c r="B817" s="8" t="n">
        <x:v>5</x:v>
      </x:c>
      <x:c r="C817" s="11" t="n">
        <x:v>48.735</x:v>
      </x:c>
      <x:c r="D817" s="11" t="n">
        <x:v>4.33</x:v>
      </x:c>
      <x:c r="E817" s="11" t="n">
        <x:v>-3.3</x:v>
      </x:c>
      <x:c r="F817" s="11" t="n">
        <x:f>SQRT((C817-C816)^2+(D817-D816)^2+(E817-E816)^2)</x:f>
        <x:v>1.0599999999999996</x:v>
      </x:c>
      <x:c r="G817" s="8" t="str">
        <x:v>Current</x:v>
      </x:c>
    </x:row>
    <x:row r="818" ht="32" customHeight="1">
      <x:c r="A818" s="8" t="str">
        <x:v>trunk:LC1:L3:light:1</x:v>
      </x:c>
      <x:c r="B818" s="8" t="n">
        <x:v>6</x:v>
      </x:c>
      <x:c r="C818" s="11" t="n">
        <x:v>53.016</x:v>
      </x:c>
      <x:c r="D818" s="11" t="n">
        <x:v>4.33</x:v>
      </x:c>
      <x:c r="E818" s="11" t="n">
        <x:v>-3.3</x:v>
      </x:c>
      <x:c r="F818" s="11" t="n">
        <x:f>SQRT((C818-C817)^2+(D818-D817)^2+(E818-E817)^2)</x:f>
        <x:v>4.280999999999999</x:v>
      </x:c>
      <x:c r="G818" s="8" t="str">
        <x:v>Current</x:v>
      </x:c>
    </x:row>
    <x:row r="819" ht="32" customHeight="1">
      <x:c r="A819" s="8" t="str">
        <x:v>trunk:LC1:L3:light:1</x:v>
      </x:c>
      <x:c r="B819" s="8" t="n">
        <x:v>7</x:v>
      </x:c>
      <x:c r="C819" s="11" t="n">
        <x:v>53.016</x:v>
      </x:c>
      <x:c r="D819" s="11" t="n">
        <x:v>5.916</x:v>
      </x:c>
      <x:c r="E819" s="11" t="n">
        <x:v>-3.3</x:v>
      </x:c>
      <x:c r="F819" s="11" t="n">
        <x:f>SQRT((C819-C818)^2+(D819-D818)^2+(E819-E818)^2)</x:f>
        <x:v>1.5860000000000003</x:v>
      </x:c>
      <x:c r="G819" s="8" t="str">
        <x:v>Current</x:v>
      </x:c>
    </x:row>
    <x:row r="820" ht="32" customHeight="1">
      <x:c r="A820" s="8" t="str">
        <x:v>trunk:LC1:L3:light:1</x:v>
      </x:c>
      <x:c r="B820" s="8" t="n">
        <x:v>8</x:v>
      </x:c>
      <x:c r="C820" s="11" t="n">
        <x:v>53.016</x:v>
      </x:c>
      <x:c r="D820" s="11" t="n">
        <x:v>5.916</x:v>
      </x:c>
      <x:c r="E820" s="11" t="n">
        <x:v>7.36</x:v>
      </x:c>
      <x:c r="F820" s="11" t="n">
        <x:f>SQRT((C820-C819)^2+(D820-D819)^2+(E820-E819)^2)</x:f>
        <x:v>10.66</x:v>
      </x:c>
      <x:c r="G820" s="8" t="str">
        <x:v>Current</x:v>
      </x:c>
    </x:row>
    <x:row r="821" ht="32" customHeight="1">
      <x:c r="A821" s="8" t="str">
        <x:v>trunk:LC1:L3:light:1</x:v>
      </x:c>
      <x:c r="B821" s="8" t="n">
        <x:v>9</x:v>
      </x:c>
      <x:c r="C821" s="11" t="n">
        <x:v>44.175</x:v>
      </x:c>
      <x:c r="D821" s="11" t="n">
        <x:v>5.916</x:v>
      </x:c>
      <x:c r="E821" s="11" t="n">
        <x:v>7.36</x:v>
      </x:c>
      <x:c r="F821" s="11" t="n">
        <x:f>SQRT((C821-C820)^2+(D821-D820)^2+(E821-E820)^2)</x:f>
        <x:v>8.841000000000001</x:v>
      </x:c>
      <x:c r="G821" s="8" t="str">
        <x:v>Current</x:v>
      </x:c>
    </x:row>
    <x:row r="822" ht="32" customHeight="1">
      <x:c r="A822" s="8" t="str">
        <x:v>trunk:LC1:L3:light:1</x:v>
      </x:c>
      <x:c r="B822" s="8" t="n">
        <x:v>10</x:v>
      </x:c>
      <x:c r="C822" s="11" t="n">
        <x:v>44.175</x:v>
      </x:c>
      <x:c r="D822" s="11" t="n">
        <x:v>7.04</x:v>
      </x:c>
      <x:c r="E822" s="11" t="n">
        <x:v>7.36</x:v>
      </x:c>
      <x:c r="F822" s="11" t="n">
        <x:f>SQRT((C822-C821)^2+(D822-D821)^2+(E822-E821)^2)</x:f>
        <x:v>1.1239999999999997</x:v>
      </x:c>
      <x:c r="G822" s="8" t="str">
        <x:v>Current</x:v>
      </x:c>
    </x:row>
    <x:row r="823" ht="32" customHeight="1">
      <x:c r="A823" s="8" t="str">
        <x:v>trunk:LC1:L3:light:1</x:v>
      </x:c>
      <x:c r="B823" s="8" t="n">
        <x:v>11</x:v>
      </x:c>
      <x:c r="C823" s="11" t="n">
        <x:v>43.535</x:v>
      </x:c>
      <x:c r="D823" s="11" t="n">
        <x:v>7.04</x:v>
      </x:c>
      <x:c r="E823" s="11" t="n">
        <x:v>7.36</x:v>
      </x:c>
      <x:c r="F823" s="11" t="n">
        <x:f>SQRT((C823-C822)^2+(D823-D822)^2+(E823-E822)^2)</x:f>
        <x:v>0.6400000000000006</x:v>
      </x:c>
      <x:c r="G823" s="8" t="str">
        <x:v>Current</x:v>
      </x:c>
    </x:row>
    <x:row r="824" ht="32" customHeight="1">
      <x:c r="A824" s="8" t="str">
        <x:v>trunk:LC1:L3:light:1</x:v>
      </x:c>
      <x:c r="B824" s="8" t="n">
        <x:v>12</x:v>
      </x:c>
      <x:c r="C824" s="11" t="n">
        <x:v>43.455</x:v>
      </x:c>
      <x:c r="D824" s="11" t="n">
        <x:v>6.950412371134024</x:v>
      </x:c>
      <x:c r="E824" s="11" t="n">
        <x:v>7.36</x:v>
      </x:c>
      <x:c r="F824" s="11" t="n">
        <x:f>SQRT((C824-C823)^2+(D824-D823)^2+(E824-E823)^2)</x:f>
        <x:v>0.12010804821421249</x:v>
      </x:c>
      <x:c r="G824" s="8" t="str">
        <x:v>Current</x:v>
      </x:c>
    </x:row>
    <x:row r="825" ht="32" customHeight="1">
      <x:c r="A825" s="8" t="str">
        <x:v>trunk:LC1:L3:light:1</x:v>
      </x:c>
      <x:c r="B825" s="8" t="n">
        <x:v>13</x:v>
      </x:c>
      <x:c r="C825" s="11" t="n">
        <x:v>40.574999999999996</x:v>
      </x:c>
      <x:c r="D825" s="11" t="n">
        <x:v>9.269999999999994</x:v>
      </x:c>
      <x:c r="E825" s="11" t="n">
        <x:v>7.36</x:v>
      </x:c>
      <x:c r="F825" s="11" t="n">
        <x:f>SQRT((C825-C824)^2+(D825-D824)^2+(E825-E824)^2)</x:f>
        <x:v>3.6979571073753776</x:v>
      </x:c>
      <x:c r="G825" s="8" t="str">
        <x:v>Current</x:v>
      </x:c>
    </x:row>
    <x:row r="826" ht="32" customHeight="1">
      <x:c r="A826" s="8" t="str">
        <x:v>trunk:LC1:L3:light:1</x:v>
      </x:c>
      <x:c r="B826" s="8" t="n">
        <x:v>14</x:v>
      </x:c>
      <x:c r="C826" s="11" t="n">
        <x:v>37.695</x:v>
      </x:c>
      <x:c r="D826" s="11" t="n">
        <x:v>6.950412371134018</x:v>
      </x:c>
      <x:c r="E826" s="11" t="n">
        <x:v>7.36</x:v>
      </x:c>
      <x:c r="F826" s="11" t="n">
        <x:f>SQRT((C826-C825)^2+(D826-D825)^2+(E826-E825)^2)</x:f>
        <x:v>3.697957107375376</x:v>
      </x:c>
      <x:c r="G826" s="8" t="str">
        <x:v>Current</x:v>
      </x:c>
    </x:row>
    <x:row r="827" ht="32" customHeight="1">
      <x:c r="A827" s="8" t="str">
        <x:v>trunk:LC1:L3:light:1</x:v>
      </x:c>
      <x:c r="B827" s="8" t="n">
        <x:v>15</x:v>
      </x:c>
      <x:c r="C827" s="11" t="n">
        <x:v>37.615</x:v>
      </x:c>
      <x:c r="D827" s="11" t="n">
        <x:v>7.04</x:v>
      </x:c>
      <x:c r="E827" s="11" t="n">
        <x:v>7.36</x:v>
      </x:c>
      <x:c r="F827" s="11" t="n">
        <x:f>SQRT((C827-C826)^2+(D827-D826)^2+(E827-E826)^2)</x:f>
        <x:v>0.12010804821421713</x:v>
      </x:c>
      <x:c r="G827" s="8" t="str">
        <x:v>Current</x:v>
      </x:c>
    </x:row>
    <x:row r="828" ht="32" customHeight="1">
      <x:c r="A828" s="8" t="str">
        <x:v>trunk:LC1:L3:light:1</x:v>
      </x:c>
      <x:c r="B828" s="8" t="n">
        <x:v>16</x:v>
      </x:c>
      <x:c r="C828" s="11" t="n">
        <x:v>36.975</x:v>
      </x:c>
      <x:c r="D828" s="11" t="n">
        <x:v>7.04</x:v>
      </x:c>
      <x:c r="E828" s="11" t="n">
        <x:v>7.36</x:v>
      </x:c>
      <x:c r="F828" s="11" t="n">
        <x:f>SQRT((C828-C827)^2+(D828-D827)^2+(E828-E827)^2)</x:f>
        <x:v>0.6400000000000006</x:v>
      </x:c>
      <x:c r="G828" s="8" t="str">
        <x:v>Current</x:v>
      </x:c>
    </x:row>
    <x:row r="829" ht="32" customHeight="1">
      <x:c r="A829" s="8" t="str">
        <x:v>trunk:LC1:L3:light:1</x:v>
      </x:c>
      <x:c r="B829" s="8" t="n">
        <x:v>17</x:v>
      </x:c>
      <x:c r="C829" s="11" t="n">
        <x:v>36.975</x:v>
      </x:c>
      <x:c r="D829" s="11" t="n">
        <x:v>5.916</x:v>
      </x:c>
      <x:c r="E829" s="11" t="n">
        <x:v>7.36</x:v>
      </x:c>
      <x:c r="F829" s="11" t="n">
        <x:f>SQRT((C829-C828)^2+(D829-D828)^2+(E829-E828)^2)</x:f>
        <x:v>1.1239999999999997</x:v>
      </x:c>
      <x:c r="G829" s="8" t="str">
        <x:v>Current</x:v>
      </x:c>
    </x:row>
    <x:row r="830" ht="32" customHeight="1">
      <x:c r="A830" s="8" t="str">
        <x:v>drop:LC1:L3:light:1:L99</x:v>
      </x:c>
      <x:c r="B830" s="8" t="n">
        <x:v>1</x:v>
      </x:c>
      <x:c r="C830" s="11" t="n">
        <x:v>36.975</x:v>
      </x:c>
      <x:c r="D830" s="11" t="n">
        <x:v>5.916</x:v>
      </x:c>
      <x:c r="E830" s="11" t="n">
        <x:v>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drop:LC1:L3:light:1:L99</x:v>
      </x:c>
      <x:c r="B831" s="8" t="n">
        <x:v>2</x:v>
      </x:c>
      <x:c r="C831" s="11" t="n">
        <x:v>37.32</x:v>
      </x:c>
      <x:c r="D831" s="11" t="n">
        <x:v>5.916</x:v>
      </x:c>
      <x:c r="E831" s="11" t="n">
        <x:v>7.36</x:v>
      </x:c>
      <x:c r="F831" s="11" t="n">
        <x:f>SQRT((C831-C830)^2+(D831-D830)^2+(E831-E830)^2)</x:f>
        <x:v>0.34499999999999886</x:v>
      </x:c>
      <x:c r="G831" s="8" t="str">
        <x:v>Current</x:v>
      </x:c>
    </x:row>
    <x:row r="832" ht="32" customHeight="1">
      <x:c r="A832" s="8" t="str">
        <x:v>drop:LC1:L3:light:1:L99</x:v>
      </x:c>
      <x:c r="B832" s="8" t="n">
        <x:v>3</x:v>
      </x:c>
      <x:c r="C832" s="11" t="n">
        <x:v>37.32</x:v>
      </x:c>
      <x:c r="D832" s="11" t="n">
        <x:v>7.04</x:v>
      </x:c>
      <x:c r="E832" s="11" t="n">
        <x:v>7.36</x:v>
      </x:c>
      <x:c r="F832" s="11" t="n">
        <x:f>SQRT((C832-C831)^2+(D832-D831)^2+(E832-E831)^2)</x:f>
        <x:v>1.1239999999999997</x:v>
      </x:c>
      <x:c r="G832" s="8" t="str">
        <x:v>Current</x:v>
      </x:c>
    </x:row>
    <x:row r="833" ht="32" customHeight="1">
      <x:c r="A833" s="8" t="str">
        <x:v>drop:LC1:L3:light:1:L99</x:v>
      </x:c>
      <x:c r="B833" s="8" t="n">
        <x:v>4</x:v>
      </x:c>
      <x:c r="C833" s="11" t="n">
        <x:v>37.32</x:v>
      </x:c>
      <x:c r="D833" s="11" t="n">
        <x:v>9.442448369565216</x:v>
      </x:c>
      <x:c r="E833" s="11" t="n">
        <x:v>4.050000000000001</x:v>
      </x:c>
      <x:c r="F833" s="11" t="n">
        <x:f>SQRT((C833-C832)^2+(D833-D832)^2+(E833-E832)^2)</x:f>
        <x:v>4.089970436131118</x:v>
      </x:c>
      <x:c r="G833" s="8" t="str">
        <x:v>Current</x:v>
      </x:c>
    </x:row>
    <x:row r="834" ht="32" customHeight="1">
      <x:c r="A834" s="8" t="str">
        <x:v>drop:LC1:L3:light:1:L99</x:v>
      </x:c>
      <x:c r="B834" s="8" t="n">
        <x:v>5</x:v>
      </x:c>
      <x:c r="C834" s="11" t="n">
        <x:v>37.32</x:v>
      </x:c>
      <x:c r="D834" s="11" t="n">
        <x:v>9.235</x:v>
      </x:c>
      <x:c r="E834" s="11" t="n">
        <x:v>4.05</x:v>
      </x:c>
      <x:c r="F834" s="11" t="n">
        <x:f>SQRT((C834-C833)^2+(D834-D833)^2+(E834-E833)^2)</x:f>
        <x:v>0.20744836956521695</x:v>
      </x:c>
      <x:c r="G834" s="8" t="str">
        <x:v>Current</x:v>
      </x:c>
    </x:row>
    <x:row r="835" ht="32" customHeight="1">
      <x:c r="A835" s="8" t="str">
        <x:v>drop:LC1:L3:light:1:L99</x:v>
      </x:c>
      <x:c r="B835" s="8" t="n">
        <x:v>6</x:v>
      </x:c>
      <x:c r="C835" s="11" t="n">
        <x:v>37.32</x:v>
      </x:c>
      <x:c r="D835" s="11" t="n">
        <x:v>9.235</x:v>
      </x:c>
      <x:c r="E835" s="11" t="n">
        <x:v>3</x:v>
      </x:c>
      <x:c r="F835" s="11" t="n">
        <x:f>SQRT((C835-C834)^2+(D835-D834)^2+(E835-E834)^2)</x:f>
        <x:v>1.0499999999999998</x:v>
      </x:c>
      <x:c r="G835" s="8" t="str">
        <x:v>Current</x:v>
      </x:c>
    </x:row>
    <x:row r="836" ht="32" customHeight="1">
      <x:c r="A836" s="8" t="str">
        <x:v>drop:LC1:L3:light:1:L99</x:v>
      </x:c>
      <x:c r="B836" s="8" t="n">
        <x:v>7</x:v>
      </x:c>
      <x:c r="C836" s="11" t="n">
        <x:v>36.975</x:v>
      </x:c>
      <x:c r="D836" s="11" t="n">
        <x:v>9.235</x:v>
      </x:c>
      <x:c r="E836" s="11" t="n">
        <x:v>3</x:v>
      </x:c>
      <x:c r="F836" s="11" t="n">
        <x:f>SQRT((C836-C835)^2+(D836-D835)^2+(E836-E835)^2)</x:f>
        <x:v>0.34499999999999886</x:v>
      </x:c>
      <x:c r="G836" s="8" t="str">
        <x:v>Current</x:v>
      </x:c>
    </x:row>
    <x:row r="837" ht="32" customHeight="1">
      <x:c r="A837" s="8" t="str">
        <x:v>drop:LC1:L3:light:1:L99</x:v>
      </x:c>
      <x:c r="B837" s="8" t="n">
        <x:v>8</x:v>
      </x:c>
      <x:c r="C837" s="11" t="n">
        <x:v>36.975</x:v>
      </x:c>
      <x:c r="D837" s="11" t="n">
        <x:v>9.235</x:v>
      </x:c>
      <x:c r="E837" s="11" t="n">
        <x:v>1.4</x:v>
      </x:c>
      <x:c r="F837" s="11" t="n">
        <x:f>SQRT((C837-C836)^2+(D837-D836)^2+(E837-E836)^2)</x:f>
        <x:v>1.6</x:v>
      </x:c>
      <x:c r="G837" s="8" t="str">
        <x:v>Current</x:v>
      </x:c>
    </x:row>
    <x:row r="838" ht="32" customHeight="1">
      <x:c r="A838" s="8" t="str">
        <x:v>drop:LC1:L3:light:1:L99</x:v>
      </x:c>
      <x:c r="B838" s="8" t="n">
        <x:v>9</x:v>
      </x:c>
      <x:c r="C838" s="11" t="n">
        <x:v>37.18</x:v>
      </x:c>
      <x:c r="D838" s="11" t="n">
        <x:v>9.235</x:v>
      </x:c>
      <x:c r="E838" s="11" t="n">
        <x:v>1.4</x:v>
      </x:c>
      <x:c r="F838" s="11" t="n">
        <x:f>SQRT((C838-C837)^2+(D838-D837)^2+(E838-E837)^2)</x:f>
        <x:v>0.2049999999999983</x:v>
      </x:c>
      <x:c r="G838" s="8" t="str">
        <x:v>Current</x:v>
      </x:c>
    </x:row>
    <x:row r="839" ht="32" customHeight="1">
      <x:c r="A839" s="8" t="str">
        <x:v>drop:LC1:L3:light:1:L99</x:v>
      </x:c>
      <x:c r="B839" s="8" t="n">
        <x:v>10</x:v>
      </x:c>
      <x:c r="C839" s="11" t="n">
        <x:v>37.18</x:v>
      </x:c>
      <x:c r="D839" s="11" t="n">
        <x:v>8.54</x:v>
      </x:c>
      <x:c r="E839" s="11" t="n">
        <x:v>1.4</x:v>
      </x:c>
      <x:c r="F839" s="11" t="n">
        <x:f>SQRT((C839-C838)^2+(D839-D838)^2+(E839-E838)^2)</x:f>
        <x:v>0.6950000000000003</x:v>
      </x:c>
      <x:c r="G839" s="8" t="str">
        <x:v>Current</x:v>
      </x:c>
    </x:row>
    <x:row r="840" ht="32" customHeight="1">
      <x:c r="A840" s="8" t="str">
        <x:v>drop:LC1:L3:light:1:L99</x:v>
      </x:c>
      <x:c r="B840" s="8" t="n">
        <x:v>11</x:v>
      </x:c>
      <x:c r="C840" s="11" t="n">
        <x:v>36.975</x:v>
      </x:c>
      <x:c r="D840" s="11" t="n">
        <x:v>8.54</x:v>
      </x:c>
      <x:c r="E840" s="11" t="n">
        <x:v>1.4</x:v>
      </x:c>
      <x:c r="F840" s="11" t="n">
        <x:f>SQRT((C840-C839)^2+(D840-D839)^2+(E840-E839)^2)</x:f>
        <x:v>0.2049999999999983</x:v>
      </x:c>
      <x:c r="G840" s="8" t="str">
        <x:v>Current</x:v>
      </x:c>
    </x:row>
    <x:row r="841" ht="32" customHeight="1">
      <x:c r="A841" s="8" t="str">
        <x:v>drop:LC1:L3:light:1:L99</x:v>
      </x:c>
      <x:c r="B841" s="8" t="n">
        <x:v>12</x:v>
      </x:c>
      <x:c r="C841" s="11" t="n">
        <x:v>36.975</x:v>
      </x:c>
      <x:c r="D841" s="11" t="n">
        <x:v>8.584999999999999</x:v>
      </x:c>
      <x:c r="E841" s="11" t="n">
        <x:v>1.4</x:v>
      </x:c>
      <x:c r="F841" s="11" t="n">
        <x:f>SQRT((C841-C840)^2+(D841-D840)^2+(E841-E840)^2)</x:f>
        <x:v>0.04499999999999993</x:v>
      </x:c>
      <x:c r="G841" s="8" t="str">
        <x:v>Current</x:v>
      </x:c>
    </x:row>
    <x:row r="842" ht="32" customHeight="1">
      <x:c r="A842" s="8" t="str">
        <x:v>drop:LC1:L3:light:1:L102</x:v>
      </x:c>
      <x:c r="B842" s="8" t="n">
        <x:v>1</x:v>
      </x:c>
      <x:c r="C842" s="11" t="n">
        <x:v>36.975</x:v>
      </x:c>
      <x:c r="D842" s="11" t="n">
        <x:v>5.916</x:v>
      </x:c>
      <x:c r="E842" s="11" t="n">
        <x:v>7.36</x:v>
      </x:c>
      <x:c r="F842" s="11" t="n">
        <x:f>0</x:f>
        <x:v>0</x:v>
      </x:c>
      <x:c r="G842" s="8" t="str">
        <x:v>Current</x:v>
      </x:c>
    </x:row>
    <x:row r="843" ht="32" customHeight="1">
      <x:c r="A843" s="8" t="str">
        <x:v>drop:LC1:L3:light:1:L102</x:v>
      </x:c>
      <x:c r="B843" s="8" t="n">
        <x:v>2</x:v>
      </x:c>
      <x:c r="C843" s="11" t="n">
        <x:v>37.32</x:v>
      </x:c>
      <x:c r="D843" s="11" t="n">
        <x:v>5.916</x:v>
      </x:c>
      <x:c r="E843" s="11" t="n">
        <x:v>7.36</x:v>
      </x:c>
      <x:c r="F843" s="11" t="n">
        <x:f>SQRT((C843-C842)^2+(D843-D842)^2+(E843-E842)^2)</x:f>
        <x:v>0.34499999999999886</x:v>
      </x:c>
      <x:c r="G843" s="8" t="str">
        <x:v>Current</x:v>
      </x:c>
    </x:row>
    <x:row r="844" ht="32" customHeight="1">
      <x:c r="A844" s="8" t="str">
        <x:v>drop:LC1:L3:light:1:L102</x:v>
      </x:c>
      <x:c r="B844" s="8" t="n">
        <x:v>3</x:v>
      </x:c>
      <x:c r="C844" s="11" t="n">
        <x:v>37.32</x:v>
      </x:c>
      <x:c r="D844" s="11" t="n">
        <x:v>7.04</x:v>
      </x:c>
      <x:c r="E844" s="11" t="n">
        <x:v>7.36</x:v>
      </x:c>
      <x:c r="F844" s="11" t="n">
        <x:f>SQRT((C844-C843)^2+(D844-D843)^2+(E844-E843)^2)</x:f>
        <x:v>1.1239999999999997</x:v>
      </x:c>
      <x:c r="G844" s="8" t="str">
        <x:v>Current</x:v>
      </x:c>
    </x:row>
    <x:row r="845" ht="32" customHeight="1">
      <x:c r="A845" s="8" t="str">
        <x:v>drop:LC1:L3:light:1:L102</x:v>
      </x:c>
      <x:c r="B845" s="8" t="n">
        <x:v>4</x:v>
      </x:c>
      <x:c r="C845" s="11" t="n">
        <x:v>37.32</x:v>
      </x:c>
      <x:c r="D845" s="11" t="n">
        <x:v>9.442448369565216</x:v>
      </x:c>
      <x:c r="E845" s="11" t="n">
        <x:v>4.050000000000001</x:v>
      </x:c>
      <x:c r="F845" s="11" t="n">
        <x:f>SQRT((C845-C844)^2+(D845-D844)^2+(E845-E844)^2)</x:f>
        <x:v>4.089970436131118</x:v>
      </x:c>
      <x:c r="G845" s="8" t="str">
        <x:v>Current</x:v>
      </x:c>
    </x:row>
    <x:row r="846" ht="32" customHeight="1">
      <x:c r="A846" s="8" t="str">
        <x:v>drop:LC1:L3:light:1:L102</x:v>
      </x:c>
      <x:c r="B846" s="8" t="n">
        <x:v>5</x:v>
      </x:c>
      <x:c r="C846" s="11" t="n">
        <x:v>37.32</x:v>
      </x:c>
      <x:c r="D846" s="11" t="n">
        <x:v>9.235</x:v>
      </x:c>
      <x:c r="E846" s="11" t="n">
        <x:v>4.05</x:v>
      </x:c>
      <x:c r="F846" s="11" t="n">
        <x:f>SQRT((C846-C845)^2+(D846-D845)^2+(E846-E845)^2)</x:f>
        <x:v>0.20744836956521695</x:v>
      </x:c>
      <x:c r="G846" s="8" t="str">
        <x:v>Current</x:v>
      </x:c>
    </x:row>
    <x:row r="847" ht="32" customHeight="1">
      <x:c r="A847" s="8" t="str">
        <x:v>drop:LC1:L3:light:1:L102</x:v>
      </x:c>
      <x:c r="B847" s="8" t="n">
        <x:v>6</x:v>
      </x:c>
      <x:c r="C847" s="11" t="n">
        <x:v>37.32</x:v>
      </x:c>
      <x:c r="D847" s="11" t="n">
        <x:v>9.235</x:v>
      </x:c>
      <x:c r="E847" s="11" t="n">
        <x:v>3</x:v>
      </x:c>
      <x:c r="F847" s="11" t="n">
        <x:f>SQRT((C847-C846)^2+(D847-D846)^2+(E847-E846)^2)</x:f>
        <x:v>1.0499999999999998</x:v>
      </x:c>
      <x:c r="G847" s="8" t="str">
        <x:v>Current</x:v>
      </x:c>
    </x:row>
    <x:row r="848" ht="32" customHeight="1">
      <x:c r="A848" s="8" t="str">
        <x:v>drop:LC1:L3:light:1:L102</x:v>
      </x:c>
      <x:c r="B848" s="8" t="n">
        <x:v>7</x:v>
      </x:c>
      <x:c r="C848" s="11" t="n">
        <x:v>36.975</x:v>
      </x:c>
      <x:c r="D848" s="11" t="n">
        <x:v>9.235</x:v>
      </x:c>
      <x:c r="E848" s="11" t="n">
        <x:v>3</x:v>
      </x:c>
      <x:c r="F848" s="11" t="n">
        <x:f>SQRT((C848-C847)^2+(D848-D847)^2+(E848-E847)^2)</x:f>
        <x:v>0.34499999999999886</x:v>
      </x:c>
      <x:c r="G848" s="8" t="str">
        <x:v>Current</x:v>
      </x:c>
    </x:row>
    <x:row r="849" ht="32" customHeight="1">
      <x:c r="A849" s="8" t="str">
        <x:v>drop:LC1:L3:light:1:L102</x:v>
      </x:c>
      <x:c r="B849" s="8" t="n">
        <x:v>8</x:v>
      </x:c>
      <x:c r="C849" s="11" t="n">
        <x:v>36.975</x:v>
      </x:c>
      <x:c r="D849" s="11" t="n">
        <x:v>9.235</x:v>
      </x:c>
      <x:c r="E849" s="11" t="n">
        <x:v>1.9</x:v>
      </x:c>
      <x:c r="F849" s="11" t="n">
        <x:f>SQRT((C849-C848)^2+(D849-D848)^2+(E849-E848)^2)</x:f>
        <x:v>1.1</x:v>
      </x:c>
      <x:c r="G849" s="8" t="str">
        <x:v>Current</x:v>
      </x:c>
    </x:row>
    <x:row r="850" ht="32" customHeight="1">
      <x:c r="A850" s="8" t="str">
        <x:v>drop:LC1:L3:light:1:L102</x:v>
      </x:c>
      <x:c r="B850" s="8" t="n">
        <x:v>9</x:v>
      </x:c>
      <x:c r="C850" s="11" t="n">
        <x:v>37.18</x:v>
      </x:c>
      <x:c r="D850" s="11" t="n">
        <x:v>9.235</x:v>
      </x:c>
      <x:c r="E850" s="11" t="n">
        <x:v>1.9</x:v>
      </x:c>
      <x:c r="F850" s="11" t="n">
        <x:f>SQRT((C850-C849)^2+(D850-D849)^2+(E850-E849)^2)</x:f>
        <x:v>0.2049999999999983</x:v>
      </x:c>
      <x:c r="G850" s="8" t="str">
        <x:v>Current</x:v>
      </x:c>
    </x:row>
    <x:row r="851" ht="32" customHeight="1">
      <x:c r="A851" s="8" t="str">
        <x:v>drop:LC1:L3:light:1:L102</x:v>
      </x:c>
      <x:c r="B851" s="8" t="n">
        <x:v>10</x:v>
      </x:c>
      <x:c r="C851" s="11" t="n">
        <x:v>37.18</x:v>
      </x:c>
      <x:c r="D851" s="11" t="n">
        <x:v>8.54</x:v>
      </x:c>
      <x:c r="E851" s="11" t="n">
        <x:v>1.9</x:v>
      </x:c>
      <x:c r="F851" s="11" t="n">
        <x:f>SQRT((C851-C850)^2+(D851-D850)^2+(E851-E850)^2)</x:f>
        <x:v>0.6950000000000003</x:v>
      </x:c>
      <x:c r="G851" s="8" t="str">
        <x:v>Current</x:v>
      </x:c>
    </x:row>
    <x:row r="852" ht="32" customHeight="1">
      <x:c r="A852" s="8" t="str">
        <x:v>drop:LC1:L3:light:1:L102</x:v>
      </x:c>
      <x:c r="B852" s="8" t="n">
        <x:v>11</x:v>
      </x:c>
      <x:c r="C852" s="11" t="n">
        <x:v>36.975</x:v>
      </x:c>
      <x:c r="D852" s="11" t="n">
        <x:v>8.54</x:v>
      </x:c>
      <x:c r="E852" s="11" t="n">
        <x:v>1.9</x:v>
      </x:c>
      <x:c r="F852" s="11" t="n">
        <x:f>SQRT((C852-C851)^2+(D852-D851)^2+(E852-E851)^2)</x:f>
        <x:v>0.2049999999999983</x:v>
      </x:c>
      <x:c r="G852" s="8" t="str">
        <x:v>Current</x:v>
      </x:c>
    </x:row>
    <x:row r="853" ht="32" customHeight="1">
      <x:c r="A853" s="8" t="str">
        <x:v>drop:LC1:L3:light:1:L102</x:v>
      </x:c>
      <x:c r="B853" s="8" t="n">
        <x:v>12</x:v>
      </x:c>
      <x:c r="C853" s="11" t="n">
        <x:v>36.975</x:v>
      </x:c>
      <x:c r="D853" s="11" t="n">
        <x:v>8.584999999999999</x:v>
      </x:c>
      <x:c r="E853" s="11" t="n">
        <x:v>1.9</x:v>
      </x:c>
      <x:c r="F853" s="11" t="n">
        <x:f>SQRT((C853-C852)^2+(D853-D852)^2+(E853-E852)^2)</x:f>
        <x:v>0.04499999999999993</x:v>
      </x:c>
      <x:c r="G853" s="8" t="str">
        <x:v>Current</x:v>
      </x:c>
    </x:row>
    <x:row r="854" ht="32" customHeight="1">
      <x:c r="A854" s="8" t="str">
        <x:v>drop:LC1:L3:light:1:L103</x:v>
      </x:c>
      <x:c r="B854" s="8" t="n">
        <x:v>1</x:v>
      </x:c>
      <x:c r="C854" s="11" t="n">
        <x:v>36.975</x:v>
      </x:c>
      <x:c r="D854" s="11" t="n">
        <x:v>5.916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drop:LC1:L3:light:1:L103</x:v>
      </x:c>
      <x:c r="B855" s="8" t="n">
        <x:v>2</x:v>
      </x:c>
      <x:c r="C855" s="11" t="n">
        <x:v>37.32</x:v>
      </x:c>
      <x:c r="D855" s="11" t="n">
        <x:v>5.916</x:v>
      </x:c>
      <x:c r="E855" s="11" t="n">
        <x:v>7.36</x:v>
      </x:c>
      <x:c r="F855" s="11" t="n">
        <x:f>SQRT((C855-C854)^2+(D855-D854)^2+(E855-E854)^2)</x:f>
        <x:v>0.34499999999999886</x:v>
      </x:c>
      <x:c r="G855" s="8" t="str">
        <x:v>Current</x:v>
      </x:c>
    </x:row>
    <x:row r="856" ht="32" customHeight="1">
      <x:c r="A856" s="8" t="str">
        <x:v>drop:LC1:L3:light:1:L103</x:v>
      </x:c>
      <x:c r="B856" s="8" t="n">
        <x:v>3</x:v>
      </x:c>
      <x:c r="C856" s="11" t="n">
        <x:v>37.32</x:v>
      </x:c>
      <x:c r="D856" s="11" t="n">
        <x:v>7.04</x:v>
      </x:c>
      <x:c r="E856" s="11" t="n">
        <x:v>7.36</x:v>
      </x:c>
      <x:c r="F856" s="11" t="n">
        <x:f>SQRT((C856-C855)^2+(D856-D855)^2+(E856-E855)^2)</x:f>
        <x:v>1.1239999999999997</x:v>
      </x:c>
      <x:c r="G856" s="8" t="str">
        <x:v>Current</x:v>
      </x:c>
    </x:row>
    <x:row r="857" ht="32" customHeight="1">
      <x:c r="A857" s="8" t="str">
        <x:v>drop:LC1:L3:light:1:L103</x:v>
      </x:c>
      <x:c r="B857" s="8" t="n">
        <x:v>4</x:v>
      </x:c>
      <x:c r="C857" s="11" t="n">
        <x:v>37.32</x:v>
      </x:c>
      <x:c r="D857" s="11" t="n">
        <x:v>9.442448369565216</x:v>
      </x:c>
      <x:c r="E857" s="11" t="n">
        <x:v>4.050000000000001</x:v>
      </x:c>
      <x:c r="F857" s="11" t="n">
        <x:f>SQRT((C857-C856)^2+(D857-D856)^2+(E857-E856)^2)</x:f>
        <x:v>4.089970436131118</x:v>
      </x:c>
      <x:c r="G857" s="8" t="str">
        <x:v>Current</x:v>
      </x:c>
    </x:row>
    <x:row r="858" ht="32" customHeight="1">
      <x:c r="A858" s="8" t="str">
        <x:v>drop:LC1:L3:light:1:L103</x:v>
      </x:c>
      <x:c r="B858" s="8" t="n">
        <x:v>5</x:v>
      </x:c>
      <x:c r="C858" s="11" t="n">
        <x:v>37.32</x:v>
      </x:c>
      <x:c r="D858" s="11" t="n">
        <x:v>9.235</x:v>
      </x:c>
      <x:c r="E858" s="11" t="n">
        <x:v>4.05</x:v>
      </x:c>
      <x:c r="F858" s="11" t="n">
        <x:f>SQRT((C858-C857)^2+(D858-D857)^2+(E858-E857)^2)</x:f>
        <x:v>0.20744836956521695</x:v>
      </x:c>
      <x:c r="G858" s="8" t="str">
        <x:v>Current</x:v>
      </x:c>
    </x:row>
    <x:row r="859" ht="32" customHeight="1">
      <x:c r="A859" s="8" t="str">
        <x:v>drop:LC1:L3:light:1:L103</x:v>
      </x:c>
      <x:c r="B859" s="8" t="n">
        <x:v>6</x:v>
      </x:c>
      <x:c r="C859" s="11" t="n">
        <x:v>37.32</x:v>
      </x:c>
      <x:c r="D859" s="11" t="n">
        <x:v>9.235</x:v>
      </x:c>
      <x:c r="E859" s="11" t="n">
        <x:v>3</x:v>
      </x:c>
      <x:c r="F859" s="11" t="n">
        <x:f>SQRT((C859-C858)^2+(D859-D858)^2+(E859-E858)^2)</x:f>
        <x:v>1.0499999999999998</x:v>
      </x:c>
      <x:c r="G859" s="8" t="str">
        <x:v>Current</x:v>
      </x:c>
    </x:row>
    <x:row r="860" ht="32" customHeight="1">
      <x:c r="A860" s="8" t="str">
        <x:v>drop:LC1:L3:light:1:L103</x:v>
      </x:c>
      <x:c r="B860" s="8" t="n">
        <x:v>7</x:v>
      </x:c>
      <x:c r="C860" s="11" t="n">
        <x:v>36.975</x:v>
      </x:c>
      <x:c r="D860" s="11" t="n">
        <x:v>9.235</x:v>
      </x:c>
      <x:c r="E860" s="11" t="n">
        <x:v>3</x:v>
      </x:c>
      <x:c r="F860" s="11" t="n">
        <x:f>SQRT((C860-C859)^2+(D860-D859)^2+(E860-E859)^2)</x:f>
        <x:v>0.34499999999999886</x:v>
      </x:c>
      <x:c r="G860" s="8" t="str">
        <x:v>Current</x:v>
      </x:c>
    </x:row>
    <x:row r="861" ht="32" customHeight="1">
      <x:c r="A861" s="8" t="str">
        <x:v>drop:LC1:L3:light:1:L103</x:v>
      </x:c>
      <x:c r="B861" s="8" t="n">
        <x:v>8</x:v>
      </x:c>
      <x:c r="C861" s="11" t="n">
        <x:v>37.18</x:v>
      </x:c>
      <x:c r="D861" s="11" t="n">
        <x:v>9.235</x:v>
      </x:c>
      <x:c r="E861" s="11" t="n">
        <x:v>3</x:v>
      </x:c>
      <x:c r="F861" s="11" t="n">
        <x:f>SQRT((C861-C860)^2+(D861-D860)^2+(E861-E860)^2)</x:f>
        <x:v>0.2049999999999983</x:v>
      </x:c>
      <x:c r="G861" s="8" t="str">
        <x:v>Current</x:v>
      </x:c>
    </x:row>
    <x:row r="862" ht="32" customHeight="1">
      <x:c r="A862" s="8" t="str">
        <x:v>drop:LC1:L3:light:1:L103</x:v>
      </x:c>
      <x:c r="B862" s="8" t="n">
        <x:v>9</x:v>
      </x:c>
      <x:c r="C862" s="11" t="n">
        <x:v>37.18</x:v>
      </x:c>
      <x:c r="D862" s="11" t="n">
        <x:v>8.54</x:v>
      </x:c>
      <x:c r="E862" s="11" t="n">
        <x:v>3</x:v>
      </x:c>
      <x:c r="F862" s="11" t="n">
        <x:f>SQRT((C862-C861)^2+(D862-D861)^2+(E862-E861)^2)</x:f>
        <x:v>0.6950000000000003</x:v>
      </x:c>
      <x:c r="G862" s="8" t="str">
        <x:v>Current</x:v>
      </x:c>
    </x:row>
    <x:row r="863" ht="32" customHeight="1">
      <x:c r="A863" s="8" t="str">
        <x:v>drop:LC1:L3:light:1:L103</x:v>
      </x:c>
      <x:c r="B863" s="8" t="n">
        <x:v>10</x:v>
      </x:c>
      <x:c r="C863" s="11" t="n">
        <x:v>36.975</x:v>
      </x:c>
      <x:c r="D863" s="11" t="n">
        <x:v>8.54</x:v>
      </x:c>
      <x:c r="E863" s="11" t="n">
        <x:v>3</x:v>
      </x:c>
      <x:c r="F863" s="11" t="n">
        <x:f>SQRT((C863-C862)^2+(D863-D862)^2+(E863-E862)^2)</x:f>
        <x:v>0.2049999999999983</x:v>
      </x:c>
      <x:c r="G863" s="8" t="str">
        <x:v>Current</x:v>
      </x:c>
    </x:row>
    <x:row r="864" ht="32" customHeight="1">
      <x:c r="A864" s="8" t="str">
        <x:v>drop:LC1:L3:light:1:L103</x:v>
      </x:c>
      <x:c r="B864" s="8" t="n">
        <x:v>11</x:v>
      </x:c>
      <x:c r="C864" s="11" t="n">
        <x:v>36.975</x:v>
      </x:c>
      <x:c r="D864" s="11" t="n">
        <x:v>8.584999999999999</x:v>
      </x:c>
      <x:c r="E864" s="11" t="n">
        <x:v>3</x:v>
      </x:c>
      <x:c r="F864" s="11" t="n">
        <x:f>SQRT((C864-C863)^2+(D864-D863)^2+(E864-E863)^2)</x:f>
        <x:v>0.04499999999999993</x:v>
      </x:c>
      <x:c r="G864" s="8" t="str">
        <x:v>Current</x:v>
      </x:c>
    </x:row>
    <x:row r="865" ht="32" customHeight="1">
      <x:c r="A865" s="8" t="str">
        <x:v>drop:LC1:L3:light:1:L105</x:v>
      </x:c>
      <x:c r="B865" s="8" t="n">
        <x:v>1</x:v>
      </x:c>
      <x:c r="C865" s="11" t="n">
        <x:v>36.975</x:v>
      </x:c>
      <x:c r="D865" s="11" t="n">
        <x:v>5.916</x:v>
      </x:c>
      <x:c r="E865" s="11" t="n">
        <x:v>7.36</x:v>
      </x:c>
      <x:c r="F865" s="11" t="n">
        <x:f>0</x:f>
        <x:v>0</x:v>
      </x:c>
      <x:c r="G865" s="8" t="str">
        <x:v>Current</x:v>
      </x:c>
    </x:row>
    <x:row r="866" ht="32" customHeight="1">
      <x:c r="A866" s="8" t="str">
        <x:v>drop:LC1:L3:light:1:L105</x:v>
      </x:c>
      <x:c r="B866" s="8" t="n">
        <x:v>2</x:v>
      </x:c>
      <x:c r="C866" s="11" t="n">
        <x:v>37.32</x:v>
      </x:c>
      <x:c r="D866" s="11" t="n">
        <x:v>5.916</x:v>
      </x:c>
      <x:c r="E866" s="11" t="n">
        <x:v>7.36</x:v>
      </x:c>
      <x:c r="F866" s="11" t="n">
        <x:f>SQRT((C866-C865)^2+(D866-D865)^2+(E866-E865)^2)</x:f>
        <x:v>0.34499999999999886</x:v>
      </x:c>
      <x:c r="G866" s="8" t="str">
        <x:v>Current</x:v>
      </x:c>
    </x:row>
    <x:row r="867" ht="32" customHeight="1">
      <x:c r="A867" s="8" t="str">
        <x:v>drop:LC1:L3:light:1:L105</x:v>
      </x:c>
      <x:c r="B867" s="8" t="n">
        <x:v>3</x:v>
      </x:c>
      <x:c r="C867" s="11" t="n">
        <x:v>37.32</x:v>
      </x:c>
      <x:c r="D867" s="11" t="n">
        <x:v>7.04</x:v>
      </x:c>
      <x:c r="E867" s="11" t="n">
        <x:v>7.36</x:v>
      </x:c>
      <x:c r="F867" s="11" t="n">
        <x:f>SQRT((C867-C866)^2+(D867-D866)^2+(E867-E866)^2)</x:f>
        <x:v>1.1239999999999997</x:v>
      </x:c>
      <x:c r="G867" s="8" t="str">
        <x:v>Current</x:v>
      </x:c>
    </x:row>
    <x:row r="868" ht="32" customHeight="1">
      <x:c r="A868" s="8" t="str">
        <x:v>drop:LC1:L3:light:1:L105</x:v>
      </x:c>
      <x:c r="B868" s="8" t="n">
        <x:v>4</x:v>
      </x:c>
      <x:c r="C868" s="11" t="n">
        <x:v>37.32</x:v>
      </x:c>
      <x:c r="D868" s="11" t="n">
        <x:v>9.442448369565216</x:v>
      </x:c>
      <x:c r="E868" s="11" t="n">
        <x:v>4.050000000000001</x:v>
      </x:c>
      <x:c r="F868" s="11" t="n">
        <x:f>SQRT((C868-C867)^2+(D868-D867)^2+(E868-E867)^2)</x:f>
        <x:v>4.089970436131118</x:v>
      </x:c>
      <x:c r="G868" s="8" t="str">
        <x:v>Current</x:v>
      </x:c>
    </x:row>
    <x:row r="869" ht="32" customHeight="1">
      <x:c r="A869" s="8" t="str">
        <x:v>drop:LC1:L3:light:1:L105</x:v>
      </x:c>
      <x:c r="B869" s="8" t="n">
        <x:v>5</x:v>
      </x:c>
      <x:c r="C869" s="11" t="n">
        <x:v>37.32</x:v>
      </x:c>
      <x:c r="D869" s="11" t="n">
        <x:v>9.235</x:v>
      </x:c>
      <x:c r="E869" s="11" t="n">
        <x:v>4.05</x:v>
      </x:c>
      <x:c r="F869" s="11" t="n">
        <x:f>SQRT((C869-C868)^2+(D869-D868)^2+(E869-E868)^2)</x:f>
        <x:v>0.20744836956521695</x:v>
      </x:c>
      <x:c r="G869" s="8" t="str">
        <x:v>Current</x:v>
      </x:c>
    </x:row>
    <x:row r="870" ht="32" customHeight="1">
      <x:c r="A870" s="8" t="str">
        <x:v>drop:LC1:L3:light:1:L105</x:v>
      </x:c>
      <x:c r="B870" s="8" t="n">
        <x:v>6</x:v>
      </x:c>
      <x:c r="C870" s="11" t="n">
        <x:v>37.32</x:v>
      </x:c>
      <x:c r="D870" s="11" t="n">
        <x:v>9.235</x:v>
      </x:c>
      <x:c r="E870" s="11" t="n">
        <x:v>3</x:v>
      </x:c>
      <x:c r="F870" s="11" t="n">
        <x:f>SQRT((C870-C869)^2+(D870-D869)^2+(E870-E869)^2)</x:f>
        <x:v>1.0499999999999998</x:v>
      </x:c>
      <x:c r="G870" s="8" t="str">
        <x:v>Current</x:v>
      </x:c>
    </x:row>
    <x:row r="871" ht="32" customHeight="1">
      <x:c r="A871" s="8" t="str">
        <x:v>drop:LC1:L3:light:1:L105</x:v>
      </x:c>
      <x:c r="B871" s="8" t="n">
        <x:v>7</x:v>
      </x:c>
      <x:c r="C871" s="11" t="n">
        <x:v>36.975</x:v>
      </x:c>
      <x:c r="D871" s="11" t="n">
        <x:v>9.235</x:v>
      </x:c>
      <x:c r="E871" s="11" t="n">
        <x:v>3</x:v>
      </x:c>
      <x:c r="F871" s="11" t="n">
        <x:f>SQRT((C871-C870)^2+(D871-D870)^2+(E871-E870)^2)</x:f>
        <x:v>0.34499999999999886</x:v>
      </x:c>
      <x:c r="G871" s="8" t="str">
        <x:v>Current</x:v>
      </x:c>
    </x:row>
    <x:row r="872" ht="32" customHeight="1">
      <x:c r="A872" s="8" t="str">
        <x:v>drop:LC1:L3:light:1:L105</x:v>
      </x:c>
      <x:c r="B872" s="8" t="n">
        <x:v>8</x:v>
      </x:c>
      <x:c r="C872" s="11" t="n">
        <x:v>36.975</x:v>
      </x:c>
      <x:c r="D872" s="11" t="n">
        <x:v>9.235</x:v>
      </x:c>
      <x:c r="E872" s="11" t="n">
        <x:v>0.6</x:v>
      </x:c>
      <x:c r="F872" s="11" t="n">
        <x:f>SQRT((C872-C871)^2+(D872-D871)^2+(E872-E871)^2)</x:f>
        <x:v>2.4</x:v>
      </x:c>
      <x:c r="G872" s="8" t="str">
        <x:v>Current</x:v>
      </x:c>
    </x:row>
    <x:row r="873" ht="32" customHeight="1">
      <x:c r="A873" s="8" t="str">
        <x:v>drop:LC1:L3:light:1:L105</x:v>
      </x:c>
      <x:c r="B873" s="8" t="n">
        <x:v>9</x:v>
      </x:c>
      <x:c r="C873" s="11" t="n">
        <x:v>37.18</x:v>
      </x:c>
      <x:c r="D873" s="11" t="n">
        <x:v>9.235</x:v>
      </x:c>
      <x:c r="E873" s="11" t="n">
        <x:v>0.6</x:v>
      </x:c>
      <x:c r="F873" s="11" t="n">
        <x:f>SQRT((C873-C872)^2+(D873-D872)^2+(E873-E872)^2)</x:f>
        <x:v>0.2049999999999983</x:v>
      </x:c>
      <x:c r="G873" s="8" t="str">
        <x:v>Current</x:v>
      </x:c>
    </x:row>
    <x:row r="874" ht="32" customHeight="1">
      <x:c r="A874" s="8" t="str">
        <x:v>drop:LC1:L3:light:1:L105</x:v>
      </x:c>
      <x:c r="B874" s="8" t="n">
        <x:v>10</x:v>
      </x:c>
      <x:c r="C874" s="11" t="n">
        <x:v>37.18</x:v>
      </x:c>
      <x:c r="D874" s="11" t="n">
        <x:v>8.54</x:v>
      </x:c>
      <x:c r="E874" s="11" t="n">
        <x:v>0.6</x:v>
      </x:c>
      <x:c r="F874" s="11" t="n">
        <x:f>SQRT((C874-C873)^2+(D874-D873)^2+(E874-E873)^2)</x:f>
        <x:v>0.6950000000000003</x:v>
      </x:c>
      <x:c r="G874" s="8" t="str">
        <x:v>Current</x:v>
      </x:c>
    </x:row>
    <x:row r="875" ht="32" customHeight="1">
      <x:c r="A875" s="8" t="str">
        <x:v>drop:LC1:L3:light:1:L105</x:v>
      </x:c>
      <x:c r="B875" s="8" t="n">
        <x:v>11</x:v>
      </x:c>
      <x:c r="C875" s="11" t="n">
        <x:v>36.975</x:v>
      </x:c>
      <x:c r="D875" s="11" t="n">
        <x:v>8.54</x:v>
      </x:c>
      <x:c r="E875" s="11" t="n">
        <x:v>0.6</x:v>
      </x:c>
      <x:c r="F875" s="11" t="n">
        <x:f>SQRT((C875-C874)^2+(D875-D874)^2+(E875-E874)^2)</x:f>
        <x:v>0.2049999999999983</x:v>
      </x:c>
      <x:c r="G875" s="8" t="str">
        <x:v>Current</x:v>
      </x:c>
    </x:row>
    <x:row r="876" ht="32" customHeight="1">
      <x:c r="A876" s="8" t="str">
        <x:v>drop:LC1:L3:light:1:L105</x:v>
      </x:c>
      <x:c r="B876" s="8" t="n">
        <x:v>12</x:v>
      </x:c>
      <x:c r="C876" s="11" t="n">
        <x:v>36.975</x:v>
      </x:c>
      <x:c r="D876" s="11" t="n">
        <x:v>8.584999999999999</x:v>
      </x:c>
      <x:c r="E876" s="11" t="n">
        <x:v>0.6</x:v>
      </x:c>
      <x:c r="F876" s="11" t="n">
        <x:f>SQRT((C876-C875)^2+(D876-D875)^2+(E876-E875)^2)</x:f>
        <x:v>0.04499999999999993</x:v>
      </x:c>
      <x:c r="G876" s="8" t="str">
        <x:v>Current</x:v>
      </x:c>
    </x:row>
    <x:row r="877" ht="32" customHeight="1">
      <x:c r="A877" s="8" t="str">
        <x:v>drop:LC1:L3:light:1:L110</x:v>
      </x:c>
      <x:c r="B877" s="8" t="n">
        <x:v>1</x:v>
      </x:c>
      <x:c r="C877" s="11" t="n">
        <x:v>48.5</x:v>
      </x:c>
      <x:c r="D877" s="11" t="n">
        <x:v>5.916</x:v>
      </x:c>
      <x:c r="E877" s="11" t="n">
        <x:v>7.36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drop:LC1:L3:light:1:L110</x:v>
      </x:c>
      <x:c r="B878" s="8" t="n">
        <x:v>2</x:v>
      </x:c>
      <x:c r="C878" s="11" t="n">
        <x:v>48.5</x:v>
      </x:c>
      <x:c r="D878" s="11" t="n">
        <x:v>5.916</x:v>
      </x:c>
      <x:c r="E878" s="11" t="n">
        <x:v>3.525</x:v>
      </x:c>
      <x:c r="F878" s="11" t="n">
        <x:f>SQRT((C878-C877)^2+(D878-D877)^2+(E878-E877)^2)</x:f>
        <x:v>3.8350000000000004</x:v>
      </x:c>
      <x:c r="G878" s="8" t="str">
        <x:v>Current</x:v>
      </x:c>
    </x:row>
    <x:row r="879" ht="32" customHeight="1">
      <x:c r="A879" s="8" t="str">
        <x:v>drop:LC1:L3:light:1:L110</x:v>
      </x:c>
      <x:c r="B879" s="8" t="n">
        <x:v>3</x:v>
      </x:c>
      <x:c r="C879" s="11" t="n">
        <x:v>48.5</x:v>
      </x:c>
      <x:c r="D879" s="11" t="n">
        <x:v>7.25</x:v>
      </x:c>
      <x:c r="E879" s="11" t="n">
        <x:v>3.525</x:v>
      </x:c>
      <x:c r="F879" s="11" t="n">
        <x:f>SQRT((C879-C878)^2+(D879-D878)^2+(E879-E878)^2)</x:f>
        <x:v>1.3339999999999996</x:v>
      </x:c>
      <x:c r="G879" s="8" t="str">
        <x:v>Current</x:v>
      </x:c>
    </x:row>
    <x:row r="880" ht="32" customHeight="1">
      <x:c r="A880" s="8" t="str">
        <x:v>drop:LC1:L3:light:1:L110</x:v>
      </x:c>
      <x:c r="B880" s="8" t="n">
        <x:v>4</x:v>
      </x:c>
      <x:c r="C880" s="11" t="n">
        <x:v>44.75</x:v>
      </x:c>
      <x:c r="D880" s="11" t="n">
        <x:v>7.25</x:v>
      </x:c>
      <x:c r="E880" s="11" t="n">
        <x:v>3.525</x:v>
      </x:c>
      <x:c r="F880" s="11" t="n">
        <x:f>SQRT((C880-C879)^2+(D880-D879)^2+(E880-E879)^2)</x:f>
        <x:v>3.75</x:v>
      </x:c>
      <x:c r="G880" s="8" t="str">
        <x:v>Current</x:v>
      </x:c>
    </x:row>
    <x:row r="881" ht="32" customHeight="1">
      <x:c r="A881" s="8" t="str">
        <x:v>drop:LC1:L3:light:1:L110</x:v>
      </x:c>
      <x:c r="B881" s="8" t="n">
        <x:v>5</x:v>
      </x:c>
      <x:c r="C881" s="11" t="n">
        <x:v>44.75</x:v>
      </x:c>
      <x:c r="D881" s="11" t="n">
        <x:v>7.6</x:v>
      </x:c>
      <x:c r="E881" s="11" t="n">
        <x:v>3.525</x:v>
      </x:c>
      <x:c r="F881" s="11" t="n">
        <x:f>SQRT((C881-C880)^2+(D881-D880)^2+(E881-E880)^2)</x:f>
        <x:v>0.34999999999999964</x:v>
      </x:c>
      <x:c r="G881" s="8" t="str">
        <x:v>Current</x:v>
      </x:c>
    </x:row>
    <x:row r="882" ht="32" customHeight="1">
      <x:c r="A882" s="8" t="str">
        <x:v>drop:LC1:L3:light:1:L110</x:v>
      </x:c>
      <x:c r="B882" s="8" t="n">
        <x:v>6</x:v>
      </x:c>
      <x:c r="C882" s="11" t="n">
        <x:v>44.75</x:v>
      </x:c>
      <x:c r="D882" s="11" t="n">
        <x:v>7.6</x:v>
      </x:c>
      <x:c r="E882" s="11" t="n">
        <x:v>3.2399999999999998</x:v>
      </x:c>
      <x:c r="F882" s="11" t="n">
        <x:f>SQRT((C882-C881)^2+(D882-D881)^2+(E882-E881)^2)</x:f>
        <x:v>0.28500000000000014</x:v>
      </x:c>
      <x:c r="G882" s="8" t="str">
        <x:v>Current</x:v>
      </x:c>
    </x:row>
    <x:row r="883" ht="32" customHeight="1">
      <x:c r="A883" s="8" t="str">
        <x:v>drop:LC1:L3:light:1:L111</x:v>
      </x:c>
      <x:c r="B883" s="8" t="n">
        <x:v>1</x:v>
      </x:c>
      <x:c r="C883" s="11" t="n">
        <x:v>48.5</x:v>
      </x:c>
      <x:c r="D883" s="11" t="n">
        <x:v>5.916</x:v>
      </x:c>
      <x:c r="E883" s="11" t="n">
        <x:v>7.36</x:v>
      </x:c>
      <x:c r="F883" s="11" t="n">
        <x:f>0</x:f>
        <x:v>0</x:v>
      </x:c>
      <x:c r="G883" s="8" t="str">
        <x:v>Current</x:v>
      </x:c>
    </x:row>
    <x:row r="884" ht="32" customHeight="1">
      <x:c r="A884" s="8" t="str">
        <x:v>drop:LC1:L3:light:1:L111</x:v>
      </x:c>
      <x:c r="B884" s="8" t="n">
        <x:v>2</x:v>
      </x:c>
      <x:c r="C884" s="11" t="n">
        <x:v>48.5</x:v>
      </x:c>
      <x:c r="D884" s="11" t="n">
        <x:v>5.916</x:v>
      </x:c>
      <x:c r="E884" s="11" t="n">
        <x:v>3.525</x:v>
      </x:c>
      <x:c r="F884" s="11" t="n">
        <x:f>SQRT((C884-C883)^2+(D884-D883)^2+(E884-E883)^2)</x:f>
        <x:v>3.8350000000000004</x:v>
      </x:c>
      <x:c r="G884" s="8" t="str">
        <x:v>Current</x:v>
      </x:c>
    </x:row>
    <x:row r="885" ht="32" customHeight="1">
      <x:c r="A885" s="8" t="str">
        <x:v>drop:LC1:L3:light:1:L111</x:v>
      </x:c>
      <x:c r="B885" s="8" t="n">
        <x:v>3</x:v>
      </x:c>
      <x:c r="C885" s="11" t="n">
        <x:v>48.5</x:v>
      </x:c>
      <x:c r="D885" s="11" t="n">
        <x:v>7.25</x:v>
      </x:c>
      <x:c r="E885" s="11" t="n">
        <x:v>3.525</x:v>
      </x:c>
      <x:c r="F885" s="11" t="n">
        <x:f>SQRT((C885-C884)^2+(D885-D884)^2+(E885-E884)^2)</x:f>
        <x:v>1.3339999999999996</x:v>
      </x:c>
      <x:c r="G885" s="8" t="str">
        <x:v>Current</x:v>
      </x:c>
    </x:row>
    <x:row r="886" ht="32" customHeight="1">
      <x:c r="A886" s="8" t="str">
        <x:v>drop:LC1:L3:light:1:L111</x:v>
      </x:c>
      <x:c r="B886" s="8" t="n">
        <x:v>4</x:v>
      </x:c>
      <x:c r="C886" s="11" t="n">
        <x:v>44.75</x:v>
      </x:c>
      <x:c r="D886" s="11" t="n">
        <x:v>7.25</x:v>
      </x:c>
      <x:c r="E886" s="11" t="n">
        <x:v>3.525</x:v>
      </x:c>
      <x:c r="F886" s="11" t="n">
        <x:f>SQRT((C886-C885)^2+(D886-D885)^2+(E886-E885)^2)</x:f>
        <x:v>3.75</x:v>
      </x:c>
      <x:c r="G886" s="8" t="str">
        <x:v>Current</x:v>
      </x:c>
    </x:row>
    <x:row r="887" ht="32" customHeight="1">
      <x:c r="A887" s="8" t="str">
        <x:v>drop:LC1:L3:light:1:L111</x:v>
      </x:c>
      <x:c r="B887" s="8" t="n">
        <x:v>5</x:v>
      </x:c>
      <x:c r="C887" s="11" t="n">
        <x:v>44.75</x:v>
      </x:c>
      <x:c r="D887" s="11" t="n">
        <x:v>7.25</x:v>
      </x:c>
      <x:c r="E887" s="11" t="n">
        <x:v>3.2399999999999998</x:v>
      </x:c>
      <x:c r="F887" s="11" t="n">
        <x:f>SQRT((C887-C886)^2+(D887-D886)^2+(E887-E886)^2)</x:f>
        <x:v>0.28500000000000014</x:v>
      </x:c>
      <x:c r="G887" s="8" t="str">
        <x:v>Current</x:v>
      </x:c>
    </x:row>
    <x:row r="888" ht="32" customHeight="1">
      <x:c r="A888" s="8" t="str">
        <x:v>drop:LC1:L3:light:1:L112</x:v>
      </x:c>
      <x:c r="B888" s="8" t="n">
        <x:v>1</x:v>
      </x:c>
      <x:c r="C888" s="11" t="n">
        <x:v>48.5</x:v>
      </x:c>
      <x:c r="D888" s="11" t="n">
        <x:v>5.916</x:v>
      </x:c>
      <x:c r="E888" s="11" t="n">
        <x:v>7.36</x:v>
      </x:c>
      <x:c r="F888" s="11" t="n">
        <x:f>0</x:f>
        <x:v>0</x:v>
      </x:c>
      <x:c r="G888" s="8" t="str">
        <x:v>Current</x:v>
      </x:c>
    </x:row>
    <x:row r="889" ht="32" customHeight="1">
      <x:c r="A889" s="8" t="str">
        <x:v>drop:LC1:L3:light:1:L112</x:v>
      </x:c>
      <x:c r="B889" s="8" t="n">
        <x:v>2</x:v>
      </x:c>
      <x:c r="C889" s="11" t="n">
        <x:v>48.5</x:v>
      </x:c>
      <x:c r="D889" s="11" t="n">
        <x:v>5.916</x:v>
      </x:c>
      <x:c r="E889" s="11" t="n">
        <x:v>3.525</x:v>
      </x:c>
      <x:c r="F889" s="11" t="n">
        <x:f>SQRT((C889-C888)^2+(D889-D888)^2+(E889-E888)^2)</x:f>
        <x:v>3.8350000000000004</x:v>
      </x:c>
      <x:c r="G889" s="8" t="str">
        <x:v>Current</x:v>
      </x:c>
    </x:row>
    <x:row r="890" ht="32" customHeight="1">
      <x:c r="A890" s="8" t="str">
        <x:v>drop:LC1:L3:light:1:L112</x:v>
      </x:c>
      <x:c r="B890" s="8" t="n">
        <x:v>3</x:v>
      </x:c>
      <x:c r="C890" s="11" t="n">
        <x:v>48.5</x:v>
      </x:c>
      <x:c r="D890" s="11" t="n">
        <x:v>7.25</x:v>
      </x:c>
      <x:c r="E890" s="11" t="n">
        <x:v>3.525</x:v>
      </x:c>
      <x:c r="F890" s="11" t="n">
        <x:f>SQRT((C890-C889)^2+(D890-D889)^2+(E890-E889)^2)</x:f>
        <x:v>1.3339999999999996</x:v>
      </x:c>
      <x:c r="G890" s="8" t="str">
        <x:v>Current</x:v>
      </x:c>
    </x:row>
    <x:row r="891" ht="32" customHeight="1">
      <x:c r="A891" s="8" t="str">
        <x:v>drop:LC1:L3:light:1:L112</x:v>
      </x:c>
      <x:c r="B891" s="8" t="n">
        <x:v>4</x:v>
      </x:c>
      <x:c r="C891" s="11" t="n">
        <x:v>45.2</x:v>
      </x:c>
      <x:c r="D891" s="11" t="n">
        <x:v>7.25</x:v>
      </x:c>
      <x:c r="E891" s="11" t="n">
        <x:v>3.525</x:v>
      </x:c>
      <x:c r="F891" s="11" t="n">
        <x:f>SQRT((C891-C890)^2+(D891-D890)^2+(E891-E890)^2)</x:f>
        <x:v>3.299999999999997</x:v>
      </x:c>
      <x:c r="G891" s="8" t="str">
        <x:v>Current</x:v>
      </x:c>
    </x:row>
    <x:row r="892" ht="32" customHeight="1">
      <x:c r="A892" s="8" t="str">
        <x:v>drop:LC1:L3:light:1:L112</x:v>
      </x:c>
      <x:c r="B892" s="8" t="n">
        <x:v>5</x:v>
      </x:c>
      <x:c r="C892" s="11" t="n">
        <x:v>45.2</x:v>
      </x:c>
      <x:c r="D892" s="11" t="n">
        <x:v>7.25</x:v>
      </x:c>
      <x:c r="E892" s="11" t="n">
        <x:v>3.2399999999999998</x:v>
      </x:c>
      <x:c r="F892" s="11" t="n">
        <x:f>SQRT((C892-C891)^2+(D892-D891)^2+(E892-E891)^2)</x:f>
        <x:v>0.28500000000000014</x:v>
      </x:c>
      <x:c r="G892" s="8" t="str">
        <x:v>Current</x:v>
      </x:c>
    </x:row>
    <x:row r="893" ht="32" customHeight="1">
      <x:c r="A893" s="8" t="str">
        <x:v>drop:LC1:L3:light:1:L113</x:v>
      </x:c>
      <x:c r="B893" s="8" t="n">
        <x:v>1</x:v>
      </x:c>
      <x:c r="C893" s="11" t="n">
        <x:v>48.5</x:v>
      </x:c>
      <x:c r="D893" s="11" t="n">
        <x:v>5.916</x:v>
      </x:c>
      <x:c r="E893" s="11" t="n">
        <x:v>7.36</x:v>
      </x:c>
      <x:c r="F893" s="11" t="n">
        <x:f>0</x:f>
        <x:v>0</x:v>
      </x:c>
      <x:c r="G893" s="8" t="str">
        <x:v>Current</x:v>
      </x:c>
    </x:row>
    <x:row r="894" ht="32" customHeight="1">
      <x:c r="A894" s="8" t="str">
        <x:v>drop:LC1:L3:light:1:L113</x:v>
      </x:c>
      <x:c r="B894" s="8" t="n">
        <x:v>2</x:v>
      </x:c>
      <x:c r="C894" s="11" t="n">
        <x:v>48.5</x:v>
      </x:c>
      <x:c r="D894" s="11" t="n">
        <x:v>5.916</x:v>
      </x:c>
      <x:c r="E894" s="11" t="n">
        <x:v>3.525</x:v>
      </x:c>
      <x:c r="F894" s="11" t="n">
        <x:f>SQRT((C894-C893)^2+(D894-D893)^2+(E894-E893)^2)</x:f>
        <x:v>3.8350000000000004</x:v>
      </x:c>
      <x:c r="G894" s="8" t="str">
        <x:v>Current</x:v>
      </x:c>
    </x:row>
    <x:row r="895" ht="32" customHeight="1">
      <x:c r="A895" s="8" t="str">
        <x:v>drop:LC1:L3:light:1:L113</x:v>
      </x:c>
      <x:c r="B895" s="8" t="n">
        <x:v>3</x:v>
      </x:c>
      <x:c r="C895" s="11" t="n">
        <x:v>48.5</x:v>
      </x:c>
      <x:c r="D895" s="11" t="n">
        <x:v>7.25</x:v>
      </x:c>
      <x:c r="E895" s="11" t="n">
        <x:v>3.525</x:v>
      </x:c>
      <x:c r="F895" s="11" t="n">
        <x:f>SQRT((C895-C894)^2+(D895-D894)^2+(E895-E894)^2)</x:f>
        <x:v>1.3339999999999996</x:v>
      </x:c>
      <x:c r="G895" s="8" t="str">
        <x:v>Current</x:v>
      </x:c>
    </x:row>
    <x:row r="896" ht="32" customHeight="1">
      <x:c r="A896" s="8" t="str">
        <x:v>drop:LC1:L3:light:1:L113</x:v>
      </x:c>
      <x:c r="B896" s="8" t="n">
        <x:v>4</x:v>
      </x:c>
      <x:c r="C896" s="11" t="n">
        <x:v>45.35</x:v>
      </x:c>
      <x:c r="D896" s="11" t="n">
        <x:v>7.25</x:v>
      </x:c>
      <x:c r="E896" s="11" t="n">
        <x:v>3.525</x:v>
      </x:c>
      <x:c r="F896" s="11" t="n">
        <x:f>SQRT((C896-C895)^2+(D896-D895)^2+(E896-E895)^2)</x:f>
        <x:v>3.1499999999999986</x:v>
      </x:c>
      <x:c r="G896" s="8" t="str">
        <x:v>Current</x:v>
      </x:c>
    </x:row>
    <x:row r="897" ht="32" customHeight="1">
      <x:c r="A897" s="8" t="str">
        <x:v>drop:LC1:L3:light:1:L113</x:v>
      </x:c>
      <x:c r="B897" s="8" t="n">
        <x:v>5</x:v>
      </x:c>
      <x:c r="C897" s="11" t="n">
        <x:v>45.35</x:v>
      </x:c>
      <x:c r="D897" s="11" t="n">
        <x:v>8.42</x:v>
      </x:c>
      <x:c r="E897" s="11" t="n">
        <x:v>3.525</x:v>
      </x:c>
      <x:c r="F897" s="11" t="n">
        <x:f>SQRT((C897-C896)^2+(D897-D896)^2+(E897-E896)^2)</x:f>
        <x:v>1.17</x:v>
      </x:c>
      <x:c r="G897" s="8" t="str">
        <x:v>Current</x:v>
      </x:c>
    </x:row>
    <x:row r="898" ht="32" customHeight="1">
      <x:c r="A898" s="8" t="str">
        <x:v>drop:LC1:L3:light:1:L113</x:v>
      </x:c>
      <x:c r="B898" s="8" t="n">
        <x:v>6</x:v>
      </x:c>
      <x:c r="C898" s="11" t="n">
        <x:v>45.35</x:v>
      </x:c>
      <x:c r="D898" s="11" t="n">
        <x:v>8.42</x:v>
      </x:c>
      <x:c r="E898" s="11" t="n">
        <x:v>2.94</x:v>
      </x:c>
      <x:c r="F898" s="11" t="n">
        <x:f>SQRT((C898-C897)^2+(D898-D897)^2+(E898-E897)^2)</x:f>
        <x:v>0.585</x:v>
      </x:c>
      <x:c r="G898" s="8" t="str">
        <x:v>Current</x:v>
      </x:c>
    </x:row>
    <x:row r="899" ht="32" customHeight="1">
      <x:c r="A899" s="8" t="str">
        <x:v>drop:LC1:L3:light:1:L117</x:v>
      </x:c>
      <x:c r="B899" s="8" t="n">
        <x:v>1</x:v>
      </x:c>
      <x:c r="C899" s="11" t="n">
        <x:v>44.419999999999995</x:v>
      </x:c>
      <x:c r="D899" s="11" t="n">
        <x:v>5.916</x:v>
      </x:c>
      <x:c r="E899" s="11" t="n">
        <x:v>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drop:LC1:L3:light:1:L117</x:v>
      </x:c>
      <x:c r="B900" s="8" t="n">
        <x:v>2</x:v>
      </x:c>
      <x:c r="C900" s="11" t="n">
        <x:v>44.419999999999995</x:v>
      </x:c>
      <x:c r="D900" s="11" t="n">
        <x:v>7.04</x:v>
      </x:c>
      <x:c r="E900" s="11" t="n">
        <x:v>7.36</x:v>
      </x:c>
      <x:c r="F900" s="11" t="n">
        <x:f>SQRT((C900-C899)^2+(D900-D899)^2+(E900-E899)^2)</x:f>
        <x:v>1.1239999999999997</x:v>
      </x:c>
      <x:c r="G900" s="8" t="str">
        <x:v>Current</x:v>
      </x:c>
    </x:row>
    <x:row r="901" ht="32" customHeight="1">
      <x:c r="A901" s="8" t="str">
        <x:v>drop:LC1:L3:light:1:L117</x:v>
      </x:c>
      <x:c r="B901" s="8" t="n">
        <x:v>3</x:v>
      </x:c>
      <x:c r="C901" s="11" t="n">
        <x:v>44.419999999999995</x:v>
      </x:c>
      <x:c r="D901" s="11" t="n">
        <x:v>8.934377717391303</x:v>
      </x:c>
      <x:c r="E901" s="11" t="n">
        <x:v>4.75</x:v>
      </x:c>
      <x:c r="F901" s="11" t="n">
        <x:f>SQRT((C901-C900)^2+(D901-D900)^2+(E901-E900)^2)</x:f>
        <x:v>3.2250220055293712</x:v>
      </x:c>
      <x:c r="G901" s="8" t="str">
        <x:v>Current</x:v>
      </x:c>
    </x:row>
    <x:row r="902" ht="32" customHeight="1">
      <x:c r="A902" s="8" t="str">
        <x:v>drop:LC1:L3:light:1:L117</x:v>
      </x:c>
      <x:c r="B902" s="8" t="n">
        <x:v>4</x:v>
      </x:c>
      <x:c r="C902" s="11" t="n">
        <x:v>44.419999999999995</x:v>
      </x:c>
      <x:c r="D902" s="11" t="n">
        <x:v>7.75</x:v>
      </x:c>
      <x:c r="E902" s="11" t="n">
        <x:v>4.75</x:v>
      </x:c>
      <x:c r="F902" s="11" t="n">
        <x:f>SQRT((C902-C901)^2+(D902-D901)^2+(E902-E901)^2)</x:f>
        <x:v>1.1843777173913033</x:v>
      </x:c>
      <x:c r="G902" s="8" t="str">
        <x:v>Current</x:v>
      </x:c>
    </x:row>
    <x:row r="903" ht="32" customHeight="1">
      <x:c r="A903" s="8" t="str">
        <x:v>drop:LC1:L3:light:1:L118</x:v>
      </x:c>
      <x:c r="B903" s="8" t="n">
        <x:v>1</x:v>
      </x:c>
      <x:c r="C903" s="11" t="n">
        <x:v>44.419999999999995</x:v>
      </x:c>
      <x:c r="D903" s="11" t="n">
        <x:v>5.916</x:v>
      </x:c>
      <x:c r="E903" s="11" t="n">
        <x:v>7.36</x:v>
      </x:c>
      <x:c r="F903" s="11" t="n">
        <x:f>0</x:f>
        <x:v>0</x:v>
      </x:c>
      <x:c r="G903" s="8" t="str">
        <x:v>Current</x:v>
      </x:c>
    </x:row>
    <x:row r="904" ht="32" customHeight="1">
      <x:c r="A904" s="8" t="str">
        <x:v>drop:LC1:L3:light:1:L118</x:v>
      </x:c>
      <x:c r="B904" s="8" t="n">
        <x:v>2</x:v>
      </x:c>
      <x:c r="C904" s="11" t="n">
        <x:v>44.419999999999995</x:v>
      </x:c>
      <x:c r="D904" s="11" t="n">
        <x:v>7.04</x:v>
      </x:c>
      <x:c r="E904" s="11" t="n">
        <x:v>7.36</x:v>
      </x:c>
      <x:c r="F904" s="11" t="n">
        <x:f>SQRT((C904-C903)^2+(D904-D903)^2+(E904-E903)^2)</x:f>
        <x:v>1.1239999999999997</x:v>
      </x:c>
      <x:c r="G904" s="8" t="str">
        <x:v>Current</x:v>
      </x:c>
    </x:row>
    <x:row r="905" ht="32" customHeight="1">
      <x:c r="A905" s="8" t="str">
        <x:v>drop:LC1:L3:light:1:L118</x:v>
      </x:c>
      <x:c r="B905" s="8" t="n">
        <x:v>3</x:v>
      </x:c>
      <x:c r="C905" s="11" t="n">
        <x:v>44.419999999999995</x:v>
      </x:c>
      <x:c r="D905" s="11" t="n">
        <x:v>7.845654891304348</x:v>
      </x:c>
      <x:c r="E905" s="11" t="n">
        <x:v>6.25</x:v>
      </x:c>
      <x:c r="F905" s="11" t="n">
        <x:f>SQRT((C905-C904)^2+(D905-D904)^2+(E905-E904)^2)</x:f>
        <x:v>1.3715610828113423</x:v>
      </x:c>
      <x:c r="G905" s="8" t="str">
        <x:v>Current</x:v>
      </x:c>
    </x:row>
    <x:row r="906" ht="32" customHeight="1">
      <x:c r="A906" s="8" t="str">
        <x:v>drop:LC1:L3:light:1:L118</x:v>
      </x:c>
      <x:c r="B906" s="8" t="n">
        <x:v>4</x:v>
      </x:c>
      <x:c r="C906" s="11" t="n">
        <x:v>44.419999999999995</x:v>
      </x:c>
      <x:c r="D906" s="11" t="n">
        <x:v>7.75</x:v>
      </x:c>
      <x:c r="E906" s="11" t="n">
        <x:v>6.25</x:v>
      </x:c>
      <x:c r="F906" s="11" t="n">
        <x:f>SQRT((C906-C905)^2+(D906-D905)^2+(E906-E905)^2)</x:f>
        <x:v>0.09565489130434823</x:v>
      </x:c>
      <x:c r="G906" s="8" t="str">
        <x:v>Current</x:v>
      </x:c>
    </x:row>
    <x:row r="907" ht="32" customHeight="1">
      <x:c r="A907" s="8" t="str">
        <x:v>drop:LC1:L3:light:1:L153</x:v>
      </x:c>
      <x:c r="B907" s="8" t="n">
        <x:v>1</x:v>
      </x:c>
      <x:c r="C907" s="11" t="n">
        <x:v>52.8</x:v>
      </x:c>
      <x:c r="D907" s="11" t="n">
        <x:v>5.916</x:v>
      </x:c>
      <x:c r="E907" s="11" t="n">
        <x:v>7.36</x:v>
      </x:c>
      <x:c r="F907" s="11" t="n">
        <x:f>0</x:f>
        <x:v>0</x:v>
      </x:c>
      <x:c r="G907" s="8" t="str">
        <x:v>Current</x:v>
      </x:c>
    </x:row>
    <x:row r="908" ht="32" customHeight="1">
      <x:c r="A908" s="8" t="str">
        <x:v>drop:LC1:L3:light:1:L153</x:v>
      </x:c>
      <x:c r="B908" s="8" t="n">
        <x:v>2</x:v>
      </x:c>
      <x:c r="C908" s="11" t="n">
        <x:v>53.016</x:v>
      </x:c>
      <x:c r="D908" s="11" t="n">
        <x:v>5.916</x:v>
      </x:c>
      <x:c r="E908" s="11" t="n">
        <x:v>7.36</x:v>
      </x:c>
      <x:c r="F908" s="11" t="n">
        <x:f>SQRT((C908-C907)^2+(D908-D907)^2+(E908-E907)^2)</x:f>
        <x:v>0.21600000000000108</x:v>
      </x:c>
      <x:c r="G908" s="8" t="str">
        <x:v>Current</x:v>
      </x:c>
    </x:row>
    <x:row r="909" ht="32" customHeight="1">
      <x:c r="A909" s="8" t="str">
        <x:v>drop:LC1:L3:light:1:L153</x:v>
      </x:c>
      <x:c r="B909" s="8" t="n">
        <x:v>3</x:v>
      </x:c>
      <x:c r="C909" s="11" t="n">
        <x:v>53.016</x:v>
      </x:c>
      <x:c r="D909" s="11" t="n">
        <x:v>5.916</x:v>
      </x:c>
      <x:c r="E909" s="11" t="n">
        <x:v>4.48</x:v>
      </x:c>
      <x:c r="F909" s="11" t="n">
        <x:f>SQRT((C909-C908)^2+(D909-D908)^2+(E909-E908)^2)</x:f>
        <x:v>2.88</x:v>
      </x:c>
      <x:c r="G909" s="8" t="str">
        <x:v>Current</x:v>
      </x:c>
    </x:row>
    <x:row r="910" ht="32" customHeight="1">
      <x:c r="A910" s="8" t="str">
        <x:v>drop:LC1:L3:light:1:L153</x:v>
      </x:c>
      <x:c r="B910" s="8" t="n">
        <x:v>4</x:v>
      </x:c>
      <x:c r="C910" s="11" t="n">
        <x:v>53.016</x:v>
      </x:c>
      <x:c r="D910" s="11" t="n">
        <x:v>2.3</x:v>
      </x:c>
      <x:c r="E910" s="11" t="n">
        <x:v>4.48</x:v>
      </x:c>
      <x:c r="F910" s="11" t="n">
        <x:f>SQRT((C910-C909)^2+(D910-D909)^2+(E910-E909)^2)</x:f>
        <x:v>3.6160000000000005</x:v>
      </x:c>
      <x:c r="G910" s="8" t="str">
        <x:v>Current</x:v>
      </x:c>
    </x:row>
    <x:row r="911" ht="32" customHeight="1">
      <x:c r="A911" s="8" t="str">
        <x:v>drop:LC1:L3:light:1:L153</x:v>
      </x:c>
      <x:c r="B911" s="8" t="n">
        <x:v>5</x:v>
      </x:c>
      <x:c r="C911" s="11" t="n">
        <x:v>52.8</x:v>
      </x:c>
      <x:c r="D911" s="11" t="n">
        <x:v>2.3</x:v>
      </x:c>
      <x:c r="E911" s="11" t="n">
        <x:v>4.48</x:v>
      </x:c>
      <x:c r="F911" s="11" t="n">
        <x:f>SQRT((C911-C910)^2+(D911-D910)^2+(E911-E910)^2)</x:f>
        <x:v>0.21600000000000108</x:v>
      </x:c>
      <x:c r="G911" s="8" t="str">
        <x:v>Current</x:v>
      </x:c>
    </x:row>
    <x:row r="912" ht="32" customHeight="1">
      <x:c r="A912" s="8" t="str">
        <x:v>drop:LC1:L3:light:1:L154</x:v>
      </x:c>
      <x:c r="B912" s="8" t="n">
        <x:v>1</x:v>
      </x:c>
      <x:c r="C912" s="11" t="n">
        <x:v>52.8</x:v>
      </x:c>
      <x:c r="D912" s="11" t="n">
        <x:v>5.916</x:v>
      </x:c>
      <x:c r="E912" s="11" t="n">
        <x:v>7.36</x:v>
      </x:c>
      <x:c r="F912" s="11" t="n">
        <x:f>0</x:f>
        <x:v>0</x:v>
      </x:c>
      <x:c r="G912" s="8" t="str">
        <x:v>Current</x:v>
      </x:c>
    </x:row>
    <x:row r="913" ht="32" customHeight="1">
      <x:c r="A913" s="8" t="str">
        <x:v>drop:LC1:L3:light:1:L154</x:v>
      </x:c>
      <x:c r="B913" s="8" t="n">
        <x:v>2</x:v>
      </x:c>
      <x:c r="C913" s="11" t="n">
        <x:v>53.016</x:v>
      </x:c>
      <x:c r="D913" s="11" t="n">
        <x:v>5.916</x:v>
      </x:c>
      <x:c r="E913" s="11" t="n">
        <x:v>7.36</x:v>
      </x:c>
      <x:c r="F913" s="11" t="n">
        <x:f>SQRT((C913-C912)^2+(D913-D912)^2+(E913-E912)^2)</x:f>
        <x:v>0.21600000000000108</x:v>
      </x:c>
      <x:c r="G913" s="8" t="str">
        <x:v>Current</x:v>
      </x:c>
    </x:row>
    <x:row r="914" ht="32" customHeight="1">
      <x:c r="A914" s="8" t="str">
        <x:v>drop:LC1:L3:light:1:L154</x:v>
      </x:c>
      <x:c r="B914" s="8" t="n">
        <x:v>3</x:v>
      </x:c>
      <x:c r="C914" s="11" t="n">
        <x:v>53.016</x:v>
      </x:c>
      <x:c r="D914" s="11" t="n">
        <x:v>5.916</x:v>
      </x:c>
      <x:c r="E914" s="11" t="n">
        <x:v>6.48</x:v>
      </x:c>
      <x:c r="F914" s="11" t="n">
        <x:f>SQRT((C914-C913)^2+(D914-D913)^2+(E914-E913)^2)</x:f>
        <x:v>0.8799999999999999</x:v>
      </x:c>
      <x:c r="G914" s="8" t="str">
        <x:v>Current</x:v>
      </x:c>
    </x:row>
    <x:row r="915" ht="32" customHeight="1">
      <x:c r="A915" s="8" t="str">
        <x:v>drop:LC1:L3:light:1:L154</x:v>
      </x:c>
      <x:c r="B915" s="8" t="n">
        <x:v>4</x:v>
      </x:c>
      <x:c r="C915" s="11" t="n">
        <x:v>53.016</x:v>
      </x:c>
      <x:c r="D915" s="11" t="n">
        <x:v>2.3</x:v>
      </x:c>
      <x:c r="E915" s="11" t="n">
        <x:v>6.48</x:v>
      </x:c>
      <x:c r="F915" s="11" t="n">
        <x:f>SQRT((C915-C914)^2+(D915-D914)^2+(E915-E914)^2)</x:f>
        <x:v>3.6160000000000005</x:v>
      </x:c>
      <x:c r="G915" s="8" t="str">
        <x:v>Current</x:v>
      </x:c>
    </x:row>
    <x:row r="916" ht="32" customHeight="1">
      <x:c r="A916" s="8" t="str">
        <x:v>drop:LC1:L3:light:1:L154</x:v>
      </x:c>
      <x:c r="B916" s="8" t="n">
        <x:v>5</x:v>
      </x:c>
      <x:c r="C916" s="11" t="n">
        <x:v>52.8</x:v>
      </x:c>
      <x:c r="D916" s="11" t="n">
        <x:v>2.3</x:v>
      </x:c>
      <x:c r="E916" s="11" t="n">
        <x:v>6.48</x:v>
      </x:c>
      <x:c r="F916" s="11" t="n">
        <x:f>SQRT((C916-C915)^2+(D916-D915)^2+(E916-E915)^2)</x:f>
        <x:v>0.21600000000000108</x:v>
      </x:c>
      <x:c r="G916" s="8" t="str">
        <x:v>Current</x:v>
      </x:c>
    </x:row>
    <x:row r="917" ht="32" customHeight="1">
      <x:c r="A917" s="8" t="str">
        <x:v>trunk:LC1:L4:light:-1</x:v>
      </x:c>
      <x:c r="B917" s="8" t="n">
        <x:v>1</x:v>
      </x:c>
      <x:c r="C917" s="11" t="n">
        <x:v>48.895</x:v>
      </x:c>
      <x:c r="D917" s="11" t="n">
        <x:v>1.85</x:v>
      </x:c>
      <x:c r="E917" s="11" t="n">
        <x:v>-0.55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trunk:LC1:L4:light:-1</x:v>
      </x:c>
      <x:c r="B918" s="8" t="n">
        <x:v>2</x:v>
      </x:c>
      <x:c r="C918" s="11" t="n">
        <x:v>48.735</x:v>
      </x:c>
      <x:c r="D918" s="11" t="n">
        <x:v>1.85</x:v>
      </x:c>
      <x:c r="E918" s="11" t="n">
        <x:v>-0.55</x:v>
      </x:c>
      <x:c r="F918" s="11" t="n">
        <x:f>SQRT((C918-C917)^2+(D918-D917)^2+(E918-E917)^2)</x:f>
        <x:v>0.1600000000000037</x:v>
      </x:c>
      <x:c r="G918" s="8" t="str">
        <x:v>Current</x:v>
      </x:c>
    </x:row>
    <x:row r="919" ht="32" customHeight="1">
      <x:c r="A919" s="8" t="str">
        <x:v>trunk:LC1:L4:light:-1</x:v>
      </x:c>
      <x:c r="B919" s="8" t="n">
        <x:v>3</x:v>
      </x:c>
      <x:c r="C919" s="11" t="n">
        <x:v>48.735</x:v>
      </x:c>
      <x:c r="D919" s="11" t="n">
        <x:v>1.85</x:v>
      </x:c>
      <x:c r="E919" s="11" t="n">
        <x:v>-2.24</x:v>
      </x:c>
      <x:c r="F919" s="11" t="n">
        <x:f>SQRT((C919-C918)^2+(D919-D918)^2+(E919-E918)^2)</x:f>
        <x:v>1.6900000000000002</x:v>
      </x:c>
      <x:c r="G919" s="8" t="str">
        <x:v>Current</x:v>
      </x:c>
    </x:row>
    <x:row r="920" ht="32" customHeight="1">
      <x:c r="A920" s="8" t="str">
        <x:v>trunk:LC1:L4:light:-1</x:v>
      </x:c>
      <x:c r="B920" s="8" t="n">
        <x:v>4</x:v>
      </x:c>
      <x:c r="C920" s="11" t="n">
        <x:v>48.735</x:v>
      </x:c>
      <x:c r="D920" s="11" t="n">
        <x:v>4.33</x:v>
      </x:c>
      <x:c r="E920" s="11" t="n">
        <x:v>-2.24</x:v>
      </x:c>
      <x:c r="F920" s="11" t="n">
        <x:f>SQRT((C920-C919)^2+(D920-D919)^2+(E920-E919)^2)</x:f>
        <x:v>2.48</x:v>
      </x:c>
      <x:c r="G920" s="8" t="str">
        <x:v>Current</x:v>
      </x:c>
    </x:row>
    <x:row r="921" ht="32" customHeight="1">
      <x:c r="A921" s="8" t="str">
        <x:v>trunk:LC1:L4:light:-1</x:v>
      </x:c>
      <x:c r="B921" s="8" t="n">
        <x:v>5</x:v>
      </x:c>
      <x:c r="C921" s="11" t="n">
        <x:v>48.735</x:v>
      </x:c>
      <x:c r="D921" s="11" t="n">
        <x:v>4.33</x:v>
      </x:c>
      <x:c r="E921" s="11" t="n">
        <x:v>-3.3</x:v>
      </x:c>
      <x:c r="F921" s="11" t="n">
        <x:f>SQRT((C921-C920)^2+(D921-D920)^2+(E921-E920)^2)</x:f>
        <x:v>1.0599999999999996</x:v>
      </x:c>
      <x:c r="G921" s="8" t="str">
        <x:v>Current</x:v>
      </x:c>
    </x:row>
    <x:row r="922" ht="32" customHeight="1">
      <x:c r="A922" s="8" t="str">
        <x:v>trunk:LC1:L4:light:-1</x:v>
      </x:c>
      <x:c r="B922" s="8" t="n">
        <x:v>6</x:v>
      </x:c>
      <x:c r="C922" s="11" t="n">
        <x:v>53.016</x:v>
      </x:c>
      <x:c r="D922" s="11" t="n">
        <x:v>4.33</x:v>
      </x:c>
      <x:c r="E922" s="11" t="n">
        <x:v>-3.3</x:v>
      </x:c>
      <x:c r="F922" s="11" t="n">
        <x:f>SQRT((C922-C921)^2+(D922-D921)^2+(E922-E921)^2)</x:f>
        <x:v>4.280999999999999</x:v>
      </x:c>
      <x:c r="G922" s="8" t="str">
        <x:v>Current</x:v>
      </x:c>
    </x:row>
    <x:row r="923" ht="32" customHeight="1">
      <x:c r="A923" s="8" t="str">
        <x:v>trunk:LC1:L4:light:-1</x:v>
      </x:c>
      <x:c r="B923" s="8" t="n">
        <x:v>7</x:v>
      </x:c>
      <x:c r="C923" s="11" t="n">
        <x:v>53.016</x:v>
      </x:c>
      <x:c r="D923" s="11" t="n">
        <x:v>5.924</x:v>
      </x:c>
      <x:c r="E923" s="11" t="n">
        <x:v>-3.3</x:v>
      </x:c>
      <x:c r="F923" s="11" t="n">
        <x:f>SQRT((C923-C922)^2+(D923-D922)^2+(E923-E922)^2)</x:f>
        <x:v>1.5940000000000003</x:v>
      </x:c>
      <x:c r="G923" s="8" t="str">
        <x:v>Current</x:v>
      </x:c>
    </x:row>
    <x:row r="924" ht="32" customHeight="1">
      <x:c r="A924" s="8" t="str">
        <x:v>trunk:LC1:L4:light:-1</x:v>
      </x:c>
      <x:c r="B924" s="8" t="n">
        <x:v>8</x:v>
      </x:c>
      <x:c r="C924" s="11" t="n">
        <x:v>53.016</x:v>
      </x:c>
      <x:c r="D924" s="11" t="n">
        <x:v>5.924</x:v>
      </x:c>
      <x:c r="E924" s="11" t="n">
        <x:v>-7.36</x:v>
      </x:c>
      <x:c r="F924" s="11" t="n">
        <x:f>SQRT((C924-C923)^2+(D924-D923)^2+(E924-E923)^2)</x:f>
        <x:v>4.0600000000000005</x:v>
      </x:c>
      <x:c r="G924" s="8" t="str">
        <x:v>Current</x:v>
      </x:c>
    </x:row>
    <x:row r="925" ht="32" customHeight="1">
      <x:c r="A925" s="8" t="str">
        <x:v>trunk:LC1:L4:light:-1</x:v>
      </x:c>
      <x:c r="B925" s="8" t="n">
        <x:v>9</x:v>
      </x:c>
      <x:c r="C925" s="11" t="n">
        <x:v>44.175</x:v>
      </x:c>
      <x:c r="D925" s="11" t="n">
        <x:v>5.924</x:v>
      </x:c>
      <x:c r="E925" s="11" t="n">
        <x:v>-7.36</x:v>
      </x:c>
      <x:c r="F925" s="11" t="n">
        <x:f>SQRT((C925-C924)^2+(D925-D924)^2+(E925-E924)^2)</x:f>
        <x:v>8.841000000000001</x:v>
      </x:c>
      <x:c r="G925" s="8" t="str">
        <x:v>Current</x:v>
      </x:c>
    </x:row>
    <x:row r="926" ht="32" customHeight="1">
      <x:c r="A926" s="8" t="str">
        <x:v>trunk:LC1:L4:light:-1</x:v>
      </x:c>
      <x:c r="B926" s="8" t="n">
        <x:v>10</x:v>
      </x:c>
      <x:c r="C926" s="11" t="n">
        <x:v>44.175</x:v>
      </x:c>
      <x:c r="D926" s="11" t="n">
        <x:v>7.04</x:v>
      </x:c>
      <x:c r="E926" s="11" t="n">
        <x:v>-7.36</x:v>
      </x:c>
      <x:c r="F926" s="11" t="n">
        <x:f>SQRT((C926-C925)^2+(D926-D925)^2+(E926-E925)^2)</x:f>
        <x:v>1.1159999999999997</x:v>
      </x:c>
      <x:c r="G926" s="8" t="str">
        <x:v>Current</x:v>
      </x:c>
    </x:row>
    <x:row r="927" ht="32" customHeight="1">
      <x:c r="A927" s="8" t="str">
        <x:v>trunk:LC1:L4:light:-1</x:v>
      </x:c>
      <x:c r="B927" s="8" t="n">
        <x:v>11</x:v>
      </x:c>
      <x:c r="C927" s="11" t="n">
        <x:v>43.535</x:v>
      </x:c>
      <x:c r="D927" s="11" t="n">
        <x:v>7.04</x:v>
      </x:c>
      <x:c r="E927" s="11" t="n">
        <x:v>-7.36</x:v>
      </x:c>
      <x:c r="F927" s="11" t="n">
        <x:f>SQRT((C927-C926)^2+(D927-D926)^2+(E927-E926)^2)</x:f>
        <x:v>0.6400000000000006</x:v>
      </x:c>
      <x:c r="G927" s="8" t="str">
        <x:v>Current</x:v>
      </x:c>
    </x:row>
    <x:row r="928" ht="32" customHeight="1">
      <x:c r="A928" s="8" t="str">
        <x:v>trunk:LC1:L4:light:-1</x:v>
      </x:c>
      <x:c r="B928" s="8" t="n">
        <x:v>12</x:v>
      </x:c>
      <x:c r="C928" s="11" t="n">
        <x:v>43.455</x:v>
      </x:c>
      <x:c r="D928" s="11" t="n">
        <x:v>6.950412371134024</x:v>
      </x:c>
      <x:c r="E928" s="11" t="n">
        <x:v>-7.36</x:v>
      </x:c>
      <x:c r="F928" s="11" t="n">
        <x:f>SQRT((C928-C927)^2+(D928-D927)^2+(E928-E927)^2)</x:f>
        <x:v>0.12010804821421249</x:v>
      </x:c>
      <x:c r="G928" s="8" t="str">
        <x:v>Current</x:v>
      </x:c>
    </x:row>
    <x:row r="929" ht="32" customHeight="1">
      <x:c r="A929" s="8" t="str">
        <x:v>trunk:LC1:L4:light:-1</x:v>
      </x:c>
      <x:c r="B929" s="8" t="n">
        <x:v>13</x:v>
      </x:c>
      <x:c r="C929" s="11" t="n">
        <x:v>40.574999999999996</x:v>
      </x:c>
      <x:c r="D929" s="11" t="n">
        <x:v>9.269999999999994</x:v>
      </x:c>
      <x:c r="E929" s="11" t="n">
        <x:v>-7.36</x:v>
      </x:c>
      <x:c r="F929" s="11" t="n">
        <x:f>SQRT((C929-C928)^2+(D929-D928)^2+(E929-E928)^2)</x:f>
        <x:v>3.6979571073753776</x:v>
      </x:c>
      <x:c r="G929" s="8" t="str">
        <x:v>Current</x:v>
      </x:c>
    </x:row>
    <x:row r="930" ht="32" customHeight="1">
      <x:c r="A930" s="8" t="str">
        <x:v>trunk:LC1:L4:light:-1</x:v>
      </x:c>
      <x:c r="B930" s="8" t="n">
        <x:v>14</x:v>
      </x:c>
      <x:c r="C930" s="11" t="n">
        <x:v>37.695</x:v>
      </x:c>
      <x:c r="D930" s="11" t="n">
        <x:v>6.950412371134018</x:v>
      </x:c>
      <x:c r="E930" s="11" t="n">
        <x:v>-7.36</x:v>
      </x:c>
      <x:c r="F930" s="11" t="n">
        <x:f>SQRT((C930-C929)^2+(D930-D929)^2+(E930-E929)^2)</x:f>
        <x:v>3.697957107375376</x:v>
      </x:c>
      <x:c r="G930" s="8" t="str">
        <x:v>Current</x:v>
      </x:c>
    </x:row>
    <x:row r="931" ht="32" customHeight="1">
      <x:c r="A931" s="8" t="str">
        <x:v>trunk:LC1:L4:light:-1</x:v>
      </x:c>
      <x:c r="B931" s="8" t="n">
        <x:v>15</x:v>
      </x:c>
      <x:c r="C931" s="11" t="n">
        <x:v>37.615</x:v>
      </x:c>
      <x:c r="D931" s="11" t="n">
        <x:v>7.04</x:v>
      </x:c>
      <x:c r="E931" s="11" t="n">
        <x:v>-7.36</x:v>
      </x:c>
      <x:c r="F931" s="11" t="n">
        <x:f>SQRT((C931-C930)^2+(D931-D930)^2+(E931-E930)^2)</x:f>
        <x:v>0.12010804821421713</x:v>
      </x:c>
      <x:c r="G931" s="8" t="str">
        <x:v>Current</x:v>
      </x:c>
    </x:row>
    <x:row r="932" ht="32" customHeight="1">
      <x:c r="A932" s="8" t="str">
        <x:v>trunk:LC1:L4:light:-1</x:v>
      </x:c>
      <x:c r="B932" s="8" t="n">
        <x:v>16</x:v>
      </x:c>
      <x:c r="C932" s="11" t="n">
        <x:v>36.975</x:v>
      </x:c>
      <x:c r="D932" s="11" t="n">
        <x:v>7.04</x:v>
      </x:c>
      <x:c r="E932" s="11" t="n">
        <x:v>-7.36</x:v>
      </x:c>
      <x:c r="F932" s="11" t="n">
        <x:f>SQRT((C932-C931)^2+(D932-D931)^2+(E932-E931)^2)</x:f>
        <x:v>0.6400000000000006</x:v>
      </x:c>
      <x:c r="G932" s="8" t="str">
        <x:v>Current</x:v>
      </x:c>
    </x:row>
    <x:row r="933" ht="32" customHeight="1">
      <x:c r="A933" s="8" t="str">
        <x:v>trunk:LC1:L4:light:-1</x:v>
      </x:c>
      <x:c r="B933" s="8" t="n">
        <x:v>17</x:v>
      </x:c>
      <x:c r="C933" s="11" t="n">
        <x:v>36.975</x:v>
      </x:c>
      <x:c r="D933" s="11" t="n">
        <x:v>5.924</x:v>
      </x:c>
      <x:c r="E933" s="11" t="n">
        <x:v>-7.36</x:v>
      </x:c>
      <x:c r="F933" s="11" t="n">
        <x:f>SQRT((C933-C932)^2+(D933-D932)^2+(E933-E932)^2)</x:f>
        <x:v>1.1159999999999997</x:v>
      </x:c>
      <x:c r="G933" s="8" t="str">
        <x:v>Current</x:v>
      </x:c>
    </x:row>
    <x:row r="934" ht="32" customHeight="1">
      <x:c r="A934" s="8" t="str">
        <x:v>trunk:LC1:L4:light:-1</x:v>
      </x:c>
      <x:c r="B934" s="8" t="n">
        <x:v>18</x:v>
      </x:c>
      <x:c r="C934" s="11" t="n">
        <x:v>5.550000000000001</x:v>
      </x:c>
      <x:c r="D934" s="11" t="n">
        <x:v>5.924</x:v>
      </x:c>
      <x:c r="E934" s="11" t="n">
        <x:v>-7.36</x:v>
      </x:c>
      <x:c r="F934" s="11" t="n">
        <x:f>SQRT((C934-C933)^2+(D934-D933)^2+(E934-E933)^2)</x:f>
        <x:v>31.425</x:v>
      </x:c>
      <x:c r="G934" s="8" t="str">
        <x:v>Current</x:v>
      </x:c>
    </x:row>
    <x:row r="935" ht="32" customHeight="1">
      <x:c r="A935" s="8" t="str">
        <x:v>drop:LC1:L4:light:-1:L119</x:v>
      </x:c>
      <x:c r="B935" s="8" t="n">
        <x:v>1</x:v>
      </x:c>
      <x:c r="C935" s="11" t="n">
        <x:v>9.545000000000002</x:v>
      </x:c>
      <x:c r="D935" s="11" t="n">
        <x:v>5.924</x:v>
      </x:c>
      <x:c r="E935" s="11" t="n">
        <x:v>-7.36</x:v>
      </x:c>
      <x:c r="F935" s="11" t="n">
        <x:f>0</x:f>
        <x:v>0</x:v>
      </x:c>
      <x:c r="G935" s="8" t="str">
        <x:v>Current</x:v>
      </x:c>
    </x:row>
    <x:row r="936" ht="32" customHeight="1">
      <x:c r="A936" s="8" t="str">
        <x:v>drop:LC1:L4:light:-1:L119</x:v>
      </x:c>
      <x:c r="B936" s="8" t="n">
        <x:v>2</x:v>
      </x:c>
      <x:c r="C936" s="11" t="n">
        <x:v>9.545000000000002</x:v>
      </x:c>
      <x:c r="D936" s="11" t="n">
        <x:v>3.1</x:v>
      </x:c>
      <x:c r="E936" s="11" t="n">
        <x:v>-7.36</x:v>
      </x:c>
      <x:c r="F936" s="11" t="n">
        <x:f>SQRT((C936-C935)^2+(D936-D935)^2+(E936-E935)^2)</x:f>
        <x:v>2.8240000000000003</x:v>
      </x:c>
      <x:c r="G936" s="8" t="str">
        <x:v>Current</x:v>
      </x:c>
    </x:row>
    <x:row r="937" ht="32" customHeight="1">
      <x:c r="A937" s="8" t="str">
        <x:v>drop:LC1:L4:light:-1:L119</x:v>
      </x:c>
      <x:c r="B937" s="8" t="n">
        <x:v>3</x:v>
      </x:c>
      <x:c r="C937" s="11" t="n">
        <x:v>9.545</x:v>
      </x:c>
      <x:c r="D937" s="11" t="n">
        <x:v>3.1</x:v>
      </x:c>
      <x:c r="E937" s="11" t="n">
        <x:v>-7.47</x:v>
      </x:c>
      <x:c r="F937" s="11" t="n">
        <x:f>SQRT((C937-C936)^2+(D937-D936)^2+(E937-E936)^2)</x:f>
        <x:v>0.10999999999999943</x:v>
      </x:c>
      <x:c r="G937" s="8" t="str">
        <x:v>Current</x:v>
      </x:c>
    </x:row>
    <x:row r="938" ht="32" customHeight="1">
      <x:c r="A938" s="8" t="str">
        <x:v>drop:LC1:L4:light:-1:L120</x:v>
      </x:c>
      <x:c r="B938" s="8" t="n">
        <x:v>1</x:v>
      </x:c>
      <x:c r="C938" s="11" t="n">
        <x:v>14.045000000000002</x:v>
      </x:c>
      <x:c r="D938" s="11" t="n">
        <x:v>5.924</x:v>
      </x:c>
      <x:c r="E938" s="11" t="n">
        <x:v>-7.36</x:v>
      </x:c>
      <x:c r="F938" s="11" t="n">
        <x:f>0</x:f>
        <x:v>0</x:v>
      </x:c>
      <x:c r="G938" s="8" t="str">
        <x:v>Current</x:v>
      </x:c>
    </x:row>
    <x:row r="939" ht="32" customHeight="1">
      <x:c r="A939" s="8" t="str">
        <x:v>drop:LC1:L4:light:-1:L120</x:v>
      </x:c>
      <x:c r="B939" s="8" t="n">
        <x:v>2</x:v>
      </x:c>
      <x:c r="C939" s="11" t="n">
        <x:v>14.045000000000002</x:v>
      </x:c>
      <x:c r="D939" s="11" t="n">
        <x:v>3.1</x:v>
      </x:c>
      <x:c r="E939" s="11" t="n">
        <x:v>-7.36</x:v>
      </x:c>
      <x:c r="F939" s="11" t="n">
        <x:f>SQRT((C939-C938)^2+(D939-D938)^2+(E939-E938)^2)</x:f>
        <x:v>2.8240000000000003</x:v>
      </x:c>
      <x:c r="G939" s="8" t="str">
        <x:v>Current</x:v>
      </x:c>
    </x:row>
    <x:row r="940" ht="32" customHeight="1">
      <x:c r="A940" s="8" t="str">
        <x:v>drop:LC1:L4:light:-1:L120</x:v>
      </x:c>
      <x:c r="B940" s="8" t="n">
        <x:v>3</x:v>
      </x:c>
      <x:c r="C940" s="11" t="n">
        <x:v>14.045</x:v>
      </x:c>
      <x:c r="D940" s="11" t="n">
        <x:v>3.1</x:v>
      </x:c>
      <x:c r="E940" s="11" t="n">
        <x:v>-7.47</x:v>
      </x:c>
      <x:c r="F940" s="11" t="n">
        <x:f>SQRT((C940-C939)^2+(D940-D939)^2+(E940-E939)^2)</x:f>
        <x:v>0.10999999999999943</x:v>
      </x:c>
      <x:c r="G940" s="8" t="str">
        <x:v>Current</x:v>
      </x:c>
    </x:row>
    <x:row r="941" ht="32" customHeight="1">
      <x:c r="A941" s="8" t="str">
        <x:v>drop:LC1:L4:light:-1:L121</x:v>
      </x:c>
      <x:c r="B941" s="8" t="n">
        <x:v>1</x:v>
      </x:c>
      <x:c r="C941" s="11" t="n">
        <x:v>18.545</x:v>
      </x:c>
      <x:c r="D941" s="11" t="n">
        <x:v>5.924</x:v>
      </x:c>
      <x:c r="E941" s="11" t="n">
        <x:v>-7.36</x:v>
      </x:c>
      <x:c r="F941" s="11" t="n">
        <x:f>0</x:f>
        <x:v>0</x:v>
      </x:c>
      <x:c r="G941" s="8" t="str">
        <x:v>Current</x:v>
      </x:c>
    </x:row>
    <x:row r="942" ht="32" customHeight="1">
      <x:c r="A942" s="8" t="str">
        <x:v>drop:LC1:L4:light:-1:L121</x:v>
      </x:c>
      <x:c r="B942" s="8" t="n">
        <x:v>2</x:v>
      </x:c>
      <x:c r="C942" s="11" t="n">
        <x:v>18.545</x:v>
      </x:c>
      <x:c r="D942" s="11" t="n">
        <x:v>3.1</x:v>
      </x:c>
      <x:c r="E942" s="11" t="n">
        <x:v>-7.36</x:v>
      </x:c>
      <x:c r="F942" s="11" t="n">
        <x:f>SQRT((C942-C941)^2+(D942-D941)^2+(E942-E941)^2)</x:f>
        <x:v>2.8240000000000003</x:v>
      </x:c>
      <x:c r="G942" s="8" t="str">
        <x:v>Current</x:v>
      </x:c>
    </x:row>
    <x:row r="943" ht="32" customHeight="1">
      <x:c r="A943" s="8" t="str">
        <x:v>drop:LC1:L4:light:-1:L121</x:v>
      </x:c>
      <x:c r="B943" s="8" t="n">
        <x:v>3</x:v>
      </x:c>
      <x:c r="C943" s="11" t="n">
        <x:v>18.545</x:v>
      </x:c>
      <x:c r="D943" s="11" t="n">
        <x:v>3.1</x:v>
      </x:c>
      <x:c r="E943" s="11" t="n">
        <x:v>-7.47</x:v>
      </x:c>
      <x:c r="F943" s="11" t="n">
        <x:f>SQRT((C943-C942)^2+(D943-D942)^2+(E943-E942)^2)</x:f>
        <x:v>0.10999999999999943</x:v>
      </x:c>
      <x:c r="G943" s="8" t="str">
        <x:v>Current</x:v>
      </x:c>
    </x:row>
    <x:row r="944" ht="32" customHeight="1">
      <x:c r="A944" s="8" t="str">
        <x:v>drop:LC1:L4:light:-1:L122</x:v>
      </x:c>
      <x:c r="B944" s="8" t="n">
        <x:v>1</x:v>
      </x:c>
      <x:c r="C944" s="11" t="n">
        <x:v>23.045</x:v>
      </x:c>
      <x:c r="D944" s="11" t="n">
        <x:v>5.924</x:v>
      </x:c>
      <x:c r="E944" s="11" t="n">
        <x:v>-7.36</x:v>
      </x:c>
      <x:c r="F944" s="11" t="n">
        <x:f>0</x:f>
        <x:v>0</x:v>
      </x:c>
      <x:c r="G944" s="8" t="str">
        <x:v>Current</x:v>
      </x:c>
    </x:row>
    <x:row r="945" ht="32" customHeight="1">
      <x:c r="A945" s="8" t="str">
        <x:v>drop:LC1:L4:light:-1:L122</x:v>
      </x:c>
      <x:c r="B945" s="8" t="n">
        <x:v>2</x:v>
      </x:c>
      <x:c r="C945" s="11" t="n">
        <x:v>23.045</x:v>
      </x:c>
      <x:c r="D945" s="11" t="n">
        <x:v>3.1</x:v>
      </x:c>
      <x:c r="E945" s="11" t="n">
        <x:v>-7.36</x:v>
      </x:c>
      <x:c r="F945" s="11" t="n">
        <x:f>SQRT((C945-C944)^2+(D945-D944)^2+(E945-E944)^2)</x:f>
        <x:v>2.8240000000000003</x:v>
      </x:c>
      <x:c r="G945" s="8" t="str">
        <x:v>Current</x:v>
      </x:c>
    </x:row>
    <x:row r="946" ht="32" customHeight="1">
      <x:c r="A946" s="8" t="str">
        <x:v>drop:LC1:L4:light:-1:L122</x:v>
      </x:c>
      <x:c r="B946" s="8" t="n">
        <x:v>3</x:v>
      </x:c>
      <x:c r="C946" s="11" t="n">
        <x:v>23.045</x:v>
      </x:c>
      <x:c r="D946" s="11" t="n">
        <x:v>3.1</x:v>
      </x:c>
      <x:c r="E946" s="11" t="n">
        <x:v>-7.47</x:v>
      </x:c>
      <x:c r="F946" s="11" t="n">
        <x:f>SQRT((C946-C945)^2+(D946-D945)^2+(E946-E945)^2)</x:f>
        <x:v>0.10999999999999943</x:v>
      </x:c>
      <x:c r="G946" s="8" t="str">
        <x:v>Current</x:v>
      </x:c>
    </x:row>
    <x:row r="947" ht="32" customHeight="1">
      <x:c r="A947" s="8" t="str">
        <x:v>drop:LC1:L4:light:-1:L123</x:v>
      </x:c>
      <x:c r="B947" s="8" t="n">
        <x:v>1</x:v>
      </x:c>
      <x:c r="C947" s="11" t="n">
        <x:v>27.545</x:v>
      </x:c>
      <x:c r="D947" s="11" t="n">
        <x:v>5.924</x:v>
      </x:c>
      <x:c r="E947" s="11" t="n">
        <x:v>-7.36</x:v>
      </x:c>
      <x:c r="F947" s="11" t="n">
        <x:f>0</x:f>
        <x:v>0</x:v>
      </x:c>
      <x:c r="G947" s="8" t="str">
        <x:v>Current</x:v>
      </x:c>
    </x:row>
    <x:row r="948" ht="32" customHeight="1">
      <x:c r="A948" s="8" t="str">
        <x:v>drop:LC1:L4:light:-1:L123</x:v>
      </x:c>
      <x:c r="B948" s="8" t="n">
        <x:v>2</x:v>
      </x:c>
      <x:c r="C948" s="11" t="n">
        <x:v>27.545</x:v>
      </x:c>
      <x:c r="D948" s="11" t="n">
        <x:v>3.1</x:v>
      </x:c>
      <x:c r="E948" s="11" t="n">
        <x:v>-7.36</x:v>
      </x:c>
      <x:c r="F948" s="11" t="n">
        <x:f>SQRT((C948-C947)^2+(D948-D947)^2+(E948-E947)^2)</x:f>
        <x:v>2.8240000000000003</x:v>
      </x:c>
      <x:c r="G948" s="8" t="str">
        <x:v>Current</x:v>
      </x:c>
    </x:row>
    <x:row r="949" ht="32" customHeight="1">
      <x:c r="A949" s="8" t="str">
        <x:v>drop:LC1:L4:light:-1:L123</x:v>
      </x:c>
      <x:c r="B949" s="8" t="n">
        <x:v>3</x:v>
      </x:c>
      <x:c r="C949" s="11" t="n">
        <x:v>27.545</x:v>
      </x:c>
      <x:c r="D949" s="11" t="n">
        <x:v>3.1</x:v>
      </x:c>
      <x:c r="E949" s="11" t="n">
        <x:v>-7.47</x:v>
      </x:c>
      <x:c r="F949" s="11" t="n">
        <x:f>SQRT((C949-C948)^2+(D949-D948)^2+(E949-E948)^2)</x:f>
        <x:v>0.10999999999999943</x:v>
      </x:c>
      <x:c r="G949" s="8" t="str">
        <x:v>Current</x:v>
      </x:c>
    </x:row>
    <x:row r="950" ht="32" customHeight="1">
      <x:c r="A950" s="8" t="str">
        <x:v>drop:LC1:L4:light:-1:L124</x:v>
      </x:c>
      <x:c r="B950" s="8" t="n">
        <x:v>1</x:v>
      </x:c>
      <x:c r="C950" s="11" t="n">
        <x:v>32.045</x:v>
      </x:c>
      <x:c r="D950" s="11" t="n">
        <x:v>5.924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drop:LC1:L4:light:-1:L124</x:v>
      </x:c>
      <x:c r="B951" s="8" t="n">
        <x:v>2</x:v>
      </x:c>
      <x:c r="C951" s="11" t="n">
        <x:v>32.045</x:v>
      </x:c>
      <x:c r="D951" s="11" t="n">
        <x:v>3.1</x:v>
      </x:c>
      <x:c r="E951" s="11" t="n">
        <x:v>-7.36</x:v>
      </x:c>
      <x:c r="F951" s="11" t="n">
        <x:f>SQRT((C951-C950)^2+(D951-D950)^2+(E951-E950)^2)</x:f>
        <x:v>2.8240000000000003</x:v>
      </x:c>
      <x:c r="G951" s="8" t="str">
        <x:v>Current</x:v>
      </x:c>
    </x:row>
    <x:row r="952" ht="32" customHeight="1">
      <x:c r="A952" s="8" t="str">
        <x:v>drop:LC1:L4:light:-1:L124</x:v>
      </x:c>
      <x:c r="B952" s="8" t="n">
        <x:v>3</x:v>
      </x:c>
      <x:c r="C952" s="11" t="n">
        <x:v>32.045</x:v>
      </x:c>
      <x:c r="D952" s="11" t="n">
        <x:v>3.1</x:v>
      </x:c>
      <x:c r="E952" s="11" t="n">
        <x:v>-7.47</x:v>
      </x:c>
      <x:c r="F952" s="11" t="n">
        <x:f>SQRT((C952-C951)^2+(D952-D951)^2+(E952-E951)^2)</x:f>
        <x:v>0.10999999999999943</x:v>
      </x:c>
      <x:c r="G952" s="8" t="str">
        <x:v>Current</x:v>
      </x:c>
    </x:row>
    <x:row r="953" ht="32" customHeight="1">
      <x:c r="A953" s="8" t="str">
        <x:v>drop:LC1:L4:light:-1:L125</x:v>
      </x:c>
      <x:c r="B953" s="8" t="n">
        <x:v>1</x:v>
      </x:c>
      <x:c r="C953" s="11" t="n">
        <x:v>36.545</x:v>
      </x:c>
      <x:c r="D953" s="11" t="n">
        <x:v>5.924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drop:LC1:L4:light:-1:L125</x:v>
      </x:c>
      <x:c r="B954" s="8" t="n">
        <x:v>2</x:v>
      </x:c>
      <x:c r="C954" s="11" t="n">
        <x:v>36.545</x:v>
      </x:c>
      <x:c r="D954" s="11" t="n">
        <x:v>3.1</x:v>
      </x:c>
      <x:c r="E954" s="11" t="n">
        <x:v>-7.36</x:v>
      </x:c>
      <x:c r="F954" s="11" t="n">
        <x:f>SQRT((C954-C953)^2+(D954-D953)^2+(E954-E953)^2)</x:f>
        <x:v>2.8240000000000003</x:v>
      </x:c>
      <x:c r="G954" s="8" t="str">
        <x:v>Current</x:v>
      </x:c>
    </x:row>
    <x:row r="955" ht="32" customHeight="1">
      <x:c r="A955" s="8" t="str">
        <x:v>drop:LC1:L4:light:-1:L125</x:v>
      </x:c>
      <x:c r="B955" s="8" t="n">
        <x:v>3</x:v>
      </x:c>
      <x:c r="C955" s="11" t="n">
        <x:v>36.545</x:v>
      </x:c>
      <x:c r="D955" s="11" t="n">
        <x:v>3.1</x:v>
      </x:c>
      <x:c r="E955" s="11" t="n">
        <x:v>-7.47</x:v>
      </x:c>
      <x:c r="F955" s="11" t="n">
        <x:f>SQRT((C955-C954)^2+(D955-D954)^2+(E955-E954)^2)</x:f>
        <x:v>0.10999999999999943</x:v>
      </x:c>
      <x:c r="G955" s="8" t="str">
        <x:v>Current</x:v>
      </x:c>
    </x:row>
    <x:row r="956" ht="32" customHeight="1">
      <x:c r="A956" s="8" t="str">
        <x:v>drop:LC1:L4:light:-1:L126</x:v>
      </x:c>
      <x:c r="B956" s="8" t="n">
        <x:v>1</x:v>
      </x:c>
      <x:c r="C956" s="11" t="n">
        <x:v>48.245</x:v>
      </x:c>
      <x:c r="D956" s="11" t="n">
        <x:v>5.924</x:v>
      </x:c>
      <x:c r="E956" s="11" t="n">
        <x:v>-7.36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drop:LC1:L4:light:-1:L126</x:v>
      </x:c>
      <x:c r="B957" s="8" t="n">
        <x:v>2</x:v>
      </x:c>
      <x:c r="C957" s="11" t="n">
        <x:v>48.245</x:v>
      </x:c>
      <x:c r="D957" s="11" t="n">
        <x:v>3.1</x:v>
      </x:c>
      <x:c r="E957" s="11" t="n">
        <x:v>-7.36</x:v>
      </x:c>
      <x:c r="F957" s="11" t="n">
        <x:f>SQRT((C957-C956)^2+(D957-D956)^2+(E957-E956)^2)</x:f>
        <x:v>2.8240000000000003</x:v>
      </x:c>
      <x:c r="G957" s="8" t="str">
        <x:v>Current</x:v>
      </x:c>
    </x:row>
    <x:row r="958" ht="32" customHeight="1">
      <x:c r="A958" s="8" t="str">
        <x:v>drop:LC1:L4:light:-1:L126</x:v>
      </x:c>
      <x:c r="B958" s="8" t="n">
        <x:v>3</x:v>
      </x:c>
      <x:c r="C958" s="11" t="n">
        <x:v>48.245</x:v>
      </x:c>
      <x:c r="D958" s="11" t="n">
        <x:v>3.1</x:v>
      </x:c>
      <x:c r="E958" s="11" t="n">
        <x:v>-7.47</x:v>
      </x:c>
      <x:c r="F958" s="11" t="n">
        <x:f>SQRT((C958-C957)^2+(D958-D957)^2+(E958-E957)^2)</x:f>
        <x:v>0.10999999999999943</x:v>
      </x:c>
      <x:c r="G958" s="8" t="str">
        <x:v>Current</x:v>
      </x:c>
    </x:row>
    <x:row r="959" ht="32" customHeight="1">
      <x:c r="A959" s="8" t="str">
        <x:v>drop:LC1:L4:light:-1:L127</x:v>
      </x:c>
      <x:c r="B959" s="8" t="n">
        <x:v>1</x:v>
      </x:c>
      <x:c r="C959" s="11" t="n">
        <x:v>52.586</x:v>
      </x:c>
      <x:c r="D959" s="11" t="n">
        <x:v>5.924</x:v>
      </x:c>
      <x:c r="E959" s="11" t="n">
        <x:v>-7.36</x:v>
      </x:c>
      <x:c r="F959" s="11" t="n">
        <x:f>0</x:f>
        <x:v>0</x:v>
      </x:c>
      <x:c r="G959" s="8" t="str">
        <x:v>Current</x:v>
      </x:c>
    </x:row>
    <x:row r="960" ht="32" customHeight="1">
      <x:c r="A960" s="8" t="str">
        <x:v>drop:LC1:L4:light:-1:L127</x:v>
      </x:c>
      <x:c r="B960" s="8" t="n">
        <x:v>2</x:v>
      </x:c>
      <x:c r="C960" s="11" t="n">
        <x:v>52.586</x:v>
      </x:c>
      <x:c r="D960" s="11" t="n">
        <x:v>3.1</x:v>
      </x:c>
      <x:c r="E960" s="11" t="n">
        <x:v>-7.36</x:v>
      </x:c>
      <x:c r="F960" s="11" t="n">
        <x:f>SQRT((C960-C959)^2+(D960-D959)^2+(E960-E959)^2)</x:f>
        <x:v>2.8240000000000003</x:v>
      </x:c>
      <x:c r="G960" s="8" t="str">
        <x:v>Current</x:v>
      </x:c>
    </x:row>
    <x:row r="961" ht="32" customHeight="1">
      <x:c r="A961" s="8" t="str">
        <x:v>drop:LC1:L4:light:-1:L127</x:v>
      </x:c>
      <x:c r="B961" s="8" t="n">
        <x:v>3</x:v>
      </x:c>
      <x:c r="C961" s="11" t="n">
        <x:v>52.586</x:v>
      </x:c>
      <x:c r="D961" s="11" t="n">
        <x:v>3.1</x:v>
      </x:c>
      <x:c r="E961" s="11" t="n">
        <x:v>-7.47</x:v>
      </x:c>
      <x:c r="F961" s="11" t="n">
        <x:f>SQRT((C961-C960)^2+(D961-D960)^2+(E961-E960)^2)</x:f>
        <x:v>0.10999999999999943</x:v>
      </x:c>
      <x:c r="G961" s="8" t="str">
        <x:v>Current</x:v>
      </x:c>
    </x:row>
    <x:row r="962" ht="32" customHeight="1">
      <x:c r="A962" s="8" t="str">
        <x:v>drop:LC1:L4:light:-1:L-ARCH-B-2P-3-A</x:v>
      </x:c>
      <x:c r="B962" s="8" t="n">
        <x:v>1</x:v>
      </x:c>
      <x:c r="C962" s="11" t="n">
        <x:v>5.550000000000001</x:v>
      </x:c>
      <x:c r="D962" s="11" t="n">
        <x:v>5.924</x:v>
      </x:c>
      <x:c r="E962" s="11" t="n">
        <x:v>-7.36</x:v>
      </x:c>
      <x:c r="F962" s="11" t="n">
        <x:f>0</x:f>
        <x:v>0</x:v>
      </x:c>
      <x:c r="G962" s="8" t="str">
        <x:v>Current</x:v>
      </x:c>
    </x:row>
    <x:row r="963" ht="32" customHeight="1">
      <x:c r="A963" s="8" t="str">
        <x:v>drop:LC1:L4:light:-1:L-ARCH-B-2P-3-A</x:v>
      </x:c>
      <x:c r="B963" s="8" t="n">
        <x:v>2</x:v>
      </x:c>
      <x:c r="C963" s="11" t="n">
        <x:v>5.550000000000001</x:v>
      </x:c>
      <x:c r="D963" s="11" t="n">
        <x:v>7.04</x:v>
      </x:c>
      <x:c r="E963" s="11" t="n">
        <x:v>-7.36</x:v>
      </x:c>
      <x:c r="F963" s="11" t="n">
        <x:f>SQRT((C963-C962)^2+(D963-D962)^2+(E963-E962)^2)</x:f>
        <x:v>1.1159999999999997</x:v>
      </x:c>
      <x:c r="G963" s="8" t="str">
        <x:v>Current</x:v>
      </x:c>
    </x:row>
    <x:row r="964" ht="32" customHeight="1">
      <x:c r="A964" s="8" t="str">
        <x:v>drop:LC1:L4:light:-1:L-ARCH-B-2P-3-A</x:v>
      </x:c>
      <x:c r="B964" s="8" t="n">
        <x:v>3</x:v>
      </x:c>
      <x:c r="C964" s="11" t="n">
        <x:v>5.55</x:v>
      </x:c>
      <x:c r="D964" s="11" t="n">
        <x:v>6.932586272843179</x:v>
      </x:c>
      <x:c r="E964" s="11" t="n">
        <x:v>-7.438307692307693</x:v>
      </x:c>
      <x:c r="F964" s="11" t="n">
        <x:f>SQRT((C964-C963)^2+(D964-D963)^2+(E964-E963)^2)</x:f>
        <x:v>0.13292781295227982</x:v>
      </x:c>
      <x:c r="G964" s="8" t="str">
        <x:v>Current</x:v>
      </x:c>
    </x:row>
    <x:row r="965" ht="32" customHeight="1">
      <x:c r="A965" s="8" t="str">
        <x:v>drop:LC1:L4:light:-1:L-ARCH-B-2P-3-A</x:v>
      </x:c>
      <x:c r="B965" s="8" t="n">
        <x:v>4</x:v>
      </x:c>
      <x:c r="C965" s="11" t="n">
        <x:v>5.55</x:v>
      </x:c>
      <x:c r="D965" s="11" t="n">
        <x:v>6.270864640883978</x:v>
      </x:c>
      <x:c r="E965" s="11" t="n">
        <x:v>-10.414</x:v>
      </x:c>
      <x:c r="F965" s="11" t="n">
        <x:f>SQRT((C965-C964)^2+(D965-D964)^2+(E965-E964)^2)</x:f>
        <x:v>3.048379935024818</x:v>
      </x:c>
      <x:c r="G965" s="8" t="str">
        <x:v>Current</x:v>
      </x:c>
    </x:row>
    <x:row r="966" ht="32" customHeight="1">
      <x:c r="A966" s="8" t="str">
        <x:v>drop:LC1:L4:light:-1:L-ARCH-B-2P-3-A</x:v>
      </x:c>
      <x:c r="B966" s="8" t="n">
        <x:v>5</x:v>
      </x:c>
      <x:c r="C966" s="11" t="n">
        <x:v>5.55</x:v>
      </x:c>
      <x:c r="D966" s="11" t="n">
        <x:v>2.6</x:v>
      </x:c>
      <x:c r="E966" s="11" t="n">
        <x:v>-10.414</x:v>
      </x:c>
      <x:c r="F966" s="11" t="n">
        <x:f>SQRT((C966-C965)^2+(D966-D965)^2+(E966-E965)^2)</x:f>
        <x:v>3.6708646408839782</x:v>
      </x:c>
      <x:c r="G966" s="8" t="str">
        <x:v>Current</x:v>
      </x:c>
    </x:row>
    <x:row r="967" ht="32" customHeight="1">
      <x:c r="A967" s="8" t="str">
        <x:v>drop:LC1:L4:light:-1:L-ARCH-B-2P-3-A</x:v>
      </x:c>
      <x:c r="B967" s="8" t="n">
        <x:v>6</x:v>
      </x:c>
      <x:c r="C967" s="11" t="n">
        <x:v>5.55</x:v>
      </x:c>
      <x:c r="D967" s="11" t="n">
        <x:v>2.6</x:v>
      </x:c>
      <x:c r="E967" s="11" t="n">
        <x:v>-10.654</x:v>
      </x:c>
      <x:c r="F967" s="11" t="n">
        <x:f>SQRT((C967-C966)^2+(D967-D966)^2+(E967-E966)^2)</x:f>
        <x:v>0.2400000000000002</x:v>
      </x:c>
      <x:c r="G967" s="8" t="str">
        <x:v>Current</x:v>
      </x:c>
    </x:row>
    <x:row r="968" ht="32" customHeight="1">
      <x:c r="A968" s="8" t="str">
        <x:v>drop:LC1:L4:light:-1:L-ARCH-B-2P-3-B</x:v>
      </x:c>
      <x:c r="B968" s="8" t="n">
        <x:v>1</x:v>
      </x:c>
      <x:c r="C968" s="11" t="n">
        <x:v>9.899999999999999</x:v>
      </x:c>
      <x:c r="D968" s="11" t="n">
        <x:v>5.924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drop:LC1:L4:light:-1:L-ARCH-B-2P-3-B</x:v>
      </x:c>
      <x:c r="B969" s="8" t="n">
        <x:v>2</x:v>
      </x:c>
      <x:c r="C969" s="11" t="n">
        <x:v>9.899999999999999</x:v>
      </x:c>
      <x:c r="D969" s="11" t="n">
        <x:v>7.04</x:v>
      </x:c>
      <x:c r="E969" s="11" t="n">
        <x:v>-7.36</x:v>
      </x:c>
      <x:c r="F969" s="11" t="n">
        <x:f>SQRT((C969-C968)^2+(D969-D968)^2+(E969-E968)^2)</x:f>
        <x:v>1.1159999999999997</x:v>
      </x:c>
      <x:c r="G969" s="8" t="str">
        <x:v>Current</x:v>
      </x:c>
    </x:row>
    <x:row r="970" ht="32" customHeight="1">
      <x:c r="A970" s="8" t="str">
        <x:v>drop:LC1:L4:light:-1:L-ARCH-B-2P-3-B</x:v>
      </x:c>
      <x:c r="B970" s="8" t="n">
        <x:v>3</x:v>
      </x:c>
      <x:c r="C970" s="11" t="n">
        <x:v>9.9</x:v>
      </x:c>
      <x:c r="D970" s="11" t="n">
        <x:v>6.932586272843179</x:v>
      </x:c>
      <x:c r="E970" s="11" t="n">
        <x:v>-7.438307692307693</x:v>
      </x:c>
      <x:c r="F970" s="11" t="n">
        <x:f>SQRT((C970-C969)^2+(D970-D969)^2+(E970-E969)^2)</x:f>
        <x:v>0.13292781295227982</x:v>
      </x:c>
      <x:c r="G970" s="8" t="str">
        <x:v>Current</x:v>
      </x:c>
    </x:row>
    <x:row r="971" ht="32" customHeight="1">
      <x:c r="A971" s="8" t="str">
        <x:v>drop:LC1:L4:light:-1:L-ARCH-B-2P-3-B</x:v>
      </x:c>
      <x:c r="B971" s="8" t="n">
        <x:v>4</x:v>
      </x:c>
      <x:c r="C971" s="11" t="n">
        <x:v>9.9</x:v>
      </x:c>
      <x:c r="D971" s="11" t="n">
        <x:v>6.270864640883978</x:v>
      </x:c>
      <x:c r="E971" s="11" t="n">
        <x:v>-10.414</x:v>
      </x:c>
      <x:c r="F971" s="11" t="n">
        <x:f>SQRT((C971-C970)^2+(D971-D970)^2+(E971-E970)^2)</x:f>
        <x:v>3.048379935024818</x:v>
      </x:c>
      <x:c r="G971" s="8" t="str">
        <x:v>Current</x:v>
      </x:c>
    </x:row>
    <x:row r="972" ht="32" customHeight="1">
      <x:c r="A972" s="8" t="str">
        <x:v>drop:LC1:L4:light:-1:L-ARCH-B-2P-3-B</x:v>
      </x:c>
      <x:c r="B972" s="8" t="n">
        <x:v>5</x:v>
      </x:c>
      <x:c r="C972" s="11" t="n">
        <x:v>9.9</x:v>
      </x:c>
      <x:c r="D972" s="11" t="n">
        <x:v>2.6</x:v>
      </x:c>
      <x:c r="E972" s="11" t="n">
        <x:v>-10.414</x:v>
      </x:c>
      <x:c r="F972" s="11" t="n">
        <x:f>SQRT((C972-C971)^2+(D972-D971)^2+(E972-E971)^2)</x:f>
        <x:v>3.6708646408839782</x:v>
      </x:c>
      <x:c r="G972" s="8" t="str">
        <x:v>Current</x:v>
      </x:c>
    </x:row>
    <x:row r="973" ht="32" customHeight="1">
      <x:c r="A973" s="8" t="str">
        <x:v>drop:LC1:L4:light:-1:L-ARCH-B-2P-3-B</x:v>
      </x:c>
      <x:c r="B973" s="8" t="n">
        <x:v>6</x:v>
      </x:c>
      <x:c r="C973" s="11" t="n">
        <x:v>9.9</x:v>
      </x:c>
      <x:c r="D973" s="11" t="n">
        <x:v>2.6</x:v>
      </x:c>
      <x:c r="E973" s="11" t="n">
        <x:v>-10.654</x:v>
      </x:c>
      <x:c r="F973" s="11" t="n">
        <x:f>SQRT((C973-C972)^2+(D973-D972)^2+(E973-E972)^2)</x:f>
        <x:v>0.2400000000000002</x:v>
      </x:c>
      <x:c r="G973" s="8" t="str">
        <x:v>Current</x:v>
      </x:c>
    </x:row>
    <x:row r="974" ht="32" customHeight="1">
      <x:c r="A974" s="8" t="str">
        <x:v>drop:LC1:L4:light:-1:L-ARCH-B-3-4-A</x:v>
      </x:c>
      <x:c r="B974" s="8" t="n">
        <x:v>1</x:v>
      </x:c>
      <x:c r="C974" s="11" t="n">
        <x:v>10.049999999999997</x:v>
      </x:c>
      <x:c r="D974" s="11" t="n">
        <x:v>5.924</x:v>
      </x:c>
      <x:c r="E974" s="11" t="n">
        <x:v>-7.36</x:v>
      </x:c>
      <x:c r="F974" s="11" t="n">
        <x:f>0</x:f>
        <x:v>0</x:v>
      </x:c>
      <x:c r="G974" s="8" t="str">
        <x:v>Current</x:v>
      </x:c>
    </x:row>
    <x:row r="975" ht="32" customHeight="1">
      <x:c r="A975" s="8" t="str">
        <x:v>drop:LC1:L4:light:-1:L-ARCH-B-3-4-A</x:v>
      </x:c>
      <x:c r="B975" s="8" t="n">
        <x:v>2</x:v>
      </x:c>
      <x:c r="C975" s="11" t="n">
        <x:v>10.049999999999997</x:v>
      </x:c>
      <x:c r="D975" s="11" t="n">
        <x:v>7.04</x:v>
      </x:c>
      <x:c r="E975" s="11" t="n">
        <x:v>-7.36</x:v>
      </x:c>
      <x:c r="F975" s="11" t="n">
        <x:f>SQRT((C975-C974)^2+(D975-D974)^2+(E975-E974)^2)</x:f>
        <x:v>1.1159999999999997</x:v>
      </x:c>
      <x:c r="G975" s="8" t="str">
        <x:v>Current</x:v>
      </x:c>
    </x:row>
    <x:row r="976" ht="32" customHeight="1">
      <x:c r="A976" s="8" t="str">
        <x:v>drop:LC1:L4:light:-1:L-ARCH-B-3-4-A</x:v>
      </x:c>
      <x:c r="B976" s="8" t="n">
        <x:v>3</x:v>
      </x:c>
      <x:c r="C976" s="11" t="n">
        <x:v>10.049999999999999</x:v>
      </x:c>
      <x:c r="D976" s="11" t="n">
        <x:v>6.932586272843179</x:v>
      </x:c>
      <x:c r="E976" s="11" t="n">
        <x:v>-7.438307692307693</x:v>
      </x:c>
      <x:c r="F976" s="11" t="n">
        <x:f>SQRT((C976-C975)^2+(D976-D975)^2+(E976-E975)^2)</x:f>
        <x:v>0.13292781295227982</x:v>
      </x:c>
      <x:c r="G976" s="8" t="str">
        <x:v>Current</x:v>
      </x:c>
    </x:row>
    <x:row r="977" ht="32" customHeight="1">
      <x:c r="A977" s="8" t="str">
        <x:v>drop:LC1:L4:light:-1:L-ARCH-B-3-4-A</x:v>
      </x:c>
      <x:c r="B977" s="8" t="n">
        <x:v>4</x:v>
      </x:c>
      <x:c r="C977" s="11" t="n">
        <x:v>10.049999999999999</x:v>
      </x:c>
      <x:c r="D977" s="11" t="n">
        <x:v>6.270864640883978</x:v>
      </x:c>
      <x:c r="E977" s="11" t="n">
        <x:v>-10.414</x:v>
      </x:c>
      <x:c r="F977" s="11" t="n">
        <x:f>SQRT((C977-C976)^2+(D977-D976)^2+(E977-E976)^2)</x:f>
        <x:v>3.048379935024818</x:v>
      </x:c>
      <x:c r="G977" s="8" t="str">
        <x:v>Current</x:v>
      </x:c>
    </x:row>
    <x:row r="978" ht="32" customHeight="1">
      <x:c r="A978" s="8" t="str">
        <x:v>drop:LC1:L4:light:-1:L-ARCH-B-3-4-A</x:v>
      </x:c>
      <x:c r="B978" s="8" t="n">
        <x:v>5</x:v>
      </x:c>
      <x:c r="C978" s="11" t="n">
        <x:v>10.049999999999999</x:v>
      </x:c>
      <x:c r="D978" s="11" t="n">
        <x:v>2.6</x:v>
      </x:c>
      <x:c r="E978" s="11" t="n">
        <x:v>-10.414</x:v>
      </x:c>
      <x:c r="F978" s="11" t="n">
        <x:f>SQRT((C978-C977)^2+(D978-D977)^2+(E978-E977)^2)</x:f>
        <x:v>3.6708646408839782</x:v>
      </x:c>
      <x:c r="G978" s="8" t="str">
        <x:v>Current</x:v>
      </x:c>
    </x:row>
    <x:row r="979" ht="32" customHeight="1">
      <x:c r="A979" s="8" t="str">
        <x:v>drop:LC1:L4:light:-1:L-ARCH-B-3-4-A</x:v>
      </x:c>
      <x:c r="B979" s="8" t="n">
        <x:v>6</x:v>
      </x:c>
      <x:c r="C979" s="11" t="n">
        <x:v>10.049999999999999</x:v>
      </x:c>
      <x:c r="D979" s="11" t="n">
        <x:v>2.6</x:v>
      </x:c>
      <x:c r="E979" s="11" t="n">
        <x:v>-10.654</x:v>
      </x:c>
      <x:c r="F979" s="11" t="n">
        <x:f>SQRT((C979-C978)^2+(D979-D978)^2+(E979-E978)^2)</x:f>
        <x:v>0.2400000000000002</x:v>
      </x:c>
      <x:c r="G979" s="8" t="str">
        <x:v>Current</x:v>
      </x:c>
    </x:row>
    <x:row r="980" ht="32" customHeight="1">
      <x:c r="A980" s="8" t="str">
        <x:v>drop:LC1:L4:light:-1:L-ARCH-B-3-4-B</x:v>
      </x:c>
      <x:c r="B980" s="8" t="n">
        <x:v>1</x:v>
      </x:c>
      <x:c r="C980" s="11" t="n">
        <x:v>14.399999999999999</x:v>
      </x:c>
      <x:c r="D980" s="11" t="n">
        <x:v>5.924</x:v>
      </x:c>
      <x:c r="E980" s="11" t="n">
        <x:v>-7.36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drop:LC1:L4:light:-1:L-ARCH-B-3-4-B</x:v>
      </x:c>
      <x:c r="B981" s="8" t="n">
        <x:v>2</x:v>
      </x:c>
      <x:c r="C981" s="11" t="n">
        <x:v>14.399999999999999</x:v>
      </x:c>
      <x:c r="D981" s="11" t="n">
        <x:v>7.04</x:v>
      </x:c>
      <x:c r="E981" s="11" t="n">
        <x:v>-7.36</x:v>
      </x:c>
      <x:c r="F981" s="11" t="n">
        <x:f>SQRT((C981-C980)^2+(D981-D980)^2+(E981-E980)^2)</x:f>
        <x:v>1.1159999999999997</x:v>
      </x:c>
      <x:c r="G981" s="8" t="str">
        <x:v>Current</x:v>
      </x:c>
    </x:row>
    <x:row r="982" ht="32" customHeight="1">
      <x:c r="A982" s="8" t="str">
        <x:v>drop:LC1:L4:light:-1:L-ARCH-B-3-4-B</x:v>
      </x:c>
      <x:c r="B982" s="8" t="n">
        <x:v>3</x:v>
      </x:c>
      <x:c r="C982" s="11" t="n">
        <x:v>14.4</x:v>
      </x:c>
      <x:c r="D982" s="11" t="n">
        <x:v>6.932586272843179</x:v>
      </x:c>
      <x:c r="E982" s="11" t="n">
        <x:v>-7.438307692307693</x:v>
      </x:c>
      <x:c r="F982" s="11" t="n">
        <x:f>SQRT((C982-C981)^2+(D982-D981)^2+(E982-E981)^2)</x:f>
        <x:v>0.13292781295227982</x:v>
      </x:c>
      <x:c r="G982" s="8" t="str">
        <x:v>Current</x:v>
      </x:c>
    </x:row>
    <x:row r="983" ht="32" customHeight="1">
      <x:c r="A983" s="8" t="str">
        <x:v>drop:LC1:L4:light:-1:L-ARCH-B-3-4-B</x:v>
      </x:c>
      <x:c r="B983" s="8" t="n">
        <x:v>4</x:v>
      </x:c>
      <x:c r="C983" s="11" t="n">
        <x:v>14.4</x:v>
      </x:c>
      <x:c r="D983" s="11" t="n">
        <x:v>6.270864640883978</x:v>
      </x:c>
      <x:c r="E983" s="11" t="n">
        <x:v>-10.414</x:v>
      </x:c>
      <x:c r="F983" s="11" t="n">
        <x:f>SQRT((C983-C982)^2+(D983-D982)^2+(E983-E982)^2)</x:f>
        <x:v>3.048379935024818</x:v>
      </x:c>
      <x:c r="G983" s="8" t="str">
        <x:v>Current</x:v>
      </x:c>
    </x:row>
    <x:row r="984" ht="32" customHeight="1">
      <x:c r="A984" s="8" t="str">
        <x:v>drop:LC1:L4:light:-1:L-ARCH-B-3-4-B</x:v>
      </x:c>
      <x:c r="B984" s="8" t="n">
        <x:v>5</x:v>
      </x:c>
      <x:c r="C984" s="11" t="n">
        <x:v>14.4</x:v>
      </x:c>
      <x:c r="D984" s="11" t="n">
        <x:v>2.6</x:v>
      </x:c>
      <x:c r="E984" s="11" t="n">
        <x:v>-10.414</x:v>
      </x:c>
      <x:c r="F984" s="11" t="n">
        <x:f>SQRT((C984-C983)^2+(D984-D983)^2+(E984-E983)^2)</x:f>
        <x:v>3.6708646408839782</x:v>
      </x:c>
      <x:c r="G984" s="8" t="str">
        <x:v>Current</x:v>
      </x:c>
    </x:row>
    <x:row r="985" ht="32" customHeight="1">
      <x:c r="A985" s="8" t="str">
        <x:v>drop:LC1:L4:light:-1:L-ARCH-B-3-4-B</x:v>
      </x:c>
      <x:c r="B985" s="8" t="n">
        <x:v>6</x:v>
      </x:c>
      <x:c r="C985" s="11" t="n">
        <x:v>14.4</x:v>
      </x:c>
      <x:c r="D985" s="11" t="n">
        <x:v>2.6</x:v>
      </x:c>
      <x:c r="E985" s="11" t="n">
        <x:v>-10.654</x:v>
      </x:c>
      <x:c r="F985" s="11" t="n">
        <x:f>SQRT((C985-C984)^2+(D985-D984)^2+(E985-E984)^2)</x:f>
        <x:v>0.2400000000000002</x:v>
      </x:c>
      <x:c r="G985" s="8" t="str">
        <x:v>Current</x:v>
      </x:c>
    </x:row>
    <x:row r="986" ht="32" customHeight="1">
      <x:c r="A986" s="8" t="str">
        <x:v>drop:LC1:L4:light:-1:L-ARCH-B-4-5-A</x:v>
      </x:c>
      <x:c r="B986" s="8" t="n">
        <x:v>1</x:v>
      </x:c>
      <x:c r="C986" s="11" t="n">
        <x:v>14.549999999999997</x:v>
      </x:c>
      <x:c r="D986" s="11" t="n">
        <x:v>5.924</x:v>
      </x:c>
      <x:c r="E986" s="11" t="n">
        <x:v>-7.36</x:v>
      </x:c>
      <x:c r="F986" s="11" t="n">
        <x:f>0</x:f>
        <x:v>0</x:v>
      </x:c>
      <x:c r="G986" s="8" t="str">
        <x:v>Current</x:v>
      </x:c>
    </x:row>
    <x:row r="987" ht="32" customHeight="1">
      <x:c r="A987" s="8" t="str">
        <x:v>drop:LC1:L4:light:-1:L-ARCH-B-4-5-A</x:v>
      </x:c>
      <x:c r="B987" s="8" t="n">
        <x:v>2</x:v>
      </x:c>
      <x:c r="C987" s="11" t="n">
        <x:v>14.549999999999997</x:v>
      </x:c>
      <x:c r="D987" s="11" t="n">
        <x:v>7.04</x:v>
      </x:c>
      <x:c r="E987" s="11" t="n">
        <x:v>-7.36</x:v>
      </x:c>
      <x:c r="F987" s="11" t="n">
        <x:f>SQRT((C987-C986)^2+(D987-D986)^2+(E987-E986)^2)</x:f>
        <x:v>1.1159999999999997</x:v>
      </x:c>
      <x:c r="G987" s="8" t="str">
        <x:v>Current</x:v>
      </x:c>
    </x:row>
    <x:row r="988" ht="32" customHeight="1">
      <x:c r="A988" s="8" t="str">
        <x:v>drop:LC1:L4:light:-1:L-ARCH-B-4-5-A</x:v>
      </x:c>
      <x:c r="B988" s="8" t="n">
        <x:v>3</x:v>
      </x:c>
      <x:c r="C988" s="11" t="n">
        <x:v>14.549999999999999</x:v>
      </x:c>
      <x:c r="D988" s="11" t="n">
        <x:v>6.932586272843179</x:v>
      </x:c>
      <x:c r="E988" s="11" t="n">
        <x:v>-7.438307692307693</x:v>
      </x:c>
      <x:c r="F988" s="11" t="n">
        <x:f>SQRT((C988-C987)^2+(D988-D987)^2+(E988-E987)^2)</x:f>
        <x:v>0.13292781295227982</x:v>
      </x:c>
      <x:c r="G988" s="8" t="str">
        <x:v>Current</x:v>
      </x:c>
    </x:row>
    <x:row r="989" ht="32" customHeight="1">
      <x:c r="A989" s="8" t="str">
        <x:v>drop:LC1:L4:light:-1:L-ARCH-B-4-5-A</x:v>
      </x:c>
      <x:c r="B989" s="8" t="n">
        <x:v>4</x:v>
      </x:c>
      <x:c r="C989" s="11" t="n">
        <x:v>14.549999999999999</x:v>
      </x:c>
      <x:c r="D989" s="11" t="n">
        <x:v>6.270864640883978</x:v>
      </x:c>
      <x:c r="E989" s="11" t="n">
        <x:v>-10.414</x:v>
      </x:c>
      <x:c r="F989" s="11" t="n">
        <x:f>SQRT((C989-C988)^2+(D989-D988)^2+(E989-E988)^2)</x:f>
        <x:v>3.048379935024818</x:v>
      </x:c>
      <x:c r="G989" s="8" t="str">
        <x:v>Current</x:v>
      </x:c>
    </x:row>
    <x:row r="990" ht="32" customHeight="1">
      <x:c r="A990" s="8" t="str">
        <x:v>drop:LC1:L4:light:-1:L-ARCH-B-4-5-A</x:v>
      </x:c>
      <x:c r="B990" s="8" t="n">
        <x:v>5</x:v>
      </x:c>
      <x:c r="C990" s="11" t="n">
        <x:v>14.549999999999999</x:v>
      </x:c>
      <x:c r="D990" s="11" t="n">
        <x:v>2.6</x:v>
      </x:c>
      <x:c r="E990" s="11" t="n">
        <x:v>-10.414</x:v>
      </x:c>
      <x:c r="F990" s="11" t="n">
        <x:f>SQRT((C990-C989)^2+(D990-D989)^2+(E990-E989)^2)</x:f>
        <x:v>3.6708646408839782</x:v>
      </x:c>
      <x:c r="G990" s="8" t="str">
        <x:v>Current</x:v>
      </x:c>
    </x:row>
    <x:row r="991" ht="32" customHeight="1">
      <x:c r="A991" s="8" t="str">
        <x:v>drop:LC1:L4:light:-1:L-ARCH-B-4-5-A</x:v>
      </x:c>
      <x:c r="B991" s="8" t="n">
        <x:v>6</x:v>
      </x:c>
      <x:c r="C991" s="11" t="n">
        <x:v>14.549999999999999</x:v>
      </x:c>
      <x:c r="D991" s="11" t="n">
        <x:v>2.6</x:v>
      </x:c>
      <x:c r="E991" s="11" t="n">
        <x:v>-10.654</x:v>
      </x:c>
      <x:c r="F991" s="11" t="n">
        <x:f>SQRT((C991-C990)^2+(D991-D990)^2+(E991-E990)^2)</x:f>
        <x:v>0.2400000000000002</x:v>
      </x:c>
      <x:c r="G991" s="8" t="str">
        <x:v>Current</x:v>
      </x:c>
    </x:row>
    <x:row r="992" ht="32" customHeight="1">
      <x:c r="A992" s="8" t="str">
        <x:v>drop:LC1:L4:light:-1:L-ARCH-B-4-5-B</x:v>
      </x:c>
      <x:c r="B992" s="8" t="n">
        <x:v>1</x:v>
      </x:c>
      <x:c r="C992" s="11" t="n">
        <x:v>18.900000000000002</x:v>
      </x:c>
      <x:c r="D992" s="11" t="n">
        <x:v>5.924</x:v>
      </x:c>
      <x:c r="E992" s="11" t="n">
        <x:v>-7.36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drop:LC1:L4:light:-1:L-ARCH-B-4-5-B</x:v>
      </x:c>
      <x:c r="B993" s="8" t="n">
        <x:v>2</x:v>
      </x:c>
      <x:c r="C993" s="11" t="n">
        <x:v>18.900000000000002</x:v>
      </x:c>
      <x:c r="D993" s="11" t="n">
        <x:v>7.04</x:v>
      </x:c>
      <x:c r="E993" s="11" t="n">
        <x:v>-7.36</x:v>
      </x:c>
      <x:c r="F993" s="11" t="n">
        <x:f>SQRT((C993-C992)^2+(D993-D992)^2+(E993-E992)^2)</x:f>
        <x:v>1.1159999999999997</x:v>
      </x:c>
      <x:c r="G993" s="8" t="str">
        <x:v>Current</x:v>
      </x:c>
    </x:row>
    <x:row r="994" ht="32" customHeight="1">
      <x:c r="A994" s="8" t="str">
        <x:v>drop:LC1:L4:light:-1:L-ARCH-B-4-5-B</x:v>
      </x:c>
      <x:c r="B994" s="8" t="n">
        <x:v>3</x:v>
      </x:c>
      <x:c r="C994" s="11" t="n">
        <x:v>18.900000000000002</x:v>
      </x:c>
      <x:c r="D994" s="11" t="n">
        <x:v>6.932586272843179</x:v>
      </x:c>
      <x:c r="E994" s="11" t="n">
        <x:v>-7.438307692307693</x:v>
      </x:c>
      <x:c r="F994" s="11" t="n">
        <x:f>SQRT((C994-C993)^2+(D994-D993)^2+(E994-E993)^2)</x:f>
        <x:v>0.13292781295227982</x:v>
      </x:c>
      <x:c r="G994" s="8" t="str">
        <x:v>Current</x:v>
      </x:c>
    </x:row>
    <x:row r="995" ht="32" customHeight="1">
      <x:c r="A995" s="8" t="str">
        <x:v>drop:LC1:L4:light:-1:L-ARCH-B-4-5-B</x:v>
      </x:c>
      <x:c r="B995" s="8" t="n">
        <x:v>4</x:v>
      </x:c>
      <x:c r="C995" s="11" t="n">
        <x:v>18.900000000000002</x:v>
      </x:c>
      <x:c r="D995" s="11" t="n">
        <x:v>6.270864640883978</x:v>
      </x:c>
      <x:c r="E995" s="11" t="n">
        <x:v>-10.414</x:v>
      </x:c>
      <x:c r="F995" s="11" t="n">
        <x:f>SQRT((C995-C994)^2+(D995-D994)^2+(E995-E994)^2)</x:f>
        <x:v>3.048379935024818</x:v>
      </x:c>
      <x:c r="G995" s="8" t="str">
        <x:v>Current</x:v>
      </x:c>
    </x:row>
    <x:row r="996" ht="32" customHeight="1">
      <x:c r="A996" s="8" t="str">
        <x:v>drop:LC1:L4:light:-1:L-ARCH-B-4-5-B</x:v>
      </x:c>
      <x:c r="B996" s="8" t="n">
        <x:v>5</x:v>
      </x:c>
      <x:c r="C996" s="11" t="n">
        <x:v>18.900000000000002</x:v>
      </x:c>
      <x:c r="D996" s="11" t="n">
        <x:v>2.6</x:v>
      </x:c>
      <x:c r="E996" s="11" t="n">
        <x:v>-10.414</x:v>
      </x:c>
      <x:c r="F996" s="11" t="n">
        <x:f>SQRT((C996-C995)^2+(D996-D995)^2+(E996-E995)^2)</x:f>
        <x:v>3.6708646408839782</x:v>
      </x:c>
      <x:c r="G996" s="8" t="str">
        <x:v>Current</x:v>
      </x:c>
    </x:row>
    <x:row r="997" ht="32" customHeight="1">
      <x:c r="A997" s="8" t="str">
        <x:v>drop:LC1:L4:light:-1:L-ARCH-B-4-5-B</x:v>
      </x:c>
      <x:c r="B997" s="8" t="n">
        <x:v>6</x:v>
      </x:c>
      <x:c r="C997" s="11" t="n">
        <x:v>18.900000000000002</x:v>
      </x:c>
      <x:c r="D997" s="11" t="n">
        <x:v>2.6</x:v>
      </x:c>
      <x:c r="E997" s="11" t="n">
        <x:v>-10.654</x:v>
      </x:c>
      <x:c r="F997" s="11" t="n">
        <x:f>SQRT((C997-C996)^2+(D997-D996)^2+(E997-E996)^2)</x:f>
        <x:v>0.2400000000000002</x:v>
      </x:c>
      <x:c r="G997" s="8" t="str">
        <x:v>Current</x:v>
      </x:c>
    </x:row>
    <x:row r="998" ht="32" customHeight="1">
      <x:c r="A998" s="8" t="str">
        <x:v>drop:LC1:L4:light:-1:L-ARCH-B-5-6-A</x:v>
      </x:c>
      <x:c r="B998" s="8" t="n">
        <x:v>1</x:v>
      </x:c>
      <x:c r="C998" s="11" t="n">
        <x:v>19.05</x:v>
      </x:c>
      <x:c r="D998" s="11" t="n">
        <x:v>5.924</x:v>
      </x:c>
      <x:c r="E998" s="11" t="n">
        <x:v>-7.36</x:v>
      </x:c>
      <x:c r="F998" s="11" t="n">
        <x:f>0</x:f>
        <x:v>0</x:v>
      </x:c>
      <x:c r="G998" s="8" t="str">
        <x:v>Current</x:v>
      </x:c>
    </x:row>
    <x:row r="999" ht="32" customHeight="1">
      <x:c r="A999" s="8" t="str">
        <x:v>drop:LC1:L4:light:-1:L-ARCH-B-5-6-A</x:v>
      </x:c>
      <x:c r="B999" s="8" t="n">
        <x:v>2</x:v>
      </x:c>
      <x:c r="C999" s="11" t="n">
        <x:v>19.05</x:v>
      </x:c>
      <x:c r="D999" s="11" t="n">
        <x:v>7.04</x:v>
      </x:c>
      <x:c r="E999" s="11" t="n">
        <x:v>-7.36</x:v>
      </x:c>
      <x:c r="F999" s="11" t="n">
        <x:f>SQRT((C999-C998)^2+(D999-D998)^2+(E999-E998)^2)</x:f>
        <x:v>1.1159999999999997</x:v>
      </x:c>
      <x:c r="G999" s="8" t="str">
        <x:v>Current</x:v>
      </x:c>
    </x:row>
    <x:row r="1000" ht="32" customHeight="1">
      <x:c r="A1000" s="8" t="str">
        <x:v>drop:LC1:L4:light:-1:L-ARCH-B-5-6-A</x:v>
      </x:c>
      <x:c r="B1000" s="8" t="n">
        <x:v>3</x:v>
      </x:c>
      <x:c r="C1000" s="11" t="n">
        <x:v>19.05</x:v>
      </x:c>
      <x:c r="D1000" s="11" t="n">
        <x:v>6.932586272843179</x:v>
      </x:c>
      <x:c r="E1000" s="11" t="n">
        <x:v>-7.438307692307693</x:v>
      </x:c>
      <x:c r="F1000" s="11" t="n">
        <x:f>SQRT((C1000-C999)^2+(D1000-D999)^2+(E1000-E999)^2)</x:f>
        <x:v>0.13292781295227982</x:v>
      </x:c>
      <x:c r="G1000" s="8" t="str">
        <x:v>Current</x:v>
      </x:c>
    </x:row>
    <x:row r="1001" ht="32" customHeight="1">
      <x:c r="A1001" s="8" t="str">
        <x:v>drop:LC1:L4:light:-1:L-ARCH-B-5-6-A</x:v>
      </x:c>
      <x:c r="B1001" s="8" t="n">
        <x:v>4</x:v>
      </x:c>
      <x:c r="C1001" s="11" t="n">
        <x:v>19.05</x:v>
      </x:c>
      <x:c r="D1001" s="11" t="n">
        <x:v>6.270864640883978</x:v>
      </x:c>
      <x:c r="E1001" s="11" t="n">
        <x:v>-10.414</x:v>
      </x:c>
      <x:c r="F1001" s="11" t="n">
        <x:f>SQRT((C1001-C1000)^2+(D1001-D1000)^2+(E1001-E1000)^2)</x:f>
        <x:v>3.048379935024818</x:v>
      </x:c>
      <x:c r="G1001" s="8" t="str">
        <x:v>Current</x:v>
      </x:c>
    </x:row>
    <x:row r="1002" ht="32" customHeight="1">
      <x:c r="A1002" s="8" t="str">
        <x:v>drop:LC1:L4:light:-1:L-ARCH-B-5-6-A</x:v>
      </x:c>
      <x:c r="B1002" s="8" t="n">
        <x:v>5</x:v>
      </x:c>
      <x:c r="C1002" s="11" t="n">
        <x:v>19.05</x:v>
      </x:c>
      <x:c r="D1002" s="11" t="n">
        <x:v>2.6</x:v>
      </x:c>
      <x:c r="E1002" s="11" t="n">
        <x:v>-10.414</x:v>
      </x:c>
      <x:c r="F1002" s="11" t="n">
        <x:f>SQRT((C1002-C1001)^2+(D1002-D1001)^2+(E1002-E1001)^2)</x:f>
        <x:v>3.6708646408839782</x:v>
      </x:c>
      <x:c r="G1002" s="8" t="str">
        <x:v>Current</x:v>
      </x:c>
    </x:row>
    <x:row r="1003" ht="32" customHeight="1">
      <x:c r="A1003" s="8" t="str">
        <x:v>drop:LC1:L4:light:-1:L-ARCH-B-5-6-A</x:v>
      </x:c>
      <x:c r="B1003" s="8" t="n">
        <x:v>6</x:v>
      </x:c>
      <x:c r="C1003" s="11" t="n">
        <x:v>19.05</x:v>
      </x:c>
      <x:c r="D1003" s="11" t="n">
        <x:v>2.6</x:v>
      </x:c>
      <x:c r="E1003" s="11" t="n">
        <x:v>-10.654</x:v>
      </x:c>
      <x:c r="F1003" s="11" t="n">
        <x:f>SQRT((C1003-C1002)^2+(D1003-D1002)^2+(E1003-E1002)^2)</x:f>
        <x:v>0.2400000000000002</x:v>
      </x:c>
      <x:c r="G1003" s="8" t="str">
        <x:v>Current</x:v>
      </x:c>
    </x:row>
    <x:row r="1004" ht="32" customHeight="1">
      <x:c r="A1004" s="8" t="str">
        <x:v>drop:LC1:L4:light:-1:L-ARCH-B-5-6-B</x:v>
      </x:c>
      <x:c r="B1004" s="8" t="n">
        <x:v>1</x:v>
      </x:c>
      <x:c r="C1004" s="11" t="n">
        <x:v>23.400000000000002</x:v>
      </x:c>
      <x:c r="D1004" s="11" t="n">
        <x:v>5.924</x:v>
      </x:c>
      <x:c r="E1004" s="11" t="n">
        <x:v>-7.36</x:v>
      </x:c>
      <x:c r="F1004" s="11" t="n">
        <x:f>0</x:f>
        <x:v>0</x:v>
      </x:c>
      <x:c r="G1004" s="8" t="str">
        <x:v>Current</x:v>
      </x:c>
    </x:row>
    <x:row r="1005" ht="32" customHeight="1">
      <x:c r="A1005" s="8" t="str">
        <x:v>drop:LC1:L4:light:-1:L-ARCH-B-5-6-B</x:v>
      </x:c>
      <x:c r="B1005" s="8" t="n">
        <x:v>2</x:v>
      </x:c>
      <x:c r="C1005" s="11" t="n">
        <x:v>23.400000000000002</x:v>
      </x:c>
      <x:c r="D1005" s="11" t="n">
        <x:v>7.04</x:v>
      </x:c>
      <x:c r="E1005" s="11" t="n">
        <x:v>-7.36</x:v>
      </x:c>
      <x:c r="F1005" s="11" t="n">
        <x:f>SQRT((C1005-C1004)^2+(D1005-D1004)^2+(E1005-E1004)^2)</x:f>
        <x:v>1.1159999999999997</x:v>
      </x:c>
      <x:c r="G1005" s="8" t="str">
        <x:v>Current</x:v>
      </x:c>
    </x:row>
    <x:row r="1006" ht="32" customHeight="1">
      <x:c r="A1006" s="8" t="str">
        <x:v>drop:LC1:L4:light:-1:L-ARCH-B-5-6-B</x:v>
      </x:c>
      <x:c r="B1006" s="8" t="n">
        <x:v>3</x:v>
      </x:c>
      <x:c r="C1006" s="11" t="n">
        <x:v>23.400000000000002</x:v>
      </x:c>
      <x:c r="D1006" s="11" t="n">
        <x:v>6.932586272843179</x:v>
      </x:c>
      <x:c r="E1006" s="11" t="n">
        <x:v>-7.438307692307693</x:v>
      </x:c>
      <x:c r="F1006" s="11" t="n">
        <x:f>SQRT((C1006-C1005)^2+(D1006-D1005)^2+(E1006-E1005)^2)</x:f>
        <x:v>0.13292781295227982</x:v>
      </x:c>
      <x:c r="G1006" s="8" t="str">
        <x:v>Current</x:v>
      </x:c>
    </x:row>
    <x:row r="1007" ht="32" customHeight="1">
      <x:c r="A1007" s="8" t="str">
        <x:v>drop:LC1:L4:light:-1:L-ARCH-B-5-6-B</x:v>
      </x:c>
      <x:c r="B1007" s="8" t="n">
        <x:v>4</x:v>
      </x:c>
      <x:c r="C1007" s="11" t="n">
        <x:v>23.400000000000002</x:v>
      </x:c>
      <x:c r="D1007" s="11" t="n">
        <x:v>6.270864640883978</x:v>
      </x:c>
      <x:c r="E1007" s="11" t="n">
        <x:v>-10.414</x:v>
      </x:c>
      <x:c r="F1007" s="11" t="n">
        <x:f>SQRT((C1007-C1006)^2+(D1007-D1006)^2+(E1007-E1006)^2)</x:f>
        <x:v>3.048379935024818</x:v>
      </x:c>
      <x:c r="G1007" s="8" t="str">
        <x:v>Current</x:v>
      </x:c>
    </x:row>
    <x:row r="1008" ht="32" customHeight="1">
      <x:c r="A1008" s="8" t="str">
        <x:v>drop:LC1:L4:light:-1:L-ARCH-B-5-6-B</x:v>
      </x:c>
      <x:c r="B1008" s="8" t="n">
        <x:v>5</x:v>
      </x:c>
      <x:c r="C1008" s="11" t="n">
        <x:v>23.400000000000002</x:v>
      </x:c>
      <x:c r="D1008" s="11" t="n">
        <x:v>2.6</x:v>
      </x:c>
      <x:c r="E1008" s="11" t="n">
        <x:v>-10.414</x:v>
      </x:c>
      <x:c r="F1008" s="11" t="n">
        <x:f>SQRT((C1008-C1007)^2+(D1008-D1007)^2+(E1008-E1007)^2)</x:f>
        <x:v>3.6708646408839782</x:v>
      </x:c>
      <x:c r="G1008" s="8" t="str">
        <x:v>Current</x:v>
      </x:c>
    </x:row>
    <x:row r="1009" ht="32" customHeight="1">
      <x:c r="A1009" s="8" t="str">
        <x:v>drop:LC1:L4:light:-1:L-ARCH-B-5-6-B</x:v>
      </x:c>
      <x:c r="B1009" s="8" t="n">
        <x:v>6</x:v>
      </x:c>
      <x:c r="C1009" s="11" t="n">
        <x:v>23.400000000000002</x:v>
      </x:c>
      <x:c r="D1009" s="11" t="n">
        <x:v>2.6</x:v>
      </x:c>
      <x:c r="E1009" s="11" t="n">
        <x:v>-10.654</x:v>
      </x:c>
      <x:c r="F1009" s="11" t="n">
        <x:f>SQRT((C1009-C1008)^2+(D1009-D1008)^2+(E1009-E1008)^2)</x:f>
        <x:v>0.2400000000000002</x:v>
      </x:c>
      <x:c r="G1009" s="8" t="str">
        <x:v>Current</x:v>
      </x:c>
    </x:row>
    <x:row r="1010" ht="32" customHeight="1">
      <x:c r="A1010" s="8" t="str">
        <x:v>drop:LC1:L4:light:-1:L-ARCH-B-6-7-A</x:v>
      </x:c>
      <x:c r="B1010" s="8" t="n">
        <x:v>1</x:v>
      </x:c>
      <x:c r="C1010" s="11" t="n">
        <x:v>23.55</x:v>
      </x:c>
      <x:c r="D1010" s="11" t="n">
        <x:v>5.924</x:v>
      </x:c>
      <x:c r="E1010" s="11" t="n">
        <x:v>-7.36</x:v>
      </x:c>
      <x:c r="F1010" s="11" t="n">
        <x:f>0</x:f>
        <x:v>0</x:v>
      </x:c>
      <x:c r="G1010" s="8" t="str">
        <x:v>Current</x:v>
      </x:c>
    </x:row>
    <x:row r="1011" ht="32" customHeight="1">
      <x:c r="A1011" s="8" t="str">
        <x:v>drop:LC1:L4:light:-1:L-ARCH-B-6-7-A</x:v>
      </x:c>
      <x:c r="B1011" s="8" t="n">
        <x:v>2</x:v>
      </x:c>
      <x:c r="C1011" s="11" t="n">
        <x:v>23.55</x:v>
      </x:c>
      <x:c r="D1011" s="11" t="n">
        <x:v>7.04</x:v>
      </x:c>
      <x:c r="E1011" s="11" t="n">
        <x:v>-7.36</x:v>
      </x:c>
      <x:c r="F1011" s="11" t="n">
        <x:f>SQRT((C1011-C1010)^2+(D1011-D1010)^2+(E1011-E1010)^2)</x:f>
        <x:v>1.1159999999999997</x:v>
      </x:c>
      <x:c r="G1011" s="8" t="str">
        <x:v>Current</x:v>
      </x:c>
    </x:row>
    <x:row r="1012" ht="32" customHeight="1">
      <x:c r="A1012" s="8" t="str">
        <x:v>drop:LC1:L4:light:-1:L-ARCH-B-6-7-A</x:v>
      </x:c>
      <x:c r="B1012" s="8" t="n">
        <x:v>3</x:v>
      </x:c>
      <x:c r="C1012" s="11" t="n">
        <x:v>23.55</x:v>
      </x:c>
      <x:c r="D1012" s="11" t="n">
        <x:v>6.932586272843179</x:v>
      </x:c>
      <x:c r="E1012" s="11" t="n">
        <x:v>-7.438307692307693</x:v>
      </x:c>
      <x:c r="F1012" s="11" t="n">
        <x:f>SQRT((C1012-C1011)^2+(D1012-D1011)^2+(E1012-E1011)^2)</x:f>
        <x:v>0.13292781295227982</x:v>
      </x:c>
      <x:c r="G1012" s="8" t="str">
        <x:v>Current</x:v>
      </x:c>
    </x:row>
    <x:row r="1013" ht="32" customHeight="1">
      <x:c r="A1013" s="8" t="str">
        <x:v>drop:LC1:L4:light:-1:L-ARCH-B-6-7-A</x:v>
      </x:c>
      <x:c r="B1013" s="8" t="n">
        <x:v>4</x:v>
      </x:c>
      <x:c r="C1013" s="11" t="n">
        <x:v>23.55</x:v>
      </x:c>
      <x:c r="D1013" s="11" t="n">
        <x:v>6.270864640883978</x:v>
      </x:c>
      <x:c r="E1013" s="11" t="n">
        <x:v>-10.414</x:v>
      </x:c>
      <x:c r="F1013" s="11" t="n">
        <x:f>SQRT((C1013-C1012)^2+(D1013-D1012)^2+(E1013-E1012)^2)</x:f>
        <x:v>3.048379935024818</x:v>
      </x:c>
      <x:c r="G1013" s="8" t="str">
        <x:v>Current</x:v>
      </x:c>
    </x:row>
    <x:row r="1014" ht="32" customHeight="1">
      <x:c r="A1014" s="8" t="str">
        <x:v>drop:LC1:L4:light:-1:L-ARCH-B-6-7-A</x:v>
      </x:c>
      <x:c r="B1014" s="8" t="n">
        <x:v>5</x:v>
      </x:c>
      <x:c r="C1014" s="11" t="n">
        <x:v>23.55</x:v>
      </x:c>
      <x:c r="D1014" s="11" t="n">
        <x:v>2.6</x:v>
      </x:c>
      <x:c r="E1014" s="11" t="n">
        <x:v>-10.414</x:v>
      </x:c>
      <x:c r="F1014" s="11" t="n">
        <x:f>SQRT((C1014-C1013)^2+(D1014-D1013)^2+(E1014-E1013)^2)</x:f>
        <x:v>3.6708646408839782</x:v>
      </x:c>
      <x:c r="G1014" s="8" t="str">
        <x:v>Current</x:v>
      </x:c>
    </x:row>
    <x:row r="1015" ht="32" customHeight="1">
      <x:c r="A1015" s="8" t="str">
        <x:v>drop:LC1:L4:light:-1:L-ARCH-B-6-7-A</x:v>
      </x:c>
      <x:c r="B1015" s="8" t="n">
        <x:v>6</x:v>
      </x:c>
      <x:c r="C1015" s="11" t="n">
        <x:v>23.55</x:v>
      </x:c>
      <x:c r="D1015" s="11" t="n">
        <x:v>2.6</x:v>
      </x:c>
      <x:c r="E1015" s="11" t="n">
        <x:v>-10.654</x:v>
      </x:c>
      <x:c r="F1015" s="11" t="n">
        <x:f>SQRT((C1015-C1014)^2+(D1015-D1014)^2+(E1015-E1014)^2)</x:f>
        <x:v>0.2400000000000002</x:v>
      </x:c>
      <x:c r="G1015" s="8" t="str">
        <x:v>Current</x:v>
      </x:c>
    </x:row>
    <x:row r="1016" ht="32" customHeight="1">
      <x:c r="A1016" s="8" t="str">
        <x:v>drop:LC1:L4:light:-1:L-ARCH-B-6-7-B</x:v>
      </x:c>
      <x:c r="B1016" s="8" t="n">
        <x:v>1</x:v>
      </x:c>
      <x:c r="C1016" s="11" t="n">
        <x:v>27.900000000000002</x:v>
      </x:c>
      <x:c r="D1016" s="11" t="n">
        <x:v>5.924</x:v>
      </x:c>
      <x:c r="E1016" s="11" t="n">
        <x:v>-7.36</x:v>
      </x:c>
      <x:c r="F1016" s="11" t="n">
        <x:f>0</x:f>
        <x:v>0</x:v>
      </x:c>
      <x:c r="G1016" s="8" t="str">
        <x:v>Current</x:v>
      </x:c>
    </x:row>
    <x:row r="1017" ht="32" customHeight="1">
      <x:c r="A1017" s="8" t="str">
        <x:v>drop:LC1:L4:light:-1:L-ARCH-B-6-7-B</x:v>
      </x:c>
      <x:c r="B1017" s="8" t="n">
        <x:v>2</x:v>
      </x:c>
      <x:c r="C1017" s="11" t="n">
        <x:v>27.900000000000002</x:v>
      </x:c>
      <x:c r="D1017" s="11" t="n">
        <x:v>7.04</x:v>
      </x:c>
      <x:c r="E1017" s="11" t="n">
        <x:v>-7.36</x:v>
      </x:c>
      <x:c r="F1017" s="11" t="n">
        <x:f>SQRT((C1017-C1016)^2+(D1017-D1016)^2+(E1017-E1016)^2)</x:f>
        <x:v>1.1159999999999997</x:v>
      </x:c>
      <x:c r="G1017" s="8" t="str">
        <x:v>Current</x:v>
      </x:c>
    </x:row>
    <x:row r="1018" ht="32" customHeight="1">
      <x:c r="A1018" s="8" t="str">
        <x:v>drop:LC1:L4:light:-1:L-ARCH-B-6-7-B</x:v>
      </x:c>
      <x:c r="B1018" s="8" t="n">
        <x:v>3</x:v>
      </x:c>
      <x:c r="C1018" s="11" t="n">
        <x:v>27.900000000000002</x:v>
      </x:c>
      <x:c r="D1018" s="11" t="n">
        <x:v>6.932586272843179</x:v>
      </x:c>
      <x:c r="E1018" s="11" t="n">
        <x:v>-7.438307692307693</x:v>
      </x:c>
      <x:c r="F1018" s="11" t="n">
        <x:f>SQRT((C1018-C1017)^2+(D1018-D1017)^2+(E1018-E1017)^2)</x:f>
        <x:v>0.13292781295227982</x:v>
      </x:c>
      <x:c r="G1018" s="8" t="str">
        <x:v>Current</x:v>
      </x:c>
    </x:row>
    <x:row r="1019" ht="32" customHeight="1">
      <x:c r="A1019" s="8" t="str">
        <x:v>drop:LC1:L4:light:-1:L-ARCH-B-6-7-B</x:v>
      </x:c>
      <x:c r="B1019" s="8" t="n">
        <x:v>4</x:v>
      </x:c>
      <x:c r="C1019" s="11" t="n">
        <x:v>27.900000000000002</x:v>
      </x:c>
      <x:c r="D1019" s="11" t="n">
        <x:v>6.270864640883978</x:v>
      </x:c>
      <x:c r="E1019" s="11" t="n">
        <x:v>-10.414</x:v>
      </x:c>
      <x:c r="F1019" s="11" t="n">
        <x:f>SQRT((C1019-C1018)^2+(D1019-D1018)^2+(E1019-E1018)^2)</x:f>
        <x:v>3.048379935024818</x:v>
      </x:c>
      <x:c r="G1019" s="8" t="str">
        <x:v>Current</x:v>
      </x:c>
    </x:row>
    <x:row r="1020" ht="32" customHeight="1">
      <x:c r="A1020" s="8" t="str">
        <x:v>drop:LC1:L4:light:-1:L-ARCH-B-6-7-B</x:v>
      </x:c>
      <x:c r="B1020" s="8" t="n">
        <x:v>5</x:v>
      </x:c>
      <x:c r="C1020" s="11" t="n">
        <x:v>27.900000000000002</x:v>
      </x:c>
      <x:c r="D1020" s="11" t="n">
        <x:v>2.6</x:v>
      </x:c>
      <x:c r="E1020" s="11" t="n">
        <x:v>-10.414</x:v>
      </x:c>
      <x:c r="F1020" s="11" t="n">
        <x:f>SQRT((C1020-C1019)^2+(D1020-D1019)^2+(E1020-E1019)^2)</x:f>
        <x:v>3.6708646408839782</x:v>
      </x:c>
      <x:c r="G1020" s="8" t="str">
        <x:v>Current</x:v>
      </x:c>
    </x:row>
    <x:row r="1021" ht="32" customHeight="1">
      <x:c r="A1021" s="8" t="str">
        <x:v>drop:LC1:L4:light:-1:L-ARCH-B-6-7-B</x:v>
      </x:c>
      <x:c r="B1021" s="8" t="n">
        <x:v>6</x:v>
      </x:c>
      <x:c r="C1021" s="11" t="n">
        <x:v>27.900000000000002</x:v>
      </x:c>
      <x:c r="D1021" s="11" t="n">
        <x:v>2.6</x:v>
      </x:c>
      <x:c r="E1021" s="11" t="n">
        <x:v>-10.654</x:v>
      </x:c>
      <x:c r="F1021" s="11" t="n">
        <x:f>SQRT((C1021-C1020)^2+(D1021-D1020)^2+(E1021-E1020)^2)</x:f>
        <x:v>0.2400000000000002</x:v>
      </x:c>
      <x:c r="G1021" s="8" t="str">
        <x:v>Current</x:v>
      </x:c>
    </x:row>
    <x:row r="1022" ht="32" customHeight="1">
      <x:c r="A1022" s="8" t="str">
        <x:v>drop:LC1:L4:light:-1:L-ARCH-B-7-8-A</x:v>
      </x:c>
      <x:c r="B1022" s="8" t="n">
        <x:v>1</x:v>
      </x:c>
      <x:c r="C1022" s="11" t="n">
        <x:v>28.05</x:v>
      </x:c>
      <x:c r="D1022" s="11" t="n">
        <x:v>5.924</x:v>
      </x:c>
      <x:c r="E1022" s="11" t="n">
        <x:v>-7.36</x:v>
      </x:c>
      <x:c r="F1022" s="11" t="n">
        <x:f>0</x:f>
        <x:v>0</x:v>
      </x:c>
      <x:c r="G1022" s="8" t="str">
        <x:v>Current</x:v>
      </x:c>
    </x:row>
    <x:row r="1023" ht="32" customHeight="1">
      <x:c r="A1023" s="8" t="str">
        <x:v>drop:LC1:L4:light:-1:L-ARCH-B-7-8-A</x:v>
      </x:c>
      <x:c r="B1023" s="8" t="n">
        <x:v>2</x:v>
      </x:c>
      <x:c r="C1023" s="11" t="n">
        <x:v>28.05</x:v>
      </x:c>
      <x:c r="D1023" s="11" t="n">
        <x:v>7.04</x:v>
      </x:c>
      <x:c r="E1023" s="11" t="n">
        <x:v>-7.36</x:v>
      </x:c>
      <x:c r="F1023" s="11" t="n">
        <x:f>SQRT((C1023-C1022)^2+(D1023-D1022)^2+(E1023-E1022)^2)</x:f>
        <x:v>1.1159999999999997</x:v>
      </x:c>
      <x:c r="G1023" s="8" t="str">
        <x:v>Current</x:v>
      </x:c>
    </x:row>
    <x:row r="1024" ht="32" customHeight="1">
      <x:c r="A1024" s="8" t="str">
        <x:v>drop:LC1:L4:light:-1:L-ARCH-B-7-8-A</x:v>
      </x:c>
      <x:c r="B1024" s="8" t="n">
        <x:v>3</x:v>
      </x:c>
      <x:c r="C1024" s="11" t="n">
        <x:v>28.05</x:v>
      </x:c>
      <x:c r="D1024" s="11" t="n">
        <x:v>6.932586272843179</x:v>
      </x:c>
      <x:c r="E1024" s="11" t="n">
        <x:v>-7.438307692307693</x:v>
      </x:c>
      <x:c r="F1024" s="11" t="n">
        <x:f>SQRT((C1024-C1023)^2+(D1024-D1023)^2+(E1024-E1023)^2)</x:f>
        <x:v>0.13292781295227982</x:v>
      </x:c>
      <x:c r="G1024" s="8" t="str">
        <x:v>Current</x:v>
      </x:c>
    </x:row>
    <x:row r="1025" ht="32" customHeight="1">
      <x:c r="A1025" s="8" t="str">
        <x:v>drop:LC1:L4:light:-1:L-ARCH-B-7-8-A</x:v>
      </x:c>
      <x:c r="B1025" s="8" t="n">
        <x:v>4</x:v>
      </x:c>
      <x:c r="C1025" s="11" t="n">
        <x:v>28.05</x:v>
      </x:c>
      <x:c r="D1025" s="11" t="n">
        <x:v>6.270864640883978</x:v>
      </x:c>
      <x:c r="E1025" s="11" t="n">
        <x:v>-10.414</x:v>
      </x:c>
      <x:c r="F1025" s="11" t="n">
        <x:f>SQRT((C1025-C1024)^2+(D1025-D1024)^2+(E1025-E1024)^2)</x:f>
        <x:v>3.048379935024818</x:v>
      </x:c>
      <x:c r="G1025" s="8" t="str">
        <x:v>Current</x:v>
      </x:c>
    </x:row>
    <x:row r="1026" ht="32" customHeight="1">
      <x:c r="A1026" s="8" t="str">
        <x:v>drop:LC1:L4:light:-1:L-ARCH-B-7-8-A</x:v>
      </x:c>
      <x:c r="B1026" s="8" t="n">
        <x:v>5</x:v>
      </x:c>
      <x:c r="C1026" s="11" t="n">
        <x:v>28.05</x:v>
      </x:c>
      <x:c r="D1026" s="11" t="n">
        <x:v>2.6</x:v>
      </x:c>
      <x:c r="E1026" s="11" t="n">
        <x:v>-10.414</x:v>
      </x:c>
      <x:c r="F1026" s="11" t="n">
        <x:f>SQRT((C1026-C1025)^2+(D1026-D1025)^2+(E1026-E1025)^2)</x:f>
        <x:v>3.6708646408839782</x:v>
      </x:c>
      <x:c r="G1026" s="8" t="str">
        <x:v>Current</x:v>
      </x:c>
    </x:row>
    <x:row r="1027" ht="32" customHeight="1">
      <x:c r="A1027" s="8" t="str">
        <x:v>drop:LC1:L4:light:-1:L-ARCH-B-7-8-A</x:v>
      </x:c>
      <x:c r="B1027" s="8" t="n">
        <x:v>6</x:v>
      </x:c>
      <x:c r="C1027" s="11" t="n">
        <x:v>28.05</x:v>
      </x:c>
      <x:c r="D1027" s="11" t="n">
        <x:v>2.6</x:v>
      </x:c>
      <x:c r="E1027" s="11" t="n">
        <x:v>-10.654</x:v>
      </x:c>
      <x:c r="F1027" s="11" t="n">
        <x:f>SQRT((C1027-C1026)^2+(D1027-D1026)^2+(E1027-E1026)^2)</x:f>
        <x:v>0.2400000000000002</x:v>
      </x:c>
      <x:c r="G1027" s="8" t="str">
        <x:v>Current</x:v>
      </x:c>
    </x:row>
    <x:row r="1028" ht="32" customHeight="1">
      <x:c r="A1028" s="8" t="str">
        <x:v>drop:LC1:L4:light:-1:L-ARCH-B-7-8-B</x:v>
      </x:c>
      <x:c r="B1028" s="8" t="n">
        <x:v>1</x:v>
      </x:c>
      <x:c r="C1028" s="11" t="n">
        <x:v>32.4</x:v>
      </x:c>
      <x:c r="D1028" s="11" t="n">
        <x:v>5.924</x:v>
      </x:c>
      <x:c r="E1028" s="11" t="n">
        <x:v>-7.36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drop:LC1:L4:light:-1:L-ARCH-B-7-8-B</x:v>
      </x:c>
      <x:c r="B1029" s="8" t="n">
        <x:v>2</x:v>
      </x:c>
      <x:c r="C1029" s="11" t="n">
        <x:v>32.4</x:v>
      </x:c>
      <x:c r="D1029" s="11" t="n">
        <x:v>7.04</x:v>
      </x:c>
      <x:c r="E1029" s="11" t="n">
        <x:v>-7.36</x:v>
      </x:c>
      <x:c r="F1029" s="11" t="n">
        <x:f>SQRT((C1029-C1028)^2+(D1029-D1028)^2+(E1029-E1028)^2)</x:f>
        <x:v>1.1159999999999997</x:v>
      </x:c>
      <x:c r="G1029" s="8" t="str">
        <x:v>Current</x:v>
      </x:c>
    </x:row>
    <x:row r="1030" ht="32" customHeight="1">
      <x:c r="A1030" s="8" t="str">
        <x:v>drop:LC1:L4:light:-1:L-ARCH-B-7-8-B</x:v>
      </x:c>
      <x:c r="B1030" s="8" t="n">
        <x:v>3</x:v>
      </x:c>
      <x:c r="C1030" s="11" t="n">
        <x:v>32.4</x:v>
      </x:c>
      <x:c r="D1030" s="11" t="n">
        <x:v>6.932586272843179</x:v>
      </x:c>
      <x:c r="E1030" s="11" t="n">
        <x:v>-7.438307692307693</x:v>
      </x:c>
      <x:c r="F1030" s="11" t="n">
        <x:f>SQRT((C1030-C1029)^2+(D1030-D1029)^2+(E1030-E1029)^2)</x:f>
        <x:v>0.13292781295227982</x:v>
      </x:c>
      <x:c r="G1030" s="8" t="str">
        <x:v>Current</x:v>
      </x:c>
    </x:row>
    <x:row r="1031" ht="32" customHeight="1">
      <x:c r="A1031" s="8" t="str">
        <x:v>drop:LC1:L4:light:-1:L-ARCH-B-7-8-B</x:v>
      </x:c>
      <x:c r="B1031" s="8" t="n">
        <x:v>4</x:v>
      </x:c>
      <x:c r="C1031" s="11" t="n">
        <x:v>32.4</x:v>
      </x:c>
      <x:c r="D1031" s="11" t="n">
        <x:v>6.270864640883978</x:v>
      </x:c>
      <x:c r="E1031" s="11" t="n">
        <x:v>-10.414</x:v>
      </x:c>
      <x:c r="F1031" s="11" t="n">
        <x:f>SQRT((C1031-C1030)^2+(D1031-D1030)^2+(E1031-E1030)^2)</x:f>
        <x:v>3.048379935024818</x:v>
      </x:c>
      <x:c r="G1031" s="8" t="str">
        <x:v>Current</x:v>
      </x:c>
    </x:row>
    <x:row r="1032" ht="32" customHeight="1">
      <x:c r="A1032" s="8" t="str">
        <x:v>drop:LC1:L4:light:-1:L-ARCH-B-7-8-B</x:v>
      </x:c>
      <x:c r="B1032" s="8" t="n">
        <x:v>5</x:v>
      </x:c>
      <x:c r="C1032" s="11" t="n">
        <x:v>32.4</x:v>
      </x:c>
      <x:c r="D1032" s="11" t="n">
        <x:v>2.6</x:v>
      </x:c>
      <x:c r="E1032" s="11" t="n">
        <x:v>-10.414</x:v>
      </x:c>
      <x:c r="F1032" s="11" t="n">
        <x:f>SQRT((C1032-C1031)^2+(D1032-D1031)^2+(E1032-E1031)^2)</x:f>
        <x:v>3.6708646408839782</x:v>
      </x:c>
      <x:c r="G1032" s="8" t="str">
        <x:v>Current</x:v>
      </x:c>
    </x:row>
    <x:row r="1033" ht="32" customHeight="1">
      <x:c r="A1033" s="8" t="str">
        <x:v>drop:LC1:L4:light:-1:L-ARCH-B-7-8-B</x:v>
      </x:c>
      <x:c r="B1033" s="8" t="n">
        <x:v>6</x:v>
      </x:c>
      <x:c r="C1033" s="11" t="n">
        <x:v>32.4</x:v>
      </x:c>
      <x:c r="D1033" s="11" t="n">
        <x:v>2.6</x:v>
      </x:c>
      <x:c r="E1033" s="11" t="n">
        <x:v>-10.654</x:v>
      </x:c>
      <x:c r="F1033" s="11" t="n">
        <x:f>SQRT((C1033-C1032)^2+(D1033-D1032)^2+(E1033-E1032)^2)</x:f>
        <x:v>0.2400000000000002</x:v>
      </x:c>
      <x:c r="G1033" s="8" t="str">
        <x:v>Current</x:v>
      </x:c>
    </x:row>
    <x:row r="1034" ht="32" customHeight="1">
      <x:c r="A1034" s="8" t="str">
        <x:v>drop:LC1:L4:light:-1:L-ARCH-B-8-9-A</x:v>
      </x:c>
      <x:c r="B1034" s="8" t="n">
        <x:v>1</x:v>
      </x:c>
      <x:c r="C1034" s="11" t="n">
        <x:v>32.550000000000004</x:v>
      </x:c>
      <x:c r="D1034" s="11" t="n">
        <x:v>5.924</x:v>
      </x:c>
      <x:c r="E1034" s="11" t="n">
        <x:v>-7.36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drop:LC1:L4:light:-1:L-ARCH-B-8-9-A</x:v>
      </x:c>
      <x:c r="B1035" s="8" t="n">
        <x:v>2</x:v>
      </x:c>
      <x:c r="C1035" s="11" t="n">
        <x:v>32.550000000000004</x:v>
      </x:c>
      <x:c r="D1035" s="11" t="n">
        <x:v>7.04</x:v>
      </x:c>
      <x:c r="E1035" s="11" t="n">
        <x:v>-7.36</x:v>
      </x:c>
      <x:c r="F1035" s="11" t="n">
        <x:f>SQRT((C1035-C1034)^2+(D1035-D1034)^2+(E1035-E1034)^2)</x:f>
        <x:v>1.1159999999999997</x:v>
      </x:c>
      <x:c r="G1035" s="8" t="str">
        <x:v>Current</x:v>
      </x:c>
    </x:row>
    <x:row r="1036" ht="32" customHeight="1">
      <x:c r="A1036" s="8" t="str">
        <x:v>drop:LC1:L4:light:-1:L-ARCH-B-8-9-A</x:v>
      </x:c>
      <x:c r="B1036" s="8" t="n">
        <x:v>3</x:v>
      </x:c>
      <x:c r="C1036" s="11" t="n">
        <x:v>32.550000000000004</x:v>
      </x:c>
      <x:c r="D1036" s="11" t="n">
        <x:v>6.932586272843179</x:v>
      </x:c>
      <x:c r="E1036" s="11" t="n">
        <x:v>-7.438307692307693</x:v>
      </x:c>
      <x:c r="F1036" s="11" t="n">
        <x:f>SQRT((C1036-C1035)^2+(D1036-D1035)^2+(E1036-E1035)^2)</x:f>
        <x:v>0.13292781295227982</x:v>
      </x:c>
      <x:c r="G1036" s="8" t="str">
        <x:v>Current</x:v>
      </x:c>
    </x:row>
    <x:row r="1037" ht="32" customHeight="1">
      <x:c r="A1037" s="8" t="str">
        <x:v>drop:LC1:L4:light:-1:L-ARCH-B-8-9-A</x:v>
      </x:c>
      <x:c r="B1037" s="8" t="n">
        <x:v>4</x:v>
      </x:c>
      <x:c r="C1037" s="11" t="n">
        <x:v>32.550000000000004</x:v>
      </x:c>
      <x:c r="D1037" s="11" t="n">
        <x:v>6.270864640883978</x:v>
      </x:c>
      <x:c r="E1037" s="11" t="n">
        <x:v>-10.414</x:v>
      </x:c>
      <x:c r="F1037" s="11" t="n">
        <x:f>SQRT((C1037-C1036)^2+(D1037-D1036)^2+(E1037-E1036)^2)</x:f>
        <x:v>3.048379935024818</x:v>
      </x:c>
      <x:c r="G1037" s="8" t="str">
        <x:v>Current</x:v>
      </x:c>
    </x:row>
    <x:row r="1038" ht="32" customHeight="1">
      <x:c r="A1038" s="8" t="str">
        <x:v>drop:LC1:L4:light:-1:L-ARCH-B-8-9-A</x:v>
      </x:c>
      <x:c r="B1038" s="8" t="n">
        <x:v>5</x:v>
      </x:c>
      <x:c r="C1038" s="11" t="n">
        <x:v>32.550000000000004</x:v>
      </x:c>
      <x:c r="D1038" s="11" t="n">
        <x:v>2.6</x:v>
      </x:c>
      <x:c r="E1038" s="11" t="n">
        <x:v>-10.414</x:v>
      </x:c>
      <x:c r="F1038" s="11" t="n">
        <x:f>SQRT((C1038-C1037)^2+(D1038-D1037)^2+(E1038-E1037)^2)</x:f>
        <x:v>3.6708646408839782</x:v>
      </x:c>
      <x:c r="G1038" s="8" t="str">
        <x:v>Current</x:v>
      </x:c>
    </x:row>
    <x:row r="1039" ht="32" customHeight="1">
      <x:c r="A1039" s="8" t="str">
        <x:v>drop:LC1:L4:light:-1:L-ARCH-B-8-9-A</x:v>
      </x:c>
      <x:c r="B1039" s="8" t="n">
        <x:v>6</x:v>
      </x:c>
      <x:c r="C1039" s="11" t="n">
        <x:v>32.550000000000004</x:v>
      </x:c>
      <x:c r="D1039" s="11" t="n">
        <x:v>2.6</x:v>
      </x:c>
      <x:c r="E1039" s="11" t="n">
        <x:v>-10.654</x:v>
      </x:c>
      <x:c r="F1039" s="11" t="n">
        <x:f>SQRT((C1039-C1038)^2+(D1039-D1038)^2+(E1039-E1038)^2)</x:f>
        <x:v>0.2400000000000002</x:v>
      </x:c>
      <x:c r="G1039" s="8" t="str">
        <x:v>Current</x:v>
      </x:c>
    </x:row>
    <x:row r="1040" ht="32" customHeight="1">
      <x:c r="A1040" s="8" t="str">
        <x:v>drop:LC1:L4:light:-1:L-ARCH-B-8-9-B</x:v>
      </x:c>
      <x:c r="B1040" s="8" t="n">
        <x:v>1</x:v>
      </x:c>
      <x:c r="C1040" s="11" t="n">
        <x:v>36.9</x:v>
      </x:c>
      <x:c r="D1040" s="11" t="n">
        <x:v>5.924</x:v>
      </x:c>
      <x:c r="E1040" s="11" t="n">
        <x:v>-7.36</x:v>
      </x:c>
      <x:c r="F1040" s="11" t="n">
        <x:f>0</x:f>
        <x:v>0</x:v>
      </x:c>
      <x:c r="G1040" s="8" t="str">
        <x:v>Current</x:v>
      </x:c>
    </x:row>
    <x:row r="1041" ht="32" customHeight="1">
      <x:c r="A1041" s="8" t="str">
        <x:v>drop:LC1:L4:light:-1:L-ARCH-B-8-9-B</x:v>
      </x:c>
      <x:c r="B1041" s="8" t="n">
        <x:v>2</x:v>
      </x:c>
      <x:c r="C1041" s="11" t="n">
        <x:v>36.9</x:v>
      </x:c>
      <x:c r="D1041" s="11" t="n">
        <x:v>7.04</x:v>
      </x:c>
      <x:c r="E1041" s="11" t="n">
        <x:v>-7.36</x:v>
      </x:c>
      <x:c r="F1041" s="11" t="n">
        <x:f>SQRT((C1041-C1040)^2+(D1041-D1040)^2+(E1041-E1040)^2)</x:f>
        <x:v>1.1159999999999997</x:v>
      </x:c>
      <x:c r="G1041" s="8" t="str">
        <x:v>Current</x:v>
      </x:c>
    </x:row>
    <x:row r="1042" ht="32" customHeight="1">
      <x:c r="A1042" s="8" t="str">
        <x:v>drop:LC1:L4:light:-1:L-ARCH-B-8-9-B</x:v>
      </x:c>
      <x:c r="B1042" s="8" t="n">
        <x:v>3</x:v>
      </x:c>
      <x:c r="C1042" s="11" t="n">
        <x:v>36.9</x:v>
      </x:c>
      <x:c r="D1042" s="11" t="n">
        <x:v>6.932586272843179</x:v>
      </x:c>
      <x:c r="E1042" s="11" t="n">
        <x:v>-7.438307692307693</x:v>
      </x:c>
      <x:c r="F1042" s="11" t="n">
        <x:f>SQRT((C1042-C1041)^2+(D1042-D1041)^2+(E1042-E1041)^2)</x:f>
        <x:v>0.13292781295227982</x:v>
      </x:c>
      <x:c r="G1042" s="8" t="str">
        <x:v>Current</x:v>
      </x:c>
    </x:row>
    <x:row r="1043" ht="32" customHeight="1">
      <x:c r="A1043" s="8" t="str">
        <x:v>drop:LC1:L4:light:-1:L-ARCH-B-8-9-B</x:v>
      </x:c>
      <x:c r="B1043" s="8" t="n">
        <x:v>4</x:v>
      </x:c>
      <x:c r="C1043" s="11" t="n">
        <x:v>36.9</x:v>
      </x:c>
      <x:c r="D1043" s="11" t="n">
        <x:v>6.323105822354441</x:v>
      </x:c>
      <x:c r="E1043" s="11" t="n">
        <x:v>-10.179076923076924</x:v>
      </x:c>
      <x:c r="F1043" s="11" t="n">
        <x:f>SQRT((C1043-C1042)^2+(D1043-D1042)^2+(E1043-E1042)^2)</x:f>
        <x:v>2.80771836120707</x:v>
      </x:c>
      <x:c r="G1043" s="8" t="str">
        <x:v>Current</x:v>
      </x:c>
    </x:row>
    <x:row r="1044" ht="32" customHeight="1">
      <x:c r="A1044" s="8" t="str">
        <x:v>drop:LC1:L4:light:-1:L-ARCH-B-8-9-B</x:v>
      </x:c>
      <x:c r="B1044" s="8" t="n">
        <x:v>5</x:v>
      </x:c>
      <x:c r="C1044" s="11" t="n">
        <x:v>36.9</x:v>
      </x:c>
      <x:c r="D1044" s="11" t="n">
        <x:v>6.31010953608247</x:v>
      </x:c>
      <x:c r="E1044" s="11" t="n">
        <x:v>-10.257384615384614</x:v>
      </x:c>
      <x:c r="F1044" s="11" t="n">
        <x:f>SQRT((C1044-C1043)^2+(D1044-D1043)^2+(E1044-E1043)^2)</x:f>
        <x:v>0.07937882671984405</x:v>
      </x:c>
      <x:c r="G1044" s="8" t="str">
        <x:v>Current</x:v>
      </x:c>
    </x:row>
    <x:row r="1045" ht="32" customHeight="1">
      <x:c r="A1045" s="8" t="str">
        <x:v>drop:LC1:L4:light:-1:L-ARCH-B-8-9-B</x:v>
      </x:c>
      <x:c r="B1045" s="8" t="n">
        <x:v>6</x:v>
      </x:c>
      <x:c r="C1045" s="11" t="n">
        <x:v>36.9</x:v>
      </x:c>
      <x:c r="D1045" s="11" t="n">
        <x:v>6.31010953608247</x:v>
      </x:c>
      <x:c r="E1045" s="11" t="n">
        <x:v>-10.414</x:v>
      </x:c>
      <x:c r="F1045" s="11" t="n">
        <x:f>SQRT((C1045-C1044)^2+(D1045-D1044)^2+(E1045-E1044)^2)</x:f>
        <x:v>0.15661538461538527</x:v>
      </x:c>
      <x:c r="G1045" s="8" t="str">
        <x:v>Current</x:v>
      </x:c>
    </x:row>
    <x:row r="1046" ht="32" customHeight="1">
      <x:c r="A1046" s="8" t="str">
        <x:v>drop:LC1:L4:light:-1:L-ARCH-B-8-9-B</x:v>
      </x:c>
      <x:c r="B1046" s="8" t="n">
        <x:v>7</x:v>
      </x:c>
      <x:c r="C1046" s="11" t="n">
        <x:v>36.9</x:v>
      </x:c>
      <x:c r="D1046" s="11" t="n">
        <x:v>2.6</x:v>
      </x:c>
      <x:c r="E1046" s="11" t="n">
        <x:v>-10.414</x:v>
      </x:c>
      <x:c r="F1046" s="11" t="n">
        <x:f>SQRT((C1046-C1045)^2+(D1046-D1045)^2+(E1046-E1045)^2)</x:f>
        <x:v>3.7101095360824696</x:v>
      </x:c>
      <x:c r="G1046" s="8" t="str">
        <x:v>Current</x:v>
      </x:c>
    </x:row>
    <x:row r="1047" ht="32" customHeight="1">
      <x:c r="A1047" s="8" t="str">
        <x:v>drop:LC1:L4:light:-1:L-ARCH-B-8-9-B</x:v>
      </x:c>
      <x:c r="B1047" s="8" t="n">
        <x:v>8</x:v>
      </x:c>
      <x:c r="C1047" s="11" t="n">
        <x:v>36.9</x:v>
      </x:c>
      <x:c r="D1047" s="11" t="n">
        <x:v>2.6</x:v>
      </x:c>
      <x:c r="E1047" s="11" t="n">
        <x:v>-10.654</x:v>
      </x:c>
      <x:c r="F1047" s="11" t="n">
        <x:f>SQRT((C1047-C1046)^2+(D1047-D1046)^2+(E1047-E1046)^2)</x:f>
        <x:v>0.2400000000000002</x:v>
      </x:c>
      <x:c r="G1047" s="8" t="str">
        <x:v>Current</x:v>
      </x:c>
    </x:row>
    <x:row r="1048" ht="32" customHeight="1">
      <x:c r="A1048" s="8" t="str">
        <x:v>drop:LC1:L4:light:-1:L-ARCH-B-10-11-A</x:v>
      </x:c>
      <x:c r="B1048" s="8" t="n">
        <x:v>1</x:v>
      </x:c>
      <x:c r="C1048" s="11" t="n">
        <x:v>44.25</x:v>
      </x:c>
      <x:c r="D1048" s="11" t="n">
        <x:v>5.924</x:v>
      </x:c>
      <x:c r="E1048" s="11" t="n">
        <x:v>-7.36</x:v>
      </x:c>
      <x:c r="F1048" s="11" t="n">
        <x:f>0</x:f>
        <x:v>0</x:v>
      </x:c>
      <x:c r="G1048" s="8" t="str">
        <x:v>Current</x:v>
      </x:c>
    </x:row>
    <x:row r="1049" ht="32" customHeight="1">
      <x:c r="A1049" s="8" t="str">
        <x:v>drop:LC1:L4:light:-1:L-ARCH-B-10-11-A</x:v>
      </x:c>
      <x:c r="B1049" s="8" t="n">
        <x:v>2</x:v>
      </x:c>
      <x:c r="C1049" s="11" t="n">
        <x:v>44.25</x:v>
      </x:c>
      <x:c r="D1049" s="11" t="n">
        <x:v>7.04</x:v>
      </x:c>
      <x:c r="E1049" s="11" t="n">
        <x:v>-7.36</x:v>
      </x:c>
      <x:c r="F1049" s="11" t="n">
        <x:f>SQRT((C1049-C1048)^2+(D1049-D1048)^2+(E1049-E1048)^2)</x:f>
        <x:v>1.1159999999999997</x:v>
      </x:c>
      <x:c r="G1049" s="8" t="str">
        <x:v>Current</x:v>
      </x:c>
    </x:row>
    <x:row r="1050" ht="32" customHeight="1">
      <x:c r="A1050" s="8" t="str">
        <x:v>drop:LC1:L4:light:-1:L-ARCH-B-10-11-A</x:v>
      </x:c>
      <x:c r="B1050" s="8" t="n">
        <x:v>3</x:v>
      </x:c>
      <x:c r="C1050" s="11" t="n">
        <x:v>44.25</x:v>
      </x:c>
      <x:c r="D1050" s="11" t="n">
        <x:v>6.932586272843179</x:v>
      </x:c>
      <x:c r="E1050" s="11" t="n">
        <x:v>-7.438307692307693</x:v>
      </x:c>
      <x:c r="F1050" s="11" t="n">
        <x:f>SQRT((C1050-C1049)^2+(D1050-D1049)^2+(E1050-E1049)^2)</x:f>
        <x:v>0.13292781295227982</x:v>
      </x:c>
      <x:c r="G1050" s="8" t="str">
        <x:v>Current</x:v>
      </x:c>
    </x:row>
    <x:row r="1051" ht="32" customHeight="1">
      <x:c r="A1051" s="8" t="str">
        <x:v>drop:LC1:L4:light:-1:L-ARCH-B-10-11-A</x:v>
      </x:c>
      <x:c r="B1051" s="8" t="n">
        <x:v>4</x:v>
      </x:c>
      <x:c r="C1051" s="11" t="n">
        <x:v>44.25</x:v>
      </x:c>
      <x:c r="D1051" s="11" t="n">
        <x:v>6.323105822354441</x:v>
      </x:c>
      <x:c r="E1051" s="11" t="n">
        <x:v>-10.179076923076924</x:v>
      </x:c>
      <x:c r="F1051" s="11" t="n">
        <x:f>SQRT((C1051-C1050)^2+(D1051-D1050)^2+(E1051-E1050)^2)</x:f>
        <x:v>2.80771836120707</x:v>
      </x:c>
      <x:c r="G1051" s="8" t="str">
        <x:v>Current</x:v>
      </x:c>
    </x:row>
    <x:row r="1052" ht="32" customHeight="1">
      <x:c r="A1052" s="8" t="str">
        <x:v>drop:LC1:L4:light:-1:L-ARCH-B-10-11-A</x:v>
      </x:c>
      <x:c r="B1052" s="8" t="n">
        <x:v>5</x:v>
      </x:c>
      <x:c r="C1052" s="11" t="n">
        <x:v>44.25</x:v>
      </x:c>
      <x:c r="D1052" s="11" t="n">
        <x:v>6.310109536082476</x:v>
      </x:c>
      <x:c r="E1052" s="11" t="n">
        <x:v>-10.257384615384614</x:v>
      </x:c>
      <x:c r="F1052" s="11" t="n">
        <x:f>SQRT((C1052-C1051)^2+(D1052-D1051)^2+(E1052-E1051)^2)</x:f>
        <x:v>0.07937882671984302</x:v>
      </x:c>
      <x:c r="G1052" s="8" t="str">
        <x:v>Current</x:v>
      </x:c>
    </x:row>
    <x:row r="1053" ht="32" customHeight="1">
      <x:c r="A1053" s="8" t="str">
        <x:v>drop:LC1:L4:light:-1:L-ARCH-B-10-11-A</x:v>
      </x:c>
      <x:c r="B1053" s="8" t="n">
        <x:v>6</x:v>
      </x:c>
      <x:c r="C1053" s="11" t="n">
        <x:v>44.25</x:v>
      </x:c>
      <x:c r="D1053" s="11" t="n">
        <x:v>6.310109536082476</x:v>
      </x:c>
      <x:c r="E1053" s="11" t="n">
        <x:v>-10.414</x:v>
      </x:c>
      <x:c r="F1053" s="11" t="n">
        <x:f>SQRT((C1053-C1052)^2+(D1053-D1052)^2+(E1053-E1052)^2)</x:f>
        <x:v>0.15661538461538527</x:v>
      </x:c>
      <x:c r="G1053" s="8" t="str">
        <x:v>Current</x:v>
      </x:c>
    </x:row>
    <x:row r="1054" ht="32" customHeight="1">
      <x:c r="A1054" s="8" t="str">
        <x:v>drop:LC1:L4:light:-1:L-ARCH-B-10-11-A</x:v>
      </x:c>
      <x:c r="B1054" s="8" t="n">
        <x:v>7</x:v>
      </x:c>
      <x:c r="C1054" s="11" t="n">
        <x:v>44.25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3.710109536082476</x:v>
      </x:c>
      <x:c r="G1054" s="8" t="str">
        <x:v>Current</x:v>
      </x:c>
    </x:row>
    <x:row r="1055" ht="32" customHeight="1">
      <x:c r="A1055" s="8" t="str">
        <x:v>drop:LC1:L4:light:-1:L-ARCH-B-10-11-A</x:v>
      </x:c>
      <x:c r="B1055" s="8" t="n">
        <x:v>8</x:v>
      </x:c>
      <x:c r="C1055" s="11" t="n">
        <x:v>44.25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drop:LC1:L4:light:-1:L-ARCH-B-10-11-B</x:v>
      </x:c>
      <x:c r="B1056" s="8" t="n">
        <x:v>1</x:v>
      </x:c>
      <x:c r="C1056" s="11" t="n">
        <x:v>48.599999999999994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drop:LC1:L4:light:-1:L-ARCH-B-10-11-B</x:v>
      </x:c>
      <x:c r="B1057" s="8" t="n">
        <x:v>2</x:v>
      </x:c>
      <x:c r="C1057" s="11" t="n">
        <x:v>48.599999999999994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drop:LC1:L4:light:-1:L-ARCH-B-10-11-B</x:v>
      </x:c>
      <x:c r="B1058" s="8" t="n">
        <x:v>3</x:v>
      </x:c>
      <x:c r="C1058" s="11" t="n">
        <x:v>48.599999999999994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drop:LC1:L4:light:-1:L-ARCH-B-10-11-B</x:v>
      </x:c>
      <x:c r="B1059" s="8" t="n">
        <x:v>4</x:v>
      </x:c>
      <x:c r="C1059" s="11" t="n">
        <x:v>48.599999999999994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drop:LC1:L4:light:-1:L-ARCH-B-10-11-B</x:v>
      </x:c>
      <x:c r="B1060" s="8" t="n">
        <x:v>5</x:v>
      </x:c>
      <x:c r="C1060" s="11" t="n">
        <x:v>48.599999999999994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drop:LC1:L4:light:-1:L-ARCH-B-10-11-B</x:v>
      </x:c>
      <x:c r="B1061" s="8" t="n">
        <x:v>6</x:v>
      </x:c>
      <x:c r="C1061" s="11" t="n">
        <x:v>48.599999999999994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drop:LC1:L4:light:-1:L-ARCH-B-11-12-A</x:v>
      </x:c>
      <x:c r="B1062" s="8" t="n">
        <x:v>1</x:v>
      </x:c>
      <x:c r="C1062" s="11" t="n">
        <x:v>48.75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drop:LC1:L4:light:-1:L-ARCH-B-11-12-A</x:v>
      </x:c>
      <x:c r="B1063" s="8" t="n">
        <x:v>2</x:v>
      </x:c>
      <x:c r="C1063" s="11" t="n">
        <x:v>48.75</x:v>
      </x:c>
      <x:c r="D1063" s="11" t="n">
        <x:v>7.04</x:v>
      </x:c>
      <x:c r="E1063" s="11" t="n">
        <x:v>-7.36</x:v>
      </x:c>
      <x:c r="F1063" s="11" t="n">
        <x:f>SQRT((C1063-C1062)^2+(D1063-D1062)^2+(E1063-E1062)^2)</x:f>
        <x:v>1.1159999999999997</x:v>
      </x:c>
      <x:c r="G1063" s="8" t="str">
        <x:v>Current</x:v>
      </x:c>
    </x:row>
    <x:row r="1064" ht="32" customHeight="1">
      <x:c r="A1064" s="8" t="str">
        <x:v>drop:LC1:L4:light:-1:L-ARCH-B-11-12-A</x:v>
      </x:c>
      <x:c r="B1064" s="8" t="n">
        <x:v>3</x:v>
      </x:c>
      <x:c r="C1064" s="11" t="n">
        <x:v>48.75</x:v>
      </x:c>
      <x:c r="D1064" s="11" t="n">
        <x:v>6.932586272843179</x:v>
      </x:c>
      <x:c r="E1064" s="11" t="n">
        <x:v>-7.438307692307693</x:v>
      </x:c>
      <x:c r="F1064" s="11" t="n">
        <x:f>SQRT((C1064-C1063)^2+(D1064-D1063)^2+(E1064-E1063)^2)</x:f>
        <x:v>0.13292781295227982</x:v>
      </x:c>
      <x:c r="G1064" s="8" t="str">
        <x:v>Current</x:v>
      </x:c>
    </x:row>
    <x:row r="1065" ht="32" customHeight="1">
      <x:c r="A1065" s="8" t="str">
        <x:v>drop:LC1:L4:light:-1:L-ARCH-B-11-12-A</x:v>
      </x:c>
      <x:c r="B1065" s="8" t="n">
        <x:v>4</x:v>
      </x:c>
      <x:c r="C1065" s="11" t="n">
        <x:v>48.75</x:v>
      </x:c>
      <x:c r="D1065" s="11" t="n">
        <x:v>6.270864640883978</x:v>
      </x:c>
      <x:c r="E1065" s="11" t="n">
        <x:v>-10.414</x:v>
      </x:c>
      <x:c r="F1065" s="11" t="n">
        <x:f>SQRT((C1065-C1064)^2+(D1065-D1064)^2+(E1065-E1064)^2)</x:f>
        <x:v>3.048379935024818</x:v>
      </x:c>
      <x:c r="G1065" s="8" t="str">
        <x:v>Current</x:v>
      </x:c>
    </x:row>
    <x:row r="1066" ht="32" customHeight="1">
      <x:c r="A1066" s="8" t="str">
        <x:v>drop:LC1:L4:light:-1:L-ARCH-B-11-12-A</x:v>
      </x:c>
      <x:c r="B1066" s="8" t="n">
        <x:v>5</x:v>
      </x:c>
      <x:c r="C1066" s="11" t="n">
        <x:v>48.75</x:v>
      </x:c>
      <x:c r="D1066" s="11" t="n">
        <x:v>2.6</x:v>
      </x:c>
      <x:c r="E1066" s="11" t="n">
        <x:v>-10.414</x:v>
      </x:c>
      <x:c r="F1066" s="11" t="n">
        <x:f>SQRT((C1066-C1065)^2+(D1066-D1065)^2+(E1066-E1065)^2)</x:f>
        <x:v>3.6708646408839782</x:v>
      </x:c>
      <x:c r="G1066" s="8" t="str">
        <x:v>Current</x:v>
      </x:c>
    </x:row>
    <x:row r="1067" ht="32" customHeight="1">
      <x:c r="A1067" s="8" t="str">
        <x:v>drop:LC1:L4:light:-1:L-ARCH-B-11-12-A</x:v>
      </x:c>
      <x:c r="B1067" s="8" t="n">
        <x:v>6</x:v>
      </x:c>
      <x:c r="C1067" s="11" t="n">
        <x:v>48.75</x:v>
      </x:c>
      <x:c r="D1067" s="11" t="n">
        <x:v>2.6</x:v>
      </x:c>
      <x:c r="E1067" s="11" t="n">
        <x:v>-10.654</x:v>
      </x:c>
      <x:c r="F1067" s="11" t="n">
        <x:f>SQRT((C1067-C1066)^2+(D1067-D1066)^2+(E1067-E1066)^2)</x:f>
        <x:v>0.2400000000000002</x:v>
      </x:c>
      <x:c r="G1067" s="8" t="str">
        <x:v>Current</x:v>
      </x:c>
    </x:row>
    <x:row r="1068" ht="32" customHeight="1">
      <x:c r="A1068" s="8" t="str">
        <x:v>drop:LC1:L4:light:-1:L-ARCH-B-11-12-B</x:v>
      </x:c>
      <x:c r="B1068" s="8" t="n">
        <x:v>1</x:v>
      </x:c>
      <x:c r="C1068" s="11" t="n">
        <x:v>52.940999999999995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drop:LC1:L4:light:-1:L-ARCH-B-11-12-B</x:v>
      </x:c>
      <x:c r="B1069" s="8" t="n">
        <x:v>2</x:v>
      </x:c>
      <x:c r="C1069" s="11" t="n">
        <x:v>53.016</x:v>
      </x:c>
      <x:c r="D1069" s="11" t="n">
        <x:v>5.924</x:v>
      </x:c>
      <x:c r="E1069" s="11" t="n">
        <x:v>-7.36</x:v>
      </x:c>
      <x:c r="F1069" s="11" t="n">
        <x:f>SQRT((C1069-C1068)^2+(D1069-D1068)^2+(E1069-E1068)^2)</x:f>
        <x:v>0.07500000000000284</x:v>
      </x:c>
      <x:c r="G1069" s="8" t="str">
        <x:v>Current</x:v>
      </x:c>
    </x:row>
    <x:row r="1070" ht="32" customHeight="1">
      <x:c r="A1070" s="8" t="str">
        <x:v>drop:LC1:L4:light:-1:L-ARCH-B-11-12-B</x:v>
      </x:c>
      <x:c r="B1070" s="8" t="n">
        <x:v>3</x:v>
      </x:c>
      <x:c r="C1070" s="11" t="n">
        <x:v>53.016</x:v>
      </x:c>
      <x:c r="D1070" s="11" t="n">
        <x:v>5.924</x:v>
      </x:c>
      <x:c r="E1070" s="11" t="n">
        <x:v>-10.654</x:v>
      </x:c>
      <x:c r="F1070" s="11" t="n">
        <x:f>SQRT((C1070-C1069)^2+(D1070-D1069)^2+(E1070-E1069)^2)</x:f>
        <x:v>3.2939999999999996</x:v>
      </x:c>
      <x:c r="G1070" s="8" t="str">
        <x:v>Current</x:v>
      </x:c>
    </x:row>
    <x:row r="1071" ht="32" customHeight="1">
      <x:c r="A1071" s="8" t="str">
        <x:v>drop:LC1:L4:light:-1:L-ARCH-B-11-12-B</x:v>
      </x:c>
      <x:c r="B1071" s="8" t="n">
        <x:v>4</x:v>
      </x:c>
      <x:c r="C1071" s="11" t="n">
        <x:v>53.016</x:v>
      </x:c>
      <x:c r="D1071" s="11" t="n">
        <x:v>2.6</x:v>
      </x:c>
      <x:c r="E1071" s="11" t="n">
        <x:v>-10.654</x:v>
      </x:c>
      <x:c r="F1071" s="11" t="n">
        <x:f>SQRT((C1071-C1070)^2+(D1071-D1070)^2+(E1071-E1070)^2)</x:f>
        <x:v>3.3240000000000003</x:v>
      </x:c>
      <x:c r="G1071" s="8" t="str">
        <x:v>Current</x:v>
      </x:c>
    </x:row>
    <x:row r="1072" ht="32" customHeight="1">
      <x:c r="A1072" s="8" t="str">
        <x:v>drop:LC1:L4:light:-1:L-ARCH-B-11-12-B</x:v>
      </x:c>
      <x:c r="B1072" s="8" t="n">
        <x:v>5</x:v>
      </x:c>
      <x:c r="C1072" s="11" t="n">
        <x:v>52.940999999999995</x:v>
      </x:c>
      <x:c r="D1072" s="11" t="n">
        <x:v>2.6</x:v>
      </x:c>
      <x:c r="E1072" s="11" t="n">
        <x:v>-10.654</x:v>
      </x:c>
      <x:c r="F1072" s="11" t="n">
        <x:f>SQRT((C1072-C1071)^2+(D1072-D1071)^2+(E1072-E1071)^2)</x:f>
        <x:v>0.07500000000000284</x:v>
      </x:c>
      <x:c r="G1072" s="8" t="str">
        <x:v>Current</x:v>
      </x:c>
    </x:row>
    <x:row r="1073" ht="32" customHeight="1">
      <x:c r="A1073" s="8" t="str">
        <x:v>trunk:LC1:L4:light:1</x:v>
      </x:c>
      <x:c r="B1073" s="8" t="n">
        <x:v>1</x:v>
      </x:c>
      <x:c r="C1073" s="11" t="n">
        <x:v>48.895</x:v>
      </x:c>
      <x:c r="D1073" s="11" t="n">
        <x:v>1.85</x:v>
      </x:c>
      <x:c r="E1073" s="11" t="n">
        <x:v>-0.55</x:v>
      </x:c>
      <x:c r="F1073" s="11" t="n">
        <x:f>0</x:f>
        <x:v>0</x:v>
      </x:c>
      <x:c r="G1073" s="8" t="str">
        <x:v>Current</x:v>
      </x:c>
    </x:row>
    <x:row r="1074" ht="32" customHeight="1">
      <x:c r="A1074" s="8" t="str">
        <x:v>trunk:LC1:L4:light:1</x:v>
      </x:c>
      <x:c r="B1074" s="8" t="n">
        <x:v>2</x:v>
      </x:c>
      <x:c r="C1074" s="11" t="n">
        <x:v>48.735</x:v>
      </x:c>
      <x:c r="D1074" s="11" t="n">
        <x:v>1.85</x:v>
      </x:c>
      <x:c r="E1074" s="11" t="n">
        <x:v>-0.55</x:v>
      </x:c>
      <x:c r="F1074" s="11" t="n">
        <x:f>SQRT((C1074-C1073)^2+(D1074-D1073)^2+(E1074-E1073)^2)</x:f>
        <x:v>0.1600000000000037</x:v>
      </x:c>
      <x:c r="G1074" s="8" t="str">
        <x:v>Current</x:v>
      </x:c>
    </x:row>
    <x:row r="1075" ht="32" customHeight="1">
      <x:c r="A1075" s="8" t="str">
        <x:v>trunk:LC1:L4:light:1</x:v>
      </x:c>
      <x:c r="B1075" s="8" t="n">
        <x:v>3</x:v>
      </x:c>
      <x:c r="C1075" s="11" t="n">
        <x:v>48.735</x:v>
      </x:c>
      <x:c r="D1075" s="11" t="n">
        <x:v>1.85</x:v>
      </x:c>
      <x:c r="E1075" s="11" t="n">
        <x:v>-2.24</x:v>
      </x:c>
      <x:c r="F1075" s="11" t="n">
        <x:f>SQRT((C1075-C1074)^2+(D1075-D1074)^2+(E1075-E1074)^2)</x:f>
        <x:v>1.6900000000000002</x:v>
      </x:c>
      <x:c r="G1075" s="8" t="str">
        <x:v>Current</x:v>
      </x:c>
    </x:row>
    <x:row r="1076" ht="32" customHeight="1">
      <x:c r="A1076" s="8" t="str">
        <x:v>trunk:LC1:L4:light:1</x:v>
      </x:c>
      <x:c r="B1076" s="8" t="n">
        <x:v>4</x:v>
      </x:c>
      <x:c r="C1076" s="11" t="n">
        <x:v>48.735</x:v>
      </x:c>
      <x:c r="D1076" s="11" t="n">
        <x:v>4.33</x:v>
      </x:c>
      <x:c r="E1076" s="11" t="n">
        <x:v>-2.24</x:v>
      </x:c>
      <x:c r="F1076" s="11" t="n">
        <x:f>SQRT((C1076-C1075)^2+(D1076-D1075)^2+(E1076-E1075)^2)</x:f>
        <x:v>2.48</x:v>
      </x:c>
      <x:c r="G1076" s="8" t="str">
        <x:v>Current</x:v>
      </x:c>
    </x:row>
    <x:row r="1077" ht="32" customHeight="1">
      <x:c r="A1077" s="8" t="str">
        <x:v>trunk:LC1:L4:light:1</x:v>
      </x:c>
      <x:c r="B1077" s="8" t="n">
        <x:v>5</x:v>
      </x:c>
      <x:c r="C1077" s="11" t="n">
        <x:v>48.735</x:v>
      </x:c>
      <x:c r="D1077" s="11" t="n">
        <x:v>4.33</x:v>
      </x:c>
      <x:c r="E1077" s="11" t="n">
        <x:v>-3.3</x:v>
      </x:c>
      <x:c r="F1077" s="11" t="n">
        <x:f>SQRT((C1077-C1076)^2+(D1077-D1076)^2+(E1077-E1076)^2)</x:f>
        <x:v>1.0599999999999996</x:v>
      </x:c>
      <x:c r="G1077" s="8" t="str">
        <x:v>Current</x:v>
      </x:c>
    </x:row>
    <x:row r="1078" ht="32" customHeight="1">
      <x:c r="A1078" s="8" t="str">
        <x:v>trunk:LC1:L4:light:1</x:v>
      </x:c>
      <x:c r="B1078" s="8" t="n">
        <x:v>6</x:v>
      </x:c>
      <x:c r="C1078" s="11" t="n">
        <x:v>53.016</x:v>
      </x:c>
      <x:c r="D1078" s="11" t="n">
        <x:v>4.33</x:v>
      </x:c>
      <x:c r="E1078" s="11" t="n">
        <x:v>-3.3</x:v>
      </x:c>
      <x:c r="F1078" s="11" t="n">
        <x:f>SQRT((C1078-C1077)^2+(D1078-D1077)^2+(E1078-E1077)^2)</x:f>
        <x:v>4.280999999999999</x:v>
      </x:c>
      <x:c r="G1078" s="8" t="str">
        <x:v>Current</x:v>
      </x:c>
    </x:row>
    <x:row r="1079" ht="32" customHeight="1">
      <x:c r="A1079" s="8" t="str">
        <x:v>trunk:LC1:L4:light:1</x:v>
      </x:c>
      <x:c r="B1079" s="8" t="n">
        <x:v>7</x:v>
      </x:c>
      <x:c r="C1079" s="11" t="n">
        <x:v>53.016</x:v>
      </x:c>
      <x:c r="D1079" s="11" t="n">
        <x:v>5.924</x:v>
      </x:c>
      <x:c r="E1079" s="11" t="n">
        <x:v>-3.3</x:v>
      </x:c>
      <x:c r="F1079" s="11" t="n">
        <x:f>SQRT((C1079-C1078)^2+(D1079-D1078)^2+(E1079-E1078)^2)</x:f>
        <x:v>1.5940000000000003</x:v>
      </x:c>
      <x:c r="G1079" s="8" t="str">
        <x:v>Current</x:v>
      </x:c>
    </x:row>
    <x:row r="1080" ht="32" customHeight="1">
      <x:c r="A1080" s="8" t="str">
        <x:v>trunk:LC1:L4:light:1</x:v>
      </x:c>
      <x:c r="B1080" s="8" t="n">
        <x:v>8</x:v>
      </x:c>
      <x:c r="C1080" s="11" t="n">
        <x:v>53.016</x:v>
      </x:c>
      <x:c r="D1080" s="11" t="n">
        <x:v>5.924</x:v>
      </x:c>
      <x:c r="E1080" s="11" t="n">
        <x:v>7.36</x:v>
      </x:c>
      <x:c r="F1080" s="11" t="n">
        <x:f>SQRT((C1080-C1079)^2+(D1080-D1079)^2+(E1080-E1079)^2)</x:f>
        <x:v>10.66</x:v>
      </x:c>
      <x:c r="G1080" s="8" t="str">
        <x:v>Current</x:v>
      </x:c>
    </x:row>
    <x:row r="1081" ht="32" customHeight="1">
      <x:c r="A1081" s="8" t="str">
        <x:v>trunk:LC1:L4:light:1</x:v>
      </x:c>
      <x:c r="B1081" s="8" t="n">
        <x:v>9</x:v>
      </x:c>
      <x:c r="C1081" s="11" t="n">
        <x:v>44.175</x:v>
      </x:c>
      <x:c r="D1081" s="11" t="n">
        <x:v>5.924</x:v>
      </x:c>
      <x:c r="E1081" s="11" t="n">
        <x:v>7.36</x:v>
      </x:c>
      <x:c r="F1081" s="11" t="n">
        <x:f>SQRT((C1081-C1080)^2+(D1081-D1080)^2+(E1081-E1080)^2)</x:f>
        <x:v>8.841000000000001</x:v>
      </x:c>
      <x:c r="G1081" s="8" t="str">
        <x:v>Current</x:v>
      </x:c>
    </x:row>
    <x:row r="1082" ht="32" customHeight="1">
      <x:c r="A1082" s="8" t="str">
        <x:v>trunk:LC1:L4:light:1</x:v>
      </x:c>
      <x:c r="B1082" s="8" t="n">
        <x:v>10</x:v>
      </x:c>
      <x:c r="C1082" s="11" t="n">
        <x:v>44.175</x:v>
      </x:c>
      <x:c r="D1082" s="11" t="n">
        <x:v>7.04</x:v>
      </x:c>
      <x:c r="E1082" s="11" t="n">
        <x:v>7.36</x:v>
      </x:c>
      <x:c r="F1082" s="11" t="n">
        <x:f>SQRT((C1082-C1081)^2+(D1082-D1081)^2+(E1082-E1081)^2)</x:f>
        <x:v>1.1159999999999997</x:v>
      </x:c>
      <x:c r="G1082" s="8" t="str">
        <x:v>Current</x:v>
      </x:c>
    </x:row>
    <x:row r="1083" ht="32" customHeight="1">
      <x:c r="A1083" s="8" t="str">
        <x:v>trunk:LC1:L4:light:1</x:v>
      </x:c>
      <x:c r="B1083" s="8" t="n">
        <x:v>11</x:v>
      </x:c>
      <x:c r="C1083" s="11" t="n">
        <x:v>43.535</x:v>
      </x:c>
      <x:c r="D1083" s="11" t="n">
        <x:v>7.04</x:v>
      </x:c>
      <x:c r="E1083" s="11" t="n">
        <x:v>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trunk:LC1:L4:light:1</x:v>
      </x:c>
      <x:c r="B1084" s="8" t="n">
        <x:v>12</x:v>
      </x:c>
      <x:c r="C1084" s="11" t="n">
        <x:v>43.455</x:v>
      </x:c>
      <x:c r="D1084" s="11" t="n">
        <x:v>6.950412371134024</x:v>
      </x:c>
      <x:c r="E1084" s="11" t="n">
        <x:v>7.36</x:v>
      </x:c>
      <x:c r="F1084" s="11" t="n">
        <x:f>SQRT((C1084-C1083)^2+(D1084-D1083)^2+(E1084-E1083)^2)</x:f>
        <x:v>0.12010804821421249</x:v>
      </x:c>
      <x:c r="G1084" s="8" t="str">
        <x:v>Current</x:v>
      </x:c>
    </x:row>
    <x:row r="1085" ht="32" customHeight="1">
      <x:c r="A1085" s="8" t="str">
        <x:v>trunk:LC1:L4:light:1</x:v>
      </x:c>
      <x:c r="B1085" s="8" t="n">
        <x:v>13</x:v>
      </x:c>
      <x:c r="C1085" s="11" t="n">
        <x:v>40.574999999999996</x:v>
      </x:c>
      <x:c r="D1085" s="11" t="n">
        <x:v>9.269999999999994</x:v>
      </x:c>
      <x:c r="E1085" s="11" t="n">
        <x:v>7.36</x:v>
      </x:c>
      <x:c r="F1085" s="11" t="n">
        <x:f>SQRT((C1085-C1084)^2+(D1085-D1084)^2+(E1085-E1084)^2)</x:f>
        <x:v>3.6979571073753776</x:v>
      </x:c>
      <x:c r="G1085" s="8" t="str">
        <x:v>Current</x:v>
      </x:c>
    </x:row>
    <x:row r="1086" ht="32" customHeight="1">
      <x:c r="A1086" s="8" t="str">
        <x:v>trunk:LC1:L4:light:1</x:v>
      </x:c>
      <x:c r="B1086" s="8" t="n">
        <x:v>14</x:v>
      </x:c>
      <x:c r="C1086" s="11" t="n">
        <x:v>37.695</x:v>
      </x:c>
      <x:c r="D1086" s="11" t="n">
        <x:v>6.950412371134018</x:v>
      </x:c>
      <x:c r="E1086" s="11" t="n">
        <x:v>7.36</x:v>
      </x:c>
      <x:c r="F1086" s="11" t="n">
        <x:f>SQRT((C1086-C1085)^2+(D1086-D1085)^2+(E1086-E1085)^2)</x:f>
        <x:v>3.697957107375376</x:v>
      </x:c>
      <x:c r="G1086" s="8" t="str">
        <x:v>Current</x:v>
      </x:c>
    </x:row>
    <x:row r="1087" ht="32" customHeight="1">
      <x:c r="A1087" s="8" t="str">
        <x:v>trunk:LC1:L4:light:1</x:v>
      </x:c>
      <x:c r="B1087" s="8" t="n">
        <x:v>15</x:v>
      </x:c>
      <x:c r="C1087" s="11" t="n">
        <x:v>37.615</x:v>
      </x:c>
      <x:c r="D1087" s="11" t="n">
        <x:v>7.04</x:v>
      </x:c>
      <x:c r="E1087" s="11" t="n">
        <x:v>7.36</x:v>
      </x:c>
      <x:c r="F1087" s="11" t="n">
        <x:f>SQRT((C1087-C1086)^2+(D1087-D1086)^2+(E1087-E1086)^2)</x:f>
        <x:v>0.12010804821421713</x:v>
      </x:c>
      <x:c r="G1087" s="8" t="str">
        <x:v>Current</x:v>
      </x:c>
    </x:row>
    <x:row r="1088" ht="32" customHeight="1">
      <x:c r="A1088" s="8" t="str">
        <x:v>trunk:LC1:L4:light:1</x:v>
      </x:c>
      <x:c r="B1088" s="8" t="n">
        <x:v>16</x:v>
      </x:c>
      <x:c r="C1088" s="11" t="n">
        <x:v>36.975</x:v>
      </x:c>
      <x:c r="D1088" s="11" t="n">
        <x:v>7.04</x:v>
      </x:c>
      <x:c r="E1088" s="11" t="n">
        <x:v>7.36</x:v>
      </x:c>
      <x:c r="F1088" s="11" t="n">
        <x:f>SQRT((C1088-C1087)^2+(D1088-D1087)^2+(E1088-E1087)^2)</x:f>
        <x:v>0.6400000000000006</x:v>
      </x:c>
      <x:c r="G1088" s="8" t="str">
        <x:v>Current</x:v>
      </x:c>
    </x:row>
    <x:row r="1089" ht="32" customHeight="1">
      <x:c r="A1089" s="8" t="str">
        <x:v>trunk:LC1:L4:light:1</x:v>
      </x:c>
      <x:c r="B1089" s="8" t="n">
        <x:v>17</x:v>
      </x:c>
      <x:c r="C1089" s="11" t="n">
        <x:v>36.975</x:v>
      </x:c>
      <x:c r="D1089" s="11" t="n">
        <x:v>5.924</x:v>
      </x:c>
      <x:c r="E1089" s="11" t="n">
        <x:v>7.36</x:v>
      </x:c>
      <x:c r="F1089" s="11" t="n">
        <x:f>SQRT((C1089-C1088)^2+(D1089-D1088)^2+(E1089-E1088)^2)</x:f>
        <x:v>1.1159999999999997</x:v>
      </x:c>
      <x:c r="G1089" s="8" t="str">
        <x:v>Current</x:v>
      </x:c>
    </x:row>
    <x:row r="1090" ht="32" customHeight="1">
      <x:c r="A1090" s="8" t="str">
        <x:v>trunk:LC1:L4:light:1</x:v>
      </x:c>
      <x:c r="B1090" s="8" t="n">
        <x:v>18</x:v>
      </x:c>
      <x:c r="C1090" s="11" t="n">
        <x:v>5.550000000000001</x:v>
      </x:c>
      <x:c r="D1090" s="11" t="n">
        <x:v>5.924</x:v>
      </x:c>
      <x:c r="E1090" s="11" t="n">
        <x:v>7.36</x:v>
      </x:c>
      <x:c r="F1090" s="11" t="n">
        <x:f>SQRT((C1090-C1089)^2+(D1090-D1089)^2+(E1090-E1089)^2)</x:f>
        <x:v>31.425</x:v>
      </x:c>
      <x:c r="G1090" s="8" t="str">
        <x:v>Current</x:v>
      </x:c>
    </x:row>
    <x:row r="1091" ht="32" customHeight="1">
      <x:c r="A1091" s="8" t="str">
        <x:v>drop:LC1:L4:light:1:L128</x:v>
      </x:c>
      <x:c r="B1091" s="8" t="n">
        <x:v>1</x:v>
      </x:c>
      <x:c r="C1091" s="11" t="n">
        <x:v>9.545000000000002</x:v>
      </x:c>
      <x:c r="D1091" s="11" t="n">
        <x:v>5.924</x:v>
      </x:c>
      <x:c r="E1091" s="11" t="n">
        <x:v>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drop:LC1:L4:light:1:L128</x:v>
      </x:c>
      <x:c r="B1092" s="8" t="n">
        <x:v>2</x:v>
      </x:c>
      <x:c r="C1092" s="11" t="n">
        <x:v>9.545000000000002</x:v>
      </x:c>
      <x:c r="D1092" s="11" t="n">
        <x:v>3.1</x:v>
      </x:c>
      <x:c r="E1092" s="11" t="n">
        <x:v>7.36</x:v>
      </x:c>
      <x:c r="F1092" s="11" t="n">
        <x:f>SQRT((C1092-C1091)^2+(D1092-D1091)^2+(E1092-E1091)^2)</x:f>
        <x:v>2.8240000000000003</x:v>
      </x:c>
      <x:c r="G1092" s="8" t="str">
        <x:v>Current</x:v>
      </x:c>
    </x:row>
    <x:row r="1093" ht="32" customHeight="1">
      <x:c r="A1093" s="8" t="str">
        <x:v>drop:LC1:L4:light:1:L128</x:v>
      </x:c>
      <x:c r="B1093" s="8" t="n">
        <x:v>3</x:v>
      </x:c>
      <x:c r="C1093" s="11" t="n">
        <x:v>9.545</x:v>
      </x:c>
      <x:c r="D1093" s="11" t="n">
        <x:v>3.1</x:v>
      </x:c>
      <x:c r="E1093" s="11" t="n">
        <x:v>7.47</x:v>
      </x:c>
      <x:c r="F1093" s="11" t="n">
        <x:f>SQRT((C1093-C1092)^2+(D1093-D1092)^2+(E1093-E1092)^2)</x:f>
        <x:v>0.10999999999999943</x:v>
      </x:c>
      <x:c r="G1093" s="8" t="str">
        <x:v>Current</x:v>
      </x:c>
    </x:row>
    <x:row r="1094" ht="32" customHeight="1">
      <x:c r="A1094" s="8" t="str">
        <x:v>drop:LC1:L4:light:1:L129</x:v>
      </x:c>
      <x:c r="B1094" s="8" t="n">
        <x:v>1</x:v>
      </x:c>
      <x:c r="C1094" s="11" t="n">
        <x:v>14.045000000000002</x:v>
      </x:c>
      <x:c r="D1094" s="11" t="n">
        <x:v>5.924</x:v>
      </x:c>
      <x:c r="E1094" s="11" t="n">
        <x:v>7.36</x:v>
      </x:c>
      <x:c r="F1094" s="11" t="n">
        <x:f>0</x:f>
        <x:v>0</x:v>
      </x:c>
      <x:c r="G1094" s="8" t="str">
        <x:v>Current</x:v>
      </x:c>
    </x:row>
    <x:row r="1095" ht="32" customHeight="1">
      <x:c r="A1095" s="8" t="str">
        <x:v>drop:LC1:L4:light:1:L129</x:v>
      </x:c>
      <x:c r="B1095" s="8" t="n">
        <x:v>2</x:v>
      </x:c>
      <x:c r="C1095" s="11" t="n">
        <x:v>14.045000000000002</x:v>
      </x:c>
      <x:c r="D1095" s="11" t="n">
        <x:v>3.1</x:v>
      </x:c>
      <x:c r="E1095" s="11" t="n">
        <x:v>7.36</x:v>
      </x:c>
      <x:c r="F1095" s="11" t="n">
        <x:f>SQRT((C1095-C1094)^2+(D1095-D1094)^2+(E1095-E1094)^2)</x:f>
        <x:v>2.8240000000000003</x:v>
      </x:c>
      <x:c r="G1095" s="8" t="str">
        <x:v>Current</x:v>
      </x:c>
    </x:row>
    <x:row r="1096" ht="32" customHeight="1">
      <x:c r="A1096" s="8" t="str">
        <x:v>drop:LC1:L4:light:1:L129</x:v>
      </x:c>
      <x:c r="B1096" s="8" t="n">
        <x:v>3</x:v>
      </x:c>
      <x:c r="C1096" s="11" t="n">
        <x:v>14.045</x:v>
      </x:c>
      <x:c r="D1096" s="11" t="n">
        <x:v>3.1</x:v>
      </x:c>
      <x:c r="E1096" s="11" t="n">
        <x:v>7.47</x:v>
      </x:c>
      <x:c r="F1096" s="11" t="n">
        <x:f>SQRT((C1096-C1095)^2+(D1096-D1095)^2+(E1096-E1095)^2)</x:f>
        <x:v>0.10999999999999943</x:v>
      </x:c>
      <x:c r="G1096" s="8" t="str">
        <x:v>Current</x:v>
      </x:c>
    </x:row>
    <x:row r="1097" ht="32" customHeight="1">
      <x:c r="A1097" s="8" t="str">
        <x:v>drop:LC1:L4:light:1:L130</x:v>
      </x:c>
      <x:c r="B1097" s="8" t="n">
        <x:v>1</x:v>
      </x:c>
      <x:c r="C1097" s="11" t="n">
        <x:v>18.545</x:v>
      </x:c>
      <x:c r="D1097" s="11" t="n">
        <x:v>5.924</x:v>
      </x:c>
      <x:c r="E1097" s="11" t="n">
        <x:v>7.36</x:v>
      </x:c>
      <x:c r="F1097" s="11" t="n">
        <x:f>0</x:f>
        <x:v>0</x:v>
      </x:c>
      <x:c r="G1097" s="8" t="str">
        <x:v>Current</x:v>
      </x:c>
    </x:row>
    <x:row r="1098" ht="32" customHeight="1">
      <x:c r="A1098" s="8" t="str">
        <x:v>drop:LC1:L4:light:1:L130</x:v>
      </x:c>
      <x:c r="B1098" s="8" t="n">
        <x:v>2</x:v>
      </x:c>
      <x:c r="C1098" s="11" t="n">
        <x:v>18.545</x:v>
      </x:c>
      <x:c r="D1098" s="11" t="n">
        <x:v>3.1</x:v>
      </x:c>
      <x:c r="E1098" s="11" t="n">
        <x:v>7.36</x:v>
      </x:c>
      <x:c r="F1098" s="11" t="n">
        <x:f>SQRT((C1098-C1097)^2+(D1098-D1097)^2+(E1098-E1097)^2)</x:f>
        <x:v>2.8240000000000003</x:v>
      </x:c>
      <x:c r="G1098" s="8" t="str">
        <x:v>Current</x:v>
      </x:c>
    </x:row>
    <x:row r="1099" ht="32" customHeight="1">
      <x:c r="A1099" s="8" t="str">
        <x:v>drop:LC1:L4:light:1:L130</x:v>
      </x:c>
      <x:c r="B1099" s="8" t="n">
        <x:v>3</x:v>
      </x:c>
      <x:c r="C1099" s="11" t="n">
        <x:v>18.545</x:v>
      </x:c>
      <x:c r="D1099" s="11" t="n">
        <x:v>3.1</x:v>
      </x:c>
      <x:c r="E1099" s="11" t="n">
        <x:v>7.47</x:v>
      </x:c>
      <x:c r="F1099" s="11" t="n">
        <x:f>SQRT((C1099-C1098)^2+(D1099-D1098)^2+(E1099-E1098)^2)</x:f>
        <x:v>0.10999999999999943</x:v>
      </x:c>
      <x:c r="G1099" s="8" t="str">
        <x:v>Current</x:v>
      </x:c>
    </x:row>
    <x:row r="1100" ht="32" customHeight="1">
      <x:c r="A1100" s="8" t="str">
        <x:v>drop:LC1:L4:light:1:L131</x:v>
      </x:c>
      <x:c r="B1100" s="8" t="n">
        <x:v>1</x:v>
      </x:c>
      <x:c r="C1100" s="11" t="n">
        <x:v>23.045</x:v>
      </x:c>
      <x:c r="D1100" s="11" t="n">
        <x:v>5.924</x:v>
      </x:c>
      <x:c r="E1100" s="11" t="n">
        <x:v>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drop:LC1:L4:light:1:L131</x:v>
      </x:c>
      <x:c r="B1101" s="8" t="n">
        <x:v>2</x:v>
      </x:c>
      <x:c r="C1101" s="11" t="n">
        <x:v>23.045</x:v>
      </x:c>
      <x:c r="D1101" s="11" t="n">
        <x:v>3.1</x:v>
      </x:c>
      <x:c r="E1101" s="11" t="n">
        <x:v>7.36</x:v>
      </x:c>
      <x:c r="F1101" s="11" t="n">
        <x:f>SQRT((C1101-C1100)^2+(D1101-D1100)^2+(E1101-E1100)^2)</x:f>
        <x:v>2.8240000000000003</x:v>
      </x:c>
      <x:c r="G1101" s="8" t="str">
        <x:v>Current</x:v>
      </x:c>
    </x:row>
    <x:row r="1102" ht="32" customHeight="1">
      <x:c r="A1102" s="8" t="str">
        <x:v>drop:LC1:L4:light:1:L131</x:v>
      </x:c>
      <x:c r="B1102" s="8" t="n">
        <x:v>3</x:v>
      </x:c>
      <x:c r="C1102" s="11" t="n">
        <x:v>23.045</x:v>
      </x:c>
      <x:c r="D1102" s="11" t="n">
        <x:v>3.1</x:v>
      </x:c>
      <x:c r="E1102" s="11" t="n">
        <x:v>7.47</x:v>
      </x:c>
      <x:c r="F1102" s="11" t="n">
        <x:f>SQRT((C1102-C1101)^2+(D1102-D1101)^2+(E1102-E1101)^2)</x:f>
        <x:v>0.10999999999999943</x:v>
      </x:c>
      <x:c r="G1102" s="8" t="str">
        <x:v>Current</x:v>
      </x:c>
    </x:row>
    <x:row r="1103" ht="32" customHeight="1">
      <x:c r="A1103" s="8" t="str">
        <x:v>drop:LC1:L4:light:1:L132</x:v>
      </x:c>
      <x:c r="B1103" s="8" t="n">
        <x:v>1</x:v>
      </x:c>
      <x:c r="C1103" s="11" t="n">
        <x:v>27.545</x:v>
      </x:c>
      <x:c r="D1103" s="11" t="n">
        <x:v>5.924</x:v>
      </x:c>
      <x:c r="E1103" s="11" t="n">
        <x:v>7.36</x:v>
      </x:c>
      <x:c r="F1103" s="11" t="n">
        <x:f>0</x:f>
        <x:v>0</x:v>
      </x:c>
      <x:c r="G1103" s="8" t="str">
        <x:v>Current</x:v>
      </x:c>
    </x:row>
    <x:row r="1104" ht="32" customHeight="1">
      <x:c r="A1104" s="8" t="str">
        <x:v>drop:LC1:L4:light:1:L132</x:v>
      </x:c>
      <x:c r="B1104" s="8" t="n">
        <x:v>2</x:v>
      </x:c>
      <x:c r="C1104" s="11" t="n">
        <x:v>27.545</x:v>
      </x:c>
      <x:c r="D1104" s="11" t="n">
        <x:v>3.1</x:v>
      </x:c>
      <x:c r="E1104" s="11" t="n">
        <x:v>7.36</x:v>
      </x:c>
      <x:c r="F1104" s="11" t="n">
        <x:f>SQRT((C1104-C1103)^2+(D1104-D1103)^2+(E1104-E1103)^2)</x:f>
        <x:v>2.8240000000000003</x:v>
      </x:c>
      <x:c r="G1104" s="8" t="str">
        <x:v>Current</x:v>
      </x:c>
    </x:row>
    <x:row r="1105" ht="32" customHeight="1">
      <x:c r="A1105" s="8" t="str">
        <x:v>drop:LC1:L4:light:1:L132</x:v>
      </x:c>
      <x:c r="B1105" s="8" t="n">
        <x:v>3</x:v>
      </x:c>
      <x:c r="C1105" s="11" t="n">
        <x:v>27.545</x:v>
      </x:c>
      <x:c r="D1105" s="11" t="n">
        <x:v>3.1</x:v>
      </x:c>
      <x:c r="E1105" s="11" t="n">
        <x:v>7.47</x:v>
      </x:c>
      <x:c r="F1105" s="11" t="n">
        <x:f>SQRT((C1105-C1104)^2+(D1105-D1104)^2+(E1105-E1104)^2)</x:f>
        <x:v>0.10999999999999943</x:v>
      </x:c>
      <x:c r="G1105" s="8" t="str">
        <x:v>Current</x:v>
      </x:c>
    </x:row>
    <x:row r="1106" ht="32" customHeight="1">
      <x:c r="A1106" s="8" t="str">
        <x:v>drop:LC1:L4:light:1:L133</x:v>
      </x:c>
      <x:c r="B1106" s="8" t="n">
        <x:v>1</x:v>
      </x:c>
      <x:c r="C1106" s="11" t="n">
        <x:v>32.045</x:v>
      </x:c>
      <x:c r="D1106" s="11" t="n">
        <x:v>5.924</x:v>
      </x:c>
      <x:c r="E1106" s="11" t="n">
        <x:v>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drop:LC1:L4:light:1:L133</x:v>
      </x:c>
      <x:c r="B1107" s="8" t="n">
        <x:v>2</x:v>
      </x:c>
      <x:c r="C1107" s="11" t="n">
        <x:v>32.045</x:v>
      </x:c>
      <x:c r="D1107" s="11" t="n">
        <x:v>3.1</x:v>
      </x:c>
      <x:c r="E1107" s="11" t="n">
        <x:v>7.36</x:v>
      </x:c>
      <x:c r="F1107" s="11" t="n">
        <x:f>SQRT((C1107-C1106)^2+(D1107-D1106)^2+(E1107-E1106)^2)</x:f>
        <x:v>2.8240000000000003</x:v>
      </x:c>
      <x:c r="G1107" s="8" t="str">
        <x:v>Current</x:v>
      </x:c>
    </x:row>
    <x:row r="1108" ht="32" customHeight="1">
      <x:c r="A1108" s="8" t="str">
        <x:v>drop:LC1:L4:light:1:L133</x:v>
      </x:c>
      <x:c r="B1108" s="8" t="n">
        <x:v>3</x:v>
      </x:c>
      <x:c r="C1108" s="11" t="n">
        <x:v>32.045</x:v>
      </x:c>
      <x:c r="D1108" s="11" t="n">
        <x:v>3.1</x:v>
      </x:c>
      <x:c r="E1108" s="11" t="n">
        <x:v>7.47</x:v>
      </x:c>
      <x:c r="F1108" s="11" t="n">
        <x:f>SQRT((C1108-C1107)^2+(D1108-D1107)^2+(E1108-E1107)^2)</x:f>
        <x:v>0.10999999999999943</x:v>
      </x:c>
      <x:c r="G1108" s="8" t="str">
        <x:v>Current</x:v>
      </x:c>
    </x:row>
    <x:row r="1109" ht="32" customHeight="1">
      <x:c r="A1109" s="8" t="str">
        <x:v>drop:LC1:L4:light:1:L134</x:v>
      </x:c>
      <x:c r="B1109" s="8" t="n">
        <x:v>1</x:v>
      </x:c>
      <x:c r="C1109" s="11" t="n">
        <x:v>36.545</x:v>
      </x:c>
      <x:c r="D1109" s="11" t="n">
        <x:v>5.924</x:v>
      </x:c>
      <x:c r="E1109" s="11" t="n">
        <x:v>7.36</x:v>
      </x:c>
      <x:c r="F1109" s="11" t="n">
        <x:f>0</x:f>
        <x:v>0</x:v>
      </x:c>
      <x:c r="G1109" s="8" t="str">
        <x:v>Current</x:v>
      </x:c>
    </x:row>
    <x:row r="1110" ht="32" customHeight="1">
      <x:c r="A1110" s="8" t="str">
        <x:v>drop:LC1:L4:light:1:L134</x:v>
      </x:c>
      <x:c r="B1110" s="8" t="n">
        <x:v>2</x:v>
      </x:c>
      <x:c r="C1110" s="11" t="n">
        <x:v>36.545</x:v>
      </x:c>
      <x:c r="D1110" s="11" t="n">
        <x:v>3.1</x:v>
      </x:c>
      <x:c r="E1110" s="11" t="n">
        <x:v>7.36</x:v>
      </x:c>
      <x:c r="F1110" s="11" t="n">
        <x:f>SQRT((C1110-C1109)^2+(D1110-D1109)^2+(E1110-E1109)^2)</x:f>
        <x:v>2.8240000000000003</x:v>
      </x:c>
      <x:c r="G1110" s="8" t="str">
        <x:v>Current</x:v>
      </x:c>
    </x:row>
    <x:row r="1111" ht="32" customHeight="1">
      <x:c r="A1111" s="8" t="str">
        <x:v>drop:LC1:L4:light:1:L134</x:v>
      </x:c>
      <x:c r="B1111" s="8" t="n">
        <x:v>3</x:v>
      </x:c>
      <x:c r="C1111" s="11" t="n">
        <x:v>36.545</x:v>
      </x:c>
      <x:c r="D1111" s="11" t="n">
        <x:v>3.1</x:v>
      </x:c>
      <x:c r="E1111" s="11" t="n">
        <x:v>7.47</x:v>
      </x:c>
      <x:c r="F1111" s="11" t="n">
        <x:f>SQRT((C1111-C1110)^2+(D1111-D1110)^2+(E1111-E1110)^2)</x:f>
        <x:v>0.10999999999999943</x:v>
      </x:c>
      <x:c r="G1111" s="8" t="str">
        <x:v>Current</x:v>
      </x:c>
    </x:row>
    <x:row r="1112" ht="32" customHeight="1">
      <x:c r="A1112" s="8" t="str">
        <x:v>drop:LC1:L4:light:1:L135</x:v>
      </x:c>
      <x:c r="B1112" s="8" t="n">
        <x:v>1</x:v>
      </x:c>
      <x:c r="C1112" s="11" t="n">
        <x:v>48.245</x:v>
      </x:c>
      <x:c r="D1112" s="11" t="n">
        <x:v>5.924</x:v>
      </x:c>
      <x:c r="E1112" s="11" t="n">
        <x:v>7.36</x:v>
      </x:c>
      <x:c r="F1112" s="11" t="n">
        <x:f>0</x:f>
        <x:v>0</x:v>
      </x:c>
      <x:c r="G1112" s="8" t="str">
        <x:v>Current</x:v>
      </x:c>
    </x:row>
    <x:row r="1113" ht="32" customHeight="1">
      <x:c r="A1113" s="8" t="str">
        <x:v>drop:LC1:L4:light:1:L135</x:v>
      </x:c>
      <x:c r="B1113" s="8" t="n">
        <x:v>2</x:v>
      </x:c>
      <x:c r="C1113" s="11" t="n">
        <x:v>48.245</x:v>
      </x:c>
      <x:c r="D1113" s="11" t="n">
        <x:v>3.1</x:v>
      </x:c>
      <x:c r="E1113" s="11" t="n">
        <x:v>7.36</x:v>
      </x:c>
      <x:c r="F1113" s="11" t="n">
        <x:f>SQRT((C1113-C1112)^2+(D1113-D1112)^2+(E1113-E1112)^2)</x:f>
        <x:v>2.8240000000000003</x:v>
      </x:c>
      <x:c r="G1113" s="8" t="str">
        <x:v>Current</x:v>
      </x:c>
    </x:row>
    <x:row r="1114" ht="32" customHeight="1">
      <x:c r="A1114" s="8" t="str">
        <x:v>drop:LC1:L4:light:1:L135</x:v>
      </x:c>
      <x:c r="B1114" s="8" t="n">
        <x:v>3</x:v>
      </x:c>
      <x:c r="C1114" s="11" t="n">
        <x:v>48.245</x:v>
      </x:c>
      <x:c r="D1114" s="11" t="n">
        <x:v>3.1</x:v>
      </x:c>
      <x:c r="E1114" s="11" t="n">
        <x:v>7.47</x:v>
      </x:c>
      <x:c r="F1114" s="11" t="n">
        <x:f>SQRT((C1114-C1113)^2+(D1114-D1113)^2+(E1114-E1113)^2)</x:f>
        <x:v>0.10999999999999943</x:v>
      </x:c>
      <x:c r="G1114" s="8" t="str">
        <x:v>Current</x:v>
      </x:c>
    </x:row>
    <x:row r="1115" ht="32" customHeight="1">
      <x:c r="A1115" s="8" t="str">
        <x:v>drop:LC1:L4:light:1:L136</x:v>
      </x:c>
      <x:c r="B1115" s="8" t="n">
        <x:v>1</x:v>
      </x:c>
      <x:c r="C1115" s="11" t="n">
        <x:v>52.586</x:v>
      </x:c>
      <x:c r="D1115" s="11" t="n">
        <x:v>5.924</x:v>
      </x:c>
      <x:c r="E1115" s="11" t="n">
        <x:v>7.36</x:v>
      </x:c>
      <x:c r="F1115" s="11" t="n">
        <x:f>0</x:f>
        <x:v>0</x:v>
      </x:c>
      <x:c r="G1115" s="8" t="str">
        <x:v>Current</x:v>
      </x:c>
    </x:row>
    <x:row r="1116" ht="32" customHeight="1">
      <x:c r="A1116" s="8" t="str">
        <x:v>drop:LC1:L4:light:1:L136</x:v>
      </x:c>
      <x:c r="B1116" s="8" t="n">
        <x:v>2</x:v>
      </x:c>
      <x:c r="C1116" s="11" t="n">
        <x:v>52.586</x:v>
      </x:c>
      <x:c r="D1116" s="11" t="n">
        <x:v>3.1</x:v>
      </x:c>
      <x:c r="E1116" s="11" t="n">
        <x:v>7.36</x:v>
      </x:c>
      <x:c r="F1116" s="11" t="n">
        <x:f>SQRT((C1116-C1115)^2+(D1116-D1115)^2+(E1116-E1115)^2)</x:f>
        <x:v>2.8240000000000003</x:v>
      </x:c>
      <x:c r="G1116" s="8" t="str">
        <x:v>Current</x:v>
      </x:c>
    </x:row>
    <x:row r="1117" ht="32" customHeight="1">
      <x:c r="A1117" s="8" t="str">
        <x:v>drop:LC1:L4:light:1:L136</x:v>
      </x:c>
      <x:c r="B1117" s="8" t="n">
        <x:v>3</x:v>
      </x:c>
      <x:c r="C1117" s="11" t="n">
        <x:v>52.586</x:v>
      </x:c>
      <x:c r="D1117" s="11" t="n">
        <x:v>3.1</x:v>
      </x:c>
      <x:c r="E1117" s="11" t="n">
        <x:v>7.47</x:v>
      </x:c>
      <x:c r="F1117" s="11" t="n">
        <x:f>SQRT((C1117-C1116)^2+(D1117-D1116)^2+(E1117-E1116)^2)</x:f>
        <x:v>0.10999999999999943</x:v>
      </x:c>
      <x:c r="G1117" s="8" t="str">
        <x:v>Current</x:v>
      </x:c>
    </x:row>
    <x:row r="1118" ht="32" customHeight="1">
      <x:c r="A1118" s="8" t="str">
        <x:v>drop:LC1:L4:light:1:L-ARCH-H-2P-3-A</x:v>
      </x:c>
      <x:c r="B1118" s="8" t="n">
        <x:v>1</x:v>
      </x:c>
      <x:c r="C1118" s="11" t="n">
        <x:v>5.550000000000001</x:v>
      </x:c>
      <x:c r="D1118" s="11" t="n">
        <x:v>5.924</x:v>
      </x:c>
      <x:c r="E1118" s="11" t="n">
        <x:v>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drop:LC1:L4:light:1:L-ARCH-H-2P-3-A</x:v>
      </x:c>
      <x:c r="B1119" s="8" t="n">
        <x:v>2</x:v>
      </x:c>
      <x:c r="C1119" s="11" t="n">
        <x:v>5.550000000000001</x:v>
      </x:c>
      <x:c r="D1119" s="11" t="n">
        <x:v>7.04</x:v>
      </x:c>
      <x:c r="E1119" s="11" t="n">
        <x:v>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drop:LC1:L4:light:1:L-ARCH-H-2P-3-A</x:v>
      </x:c>
      <x:c r="B1120" s="8" t="n">
        <x:v>3</x:v>
      </x:c>
      <x:c r="C1120" s="11" t="n">
        <x:v>5.55</x:v>
      </x:c>
      <x:c r="D1120" s="11" t="n">
        <x:v>6.932586272843179</x:v>
      </x:c>
      <x:c r="E1120" s="11" t="n">
        <x:v>7.438307692307693</x:v>
      </x:c>
      <x:c r="F1120" s="11" t="n">
        <x:f>SQRT((C1120-C1119)^2+(D1120-D1119)^2+(E1120-E1119)^2)</x:f>
        <x:v>0.13292781295227982</x:v>
      </x:c>
      <x:c r="G1120" s="8" t="str">
        <x:v>Current</x:v>
      </x:c>
    </x:row>
    <x:row r="1121" ht="32" customHeight="1">
      <x:c r="A1121" s="8" t="str">
        <x:v>drop:LC1:L4:light:1:L-ARCH-H-2P-3-A</x:v>
      </x:c>
      <x:c r="B1121" s="8" t="n">
        <x:v>4</x:v>
      </x:c>
      <x:c r="C1121" s="11" t="n">
        <x:v>5.55</x:v>
      </x:c>
      <x:c r="D1121" s="11" t="n">
        <x:v>6.270864640883978</x:v>
      </x:c>
      <x:c r="E1121" s="11" t="n">
        <x:v>10.414</x:v>
      </x:c>
      <x:c r="F1121" s="11" t="n">
        <x:f>SQRT((C1121-C1120)^2+(D1121-D1120)^2+(E1121-E1120)^2)</x:f>
        <x:v>3.048379935024818</x:v>
      </x:c>
      <x:c r="G1121" s="8" t="str">
        <x:v>Current</x:v>
      </x:c>
    </x:row>
    <x:row r="1122" ht="32" customHeight="1">
      <x:c r="A1122" s="8" t="str">
        <x:v>drop:LC1:L4:light:1:L-ARCH-H-2P-3-A</x:v>
      </x:c>
      <x:c r="B1122" s="8" t="n">
        <x:v>5</x:v>
      </x:c>
      <x:c r="C1122" s="11" t="n">
        <x:v>5.55</x:v>
      </x:c>
      <x:c r="D1122" s="11" t="n">
        <x:v>2.6</x:v>
      </x:c>
      <x:c r="E1122" s="11" t="n">
        <x:v>10.414</x:v>
      </x:c>
      <x:c r="F1122" s="11" t="n">
        <x:f>SQRT((C1122-C1121)^2+(D1122-D1121)^2+(E1122-E1121)^2)</x:f>
        <x:v>3.6708646408839782</x:v>
      </x:c>
      <x:c r="G1122" s="8" t="str">
        <x:v>Current</x:v>
      </x:c>
    </x:row>
    <x:row r="1123" ht="32" customHeight="1">
      <x:c r="A1123" s="8" t="str">
        <x:v>drop:LC1:L4:light:1:L-ARCH-H-2P-3-A</x:v>
      </x:c>
      <x:c r="B1123" s="8" t="n">
        <x:v>6</x:v>
      </x:c>
      <x:c r="C1123" s="11" t="n">
        <x:v>5.55</x:v>
      </x:c>
      <x:c r="D1123" s="11" t="n">
        <x:v>2.6</x:v>
      </x:c>
      <x:c r="E1123" s="11" t="n">
        <x:v>10.654</x:v>
      </x:c>
      <x:c r="F1123" s="11" t="n">
        <x:f>SQRT((C1123-C1122)^2+(D1123-D1122)^2+(E1123-E1122)^2)</x:f>
        <x:v>0.2400000000000002</x:v>
      </x:c>
      <x:c r="G1123" s="8" t="str">
        <x:v>Current</x:v>
      </x:c>
    </x:row>
    <x:row r="1124" ht="32" customHeight="1">
      <x:c r="A1124" s="8" t="str">
        <x:v>drop:LC1:L4:light:1:L-ARCH-H-2P-3-B</x:v>
      </x:c>
      <x:c r="B1124" s="8" t="n">
        <x:v>1</x:v>
      </x:c>
      <x:c r="C1124" s="11" t="n">
        <x:v>9.899999999999999</x:v>
      </x:c>
      <x:c r="D1124" s="11" t="n">
        <x:v>5.924</x:v>
      </x:c>
      <x:c r="E1124" s="11" t="n">
        <x:v>7.36</x:v>
      </x:c>
      <x:c r="F1124" s="11" t="n">
        <x:f>0</x:f>
        <x:v>0</x:v>
      </x:c>
      <x:c r="G1124" s="8" t="str">
        <x:v>Current</x:v>
      </x:c>
    </x:row>
    <x:row r="1125" ht="32" customHeight="1">
      <x:c r="A1125" s="8" t="str">
        <x:v>drop:LC1:L4:light:1:L-ARCH-H-2P-3-B</x:v>
      </x:c>
      <x:c r="B1125" s="8" t="n">
        <x:v>2</x:v>
      </x:c>
      <x:c r="C1125" s="11" t="n">
        <x:v>9.899999999999999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1.1159999999999997</x:v>
      </x:c>
      <x:c r="G1125" s="8" t="str">
        <x:v>Current</x:v>
      </x:c>
    </x:row>
    <x:row r="1126" ht="32" customHeight="1">
      <x:c r="A1126" s="8" t="str">
        <x:v>drop:LC1:L4:light:1:L-ARCH-H-2P-3-B</x:v>
      </x:c>
      <x:c r="B1126" s="8" t="n">
        <x:v>3</x:v>
      </x:c>
      <x:c r="C1126" s="11" t="n">
        <x:v>9.9</x:v>
      </x:c>
      <x:c r="D1126" s="11" t="n">
        <x:v>6.932586272843179</x:v>
      </x:c>
      <x:c r="E1126" s="11" t="n">
        <x:v>7.438307692307693</x:v>
      </x:c>
      <x:c r="F1126" s="11" t="n">
        <x:f>SQRT((C1126-C1125)^2+(D1126-D1125)^2+(E1126-E1125)^2)</x:f>
        <x:v>0.13292781295227982</x:v>
      </x:c>
      <x:c r="G1126" s="8" t="str">
        <x:v>Current</x:v>
      </x:c>
    </x:row>
    <x:row r="1127" ht="32" customHeight="1">
      <x:c r="A1127" s="8" t="str">
        <x:v>drop:LC1:L4:light:1:L-ARCH-H-2P-3-B</x:v>
      </x:c>
      <x:c r="B1127" s="8" t="n">
        <x:v>4</x:v>
      </x:c>
      <x:c r="C1127" s="11" t="n">
        <x:v>9.9</x:v>
      </x:c>
      <x:c r="D1127" s="11" t="n">
        <x:v>6.270864640883978</x:v>
      </x:c>
      <x:c r="E1127" s="11" t="n">
        <x:v>10.414</x:v>
      </x:c>
      <x:c r="F1127" s="11" t="n">
        <x:f>SQRT((C1127-C1126)^2+(D1127-D1126)^2+(E1127-E1126)^2)</x:f>
        <x:v>3.048379935024818</x:v>
      </x:c>
      <x:c r="G1127" s="8" t="str">
        <x:v>Current</x:v>
      </x:c>
    </x:row>
    <x:row r="1128" ht="32" customHeight="1">
      <x:c r="A1128" s="8" t="str">
        <x:v>drop:LC1:L4:light:1:L-ARCH-H-2P-3-B</x:v>
      </x:c>
      <x:c r="B1128" s="8" t="n">
        <x:v>5</x:v>
      </x:c>
      <x:c r="C1128" s="11" t="n">
        <x:v>9.9</x:v>
      </x:c>
      <x:c r="D1128" s="11" t="n">
        <x:v>2.6</x:v>
      </x:c>
      <x:c r="E1128" s="11" t="n">
        <x:v>10.414</x:v>
      </x:c>
      <x:c r="F1128" s="11" t="n">
        <x:f>SQRT((C1128-C1127)^2+(D1128-D1127)^2+(E1128-E1127)^2)</x:f>
        <x:v>3.6708646408839782</x:v>
      </x:c>
      <x:c r="G1128" s="8" t="str">
        <x:v>Current</x:v>
      </x:c>
    </x:row>
    <x:row r="1129" ht="32" customHeight="1">
      <x:c r="A1129" s="8" t="str">
        <x:v>drop:LC1:L4:light:1:L-ARCH-H-2P-3-B</x:v>
      </x:c>
      <x:c r="B1129" s="8" t="n">
        <x:v>6</x:v>
      </x:c>
      <x:c r="C1129" s="11" t="n">
        <x:v>9.9</x:v>
      </x:c>
      <x:c r="D1129" s="11" t="n">
        <x:v>2.6</x:v>
      </x:c>
      <x:c r="E1129" s="11" t="n">
        <x:v>10.654</x:v>
      </x:c>
      <x:c r="F1129" s="11" t="n">
        <x:f>SQRT((C1129-C1128)^2+(D1129-D1128)^2+(E1129-E1128)^2)</x:f>
        <x:v>0.2400000000000002</x:v>
      </x:c>
      <x:c r="G1129" s="8" t="str">
        <x:v>Current</x:v>
      </x:c>
    </x:row>
    <x:row r="1130" ht="32" customHeight="1">
      <x:c r="A1130" s="8" t="str">
        <x:v>drop:LC1:L4:light:1:L-ARCH-H-3-4-A</x:v>
      </x:c>
      <x:c r="B1130" s="8" t="n">
        <x:v>1</x:v>
      </x:c>
      <x:c r="C1130" s="11" t="n">
        <x:v>10.049999999999997</x:v>
      </x:c>
      <x:c r="D1130" s="11" t="n">
        <x:v>5.924</x:v>
      </x:c>
      <x:c r="E1130" s="11" t="n">
        <x:v>7.36</x:v>
      </x:c>
      <x:c r="F1130" s="11" t="n">
        <x:f>0</x:f>
        <x:v>0</x:v>
      </x:c>
      <x:c r="G1130" s="8" t="str">
        <x:v>Current</x:v>
      </x:c>
    </x:row>
    <x:row r="1131" ht="32" customHeight="1">
      <x:c r="A1131" s="8" t="str">
        <x:v>drop:LC1:L4:light:1:L-ARCH-H-3-4-A</x:v>
      </x:c>
      <x:c r="B1131" s="8" t="n">
        <x:v>2</x:v>
      </x:c>
      <x:c r="C1131" s="11" t="n">
        <x:v>10.049999999999997</x:v>
      </x:c>
      <x:c r="D1131" s="11" t="n">
        <x:v>7.04</x:v>
      </x:c>
      <x:c r="E1131" s="11" t="n">
        <x:v>7.36</x:v>
      </x:c>
      <x:c r="F1131" s="11" t="n">
        <x:f>SQRT((C1131-C1130)^2+(D1131-D1130)^2+(E1131-E1130)^2)</x:f>
        <x:v>1.1159999999999997</x:v>
      </x:c>
      <x:c r="G1131" s="8" t="str">
        <x:v>Current</x:v>
      </x:c>
    </x:row>
    <x:row r="1132" ht="32" customHeight="1">
      <x:c r="A1132" s="8" t="str">
        <x:v>drop:LC1:L4:light:1:L-ARCH-H-3-4-A</x:v>
      </x:c>
      <x:c r="B1132" s="8" t="n">
        <x:v>3</x:v>
      </x:c>
      <x:c r="C1132" s="11" t="n">
        <x:v>10.049999999999999</x:v>
      </x:c>
      <x:c r="D1132" s="11" t="n">
        <x:v>6.932586272843179</x:v>
      </x:c>
      <x:c r="E1132" s="11" t="n">
        <x:v>7.438307692307693</x:v>
      </x:c>
      <x:c r="F1132" s="11" t="n">
        <x:f>SQRT((C1132-C1131)^2+(D1132-D1131)^2+(E1132-E1131)^2)</x:f>
        <x:v>0.13292781295227982</x:v>
      </x:c>
      <x:c r="G1132" s="8" t="str">
        <x:v>Current</x:v>
      </x:c>
    </x:row>
    <x:row r="1133" ht="32" customHeight="1">
      <x:c r="A1133" s="8" t="str">
        <x:v>drop:LC1:L4:light:1:L-ARCH-H-3-4-A</x:v>
      </x:c>
      <x:c r="B1133" s="8" t="n">
        <x:v>4</x:v>
      </x:c>
      <x:c r="C1133" s="11" t="n">
        <x:v>10.049999999999999</x:v>
      </x:c>
      <x:c r="D1133" s="11" t="n">
        <x:v>6.270864640883978</x:v>
      </x:c>
      <x:c r="E1133" s="11" t="n">
        <x:v>10.414</x:v>
      </x:c>
      <x:c r="F1133" s="11" t="n">
        <x:f>SQRT((C1133-C1132)^2+(D1133-D1132)^2+(E1133-E1132)^2)</x:f>
        <x:v>3.048379935024818</x:v>
      </x:c>
      <x:c r="G1133" s="8" t="str">
        <x:v>Current</x:v>
      </x:c>
    </x:row>
    <x:row r="1134" ht="32" customHeight="1">
      <x:c r="A1134" s="8" t="str">
        <x:v>drop:LC1:L4:light:1:L-ARCH-H-3-4-A</x:v>
      </x:c>
      <x:c r="B1134" s="8" t="n">
        <x:v>5</x:v>
      </x:c>
      <x:c r="C1134" s="11" t="n">
        <x:v>10.049999999999999</x:v>
      </x:c>
      <x:c r="D1134" s="11" t="n">
        <x:v>2.6</x:v>
      </x:c>
      <x:c r="E1134" s="11" t="n">
        <x:v>10.414</x:v>
      </x:c>
      <x:c r="F1134" s="11" t="n">
        <x:f>SQRT((C1134-C1133)^2+(D1134-D1133)^2+(E1134-E1133)^2)</x:f>
        <x:v>3.6708646408839782</x:v>
      </x:c>
      <x:c r="G1134" s="8" t="str">
        <x:v>Current</x:v>
      </x:c>
    </x:row>
    <x:row r="1135" ht="32" customHeight="1">
      <x:c r="A1135" s="8" t="str">
        <x:v>drop:LC1:L4:light:1:L-ARCH-H-3-4-A</x:v>
      </x:c>
      <x:c r="B1135" s="8" t="n">
        <x:v>6</x:v>
      </x:c>
      <x:c r="C1135" s="11" t="n">
        <x:v>10.049999999999999</x:v>
      </x:c>
      <x:c r="D1135" s="11" t="n">
        <x:v>2.6</x:v>
      </x:c>
      <x:c r="E1135" s="11" t="n">
        <x:v>10.654</x:v>
      </x:c>
      <x:c r="F1135" s="11" t="n">
        <x:f>SQRT((C1135-C1134)^2+(D1135-D1134)^2+(E1135-E1134)^2)</x:f>
        <x:v>0.2400000000000002</x:v>
      </x:c>
      <x:c r="G1135" s="8" t="str">
        <x:v>Current</x:v>
      </x:c>
    </x:row>
    <x:row r="1136" ht="32" customHeight="1">
      <x:c r="A1136" s="8" t="str">
        <x:v>drop:LC1:L4:light:1:L-ARCH-H-3-4-B</x:v>
      </x:c>
      <x:c r="B1136" s="8" t="n">
        <x:v>1</x:v>
      </x:c>
      <x:c r="C1136" s="11" t="n">
        <x:v>14.399999999999999</x:v>
      </x:c>
      <x:c r="D1136" s="11" t="n">
        <x:v>5.924</x:v>
      </x:c>
      <x:c r="E1136" s="11" t="n">
        <x:v>7.36</x:v>
      </x:c>
      <x:c r="F1136" s="11" t="n">
        <x:f>0</x:f>
        <x:v>0</x:v>
      </x:c>
      <x:c r="G1136" s="8" t="str">
        <x:v>Current</x:v>
      </x:c>
    </x:row>
    <x:row r="1137" ht="32" customHeight="1">
      <x:c r="A1137" s="8" t="str">
        <x:v>drop:LC1:L4:light:1:L-ARCH-H-3-4-B</x:v>
      </x:c>
      <x:c r="B1137" s="8" t="n">
        <x:v>2</x:v>
      </x:c>
      <x:c r="C1137" s="11" t="n">
        <x:v>14.399999999999999</x:v>
      </x:c>
      <x:c r="D1137" s="11" t="n">
        <x:v>7.04</x:v>
      </x:c>
      <x:c r="E1137" s="11" t="n">
        <x:v>7.36</x:v>
      </x:c>
      <x:c r="F1137" s="11" t="n">
        <x:f>SQRT((C1137-C1136)^2+(D1137-D1136)^2+(E1137-E1136)^2)</x:f>
        <x:v>1.1159999999999997</x:v>
      </x:c>
      <x:c r="G1137" s="8" t="str">
        <x:v>Current</x:v>
      </x:c>
    </x:row>
    <x:row r="1138" ht="32" customHeight="1">
      <x:c r="A1138" s="8" t="str">
        <x:v>drop:LC1:L4:light:1:L-ARCH-H-3-4-B</x:v>
      </x:c>
      <x:c r="B1138" s="8" t="n">
        <x:v>3</x:v>
      </x:c>
      <x:c r="C1138" s="11" t="n">
        <x:v>14.4</x:v>
      </x:c>
      <x:c r="D1138" s="11" t="n">
        <x:v>6.932586272843179</x:v>
      </x:c>
      <x:c r="E1138" s="11" t="n">
        <x:v>7.438307692307693</x:v>
      </x:c>
      <x:c r="F1138" s="11" t="n">
        <x:f>SQRT((C1138-C1137)^2+(D1138-D1137)^2+(E1138-E1137)^2)</x:f>
        <x:v>0.13292781295227982</x:v>
      </x:c>
      <x:c r="G1138" s="8" t="str">
        <x:v>Current</x:v>
      </x:c>
    </x:row>
    <x:row r="1139" ht="32" customHeight="1">
      <x:c r="A1139" s="8" t="str">
        <x:v>drop:LC1:L4:light:1:L-ARCH-H-3-4-B</x:v>
      </x:c>
      <x:c r="B1139" s="8" t="n">
        <x:v>4</x:v>
      </x:c>
      <x:c r="C1139" s="11" t="n">
        <x:v>14.4</x:v>
      </x:c>
      <x:c r="D1139" s="11" t="n">
        <x:v>6.270864640883978</x:v>
      </x:c>
      <x:c r="E1139" s="11" t="n">
        <x:v>10.414</x:v>
      </x:c>
      <x:c r="F1139" s="11" t="n">
        <x:f>SQRT((C1139-C1138)^2+(D1139-D1138)^2+(E1139-E1138)^2)</x:f>
        <x:v>3.048379935024818</x:v>
      </x:c>
      <x:c r="G1139" s="8" t="str">
        <x:v>Current</x:v>
      </x:c>
    </x:row>
    <x:row r="1140" ht="32" customHeight="1">
      <x:c r="A1140" s="8" t="str">
        <x:v>drop:LC1:L4:light:1:L-ARCH-H-3-4-B</x:v>
      </x:c>
      <x:c r="B1140" s="8" t="n">
        <x:v>5</x:v>
      </x:c>
      <x:c r="C1140" s="11" t="n">
        <x:v>14.4</x:v>
      </x:c>
      <x:c r="D1140" s="11" t="n">
        <x:v>2.6</x:v>
      </x:c>
      <x:c r="E1140" s="11" t="n">
        <x:v>10.414</x:v>
      </x:c>
      <x:c r="F1140" s="11" t="n">
        <x:f>SQRT((C1140-C1139)^2+(D1140-D1139)^2+(E1140-E1139)^2)</x:f>
        <x:v>3.6708646408839782</x:v>
      </x:c>
      <x:c r="G1140" s="8" t="str">
        <x:v>Current</x:v>
      </x:c>
    </x:row>
    <x:row r="1141" ht="32" customHeight="1">
      <x:c r="A1141" s="8" t="str">
        <x:v>drop:LC1:L4:light:1:L-ARCH-H-3-4-B</x:v>
      </x:c>
      <x:c r="B1141" s="8" t="n">
        <x:v>6</x:v>
      </x:c>
      <x:c r="C1141" s="11" t="n">
        <x:v>14.4</x:v>
      </x:c>
      <x:c r="D1141" s="11" t="n">
        <x:v>2.6</x:v>
      </x:c>
      <x:c r="E1141" s="11" t="n">
        <x:v>10.654</x:v>
      </x:c>
      <x:c r="F1141" s="11" t="n">
        <x:f>SQRT((C1141-C1140)^2+(D1141-D1140)^2+(E1141-E1140)^2)</x:f>
        <x:v>0.2400000000000002</x:v>
      </x:c>
      <x:c r="G1141" s="8" t="str">
        <x:v>Current</x:v>
      </x:c>
    </x:row>
    <x:row r="1142" ht="32" customHeight="1">
      <x:c r="A1142" s="8" t="str">
        <x:v>drop:LC1:L4:light:1:L-ARCH-H-4-5-A</x:v>
      </x:c>
      <x:c r="B1142" s="8" t="n">
        <x:v>1</x:v>
      </x:c>
      <x:c r="C1142" s="11" t="n">
        <x:v>14.549999999999997</x:v>
      </x:c>
      <x:c r="D1142" s="11" t="n">
        <x:v>5.924</x:v>
      </x:c>
      <x:c r="E1142" s="11" t="n">
        <x:v>7.36</x:v>
      </x:c>
      <x:c r="F1142" s="11" t="n">
        <x:f>0</x:f>
        <x:v>0</x:v>
      </x:c>
      <x:c r="G1142" s="8" t="str">
        <x:v>Current</x:v>
      </x:c>
    </x:row>
    <x:row r="1143" ht="32" customHeight="1">
      <x:c r="A1143" s="8" t="str">
        <x:v>drop:LC1:L4:light:1:L-ARCH-H-4-5-A</x:v>
      </x:c>
      <x:c r="B1143" s="8" t="n">
        <x:v>2</x:v>
      </x:c>
      <x:c r="C1143" s="11" t="n">
        <x:v>14.549999999999997</x:v>
      </x:c>
      <x:c r="D1143" s="11" t="n">
        <x:v>7.04</x:v>
      </x:c>
      <x:c r="E1143" s="11" t="n">
        <x:v>7.36</x:v>
      </x:c>
      <x:c r="F1143" s="11" t="n">
        <x:f>SQRT((C1143-C1142)^2+(D1143-D1142)^2+(E1143-E1142)^2)</x:f>
        <x:v>1.1159999999999997</x:v>
      </x:c>
      <x:c r="G1143" s="8" t="str">
        <x:v>Current</x:v>
      </x:c>
    </x:row>
    <x:row r="1144" ht="32" customHeight="1">
      <x:c r="A1144" s="8" t="str">
        <x:v>drop:LC1:L4:light:1:L-ARCH-H-4-5-A</x:v>
      </x:c>
      <x:c r="B1144" s="8" t="n">
        <x:v>3</x:v>
      </x:c>
      <x:c r="C1144" s="11" t="n">
        <x:v>14.549999999999999</x:v>
      </x:c>
      <x:c r="D1144" s="11" t="n">
        <x:v>6.932586272843179</x:v>
      </x:c>
      <x:c r="E1144" s="11" t="n">
        <x:v>7.438307692307693</x:v>
      </x:c>
      <x:c r="F1144" s="11" t="n">
        <x:f>SQRT((C1144-C1143)^2+(D1144-D1143)^2+(E1144-E1143)^2)</x:f>
        <x:v>0.13292781295227982</x:v>
      </x:c>
      <x:c r="G1144" s="8" t="str">
        <x:v>Current</x:v>
      </x:c>
    </x:row>
    <x:row r="1145" ht="32" customHeight="1">
      <x:c r="A1145" s="8" t="str">
        <x:v>drop:LC1:L4:light:1:L-ARCH-H-4-5-A</x:v>
      </x:c>
      <x:c r="B1145" s="8" t="n">
        <x:v>4</x:v>
      </x:c>
      <x:c r="C1145" s="11" t="n">
        <x:v>14.549999999999999</x:v>
      </x:c>
      <x:c r="D1145" s="11" t="n">
        <x:v>6.270864640883978</x:v>
      </x:c>
      <x:c r="E1145" s="11" t="n">
        <x:v>10.414</x:v>
      </x:c>
      <x:c r="F1145" s="11" t="n">
        <x:f>SQRT((C1145-C1144)^2+(D1145-D1144)^2+(E1145-E1144)^2)</x:f>
        <x:v>3.048379935024818</x:v>
      </x:c>
      <x:c r="G1145" s="8" t="str">
        <x:v>Current</x:v>
      </x:c>
    </x:row>
    <x:row r="1146" ht="32" customHeight="1">
      <x:c r="A1146" s="8" t="str">
        <x:v>drop:LC1:L4:light:1:L-ARCH-H-4-5-A</x:v>
      </x:c>
      <x:c r="B1146" s="8" t="n">
        <x:v>5</x:v>
      </x:c>
      <x:c r="C1146" s="11" t="n">
        <x:v>14.549999999999999</x:v>
      </x:c>
      <x:c r="D1146" s="11" t="n">
        <x:v>2.6</x:v>
      </x:c>
      <x:c r="E1146" s="11" t="n">
        <x:v>10.414</x:v>
      </x:c>
      <x:c r="F1146" s="11" t="n">
        <x:f>SQRT((C1146-C1145)^2+(D1146-D1145)^2+(E1146-E1145)^2)</x:f>
        <x:v>3.6708646408839782</x:v>
      </x:c>
      <x:c r="G1146" s="8" t="str">
        <x:v>Current</x:v>
      </x:c>
    </x:row>
    <x:row r="1147" ht="32" customHeight="1">
      <x:c r="A1147" s="8" t="str">
        <x:v>drop:LC1:L4:light:1:L-ARCH-H-4-5-A</x:v>
      </x:c>
      <x:c r="B1147" s="8" t="n">
        <x:v>6</x:v>
      </x:c>
      <x:c r="C1147" s="11" t="n">
        <x:v>14.549999999999999</x:v>
      </x:c>
      <x:c r="D1147" s="11" t="n">
        <x:v>2.6</x:v>
      </x:c>
      <x:c r="E1147" s="11" t="n">
        <x:v>10.654</x:v>
      </x:c>
      <x:c r="F1147" s="11" t="n">
        <x:f>SQRT((C1147-C1146)^2+(D1147-D1146)^2+(E1147-E1146)^2)</x:f>
        <x:v>0.2400000000000002</x:v>
      </x:c>
      <x:c r="G1147" s="8" t="str">
        <x:v>Current</x:v>
      </x:c>
    </x:row>
    <x:row r="1148" ht="32" customHeight="1">
      <x:c r="A1148" s="8" t="str">
        <x:v>drop:LC1:L4:light:1:L-ARCH-H-4-5-B</x:v>
      </x:c>
      <x:c r="B1148" s="8" t="n">
        <x:v>1</x:v>
      </x:c>
      <x:c r="C1148" s="11" t="n">
        <x:v>18.900000000000002</x:v>
      </x:c>
      <x:c r="D1148" s="11" t="n">
        <x:v>5.924</x:v>
      </x:c>
      <x:c r="E1148" s="11" t="n">
        <x:v>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drop:LC1:L4:light:1:L-ARCH-H-4-5-B</x:v>
      </x:c>
      <x:c r="B1149" s="8" t="n">
        <x:v>2</x:v>
      </x:c>
      <x:c r="C1149" s="11" t="n">
        <x:v>18.900000000000002</x:v>
      </x:c>
      <x:c r="D1149" s="11" t="n">
        <x:v>7.04</x:v>
      </x:c>
      <x:c r="E1149" s="11" t="n">
        <x:v>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drop:LC1:L4:light:1:L-ARCH-H-4-5-B</x:v>
      </x:c>
      <x:c r="B1150" s="8" t="n">
        <x:v>3</x:v>
      </x:c>
      <x:c r="C1150" s="11" t="n">
        <x:v>18.900000000000002</x:v>
      </x:c>
      <x:c r="D1150" s="11" t="n">
        <x:v>6.932586272843179</x:v>
      </x:c>
      <x:c r="E1150" s="11" t="n">
        <x:v>7.438307692307693</x:v>
      </x:c>
      <x:c r="F1150" s="11" t="n">
        <x:f>SQRT((C1150-C1149)^2+(D1150-D1149)^2+(E1150-E1149)^2)</x:f>
        <x:v>0.13292781295227982</x:v>
      </x:c>
      <x:c r="G1150" s="8" t="str">
        <x:v>Current</x:v>
      </x:c>
    </x:row>
    <x:row r="1151" ht="32" customHeight="1">
      <x:c r="A1151" s="8" t="str">
        <x:v>drop:LC1:L4:light:1:L-ARCH-H-4-5-B</x:v>
      </x:c>
      <x:c r="B1151" s="8" t="n">
        <x:v>4</x:v>
      </x:c>
      <x:c r="C1151" s="11" t="n">
        <x:v>18.900000000000002</x:v>
      </x:c>
      <x:c r="D1151" s="11" t="n">
        <x:v>6.270864640883978</x:v>
      </x:c>
      <x:c r="E1151" s="11" t="n">
        <x:v>10.414</x:v>
      </x:c>
      <x:c r="F1151" s="11" t="n">
        <x:f>SQRT((C1151-C1150)^2+(D1151-D1150)^2+(E1151-E1150)^2)</x:f>
        <x:v>3.048379935024818</x:v>
      </x:c>
      <x:c r="G1151" s="8" t="str">
        <x:v>Current</x:v>
      </x:c>
    </x:row>
    <x:row r="1152" ht="32" customHeight="1">
      <x:c r="A1152" s="8" t="str">
        <x:v>drop:LC1:L4:light:1:L-ARCH-H-4-5-B</x:v>
      </x:c>
      <x:c r="B1152" s="8" t="n">
        <x:v>5</x:v>
      </x:c>
      <x:c r="C1152" s="11" t="n">
        <x:v>18.900000000000002</x:v>
      </x:c>
      <x:c r="D1152" s="11" t="n">
        <x:v>2.6</x:v>
      </x:c>
      <x:c r="E1152" s="11" t="n">
        <x:v>10.414</x:v>
      </x:c>
      <x:c r="F1152" s="11" t="n">
        <x:f>SQRT((C1152-C1151)^2+(D1152-D1151)^2+(E1152-E1151)^2)</x:f>
        <x:v>3.6708646408839782</x:v>
      </x:c>
      <x:c r="G1152" s="8" t="str">
        <x:v>Current</x:v>
      </x:c>
    </x:row>
    <x:row r="1153" ht="32" customHeight="1">
      <x:c r="A1153" s="8" t="str">
        <x:v>drop:LC1:L4:light:1:L-ARCH-H-4-5-B</x:v>
      </x:c>
      <x:c r="B1153" s="8" t="n">
        <x:v>6</x:v>
      </x:c>
      <x:c r="C1153" s="11" t="n">
        <x:v>18.900000000000002</x:v>
      </x:c>
      <x:c r="D1153" s="11" t="n">
        <x:v>2.6</x:v>
      </x:c>
      <x:c r="E1153" s="11" t="n">
        <x:v>10.654</x:v>
      </x:c>
      <x:c r="F1153" s="11" t="n">
        <x:f>SQRT((C1153-C1152)^2+(D1153-D1152)^2+(E1153-E1152)^2)</x:f>
        <x:v>0.2400000000000002</x:v>
      </x:c>
      <x:c r="G1153" s="8" t="str">
        <x:v>Current</x:v>
      </x:c>
    </x:row>
    <x:row r="1154" ht="32" customHeight="1">
      <x:c r="A1154" s="8" t="str">
        <x:v>drop:LC1:L4:light:1:L-ARCH-H-5-6-A</x:v>
      </x:c>
      <x:c r="B1154" s="8" t="n">
        <x:v>1</x:v>
      </x:c>
      <x:c r="C1154" s="11" t="n">
        <x:v>19.05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drop:LC1:L4:light:1:L-ARCH-H-5-6-A</x:v>
      </x:c>
      <x:c r="B1155" s="8" t="n">
        <x:v>2</x:v>
      </x:c>
      <x:c r="C1155" s="11" t="n">
        <x:v>19.05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drop:LC1:L4:light:1:L-ARCH-H-5-6-A</x:v>
      </x:c>
      <x:c r="B1156" s="8" t="n">
        <x:v>3</x:v>
      </x:c>
      <x:c r="C1156" s="11" t="n">
        <x:v>19.05</x:v>
      </x:c>
      <x:c r="D1156" s="11" t="n">
        <x:v>6.932586272843179</x:v>
      </x:c>
      <x:c r="E1156" s="11" t="n">
        <x:v>7.438307692307693</x:v>
      </x:c>
      <x:c r="F1156" s="11" t="n">
        <x:f>SQRT((C1156-C1155)^2+(D1156-D1155)^2+(E1156-E1155)^2)</x:f>
        <x:v>0.13292781295227982</x:v>
      </x:c>
      <x:c r="G1156" s="8" t="str">
        <x:v>Current</x:v>
      </x:c>
    </x:row>
    <x:row r="1157" ht="32" customHeight="1">
      <x:c r="A1157" s="8" t="str">
        <x:v>drop:LC1:L4:light:1:L-ARCH-H-5-6-A</x:v>
      </x:c>
      <x:c r="B1157" s="8" t="n">
        <x:v>4</x:v>
      </x:c>
      <x:c r="C1157" s="11" t="n">
        <x:v>19.05</x:v>
      </x:c>
      <x:c r="D1157" s="11" t="n">
        <x:v>6.270864640883978</x:v>
      </x:c>
      <x:c r="E1157" s="11" t="n">
        <x:v>10.414</x:v>
      </x:c>
      <x:c r="F1157" s="11" t="n">
        <x:f>SQRT((C1157-C1156)^2+(D1157-D1156)^2+(E1157-E1156)^2)</x:f>
        <x:v>3.048379935024818</x:v>
      </x:c>
      <x:c r="G1157" s="8" t="str">
        <x:v>Current</x:v>
      </x:c>
    </x:row>
    <x:row r="1158" ht="32" customHeight="1">
      <x:c r="A1158" s="8" t="str">
        <x:v>drop:LC1:L4:light:1:L-ARCH-H-5-6-A</x:v>
      </x:c>
      <x:c r="B1158" s="8" t="n">
        <x:v>5</x:v>
      </x:c>
      <x:c r="C1158" s="11" t="n">
        <x:v>19.05</x:v>
      </x:c>
      <x:c r="D1158" s="11" t="n">
        <x:v>2.6</x:v>
      </x:c>
      <x:c r="E1158" s="11" t="n">
        <x:v>10.414</x:v>
      </x:c>
      <x:c r="F1158" s="11" t="n">
        <x:f>SQRT((C1158-C1157)^2+(D1158-D1157)^2+(E1158-E1157)^2)</x:f>
        <x:v>3.6708646408839782</x:v>
      </x:c>
      <x:c r="G1158" s="8" t="str">
        <x:v>Current</x:v>
      </x:c>
    </x:row>
    <x:row r="1159" ht="32" customHeight="1">
      <x:c r="A1159" s="8" t="str">
        <x:v>drop:LC1:L4:light:1:L-ARCH-H-5-6-A</x:v>
      </x:c>
      <x:c r="B1159" s="8" t="n">
        <x:v>6</x:v>
      </x:c>
      <x:c r="C1159" s="11" t="n">
        <x:v>19.05</x:v>
      </x:c>
      <x:c r="D1159" s="11" t="n">
        <x:v>2.6</x:v>
      </x:c>
      <x:c r="E1159" s="11" t="n">
        <x:v>10.654</x:v>
      </x:c>
      <x:c r="F1159" s="11" t="n">
        <x:f>SQRT((C1159-C1158)^2+(D1159-D1158)^2+(E1159-E1158)^2)</x:f>
        <x:v>0.2400000000000002</x:v>
      </x:c>
      <x:c r="G1159" s="8" t="str">
        <x:v>Current</x:v>
      </x:c>
    </x:row>
    <x:row r="1160" ht="32" customHeight="1">
      <x:c r="A1160" s="8" t="str">
        <x:v>drop:LC1:L4:light:1:L-ARCH-H-5-6-B</x:v>
      </x:c>
      <x:c r="B1160" s="8" t="n">
        <x:v>1</x:v>
      </x:c>
      <x:c r="C1160" s="11" t="n">
        <x:v>23.400000000000002</x:v>
      </x:c>
      <x:c r="D1160" s="11" t="n">
        <x:v>5.924</x:v>
      </x:c>
      <x:c r="E1160" s="11" t="n">
        <x:v>7.36</x:v>
      </x:c>
      <x:c r="F1160" s="11" t="n">
        <x:f>0</x:f>
        <x:v>0</x:v>
      </x:c>
      <x:c r="G1160" s="8" t="str">
        <x:v>Current</x:v>
      </x:c>
    </x:row>
    <x:row r="1161" ht="32" customHeight="1">
      <x:c r="A1161" s="8" t="str">
        <x:v>drop:LC1:L4:light:1:L-ARCH-H-5-6-B</x:v>
      </x:c>
      <x:c r="B1161" s="8" t="n">
        <x:v>2</x:v>
      </x:c>
      <x:c r="C1161" s="11" t="n">
        <x:v>23.400000000000002</x:v>
      </x:c>
      <x:c r="D1161" s="11" t="n">
        <x:v>7.04</x:v>
      </x:c>
      <x:c r="E1161" s="11" t="n">
        <x:v>7.36</x:v>
      </x:c>
      <x:c r="F1161" s="11" t="n">
        <x:f>SQRT((C1161-C1160)^2+(D1161-D1160)^2+(E1161-E1160)^2)</x:f>
        <x:v>1.1159999999999997</x:v>
      </x:c>
      <x:c r="G1161" s="8" t="str">
        <x:v>Current</x:v>
      </x:c>
    </x:row>
    <x:row r="1162" ht="32" customHeight="1">
      <x:c r="A1162" s="8" t="str">
        <x:v>drop:LC1:L4:light:1:L-ARCH-H-5-6-B</x:v>
      </x:c>
      <x:c r="B1162" s="8" t="n">
        <x:v>3</x:v>
      </x:c>
      <x:c r="C1162" s="11" t="n">
        <x:v>23.400000000000002</x:v>
      </x:c>
      <x:c r="D1162" s="11" t="n">
        <x:v>6.932586272843179</x:v>
      </x:c>
      <x:c r="E1162" s="11" t="n">
        <x:v>7.438307692307693</x:v>
      </x:c>
      <x:c r="F1162" s="11" t="n">
        <x:f>SQRT((C1162-C1161)^2+(D1162-D1161)^2+(E1162-E1161)^2)</x:f>
        <x:v>0.13292781295227982</x:v>
      </x:c>
      <x:c r="G1162" s="8" t="str">
        <x:v>Current</x:v>
      </x:c>
    </x:row>
    <x:row r="1163" ht="32" customHeight="1">
      <x:c r="A1163" s="8" t="str">
        <x:v>drop:LC1:L4:light:1:L-ARCH-H-5-6-B</x:v>
      </x:c>
      <x:c r="B1163" s="8" t="n">
        <x:v>4</x:v>
      </x:c>
      <x:c r="C1163" s="11" t="n">
        <x:v>23.400000000000002</x:v>
      </x:c>
      <x:c r="D1163" s="11" t="n">
        <x:v>6.270864640883978</x:v>
      </x:c>
      <x:c r="E1163" s="11" t="n">
        <x:v>10.414</x:v>
      </x:c>
      <x:c r="F1163" s="11" t="n">
        <x:f>SQRT((C1163-C1162)^2+(D1163-D1162)^2+(E1163-E1162)^2)</x:f>
        <x:v>3.048379935024818</x:v>
      </x:c>
      <x:c r="G1163" s="8" t="str">
        <x:v>Current</x:v>
      </x:c>
    </x:row>
    <x:row r="1164" ht="32" customHeight="1">
      <x:c r="A1164" s="8" t="str">
        <x:v>drop:LC1:L4:light:1:L-ARCH-H-5-6-B</x:v>
      </x:c>
      <x:c r="B1164" s="8" t="n">
        <x:v>5</x:v>
      </x:c>
      <x:c r="C1164" s="11" t="n">
        <x:v>23.400000000000002</x:v>
      </x:c>
      <x:c r="D1164" s="11" t="n">
        <x:v>2.6</x:v>
      </x:c>
      <x:c r="E1164" s="11" t="n">
        <x:v>10.414</x:v>
      </x:c>
      <x:c r="F1164" s="11" t="n">
        <x:f>SQRT((C1164-C1163)^2+(D1164-D1163)^2+(E1164-E1163)^2)</x:f>
        <x:v>3.6708646408839782</x:v>
      </x:c>
      <x:c r="G1164" s="8" t="str">
        <x:v>Current</x:v>
      </x:c>
    </x:row>
    <x:row r="1165" ht="32" customHeight="1">
      <x:c r="A1165" s="8" t="str">
        <x:v>drop:LC1:L4:light:1:L-ARCH-H-5-6-B</x:v>
      </x:c>
      <x:c r="B1165" s="8" t="n">
        <x:v>6</x:v>
      </x:c>
      <x:c r="C1165" s="11" t="n">
        <x:v>23.400000000000002</x:v>
      </x:c>
      <x:c r="D1165" s="11" t="n">
        <x:v>2.6</x:v>
      </x:c>
      <x:c r="E1165" s="11" t="n">
        <x:v>10.654</x:v>
      </x:c>
      <x:c r="F1165" s="11" t="n">
        <x:f>SQRT((C1165-C1164)^2+(D1165-D1164)^2+(E1165-E1164)^2)</x:f>
        <x:v>0.2400000000000002</x:v>
      </x:c>
      <x:c r="G1165" s="8" t="str">
        <x:v>Current</x:v>
      </x:c>
    </x:row>
    <x:row r="1166" ht="32" customHeight="1">
      <x:c r="A1166" s="8" t="str">
        <x:v>drop:LC1:L4:light:1:L-ARCH-H-6-7-A</x:v>
      </x:c>
      <x:c r="B1166" s="8" t="n">
        <x:v>1</x:v>
      </x:c>
      <x:c r="C1166" s="11" t="n">
        <x:v>23.55</x:v>
      </x:c>
      <x:c r="D1166" s="11" t="n">
        <x:v>5.924</x:v>
      </x:c>
      <x:c r="E1166" s="11" t="n">
        <x:v>7.36</x:v>
      </x:c>
      <x:c r="F1166" s="11" t="n">
        <x:f>0</x:f>
        <x:v>0</x:v>
      </x:c>
      <x:c r="G1166" s="8" t="str">
        <x:v>Current</x:v>
      </x:c>
    </x:row>
    <x:row r="1167" ht="32" customHeight="1">
      <x:c r="A1167" s="8" t="str">
        <x:v>drop:LC1:L4:light:1:L-ARCH-H-6-7-A</x:v>
      </x:c>
      <x:c r="B1167" s="8" t="n">
        <x:v>2</x:v>
      </x:c>
      <x:c r="C1167" s="11" t="n">
        <x:v>23.55</x:v>
      </x:c>
      <x:c r="D1167" s="11" t="n">
        <x:v>7.04</x:v>
      </x:c>
      <x:c r="E1167" s="11" t="n">
        <x:v>7.36</x:v>
      </x:c>
      <x:c r="F1167" s="11" t="n">
        <x:f>SQRT((C1167-C1166)^2+(D1167-D1166)^2+(E1167-E1166)^2)</x:f>
        <x:v>1.1159999999999997</x:v>
      </x:c>
      <x:c r="G1167" s="8" t="str">
        <x:v>Current</x:v>
      </x:c>
    </x:row>
    <x:row r="1168" ht="32" customHeight="1">
      <x:c r="A1168" s="8" t="str">
        <x:v>drop:LC1:L4:light:1:L-ARCH-H-6-7-A</x:v>
      </x:c>
      <x:c r="B1168" s="8" t="n">
        <x:v>3</x:v>
      </x:c>
      <x:c r="C1168" s="11" t="n">
        <x:v>23.55</x:v>
      </x:c>
      <x:c r="D1168" s="11" t="n">
        <x:v>6.932586272843179</x:v>
      </x:c>
      <x:c r="E1168" s="11" t="n">
        <x:v>7.438307692307693</x:v>
      </x:c>
      <x:c r="F1168" s="11" t="n">
        <x:f>SQRT((C1168-C1167)^2+(D1168-D1167)^2+(E1168-E1167)^2)</x:f>
        <x:v>0.13292781295227982</x:v>
      </x:c>
      <x:c r="G1168" s="8" t="str">
        <x:v>Current</x:v>
      </x:c>
    </x:row>
    <x:row r="1169" ht="32" customHeight="1">
      <x:c r="A1169" s="8" t="str">
        <x:v>drop:LC1:L4:light:1:L-ARCH-H-6-7-A</x:v>
      </x:c>
      <x:c r="B1169" s="8" t="n">
        <x:v>4</x:v>
      </x:c>
      <x:c r="C1169" s="11" t="n">
        <x:v>23.55</x:v>
      </x:c>
      <x:c r="D1169" s="11" t="n">
        <x:v>6.270864640883978</x:v>
      </x:c>
      <x:c r="E1169" s="11" t="n">
        <x:v>10.414</x:v>
      </x:c>
      <x:c r="F1169" s="11" t="n">
        <x:f>SQRT((C1169-C1168)^2+(D1169-D1168)^2+(E1169-E1168)^2)</x:f>
        <x:v>3.048379935024818</x:v>
      </x:c>
      <x:c r="G1169" s="8" t="str">
        <x:v>Current</x:v>
      </x:c>
    </x:row>
    <x:row r="1170" ht="32" customHeight="1">
      <x:c r="A1170" s="8" t="str">
        <x:v>drop:LC1:L4:light:1:L-ARCH-H-6-7-A</x:v>
      </x:c>
      <x:c r="B1170" s="8" t="n">
        <x:v>5</x:v>
      </x:c>
      <x:c r="C1170" s="11" t="n">
        <x:v>23.55</x:v>
      </x:c>
      <x:c r="D1170" s="11" t="n">
        <x:v>2.6</x:v>
      </x:c>
      <x:c r="E1170" s="11" t="n">
        <x:v>10.414</x:v>
      </x:c>
      <x:c r="F1170" s="11" t="n">
        <x:f>SQRT((C1170-C1169)^2+(D1170-D1169)^2+(E1170-E1169)^2)</x:f>
        <x:v>3.6708646408839782</x:v>
      </x:c>
      <x:c r="G1170" s="8" t="str">
        <x:v>Current</x:v>
      </x:c>
    </x:row>
    <x:row r="1171" ht="32" customHeight="1">
      <x:c r="A1171" s="8" t="str">
        <x:v>drop:LC1:L4:light:1:L-ARCH-H-6-7-A</x:v>
      </x:c>
      <x:c r="B1171" s="8" t="n">
        <x:v>6</x:v>
      </x:c>
      <x:c r="C1171" s="11" t="n">
        <x:v>23.55</x:v>
      </x:c>
      <x:c r="D1171" s="11" t="n">
        <x:v>2.6</x:v>
      </x:c>
      <x:c r="E1171" s="11" t="n">
        <x:v>10.654</x:v>
      </x:c>
      <x:c r="F1171" s="11" t="n">
        <x:f>SQRT((C1171-C1170)^2+(D1171-D1170)^2+(E1171-E1170)^2)</x:f>
        <x:v>0.2400000000000002</x:v>
      </x:c>
      <x:c r="G1171" s="8" t="str">
        <x:v>Current</x:v>
      </x:c>
    </x:row>
    <x:row r="1172" ht="32" customHeight="1">
      <x:c r="A1172" s="8" t="str">
        <x:v>drop:LC1:L4:light:1:L-ARCH-H-6-7-B</x:v>
      </x:c>
      <x:c r="B1172" s="8" t="n">
        <x:v>1</x:v>
      </x:c>
      <x:c r="C1172" s="11" t="n">
        <x:v>27.900000000000002</x:v>
      </x:c>
      <x:c r="D1172" s="11" t="n">
        <x:v>5.924</x:v>
      </x:c>
      <x:c r="E1172" s="11" t="n">
        <x:v>7.36</x:v>
      </x:c>
      <x:c r="F1172" s="11" t="n">
        <x:f>0</x:f>
        <x:v>0</x:v>
      </x:c>
      <x:c r="G1172" s="8" t="str">
        <x:v>Current</x:v>
      </x:c>
    </x:row>
    <x:row r="1173" ht="32" customHeight="1">
      <x:c r="A1173" s="8" t="str">
        <x:v>drop:LC1:L4:light:1:L-ARCH-H-6-7-B</x:v>
      </x:c>
      <x:c r="B1173" s="8" t="n">
        <x:v>2</x:v>
      </x:c>
      <x:c r="C1173" s="11" t="n">
        <x:v>27.900000000000002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1.1159999999999997</x:v>
      </x:c>
      <x:c r="G1173" s="8" t="str">
        <x:v>Current</x:v>
      </x:c>
    </x:row>
    <x:row r="1174" ht="32" customHeight="1">
      <x:c r="A1174" s="8" t="str">
        <x:v>drop:LC1:L4:light:1:L-ARCH-H-6-7-B</x:v>
      </x:c>
      <x:c r="B1174" s="8" t="n">
        <x:v>3</x:v>
      </x:c>
      <x:c r="C1174" s="11" t="n">
        <x:v>27.900000000000002</x:v>
      </x:c>
      <x:c r="D1174" s="11" t="n">
        <x:v>6.932586272843179</x:v>
      </x:c>
      <x:c r="E1174" s="11" t="n">
        <x:v>7.438307692307693</x:v>
      </x:c>
      <x:c r="F1174" s="11" t="n">
        <x:f>SQRT((C1174-C1173)^2+(D1174-D1173)^2+(E1174-E1173)^2)</x:f>
        <x:v>0.13292781295227982</x:v>
      </x:c>
      <x:c r="G1174" s="8" t="str">
        <x:v>Current</x:v>
      </x:c>
    </x:row>
    <x:row r="1175" ht="32" customHeight="1">
      <x:c r="A1175" s="8" t="str">
        <x:v>drop:LC1:L4:light:1:L-ARCH-H-6-7-B</x:v>
      </x:c>
      <x:c r="B1175" s="8" t="n">
        <x:v>4</x:v>
      </x:c>
      <x:c r="C1175" s="11" t="n">
        <x:v>27.900000000000002</x:v>
      </x:c>
      <x:c r="D1175" s="11" t="n">
        <x:v>6.270864640883978</x:v>
      </x:c>
      <x:c r="E1175" s="11" t="n">
        <x:v>10.414</x:v>
      </x:c>
      <x:c r="F1175" s="11" t="n">
        <x:f>SQRT((C1175-C1174)^2+(D1175-D1174)^2+(E1175-E1174)^2)</x:f>
        <x:v>3.048379935024818</x:v>
      </x:c>
      <x:c r="G1175" s="8" t="str">
        <x:v>Current</x:v>
      </x:c>
    </x:row>
    <x:row r="1176" ht="32" customHeight="1">
      <x:c r="A1176" s="8" t="str">
        <x:v>drop:LC1:L4:light:1:L-ARCH-H-6-7-B</x:v>
      </x:c>
      <x:c r="B1176" s="8" t="n">
        <x:v>5</x:v>
      </x:c>
      <x:c r="C1176" s="11" t="n">
        <x:v>27.900000000000002</x:v>
      </x:c>
      <x:c r="D1176" s="11" t="n">
        <x:v>2.6</x:v>
      </x:c>
      <x:c r="E1176" s="11" t="n">
        <x:v>10.414</x:v>
      </x:c>
      <x:c r="F1176" s="11" t="n">
        <x:f>SQRT((C1176-C1175)^2+(D1176-D1175)^2+(E1176-E1175)^2)</x:f>
        <x:v>3.6708646408839782</x:v>
      </x:c>
      <x:c r="G1176" s="8" t="str">
        <x:v>Current</x:v>
      </x:c>
    </x:row>
    <x:row r="1177" ht="32" customHeight="1">
      <x:c r="A1177" s="8" t="str">
        <x:v>drop:LC1:L4:light:1:L-ARCH-H-6-7-B</x:v>
      </x:c>
      <x:c r="B1177" s="8" t="n">
        <x:v>6</x:v>
      </x:c>
      <x:c r="C1177" s="11" t="n">
        <x:v>27.900000000000002</x:v>
      </x:c>
      <x:c r="D1177" s="11" t="n">
        <x:v>2.6</x:v>
      </x:c>
      <x:c r="E1177" s="11" t="n">
        <x:v>10.654</x:v>
      </x:c>
      <x:c r="F1177" s="11" t="n">
        <x:f>SQRT((C1177-C1176)^2+(D1177-D1176)^2+(E1177-E1176)^2)</x:f>
        <x:v>0.2400000000000002</x:v>
      </x:c>
      <x:c r="G1177" s="8" t="str">
        <x:v>Current</x:v>
      </x:c>
    </x:row>
    <x:row r="1178" ht="32" customHeight="1">
      <x:c r="A1178" s="8" t="str">
        <x:v>drop:LC1:L4:light:1:L-ARCH-H-7-8-A</x:v>
      </x:c>
      <x:c r="B1178" s="8" t="n">
        <x:v>1</x:v>
      </x:c>
      <x:c r="C1178" s="11" t="n">
        <x:v>28.05</x:v>
      </x:c>
      <x:c r="D1178" s="11" t="n">
        <x:v>5.924</x:v>
      </x:c>
      <x:c r="E1178" s="11" t="n">
        <x:v>7.36</x:v>
      </x:c>
      <x:c r="F1178" s="11" t="n">
        <x:f>0</x:f>
        <x:v>0</x:v>
      </x:c>
      <x:c r="G1178" s="8" t="str">
        <x:v>Current</x:v>
      </x:c>
    </x:row>
    <x:row r="1179" ht="32" customHeight="1">
      <x:c r="A1179" s="8" t="str">
        <x:v>drop:LC1:L4:light:1:L-ARCH-H-7-8-A</x:v>
      </x:c>
      <x:c r="B1179" s="8" t="n">
        <x:v>2</x:v>
      </x:c>
      <x:c r="C1179" s="11" t="n">
        <x:v>28.05</x:v>
      </x:c>
      <x:c r="D1179" s="11" t="n">
        <x:v>7.04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drop:LC1:L4:light:1:L-ARCH-H-7-8-A</x:v>
      </x:c>
      <x:c r="B1180" s="8" t="n">
        <x:v>3</x:v>
      </x:c>
      <x:c r="C1180" s="11" t="n">
        <x:v>28.05</x:v>
      </x:c>
      <x:c r="D1180" s="11" t="n">
        <x:v>6.932586272843179</x:v>
      </x:c>
      <x:c r="E1180" s="11" t="n">
        <x:v>7.438307692307693</x:v>
      </x:c>
      <x:c r="F1180" s="11" t="n">
        <x:f>SQRT((C1180-C1179)^2+(D1180-D1179)^2+(E1180-E1179)^2)</x:f>
        <x:v>0.13292781295227982</x:v>
      </x:c>
      <x:c r="G1180" s="8" t="str">
        <x:v>Current</x:v>
      </x:c>
    </x:row>
    <x:row r="1181" ht="32" customHeight="1">
      <x:c r="A1181" s="8" t="str">
        <x:v>drop:LC1:L4:light:1:L-ARCH-H-7-8-A</x:v>
      </x:c>
      <x:c r="B1181" s="8" t="n">
        <x:v>4</x:v>
      </x:c>
      <x:c r="C1181" s="11" t="n">
        <x:v>28.05</x:v>
      </x:c>
      <x:c r="D1181" s="11" t="n">
        <x:v>6.270864640883978</x:v>
      </x:c>
      <x:c r="E1181" s="11" t="n">
        <x:v>10.414</x:v>
      </x:c>
      <x:c r="F1181" s="11" t="n">
        <x:f>SQRT((C1181-C1180)^2+(D1181-D1180)^2+(E1181-E1180)^2)</x:f>
        <x:v>3.048379935024818</x:v>
      </x:c>
      <x:c r="G1181" s="8" t="str">
        <x:v>Current</x:v>
      </x:c>
    </x:row>
    <x:row r="1182" ht="32" customHeight="1">
      <x:c r="A1182" s="8" t="str">
        <x:v>drop:LC1:L4:light:1:L-ARCH-H-7-8-A</x:v>
      </x:c>
      <x:c r="B1182" s="8" t="n">
        <x:v>5</x:v>
      </x:c>
      <x:c r="C1182" s="11" t="n">
        <x:v>28.05</x:v>
      </x:c>
      <x:c r="D1182" s="11" t="n">
        <x:v>2.6</x:v>
      </x:c>
      <x:c r="E1182" s="11" t="n">
        <x:v>10.414</x:v>
      </x:c>
      <x:c r="F1182" s="11" t="n">
        <x:f>SQRT((C1182-C1181)^2+(D1182-D1181)^2+(E1182-E1181)^2)</x:f>
        <x:v>3.6708646408839782</x:v>
      </x:c>
      <x:c r="G1182" s="8" t="str">
        <x:v>Current</x:v>
      </x:c>
    </x:row>
    <x:row r="1183" ht="32" customHeight="1">
      <x:c r="A1183" s="8" t="str">
        <x:v>drop:LC1:L4:light:1:L-ARCH-H-7-8-A</x:v>
      </x:c>
      <x:c r="B1183" s="8" t="n">
        <x:v>6</x:v>
      </x:c>
      <x:c r="C1183" s="11" t="n">
        <x:v>28.05</x:v>
      </x:c>
      <x:c r="D1183" s="11" t="n">
        <x:v>2.6</x:v>
      </x:c>
      <x:c r="E1183" s="11" t="n">
        <x:v>10.654</x:v>
      </x:c>
      <x:c r="F1183" s="11" t="n">
        <x:f>SQRT((C1183-C1182)^2+(D1183-D1182)^2+(E1183-E1182)^2)</x:f>
        <x:v>0.2400000000000002</x:v>
      </x:c>
      <x:c r="G1183" s="8" t="str">
        <x:v>Current</x:v>
      </x:c>
    </x:row>
    <x:row r="1184" ht="32" customHeight="1">
      <x:c r="A1184" s="8" t="str">
        <x:v>drop:LC1:L4:light:1:L-ARCH-H-7-8-B</x:v>
      </x:c>
      <x:c r="B1184" s="8" t="n">
        <x:v>1</x:v>
      </x:c>
      <x:c r="C1184" s="11" t="n">
        <x:v>32.4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drop:LC1:L4:light:1:L-ARCH-H-7-8-B</x:v>
      </x:c>
      <x:c r="B1185" s="8" t="n">
        <x:v>2</x:v>
      </x:c>
      <x:c r="C1185" s="11" t="n">
        <x:v>32.4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drop:LC1:L4:light:1:L-ARCH-H-7-8-B</x:v>
      </x:c>
      <x:c r="B1186" s="8" t="n">
        <x:v>3</x:v>
      </x:c>
      <x:c r="C1186" s="11" t="n">
        <x:v>32.4</x:v>
      </x:c>
      <x:c r="D1186" s="11" t="n">
        <x:v>6.932586272843179</x:v>
      </x:c>
      <x:c r="E1186" s="11" t="n">
        <x:v>7.438307692307693</x:v>
      </x:c>
      <x:c r="F1186" s="11" t="n">
        <x:f>SQRT((C1186-C1185)^2+(D1186-D1185)^2+(E1186-E1185)^2)</x:f>
        <x:v>0.13292781295227982</x:v>
      </x:c>
      <x:c r="G1186" s="8" t="str">
        <x:v>Current</x:v>
      </x:c>
    </x:row>
    <x:row r="1187" ht="32" customHeight="1">
      <x:c r="A1187" s="8" t="str">
        <x:v>drop:LC1:L4:light:1:L-ARCH-H-7-8-B</x:v>
      </x:c>
      <x:c r="B1187" s="8" t="n">
        <x:v>4</x:v>
      </x:c>
      <x:c r="C1187" s="11" t="n">
        <x:v>32.4</x:v>
      </x:c>
      <x:c r="D1187" s="11" t="n">
        <x:v>6.270864640883978</x:v>
      </x:c>
      <x:c r="E1187" s="11" t="n">
        <x:v>10.414</x:v>
      </x:c>
      <x:c r="F1187" s="11" t="n">
        <x:f>SQRT((C1187-C1186)^2+(D1187-D1186)^2+(E1187-E1186)^2)</x:f>
        <x:v>3.048379935024818</x:v>
      </x:c>
      <x:c r="G1187" s="8" t="str">
        <x:v>Current</x:v>
      </x:c>
    </x:row>
    <x:row r="1188" ht="32" customHeight="1">
      <x:c r="A1188" s="8" t="str">
        <x:v>drop:LC1:L4:light:1:L-ARCH-H-7-8-B</x:v>
      </x:c>
      <x:c r="B1188" s="8" t="n">
        <x:v>5</x:v>
      </x:c>
      <x:c r="C1188" s="11" t="n">
        <x:v>32.4</x:v>
      </x:c>
      <x:c r="D1188" s="11" t="n">
        <x:v>2.6</x:v>
      </x:c>
      <x:c r="E1188" s="11" t="n">
        <x:v>10.414</x:v>
      </x:c>
      <x:c r="F1188" s="11" t="n">
        <x:f>SQRT((C1188-C1187)^2+(D1188-D1187)^2+(E1188-E1187)^2)</x:f>
        <x:v>3.6708646408839782</x:v>
      </x:c>
      <x:c r="G1188" s="8" t="str">
        <x:v>Current</x:v>
      </x:c>
    </x:row>
    <x:row r="1189" ht="32" customHeight="1">
      <x:c r="A1189" s="8" t="str">
        <x:v>drop:LC1:L4:light:1:L-ARCH-H-7-8-B</x:v>
      </x:c>
      <x:c r="B1189" s="8" t="n">
        <x:v>6</x:v>
      </x:c>
      <x:c r="C1189" s="11" t="n">
        <x:v>32.4</x:v>
      </x:c>
      <x:c r="D1189" s="11" t="n">
        <x:v>2.6</x:v>
      </x:c>
      <x:c r="E1189" s="11" t="n">
        <x:v>10.654</x:v>
      </x:c>
      <x:c r="F1189" s="11" t="n">
        <x:f>SQRT((C1189-C1188)^2+(D1189-D1188)^2+(E1189-E1188)^2)</x:f>
        <x:v>0.2400000000000002</x:v>
      </x:c>
      <x:c r="G1189" s="8" t="str">
        <x:v>Current</x:v>
      </x:c>
    </x:row>
    <x:row r="1190" ht="32" customHeight="1">
      <x:c r="A1190" s="8" t="str">
        <x:v>drop:LC1:L4:light:1:L-ARCH-H-8-9-A</x:v>
      </x:c>
      <x:c r="B1190" s="8" t="n">
        <x:v>1</x:v>
      </x:c>
      <x:c r="C1190" s="11" t="n">
        <x:v>32.550000000000004</x:v>
      </x:c>
      <x:c r="D1190" s="11" t="n">
        <x:v>5.924</x:v>
      </x:c>
      <x:c r="E1190" s="11" t="n">
        <x:v>7.36</x:v>
      </x:c>
      <x:c r="F1190" s="11" t="n">
        <x:f>0</x:f>
        <x:v>0</x:v>
      </x:c>
      <x:c r="G1190" s="8" t="str">
        <x:v>Current</x:v>
      </x:c>
    </x:row>
    <x:row r="1191" ht="32" customHeight="1">
      <x:c r="A1191" s="8" t="str">
        <x:v>drop:LC1:L4:light:1:L-ARCH-H-8-9-A</x:v>
      </x:c>
      <x:c r="B1191" s="8" t="n">
        <x:v>2</x:v>
      </x:c>
      <x:c r="C1191" s="11" t="n">
        <x:v>32.550000000000004</x:v>
      </x:c>
      <x:c r="D1191" s="11" t="n">
        <x:v>7.04</x:v>
      </x:c>
      <x:c r="E1191" s="11" t="n">
        <x:v>7.36</x:v>
      </x:c>
      <x:c r="F1191" s="11" t="n">
        <x:f>SQRT((C1191-C1190)^2+(D1191-D1190)^2+(E1191-E1190)^2)</x:f>
        <x:v>1.1159999999999997</x:v>
      </x:c>
      <x:c r="G1191" s="8" t="str">
        <x:v>Current</x:v>
      </x:c>
    </x:row>
    <x:row r="1192" ht="32" customHeight="1">
      <x:c r="A1192" s="8" t="str">
        <x:v>drop:LC1:L4:light:1:L-ARCH-H-8-9-A</x:v>
      </x:c>
      <x:c r="B1192" s="8" t="n">
        <x:v>3</x:v>
      </x:c>
      <x:c r="C1192" s="11" t="n">
        <x:v>32.550000000000004</x:v>
      </x:c>
      <x:c r="D1192" s="11" t="n">
        <x:v>6.932586272843179</x:v>
      </x:c>
      <x:c r="E1192" s="11" t="n">
        <x:v>7.438307692307693</x:v>
      </x:c>
      <x:c r="F1192" s="11" t="n">
        <x:f>SQRT((C1192-C1191)^2+(D1192-D1191)^2+(E1192-E1191)^2)</x:f>
        <x:v>0.13292781295227982</x:v>
      </x:c>
      <x:c r="G1192" s="8" t="str">
        <x:v>Current</x:v>
      </x:c>
    </x:row>
    <x:row r="1193" ht="32" customHeight="1">
      <x:c r="A1193" s="8" t="str">
        <x:v>drop:LC1:L4:light:1:L-ARCH-H-8-9-A</x:v>
      </x:c>
      <x:c r="B1193" s="8" t="n">
        <x:v>4</x:v>
      </x:c>
      <x:c r="C1193" s="11" t="n">
        <x:v>32.550000000000004</x:v>
      </x:c>
      <x:c r="D1193" s="11" t="n">
        <x:v>6.270864640883978</x:v>
      </x:c>
      <x:c r="E1193" s="11" t="n">
        <x:v>10.414</x:v>
      </x:c>
      <x:c r="F1193" s="11" t="n">
        <x:f>SQRT((C1193-C1192)^2+(D1193-D1192)^2+(E1193-E1192)^2)</x:f>
        <x:v>3.048379935024818</x:v>
      </x:c>
      <x:c r="G1193" s="8" t="str">
        <x:v>Current</x:v>
      </x:c>
    </x:row>
    <x:row r="1194" ht="32" customHeight="1">
      <x:c r="A1194" s="8" t="str">
        <x:v>drop:LC1:L4:light:1:L-ARCH-H-8-9-A</x:v>
      </x:c>
      <x:c r="B1194" s="8" t="n">
        <x:v>5</x:v>
      </x:c>
      <x:c r="C1194" s="11" t="n">
        <x:v>32.550000000000004</x:v>
      </x:c>
      <x:c r="D1194" s="11" t="n">
        <x:v>2.6</x:v>
      </x:c>
      <x:c r="E1194" s="11" t="n">
        <x:v>10.414</x:v>
      </x:c>
      <x:c r="F1194" s="11" t="n">
        <x:f>SQRT((C1194-C1193)^2+(D1194-D1193)^2+(E1194-E1193)^2)</x:f>
        <x:v>3.6708646408839782</x:v>
      </x:c>
      <x:c r="G1194" s="8" t="str">
        <x:v>Current</x:v>
      </x:c>
    </x:row>
    <x:row r="1195" ht="32" customHeight="1">
      <x:c r="A1195" s="8" t="str">
        <x:v>drop:LC1:L4:light:1:L-ARCH-H-8-9-A</x:v>
      </x:c>
      <x:c r="B1195" s="8" t="n">
        <x:v>6</x:v>
      </x:c>
      <x:c r="C1195" s="11" t="n">
        <x:v>32.550000000000004</x:v>
      </x:c>
      <x:c r="D1195" s="11" t="n">
        <x:v>2.6</x:v>
      </x:c>
      <x:c r="E1195" s="11" t="n">
        <x:v>10.654</x:v>
      </x:c>
      <x:c r="F1195" s="11" t="n">
        <x:f>SQRT((C1195-C1194)^2+(D1195-D1194)^2+(E1195-E1194)^2)</x:f>
        <x:v>0.2400000000000002</x:v>
      </x:c>
      <x:c r="G1195" s="8" t="str">
        <x:v>Current</x:v>
      </x:c>
    </x:row>
    <x:row r="1196" ht="32" customHeight="1">
      <x:c r="A1196" s="8" t="str">
        <x:v>drop:LC1:L4:light:1:L-ARCH-H-8-9-B</x:v>
      </x:c>
      <x:c r="B1196" s="8" t="n">
        <x:v>1</x:v>
      </x:c>
      <x:c r="C1196" s="11" t="n">
        <x:v>36.9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drop:LC1:L4:light:1:L-ARCH-H-8-9-B</x:v>
      </x:c>
      <x:c r="B1197" s="8" t="n">
        <x:v>2</x:v>
      </x:c>
      <x:c r="C1197" s="11" t="n">
        <x:v>36.9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drop:LC1:L4:light:1:L-ARCH-H-8-9-B</x:v>
      </x:c>
      <x:c r="B1198" s="8" t="n">
        <x:v>3</x:v>
      </x:c>
      <x:c r="C1198" s="11" t="n">
        <x:v>36.9</x:v>
      </x:c>
      <x:c r="D1198" s="11" t="n">
        <x:v>6.932586272843179</x:v>
      </x:c>
      <x:c r="E1198" s="11" t="n">
        <x:v>7.438307692307693</x:v>
      </x:c>
      <x:c r="F1198" s="11" t="n">
        <x:f>SQRT((C1198-C1197)^2+(D1198-D1197)^2+(E1198-E1197)^2)</x:f>
        <x:v>0.13292781295227982</x:v>
      </x:c>
      <x:c r="G1198" s="8" t="str">
        <x:v>Current</x:v>
      </x:c>
    </x:row>
    <x:row r="1199" ht="32" customHeight="1">
      <x:c r="A1199" s="8" t="str">
        <x:v>drop:LC1:L4:light:1:L-ARCH-H-8-9-B</x:v>
      </x:c>
      <x:c r="B1199" s="8" t="n">
        <x:v>4</x:v>
      </x:c>
      <x:c r="C1199" s="11" t="n">
        <x:v>36.9</x:v>
      </x:c>
      <x:c r="D1199" s="11" t="n">
        <x:v>6.323105822354441</x:v>
      </x:c>
      <x:c r="E1199" s="11" t="n">
        <x:v>10.179076923076924</x:v>
      </x:c>
      <x:c r="F1199" s="11" t="n">
        <x:f>SQRT((C1199-C1198)^2+(D1199-D1198)^2+(E1199-E1198)^2)</x:f>
        <x:v>2.80771836120707</x:v>
      </x:c>
      <x:c r="G1199" s="8" t="str">
        <x:v>Current</x:v>
      </x:c>
    </x:row>
    <x:row r="1200" ht="32" customHeight="1">
      <x:c r="A1200" s="8" t="str">
        <x:v>drop:LC1:L4:light:1:L-ARCH-H-8-9-B</x:v>
      </x:c>
      <x:c r="B1200" s="8" t="n">
        <x:v>5</x:v>
      </x:c>
      <x:c r="C1200" s="11" t="n">
        <x:v>36.9</x:v>
      </x:c>
      <x:c r="D1200" s="11" t="n">
        <x:v>6.31010953608247</x:v>
      </x:c>
      <x:c r="E1200" s="11" t="n">
        <x:v>10.257384615384614</x:v>
      </x:c>
      <x:c r="F1200" s="11" t="n">
        <x:f>SQRT((C1200-C1199)^2+(D1200-D1199)^2+(E1200-E1199)^2)</x:f>
        <x:v>0.07937882671984405</x:v>
      </x:c>
      <x:c r="G1200" s="8" t="str">
        <x:v>Current</x:v>
      </x:c>
    </x:row>
    <x:row r="1201" ht="32" customHeight="1">
      <x:c r="A1201" s="8" t="str">
        <x:v>drop:LC1:L4:light:1:L-ARCH-H-8-9-B</x:v>
      </x:c>
      <x:c r="B1201" s="8" t="n">
        <x:v>6</x:v>
      </x:c>
      <x:c r="C1201" s="11" t="n">
        <x:v>36.9</x:v>
      </x:c>
      <x:c r="D1201" s="11" t="n">
        <x:v>6.31010953608247</x:v>
      </x:c>
      <x:c r="E1201" s="11" t="n">
        <x:v>10.414</x:v>
      </x:c>
      <x:c r="F1201" s="11" t="n">
        <x:f>SQRT((C1201-C1200)^2+(D1201-D1200)^2+(E1201-E1200)^2)</x:f>
        <x:v>0.15661538461538527</x:v>
      </x:c>
      <x:c r="G1201" s="8" t="str">
        <x:v>Current</x:v>
      </x:c>
    </x:row>
    <x:row r="1202" ht="32" customHeight="1">
      <x:c r="A1202" s="8" t="str">
        <x:v>drop:LC1:L4:light:1:L-ARCH-H-8-9-B</x:v>
      </x:c>
      <x:c r="B1202" s="8" t="n">
        <x:v>7</x:v>
      </x:c>
      <x:c r="C1202" s="11" t="n">
        <x:v>36.9</x:v>
      </x:c>
      <x:c r="D1202" s="11" t="n">
        <x:v>2.6</x:v>
      </x:c>
      <x:c r="E1202" s="11" t="n">
        <x:v>10.414</x:v>
      </x:c>
      <x:c r="F1202" s="11" t="n">
        <x:f>SQRT((C1202-C1201)^2+(D1202-D1201)^2+(E1202-E1201)^2)</x:f>
        <x:v>3.7101095360824696</x:v>
      </x:c>
      <x:c r="G1202" s="8" t="str">
        <x:v>Current</x:v>
      </x:c>
    </x:row>
    <x:row r="1203" ht="32" customHeight="1">
      <x:c r="A1203" s="8" t="str">
        <x:v>drop:LC1:L4:light:1:L-ARCH-H-8-9-B</x:v>
      </x:c>
      <x:c r="B1203" s="8" t="n">
        <x:v>8</x:v>
      </x:c>
      <x:c r="C1203" s="11" t="n">
        <x:v>36.9</x:v>
      </x:c>
      <x:c r="D1203" s="11" t="n">
        <x:v>2.6</x:v>
      </x:c>
      <x:c r="E1203" s="11" t="n">
        <x:v>10.654</x:v>
      </x:c>
      <x:c r="F1203" s="11" t="n">
        <x:f>SQRT((C1203-C1202)^2+(D1203-D1202)^2+(E1203-E1202)^2)</x:f>
        <x:v>0.2400000000000002</x:v>
      </x:c>
      <x:c r="G1203" s="8" t="str">
        <x:v>Current</x:v>
      </x:c>
    </x:row>
    <x:row r="1204" ht="32" customHeight="1">
      <x:c r="A1204" s="8" t="str">
        <x:v>drop:LC1:L4:light:1:L-ARCH-H-10-11-A</x:v>
      </x:c>
      <x:c r="B1204" s="8" t="n">
        <x:v>1</x:v>
      </x:c>
      <x:c r="C1204" s="11" t="n">
        <x:v>44.25</x:v>
      </x:c>
      <x:c r="D1204" s="11" t="n">
        <x:v>5.924</x:v>
      </x:c>
      <x:c r="E1204" s="11" t="n">
        <x:v>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drop:LC1:L4:light:1:L-ARCH-H-10-11-A</x:v>
      </x:c>
      <x:c r="B1205" s="8" t="n">
        <x:v>2</x:v>
      </x:c>
      <x:c r="C1205" s="11" t="n">
        <x:v>44.25</x:v>
      </x:c>
      <x:c r="D1205" s="11" t="n">
        <x:v>7.04</x:v>
      </x:c>
      <x:c r="E1205" s="11" t="n">
        <x:v>7.36</x:v>
      </x:c>
      <x:c r="F1205" s="11" t="n">
        <x:f>SQRT((C1205-C1204)^2+(D1205-D1204)^2+(E1205-E1204)^2)</x:f>
        <x:v>1.1159999999999997</x:v>
      </x:c>
      <x:c r="G1205" s="8" t="str">
        <x:v>Current</x:v>
      </x:c>
    </x:row>
    <x:row r="1206" ht="32" customHeight="1">
      <x:c r="A1206" s="8" t="str">
        <x:v>drop:LC1:L4:light:1:L-ARCH-H-10-11-A</x:v>
      </x:c>
      <x:c r="B1206" s="8" t="n">
        <x:v>3</x:v>
      </x:c>
      <x:c r="C1206" s="11" t="n">
        <x:v>44.25</x:v>
      </x:c>
      <x:c r="D1206" s="11" t="n">
        <x:v>6.932586272843179</x:v>
      </x:c>
      <x:c r="E1206" s="11" t="n">
        <x:v>7.438307692307693</x:v>
      </x:c>
      <x:c r="F1206" s="11" t="n">
        <x:f>SQRT((C1206-C1205)^2+(D1206-D1205)^2+(E1206-E1205)^2)</x:f>
        <x:v>0.13292781295227982</x:v>
      </x:c>
      <x:c r="G1206" s="8" t="str">
        <x:v>Current</x:v>
      </x:c>
    </x:row>
    <x:row r="1207" ht="32" customHeight="1">
      <x:c r="A1207" s="8" t="str">
        <x:v>drop:LC1:L4:light:1:L-ARCH-H-10-11-A</x:v>
      </x:c>
      <x:c r="B1207" s="8" t="n">
        <x:v>4</x:v>
      </x:c>
      <x:c r="C1207" s="11" t="n">
        <x:v>44.25</x:v>
      </x:c>
      <x:c r="D1207" s="11" t="n">
        <x:v>6.323105822354441</x:v>
      </x:c>
      <x:c r="E1207" s="11" t="n">
        <x:v>10.179076923076924</x:v>
      </x:c>
      <x:c r="F1207" s="11" t="n">
        <x:f>SQRT((C1207-C1206)^2+(D1207-D1206)^2+(E1207-E1206)^2)</x:f>
        <x:v>2.80771836120707</x:v>
      </x:c>
      <x:c r="G1207" s="8" t="str">
        <x:v>Current</x:v>
      </x:c>
    </x:row>
    <x:row r="1208" ht="32" customHeight="1">
      <x:c r="A1208" s="8" t="str">
        <x:v>drop:LC1:L4:light:1:L-ARCH-H-10-11-A</x:v>
      </x:c>
      <x:c r="B1208" s="8" t="n">
        <x:v>5</x:v>
      </x:c>
      <x:c r="C1208" s="11" t="n">
        <x:v>44.25</x:v>
      </x:c>
      <x:c r="D1208" s="11" t="n">
        <x:v>6.310109536082476</x:v>
      </x:c>
      <x:c r="E1208" s="11" t="n">
        <x:v>10.257384615384614</x:v>
      </x:c>
      <x:c r="F1208" s="11" t="n">
        <x:f>SQRT((C1208-C1207)^2+(D1208-D1207)^2+(E1208-E1207)^2)</x:f>
        <x:v>0.07937882671984302</x:v>
      </x:c>
      <x:c r="G1208" s="8" t="str">
        <x:v>Current</x:v>
      </x:c>
    </x:row>
    <x:row r="1209" ht="32" customHeight="1">
      <x:c r="A1209" s="8" t="str">
        <x:v>drop:LC1:L4:light:1:L-ARCH-H-10-11-A</x:v>
      </x:c>
      <x:c r="B1209" s="8" t="n">
        <x:v>6</x:v>
      </x:c>
      <x:c r="C1209" s="11" t="n">
        <x:v>44.25</x:v>
      </x:c>
      <x:c r="D1209" s="11" t="n">
        <x:v>6.310109536082476</x:v>
      </x:c>
      <x:c r="E1209" s="11" t="n">
        <x:v>10.414</x:v>
      </x:c>
      <x:c r="F1209" s="11" t="n">
        <x:f>SQRT((C1209-C1208)^2+(D1209-D1208)^2+(E1209-E1208)^2)</x:f>
        <x:v>0.15661538461538527</x:v>
      </x:c>
      <x:c r="G1209" s="8" t="str">
        <x:v>Current</x:v>
      </x:c>
    </x:row>
    <x:row r="1210" ht="32" customHeight="1">
      <x:c r="A1210" s="8" t="str">
        <x:v>drop:LC1:L4:light:1:L-ARCH-H-10-11-A</x:v>
      </x:c>
      <x:c r="B1210" s="8" t="n">
        <x:v>7</x:v>
      </x:c>
      <x:c r="C1210" s="11" t="n">
        <x:v>44.25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3.710109536082476</x:v>
      </x:c>
      <x:c r="G1210" s="8" t="str">
        <x:v>Current</x:v>
      </x:c>
    </x:row>
    <x:row r="1211" ht="32" customHeight="1">
      <x:c r="A1211" s="8" t="str">
        <x:v>drop:LC1:L4:light:1:L-ARCH-H-10-11-A</x:v>
      </x:c>
      <x:c r="B1211" s="8" t="n">
        <x:v>8</x:v>
      </x:c>
      <x:c r="C1211" s="11" t="n">
        <x:v>44.25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drop:LC1:L4:light:1:L-ARCH-H-10-11-B</x:v>
      </x:c>
      <x:c r="B1212" s="8" t="n">
        <x:v>1</x:v>
      </x:c>
      <x:c r="C1212" s="11" t="n">
        <x:v>48.599999999999994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drop:LC1:L4:light:1:L-ARCH-H-10-11-B</x:v>
      </x:c>
      <x:c r="B1213" s="8" t="n">
        <x:v>2</x:v>
      </x:c>
      <x:c r="C1213" s="11" t="n">
        <x:v>48.599999999999994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drop:LC1:L4:light:1:L-ARCH-H-10-11-B</x:v>
      </x:c>
      <x:c r="B1214" s="8" t="n">
        <x:v>3</x:v>
      </x:c>
      <x:c r="C1214" s="11" t="n">
        <x:v>48.599999999999994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drop:LC1:L4:light:1:L-ARCH-H-10-11-B</x:v>
      </x:c>
      <x:c r="B1215" s="8" t="n">
        <x:v>4</x:v>
      </x:c>
      <x:c r="C1215" s="11" t="n">
        <x:v>48.599999999999994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drop:LC1:L4:light:1:L-ARCH-H-10-11-B</x:v>
      </x:c>
      <x:c r="B1216" s="8" t="n">
        <x:v>5</x:v>
      </x:c>
      <x:c r="C1216" s="11" t="n">
        <x:v>48.599999999999994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drop:LC1:L4:light:1:L-ARCH-H-10-11-B</x:v>
      </x:c>
      <x:c r="B1217" s="8" t="n">
        <x:v>6</x:v>
      </x:c>
      <x:c r="C1217" s="11" t="n">
        <x:v>48.599999999999994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drop:LC1:L4:light:1:L-ARCH-H-11-12-A</x:v>
      </x:c>
      <x:c r="B1218" s="8" t="n">
        <x:v>1</x:v>
      </x:c>
      <x:c r="C1218" s="11" t="n">
        <x:v>48.75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drop:LC1:L4:light:1:L-ARCH-H-11-12-A</x:v>
      </x:c>
      <x:c r="B1219" s="8" t="n">
        <x:v>2</x:v>
      </x:c>
      <x:c r="C1219" s="11" t="n">
        <x:v>48.75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drop:LC1:L4:light:1:L-ARCH-H-11-12-A</x:v>
      </x:c>
      <x:c r="B1220" s="8" t="n">
        <x:v>3</x:v>
      </x:c>
      <x:c r="C1220" s="11" t="n">
        <x:v>48.75</x:v>
      </x:c>
      <x:c r="D1220" s="11" t="n">
        <x:v>6.932586272843179</x:v>
      </x:c>
      <x:c r="E1220" s="11" t="n">
        <x:v>7.438307692307693</x:v>
      </x:c>
      <x:c r="F1220" s="11" t="n">
        <x:f>SQRT((C1220-C1219)^2+(D1220-D1219)^2+(E1220-E1219)^2)</x:f>
        <x:v>0.13292781295227982</x:v>
      </x:c>
      <x:c r="G1220" s="8" t="str">
        <x:v>Current</x:v>
      </x:c>
    </x:row>
    <x:row r="1221" ht="32" customHeight="1">
      <x:c r="A1221" s="8" t="str">
        <x:v>drop:LC1:L4:light:1:L-ARCH-H-11-12-A</x:v>
      </x:c>
      <x:c r="B1221" s="8" t="n">
        <x:v>4</x:v>
      </x:c>
      <x:c r="C1221" s="11" t="n">
        <x:v>48.75</x:v>
      </x:c>
      <x:c r="D1221" s="11" t="n">
        <x:v>6.270864640883978</x:v>
      </x:c>
      <x:c r="E1221" s="11" t="n">
        <x:v>10.414</x:v>
      </x:c>
      <x:c r="F1221" s="11" t="n">
        <x:f>SQRT((C1221-C1220)^2+(D1221-D1220)^2+(E1221-E1220)^2)</x:f>
        <x:v>3.048379935024818</x:v>
      </x:c>
      <x:c r="G1221" s="8" t="str">
        <x:v>Current</x:v>
      </x:c>
    </x:row>
    <x:row r="1222" ht="32" customHeight="1">
      <x:c r="A1222" s="8" t="str">
        <x:v>drop:LC1:L4:light:1:L-ARCH-H-11-12-A</x:v>
      </x:c>
      <x:c r="B1222" s="8" t="n">
        <x:v>5</x:v>
      </x:c>
      <x:c r="C1222" s="11" t="n">
        <x:v>48.75</x:v>
      </x:c>
      <x:c r="D1222" s="11" t="n">
        <x:v>2.6</x:v>
      </x:c>
      <x:c r="E1222" s="11" t="n">
        <x:v>10.414</x:v>
      </x:c>
      <x:c r="F1222" s="11" t="n">
        <x:f>SQRT((C1222-C1221)^2+(D1222-D1221)^2+(E1222-E1221)^2)</x:f>
        <x:v>3.6708646408839782</x:v>
      </x:c>
      <x:c r="G1222" s="8" t="str">
        <x:v>Current</x:v>
      </x:c>
    </x:row>
    <x:row r="1223" ht="32" customHeight="1">
      <x:c r="A1223" s="8" t="str">
        <x:v>drop:LC1:L4:light:1:L-ARCH-H-11-12-A</x:v>
      </x:c>
      <x:c r="B1223" s="8" t="n">
        <x:v>6</x:v>
      </x:c>
      <x:c r="C1223" s="11" t="n">
        <x:v>48.75</x:v>
      </x:c>
      <x:c r="D1223" s="11" t="n">
        <x:v>2.6</x:v>
      </x:c>
      <x:c r="E1223" s="11" t="n">
        <x:v>10.654</x:v>
      </x:c>
      <x:c r="F1223" s="11" t="n">
        <x:f>SQRT((C1223-C1222)^2+(D1223-D1222)^2+(E1223-E1222)^2)</x:f>
        <x:v>0.2400000000000002</x:v>
      </x:c>
      <x:c r="G1223" s="8" t="str">
        <x:v>Current</x:v>
      </x:c>
    </x:row>
    <x:row r="1224" ht="32" customHeight="1">
      <x:c r="A1224" s="8" t="str">
        <x:v>drop:LC1:L4:light:1:L-ARCH-H-11-12-B</x:v>
      </x:c>
      <x:c r="B1224" s="8" t="n">
        <x:v>1</x:v>
      </x:c>
      <x:c r="C1224" s="11" t="n">
        <x:v>52.940999999999995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drop:LC1:L4:light:1:L-ARCH-H-11-12-B</x:v>
      </x:c>
      <x:c r="B1225" s="8" t="n">
        <x:v>2</x:v>
      </x:c>
      <x:c r="C1225" s="11" t="n">
        <x:v>53.016</x:v>
      </x:c>
      <x:c r="D1225" s="11" t="n">
        <x:v>5.924</x:v>
      </x:c>
      <x:c r="E1225" s="11" t="n">
        <x:v>7.36</x:v>
      </x:c>
      <x:c r="F1225" s="11" t="n">
        <x:f>SQRT((C1225-C1224)^2+(D1225-D1224)^2+(E1225-E1224)^2)</x:f>
        <x:v>0.07500000000000284</x:v>
      </x:c>
      <x:c r="G1225" s="8" t="str">
        <x:v>Current</x:v>
      </x:c>
    </x:row>
    <x:row r="1226" ht="32" customHeight="1">
      <x:c r="A1226" s="8" t="str">
        <x:v>drop:LC1:L4:light:1:L-ARCH-H-11-12-B</x:v>
      </x:c>
      <x:c r="B1226" s="8" t="n">
        <x:v>3</x:v>
      </x:c>
      <x:c r="C1226" s="11" t="n">
        <x:v>53.016</x:v>
      </x:c>
      <x:c r="D1226" s="11" t="n">
        <x:v>5.924</x:v>
      </x:c>
      <x:c r="E1226" s="11" t="n">
        <x:v>10.654</x:v>
      </x:c>
      <x:c r="F1226" s="11" t="n">
        <x:f>SQRT((C1226-C1225)^2+(D1226-D1225)^2+(E1226-E1225)^2)</x:f>
        <x:v>3.2939999999999996</x:v>
      </x:c>
      <x:c r="G1226" s="8" t="str">
        <x:v>Current</x:v>
      </x:c>
    </x:row>
    <x:row r="1227" ht="32" customHeight="1">
      <x:c r="A1227" s="8" t="str">
        <x:v>drop:LC1:L4:light:1:L-ARCH-H-11-12-B</x:v>
      </x:c>
      <x:c r="B1227" s="8" t="n">
        <x:v>4</x:v>
      </x:c>
      <x:c r="C1227" s="11" t="n">
        <x:v>53.016</x:v>
      </x:c>
      <x:c r="D1227" s="11" t="n">
        <x:v>2.6</x:v>
      </x:c>
      <x:c r="E1227" s="11" t="n">
        <x:v>10.654</x:v>
      </x:c>
      <x:c r="F1227" s="11" t="n">
        <x:f>SQRT((C1227-C1226)^2+(D1227-D1226)^2+(E1227-E1226)^2)</x:f>
        <x:v>3.3240000000000003</x:v>
      </x:c>
      <x:c r="G1227" s="8" t="str">
        <x:v>Current</x:v>
      </x:c>
    </x:row>
    <x:row r="1228" ht="32" customHeight="1">
      <x:c r="A1228" s="8" t="str">
        <x:v>drop:LC1:L4:light:1:L-ARCH-H-11-12-B</x:v>
      </x:c>
      <x:c r="B1228" s="8" t="n">
        <x:v>5</x:v>
      </x:c>
      <x:c r="C1228" s="11" t="n">
        <x:v>52.940999999999995</x:v>
      </x:c>
      <x:c r="D1228" s="11" t="n">
        <x:v>2.6</x:v>
      </x:c>
      <x:c r="E1228" s="11" t="n">
        <x:v>10.654</x:v>
      </x:c>
      <x:c r="F1228" s="11" t="n">
        <x:f>SQRT((C1228-C1227)^2+(D1228-D1227)^2+(E1228-E1227)^2)</x:f>
        <x:v>0.07500000000000284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1</x:v>
      </x:c>
      <x:c r="C1229" s="11" t="n">
        <x:v>0.24</x:v>
      </x:c>
      <x:c r="D1229" s="11" t="n">
        <x:v>1.5</x:v>
      </x:c>
      <x:c r="E1229" s="11" t="n">
        <x:v>9.25</x:v>
      </x:c>
      <x:c r="F1229" s="11" t="n">
        <x:f>0</x:f>
        <x:v>0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2</x:v>
      </x:c>
      <x:c r="C1230" s="11" t="n">
        <x:v>2.35</x:v>
      </x:c>
      <x:c r="D1230" s="11" t="n">
        <x:v>1.5</x:v>
      </x:c>
      <x:c r="E1230" s="11" t="n">
        <x:v>9.25</x:v>
      </x:c>
      <x:c r="F1230" s="11" t="n">
        <x:f>SQRT((C1230-C1229)^2+(D1230-D1229)^2+(E1230-E1229)^2)</x:f>
        <x:v>2.1100000000000003</x:v>
      </x:c>
      <x:c r="G1230" s="8" t="str">
        <x:v>Current</x:v>
      </x:c>
    </x:row>
    <x:row r="1231" ht="32" customHeight="1">
      <x:c r="A1231" s="8" t="str">
        <x:v>trunk:DB2:L9:light:-1</x:v>
      </x:c>
      <x:c r="B1231" s="8" t="n">
        <x:v>3</x:v>
      </x:c>
      <x:c r="C1231" s="11" t="n">
        <x:v>2.35</x:v>
      </x:c>
      <x:c r="D1231" s="11" t="n">
        <x:v>7.65</x:v>
      </x:c>
      <x:c r="E1231" s="11" t="n">
        <x:v>9.25</x:v>
      </x:c>
      <x:c r="F1231" s="11" t="n">
        <x:f>SQRT((C1231-C1230)^2+(D1231-D1230)^2+(E1231-E1230)^2)</x:f>
        <x:v>6.15</x:v>
      </x:c>
      <x:c r="G1231" s="8" t="str">
        <x:v>Current</x:v>
      </x:c>
    </x:row>
    <x:row r="1232" ht="32" customHeight="1">
      <x:c r="A1232" s="8" t="str">
        <x:v>trunk:DB2:L9:light:-1</x:v>
      </x:c>
      <x:c r="B1232" s="8" t="n">
        <x:v>4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16.61</x:v>
      </x:c>
      <x:c r="G1232" s="8" t="str">
        <x:v>Current</x:v>
      </x:c>
    </x:row>
    <x:row r="1233" ht="32" customHeight="1">
      <x:c r="A1233" s="8" t="str">
        <x:v>trunk:DB2:L9:light:-1</x:v>
      </x:c>
      <x:c r="B1233" s="8" t="n">
        <x:v>5</x:v>
      </x:c>
      <x:c r="C1233" s="11" t="n">
        <x:v>2.35</x:v>
      </x:c>
      <x:c r="D1233" s="11" t="n">
        <x:v>5.972</x:v>
      </x:c>
      <x:c r="E1233" s="11" t="n">
        <x:v>-7.36</x:v>
      </x:c>
      <x:c r="F1233" s="11" t="n">
        <x:f>SQRT((C1233-C1232)^2+(D1233-D1232)^2+(E1233-E1232)^2)</x:f>
        <x:v>1.678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-7.36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-7.36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drop:DB2:L9:light:-1:L137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-2.3</x:v>
      </x:c>
      <x:c r="F1236" s="11" t="n">
        <x:f>SQRT((C1236-C1235)^2+(D1236-D1235)^2+(E1236-E1235)^2)</x:f>
        <x:v>5.0600000000000005</x:v>
      </x:c>
      <x:c r="G1236" s="8" t="str">
        <x:v>Current</x:v>
      </x:c>
    </x:row>
    <x:row r="1237" ht="32" customHeight="1">
      <x:c r="A1237" s="8" t="str">
        <x:v>drop:DB2:L9:light:-1:L137</x:v>
      </x:c>
      <x:c r="B1237" s="8" t="n">
        <x:v>4</x:v>
      </x:c>
      <x:c r="C1237" s="11" t="n">
        <x:v>2.35</x:v>
      </x:c>
      <x:c r="D1237" s="11" t="n">
        <x:v>3</x:v>
      </x:c>
      <x:c r="E1237" s="11" t="n">
        <x:v>-2.3</x:v>
      </x:c>
      <x:c r="F1237" s="11" t="n">
        <x:f>SQRT((C1237-C1236)^2+(D1237-D1236)^2+(E1237-E1236)^2)</x:f>
        <x:v>4.65</x:v>
      </x:c>
      <x:c r="G1237" s="8" t="str">
        <x:v>Current</x:v>
      </x:c>
    </x:row>
    <x:row r="1238" ht="32" customHeight="1">
      <x:c r="A1238" s="8" t="str">
        <x:v>drop:DB2:L9:light:-1:L137</x:v>
      </x:c>
      <x:c r="B1238" s="8" t="n">
        <x:v>5</x:v>
      </x:c>
      <x:c r="C1238" s="11" t="n">
        <x:v>2.2</x:v>
      </x:c>
      <x:c r="D1238" s="11" t="n">
        <x:v>3</x:v>
      </x:c>
      <x:c r="E1238" s="11" t="n">
        <x:v>-2.3</x:v>
      </x:c>
      <x:c r="F1238" s="11" t="n">
        <x:f>SQRT((C1238-C1237)^2+(D1238-D1237)^2+(E1238-E1237)^2)</x:f>
        <x:v>0.1499999999999999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1</x:v>
      </x:c>
      <x:c r="C1239" s="11" t="n">
        <x:v>2.35</x:v>
      </x:c>
      <x:c r="D1239" s="11" t="n">
        <x:v>5.972</x:v>
      </x:c>
      <x:c r="E1239" s="11" t="n">
        <x:v>-7.36</x:v>
      </x:c>
      <x:c r="F1239" s="11" t="n">
        <x:f>0</x:f>
        <x:v>0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2</x:v>
      </x:c>
      <x:c r="C1240" s="11" t="n">
        <x:v>2.35</x:v>
      </x:c>
      <x:c r="D1240" s="11" t="n">
        <x:v>7.65</x:v>
      </x:c>
      <x:c r="E1240" s="11" t="n">
        <x:v>-7.36</x:v>
      </x:c>
      <x:c r="F1240" s="11" t="n">
        <x:f>SQRT((C1240-C1239)^2+(D1240-D1239)^2+(E1240-E1239)^2)</x:f>
        <x:v>1.678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3</x:v>
      </x:c>
      <x:c r="C1241" s="11" t="n">
        <x:v>2.35</x:v>
      </x:c>
      <x:c r="D1241" s="11" t="n">
        <x:v>7.65</x:v>
      </x:c>
      <x:c r="E1241" s="11" t="n">
        <x:v>-7.703</x:v>
      </x:c>
      <x:c r="F1241" s="11" t="n">
        <x:f>SQRT((C1241-C1240)^2+(D1241-D1240)^2+(E1241-E1240)^2)</x:f>
        <x:v>0.34299999999999997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4</x:v>
      </x:c>
      <x:c r="C1242" s="11" t="n">
        <x:v>0</x:v>
      </x:c>
      <x:c r="D1242" s="11" t="n">
        <x:v>7.65</x:v>
      </x:c>
      <x:c r="E1242" s="11" t="n">
        <x:v>-7.703</x:v>
      </x:c>
      <x:c r="F1242" s="11" t="n">
        <x:f>SQRT((C1242-C1241)^2+(D1242-D1241)^2+(E1242-E1241)^2)</x:f>
        <x:v>2.35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5</x:v>
      </x:c>
      <x:c r="C1243" s="11" t="n">
        <x:v>0</x:v>
      </x:c>
      <x:c r="D1243" s="11" t="n">
        <x:v>7.65</x:v>
      </x:c>
      <x:c r="E1243" s="11" t="n">
        <x:v>-12.363</x:v>
      </x:c>
      <x:c r="F1243" s="11" t="n">
        <x:f>SQRT((C1243-C1242)^2+(D1243-D1242)^2+(E1243-E1242)^2)</x:f>
        <x:v>4.659999999999999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6</x:v>
      </x:c>
      <x:c r="C1244" s="11" t="n">
        <x:v>0</x:v>
      </x:c>
      <x:c r="D1244" s="11" t="n">
        <x:v>8.4</x:v>
      </x:c>
      <x:c r="E1244" s="11" t="n">
        <x:v>-12.363</x:v>
      </x:c>
      <x:c r="F1244" s="11" t="n">
        <x:f>SQRT((C1244-C1243)^2+(D1244-D1243)^2+(E1244-E1243)^2)</x:f>
        <x:v>0.75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7</x:v>
      </x:c>
      <x:c r="C1245" s="11" t="n">
        <x:v>0.09</x:v>
      </x:c>
      <x:c r="D1245" s="11" t="n">
        <x:v>8.4</x:v>
      </x:c>
      <x:c r="E1245" s="11" t="n">
        <x:v>-12.363</x:v>
      </x:c>
      <x:c r="F1245" s="11" t="n">
        <x:f>SQRT((C1245-C1244)^2+(D1245-D1244)^2+(E1245-E1244)^2)</x:f>
        <x:v>0.09</x:v>
      </x:c>
      <x:c r="G1245" s="8" t="str">
        <x:v>Current</x:v>
      </x:c>
    </x:row>
    <x:row r="1246" ht="32" customHeight="1">
      <x:c r="A1246" s="8" t="str">
        <x:v>drop:DB2:L9:light:-1:L182</x:v>
      </x:c>
      <x:c r="B1246" s="8" t="n">
        <x:v>8</x:v>
      </x:c>
      <x:c r="C1246" s="11" t="n">
        <x:v>0.09</x:v>
      </x:c>
      <x:c r="D1246" s="11" t="n">
        <x:v>8.4</x:v>
      </x:c>
      <x:c r="E1246" s="11" t="n">
        <x:v>-12.238</x:v>
      </x:c>
      <x:c r="F1246" s="11" t="n">
        <x:f>SQRT((C1246-C1245)^2+(D1246-D1245)^2+(E1246-E1245)^2)</x:f>
        <x:v>0.125</x:v>
      </x:c>
      <x:c r="G1246" s="8" t="str">
        <x:v>Current</x:v>
      </x:c>
    </x:row>
    <x:row r="1247" ht="32" customHeight="1">
      <x:c r="A1247" s="8" t="str">
        <x:v>drop:DB2:L9:light:-1:L182</x:v>
      </x:c>
      <x:c r="B1247" s="8" t="n">
        <x:v>9</x:v>
      </x:c>
      <x:c r="C1247" s="11" t="n">
        <x:v>0.09</x:v>
      </x:c>
      <x:c r="D1247" s="11" t="n">
        <x:v>8.39</x:v>
      </x:c>
      <x:c r="E1247" s="11" t="n">
        <x:v>-12.238</x:v>
      </x:c>
      <x:c r="F1247" s="11" t="n">
        <x:f>SQRT((C1247-C1246)^2+(D1247-D1246)^2+(E1247-E1246)^2)</x:f>
        <x:v>0.009999999999999787</x:v>
      </x:c>
      <x:c r="G1247" s="8" t="str">
        <x:v>Current</x:v>
      </x:c>
    </x:row>
    <x:row r="1248" ht="32" customHeight="1">
      <x:c r="A1248" s="8" t="str">
        <x:v>drop:DB2:L9:light:-1:L182</x:v>
      </x:c>
      <x:c r="B1248" s="8" t="n">
        <x:v>10</x:v>
      </x:c>
      <x:c r="C1248" s="11" t="n">
        <x:v>0.09</x:v>
      </x:c>
      <x:c r="D1248" s="11" t="n">
        <x:v>8.39</x:v>
      </x:c>
      <x:c r="E1248" s="11" t="n">
        <x:v>-11.853</x:v>
      </x:c>
      <x:c r="F1248" s="11" t="n">
        <x:f>SQRT((C1248-C1247)^2+(D1248-D1247)^2+(E1248-E1247)^2)</x:f>
        <x:v>0.3849999999999998</x:v>
      </x:c>
      <x:c r="G1248" s="8" t="str">
        <x:v>Current</x:v>
      </x:c>
    </x:row>
    <x:row r="1249" ht="32" customHeight="1">
      <x:c r="A1249" s="8" t="str">
        <x:v>drop:DB2:L9:light:-1:L182</x:v>
      </x:c>
      <x:c r="B1249" s="8" t="n">
        <x:v>11</x:v>
      </x:c>
      <x:c r="C1249" s="11" t="n">
        <x:v>-0.3</x:v>
      </x:c>
      <x:c r="D1249" s="11" t="n">
        <x:v>8.39</x:v>
      </x:c>
      <x:c r="E1249" s="11" t="n">
        <x:v>-11.853</x:v>
      </x:c>
      <x:c r="F1249" s="11" t="n">
        <x:f>SQRT((C1249-C1248)^2+(D1249-D1248)^2+(E1249-E1248)^2)</x:f>
        <x:v>0.39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1</x:v>
      </x:c>
      <x:c r="C1250" s="11" t="n">
        <x:v>2.35</x:v>
      </x:c>
      <x:c r="D1250" s="11" t="n">
        <x:v>5.972</x:v>
      </x:c>
      <x:c r="E1250" s="11" t="n">
        <x:v>-7.36</x:v>
      </x:c>
      <x:c r="F1250" s="11" t="n">
        <x:f>0</x:f>
        <x:v>0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2</x:v>
      </x:c>
      <x:c r="C1251" s="11" t="n">
        <x:v>2.35</x:v>
      </x:c>
      <x:c r="D1251" s="11" t="n">
        <x:v>7.65</x:v>
      </x:c>
      <x:c r="E1251" s="11" t="n">
        <x:v>-7.36</x:v>
      </x:c>
      <x:c r="F1251" s="11" t="n">
        <x:f>SQRT((C1251-C1250)^2+(D1251-D1250)^2+(E1251-E1250)^2)</x:f>
        <x:v>1.678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3</x:v>
      </x:c>
      <x:c r="C1252" s="11" t="n">
        <x:v>2.35</x:v>
      </x:c>
      <x:c r="D1252" s="11" t="n">
        <x:v>7.65</x:v>
      </x:c>
      <x:c r="E1252" s="11" t="n">
        <x:v>-7.703</x:v>
      </x:c>
      <x:c r="F1252" s="11" t="n">
        <x:f>SQRT((C1252-C1251)^2+(D1252-D1251)^2+(E1252-E1251)^2)</x:f>
        <x:v>0.34299999999999997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4</x:v>
      </x:c>
      <x:c r="C1253" s="11" t="n">
        <x:v>0</x:v>
      </x:c>
      <x:c r="D1253" s="11" t="n">
        <x:v>7.65</x:v>
      </x:c>
      <x:c r="E1253" s="11" t="n">
        <x:v>-7.703</x:v>
      </x:c>
      <x:c r="F1253" s="11" t="n">
        <x:f>SQRT((C1253-C1252)^2+(D1253-D1252)^2+(E1253-E1252)^2)</x:f>
        <x:v>2.35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5</x:v>
      </x:c>
      <x:c r="C1254" s="11" t="n">
        <x:v>0</x:v>
      </x:c>
      <x:c r="D1254" s="11" t="n">
        <x:v>7.65</x:v>
      </x:c>
      <x:c r="E1254" s="11" t="n">
        <x:v>-7.9430000000000005</x:v>
      </x:c>
      <x:c r="F1254" s="11" t="n">
        <x:f>SQRT((C1254-C1253)^2+(D1254-D1253)^2+(E1254-E1253)^2)</x:f>
        <x:v>0.2400000000000002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6</x:v>
      </x:c>
      <x:c r="C1255" s="11" t="n">
        <x:v>0</x:v>
      </x:c>
      <x:c r="D1255" s="11" t="n">
        <x:v>8.4</x:v>
      </x:c>
      <x:c r="E1255" s="11" t="n">
        <x:v>-7.9430000000000005</x:v>
      </x:c>
      <x:c r="F1255" s="11" t="n">
        <x:f>SQRT((C1255-C1254)^2+(D1255-D1254)^2+(E1255-E1254)^2)</x:f>
        <x:v>0.75</x:v>
      </x:c>
      <x:c r="G1255" s="8" t="str">
        <x:v>Current</x:v>
      </x:c>
    </x:row>
    <x:row r="1256" ht="32" customHeight="1">
      <x:c r="A1256" s="8" t="str">
        <x:v>drop:DB2:L9:light:-1:L183</x:v>
      </x:c>
      <x:c r="B1256" s="8" t="n">
        <x:v>7</x:v>
      </x:c>
      <x:c r="C1256" s="11" t="n">
        <x:v>0.09</x:v>
      </x:c>
      <x:c r="D1256" s="11" t="n">
        <x:v>8.4</x:v>
      </x:c>
      <x:c r="E1256" s="11" t="n">
        <x:v>-7.9430000000000005</x:v>
      </x:c>
      <x:c r="F1256" s="11" t="n">
        <x:f>SQRT((C1256-C1255)^2+(D1256-D1255)^2+(E1256-E1255)^2)</x:f>
        <x:v>0.09</x:v>
      </x:c>
      <x:c r="G1256" s="8" t="str">
        <x:v>Current</x:v>
      </x:c>
    </x:row>
    <x:row r="1257" ht="32" customHeight="1">
      <x:c r="A1257" s="8" t="str">
        <x:v>drop:DB2:L9:light:-1:L183</x:v>
      </x:c>
      <x:c r="B1257" s="8" t="n">
        <x:v>8</x:v>
      </x:c>
      <x:c r="C1257" s="11" t="n">
        <x:v>0.09</x:v>
      </x:c>
      <x:c r="D1257" s="11" t="n">
        <x:v>8.4</x:v>
      </x:c>
      <x:c r="E1257" s="11" t="n">
        <x:v>-8.068000000000001</x:v>
      </x:c>
      <x:c r="F1257" s="11" t="n">
        <x:f>SQRT((C1257-C1256)^2+(D1257-D1256)^2+(E1257-E1256)^2)</x:f>
        <x:v>0.1250000000000009</x:v>
      </x:c>
      <x:c r="G1257" s="8" t="str">
        <x:v>Current</x:v>
      </x:c>
    </x:row>
    <x:row r="1258" ht="32" customHeight="1">
      <x:c r="A1258" s="8" t="str">
        <x:v>drop:DB2:L9:light:-1:L183</x:v>
      </x:c>
      <x:c r="B1258" s="8" t="n">
        <x:v>9</x:v>
      </x:c>
      <x:c r="C1258" s="11" t="n">
        <x:v>0.09</x:v>
      </x:c>
      <x:c r="D1258" s="11" t="n">
        <x:v>8.39</x:v>
      </x:c>
      <x:c r="E1258" s="11" t="n">
        <x:v>-8.068000000000001</x:v>
      </x:c>
      <x:c r="F1258" s="11" t="n">
        <x:f>SQRT((C1258-C1257)^2+(D1258-D1257)^2+(E1258-E1257)^2)</x:f>
        <x:v>0.009999999999999787</x:v>
      </x:c>
      <x:c r="G1258" s="8" t="str">
        <x:v>Current</x:v>
      </x:c>
    </x:row>
    <x:row r="1259" ht="32" customHeight="1">
      <x:c r="A1259" s="8" t="str">
        <x:v>drop:DB2:L9:light:-1:L183</x:v>
      </x:c>
      <x:c r="B1259" s="8" t="n">
        <x:v>10</x:v>
      </x:c>
      <x:c r="C1259" s="11" t="n">
        <x:v>0.09</x:v>
      </x:c>
      <x:c r="D1259" s="11" t="n">
        <x:v>8.39</x:v>
      </x:c>
      <x:c r="E1259" s="11" t="n">
        <x:v>-8.453000000000001</x:v>
      </x:c>
      <x:c r="F1259" s="11" t="n">
        <x:f>SQRT((C1259-C1258)^2+(D1259-D1258)^2+(E1259-E1258)^2)</x:f>
        <x:v>0.3849999999999998</x:v>
      </x:c>
      <x:c r="G1259" s="8" t="str">
        <x:v>Current</x:v>
      </x:c>
    </x:row>
    <x:row r="1260" ht="32" customHeight="1">
      <x:c r="A1260" s="8" t="str">
        <x:v>drop:DB2:L9:light:-1:L183</x:v>
      </x:c>
      <x:c r="B1260" s="8" t="n">
        <x:v>11</x:v>
      </x:c>
      <x:c r="C1260" s="11" t="n">
        <x:v>-0.3</x:v>
      </x:c>
      <x:c r="D1260" s="11" t="n">
        <x:v>8.39</x:v>
      </x:c>
      <x:c r="E1260" s="11" t="n">
        <x:v>-8.453000000000001</x:v>
      </x:c>
      <x:c r="F1260" s="11" t="n">
        <x:f>SQRT((C1260-C1259)^2+(D1260-D1259)^2+(E1260-E1259)^2)</x:f>
        <x:v>0.39</x:v>
      </x:c>
      <x:c r="G1260" s="8" t="str">
        <x:v>Current</x:v>
      </x:c>
    </x:row>
    <x:row r="1261" ht="32" customHeight="1">
      <x:c r="A1261" s="8" t="str">
        <x:v>trunk:DB2:L9:light:1</x:v>
      </x:c>
      <x:c r="B1261" s="8" t="n">
        <x:v>1</x:v>
      </x:c>
      <x:c r="C1261" s="11" t="n">
        <x:v>0.24</x:v>
      </x:c>
      <x:c r="D1261" s="11" t="n">
        <x:v>1.5</x:v>
      </x:c>
      <x:c r="E1261" s="11" t="n">
        <x:v>9.25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trunk:DB2:L9:light:1</x:v>
      </x:c>
      <x:c r="B1262" s="8" t="n">
        <x:v>2</x:v>
      </x:c>
      <x:c r="C1262" s="11" t="n">
        <x:v>2.35</x:v>
      </x:c>
      <x:c r="D1262" s="11" t="n">
        <x:v>1.5</x:v>
      </x:c>
      <x:c r="E1262" s="11" t="n">
        <x:v>9.25</x:v>
      </x:c>
      <x:c r="F1262" s="11" t="n">
        <x:f>SQRT((C1262-C1261)^2+(D1262-D1261)^2+(E1262-E1261)^2)</x:f>
        <x:v>2.1100000000000003</x:v>
      </x:c>
      <x:c r="G1262" s="8" t="str">
        <x:v>Current</x:v>
      </x:c>
    </x:row>
    <x:row r="1263" ht="32" customHeight="1">
      <x:c r="A1263" s="8" t="str">
        <x:v>trunk:DB2:L9:light:1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9.25</x:v>
      </x:c>
      <x:c r="F1263" s="11" t="n">
        <x:f>SQRT((C1263-C1262)^2+(D1263-D1262)^2+(E1263-E1262)^2)</x:f>
        <x:v>6.15</x:v>
      </x:c>
      <x:c r="G1263" s="8" t="str">
        <x:v>Current</x:v>
      </x:c>
    </x:row>
    <x:row r="1264" ht="32" customHeight="1">
      <x:c r="A1264" s="8" t="str">
        <x:v>trunk:DB2:L9:light:1</x:v>
      </x:c>
      <x:c r="B1264" s="8" t="n">
        <x:v>4</x:v>
      </x:c>
      <x:c r="C1264" s="11" t="n">
        <x:v>2.35</x:v>
      </x:c>
      <x:c r="D1264" s="11" t="n">
        <x:v>7.65</x:v>
      </x:c>
      <x:c r="E1264" s="11" t="n">
        <x:v>7.36</x:v>
      </x:c>
      <x:c r="F1264" s="11" t="n">
        <x:f>SQRT((C1264-C1263)^2+(D1264-D1263)^2+(E1264-E1263)^2)</x:f>
        <x:v>1.8899999999999997</x:v>
      </x:c>
      <x:c r="G1264" s="8" t="str">
        <x:v>Current</x:v>
      </x:c>
    </x:row>
    <x:row r="1265" ht="32" customHeight="1">
      <x:c r="A1265" s="8" t="str">
        <x:v>trunk:DB2:L9:light:1</x:v>
      </x:c>
      <x:c r="B1265" s="8" t="n">
        <x:v>5</x:v>
      </x:c>
      <x:c r="C1265" s="11" t="n">
        <x:v>2.35</x:v>
      </x:c>
      <x:c r="D1265" s="11" t="n">
        <x:v>5.972</x:v>
      </x:c>
      <x:c r="E1265" s="11" t="n">
        <x:v>7.36</x:v>
      </x:c>
      <x:c r="F1265" s="11" t="n">
        <x:f>SQRT((C1265-C1264)^2+(D1265-D1264)^2+(E1265-E1264)^2)</x:f>
        <x:v>1.678</x:v>
      </x:c>
      <x:c r="G1265" s="8" t="str">
        <x:v>Current</x:v>
      </x:c>
    </x:row>
    <x:row r="1266" ht="32" customHeight="1">
      <x:c r="A1266" s="8" t="str">
        <x:v>drop:DB2:L9:light:1:L138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drop:DB2:L9:light:1:L138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drop:DB2:L9:light:1:L138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2.3</x:v>
      </x:c>
      <x:c r="F1268" s="11" t="n">
        <x:f>SQRT((C1268-C1267)^2+(D1268-D1267)^2+(E1268-E1267)^2)</x:f>
        <x:v>5.0600000000000005</x:v>
      </x:c>
      <x:c r="G1268" s="8" t="str">
        <x:v>Current</x:v>
      </x:c>
    </x:row>
    <x:row r="1269" ht="32" customHeight="1">
      <x:c r="A1269" s="8" t="str">
        <x:v>drop:DB2:L9:light:1:L138</x:v>
      </x:c>
      <x:c r="B1269" s="8" t="n">
        <x:v>4</x:v>
      </x:c>
      <x:c r="C1269" s="11" t="n">
        <x:v>2.35</x:v>
      </x:c>
      <x:c r="D1269" s="11" t="n">
        <x:v>3</x:v>
      </x:c>
      <x:c r="E1269" s="11" t="n">
        <x:v>2.3</x:v>
      </x:c>
      <x:c r="F1269" s="11" t="n">
        <x:f>SQRT((C1269-C1268)^2+(D1269-D1268)^2+(E1269-E1268)^2)</x:f>
        <x:v>4.65</x:v>
      </x:c>
      <x:c r="G1269" s="8" t="str">
        <x:v>Current</x:v>
      </x:c>
    </x:row>
    <x:row r="1270" ht="32" customHeight="1">
      <x:c r="A1270" s="8" t="str">
        <x:v>drop:DB2:L9:light:1:L138</x:v>
      </x:c>
      <x:c r="B1270" s="8" t="n">
        <x:v>5</x:v>
      </x:c>
      <x:c r="C1270" s="11" t="n">
        <x:v>2.2</x:v>
      </x:c>
      <x:c r="D1270" s="11" t="n">
        <x:v>3</x:v>
      </x:c>
      <x:c r="E1270" s="11" t="n">
        <x:v>2.3</x:v>
      </x:c>
      <x:c r="F1270" s="11" t="n">
        <x:f>SQRT((C1270-C1269)^2+(D1270-D1269)^2+(E1270-E1269)^2)</x:f>
        <x:v>0.1499999999999999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1</x:v>
      </x:c>
      <x:c r="C1271" s="11" t="n">
        <x:v>2.35</x:v>
      </x:c>
      <x:c r="D1271" s="11" t="n">
        <x:v>5.972</x:v>
      </x:c>
      <x:c r="E1271" s="11" t="n">
        <x:v>7.36</x:v>
      </x:c>
      <x:c r="F1271" s="11" t="n">
        <x:f>0</x:f>
        <x:v>0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2</x:v>
      </x:c>
      <x:c r="C1272" s="11" t="n">
        <x:v>2.35</x:v>
      </x:c>
      <x:c r="D1272" s="11" t="n">
        <x:v>7.65</x:v>
      </x:c>
      <x:c r="E1272" s="11" t="n">
        <x:v>7.36</x:v>
      </x:c>
      <x:c r="F1272" s="11" t="n">
        <x:f>SQRT((C1272-C1271)^2+(D1272-D1271)^2+(E1272-E1271)^2)</x:f>
        <x:v>1.678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3</x:v>
      </x:c>
      <x:c r="C1273" s="11" t="n">
        <x:v>2.35</x:v>
      </x:c>
      <x:c r="D1273" s="11" t="n">
        <x:v>7.65</x:v>
      </x:c>
      <x:c r="E1273" s="11" t="n">
        <x:v>7.703</x:v>
      </x:c>
      <x:c r="F1273" s="11" t="n">
        <x:f>SQRT((C1273-C1272)^2+(D1273-D1272)^2+(E1273-E1272)^2)</x:f>
        <x:v>0.34299999999999997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4</x:v>
      </x:c>
      <x:c r="C1274" s="11" t="n">
        <x:v>0</x:v>
      </x:c>
      <x:c r="D1274" s="11" t="n">
        <x:v>7.65</x:v>
      </x:c>
      <x:c r="E1274" s="11" t="n">
        <x:v>7.703</x:v>
      </x:c>
      <x:c r="F1274" s="11" t="n">
        <x:f>SQRT((C1274-C1273)^2+(D1274-D1273)^2+(E1274-E1273)^2)</x:f>
        <x:v>2.35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5</x:v>
      </x:c>
      <x:c r="C1275" s="11" t="n">
        <x:v>0</x:v>
      </x:c>
      <x:c r="D1275" s="11" t="n">
        <x:v>7.65</x:v>
      </x:c>
      <x:c r="E1275" s="11" t="n">
        <x:v>7.9430000000000005</x:v>
      </x:c>
      <x:c r="F1275" s="11" t="n">
        <x:f>SQRT((C1275-C1274)^2+(D1275-D1274)^2+(E1275-E1274)^2)</x:f>
        <x:v>0.2400000000000002</x:v>
      </x:c>
      <x:c r="G1275" s="8" t="str">
        <x:v>Current</x:v>
      </x:c>
    </x:row>
    <x:row r="1276" ht="32" customHeight="1">
      <x:c r="A1276" s="8" t="str">
        <x:v>drop:DB2:L9:light:1:L189</x:v>
      </x:c>
      <x:c r="B1276" s="8" t="n">
        <x:v>6</x:v>
      </x:c>
      <x:c r="C1276" s="11" t="n">
        <x:v>0</x:v>
      </x:c>
      <x:c r="D1276" s="11" t="n">
        <x:v>8.4</x:v>
      </x:c>
      <x:c r="E1276" s="11" t="n">
        <x:v>7.9430000000000005</x:v>
      </x:c>
      <x:c r="F1276" s="11" t="n">
        <x:f>SQRT((C1276-C1275)^2+(D1276-D1275)^2+(E1276-E1275)^2)</x:f>
        <x:v>0.75</x:v>
      </x:c>
      <x:c r="G1276" s="8" t="str">
        <x:v>Current</x:v>
      </x:c>
    </x:row>
    <x:row r="1277" ht="32" customHeight="1">
      <x:c r="A1277" s="8" t="str">
        <x:v>drop:DB2:L9:light:1:L189</x:v>
      </x:c>
      <x:c r="B1277" s="8" t="n">
        <x:v>7</x:v>
      </x:c>
      <x:c r="C1277" s="11" t="n">
        <x:v>0.09</x:v>
      </x:c>
      <x:c r="D1277" s="11" t="n">
        <x:v>8.4</x:v>
      </x:c>
      <x:c r="E1277" s="11" t="n">
        <x:v>7.9430000000000005</x:v>
      </x:c>
      <x:c r="F1277" s="11" t="n">
        <x:f>SQRT((C1277-C1276)^2+(D1277-D1276)^2+(E1277-E1276)^2)</x:f>
        <x:v>0.09</x:v>
      </x:c>
      <x:c r="G1277" s="8" t="str">
        <x:v>Current</x:v>
      </x:c>
    </x:row>
    <x:row r="1278" ht="32" customHeight="1">
      <x:c r="A1278" s="8" t="str">
        <x:v>drop:DB2:L9:light:1:L189</x:v>
      </x:c>
      <x:c r="B1278" s="8" t="n">
        <x:v>8</x:v>
      </x:c>
      <x:c r="C1278" s="11" t="n">
        <x:v>0.09</x:v>
      </x:c>
      <x:c r="D1278" s="11" t="n">
        <x:v>8.4</x:v>
      </x:c>
      <x:c r="E1278" s="11" t="n">
        <x:v>8.068000000000001</x:v>
      </x:c>
      <x:c r="F1278" s="11" t="n">
        <x:f>SQRT((C1278-C1277)^2+(D1278-D1277)^2+(E1278-E1277)^2)</x:f>
        <x:v>0.1250000000000009</x:v>
      </x:c>
      <x:c r="G1278" s="8" t="str">
        <x:v>Current</x:v>
      </x:c>
    </x:row>
    <x:row r="1279" ht="32" customHeight="1">
      <x:c r="A1279" s="8" t="str">
        <x:v>drop:DB2:L9:light:1:L189</x:v>
      </x:c>
      <x:c r="B1279" s="8" t="n">
        <x:v>9</x:v>
      </x:c>
      <x:c r="C1279" s="11" t="n">
        <x:v>0.09</x:v>
      </x:c>
      <x:c r="D1279" s="11" t="n">
        <x:v>8.39</x:v>
      </x:c>
      <x:c r="E1279" s="11" t="n">
        <x:v>8.068000000000001</x:v>
      </x:c>
      <x:c r="F1279" s="11" t="n">
        <x:f>SQRT((C1279-C1278)^2+(D1279-D1278)^2+(E1279-E1278)^2)</x:f>
        <x:v>0.009999999999999787</x:v>
      </x:c>
      <x:c r="G1279" s="8" t="str">
        <x:v>Current</x:v>
      </x:c>
    </x:row>
    <x:row r="1280" ht="32" customHeight="1">
      <x:c r="A1280" s="8" t="str">
        <x:v>drop:DB2:L9:light:1:L189</x:v>
      </x:c>
      <x:c r="B1280" s="8" t="n">
        <x:v>10</x:v>
      </x:c>
      <x:c r="C1280" s="11" t="n">
        <x:v>0.09</x:v>
      </x:c>
      <x:c r="D1280" s="11" t="n">
        <x:v>8.39</x:v>
      </x:c>
      <x:c r="E1280" s="11" t="n">
        <x:v>8.453000000000001</x:v>
      </x:c>
      <x:c r="F1280" s="11" t="n">
        <x:f>SQRT((C1280-C1279)^2+(D1280-D1279)^2+(E1280-E1279)^2)</x:f>
        <x:v>0.3849999999999998</x:v>
      </x:c>
      <x:c r="G1280" s="8" t="str">
        <x:v>Current</x:v>
      </x:c>
    </x:row>
    <x:row r="1281" ht="32" customHeight="1">
      <x:c r="A1281" s="8" t="str">
        <x:v>drop:DB2:L9:light:1:L189</x:v>
      </x:c>
      <x:c r="B1281" s="8" t="n">
        <x:v>11</x:v>
      </x:c>
      <x:c r="C1281" s="11" t="n">
        <x:v>-0.3</x:v>
      </x:c>
      <x:c r="D1281" s="11" t="n">
        <x:v>8.39</x:v>
      </x:c>
      <x:c r="E1281" s="11" t="n">
        <x:v>8.453000000000001</x:v>
      </x:c>
      <x:c r="F1281" s="11" t="n">
        <x:f>SQRT((C1281-C1280)^2+(D1281-D1280)^2+(E1281-E1280)^2)</x:f>
        <x:v>0.39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1</x:v>
      </x:c>
      <x:c r="C1282" s="11" t="n">
        <x:v>2.35</x:v>
      </x:c>
      <x:c r="D1282" s="11" t="n">
        <x:v>5.972</x:v>
      </x:c>
      <x:c r="E1282" s="11" t="n">
        <x:v>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2</x:v>
      </x:c>
      <x:c r="C1283" s="11" t="n">
        <x:v>2.35</x:v>
      </x:c>
      <x:c r="D1283" s="11" t="n">
        <x:v>7.65</x:v>
      </x:c>
      <x:c r="E1283" s="11" t="n">
        <x:v>7.36</x:v>
      </x:c>
      <x:c r="F1283" s="11" t="n">
        <x:f>SQRT((C1283-C1282)^2+(D1283-D1282)^2+(E1283-E1282)^2)</x:f>
        <x:v>1.678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3</x:v>
      </x:c>
      <x:c r="C1284" s="11" t="n">
        <x:v>2.35</x:v>
      </x:c>
      <x:c r="D1284" s="11" t="n">
        <x:v>7.65</x:v>
      </x:c>
      <x:c r="E1284" s="11" t="n">
        <x:v>7.703</x:v>
      </x:c>
      <x:c r="F1284" s="11" t="n">
        <x:f>SQRT((C1284-C1283)^2+(D1284-D1283)^2+(E1284-E1283)^2)</x:f>
        <x:v>0.34299999999999997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4</x:v>
      </x:c>
      <x:c r="C1285" s="11" t="n">
        <x:v>0</x:v>
      </x:c>
      <x:c r="D1285" s="11" t="n">
        <x:v>7.65</x:v>
      </x:c>
      <x:c r="E1285" s="11" t="n">
        <x:v>7.703</x:v>
      </x:c>
      <x:c r="F1285" s="11" t="n">
        <x:f>SQRT((C1285-C1284)^2+(D1285-D1284)^2+(E1285-E1284)^2)</x:f>
        <x:v>2.35</x:v>
      </x:c>
      <x:c r="G1285" s="8" t="str">
        <x:v>Current</x:v>
      </x:c>
    </x:row>
    <x:row r="1286" ht="32" customHeight="1">
      <x:c r="A1286" s="8" t="str">
        <x:v>drop:DB2:L9:light:1:L190</x:v>
      </x:c>
      <x:c r="B1286" s="8" t="n">
        <x:v>5</x:v>
      </x:c>
      <x:c r="C1286" s="11" t="n">
        <x:v>0</x:v>
      </x:c>
      <x:c r="D1286" s="11" t="n">
        <x:v>7.65</x:v>
      </x:c>
      <x:c r="E1286" s="11" t="n">
        <x:v>12.363</x:v>
      </x:c>
      <x:c r="F1286" s="11" t="n">
        <x:f>SQRT((C1286-C1285)^2+(D1286-D1285)^2+(E1286-E1285)^2)</x:f>
        <x:v>4.659999999999999</x:v>
      </x:c>
      <x:c r="G1286" s="8" t="str">
        <x:v>Current</x:v>
      </x:c>
    </x:row>
    <x:row r="1287" ht="32" customHeight="1">
      <x:c r="A1287" s="8" t="str">
        <x:v>drop:DB2:L9:light:1:L190</x:v>
      </x:c>
      <x:c r="B1287" s="8" t="n">
        <x:v>6</x:v>
      </x:c>
      <x:c r="C1287" s="11" t="n">
        <x:v>0</x:v>
      </x:c>
      <x:c r="D1287" s="11" t="n">
        <x:v>8.4</x:v>
      </x:c>
      <x:c r="E1287" s="11" t="n">
        <x:v>12.363</x:v>
      </x:c>
      <x:c r="F1287" s="11" t="n">
        <x:f>SQRT((C1287-C1286)^2+(D1287-D1286)^2+(E1287-E1286)^2)</x:f>
        <x:v>0.75</x:v>
      </x:c>
      <x:c r="G1287" s="8" t="str">
        <x:v>Current</x:v>
      </x:c>
    </x:row>
    <x:row r="1288" ht="32" customHeight="1">
      <x:c r="A1288" s="8" t="str">
        <x:v>drop:DB2:L9:light:1:L190</x:v>
      </x:c>
      <x:c r="B1288" s="8" t="n">
        <x:v>7</x:v>
      </x:c>
      <x:c r="C1288" s="11" t="n">
        <x:v>0.09</x:v>
      </x:c>
      <x:c r="D1288" s="11" t="n">
        <x:v>8.4</x:v>
      </x:c>
      <x:c r="E1288" s="11" t="n">
        <x:v>12.363</x:v>
      </x:c>
      <x:c r="F1288" s="11" t="n">
        <x:f>SQRT((C1288-C1287)^2+(D1288-D1287)^2+(E1288-E1287)^2)</x:f>
        <x:v>0.09</x:v>
      </x:c>
      <x:c r="G1288" s="8" t="str">
        <x:v>Current</x:v>
      </x:c>
    </x:row>
    <x:row r="1289" ht="32" customHeight="1">
      <x:c r="A1289" s="8" t="str">
        <x:v>drop:DB2:L9:light:1:L190</x:v>
      </x:c>
      <x:c r="B1289" s="8" t="n">
        <x:v>8</x:v>
      </x:c>
      <x:c r="C1289" s="11" t="n">
        <x:v>0.09</x:v>
      </x:c>
      <x:c r="D1289" s="11" t="n">
        <x:v>8.4</x:v>
      </x:c>
      <x:c r="E1289" s="11" t="n">
        <x:v>12.238</x:v>
      </x:c>
      <x:c r="F1289" s="11" t="n">
        <x:f>SQRT((C1289-C1288)^2+(D1289-D1288)^2+(E1289-E1288)^2)</x:f>
        <x:v>0.125</x:v>
      </x:c>
      <x:c r="G1289" s="8" t="str">
        <x:v>Current</x:v>
      </x:c>
    </x:row>
    <x:row r="1290" ht="32" customHeight="1">
      <x:c r="A1290" s="8" t="str">
        <x:v>drop:DB2:L9:light:1:L190</x:v>
      </x:c>
      <x:c r="B1290" s="8" t="n">
        <x:v>9</x:v>
      </x:c>
      <x:c r="C1290" s="11" t="n">
        <x:v>0.09</x:v>
      </x:c>
      <x:c r="D1290" s="11" t="n">
        <x:v>8.39</x:v>
      </x:c>
      <x:c r="E1290" s="11" t="n">
        <x:v>12.238</x:v>
      </x:c>
      <x:c r="F1290" s="11" t="n">
        <x:f>SQRT((C1290-C1289)^2+(D1290-D1289)^2+(E1290-E1289)^2)</x:f>
        <x:v>0.009999999999999787</x:v>
      </x:c>
      <x:c r="G1290" s="8" t="str">
        <x:v>Current</x:v>
      </x:c>
    </x:row>
    <x:row r="1291" ht="32" customHeight="1">
      <x:c r="A1291" s="8" t="str">
        <x:v>drop:DB2:L9:light:1:L190</x:v>
      </x:c>
      <x:c r="B1291" s="8" t="n">
        <x:v>10</x:v>
      </x:c>
      <x:c r="C1291" s="11" t="n">
        <x:v>0.09</x:v>
      </x:c>
      <x:c r="D1291" s="11" t="n">
        <x:v>8.39</x:v>
      </x:c>
      <x:c r="E1291" s="11" t="n">
        <x:v>11.853</x:v>
      </x:c>
      <x:c r="F1291" s="11" t="n">
        <x:f>SQRT((C1291-C1290)^2+(D1291-D1290)^2+(E1291-E1290)^2)</x:f>
        <x:v>0.3849999999999998</x:v>
      </x:c>
      <x:c r="G1291" s="8" t="str">
        <x:v>Current</x:v>
      </x:c>
    </x:row>
    <x:row r="1292" ht="32" customHeight="1">
      <x:c r="A1292" s="8" t="str">
        <x:v>drop:DB2:L9:light:1:L190</x:v>
      </x:c>
      <x:c r="B1292" s="8" t="n">
        <x:v>11</x:v>
      </x:c>
      <x:c r="C1292" s="11" t="n">
        <x:v>-0.3</x:v>
      </x:c>
      <x:c r="D1292" s="11" t="n">
        <x:v>8.39</x:v>
      </x:c>
      <x:c r="E1292" s="11" t="n">
        <x:v>11.853</x:v>
      </x:c>
      <x:c r="F1292" s="11" t="n">
        <x:f>SQRT((C1292-C1291)^2+(D1292-D1291)^2+(E1292-E1291)^2)</x:f>
        <x:v>0.39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1</x:v>
      </x:c>
      <x:c r="C1293" s="11" t="n">
        <x:v>48.895</x:v>
      </x:c>
      <x:c r="D1293" s="11" t="n">
        <x:v>1.85</x:v>
      </x:c>
      <x:c r="E1293" s="11" t="n">
        <x:v>-0.55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2</x:v>
      </x:c>
      <x:c r="C1294" s="11" t="n">
        <x:v>48.735</x:v>
      </x:c>
      <x:c r="D1294" s="11" t="n">
        <x:v>1.85</x:v>
      </x:c>
      <x:c r="E1294" s="11" t="n">
        <x:v>-0.55</x:v>
      </x:c>
      <x:c r="F1294" s="11" t="n">
        <x:f>SQRT((C1294-C1293)^2+(D1294-D1293)^2+(E1294-E1293)^2)</x:f>
        <x:v>0.1600000000000037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3</x:v>
      </x:c>
      <x:c r="C1295" s="11" t="n">
        <x:v>48.735</x:v>
      </x:c>
      <x:c r="D1295" s="11" t="n">
        <x:v>1.85</x:v>
      </x:c>
      <x:c r="E1295" s="11" t="n">
        <x:v>-2.24</x:v>
      </x:c>
      <x:c r="F1295" s="11" t="n">
        <x:f>SQRT((C1295-C1294)^2+(D1295-D1294)^2+(E1295-E1294)^2)</x:f>
        <x:v>1.6900000000000002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4</x:v>
      </x:c>
      <x:c r="C1296" s="11" t="n">
        <x:v>48.735</x:v>
      </x:c>
      <x:c r="D1296" s="11" t="n">
        <x:v>4.33</x:v>
      </x:c>
      <x:c r="E1296" s="11" t="n">
        <x:v>-2.24</x:v>
      </x:c>
      <x:c r="F1296" s="11" t="n">
        <x:f>SQRT((C1296-C1295)^2+(D1296-D1295)^2+(E1296-E1295)^2)</x:f>
        <x:v>2.48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5</x:v>
      </x:c>
      <x:c r="C1297" s="11" t="n">
        <x:v>48.735</x:v>
      </x:c>
      <x:c r="D1297" s="11" t="n">
        <x:v>4.33</x:v>
      </x:c>
      <x:c r="E1297" s="11" t="n">
        <x:v>-3.3</x:v>
      </x:c>
      <x:c r="F1297" s="11" t="n">
        <x:f>SQRT((C1297-C1296)^2+(D1297-D1296)^2+(E1297-E1296)^2)</x:f>
        <x:v>1.0599999999999996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6</x:v>
      </x:c>
      <x:c r="C1298" s="11" t="n">
        <x:v>53.016</x:v>
      </x:c>
      <x:c r="D1298" s="11" t="n">
        <x:v>4.33</x:v>
      </x:c>
      <x:c r="E1298" s="11" t="n">
        <x:v>-3.3</x:v>
      </x:c>
      <x:c r="F1298" s="11" t="n">
        <x:f>SQRT((C1298-C1297)^2+(D1298-D1297)^2+(E1298-E1297)^2)</x:f>
        <x:v>4.280999999999999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7</x:v>
      </x:c>
      <x:c r="C1299" s="11" t="n">
        <x:v>53.016</x:v>
      </x:c>
      <x:c r="D1299" s="11" t="n">
        <x:v>5.948</x:v>
      </x:c>
      <x:c r="E1299" s="11" t="n">
        <x:v>-3.3</x:v>
      </x:c>
      <x:c r="F1299" s="11" t="n">
        <x:f>SQRT((C1299-C1298)^2+(D1299-D1298)^2+(E1299-E1298)^2)</x:f>
        <x:v>1.6180000000000003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8</x:v>
      </x:c>
      <x:c r="C1300" s="11" t="n">
        <x:v>53.016</x:v>
      </x:c>
      <x:c r="D1300" s="11" t="n">
        <x:v>5.948</x:v>
      </x:c>
      <x:c r="E1300" s="11" t="n">
        <x:v>-7.36</x:v>
      </x:c>
      <x:c r="F1300" s="11" t="n">
        <x:f>SQRT((C1300-C1299)^2+(D1300-D1299)^2+(E1300-E1299)^2)</x:f>
        <x:v>4.0600000000000005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9</x:v>
      </x:c>
      <x:c r="C1301" s="11" t="n">
        <x:v>44.175</x:v>
      </x:c>
      <x:c r="D1301" s="11" t="n">
        <x:v>5.948</x:v>
      </x:c>
      <x:c r="E1301" s="11" t="n">
        <x:v>-7.36</x:v>
      </x:c>
      <x:c r="F1301" s="11" t="n">
        <x:f>SQRT((C1301-C1300)^2+(D1301-D1300)^2+(E1301-E1300)^2)</x:f>
        <x:v>8.841000000000001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10</x:v>
      </x:c>
      <x:c r="C1302" s="11" t="n">
        <x:v>44.175</x:v>
      </x:c>
      <x:c r="D1302" s="11" t="n">
        <x:v>7.04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11</x:v>
      </x:c>
      <x:c r="C1303" s="11" t="n">
        <x:v>43.535</x:v>
      </x:c>
      <x:c r="D1303" s="11" t="n">
        <x:v>7.04</x:v>
      </x:c>
      <x:c r="E1303" s="11" t="n">
        <x:v>-7.36</x:v>
      </x:c>
      <x:c r="F1303" s="11" t="n">
        <x:f>SQRT((C1303-C1302)^2+(D1303-D1302)^2+(E1303-E1302)^2)</x:f>
        <x:v>0.6400000000000006</x:v>
      </x:c>
      <x:c r="G1303" s="8" t="str">
        <x:v>Current</x:v>
      </x:c>
    </x:row>
    <x:row r="1304" ht="32" customHeight="1">
      <x:c r="A1304" s="8" t="str">
        <x:v>trunk:LC1:L5:light:-1</x:v>
      </x:c>
      <x:c r="B1304" s="8" t="n">
        <x:v>12</x:v>
      </x:c>
      <x:c r="C1304" s="11" t="n">
        <x:v>43.455</x:v>
      </x:c>
      <x:c r="D1304" s="11" t="n">
        <x:v>6.950412371134024</x:v>
      </x:c>
      <x:c r="E1304" s="11" t="n">
        <x:v>-7.36</x:v>
      </x:c>
      <x:c r="F1304" s="11" t="n">
        <x:f>SQRT((C1304-C1303)^2+(D1304-D1303)^2+(E1304-E1303)^2)</x:f>
        <x:v>0.12010804821421249</x:v>
      </x:c>
      <x:c r="G1304" s="8" t="str">
        <x:v>Current</x:v>
      </x:c>
    </x:row>
    <x:row r="1305" ht="32" customHeight="1">
      <x:c r="A1305" s="8" t="str">
        <x:v>trunk:LC1:L5:light:-1</x:v>
      </x:c>
      <x:c r="B1305" s="8" t="n">
        <x:v>13</x:v>
      </x:c>
      <x:c r="C1305" s="11" t="n">
        <x:v>40.574999999999996</x:v>
      </x:c>
      <x:c r="D1305" s="11" t="n">
        <x:v>9.269999999999994</x:v>
      </x:c>
      <x:c r="E1305" s="11" t="n">
        <x:v>-7.36</x:v>
      </x:c>
      <x:c r="F1305" s="11" t="n">
        <x:f>SQRT((C1305-C1304)^2+(D1305-D1304)^2+(E1305-E1304)^2)</x:f>
        <x:v>3.6979571073753776</x:v>
      </x:c>
      <x:c r="G1305" s="8" t="str">
        <x:v>Current</x:v>
      </x:c>
    </x:row>
    <x:row r="1306" ht="32" customHeight="1">
      <x:c r="A1306" s="8" t="str">
        <x:v>trunk:LC1:L5:light:-1</x:v>
      </x:c>
      <x:c r="B1306" s="8" t="n">
        <x:v>14</x:v>
      </x:c>
      <x:c r="C1306" s="11" t="n">
        <x:v>37.695</x:v>
      </x:c>
      <x:c r="D1306" s="11" t="n">
        <x:v>6.950412371134018</x:v>
      </x:c>
      <x:c r="E1306" s="11" t="n">
        <x:v>-7.36</x:v>
      </x:c>
      <x:c r="F1306" s="11" t="n">
        <x:f>SQRT((C1306-C1305)^2+(D1306-D1305)^2+(E1306-E1305)^2)</x:f>
        <x:v>3.697957107375376</x:v>
      </x:c>
      <x:c r="G1306" s="8" t="str">
        <x:v>Current</x:v>
      </x:c>
    </x:row>
    <x:row r="1307" ht="32" customHeight="1">
      <x:c r="A1307" s="8" t="str">
        <x:v>trunk:LC1:L5:light:-1</x:v>
      </x:c>
      <x:c r="B1307" s="8" t="n">
        <x:v>15</x:v>
      </x:c>
      <x:c r="C1307" s="11" t="n">
        <x:v>37.615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0.12010804821421713</x:v>
      </x:c>
      <x:c r="G1307" s="8" t="str">
        <x:v>Current</x:v>
      </x:c>
    </x:row>
    <x:row r="1308" ht="32" customHeight="1">
      <x:c r="A1308" s="8" t="str">
        <x:v>trunk:LC1:L5:light:-1</x:v>
      </x:c>
      <x:c r="B1308" s="8" t="n">
        <x:v>16</x:v>
      </x:c>
      <x:c r="C1308" s="11" t="n">
        <x:v>36.975</x:v>
      </x:c>
      <x:c r="D1308" s="11" t="n">
        <x:v>7.04</x:v>
      </x:c>
      <x:c r="E1308" s="11" t="n">
        <x:v>-7.36</x:v>
      </x:c>
      <x:c r="F1308" s="11" t="n">
        <x:f>SQRT((C1308-C1307)^2+(D1308-D1307)^2+(E1308-E1307)^2)</x:f>
        <x:v>0.6400000000000006</x:v>
      </x:c>
      <x:c r="G1308" s="8" t="str">
        <x:v>Current</x:v>
      </x:c>
    </x:row>
    <x:row r="1309" ht="32" customHeight="1">
      <x:c r="A1309" s="8" t="str">
        <x:v>trunk:LC1:L5:light:-1</x:v>
      </x:c>
      <x:c r="B1309" s="8" t="n">
        <x:v>17</x:v>
      </x:c>
      <x:c r="C1309" s="11" t="n">
        <x:v>36.975</x:v>
      </x:c>
      <x:c r="D1309" s="11" t="n">
        <x:v>5.948</x:v>
      </x:c>
      <x:c r="E1309" s="11" t="n">
        <x:v>-7.36</x:v>
      </x:c>
      <x:c r="F1309" s="11" t="n">
        <x:f>SQRT((C1309-C1308)^2+(D1309-D1308)^2+(E1309-E1308)^2)</x:f>
        <x:v>1.0919999999999996</x:v>
      </x:c>
      <x:c r="G1309" s="8" t="str">
        <x:v>Current</x:v>
      </x:c>
    </x:row>
    <x:row r="1310" ht="32" customHeight="1">
      <x:c r="A1310" s="8" t="str">
        <x:v>trunk:LC1:L5:light:-1</x:v>
      </x:c>
      <x:c r="B1310" s="8" t="n">
        <x:v>18</x:v>
      </x:c>
      <x:c r="C1310" s="11" t="n">
        <x:v>14.475000000000001</x:v>
      </x:c>
      <x:c r="D1310" s="11" t="n">
        <x:v>5.948</x:v>
      </x:c>
      <x:c r="E1310" s="11" t="n">
        <x:v>-7.36</x:v>
      </x:c>
      <x:c r="F1310" s="11" t="n">
        <x:f>SQRT((C1310-C1309)^2+(D1310-D1309)^2+(E1310-E1309)^2)</x:f>
        <x:v>22.5</x:v>
      </x:c>
      <x:c r="G1310" s="8" t="str">
        <x:v>Current</x:v>
      </x:c>
    </x:row>
    <x:row r="1311" ht="32" customHeight="1">
      <x:c r="A1311" s="8" t="str">
        <x:v>drop:LC1:L5:light:-1:L139</x:v>
      </x:c>
      <x:c r="B1311" s="8" t="n">
        <x:v>1</x:v>
      </x:c>
      <x:c r="C1311" s="11" t="n">
        <x:v>15.3</x:v>
      </x:c>
      <x:c r="D1311" s="11" t="n">
        <x:v>5.948</x:v>
      </x:c>
      <x:c r="E1311" s="11" t="n">
        <x:v>-7.36</x:v>
      </x:c>
      <x:c r="F1311" s="11" t="n">
        <x:f>0</x:f>
        <x:v>0</x:v>
      </x:c>
      <x:c r="G1311" s="8" t="str">
        <x:v>Current</x:v>
      </x:c>
    </x:row>
    <x:row r="1312" ht="32" customHeight="1">
      <x:c r="A1312" s="8" t="str">
        <x:v>drop:LC1:L5:light:-1:L139</x:v>
      </x:c>
      <x:c r="B1312" s="8" t="n">
        <x:v>2</x:v>
      </x:c>
      <x:c r="C1312" s="11" t="n">
        <x:v>15.3</x:v>
      </x:c>
      <x:c r="D1312" s="11" t="n">
        <x:v>2.6</x:v>
      </x:c>
      <x:c r="E1312" s="11" t="n">
        <x:v>-7.36</x:v>
      </x:c>
      <x:c r="F1312" s="11" t="n">
        <x:f>SQRT((C1312-C1311)^2+(D1312-D1311)^2+(E1312-E1311)^2)</x:f>
        <x:v>3.3480000000000003</x:v>
      </x:c>
      <x:c r="G1312" s="8" t="str">
        <x:v>Current</x:v>
      </x:c>
    </x:row>
    <x:row r="1313" ht="32" customHeight="1">
      <x:c r="A1313" s="8" t="str">
        <x:v>drop:LC1:L5:light:-1:L139</x:v>
      </x:c>
      <x:c r="B1313" s="8" t="n">
        <x:v>3</x:v>
      </x:c>
      <x:c r="C1313" s="11" t="n">
        <x:v>15.3</x:v>
      </x:c>
      <x:c r="D1313" s="11" t="n">
        <x:v>2.6</x:v>
      </x:c>
      <x:c r="E1313" s="11" t="n">
        <x:v>-7.52</x:v>
      </x:c>
      <x:c r="F1313" s="11" t="n">
        <x:f>SQRT((C1313-C1312)^2+(D1313-D1312)^2+(E1313-E1312)^2)</x:f>
        <x:v>0.15999999999999925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1</x:v>
      </x:c>
      <x:c r="C1314" s="11" t="n">
        <x:v>18.150000000000002</x:v>
      </x:c>
      <x:c r="D1314" s="11" t="n">
        <x:v>5.948</x:v>
      </x:c>
      <x:c r="E1314" s="11" t="n">
        <x:v>-7.36</x:v>
      </x:c>
      <x:c r="F1314" s="11" t="n">
        <x:f>0</x:f>
        <x:v>0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2</x:v>
      </x:c>
      <x:c r="C1315" s="11" t="n">
        <x:v>18.150000000000002</x:v>
      </x:c>
      <x:c r="D1315" s="11" t="n">
        <x:v>2.6</x:v>
      </x:c>
      <x:c r="E1315" s="11" t="n">
        <x:v>-7.36</x:v>
      </x:c>
      <x:c r="F1315" s="11" t="n">
        <x:f>SQRT((C1315-C1314)^2+(D1315-D1314)^2+(E1315-E1314)^2)</x:f>
        <x:v>3.3480000000000003</x:v>
      </x:c>
      <x:c r="G1315" s="8" t="str">
        <x:v>Current</x:v>
      </x:c>
    </x:row>
    <x:row r="1316" ht="32" customHeight="1">
      <x:c r="A1316" s="8" t="str">
        <x:v>drop:LC1:L5:light:-1:L140</x:v>
      </x:c>
      <x:c r="B1316" s="8" t="n">
        <x:v>3</x:v>
      </x:c>
      <x:c r="C1316" s="11" t="n">
        <x:v>18.150000000000002</x:v>
      </x:c>
      <x:c r="D1316" s="11" t="n">
        <x:v>2.6</x:v>
      </x:c>
      <x:c r="E1316" s="11" t="n">
        <x:v>-7.52</x:v>
      </x:c>
      <x:c r="F1316" s="11" t="n">
        <x:f>SQRT((C1316-C1315)^2+(D1316-D1315)^2+(E1316-E1315)^2)</x:f>
        <x:v>0.15999999999999925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1</x:v>
      </x:c>
      <x:c r="C1317" s="11" t="n">
        <x:v>33.300000000000004</x:v>
      </x:c>
      <x:c r="D1317" s="11" t="n">
        <x:v>5.948</x:v>
      </x:c>
      <x:c r="E1317" s="11" t="n">
        <x:v>-7.36</x:v>
      </x:c>
      <x:c r="F1317" s="11" t="n">
        <x:f>0</x:f>
        <x:v>0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2</x:v>
      </x:c>
      <x:c r="C1318" s="11" t="n">
        <x:v>33.300000000000004</x:v>
      </x:c>
      <x:c r="D1318" s="11" t="n">
        <x:v>2.6</x:v>
      </x:c>
      <x:c r="E1318" s="11" t="n">
        <x:v>-7.36</x:v>
      </x:c>
      <x:c r="F1318" s="11" t="n">
        <x:f>SQRT((C1318-C1317)^2+(D1318-D1317)^2+(E1318-E1317)^2)</x:f>
        <x:v>3.3480000000000003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3</x:v>
      </x:c>
      <x:c r="C1319" s="11" t="n">
        <x:v>33.300000000000004</x:v>
      </x:c>
      <x:c r="D1319" s="11" t="n">
        <x:v>2.6</x:v>
      </x:c>
      <x:c r="E1319" s="11" t="n">
        <x:v>-7.52</x:v>
      </x:c>
      <x:c r="F1319" s="11" t="n">
        <x:f>SQRT((C1319-C1318)^2+(D1319-D1318)^2+(E1319-E1318)^2)</x:f>
        <x:v>0.15999999999999925</x:v>
      </x:c>
      <x:c r="G1319" s="8" t="str">
        <x:v>Current</x:v>
      </x:c>
    </x:row>
    <x:row r="1320" ht="32" customHeight="1">
      <x:c r="A1320" s="8" t="str">
        <x:v>drop:LC1:L5:light:-1:L142</x:v>
      </x:c>
      <x:c r="B1320" s="8" t="n">
        <x:v>1</x:v>
      </x:c>
      <x:c r="C1320" s="11" t="n">
        <x:v>36.15</x:v>
      </x:c>
      <x:c r="D1320" s="11" t="n">
        <x:v>5.948</x:v>
      </x:c>
      <x:c r="E1320" s="11" t="n">
        <x:v>-7.36</x:v>
      </x:c>
      <x:c r="F1320" s="11" t="n">
        <x:f>0</x:f>
        <x:v>0</x:v>
      </x:c>
      <x:c r="G1320" s="8" t="str">
        <x:v>Current</x:v>
      </x:c>
    </x:row>
    <x:row r="1321" ht="32" customHeight="1">
      <x:c r="A1321" s="8" t="str">
        <x:v>drop:LC1:L5:light:-1:L142</x:v>
      </x:c>
      <x:c r="B1321" s="8" t="n">
        <x:v>2</x:v>
      </x:c>
      <x:c r="C1321" s="11" t="n">
        <x:v>36.15</x:v>
      </x:c>
      <x:c r="D1321" s="11" t="n">
        <x:v>2.6</x:v>
      </x:c>
      <x:c r="E1321" s="11" t="n">
        <x:v>-7.36</x:v>
      </x:c>
      <x:c r="F1321" s="11" t="n">
        <x:f>SQRT((C1321-C1320)^2+(D1321-D1320)^2+(E1321-E1320)^2)</x:f>
        <x:v>3.3480000000000003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3</x:v>
      </x:c>
      <x:c r="C1322" s="11" t="n">
        <x:v>36.15</x:v>
      </x:c>
      <x:c r="D1322" s="11" t="n">
        <x:v>2.6</x:v>
      </x:c>
      <x:c r="E1322" s="11" t="n">
        <x:v>-7.52</x:v>
      </x:c>
      <x:c r="F1322" s="11" t="n">
        <x:f>SQRT((C1322-C1321)^2+(D1322-D1321)^2+(E1322-E1321)^2)</x:f>
        <x:v>0.15999999999999925</x:v>
      </x:c>
      <x:c r="G1322" s="8" t="str">
        <x:v>Current</x:v>
      </x:c>
    </x:row>
    <x:row r="1323" ht="32" customHeight="1">
      <x:c r="A1323" s="8" t="str">
        <x:v>drop:LC1:L5:light:-1:L184</x:v>
      </x:c>
      <x:c r="B1323" s="8" t="n">
        <x:v>1</x:v>
      </x:c>
      <x:c r="C1323" s="11" t="n">
        <x:v>14.475000000000001</x:v>
      </x:c>
      <x:c r="D1323" s="11" t="n">
        <x:v>5.948</x:v>
      </x:c>
      <x:c r="E1323" s="11" t="n">
        <x:v>-7.36</x:v>
      </x:c>
      <x:c r="F1323" s="11" t="n">
        <x:f>0</x:f>
        <x:v>0</x:v>
      </x:c>
      <x:c r="G1323" s="8" t="str">
        <x:v>Current</x:v>
      </x:c>
    </x:row>
    <x:row r="1324" ht="32" customHeight="1">
      <x:c r="A1324" s="8" t="str">
        <x:v>drop:LC1:L5:light:-1:L184</x:v>
      </x:c>
      <x:c r="B1324" s="8" t="n">
        <x:v>2</x:v>
      </x:c>
      <x:c r="C1324" s="11" t="n">
        <x:v>14.475000000000001</x:v>
      </x:c>
      <x:c r="D1324" s="11" t="n">
        <x:v>7.04</x:v>
      </x:c>
      <x:c r="E1324" s="11" t="n">
        <x:v>-7.36</x:v>
      </x:c>
      <x:c r="F1324" s="11" t="n">
        <x:f>SQRT((C1324-C1323)^2+(D1324-D1323)^2+(E1324-E1323)^2)</x:f>
        <x:v>1.0919999999999996</x:v>
      </x:c>
      <x:c r="G1324" s="8" t="str">
        <x:v>Current</x:v>
      </x:c>
    </x:row>
    <x:row r="1325" ht="32" customHeight="1">
      <x:c r="A1325" s="8" t="str">
        <x:v>drop:LC1:L5:light:-1:L184</x:v>
      </x:c>
      <x:c r="B1325" s="8" t="n">
        <x:v>3</x:v>
      </x:c>
      <x:c r="C1325" s="11" t="n">
        <x:v>14.475</x:v>
      </x:c>
      <x:c r="D1325" s="11" t="n">
        <x:v>6.932586272843179</x:v>
      </x:c>
      <x:c r="E1325" s="11" t="n">
        <x:v>-7.438307692307693</x:v>
      </x:c>
      <x:c r="F1325" s="11" t="n">
        <x:f>SQRT((C1325-C1324)^2+(D1325-D1324)^2+(E1325-E1324)^2)</x:f>
        <x:v>0.13292781295227982</x:v>
      </x:c>
      <x:c r="G1325" s="8" t="str">
        <x:v>Current</x:v>
      </x:c>
    </x:row>
    <x:row r="1326" ht="32" customHeight="1">
      <x:c r="A1326" s="8" t="str">
        <x:v>drop:LC1:L5:light:-1:L184</x:v>
      </x:c>
      <x:c r="B1326" s="8" t="n">
        <x:v>4</x:v>
      </x:c>
      <x:c r="C1326" s="11" t="n">
        <x:v>14.475</x:v>
      </x:c>
      <x:c r="D1326" s="11" t="n">
        <x:v>6.270864640883978</x:v>
      </x:c>
      <x:c r="E1326" s="11" t="n">
        <x:v>-10.414</x:v>
      </x:c>
      <x:c r="F1326" s="11" t="n">
        <x:f>SQRT((C1326-C1325)^2+(D1326-D1325)^2+(E1326-E1325)^2)</x:f>
        <x:v>3.048379935024818</x:v>
      </x:c>
      <x:c r="G1326" s="8" t="str">
        <x:v>Current</x:v>
      </x:c>
    </x:row>
    <x:row r="1327" ht="32" customHeight="1">
      <x:c r="A1327" s="8" t="str">
        <x:v>drop:LC1:L5:light:-1:L184</x:v>
      </x:c>
      <x:c r="B1327" s="8" t="n">
        <x:v>5</x:v>
      </x:c>
      <x:c r="C1327" s="11" t="n">
        <x:v>14.475</x:v>
      </x:c>
      <x:c r="D1327" s="11" t="n">
        <x:v>5.9</x:v>
      </x:c>
      <x:c r="E1327" s="11" t="n">
        <x:v>-10.414</x:v>
      </x:c>
      <x:c r="F1327" s="11" t="n">
        <x:f>SQRT((C1327-C1326)^2+(D1327-D1326)^2+(E1327-E1326)^2)</x:f>
        <x:v>0.37086464088397797</x:v>
      </x:c>
      <x:c r="G1327" s="8" t="str">
        <x:v>Current</x:v>
      </x:c>
    </x:row>
    <x:row r="1328" ht="32" customHeight="1">
      <x:c r="A1328" s="8" t="str">
        <x:v>drop:LC1:L5:light:-1:L184</x:v>
      </x:c>
      <x:c r="B1328" s="8" t="n">
        <x:v>6</x:v>
      </x:c>
      <x:c r="C1328" s="11" t="n">
        <x:v>14.475</x:v>
      </x:c>
      <x:c r="D1328" s="11" t="n">
        <x:v>5.9</x:v>
      </x:c>
      <x:c r="E1328" s="11" t="n">
        <x:v>-10.75</x:v>
      </x:c>
      <x:c r="F1328" s="11" t="n">
        <x:f>SQRT((C1328-C1327)^2+(D1328-D1327)^2+(E1328-E1327)^2)</x:f>
        <x:v>0.3360000000000003</x:v>
      </x:c>
      <x:c r="G1328" s="8" t="str">
        <x:v>Current</x:v>
      </x:c>
    </x:row>
    <x:row r="1329" ht="32" customHeight="1">
      <x:c r="A1329" s="8" t="str">
        <x:v>drop:LC1:L5:light:-1:L185</x:v>
      </x:c>
      <x:c r="B1329" s="8" t="n">
        <x:v>1</x:v>
      </x:c>
      <x:c r="C1329" s="11" t="n">
        <x:v>23.475</x:v>
      </x:c>
      <x:c r="D1329" s="11" t="n">
        <x:v>5.948</x:v>
      </x:c>
      <x:c r="E1329" s="11" t="n">
        <x:v>-7.36</x:v>
      </x:c>
      <x:c r="F1329" s="11" t="n">
        <x:f>0</x:f>
        <x:v>0</x:v>
      </x:c>
      <x:c r="G1329" s="8" t="str">
        <x:v>Current</x:v>
      </x:c>
    </x:row>
    <x:row r="1330" ht="32" customHeight="1">
      <x:c r="A1330" s="8" t="str">
        <x:v>drop:LC1:L5:light:-1:L185</x:v>
      </x:c>
      <x:c r="B1330" s="8" t="n">
        <x:v>2</x:v>
      </x:c>
      <x:c r="C1330" s="11" t="n">
        <x:v>23.475</x:v>
      </x:c>
      <x:c r="D1330" s="11" t="n">
        <x:v>7.04</x:v>
      </x:c>
      <x:c r="E1330" s="11" t="n">
        <x:v>-7.36</x:v>
      </x:c>
      <x:c r="F1330" s="11" t="n">
        <x:f>SQRT((C1330-C1329)^2+(D1330-D1329)^2+(E1330-E1329)^2)</x:f>
        <x:v>1.0919999999999996</x:v>
      </x:c>
      <x:c r="G1330" s="8" t="str">
        <x:v>Current</x:v>
      </x:c>
    </x:row>
    <x:row r="1331" ht="32" customHeight="1">
      <x:c r="A1331" s="8" t="str">
        <x:v>drop:LC1:L5:light:-1:L185</x:v>
      </x:c>
      <x:c r="B1331" s="8" t="n">
        <x:v>3</x:v>
      </x:c>
      <x:c r="C1331" s="11" t="n">
        <x:v>23.475</x:v>
      </x:c>
      <x:c r="D1331" s="11" t="n">
        <x:v>6.932586272843179</x:v>
      </x:c>
      <x:c r="E1331" s="11" t="n">
        <x:v>-7.438307692307693</x:v>
      </x:c>
      <x:c r="F1331" s="11" t="n">
        <x:f>SQRT((C1331-C1330)^2+(D1331-D1330)^2+(E1331-E1330)^2)</x:f>
        <x:v>0.13292781295227982</x:v>
      </x:c>
      <x:c r="G1331" s="8" t="str">
        <x:v>Current</x:v>
      </x:c>
    </x:row>
    <x:row r="1332" ht="32" customHeight="1">
      <x:c r="A1332" s="8" t="str">
        <x:v>drop:LC1:L5:light:-1:L185</x:v>
      </x:c>
      <x:c r="B1332" s="8" t="n">
        <x:v>4</x:v>
      </x:c>
      <x:c r="C1332" s="11" t="n">
        <x:v>23.475</x:v>
      </x:c>
      <x:c r="D1332" s="11" t="n">
        <x:v>6.270864640883978</x:v>
      </x:c>
      <x:c r="E1332" s="11" t="n">
        <x:v>-10.414</x:v>
      </x:c>
      <x:c r="F1332" s="11" t="n">
        <x:f>SQRT((C1332-C1331)^2+(D1332-D1331)^2+(E1332-E1331)^2)</x:f>
        <x:v>3.048379935024818</x:v>
      </x:c>
      <x:c r="G1332" s="8" t="str">
        <x:v>Current</x:v>
      </x:c>
    </x:row>
    <x:row r="1333" ht="32" customHeight="1">
      <x:c r="A1333" s="8" t="str">
        <x:v>drop:LC1:L5:light:-1:L185</x:v>
      </x:c>
      <x:c r="B1333" s="8" t="n">
        <x:v>5</x:v>
      </x:c>
      <x:c r="C1333" s="11" t="n">
        <x:v>23.475</x:v>
      </x:c>
      <x:c r="D1333" s="11" t="n">
        <x:v>5.9</x:v>
      </x:c>
      <x:c r="E1333" s="11" t="n">
        <x:v>-10.414</x:v>
      </x:c>
      <x:c r="F1333" s="11" t="n">
        <x:f>SQRT((C1333-C1332)^2+(D1333-D1332)^2+(E1333-E1332)^2)</x:f>
        <x:v>0.37086464088397797</x:v>
      </x:c>
      <x:c r="G1333" s="8" t="str">
        <x:v>Current</x:v>
      </x:c>
    </x:row>
    <x:row r="1334" ht="32" customHeight="1">
      <x:c r="A1334" s="8" t="str">
        <x:v>drop:LC1:L5:light:-1:L185</x:v>
      </x:c>
      <x:c r="B1334" s="8" t="n">
        <x:v>6</x:v>
      </x:c>
      <x:c r="C1334" s="11" t="n">
        <x:v>23.475</x:v>
      </x:c>
      <x:c r="D1334" s="11" t="n">
        <x:v>5.9</x:v>
      </x:c>
      <x:c r="E1334" s="11" t="n">
        <x:v>-10.75</x:v>
      </x:c>
      <x:c r="F1334" s="11" t="n">
        <x:f>SQRT((C1334-C1333)^2+(D1334-D1333)^2+(E1334-E1333)^2)</x:f>
        <x:v>0.3360000000000003</x:v>
      </x:c>
      <x:c r="G1334" s="8" t="str">
        <x:v>Current</x:v>
      </x:c>
    </x:row>
    <x:row r="1335" ht="32" customHeight="1">
      <x:c r="A1335" s="8" t="str">
        <x:v>drop:LC1:L5:light:-1:L186</x:v>
      </x:c>
      <x:c r="B1335" s="8" t="n">
        <x:v>1</x:v>
      </x:c>
      <x:c r="C1335" s="11" t="n">
        <x:v>48.675</x:v>
      </x:c>
      <x:c r="D1335" s="11" t="n">
        <x:v>5.948</x:v>
      </x:c>
      <x:c r="E1335" s="11" t="n">
        <x:v>-7.36</x:v>
      </x:c>
      <x:c r="F1335" s="11" t="n">
        <x:f>0</x:f>
        <x:v>0</x:v>
      </x:c>
      <x:c r="G1335" s="8" t="str">
        <x:v>Current</x:v>
      </x:c>
    </x:row>
    <x:row r="1336" ht="32" customHeight="1">
      <x:c r="A1336" s="8" t="str">
        <x:v>drop:LC1:L5:light:-1:L186</x:v>
      </x:c>
      <x:c r="B1336" s="8" t="n">
        <x:v>2</x:v>
      </x:c>
      <x:c r="C1336" s="11" t="n">
        <x:v>48.675</x:v>
      </x:c>
      <x:c r="D1336" s="11" t="n">
        <x:v>7.04</x:v>
      </x:c>
      <x:c r="E1336" s="11" t="n">
        <x:v>-7.36</x:v>
      </x:c>
      <x:c r="F1336" s="11" t="n">
        <x:f>SQRT((C1336-C1335)^2+(D1336-D1335)^2+(E1336-E1335)^2)</x:f>
        <x:v>1.0919999999999996</x:v>
      </x:c>
      <x:c r="G1336" s="8" t="str">
        <x:v>Current</x:v>
      </x:c>
    </x:row>
    <x:row r="1337" ht="32" customHeight="1">
      <x:c r="A1337" s="8" t="str">
        <x:v>drop:LC1:L5:light:-1:L186</x:v>
      </x:c>
      <x:c r="B1337" s="8" t="n">
        <x:v>3</x:v>
      </x:c>
      <x:c r="C1337" s="11" t="n">
        <x:v>48.675</x:v>
      </x:c>
      <x:c r="D1337" s="11" t="n">
        <x:v>6.932586272843179</x:v>
      </x:c>
      <x:c r="E1337" s="11" t="n">
        <x:v>-7.438307692307693</x:v>
      </x:c>
      <x:c r="F1337" s="11" t="n">
        <x:f>SQRT((C1337-C1336)^2+(D1337-D1336)^2+(E1337-E1336)^2)</x:f>
        <x:v>0.13292781295227982</x:v>
      </x:c>
      <x:c r="G1337" s="8" t="str">
        <x:v>Current</x:v>
      </x:c>
    </x:row>
    <x:row r="1338" ht="32" customHeight="1">
      <x:c r="A1338" s="8" t="str">
        <x:v>drop:LC1:L5:light:-1:L186</x:v>
      </x:c>
      <x:c r="B1338" s="8" t="n">
        <x:v>4</x:v>
      </x:c>
      <x:c r="C1338" s="11" t="n">
        <x:v>48.675</x:v>
      </x:c>
      <x:c r="D1338" s="11" t="n">
        <x:v>6.270864640883978</x:v>
      </x:c>
      <x:c r="E1338" s="11" t="n">
        <x:v>-10.414</x:v>
      </x:c>
      <x:c r="F1338" s="11" t="n">
        <x:f>SQRT((C1338-C1337)^2+(D1338-D1337)^2+(E1338-E1337)^2)</x:f>
        <x:v>3.048379935024818</x:v>
      </x:c>
      <x:c r="G1338" s="8" t="str">
        <x:v>Current</x:v>
      </x:c>
    </x:row>
    <x:row r="1339" ht="32" customHeight="1">
      <x:c r="A1339" s="8" t="str">
        <x:v>drop:LC1:L5:light:-1:L186</x:v>
      </x:c>
      <x:c r="B1339" s="8" t="n">
        <x:v>5</x:v>
      </x:c>
      <x:c r="C1339" s="11" t="n">
        <x:v>48.675</x:v>
      </x:c>
      <x:c r="D1339" s="11" t="n">
        <x:v>5.9</x:v>
      </x:c>
      <x:c r="E1339" s="11" t="n">
        <x:v>-10.414</x:v>
      </x:c>
      <x:c r="F1339" s="11" t="n">
        <x:f>SQRT((C1339-C1338)^2+(D1339-D1338)^2+(E1339-E1338)^2)</x:f>
        <x:v>0.37086464088397797</x:v>
      </x:c>
      <x:c r="G1339" s="8" t="str">
        <x:v>Current</x:v>
      </x:c>
    </x:row>
    <x:row r="1340" ht="32" customHeight="1">
      <x:c r="A1340" s="8" t="str">
        <x:v>drop:LC1:L5:light:-1:L186</x:v>
      </x:c>
      <x:c r="B1340" s="8" t="n">
        <x:v>6</x:v>
      </x:c>
      <x:c r="C1340" s="11" t="n">
        <x:v>48.675</x:v>
      </x:c>
      <x:c r="D1340" s="11" t="n">
        <x:v>5.9</x:v>
      </x:c>
      <x:c r="E1340" s="11" t="n">
        <x:v>-10.75</x:v>
      </x:c>
      <x:c r="F1340" s="11" t="n">
        <x:f>SQRT((C1340-C1339)^2+(D1340-D1339)^2+(E1340-E1339)^2)</x:f>
        <x:v>0.3360000000000003</x:v>
      </x:c>
      <x:c r="G1340" s="8" t="str">
        <x:v>Current</x:v>
      </x:c>
    </x:row>
    <x:row r="1341" ht="32" customHeight="1">
      <x:c r="A1341" s="8" t="str">
        <x:v>drop:LC1:L5:light:-1:L187</x:v>
      </x:c>
      <x:c r="B1341" s="8" t="n">
        <x:v>1</x:v>
      </x:c>
      <x:c r="C1341" s="11" t="n">
        <x:v>40.575</x:v>
      </x:c>
      <x:c r="D1341" s="11" t="n">
        <x:v>9.269999999999989</x:v>
      </x:c>
      <x:c r="E1341" s="11" t="n">
        <x:v>-7.36</x:v>
      </x:c>
      <x:c r="F1341" s="11" t="n">
        <x:f>0</x:f>
        <x:v>0</x:v>
      </x:c>
      <x:c r="G1341" s="8" t="str">
        <x:v>Current</x:v>
      </x:c>
    </x:row>
    <x:row r="1342" ht="32" customHeight="1">
      <x:c r="A1342" s="8" t="str">
        <x:v>drop:LC1:L5:light:-1:L187</x:v>
      </x:c>
      <x:c r="B1342" s="8" t="n">
        <x:v>2</x:v>
      </x:c>
      <x:c r="C1342" s="11" t="n">
        <x:v>40.575</x:v>
      </x:c>
      <x:c r="D1342" s="11" t="n">
        <x:v>9.27</x:v>
      </x:c>
      <x:c r="E1342" s="11" t="n">
        <x:v>-13.249</x:v>
      </x:c>
      <x:c r="F1342" s="11" t="n">
        <x:f>SQRT((C1342-C1341)^2+(D1342-D1341)^2+(E1342-E1341)^2)</x:f>
        <x:v>5.889</x:v>
      </x:c>
      <x:c r="G1342" s="8" t="str">
        <x:v>Current</x:v>
      </x:c>
    </x:row>
    <x:row r="1343" ht="32" customHeight="1">
      <x:c r="A1343" s="8" t="str">
        <x:v>drop:LC1:L5:light:-1:L187</x:v>
      </x:c>
      <x:c r="B1343" s="8" t="n">
        <x:v>3</x:v>
      </x:c>
      <x:c r="C1343" s="11" t="n">
        <x:v>40.575</x:v>
      </x:c>
      <x:c r="D1343" s="11" t="n">
        <x:v>6.2</x:v>
      </x:c>
      <x:c r="E1343" s="11" t="n">
        <x:v>-13.249</x:v>
      </x:c>
      <x:c r="F1343" s="11" t="n">
        <x:f>SQRT((C1343-C1342)^2+(D1343-D1342)^2+(E1343-E1342)^2)</x:f>
        <x:v>3.0699999999999994</x:v>
      </x:c>
      <x:c r="G1343" s="8" t="str">
        <x:v>Current</x:v>
      </x:c>
    </x:row>
    <x:row r="1344" ht="32" customHeight="1">
      <x:c r="A1344" s="8" t="str">
        <x:v>drop:LC1:L5:light:-1:L187</x:v>
      </x:c>
      <x:c r="B1344" s="8" t="n">
        <x:v>4</x:v>
      </x:c>
      <x:c r="C1344" s="11" t="n">
        <x:v>40.575</x:v>
      </x:c>
      <x:c r="D1344" s="11" t="n">
        <x:v>6.2</x:v>
      </x:c>
      <x:c r="E1344" s="11" t="n">
        <x:v>-13.13</x:v>
      </x:c>
      <x:c r="F1344" s="11" t="n">
        <x:f>SQRT((C1344-C1343)^2+(D1344-D1343)^2+(E1344-E1343)^2)</x:f>
        <x:v>0.11899999999999977</x:v>
      </x:c>
      <x:c r="G1344" s="8" t="str">
        <x:v>Current</x:v>
      </x:c>
    </x:row>
    <x:row r="1345" ht="32" customHeight="1">
      <x:c r="A1345" s="8" t="str">
        <x:v>drop:LC1:L5:light:-1:L188</x:v>
      </x:c>
      <x:c r="B1345" s="8" t="n">
        <x:v>1</x:v>
      </x:c>
      <x:c r="C1345" s="11" t="n">
        <x:v>53.016</x:v>
      </x:c>
      <x:c r="D1345" s="11" t="n">
        <x:v>5.948</x:v>
      </x:c>
      <x:c r="E1345" s="11" t="n">
        <x:v>-7.36</x:v>
      </x:c>
      <x:c r="F1345" s="11" t="n">
        <x:f>0</x:f>
        <x:v>0</x:v>
      </x:c>
      <x:c r="G1345" s="8" t="str">
        <x:v>Current</x:v>
      </x:c>
    </x:row>
    <x:row r="1346" ht="32" customHeight="1">
      <x:c r="A1346" s="8" t="str">
        <x:v>drop:LC1:L5:light:-1:L188</x:v>
      </x:c>
      <x:c r="B1346" s="8" t="n">
        <x:v>2</x:v>
      </x:c>
      <x:c r="C1346" s="11" t="n">
        <x:v>53.016</x:v>
      </x:c>
      <x:c r="D1346" s="11" t="n">
        <x:v>5.948</x:v>
      </x:c>
      <x:c r="E1346" s="11" t="n">
        <x:v>-4.5</x:v>
      </x:c>
      <x:c r="F1346" s="11" t="n">
        <x:f>SQRT((C1346-C1345)^2+(D1346-D1345)^2+(E1346-E1345)^2)</x:f>
        <x:v>2.8600000000000003</x:v>
      </x:c>
      <x:c r="G1346" s="8" t="str">
        <x:v>Current</x:v>
      </x:c>
    </x:row>
    <x:row r="1347" ht="32" customHeight="1">
      <x:c r="A1347" s="8" t="str">
        <x:v>drop:LC1:L5:light:-1:L188</x:v>
      </x:c>
      <x:c r="B1347" s="8" t="n">
        <x:v>3</x:v>
      </x:c>
      <x:c r="C1347" s="11" t="n">
        <x:v>53.016</x:v>
      </x:c>
      <x:c r="D1347" s="11" t="n">
        <x:v>5.2</x:v>
      </x:c>
      <x:c r="E1347" s="11" t="n">
        <x:v>-4.5</x:v>
      </x:c>
      <x:c r="F1347" s="11" t="n">
        <x:f>SQRT((C1347-C1346)^2+(D1347-D1346)^2+(E1347-E1346)^2)</x:f>
        <x:v>0.7480000000000002</x:v>
      </x:c>
      <x:c r="G1347" s="8" t="str">
        <x:v>Current</x:v>
      </x:c>
    </x:row>
    <x:row r="1348" ht="32" customHeight="1">
      <x:c r="A1348" s="8" t="str">
        <x:v>drop:LC1:L5:light:-1:L188</x:v>
      </x:c>
      <x:c r="B1348" s="8" t="n">
        <x:v>4</x:v>
      </x:c>
      <x:c r="C1348" s="11" t="n">
        <x:v>53.2</x:v>
      </x:c>
      <x:c r="D1348" s="11" t="n">
        <x:v>5.2</x:v>
      </x:c>
      <x:c r="E1348" s="11" t="n">
        <x:v>-4.5</x:v>
      </x:c>
      <x:c r="F1348" s="11" t="n">
        <x:f>SQRT((C1348-C1347)^2+(D1348-D1347)^2+(E1348-E1347)^2)</x:f>
        <x:v>0.1840000000000046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</x:v>
      </x:c>
      <x:c r="C1349" s="11" t="n">
        <x:v>48.895</x:v>
      </x:c>
      <x:c r="D1349" s="11" t="n">
        <x:v>1.85</x:v>
      </x:c>
      <x:c r="E1349" s="11" t="n">
        <x:v>-0.55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2</x:v>
      </x:c>
      <x:c r="C1350" s="11" t="n">
        <x:v>48.735</x:v>
      </x:c>
      <x:c r="D1350" s="11" t="n">
        <x:v>1.85</x:v>
      </x:c>
      <x:c r="E1350" s="11" t="n">
        <x:v>-0.55</x:v>
      </x:c>
      <x:c r="F1350" s="11" t="n">
        <x:f>SQRT((C1350-C1349)^2+(D1350-D1349)^2+(E1350-E1349)^2)</x:f>
        <x:v>0.1600000000000037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3</x:v>
      </x:c>
      <x:c r="C1351" s="11" t="n">
        <x:v>48.735</x:v>
      </x:c>
      <x:c r="D1351" s="11" t="n">
        <x:v>1.85</x:v>
      </x:c>
      <x:c r="E1351" s="11" t="n">
        <x:v>-2.24</x:v>
      </x:c>
      <x:c r="F1351" s="11" t="n">
        <x:f>SQRT((C1351-C1350)^2+(D1351-D1350)^2+(E1351-E1350)^2)</x:f>
        <x:v>1.6900000000000002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4</x:v>
      </x:c>
      <x:c r="C1352" s="11" t="n">
        <x:v>48.735</x:v>
      </x:c>
      <x:c r="D1352" s="11" t="n">
        <x:v>4.33</x:v>
      </x:c>
      <x:c r="E1352" s="11" t="n">
        <x:v>-2.24</x:v>
      </x:c>
      <x:c r="F1352" s="11" t="n">
        <x:f>SQRT((C1352-C1351)^2+(D1352-D1351)^2+(E1352-E1351)^2)</x:f>
        <x:v>2.48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5</x:v>
      </x:c>
      <x:c r="C1353" s="11" t="n">
        <x:v>48.735</x:v>
      </x:c>
      <x:c r="D1353" s="11" t="n">
        <x:v>4.33</x:v>
      </x:c>
      <x:c r="E1353" s="11" t="n">
        <x:v>-3.3</x:v>
      </x:c>
      <x:c r="F1353" s="11" t="n">
        <x:f>SQRT((C1353-C1352)^2+(D1353-D1352)^2+(E1353-E1352)^2)</x:f>
        <x:v>1.0599999999999996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6</x:v>
      </x:c>
      <x:c r="C1354" s="11" t="n">
        <x:v>53.016</x:v>
      </x:c>
      <x:c r="D1354" s="11" t="n">
        <x:v>4.33</x:v>
      </x:c>
      <x:c r="E1354" s="11" t="n">
        <x:v>-3.3</x:v>
      </x:c>
      <x:c r="F1354" s="11" t="n">
        <x:f>SQRT((C1354-C1353)^2+(D1354-D1353)^2+(E1354-E1353)^2)</x:f>
        <x:v>4.280999999999999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7</x:v>
      </x:c>
      <x:c r="C1355" s="11" t="n">
        <x:v>53.016</x:v>
      </x:c>
      <x:c r="D1355" s="11" t="n">
        <x:v>5.948</x:v>
      </x:c>
      <x:c r="E1355" s="11" t="n">
        <x:v>-3.3</x:v>
      </x:c>
      <x:c r="F1355" s="11" t="n">
        <x:f>SQRT((C1355-C1354)^2+(D1355-D1354)^2+(E1355-E1354)^2)</x:f>
        <x:v>1.6180000000000003</x:v>
      </x:c>
      <x:c r="G1355" s="8" t="str">
        <x:v>Current</x:v>
      </x:c>
    </x:row>
    <x:row r="1356" ht="32" customHeight="1">
      <x:c r="A1356" s="8" t="str">
        <x:v>trunk:LC1:L5:light:1</x:v>
      </x:c>
      <x:c r="B1356" s="8" t="n">
        <x:v>8</x:v>
      </x:c>
      <x:c r="C1356" s="11" t="n">
        <x:v>53.016</x:v>
      </x:c>
      <x:c r="D1356" s="11" t="n">
        <x:v>5.948</x:v>
      </x:c>
      <x:c r="E1356" s="11" t="n">
        <x:v>7.36</x:v>
      </x:c>
      <x:c r="F1356" s="11" t="n">
        <x:f>SQRT((C1356-C1355)^2+(D1356-D1355)^2+(E1356-E1355)^2)</x:f>
        <x:v>10.66</x:v>
      </x:c>
      <x:c r="G1356" s="8" t="str">
        <x:v>Current</x:v>
      </x:c>
    </x:row>
    <x:row r="1357" ht="32" customHeight="1">
      <x:c r="A1357" s="8" t="str">
        <x:v>trunk:LC1:L5:light:1</x:v>
      </x:c>
      <x:c r="B1357" s="8" t="n">
        <x:v>9</x:v>
      </x:c>
      <x:c r="C1357" s="11" t="n">
        <x:v>44.175</x:v>
      </x:c>
      <x:c r="D1357" s="11" t="n">
        <x:v>5.948</x:v>
      </x:c>
      <x:c r="E1357" s="11" t="n">
        <x:v>7.36</x:v>
      </x:c>
      <x:c r="F1357" s="11" t="n">
        <x:f>SQRT((C1357-C1356)^2+(D1357-D1356)^2+(E1357-E1356)^2)</x:f>
        <x:v>8.841000000000001</x:v>
      </x:c>
      <x:c r="G1357" s="8" t="str">
        <x:v>Current</x:v>
      </x:c>
    </x:row>
    <x:row r="1358" ht="32" customHeight="1">
      <x:c r="A1358" s="8" t="str">
        <x:v>trunk:LC1:L5:light:1</x:v>
      </x:c>
      <x:c r="B1358" s="8" t="n">
        <x:v>10</x:v>
      </x:c>
      <x:c r="C1358" s="11" t="n">
        <x:v>44.175</x:v>
      </x:c>
      <x:c r="D1358" s="11" t="n">
        <x:v>7.04</x:v>
      </x:c>
      <x:c r="E1358" s="11" t="n">
        <x:v>7.36</x:v>
      </x:c>
      <x:c r="F1358" s="11" t="n">
        <x:f>SQRT((C1358-C1357)^2+(D1358-D1357)^2+(E1358-E1357)^2)</x:f>
        <x:v>1.0919999999999996</x:v>
      </x:c>
      <x:c r="G1358" s="8" t="str">
        <x:v>Current</x:v>
      </x:c>
    </x:row>
    <x:row r="1359" ht="32" customHeight="1">
      <x:c r="A1359" s="8" t="str">
        <x:v>trunk:LC1:L5:light:1</x:v>
      </x:c>
      <x:c r="B1359" s="8" t="n">
        <x:v>11</x:v>
      </x:c>
      <x:c r="C1359" s="11" t="n">
        <x:v>43.535</x:v>
      </x:c>
      <x:c r="D1359" s="11" t="n">
        <x:v>7.04</x:v>
      </x:c>
      <x:c r="E1359" s="11" t="n">
        <x:v>7.36</x:v>
      </x:c>
      <x:c r="F1359" s="11" t="n">
        <x:f>SQRT((C1359-C1358)^2+(D1359-D1358)^2+(E1359-E1358)^2)</x:f>
        <x:v>0.6400000000000006</x:v>
      </x:c>
      <x:c r="G1359" s="8" t="str">
        <x:v>Current</x:v>
      </x:c>
    </x:row>
    <x:row r="1360" ht="32" customHeight="1">
      <x:c r="A1360" s="8" t="str">
        <x:v>trunk:LC1:L5:light:1</x:v>
      </x:c>
      <x:c r="B1360" s="8" t="n">
        <x:v>12</x:v>
      </x:c>
      <x:c r="C1360" s="11" t="n">
        <x:v>43.455</x:v>
      </x:c>
      <x:c r="D1360" s="11" t="n">
        <x:v>6.950412371134024</x:v>
      </x:c>
      <x:c r="E1360" s="11" t="n">
        <x:v>7.36</x:v>
      </x:c>
      <x:c r="F1360" s="11" t="n">
        <x:f>SQRT((C1360-C1359)^2+(D1360-D1359)^2+(E1360-E1359)^2)</x:f>
        <x:v>0.12010804821421249</x:v>
      </x:c>
      <x:c r="G1360" s="8" t="str">
        <x:v>Current</x:v>
      </x:c>
    </x:row>
    <x:row r="1361" ht="32" customHeight="1">
      <x:c r="A1361" s="8" t="str">
        <x:v>trunk:LC1:L5:light:1</x:v>
      </x:c>
      <x:c r="B1361" s="8" t="n">
        <x:v>13</x:v>
      </x:c>
      <x:c r="C1361" s="11" t="n">
        <x:v>40.574999999999996</x:v>
      </x:c>
      <x:c r="D1361" s="11" t="n">
        <x:v>9.269999999999994</x:v>
      </x:c>
      <x:c r="E1361" s="11" t="n">
        <x:v>7.36</x:v>
      </x:c>
      <x:c r="F1361" s="11" t="n">
        <x:f>SQRT((C1361-C1360)^2+(D1361-D1360)^2+(E1361-E1360)^2)</x:f>
        <x:v>3.6979571073753776</x:v>
      </x:c>
      <x:c r="G1361" s="8" t="str">
        <x:v>Current</x:v>
      </x:c>
    </x:row>
    <x:row r="1362" ht="32" customHeight="1">
      <x:c r="A1362" s="8" t="str">
        <x:v>trunk:LC1:L5:light:1</x:v>
      </x:c>
      <x:c r="B1362" s="8" t="n">
        <x:v>14</x:v>
      </x:c>
      <x:c r="C1362" s="11" t="n">
        <x:v>37.695</x:v>
      </x:c>
      <x:c r="D1362" s="11" t="n">
        <x:v>6.950412371134018</x:v>
      </x:c>
      <x:c r="E1362" s="11" t="n">
        <x:v>7.36</x:v>
      </x:c>
      <x:c r="F1362" s="11" t="n">
        <x:f>SQRT((C1362-C1361)^2+(D1362-D1361)^2+(E1362-E1361)^2)</x:f>
        <x:v>3.697957107375376</x:v>
      </x:c>
      <x:c r="G1362" s="8" t="str">
        <x:v>Current</x:v>
      </x:c>
    </x:row>
    <x:row r="1363" ht="32" customHeight="1">
      <x:c r="A1363" s="8" t="str">
        <x:v>trunk:LC1:L5:light:1</x:v>
      </x:c>
      <x:c r="B1363" s="8" t="n">
        <x:v>15</x:v>
      </x:c>
      <x:c r="C1363" s="11" t="n">
        <x:v>37.615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0.12010804821421713</x:v>
      </x:c>
      <x:c r="G1363" s="8" t="str">
        <x:v>Current</x:v>
      </x:c>
    </x:row>
    <x:row r="1364" ht="32" customHeight="1">
      <x:c r="A1364" s="8" t="str">
        <x:v>trunk:LC1:L5:light:1</x:v>
      </x:c>
      <x:c r="B1364" s="8" t="n">
        <x:v>16</x:v>
      </x:c>
      <x:c r="C1364" s="11" t="n">
        <x:v>36.975</x:v>
      </x:c>
      <x:c r="D1364" s="11" t="n">
        <x:v>7.04</x:v>
      </x:c>
      <x:c r="E1364" s="11" t="n">
        <x:v>7.36</x:v>
      </x:c>
      <x:c r="F1364" s="11" t="n">
        <x:f>SQRT((C1364-C1363)^2+(D1364-D1363)^2+(E1364-E1363)^2)</x:f>
        <x:v>0.6400000000000006</x:v>
      </x:c>
      <x:c r="G1364" s="8" t="str">
        <x:v>Current</x:v>
      </x:c>
    </x:row>
    <x:row r="1365" ht="32" customHeight="1">
      <x:c r="A1365" s="8" t="str">
        <x:v>trunk:LC1:L5:light:1</x:v>
      </x:c>
      <x:c r="B1365" s="8" t="n">
        <x:v>17</x:v>
      </x:c>
      <x:c r="C1365" s="11" t="n">
        <x:v>36.975</x:v>
      </x:c>
      <x:c r="D1365" s="11" t="n">
        <x:v>5.948</x:v>
      </x:c>
      <x:c r="E1365" s="11" t="n">
        <x:v>7.36</x:v>
      </x:c>
      <x:c r="F1365" s="11" t="n">
        <x:f>SQRT((C1365-C1364)^2+(D1365-D1364)^2+(E1365-E1364)^2)</x:f>
        <x:v>1.0919999999999996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18</x:v>
      </x:c>
      <x:c r="C1366" s="11" t="n">
        <x:v>14.475000000000001</x:v>
      </x:c>
      <x:c r="D1366" s="11" t="n">
        <x:v>5.948</x:v>
      </x:c>
      <x:c r="E1366" s="11" t="n">
        <x:v>7.36</x:v>
      </x:c>
      <x:c r="F1366" s="11" t="n">
        <x:f>SQRT((C1366-C1365)^2+(D1366-D1365)^2+(E1366-E1365)^2)</x:f>
        <x:v>22.5</x:v>
      </x:c>
      <x:c r="G1366" s="8" t="str">
        <x:v>Current</x:v>
      </x:c>
    </x:row>
    <x:row r="1367" ht="32" customHeight="1">
      <x:c r="A1367" s="8" t="str">
        <x:v>drop:LC1:L5:light:1:L145</x:v>
      </x:c>
      <x:c r="B1367" s="8" t="n">
        <x:v>1</x:v>
      </x:c>
      <x:c r="C1367" s="11" t="n">
        <x:v>15.3</x:v>
      </x:c>
      <x:c r="D1367" s="11" t="n">
        <x:v>5.948</x:v>
      </x:c>
      <x:c r="E1367" s="11" t="n">
        <x:v>7.36</x:v>
      </x:c>
      <x:c r="F1367" s="11" t="n">
        <x:f>0</x:f>
        <x:v>0</x:v>
      </x:c>
      <x:c r="G1367" s="8" t="str">
        <x:v>Current</x:v>
      </x:c>
    </x:row>
    <x:row r="1368" ht="32" customHeight="1">
      <x:c r="A1368" s="8" t="str">
        <x:v>drop:LC1:L5:light:1:L145</x:v>
      </x:c>
      <x:c r="B1368" s="8" t="n">
        <x:v>2</x:v>
      </x:c>
      <x:c r="C1368" s="11" t="n">
        <x:v>15.3</x:v>
      </x:c>
      <x:c r="D1368" s="11" t="n">
        <x:v>2.6</x:v>
      </x:c>
      <x:c r="E1368" s="11" t="n">
        <x:v>7.36</x:v>
      </x:c>
      <x:c r="F1368" s="11" t="n">
        <x:f>SQRT((C1368-C1367)^2+(D1368-D1367)^2+(E1368-E1367)^2)</x:f>
        <x:v>3.3480000000000003</x:v>
      </x:c>
      <x:c r="G1368" s="8" t="str">
        <x:v>Current</x:v>
      </x:c>
    </x:row>
    <x:row r="1369" ht="32" customHeight="1">
      <x:c r="A1369" s="8" t="str">
        <x:v>drop:LC1:L5:light:1:L145</x:v>
      </x:c>
      <x:c r="B1369" s="8" t="n">
        <x:v>3</x:v>
      </x:c>
      <x:c r="C1369" s="11" t="n">
        <x:v>15.3</x:v>
      </x:c>
      <x:c r="D1369" s="11" t="n">
        <x:v>2.6</x:v>
      </x:c>
      <x:c r="E1369" s="11" t="n">
        <x:v>7.52</x:v>
      </x:c>
      <x:c r="F1369" s="11" t="n">
        <x:f>SQRT((C1369-C1368)^2+(D1369-D1368)^2+(E1369-E1368)^2)</x:f>
        <x:v>0.15999999999999925</x:v>
      </x:c>
      <x:c r="G1369" s="8" t="str">
        <x:v>Current</x:v>
      </x:c>
    </x:row>
    <x:row r="1370" ht="32" customHeight="1">
      <x:c r="A1370" s="8" t="str">
        <x:v>drop:LC1:L5:light:1:L146</x:v>
      </x:c>
      <x:c r="B1370" s="8" t="n">
        <x:v>1</x:v>
      </x:c>
      <x:c r="C1370" s="11" t="n">
        <x:v>18.150000000000002</x:v>
      </x:c>
      <x:c r="D1370" s="11" t="n">
        <x:v>5.948</x:v>
      </x:c>
      <x:c r="E1370" s="11" t="n">
        <x:v>7.36</x:v>
      </x:c>
      <x:c r="F1370" s="11" t="n">
        <x:f>0</x:f>
        <x:v>0</x:v>
      </x:c>
      <x:c r="G1370" s="8" t="str">
        <x:v>Current</x:v>
      </x:c>
    </x:row>
    <x:row r="1371" ht="32" customHeight="1">
      <x:c r="A1371" s="8" t="str">
        <x:v>drop:LC1:L5:light:1:L146</x:v>
      </x:c>
      <x:c r="B1371" s="8" t="n">
        <x:v>2</x:v>
      </x:c>
      <x:c r="C1371" s="11" t="n">
        <x:v>18.150000000000002</x:v>
      </x:c>
      <x:c r="D1371" s="11" t="n">
        <x:v>2.6</x:v>
      </x:c>
      <x:c r="E1371" s="11" t="n">
        <x:v>7.36</x:v>
      </x:c>
      <x:c r="F1371" s="11" t="n">
        <x:f>SQRT((C1371-C1370)^2+(D1371-D1370)^2+(E1371-E1370)^2)</x:f>
        <x:v>3.3480000000000003</x:v>
      </x:c>
      <x:c r="G1371" s="8" t="str">
        <x:v>Current</x:v>
      </x:c>
    </x:row>
    <x:row r="1372" ht="32" customHeight="1">
      <x:c r="A1372" s="8" t="str">
        <x:v>drop:LC1:L5:light:1:L146</x:v>
      </x:c>
      <x:c r="B1372" s="8" t="n">
        <x:v>3</x:v>
      </x:c>
      <x:c r="C1372" s="11" t="n">
        <x:v>18.150000000000002</x:v>
      </x:c>
      <x:c r="D1372" s="11" t="n">
        <x:v>2.6</x:v>
      </x:c>
      <x:c r="E1372" s="11" t="n">
        <x:v>7.52</x:v>
      </x:c>
      <x:c r="F1372" s="11" t="n">
        <x:f>SQRT((C1372-C1371)^2+(D1372-D1371)^2+(E1372-E1371)^2)</x:f>
        <x:v>0.15999999999999925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1</x:v>
      </x:c>
      <x:c r="C1373" s="11" t="n">
        <x:v>33.300000000000004</x:v>
      </x:c>
      <x:c r="D1373" s="11" t="n">
        <x:v>5.948</x:v>
      </x:c>
      <x:c r="E1373" s="11" t="n">
        <x:v>7.36</x:v>
      </x:c>
      <x:c r="F1373" s="11" t="n">
        <x:f>0</x:f>
        <x:v>0</x:v>
      </x:c>
      <x:c r="G1373" s="8" t="str">
        <x:v>Current</x:v>
      </x:c>
    </x:row>
    <x:row r="1374" ht="32" customHeight="1">
      <x:c r="A1374" s="8" t="str">
        <x:v>drop:LC1:L5:light:1:L147</x:v>
      </x:c>
      <x:c r="B1374" s="8" t="n">
        <x:v>2</x:v>
      </x:c>
      <x:c r="C1374" s="11" t="n">
        <x:v>33.300000000000004</x:v>
      </x:c>
      <x:c r="D1374" s="11" t="n">
        <x:v>2.6</x:v>
      </x:c>
      <x:c r="E1374" s="11" t="n">
        <x:v>7.36</x:v>
      </x:c>
      <x:c r="F1374" s="11" t="n">
        <x:f>SQRT((C1374-C1373)^2+(D1374-D1373)^2+(E1374-E1373)^2)</x:f>
        <x:v>3.3480000000000003</x:v>
      </x:c>
      <x:c r="G1374" s="8" t="str">
        <x:v>Current</x:v>
      </x:c>
    </x:row>
    <x:row r="1375" ht="32" customHeight="1">
      <x:c r="A1375" s="8" t="str">
        <x:v>drop:LC1:L5:light:1:L147</x:v>
      </x:c>
      <x:c r="B1375" s="8" t="n">
        <x:v>3</x:v>
      </x:c>
      <x:c r="C1375" s="11" t="n">
        <x:v>33.300000000000004</x:v>
      </x:c>
      <x:c r="D1375" s="11" t="n">
        <x:v>2.6</x:v>
      </x:c>
      <x:c r="E1375" s="11" t="n">
        <x:v>7.52</x:v>
      </x:c>
      <x:c r="F1375" s="11" t="n">
        <x:f>SQRT((C1375-C1374)^2+(D1375-D1374)^2+(E1375-E1374)^2)</x:f>
        <x:v>0.15999999999999925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1</x:v>
      </x:c>
      <x:c r="C1376" s="11" t="n">
        <x:v>36.15</x:v>
      </x:c>
      <x:c r="D1376" s="11" t="n">
        <x:v>5.948</x:v>
      </x:c>
      <x:c r="E1376" s="11" t="n">
        <x:v>7.36</x:v>
      </x:c>
      <x:c r="F1376" s="11" t="n">
        <x:f>0</x:f>
        <x:v>0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2</x:v>
      </x:c>
      <x:c r="C1377" s="11" t="n">
        <x:v>36.15</x:v>
      </x:c>
      <x:c r="D1377" s="11" t="n">
        <x:v>2.6</x:v>
      </x:c>
      <x:c r="E1377" s="11" t="n">
        <x:v>7.36</x:v>
      </x:c>
      <x:c r="F1377" s="11" t="n">
        <x:f>SQRT((C1377-C1376)^2+(D1377-D1376)^2+(E1377-E1376)^2)</x:f>
        <x:v>3.3480000000000003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3</x:v>
      </x:c>
      <x:c r="C1378" s="11" t="n">
        <x:v>36.15</x:v>
      </x:c>
      <x:c r="D1378" s="11" t="n">
        <x:v>2.6</x:v>
      </x:c>
      <x:c r="E1378" s="11" t="n">
        <x:v>7.52</x:v>
      </x:c>
      <x:c r="F1378" s="11" t="n">
        <x:f>SQRT((C1378-C1377)^2+(D1378-D1377)^2+(E1378-E1377)^2)</x:f>
        <x:v>0.15999999999999925</x:v>
      </x:c>
      <x:c r="G1378" s="8" t="str">
        <x:v>Current</x:v>
      </x:c>
    </x:row>
    <x:row r="1379" ht="32" customHeight="1">
      <x:c r="A1379" s="8" t="str">
        <x:v>drop:LC1:L5:light:1:L191</x:v>
      </x:c>
      <x:c r="B1379" s="8" t="n">
        <x:v>1</x:v>
      </x:c>
      <x:c r="C1379" s="11" t="n">
        <x:v>14.475000000000001</x:v>
      </x:c>
      <x:c r="D1379" s="11" t="n">
        <x:v>5.948</x:v>
      </x:c>
      <x:c r="E1379" s="11" t="n">
        <x:v>7.36</x:v>
      </x:c>
      <x:c r="F1379" s="11" t="n">
        <x:f>0</x:f>
        <x:v>0</x:v>
      </x:c>
      <x:c r="G1379" s="8" t="str">
        <x:v>Current</x:v>
      </x:c>
    </x:row>
    <x:row r="1380" ht="32" customHeight="1">
      <x:c r="A1380" s="8" t="str">
        <x:v>drop:LC1:L5:light:1:L191</x:v>
      </x:c>
      <x:c r="B1380" s="8" t="n">
        <x:v>2</x:v>
      </x:c>
      <x:c r="C1380" s="11" t="n">
        <x:v>14.475000000000001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1.0919999999999996</x:v>
      </x:c>
      <x:c r="G1380" s="8" t="str">
        <x:v>Current</x:v>
      </x:c>
    </x:row>
    <x:row r="1381" ht="32" customHeight="1">
      <x:c r="A1381" s="8" t="str">
        <x:v>drop:LC1:L5:light:1:L191</x:v>
      </x:c>
      <x:c r="B1381" s="8" t="n">
        <x:v>3</x:v>
      </x:c>
      <x:c r="C1381" s="11" t="n">
        <x:v>14.475</x:v>
      </x:c>
      <x:c r="D1381" s="11" t="n">
        <x:v>6.932586272843179</x:v>
      </x:c>
      <x:c r="E1381" s="11" t="n">
        <x:v>7.438307692307693</x:v>
      </x:c>
      <x:c r="F1381" s="11" t="n">
        <x:f>SQRT((C1381-C1380)^2+(D1381-D1380)^2+(E1381-E1380)^2)</x:f>
        <x:v>0.13292781295227982</x:v>
      </x:c>
      <x:c r="G1381" s="8" t="str">
        <x:v>Current</x:v>
      </x:c>
    </x:row>
    <x:row r="1382" ht="32" customHeight="1">
      <x:c r="A1382" s="8" t="str">
        <x:v>drop:LC1:L5:light:1:L191</x:v>
      </x:c>
      <x:c r="B1382" s="8" t="n">
        <x:v>4</x:v>
      </x:c>
      <x:c r="C1382" s="11" t="n">
        <x:v>14.475</x:v>
      </x:c>
      <x:c r="D1382" s="11" t="n">
        <x:v>6.270864640883978</x:v>
      </x:c>
      <x:c r="E1382" s="11" t="n">
        <x:v>10.414</x:v>
      </x:c>
      <x:c r="F1382" s="11" t="n">
        <x:f>SQRT((C1382-C1381)^2+(D1382-D1381)^2+(E1382-E1381)^2)</x:f>
        <x:v>3.048379935024818</x:v>
      </x:c>
      <x:c r="G1382" s="8" t="str">
        <x:v>Current</x:v>
      </x:c>
    </x:row>
    <x:row r="1383" ht="32" customHeight="1">
      <x:c r="A1383" s="8" t="str">
        <x:v>drop:LC1:L5:light:1:L191</x:v>
      </x:c>
      <x:c r="B1383" s="8" t="n">
        <x:v>5</x:v>
      </x:c>
      <x:c r="C1383" s="11" t="n">
        <x:v>14.475</x:v>
      </x:c>
      <x:c r="D1383" s="11" t="n">
        <x:v>5.9</x:v>
      </x:c>
      <x:c r="E1383" s="11" t="n">
        <x:v>10.414</x:v>
      </x:c>
      <x:c r="F1383" s="11" t="n">
        <x:f>SQRT((C1383-C1382)^2+(D1383-D1382)^2+(E1383-E1382)^2)</x:f>
        <x:v>0.37086464088397797</x:v>
      </x:c>
      <x:c r="G1383" s="8" t="str">
        <x:v>Current</x:v>
      </x:c>
    </x:row>
    <x:row r="1384" ht="32" customHeight="1">
      <x:c r="A1384" s="8" t="str">
        <x:v>drop:LC1:L5:light:1:L191</x:v>
      </x:c>
      <x:c r="B1384" s="8" t="n">
        <x:v>6</x:v>
      </x:c>
      <x:c r="C1384" s="11" t="n">
        <x:v>14.475</x:v>
      </x:c>
      <x:c r="D1384" s="11" t="n">
        <x:v>5.9</x:v>
      </x:c>
      <x:c r="E1384" s="11" t="n">
        <x:v>10.75</x:v>
      </x:c>
      <x:c r="F1384" s="11" t="n">
        <x:f>SQRT((C1384-C1383)^2+(D1384-D1383)^2+(E1384-E1383)^2)</x:f>
        <x:v>0.3360000000000003</x:v>
      </x:c>
      <x:c r="G1384" s="8" t="str">
        <x:v>Current</x:v>
      </x:c>
    </x:row>
    <x:row r="1385" ht="32" customHeight="1">
      <x:c r="A1385" s="8" t="str">
        <x:v>drop:LC1:L5:light:1:L192</x:v>
      </x:c>
      <x:c r="B1385" s="8" t="n">
        <x:v>1</x:v>
      </x:c>
      <x:c r="C1385" s="11" t="n">
        <x:v>23.475</x:v>
      </x:c>
      <x:c r="D1385" s="11" t="n">
        <x:v>5.948</x:v>
      </x:c>
      <x:c r="E1385" s="11" t="n">
        <x:v>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drop:LC1:L5:light:1:L192</x:v>
      </x:c>
      <x:c r="B1386" s="8" t="n">
        <x:v>2</x:v>
      </x:c>
      <x:c r="C1386" s="11" t="n">
        <x:v>23.475</x:v>
      </x:c>
      <x:c r="D1386" s="11" t="n">
        <x:v>7.04</x:v>
      </x:c>
      <x:c r="E1386" s="11" t="n">
        <x:v>7.36</x:v>
      </x:c>
      <x:c r="F1386" s="11" t="n">
        <x:f>SQRT((C1386-C1385)^2+(D1386-D1385)^2+(E1386-E1385)^2)</x:f>
        <x:v>1.0919999999999996</x:v>
      </x:c>
      <x:c r="G1386" s="8" t="str">
        <x:v>Current</x:v>
      </x:c>
    </x:row>
    <x:row r="1387" ht="32" customHeight="1">
      <x:c r="A1387" s="8" t="str">
        <x:v>drop:LC1:L5:light:1:L192</x:v>
      </x:c>
      <x:c r="B1387" s="8" t="n">
        <x:v>3</x:v>
      </x:c>
      <x:c r="C1387" s="11" t="n">
        <x:v>23.475</x:v>
      </x:c>
      <x:c r="D1387" s="11" t="n">
        <x:v>6.932586272843179</x:v>
      </x:c>
      <x:c r="E1387" s="11" t="n">
        <x:v>7.438307692307693</x:v>
      </x:c>
      <x:c r="F1387" s="11" t="n">
        <x:f>SQRT((C1387-C1386)^2+(D1387-D1386)^2+(E1387-E1386)^2)</x:f>
        <x:v>0.13292781295227982</x:v>
      </x:c>
      <x:c r="G1387" s="8" t="str">
        <x:v>Current</x:v>
      </x:c>
    </x:row>
    <x:row r="1388" ht="32" customHeight="1">
      <x:c r="A1388" s="8" t="str">
        <x:v>drop:LC1:L5:light:1:L192</x:v>
      </x:c>
      <x:c r="B1388" s="8" t="n">
        <x:v>4</x:v>
      </x:c>
      <x:c r="C1388" s="11" t="n">
        <x:v>23.475</x:v>
      </x:c>
      <x:c r="D1388" s="11" t="n">
        <x:v>6.270864640883978</x:v>
      </x:c>
      <x:c r="E1388" s="11" t="n">
        <x:v>10.414</x:v>
      </x:c>
      <x:c r="F1388" s="11" t="n">
        <x:f>SQRT((C1388-C1387)^2+(D1388-D1387)^2+(E1388-E1387)^2)</x:f>
        <x:v>3.048379935024818</x:v>
      </x:c>
      <x:c r="G1388" s="8" t="str">
        <x:v>Current</x:v>
      </x:c>
    </x:row>
    <x:row r="1389" ht="32" customHeight="1">
      <x:c r="A1389" s="8" t="str">
        <x:v>drop:LC1:L5:light:1:L192</x:v>
      </x:c>
      <x:c r="B1389" s="8" t="n">
        <x:v>5</x:v>
      </x:c>
      <x:c r="C1389" s="11" t="n">
        <x:v>23.475</x:v>
      </x:c>
      <x:c r="D1389" s="11" t="n">
        <x:v>5.9</x:v>
      </x:c>
      <x:c r="E1389" s="11" t="n">
        <x:v>10.414</x:v>
      </x:c>
      <x:c r="F1389" s="11" t="n">
        <x:f>SQRT((C1389-C1388)^2+(D1389-D1388)^2+(E1389-E1388)^2)</x:f>
        <x:v>0.37086464088397797</x:v>
      </x:c>
      <x:c r="G1389" s="8" t="str">
        <x:v>Current</x:v>
      </x:c>
    </x:row>
    <x:row r="1390" ht="32" customHeight="1">
      <x:c r="A1390" s="8" t="str">
        <x:v>drop:LC1:L5:light:1:L192</x:v>
      </x:c>
      <x:c r="B1390" s="8" t="n">
        <x:v>6</x:v>
      </x:c>
      <x:c r="C1390" s="11" t="n">
        <x:v>23.475</x:v>
      </x:c>
      <x:c r="D1390" s="11" t="n">
        <x:v>5.9</x:v>
      </x:c>
      <x:c r="E1390" s="11" t="n">
        <x:v>10.75</x:v>
      </x:c>
      <x:c r="F1390" s="11" t="n">
        <x:f>SQRT((C1390-C1389)^2+(D1390-D1389)^2+(E1390-E1389)^2)</x:f>
        <x:v>0.3360000000000003</x:v>
      </x:c>
      <x:c r="G1390" s="8" t="str">
        <x:v>Current</x:v>
      </x:c>
    </x:row>
    <x:row r="1391" ht="32" customHeight="1">
      <x:c r="A1391" s="8" t="str">
        <x:v>drop:LC1:L5:light:1:L193</x:v>
      </x:c>
      <x:c r="B1391" s="8" t="n">
        <x:v>1</x:v>
      </x:c>
      <x:c r="C1391" s="11" t="n">
        <x:v>48.675</x:v>
      </x:c>
      <x:c r="D1391" s="11" t="n">
        <x:v>5.948</x:v>
      </x:c>
      <x:c r="E1391" s="11" t="n">
        <x:v>7.36</x:v>
      </x:c>
      <x:c r="F1391" s="11" t="n">
        <x:f>0</x:f>
        <x:v>0</x:v>
      </x:c>
      <x:c r="G1391" s="8" t="str">
        <x:v>Current</x:v>
      </x:c>
    </x:row>
    <x:row r="1392" ht="32" customHeight="1">
      <x:c r="A1392" s="8" t="str">
        <x:v>drop:LC1:L5:light:1:L193</x:v>
      </x:c>
      <x:c r="B1392" s="8" t="n">
        <x:v>2</x:v>
      </x:c>
      <x:c r="C1392" s="11" t="n">
        <x:v>48.675</x:v>
      </x:c>
      <x:c r="D1392" s="11" t="n">
        <x:v>7.04</x:v>
      </x:c>
      <x:c r="E1392" s="11" t="n">
        <x:v>7.36</x:v>
      </x:c>
      <x:c r="F1392" s="11" t="n">
        <x:f>SQRT((C1392-C1391)^2+(D1392-D1391)^2+(E1392-E1391)^2)</x:f>
        <x:v>1.0919999999999996</x:v>
      </x:c>
      <x:c r="G1392" s="8" t="str">
        <x:v>Current</x:v>
      </x:c>
    </x:row>
    <x:row r="1393" ht="32" customHeight="1">
      <x:c r="A1393" s="8" t="str">
        <x:v>drop:LC1:L5:light:1:L193</x:v>
      </x:c>
      <x:c r="B1393" s="8" t="n">
        <x:v>3</x:v>
      </x:c>
      <x:c r="C1393" s="11" t="n">
        <x:v>48.675</x:v>
      </x:c>
      <x:c r="D1393" s="11" t="n">
        <x:v>6.932586272843179</x:v>
      </x:c>
      <x:c r="E1393" s="11" t="n">
        <x:v>7.438307692307693</x:v>
      </x:c>
      <x:c r="F1393" s="11" t="n">
        <x:f>SQRT((C1393-C1392)^2+(D1393-D1392)^2+(E1393-E1392)^2)</x:f>
        <x:v>0.13292781295227982</x:v>
      </x:c>
      <x:c r="G1393" s="8" t="str">
        <x:v>Current</x:v>
      </x:c>
    </x:row>
    <x:row r="1394" ht="32" customHeight="1">
      <x:c r="A1394" s="8" t="str">
        <x:v>drop:LC1:L5:light:1:L193</x:v>
      </x:c>
      <x:c r="B1394" s="8" t="n">
        <x:v>4</x:v>
      </x:c>
      <x:c r="C1394" s="11" t="n">
        <x:v>48.675</x:v>
      </x:c>
      <x:c r="D1394" s="11" t="n">
        <x:v>6.270864640883978</x:v>
      </x:c>
      <x:c r="E1394" s="11" t="n">
        <x:v>10.414</x:v>
      </x:c>
      <x:c r="F1394" s="11" t="n">
        <x:f>SQRT((C1394-C1393)^2+(D1394-D1393)^2+(E1394-E1393)^2)</x:f>
        <x:v>3.048379935024818</x:v>
      </x:c>
      <x:c r="G1394" s="8" t="str">
        <x:v>Current</x:v>
      </x:c>
    </x:row>
    <x:row r="1395" ht="32" customHeight="1">
      <x:c r="A1395" s="8" t="str">
        <x:v>drop:LC1:L5:light:1:L193</x:v>
      </x:c>
      <x:c r="B1395" s="8" t="n">
        <x:v>5</x:v>
      </x:c>
      <x:c r="C1395" s="11" t="n">
        <x:v>48.675</x:v>
      </x:c>
      <x:c r="D1395" s="11" t="n">
        <x:v>5.9</x:v>
      </x:c>
      <x:c r="E1395" s="11" t="n">
        <x:v>10.414</x:v>
      </x:c>
      <x:c r="F1395" s="11" t="n">
        <x:f>SQRT((C1395-C1394)^2+(D1395-D1394)^2+(E1395-E1394)^2)</x:f>
        <x:v>0.37086464088397797</x:v>
      </x:c>
      <x:c r="G1395" s="8" t="str">
        <x:v>Current</x:v>
      </x:c>
    </x:row>
    <x:row r="1396" ht="32" customHeight="1">
      <x:c r="A1396" s="8" t="str">
        <x:v>drop:LC1:L5:light:1:L193</x:v>
      </x:c>
      <x:c r="B1396" s="8" t="n">
        <x:v>6</x:v>
      </x:c>
      <x:c r="C1396" s="11" t="n">
        <x:v>48.675</x:v>
      </x:c>
      <x:c r="D1396" s="11" t="n">
        <x:v>5.9</x:v>
      </x:c>
      <x:c r="E1396" s="11" t="n">
        <x:v>10.75</x:v>
      </x:c>
      <x:c r="F1396" s="11" t="n">
        <x:f>SQRT((C1396-C1395)^2+(D1396-D1395)^2+(E1396-E1395)^2)</x:f>
        <x:v>0.3360000000000003</x:v>
      </x:c>
      <x:c r="G1396" s="8" t="str">
        <x:v>Current</x:v>
      </x:c>
    </x:row>
    <x:row r="1397" ht="32" customHeight="1">
      <x:c r="A1397" s="8" t="str">
        <x:v>drop:LC1:L5:light:1:L194</x:v>
      </x:c>
      <x:c r="B1397" s="8" t="n">
        <x:v>1</x:v>
      </x:c>
      <x:c r="C1397" s="11" t="n">
        <x:v>40.575</x:v>
      </x:c>
      <x:c r="D1397" s="11" t="n">
        <x:v>9.269999999999989</x:v>
      </x:c>
      <x:c r="E1397" s="11" t="n">
        <x:v>7.36</x:v>
      </x:c>
      <x:c r="F1397" s="11" t="n">
        <x:f>0</x:f>
        <x:v>0</x:v>
      </x:c>
      <x:c r="G1397" s="8" t="str">
        <x:v>Current</x:v>
      </x:c>
    </x:row>
    <x:row r="1398" ht="32" customHeight="1">
      <x:c r="A1398" s="8" t="str">
        <x:v>drop:LC1:L5:light:1:L194</x:v>
      </x:c>
      <x:c r="B1398" s="8" t="n">
        <x:v>2</x:v>
      </x:c>
      <x:c r="C1398" s="11" t="n">
        <x:v>40.575</x:v>
      </x:c>
      <x:c r="D1398" s="11" t="n">
        <x:v>9.27</x:v>
      </x:c>
      <x:c r="E1398" s="11" t="n">
        <x:v>13.249</x:v>
      </x:c>
      <x:c r="F1398" s="11" t="n">
        <x:f>SQRT((C1398-C1397)^2+(D1398-D1397)^2+(E1398-E1397)^2)</x:f>
        <x:v>5.889</x:v>
      </x:c>
      <x:c r="G1398" s="8" t="str">
        <x:v>Current</x:v>
      </x:c>
    </x:row>
    <x:row r="1399" ht="32" customHeight="1">
      <x:c r="A1399" s="8" t="str">
        <x:v>drop:LC1:L5:light:1:L194</x:v>
      </x:c>
      <x:c r="B1399" s="8" t="n">
        <x:v>3</x:v>
      </x:c>
      <x:c r="C1399" s="11" t="n">
        <x:v>40.575</x:v>
      </x:c>
      <x:c r="D1399" s="11" t="n">
        <x:v>6.2</x:v>
      </x:c>
      <x:c r="E1399" s="11" t="n">
        <x:v>13.249</x:v>
      </x:c>
      <x:c r="F1399" s="11" t="n">
        <x:f>SQRT((C1399-C1398)^2+(D1399-D1398)^2+(E1399-E1398)^2)</x:f>
        <x:v>3.0699999999999994</x:v>
      </x:c>
      <x:c r="G1399" s="8" t="str">
        <x:v>Current</x:v>
      </x:c>
    </x:row>
    <x:row r="1400" ht="32" customHeight="1">
      <x:c r="A1400" s="8" t="str">
        <x:v>drop:LC1:L5:light:1:L194</x:v>
      </x:c>
      <x:c r="B1400" s="8" t="n">
        <x:v>4</x:v>
      </x:c>
      <x:c r="C1400" s="11" t="n">
        <x:v>40.575</x:v>
      </x:c>
      <x:c r="D1400" s="11" t="n">
        <x:v>6.2</x:v>
      </x:c>
      <x:c r="E1400" s="11" t="n">
        <x:v>13.13</x:v>
      </x:c>
      <x:c r="F1400" s="11" t="n">
        <x:f>SQRT((C1400-C1399)^2+(D1400-D1399)^2+(E1400-E1399)^2)</x:f>
        <x:v>0.11899999999999977</x:v>
      </x:c>
      <x:c r="G1400" s="8" t="str">
        <x:v>Current</x:v>
      </x:c>
    </x:row>
    <x:row r="1401" ht="32" customHeight="1">
      <x:c r="A1401" s="8" t="str">
        <x:v>drop:LC1:L5:light:1:L195</x:v>
      </x:c>
      <x:c r="B1401" s="8" t="n">
        <x:v>1</x:v>
      </x:c>
      <x:c r="C1401" s="11" t="n">
        <x:v>53.016</x:v>
      </x:c>
      <x:c r="D1401" s="11" t="n">
        <x:v>5.948</x:v>
      </x:c>
      <x:c r="E1401" s="11" t="n">
        <x:v>7.36</x:v>
      </x:c>
      <x:c r="F1401" s="11" t="n">
        <x:f>0</x:f>
        <x:v>0</x:v>
      </x:c>
      <x:c r="G1401" s="8" t="str">
        <x:v>Current</x:v>
      </x:c>
    </x:row>
    <x:row r="1402" ht="32" customHeight="1">
      <x:c r="A1402" s="8" t="str">
        <x:v>drop:LC1:L5:light:1:L195</x:v>
      </x:c>
      <x:c r="B1402" s="8" t="n">
        <x:v>2</x:v>
      </x:c>
      <x:c r="C1402" s="11" t="n">
        <x:v>53.016</x:v>
      </x:c>
      <x:c r="D1402" s="11" t="n">
        <x:v>5.948</x:v>
      </x:c>
      <x:c r="E1402" s="11" t="n">
        <x:v>4.5</x:v>
      </x:c>
      <x:c r="F1402" s="11" t="n">
        <x:f>SQRT((C1402-C1401)^2+(D1402-D1401)^2+(E1402-E1401)^2)</x:f>
        <x:v>2.8600000000000003</x:v>
      </x:c>
      <x:c r="G1402" s="8" t="str">
        <x:v>Current</x:v>
      </x:c>
    </x:row>
    <x:row r="1403" ht="32" customHeight="1">
      <x:c r="A1403" s="8" t="str">
        <x:v>drop:LC1:L5:light:1:L195</x:v>
      </x:c>
      <x:c r="B1403" s="8" t="n">
        <x:v>3</x:v>
      </x:c>
      <x:c r="C1403" s="11" t="n">
        <x:v>53.016</x:v>
      </x:c>
      <x:c r="D1403" s="11" t="n">
        <x:v>5.2</x:v>
      </x:c>
      <x:c r="E1403" s="11" t="n">
        <x:v>4.5</x:v>
      </x:c>
      <x:c r="F1403" s="11" t="n">
        <x:f>SQRT((C1403-C1402)^2+(D1403-D1402)^2+(E1403-E1402)^2)</x:f>
        <x:v>0.7480000000000002</x:v>
      </x:c>
      <x:c r="G1403" s="8" t="str">
        <x:v>Current</x:v>
      </x:c>
    </x:row>
    <x:row r="1404" ht="32" customHeight="1">
      <x:c r="A1404" s="8" t="str">
        <x:v>drop:LC1:L5:light:1:L195</x:v>
      </x:c>
      <x:c r="B1404" s="8" t="n">
        <x:v>4</x:v>
      </x:c>
      <x:c r="C1404" s="11" t="n">
        <x:v>53.2</x:v>
      </x:c>
      <x:c r="D1404" s="11" t="n">
        <x:v>5.2</x:v>
      </x:c>
      <x:c r="E1404" s="11" t="n">
        <x:v>4.5</x:v>
      </x:c>
      <x:c r="F1404" s="11" t="n">
        <x:f>SQRT((C1404-C1403)^2+(D1404-D1403)^2+(E1404-E1403)^2)</x:f>
        <x:v>0.1840000000000046</x:v>
      </x:c>
      <x:c r="G1404" s="8" t="str">
        <x:v>Current</x:v>
      </x:c>
    </x:row>
    <x:row r="1405" ht="32" customHeight="1">
      <x:c r="A1405" s="8" t="str">
        <x:v>trunk:DB2:L6:light:-1</x:v>
      </x:c>
      <x:c r="B1405" s="8" t="n">
        <x:v>1</x:v>
      </x:c>
      <x:c r="C1405" s="11" t="n">
        <x:v>0.24</x:v>
      </x:c>
      <x:c r="D1405" s="11" t="n">
        <x:v>1.5</x:v>
      </x:c>
      <x:c r="E1405" s="11" t="n">
        <x:v>9.25</x:v>
      </x:c>
      <x:c r="F1405" s="11" t="n">
        <x:f>0</x:f>
        <x:v>0</x:v>
      </x:c>
      <x:c r="G1405" s="8" t="str">
        <x:v>Current</x:v>
      </x:c>
    </x:row>
    <x:row r="1406" ht="32" customHeight="1">
      <x:c r="A1406" s="8" t="str">
        <x:v>trunk:DB2:L6:light:-1</x:v>
      </x:c>
      <x:c r="B1406" s="8" t="n">
        <x:v>2</x:v>
      </x:c>
      <x:c r="C1406" s="11" t="n">
        <x:v>2.35</x:v>
      </x:c>
      <x:c r="D1406" s="11" t="n">
        <x:v>1.5</x:v>
      </x:c>
      <x:c r="E1406" s="11" t="n">
        <x:v>9.25</x:v>
      </x:c>
      <x:c r="F1406" s="11" t="n">
        <x:f>SQRT((C1406-C1405)^2+(D1406-D1405)^2+(E1406-E1405)^2)</x:f>
        <x:v>2.1100000000000003</x:v>
      </x:c>
      <x:c r="G1406" s="8" t="str">
        <x:v>Current</x:v>
      </x:c>
    </x:row>
    <x:row r="1407" ht="32" customHeight="1">
      <x:c r="A1407" s="8" t="str">
        <x:v>trunk:DB2:L6:light:-1</x:v>
      </x:c>
      <x:c r="B1407" s="8" t="n">
        <x:v>3</x:v>
      </x:c>
      <x:c r="C1407" s="11" t="n">
        <x:v>2.35</x:v>
      </x:c>
      <x:c r="D1407" s="11" t="n">
        <x:v>7.65</x:v>
      </x:c>
      <x:c r="E1407" s="11" t="n">
        <x:v>9.25</x:v>
      </x:c>
      <x:c r="F1407" s="11" t="n">
        <x:f>SQRT((C1407-C1406)^2+(D1407-D1406)^2+(E1407-E1406)^2)</x:f>
        <x:v>6.15</x:v>
      </x:c>
      <x:c r="G1407" s="8" t="str">
        <x:v>Current</x:v>
      </x:c>
    </x:row>
    <x:row r="1408" ht="32" customHeight="1">
      <x:c r="A1408" s="8" t="str">
        <x:v>trunk:DB2:L6:light:-1</x:v>
      </x:c>
      <x:c r="B1408" s="8" t="n">
        <x:v>4</x:v>
      </x:c>
      <x:c r="C1408" s="11" t="n">
        <x:v>2.35</x:v>
      </x:c>
      <x:c r="D1408" s="11" t="n">
        <x:v>7.65</x:v>
      </x:c>
      <x:c r="E1408" s="11" t="n">
        <x:v>-7.36</x:v>
      </x:c>
      <x:c r="F1408" s="11" t="n">
        <x:f>SQRT((C1408-C1407)^2+(D1408-D1407)^2+(E1408-E1407)^2)</x:f>
        <x:v>16.61</x:v>
      </x:c>
      <x:c r="G1408" s="8" t="str">
        <x:v>Current</x:v>
      </x:c>
    </x:row>
    <x:row r="1409" ht="32" customHeight="1">
      <x:c r="A1409" s="8" t="str">
        <x:v>trunk:DB2:L6:light:-1</x:v>
      </x:c>
      <x:c r="B1409" s="8" t="n">
        <x:v>5</x:v>
      </x:c>
      <x:c r="C1409" s="11" t="n">
        <x:v>2.35</x:v>
      </x:c>
      <x:c r="D1409" s="11" t="n">
        <x:v>5.964</x:v>
      </x:c>
      <x:c r="E1409" s="11" t="n">
        <x:v>-7.36</x:v>
      </x:c>
      <x:c r="F1409" s="11" t="n">
        <x:f>SQRT((C1409-C1408)^2+(D1409-D1408)^2+(E1409-E1408)^2)</x:f>
        <x:v>1.686</x:v>
      </x:c>
      <x:c r="G1409" s="8" t="str">
        <x:v>Current</x:v>
      </x:c>
    </x:row>
    <x:row r="1410" ht="32" customHeight="1">
      <x:c r="A1410" s="8" t="str">
        <x:v>trunk:DB2:L6:light:-1</x:v>
      </x:c>
      <x:c r="B1410" s="8" t="n">
        <x:v>6</x:v>
      </x:c>
      <x:c r="C1410" s="11" t="n">
        <x:v>3.75</x:v>
      </x:c>
      <x:c r="D1410" s="11" t="n">
        <x:v>5.964</x:v>
      </x:c>
      <x:c r="E1410" s="11" t="n">
        <x:v>-7.36</x:v>
      </x:c>
      <x:c r="F1410" s="11" t="n">
        <x:f>SQRT((C1410-C1409)^2+(D1410-D1409)^2+(E1410-E1409)^2)</x:f>
        <x:v>1.4</x:v>
      </x:c>
      <x:c r="G1410" s="8" t="str">
        <x:v>Current</x:v>
      </x:c>
    </x:row>
    <x:row r="1411" ht="32" customHeight="1">
      <x:c r="A1411" s="8" t="str">
        <x:v>drop:DB2:L6:light:-1:L160</x:v>
      </x:c>
      <x:c r="B1411" s="8" t="n">
        <x:v>1</x:v>
      </x:c>
      <x:c r="C1411" s="11" t="n">
        <x:v>2.35</x:v>
      </x:c>
      <x:c r="D1411" s="11" t="n">
        <x:v>5.964</x:v>
      </x:c>
      <x:c r="E1411" s="11" t="n">
        <x:v>-7.36</x:v>
      </x:c>
      <x:c r="F1411" s="11" t="n">
        <x:f>0</x:f>
        <x:v>0</x:v>
      </x:c>
      <x:c r="G1411" s="8" t="str">
        <x:v>Current</x:v>
      </x:c>
    </x:row>
    <x:row r="1412" ht="32" customHeight="1">
      <x:c r="A1412" s="8" t="str">
        <x:v>drop:DB2:L6:light:-1:L160</x:v>
      </x:c>
      <x:c r="B1412" s="8" t="n">
        <x:v>2</x:v>
      </x:c>
      <x:c r="C1412" s="11" t="n">
        <x:v>2.35</x:v>
      </x:c>
      <x:c r="D1412" s="11" t="n">
        <x:v>7.65</x:v>
      </x:c>
      <x:c r="E1412" s="11" t="n">
        <x:v>-7.36</x:v>
      </x:c>
      <x:c r="F1412" s="11" t="n">
        <x:f>SQRT((C1412-C1411)^2+(D1412-D1411)^2+(E1412-E1411)^2)</x:f>
        <x:v>1.686</x:v>
      </x:c>
      <x:c r="G1412" s="8" t="str">
        <x:v>Current</x:v>
      </x:c>
    </x:row>
    <x:row r="1413" ht="32" customHeight="1">
      <x:c r="A1413" s="8" t="str">
        <x:v>drop:DB2:L6:light:-1:L160</x:v>
      </x:c>
      <x:c r="B1413" s="8" t="n">
        <x:v>3</x:v>
      </x:c>
      <x:c r="C1413" s="11" t="n">
        <x:v>2.35</x:v>
      </x:c>
      <x:c r="D1413" s="11" t="n">
        <x:v>7.65</x:v>
      </x:c>
      <x:c r="E1413" s="11" t="n">
        <x:v>-7.703</x:v>
      </x:c>
      <x:c r="F1413" s="11" t="n">
        <x:f>SQRT((C1413-C1412)^2+(D1413-D1412)^2+(E1413-E1412)^2)</x:f>
        <x:v>0.34299999999999997</x:v>
      </x:c>
      <x:c r="G1413" s="8" t="str">
        <x:v>Current</x:v>
      </x:c>
    </x:row>
    <x:row r="1414" ht="32" customHeight="1">
      <x:c r="A1414" s="8" t="str">
        <x:v>drop:DB2:L6:light:-1:L160</x:v>
      </x:c>
      <x:c r="B1414" s="8" t="n">
        <x:v>4</x:v>
      </x:c>
      <x:c r="C1414" s="11" t="n">
        <x:v>0</x:v>
      </x:c>
      <x:c r="D1414" s="11" t="n">
        <x:v>7.65</x:v>
      </x:c>
      <x:c r="E1414" s="11" t="n">
        <x:v>-7.703</x:v>
      </x:c>
      <x:c r="F1414" s="11" t="n">
        <x:f>SQRT((C1414-C1413)^2+(D1414-D1413)^2+(E1414-E1413)^2)</x:f>
        <x:v>2.35</x:v>
      </x:c>
      <x:c r="G1414" s="8" t="str">
        <x:v>Current</x:v>
      </x:c>
    </x:row>
    <x:row r="1415" ht="32" customHeight="1">
      <x:c r="A1415" s="8" t="str">
        <x:v>drop:DB2:L6:light:-1:L160</x:v>
      </x:c>
      <x:c r="B1415" s="8" t="n">
        <x:v>5</x:v>
      </x:c>
      <x:c r="C1415" s="11" t="n">
        <x:v>0</x:v>
      </x:c>
      <x:c r="D1415" s="11" t="n">
        <x:v>7.65</x:v>
      </x:c>
      <x:c r="E1415" s="11" t="n">
        <x:v>-12.363</x:v>
      </x:c>
      <x:c r="F1415" s="11" t="n">
        <x:f>SQRT((C1415-C1414)^2+(D1415-D1414)^2+(E1415-E1414)^2)</x:f>
        <x:v>4.659999999999999</x:v>
      </x:c>
      <x:c r="G1415" s="8" t="str">
        <x:v>Current</x:v>
      </x:c>
    </x:row>
    <x:row r="1416" ht="32" customHeight="1">
      <x:c r="A1416" s="8" t="str">
        <x:v>drop:DB2:L6:light:-1:L160</x:v>
      </x:c>
      <x:c r="B1416" s="8" t="n">
        <x:v>6</x:v>
      </x:c>
      <x:c r="C1416" s="11" t="n">
        <x:v>0</x:v>
      </x:c>
      <x:c r="D1416" s="11" t="n">
        <x:v>8.4</x:v>
      </x:c>
      <x:c r="E1416" s="11" t="n">
        <x:v>-12.363</x:v>
      </x:c>
      <x:c r="F1416" s="11" t="n">
        <x:f>SQRT((C1416-C1415)^2+(D1416-D1415)^2+(E1416-E1415)^2)</x:f>
        <x:v>0.75</x:v>
      </x:c>
      <x:c r="G1416" s="8" t="str">
        <x:v>Current</x:v>
      </x:c>
    </x:row>
    <x:row r="1417" ht="32" customHeight="1">
      <x:c r="A1417" s="8" t="str">
        <x:v>drop:DB2:L6:light:-1:L160</x:v>
      </x:c>
      <x:c r="B1417" s="8" t="n">
        <x:v>7</x:v>
      </x:c>
      <x:c r="C1417" s="11" t="n">
        <x:v>0.09</x:v>
      </x:c>
      <x:c r="D1417" s="11" t="n">
        <x:v>8.4</x:v>
      </x:c>
      <x:c r="E1417" s="11" t="n">
        <x:v>-12.363</x:v>
      </x:c>
      <x:c r="F1417" s="11" t="n">
        <x:f>SQRT((C1417-C1416)^2+(D1417-D1416)^2+(E1417-E1416)^2)</x:f>
        <x:v>0.09</x:v>
      </x:c>
      <x:c r="G1417" s="8" t="str">
        <x:v>Current</x:v>
      </x:c>
    </x:row>
    <x:row r="1418" ht="32" customHeight="1">
      <x:c r="A1418" s="8" t="str">
        <x:v>drop:DB2:L6:light:-1:L160</x:v>
      </x:c>
      <x:c r="B1418" s="8" t="n">
        <x:v>8</x:v>
      </x:c>
      <x:c r="C1418" s="11" t="n">
        <x:v>0.09</x:v>
      </x:c>
      <x:c r="D1418" s="11" t="n">
        <x:v>8.4</x:v>
      </x:c>
      <x:c r="E1418" s="11" t="n">
        <x:v>-12.238</x:v>
      </x:c>
      <x:c r="F1418" s="11" t="n">
        <x:f>SQRT((C1418-C1417)^2+(D1418-D1417)^2+(E1418-E1417)^2)</x:f>
        <x:v>0.125</x:v>
      </x:c>
      <x:c r="G1418" s="8" t="str">
        <x:v>Current</x:v>
      </x:c>
    </x:row>
    <x:row r="1419" ht="32" customHeight="1">
      <x:c r="A1419" s="8" t="str">
        <x:v>drop:DB2:L6:light:-1:L160</x:v>
      </x:c>
      <x:c r="B1419" s="8" t="n">
        <x:v>9</x:v>
      </x:c>
      <x:c r="C1419" s="11" t="n">
        <x:v>0.09</x:v>
      </x:c>
      <x:c r="D1419" s="11" t="n">
        <x:v>8.39</x:v>
      </x:c>
      <x:c r="E1419" s="11" t="n">
        <x:v>-12.238</x:v>
      </x:c>
      <x:c r="F1419" s="11" t="n">
        <x:f>SQRT((C1419-C1418)^2+(D1419-D1418)^2+(E1419-E1418)^2)</x:f>
        <x:v>0.009999999999999787</x:v>
      </x:c>
      <x:c r="G1419" s="8" t="str">
        <x:v>Current</x:v>
      </x:c>
    </x:row>
    <x:row r="1420" ht="32" customHeight="1">
      <x:c r="A1420" s="8" t="str">
        <x:v>drop:DB2:L6:light:-1:L160</x:v>
      </x:c>
      <x:c r="B1420" s="8" t="n">
        <x:v>10</x:v>
      </x:c>
      <x:c r="C1420" s="11" t="n">
        <x:v>0.09</x:v>
      </x:c>
      <x:c r="D1420" s="11" t="n">
        <x:v>8.39</x:v>
      </x:c>
      <x:c r="E1420" s="11" t="n">
        <x:v>-11.453000000000001</x:v>
      </x:c>
      <x:c r="F1420" s="11" t="n">
        <x:f>SQRT((C1420-C1419)^2+(D1420-D1419)^2+(E1420-E1419)^2)</x:f>
        <x:v>0.7849999999999984</x:v>
      </x:c>
      <x:c r="G1420" s="8" t="str">
        <x:v>Current</x:v>
      </x:c>
    </x:row>
    <x:row r="1421" ht="32" customHeight="1">
      <x:c r="A1421" s="8" t="str">
        <x:v>drop:DB2:L6:light:-1:L160</x:v>
      </x:c>
      <x:c r="B1421" s="8" t="n">
        <x:v>11</x:v>
      </x:c>
      <x:c r="C1421" s="11" t="n">
        <x:v>-0.34</x:v>
      </x:c>
      <x:c r="D1421" s="11" t="n">
        <x:v>8.39</x:v>
      </x:c>
      <x:c r="E1421" s="11" t="n">
        <x:v>-11.453000000000001</x:v>
      </x:c>
      <x:c r="F1421" s="11" t="n">
        <x:f>SQRT((C1421-C1420)^2+(D1421-D1420)^2+(E1421-E1420)^2)</x:f>
        <x:v>0.43000000000000005</x:v>
      </x:c>
      <x:c r="G1421" s="8" t="str">
        <x:v>Current</x:v>
      </x:c>
    </x:row>
    <x:row r="1422" ht="32" customHeight="1">
      <x:c r="A1422" s="8" t="str">
        <x:v>drop:DB2:L6:light:-1:L161</x:v>
      </x:c>
      <x:c r="B1422" s="8" t="n">
        <x:v>1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0</x:f>
        <x:v>0</x:v>
      </x:c>
      <x:c r="G1422" s="8" t="str">
        <x:v>Current</x:v>
      </x:c>
    </x:row>
    <x:row r="1423" ht="32" customHeight="1">
      <x:c r="A1423" s="8" t="str">
        <x:v>drop:DB2:L6:light:-1:L161</x:v>
      </x:c>
      <x:c r="B1423" s="8" t="n">
        <x:v>2</x:v>
      </x:c>
      <x:c r="C1423" s="11" t="n">
        <x:v>2.35</x:v>
      </x:c>
      <x:c r="D1423" s="11" t="n">
        <x:v>7.65</x:v>
      </x:c>
      <x:c r="E1423" s="11" t="n">
        <x:v>-7.36</x:v>
      </x:c>
      <x:c r="F1423" s="11" t="n">
        <x:f>SQRT((C1423-C1422)^2+(D1423-D1422)^2+(E1423-E1422)^2)</x:f>
        <x:v>1.686</x:v>
      </x:c>
      <x:c r="G1423" s="8" t="str">
        <x:v>Current</x:v>
      </x:c>
    </x:row>
    <x:row r="1424" ht="32" customHeight="1">
      <x:c r="A1424" s="8" t="str">
        <x:v>drop:DB2:L6:light:-1:L161</x:v>
      </x:c>
      <x:c r="B1424" s="8" t="n">
        <x:v>3</x:v>
      </x:c>
      <x:c r="C1424" s="11" t="n">
        <x:v>2.35</x:v>
      </x:c>
      <x:c r="D1424" s="11" t="n">
        <x:v>7.65</x:v>
      </x:c>
      <x:c r="E1424" s="11" t="n">
        <x:v>-7.703</x:v>
      </x:c>
      <x:c r="F1424" s="11" t="n">
        <x:f>SQRT((C1424-C1423)^2+(D1424-D1423)^2+(E1424-E1423)^2)</x:f>
        <x:v>0.34299999999999997</x:v>
      </x:c>
      <x:c r="G1424" s="8" t="str">
        <x:v>Current</x:v>
      </x:c>
    </x:row>
    <x:row r="1425" ht="32" customHeight="1">
      <x:c r="A1425" s="8" t="str">
        <x:v>drop:DB2:L6:light:-1:L161</x:v>
      </x:c>
      <x:c r="B1425" s="8" t="n">
        <x:v>4</x:v>
      </x:c>
      <x:c r="C1425" s="11" t="n">
        <x:v>0</x:v>
      </x:c>
      <x:c r="D1425" s="11" t="n">
        <x:v>7.65</x:v>
      </x:c>
      <x:c r="E1425" s="11" t="n">
        <x:v>-7.703</x:v>
      </x:c>
      <x:c r="F1425" s="11" t="n">
        <x:f>SQRT((C1425-C1424)^2+(D1425-D1424)^2+(E1425-E1424)^2)</x:f>
        <x:v>2.35</x:v>
      </x:c>
      <x:c r="G1425" s="8" t="str">
        <x:v>Current</x:v>
      </x:c>
    </x:row>
    <x:row r="1426" ht="32" customHeight="1">
      <x:c r="A1426" s="8" t="str">
        <x:v>drop:DB2:L6:light:-1:L161</x:v>
      </x:c>
      <x:c r="B1426" s="8" t="n">
        <x:v>5</x:v>
      </x:c>
      <x:c r="C1426" s="11" t="n">
        <x:v>0</x:v>
      </x:c>
      <x:c r="D1426" s="11" t="n">
        <x:v>7.65</x:v>
      </x:c>
      <x:c r="E1426" s="11" t="n">
        <x:v>-12.363</x:v>
      </x:c>
      <x:c r="F1426" s="11" t="n">
        <x:f>SQRT((C1426-C1425)^2+(D1426-D1425)^2+(E1426-E1425)^2)</x:f>
        <x:v>4.659999999999999</x:v>
      </x:c>
      <x:c r="G1426" s="8" t="str">
        <x:v>Current</x:v>
      </x:c>
    </x:row>
    <x:row r="1427" ht="32" customHeight="1">
      <x:c r="A1427" s="8" t="str">
        <x:v>drop:DB2:L6:light:-1:L161</x:v>
      </x:c>
      <x:c r="B1427" s="8" t="n">
        <x:v>6</x:v>
      </x:c>
      <x:c r="C1427" s="11" t="n">
        <x:v>0</x:v>
      </x:c>
      <x:c r="D1427" s="11" t="n">
        <x:v>8.4</x:v>
      </x:c>
      <x:c r="E1427" s="11" t="n">
        <x:v>-12.363</x:v>
      </x:c>
      <x:c r="F1427" s="11" t="n">
        <x:f>SQRT((C1427-C1426)^2+(D1427-D1426)^2+(E1427-E1426)^2)</x:f>
        <x:v>0.75</x:v>
      </x:c>
      <x:c r="G1427" s="8" t="str">
        <x:v>Current</x:v>
      </x:c>
    </x:row>
    <x:row r="1428" ht="32" customHeight="1">
      <x:c r="A1428" s="8" t="str">
        <x:v>drop:DB2:L6:light:-1:L161</x:v>
      </x:c>
      <x:c r="B1428" s="8" t="n">
        <x:v>7</x:v>
      </x:c>
      <x:c r="C1428" s="11" t="n">
        <x:v>0.09</x:v>
      </x:c>
      <x:c r="D1428" s="11" t="n">
        <x:v>8.4</x:v>
      </x:c>
      <x:c r="E1428" s="11" t="n">
        <x:v>-12.363</x:v>
      </x:c>
      <x:c r="F1428" s="11" t="n">
        <x:f>SQRT((C1428-C1427)^2+(D1428-D1427)^2+(E1428-E1427)^2)</x:f>
        <x:v>0.09</x:v>
      </x:c>
      <x:c r="G1428" s="8" t="str">
        <x:v>Current</x:v>
      </x:c>
    </x:row>
    <x:row r="1429" ht="32" customHeight="1">
      <x:c r="A1429" s="8" t="str">
        <x:v>drop:DB2:L6:light:-1:L161</x:v>
      </x:c>
      <x:c r="B1429" s="8" t="n">
        <x:v>8</x:v>
      </x:c>
      <x:c r="C1429" s="11" t="n">
        <x:v>0.09</x:v>
      </x:c>
      <x:c r="D1429" s="11" t="n">
        <x:v>8.4</x:v>
      </x:c>
      <x:c r="E1429" s="11" t="n">
        <x:v>-12.238</x:v>
      </x:c>
      <x:c r="F1429" s="11" t="n">
        <x:f>SQRT((C1429-C1428)^2+(D1429-D1428)^2+(E1429-E1428)^2)</x:f>
        <x:v>0.125</x:v>
      </x:c>
      <x:c r="G1429" s="8" t="str">
        <x:v>Current</x:v>
      </x:c>
    </x:row>
    <x:row r="1430" ht="32" customHeight="1">
      <x:c r="A1430" s="8" t="str">
        <x:v>drop:DB2:L6:light:-1:L161</x:v>
      </x:c>
      <x:c r="B1430" s="8" t="n">
        <x:v>9</x:v>
      </x:c>
      <x:c r="C1430" s="11" t="n">
        <x:v>0.09</x:v>
      </x:c>
      <x:c r="D1430" s="11" t="n">
        <x:v>8.39</x:v>
      </x:c>
      <x:c r="E1430" s="11" t="n">
        <x:v>-12.238</x:v>
      </x:c>
      <x:c r="F1430" s="11" t="n">
        <x:f>SQRT((C1430-C1429)^2+(D1430-D1429)^2+(E1430-E1429)^2)</x:f>
        <x:v>0.009999999999999787</x:v>
      </x:c>
      <x:c r="G1430" s="8" t="str">
        <x:v>Current</x:v>
      </x:c>
    </x:row>
    <x:row r="1431" ht="32" customHeight="1">
      <x:c r="A1431" s="8" t="str">
        <x:v>drop:DB2:L6:light:-1:L161</x:v>
      </x:c>
      <x:c r="B1431" s="8" t="n">
        <x:v>10</x:v>
      </x:c>
      <x:c r="C1431" s="11" t="n">
        <x:v>0.09</x:v>
      </x:c>
      <x:c r="D1431" s="11" t="n">
        <x:v>8.39</x:v>
      </x:c>
      <x:c r="E1431" s="11" t="n">
        <x:v>-10.153</x:v>
      </x:c>
      <x:c r="F1431" s="11" t="n">
        <x:f>SQRT((C1431-C1430)^2+(D1431-D1430)^2+(E1431-E1430)^2)</x:f>
        <x:v>2.084999999999999</x:v>
      </x:c>
      <x:c r="G1431" s="8" t="str">
        <x:v>Current</x:v>
      </x:c>
    </x:row>
    <x:row r="1432" ht="32" customHeight="1">
      <x:c r="A1432" s="8" t="str">
        <x:v>drop:DB2:L6:light:-1:L161</x:v>
      </x:c>
      <x:c r="B1432" s="8" t="n">
        <x:v>11</x:v>
      </x:c>
      <x:c r="C1432" s="11" t="n">
        <x:v>-0.34</x:v>
      </x:c>
      <x:c r="D1432" s="11" t="n">
        <x:v>8.39</x:v>
      </x:c>
      <x:c r="E1432" s="11" t="n">
        <x:v>-10.153</x:v>
      </x:c>
      <x:c r="F1432" s="11" t="n">
        <x:f>SQRT((C1432-C1431)^2+(D1432-D1431)^2+(E1432-E1431)^2)</x:f>
        <x:v>0.43000000000000005</x:v>
      </x:c>
      <x:c r="G1432" s="8" t="str">
        <x:v>Current</x:v>
      </x:c>
    </x:row>
    <x:row r="1433" ht="32" customHeight="1">
      <x:c r="A1433" s="8" t="str">
        <x:v>drop:DB2:L6:light:-1:L162</x:v>
      </x:c>
      <x:c r="B1433" s="8" t="n">
        <x:v>1</x:v>
      </x:c>
      <x:c r="C1433" s="11" t="n">
        <x:v>2.35</x:v>
      </x:c>
      <x:c r="D1433" s="11" t="n">
        <x:v>5.964</x:v>
      </x:c>
      <x:c r="E1433" s="11" t="n">
        <x:v>-7.36</x:v>
      </x:c>
      <x:c r="F1433" s="11" t="n">
        <x:f>0</x:f>
        <x:v>0</x:v>
      </x:c>
      <x:c r="G1433" s="8" t="str">
        <x:v>Current</x:v>
      </x:c>
    </x:row>
    <x:row r="1434" ht="32" customHeight="1">
      <x:c r="A1434" s="8" t="str">
        <x:v>drop:DB2:L6:light:-1:L162</x:v>
      </x:c>
      <x:c r="B1434" s="8" t="n">
        <x:v>2</x:v>
      </x:c>
      <x:c r="C1434" s="11" t="n">
        <x:v>2.35</x:v>
      </x:c>
      <x:c r="D1434" s="11" t="n">
        <x:v>7.65</x:v>
      </x:c>
      <x:c r="E1434" s="11" t="n">
        <x:v>-7.36</x:v>
      </x:c>
      <x:c r="F1434" s="11" t="n">
        <x:f>SQRT((C1434-C1433)^2+(D1434-D1433)^2+(E1434-E1433)^2)</x:f>
        <x:v>1.686</x:v>
      </x:c>
      <x:c r="G1434" s="8" t="str">
        <x:v>Current</x:v>
      </x:c>
    </x:row>
    <x:row r="1435" ht="32" customHeight="1">
      <x:c r="A1435" s="8" t="str">
        <x:v>drop:DB2:L6:light:-1:L162</x:v>
      </x:c>
      <x:c r="B1435" s="8" t="n">
        <x:v>3</x:v>
      </x:c>
      <x:c r="C1435" s="11" t="n">
        <x:v>2.35</x:v>
      </x:c>
      <x:c r="D1435" s="11" t="n">
        <x:v>7.65</x:v>
      </x:c>
      <x:c r="E1435" s="11" t="n">
        <x:v>-7.703</x:v>
      </x:c>
      <x:c r="F1435" s="11" t="n">
        <x:f>SQRT((C1435-C1434)^2+(D1435-D1434)^2+(E1435-E1434)^2)</x:f>
        <x:v>0.34299999999999997</x:v>
      </x:c>
      <x:c r="G1435" s="8" t="str">
        <x:v>Current</x:v>
      </x:c>
    </x:row>
    <x:row r="1436" ht="32" customHeight="1">
      <x:c r="A1436" s="8" t="str">
        <x:v>drop:DB2:L6:light:-1:L162</x:v>
      </x:c>
      <x:c r="B1436" s="8" t="n">
        <x:v>4</x:v>
      </x:c>
      <x:c r="C1436" s="11" t="n">
        <x:v>0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2.35</x:v>
      </x:c>
      <x:c r="G1436" s="8" t="str">
        <x:v>Current</x:v>
      </x:c>
    </x:row>
    <x:row r="1437" ht="32" customHeight="1">
      <x:c r="A1437" s="8" t="str">
        <x:v>drop:DB2:L6:light:-1:L162</x:v>
      </x:c>
      <x:c r="B1437" s="8" t="n">
        <x:v>5</x:v>
      </x:c>
      <x:c r="C1437" s="11" t="n">
        <x:v>0</x:v>
      </x:c>
      <x:c r="D1437" s="11" t="n">
        <x:v>7.65</x:v>
      </x:c>
      <x:c r="E1437" s="11" t="n">
        <x:v>-12.363</x:v>
      </x:c>
      <x:c r="F1437" s="11" t="n">
        <x:f>SQRT((C1437-C1436)^2+(D1437-D1436)^2+(E1437-E1436)^2)</x:f>
        <x:v>4.659999999999999</x:v>
      </x:c>
      <x:c r="G1437" s="8" t="str">
        <x:v>Current</x:v>
      </x:c>
    </x:row>
    <x:row r="1438" ht="32" customHeight="1">
      <x:c r="A1438" s="8" t="str">
        <x:v>drop:DB2:L6:light:-1:L162</x:v>
      </x:c>
      <x:c r="B1438" s="8" t="n">
        <x:v>6</x:v>
      </x:c>
      <x:c r="C1438" s="11" t="n">
        <x:v>0</x:v>
      </x:c>
      <x:c r="D1438" s="11" t="n">
        <x:v>8.4</x:v>
      </x:c>
      <x:c r="E1438" s="11" t="n">
        <x:v>-12.363</x:v>
      </x:c>
      <x:c r="F1438" s="11" t="n">
        <x:f>SQRT((C1438-C1437)^2+(D1438-D1437)^2+(E1438-E1437)^2)</x:f>
        <x:v>0.75</x:v>
      </x:c>
      <x:c r="G1438" s="8" t="str">
        <x:v>Current</x:v>
      </x:c>
    </x:row>
    <x:row r="1439" ht="32" customHeight="1">
      <x:c r="A1439" s="8" t="str">
        <x:v>drop:DB2:L6:light:-1:L162</x:v>
      </x:c>
      <x:c r="B1439" s="8" t="n">
        <x:v>7</x:v>
      </x:c>
      <x:c r="C1439" s="11" t="n">
        <x:v>0.09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0.09</x:v>
      </x:c>
      <x:c r="G1439" s="8" t="str">
        <x:v>Current</x:v>
      </x:c>
    </x:row>
    <x:row r="1440" ht="32" customHeight="1">
      <x:c r="A1440" s="8" t="str">
        <x:v>drop:DB2:L6:light:-1:L162</x:v>
      </x:c>
      <x:c r="B1440" s="8" t="n">
        <x:v>8</x:v>
      </x:c>
      <x:c r="C1440" s="11" t="n">
        <x:v>0.09</x:v>
      </x:c>
      <x:c r="D1440" s="11" t="n">
        <x:v>8.4</x:v>
      </x:c>
      <x:c r="E1440" s="11" t="n">
        <x:v>-12.238</x:v>
      </x:c>
      <x:c r="F1440" s="11" t="n">
        <x:f>SQRT((C1440-C1439)^2+(D1440-D1439)^2+(E1440-E1439)^2)</x:f>
        <x:v>0.125</x:v>
      </x:c>
      <x:c r="G1440" s="8" t="str">
        <x:v>Current</x:v>
      </x:c>
    </x:row>
    <x:row r="1441" ht="32" customHeight="1">
      <x:c r="A1441" s="8" t="str">
        <x:v>drop:DB2:L6:light:-1:L162</x:v>
      </x:c>
      <x:c r="B1441" s="8" t="n">
        <x:v>9</x:v>
      </x:c>
      <x:c r="C1441" s="11" t="n">
        <x:v>0.09</x:v>
      </x:c>
      <x:c r="D1441" s="11" t="n">
        <x:v>15.85</x:v>
      </x:c>
      <x:c r="E1441" s="11" t="n">
        <x:v>-12.238</x:v>
      </x:c>
      <x:c r="F1441" s="11" t="n">
        <x:f>SQRT((C1441-C1440)^2+(D1441-D1440)^2+(E1441-E1440)^2)</x:f>
        <x:v>7.449999999999999</x:v>
      </x:c>
      <x:c r="G1441" s="8" t="str">
        <x:v>Current</x:v>
      </x:c>
    </x:row>
    <x:row r="1442" ht="32" customHeight="1">
      <x:c r="A1442" s="8" t="str">
        <x:v>drop:DB2:L6:light:-1:L162</x:v>
      </x:c>
      <x:c r="B1442" s="8" t="n">
        <x:v>10</x:v>
      </x:c>
      <x:c r="C1442" s="11" t="n">
        <x:v>0.19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0.1</x:v>
      </x:c>
      <x:c r="G1442" s="8" t="str">
        <x:v>Current</x:v>
      </x:c>
    </x:row>
    <x:row r="1443" ht="32" customHeight="1">
      <x:c r="A1443" s="8" t="str">
        <x:v>drop:DB2:L6:light:-1:L162</x:v>
      </x:c>
      <x:c r="B1443" s="8" t="n">
        <x:v>11</x:v>
      </x:c>
      <x:c r="C1443" s="11" t="n">
        <x:v>0.19</x:v>
      </x:c>
      <x:c r="D1443" s="11" t="n">
        <x:v>15.85</x:v>
      </x:c>
      <x:c r="E1443" s="11" t="n">
        <x:v>-12.138</x:v>
      </x:c>
      <x:c r="F1443" s="11" t="n">
        <x:f>SQRT((C1443-C1442)^2+(D1443-D1442)^2+(E1443-E1442)^2)</x:f>
        <x:v>0.09999999999999964</x:v>
      </x:c>
      <x:c r="G1443" s="8" t="str">
        <x:v>Current</x:v>
      </x:c>
    </x:row>
    <x:row r="1444" ht="32" customHeight="1">
      <x:c r="A1444" s="8" t="str">
        <x:v>drop:DB2:L6:light:-1:L162</x:v>
      </x:c>
      <x:c r="B1444" s="8" t="n">
        <x:v>12</x:v>
      </x:c>
      <x:c r="C1444" s="11" t="n">
        <x:v>0.19</x:v>
      </x:c>
      <x:c r="D1444" s="11" t="n">
        <x:v>15.84</x:v>
      </x:c>
      <x:c r="E1444" s="11" t="n">
        <x:v>-12.138</x:v>
      </x:c>
      <x:c r="F1444" s="11" t="n">
        <x:f>SQRT((C1444-C1443)^2+(D1444-D1443)^2+(E1444-E1443)^2)</x:f>
        <x:v>0.009999999999999787</x:v>
      </x:c>
      <x:c r="G1444" s="8" t="str">
        <x:v>Current</x:v>
      </x:c>
    </x:row>
    <x:row r="1445" ht="32" customHeight="1">
      <x:c r="A1445" s="8" t="str">
        <x:v>drop:DB2:L6:light:-1:L162</x:v>
      </x:c>
      <x:c r="B1445" s="8" t="n">
        <x:v>13</x:v>
      </x:c>
      <x:c r="C1445" s="11" t="n">
        <x:v>0.19</x:v>
      </x:c>
      <x:c r="D1445" s="11" t="n">
        <x:v>15.84</x:v>
      </x:c>
      <x:c r="E1445" s="11" t="n">
        <x:v>-10.153</x:v>
      </x:c>
      <x:c r="F1445" s="11" t="n">
        <x:f>SQRT((C1445-C1444)^2+(D1445-D1444)^2+(E1445-E1444)^2)</x:f>
        <x:v>1.9849999999999994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14</x:v>
      </x:c>
      <x:c r="C1446" s="11" t="n">
        <x:v>-0.24999999999999997</x:v>
      </x:c>
      <x:c r="D1446" s="11" t="n">
        <x:v>15.84</x:v>
      </x:c>
      <x:c r="E1446" s="11" t="n">
        <x:v>-10.153</x:v>
      </x:c>
      <x:c r="F1446" s="11" t="n">
        <x:f>SQRT((C1446-C1445)^2+(D1446-D1445)^2+(E1446-E1445)^2)</x:f>
        <x:v>0.43999999999999995</x:v>
      </x:c>
      <x:c r="G1446" s="8" t="str">
        <x:v>Current</x:v>
      </x:c>
    </x:row>
    <x:row r="1447" ht="32" customHeight="1">
      <x:c r="A1447" s="8" t="str">
        <x:v>drop:DB2:L6:light:-1:L163</x:v>
      </x:c>
      <x:c r="B1447" s="8" t="n">
        <x:v>1</x:v>
      </x:c>
      <x:c r="C1447" s="11" t="n">
        <x:v>2.35</x:v>
      </x:c>
      <x:c r="D1447" s="11" t="n">
        <x:v>5.964</x:v>
      </x:c>
      <x:c r="E1447" s="11" t="n">
        <x:v>-7.36</x:v>
      </x:c>
      <x:c r="F1447" s="11" t="n">
        <x:f>0</x:f>
        <x:v>0</x:v>
      </x:c>
      <x:c r="G1447" s="8" t="str">
        <x:v>Current</x:v>
      </x:c>
    </x:row>
    <x:row r="1448" ht="32" customHeight="1">
      <x:c r="A1448" s="8" t="str">
        <x:v>drop:DB2:L6:light:-1:L163</x:v>
      </x:c>
      <x:c r="B1448" s="8" t="n">
        <x:v>2</x:v>
      </x:c>
      <x:c r="C1448" s="11" t="n">
        <x:v>2.35</x:v>
      </x:c>
      <x:c r="D1448" s="11" t="n">
        <x:v>7.65</x:v>
      </x:c>
      <x:c r="E1448" s="11" t="n">
        <x:v>-7.36</x:v>
      </x:c>
      <x:c r="F1448" s="11" t="n">
        <x:f>SQRT((C1448-C1447)^2+(D1448-D1447)^2+(E1448-E1447)^2)</x:f>
        <x:v>1.686</x:v>
      </x:c>
      <x:c r="G1448" s="8" t="str">
        <x:v>Current</x:v>
      </x:c>
    </x:row>
    <x:row r="1449" ht="32" customHeight="1">
      <x:c r="A1449" s="8" t="str">
        <x:v>drop:DB2:L6:light:-1:L163</x:v>
      </x:c>
      <x:c r="B1449" s="8" t="n">
        <x:v>3</x:v>
      </x:c>
      <x:c r="C1449" s="11" t="n">
        <x:v>2.35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0.34299999999999997</x:v>
      </x:c>
      <x:c r="G1449" s="8" t="str">
        <x:v>Current</x:v>
      </x:c>
    </x:row>
    <x:row r="1450" ht="32" customHeight="1">
      <x:c r="A1450" s="8" t="str">
        <x:v>drop:DB2:L6:light:-1:L163</x:v>
      </x:c>
      <x:c r="B1450" s="8" t="n">
        <x:v>4</x:v>
      </x:c>
      <x:c r="C1450" s="11" t="n">
        <x:v>0</x:v>
      </x:c>
      <x:c r="D1450" s="11" t="n">
        <x:v>7.65</x:v>
      </x:c>
      <x:c r="E1450" s="11" t="n">
        <x:v>-7.703</x:v>
      </x:c>
      <x:c r="F1450" s="11" t="n">
        <x:f>SQRT((C1450-C1449)^2+(D1450-D1449)^2+(E1450-E1449)^2)</x:f>
        <x:v>2.35</x:v>
      </x:c>
      <x:c r="G1450" s="8" t="str">
        <x:v>Current</x:v>
      </x:c>
    </x:row>
    <x:row r="1451" ht="32" customHeight="1">
      <x:c r="A1451" s="8" t="str">
        <x:v>drop:DB2:L6:light:-1:L163</x:v>
      </x:c>
      <x:c r="B1451" s="8" t="n">
        <x:v>5</x:v>
      </x:c>
      <x:c r="C1451" s="11" t="n">
        <x:v>0</x:v>
      </x:c>
      <x:c r="D1451" s="11" t="n">
        <x:v>7.65</x:v>
      </x:c>
      <x:c r="E1451" s="11" t="n">
        <x:v>-12.363</x:v>
      </x:c>
      <x:c r="F1451" s="11" t="n">
        <x:f>SQRT((C1451-C1450)^2+(D1451-D1450)^2+(E1451-E1450)^2)</x:f>
        <x:v>4.659999999999999</x:v>
      </x:c>
      <x:c r="G1451" s="8" t="str">
        <x:v>Current</x:v>
      </x:c>
    </x:row>
    <x:row r="1452" ht="32" customHeight="1">
      <x:c r="A1452" s="8" t="str">
        <x:v>drop:DB2:L6:light:-1:L163</x:v>
      </x:c>
      <x:c r="B1452" s="8" t="n">
        <x:v>6</x:v>
      </x:c>
      <x:c r="C1452" s="11" t="n">
        <x:v>0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0.75</x:v>
      </x:c>
      <x:c r="G1452" s="8" t="str">
        <x:v>Current</x:v>
      </x:c>
    </x:row>
    <x:row r="1453" ht="32" customHeight="1">
      <x:c r="A1453" s="8" t="str">
        <x:v>drop:DB2:L6:light:-1:L163</x:v>
      </x:c>
      <x:c r="B1453" s="8" t="n">
        <x:v>7</x:v>
      </x:c>
      <x:c r="C1453" s="11" t="n">
        <x:v>0.09</x:v>
      </x:c>
      <x:c r="D1453" s="11" t="n">
        <x:v>8.4</x:v>
      </x:c>
      <x:c r="E1453" s="11" t="n">
        <x:v>-12.363</x:v>
      </x:c>
      <x:c r="F1453" s="11" t="n">
        <x:f>SQRT((C1453-C1452)^2+(D1453-D1452)^2+(E1453-E1452)^2)</x:f>
        <x:v>0.09</x:v>
      </x:c>
      <x:c r="G1453" s="8" t="str">
        <x:v>Current</x:v>
      </x:c>
    </x:row>
    <x:row r="1454" ht="32" customHeight="1">
      <x:c r="A1454" s="8" t="str">
        <x:v>drop:DB2:L6:light:-1:L163</x:v>
      </x:c>
      <x:c r="B1454" s="8" t="n">
        <x:v>8</x:v>
      </x:c>
      <x:c r="C1454" s="11" t="n">
        <x:v>0.09</x:v>
      </x:c>
      <x:c r="D1454" s="11" t="n">
        <x:v>8.4</x:v>
      </x:c>
      <x:c r="E1454" s="11" t="n">
        <x:v>-12.238</x:v>
      </x:c>
      <x:c r="F1454" s="11" t="n">
        <x:f>SQRT((C1454-C1453)^2+(D1454-D1453)^2+(E1454-E1453)^2)</x:f>
        <x:v>0.125</x:v>
      </x:c>
      <x:c r="G1454" s="8" t="str">
        <x:v>Current</x:v>
      </x:c>
    </x:row>
    <x:row r="1455" ht="32" customHeight="1">
      <x:c r="A1455" s="8" t="str">
        <x:v>drop:DB2:L6:light:-1:L163</x:v>
      </x:c>
      <x:c r="B1455" s="8" t="n">
        <x:v>9</x:v>
      </x:c>
      <x:c r="C1455" s="11" t="n">
        <x:v>0.09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7.449999999999999</x:v>
      </x:c>
      <x:c r="G1455" s="8" t="str">
        <x:v>Current</x:v>
      </x:c>
    </x:row>
    <x:row r="1456" ht="32" customHeight="1">
      <x:c r="A1456" s="8" t="str">
        <x:v>drop:DB2:L6:light:-1:L163</x:v>
      </x:c>
      <x:c r="B1456" s="8" t="n">
        <x:v>10</x:v>
      </x:c>
      <x:c r="C1456" s="11" t="n">
        <x:v>0.19</x:v>
      </x:c>
      <x:c r="D1456" s="11" t="n">
        <x:v>15.85</x:v>
      </x:c>
      <x:c r="E1456" s="11" t="n">
        <x:v>-12.238</x:v>
      </x:c>
      <x:c r="F1456" s="11" t="n">
        <x:f>SQRT((C1456-C1455)^2+(D1456-D1455)^2+(E1456-E1455)^2)</x:f>
        <x:v>0.1</x:v>
      </x:c>
      <x:c r="G1456" s="8" t="str">
        <x:v>Current</x:v>
      </x:c>
    </x:row>
    <x:row r="1457" ht="32" customHeight="1">
      <x:c r="A1457" s="8" t="str">
        <x:v>drop:DB2:L6:light:-1:L163</x:v>
      </x:c>
      <x:c r="B1457" s="8" t="n">
        <x:v>11</x:v>
      </x:c>
      <x:c r="C1457" s="11" t="n">
        <x:v>0.19</x:v>
      </x:c>
      <x:c r="D1457" s="11" t="n">
        <x:v>15.85</x:v>
      </x:c>
      <x:c r="E1457" s="11" t="n">
        <x:v>-12.138</x:v>
      </x:c>
      <x:c r="F1457" s="11" t="n">
        <x:f>SQRT((C1457-C1456)^2+(D1457-D1456)^2+(E1457-E1456)^2)</x:f>
        <x:v>0.09999999999999964</x:v>
      </x:c>
      <x:c r="G1457" s="8" t="str">
        <x:v>Current</x:v>
      </x:c>
    </x:row>
    <x:row r="1458" ht="32" customHeight="1">
      <x:c r="A1458" s="8" t="str">
        <x:v>drop:DB2:L6:light:-1:L163</x:v>
      </x:c>
      <x:c r="B1458" s="8" t="n">
        <x:v>12</x:v>
      </x:c>
      <x:c r="C1458" s="11" t="n">
        <x:v>0.19</x:v>
      </x:c>
      <x:c r="D1458" s="11" t="n">
        <x:v>23.150000000000002</x:v>
      </x:c>
      <x:c r="E1458" s="11" t="n">
        <x:v>-12.138</x:v>
      </x:c>
      <x:c r="F1458" s="11" t="n">
        <x:f>SQRT((C1458-C1457)^2+(D1458-D1457)^2+(E1458-E1457)^2)</x:f>
        <x:v>7.3000000000000025</x:v>
      </x:c>
      <x:c r="G1458" s="8" t="str">
        <x:v>Current</x:v>
      </x:c>
    </x:row>
    <x:row r="1459" ht="32" customHeight="1">
      <x:c r="A1459" s="8" t="str">
        <x:v>drop:DB2:L6:light:-1:L163</x:v>
      </x:c>
      <x:c r="B1459" s="8" t="n">
        <x:v>13</x:v>
      </x:c>
      <x:c r="C1459" s="11" t="n">
        <x:v>0.475</x:v>
      </x:c>
      <x:c r="D1459" s="11" t="n">
        <x:v>23.150000000000002</x:v>
      </x:c>
      <x:c r="E1459" s="11" t="n">
        <x:v>-12.138</x:v>
      </x:c>
      <x:c r="F1459" s="11" t="n">
        <x:f>SQRT((C1459-C1458)^2+(D1459-D1458)^2+(E1459-E1458)^2)</x:f>
        <x:v>0.285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14</x:v>
      </x:c>
      <x:c r="C1460" s="11" t="n">
        <x:v>0.475</x:v>
      </x:c>
      <x:c r="D1460" s="11" t="n">
        <x:v>23.150000000000002</x:v>
      </x:c>
      <x:c r="E1460" s="11" t="n">
        <x:v>-11.863</x:v>
      </x:c>
      <x:c r="F1460" s="11" t="n">
        <x:f>SQRT((C1460-C1459)^2+(D1460-D1459)^2+(E1460-E1459)^2)</x:f>
        <x:v>0.27500000000000036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15</x:v>
      </x:c>
      <x:c r="C1461" s="11" t="n">
        <x:v>0.475</x:v>
      </x:c>
      <x:c r="D1461" s="11" t="n">
        <x:v>23.14</x:v>
      </x:c>
      <x:c r="E1461" s="11" t="n">
        <x:v>-11.863</x:v>
      </x:c>
      <x:c r="F1461" s="11" t="n">
        <x:f>SQRT((C1461-C1460)^2+(D1461-D1460)^2+(E1461-E1460)^2)</x:f>
        <x:v>0.010000000000001563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16</x:v>
      </x:c>
      <x:c r="C1462" s="11" t="n">
        <x:v>0.475</x:v>
      </x:c>
      <x:c r="D1462" s="11" t="n">
        <x:v>23.14</x:v>
      </x:c>
      <x:c r="E1462" s="11" t="n">
        <x:v>-10.153</x:v>
      </x:c>
      <x:c r="F1462" s="11" t="n">
        <x:f>SQRT((C1462-C1461)^2+(D1462-D1461)^2+(E1462-E1461)^2)</x:f>
        <x:v>1.709999999999999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17</x:v>
      </x:c>
      <x:c r="C1463" s="11" t="n">
        <x:v>-0.15</x:v>
      </x:c>
      <x:c r="D1463" s="11" t="n">
        <x:v>23.14</x:v>
      </x:c>
      <x:c r="E1463" s="11" t="n">
        <x:v>-10.153</x:v>
      </x:c>
      <x:c r="F1463" s="11" t="n">
        <x:f>SQRT((C1463-C1462)^2+(D1463-D1462)^2+(E1463-E1462)^2)</x:f>
        <x:v>0.625</x:v>
      </x:c>
      <x:c r="G1463" s="8" t="str">
        <x:v>Current</x:v>
      </x:c>
    </x:row>
    <x:row r="1464" ht="32" customHeight="1">
      <x:c r="A1464" s="8" t="str">
        <x:v>drop:DB2:L6:light:-1:L164</x:v>
      </x:c>
      <x:c r="B1464" s="8" t="n">
        <x:v>1</x:v>
      </x:c>
      <x:c r="C1464" s="11" t="n">
        <x:v>2.35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drop:DB2:L6:light:-1:L164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1.686</x:v>
      </x:c>
      <x:c r="G1465" s="8" t="str">
        <x:v>Current</x:v>
      </x:c>
    </x:row>
    <x:row r="1466" ht="32" customHeight="1">
      <x:c r="A1466" s="8" t="str">
        <x:v>drop:DB2:L6:light:-1:L164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drop:DB2:L6:light:-1:L164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drop:DB2:L6:light:-1:L164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drop:DB2:L6:light:-1:L164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drop:DB2:L6:light:-1:L164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drop:DB2:L6:light:-1:L164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drop:DB2:L6:light:-1:L164</x:v>
      </x:c>
      <x:c r="B1472" s="8" t="n">
        <x:v>9</x:v>
      </x:c>
      <x:c r="C1472" s="11" t="n">
        <x:v>0.09</x:v>
      </x:c>
      <x:c r="D1472" s="11" t="n">
        <x:v>15.85</x:v>
      </x:c>
      <x:c r="E1472" s="11" t="n">
        <x:v>-12.238</x:v>
      </x:c>
      <x:c r="F1472" s="11" t="n">
        <x:f>SQRT((C1472-C1471)^2+(D1472-D1471)^2+(E1472-E1471)^2)</x:f>
        <x:v>7.449999999999999</x:v>
      </x:c>
      <x:c r="G1472" s="8" t="str">
        <x:v>Current</x:v>
      </x:c>
    </x:row>
    <x:row r="1473" ht="32" customHeight="1">
      <x:c r="A1473" s="8" t="str">
        <x:v>drop:DB2:L6:light:-1:L164</x:v>
      </x:c>
      <x:c r="B1473" s="8" t="n">
        <x:v>10</x:v>
      </x:c>
      <x:c r="C1473" s="11" t="n">
        <x:v>0.19</x:v>
      </x:c>
      <x:c r="D1473" s="11" t="n">
        <x:v>15.85</x:v>
      </x:c>
      <x:c r="E1473" s="11" t="n">
        <x:v>-12.238</x:v>
      </x:c>
      <x:c r="F1473" s="11" t="n">
        <x:f>SQRT((C1473-C1472)^2+(D1473-D1472)^2+(E1473-E1472)^2)</x:f>
        <x:v>0.1</x:v>
      </x:c>
      <x:c r="G1473" s="8" t="str">
        <x:v>Current</x:v>
      </x:c>
    </x:row>
    <x:row r="1474" ht="32" customHeight="1">
      <x:c r="A1474" s="8" t="str">
        <x:v>drop:DB2:L6:light:-1:L164</x:v>
      </x:c>
      <x:c r="B1474" s="8" t="n">
        <x:v>11</x:v>
      </x:c>
      <x:c r="C1474" s="11" t="n">
        <x:v>0.19</x:v>
      </x:c>
      <x:c r="D1474" s="11" t="n">
        <x:v>15.85</x:v>
      </x:c>
      <x:c r="E1474" s="11" t="n">
        <x:v>-12.138</x:v>
      </x:c>
      <x:c r="F1474" s="11" t="n">
        <x:f>SQRT((C1474-C1473)^2+(D1474-D1473)^2+(E1474-E1473)^2)</x:f>
        <x:v>0.09999999999999964</x:v>
      </x:c>
      <x:c r="G1474" s="8" t="str">
        <x:v>Current</x:v>
      </x:c>
    </x:row>
    <x:row r="1475" ht="32" customHeight="1">
      <x:c r="A1475" s="8" t="str">
        <x:v>drop:DB2:L6:light:-1:L164</x:v>
      </x:c>
      <x:c r="B1475" s="8" t="n">
        <x:v>12</x:v>
      </x:c>
      <x:c r="C1475" s="11" t="n">
        <x:v>0.19</x:v>
      </x:c>
      <x:c r="D1475" s="11" t="n">
        <x:v>23.150000000000002</x:v>
      </x:c>
      <x:c r="E1475" s="11" t="n">
        <x:v>-12.138</x:v>
      </x:c>
      <x:c r="F1475" s="11" t="n">
        <x:f>SQRT((C1475-C1474)^2+(D1475-D1474)^2+(E1475-E1474)^2)</x:f>
        <x:v>7.3000000000000025</x:v>
      </x:c>
      <x:c r="G1475" s="8" t="str">
        <x:v>Current</x:v>
      </x:c>
    </x:row>
    <x:row r="1476" ht="32" customHeight="1">
      <x:c r="A1476" s="8" t="str">
        <x:v>drop:DB2:L6:light:-1:L164</x:v>
      </x:c>
      <x:c r="B1476" s="8" t="n">
        <x:v>13</x:v>
      </x:c>
      <x:c r="C1476" s="11" t="n">
        <x:v>0.475</x:v>
      </x:c>
      <x:c r="D1476" s="11" t="n">
        <x:v>23.150000000000002</x:v>
      </x:c>
      <x:c r="E1476" s="11" t="n">
        <x:v>-12.138</x:v>
      </x:c>
      <x:c r="F1476" s="11" t="n">
        <x:f>SQRT((C1476-C1475)^2+(D1476-D1475)^2+(E1476-E1475)^2)</x:f>
        <x:v>0.285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14</x:v>
      </x:c>
      <x:c r="C1477" s="11" t="n">
        <x:v>0.475</x:v>
      </x:c>
      <x:c r="D1477" s="11" t="n">
        <x:v>23.150000000000002</x:v>
      </x:c>
      <x:c r="E1477" s="11" t="n">
        <x:v>-11.863</x:v>
      </x:c>
      <x:c r="F1477" s="11" t="n">
        <x:f>SQRT((C1477-C1476)^2+(D1477-D1476)^2+(E1477-E1476)^2)</x:f>
        <x:v>0.27500000000000036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15</x:v>
      </x:c>
      <x:c r="C1478" s="11" t="n">
        <x:v>0.475</x:v>
      </x:c>
      <x:c r="D1478" s="11" t="n">
        <x:v>29.03</x:v>
      </x:c>
      <x:c r="E1478" s="11" t="n">
        <x:v>-11.863</x:v>
      </x:c>
      <x:c r="F1478" s="11" t="n">
        <x:f>SQRT((C1478-C1477)^2+(D1478-D1477)^2+(E1478-E1477)^2)</x:f>
        <x:v>5.879999999999999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16</x:v>
      </x:c>
      <x:c r="C1479" s="11" t="n">
        <x:v>0.475</x:v>
      </x:c>
      <x:c r="D1479" s="11" t="n">
        <x:v>29.03</x:v>
      </x:c>
      <x:c r="E1479" s="11" t="n">
        <x:v>-10.153</x:v>
      </x:c>
      <x:c r="F1479" s="11" t="n">
        <x:f>SQRT((C1479-C1478)^2+(D1479-D1478)^2+(E1479-E1478)^2)</x:f>
        <x:v>1.709999999999999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17</x:v>
      </x:c>
      <x:c r="C1480" s="11" t="n">
        <x:v>0.14</x:v>
      </x:c>
      <x:c r="D1480" s="11" t="n">
        <x:v>29.03</x:v>
      </x:c>
      <x:c r="E1480" s="11" t="n">
        <x:v>-10.153</x:v>
      </x:c>
      <x:c r="F1480" s="11" t="n">
        <x:f>SQRT((C1480-C1479)^2+(D1480-D1479)^2+(E1480-E1479)^2)</x:f>
        <x:v>0.33499999999999996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18</x:v>
      </x:c>
      <x:c r="C1481" s="11" t="n">
        <x:v>0.14</x:v>
      </x:c>
      <x:c r="D1481" s="11" t="n">
        <x:v>29.09</x:v>
      </x:c>
      <x:c r="E1481" s="11" t="n">
        <x:v>-10.153</x:v>
      </x:c>
      <x:c r="F1481" s="11" t="n">
        <x:f>SQRT((C1481-C1480)^2+(D1481-D1480)^2+(E1481-E1480)^2)</x:f>
        <x:v>0.05999999999999872</x:v>
      </x:c>
      <x:c r="G1481" s="8" t="str">
        <x:v>Current</x:v>
      </x:c>
    </x:row>
    <x:row r="1482" ht="32" customHeight="1">
      <x:c r="A1482" s="8" t="str">
        <x:v>drop:DB2:L6:light:-1:L165</x:v>
      </x:c>
      <x:c r="B1482" s="8" t="n">
        <x:v>1</x:v>
      </x:c>
      <x:c r="C1482" s="11" t="n">
        <x:v>2.45</x:v>
      </x:c>
      <x:c r="D1482" s="11" t="n">
        <x:v>5.964</x:v>
      </x:c>
      <x:c r="E1482" s="11" t="n">
        <x:v>-7.36</x:v>
      </x:c>
      <x:c r="F1482" s="11" t="n">
        <x:f>0</x:f>
        <x:v>0</x:v>
      </x:c>
      <x:c r="G1482" s="8" t="str">
        <x:v>Current</x:v>
      </x:c>
    </x:row>
    <x:row r="1483" ht="32" customHeight="1">
      <x:c r="A1483" s="8" t="str">
        <x:v>drop:DB2:L6:light:-1:L165</x:v>
      </x:c>
      <x:c r="B1483" s="8" t="n">
        <x:v>2</x:v>
      </x:c>
      <x:c r="C1483" s="11" t="n">
        <x:v>2.35</x:v>
      </x:c>
      <x:c r="D1483" s="11" t="n">
        <x:v>7.65</x:v>
      </x:c>
      <x:c r="E1483" s="11" t="n">
        <x:v>-7.36</x:v>
      </x:c>
      <x:c r="F1483" s="11" t="n">
        <x:f>SQRT((C1483-C1482)^2+(D1483-D1482)^2+(E1483-E1482)^2)</x:f>
        <x:v>1.6889629954501668</x:v>
      </x:c>
      <x:c r="G1483" s="8" t="str">
        <x:v>Current</x:v>
      </x:c>
    </x:row>
    <x:row r="1484" ht="32" customHeight="1">
      <x:c r="A1484" s="8" t="str">
        <x:v>drop:DB2:L6:light:-1:L165</x:v>
      </x:c>
      <x:c r="B1484" s="8" t="n">
        <x:v>3</x:v>
      </x:c>
      <x:c r="C1484" s="11" t="n">
        <x:v>2.35</x:v>
      </x:c>
      <x:c r="D1484" s="11" t="n">
        <x:v>7.65</x:v>
      </x:c>
      <x:c r="E1484" s="11" t="n">
        <x:v>-7.703</x:v>
      </x:c>
      <x:c r="F1484" s="11" t="n">
        <x:f>SQRT((C1484-C1483)^2+(D1484-D1483)^2+(E1484-E1483)^2)</x:f>
        <x:v>0.34299999999999997</x:v>
      </x:c>
      <x:c r="G1484" s="8" t="str">
        <x:v>Current</x:v>
      </x:c>
    </x:row>
    <x:row r="1485" ht="32" customHeight="1">
      <x:c r="A1485" s="8" t="str">
        <x:v>drop:DB2:L6:light:-1:L165</x:v>
      </x:c>
      <x:c r="B1485" s="8" t="n">
        <x:v>4</x:v>
      </x:c>
      <x:c r="C1485" s="11" t="n">
        <x:v>0</x:v>
      </x:c>
      <x:c r="D1485" s="11" t="n">
        <x:v>7.65</x:v>
      </x:c>
      <x:c r="E1485" s="11" t="n">
        <x:v>-7.703</x:v>
      </x:c>
      <x:c r="F1485" s="11" t="n">
        <x:f>SQRT((C1485-C1484)^2+(D1485-D1484)^2+(E1485-E1484)^2)</x:f>
        <x:v>2.35</x:v>
      </x:c>
      <x:c r="G1485" s="8" t="str">
        <x:v>Current</x:v>
      </x:c>
    </x:row>
    <x:row r="1486" ht="32" customHeight="1">
      <x:c r="A1486" s="8" t="str">
        <x:v>drop:DB2:L6:light:-1:L165</x:v>
      </x:c>
      <x:c r="B1486" s="8" t="n">
        <x:v>5</x:v>
      </x:c>
      <x:c r="C1486" s="11" t="n">
        <x:v>0</x:v>
      </x:c>
      <x:c r="D1486" s="11" t="n">
        <x:v>7.65</x:v>
      </x:c>
      <x:c r="E1486" s="11" t="n">
        <x:v>-12.363</x:v>
      </x:c>
      <x:c r="F1486" s="11" t="n">
        <x:f>SQRT((C1486-C1485)^2+(D1486-D1485)^2+(E1486-E1485)^2)</x:f>
        <x:v>4.659999999999999</x:v>
      </x:c>
      <x:c r="G1486" s="8" t="str">
        <x:v>Current</x:v>
      </x:c>
    </x:row>
    <x:row r="1487" ht="32" customHeight="1">
      <x:c r="A1487" s="8" t="str">
        <x:v>drop:DB2:L6:light:-1:L165</x:v>
      </x:c>
      <x:c r="B1487" s="8" t="n">
        <x:v>6</x:v>
      </x:c>
      <x:c r="C1487" s="11" t="n">
        <x:v>0</x:v>
      </x:c>
      <x:c r="D1487" s="11" t="n">
        <x:v>8.4</x:v>
      </x:c>
      <x:c r="E1487" s="11" t="n">
        <x:v>-12.363</x:v>
      </x:c>
      <x:c r="F1487" s="11" t="n">
        <x:f>SQRT((C1487-C1486)^2+(D1487-D1486)^2+(E1487-E1486)^2)</x:f>
        <x:v>0.75</x:v>
      </x:c>
      <x:c r="G1487" s="8" t="str">
        <x:v>Current</x:v>
      </x:c>
    </x:row>
    <x:row r="1488" ht="32" customHeight="1">
      <x:c r="A1488" s="8" t="str">
        <x:v>drop:DB2:L6:light:-1:L165</x:v>
      </x:c>
      <x:c r="B1488" s="8" t="n">
        <x:v>7</x:v>
      </x:c>
      <x:c r="C1488" s="11" t="n">
        <x:v>0.09</x:v>
      </x:c>
      <x:c r="D1488" s="11" t="n">
        <x:v>8.4</x:v>
      </x:c>
      <x:c r="E1488" s="11" t="n">
        <x:v>-12.363</x:v>
      </x:c>
      <x:c r="F1488" s="11" t="n">
        <x:f>SQRT((C1488-C1487)^2+(D1488-D1487)^2+(E1488-E1487)^2)</x:f>
        <x:v>0.09</x:v>
      </x:c>
      <x:c r="G1488" s="8" t="str">
        <x:v>Current</x:v>
      </x:c>
    </x:row>
    <x:row r="1489" ht="32" customHeight="1">
      <x:c r="A1489" s="8" t="str">
        <x:v>drop:DB2:L6:light:-1:L165</x:v>
      </x:c>
      <x:c r="B1489" s="8" t="n">
        <x:v>8</x:v>
      </x:c>
      <x:c r="C1489" s="11" t="n">
        <x:v>0.09</x:v>
      </x:c>
      <x:c r="D1489" s="11" t="n">
        <x:v>8.4</x:v>
      </x:c>
      <x:c r="E1489" s="11" t="n">
        <x:v>-12.238</x:v>
      </x:c>
      <x:c r="F1489" s="11" t="n">
        <x:f>SQRT((C1489-C1488)^2+(D1489-D1488)^2+(E1489-E1488)^2)</x:f>
        <x:v>0.125</x:v>
      </x:c>
      <x:c r="G1489" s="8" t="str">
        <x:v>Current</x:v>
      </x:c>
    </x:row>
    <x:row r="1490" ht="32" customHeight="1">
      <x:c r="A1490" s="8" t="str">
        <x:v>drop:DB2:L6:light:-1:L165</x:v>
      </x:c>
      <x:c r="B1490" s="8" t="n">
        <x:v>9</x:v>
      </x:c>
      <x:c r="C1490" s="11" t="n">
        <x:v>0.09</x:v>
      </x:c>
      <x:c r="D1490" s="11" t="n">
        <x:v>15.85</x:v>
      </x:c>
      <x:c r="E1490" s="11" t="n">
        <x:v>-12.238</x:v>
      </x:c>
      <x:c r="F1490" s="11" t="n">
        <x:f>SQRT((C1490-C1489)^2+(D1490-D1489)^2+(E1490-E1489)^2)</x:f>
        <x:v>7.449999999999999</x:v>
      </x:c>
      <x:c r="G1490" s="8" t="str">
        <x:v>Current</x:v>
      </x:c>
    </x:row>
    <x:row r="1491" ht="32" customHeight="1">
      <x:c r="A1491" s="8" t="str">
        <x:v>drop:DB2:L6:light:-1:L165</x:v>
      </x:c>
      <x:c r="B1491" s="8" t="n">
        <x:v>10</x:v>
      </x:c>
      <x:c r="C1491" s="11" t="n">
        <x:v>0.19</x:v>
      </x:c>
      <x:c r="D1491" s="11" t="n">
        <x:v>15.85</x:v>
      </x:c>
      <x:c r="E1491" s="11" t="n">
        <x:v>-12.238</x:v>
      </x:c>
      <x:c r="F1491" s="11" t="n">
        <x:f>SQRT((C1491-C1490)^2+(D1491-D1490)^2+(E1491-E1490)^2)</x:f>
        <x:v>0.1</x:v>
      </x:c>
      <x:c r="G1491" s="8" t="str">
        <x:v>Current</x:v>
      </x:c>
    </x:row>
    <x:row r="1492" ht="32" customHeight="1">
      <x:c r="A1492" s="8" t="str">
        <x:v>drop:DB2:L6:light:-1:L165</x:v>
      </x:c>
      <x:c r="B1492" s="8" t="n">
        <x:v>11</x:v>
      </x:c>
      <x:c r="C1492" s="11" t="n">
        <x:v>0.19</x:v>
      </x:c>
      <x:c r="D1492" s="11" t="n">
        <x:v>15.85</x:v>
      </x:c>
      <x:c r="E1492" s="11" t="n">
        <x:v>-12.138</x:v>
      </x:c>
      <x:c r="F1492" s="11" t="n">
        <x:f>SQRT((C1492-C1491)^2+(D1492-D1491)^2+(E1492-E1491)^2)</x:f>
        <x:v>0.09999999999999964</x:v>
      </x:c>
      <x:c r="G1492" s="8" t="str">
        <x:v>Current</x:v>
      </x:c>
    </x:row>
    <x:row r="1493" ht="32" customHeight="1">
      <x:c r="A1493" s="8" t="str">
        <x:v>drop:DB2:L6:light:-1:L165</x:v>
      </x:c>
      <x:c r="B1493" s="8" t="n">
        <x:v>12</x:v>
      </x:c>
      <x:c r="C1493" s="11" t="n">
        <x:v>0.19</x:v>
      </x:c>
      <x:c r="D1493" s="11" t="n">
        <x:v>23.150000000000002</x:v>
      </x:c>
      <x:c r="E1493" s="11" t="n">
        <x:v>-12.138</x:v>
      </x:c>
      <x:c r="F1493" s="11" t="n">
        <x:f>SQRT((C1493-C1492)^2+(D1493-D1492)^2+(E1493-E1492)^2)</x:f>
        <x:v>7.3000000000000025</x:v>
      </x:c>
      <x:c r="G1493" s="8" t="str">
        <x:v>Current</x:v>
      </x:c>
    </x:row>
    <x:row r="1494" ht="32" customHeight="1">
      <x:c r="A1494" s="8" t="str">
        <x:v>drop:DB2:L6:light:-1:L165</x:v>
      </x:c>
      <x:c r="B1494" s="8" t="n">
        <x:v>13</x:v>
      </x:c>
      <x:c r="C1494" s="11" t="n">
        <x:v>0.475</x:v>
      </x:c>
      <x:c r="D1494" s="11" t="n">
        <x:v>23.150000000000002</x:v>
      </x:c>
      <x:c r="E1494" s="11" t="n">
        <x:v>-12.138</x:v>
      </x:c>
      <x:c r="F1494" s="11" t="n">
        <x:f>SQRT((C1494-C1493)^2+(D1494-D1493)^2+(E1494-E1493)^2)</x:f>
        <x:v>0.285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14</x:v>
      </x:c>
      <x:c r="C1495" s="11" t="n">
        <x:v>0.475</x:v>
      </x:c>
      <x:c r="D1495" s="11" t="n">
        <x:v>23.150000000000002</x:v>
      </x:c>
      <x:c r="E1495" s="11" t="n">
        <x:v>-11.863</x:v>
      </x:c>
      <x:c r="F1495" s="11" t="n">
        <x:f>SQRT((C1495-C1494)^2+(D1495-D1494)^2+(E1495-E1494)^2)</x:f>
        <x:v>0.27500000000000036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15</x:v>
      </x:c>
      <x:c r="C1496" s="11" t="n">
        <x:v>0.475</x:v>
      </x:c>
      <x:c r="D1496" s="11" t="n">
        <x:v>23.080000000000002</x:v>
      </x:c>
      <x:c r="E1496" s="11" t="n">
        <x:v>-11.863</x:v>
      </x:c>
      <x:c r="F1496" s="11" t="n">
        <x:f>SQRT((C1496-C1495)^2+(D1496-D1495)^2+(E1496-E1495)^2)</x:f>
        <x:v>0.07000000000000028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16</x:v>
      </x:c>
      <x:c r="C1497" s="11" t="n">
        <x:v>2.45</x:v>
      </x:c>
      <x:c r="D1497" s="11" t="n">
        <x:v>23.080000000000002</x:v>
      </x:c>
      <x:c r="E1497" s="11" t="n">
        <x:v>-11.863</x:v>
      </x:c>
      <x:c r="F1497" s="11" t="n">
        <x:f>SQRT((C1497-C1496)^2+(D1497-D1496)^2+(E1497-E1496)^2)</x:f>
        <x:v>1.975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17</x:v>
      </x:c>
      <x:c r="C1498" s="11" t="n">
        <x:v>2.45</x:v>
      </x:c>
      <x:c r="D1498" s="11" t="n">
        <x:v>23.080000000000002</x:v>
      </x:c>
      <x:c r="E1498" s="11" t="n">
        <x:v>-10.153</x:v>
      </x:c>
      <x:c r="F1498" s="11" t="n">
        <x:f>SQRT((C1498-C1497)^2+(D1498-D1497)^2+(E1498-E1497)^2)</x:f>
        <x:v>1.709999999999999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18</x:v>
      </x:c>
      <x:c r="C1499" s="11" t="n">
        <x:v>2.45</x:v>
      </x:c>
      <x:c r="D1499" s="11" t="n">
        <x:v>23.2</x:v>
      </x:c>
      <x:c r="E1499" s="11" t="n">
        <x:v>-10.153</x:v>
      </x:c>
      <x:c r="F1499" s="11" t="n">
        <x:f>SQRT((C1499-C1498)^2+(D1499-D1498)^2+(E1499-E1498)^2)</x:f>
        <x:v>0.11999999999999744</x:v>
      </x:c>
      <x:c r="G1499" s="8" t="str">
        <x:v>Current</x:v>
      </x:c>
    </x:row>
    <x:row r="1500" ht="32" customHeight="1">
      <x:c r="A1500" s="8" t="str">
        <x:v>drop:DB2:L6:light:-1:L166</x:v>
      </x:c>
      <x:c r="B1500" s="8" t="n">
        <x:v>1</x:v>
      </x:c>
      <x:c r="C1500" s="11" t="n">
        <x:v>3.75</x:v>
      </x:c>
      <x:c r="D1500" s="11" t="n">
        <x:v>5.964</x:v>
      </x:c>
      <x:c r="E1500" s="11" t="n">
        <x:v>-7.36</x:v>
      </x:c>
      <x:c r="F1500" s="11" t="n">
        <x:f>0</x:f>
        <x:v>0</x:v>
      </x:c>
      <x:c r="G1500" s="8" t="str">
        <x:v>Current</x:v>
      </x:c>
    </x:row>
    <x:row r="1501" ht="32" customHeight="1">
      <x:c r="A1501" s="8" t="str">
        <x:v>drop:DB2:L6:light:-1:L166</x:v>
      </x:c>
      <x:c r="B1501" s="8" t="n">
        <x:v>2</x:v>
      </x:c>
      <x:c r="C1501" s="11" t="n">
        <x:v>2.35</x:v>
      </x:c>
      <x:c r="D1501" s="11" t="n">
        <x:v>7.65</x:v>
      </x:c>
      <x:c r="E1501" s="11" t="n">
        <x:v>-7.36</x:v>
      </x:c>
      <x:c r="F1501" s="11" t="n">
        <x:f>SQRT((C1501-C1500)^2+(D1501-D1500)^2+(E1501-E1500)^2)</x:f>
        <x:v>2.1914826031707393</x:v>
      </x:c>
      <x:c r="G1501" s="8" t="str">
        <x:v>Current</x:v>
      </x:c>
    </x:row>
    <x:row r="1502" ht="32" customHeight="1">
      <x:c r="A1502" s="8" t="str">
        <x:v>drop:DB2:L6:light:-1:L166</x:v>
      </x:c>
      <x:c r="B1502" s="8" t="n">
        <x:v>3</x:v>
      </x:c>
      <x:c r="C1502" s="11" t="n">
        <x:v>2.35</x:v>
      </x:c>
      <x:c r="D1502" s="11" t="n">
        <x:v>7.65</x:v>
      </x:c>
      <x:c r="E1502" s="11" t="n">
        <x:v>-7.703</x:v>
      </x:c>
      <x:c r="F1502" s="11" t="n">
        <x:f>SQRT((C1502-C1501)^2+(D1502-D1501)^2+(E1502-E1501)^2)</x:f>
        <x:v>0.34299999999999997</x:v>
      </x:c>
      <x:c r="G1502" s="8" t="str">
        <x:v>Current</x:v>
      </x:c>
    </x:row>
    <x:row r="1503" ht="32" customHeight="1">
      <x:c r="A1503" s="8" t="str">
        <x:v>drop:DB2:L6:light:-1:L166</x:v>
      </x:c>
      <x:c r="B1503" s="8" t="n">
        <x:v>4</x:v>
      </x:c>
      <x:c r="C1503" s="11" t="n">
        <x:v>0</x:v>
      </x:c>
      <x:c r="D1503" s="11" t="n">
        <x:v>7.65</x:v>
      </x:c>
      <x:c r="E1503" s="11" t="n">
        <x:v>-7.703</x:v>
      </x:c>
      <x:c r="F1503" s="11" t="n">
        <x:f>SQRT((C1503-C1502)^2+(D1503-D1502)^2+(E1503-E1502)^2)</x:f>
        <x:v>2.35</x:v>
      </x:c>
      <x:c r="G1503" s="8" t="str">
        <x:v>Current</x:v>
      </x:c>
    </x:row>
    <x:row r="1504" ht="32" customHeight="1">
      <x:c r="A1504" s="8" t="str">
        <x:v>drop:DB2:L6:light:-1:L166</x:v>
      </x:c>
      <x:c r="B1504" s="8" t="n">
        <x:v>5</x:v>
      </x:c>
      <x:c r="C1504" s="11" t="n">
        <x:v>0</x:v>
      </x:c>
      <x:c r="D1504" s="11" t="n">
        <x:v>7.65</x:v>
      </x:c>
      <x:c r="E1504" s="11" t="n">
        <x:v>-12.363</x:v>
      </x:c>
      <x:c r="F1504" s="11" t="n">
        <x:f>SQRT((C1504-C1503)^2+(D1504-D1503)^2+(E1504-E1503)^2)</x:f>
        <x:v>4.659999999999999</x:v>
      </x:c>
      <x:c r="G1504" s="8" t="str">
        <x:v>Current</x:v>
      </x:c>
    </x:row>
    <x:row r="1505" ht="32" customHeight="1">
      <x:c r="A1505" s="8" t="str">
        <x:v>drop:DB2:L6:light:-1:L166</x:v>
      </x:c>
      <x:c r="B1505" s="8" t="n">
        <x:v>6</x:v>
      </x:c>
      <x:c r="C1505" s="11" t="n">
        <x:v>0</x:v>
      </x:c>
      <x:c r="D1505" s="11" t="n">
        <x:v>8.4</x:v>
      </x:c>
      <x:c r="E1505" s="11" t="n">
        <x:v>-12.363</x:v>
      </x:c>
      <x:c r="F1505" s="11" t="n">
        <x:f>SQRT((C1505-C1504)^2+(D1505-D1504)^2+(E1505-E1504)^2)</x:f>
        <x:v>0.75</x:v>
      </x:c>
      <x:c r="G1505" s="8" t="str">
        <x:v>Current</x:v>
      </x:c>
    </x:row>
    <x:row r="1506" ht="32" customHeight="1">
      <x:c r="A1506" s="8" t="str">
        <x:v>drop:DB2:L6:light:-1:L166</x:v>
      </x:c>
      <x:c r="B1506" s="8" t="n">
        <x:v>7</x:v>
      </x:c>
      <x:c r="C1506" s="11" t="n">
        <x:v>0.09</x:v>
      </x:c>
      <x:c r="D1506" s="11" t="n">
        <x:v>8.4</x:v>
      </x:c>
      <x:c r="E1506" s="11" t="n">
        <x:v>-12.363</x:v>
      </x:c>
      <x:c r="F1506" s="11" t="n">
        <x:f>SQRT((C1506-C1505)^2+(D1506-D1505)^2+(E1506-E1505)^2)</x:f>
        <x:v>0.09</x:v>
      </x:c>
      <x:c r="G1506" s="8" t="str">
        <x:v>Current</x:v>
      </x:c>
    </x:row>
    <x:row r="1507" ht="32" customHeight="1">
      <x:c r="A1507" s="8" t="str">
        <x:v>drop:DB2:L6:light:-1:L166</x:v>
      </x:c>
      <x:c r="B1507" s="8" t="n">
        <x:v>8</x:v>
      </x:c>
      <x:c r="C1507" s="11" t="n">
        <x:v>0.09</x:v>
      </x:c>
      <x:c r="D1507" s="11" t="n">
        <x:v>8.4</x:v>
      </x:c>
      <x:c r="E1507" s="11" t="n">
        <x:v>-12.238</x:v>
      </x:c>
      <x:c r="F1507" s="11" t="n">
        <x:f>SQRT((C1507-C1506)^2+(D1507-D1506)^2+(E1507-E1506)^2)</x:f>
        <x:v>0.125</x:v>
      </x:c>
      <x:c r="G1507" s="8" t="str">
        <x:v>Current</x:v>
      </x:c>
    </x:row>
    <x:row r="1508" ht="32" customHeight="1">
      <x:c r="A1508" s="8" t="str">
        <x:v>drop:DB2:L6:light:-1:L166</x:v>
      </x:c>
      <x:c r="B1508" s="8" t="n">
        <x:v>9</x:v>
      </x:c>
      <x:c r="C1508" s="11" t="n">
        <x:v>0.09</x:v>
      </x:c>
      <x:c r="D1508" s="11" t="n">
        <x:v>8.39</x:v>
      </x:c>
      <x:c r="E1508" s="11" t="n">
        <x:v>-12.238</x:v>
      </x:c>
      <x:c r="F1508" s="11" t="n">
        <x:f>SQRT((C1508-C1507)^2+(D1508-D1507)^2+(E1508-E1507)^2)</x:f>
        <x:v>0.009999999999999787</x:v>
      </x:c>
      <x:c r="G1508" s="8" t="str">
        <x:v>Current</x:v>
      </x:c>
    </x:row>
    <x:row r="1509" ht="32" customHeight="1">
      <x:c r="A1509" s="8" t="str">
        <x:v>drop:DB2:L6:light:-1:L166</x:v>
      </x:c>
      <x:c r="B1509" s="8" t="n">
        <x:v>10</x:v>
      </x:c>
      <x:c r="C1509" s="11" t="n">
        <x:v>0.09</x:v>
      </x:c>
      <x:c r="D1509" s="11" t="n">
        <x:v>8.39</x:v>
      </x:c>
      <x:c r="E1509" s="11" t="n">
        <x:v>-12.478000000000002</x:v>
      </x:c>
      <x:c r="F1509" s="11" t="n">
        <x:f>SQRT((C1509-C1508)^2+(D1509-D1508)^2+(E1509-E1508)^2)</x:f>
        <x:v>0.240000000000002</x:v>
      </x:c>
      <x:c r="G1509" s="8" t="str">
        <x:v>Current</x:v>
      </x:c>
    </x:row>
    <x:row r="1510" ht="32" customHeight="1">
      <x:c r="A1510" s="8" t="str">
        <x:v>drop:DB2:L6:light:-1:L166</x:v>
      </x:c>
      <x:c r="B1510" s="8" t="n">
        <x:v>11</x:v>
      </x:c>
      <x:c r="C1510" s="11" t="n">
        <x:v>3.75</x:v>
      </x:c>
      <x:c r="D1510" s="11" t="n">
        <x:v>8.39</x:v>
      </x:c>
      <x:c r="E1510" s="11" t="n">
        <x:v>-12.478000000000002</x:v>
      </x:c>
      <x:c r="F1510" s="11" t="n">
        <x:f>SQRT((C1510-C1509)^2+(D1510-D1509)^2+(E1510-E1509)^2)</x:f>
        <x:v>3.66</x:v>
      </x:c>
      <x:c r="G1510" s="8" t="str">
        <x:v>Current</x:v>
      </x:c>
    </x:row>
    <x:row r="1511" ht="32" customHeight="1">
      <x:c r="A1511" s="8" t="str">
        <x:v>drop:DB2:L6:light:-1:L166</x:v>
      </x:c>
      <x:c r="B1511" s="8" t="n">
        <x:v>12</x:v>
      </x:c>
      <x:c r="C1511" s="11" t="n">
        <x:v>3.75</x:v>
      </x:c>
      <x:c r="D1511" s="11" t="n">
        <x:v>8.39</x:v>
      </x:c>
      <x:c r="E1511" s="11" t="n">
        <x:v>-12.943000000000001</x:v>
      </x:c>
      <x:c r="F1511" s="11" t="n">
        <x:f>SQRT((C1511-C1510)^2+(D1511-D1510)^2+(E1511-E1510)^2)</x:f>
        <x:v>0.46499999999999986</x:v>
      </x:c>
      <x:c r="G1511" s="8" t="str">
        <x:v>Current</x:v>
      </x:c>
    </x:row>
    <x:row r="1512" ht="32" customHeight="1">
      <x:c r="A1512" s="8" t="str">
        <x:v>drop:DB2:L6:light:-1:L167</x:v>
      </x:c>
      <x:c r="B1512" s="8" t="n">
        <x:v>1</x:v>
      </x:c>
      <x:c r="C1512" s="11" t="n">
        <x:v>2.45</x:v>
      </x:c>
      <x:c r="D1512" s="11" t="n">
        <x:v>5.964</x:v>
      </x:c>
      <x:c r="E1512" s="11" t="n">
        <x:v>-7.36</x:v>
      </x:c>
      <x:c r="F1512" s="11" t="n">
        <x:f>0</x:f>
        <x:v>0</x:v>
      </x:c>
      <x:c r="G1512" s="8" t="str">
        <x:v>Current</x:v>
      </x:c>
    </x:row>
    <x:row r="1513" ht="32" customHeight="1">
      <x:c r="A1513" s="8" t="str">
        <x:v>drop:DB2:L6:light:-1:L167</x:v>
      </x:c>
      <x:c r="B1513" s="8" t="n">
        <x:v>2</x:v>
      </x:c>
      <x:c r="C1513" s="11" t="n">
        <x:v>2.35</x:v>
      </x:c>
      <x:c r="D1513" s="11" t="n">
        <x:v>7.65</x:v>
      </x:c>
      <x:c r="E1513" s="11" t="n">
        <x:v>-7.36</x:v>
      </x:c>
      <x:c r="F1513" s="11" t="n">
        <x:f>SQRT((C1513-C1512)^2+(D1513-D1512)^2+(E1513-E1512)^2)</x:f>
        <x:v>1.6889629954501668</x:v>
      </x:c>
      <x:c r="G1513" s="8" t="str">
        <x:v>Current</x:v>
      </x:c>
    </x:row>
    <x:row r="1514" ht="32" customHeight="1">
      <x:c r="A1514" s="8" t="str">
        <x:v>drop:DB2:L6:light:-1:L167</x:v>
      </x:c>
      <x:c r="B1514" s="8" t="n">
        <x:v>3</x:v>
      </x:c>
      <x:c r="C1514" s="11" t="n">
        <x:v>2.35</x:v>
      </x:c>
      <x:c r="D1514" s="11" t="n">
        <x:v>7.65</x:v>
      </x:c>
      <x:c r="E1514" s="11" t="n">
        <x:v>-7.703</x:v>
      </x:c>
      <x:c r="F1514" s="11" t="n">
        <x:f>SQRT((C1514-C1513)^2+(D1514-D1513)^2+(E1514-E1513)^2)</x:f>
        <x:v>0.34299999999999997</x:v>
      </x:c>
      <x:c r="G1514" s="8" t="str">
        <x:v>Current</x:v>
      </x:c>
    </x:row>
    <x:row r="1515" ht="32" customHeight="1">
      <x:c r="A1515" s="8" t="str">
        <x:v>drop:DB2:L6:light:-1:L167</x:v>
      </x:c>
      <x:c r="B1515" s="8" t="n">
        <x:v>4</x:v>
      </x:c>
      <x:c r="C1515" s="11" t="n">
        <x:v>0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2.35</x:v>
      </x:c>
      <x:c r="G1515" s="8" t="str">
        <x:v>Current</x:v>
      </x:c>
    </x:row>
    <x:row r="1516" ht="32" customHeight="1">
      <x:c r="A1516" s="8" t="str">
        <x:v>drop:DB2:L6:light:-1:L167</x:v>
      </x:c>
      <x:c r="B1516" s="8" t="n">
        <x:v>5</x:v>
      </x:c>
      <x:c r="C1516" s="11" t="n">
        <x:v>0</x:v>
      </x:c>
      <x:c r="D1516" s="11" t="n">
        <x:v>7.65</x:v>
      </x:c>
      <x:c r="E1516" s="11" t="n">
        <x:v>-12.363</x:v>
      </x:c>
      <x:c r="F1516" s="11" t="n">
        <x:f>SQRT((C1516-C1515)^2+(D1516-D1515)^2+(E1516-E1515)^2)</x:f>
        <x:v>4.659999999999999</x:v>
      </x:c>
      <x:c r="G1516" s="8" t="str">
        <x:v>Current</x:v>
      </x:c>
    </x:row>
    <x:row r="1517" ht="32" customHeight="1">
      <x:c r="A1517" s="8" t="str">
        <x:v>drop:DB2:L6:light:-1:L167</x:v>
      </x:c>
      <x:c r="B1517" s="8" t="n">
        <x:v>6</x:v>
      </x:c>
      <x:c r="C1517" s="11" t="n">
        <x:v>0</x:v>
      </x:c>
      <x:c r="D1517" s="11" t="n">
        <x:v>8.4</x:v>
      </x:c>
      <x:c r="E1517" s="11" t="n">
        <x:v>-12.363</x:v>
      </x:c>
      <x:c r="F1517" s="11" t="n">
        <x:f>SQRT((C1517-C1516)^2+(D1517-D1516)^2+(E1517-E1516)^2)</x:f>
        <x:v>0.75</x:v>
      </x:c>
      <x:c r="G1517" s="8" t="str">
        <x:v>Current</x:v>
      </x:c>
    </x:row>
    <x:row r="1518" ht="32" customHeight="1">
      <x:c r="A1518" s="8" t="str">
        <x:v>drop:DB2:L6:light:-1:L167</x:v>
      </x:c>
      <x:c r="B1518" s="8" t="n">
        <x:v>7</x:v>
      </x:c>
      <x:c r="C1518" s="11" t="n">
        <x:v>0.09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0.09</x:v>
      </x:c>
      <x:c r="G1518" s="8" t="str">
        <x:v>Current</x:v>
      </x:c>
    </x:row>
    <x:row r="1519" ht="32" customHeight="1">
      <x:c r="A1519" s="8" t="str">
        <x:v>drop:DB2:L6:light:-1:L167</x:v>
      </x:c>
      <x:c r="B1519" s="8" t="n">
        <x:v>8</x:v>
      </x:c>
      <x:c r="C1519" s="11" t="n">
        <x:v>0.09</x:v>
      </x:c>
      <x:c r="D1519" s="11" t="n">
        <x:v>8.4</x:v>
      </x:c>
      <x:c r="E1519" s="11" t="n">
        <x:v>-12.238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drop:DB2:L6:light:-1:L167</x:v>
      </x:c>
      <x:c r="B1520" s="8" t="n">
        <x:v>9</x:v>
      </x:c>
      <x:c r="C1520" s="11" t="n">
        <x:v>0.09</x:v>
      </x:c>
      <x:c r="D1520" s="11" t="n">
        <x:v>8.39</x:v>
      </x:c>
      <x:c r="E1520" s="11" t="n">
        <x:v>-12.238</x:v>
      </x:c>
      <x:c r="F1520" s="11" t="n">
        <x:f>SQRT((C1520-C1519)^2+(D1520-D1519)^2+(E1520-E1519)^2)</x:f>
        <x:v>0.009999999999999787</x:v>
      </x:c>
      <x:c r="G1520" s="8" t="str">
        <x:v>Current</x:v>
      </x:c>
    </x:row>
    <x:row r="1521" ht="32" customHeight="1">
      <x:c r="A1521" s="8" t="str">
        <x:v>drop:DB2:L6:light:-1:L167</x:v>
      </x:c>
      <x:c r="B1521" s="8" t="n">
        <x:v>10</x:v>
      </x:c>
      <x:c r="C1521" s="11" t="n">
        <x:v>0.09</x:v>
      </x:c>
      <x:c r="D1521" s="11" t="n">
        <x:v>8.39</x:v>
      </x:c>
      <x:c r="E1521" s="11" t="n">
        <x:v>-12.478000000000002</x:v>
      </x:c>
      <x:c r="F1521" s="11" t="n">
        <x:f>SQRT((C1521-C1520)^2+(D1521-D1520)^2+(E1521-E1520)^2)</x:f>
        <x:v>0.240000000000002</x:v>
      </x:c>
      <x:c r="G1521" s="8" t="str">
        <x:v>Current</x:v>
      </x:c>
    </x:row>
    <x:row r="1522" ht="32" customHeight="1">
      <x:c r="A1522" s="8" t="str">
        <x:v>drop:DB2:L6:light:-1:L167</x:v>
      </x:c>
      <x:c r="B1522" s="8" t="n">
        <x:v>11</x:v>
      </x:c>
      <x:c r="C1522" s="11" t="n">
        <x:v>2.45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2.3600000000000003</x:v>
      </x:c>
      <x:c r="G1522" s="8" t="str">
        <x:v>Current</x:v>
      </x:c>
    </x:row>
    <x:row r="1523" ht="32" customHeight="1">
      <x:c r="A1523" s="8" t="str">
        <x:v>drop:DB2:L6:light:-1:L167</x:v>
      </x:c>
      <x:c r="B1523" s="8" t="n">
        <x:v>12</x:v>
      </x:c>
      <x:c r="C1523" s="11" t="n">
        <x:v>2.45</x:v>
      </x:c>
      <x:c r="D1523" s="11" t="n">
        <x:v>8.39</x:v>
      </x:c>
      <x:c r="E1523" s="11" t="n">
        <x:v>-12.943000000000001</x:v>
      </x:c>
      <x:c r="F1523" s="11" t="n">
        <x:f>SQRT((C1523-C1522)^2+(D1523-D1522)^2+(E1523-E1522)^2)</x:f>
        <x:v>0.46499999999999986</x:v>
      </x:c>
      <x:c r="G1523" s="8" t="str">
        <x:v>Current</x:v>
      </x:c>
    </x:row>
    <x:row r="1524" ht="32" customHeight="1">
      <x:c r="A1524" s="8" t="str">
        <x:v>drop:DB2:L6:light:-1:L168</x:v>
      </x:c>
      <x:c r="B1524" s="8" t="n">
        <x:v>1</x:v>
      </x:c>
      <x:c r="C1524" s="11" t="n">
        <x:v>2.45</x:v>
      </x:c>
      <x:c r="D1524" s="11" t="n">
        <x:v>5.964</x:v>
      </x:c>
      <x:c r="E1524" s="11" t="n">
        <x:v>-7.36</x:v>
      </x:c>
      <x:c r="F1524" s="11" t="n">
        <x:f>0</x:f>
        <x:v>0</x:v>
      </x:c>
      <x:c r="G1524" s="8" t="str">
        <x:v>Current</x:v>
      </x:c>
    </x:row>
    <x:row r="1525" ht="32" customHeight="1">
      <x:c r="A1525" s="8" t="str">
        <x:v>drop:DB2:L6:light:-1:L168</x:v>
      </x:c>
      <x:c r="B1525" s="8" t="n">
        <x:v>2</x:v>
      </x:c>
      <x:c r="C1525" s="11" t="n">
        <x:v>2.35</x:v>
      </x:c>
      <x:c r="D1525" s="11" t="n">
        <x:v>7.65</x:v>
      </x:c>
      <x:c r="E1525" s="11" t="n">
        <x:v>-7.36</x:v>
      </x:c>
      <x:c r="F1525" s="11" t="n">
        <x:f>SQRT((C1525-C1524)^2+(D1525-D1524)^2+(E1525-E1524)^2)</x:f>
        <x:v>1.6889629954501668</x:v>
      </x:c>
      <x:c r="G1525" s="8" t="str">
        <x:v>Current</x:v>
      </x:c>
    </x:row>
    <x:row r="1526" ht="32" customHeight="1">
      <x:c r="A1526" s="8" t="str">
        <x:v>drop:DB2:L6:light:-1:L168</x:v>
      </x:c>
      <x:c r="B1526" s="8" t="n">
        <x:v>3</x:v>
      </x:c>
      <x:c r="C1526" s="11" t="n">
        <x:v>2.35</x:v>
      </x:c>
      <x:c r="D1526" s="11" t="n">
        <x:v>7.65</x:v>
      </x:c>
      <x:c r="E1526" s="11" t="n">
        <x:v>-7.703</x:v>
      </x:c>
      <x:c r="F1526" s="11" t="n">
        <x:f>SQRT((C1526-C1525)^2+(D1526-D1525)^2+(E1526-E1525)^2)</x:f>
        <x:v>0.34299999999999997</x:v>
      </x:c>
      <x:c r="G1526" s="8" t="str">
        <x:v>Current</x:v>
      </x:c>
    </x:row>
    <x:row r="1527" ht="32" customHeight="1">
      <x:c r="A1527" s="8" t="str">
        <x:v>drop:DB2:L6:light:-1:L168</x:v>
      </x:c>
      <x:c r="B1527" s="8" t="n">
        <x:v>4</x:v>
      </x:c>
      <x:c r="C1527" s="11" t="n">
        <x:v>0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2.35</x:v>
      </x:c>
      <x:c r="G1527" s="8" t="str">
        <x:v>Current</x:v>
      </x:c>
    </x:row>
    <x:row r="1528" ht="32" customHeight="1">
      <x:c r="A1528" s="8" t="str">
        <x:v>drop:DB2:L6:light:-1:L168</x:v>
      </x:c>
      <x:c r="B1528" s="8" t="n">
        <x:v>5</x:v>
      </x:c>
      <x:c r="C1528" s="11" t="n">
        <x:v>0</x:v>
      </x:c>
      <x:c r="D1528" s="11" t="n">
        <x:v>7.65</x:v>
      </x:c>
      <x:c r="E1528" s="11" t="n">
        <x:v>-12.363</x:v>
      </x:c>
      <x:c r="F1528" s="11" t="n">
        <x:f>SQRT((C1528-C1527)^2+(D1528-D1527)^2+(E1528-E1527)^2)</x:f>
        <x:v>4.659999999999999</x:v>
      </x:c>
      <x:c r="G1528" s="8" t="str">
        <x:v>Current</x:v>
      </x:c>
    </x:row>
    <x:row r="1529" ht="32" customHeight="1">
      <x:c r="A1529" s="8" t="str">
        <x:v>drop:DB2:L6:light:-1:L168</x:v>
      </x:c>
      <x:c r="B1529" s="8" t="n">
        <x:v>6</x:v>
      </x:c>
      <x:c r="C1529" s="11" t="n">
        <x:v>0</x:v>
      </x:c>
      <x:c r="D1529" s="11" t="n">
        <x:v>8.4</x:v>
      </x:c>
      <x:c r="E1529" s="11" t="n">
        <x:v>-12.363</x:v>
      </x:c>
      <x:c r="F1529" s="11" t="n">
        <x:f>SQRT((C1529-C1528)^2+(D1529-D1528)^2+(E1529-E1528)^2)</x:f>
        <x:v>0.75</x:v>
      </x:c>
      <x:c r="G1529" s="8" t="str">
        <x:v>Current</x:v>
      </x:c>
    </x:row>
    <x:row r="1530" ht="32" customHeight="1">
      <x:c r="A1530" s="8" t="str">
        <x:v>drop:DB2:L6:light:-1:L168</x:v>
      </x:c>
      <x:c r="B1530" s="8" t="n">
        <x:v>7</x:v>
      </x:c>
      <x:c r="C1530" s="11" t="n">
        <x:v>0.09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0.09</x:v>
      </x:c>
      <x:c r="G1530" s="8" t="str">
        <x:v>Current</x:v>
      </x:c>
    </x:row>
    <x:row r="1531" ht="32" customHeight="1">
      <x:c r="A1531" s="8" t="str">
        <x:v>drop:DB2:L6:light:-1:L168</x:v>
      </x:c>
      <x:c r="B1531" s="8" t="n">
        <x:v>8</x:v>
      </x:c>
      <x:c r="C1531" s="11" t="n">
        <x:v>0.09</x:v>
      </x:c>
      <x:c r="D1531" s="11" t="n">
        <x:v>8.4</x:v>
      </x:c>
      <x:c r="E1531" s="11" t="n">
        <x:v>-12.238</x:v>
      </x:c>
      <x:c r="F1531" s="11" t="n">
        <x:f>SQRT((C1531-C1530)^2+(D1531-D1530)^2+(E1531-E1530)^2)</x:f>
        <x:v>0.125</x:v>
      </x:c>
      <x:c r="G1531" s="8" t="str">
        <x:v>Current</x:v>
      </x:c>
    </x:row>
    <x:row r="1532" ht="32" customHeight="1">
      <x:c r="A1532" s="8" t="str">
        <x:v>drop:DB2:L6:light:-1:L168</x:v>
      </x:c>
      <x:c r="B1532" s="8" t="n">
        <x:v>9</x:v>
      </x:c>
      <x:c r="C1532" s="11" t="n">
        <x:v>0.09</x:v>
      </x:c>
      <x:c r="D1532" s="11" t="n">
        <x:v>15.85</x:v>
      </x:c>
      <x:c r="E1532" s="11" t="n">
        <x:v>-12.238</x:v>
      </x:c>
      <x:c r="F1532" s="11" t="n">
        <x:f>SQRT((C1532-C1531)^2+(D1532-D1531)^2+(E1532-E1531)^2)</x:f>
        <x:v>7.449999999999999</x:v>
      </x:c>
      <x:c r="G1532" s="8" t="str">
        <x:v>Current</x:v>
      </x:c>
    </x:row>
    <x:row r="1533" ht="32" customHeight="1">
      <x:c r="A1533" s="8" t="str">
        <x:v>drop:DB2:L6:light:-1:L168</x:v>
      </x:c>
      <x:c r="B1533" s="8" t="n">
        <x:v>10</x:v>
      </x:c>
      <x:c r="C1533" s="11" t="n">
        <x:v>0.19</x:v>
      </x:c>
      <x:c r="D1533" s="11" t="n">
        <x:v>15.85</x:v>
      </x:c>
      <x:c r="E1533" s="11" t="n">
        <x:v>-12.238</x:v>
      </x:c>
      <x:c r="F1533" s="11" t="n">
        <x:f>SQRT((C1533-C1532)^2+(D1533-D1532)^2+(E1533-E1532)^2)</x:f>
        <x:v>0.1</x:v>
      </x:c>
      <x:c r="G1533" s="8" t="str">
        <x:v>Current</x:v>
      </x:c>
    </x:row>
    <x:row r="1534" ht="32" customHeight="1">
      <x:c r="A1534" s="8" t="str">
        <x:v>drop:DB2:L6:light:-1:L168</x:v>
      </x:c>
      <x:c r="B1534" s="8" t="n">
        <x:v>11</x:v>
      </x:c>
      <x:c r="C1534" s="11" t="n">
        <x:v>0.19</x:v>
      </x:c>
      <x:c r="D1534" s="11" t="n">
        <x:v>15.85</x:v>
      </x:c>
      <x:c r="E1534" s="11" t="n">
        <x:v>-12.138</x:v>
      </x:c>
      <x:c r="F1534" s="11" t="n">
        <x:f>SQRT((C1534-C1533)^2+(D1534-D1533)^2+(E1534-E1533)^2)</x:f>
        <x:v>0.09999999999999964</x:v>
      </x:c>
      <x:c r="G1534" s="8" t="str">
        <x:v>Current</x:v>
      </x:c>
    </x:row>
    <x:row r="1535" ht="32" customHeight="1">
      <x:c r="A1535" s="8" t="str">
        <x:v>drop:DB2:L6:light:-1:L168</x:v>
      </x:c>
      <x:c r="B1535" s="8" t="n">
        <x:v>12</x:v>
      </x:c>
      <x:c r="C1535" s="11" t="n">
        <x:v>0.19</x:v>
      </x:c>
      <x:c r="D1535" s="11" t="n">
        <x:v>15.84</x:v>
      </x:c>
      <x:c r="E1535" s="11" t="n">
        <x:v>-12.138</x:v>
      </x:c>
      <x:c r="F1535" s="11" t="n">
        <x:f>SQRT((C1535-C1534)^2+(D1535-D1534)^2+(E1535-E1534)^2)</x:f>
        <x:v>0.009999999999999787</x:v>
      </x:c>
      <x:c r="G1535" s="8" t="str">
        <x:v>Current</x:v>
      </x:c>
    </x:row>
    <x:row r="1536" ht="32" customHeight="1">
      <x:c r="A1536" s="8" t="str">
        <x:v>drop:DB2:L6:light:-1:L168</x:v>
      </x:c>
      <x:c r="B1536" s="8" t="n">
        <x:v>13</x:v>
      </x:c>
      <x:c r="C1536" s="11" t="n">
        <x:v>0.19</x:v>
      </x:c>
      <x:c r="D1536" s="11" t="n">
        <x:v>15.84</x:v>
      </x:c>
      <x:c r="E1536" s="11" t="n">
        <x:v>-12.378</x:v>
      </x:c>
      <x:c r="F1536" s="11" t="n">
        <x:f>SQRT((C1536-C1535)^2+(D1536-D1535)^2+(E1536-E1535)^2)</x:f>
        <x:v>0.2400000000000002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14</x:v>
      </x:c>
      <x:c r="C1537" s="11" t="n">
        <x:v>2.45</x:v>
      </x:c>
      <x:c r="D1537" s="11" t="n">
        <x:v>15.84</x:v>
      </x:c>
      <x:c r="E1537" s="11" t="n">
        <x:v>-12.378</x:v>
      </x:c>
      <x:c r="F1537" s="11" t="n">
        <x:f>SQRT((C1537-C1536)^2+(D1537-D1536)^2+(E1537-E1536)^2)</x:f>
        <x:v>2.2600000000000002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15</x:v>
      </x:c>
      <x:c r="C1538" s="11" t="n">
        <x:v>2.45</x:v>
      </x:c>
      <x:c r="D1538" s="11" t="n">
        <x:v>15.84</x:v>
      </x:c>
      <x:c r="E1538" s="11" t="n">
        <x:v>-12.818000000000001</x:v>
      </x:c>
      <x:c r="F1538" s="11" t="n">
        <x:f>SQRT((C1538-C1537)^2+(D1538-D1537)^2+(E1538-E1537)^2)</x:f>
        <x:v>0.4400000000000013</x:v>
      </x:c>
      <x:c r="G1538" s="8" t="str">
        <x:v>Current</x:v>
      </x:c>
    </x:row>
    <x:row r="1539" ht="32" customHeight="1">
      <x:c r="A1539" s="8" t="str">
        <x:v>drop:DB2:L6:light:-1:L169</x:v>
      </x:c>
      <x:c r="B1539" s="8" t="n">
        <x:v>1</x:v>
      </x:c>
      <x:c r="C1539" s="11" t="n">
        <x:v>2.45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drop:DB2:L6:light:-1:L169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1.6889629954501668</x:v>
      </x:c>
      <x:c r="G1540" s="8" t="str">
        <x:v>Current</x:v>
      </x:c>
    </x:row>
    <x:row r="1541" ht="32" customHeight="1">
      <x:c r="A1541" s="8" t="str">
        <x:v>drop:DB2:L6:light:-1:L169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drop:DB2:L6:light:-1:L169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drop:DB2:L6:light:-1:L169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drop:DB2:L6:light:-1:L169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drop:DB2:L6:light:-1:L169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drop:DB2:L6:light:-1:L169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drop:DB2:L6:light:-1:L169</x:v>
      </x:c>
      <x:c r="B1547" s="8" t="n">
        <x:v>9</x:v>
      </x:c>
      <x:c r="C1547" s="11" t="n">
        <x:v>0.09</x:v>
      </x:c>
      <x:c r="D1547" s="11" t="n">
        <x:v>15.85</x:v>
      </x:c>
      <x:c r="E1547" s="11" t="n">
        <x:v>-12.238</x:v>
      </x:c>
      <x:c r="F1547" s="11" t="n">
        <x:f>SQRT((C1547-C1546)^2+(D1547-D1546)^2+(E1547-E1546)^2)</x:f>
        <x:v>7.449999999999999</x:v>
      </x:c>
      <x:c r="G1547" s="8" t="str">
        <x:v>Current</x:v>
      </x:c>
    </x:row>
    <x:row r="1548" ht="32" customHeight="1">
      <x:c r="A1548" s="8" t="str">
        <x:v>drop:DB2:L6:light:-1:L169</x:v>
      </x:c>
      <x:c r="B1548" s="8" t="n">
        <x:v>10</x:v>
      </x:c>
      <x:c r="C1548" s="11" t="n">
        <x:v>0.19</x:v>
      </x:c>
      <x:c r="D1548" s="11" t="n">
        <x:v>15.85</x:v>
      </x:c>
      <x:c r="E1548" s="11" t="n">
        <x:v>-12.238</x:v>
      </x:c>
      <x:c r="F1548" s="11" t="n">
        <x:f>SQRT((C1548-C1547)^2+(D1548-D1547)^2+(E1548-E1547)^2)</x:f>
        <x:v>0.1</x:v>
      </x:c>
      <x:c r="G1548" s="8" t="str">
        <x:v>Current</x:v>
      </x:c>
    </x:row>
    <x:row r="1549" ht="32" customHeight="1">
      <x:c r="A1549" s="8" t="str">
        <x:v>drop:DB2:L6:light:-1:L169</x:v>
      </x:c>
      <x:c r="B1549" s="8" t="n">
        <x:v>11</x:v>
      </x:c>
      <x:c r="C1549" s="11" t="n">
        <x:v>0.19</x:v>
      </x:c>
      <x:c r="D1549" s="11" t="n">
        <x:v>15.85</x:v>
      </x:c>
      <x:c r="E1549" s="11" t="n">
        <x:v>-12.138</x:v>
      </x:c>
      <x:c r="F1549" s="11" t="n">
        <x:f>SQRT((C1549-C1548)^2+(D1549-D1548)^2+(E1549-E1548)^2)</x:f>
        <x:v>0.09999999999999964</x:v>
      </x:c>
      <x:c r="G1549" s="8" t="str">
        <x:v>Current</x:v>
      </x:c>
    </x:row>
    <x:row r="1550" ht="32" customHeight="1">
      <x:c r="A1550" s="8" t="str">
        <x:v>drop:DB2:L6:light:-1:L169</x:v>
      </x:c>
      <x:c r="B1550" s="8" t="n">
        <x:v>12</x:v>
      </x:c>
      <x:c r="C1550" s="11" t="n">
        <x:v>0.19</x:v>
      </x:c>
      <x:c r="D1550" s="11" t="n">
        <x:v>23.150000000000002</x:v>
      </x:c>
      <x:c r="E1550" s="11" t="n">
        <x:v>-12.138</x:v>
      </x:c>
      <x:c r="F1550" s="11" t="n">
        <x:f>SQRT((C1550-C1549)^2+(D1550-D1549)^2+(E1550-E1549)^2)</x:f>
        <x:v>7.3000000000000025</x:v>
      </x:c>
      <x:c r="G1550" s="8" t="str">
        <x:v>Current</x:v>
      </x:c>
    </x:row>
    <x:row r="1551" ht="32" customHeight="1">
      <x:c r="A1551" s="8" t="str">
        <x:v>drop:DB2:L6:light:-1:L169</x:v>
      </x:c>
      <x:c r="B1551" s="8" t="n">
        <x:v>13</x:v>
      </x:c>
      <x:c r="C1551" s="11" t="n">
        <x:v>0.475</x:v>
      </x:c>
      <x:c r="D1551" s="11" t="n">
        <x:v>23.150000000000002</x:v>
      </x:c>
      <x:c r="E1551" s="11" t="n">
        <x:v>-12.138</x:v>
      </x:c>
      <x:c r="F1551" s="11" t="n">
        <x:f>SQRT((C1551-C1550)^2+(D1551-D1550)^2+(E1551-E1550)^2)</x:f>
        <x:v>0.285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14</x:v>
      </x:c>
      <x:c r="C1552" s="11" t="n">
        <x:v>0.475</x:v>
      </x:c>
      <x:c r="D1552" s="11" t="n">
        <x:v>23.150000000000002</x:v>
      </x:c>
      <x:c r="E1552" s="11" t="n">
        <x:v>-11.863</x:v>
      </x:c>
      <x:c r="F1552" s="11" t="n">
        <x:f>SQRT((C1552-C1551)^2+(D1552-D1551)^2+(E1552-E1551)^2)</x:f>
        <x:v>0.27500000000000036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15</x:v>
      </x:c>
      <x:c r="C1553" s="11" t="n">
        <x:v>0.475</x:v>
      </x:c>
      <x:c r="D1553" s="11" t="n">
        <x:v>23.14</x:v>
      </x:c>
      <x:c r="E1553" s="11" t="n">
        <x:v>-11.863</x:v>
      </x:c>
      <x:c r="F1553" s="11" t="n">
        <x:f>SQRT((C1553-C1552)^2+(D1553-D1552)^2+(E1553-E1552)^2)</x:f>
        <x:v>0.010000000000001563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16</x:v>
      </x:c>
      <x:c r="C1554" s="11" t="n">
        <x:v>0.475</x:v>
      </x:c>
      <x:c r="D1554" s="11" t="n">
        <x:v>23.14</x:v>
      </x:c>
      <x:c r="E1554" s="11" t="n">
        <x:v>-12.103</x:v>
      </x:c>
      <x:c r="F1554" s="11" t="n">
        <x:f>SQRT((C1554-C1553)^2+(D1554-D1553)^2+(E1554-E1553)^2)</x:f>
        <x:v>0.2400000000000002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17</x:v>
      </x:c>
      <x:c r="C1555" s="11" t="n">
        <x:v>2.45</x:v>
      </x:c>
      <x:c r="D1555" s="11" t="n">
        <x:v>23.14</x:v>
      </x:c>
      <x:c r="E1555" s="11" t="n">
        <x:v>-12.103</x:v>
      </x:c>
      <x:c r="F1555" s="11" t="n">
        <x:f>SQRT((C1555-C1554)^2+(D1555-D1554)^2+(E1555-E1554)^2)</x:f>
        <x:v>1.975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18</x:v>
      </x:c>
      <x:c r="C1556" s="11" t="n">
        <x:v>2.45</x:v>
      </x:c>
      <x:c r="D1556" s="11" t="n">
        <x:v>23.14</x:v>
      </x:c>
      <x:c r="E1556" s="11" t="n">
        <x:v>-12.718</x:v>
      </x:c>
      <x:c r="F1556" s="11" t="n">
        <x:f>SQRT((C1556-C1555)^2+(D1556-D1555)^2+(E1556-E1555)^2)</x:f>
        <x:v>0.6150000000000002</x:v>
      </x:c>
      <x:c r="G1556" s="8" t="str">
        <x:v>Current</x:v>
      </x:c>
    </x:row>
    <x:row r="1557" ht="32" customHeight="1">
      <x:c r="A1557" s="8" t="str">
        <x:v>drop:DB2:L6:light:-1:L170</x:v>
      </x:c>
      <x:c r="B1557" s="8" t="n">
        <x:v>1</x:v>
      </x:c>
      <x:c r="C1557" s="11" t="n">
        <x:v>2.35</x:v>
      </x:c>
      <x:c r="D1557" s="11" t="n">
        <x:v>5.964</x:v>
      </x:c>
      <x:c r="E1557" s="11" t="n">
        <x:v>-7.36</x:v>
      </x:c>
      <x:c r="F1557" s="11" t="n">
        <x:f>0</x:f>
        <x:v>0</x:v>
      </x:c>
      <x:c r="G1557" s="8" t="str">
        <x:v>Current</x:v>
      </x:c>
    </x:row>
    <x:row r="1558" ht="32" customHeight="1">
      <x:c r="A1558" s="8" t="str">
        <x:v>drop:DB2:L6:light:-1:L170</x:v>
      </x:c>
      <x:c r="B1558" s="8" t="n">
        <x:v>2</x:v>
      </x:c>
      <x:c r="C1558" s="11" t="n">
        <x:v>2.35</x:v>
      </x:c>
      <x:c r="D1558" s="11" t="n">
        <x:v>7.65</x:v>
      </x:c>
      <x:c r="E1558" s="11" t="n">
        <x:v>-7.36</x:v>
      </x:c>
      <x:c r="F1558" s="11" t="n">
        <x:f>SQRT((C1558-C1557)^2+(D1558-D1557)^2+(E1558-E1557)^2)</x:f>
        <x:v>1.686</x:v>
      </x:c>
      <x:c r="G1558" s="8" t="str">
        <x:v>Current</x:v>
      </x:c>
    </x:row>
    <x:row r="1559" ht="32" customHeight="1">
      <x:c r="A1559" s="8" t="str">
        <x:v>drop:DB2:L6:light:-1:L170</x:v>
      </x:c>
      <x:c r="B1559" s="8" t="n">
        <x:v>3</x:v>
      </x:c>
      <x:c r="C1559" s="11" t="n">
        <x:v>2.35</x:v>
      </x:c>
      <x:c r="D1559" s="11" t="n">
        <x:v>7.65</x:v>
      </x:c>
      <x:c r="E1559" s="11" t="n">
        <x:v>-7.4</x:v>
      </x:c>
      <x:c r="F1559" s="11" t="n">
        <x:f>SQRT((C1559-C1558)^2+(D1559-D1558)^2+(E1559-E1558)^2)</x:f>
        <x:v>0.040000000000000036</x:v>
      </x:c>
      <x:c r="G1559" s="8" t="str">
        <x:v>Current</x:v>
      </x:c>
    </x:row>
    <x:row r="1560" ht="32" customHeight="1">
      <x:c r="A1560" s="8" t="str">
        <x:v>drop:DB2:L6:light:-1:L170</x:v>
      </x:c>
      <x:c r="B1560" s="8" t="n">
        <x:v>4</x:v>
      </x:c>
      <x:c r="C1560" s="11" t="n">
        <x:v>2.35</x:v>
      </x:c>
      <x:c r="D1560" s="11" t="n">
        <x:v>8.39</x:v>
      </x:c>
      <x:c r="E1560" s="11" t="n">
        <x:v>-7.4</x:v>
      </x:c>
      <x:c r="F1560" s="11" t="n">
        <x:f>SQRT((C1560-C1559)^2+(D1560-D1559)^2+(E1560-E1559)^2)</x:f>
        <x:v>0.7400000000000002</x:v>
      </x:c>
      <x:c r="G1560" s="8" t="str">
        <x:v>Current</x:v>
      </x:c>
    </x:row>
    <x:row r="1561" ht="32" customHeight="1">
      <x:c r="A1561" s="8" t="str">
        <x:v>drop:DB2:L6:light:-1:L170</x:v>
      </x:c>
      <x:c r="B1561" s="8" t="n">
        <x:v>5</x:v>
      </x:c>
      <x:c r="C1561" s="11" t="n">
        <x:v>-0.15</x:v>
      </x:c>
      <x:c r="D1561" s="11" t="n">
        <x:v>8.39</x:v>
      </x:c>
      <x:c r="E1561" s="11" t="n">
        <x:v>-7.4</x:v>
      </x:c>
      <x:c r="F1561" s="11" t="n">
        <x:f>SQRT((C1561-C1560)^2+(D1561-D1560)^2+(E1561-E1560)^2)</x:f>
        <x:v>2.5</x:v>
      </x:c>
      <x:c r="G1561" s="8" t="str">
        <x:v>Current</x:v>
      </x:c>
    </x:row>
    <x:row r="1562" ht="32" customHeight="1">
      <x:c r="A1562" s="8" t="str">
        <x:v>drop:DB2:L6:light:-1:L222</x:v>
      </x:c>
      <x:c r="B1562" s="8" t="n">
        <x:v>1</x:v>
      </x:c>
      <x:c r="C1562" s="11" t="n">
        <x:v>2.35</x:v>
      </x:c>
      <x:c r="D1562" s="11" t="n">
        <x:v>5.964</x:v>
      </x:c>
      <x:c r="E1562" s="11" t="n">
        <x:v>-7.36</x:v>
      </x:c>
      <x:c r="F1562" s="11" t="n">
        <x:f>0</x:f>
        <x:v>0</x:v>
      </x:c>
      <x:c r="G1562" s="8" t="str">
        <x:v>Current</x:v>
      </x:c>
    </x:row>
    <x:row r="1563" ht="32" customHeight="1">
      <x:c r="A1563" s="8" t="str">
        <x:v>drop:DB2:L6:light:-1:L222</x:v>
      </x:c>
      <x:c r="B1563" s="8" t="n">
        <x:v>2</x:v>
      </x:c>
      <x:c r="C1563" s="11" t="n">
        <x:v>2.35</x:v>
      </x:c>
      <x:c r="D1563" s="11" t="n">
        <x:v>7.65</x:v>
      </x:c>
      <x:c r="E1563" s="11" t="n">
        <x:v>-7.36</x:v>
      </x:c>
      <x:c r="F1563" s="11" t="n">
        <x:f>SQRT((C1563-C1562)^2+(D1563-D1562)^2+(E1563-E1562)^2)</x:f>
        <x:v>1.686</x:v>
      </x:c>
      <x:c r="G1563" s="8" t="str">
        <x:v>Current</x:v>
      </x:c>
    </x:row>
    <x:row r="1564" ht="32" customHeight="1">
      <x:c r="A1564" s="8" t="str">
        <x:v>drop:DB2:L6:light:-1:L222</x:v>
      </x:c>
      <x:c r="B1564" s="8" t="n">
        <x:v>3</x:v>
      </x:c>
      <x:c r="C1564" s="11" t="n">
        <x:v>2.35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0.34299999999999997</x:v>
      </x:c>
      <x:c r="G1564" s="8" t="str">
        <x:v>Current</x:v>
      </x:c>
    </x:row>
    <x:row r="1565" ht="32" customHeight="1">
      <x:c r="A1565" s="8" t="str">
        <x:v>drop:DB2:L6:light:-1:L222</x:v>
      </x:c>
      <x:c r="B1565" s="8" t="n">
        <x:v>4</x:v>
      </x:c>
      <x:c r="C1565" s="11" t="n">
        <x:v>0</x:v>
      </x:c>
      <x:c r="D1565" s="11" t="n">
        <x:v>7.65</x:v>
      </x:c>
      <x:c r="E1565" s="11" t="n">
        <x:v>-7.703</x:v>
      </x:c>
      <x:c r="F1565" s="11" t="n">
        <x:f>SQRT((C1565-C1564)^2+(D1565-D1564)^2+(E1565-E1564)^2)</x:f>
        <x:v>2.35</x:v>
      </x:c>
      <x:c r="G1565" s="8" t="str">
        <x:v>Current</x:v>
      </x:c>
    </x:row>
    <x:row r="1566" ht="32" customHeight="1">
      <x:c r="A1566" s="8" t="str">
        <x:v>drop:DB2:L6:light:-1:L222</x:v>
      </x:c>
      <x:c r="B1566" s="8" t="n">
        <x:v>5</x:v>
      </x:c>
      <x:c r="C1566" s="11" t="n">
        <x:v>0</x:v>
      </x:c>
      <x:c r="D1566" s="11" t="n">
        <x:v>7.65</x:v>
      </x:c>
      <x:c r="E1566" s="11" t="n">
        <x:v>-7.9430000000000005</x:v>
      </x:c>
      <x:c r="F1566" s="11" t="n">
        <x:f>SQRT((C1566-C1565)^2+(D1566-D1565)^2+(E1566-E1565)^2)</x:f>
        <x:v>0.2400000000000002</x:v>
      </x:c>
      <x:c r="G1566" s="8" t="str">
        <x:v>Current</x:v>
      </x:c>
    </x:row>
    <x:row r="1567" ht="32" customHeight="1">
      <x:c r="A1567" s="8" t="str">
        <x:v>drop:DB2:L6:light:-1:L222</x:v>
      </x:c>
      <x:c r="B1567" s="8" t="n">
        <x:v>6</x:v>
      </x:c>
      <x:c r="C1567" s="11" t="n">
        <x:v>0</x:v>
      </x:c>
      <x:c r="D1567" s="11" t="n">
        <x:v>8.4</x:v>
      </x:c>
      <x:c r="E1567" s="11" t="n">
        <x:v>-7.9430000000000005</x:v>
      </x:c>
      <x:c r="F1567" s="11" t="n">
        <x:f>SQRT((C1567-C1566)^2+(D1567-D1566)^2+(E1567-E1566)^2)</x:f>
        <x:v>0.75</x:v>
      </x:c>
      <x:c r="G1567" s="8" t="str">
        <x:v>Current</x:v>
      </x:c>
    </x:row>
    <x:row r="1568" ht="32" customHeight="1">
      <x:c r="A1568" s="8" t="str">
        <x:v>drop:DB2:L6:light:-1:L222</x:v>
      </x:c>
      <x:c r="B1568" s="8" t="n">
        <x:v>7</x:v>
      </x:c>
      <x:c r="C1568" s="11" t="n">
        <x:v>0.09</x:v>
      </x:c>
      <x:c r="D1568" s="11" t="n">
        <x:v>8.4</x:v>
      </x:c>
      <x:c r="E1568" s="11" t="n">
        <x:v>-7.9430000000000005</x:v>
      </x:c>
      <x:c r="F1568" s="11" t="n">
        <x:f>SQRT((C1568-C1567)^2+(D1568-D1567)^2+(E1568-E1567)^2)</x:f>
        <x:v>0.09</x:v>
      </x:c>
      <x:c r="G1568" s="8" t="str">
        <x:v>Current</x:v>
      </x:c>
    </x:row>
    <x:row r="1569" ht="32" customHeight="1">
      <x:c r="A1569" s="8" t="str">
        <x:v>drop:DB2:L6:light:-1:L222</x:v>
      </x:c>
      <x:c r="B1569" s="8" t="n">
        <x:v>8</x:v>
      </x:c>
      <x:c r="C1569" s="11" t="n">
        <x:v>0.09</x:v>
      </x:c>
      <x:c r="D1569" s="11" t="n">
        <x:v>8.4</x:v>
      </x:c>
      <x:c r="E1569" s="11" t="n">
        <x:v>-8.068000000000001</x:v>
      </x:c>
      <x:c r="F1569" s="11" t="n">
        <x:f>SQRT((C1569-C1568)^2+(D1569-D1568)^2+(E1569-E1568)^2)</x:f>
        <x:v>0.1250000000000009</x:v>
      </x:c>
      <x:c r="G1569" s="8" t="str">
        <x:v>Current</x:v>
      </x:c>
    </x:row>
    <x:row r="1570" ht="32" customHeight="1">
      <x:c r="A1570" s="8" t="str">
        <x:v>drop:DB2:L6:light:-1:L222</x:v>
      </x:c>
      <x:c r="B1570" s="8" t="n">
        <x:v>9</x:v>
      </x:c>
      <x:c r="C1570" s="11" t="n">
        <x:v>0.09</x:v>
      </x:c>
      <x:c r="D1570" s="11" t="n">
        <x:v>8.39</x:v>
      </x:c>
      <x:c r="E1570" s="11" t="n">
        <x:v>-8.068000000000001</x:v>
      </x:c>
      <x:c r="F1570" s="11" t="n">
        <x:f>SQRT((C1570-C1569)^2+(D1570-D1569)^2+(E1570-E1569)^2)</x:f>
        <x:v>0.009999999999999787</x:v>
      </x:c>
      <x:c r="G1570" s="8" t="str">
        <x:v>Current</x:v>
      </x:c>
    </x:row>
    <x:row r="1571" ht="32" customHeight="1">
      <x:c r="A1571" s="8" t="str">
        <x:v>drop:DB2:L6:light:-1:L222</x:v>
      </x:c>
      <x:c r="B1571" s="8" t="n">
        <x:v>10</x:v>
      </x:c>
      <x:c r="C1571" s="11" t="n">
        <x:v>0.09</x:v>
      </x:c>
      <x:c r="D1571" s="11" t="n">
        <x:v>8.39</x:v>
      </x:c>
      <x:c r="E1571" s="11" t="n">
        <x:v>-7.7</x:v>
      </x:c>
      <x:c r="F1571" s="11" t="n">
        <x:f>SQRT((C1571-C1570)^2+(D1571-D1570)^2+(E1571-E1570)^2)</x:f>
        <x:v>0.3680000000000012</x:v>
      </x:c>
      <x:c r="G1571" s="8" t="str">
        <x:v>Current</x:v>
      </x:c>
    </x:row>
    <x:row r="1572" ht="32" customHeight="1">
      <x:c r="A1572" s="8" t="str">
        <x:v>drop:DB2:L6:light:-1:L222</x:v>
      </x:c>
      <x:c r="B1572" s="8" t="n">
        <x:v>11</x:v>
      </x:c>
      <x:c r="C1572" s="11" t="n">
        <x:v>-0.15</x:v>
      </x:c>
      <x:c r="D1572" s="11" t="n">
        <x:v>8.39</x:v>
      </x:c>
      <x:c r="E1572" s="11" t="n">
        <x:v>-7.7</x:v>
      </x:c>
      <x:c r="F1572" s="11" t="n">
        <x:f>SQRT((C1572-C1571)^2+(D1572-D1571)^2+(E1572-E1571)^2)</x:f>
        <x:v>0.24</x:v>
      </x:c>
      <x:c r="G1572" s="8" t="str">
        <x:v>Current</x:v>
      </x:c>
    </x:row>
    <x:row r="1573" ht="32" customHeight="1">
      <x:c r="A1573" s="8" t="str">
        <x:v>drop:DB2:L6:light:-1:L223</x:v>
      </x:c>
      <x:c r="B1573" s="8" t="n">
        <x:v>1</x:v>
      </x:c>
      <x:c r="C1573" s="11" t="n">
        <x:v>2.35</x:v>
      </x:c>
      <x:c r="D1573" s="11" t="n">
        <x:v>5.964</x:v>
      </x:c>
      <x:c r="E1573" s="11" t="n">
        <x:v>-7.36</x:v>
      </x:c>
      <x:c r="F1573" s="11" t="n">
        <x:f>0</x:f>
        <x:v>0</x:v>
      </x:c>
      <x:c r="G1573" s="8" t="str">
        <x:v>Current</x:v>
      </x:c>
    </x:row>
    <x:row r="1574" ht="32" customHeight="1">
      <x:c r="A1574" s="8" t="str">
        <x:v>drop:DB2:L6:light:-1:L223</x:v>
      </x:c>
      <x:c r="B1574" s="8" t="n">
        <x:v>2</x:v>
      </x:c>
      <x:c r="C1574" s="11" t="n">
        <x:v>2.35</x:v>
      </x:c>
      <x:c r="D1574" s="11" t="n">
        <x:v>7.65</x:v>
      </x:c>
      <x:c r="E1574" s="11" t="n">
        <x:v>-7.36</x:v>
      </x:c>
      <x:c r="F1574" s="11" t="n">
        <x:f>SQRT((C1574-C1573)^2+(D1574-D1573)^2+(E1574-E1573)^2)</x:f>
        <x:v>1.686</x:v>
      </x:c>
      <x:c r="G1574" s="8" t="str">
        <x:v>Current</x:v>
      </x:c>
    </x:row>
    <x:row r="1575" ht="32" customHeight="1">
      <x:c r="A1575" s="8" t="str">
        <x:v>drop:DB2:L6:light:-1:L223</x:v>
      </x:c>
      <x:c r="B1575" s="8" t="n">
        <x:v>3</x:v>
      </x:c>
      <x:c r="C1575" s="11" t="n">
        <x:v>2.35</x:v>
      </x:c>
      <x:c r="D1575" s="11" t="n">
        <x:v>7.65</x:v>
      </x:c>
      <x:c r="E1575" s="11" t="n">
        <x:v>-7.703</x:v>
      </x:c>
      <x:c r="F1575" s="11" t="n">
        <x:f>SQRT((C1575-C1574)^2+(D1575-D1574)^2+(E1575-E1574)^2)</x:f>
        <x:v>0.34299999999999997</x:v>
      </x:c>
      <x:c r="G1575" s="8" t="str">
        <x:v>Current</x:v>
      </x:c>
    </x:row>
    <x:row r="1576" ht="32" customHeight="1">
      <x:c r="A1576" s="8" t="str">
        <x:v>drop:DB2:L6:light:-1:L223</x:v>
      </x:c>
      <x:c r="B1576" s="8" t="n">
        <x:v>4</x:v>
      </x:c>
      <x:c r="C1576" s="11" t="n">
        <x:v>0</x:v>
      </x:c>
      <x:c r="D1576" s="11" t="n">
        <x:v>7.65</x:v>
      </x:c>
      <x:c r="E1576" s="11" t="n">
        <x:v>-7.703</x:v>
      </x:c>
      <x:c r="F1576" s="11" t="n">
        <x:f>SQRT((C1576-C1575)^2+(D1576-D1575)^2+(E1576-E1575)^2)</x:f>
        <x:v>2.35</x:v>
      </x:c>
      <x:c r="G1576" s="8" t="str">
        <x:v>Current</x:v>
      </x:c>
    </x:row>
    <x:row r="1577" ht="32" customHeight="1">
      <x:c r="A1577" s="8" t="str">
        <x:v>drop:DB2:L6:light:-1:L223</x:v>
      </x:c>
      <x:c r="B1577" s="8" t="n">
        <x:v>5</x:v>
      </x:c>
      <x:c r="C1577" s="11" t="n">
        <x:v>0</x:v>
      </x:c>
      <x:c r="D1577" s="11" t="n">
        <x:v>7.65</x:v>
      </x:c>
      <x:c r="E1577" s="11" t="n">
        <x:v>-7.9430000000000005</x:v>
      </x:c>
      <x:c r="F1577" s="11" t="n">
        <x:f>SQRT((C1577-C1576)^2+(D1577-D1576)^2+(E1577-E1576)^2)</x:f>
        <x:v>0.2400000000000002</x:v>
      </x:c>
      <x:c r="G1577" s="8" t="str">
        <x:v>Current</x:v>
      </x:c>
    </x:row>
    <x:row r="1578" ht="32" customHeight="1">
      <x:c r="A1578" s="8" t="str">
        <x:v>drop:DB2:L6:light:-1:L223</x:v>
      </x:c>
      <x:c r="B1578" s="8" t="n">
        <x:v>6</x:v>
      </x:c>
      <x:c r="C1578" s="11" t="n">
        <x:v>0</x:v>
      </x:c>
      <x:c r="D1578" s="11" t="n">
        <x:v>8.4</x:v>
      </x:c>
      <x:c r="E1578" s="11" t="n">
        <x:v>-7.9430000000000005</x:v>
      </x:c>
      <x:c r="F1578" s="11" t="n">
        <x:f>SQRT((C1578-C1577)^2+(D1578-D1577)^2+(E1578-E1577)^2)</x:f>
        <x:v>0.75</x:v>
      </x:c>
      <x:c r="G1578" s="8" t="str">
        <x:v>Current</x:v>
      </x:c>
    </x:row>
    <x:row r="1579" ht="32" customHeight="1">
      <x:c r="A1579" s="8" t="str">
        <x:v>drop:DB2:L6:light:-1:L223</x:v>
      </x:c>
      <x:c r="B1579" s="8" t="n">
        <x:v>7</x:v>
      </x:c>
      <x:c r="C1579" s="11" t="n">
        <x:v>0.09</x:v>
      </x:c>
      <x:c r="D1579" s="11" t="n">
        <x:v>8.4</x:v>
      </x:c>
      <x:c r="E1579" s="11" t="n">
        <x:v>-7.9430000000000005</x:v>
      </x:c>
      <x:c r="F1579" s="11" t="n">
        <x:f>SQRT((C1579-C1578)^2+(D1579-D1578)^2+(E1579-E1578)^2)</x:f>
        <x:v>0.09</x:v>
      </x:c>
      <x:c r="G1579" s="8" t="str">
        <x:v>Current</x:v>
      </x:c>
    </x:row>
    <x:row r="1580" ht="32" customHeight="1">
      <x:c r="A1580" s="8" t="str">
        <x:v>drop:DB2:L6:light:-1:L223</x:v>
      </x:c>
      <x:c r="B1580" s="8" t="n">
        <x:v>8</x:v>
      </x:c>
      <x:c r="C1580" s="11" t="n">
        <x:v>0.09</x:v>
      </x:c>
      <x:c r="D1580" s="11" t="n">
        <x:v>8.4</x:v>
      </x:c>
      <x:c r="E1580" s="11" t="n">
        <x:v>-8.068000000000001</x:v>
      </x:c>
      <x:c r="F1580" s="11" t="n">
        <x:f>SQRT((C1580-C1579)^2+(D1580-D1579)^2+(E1580-E1579)^2)</x:f>
        <x:v>0.1250000000000009</x:v>
      </x:c>
      <x:c r="G1580" s="8" t="str">
        <x:v>Current</x:v>
      </x:c>
    </x:row>
    <x:row r="1581" ht="32" customHeight="1">
      <x:c r="A1581" s="8" t="str">
        <x:v>drop:DB2:L6:light:-1:L223</x:v>
      </x:c>
      <x:c r="B1581" s="8" t="n">
        <x:v>9</x:v>
      </x:c>
      <x:c r="C1581" s="11" t="n">
        <x:v>0.09</x:v>
      </x:c>
      <x:c r="D1581" s="11" t="n">
        <x:v>15.85</x:v>
      </x:c>
      <x:c r="E1581" s="11" t="n">
        <x:v>-8.068000000000001</x:v>
      </x:c>
      <x:c r="F1581" s="11" t="n">
        <x:f>SQRT((C1581-C1580)^2+(D1581-D1580)^2+(E1581-E1580)^2)</x:f>
        <x:v>7.449999999999999</x:v>
      </x:c>
      <x:c r="G1581" s="8" t="str">
        <x:v>Current</x:v>
      </x:c>
    </x:row>
    <x:row r="1582" ht="32" customHeight="1">
      <x:c r="A1582" s="8" t="str">
        <x:v>drop:DB2:L6:light:-1:L223</x:v>
      </x:c>
      <x:c r="B1582" s="8" t="n">
        <x:v>10</x:v>
      </x:c>
      <x:c r="C1582" s="11" t="n">
        <x:v>0.19</x:v>
      </x:c>
      <x:c r="D1582" s="11" t="n">
        <x:v>15.85</x:v>
      </x:c>
      <x:c r="E1582" s="11" t="n">
        <x:v>-8.068000000000001</x:v>
      </x:c>
      <x:c r="F1582" s="11" t="n">
        <x:f>SQRT((C1582-C1581)^2+(D1582-D1581)^2+(E1582-E1581)^2)</x:f>
        <x:v>0.1</x:v>
      </x:c>
      <x:c r="G1582" s="8" t="str">
        <x:v>Current</x:v>
      </x:c>
    </x:row>
    <x:row r="1583" ht="32" customHeight="1">
      <x:c r="A1583" s="8" t="str">
        <x:v>drop:DB2:L6:light:-1:L223</x:v>
      </x:c>
      <x:c r="B1583" s="8" t="n">
        <x:v>11</x:v>
      </x:c>
      <x:c r="C1583" s="11" t="n">
        <x:v>0.19</x:v>
      </x:c>
      <x:c r="D1583" s="11" t="n">
        <x:v>15.85</x:v>
      </x:c>
      <x:c r="E1583" s="11" t="n">
        <x:v>-8.168000000000001</x:v>
      </x:c>
      <x:c r="F1583" s="11" t="n">
        <x:f>SQRT((C1583-C1582)^2+(D1583-D1582)^2+(E1583-E1582)^2)</x:f>
        <x:v>0.09999999999999964</x:v>
      </x:c>
      <x:c r="G1583" s="8" t="str">
        <x:v>Current</x:v>
      </x:c>
    </x:row>
    <x:row r="1584" ht="32" customHeight="1">
      <x:c r="A1584" s="8" t="str">
        <x:v>drop:DB2:L6:light:-1:L223</x:v>
      </x:c>
      <x:c r="B1584" s="8" t="n">
        <x:v>12</x:v>
      </x:c>
      <x:c r="C1584" s="11" t="n">
        <x:v>0.19</x:v>
      </x:c>
      <x:c r="D1584" s="11" t="n">
        <x:v>15.84</x:v>
      </x:c>
      <x:c r="E1584" s="11" t="n">
        <x:v>-8.168000000000001</x:v>
      </x:c>
      <x:c r="F1584" s="11" t="n">
        <x:f>SQRT((C1584-C1583)^2+(D1584-D1583)^2+(E1584-E1583)^2)</x:f>
        <x:v>0.009999999999999787</x:v>
      </x:c>
      <x:c r="G1584" s="8" t="str">
        <x:v>Current</x:v>
      </x:c>
    </x:row>
    <x:row r="1585" ht="32" customHeight="1">
      <x:c r="A1585" s="8" t="str">
        <x:v>drop:DB2:L6:light:-1:L223</x:v>
      </x:c>
      <x:c r="B1585" s="8" t="n">
        <x:v>13</x:v>
      </x:c>
      <x:c r="C1585" s="11" t="n">
        <x:v>0.19</x:v>
      </x:c>
      <x:c r="D1585" s="11" t="n">
        <x:v>15.84</x:v>
      </x:c>
      <x:c r="E1585" s="11" t="n">
        <x:v>-7.7</x:v>
      </x:c>
      <x:c r="F1585" s="11" t="n">
        <x:f>SQRT((C1585-C1584)^2+(D1585-D1584)^2+(E1585-E1584)^2)</x:f>
        <x:v>0.46800000000000086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14</x:v>
      </x:c>
      <x:c r="C1586" s="11" t="n">
        <x:v>-0.1</x:v>
      </x:c>
      <x:c r="D1586" s="11" t="n">
        <x:v>15.84</x:v>
      </x:c>
      <x:c r="E1586" s="11" t="n">
        <x:v>-7.7</x:v>
      </x:c>
      <x:c r="F1586" s="11" t="n">
        <x:f>SQRT((C1586-C1585)^2+(D1586-D1585)^2+(E1586-E1585)^2)</x:f>
        <x:v>0.29000000000000004</x:v>
      </x:c>
      <x:c r="G1586" s="8" t="str">
        <x:v>Current</x:v>
      </x:c>
    </x:row>
    <x:row r="1587" ht="32" customHeight="1">
      <x:c r="A1587" s="8" t="str">
        <x:v>trunk:DB2:L6:light:1</x:v>
      </x:c>
      <x:c r="B1587" s="8" t="n">
        <x:v>1</x:v>
      </x:c>
      <x:c r="C1587" s="11" t="n">
        <x:v>0.24</x:v>
      </x:c>
      <x:c r="D1587" s="11" t="n">
        <x:v>1.5</x:v>
      </x:c>
      <x:c r="E1587" s="11" t="n">
        <x:v>9.25</x:v>
      </x:c>
      <x:c r="F1587" s="11" t="n">
        <x:f>0</x:f>
        <x:v>0</x:v>
      </x:c>
      <x:c r="G1587" s="8" t="str">
        <x:v>Current</x:v>
      </x:c>
    </x:row>
    <x:row r="1588" ht="32" customHeight="1">
      <x:c r="A1588" s="8" t="str">
        <x:v>trunk:DB2:L6:light:1</x:v>
      </x:c>
      <x:c r="B1588" s="8" t="n">
        <x:v>2</x:v>
      </x:c>
      <x:c r="C1588" s="11" t="n">
        <x:v>2.35</x:v>
      </x:c>
      <x:c r="D1588" s="11" t="n">
        <x:v>1.5</x:v>
      </x:c>
      <x:c r="E1588" s="11" t="n">
        <x:v>9.25</x:v>
      </x:c>
      <x:c r="F1588" s="11" t="n">
        <x:f>SQRT((C1588-C1587)^2+(D1588-D1587)^2+(E1588-E1587)^2)</x:f>
        <x:v>2.1100000000000003</x:v>
      </x:c>
      <x:c r="G1588" s="8" t="str">
        <x:v>Current</x:v>
      </x:c>
    </x:row>
    <x:row r="1589" ht="32" customHeight="1">
      <x:c r="A1589" s="8" t="str">
        <x:v>trunk:DB2:L6:light:1</x:v>
      </x:c>
      <x:c r="B1589" s="8" t="n">
        <x:v>3</x:v>
      </x:c>
      <x:c r="C1589" s="11" t="n">
        <x:v>2.35</x:v>
      </x:c>
      <x:c r="D1589" s="11" t="n">
        <x:v>7.65</x:v>
      </x:c>
      <x:c r="E1589" s="11" t="n">
        <x:v>9.25</x:v>
      </x:c>
      <x:c r="F1589" s="11" t="n">
        <x:f>SQRT((C1589-C1588)^2+(D1589-D1588)^2+(E1589-E1588)^2)</x:f>
        <x:v>6.15</x:v>
      </x:c>
      <x:c r="G1589" s="8" t="str">
        <x:v>Current</x:v>
      </x:c>
    </x:row>
    <x:row r="1590" ht="32" customHeight="1">
      <x:c r="A1590" s="8" t="str">
        <x:v>trunk:DB2:L6:light:1</x:v>
      </x:c>
      <x:c r="B1590" s="8" t="n">
        <x:v>4</x:v>
      </x:c>
      <x:c r="C1590" s="11" t="n">
        <x:v>2.35</x:v>
      </x:c>
      <x:c r="D1590" s="11" t="n">
        <x:v>7.65</x:v>
      </x:c>
      <x:c r="E1590" s="11" t="n">
        <x:v>7.36</x:v>
      </x:c>
      <x:c r="F1590" s="11" t="n">
        <x:f>SQRT((C1590-C1589)^2+(D1590-D1589)^2+(E1590-E1589)^2)</x:f>
        <x:v>1.8899999999999997</x:v>
      </x:c>
      <x:c r="G1590" s="8" t="str">
        <x:v>Current</x:v>
      </x:c>
    </x:row>
    <x:row r="1591" ht="32" customHeight="1">
      <x:c r="A1591" s="8" t="str">
        <x:v>trunk:DB2:L6:light:1</x:v>
      </x:c>
      <x:c r="B1591" s="8" t="n">
        <x:v>5</x:v>
      </x:c>
      <x:c r="C1591" s="11" t="n">
        <x:v>2.35</x:v>
      </x:c>
      <x:c r="D1591" s="11" t="n">
        <x:v>5.964</x:v>
      </x:c>
      <x:c r="E1591" s="11" t="n">
        <x:v>7.36</x:v>
      </x:c>
      <x:c r="F1591" s="11" t="n">
        <x:f>SQRT((C1591-C1590)^2+(D1591-D1590)^2+(E1591-E1590)^2)</x:f>
        <x:v>1.686</x:v>
      </x:c>
      <x:c r="G1591" s="8" t="str">
        <x:v>Current</x:v>
      </x:c>
    </x:row>
    <x:row r="1592" ht="32" customHeight="1">
      <x:c r="A1592" s="8" t="str">
        <x:v>trunk:DB2:L6:light:1</x:v>
      </x:c>
      <x:c r="B1592" s="8" t="n">
        <x:v>6</x:v>
      </x:c>
      <x:c r="C1592" s="11" t="n">
        <x:v>3.75</x:v>
      </x:c>
      <x:c r="D1592" s="11" t="n">
        <x:v>5.964</x:v>
      </x:c>
      <x:c r="E1592" s="11" t="n">
        <x:v>7.36</x:v>
      </x:c>
      <x:c r="F1592" s="11" t="n">
        <x:f>SQRT((C1592-C1591)^2+(D1592-D1591)^2+(E1592-E1591)^2)</x:f>
        <x:v>1.4</x:v>
      </x:c>
      <x:c r="G1592" s="8" t="str">
        <x:v>Current</x:v>
      </x:c>
    </x:row>
    <x:row r="1593" ht="32" customHeight="1">
      <x:c r="A1593" s="8" t="str">
        <x:v>drop:DB2:L6:light:1:L171</x:v>
      </x:c>
      <x:c r="B1593" s="8" t="n">
        <x:v>1</x:v>
      </x:c>
      <x:c r="C1593" s="11" t="n">
        <x:v>2.35</x:v>
      </x:c>
      <x:c r="D1593" s="11" t="n">
        <x:v>5.964</x:v>
      </x:c>
      <x:c r="E1593" s="11" t="n">
        <x:v>7.36</x:v>
      </x:c>
      <x:c r="F1593" s="11" t="n">
        <x:f>0</x:f>
        <x:v>0</x:v>
      </x:c>
      <x:c r="G1593" s="8" t="str">
        <x:v>Current</x:v>
      </x:c>
    </x:row>
    <x:row r="1594" ht="32" customHeight="1">
      <x:c r="A1594" s="8" t="str">
        <x:v>drop:DB2:L6:light:1:L171</x:v>
      </x:c>
      <x:c r="B1594" s="8" t="n">
        <x:v>2</x:v>
      </x:c>
      <x:c r="C1594" s="11" t="n">
        <x:v>2.35</x:v>
      </x:c>
      <x:c r="D1594" s="11" t="n">
        <x:v>7.65</x:v>
      </x:c>
      <x:c r="E1594" s="11" t="n">
        <x:v>7.36</x:v>
      </x:c>
      <x:c r="F1594" s="11" t="n">
        <x:f>SQRT((C1594-C1593)^2+(D1594-D1593)^2+(E1594-E1593)^2)</x:f>
        <x:v>1.686</x:v>
      </x:c>
      <x:c r="G1594" s="8" t="str">
        <x:v>Current</x:v>
      </x:c>
    </x:row>
    <x:row r="1595" ht="32" customHeight="1">
      <x:c r="A1595" s="8" t="str">
        <x:v>drop:DB2:L6:light:1:L171</x:v>
      </x:c>
      <x:c r="B1595" s="8" t="n">
        <x:v>3</x:v>
      </x:c>
      <x:c r="C1595" s="11" t="n">
        <x:v>2.35</x:v>
      </x:c>
      <x:c r="D1595" s="11" t="n">
        <x:v>7.65</x:v>
      </x:c>
      <x:c r="E1595" s="11" t="n">
        <x:v>7.703</x:v>
      </x:c>
      <x:c r="F1595" s="11" t="n">
        <x:f>SQRT((C1595-C1594)^2+(D1595-D1594)^2+(E1595-E1594)^2)</x:f>
        <x:v>0.34299999999999997</x:v>
      </x:c>
      <x:c r="G1595" s="8" t="str">
        <x:v>Current</x:v>
      </x:c>
    </x:row>
    <x:row r="1596" ht="32" customHeight="1">
      <x:c r="A1596" s="8" t="str">
        <x:v>drop:DB2:L6:light:1:L171</x:v>
      </x:c>
      <x:c r="B1596" s="8" t="n">
        <x:v>4</x:v>
      </x:c>
      <x:c r="C1596" s="11" t="n">
        <x:v>0</x:v>
      </x:c>
      <x:c r="D1596" s="11" t="n">
        <x:v>7.65</x:v>
      </x:c>
      <x:c r="E1596" s="11" t="n">
        <x:v>7.703</x:v>
      </x:c>
      <x:c r="F1596" s="11" t="n">
        <x:f>SQRT((C1596-C1595)^2+(D1596-D1595)^2+(E1596-E1595)^2)</x:f>
        <x:v>2.35</x:v>
      </x:c>
      <x:c r="G1596" s="8" t="str">
        <x:v>Current</x:v>
      </x:c>
    </x:row>
    <x:row r="1597" ht="32" customHeight="1">
      <x:c r="A1597" s="8" t="str">
        <x:v>drop:DB2:L6:light:1:L171</x:v>
      </x:c>
      <x:c r="B1597" s="8" t="n">
        <x:v>5</x:v>
      </x:c>
      <x:c r="C1597" s="11" t="n">
        <x:v>0</x:v>
      </x:c>
      <x:c r="D1597" s="11" t="n">
        <x:v>7.65</x:v>
      </x:c>
      <x:c r="E1597" s="11" t="n">
        <x:v>12.363</x:v>
      </x:c>
      <x:c r="F1597" s="11" t="n">
        <x:f>SQRT((C1597-C1596)^2+(D1597-D1596)^2+(E1597-E1596)^2)</x:f>
        <x:v>4.659999999999999</x:v>
      </x:c>
      <x:c r="G1597" s="8" t="str">
        <x:v>Current</x:v>
      </x:c>
    </x:row>
    <x:row r="1598" ht="32" customHeight="1">
      <x:c r="A1598" s="8" t="str">
        <x:v>drop:DB2:L6:light:1:L171</x:v>
      </x:c>
      <x:c r="B1598" s="8" t="n">
        <x:v>6</x:v>
      </x:c>
      <x:c r="C1598" s="11" t="n">
        <x:v>0</x:v>
      </x:c>
      <x:c r="D1598" s="11" t="n">
        <x:v>8.4</x:v>
      </x:c>
      <x:c r="E1598" s="11" t="n">
        <x:v>12.363</x:v>
      </x:c>
      <x:c r="F1598" s="11" t="n">
        <x:f>SQRT((C1598-C1597)^2+(D1598-D1597)^2+(E1598-E1597)^2)</x:f>
        <x:v>0.75</x:v>
      </x:c>
      <x:c r="G1598" s="8" t="str">
        <x:v>Current</x:v>
      </x:c>
    </x:row>
    <x:row r="1599" ht="32" customHeight="1">
      <x:c r="A1599" s="8" t="str">
        <x:v>drop:DB2:L6:light:1:L171</x:v>
      </x:c>
      <x:c r="B1599" s="8" t="n">
        <x:v>7</x:v>
      </x:c>
      <x:c r="C1599" s="11" t="n">
        <x:v>0.09</x:v>
      </x:c>
      <x:c r="D1599" s="11" t="n">
        <x:v>8.4</x:v>
      </x:c>
      <x:c r="E1599" s="11" t="n">
        <x:v>12.363</x:v>
      </x:c>
      <x:c r="F1599" s="11" t="n">
        <x:f>SQRT((C1599-C1598)^2+(D1599-D1598)^2+(E1599-E1598)^2)</x:f>
        <x:v>0.09</x:v>
      </x:c>
      <x:c r="G1599" s="8" t="str">
        <x:v>Current</x:v>
      </x:c>
    </x:row>
    <x:row r="1600" ht="32" customHeight="1">
      <x:c r="A1600" s="8" t="str">
        <x:v>drop:DB2:L6:light:1:L171</x:v>
      </x:c>
      <x:c r="B1600" s="8" t="n">
        <x:v>8</x:v>
      </x:c>
      <x:c r="C1600" s="11" t="n">
        <x:v>0.09</x:v>
      </x:c>
      <x:c r="D1600" s="11" t="n">
        <x:v>8.4</x:v>
      </x:c>
      <x:c r="E1600" s="11" t="n">
        <x:v>12.238</x:v>
      </x:c>
      <x:c r="F1600" s="11" t="n">
        <x:f>SQRT((C1600-C1599)^2+(D1600-D1599)^2+(E1600-E1599)^2)</x:f>
        <x:v>0.125</x:v>
      </x:c>
      <x:c r="G1600" s="8" t="str">
        <x:v>Current</x:v>
      </x:c>
    </x:row>
    <x:row r="1601" ht="32" customHeight="1">
      <x:c r="A1601" s="8" t="str">
        <x:v>drop:DB2:L6:light:1:L171</x:v>
      </x:c>
      <x:c r="B1601" s="8" t="n">
        <x:v>9</x:v>
      </x:c>
      <x:c r="C1601" s="11" t="n">
        <x:v>0.09</x:v>
      </x:c>
      <x:c r="D1601" s="11" t="n">
        <x:v>8.39</x:v>
      </x:c>
      <x:c r="E1601" s="11" t="n">
        <x:v>12.238</x:v>
      </x:c>
      <x:c r="F1601" s="11" t="n">
        <x:f>SQRT((C1601-C1600)^2+(D1601-D1600)^2+(E1601-E1600)^2)</x:f>
        <x:v>0.009999999999999787</x:v>
      </x:c>
      <x:c r="G1601" s="8" t="str">
        <x:v>Current</x:v>
      </x:c>
    </x:row>
    <x:row r="1602" ht="32" customHeight="1">
      <x:c r="A1602" s="8" t="str">
        <x:v>drop:DB2:L6:light:1:L171</x:v>
      </x:c>
      <x:c r="B1602" s="8" t="n">
        <x:v>10</x:v>
      </x:c>
      <x:c r="C1602" s="11" t="n">
        <x:v>0.09</x:v>
      </x:c>
      <x:c r="D1602" s="11" t="n">
        <x:v>8.39</x:v>
      </x:c>
      <x:c r="E1602" s="11" t="n">
        <x:v>11.453000000000001</x:v>
      </x:c>
      <x:c r="F1602" s="11" t="n">
        <x:f>SQRT((C1602-C1601)^2+(D1602-D1601)^2+(E1602-E1601)^2)</x:f>
        <x:v>0.7849999999999984</x:v>
      </x:c>
      <x:c r="G1602" s="8" t="str">
        <x:v>Current</x:v>
      </x:c>
    </x:row>
    <x:row r="1603" ht="32" customHeight="1">
      <x:c r="A1603" s="8" t="str">
        <x:v>drop:DB2:L6:light:1:L171</x:v>
      </x:c>
      <x:c r="B1603" s="8" t="n">
        <x:v>11</x:v>
      </x:c>
      <x:c r="C1603" s="11" t="n">
        <x:v>-0.34</x:v>
      </x:c>
      <x:c r="D1603" s="11" t="n">
        <x:v>8.39</x:v>
      </x:c>
      <x:c r="E1603" s="11" t="n">
        <x:v>11.453000000000001</x:v>
      </x:c>
      <x:c r="F1603" s="11" t="n">
        <x:f>SQRT((C1603-C1602)^2+(D1603-D1602)^2+(E1603-E1602)^2)</x:f>
        <x:v>0.43000000000000005</x:v>
      </x:c>
      <x:c r="G1603" s="8" t="str">
        <x:v>Current</x:v>
      </x:c>
    </x:row>
    <x:row r="1604" ht="32" customHeight="1">
      <x:c r="A1604" s="8" t="str">
        <x:v>drop:DB2:L6:light:1:L172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drop:DB2:L6:light:1:L172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drop:DB2:L6:light:1:L172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drop:DB2:L6:light:1:L172</x:v>
      </x:c>
      <x:c r="B1607" s="8" t="n">
        <x:v>4</x:v>
      </x:c>
      <x:c r="C1607" s="11" t="n">
        <x:v>0</x:v>
      </x:c>
      <x:c r="D1607" s="11" t="n">
        <x:v>7.65</x:v>
      </x:c>
      <x:c r="E1607" s="11" t="n">
        <x:v>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drop:DB2:L6:light:1:L172</x:v>
      </x:c>
      <x:c r="B1608" s="8" t="n">
        <x:v>5</x:v>
      </x:c>
      <x:c r="C1608" s="11" t="n">
        <x:v>0</x:v>
      </x:c>
      <x:c r="D1608" s="11" t="n">
        <x:v>7.65</x:v>
      </x:c>
      <x:c r="E1608" s="11" t="n">
        <x:v>12.363</x:v>
      </x:c>
      <x:c r="F1608" s="11" t="n">
        <x:f>SQRT((C1608-C1607)^2+(D1608-D1607)^2+(E1608-E1607)^2)</x:f>
        <x:v>4.659999999999999</x:v>
      </x:c>
      <x:c r="G1608" s="8" t="str">
        <x:v>Current</x:v>
      </x:c>
    </x:row>
    <x:row r="1609" ht="32" customHeight="1">
      <x:c r="A1609" s="8" t="str">
        <x:v>drop:DB2:L6:light:1:L172</x:v>
      </x:c>
      <x:c r="B1609" s="8" t="n">
        <x:v>6</x:v>
      </x:c>
      <x:c r="C1609" s="11" t="n">
        <x:v>0</x:v>
      </x:c>
      <x:c r="D1609" s="11" t="n">
        <x:v>8.4</x:v>
      </x:c>
      <x:c r="E1609" s="11" t="n">
        <x:v>12.363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drop:DB2:L6:light:1:L172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12.363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drop:DB2:L6:light:1:L172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12.238</x:v>
      </x:c>
      <x:c r="F1611" s="11" t="n">
        <x:f>SQRT((C1611-C1610)^2+(D1611-D1610)^2+(E1611-E1610)^2)</x:f>
        <x:v>0.125</x:v>
      </x:c>
      <x:c r="G1611" s="8" t="str">
        <x:v>Current</x:v>
      </x:c>
    </x:row>
    <x:row r="1612" ht="32" customHeight="1">
      <x:c r="A1612" s="8" t="str">
        <x:v>drop:DB2:L6:light:1:L172</x:v>
      </x:c>
      <x:c r="B1612" s="8" t="n">
        <x:v>9</x:v>
      </x:c>
      <x:c r="C1612" s="11" t="n">
        <x:v>0.09</x:v>
      </x:c>
      <x:c r="D1612" s="11" t="n">
        <x:v>8.39</x:v>
      </x:c>
      <x:c r="E1612" s="11" t="n">
        <x:v>12.238</x:v>
      </x:c>
      <x:c r="F1612" s="11" t="n">
        <x:f>SQRT((C1612-C1611)^2+(D1612-D1611)^2+(E1612-E1611)^2)</x:f>
        <x:v>0.009999999999999787</x:v>
      </x:c>
      <x:c r="G1612" s="8" t="str">
        <x:v>Current</x:v>
      </x:c>
    </x:row>
    <x:row r="1613" ht="32" customHeight="1">
      <x:c r="A1613" s="8" t="str">
        <x:v>drop:DB2:L6:light:1:L172</x:v>
      </x:c>
      <x:c r="B1613" s="8" t="n">
        <x:v>10</x:v>
      </x:c>
      <x:c r="C1613" s="11" t="n">
        <x:v>0.09</x:v>
      </x:c>
      <x:c r="D1613" s="11" t="n">
        <x:v>8.39</x:v>
      </x:c>
      <x:c r="E1613" s="11" t="n">
        <x:v>10.153</x:v>
      </x:c>
      <x:c r="F1613" s="11" t="n">
        <x:f>SQRT((C1613-C1612)^2+(D1613-D1612)^2+(E1613-E1612)^2)</x:f>
        <x:v>2.084999999999999</x:v>
      </x:c>
      <x:c r="G1613" s="8" t="str">
        <x:v>Current</x:v>
      </x:c>
    </x:row>
    <x:row r="1614" ht="32" customHeight="1">
      <x:c r="A1614" s="8" t="str">
        <x:v>drop:DB2:L6:light:1:L172</x:v>
      </x:c>
      <x:c r="B1614" s="8" t="n">
        <x:v>11</x:v>
      </x:c>
      <x:c r="C1614" s="11" t="n">
        <x:v>-0.34</x:v>
      </x:c>
      <x:c r="D1614" s="11" t="n">
        <x:v>8.39</x:v>
      </x:c>
      <x:c r="E1614" s="11" t="n">
        <x:v>10.153</x:v>
      </x:c>
      <x:c r="F1614" s="11" t="n">
        <x:f>SQRT((C1614-C1613)^2+(D1614-D1613)^2+(E1614-E1613)^2)</x:f>
        <x:v>0.43000000000000005</x:v>
      </x:c>
      <x:c r="G1614" s="8" t="str">
        <x:v>Current</x:v>
      </x:c>
    </x:row>
    <x:row r="1615" ht="32" customHeight="1">
      <x:c r="A1615" s="8" t="str">
        <x:v>drop:DB2:L6:light:1:L173</x:v>
      </x:c>
      <x:c r="B1615" s="8" t="n">
        <x:v>1</x:v>
      </x:c>
      <x:c r="C1615" s="11" t="n">
        <x:v>2.35</x:v>
      </x:c>
      <x:c r="D1615" s="11" t="n">
        <x:v>5.964</x:v>
      </x:c>
      <x:c r="E1615" s="11" t="n">
        <x:v>7.36</x:v>
      </x:c>
      <x:c r="F1615" s="11" t="n">
        <x:f>0</x:f>
        <x:v>0</x:v>
      </x:c>
      <x:c r="G1615" s="8" t="str">
        <x:v>Current</x:v>
      </x:c>
    </x:row>
    <x:row r="1616" ht="32" customHeight="1">
      <x:c r="A1616" s="8" t="str">
        <x:v>drop:DB2:L6:light:1:L173</x:v>
      </x:c>
      <x:c r="B1616" s="8" t="n">
        <x:v>2</x:v>
      </x:c>
      <x:c r="C1616" s="11" t="n">
        <x:v>2.35</x:v>
      </x:c>
      <x:c r="D1616" s="11" t="n">
        <x:v>7.65</x:v>
      </x:c>
      <x:c r="E1616" s="11" t="n">
        <x:v>7.36</x:v>
      </x:c>
      <x:c r="F1616" s="11" t="n">
        <x:f>SQRT((C1616-C1615)^2+(D1616-D1615)^2+(E1616-E1615)^2)</x:f>
        <x:v>1.686</x:v>
      </x:c>
      <x:c r="G1616" s="8" t="str">
        <x:v>Current</x:v>
      </x:c>
    </x:row>
    <x:row r="1617" ht="32" customHeight="1">
      <x:c r="A1617" s="8" t="str">
        <x:v>drop:DB2:L6:light:1:L173</x:v>
      </x:c>
      <x:c r="B1617" s="8" t="n">
        <x:v>3</x:v>
      </x:c>
      <x:c r="C1617" s="11" t="n">
        <x:v>2.35</x:v>
      </x:c>
      <x:c r="D1617" s="11" t="n">
        <x:v>7.65</x:v>
      </x:c>
      <x:c r="E1617" s="11" t="n">
        <x:v>7.703</x:v>
      </x:c>
      <x:c r="F1617" s="11" t="n">
        <x:f>SQRT((C1617-C1616)^2+(D1617-D1616)^2+(E1617-E1616)^2)</x:f>
        <x:v>0.34299999999999997</x:v>
      </x:c>
      <x:c r="G1617" s="8" t="str">
        <x:v>Current</x:v>
      </x:c>
    </x:row>
    <x:row r="1618" ht="32" customHeight="1">
      <x:c r="A1618" s="8" t="str">
        <x:v>drop:DB2:L6:light:1:L173</x:v>
      </x:c>
      <x:c r="B1618" s="8" t="n">
        <x:v>4</x:v>
      </x:c>
      <x:c r="C1618" s="11" t="n">
        <x:v>0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2.35</x:v>
      </x:c>
      <x:c r="G1618" s="8" t="str">
        <x:v>Current</x:v>
      </x:c>
    </x:row>
    <x:row r="1619" ht="32" customHeight="1">
      <x:c r="A1619" s="8" t="str">
        <x:v>drop:DB2:L6:light:1:L173</x:v>
      </x:c>
      <x:c r="B1619" s="8" t="n">
        <x:v>5</x:v>
      </x:c>
      <x:c r="C1619" s="11" t="n">
        <x:v>0</x:v>
      </x:c>
      <x:c r="D1619" s="11" t="n">
        <x:v>7.65</x:v>
      </x:c>
      <x:c r="E1619" s="11" t="n">
        <x:v>12.363</x:v>
      </x:c>
      <x:c r="F1619" s="11" t="n">
        <x:f>SQRT((C1619-C1618)^2+(D1619-D1618)^2+(E1619-E1618)^2)</x:f>
        <x:v>4.659999999999999</x:v>
      </x:c>
      <x:c r="G1619" s="8" t="str">
        <x:v>Current</x:v>
      </x:c>
    </x:row>
    <x:row r="1620" ht="32" customHeight="1">
      <x:c r="A1620" s="8" t="str">
        <x:v>drop:DB2:L6:light:1:L173</x:v>
      </x:c>
      <x:c r="B1620" s="8" t="n">
        <x:v>6</x:v>
      </x:c>
      <x:c r="C1620" s="11" t="n">
        <x:v>0</x:v>
      </x:c>
      <x:c r="D1620" s="11" t="n">
        <x:v>8.4</x:v>
      </x:c>
      <x:c r="E1620" s="11" t="n">
        <x:v>12.363</x:v>
      </x:c>
      <x:c r="F1620" s="11" t="n">
        <x:f>SQRT((C1620-C1619)^2+(D1620-D1619)^2+(E1620-E1619)^2)</x:f>
        <x:v>0.75</x:v>
      </x:c>
      <x:c r="G1620" s="8" t="str">
        <x:v>Current</x:v>
      </x:c>
    </x:row>
    <x:row r="1621" ht="32" customHeight="1">
      <x:c r="A1621" s="8" t="str">
        <x:v>drop:DB2:L6:light:1:L173</x:v>
      </x:c>
      <x:c r="B1621" s="8" t="n">
        <x:v>7</x:v>
      </x:c>
      <x:c r="C1621" s="11" t="n">
        <x:v>0.09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0.09</x:v>
      </x:c>
      <x:c r="G1621" s="8" t="str">
        <x:v>Current</x:v>
      </x:c>
    </x:row>
    <x:row r="1622" ht="32" customHeight="1">
      <x:c r="A1622" s="8" t="str">
        <x:v>drop:DB2:L6:light:1:L173</x:v>
      </x:c>
      <x:c r="B1622" s="8" t="n">
        <x:v>8</x:v>
      </x:c>
      <x:c r="C1622" s="11" t="n">
        <x:v>0.09</x:v>
      </x:c>
      <x:c r="D1622" s="11" t="n">
        <x:v>8.4</x:v>
      </x:c>
      <x:c r="E1622" s="11" t="n">
        <x:v>12.238</x:v>
      </x:c>
      <x:c r="F1622" s="11" t="n">
        <x:f>SQRT((C1622-C1621)^2+(D1622-D1621)^2+(E1622-E1621)^2)</x:f>
        <x:v>0.125</x:v>
      </x:c>
      <x:c r="G1622" s="8" t="str">
        <x:v>Current</x:v>
      </x:c>
    </x:row>
    <x:row r="1623" ht="32" customHeight="1">
      <x:c r="A1623" s="8" t="str">
        <x:v>drop:DB2:L6:light:1:L173</x:v>
      </x:c>
      <x:c r="B1623" s="8" t="n">
        <x:v>9</x:v>
      </x:c>
      <x:c r="C1623" s="11" t="n">
        <x:v>0.09</x:v>
      </x:c>
      <x:c r="D1623" s="11" t="n">
        <x:v>15.85</x:v>
      </x:c>
      <x:c r="E1623" s="11" t="n">
        <x:v>12.238</x:v>
      </x:c>
      <x:c r="F1623" s="11" t="n">
        <x:f>SQRT((C1623-C1622)^2+(D1623-D1622)^2+(E1623-E1622)^2)</x:f>
        <x:v>7.449999999999999</x:v>
      </x:c>
      <x:c r="G1623" s="8" t="str">
        <x:v>Current</x:v>
      </x:c>
    </x:row>
    <x:row r="1624" ht="32" customHeight="1">
      <x:c r="A1624" s="8" t="str">
        <x:v>drop:DB2:L6:light:1:L173</x:v>
      </x:c>
      <x:c r="B1624" s="8" t="n">
        <x:v>10</x:v>
      </x:c>
      <x:c r="C1624" s="11" t="n">
        <x:v>0.19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0.1</x:v>
      </x:c>
      <x:c r="G1624" s="8" t="str">
        <x:v>Current</x:v>
      </x:c>
    </x:row>
    <x:row r="1625" ht="32" customHeight="1">
      <x:c r="A1625" s="8" t="str">
        <x:v>drop:DB2:L6:light:1:L173</x:v>
      </x:c>
      <x:c r="B1625" s="8" t="n">
        <x:v>11</x:v>
      </x:c>
      <x:c r="C1625" s="11" t="n">
        <x:v>0.19</x:v>
      </x:c>
      <x:c r="D1625" s="11" t="n">
        <x:v>15.85</x:v>
      </x:c>
      <x:c r="E1625" s="11" t="n">
        <x:v>12.138</x:v>
      </x:c>
      <x:c r="F1625" s="11" t="n">
        <x:f>SQRT((C1625-C1624)^2+(D1625-D1624)^2+(E1625-E1624)^2)</x:f>
        <x:v>0.09999999999999964</x:v>
      </x:c>
      <x:c r="G1625" s="8" t="str">
        <x:v>Current</x:v>
      </x:c>
    </x:row>
    <x:row r="1626" ht="32" customHeight="1">
      <x:c r="A1626" s="8" t="str">
        <x:v>drop:DB2:L6:light:1:L173</x:v>
      </x:c>
      <x:c r="B1626" s="8" t="n">
        <x:v>12</x:v>
      </x:c>
      <x:c r="C1626" s="11" t="n">
        <x:v>0.19</x:v>
      </x:c>
      <x:c r="D1626" s="11" t="n">
        <x:v>15.84</x:v>
      </x:c>
      <x:c r="E1626" s="11" t="n">
        <x:v>12.138</x:v>
      </x:c>
      <x:c r="F1626" s="11" t="n">
        <x:f>SQRT((C1626-C1625)^2+(D1626-D1625)^2+(E1626-E1625)^2)</x:f>
        <x:v>0.009999999999999787</x:v>
      </x:c>
      <x:c r="G1626" s="8" t="str">
        <x:v>Current</x:v>
      </x:c>
    </x:row>
    <x:row r="1627" ht="32" customHeight="1">
      <x:c r="A1627" s="8" t="str">
        <x:v>drop:DB2:L6:light:1:L173</x:v>
      </x:c>
      <x:c r="B1627" s="8" t="n">
        <x:v>13</x:v>
      </x:c>
      <x:c r="C1627" s="11" t="n">
        <x:v>0.19</x:v>
      </x:c>
      <x:c r="D1627" s="11" t="n">
        <x:v>15.84</x:v>
      </x:c>
      <x:c r="E1627" s="11" t="n">
        <x:v>10.153</x:v>
      </x:c>
      <x:c r="F1627" s="11" t="n">
        <x:f>SQRT((C1627-C1626)^2+(D1627-D1626)^2+(E1627-E1626)^2)</x:f>
        <x:v>1.9849999999999994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14</x:v>
      </x:c>
      <x:c r="C1628" s="11" t="n">
        <x:v>-0.24999999999999997</x:v>
      </x:c>
      <x:c r="D1628" s="11" t="n">
        <x:v>15.84</x:v>
      </x:c>
      <x:c r="E1628" s="11" t="n">
        <x:v>10.153</x:v>
      </x:c>
      <x:c r="F1628" s="11" t="n">
        <x:f>SQRT((C1628-C1627)^2+(D1628-D1627)^2+(E1628-E1627)^2)</x:f>
        <x:v>0.43999999999999995</x:v>
      </x:c>
      <x:c r="G1628" s="8" t="str">
        <x:v>Current</x:v>
      </x:c>
    </x:row>
    <x:row r="1629" ht="32" customHeight="1">
      <x:c r="A1629" s="8" t="str">
        <x:v>drop:DB2:L6:light:1:L174</x:v>
      </x:c>
      <x:c r="B1629" s="8" t="n">
        <x:v>1</x:v>
      </x:c>
      <x:c r="C1629" s="11" t="n">
        <x:v>2.35</x:v>
      </x:c>
      <x:c r="D1629" s="11" t="n">
        <x:v>5.964</x:v>
      </x:c>
      <x:c r="E1629" s="11" t="n">
        <x:v>7.36</x:v>
      </x:c>
      <x:c r="F1629" s="11" t="n">
        <x:f>0</x:f>
        <x:v>0</x:v>
      </x:c>
      <x:c r="G1629" s="8" t="str">
        <x:v>Current</x:v>
      </x:c>
    </x:row>
    <x:row r="1630" ht="32" customHeight="1">
      <x:c r="A1630" s="8" t="str">
        <x:v>drop:DB2:L6:light:1:L174</x:v>
      </x:c>
      <x:c r="B1630" s="8" t="n">
        <x:v>2</x:v>
      </x:c>
      <x:c r="C1630" s="11" t="n">
        <x:v>2.35</x:v>
      </x:c>
      <x:c r="D1630" s="11" t="n">
        <x:v>7.65</x:v>
      </x:c>
      <x:c r="E1630" s="11" t="n">
        <x:v>7.36</x:v>
      </x:c>
      <x:c r="F1630" s="11" t="n">
        <x:f>SQRT((C1630-C1629)^2+(D1630-D1629)^2+(E1630-E1629)^2)</x:f>
        <x:v>1.686</x:v>
      </x:c>
      <x:c r="G1630" s="8" t="str">
        <x:v>Current</x:v>
      </x:c>
    </x:row>
    <x:row r="1631" ht="32" customHeight="1">
      <x:c r="A1631" s="8" t="str">
        <x:v>drop:DB2:L6:light:1:L174</x:v>
      </x:c>
      <x:c r="B1631" s="8" t="n">
        <x:v>3</x:v>
      </x:c>
      <x:c r="C1631" s="11" t="n">
        <x:v>2.35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0.34299999999999997</x:v>
      </x:c>
      <x:c r="G1631" s="8" t="str">
        <x:v>Current</x:v>
      </x:c>
    </x:row>
    <x:row r="1632" ht="32" customHeight="1">
      <x:c r="A1632" s="8" t="str">
        <x:v>drop:DB2:L6:light:1:L174</x:v>
      </x:c>
      <x:c r="B1632" s="8" t="n">
        <x:v>4</x:v>
      </x:c>
      <x:c r="C1632" s="11" t="n">
        <x:v>0</x:v>
      </x:c>
      <x:c r="D1632" s="11" t="n">
        <x:v>7.65</x:v>
      </x:c>
      <x:c r="E1632" s="11" t="n">
        <x:v>7.703</x:v>
      </x:c>
      <x:c r="F1632" s="11" t="n">
        <x:f>SQRT((C1632-C1631)^2+(D1632-D1631)^2+(E1632-E1631)^2)</x:f>
        <x:v>2.35</x:v>
      </x:c>
      <x:c r="G1632" s="8" t="str">
        <x:v>Current</x:v>
      </x:c>
    </x:row>
    <x:row r="1633" ht="32" customHeight="1">
      <x:c r="A1633" s="8" t="str">
        <x:v>drop:DB2:L6:light:1:L174</x:v>
      </x:c>
      <x:c r="B1633" s="8" t="n">
        <x:v>5</x:v>
      </x:c>
      <x:c r="C1633" s="11" t="n">
        <x:v>0</x:v>
      </x:c>
      <x:c r="D1633" s="11" t="n">
        <x:v>7.65</x:v>
      </x:c>
      <x:c r="E1633" s="11" t="n">
        <x:v>12.363</x:v>
      </x:c>
      <x:c r="F1633" s="11" t="n">
        <x:f>SQRT((C1633-C1632)^2+(D1633-D1632)^2+(E1633-E1632)^2)</x:f>
        <x:v>4.659999999999999</x:v>
      </x:c>
      <x:c r="G1633" s="8" t="str">
        <x:v>Current</x:v>
      </x:c>
    </x:row>
    <x:row r="1634" ht="32" customHeight="1">
      <x:c r="A1634" s="8" t="str">
        <x:v>drop:DB2:L6:light:1:L174</x:v>
      </x:c>
      <x:c r="B1634" s="8" t="n">
        <x:v>6</x:v>
      </x:c>
      <x:c r="C1634" s="11" t="n">
        <x:v>0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0.75</x:v>
      </x:c>
      <x:c r="G1634" s="8" t="str">
        <x:v>Current</x:v>
      </x:c>
    </x:row>
    <x:row r="1635" ht="32" customHeight="1">
      <x:c r="A1635" s="8" t="str">
        <x:v>drop:DB2:L6:light:1:L174</x:v>
      </x:c>
      <x:c r="B1635" s="8" t="n">
        <x:v>7</x:v>
      </x:c>
      <x:c r="C1635" s="11" t="n">
        <x:v>0.09</x:v>
      </x:c>
      <x:c r="D1635" s="11" t="n">
        <x:v>8.4</x:v>
      </x:c>
      <x:c r="E1635" s="11" t="n">
        <x:v>12.363</x:v>
      </x:c>
      <x:c r="F1635" s="11" t="n">
        <x:f>SQRT((C1635-C1634)^2+(D1635-D1634)^2+(E1635-E1634)^2)</x:f>
        <x:v>0.09</x:v>
      </x:c>
      <x:c r="G1635" s="8" t="str">
        <x:v>Current</x:v>
      </x:c>
    </x:row>
    <x:row r="1636" ht="32" customHeight="1">
      <x:c r="A1636" s="8" t="str">
        <x:v>drop:DB2:L6:light:1:L174</x:v>
      </x:c>
      <x:c r="B1636" s="8" t="n">
        <x:v>8</x:v>
      </x:c>
      <x:c r="C1636" s="11" t="n">
        <x:v>0.09</x:v>
      </x:c>
      <x:c r="D1636" s="11" t="n">
        <x:v>8.4</x:v>
      </x:c>
      <x:c r="E1636" s="11" t="n">
        <x:v>12.238</x:v>
      </x:c>
      <x:c r="F1636" s="11" t="n">
        <x:f>SQRT((C1636-C1635)^2+(D1636-D1635)^2+(E1636-E1635)^2)</x:f>
        <x:v>0.125</x:v>
      </x:c>
      <x:c r="G1636" s="8" t="str">
        <x:v>Current</x:v>
      </x:c>
    </x:row>
    <x:row r="1637" ht="32" customHeight="1">
      <x:c r="A1637" s="8" t="str">
        <x:v>drop:DB2:L6:light:1:L174</x:v>
      </x:c>
      <x:c r="B1637" s="8" t="n">
        <x:v>9</x:v>
      </x:c>
      <x:c r="C1637" s="11" t="n">
        <x:v>0.09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7.449999999999999</x:v>
      </x:c>
      <x:c r="G1637" s="8" t="str">
        <x:v>Current</x:v>
      </x:c>
    </x:row>
    <x:row r="1638" ht="32" customHeight="1">
      <x:c r="A1638" s="8" t="str">
        <x:v>drop:DB2:L6:light:1:L174</x:v>
      </x:c>
      <x:c r="B1638" s="8" t="n">
        <x:v>10</x:v>
      </x:c>
      <x:c r="C1638" s="11" t="n">
        <x:v>0.19</x:v>
      </x:c>
      <x:c r="D1638" s="11" t="n">
        <x:v>15.85</x:v>
      </x:c>
      <x:c r="E1638" s="11" t="n">
        <x:v>12.238</x:v>
      </x:c>
      <x:c r="F1638" s="11" t="n">
        <x:f>SQRT((C1638-C1637)^2+(D1638-D1637)^2+(E1638-E1637)^2)</x:f>
        <x:v>0.1</x:v>
      </x:c>
      <x:c r="G1638" s="8" t="str">
        <x:v>Current</x:v>
      </x:c>
    </x:row>
    <x:row r="1639" ht="32" customHeight="1">
      <x:c r="A1639" s="8" t="str">
        <x:v>drop:DB2:L6:light:1:L174</x:v>
      </x:c>
      <x:c r="B1639" s="8" t="n">
        <x:v>11</x:v>
      </x:c>
      <x:c r="C1639" s="11" t="n">
        <x:v>0.19</x:v>
      </x:c>
      <x:c r="D1639" s="11" t="n">
        <x:v>15.85</x:v>
      </x:c>
      <x:c r="E1639" s="11" t="n">
        <x:v>12.138</x:v>
      </x:c>
      <x:c r="F1639" s="11" t="n">
        <x:f>SQRT((C1639-C1638)^2+(D1639-D1638)^2+(E1639-E1638)^2)</x:f>
        <x:v>0.09999999999999964</x:v>
      </x:c>
      <x:c r="G1639" s="8" t="str">
        <x:v>Current</x:v>
      </x:c>
    </x:row>
    <x:row r="1640" ht="32" customHeight="1">
      <x:c r="A1640" s="8" t="str">
        <x:v>drop:DB2:L6:light:1:L174</x:v>
      </x:c>
      <x:c r="B1640" s="8" t="n">
        <x:v>12</x:v>
      </x:c>
      <x:c r="C1640" s="11" t="n">
        <x:v>0.19</x:v>
      </x:c>
      <x:c r="D1640" s="11" t="n">
        <x:v>23.150000000000002</x:v>
      </x:c>
      <x:c r="E1640" s="11" t="n">
        <x:v>12.138</x:v>
      </x:c>
      <x:c r="F1640" s="11" t="n">
        <x:f>SQRT((C1640-C1639)^2+(D1640-D1639)^2+(E1640-E1639)^2)</x:f>
        <x:v>7.3000000000000025</x:v>
      </x:c>
      <x:c r="G1640" s="8" t="str">
        <x:v>Current</x:v>
      </x:c>
    </x:row>
    <x:row r="1641" ht="32" customHeight="1">
      <x:c r="A1641" s="8" t="str">
        <x:v>drop:DB2:L6:light:1:L174</x:v>
      </x:c>
      <x:c r="B1641" s="8" t="n">
        <x:v>13</x:v>
      </x:c>
      <x:c r="C1641" s="11" t="n">
        <x:v>0.475</x:v>
      </x:c>
      <x:c r="D1641" s="11" t="n">
        <x:v>23.150000000000002</x:v>
      </x:c>
      <x:c r="E1641" s="11" t="n">
        <x:v>12.138</x:v>
      </x:c>
      <x:c r="F1641" s="11" t="n">
        <x:f>SQRT((C1641-C1640)^2+(D1641-D1640)^2+(E1641-E1640)^2)</x:f>
        <x:v>0.285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14</x:v>
      </x:c>
      <x:c r="C1642" s="11" t="n">
        <x:v>0.475</x:v>
      </x:c>
      <x:c r="D1642" s="11" t="n">
        <x:v>23.150000000000002</x:v>
      </x:c>
      <x:c r="E1642" s="11" t="n">
        <x:v>11.863</x:v>
      </x:c>
      <x:c r="F1642" s="11" t="n">
        <x:f>SQRT((C1642-C1641)^2+(D1642-D1641)^2+(E1642-E1641)^2)</x:f>
        <x:v>0.27500000000000036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15</x:v>
      </x:c>
      <x:c r="C1643" s="11" t="n">
        <x:v>0.475</x:v>
      </x:c>
      <x:c r="D1643" s="11" t="n">
        <x:v>23.14</x:v>
      </x:c>
      <x:c r="E1643" s="11" t="n">
        <x:v>11.863</x:v>
      </x:c>
      <x:c r="F1643" s="11" t="n">
        <x:f>SQRT((C1643-C1642)^2+(D1643-D1642)^2+(E1643-E1642)^2)</x:f>
        <x:v>0.010000000000001563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16</x:v>
      </x:c>
      <x:c r="C1644" s="11" t="n">
        <x:v>0.475</x:v>
      </x:c>
      <x:c r="D1644" s="11" t="n">
        <x:v>23.14</x:v>
      </x:c>
      <x:c r="E1644" s="11" t="n">
        <x:v>10.153</x:v>
      </x:c>
      <x:c r="F1644" s="11" t="n">
        <x:f>SQRT((C1644-C1643)^2+(D1644-D1643)^2+(E1644-E1643)^2)</x:f>
        <x:v>1.709999999999999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17</x:v>
      </x:c>
      <x:c r="C1645" s="11" t="n">
        <x:v>-0.15</x:v>
      </x:c>
      <x:c r="D1645" s="11" t="n">
        <x:v>23.14</x:v>
      </x:c>
      <x:c r="E1645" s="11" t="n">
        <x:v>10.153</x:v>
      </x:c>
      <x:c r="F1645" s="11" t="n">
        <x:f>SQRT((C1645-C1644)^2+(D1645-D1644)^2+(E1645-E1644)^2)</x:f>
        <x:v>0.625</x:v>
      </x:c>
      <x:c r="G1645" s="8" t="str">
        <x:v>Current</x:v>
      </x:c>
    </x:row>
    <x:row r="1646" ht="32" customHeight="1">
      <x:c r="A1646" s="8" t="str">
        <x:v>drop:DB2:L6:light:1:L175</x:v>
      </x:c>
      <x:c r="B1646" s="8" t="n">
        <x:v>1</x:v>
      </x:c>
      <x:c r="C1646" s="11" t="n">
        <x:v>2.35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drop:DB2:L6:light:1:L175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1.686</x:v>
      </x:c>
      <x:c r="G1647" s="8" t="str">
        <x:v>Current</x:v>
      </x:c>
    </x:row>
    <x:row r="1648" ht="32" customHeight="1">
      <x:c r="A1648" s="8" t="str">
        <x:v>drop:DB2:L6:light:1:L175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drop:DB2:L6:light:1:L175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drop:DB2:L6:light:1:L175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drop:DB2:L6:light:1:L175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drop:DB2:L6:light:1:L175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drop:DB2:L6:light:1:L175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drop:DB2:L6:light:1:L175</x:v>
      </x:c>
      <x:c r="B1654" s="8" t="n">
        <x:v>9</x:v>
      </x:c>
      <x:c r="C1654" s="11" t="n">
        <x:v>0.09</x:v>
      </x:c>
      <x:c r="D1654" s="11" t="n">
        <x:v>15.85</x:v>
      </x:c>
      <x:c r="E1654" s="11" t="n">
        <x:v>12.238</x:v>
      </x:c>
      <x:c r="F1654" s="11" t="n">
        <x:f>SQRT((C1654-C1653)^2+(D1654-D1653)^2+(E1654-E1653)^2)</x:f>
        <x:v>7.449999999999999</x:v>
      </x:c>
      <x:c r="G1654" s="8" t="str">
        <x:v>Current</x:v>
      </x:c>
    </x:row>
    <x:row r="1655" ht="32" customHeight="1">
      <x:c r="A1655" s="8" t="str">
        <x:v>drop:DB2:L6:light:1:L175</x:v>
      </x:c>
      <x:c r="B1655" s="8" t="n">
        <x:v>10</x:v>
      </x:c>
      <x:c r="C1655" s="11" t="n">
        <x:v>0.19</x:v>
      </x:c>
      <x:c r="D1655" s="11" t="n">
        <x:v>15.85</x:v>
      </x:c>
      <x:c r="E1655" s="11" t="n">
        <x:v>12.238</x:v>
      </x:c>
      <x:c r="F1655" s="11" t="n">
        <x:f>SQRT((C1655-C1654)^2+(D1655-D1654)^2+(E1655-E1654)^2)</x:f>
        <x:v>0.1</x:v>
      </x:c>
      <x:c r="G1655" s="8" t="str">
        <x:v>Current</x:v>
      </x:c>
    </x:row>
    <x:row r="1656" ht="32" customHeight="1">
      <x:c r="A1656" s="8" t="str">
        <x:v>drop:DB2:L6:light:1:L175</x:v>
      </x:c>
      <x:c r="B1656" s="8" t="n">
        <x:v>11</x:v>
      </x:c>
      <x:c r="C1656" s="11" t="n">
        <x:v>0.19</x:v>
      </x:c>
      <x:c r="D1656" s="11" t="n">
        <x:v>15.85</x:v>
      </x:c>
      <x:c r="E1656" s="11" t="n">
        <x:v>12.138</x:v>
      </x:c>
      <x:c r="F1656" s="11" t="n">
        <x:f>SQRT((C1656-C1655)^2+(D1656-D1655)^2+(E1656-E1655)^2)</x:f>
        <x:v>0.09999999999999964</x:v>
      </x:c>
      <x:c r="G1656" s="8" t="str">
        <x:v>Current</x:v>
      </x:c>
    </x:row>
    <x:row r="1657" ht="32" customHeight="1">
      <x:c r="A1657" s="8" t="str">
        <x:v>drop:DB2:L6:light:1:L175</x:v>
      </x:c>
      <x:c r="B1657" s="8" t="n">
        <x:v>12</x:v>
      </x:c>
      <x:c r="C1657" s="11" t="n">
        <x:v>0.19</x:v>
      </x:c>
      <x:c r="D1657" s="11" t="n">
        <x:v>23.150000000000002</x:v>
      </x:c>
      <x:c r="E1657" s="11" t="n">
        <x:v>12.138</x:v>
      </x:c>
      <x:c r="F1657" s="11" t="n">
        <x:f>SQRT((C1657-C1656)^2+(D1657-D1656)^2+(E1657-E1656)^2)</x:f>
        <x:v>7.3000000000000025</x:v>
      </x:c>
      <x:c r="G1657" s="8" t="str">
        <x:v>Current</x:v>
      </x:c>
    </x:row>
    <x:row r="1658" ht="32" customHeight="1">
      <x:c r="A1658" s="8" t="str">
        <x:v>drop:DB2:L6:light:1:L175</x:v>
      </x:c>
      <x:c r="B1658" s="8" t="n">
        <x:v>13</x:v>
      </x:c>
      <x:c r="C1658" s="11" t="n">
        <x:v>0.475</x:v>
      </x:c>
      <x:c r="D1658" s="11" t="n">
        <x:v>23.150000000000002</x:v>
      </x:c>
      <x:c r="E1658" s="11" t="n">
        <x:v>12.138</x:v>
      </x:c>
      <x:c r="F1658" s="11" t="n">
        <x:f>SQRT((C1658-C1657)^2+(D1658-D1657)^2+(E1658-E1657)^2)</x:f>
        <x:v>0.285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14</x:v>
      </x:c>
      <x:c r="C1659" s="11" t="n">
        <x:v>0.475</x:v>
      </x:c>
      <x:c r="D1659" s="11" t="n">
        <x:v>23.150000000000002</x:v>
      </x:c>
      <x:c r="E1659" s="11" t="n">
        <x:v>11.863</x:v>
      </x:c>
      <x:c r="F1659" s="11" t="n">
        <x:f>SQRT((C1659-C1658)^2+(D1659-D1658)^2+(E1659-E1658)^2)</x:f>
        <x:v>0.27500000000000036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15</x:v>
      </x:c>
      <x:c r="C1660" s="11" t="n">
        <x:v>0.475</x:v>
      </x:c>
      <x:c r="D1660" s="11" t="n">
        <x:v>29.03</x:v>
      </x:c>
      <x:c r="E1660" s="11" t="n">
        <x:v>11.863</x:v>
      </x:c>
      <x:c r="F1660" s="11" t="n">
        <x:f>SQRT((C1660-C1659)^2+(D1660-D1659)^2+(E1660-E1659)^2)</x:f>
        <x:v>5.879999999999999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16</x:v>
      </x:c>
      <x:c r="C1661" s="11" t="n">
        <x:v>0.475</x:v>
      </x:c>
      <x:c r="D1661" s="11" t="n">
        <x:v>29.03</x:v>
      </x:c>
      <x:c r="E1661" s="11" t="n">
        <x:v>10.153</x:v>
      </x:c>
      <x:c r="F1661" s="11" t="n">
        <x:f>SQRT((C1661-C1660)^2+(D1661-D1660)^2+(E1661-E1660)^2)</x:f>
        <x:v>1.709999999999999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17</x:v>
      </x:c>
      <x:c r="C1662" s="11" t="n">
        <x:v>0.14</x:v>
      </x:c>
      <x:c r="D1662" s="11" t="n">
        <x:v>29.03</x:v>
      </x:c>
      <x:c r="E1662" s="11" t="n">
        <x:v>10.153</x:v>
      </x:c>
      <x:c r="F1662" s="11" t="n">
        <x:f>SQRT((C1662-C1661)^2+(D1662-D1661)^2+(E1662-E1661)^2)</x:f>
        <x:v>0.33499999999999996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18</x:v>
      </x:c>
      <x:c r="C1663" s="11" t="n">
        <x:v>0.14</x:v>
      </x:c>
      <x:c r="D1663" s="11" t="n">
        <x:v>29.09</x:v>
      </x:c>
      <x:c r="E1663" s="11" t="n">
        <x:v>10.153</x:v>
      </x:c>
      <x:c r="F1663" s="11" t="n">
        <x:f>SQRT((C1663-C1662)^2+(D1663-D1662)^2+(E1663-E1662)^2)</x:f>
        <x:v>0.05999999999999872</x:v>
      </x:c>
      <x:c r="G1663" s="8" t="str">
        <x:v>Current</x:v>
      </x:c>
    </x:row>
    <x:row r="1664" ht="32" customHeight="1">
      <x:c r="A1664" s="8" t="str">
        <x:v>drop:DB2:L6:light:1:L176</x:v>
      </x:c>
      <x:c r="B1664" s="8" t="n">
        <x:v>1</x:v>
      </x:c>
      <x:c r="C1664" s="11" t="n">
        <x:v>2.45</x:v>
      </x:c>
      <x:c r="D1664" s="11" t="n">
        <x:v>5.964</x:v>
      </x:c>
      <x:c r="E1664" s="11" t="n">
        <x:v>7.36</x:v>
      </x:c>
      <x:c r="F1664" s="11" t="n">
        <x:f>0</x:f>
        <x:v>0</x:v>
      </x:c>
      <x:c r="G1664" s="8" t="str">
        <x:v>Current</x:v>
      </x:c>
    </x:row>
    <x:row r="1665" ht="32" customHeight="1">
      <x:c r="A1665" s="8" t="str">
        <x:v>drop:DB2:L6:light:1:L176</x:v>
      </x:c>
      <x:c r="B1665" s="8" t="n">
        <x:v>2</x:v>
      </x:c>
      <x:c r="C1665" s="11" t="n">
        <x:v>2.35</x:v>
      </x:c>
      <x:c r="D1665" s="11" t="n">
        <x:v>7.65</x:v>
      </x:c>
      <x:c r="E1665" s="11" t="n">
        <x:v>7.36</x:v>
      </x:c>
      <x:c r="F1665" s="11" t="n">
        <x:f>SQRT((C1665-C1664)^2+(D1665-D1664)^2+(E1665-E1664)^2)</x:f>
        <x:v>1.6889629954501668</x:v>
      </x:c>
      <x:c r="G1665" s="8" t="str">
        <x:v>Current</x:v>
      </x:c>
    </x:row>
    <x:row r="1666" ht="32" customHeight="1">
      <x:c r="A1666" s="8" t="str">
        <x:v>drop:DB2:L6:light:1:L176</x:v>
      </x:c>
      <x:c r="B1666" s="8" t="n">
        <x:v>3</x:v>
      </x:c>
      <x:c r="C1666" s="11" t="n">
        <x:v>2.35</x:v>
      </x:c>
      <x:c r="D1666" s="11" t="n">
        <x:v>7.65</x:v>
      </x:c>
      <x:c r="E1666" s="11" t="n">
        <x:v>7.703</x:v>
      </x:c>
      <x:c r="F1666" s="11" t="n">
        <x:f>SQRT((C1666-C1665)^2+(D1666-D1665)^2+(E1666-E1665)^2)</x:f>
        <x:v>0.34299999999999997</x:v>
      </x:c>
      <x:c r="G1666" s="8" t="str">
        <x:v>Current</x:v>
      </x:c>
    </x:row>
    <x:row r="1667" ht="32" customHeight="1">
      <x:c r="A1667" s="8" t="str">
        <x:v>drop:DB2:L6:light:1:L176</x:v>
      </x:c>
      <x:c r="B1667" s="8" t="n">
        <x:v>4</x:v>
      </x:c>
      <x:c r="C1667" s="11" t="n">
        <x:v>0</x:v>
      </x:c>
      <x:c r="D1667" s="11" t="n">
        <x:v>7.65</x:v>
      </x:c>
      <x:c r="E1667" s="11" t="n">
        <x:v>7.703</x:v>
      </x:c>
      <x:c r="F1667" s="11" t="n">
        <x:f>SQRT((C1667-C1666)^2+(D1667-D1666)^2+(E1667-E1666)^2)</x:f>
        <x:v>2.35</x:v>
      </x:c>
      <x:c r="G1667" s="8" t="str">
        <x:v>Current</x:v>
      </x:c>
    </x:row>
    <x:row r="1668" ht="32" customHeight="1">
      <x:c r="A1668" s="8" t="str">
        <x:v>drop:DB2:L6:light:1:L176</x:v>
      </x:c>
      <x:c r="B1668" s="8" t="n">
        <x:v>5</x:v>
      </x:c>
      <x:c r="C1668" s="11" t="n">
        <x:v>0</x:v>
      </x:c>
      <x:c r="D1668" s="11" t="n">
        <x:v>7.65</x:v>
      </x:c>
      <x:c r="E1668" s="11" t="n">
        <x:v>12.363</x:v>
      </x:c>
      <x:c r="F1668" s="11" t="n">
        <x:f>SQRT((C1668-C1667)^2+(D1668-D1667)^2+(E1668-E1667)^2)</x:f>
        <x:v>4.659999999999999</x:v>
      </x:c>
      <x:c r="G1668" s="8" t="str">
        <x:v>Current</x:v>
      </x:c>
    </x:row>
    <x:row r="1669" ht="32" customHeight="1">
      <x:c r="A1669" s="8" t="str">
        <x:v>drop:DB2:L6:light:1:L176</x:v>
      </x:c>
      <x:c r="B1669" s="8" t="n">
        <x:v>6</x:v>
      </x:c>
      <x:c r="C1669" s="11" t="n">
        <x:v>0</x:v>
      </x:c>
      <x:c r="D1669" s="11" t="n">
        <x:v>8.4</x:v>
      </x:c>
      <x:c r="E1669" s="11" t="n">
        <x:v>12.363</x:v>
      </x:c>
      <x:c r="F1669" s="11" t="n">
        <x:f>SQRT((C1669-C1668)^2+(D1669-D1668)^2+(E1669-E1668)^2)</x:f>
        <x:v>0.75</x:v>
      </x:c>
      <x:c r="G1669" s="8" t="str">
        <x:v>Current</x:v>
      </x:c>
    </x:row>
    <x:row r="1670" ht="32" customHeight="1">
      <x:c r="A1670" s="8" t="str">
        <x:v>drop:DB2:L6:light:1:L176</x:v>
      </x:c>
      <x:c r="B1670" s="8" t="n">
        <x:v>7</x:v>
      </x:c>
      <x:c r="C1670" s="11" t="n">
        <x:v>0.09</x:v>
      </x:c>
      <x:c r="D1670" s="11" t="n">
        <x:v>8.4</x:v>
      </x:c>
      <x:c r="E1670" s="11" t="n">
        <x:v>12.363</x:v>
      </x:c>
      <x:c r="F1670" s="11" t="n">
        <x:f>SQRT((C1670-C1669)^2+(D1670-D1669)^2+(E1670-E1669)^2)</x:f>
        <x:v>0.09</x:v>
      </x:c>
      <x:c r="G1670" s="8" t="str">
        <x:v>Current</x:v>
      </x:c>
    </x:row>
    <x:row r="1671" ht="32" customHeight="1">
      <x:c r="A1671" s="8" t="str">
        <x:v>drop:DB2:L6:light:1:L176</x:v>
      </x:c>
      <x:c r="B1671" s="8" t="n">
        <x:v>8</x:v>
      </x:c>
      <x:c r="C1671" s="11" t="n">
        <x:v>0.09</x:v>
      </x:c>
      <x:c r="D1671" s="11" t="n">
        <x:v>8.4</x:v>
      </x:c>
      <x:c r="E1671" s="11" t="n">
        <x:v>12.238</x:v>
      </x:c>
      <x:c r="F1671" s="11" t="n">
        <x:f>SQRT((C1671-C1670)^2+(D1671-D1670)^2+(E1671-E1670)^2)</x:f>
        <x:v>0.125</x:v>
      </x:c>
      <x:c r="G1671" s="8" t="str">
        <x:v>Current</x:v>
      </x:c>
    </x:row>
    <x:row r="1672" ht="32" customHeight="1">
      <x:c r="A1672" s="8" t="str">
        <x:v>drop:DB2:L6:light:1:L176</x:v>
      </x:c>
      <x:c r="B1672" s="8" t="n">
        <x:v>9</x:v>
      </x:c>
      <x:c r="C1672" s="11" t="n">
        <x:v>0.09</x:v>
      </x:c>
      <x:c r="D1672" s="11" t="n">
        <x:v>15.85</x:v>
      </x:c>
      <x:c r="E1672" s="11" t="n">
        <x:v>12.238</x:v>
      </x:c>
      <x:c r="F1672" s="11" t="n">
        <x:f>SQRT((C1672-C1671)^2+(D1672-D1671)^2+(E1672-E1671)^2)</x:f>
        <x:v>7.449999999999999</x:v>
      </x:c>
      <x:c r="G1672" s="8" t="str">
        <x:v>Current</x:v>
      </x:c>
    </x:row>
    <x:row r="1673" ht="32" customHeight="1">
      <x:c r="A1673" s="8" t="str">
        <x:v>drop:DB2:L6:light:1:L176</x:v>
      </x:c>
      <x:c r="B1673" s="8" t="n">
        <x:v>10</x:v>
      </x:c>
      <x:c r="C1673" s="11" t="n">
        <x:v>0.19</x:v>
      </x:c>
      <x:c r="D1673" s="11" t="n">
        <x:v>15.85</x:v>
      </x:c>
      <x:c r="E1673" s="11" t="n">
        <x:v>12.238</x:v>
      </x:c>
      <x:c r="F1673" s="11" t="n">
        <x:f>SQRT((C1673-C1672)^2+(D1673-D1672)^2+(E1673-E1672)^2)</x:f>
        <x:v>0.1</x:v>
      </x:c>
      <x:c r="G1673" s="8" t="str">
        <x:v>Current</x:v>
      </x:c>
    </x:row>
    <x:row r="1674" ht="32" customHeight="1">
      <x:c r="A1674" s="8" t="str">
        <x:v>drop:DB2:L6:light:1:L176</x:v>
      </x:c>
      <x:c r="B1674" s="8" t="n">
        <x:v>11</x:v>
      </x:c>
      <x:c r="C1674" s="11" t="n">
        <x:v>0.19</x:v>
      </x:c>
      <x:c r="D1674" s="11" t="n">
        <x:v>15.85</x:v>
      </x:c>
      <x:c r="E1674" s="11" t="n">
        <x:v>12.138</x:v>
      </x:c>
      <x:c r="F1674" s="11" t="n">
        <x:f>SQRT((C1674-C1673)^2+(D1674-D1673)^2+(E1674-E1673)^2)</x:f>
        <x:v>0.09999999999999964</x:v>
      </x:c>
      <x:c r="G1674" s="8" t="str">
        <x:v>Current</x:v>
      </x:c>
    </x:row>
    <x:row r="1675" ht="32" customHeight="1">
      <x:c r="A1675" s="8" t="str">
        <x:v>drop:DB2:L6:light:1:L176</x:v>
      </x:c>
      <x:c r="B1675" s="8" t="n">
        <x:v>12</x:v>
      </x:c>
      <x:c r="C1675" s="11" t="n">
        <x:v>0.19</x:v>
      </x:c>
      <x:c r="D1675" s="11" t="n">
        <x:v>23.150000000000002</x:v>
      </x:c>
      <x:c r="E1675" s="11" t="n">
        <x:v>12.138</x:v>
      </x:c>
      <x:c r="F1675" s="11" t="n">
        <x:f>SQRT((C1675-C1674)^2+(D1675-D1674)^2+(E1675-E1674)^2)</x:f>
        <x:v>7.3000000000000025</x:v>
      </x:c>
      <x:c r="G1675" s="8" t="str">
        <x:v>Current</x:v>
      </x:c>
    </x:row>
    <x:row r="1676" ht="32" customHeight="1">
      <x:c r="A1676" s="8" t="str">
        <x:v>drop:DB2:L6:light:1:L176</x:v>
      </x:c>
      <x:c r="B1676" s="8" t="n">
        <x:v>13</x:v>
      </x:c>
      <x:c r="C1676" s="11" t="n">
        <x:v>0.475</x:v>
      </x:c>
      <x:c r="D1676" s="11" t="n">
        <x:v>23.150000000000002</x:v>
      </x:c>
      <x:c r="E1676" s="11" t="n">
        <x:v>12.138</x:v>
      </x:c>
      <x:c r="F1676" s="11" t="n">
        <x:f>SQRT((C1676-C1675)^2+(D1676-D1675)^2+(E1676-E1675)^2)</x:f>
        <x:v>0.285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14</x:v>
      </x:c>
      <x:c r="C1677" s="11" t="n">
        <x:v>0.475</x:v>
      </x:c>
      <x:c r="D1677" s="11" t="n">
        <x:v>23.150000000000002</x:v>
      </x:c>
      <x:c r="E1677" s="11" t="n">
        <x:v>11.863</x:v>
      </x:c>
      <x:c r="F1677" s="11" t="n">
        <x:f>SQRT((C1677-C1676)^2+(D1677-D1676)^2+(E1677-E1676)^2)</x:f>
        <x:v>0.27500000000000036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15</x:v>
      </x:c>
      <x:c r="C1678" s="11" t="n">
        <x:v>0.475</x:v>
      </x:c>
      <x:c r="D1678" s="11" t="n">
        <x:v>23.080000000000002</x:v>
      </x:c>
      <x:c r="E1678" s="11" t="n">
        <x:v>11.863</x:v>
      </x:c>
      <x:c r="F1678" s="11" t="n">
        <x:f>SQRT((C1678-C1677)^2+(D1678-D1677)^2+(E1678-E1677)^2)</x:f>
        <x:v>0.07000000000000028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16</x:v>
      </x:c>
      <x:c r="C1679" s="11" t="n">
        <x:v>2.45</x:v>
      </x:c>
      <x:c r="D1679" s="11" t="n">
        <x:v>23.080000000000002</x:v>
      </x:c>
      <x:c r="E1679" s="11" t="n">
        <x:v>11.863</x:v>
      </x:c>
      <x:c r="F1679" s="11" t="n">
        <x:f>SQRT((C1679-C1678)^2+(D1679-D1678)^2+(E1679-E1678)^2)</x:f>
        <x:v>1.975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17</x:v>
      </x:c>
      <x:c r="C1680" s="11" t="n">
        <x:v>2.45</x:v>
      </x:c>
      <x:c r="D1680" s="11" t="n">
        <x:v>23.080000000000002</x:v>
      </x:c>
      <x:c r="E1680" s="11" t="n">
        <x:v>10.153</x:v>
      </x:c>
      <x:c r="F1680" s="11" t="n">
        <x:f>SQRT((C1680-C1679)^2+(D1680-D1679)^2+(E1680-E1679)^2)</x:f>
        <x:v>1.709999999999999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18</x:v>
      </x:c>
      <x:c r="C1681" s="11" t="n">
        <x:v>2.45</x:v>
      </x:c>
      <x:c r="D1681" s="11" t="n">
        <x:v>23.2</x:v>
      </x:c>
      <x:c r="E1681" s="11" t="n">
        <x:v>10.153</x:v>
      </x:c>
      <x:c r="F1681" s="11" t="n">
        <x:f>SQRT((C1681-C1680)^2+(D1681-D1680)^2+(E1681-E1680)^2)</x:f>
        <x:v>0.11999999999999744</x:v>
      </x:c>
      <x:c r="G1681" s="8" t="str">
        <x:v>Current</x:v>
      </x:c>
    </x:row>
    <x:row r="1682" ht="32" customHeight="1">
      <x:c r="A1682" s="8" t="str">
        <x:v>drop:DB2:L6:light:1:L177</x:v>
      </x:c>
      <x:c r="B1682" s="8" t="n">
        <x:v>1</x:v>
      </x:c>
      <x:c r="C1682" s="11" t="n">
        <x:v>3.75</x:v>
      </x:c>
      <x:c r="D1682" s="11" t="n">
        <x:v>5.964</x:v>
      </x:c>
      <x:c r="E1682" s="11" t="n">
        <x:v>7.36</x:v>
      </x:c>
      <x:c r="F1682" s="11" t="n">
        <x:f>0</x:f>
        <x:v>0</x:v>
      </x:c>
      <x:c r="G1682" s="8" t="str">
        <x:v>Current</x:v>
      </x:c>
    </x:row>
    <x:row r="1683" ht="32" customHeight="1">
      <x:c r="A1683" s="8" t="str">
        <x:v>drop:DB2:L6:light:1:L177</x:v>
      </x:c>
      <x:c r="B1683" s="8" t="n">
        <x:v>2</x:v>
      </x:c>
      <x:c r="C1683" s="11" t="n">
        <x:v>2.35</x:v>
      </x:c>
      <x:c r="D1683" s="11" t="n">
        <x:v>7.65</x:v>
      </x:c>
      <x:c r="E1683" s="11" t="n">
        <x:v>7.36</x:v>
      </x:c>
      <x:c r="F1683" s="11" t="n">
        <x:f>SQRT((C1683-C1682)^2+(D1683-D1682)^2+(E1683-E1682)^2)</x:f>
        <x:v>2.1914826031707393</x:v>
      </x:c>
      <x:c r="G1683" s="8" t="str">
        <x:v>Current</x:v>
      </x:c>
    </x:row>
    <x:row r="1684" ht="32" customHeight="1">
      <x:c r="A1684" s="8" t="str">
        <x:v>drop:DB2:L6:light:1:L177</x:v>
      </x:c>
      <x:c r="B1684" s="8" t="n">
        <x:v>3</x:v>
      </x:c>
      <x:c r="C1684" s="11" t="n">
        <x:v>2.35</x:v>
      </x:c>
      <x:c r="D1684" s="11" t="n">
        <x:v>7.65</x:v>
      </x:c>
      <x:c r="E1684" s="11" t="n">
        <x:v>7.703</x:v>
      </x:c>
      <x:c r="F1684" s="11" t="n">
        <x:f>SQRT((C1684-C1683)^2+(D1684-D1683)^2+(E1684-E1683)^2)</x:f>
        <x:v>0.34299999999999997</x:v>
      </x:c>
      <x:c r="G1684" s="8" t="str">
        <x:v>Current</x:v>
      </x:c>
    </x:row>
    <x:row r="1685" ht="32" customHeight="1">
      <x:c r="A1685" s="8" t="str">
        <x:v>drop:DB2:L6:light:1:L177</x:v>
      </x:c>
      <x:c r="B1685" s="8" t="n">
        <x:v>4</x:v>
      </x:c>
      <x:c r="C1685" s="11" t="n">
        <x:v>0</x:v>
      </x:c>
      <x:c r="D1685" s="11" t="n">
        <x:v>7.65</x:v>
      </x:c>
      <x:c r="E1685" s="11" t="n">
        <x:v>7.703</x:v>
      </x:c>
      <x:c r="F1685" s="11" t="n">
        <x:f>SQRT((C1685-C1684)^2+(D1685-D1684)^2+(E1685-E1684)^2)</x:f>
        <x:v>2.35</x:v>
      </x:c>
      <x:c r="G1685" s="8" t="str">
        <x:v>Current</x:v>
      </x:c>
    </x:row>
    <x:row r="1686" ht="32" customHeight="1">
      <x:c r="A1686" s="8" t="str">
        <x:v>drop:DB2:L6:light:1:L177</x:v>
      </x:c>
      <x:c r="B1686" s="8" t="n">
        <x:v>5</x:v>
      </x:c>
      <x:c r="C1686" s="11" t="n">
        <x:v>0</x:v>
      </x:c>
      <x:c r="D1686" s="11" t="n">
        <x:v>7.65</x:v>
      </x:c>
      <x:c r="E1686" s="11" t="n">
        <x:v>12.363</x:v>
      </x:c>
      <x:c r="F1686" s="11" t="n">
        <x:f>SQRT((C1686-C1685)^2+(D1686-D1685)^2+(E1686-E1685)^2)</x:f>
        <x:v>4.659999999999999</x:v>
      </x:c>
      <x:c r="G1686" s="8" t="str">
        <x:v>Current</x:v>
      </x:c>
    </x:row>
    <x:row r="1687" ht="32" customHeight="1">
      <x:c r="A1687" s="8" t="str">
        <x:v>drop:DB2:L6:light:1:L177</x:v>
      </x:c>
      <x:c r="B1687" s="8" t="n">
        <x:v>6</x:v>
      </x:c>
      <x:c r="C1687" s="11" t="n">
        <x:v>0</x:v>
      </x:c>
      <x:c r="D1687" s="11" t="n">
        <x:v>8.4</x:v>
      </x:c>
      <x:c r="E1687" s="11" t="n">
        <x:v>12.363</x:v>
      </x:c>
      <x:c r="F1687" s="11" t="n">
        <x:f>SQRT((C1687-C1686)^2+(D1687-D1686)^2+(E1687-E1686)^2)</x:f>
        <x:v>0.75</x:v>
      </x:c>
      <x:c r="G1687" s="8" t="str">
        <x:v>Current</x:v>
      </x:c>
    </x:row>
    <x:row r="1688" ht="32" customHeight="1">
      <x:c r="A1688" s="8" t="str">
        <x:v>drop:DB2:L6:light:1:L177</x:v>
      </x:c>
      <x:c r="B1688" s="8" t="n">
        <x:v>7</x:v>
      </x:c>
      <x:c r="C1688" s="11" t="n">
        <x:v>0.09</x:v>
      </x:c>
      <x:c r="D1688" s="11" t="n">
        <x:v>8.4</x:v>
      </x:c>
      <x:c r="E1688" s="11" t="n">
        <x:v>12.363</x:v>
      </x:c>
      <x:c r="F1688" s="11" t="n">
        <x:f>SQRT((C1688-C1687)^2+(D1688-D1687)^2+(E1688-E1687)^2)</x:f>
        <x:v>0.09</x:v>
      </x:c>
      <x:c r="G1688" s="8" t="str">
        <x:v>Current</x:v>
      </x:c>
    </x:row>
    <x:row r="1689" ht="32" customHeight="1">
      <x:c r="A1689" s="8" t="str">
        <x:v>drop:DB2:L6:light:1:L177</x:v>
      </x:c>
      <x:c r="B1689" s="8" t="n">
        <x:v>8</x:v>
      </x:c>
      <x:c r="C1689" s="11" t="n">
        <x:v>0.09</x:v>
      </x:c>
      <x:c r="D1689" s="11" t="n">
        <x:v>8.4</x:v>
      </x:c>
      <x:c r="E1689" s="11" t="n">
        <x:v>12.238</x:v>
      </x:c>
      <x:c r="F1689" s="11" t="n">
        <x:f>SQRT((C1689-C1688)^2+(D1689-D1688)^2+(E1689-E1688)^2)</x:f>
        <x:v>0.125</x:v>
      </x:c>
      <x:c r="G1689" s="8" t="str">
        <x:v>Current</x:v>
      </x:c>
    </x:row>
    <x:row r="1690" ht="32" customHeight="1">
      <x:c r="A1690" s="8" t="str">
        <x:v>drop:DB2:L6:light:1:L177</x:v>
      </x:c>
      <x:c r="B1690" s="8" t="n">
        <x:v>9</x:v>
      </x:c>
      <x:c r="C1690" s="11" t="n">
        <x:v>0.09</x:v>
      </x:c>
      <x:c r="D1690" s="11" t="n">
        <x:v>8.39</x:v>
      </x:c>
      <x:c r="E1690" s="11" t="n">
        <x:v>12.238</x:v>
      </x:c>
      <x:c r="F1690" s="11" t="n">
        <x:f>SQRT((C1690-C1689)^2+(D1690-D1689)^2+(E1690-E1689)^2)</x:f>
        <x:v>0.009999999999999787</x:v>
      </x:c>
      <x:c r="G1690" s="8" t="str">
        <x:v>Current</x:v>
      </x:c>
    </x:row>
    <x:row r="1691" ht="32" customHeight="1">
      <x:c r="A1691" s="8" t="str">
        <x:v>drop:DB2:L6:light:1:L177</x:v>
      </x:c>
      <x:c r="B1691" s="8" t="n">
        <x:v>10</x:v>
      </x:c>
      <x:c r="C1691" s="11" t="n">
        <x:v>0.09</x:v>
      </x:c>
      <x:c r="D1691" s="11" t="n">
        <x:v>8.39</x:v>
      </x:c>
      <x:c r="E1691" s="11" t="n">
        <x:v>12.478000000000002</x:v>
      </x:c>
      <x:c r="F1691" s="11" t="n">
        <x:f>SQRT((C1691-C1690)^2+(D1691-D1690)^2+(E1691-E1690)^2)</x:f>
        <x:v>0.240000000000002</x:v>
      </x:c>
      <x:c r="G1691" s="8" t="str">
        <x:v>Current</x:v>
      </x:c>
    </x:row>
    <x:row r="1692" ht="32" customHeight="1">
      <x:c r="A1692" s="8" t="str">
        <x:v>drop:DB2:L6:light:1:L177</x:v>
      </x:c>
      <x:c r="B1692" s="8" t="n">
        <x:v>11</x:v>
      </x:c>
      <x:c r="C1692" s="11" t="n">
        <x:v>3.75</x:v>
      </x:c>
      <x:c r="D1692" s="11" t="n">
        <x:v>8.39</x:v>
      </x:c>
      <x:c r="E1692" s="11" t="n">
        <x:v>12.478000000000002</x:v>
      </x:c>
      <x:c r="F1692" s="11" t="n">
        <x:f>SQRT((C1692-C1691)^2+(D1692-D1691)^2+(E1692-E1691)^2)</x:f>
        <x:v>3.66</x:v>
      </x:c>
      <x:c r="G1692" s="8" t="str">
        <x:v>Current</x:v>
      </x:c>
    </x:row>
    <x:row r="1693" ht="32" customHeight="1">
      <x:c r="A1693" s="8" t="str">
        <x:v>drop:DB2:L6:light:1:L177</x:v>
      </x:c>
      <x:c r="B1693" s="8" t="n">
        <x:v>12</x:v>
      </x:c>
      <x:c r="C1693" s="11" t="n">
        <x:v>3.75</x:v>
      </x:c>
      <x:c r="D1693" s="11" t="n">
        <x:v>8.39</x:v>
      </x:c>
      <x:c r="E1693" s="11" t="n">
        <x:v>12.943000000000001</x:v>
      </x:c>
      <x:c r="F1693" s="11" t="n">
        <x:f>SQRT((C1693-C1692)^2+(D1693-D1692)^2+(E1693-E1692)^2)</x:f>
        <x:v>0.46499999999999986</x:v>
      </x:c>
      <x:c r="G1693" s="8" t="str">
        <x:v>Current</x:v>
      </x:c>
    </x:row>
    <x:row r="1694" ht="32" customHeight="1">
      <x:c r="A1694" s="8" t="str">
        <x:v>drop:DB2:L6:light:1:L178</x:v>
      </x:c>
      <x:c r="B1694" s="8" t="n">
        <x:v>1</x:v>
      </x:c>
      <x:c r="C1694" s="11" t="n">
        <x:v>2.45</x:v>
      </x:c>
      <x:c r="D1694" s="11" t="n">
        <x:v>5.964</x:v>
      </x:c>
      <x:c r="E1694" s="11" t="n">
        <x:v>7.36</x:v>
      </x:c>
      <x:c r="F1694" s="11" t="n">
        <x:f>0</x:f>
        <x:v>0</x:v>
      </x:c>
      <x:c r="G1694" s="8" t="str">
        <x:v>Current</x:v>
      </x:c>
    </x:row>
    <x:row r="1695" ht="32" customHeight="1">
      <x:c r="A1695" s="8" t="str">
        <x:v>drop:DB2:L6:light:1:L178</x:v>
      </x:c>
      <x:c r="B1695" s="8" t="n">
        <x:v>2</x:v>
      </x:c>
      <x:c r="C1695" s="11" t="n">
        <x:v>2.35</x:v>
      </x:c>
      <x:c r="D1695" s="11" t="n">
        <x:v>7.65</x:v>
      </x:c>
      <x:c r="E1695" s="11" t="n">
        <x:v>7.36</x:v>
      </x:c>
      <x:c r="F1695" s="11" t="n">
        <x:f>SQRT((C1695-C1694)^2+(D1695-D1694)^2+(E1695-E1694)^2)</x:f>
        <x:v>1.6889629954501668</x:v>
      </x:c>
      <x:c r="G1695" s="8" t="str">
        <x:v>Current</x:v>
      </x:c>
    </x:row>
    <x:row r="1696" ht="32" customHeight="1">
      <x:c r="A1696" s="8" t="str">
        <x:v>drop:DB2:L6:light:1:L178</x:v>
      </x:c>
      <x:c r="B1696" s="8" t="n">
        <x:v>3</x:v>
      </x:c>
      <x:c r="C1696" s="11" t="n">
        <x:v>2.35</x:v>
      </x:c>
      <x:c r="D1696" s="11" t="n">
        <x:v>7.65</x:v>
      </x:c>
      <x:c r="E1696" s="11" t="n">
        <x:v>7.703</x:v>
      </x:c>
      <x:c r="F1696" s="11" t="n">
        <x:f>SQRT((C1696-C1695)^2+(D1696-D1695)^2+(E1696-E1695)^2)</x:f>
        <x:v>0.34299999999999997</x:v>
      </x:c>
      <x:c r="G1696" s="8" t="str">
        <x:v>Current</x:v>
      </x:c>
    </x:row>
    <x:row r="1697" ht="32" customHeight="1">
      <x:c r="A1697" s="8" t="str">
        <x:v>drop:DB2:L6:light:1:L178</x:v>
      </x:c>
      <x:c r="B1697" s="8" t="n">
        <x:v>4</x:v>
      </x:c>
      <x:c r="C1697" s="11" t="n">
        <x:v>0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2.35</x:v>
      </x:c>
      <x:c r="G1697" s="8" t="str">
        <x:v>Current</x:v>
      </x:c>
    </x:row>
    <x:row r="1698" ht="32" customHeight="1">
      <x:c r="A1698" s="8" t="str">
        <x:v>drop:DB2:L6:light:1:L178</x:v>
      </x:c>
      <x:c r="B1698" s="8" t="n">
        <x:v>5</x:v>
      </x:c>
      <x:c r="C1698" s="11" t="n">
        <x:v>0</x:v>
      </x:c>
      <x:c r="D1698" s="11" t="n">
        <x:v>7.65</x:v>
      </x:c>
      <x:c r="E1698" s="11" t="n">
        <x:v>12.363</x:v>
      </x:c>
      <x:c r="F1698" s="11" t="n">
        <x:f>SQRT((C1698-C1697)^2+(D1698-D1697)^2+(E1698-E1697)^2)</x:f>
        <x:v>4.659999999999999</x:v>
      </x:c>
      <x:c r="G1698" s="8" t="str">
        <x:v>Current</x:v>
      </x:c>
    </x:row>
    <x:row r="1699" ht="32" customHeight="1">
      <x:c r="A1699" s="8" t="str">
        <x:v>drop:DB2:L6:light:1:L178</x:v>
      </x:c>
      <x:c r="B1699" s="8" t="n">
        <x:v>6</x:v>
      </x:c>
      <x:c r="C1699" s="11" t="n">
        <x:v>0</x:v>
      </x:c>
      <x:c r="D1699" s="11" t="n">
        <x:v>8.4</x:v>
      </x:c>
      <x:c r="E1699" s="11" t="n">
        <x:v>12.363</x:v>
      </x:c>
      <x:c r="F1699" s="11" t="n">
        <x:f>SQRT((C1699-C1698)^2+(D1699-D1698)^2+(E1699-E1698)^2)</x:f>
        <x:v>0.75</x:v>
      </x:c>
      <x:c r="G1699" s="8" t="str">
        <x:v>Current</x:v>
      </x:c>
    </x:row>
    <x:row r="1700" ht="32" customHeight="1">
      <x:c r="A1700" s="8" t="str">
        <x:v>drop:DB2:L6:light:1:L178</x:v>
      </x:c>
      <x:c r="B1700" s="8" t="n">
        <x:v>7</x:v>
      </x:c>
      <x:c r="C1700" s="11" t="n">
        <x:v>0.09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0.09</x:v>
      </x:c>
      <x:c r="G1700" s="8" t="str">
        <x:v>Current</x:v>
      </x:c>
    </x:row>
    <x:row r="1701" ht="32" customHeight="1">
      <x:c r="A1701" s="8" t="str">
        <x:v>drop:DB2:L6:light:1:L178</x:v>
      </x:c>
      <x:c r="B1701" s="8" t="n">
        <x:v>8</x:v>
      </x:c>
      <x:c r="C1701" s="11" t="n">
        <x:v>0.09</x:v>
      </x:c>
      <x:c r="D1701" s="11" t="n">
        <x:v>8.4</x:v>
      </x:c>
      <x:c r="E1701" s="11" t="n">
        <x:v>12.238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drop:DB2:L6:light:1:L178</x:v>
      </x:c>
      <x:c r="B1702" s="8" t="n">
        <x:v>9</x:v>
      </x:c>
      <x:c r="C1702" s="11" t="n">
        <x:v>0.09</x:v>
      </x:c>
      <x:c r="D1702" s="11" t="n">
        <x:v>8.39</x:v>
      </x:c>
      <x:c r="E1702" s="11" t="n">
        <x:v>12.238</x:v>
      </x:c>
      <x:c r="F1702" s="11" t="n">
        <x:f>SQRT((C1702-C1701)^2+(D1702-D1701)^2+(E1702-E1701)^2)</x:f>
        <x:v>0.009999999999999787</x:v>
      </x:c>
      <x:c r="G1702" s="8" t="str">
        <x:v>Current</x:v>
      </x:c>
    </x:row>
    <x:row r="1703" ht="32" customHeight="1">
      <x:c r="A1703" s="8" t="str">
        <x:v>drop:DB2:L6:light:1:L178</x:v>
      </x:c>
      <x:c r="B1703" s="8" t="n">
        <x:v>10</x:v>
      </x:c>
      <x:c r="C1703" s="11" t="n">
        <x:v>0.09</x:v>
      </x:c>
      <x:c r="D1703" s="11" t="n">
        <x:v>8.39</x:v>
      </x:c>
      <x:c r="E1703" s="11" t="n">
        <x:v>12.478000000000002</x:v>
      </x:c>
      <x:c r="F1703" s="11" t="n">
        <x:f>SQRT((C1703-C1702)^2+(D1703-D1702)^2+(E1703-E1702)^2)</x:f>
        <x:v>0.240000000000002</x:v>
      </x:c>
      <x:c r="G1703" s="8" t="str">
        <x:v>Current</x:v>
      </x:c>
    </x:row>
    <x:row r="1704" ht="32" customHeight="1">
      <x:c r="A1704" s="8" t="str">
        <x:v>drop:DB2:L6:light:1:L178</x:v>
      </x:c>
      <x:c r="B1704" s="8" t="n">
        <x:v>11</x:v>
      </x:c>
      <x:c r="C1704" s="11" t="n">
        <x:v>2.45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2.3600000000000003</x:v>
      </x:c>
      <x:c r="G1704" s="8" t="str">
        <x:v>Current</x:v>
      </x:c>
    </x:row>
    <x:row r="1705" ht="32" customHeight="1">
      <x:c r="A1705" s="8" t="str">
        <x:v>drop:DB2:L6:light:1:L178</x:v>
      </x:c>
      <x:c r="B1705" s="8" t="n">
        <x:v>12</x:v>
      </x:c>
      <x:c r="C1705" s="11" t="n">
        <x:v>2.45</x:v>
      </x:c>
      <x:c r="D1705" s="11" t="n">
        <x:v>8.39</x:v>
      </x:c>
      <x:c r="E1705" s="11" t="n">
        <x:v>12.943000000000001</x:v>
      </x:c>
      <x:c r="F1705" s="11" t="n">
        <x:f>SQRT((C1705-C1704)^2+(D1705-D1704)^2+(E1705-E1704)^2)</x:f>
        <x:v>0.46499999999999986</x:v>
      </x:c>
      <x:c r="G1705" s="8" t="str">
        <x:v>Current</x:v>
      </x:c>
    </x:row>
    <x:row r="1706" ht="32" customHeight="1">
      <x:c r="A1706" s="8" t="str">
        <x:v>drop:DB2:L6:light:1:L179</x:v>
      </x:c>
      <x:c r="B1706" s="8" t="n">
        <x:v>1</x:v>
      </x:c>
      <x:c r="C1706" s="11" t="n">
        <x:v>2.45</x:v>
      </x:c>
      <x:c r="D1706" s="11" t="n">
        <x:v>5.964</x:v>
      </x:c>
      <x:c r="E1706" s="11" t="n">
        <x:v>7.36</x:v>
      </x:c>
      <x:c r="F1706" s="11" t="n">
        <x:f>0</x:f>
        <x:v>0</x:v>
      </x:c>
      <x:c r="G1706" s="8" t="str">
        <x:v>Current</x:v>
      </x:c>
    </x:row>
    <x:row r="1707" ht="32" customHeight="1">
      <x:c r="A1707" s="8" t="str">
        <x:v>drop:DB2:L6:light:1:L179</x:v>
      </x:c>
      <x:c r="B1707" s="8" t="n">
        <x:v>2</x:v>
      </x:c>
      <x:c r="C1707" s="11" t="n">
        <x:v>2.35</x:v>
      </x:c>
      <x:c r="D1707" s="11" t="n">
        <x:v>7.65</x:v>
      </x:c>
      <x:c r="E1707" s="11" t="n">
        <x:v>7.36</x:v>
      </x:c>
      <x:c r="F1707" s="11" t="n">
        <x:f>SQRT((C1707-C1706)^2+(D1707-D1706)^2+(E1707-E1706)^2)</x:f>
        <x:v>1.6889629954501668</x:v>
      </x:c>
      <x:c r="G1707" s="8" t="str">
        <x:v>Current</x:v>
      </x:c>
    </x:row>
    <x:row r="1708" ht="32" customHeight="1">
      <x:c r="A1708" s="8" t="str">
        <x:v>drop:DB2:L6:light:1:L179</x:v>
      </x:c>
      <x:c r="B1708" s="8" t="n">
        <x:v>3</x:v>
      </x:c>
      <x:c r="C1708" s="11" t="n">
        <x:v>2.35</x:v>
      </x:c>
      <x:c r="D1708" s="11" t="n">
        <x:v>7.65</x:v>
      </x:c>
      <x:c r="E1708" s="11" t="n">
        <x:v>7.703</x:v>
      </x:c>
      <x:c r="F1708" s="11" t="n">
        <x:f>SQRT((C1708-C1707)^2+(D1708-D1707)^2+(E1708-E1707)^2)</x:f>
        <x:v>0.34299999999999997</x:v>
      </x:c>
      <x:c r="G1708" s="8" t="str">
        <x:v>Current</x:v>
      </x:c>
    </x:row>
    <x:row r="1709" ht="32" customHeight="1">
      <x:c r="A1709" s="8" t="str">
        <x:v>drop:DB2:L6:light:1:L179</x:v>
      </x:c>
      <x:c r="B1709" s="8" t="n">
        <x:v>4</x:v>
      </x:c>
      <x:c r="C1709" s="11" t="n">
        <x:v>0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2.35</x:v>
      </x:c>
      <x:c r="G1709" s="8" t="str">
        <x:v>Current</x:v>
      </x:c>
    </x:row>
    <x:row r="1710" ht="32" customHeight="1">
      <x:c r="A1710" s="8" t="str">
        <x:v>drop:DB2:L6:light:1:L179</x:v>
      </x:c>
      <x:c r="B1710" s="8" t="n">
        <x:v>5</x:v>
      </x:c>
      <x:c r="C1710" s="11" t="n">
        <x:v>0</x:v>
      </x:c>
      <x:c r="D1710" s="11" t="n">
        <x:v>7.65</x:v>
      </x:c>
      <x:c r="E1710" s="11" t="n">
        <x:v>12.363</x:v>
      </x:c>
      <x:c r="F1710" s="11" t="n">
        <x:f>SQRT((C1710-C1709)^2+(D1710-D1709)^2+(E1710-E1709)^2)</x:f>
        <x:v>4.659999999999999</x:v>
      </x:c>
      <x:c r="G1710" s="8" t="str">
        <x:v>Current</x:v>
      </x:c>
    </x:row>
    <x:row r="1711" ht="32" customHeight="1">
      <x:c r="A1711" s="8" t="str">
        <x:v>drop:DB2:L6:light:1:L179</x:v>
      </x:c>
      <x:c r="B1711" s="8" t="n">
        <x:v>6</x:v>
      </x:c>
      <x:c r="C1711" s="11" t="n">
        <x:v>0</x:v>
      </x:c>
      <x:c r="D1711" s="11" t="n">
        <x:v>8.4</x:v>
      </x:c>
      <x:c r="E1711" s="11" t="n">
        <x:v>12.363</x:v>
      </x:c>
      <x:c r="F1711" s="11" t="n">
        <x:f>SQRT((C1711-C1710)^2+(D1711-D1710)^2+(E1711-E1710)^2)</x:f>
        <x:v>0.75</x:v>
      </x:c>
      <x:c r="G1711" s="8" t="str">
        <x:v>Current</x:v>
      </x:c>
    </x:row>
    <x:row r="1712" ht="32" customHeight="1">
      <x:c r="A1712" s="8" t="str">
        <x:v>drop:DB2:L6:light:1:L179</x:v>
      </x:c>
      <x:c r="B1712" s="8" t="n">
        <x:v>7</x:v>
      </x:c>
      <x:c r="C1712" s="11" t="n">
        <x:v>0.09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0.09</x:v>
      </x:c>
      <x:c r="G1712" s="8" t="str">
        <x:v>Current</x:v>
      </x:c>
    </x:row>
    <x:row r="1713" ht="32" customHeight="1">
      <x:c r="A1713" s="8" t="str">
        <x:v>drop:DB2:L6:light:1:L179</x:v>
      </x:c>
      <x:c r="B1713" s="8" t="n">
        <x:v>8</x:v>
      </x:c>
      <x:c r="C1713" s="11" t="n">
        <x:v>0.09</x:v>
      </x:c>
      <x:c r="D1713" s="11" t="n">
        <x:v>8.4</x:v>
      </x:c>
      <x:c r="E1713" s="11" t="n">
        <x:v>12.238</x:v>
      </x:c>
      <x:c r="F1713" s="11" t="n">
        <x:f>SQRT((C1713-C1712)^2+(D1713-D1712)^2+(E1713-E1712)^2)</x:f>
        <x:v>0.125</x:v>
      </x:c>
      <x:c r="G1713" s="8" t="str">
        <x:v>Current</x:v>
      </x:c>
    </x:row>
    <x:row r="1714" ht="32" customHeight="1">
      <x:c r="A1714" s="8" t="str">
        <x:v>drop:DB2:L6:light:1:L179</x:v>
      </x:c>
      <x:c r="B1714" s="8" t="n">
        <x:v>9</x:v>
      </x:c>
      <x:c r="C1714" s="11" t="n">
        <x:v>0.09</x:v>
      </x:c>
      <x:c r="D1714" s="11" t="n">
        <x:v>15.85</x:v>
      </x:c>
      <x:c r="E1714" s="11" t="n">
        <x:v>12.238</x:v>
      </x:c>
      <x:c r="F1714" s="11" t="n">
        <x:f>SQRT((C1714-C1713)^2+(D1714-D1713)^2+(E1714-E1713)^2)</x:f>
        <x:v>7.449999999999999</x:v>
      </x:c>
      <x:c r="G1714" s="8" t="str">
        <x:v>Current</x:v>
      </x:c>
    </x:row>
    <x:row r="1715" ht="32" customHeight="1">
      <x:c r="A1715" s="8" t="str">
        <x:v>drop:DB2:L6:light:1:L179</x:v>
      </x:c>
      <x:c r="B1715" s="8" t="n">
        <x:v>10</x:v>
      </x:c>
      <x:c r="C1715" s="11" t="n">
        <x:v>0.19</x:v>
      </x:c>
      <x:c r="D1715" s="11" t="n">
        <x:v>15.85</x:v>
      </x:c>
      <x:c r="E1715" s="11" t="n">
        <x:v>12.238</x:v>
      </x:c>
      <x:c r="F1715" s="11" t="n">
        <x:f>SQRT((C1715-C1714)^2+(D1715-D1714)^2+(E1715-E1714)^2)</x:f>
        <x:v>0.1</x:v>
      </x:c>
      <x:c r="G1715" s="8" t="str">
        <x:v>Current</x:v>
      </x:c>
    </x:row>
    <x:row r="1716" ht="32" customHeight="1">
      <x:c r="A1716" s="8" t="str">
        <x:v>drop:DB2:L6:light:1:L179</x:v>
      </x:c>
      <x:c r="B1716" s="8" t="n">
        <x:v>11</x:v>
      </x:c>
      <x:c r="C1716" s="11" t="n">
        <x:v>0.19</x:v>
      </x:c>
      <x:c r="D1716" s="11" t="n">
        <x:v>15.85</x:v>
      </x:c>
      <x:c r="E1716" s="11" t="n">
        <x:v>12.138</x:v>
      </x:c>
      <x:c r="F1716" s="11" t="n">
        <x:f>SQRT((C1716-C1715)^2+(D1716-D1715)^2+(E1716-E1715)^2)</x:f>
        <x:v>0.09999999999999964</x:v>
      </x:c>
      <x:c r="G1716" s="8" t="str">
        <x:v>Current</x:v>
      </x:c>
    </x:row>
    <x:row r="1717" ht="32" customHeight="1">
      <x:c r="A1717" s="8" t="str">
        <x:v>drop:DB2:L6:light:1:L179</x:v>
      </x:c>
      <x:c r="B1717" s="8" t="n">
        <x:v>12</x:v>
      </x:c>
      <x:c r="C1717" s="11" t="n">
        <x:v>0.19</x:v>
      </x:c>
      <x:c r="D1717" s="11" t="n">
        <x:v>15.84</x:v>
      </x:c>
      <x:c r="E1717" s="11" t="n">
        <x:v>12.138</x:v>
      </x:c>
      <x:c r="F1717" s="11" t="n">
        <x:f>SQRT((C1717-C1716)^2+(D1717-D1716)^2+(E1717-E1716)^2)</x:f>
        <x:v>0.009999999999999787</x:v>
      </x:c>
      <x:c r="G1717" s="8" t="str">
        <x:v>Current</x:v>
      </x:c>
    </x:row>
    <x:row r="1718" ht="32" customHeight="1">
      <x:c r="A1718" s="8" t="str">
        <x:v>drop:DB2:L6:light:1:L179</x:v>
      </x:c>
      <x:c r="B1718" s="8" t="n">
        <x:v>13</x:v>
      </x:c>
      <x:c r="C1718" s="11" t="n">
        <x:v>0.19</x:v>
      </x:c>
      <x:c r="D1718" s="11" t="n">
        <x:v>15.84</x:v>
      </x:c>
      <x:c r="E1718" s="11" t="n">
        <x:v>12.378</x:v>
      </x:c>
      <x:c r="F1718" s="11" t="n">
        <x:f>SQRT((C1718-C1717)^2+(D1718-D1717)^2+(E1718-E1717)^2)</x:f>
        <x:v>0.2400000000000002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14</x:v>
      </x:c>
      <x:c r="C1719" s="11" t="n">
        <x:v>2.45</x:v>
      </x:c>
      <x:c r="D1719" s="11" t="n">
        <x:v>15.84</x:v>
      </x:c>
      <x:c r="E1719" s="11" t="n">
        <x:v>12.378</x:v>
      </x:c>
      <x:c r="F1719" s="11" t="n">
        <x:f>SQRT((C1719-C1718)^2+(D1719-D1718)^2+(E1719-E1718)^2)</x:f>
        <x:v>2.2600000000000002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15</x:v>
      </x:c>
      <x:c r="C1720" s="11" t="n">
        <x:v>2.45</x:v>
      </x:c>
      <x:c r="D1720" s="11" t="n">
        <x:v>15.84</x:v>
      </x:c>
      <x:c r="E1720" s="11" t="n">
        <x:v>12.818000000000001</x:v>
      </x:c>
      <x:c r="F1720" s="11" t="n">
        <x:f>SQRT((C1720-C1719)^2+(D1720-D1719)^2+(E1720-E1719)^2)</x:f>
        <x:v>0.4400000000000013</x:v>
      </x:c>
      <x:c r="G1720" s="8" t="str">
        <x:v>Current</x:v>
      </x:c>
    </x:row>
    <x:row r="1721" ht="32" customHeight="1">
      <x:c r="A1721" s="8" t="str">
        <x:v>drop:DB2:L6:light:1:L180</x:v>
      </x:c>
      <x:c r="B1721" s="8" t="n">
        <x:v>1</x:v>
      </x:c>
      <x:c r="C1721" s="11" t="n">
        <x:v>2.45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drop:DB2:L6:light:1:L180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1.6889629954501668</x:v>
      </x:c>
      <x:c r="G1722" s="8" t="str">
        <x:v>Current</x:v>
      </x:c>
    </x:row>
    <x:row r="1723" ht="32" customHeight="1">
      <x:c r="A1723" s="8" t="str">
        <x:v>drop:DB2:L6:light:1:L180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drop:DB2:L6:light:1:L180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drop:DB2:L6:light:1:L180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drop:DB2:L6:light:1:L180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drop:DB2:L6:light:1:L180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drop:DB2:L6:light:1:L180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drop:DB2:L6:light:1:L180</x:v>
      </x:c>
      <x:c r="B1729" s="8" t="n">
        <x:v>9</x:v>
      </x:c>
      <x:c r="C1729" s="11" t="n">
        <x:v>0.09</x:v>
      </x:c>
      <x:c r="D1729" s="11" t="n">
        <x:v>15.85</x:v>
      </x:c>
      <x:c r="E1729" s="11" t="n">
        <x:v>12.238</x:v>
      </x:c>
      <x:c r="F1729" s="11" t="n">
        <x:f>SQRT((C1729-C1728)^2+(D1729-D1728)^2+(E1729-E1728)^2)</x:f>
        <x:v>7.449999999999999</x:v>
      </x:c>
      <x:c r="G1729" s="8" t="str">
        <x:v>Current</x:v>
      </x:c>
    </x:row>
    <x:row r="1730" ht="32" customHeight="1">
      <x:c r="A1730" s="8" t="str">
        <x:v>drop:DB2:L6:light:1:L180</x:v>
      </x:c>
      <x:c r="B1730" s="8" t="n">
        <x:v>10</x:v>
      </x:c>
      <x:c r="C1730" s="11" t="n">
        <x:v>0.19</x:v>
      </x:c>
      <x:c r="D1730" s="11" t="n">
        <x:v>15.85</x:v>
      </x:c>
      <x:c r="E1730" s="11" t="n">
        <x:v>12.238</x:v>
      </x:c>
      <x:c r="F1730" s="11" t="n">
        <x:f>SQRT((C1730-C1729)^2+(D1730-D1729)^2+(E1730-E1729)^2)</x:f>
        <x:v>0.1</x:v>
      </x:c>
      <x:c r="G1730" s="8" t="str">
        <x:v>Current</x:v>
      </x:c>
    </x:row>
    <x:row r="1731" ht="32" customHeight="1">
      <x:c r="A1731" s="8" t="str">
        <x:v>drop:DB2:L6:light:1:L180</x:v>
      </x:c>
      <x:c r="B1731" s="8" t="n">
        <x:v>11</x:v>
      </x:c>
      <x:c r="C1731" s="11" t="n">
        <x:v>0.19</x:v>
      </x:c>
      <x:c r="D1731" s="11" t="n">
        <x:v>15.85</x:v>
      </x:c>
      <x:c r="E1731" s="11" t="n">
        <x:v>12.138</x:v>
      </x:c>
      <x:c r="F1731" s="11" t="n">
        <x:f>SQRT((C1731-C1730)^2+(D1731-D1730)^2+(E1731-E1730)^2)</x:f>
        <x:v>0.09999999999999964</x:v>
      </x:c>
      <x:c r="G1731" s="8" t="str">
        <x:v>Current</x:v>
      </x:c>
    </x:row>
    <x:row r="1732" ht="32" customHeight="1">
      <x:c r="A1732" s="8" t="str">
        <x:v>drop:DB2:L6:light:1:L180</x:v>
      </x:c>
      <x:c r="B1732" s="8" t="n">
        <x:v>12</x:v>
      </x:c>
      <x:c r="C1732" s="11" t="n">
        <x:v>0.19</x:v>
      </x:c>
      <x:c r="D1732" s="11" t="n">
        <x:v>23.150000000000002</x:v>
      </x:c>
      <x:c r="E1732" s="11" t="n">
        <x:v>12.138</x:v>
      </x:c>
      <x:c r="F1732" s="11" t="n">
        <x:f>SQRT((C1732-C1731)^2+(D1732-D1731)^2+(E1732-E1731)^2)</x:f>
        <x:v>7.3000000000000025</x:v>
      </x:c>
      <x:c r="G1732" s="8" t="str">
        <x:v>Current</x:v>
      </x:c>
    </x:row>
    <x:row r="1733" ht="32" customHeight="1">
      <x:c r="A1733" s="8" t="str">
        <x:v>drop:DB2:L6:light:1:L180</x:v>
      </x:c>
      <x:c r="B1733" s="8" t="n">
        <x:v>13</x:v>
      </x:c>
      <x:c r="C1733" s="11" t="n">
        <x:v>0.475</x:v>
      </x:c>
      <x:c r="D1733" s="11" t="n">
        <x:v>23.150000000000002</x:v>
      </x:c>
      <x:c r="E1733" s="11" t="n">
        <x:v>12.138</x:v>
      </x:c>
      <x:c r="F1733" s="11" t="n">
        <x:f>SQRT((C1733-C1732)^2+(D1733-D1732)^2+(E1733-E1732)^2)</x:f>
        <x:v>0.285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14</x:v>
      </x:c>
      <x:c r="C1734" s="11" t="n">
        <x:v>0.475</x:v>
      </x:c>
      <x:c r="D1734" s="11" t="n">
        <x:v>23.150000000000002</x:v>
      </x:c>
      <x:c r="E1734" s="11" t="n">
        <x:v>11.863</x:v>
      </x:c>
      <x:c r="F1734" s="11" t="n">
        <x:f>SQRT((C1734-C1733)^2+(D1734-D1733)^2+(E1734-E1733)^2)</x:f>
        <x:v>0.27500000000000036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15</x:v>
      </x:c>
      <x:c r="C1735" s="11" t="n">
        <x:v>0.475</x:v>
      </x:c>
      <x:c r="D1735" s="11" t="n">
        <x:v>23.14</x:v>
      </x:c>
      <x:c r="E1735" s="11" t="n">
        <x:v>11.863</x:v>
      </x:c>
      <x:c r="F1735" s="11" t="n">
        <x:f>SQRT((C1735-C1734)^2+(D1735-D1734)^2+(E1735-E1734)^2)</x:f>
        <x:v>0.010000000000001563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16</x:v>
      </x:c>
      <x:c r="C1736" s="11" t="n">
        <x:v>0.475</x:v>
      </x:c>
      <x:c r="D1736" s="11" t="n">
        <x:v>23.14</x:v>
      </x:c>
      <x:c r="E1736" s="11" t="n">
        <x:v>12.103</x:v>
      </x:c>
      <x:c r="F1736" s="11" t="n">
        <x:f>SQRT((C1736-C1735)^2+(D1736-D1735)^2+(E1736-E1735)^2)</x:f>
        <x:v>0.2400000000000002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17</x:v>
      </x:c>
      <x:c r="C1737" s="11" t="n">
        <x:v>2.45</x:v>
      </x:c>
      <x:c r="D1737" s="11" t="n">
        <x:v>23.14</x:v>
      </x:c>
      <x:c r="E1737" s="11" t="n">
        <x:v>12.103</x:v>
      </x:c>
      <x:c r="F1737" s="11" t="n">
        <x:f>SQRT((C1737-C1736)^2+(D1737-D1736)^2+(E1737-E1736)^2)</x:f>
        <x:v>1.975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18</x:v>
      </x:c>
      <x:c r="C1738" s="11" t="n">
        <x:v>2.45</x:v>
      </x:c>
      <x:c r="D1738" s="11" t="n">
        <x:v>23.14</x:v>
      </x:c>
      <x:c r="E1738" s="11" t="n">
        <x:v>12.718</x:v>
      </x:c>
      <x:c r="F1738" s="11" t="n">
        <x:f>SQRT((C1738-C1737)^2+(D1738-D1737)^2+(E1738-E1737)^2)</x:f>
        <x:v>0.6150000000000002</x:v>
      </x:c>
      <x:c r="G1738" s="8" t="str">
        <x:v>Current</x:v>
      </x:c>
    </x:row>
    <x:row r="1739" ht="32" customHeight="1">
      <x:c r="A1739" s="8" t="str">
        <x:v>drop:DB2:L6:light:1:L181</x:v>
      </x:c>
      <x:c r="B1739" s="8" t="n">
        <x:v>1</x:v>
      </x:c>
      <x:c r="C1739" s="11" t="n">
        <x:v>2.35</x:v>
      </x:c>
      <x:c r="D1739" s="11" t="n">
        <x:v>5.964</x:v>
      </x:c>
      <x:c r="E1739" s="11" t="n">
        <x:v>7.36</x:v>
      </x:c>
      <x:c r="F1739" s="11" t="n">
        <x:f>0</x:f>
        <x:v>0</x:v>
      </x:c>
      <x:c r="G1739" s="8" t="str">
        <x:v>Current</x:v>
      </x:c>
    </x:row>
    <x:row r="1740" ht="32" customHeight="1">
      <x:c r="A1740" s="8" t="str">
        <x:v>drop:DB2:L6:light:1:L181</x:v>
      </x:c>
      <x:c r="B1740" s="8" t="n">
        <x:v>2</x:v>
      </x:c>
      <x:c r="C1740" s="11" t="n">
        <x:v>2.35</x:v>
      </x:c>
      <x:c r="D1740" s="11" t="n">
        <x:v>7.65</x:v>
      </x:c>
      <x:c r="E1740" s="11" t="n">
        <x:v>7.36</x:v>
      </x:c>
      <x:c r="F1740" s="11" t="n">
        <x:f>SQRT((C1740-C1739)^2+(D1740-D1739)^2+(E1740-E1739)^2)</x:f>
        <x:v>1.686</x:v>
      </x:c>
      <x:c r="G1740" s="8" t="str">
        <x:v>Current</x:v>
      </x:c>
    </x:row>
    <x:row r="1741" ht="32" customHeight="1">
      <x:c r="A1741" s="8" t="str">
        <x:v>drop:DB2:L6:light:1:L181</x:v>
      </x:c>
      <x:c r="B1741" s="8" t="n">
        <x:v>3</x:v>
      </x:c>
      <x:c r="C1741" s="11" t="n">
        <x:v>2.35</x:v>
      </x:c>
      <x:c r="D1741" s="11" t="n">
        <x:v>7.65</x:v>
      </x:c>
      <x:c r="E1741" s="11" t="n">
        <x:v>7.4</x:v>
      </x:c>
      <x:c r="F1741" s="11" t="n">
        <x:f>SQRT((C1741-C1740)^2+(D1741-D1740)^2+(E1741-E1740)^2)</x:f>
        <x:v>0.040000000000000036</x:v>
      </x:c>
      <x:c r="G1741" s="8" t="str">
        <x:v>Current</x:v>
      </x:c>
    </x:row>
    <x:row r="1742" ht="32" customHeight="1">
      <x:c r="A1742" s="8" t="str">
        <x:v>drop:DB2:L6:light:1:L181</x:v>
      </x:c>
      <x:c r="B1742" s="8" t="n">
        <x:v>4</x:v>
      </x:c>
      <x:c r="C1742" s="11" t="n">
        <x:v>2.35</x:v>
      </x:c>
      <x:c r="D1742" s="11" t="n">
        <x:v>8.39</x:v>
      </x:c>
      <x:c r="E1742" s="11" t="n">
        <x:v>7.4</x:v>
      </x:c>
      <x:c r="F1742" s="11" t="n">
        <x:f>SQRT((C1742-C1741)^2+(D1742-D1741)^2+(E1742-E1741)^2)</x:f>
        <x:v>0.7400000000000002</x:v>
      </x:c>
      <x:c r="G1742" s="8" t="str">
        <x:v>Current</x:v>
      </x:c>
    </x:row>
    <x:row r="1743" ht="32" customHeight="1">
      <x:c r="A1743" s="8" t="str">
        <x:v>drop:DB2:L6:light:1:L181</x:v>
      </x:c>
      <x:c r="B1743" s="8" t="n">
        <x:v>5</x:v>
      </x:c>
      <x:c r="C1743" s="11" t="n">
        <x:v>-0.15</x:v>
      </x:c>
      <x:c r="D1743" s="11" t="n">
        <x:v>8.39</x:v>
      </x:c>
      <x:c r="E1743" s="11" t="n">
        <x:v>7.4</x:v>
      </x:c>
      <x:c r="F1743" s="11" t="n">
        <x:f>SQRT((C1743-C1742)^2+(D1743-D1742)^2+(E1743-E1742)^2)</x:f>
        <x:v>2.5</x:v>
      </x:c>
      <x:c r="G1743" s="8" t="str">
        <x:v>Current</x:v>
      </x:c>
    </x:row>
    <x:row r="1744" ht="32" customHeight="1">
      <x:c r="A1744" s="8" t="str">
        <x:v>drop:DB2:L6:light:1:L224</x:v>
      </x:c>
      <x:c r="B1744" s="8" t="n">
        <x:v>1</x:v>
      </x:c>
      <x:c r="C1744" s="11" t="n">
        <x:v>2.35</x:v>
      </x:c>
      <x:c r="D1744" s="11" t="n">
        <x:v>5.964</x:v>
      </x:c>
      <x:c r="E1744" s="11" t="n">
        <x:v>7.36</x:v>
      </x:c>
      <x:c r="F1744" s="11" t="n">
        <x:f>0</x:f>
        <x:v>0</x:v>
      </x:c>
      <x:c r="G1744" s="8" t="str">
        <x:v>Current</x:v>
      </x:c>
    </x:row>
    <x:row r="1745" ht="32" customHeight="1">
      <x:c r="A1745" s="8" t="str">
        <x:v>drop:DB2:L6:light:1:L224</x:v>
      </x:c>
      <x:c r="B1745" s="8" t="n">
        <x:v>2</x:v>
      </x:c>
      <x:c r="C1745" s="11" t="n">
        <x:v>2.35</x:v>
      </x:c>
      <x:c r="D1745" s="11" t="n">
        <x:v>7.65</x:v>
      </x:c>
      <x:c r="E1745" s="11" t="n">
        <x:v>7.36</x:v>
      </x:c>
      <x:c r="F1745" s="11" t="n">
        <x:f>SQRT((C1745-C1744)^2+(D1745-D1744)^2+(E1745-E1744)^2)</x:f>
        <x:v>1.686</x:v>
      </x:c>
      <x:c r="G1745" s="8" t="str">
        <x:v>Current</x:v>
      </x:c>
    </x:row>
    <x:row r="1746" ht="32" customHeight="1">
      <x:c r="A1746" s="8" t="str">
        <x:v>drop:DB2:L6:light:1:L224</x:v>
      </x:c>
      <x:c r="B1746" s="8" t="n">
        <x:v>3</x:v>
      </x:c>
      <x:c r="C1746" s="11" t="n">
        <x:v>2.35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0.34299999999999997</x:v>
      </x:c>
      <x:c r="G1746" s="8" t="str">
        <x:v>Current</x:v>
      </x:c>
    </x:row>
    <x:row r="1747" ht="32" customHeight="1">
      <x:c r="A1747" s="8" t="str">
        <x:v>drop:DB2:L6:light:1:L224</x:v>
      </x:c>
      <x:c r="B1747" s="8" t="n">
        <x:v>4</x:v>
      </x:c>
      <x:c r="C1747" s="11" t="n">
        <x:v>0</x:v>
      </x:c>
      <x:c r="D1747" s="11" t="n">
        <x:v>7.65</x:v>
      </x:c>
      <x:c r="E1747" s="11" t="n">
        <x:v>7.703</x:v>
      </x:c>
      <x:c r="F1747" s="11" t="n">
        <x:f>SQRT((C1747-C1746)^2+(D1747-D1746)^2+(E1747-E1746)^2)</x:f>
        <x:v>2.35</x:v>
      </x:c>
      <x:c r="G1747" s="8" t="str">
        <x:v>Current</x:v>
      </x:c>
    </x:row>
    <x:row r="1748" ht="32" customHeight="1">
      <x:c r="A1748" s="8" t="str">
        <x:v>drop:DB2:L6:light:1:L224</x:v>
      </x:c>
      <x:c r="B1748" s="8" t="n">
        <x:v>5</x:v>
      </x:c>
      <x:c r="C1748" s="11" t="n">
        <x:v>0</x:v>
      </x:c>
      <x:c r="D1748" s="11" t="n">
        <x:v>7.65</x:v>
      </x:c>
      <x:c r="E1748" s="11" t="n">
        <x:v>7.9430000000000005</x:v>
      </x:c>
      <x:c r="F1748" s="11" t="n">
        <x:f>SQRT((C1748-C1747)^2+(D1748-D1747)^2+(E1748-E1747)^2)</x:f>
        <x:v>0.2400000000000002</x:v>
      </x:c>
      <x:c r="G1748" s="8" t="str">
        <x:v>Current</x:v>
      </x:c>
    </x:row>
    <x:row r="1749" ht="32" customHeight="1">
      <x:c r="A1749" s="8" t="str">
        <x:v>drop:DB2:L6:light:1:L224</x:v>
      </x:c>
      <x:c r="B1749" s="8" t="n">
        <x:v>6</x:v>
      </x:c>
      <x:c r="C1749" s="11" t="n">
        <x:v>0</x:v>
      </x:c>
      <x:c r="D1749" s="11" t="n">
        <x:v>8.4</x:v>
      </x:c>
      <x:c r="E1749" s="11" t="n">
        <x:v>7.9430000000000005</x:v>
      </x:c>
      <x:c r="F1749" s="11" t="n">
        <x:f>SQRT((C1749-C1748)^2+(D1749-D1748)^2+(E1749-E1748)^2)</x:f>
        <x:v>0.75</x:v>
      </x:c>
      <x:c r="G1749" s="8" t="str">
        <x:v>Current</x:v>
      </x:c>
    </x:row>
    <x:row r="1750" ht="32" customHeight="1">
      <x:c r="A1750" s="8" t="str">
        <x:v>drop:DB2:L6:light:1:L224</x:v>
      </x:c>
      <x:c r="B1750" s="8" t="n">
        <x:v>7</x:v>
      </x:c>
      <x:c r="C1750" s="11" t="n">
        <x:v>0.09</x:v>
      </x:c>
      <x:c r="D1750" s="11" t="n">
        <x:v>8.4</x:v>
      </x:c>
      <x:c r="E1750" s="11" t="n">
        <x:v>7.9430000000000005</x:v>
      </x:c>
      <x:c r="F1750" s="11" t="n">
        <x:f>SQRT((C1750-C1749)^2+(D1750-D1749)^2+(E1750-E1749)^2)</x:f>
        <x:v>0.09</x:v>
      </x:c>
      <x:c r="G1750" s="8" t="str">
        <x:v>Current</x:v>
      </x:c>
    </x:row>
    <x:row r="1751" ht="32" customHeight="1">
      <x:c r="A1751" s="8" t="str">
        <x:v>drop:DB2:L6:light:1:L224</x:v>
      </x:c>
      <x:c r="B1751" s="8" t="n">
        <x:v>8</x:v>
      </x:c>
      <x:c r="C1751" s="11" t="n">
        <x:v>0.09</x:v>
      </x:c>
      <x:c r="D1751" s="11" t="n">
        <x:v>8.4</x:v>
      </x:c>
      <x:c r="E1751" s="11" t="n">
        <x:v>8.068000000000001</x:v>
      </x:c>
      <x:c r="F1751" s="11" t="n">
        <x:f>SQRT((C1751-C1750)^2+(D1751-D1750)^2+(E1751-E1750)^2)</x:f>
        <x:v>0.1250000000000009</x:v>
      </x:c>
      <x:c r="G1751" s="8" t="str">
        <x:v>Current</x:v>
      </x:c>
    </x:row>
    <x:row r="1752" ht="32" customHeight="1">
      <x:c r="A1752" s="8" t="str">
        <x:v>drop:DB2:L6:light:1:L224</x:v>
      </x:c>
      <x:c r="B1752" s="8" t="n">
        <x:v>9</x:v>
      </x:c>
      <x:c r="C1752" s="11" t="n">
        <x:v>0.09</x:v>
      </x:c>
      <x:c r="D1752" s="11" t="n">
        <x:v>8.39</x:v>
      </x:c>
      <x:c r="E1752" s="11" t="n">
        <x:v>8.068000000000001</x:v>
      </x:c>
      <x:c r="F1752" s="11" t="n">
        <x:f>SQRT((C1752-C1751)^2+(D1752-D1751)^2+(E1752-E1751)^2)</x:f>
        <x:v>0.009999999999999787</x:v>
      </x:c>
      <x:c r="G1752" s="8" t="str">
        <x:v>Current</x:v>
      </x:c>
    </x:row>
    <x:row r="1753" ht="32" customHeight="1">
      <x:c r="A1753" s="8" t="str">
        <x:v>drop:DB2:L6:light:1:L224</x:v>
      </x:c>
      <x:c r="B1753" s="8" t="n">
        <x:v>10</x:v>
      </x:c>
      <x:c r="C1753" s="11" t="n">
        <x:v>0.09</x:v>
      </x:c>
      <x:c r="D1753" s="11" t="n">
        <x:v>8.39</x:v>
      </x:c>
      <x:c r="E1753" s="11" t="n">
        <x:v>7.7</x:v>
      </x:c>
      <x:c r="F1753" s="11" t="n">
        <x:f>SQRT((C1753-C1752)^2+(D1753-D1752)^2+(E1753-E1752)^2)</x:f>
        <x:v>0.3680000000000012</x:v>
      </x:c>
      <x:c r="G1753" s="8" t="str">
        <x:v>Current</x:v>
      </x:c>
    </x:row>
    <x:row r="1754" ht="32" customHeight="1">
      <x:c r="A1754" s="8" t="str">
        <x:v>drop:DB2:L6:light:1:L224</x:v>
      </x:c>
      <x:c r="B1754" s="8" t="n">
        <x:v>11</x:v>
      </x:c>
      <x:c r="C1754" s="11" t="n">
        <x:v>-0.15</x:v>
      </x:c>
      <x:c r="D1754" s="11" t="n">
        <x:v>8.39</x:v>
      </x:c>
      <x:c r="E1754" s="11" t="n">
        <x:v>7.7</x:v>
      </x:c>
      <x:c r="F1754" s="11" t="n">
        <x:f>SQRT((C1754-C1753)^2+(D1754-D1753)^2+(E1754-E1753)^2)</x:f>
        <x:v>0.24</x:v>
      </x:c>
      <x:c r="G1754" s="8" t="str">
        <x:v>Current</x:v>
      </x:c>
    </x:row>
    <x:row r="1755" ht="32" customHeight="1">
      <x:c r="A1755" s="8" t="str">
        <x:v>drop:DB2:L6:light:1:L225</x:v>
      </x:c>
      <x:c r="B1755" s="8" t="n">
        <x:v>1</x:v>
      </x:c>
      <x:c r="C1755" s="11" t="n">
        <x:v>2.35</x:v>
      </x:c>
      <x:c r="D1755" s="11" t="n">
        <x:v>5.964</x:v>
      </x:c>
      <x:c r="E1755" s="11" t="n">
        <x:v>7.36</x:v>
      </x:c>
      <x:c r="F1755" s="11" t="n">
        <x:f>0</x:f>
        <x:v>0</x:v>
      </x:c>
      <x:c r="G1755" s="8" t="str">
        <x:v>Current</x:v>
      </x:c>
    </x:row>
    <x:row r="1756" ht="32" customHeight="1">
      <x:c r="A1756" s="8" t="str">
        <x:v>drop:DB2:L6:light:1:L225</x:v>
      </x:c>
      <x:c r="B1756" s="8" t="n">
        <x:v>2</x:v>
      </x:c>
      <x:c r="C1756" s="11" t="n">
        <x:v>2.35</x:v>
      </x:c>
      <x:c r="D1756" s="11" t="n">
        <x:v>7.65</x:v>
      </x:c>
      <x:c r="E1756" s="11" t="n">
        <x:v>7.36</x:v>
      </x:c>
      <x:c r="F1756" s="11" t="n">
        <x:f>SQRT((C1756-C1755)^2+(D1756-D1755)^2+(E1756-E1755)^2)</x:f>
        <x:v>1.686</x:v>
      </x:c>
      <x:c r="G1756" s="8" t="str">
        <x:v>Current</x:v>
      </x:c>
    </x:row>
    <x:row r="1757" ht="32" customHeight="1">
      <x:c r="A1757" s="8" t="str">
        <x:v>drop:DB2:L6:light:1:L225</x:v>
      </x:c>
      <x:c r="B1757" s="8" t="n">
        <x:v>3</x:v>
      </x:c>
      <x:c r="C1757" s="11" t="n">
        <x:v>2.35</x:v>
      </x:c>
      <x:c r="D1757" s="11" t="n">
        <x:v>7.65</x:v>
      </x:c>
      <x:c r="E1757" s="11" t="n">
        <x:v>7.703</x:v>
      </x:c>
      <x:c r="F1757" s="11" t="n">
        <x:f>SQRT((C1757-C1756)^2+(D1757-D1756)^2+(E1757-E1756)^2)</x:f>
        <x:v>0.34299999999999997</x:v>
      </x:c>
      <x:c r="G1757" s="8" t="str">
        <x:v>Current</x:v>
      </x:c>
    </x:row>
    <x:row r="1758" ht="32" customHeight="1">
      <x:c r="A1758" s="8" t="str">
        <x:v>drop:DB2:L6:light:1:L225</x:v>
      </x:c>
      <x:c r="B1758" s="8" t="n">
        <x:v>4</x:v>
      </x:c>
      <x:c r="C1758" s="11" t="n">
        <x:v>0</x:v>
      </x:c>
      <x:c r="D1758" s="11" t="n">
        <x:v>7.65</x:v>
      </x:c>
      <x:c r="E1758" s="11" t="n">
        <x:v>7.703</x:v>
      </x:c>
      <x:c r="F1758" s="11" t="n">
        <x:f>SQRT((C1758-C1757)^2+(D1758-D1757)^2+(E1758-E1757)^2)</x:f>
        <x:v>2.35</x:v>
      </x:c>
      <x:c r="G1758" s="8" t="str">
        <x:v>Current</x:v>
      </x:c>
    </x:row>
    <x:row r="1759" ht="32" customHeight="1">
      <x:c r="A1759" s="8" t="str">
        <x:v>drop:DB2:L6:light:1:L225</x:v>
      </x:c>
      <x:c r="B1759" s="8" t="n">
        <x:v>5</x:v>
      </x:c>
      <x:c r="C1759" s="11" t="n">
        <x:v>0</x:v>
      </x:c>
      <x:c r="D1759" s="11" t="n">
        <x:v>7.65</x:v>
      </x:c>
      <x:c r="E1759" s="11" t="n">
        <x:v>7.9430000000000005</x:v>
      </x:c>
      <x:c r="F1759" s="11" t="n">
        <x:f>SQRT((C1759-C1758)^2+(D1759-D1758)^2+(E1759-E1758)^2)</x:f>
        <x:v>0.2400000000000002</x:v>
      </x:c>
      <x:c r="G1759" s="8" t="str">
        <x:v>Current</x:v>
      </x:c>
    </x:row>
    <x:row r="1760" ht="32" customHeight="1">
      <x:c r="A1760" s="8" t="str">
        <x:v>drop:DB2:L6:light:1:L225</x:v>
      </x:c>
      <x:c r="B1760" s="8" t="n">
        <x:v>6</x:v>
      </x:c>
      <x:c r="C1760" s="11" t="n">
        <x:v>0</x:v>
      </x:c>
      <x:c r="D1760" s="11" t="n">
        <x:v>8.4</x:v>
      </x:c>
      <x:c r="E1760" s="11" t="n">
        <x:v>7.9430000000000005</x:v>
      </x:c>
      <x:c r="F1760" s="11" t="n">
        <x:f>SQRT((C1760-C1759)^2+(D1760-D1759)^2+(E1760-E1759)^2)</x:f>
        <x:v>0.75</x:v>
      </x:c>
      <x:c r="G1760" s="8" t="str">
        <x:v>Current</x:v>
      </x:c>
    </x:row>
    <x:row r="1761" ht="32" customHeight="1">
      <x:c r="A1761" s="8" t="str">
        <x:v>drop:DB2:L6:light:1:L225</x:v>
      </x:c>
      <x:c r="B1761" s="8" t="n">
        <x:v>7</x:v>
      </x:c>
      <x:c r="C1761" s="11" t="n">
        <x:v>0.09</x:v>
      </x:c>
      <x:c r="D1761" s="11" t="n">
        <x:v>8.4</x:v>
      </x:c>
      <x:c r="E1761" s="11" t="n">
        <x:v>7.9430000000000005</x:v>
      </x:c>
      <x:c r="F1761" s="11" t="n">
        <x:f>SQRT((C1761-C1760)^2+(D1761-D1760)^2+(E1761-E1760)^2)</x:f>
        <x:v>0.09</x:v>
      </x:c>
      <x:c r="G1761" s="8" t="str">
        <x:v>Current</x:v>
      </x:c>
    </x:row>
    <x:row r="1762" ht="32" customHeight="1">
      <x:c r="A1762" s="8" t="str">
        <x:v>drop:DB2:L6:light:1:L225</x:v>
      </x:c>
      <x:c r="B1762" s="8" t="n">
        <x:v>8</x:v>
      </x:c>
      <x:c r="C1762" s="11" t="n">
        <x:v>0.09</x:v>
      </x:c>
      <x:c r="D1762" s="11" t="n">
        <x:v>8.4</x:v>
      </x:c>
      <x:c r="E1762" s="11" t="n">
        <x:v>8.068000000000001</x:v>
      </x:c>
      <x:c r="F1762" s="11" t="n">
        <x:f>SQRT((C1762-C1761)^2+(D1762-D1761)^2+(E1762-E1761)^2)</x:f>
        <x:v>0.1250000000000009</x:v>
      </x:c>
      <x:c r="G1762" s="8" t="str">
        <x:v>Current</x:v>
      </x:c>
    </x:row>
    <x:row r="1763" ht="32" customHeight="1">
      <x:c r="A1763" s="8" t="str">
        <x:v>drop:DB2:L6:light:1:L225</x:v>
      </x:c>
      <x:c r="B1763" s="8" t="n">
        <x:v>9</x:v>
      </x:c>
      <x:c r="C1763" s="11" t="n">
        <x:v>0.09</x:v>
      </x:c>
      <x:c r="D1763" s="11" t="n">
        <x:v>15.85</x:v>
      </x:c>
      <x:c r="E1763" s="11" t="n">
        <x:v>8.068000000000001</x:v>
      </x:c>
      <x:c r="F1763" s="11" t="n">
        <x:f>SQRT((C1763-C1762)^2+(D1763-D1762)^2+(E1763-E1762)^2)</x:f>
        <x:v>7.449999999999999</x:v>
      </x:c>
      <x:c r="G1763" s="8" t="str">
        <x:v>Current</x:v>
      </x:c>
    </x:row>
    <x:row r="1764" ht="32" customHeight="1">
      <x:c r="A1764" s="8" t="str">
        <x:v>drop:DB2:L6:light:1:L225</x:v>
      </x:c>
      <x:c r="B1764" s="8" t="n">
        <x:v>10</x:v>
      </x:c>
      <x:c r="C1764" s="11" t="n">
        <x:v>0.19</x:v>
      </x:c>
      <x:c r="D1764" s="11" t="n">
        <x:v>15.85</x:v>
      </x:c>
      <x:c r="E1764" s="11" t="n">
        <x:v>8.068000000000001</x:v>
      </x:c>
      <x:c r="F1764" s="11" t="n">
        <x:f>SQRT((C1764-C1763)^2+(D1764-D1763)^2+(E1764-E1763)^2)</x:f>
        <x:v>0.1</x:v>
      </x:c>
      <x:c r="G1764" s="8" t="str">
        <x:v>Current</x:v>
      </x:c>
    </x:row>
    <x:row r="1765" ht="32" customHeight="1">
      <x:c r="A1765" s="8" t="str">
        <x:v>drop:DB2:L6:light:1:L225</x:v>
      </x:c>
      <x:c r="B1765" s="8" t="n">
        <x:v>11</x:v>
      </x:c>
      <x:c r="C1765" s="11" t="n">
        <x:v>0.19</x:v>
      </x:c>
      <x:c r="D1765" s="11" t="n">
        <x:v>15.85</x:v>
      </x:c>
      <x:c r="E1765" s="11" t="n">
        <x:v>8.168000000000001</x:v>
      </x:c>
      <x:c r="F1765" s="11" t="n">
        <x:f>SQRT((C1765-C1764)^2+(D1765-D1764)^2+(E1765-E1764)^2)</x:f>
        <x:v>0.09999999999999964</x:v>
      </x:c>
      <x:c r="G1765" s="8" t="str">
        <x:v>Current</x:v>
      </x:c>
    </x:row>
    <x:row r="1766" ht="32" customHeight="1">
      <x:c r="A1766" s="8" t="str">
        <x:v>drop:DB2:L6:light:1:L225</x:v>
      </x:c>
      <x:c r="B1766" s="8" t="n">
        <x:v>12</x:v>
      </x:c>
      <x:c r="C1766" s="11" t="n">
        <x:v>0.19</x:v>
      </x:c>
      <x:c r="D1766" s="11" t="n">
        <x:v>15.84</x:v>
      </x:c>
      <x:c r="E1766" s="11" t="n">
        <x:v>8.168000000000001</x:v>
      </x:c>
      <x:c r="F1766" s="11" t="n">
        <x:f>SQRT((C1766-C1765)^2+(D1766-D1765)^2+(E1766-E1765)^2)</x:f>
        <x:v>0.009999999999999787</x:v>
      </x:c>
      <x:c r="G1766" s="8" t="str">
        <x:v>Current</x:v>
      </x:c>
    </x:row>
    <x:row r="1767" ht="32" customHeight="1">
      <x:c r="A1767" s="8" t="str">
        <x:v>drop:DB2:L6:light:1:L225</x:v>
      </x:c>
      <x:c r="B1767" s="8" t="n">
        <x:v>13</x:v>
      </x:c>
      <x:c r="C1767" s="11" t="n">
        <x:v>0.19</x:v>
      </x:c>
      <x:c r="D1767" s="11" t="n">
        <x:v>15.84</x:v>
      </x:c>
      <x:c r="E1767" s="11" t="n">
        <x:v>7.7</x:v>
      </x:c>
      <x:c r="F1767" s="11" t="n">
        <x:f>SQRT((C1767-C1766)^2+(D1767-D1766)^2+(E1767-E1766)^2)</x:f>
        <x:v>0.46800000000000086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14</x:v>
      </x:c>
      <x:c r="C1768" s="11" t="n">
        <x:v>-0.1</x:v>
      </x:c>
      <x:c r="D1768" s="11" t="n">
        <x:v>15.84</x:v>
      </x:c>
      <x:c r="E1768" s="11" t="n">
        <x:v>7.7</x:v>
      </x:c>
      <x:c r="F1768" s="11" t="n">
        <x:f>SQRT((C1768-C1767)^2+(D1768-D1767)^2+(E1768-E1767)^2)</x:f>
        <x:v>0.29000000000000004</x:v>
      </x:c>
      <x:c r="G1768" s="8" t="str">
        <x:v>Current</x:v>
      </x:c>
    </x:row>
    <x:row r="1769" ht="32" customHeight="1">
      <x:c r="A1769" s="8" t="str">
        <x:v>trunk:EB1:L7:light:-1</x:v>
      </x:c>
      <x:c r="B1769" s="8" t="n">
        <x:v>1</x:v>
      </x:c>
      <x:c r="C1769" s="11" t="n">
        <x:v>0.24</x:v>
      </x:c>
      <x:c r="D1769" s="11" t="n">
        <x:v>1.5</x:v>
      </x:c>
      <x:c r="E1769" s="11" t="n">
        <x:v>10.75</x:v>
      </x:c>
      <x:c r="F1769" s="11" t="n">
        <x:f>0</x:f>
        <x:v>0</x:v>
      </x:c>
      <x:c r="G1769" s="8" t="str">
        <x:v>Current</x:v>
      </x:c>
    </x:row>
    <x:row r="1770" ht="32" customHeight="1">
      <x:c r="A1770" s="8" t="str">
        <x:v>trunk:EB1:L7:light:-1</x:v>
      </x:c>
      <x:c r="B1770" s="8" t="n">
        <x:v>2</x:v>
      </x:c>
      <x:c r="C1770" s="11" t="n">
        <x:v>2.35</x:v>
      </x:c>
      <x:c r="D1770" s="11" t="n">
        <x:v>1.5</x:v>
      </x:c>
      <x:c r="E1770" s="11" t="n">
        <x:v>10.75</x:v>
      </x:c>
      <x:c r="F1770" s="11" t="n">
        <x:f>SQRT((C1770-C1769)^2+(D1770-D1769)^2+(E1770-E1769)^2)</x:f>
        <x:v>2.1100000000000003</x:v>
      </x:c>
      <x:c r="G1770" s="8" t="str">
        <x:v>Current</x:v>
      </x:c>
    </x:row>
    <x:row r="1771" ht="32" customHeight="1">
      <x:c r="A1771" s="8" t="str">
        <x:v>trunk:EB1:L7:light:-1</x:v>
      </x:c>
      <x:c r="B1771" s="8" t="n">
        <x:v>3</x:v>
      </x:c>
      <x:c r="C1771" s="11" t="n">
        <x:v>2.35</x:v>
      </x:c>
      <x:c r="D1771" s="11" t="n">
        <x:v>7.65</x:v>
      </x:c>
      <x:c r="E1771" s="11" t="n">
        <x:v>10.75</x:v>
      </x:c>
      <x:c r="F1771" s="11" t="n">
        <x:f>SQRT((C1771-C1770)^2+(D1771-D1770)^2+(E1771-E1770)^2)</x:f>
        <x:v>6.15</x:v>
      </x:c>
      <x:c r="G1771" s="8" t="str">
        <x:v>Current</x:v>
      </x:c>
    </x:row>
    <x:row r="1772" ht="32" customHeight="1">
      <x:c r="A1772" s="8" t="str">
        <x:v>trunk:EB1:L7:light:-1</x:v>
      </x:c>
      <x:c r="B1772" s="8" t="n">
        <x:v>4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18.11</x:v>
      </x:c>
      <x:c r="G1772" s="8" t="str">
        <x:v>Current</x:v>
      </x:c>
    </x:row>
    <x:row r="1773" ht="32" customHeight="1">
      <x:c r="A1773" s="8" t="str">
        <x:v>trunk:EB1:L7:light:-1</x:v>
      </x:c>
      <x:c r="B1773" s="8" t="n">
        <x:v>5</x:v>
      </x:c>
      <x:c r="C1773" s="11" t="n">
        <x:v>2.35</x:v>
      </x:c>
      <x:c r="D1773" s="11" t="n">
        <x:v>5.98</x:v>
      </x:c>
      <x:c r="E1773" s="11" t="n">
        <x:v>-7.36</x:v>
      </x:c>
      <x:c r="F1773" s="11" t="n">
        <x:f>SQRT((C1773-C1772)^2+(D1773-D1772)^2+(E1773-E1772)^2)</x:f>
        <x:v>1.67</x:v>
      </x:c>
      <x:c r="G1773" s="8" t="str">
        <x:v>Current</x:v>
      </x:c>
    </x:row>
    <x:row r="1774" ht="32" customHeight="1">
      <x:c r="A1774" s="8" t="str">
        <x:v>trunk:EB1:L7:light:-1</x:v>
      </x:c>
      <x:c r="B1774" s="8" t="n">
        <x:v>6</x:v>
      </x:c>
      <x:c r="C1774" s="11" t="n">
        <x:v>5.475</x:v>
      </x:c>
      <x:c r="D1774" s="11" t="n">
        <x:v>5.98</x:v>
      </x:c>
      <x:c r="E1774" s="11" t="n">
        <x:v>-7.36</x:v>
      </x:c>
      <x:c r="F1774" s="11" t="n">
        <x:f>SQRT((C1774-C1773)^2+(D1774-D1773)^2+(E1774-E1773)^2)</x:f>
        <x:v>3.1249999999999996</x:v>
      </x:c>
      <x:c r="G1774" s="8" t="str">
        <x:v>Current</x:v>
      </x:c>
    </x:row>
    <x:row r="1775" ht="32" customHeight="1">
      <x:c r="A1775" s="8" t="str">
        <x:v>trunk:EB1:L7:light:-1</x:v>
      </x:c>
      <x:c r="B1775" s="8" t="n">
        <x:v>7</x:v>
      </x:c>
      <x:c r="C1775" s="11" t="n">
        <x:v>36.975</x:v>
      </x:c>
      <x:c r="D1775" s="11" t="n">
        <x:v>5.98</x:v>
      </x:c>
      <x:c r="E1775" s="11" t="n">
        <x:v>-7.36</x:v>
      </x:c>
      <x:c r="F1775" s="11" t="n">
        <x:f>SQRT((C1775-C1774)^2+(D1775-D1774)^2+(E1775-E1774)^2)</x:f>
        <x:v>31.5</x:v>
      </x:c>
      <x:c r="G1775" s="8" t="str">
        <x:v>Current</x:v>
      </x:c>
    </x:row>
    <x:row r="1776" ht="32" customHeight="1">
      <x:c r="A1776" s="8" t="str">
        <x:v>trunk:EB1:L7:light:-1</x:v>
      </x:c>
      <x:c r="B1776" s="8" t="n">
        <x:v>8</x:v>
      </x:c>
      <x:c r="C1776" s="11" t="n">
        <x:v>36.975</x:v>
      </x:c>
      <x:c r="D1776" s="11" t="n">
        <x:v>7.04</x:v>
      </x:c>
      <x:c r="E1776" s="11" t="n">
        <x:v>-7.36</x:v>
      </x:c>
      <x:c r="F1776" s="11" t="n">
        <x:f>SQRT((C1776-C1775)^2+(D1776-D1775)^2+(E1776-E1775)^2)</x:f>
        <x:v>1.0599999999999996</x:v>
      </x:c>
      <x:c r="G1776" s="8" t="str">
        <x:v>Current</x:v>
      </x:c>
    </x:row>
    <x:row r="1777" ht="32" customHeight="1">
      <x:c r="A1777" s="8" t="str">
        <x:v>trunk:EB1:L7:light:-1</x:v>
      </x:c>
      <x:c r="B1777" s="8" t="n">
        <x:v>9</x:v>
      </x:c>
      <x:c r="C1777" s="11" t="n">
        <x:v>37.615</x:v>
      </x:c>
      <x:c r="D1777" s="11" t="n">
        <x:v>7.04</x:v>
      </x:c>
      <x:c r="E1777" s="11" t="n">
        <x:v>-7.36</x:v>
      </x:c>
      <x:c r="F1777" s="11" t="n">
        <x:f>SQRT((C1777-C1776)^2+(D1777-D1776)^2+(E1777-E1776)^2)</x:f>
        <x:v>0.6400000000000006</x:v>
      </x:c>
      <x:c r="G1777" s="8" t="str">
        <x:v>Current</x:v>
      </x:c>
    </x:row>
    <x:row r="1778" ht="32" customHeight="1">
      <x:c r="A1778" s="8" t="str">
        <x:v>trunk:EB1:L7:light:-1</x:v>
      </x:c>
      <x:c r="B1778" s="8" t="n">
        <x:v>10</x:v>
      </x:c>
      <x:c r="C1778" s="11" t="n">
        <x:v>37.695</x:v>
      </x:c>
      <x:c r="D1778" s="11" t="n">
        <x:v>6.950412371134018</x:v>
      </x:c>
      <x:c r="E1778" s="11" t="n">
        <x:v>-7.36</x:v>
      </x:c>
      <x:c r="F1778" s="11" t="n">
        <x:f>SQRT((C1778-C1777)^2+(D1778-D1777)^2+(E1778-E1777)^2)</x:f>
        <x:v>0.12010804821421713</x:v>
      </x:c>
      <x:c r="G1778" s="8" t="str">
        <x:v>Current</x:v>
      </x:c>
    </x:row>
    <x:row r="1779" ht="32" customHeight="1">
      <x:c r="A1779" s="8" t="str">
        <x:v>trunk:EB1:L7:light:-1</x:v>
      </x:c>
      <x:c r="B1779" s="8" t="n">
        <x:v>11</x:v>
      </x:c>
      <x:c r="C1779" s="11" t="n">
        <x:v>40.574999999999996</x:v>
      </x:c>
      <x:c r="D1779" s="11" t="n">
        <x:v>9.269999999999994</x:v>
      </x:c>
      <x:c r="E1779" s="11" t="n">
        <x:v>-7.36</x:v>
      </x:c>
      <x:c r="F1779" s="11" t="n">
        <x:f>SQRT((C1779-C1778)^2+(D1779-D1778)^2+(E1779-E1778)^2)</x:f>
        <x:v>3.697957107375376</x:v>
      </x:c>
      <x:c r="G1779" s="8" t="str">
        <x:v>Current</x:v>
      </x:c>
    </x:row>
    <x:row r="1780" ht="32" customHeight="1">
      <x:c r="A1780" s="8" t="str">
        <x:v>trunk:EB1:L7:light:-1</x:v>
      </x:c>
      <x:c r="B1780" s="8" t="n">
        <x:v>12</x:v>
      </x:c>
      <x:c r="C1780" s="11" t="n">
        <x:v>43.455</x:v>
      </x:c>
      <x:c r="D1780" s="11" t="n">
        <x:v>6.950412371134024</x:v>
      </x:c>
      <x:c r="E1780" s="11" t="n">
        <x:v>-7.36</x:v>
      </x:c>
      <x:c r="F1780" s="11" t="n">
        <x:f>SQRT((C1780-C1779)^2+(D1780-D1779)^2+(E1780-E1779)^2)</x:f>
        <x:v>3.6979571073753776</x:v>
      </x:c>
      <x:c r="G1780" s="8" t="str">
        <x:v>Current</x:v>
      </x:c>
    </x:row>
    <x:row r="1781" ht="32" customHeight="1">
      <x:c r="A1781" s="8" t="str">
        <x:v>trunk:EB1:L7:light:-1</x:v>
      </x:c>
      <x:c r="B1781" s="8" t="n">
        <x:v>13</x:v>
      </x:c>
      <x:c r="C1781" s="11" t="n">
        <x:v>43.535</x:v>
      </x:c>
      <x:c r="D1781" s="11" t="n">
        <x:v>7.04</x:v>
      </x:c>
      <x:c r="E1781" s="11" t="n">
        <x:v>-7.36</x:v>
      </x:c>
      <x:c r="F1781" s="11" t="n">
        <x:f>SQRT((C1781-C1780)^2+(D1781-D1780)^2+(E1781-E1780)^2)</x:f>
        <x:v>0.12010804821421249</x:v>
      </x:c>
      <x:c r="G1781" s="8" t="str">
        <x:v>Current</x:v>
      </x:c>
    </x:row>
    <x:row r="1782" ht="32" customHeight="1">
      <x:c r="A1782" s="8" t="str">
        <x:v>trunk:EB1:L7:light:-1</x:v>
      </x:c>
      <x:c r="B1782" s="8" t="n">
        <x:v>14</x:v>
      </x:c>
      <x:c r="C1782" s="11" t="n">
        <x:v>44.175</x:v>
      </x:c>
      <x:c r="D1782" s="11" t="n">
        <x:v>7.04</x:v>
      </x:c>
      <x:c r="E1782" s="11" t="n">
        <x:v>-7.36</x:v>
      </x:c>
      <x:c r="F1782" s="11" t="n">
        <x:f>SQRT((C1782-C1781)^2+(D1782-D1781)^2+(E1782-E1781)^2)</x:f>
        <x:v>0.6400000000000006</x:v>
      </x:c>
      <x:c r="G1782" s="8" t="str">
        <x:v>Current</x:v>
      </x:c>
    </x:row>
    <x:row r="1783" ht="32" customHeight="1">
      <x:c r="A1783" s="8" t="str">
        <x:v>trunk:EB1:L7:light:-1</x:v>
      </x:c>
      <x:c r="B1783" s="8" t="n">
        <x:v>15</x:v>
      </x:c>
      <x:c r="C1783" s="11" t="n">
        <x:v>44.175</x:v>
      </x:c>
      <x:c r="D1783" s="11" t="n">
        <x:v>5.98</x:v>
      </x:c>
      <x:c r="E1783" s="11" t="n">
        <x:v>-7.36</x:v>
      </x:c>
      <x:c r="F1783" s="11" t="n">
        <x:f>SQRT((C1783-C1782)^2+(D1783-D1782)^2+(E1783-E1782)^2)</x:f>
        <x:v>1.0599999999999996</x:v>
      </x:c>
      <x:c r="G1783" s="8" t="str">
        <x:v>Current</x:v>
      </x:c>
    </x:row>
    <x:row r="1784" ht="32" customHeight="1">
      <x:c r="A1784" s="8" t="str">
        <x:v>trunk:EB1:L7:light:-1</x:v>
      </x:c>
      <x:c r="B1784" s="8" t="n">
        <x:v>16</x:v>
      </x:c>
      <x:c r="C1784" s="11" t="n">
        <x:v>53.016</x:v>
      </x:c>
      <x:c r="D1784" s="11" t="n">
        <x:v>5.98</x:v>
      </x:c>
      <x:c r="E1784" s="11" t="n">
        <x:v>-7.36</x:v>
      </x:c>
      <x:c r="F1784" s="11" t="n">
        <x:f>SQRT((C1784-C1783)^2+(D1784-D1783)^2+(E1784-E1783)^2)</x:f>
        <x:v>8.841000000000001</x:v>
      </x:c>
      <x:c r="G1784" s="8" t="str">
        <x:v>Current</x:v>
      </x:c>
    </x:row>
    <x:row r="1785" ht="32" customHeight="1">
      <x:c r="A1785" s="8" t="str">
        <x:v>drop:EB1:L7:light:-1:L196</x:v>
      </x:c>
      <x:c r="B1785" s="8" t="n">
        <x:v>1</x:v>
      </x:c>
      <x:c r="C1785" s="11" t="n">
        <x:v>29.160000000000004</x:v>
      </x:c>
      <x:c r="D1785" s="11" t="n">
        <x:v>5.98</x:v>
      </x:c>
      <x:c r="E1785" s="11" t="n">
        <x:v>-7.36</x:v>
      </x:c>
      <x:c r="F1785" s="11" t="n">
        <x:f>0</x:f>
        <x:v>0</x:v>
      </x:c>
      <x:c r="G1785" s="8" t="str">
        <x:v>Current</x:v>
      </x:c>
    </x:row>
    <x:row r="1786" ht="32" customHeight="1">
      <x:c r="A1786" s="8" t="str">
        <x:v>drop:EB1:L7:light:-1:L196</x:v>
      </x:c>
      <x:c r="B1786" s="8" t="n">
        <x:v>2</x:v>
      </x:c>
      <x:c r="C1786" s="11" t="n">
        <x:v>29.160000000000004</x:v>
      </x:c>
      <x:c r="D1786" s="11" t="n">
        <x:v>7.04</x:v>
      </x:c>
      <x:c r="E1786" s="11" t="n">
        <x:v>-7.36</x:v>
      </x:c>
      <x:c r="F1786" s="11" t="n">
        <x:f>SQRT((C1786-C1785)^2+(D1786-D1785)^2+(E1786-E1785)^2)</x:f>
        <x:v>1.0599999999999996</x:v>
      </x:c>
      <x:c r="G1786" s="8" t="str">
        <x:v>Current</x:v>
      </x:c>
    </x:row>
    <x:row r="1787" ht="32" customHeight="1">
      <x:c r="A1787" s="8" t="str">
        <x:v>drop:EB1:L7:light:-1:L196</x:v>
      </x:c>
      <x:c r="B1787" s="8" t="n">
        <x:v>3</x:v>
      </x:c>
      <x:c r="C1787" s="11" t="n">
        <x:v>29.16</x:v>
      </x:c>
      <x:c r="D1787" s="11" t="n">
        <x:v>12.382</x:v>
      </x:c>
      <x:c r="E1787" s="11" t="n">
        <x:v>0</x:v>
      </x:c>
      <x:c r="F1787" s="11" t="n">
        <x:f>SQRT((C1787-C1786)^2+(D1787-D1786)^2+(E1787-E1786)^2)</x:f>
        <x:v>9.094314927469798</x:v>
      </x:c>
      <x:c r="G1787" s="8" t="str">
        <x:v>Current</x:v>
      </x:c>
    </x:row>
    <x:row r="1788" ht="32" customHeight="1">
      <x:c r="A1788" s="8" t="str">
        <x:v>drop:EB1:L7:light:-1:L196</x:v>
      </x:c>
      <x:c r="B1788" s="8" t="n">
        <x:v>4</x:v>
      </x:c>
      <x:c r="C1788" s="11" t="n">
        <x:v>29.16</x:v>
      </x:c>
      <x:c r="D1788" s="11" t="n">
        <x:v>12.69</x:v>
      </x:c>
      <x:c r="E1788" s="11" t="n">
        <x:v>0</x:v>
      </x:c>
      <x:c r="F1788" s="11" t="n">
        <x:f>SQRT((C1788-C1787)^2+(D1788-D1787)^2+(E1788-E1787)^2)</x:f>
        <x:v>0.30799999999999983</x:v>
      </x:c>
      <x:c r="G1788" s="8" t="str">
        <x:v>Current</x:v>
      </x:c>
    </x:row>
    <x:row r="1789" ht="32" customHeight="1">
      <x:c r="A1789" s="8" t="str">
        <x:v>drop:EB1:L7:light:-1:L197</x:v>
      </x:c>
      <x:c r="B1789" s="8" t="n">
        <x:v>1</x:v>
      </x:c>
      <x:c r="C1789" s="11" t="n">
        <x:v>21.35</x:v>
      </x:c>
      <x:c r="D1789" s="11" t="n">
        <x:v>5.98</x:v>
      </x:c>
      <x:c r="E1789" s="11" t="n">
        <x:v>-7.36</x:v>
      </x:c>
      <x:c r="F1789" s="11" t="n">
        <x:f>0</x:f>
        <x:v>0</x:v>
      </x:c>
      <x:c r="G1789" s="8" t="str">
        <x:v>Current</x:v>
      </x:c>
    </x:row>
    <x:row r="1790" ht="32" customHeight="1">
      <x:c r="A1790" s="8" t="str">
        <x:v>drop:EB1:L7:light:-1:L197</x:v>
      </x:c>
      <x:c r="B1790" s="8" t="n">
        <x:v>2</x:v>
      </x:c>
      <x:c r="C1790" s="11" t="n">
        <x:v>21.35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1.0599999999999996</x:v>
      </x:c>
      <x:c r="G1790" s="8" t="str">
        <x:v>Current</x:v>
      </x:c>
    </x:row>
    <x:row r="1791" ht="32" customHeight="1">
      <x:c r="A1791" s="8" t="str">
        <x:v>drop:EB1:L7:light:-1:L197</x:v>
      </x:c>
      <x:c r="B1791" s="8" t="n">
        <x:v>3</x:v>
      </x:c>
      <x:c r="C1791" s="11" t="n">
        <x:v>21.35</x:v>
      </x:c>
      <x:c r="D1791" s="11" t="n">
        <x:v>7.083548913043479</x:v>
      </x:c>
      <x:c r="E1791" s="11" t="n">
        <x:v>-7.3</x:v>
      </x:c>
      <x:c r="F1791" s="11" t="n">
        <x:f>SQRT((C1791-C1790)^2+(D1791-D1790)^2+(E1791-E1790)^2)</x:f>
        <x:v>0.07413843690872174</x:v>
      </x:c>
      <x:c r="G1791" s="8" t="str">
        <x:v>Current</x:v>
      </x:c>
    </x:row>
    <x:row r="1792" ht="32" customHeight="1">
      <x:c r="A1792" s="8" t="str">
        <x:v>drop:EB1:L7:light:-1:L197</x:v>
      </x:c>
      <x:c r="B1792" s="8" t="n">
        <x:v>4</x:v>
      </x:c>
      <x:c r="C1792" s="11" t="n">
        <x:v>21.35</x:v>
      </x:c>
      <x:c r="D1792" s="11" t="n">
        <x:v>7.32</x:v>
      </x:c>
      <x:c r="E1792" s="11" t="n">
        <x:v>-7.3</x:v>
      </x:c>
      <x:c r="F1792" s="11" t="n">
        <x:f>SQRT((C1792-C1791)^2+(D1792-D1791)^2+(E1792-E1791)^2)</x:f>
        <x:v>0.23645108695652173</x:v>
      </x:c>
      <x:c r="G1792" s="8" t="str">
        <x:v>Current</x:v>
      </x:c>
    </x:row>
    <x:row r="1793" ht="32" customHeight="1">
      <x:c r="A1793" s="8" t="str">
        <x:v>drop:EB1:L7:light:-1:L198</x:v>
      </x:c>
      <x:c r="B1793" s="8" t="n">
        <x:v>1</x:v>
      </x:c>
      <x:c r="C1793" s="11" t="n">
        <x:v>48.4</x:v>
      </x:c>
      <x:c r="D1793" s="11" t="n">
        <x:v>5.98</x:v>
      </x:c>
      <x:c r="E1793" s="11" t="n">
        <x:v>-7.36</x:v>
      </x:c>
      <x:c r="F1793" s="11" t="n">
        <x:f>0</x:f>
        <x:v>0</x:v>
      </x:c>
      <x:c r="G1793" s="8" t="str">
        <x:v>Current</x:v>
      </x:c>
    </x:row>
    <x:row r="1794" ht="32" customHeight="1">
      <x:c r="A1794" s="8" t="str">
        <x:v>drop:EB1:L7:light:-1:L198</x:v>
      </x:c>
      <x:c r="B1794" s="8" t="n">
        <x:v>2</x:v>
      </x:c>
      <x:c r="C1794" s="11" t="n">
        <x:v>48.4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1.0599999999999996</x:v>
      </x:c>
      <x:c r="G1794" s="8" t="str">
        <x:v>Current</x:v>
      </x:c>
    </x:row>
    <x:row r="1795" ht="32" customHeight="1">
      <x:c r="A1795" s="8" t="str">
        <x:v>drop:EB1:L7:light:-1:L198</x:v>
      </x:c>
      <x:c r="B1795" s="8" t="n">
        <x:v>3</x:v>
      </x:c>
      <x:c r="C1795" s="11" t="n">
        <x:v>48.4</x:v>
      </x:c>
      <x:c r="D1795" s="11" t="n">
        <x:v>7.083548913043479</x:v>
      </x:c>
      <x:c r="E1795" s="11" t="n">
        <x:v>-7.3</x:v>
      </x:c>
      <x:c r="F1795" s="11" t="n">
        <x:f>SQRT((C1795-C1794)^2+(D1795-D1794)^2+(E1795-E1794)^2)</x:f>
        <x:v>0.07413843690872174</x:v>
      </x:c>
      <x:c r="G1795" s="8" t="str">
        <x:v>Current</x:v>
      </x:c>
    </x:row>
    <x:row r="1796" ht="32" customHeight="1">
      <x:c r="A1796" s="8" t="str">
        <x:v>drop:EB1:L7:light:-1:L198</x:v>
      </x:c>
      <x:c r="B1796" s="8" t="n">
        <x:v>4</x:v>
      </x:c>
      <x:c r="C1796" s="11" t="n">
        <x:v>48.4</x:v>
      </x:c>
      <x:c r="D1796" s="11" t="n">
        <x:v>7.32</x:v>
      </x:c>
      <x:c r="E1796" s="11" t="n">
        <x:v>-7.3</x:v>
      </x:c>
      <x:c r="F1796" s="11" t="n">
        <x:f>SQRT((C1796-C1795)^2+(D1796-D1795)^2+(E1796-E1795)^2)</x:f>
        <x:v>0.23645108695652173</x:v>
      </x:c>
      <x:c r="G1796" s="8" t="str">
        <x:v>Current</x:v>
      </x:c>
    </x:row>
    <x:row r="1797" ht="32" customHeight="1">
      <x:c r="A1797" s="8" t="str">
        <x:v>drop:EB1:L7:light:-1:L199</x:v>
      </x:c>
      <x:c r="B1797" s="8" t="n">
        <x:v>1</x:v>
      </x:c>
      <x:c r="C1797" s="11" t="n">
        <x:v>21.35</x:v>
      </x:c>
      <x:c r="D1797" s="11" t="n">
        <x:v>5.98</x:v>
      </x:c>
      <x:c r="E1797" s="11" t="n">
        <x:v>-7.36</x:v>
      </x:c>
      <x:c r="F1797" s="11" t="n">
        <x:f>0</x:f>
        <x:v>0</x:v>
      </x:c>
      <x:c r="G1797" s="8" t="str">
        <x:v>Current</x:v>
      </x:c>
    </x:row>
    <x:row r="1798" ht="32" customHeight="1">
      <x:c r="A1798" s="8" t="str">
        <x:v>drop:EB1:L7:light:-1:L199</x:v>
      </x:c>
      <x:c r="B1798" s="8" t="n">
        <x:v>2</x:v>
      </x:c>
      <x:c r="C1798" s="11" t="n">
        <x:v>21.35</x:v>
      </x:c>
      <x:c r="D1798" s="11" t="n">
        <x:v>7.04</x:v>
      </x:c>
      <x:c r="E1798" s="11" t="n">
        <x:v>-7.36</x:v>
      </x:c>
      <x:c r="F1798" s="11" t="n">
        <x:f>SQRT((C1798-C1797)^2+(D1798-D1797)^2+(E1798-E1797)^2)</x:f>
        <x:v>1.0599999999999996</x:v>
      </x:c>
      <x:c r="G1798" s="8" t="str">
        <x:v>Current</x:v>
      </x:c>
    </x:row>
    <x:row r="1799" ht="32" customHeight="1">
      <x:c r="A1799" s="8" t="str">
        <x:v>drop:EB1:L7:light:-1:L199</x:v>
      </x:c>
      <x:c r="B1799" s="8" t="n">
        <x:v>3</x:v>
      </x:c>
      <x:c r="C1799" s="11" t="n">
        <x:v>21.35</x:v>
      </x:c>
      <x:c r="D1799" s="11" t="n">
        <x:v>6.932313375305153</x:v>
      </x:c>
      <x:c r="E1799" s="11" t="n">
        <x:v>-7.43953488372093</x:v>
      </x:c>
      <x:c r="F1799" s="11" t="n">
        <x:f>SQRT((C1799-C1798)^2+(D1799-D1798)^2+(E1799-E1798)^2)</x:f>
        <x:v>0.1338738468360072</x:v>
      </x:c>
      <x:c r="G1799" s="8" t="str">
        <x:v>Current</x:v>
      </x:c>
    </x:row>
    <x:row r="1800" ht="32" customHeight="1">
      <x:c r="A1800" s="8" t="str">
        <x:v>drop:EB1:L7:light:-1:L199</x:v>
      </x:c>
      <x:c r="B1800" s="8" t="n">
        <x:v>4</x:v>
      </x:c>
      <x:c r="C1800" s="11" t="n">
        <x:v>21.35</x:v>
      </x:c>
      <x:c r="D1800" s="11" t="n">
        <x:v>6.189475138121547</x:v>
      </x:c>
      <x:c r="E1800" s="11" t="n">
        <x:v>-10.78</x:v>
      </x:c>
      <x:c r="F1800" s="11" t="n">
        <x:f>SQRT((C1800-C1799)^2+(D1800-D1799)^2+(E1800-E1799)^2)</x:f>
        <x:v>3.4220630969781056</x:v>
      </x:c>
      <x:c r="G1800" s="8" t="str">
        <x:v>Current</x:v>
      </x:c>
    </x:row>
    <x:row r="1801" ht="32" customHeight="1">
      <x:c r="A1801" s="8" t="str">
        <x:v>drop:EB1:L7:light:-1:L199</x:v>
      </x:c>
      <x:c r="B1801" s="8" t="n">
        <x:v>5</x:v>
      </x:c>
      <x:c r="C1801" s="11" t="n">
        <x:v>21.35</x:v>
      </x:c>
      <x:c r="D1801" s="11" t="n">
        <x:v>6.4</x:v>
      </x:c>
      <x:c r="E1801" s="11" t="n">
        <x:v>-10.78</x:v>
      </x:c>
      <x:c r="F1801" s="11" t="n">
        <x:f>SQRT((C1801-C1800)^2+(D1801-D1800)^2+(E1801-E1800)^2)</x:f>
        <x:v>0.21052486187845343</x:v>
      </x:c>
      <x:c r="G1801" s="8" t="str">
        <x:v>Current</x:v>
      </x:c>
    </x:row>
    <x:row r="1802" ht="32" customHeight="1">
      <x:c r="A1802" s="8" t="str">
        <x:v>drop:EB1:L7:light:-1:L200</x:v>
      </x:c>
      <x:c r="B1802" s="8" t="n">
        <x:v>1</x:v>
      </x:c>
      <x:c r="C1802" s="11" t="n">
        <x:v>48.4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drop:EB1:L7:light:-1:L200</x:v>
      </x:c>
      <x:c r="B1803" s="8" t="n">
        <x:v>2</x:v>
      </x:c>
      <x:c r="C1803" s="11" t="n">
        <x:v>48.4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drop:EB1:L7:light:-1:L200</x:v>
      </x:c>
      <x:c r="B1804" s="8" t="n">
        <x:v>3</x:v>
      </x:c>
      <x:c r="C1804" s="11" t="n">
        <x:v>48.4</x:v>
      </x:c>
      <x:c r="D1804" s="11" t="n">
        <x:v>6.932313375305153</x:v>
      </x:c>
      <x:c r="E1804" s="11" t="n">
        <x:v>-7.43953488372093</x:v>
      </x:c>
      <x:c r="F1804" s="11" t="n">
        <x:f>SQRT((C1804-C1803)^2+(D1804-D1803)^2+(E1804-E1803)^2)</x:f>
        <x:v>0.1338738468360072</x:v>
      </x:c>
      <x:c r="G1804" s="8" t="str">
        <x:v>Current</x:v>
      </x:c>
    </x:row>
    <x:row r="1805" ht="32" customHeight="1">
      <x:c r="A1805" s="8" t="str">
        <x:v>drop:EB1:L7:light:-1:L200</x:v>
      </x:c>
      <x:c r="B1805" s="8" t="n">
        <x:v>4</x:v>
      </x:c>
      <x:c r="C1805" s="11" t="n">
        <x:v>48.4</x:v>
      </x:c>
      <x:c r="D1805" s="11" t="n">
        <x:v>6.189475138121547</x:v>
      </x:c>
      <x:c r="E1805" s="11" t="n">
        <x:v>-10.78</x:v>
      </x:c>
      <x:c r="F1805" s="11" t="n">
        <x:f>SQRT((C1805-C1804)^2+(D1805-D1804)^2+(E1805-E1804)^2)</x:f>
        <x:v>3.4220630969781056</x:v>
      </x:c>
      <x:c r="G1805" s="8" t="str">
        <x:v>Current</x:v>
      </x:c>
    </x:row>
    <x:row r="1806" ht="32" customHeight="1">
      <x:c r="A1806" s="8" t="str">
        <x:v>drop:EB1:L7:light:-1:L200</x:v>
      </x:c>
      <x:c r="B1806" s="8" t="n">
        <x:v>5</x:v>
      </x:c>
      <x:c r="C1806" s="11" t="n">
        <x:v>48.4</x:v>
      </x:c>
      <x:c r="D1806" s="11" t="n">
        <x:v>6.4</x:v>
      </x:c>
      <x:c r="E1806" s="11" t="n">
        <x:v>-10.78</x:v>
      </x:c>
      <x:c r="F1806" s="11" t="n">
        <x:f>SQRT((C1806-C1805)^2+(D1806-D1805)^2+(E1806-E1805)^2)</x:f>
        <x:v>0.21052486187845343</x:v>
      </x:c>
      <x:c r="G1806" s="8" t="str">
        <x:v>Current</x:v>
      </x:c>
    </x:row>
    <x:row r="1807" ht="32" customHeight="1">
      <x:c r="A1807" s="8" t="str">
        <x:v>drop:EB1:L7:light:-1:L201</x:v>
      </x:c>
      <x:c r="B1807" s="8" t="n">
        <x:v>1</x:v>
      </x:c>
      <x:c r="C1807" s="11" t="n">
        <x:v>53.016</x:v>
      </x:c>
      <x:c r="D1807" s="11" t="n">
        <x:v>5.98</x:v>
      </x:c>
      <x:c r="E1807" s="11" t="n">
        <x:v>-7.36</x:v>
      </x:c>
      <x:c r="F1807" s="11" t="n">
        <x:f>0</x:f>
        <x:v>0</x:v>
      </x:c>
      <x:c r="G1807" s="8" t="str">
        <x:v>Current</x:v>
      </x:c>
    </x:row>
    <x:row r="1808" ht="32" customHeight="1">
      <x:c r="A1808" s="8" t="str">
        <x:v>drop:EB1:L7:light:-1:L201</x:v>
      </x:c>
      <x:c r="B1808" s="8" t="n">
        <x:v>2</x:v>
      </x:c>
      <x:c r="C1808" s="11" t="n">
        <x:v>53.016</x:v>
      </x:c>
      <x:c r="D1808" s="11" t="n">
        <x:v>5.98</x:v>
      </x:c>
      <x:c r="E1808" s="11" t="n">
        <x:v>-5.475</x:v>
      </x:c>
      <x:c r="F1808" s="11" t="n">
        <x:f>SQRT((C1808-C1807)^2+(D1808-D1807)^2+(E1808-E1807)^2)</x:f>
        <x:v>1.8850000000000007</x:v>
      </x:c>
      <x:c r="G1808" s="8" t="str">
        <x:v>Current</x:v>
      </x:c>
    </x:row>
    <x:row r="1809" ht="32" customHeight="1">
      <x:c r="A1809" s="8" t="str">
        <x:v>drop:EB1:L7:light:-1:L201</x:v>
      </x:c>
      <x:c r="B1809" s="8" t="n">
        <x:v>3</x:v>
      </x:c>
      <x:c r="C1809" s="11" t="n">
        <x:v>53.016</x:v>
      </x:c>
      <x:c r="D1809" s="11" t="n">
        <x:v>9</x:v>
      </x:c>
      <x:c r="E1809" s="11" t="n">
        <x:v>-5.475</x:v>
      </x:c>
      <x:c r="F1809" s="11" t="n">
        <x:f>SQRT((C1809-C1808)^2+(D1809-D1808)^2+(E1809-E1808)^2)</x:f>
        <x:v>3.0199999999999996</x:v>
      </x:c>
      <x:c r="G1809" s="8" t="str">
        <x:v>Current</x:v>
      </x:c>
    </x:row>
    <x:row r="1810" ht="32" customHeight="1">
      <x:c r="A1810" s="8" t="str">
        <x:v>drop:EB1:L7:light:-1:L201</x:v>
      </x:c>
      <x:c r="B1810" s="8" t="n">
        <x:v>4</x:v>
      </x:c>
      <x:c r="C1810" s="11" t="n">
        <x:v>53.72</x:v>
      </x:c>
      <x:c r="D1810" s="11" t="n">
        <x:v>9</x:v>
      </x:c>
      <x:c r="E1810" s="11" t="n">
        <x:v>-5.475</x:v>
      </x:c>
      <x:c r="F1810" s="11" t="n">
        <x:f>SQRT((C1810-C1809)^2+(D1810-D1809)^2+(E1810-E1809)^2)</x:f>
        <x:v>0.7040000000000006</x:v>
      </x:c>
      <x:c r="G1810" s="8" t="str">
        <x:v>Current</x:v>
      </x:c>
    </x:row>
    <x:row r="1811" ht="32" customHeight="1">
      <x:c r="A1811" s="8" t="str">
        <x:v>drop:EB1:L7:light:-1:L202</x:v>
      </x:c>
      <x:c r="B1811" s="8" t="n">
        <x:v>1</x:v>
      </x:c>
      <x:c r="C1811" s="11" t="n">
        <x:v>2.35</x:v>
      </x:c>
      <x:c r="D1811" s="11" t="n">
        <x:v>5.98</x:v>
      </x:c>
      <x:c r="E1811" s="11" t="n">
        <x:v>-7.36</x:v>
      </x:c>
      <x:c r="F1811" s="11" t="n">
        <x:f>0</x:f>
        <x:v>0</x:v>
      </x:c>
      <x:c r="G1811" s="8" t="str">
        <x:v>Current</x:v>
      </x:c>
    </x:row>
    <x:row r="1812" ht="32" customHeight="1">
      <x:c r="A1812" s="8" t="str">
        <x:v>drop:EB1:L7:light:-1:L202</x:v>
      </x:c>
      <x:c r="B1812" s="8" t="n">
        <x:v>2</x:v>
      </x:c>
      <x:c r="C1812" s="11" t="n">
        <x:v>2.35</x:v>
      </x:c>
      <x:c r="D1812" s="11" t="n">
        <x:v>7.65</x:v>
      </x:c>
      <x:c r="E1812" s="11" t="n">
        <x:v>-7.36</x:v>
      </x:c>
      <x:c r="F1812" s="11" t="n">
        <x:f>SQRT((C1812-C1811)^2+(D1812-D1811)^2+(E1812-E1811)^2)</x:f>
        <x:v>1.67</x:v>
      </x:c>
      <x:c r="G1812" s="8" t="str">
        <x:v>Current</x:v>
      </x:c>
    </x:row>
    <x:row r="1813" ht="32" customHeight="1">
      <x:c r="A1813" s="8" t="str">
        <x:v>drop:EB1:L7:light:-1:L202</x:v>
      </x:c>
      <x:c r="B1813" s="8" t="n">
        <x:v>3</x:v>
      </x:c>
      <x:c r="C1813" s="11" t="n">
        <x:v>2.35</x:v>
      </x:c>
      <x:c r="D1813" s="11" t="n">
        <x:v>7.65</x:v>
      </x:c>
      <x:c r="E1813" s="11" t="n">
        <x:v>-7.703</x:v>
      </x:c>
      <x:c r="F1813" s="11" t="n">
        <x:f>SQRT((C1813-C1812)^2+(D1813-D1812)^2+(E1813-E1812)^2)</x:f>
        <x:v>0.34299999999999997</x:v>
      </x:c>
      <x:c r="G1813" s="8" t="str">
        <x:v>Current</x:v>
      </x:c>
    </x:row>
    <x:row r="1814" ht="32" customHeight="1">
      <x:c r="A1814" s="8" t="str">
        <x:v>drop:EB1:L7:light:-1:L202</x:v>
      </x:c>
      <x:c r="B1814" s="8" t="n">
        <x:v>4</x:v>
      </x:c>
      <x:c r="C1814" s="11" t="n">
        <x:v>0</x:v>
      </x:c>
      <x:c r="D1814" s="11" t="n">
        <x:v>7.65</x:v>
      </x:c>
      <x:c r="E1814" s="11" t="n">
        <x:v>-7.703</x:v>
      </x:c>
      <x:c r="F1814" s="11" t="n">
        <x:f>SQRT((C1814-C1813)^2+(D1814-D1813)^2+(E1814-E1813)^2)</x:f>
        <x:v>2.35</x:v>
      </x:c>
      <x:c r="G1814" s="8" t="str">
        <x:v>Current</x:v>
      </x:c>
    </x:row>
    <x:row r="1815" ht="32" customHeight="1">
      <x:c r="A1815" s="8" t="str">
        <x:v>drop:EB1:L7:light:-1:L202</x:v>
      </x:c>
      <x:c r="B1815" s="8" t="n">
        <x:v>5</x:v>
      </x:c>
      <x:c r="C1815" s="11" t="n">
        <x:v>0</x:v>
      </x:c>
      <x:c r="D1815" s="11" t="n">
        <x:v>7.65</x:v>
      </x:c>
      <x:c r="E1815" s="11" t="n">
        <x:v>-7.9430000000000005</x:v>
      </x:c>
      <x:c r="F1815" s="11" t="n">
        <x:f>SQRT((C1815-C1814)^2+(D1815-D1814)^2+(E1815-E1814)^2)</x:f>
        <x:v>0.2400000000000002</x:v>
      </x:c>
      <x:c r="G1815" s="8" t="str">
        <x:v>Current</x:v>
      </x:c>
    </x:row>
    <x:row r="1816" ht="32" customHeight="1">
      <x:c r="A1816" s="8" t="str">
        <x:v>drop:EB1:L7:light:-1:L202</x:v>
      </x:c>
      <x:c r="B1816" s="8" t="n">
        <x:v>6</x:v>
      </x:c>
      <x:c r="C1816" s="11" t="n">
        <x:v>0</x:v>
      </x:c>
      <x:c r="D1816" s="11" t="n">
        <x:v>4.195</x:v>
      </x:c>
      <x:c r="E1816" s="11" t="n">
        <x:v>-7.9430000000000005</x:v>
      </x:c>
      <x:c r="F1816" s="11" t="n">
        <x:f>SQRT((C1816-C1815)^2+(D1816-D1815)^2+(E1816-E1815)^2)</x:f>
        <x:v>3.455</x:v>
      </x:c>
      <x:c r="G1816" s="8" t="str">
        <x:v>Current</x:v>
      </x:c>
    </x:row>
    <x:row r="1817" ht="32" customHeight="1">
      <x:c r="A1817" s="8" t="str">
        <x:v>drop:EB1:L7:light:-1:L202</x:v>
      </x:c>
      <x:c r="B1817" s="8" t="n">
        <x:v>7</x:v>
      </x:c>
      <x:c r="C1817" s="11" t="n">
        <x:v>0</x:v>
      </x:c>
      <x:c r="D1817" s="11" t="n">
        <x:v>4.195</x:v>
      </x:c>
      <x:c r="E1817" s="11" t="n">
        <x:v>-7.593</x:v>
      </x:c>
      <x:c r="F1817" s="11" t="n">
        <x:f>SQRT((C1817-C1816)^2+(D1817-D1816)^2+(E1817-E1816)^2)</x:f>
        <x:v>0.35000000000000053</x:v>
      </x:c>
      <x:c r="G1817" s="8" t="str">
        <x:v>Current</x:v>
      </x:c>
    </x:row>
    <x:row r="1818" ht="32" customHeight="1">
      <x:c r="A1818" s="8" t="str">
        <x:v>drop:EB1:L7:light:-1:L202</x:v>
      </x:c>
      <x:c r="B1818" s="8" t="n">
        <x:v>8</x:v>
      </x:c>
      <x:c r="C1818" s="11" t="n">
        <x:v>-0.7749999999999999</x:v>
      </x:c>
      <x:c r="D1818" s="11" t="n">
        <x:v>4.195</x:v>
      </x:c>
      <x:c r="E1818" s="11" t="n">
        <x:v>-7.593</x:v>
      </x:c>
      <x:c r="F1818" s="11" t="n">
        <x:f>SQRT((C1818-C1817)^2+(D1818-D1817)^2+(E1818-E1817)^2)</x:f>
        <x:v>0.7749999999999999</x:v>
      </x:c>
      <x:c r="G1818" s="8" t="str">
        <x:v>Current</x:v>
      </x:c>
    </x:row>
    <x:row r="1819" ht="32" customHeight="1">
      <x:c r="A1819" s="8" t="str">
        <x:v>drop:EB1:L7:light:-1:L203</x:v>
      </x:c>
      <x:c r="B1819" s="8" t="n">
        <x:v>1</x:v>
      </x:c>
      <x:c r="C1819" s="11" t="n">
        <x:v>2.35</x:v>
      </x:c>
      <x:c r="D1819" s="11" t="n">
        <x:v>5.98</x:v>
      </x:c>
      <x:c r="E1819" s="11" t="n">
        <x:v>-7.36</x:v>
      </x:c>
      <x:c r="F1819" s="11" t="n">
        <x:f>0</x:f>
        <x:v>0</x:v>
      </x:c>
      <x:c r="G1819" s="8" t="str">
        <x:v>Current</x:v>
      </x:c>
    </x:row>
    <x:row r="1820" ht="32" customHeight="1">
      <x:c r="A1820" s="8" t="str">
        <x:v>drop:EB1:L7:light:-1:L203</x:v>
      </x:c>
      <x:c r="B1820" s="8" t="n">
        <x:v>2</x:v>
      </x:c>
      <x:c r="C1820" s="11" t="n">
        <x:v>2.35</x:v>
      </x:c>
      <x:c r="D1820" s="11" t="n">
        <x:v>7.65</x:v>
      </x:c>
      <x:c r="E1820" s="11" t="n">
        <x:v>-7.36</x:v>
      </x:c>
      <x:c r="F1820" s="11" t="n">
        <x:f>SQRT((C1820-C1819)^2+(D1820-D1819)^2+(E1820-E1819)^2)</x:f>
        <x:v>1.67</x:v>
      </x:c>
      <x:c r="G1820" s="8" t="str">
        <x:v>Current</x:v>
      </x:c>
    </x:row>
    <x:row r="1821" ht="32" customHeight="1">
      <x:c r="A1821" s="8" t="str">
        <x:v>drop:EB1:L7:light:-1:L203</x:v>
      </x:c>
      <x:c r="B1821" s="8" t="n">
        <x:v>3</x:v>
      </x:c>
      <x:c r="C1821" s="11" t="n">
        <x:v>2.35</x:v>
      </x:c>
      <x:c r="D1821" s="11" t="n">
        <x:v>7.65</x:v>
      </x:c>
      <x:c r="E1821" s="11" t="n">
        <x:v>-7.703</x:v>
      </x:c>
      <x:c r="F1821" s="11" t="n">
        <x:f>SQRT((C1821-C1820)^2+(D1821-D1820)^2+(E1821-E1820)^2)</x:f>
        <x:v>0.34299999999999997</x:v>
      </x:c>
      <x:c r="G1821" s="8" t="str">
        <x:v>Current</x:v>
      </x:c>
    </x:row>
    <x:row r="1822" ht="32" customHeight="1">
      <x:c r="A1822" s="8" t="str">
        <x:v>drop:EB1:L7:light:-1:L203</x:v>
      </x:c>
      <x:c r="B1822" s="8" t="n">
        <x:v>4</x:v>
      </x:c>
      <x:c r="C1822" s="11" t="n">
        <x:v>0</x:v>
      </x:c>
      <x:c r="D1822" s="11" t="n">
        <x:v>7.65</x:v>
      </x:c>
      <x:c r="E1822" s="11" t="n">
        <x:v>-7.703</x:v>
      </x:c>
      <x:c r="F1822" s="11" t="n">
        <x:f>SQRT((C1822-C1821)^2+(D1822-D1821)^2+(E1822-E1821)^2)</x:f>
        <x:v>2.35</x:v>
      </x:c>
      <x:c r="G1822" s="8" t="str">
        <x:v>Current</x:v>
      </x:c>
    </x:row>
    <x:row r="1823" ht="32" customHeight="1">
      <x:c r="A1823" s="8" t="str">
        <x:v>drop:EB1:L7:light:-1:L203</x:v>
      </x:c>
      <x:c r="B1823" s="8" t="n">
        <x:v>5</x:v>
      </x:c>
      <x:c r="C1823" s="11" t="n">
        <x:v>0</x:v>
      </x:c>
      <x:c r="D1823" s="11" t="n">
        <x:v>7.65</x:v>
      </x:c>
      <x:c r="E1823" s="11" t="n">
        <x:v>-12.363</x:v>
      </x:c>
      <x:c r="F1823" s="11" t="n">
        <x:f>SQRT((C1823-C1822)^2+(D1823-D1822)^2+(E1823-E1822)^2)</x:f>
        <x:v>4.659999999999999</x:v>
      </x:c>
      <x:c r="G1823" s="8" t="str">
        <x:v>Current</x:v>
      </x:c>
    </x:row>
    <x:row r="1824" ht="32" customHeight="1">
      <x:c r="A1824" s="8" t="str">
        <x:v>drop:EB1:L7:light:-1:L203</x:v>
      </x:c>
      <x:c r="B1824" s="8" t="n">
        <x:v>6</x:v>
      </x:c>
      <x:c r="C1824" s="11" t="n">
        <x:v>0</x:v>
      </x:c>
      <x:c r="D1824" s="11" t="n">
        <x:v>4.195</x:v>
      </x:c>
      <x:c r="E1824" s="11" t="n">
        <x:v>-12.363</x:v>
      </x:c>
      <x:c r="F1824" s="11" t="n">
        <x:f>SQRT((C1824-C1823)^2+(D1824-D1823)^2+(E1824-E1823)^2)</x:f>
        <x:v>3.455</x:v>
      </x:c>
      <x:c r="G1824" s="8" t="str">
        <x:v>Current</x:v>
      </x:c>
    </x:row>
    <x:row r="1825" ht="32" customHeight="1">
      <x:c r="A1825" s="8" t="str">
        <x:v>drop:EB1:L7:light:-1:L203</x:v>
      </x:c>
      <x:c r="B1825" s="8" t="n">
        <x:v>7</x:v>
      </x:c>
      <x:c r="C1825" s="11" t="n">
        <x:v>0</x:v>
      </x:c>
      <x:c r="D1825" s="11" t="n">
        <x:v>4.195</x:v>
      </x:c>
      <x:c r="E1825" s="11" t="n">
        <x:v>-12.713000000000001</x:v>
      </x:c>
      <x:c r="F1825" s="11" t="n">
        <x:f>SQRT((C1825-C1824)^2+(D1825-D1824)^2+(E1825-E1824)^2)</x:f>
        <x:v>0.3500000000000014</x:v>
      </x:c>
      <x:c r="G1825" s="8" t="str">
        <x:v>Current</x:v>
      </x:c>
    </x:row>
    <x:row r="1826" ht="32" customHeight="1">
      <x:c r="A1826" s="8" t="str">
        <x:v>drop:EB1:L7:light:-1:L203</x:v>
      </x:c>
      <x:c r="B1826" s="8" t="n">
        <x:v>8</x:v>
      </x:c>
      <x:c r="C1826" s="11" t="n">
        <x:v>-0.7749999999999999</x:v>
      </x:c>
      <x:c r="D1826" s="11" t="n">
        <x:v>4.195</x:v>
      </x:c>
      <x:c r="E1826" s="11" t="n">
        <x:v>-12.713000000000001</x:v>
      </x:c>
      <x:c r="F1826" s="11" t="n">
        <x:f>SQRT((C1826-C1825)^2+(D1826-D1825)^2+(E1826-E1825)^2)</x:f>
        <x:v>0.7749999999999999</x:v>
      </x:c>
      <x:c r="G1826" s="8" t="str">
        <x:v>Current</x:v>
      </x:c>
    </x:row>
    <x:row r="1827" ht="32" customHeight="1">
      <x:c r="A1827" s="8" t="str">
        <x:v>drop:EB1:L7:light:-1:L204</x:v>
      </x:c>
      <x:c r="B1827" s="8" t="n">
        <x:v>1</x:v>
      </x:c>
      <x:c r="C1827" s="11" t="n">
        <x:v>2.35</x:v>
      </x:c>
      <x:c r="D1827" s="11" t="n">
        <x:v>5.98</x:v>
      </x:c>
      <x:c r="E1827" s="11" t="n">
        <x:v>-7.36</x:v>
      </x:c>
      <x:c r="F1827" s="11" t="n">
        <x:f>0</x:f>
        <x:v>0</x:v>
      </x:c>
      <x:c r="G1827" s="8" t="str">
        <x:v>Current</x:v>
      </x:c>
    </x:row>
    <x:row r="1828" ht="32" customHeight="1">
      <x:c r="A1828" s="8" t="str">
        <x:v>drop:EB1:L7:light:-1:L204</x:v>
      </x:c>
      <x:c r="B1828" s="8" t="n">
        <x:v>2</x:v>
      </x:c>
      <x:c r="C1828" s="11" t="n">
        <x:v>2.35</x:v>
      </x:c>
      <x:c r="D1828" s="11" t="n">
        <x:v>7.65</x:v>
      </x:c>
      <x:c r="E1828" s="11" t="n">
        <x:v>-7.36</x:v>
      </x:c>
      <x:c r="F1828" s="11" t="n">
        <x:f>SQRT((C1828-C1827)^2+(D1828-D1827)^2+(E1828-E1827)^2)</x:f>
        <x:v>1.67</x:v>
      </x:c>
      <x:c r="G1828" s="8" t="str">
        <x:v>Current</x:v>
      </x:c>
    </x:row>
    <x:row r="1829" ht="32" customHeight="1">
      <x:c r="A1829" s="8" t="str">
        <x:v>drop:EB1:L7:light:-1:L204</x:v>
      </x:c>
      <x:c r="B1829" s="8" t="n">
        <x:v>3</x:v>
      </x:c>
      <x:c r="C1829" s="11" t="n">
        <x:v>2.35</x:v>
      </x:c>
      <x:c r="D1829" s="11" t="n">
        <x:v>7.65</x:v>
      </x:c>
      <x:c r="E1829" s="11" t="n">
        <x:v>-7.703</x:v>
      </x:c>
      <x:c r="F1829" s="11" t="n">
        <x:f>SQRT((C1829-C1828)^2+(D1829-D1828)^2+(E1829-E1828)^2)</x:f>
        <x:v>0.34299999999999997</x:v>
      </x:c>
      <x:c r="G1829" s="8" t="str">
        <x:v>Current</x:v>
      </x:c>
    </x:row>
    <x:row r="1830" ht="32" customHeight="1">
      <x:c r="A1830" s="8" t="str">
        <x:v>drop:EB1:L7:light:-1:L204</x:v>
      </x:c>
      <x:c r="B1830" s="8" t="n">
        <x:v>4</x:v>
      </x:c>
      <x:c r="C1830" s="11" t="n">
        <x:v>0</x:v>
      </x:c>
      <x:c r="D1830" s="11" t="n">
        <x:v>7.65</x:v>
      </x:c>
      <x:c r="E1830" s="11" t="n">
        <x:v>-7.703</x:v>
      </x:c>
      <x:c r="F1830" s="11" t="n">
        <x:f>SQRT((C1830-C1829)^2+(D1830-D1829)^2+(E1830-E1829)^2)</x:f>
        <x:v>2.35</x:v>
      </x:c>
      <x:c r="G1830" s="8" t="str">
        <x:v>Current</x:v>
      </x:c>
    </x:row>
    <x:row r="1831" ht="32" customHeight="1">
      <x:c r="A1831" s="8" t="str">
        <x:v>drop:EB1:L7:light:-1:L204</x:v>
      </x:c>
      <x:c r="B1831" s="8" t="n">
        <x:v>5</x:v>
      </x:c>
      <x:c r="C1831" s="11" t="n">
        <x:v>0</x:v>
      </x:c>
      <x:c r="D1831" s="11" t="n">
        <x:v>7.65</x:v>
      </x:c>
      <x:c r="E1831" s="11" t="n">
        <x:v>-7.9430000000000005</x:v>
      </x:c>
      <x:c r="F1831" s="11" t="n">
        <x:f>SQRT((C1831-C1830)^2+(D1831-D1830)^2+(E1831-E1830)^2)</x:f>
        <x:v>0.2400000000000002</x:v>
      </x:c>
      <x:c r="G1831" s="8" t="str">
        <x:v>Current</x:v>
      </x:c>
    </x:row>
    <x:row r="1832" ht="32" customHeight="1">
      <x:c r="A1832" s="8" t="str">
        <x:v>drop:EB1:L7:light:-1:L204</x:v>
      </x:c>
      <x:c r="B1832" s="8" t="n">
        <x:v>6</x:v>
      </x:c>
      <x:c r="C1832" s="11" t="n">
        <x:v>0</x:v>
      </x:c>
      <x:c r="D1832" s="11" t="n">
        <x:v>8.4</x:v>
      </x:c>
      <x:c r="E1832" s="11" t="n">
        <x:v>-7.9430000000000005</x:v>
      </x:c>
      <x:c r="F1832" s="11" t="n">
        <x:f>SQRT((C1832-C1831)^2+(D1832-D1831)^2+(E1832-E1831)^2)</x:f>
        <x:v>0.75</x:v>
      </x:c>
      <x:c r="G1832" s="8" t="str">
        <x:v>Current</x:v>
      </x:c>
    </x:row>
    <x:row r="1833" ht="32" customHeight="1">
      <x:c r="A1833" s="8" t="str">
        <x:v>drop:EB1:L7:light:-1:L204</x:v>
      </x:c>
      <x:c r="B1833" s="8" t="n">
        <x:v>7</x:v>
      </x:c>
      <x:c r="C1833" s="11" t="n">
        <x:v>0.09</x:v>
      </x:c>
      <x:c r="D1833" s="11" t="n">
        <x:v>8.4</x:v>
      </x:c>
      <x:c r="E1833" s="11" t="n">
        <x:v>-7.9430000000000005</x:v>
      </x:c>
      <x:c r="F1833" s="11" t="n">
        <x:f>SQRT((C1833-C1832)^2+(D1833-D1832)^2+(E1833-E1832)^2)</x:f>
        <x:v>0.09</x:v>
      </x:c>
      <x:c r="G1833" s="8" t="str">
        <x:v>Current</x:v>
      </x:c>
    </x:row>
    <x:row r="1834" ht="32" customHeight="1">
      <x:c r="A1834" s="8" t="str">
        <x:v>drop:EB1:L7:light:-1:L204</x:v>
      </x:c>
      <x:c r="B1834" s="8" t="n">
        <x:v>8</x:v>
      </x:c>
      <x:c r="C1834" s="11" t="n">
        <x:v>0.09</x:v>
      </x:c>
      <x:c r="D1834" s="11" t="n">
        <x:v>8.4</x:v>
      </x:c>
      <x:c r="E1834" s="11" t="n">
        <x:v>-8.068000000000001</x:v>
      </x:c>
      <x:c r="F1834" s="11" t="n">
        <x:f>SQRT((C1834-C1833)^2+(D1834-D1833)^2+(E1834-E1833)^2)</x:f>
        <x:v>0.1250000000000009</x:v>
      </x:c>
      <x:c r="G1834" s="8" t="str">
        <x:v>Current</x:v>
      </x:c>
    </x:row>
    <x:row r="1835" ht="32" customHeight="1">
      <x:c r="A1835" s="8" t="str">
        <x:v>drop:EB1:L7:light:-1:L204</x:v>
      </x:c>
      <x:c r="B1835" s="8" t="n">
        <x:v>9</x:v>
      </x:c>
      <x:c r="C1835" s="11" t="n">
        <x:v>0.09</x:v>
      </x:c>
      <x:c r="D1835" s="11" t="n">
        <x:v>12.115</x:v>
      </x:c>
      <x:c r="E1835" s="11" t="n">
        <x:v>-8.068000000000001</x:v>
      </x:c>
      <x:c r="F1835" s="11" t="n">
        <x:f>SQRT((C1835-C1834)^2+(D1835-D1834)^2+(E1835-E1834)^2)</x:f>
        <x:v>3.715</x:v>
      </x:c>
      <x:c r="G1835" s="8" t="str">
        <x:v>Current</x:v>
      </x:c>
    </x:row>
    <x:row r="1836" ht="32" customHeight="1">
      <x:c r="A1836" s="8" t="str">
        <x:v>drop:EB1:L7:light:-1:L204</x:v>
      </x:c>
      <x:c r="B1836" s="8" t="n">
        <x:v>10</x:v>
      </x:c>
      <x:c r="C1836" s="11" t="n">
        <x:v>0.09</x:v>
      </x:c>
      <x:c r="D1836" s="11" t="n">
        <x:v>12.115</x:v>
      </x:c>
      <x:c r="E1836" s="11" t="n">
        <x:v>-7.663</x:v>
      </x:c>
      <x:c r="F1836" s="11" t="n">
        <x:f>SQRT((C1836-C1835)^2+(D1836-D1835)^2+(E1836-E1835)^2)</x:f>
        <x:v>0.40500000000000114</x:v>
      </x:c>
      <x:c r="G1836" s="8" t="str">
        <x:v>Current</x:v>
      </x:c>
    </x:row>
    <x:row r="1837" ht="32" customHeight="1">
      <x:c r="A1837" s="8" t="str">
        <x:v>drop:EB1:L7:light:-1:L204</x:v>
      </x:c>
      <x:c r="B1837" s="8" t="n">
        <x:v>11</x:v>
      </x:c>
      <x:c r="C1837" s="11" t="n">
        <x:v>-0.635</x:v>
      </x:c>
      <x:c r="D1837" s="11" t="n">
        <x:v>12.115</x:v>
      </x:c>
      <x:c r="E1837" s="11" t="n">
        <x:v>-7.663</x:v>
      </x:c>
      <x:c r="F1837" s="11" t="n">
        <x:f>SQRT((C1837-C1836)^2+(D1837-D1836)^2+(E1837-E1836)^2)</x:f>
        <x:v>0.725</x:v>
      </x:c>
      <x:c r="G1837" s="8" t="str">
        <x:v>Current</x:v>
      </x:c>
    </x:row>
    <x:row r="1838" ht="32" customHeight="1">
      <x:c r="A1838" s="8" t="str">
        <x:v>drop:EB1:L7:light:-1:L205</x:v>
      </x:c>
      <x:c r="B1838" s="8" t="n">
        <x:v>1</x:v>
      </x:c>
      <x:c r="C1838" s="11" t="n">
        <x:v>2.35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drop:EB1:L7:light:-1:L205</x:v>
      </x:c>
      <x:c r="B1839" s="8" t="n">
        <x:v>2</x:v>
      </x:c>
      <x:c r="C1839" s="11" t="n">
        <x:v>2.35</x:v>
      </x:c>
      <x:c r="D1839" s="11" t="n">
        <x:v>7.65</x:v>
      </x:c>
      <x:c r="E1839" s="11" t="n">
        <x:v>-7.36</x:v>
      </x:c>
      <x:c r="F1839" s="11" t="n">
        <x:f>SQRT((C1839-C1838)^2+(D1839-D1838)^2+(E1839-E1838)^2)</x:f>
        <x:v>1.67</x:v>
      </x:c>
      <x:c r="G1839" s="8" t="str">
        <x:v>Current</x:v>
      </x:c>
    </x:row>
    <x:row r="1840" ht="32" customHeight="1">
      <x:c r="A1840" s="8" t="str">
        <x:v>drop:EB1:L7:light:-1:L205</x:v>
      </x:c>
      <x:c r="B1840" s="8" t="n">
        <x:v>3</x:v>
      </x:c>
      <x:c r="C1840" s="11" t="n">
        <x:v>2.35</x:v>
      </x:c>
      <x:c r="D1840" s="11" t="n">
        <x:v>7.65</x:v>
      </x:c>
      <x:c r="E1840" s="11" t="n">
        <x:v>-7.703</x:v>
      </x:c>
      <x:c r="F1840" s="11" t="n">
        <x:f>SQRT((C1840-C1839)^2+(D1840-D1839)^2+(E1840-E1839)^2)</x:f>
        <x:v>0.34299999999999997</x:v>
      </x:c>
      <x:c r="G1840" s="8" t="str">
        <x:v>Current</x:v>
      </x:c>
    </x:row>
    <x:row r="1841" ht="32" customHeight="1">
      <x:c r="A1841" s="8" t="str">
        <x:v>drop:EB1:L7:light:-1:L205</x:v>
      </x:c>
      <x:c r="B1841" s="8" t="n">
        <x:v>4</x:v>
      </x:c>
      <x:c r="C1841" s="11" t="n">
        <x:v>0</x:v>
      </x:c>
      <x:c r="D1841" s="11" t="n">
        <x:v>7.65</x:v>
      </x:c>
      <x:c r="E1841" s="11" t="n">
        <x:v>-7.703</x:v>
      </x:c>
      <x:c r="F1841" s="11" t="n">
        <x:f>SQRT((C1841-C1840)^2+(D1841-D1840)^2+(E1841-E1840)^2)</x:f>
        <x:v>2.35</x:v>
      </x:c>
      <x:c r="G1841" s="8" t="str">
        <x:v>Current</x:v>
      </x:c>
    </x:row>
    <x:row r="1842" ht="32" customHeight="1">
      <x:c r="A1842" s="8" t="str">
        <x:v>drop:EB1:L7:light:-1:L205</x:v>
      </x:c>
      <x:c r="B1842" s="8" t="n">
        <x:v>5</x:v>
      </x:c>
      <x:c r="C1842" s="11" t="n">
        <x:v>0</x:v>
      </x:c>
      <x:c r="D1842" s="11" t="n">
        <x:v>7.65</x:v>
      </x:c>
      <x:c r="E1842" s="11" t="n">
        <x:v>-12.363</x:v>
      </x:c>
      <x:c r="F1842" s="11" t="n">
        <x:f>SQRT((C1842-C1841)^2+(D1842-D1841)^2+(E1842-E1841)^2)</x:f>
        <x:v>4.659999999999999</x:v>
      </x:c>
      <x:c r="G1842" s="8" t="str">
        <x:v>Current</x:v>
      </x:c>
    </x:row>
    <x:row r="1843" ht="32" customHeight="1">
      <x:c r="A1843" s="8" t="str">
        <x:v>drop:EB1:L7:light:-1:L205</x:v>
      </x:c>
      <x:c r="B1843" s="8" t="n">
        <x:v>6</x:v>
      </x:c>
      <x:c r="C1843" s="11" t="n">
        <x:v>0</x:v>
      </x:c>
      <x:c r="D1843" s="11" t="n">
        <x:v>8.4</x:v>
      </x:c>
      <x:c r="E1843" s="11" t="n">
        <x:v>-12.363</x:v>
      </x:c>
      <x:c r="F1843" s="11" t="n">
        <x:f>SQRT((C1843-C1842)^2+(D1843-D1842)^2+(E1843-E1842)^2)</x:f>
        <x:v>0.75</x:v>
      </x:c>
      <x:c r="G1843" s="8" t="str">
        <x:v>Current</x:v>
      </x:c>
    </x:row>
    <x:row r="1844" ht="32" customHeight="1">
      <x:c r="A1844" s="8" t="str">
        <x:v>drop:EB1:L7:light:-1:L205</x:v>
      </x:c>
      <x:c r="B1844" s="8" t="n">
        <x:v>7</x:v>
      </x:c>
      <x:c r="C1844" s="11" t="n">
        <x:v>0.09</x:v>
      </x:c>
      <x:c r="D1844" s="11" t="n">
        <x:v>8.4</x:v>
      </x:c>
      <x:c r="E1844" s="11" t="n">
        <x:v>-12.363</x:v>
      </x:c>
      <x:c r="F1844" s="11" t="n">
        <x:f>SQRT((C1844-C1843)^2+(D1844-D1843)^2+(E1844-E1843)^2)</x:f>
        <x:v>0.09</x:v>
      </x:c>
      <x:c r="G1844" s="8" t="str">
        <x:v>Current</x:v>
      </x:c>
    </x:row>
    <x:row r="1845" ht="32" customHeight="1">
      <x:c r="A1845" s="8" t="str">
        <x:v>drop:EB1:L7:light:-1:L205</x:v>
      </x:c>
      <x:c r="B1845" s="8" t="n">
        <x:v>8</x:v>
      </x:c>
      <x:c r="C1845" s="11" t="n">
        <x:v>0.09</x:v>
      </x:c>
      <x:c r="D1845" s="11" t="n">
        <x:v>8.4</x:v>
      </x:c>
      <x:c r="E1845" s="11" t="n">
        <x:v>-12.238</x:v>
      </x:c>
      <x:c r="F1845" s="11" t="n">
        <x:f>SQRT((C1845-C1844)^2+(D1845-D1844)^2+(E1845-E1844)^2)</x:f>
        <x:v>0.125</x:v>
      </x:c>
      <x:c r="G1845" s="8" t="str">
        <x:v>Current</x:v>
      </x:c>
    </x:row>
    <x:row r="1846" ht="32" customHeight="1">
      <x:c r="A1846" s="8" t="str">
        <x:v>drop:EB1:L7:light:-1:L205</x:v>
      </x:c>
      <x:c r="B1846" s="8" t="n">
        <x:v>9</x:v>
      </x:c>
      <x:c r="C1846" s="11" t="n">
        <x:v>0.09</x:v>
      </x:c>
      <x:c r="D1846" s="11" t="n">
        <x:v>12.115</x:v>
      </x:c>
      <x:c r="E1846" s="11" t="n">
        <x:v>-12.238</x:v>
      </x:c>
      <x:c r="F1846" s="11" t="n">
        <x:f>SQRT((C1846-C1845)^2+(D1846-D1845)^2+(E1846-E1845)^2)</x:f>
        <x:v>3.715</x:v>
      </x:c>
      <x:c r="G1846" s="8" t="str">
        <x:v>Current</x:v>
      </x:c>
    </x:row>
    <x:row r="1847" ht="32" customHeight="1">
      <x:c r="A1847" s="8" t="str">
        <x:v>drop:EB1:L7:light:-1:L205</x:v>
      </x:c>
      <x:c r="B1847" s="8" t="n">
        <x:v>10</x:v>
      </x:c>
      <x:c r="C1847" s="11" t="n">
        <x:v>0.09</x:v>
      </x:c>
      <x:c r="D1847" s="11" t="n">
        <x:v>12.115</x:v>
      </x:c>
      <x:c r="E1847" s="11" t="n">
        <x:v>-12.643</x:v>
      </x:c>
      <x:c r="F1847" s="11" t="n">
        <x:f>SQRT((C1847-C1846)^2+(D1847-D1846)^2+(E1847-E1846)^2)</x:f>
        <x:v>0.40500000000000114</x:v>
      </x:c>
      <x:c r="G1847" s="8" t="str">
        <x:v>Current</x:v>
      </x:c>
    </x:row>
    <x:row r="1848" ht="32" customHeight="1">
      <x:c r="A1848" s="8" t="str">
        <x:v>drop:EB1:L7:light:-1:L205</x:v>
      </x:c>
      <x:c r="B1848" s="8" t="n">
        <x:v>11</x:v>
      </x:c>
      <x:c r="C1848" s="11" t="n">
        <x:v>-0.635</x:v>
      </x:c>
      <x:c r="D1848" s="11" t="n">
        <x:v>12.115</x:v>
      </x:c>
      <x:c r="E1848" s="11" t="n">
        <x:v>-12.643</x:v>
      </x:c>
      <x:c r="F1848" s="11" t="n">
        <x:f>SQRT((C1848-C1847)^2+(D1848-D1847)^2+(E1848-E1847)^2)</x:f>
        <x:v>0.725</x:v>
      </x:c>
      <x:c r="G1848" s="8" t="str">
        <x:v>Current</x:v>
      </x:c>
    </x:row>
    <x:row r="1849" ht="32" customHeight="1">
      <x:c r="A1849" s="8" t="str">
        <x:v>drop:EB1:L7:light:-1:L206</x:v>
      </x:c>
      <x:c r="B1849" s="8" t="n">
        <x:v>1</x:v>
      </x:c>
      <x:c r="C1849" s="11" t="n">
        <x:v>2.35</x:v>
      </x:c>
      <x:c r="D1849" s="11" t="n">
        <x:v>5.98</x:v>
      </x:c>
      <x:c r="E1849" s="11" t="n">
        <x:v>-7.36</x:v>
      </x:c>
      <x:c r="F1849" s="11" t="n">
        <x:f>0</x:f>
        <x:v>0</x:v>
      </x:c>
      <x:c r="G1849" s="8" t="str">
        <x:v>Current</x:v>
      </x:c>
    </x:row>
    <x:row r="1850" ht="32" customHeight="1">
      <x:c r="A1850" s="8" t="str">
        <x:v>drop:EB1:L7:light:-1:L206</x:v>
      </x:c>
      <x:c r="B1850" s="8" t="n">
        <x:v>2</x:v>
      </x:c>
      <x:c r="C1850" s="11" t="n">
        <x:v>2.35</x:v>
      </x:c>
      <x:c r="D1850" s="11" t="n">
        <x:v>7.65</x:v>
      </x:c>
      <x:c r="E1850" s="11" t="n">
        <x:v>-7.36</x:v>
      </x:c>
      <x:c r="F1850" s="11" t="n">
        <x:f>SQRT((C1850-C1849)^2+(D1850-D1849)^2+(E1850-E1849)^2)</x:f>
        <x:v>1.67</x:v>
      </x:c>
      <x:c r="G1850" s="8" t="str">
        <x:v>Current</x:v>
      </x:c>
    </x:row>
    <x:row r="1851" ht="32" customHeight="1">
      <x:c r="A1851" s="8" t="str">
        <x:v>drop:EB1:L7:light:-1:L206</x:v>
      </x:c>
      <x:c r="B1851" s="8" t="n">
        <x:v>3</x:v>
      </x:c>
      <x:c r="C1851" s="11" t="n">
        <x:v>2.35</x:v>
      </x:c>
      <x:c r="D1851" s="11" t="n">
        <x:v>7.65</x:v>
      </x:c>
      <x:c r="E1851" s="11" t="n">
        <x:v>-7.703</x:v>
      </x:c>
      <x:c r="F1851" s="11" t="n">
        <x:f>SQRT((C1851-C1850)^2+(D1851-D1850)^2+(E1851-E1850)^2)</x:f>
        <x:v>0.34299999999999997</x:v>
      </x:c>
      <x:c r="G1851" s="8" t="str">
        <x:v>Current</x:v>
      </x:c>
    </x:row>
    <x:row r="1852" ht="32" customHeight="1">
      <x:c r="A1852" s="8" t="str">
        <x:v>drop:EB1:L7:light:-1:L206</x:v>
      </x:c>
      <x:c r="B1852" s="8" t="n">
        <x:v>4</x:v>
      </x:c>
      <x:c r="C1852" s="11" t="n">
        <x:v>0</x:v>
      </x:c>
      <x:c r="D1852" s="11" t="n">
        <x:v>7.65</x:v>
      </x:c>
      <x:c r="E1852" s="11" t="n">
        <x:v>-7.703</x:v>
      </x:c>
      <x:c r="F1852" s="11" t="n">
        <x:f>SQRT((C1852-C1851)^2+(D1852-D1851)^2+(E1852-E1851)^2)</x:f>
        <x:v>2.35</x:v>
      </x:c>
      <x:c r="G1852" s="8" t="str">
        <x:v>Current</x:v>
      </x:c>
    </x:row>
    <x:row r="1853" ht="32" customHeight="1">
      <x:c r="A1853" s="8" t="str">
        <x:v>drop:EB1:L7:light:-1:L206</x:v>
      </x:c>
      <x:c r="B1853" s="8" t="n">
        <x:v>5</x:v>
      </x:c>
      <x:c r="C1853" s="11" t="n">
        <x:v>0</x:v>
      </x:c>
      <x:c r="D1853" s="11" t="n">
        <x:v>7.65</x:v>
      </x:c>
      <x:c r="E1853" s="11" t="n">
        <x:v>-7.9430000000000005</x:v>
      </x:c>
      <x:c r="F1853" s="11" t="n">
        <x:f>SQRT((C1853-C1852)^2+(D1853-D1852)^2+(E1853-E1852)^2)</x:f>
        <x:v>0.2400000000000002</x:v>
      </x:c>
      <x:c r="G1853" s="8" t="str">
        <x:v>Current</x:v>
      </x:c>
    </x:row>
    <x:row r="1854" ht="32" customHeight="1">
      <x:c r="A1854" s="8" t="str">
        <x:v>drop:EB1:L7:light:-1:L206</x:v>
      </x:c>
      <x:c r="B1854" s="8" t="n">
        <x:v>6</x:v>
      </x:c>
      <x:c r="C1854" s="11" t="n">
        <x:v>0</x:v>
      </x:c>
      <x:c r="D1854" s="11" t="n">
        <x:v>8.4</x:v>
      </x:c>
      <x:c r="E1854" s="11" t="n">
        <x:v>-7.9430000000000005</x:v>
      </x:c>
      <x:c r="F1854" s="11" t="n">
        <x:f>SQRT((C1854-C1853)^2+(D1854-D1853)^2+(E1854-E1853)^2)</x:f>
        <x:v>0.75</x:v>
      </x:c>
      <x:c r="G1854" s="8" t="str">
        <x:v>Current</x:v>
      </x:c>
    </x:row>
    <x:row r="1855" ht="32" customHeight="1">
      <x:c r="A1855" s="8" t="str">
        <x:v>drop:EB1:L7:light:-1:L206</x:v>
      </x:c>
      <x:c r="B1855" s="8" t="n">
        <x:v>7</x:v>
      </x:c>
      <x:c r="C1855" s="11" t="n">
        <x:v>0.09</x:v>
      </x:c>
      <x:c r="D1855" s="11" t="n">
        <x:v>8.4</x:v>
      </x:c>
      <x:c r="E1855" s="11" t="n">
        <x:v>-7.9430000000000005</x:v>
      </x:c>
      <x:c r="F1855" s="11" t="n">
        <x:f>SQRT((C1855-C1854)^2+(D1855-D1854)^2+(E1855-E1854)^2)</x:f>
        <x:v>0.09</x:v>
      </x:c>
      <x:c r="G1855" s="8" t="str">
        <x:v>Current</x:v>
      </x:c>
    </x:row>
    <x:row r="1856" ht="32" customHeight="1">
      <x:c r="A1856" s="8" t="str">
        <x:v>drop:EB1:L7:light:-1:L206</x:v>
      </x:c>
      <x:c r="B1856" s="8" t="n">
        <x:v>8</x:v>
      </x:c>
      <x:c r="C1856" s="11" t="n">
        <x:v>0.09</x:v>
      </x:c>
      <x:c r="D1856" s="11" t="n">
        <x:v>8.4</x:v>
      </x:c>
      <x:c r="E1856" s="11" t="n">
        <x:v>-8.068000000000001</x:v>
      </x:c>
      <x:c r="F1856" s="11" t="n">
        <x:f>SQRT((C1856-C1855)^2+(D1856-D1855)^2+(E1856-E1855)^2)</x:f>
        <x:v>0.1250000000000009</x:v>
      </x:c>
      <x:c r="G1856" s="8" t="str">
        <x:v>Current</x:v>
      </x:c>
    </x:row>
    <x:row r="1857" ht="32" customHeight="1">
      <x:c r="A1857" s="8" t="str">
        <x:v>drop:EB1:L7:light:-1:L206</x:v>
      </x:c>
      <x:c r="B1857" s="8" t="n">
        <x:v>9</x:v>
      </x:c>
      <x:c r="C1857" s="11" t="n">
        <x:v>0.09</x:v>
      </x:c>
      <x:c r="D1857" s="11" t="n">
        <x:v>15.85</x:v>
      </x:c>
      <x:c r="E1857" s="11" t="n">
        <x:v>-8.068000000000001</x:v>
      </x:c>
      <x:c r="F1857" s="11" t="n">
        <x:f>SQRT((C1857-C1856)^2+(D1857-D1856)^2+(E1857-E1856)^2)</x:f>
        <x:v>7.449999999999999</x:v>
      </x:c>
      <x:c r="G1857" s="8" t="str">
        <x:v>Current</x:v>
      </x:c>
    </x:row>
    <x:row r="1858" ht="32" customHeight="1">
      <x:c r="A1858" s="8" t="str">
        <x:v>drop:EB1:L7:light:-1:L206</x:v>
      </x:c>
      <x:c r="B1858" s="8" t="n">
        <x:v>10</x:v>
      </x:c>
      <x:c r="C1858" s="11" t="n">
        <x:v>0.19</x:v>
      </x:c>
      <x:c r="D1858" s="11" t="n">
        <x:v>15.85</x:v>
      </x:c>
      <x:c r="E1858" s="11" t="n">
        <x:v>-8.068000000000001</x:v>
      </x:c>
      <x:c r="F1858" s="11" t="n">
        <x:f>SQRT((C1858-C1857)^2+(D1858-D1857)^2+(E1858-E1857)^2)</x:f>
        <x:v>0.1</x:v>
      </x:c>
      <x:c r="G1858" s="8" t="str">
        <x:v>Current</x:v>
      </x:c>
    </x:row>
    <x:row r="1859" ht="32" customHeight="1">
      <x:c r="A1859" s="8" t="str">
        <x:v>drop:EB1:L7:light:-1:L206</x:v>
      </x:c>
      <x:c r="B1859" s="8" t="n">
        <x:v>11</x:v>
      </x:c>
      <x:c r="C1859" s="11" t="n">
        <x:v>0.19</x:v>
      </x:c>
      <x:c r="D1859" s="11" t="n">
        <x:v>15.85</x:v>
      </x:c>
      <x:c r="E1859" s="11" t="n">
        <x:v>-8.168000000000001</x:v>
      </x:c>
      <x:c r="F1859" s="11" t="n">
        <x:f>SQRT((C1859-C1858)^2+(D1859-D1858)^2+(E1859-E1858)^2)</x:f>
        <x:v>0.09999999999999964</x:v>
      </x:c>
      <x:c r="G1859" s="8" t="str">
        <x:v>Current</x:v>
      </x:c>
    </x:row>
    <x:row r="1860" ht="32" customHeight="1">
      <x:c r="A1860" s="8" t="str">
        <x:v>drop:EB1:L7:light:-1:L206</x:v>
      </x:c>
      <x:c r="B1860" s="8" t="n">
        <x:v>12</x:v>
      </x:c>
      <x:c r="C1860" s="11" t="n">
        <x:v>0.19</x:v>
      </x:c>
      <x:c r="D1860" s="11" t="n">
        <x:v>19.490000000000002</x:v>
      </x:c>
      <x:c r="E1860" s="11" t="n">
        <x:v>-8.168000000000001</x:v>
      </x:c>
      <x:c r="F1860" s="11" t="n">
        <x:f>SQRT((C1860-C1859)^2+(D1860-D1859)^2+(E1860-E1859)^2)</x:f>
        <x:v>3.6400000000000023</x:v>
      </x:c>
      <x:c r="G1860" s="8" t="str">
        <x:v>Current</x:v>
      </x:c>
    </x:row>
    <x:row r="1861" ht="32" customHeight="1">
      <x:c r="A1861" s="8" t="str">
        <x:v>drop:EB1:L7:light:-1:L206</x:v>
      </x:c>
      <x:c r="B1861" s="8" t="n">
        <x:v>13</x:v>
      </x:c>
      <x:c r="C1861" s="11" t="n">
        <x:v>0.19</x:v>
      </x:c>
      <x:c r="D1861" s="11" t="n">
        <x:v>19.490000000000002</x:v>
      </x:c>
      <x:c r="E1861" s="11" t="n">
        <x:v>-7.7330000000000005</x:v>
      </x:c>
      <x:c r="F1861" s="11" t="n">
        <x:f>SQRT((C1861-C1860)^2+(D1861-D1860)^2+(E1861-E1860)^2)</x:f>
        <x:v>0.4350000000000005</x:v>
      </x:c>
      <x:c r="G1861" s="8" t="str">
        <x:v>Current</x:v>
      </x:c>
    </x:row>
    <x:row r="1862" ht="32" customHeight="1">
      <x:c r="A1862" s="8" t="str">
        <x:v>drop:EB1:L7:light:-1:L206</x:v>
      </x:c>
      <x:c r="B1862" s="8" t="n">
        <x:v>14</x:v>
      </x:c>
      <x:c r="C1862" s="11" t="n">
        <x:v>-0.525</x:v>
      </x:c>
      <x:c r="D1862" s="11" t="n">
        <x:v>19.490000000000002</x:v>
      </x:c>
      <x:c r="E1862" s="11" t="n">
        <x:v>-7.7330000000000005</x:v>
      </x:c>
      <x:c r="F1862" s="11" t="n">
        <x:f>SQRT((C1862-C1861)^2+(D1862-D1861)^2+(E1862-E1861)^2)</x:f>
        <x:v>0.7150000000000001</x:v>
      </x:c>
      <x:c r="G1862" s="8" t="str">
        <x:v>Current</x:v>
      </x:c>
    </x:row>
    <x:row r="1863" ht="32" customHeight="1">
      <x:c r="A1863" s="8" t="str">
        <x:v>drop:EB1:L7:light:-1:L207</x:v>
      </x:c>
      <x:c r="B1863" s="8" t="n">
        <x:v>1</x:v>
      </x:c>
      <x:c r="C1863" s="11" t="n">
        <x:v>2.35</x:v>
      </x:c>
      <x:c r="D1863" s="11" t="n">
        <x:v>5.98</x:v>
      </x:c>
      <x:c r="E1863" s="11" t="n">
        <x:v>-7.36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drop:EB1:L7:light:-1:L207</x:v>
      </x:c>
      <x:c r="B1864" s="8" t="n">
        <x:v>2</x:v>
      </x:c>
      <x:c r="C1864" s="11" t="n">
        <x:v>2.35</x:v>
      </x:c>
      <x:c r="D1864" s="11" t="n">
        <x:v>7.65</x:v>
      </x:c>
      <x:c r="E1864" s="11" t="n">
        <x:v>-7.36</x:v>
      </x:c>
      <x:c r="F1864" s="11" t="n">
        <x:f>SQRT((C1864-C1863)^2+(D1864-D1863)^2+(E1864-E1863)^2)</x:f>
        <x:v>1.67</x:v>
      </x:c>
      <x:c r="G1864" s="8" t="str">
        <x:v>Current</x:v>
      </x:c>
    </x:row>
    <x:row r="1865" ht="32" customHeight="1">
      <x:c r="A1865" s="8" t="str">
        <x:v>drop:EB1:L7:light:-1:L207</x:v>
      </x:c>
      <x:c r="B1865" s="8" t="n">
        <x:v>3</x:v>
      </x:c>
      <x:c r="C1865" s="11" t="n">
        <x:v>2.35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0.34299999999999997</x:v>
      </x:c>
      <x:c r="G1865" s="8" t="str">
        <x:v>Current</x:v>
      </x:c>
    </x:row>
    <x:row r="1866" ht="32" customHeight="1">
      <x:c r="A1866" s="8" t="str">
        <x:v>drop:EB1:L7:light:-1:L207</x:v>
      </x:c>
      <x:c r="B1866" s="8" t="n">
        <x:v>4</x:v>
      </x:c>
      <x:c r="C1866" s="11" t="n">
        <x:v>0</x:v>
      </x:c>
      <x:c r="D1866" s="11" t="n">
        <x:v>7.65</x:v>
      </x:c>
      <x:c r="E1866" s="11" t="n">
        <x:v>-7.703</x:v>
      </x:c>
      <x:c r="F1866" s="11" t="n">
        <x:f>SQRT((C1866-C1865)^2+(D1866-D1865)^2+(E1866-E1865)^2)</x:f>
        <x:v>2.35</x:v>
      </x:c>
      <x:c r="G1866" s="8" t="str">
        <x:v>Current</x:v>
      </x:c>
    </x:row>
    <x:row r="1867" ht="32" customHeight="1">
      <x:c r="A1867" s="8" t="str">
        <x:v>drop:EB1:L7:light:-1:L207</x:v>
      </x:c>
      <x:c r="B1867" s="8" t="n">
        <x:v>5</x:v>
      </x:c>
      <x:c r="C1867" s="11" t="n">
        <x:v>0</x:v>
      </x:c>
      <x:c r="D1867" s="11" t="n">
        <x:v>7.65</x:v>
      </x:c>
      <x:c r="E1867" s="11" t="n">
        <x:v>-12.363</x:v>
      </x:c>
      <x:c r="F1867" s="11" t="n">
        <x:f>SQRT((C1867-C1866)^2+(D1867-D1866)^2+(E1867-E1866)^2)</x:f>
        <x:v>4.659999999999999</x:v>
      </x:c>
      <x:c r="G1867" s="8" t="str">
        <x:v>Current</x:v>
      </x:c>
    </x:row>
    <x:row r="1868" ht="32" customHeight="1">
      <x:c r="A1868" s="8" t="str">
        <x:v>drop:EB1:L7:light:-1:L207</x:v>
      </x:c>
      <x:c r="B1868" s="8" t="n">
        <x:v>6</x:v>
      </x:c>
      <x:c r="C1868" s="11" t="n">
        <x:v>0</x:v>
      </x:c>
      <x:c r="D1868" s="11" t="n">
        <x:v>8.4</x:v>
      </x:c>
      <x:c r="E1868" s="11" t="n">
        <x:v>-12.363</x:v>
      </x:c>
      <x:c r="F1868" s="11" t="n">
        <x:f>SQRT((C1868-C1867)^2+(D1868-D1867)^2+(E1868-E1867)^2)</x:f>
        <x:v>0.75</x:v>
      </x:c>
      <x:c r="G1868" s="8" t="str">
        <x:v>Current</x:v>
      </x:c>
    </x:row>
    <x:row r="1869" ht="32" customHeight="1">
      <x:c r="A1869" s="8" t="str">
        <x:v>drop:EB1:L7:light:-1:L207</x:v>
      </x:c>
      <x:c r="B1869" s="8" t="n">
        <x:v>7</x:v>
      </x:c>
      <x:c r="C1869" s="11" t="n">
        <x:v>0.09</x:v>
      </x:c>
      <x:c r="D1869" s="11" t="n">
        <x:v>8.4</x:v>
      </x:c>
      <x:c r="E1869" s="11" t="n">
        <x:v>-12.363</x:v>
      </x:c>
      <x:c r="F1869" s="11" t="n">
        <x:f>SQRT((C1869-C1868)^2+(D1869-D1868)^2+(E1869-E1868)^2)</x:f>
        <x:v>0.09</x:v>
      </x:c>
      <x:c r="G1869" s="8" t="str">
        <x:v>Current</x:v>
      </x:c>
    </x:row>
    <x:row r="1870" ht="32" customHeight="1">
      <x:c r="A1870" s="8" t="str">
        <x:v>drop:EB1:L7:light:-1:L207</x:v>
      </x:c>
      <x:c r="B1870" s="8" t="n">
        <x:v>8</x:v>
      </x:c>
      <x:c r="C1870" s="11" t="n">
        <x:v>0.09</x:v>
      </x:c>
      <x:c r="D1870" s="11" t="n">
        <x:v>8.4</x:v>
      </x:c>
      <x:c r="E1870" s="11" t="n">
        <x:v>-12.238</x:v>
      </x:c>
      <x:c r="F1870" s="11" t="n">
        <x:f>SQRT((C1870-C1869)^2+(D1870-D1869)^2+(E1870-E1869)^2)</x:f>
        <x:v>0.125</x:v>
      </x:c>
      <x:c r="G1870" s="8" t="str">
        <x:v>Current</x:v>
      </x:c>
    </x:row>
    <x:row r="1871" ht="32" customHeight="1">
      <x:c r="A1871" s="8" t="str">
        <x:v>drop:EB1:L7:light:-1:L207</x:v>
      </x:c>
      <x:c r="B1871" s="8" t="n">
        <x:v>9</x:v>
      </x:c>
      <x:c r="C1871" s="11" t="n">
        <x:v>0.09</x:v>
      </x:c>
      <x:c r="D1871" s="11" t="n">
        <x:v>15.85</x:v>
      </x:c>
      <x:c r="E1871" s="11" t="n">
        <x:v>-12.238</x:v>
      </x:c>
      <x:c r="F1871" s="11" t="n">
        <x:f>SQRT((C1871-C1870)^2+(D1871-D1870)^2+(E1871-E1870)^2)</x:f>
        <x:v>7.449999999999999</x:v>
      </x:c>
      <x:c r="G1871" s="8" t="str">
        <x:v>Current</x:v>
      </x:c>
    </x:row>
    <x:row r="1872" ht="32" customHeight="1">
      <x:c r="A1872" s="8" t="str">
        <x:v>drop:EB1:L7:light:-1:L207</x:v>
      </x:c>
      <x:c r="B1872" s="8" t="n">
        <x:v>10</x:v>
      </x:c>
      <x:c r="C1872" s="11" t="n">
        <x:v>0.19</x:v>
      </x:c>
      <x:c r="D1872" s="11" t="n">
        <x:v>15.85</x:v>
      </x:c>
      <x:c r="E1872" s="11" t="n">
        <x:v>-12.238</x:v>
      </x:c>
      <x:c r="F1872" s="11" t="n">
        <x:f>SQRT((C1872-C1871)^2+(D1872-D1871)^2+(E1872-E1871)^2)</x:f>
        <x:v>0.1</x:v>
      </x:c>
      <x:c r="G1872" s="8" t="str">
        <x:v>Current</x:v>
      </x:c>
    </x:row>
    <x:row r="1873" ht="32" customHeight="1">
      <x:c r="A1873" s="8" t="str">
        <x:v>drop:EB1:L7:light:-1:L207</x:v>
      </x:c>
      <x:c r="B1873" s="8" t="n">
        <x:v>11</x:v>
      </x:c>
      <x:c r="C1873" s="11" t="n">
        <x:v>0.19</x:v>
      </x:c>
      <x:c r="D1873" s="11" t="n">
        <x:v>15.85</x:v>
      </x:c>
      <x:c r="E1873" s="11" t="n">
        <x:v>-12.138</x:v>
      </x:c>
      <x:c r="F1873" s="11" t="n">
        <x:f>SQRT((C1873-C1872)^2+(D1873-D1872)^2+(E1873-E1872)^2)</x:f>
        <x:v>0.09999999999999964</x:v>
      </x:c>
      <x:c r="G1873" s="8" t="str">
        <x:v>Current</x:v>
      </x:c>
    </x:row>
    <x:row r="1874" ht="32" customHeight="1">
      <x:c r="A1874" s="8" t="str">
        <x:v>drop:EB1:L7:light:-1:L207</x:v>
      </x:c>
      <x:c r="B1874" s="8" t="n">
        <x:v>12</x:v>
      </x:c>
      <x:c r="C1874" s="11" t="n">
        <x:v>0.19</x:v>
      </x:c>
      <x:c r="D1874" s="11" t="n">
        <x:v>19.490000000000002</x:v>
      </x:c>
      <x:c r="E1874" s="11" t="n">
        <x:v>-12.138</x:v>
      </x:c>
      <x:c r="F1874" s="11" t="n">
        <x:f>SQRT((C1874-C1873)^2+(D1874-D1873)^2+(E1874-E1873)^2)</x:f>
        <x:v>3.6400000000000023</x:v>
      </x:c>
      <x:c r="G1874" s="8" t="str">
        <x:v>Current</x:v>
      </x:c>
    </x:row>
    <x:row r="1875" ht="32" customHeight="1">
      <x:c r="A1875" s="8" t="str">
        <x:v>drop:EB1:L7:light:-1:L207</x:v>
      </x:c>
      <x:c r="B1875" s="8" t="n">
        <x:v>13</x:v>
      </x:c>
      <x:c r="C1875" s="11" t="n">
        <x:v>0.19</x:v>
      </x:c>
      <x:c r="D1875" s="11" t="n">
        <x:v>19.490000000000002</x:v>
      </x:c>
      <x:c r="E1875" s="11" t="n">
        <x:v>-12.573</x:v>
      </x:c>
      <x:c r="F1875" s="11" t="n">
        <x:f>SQRT((C1875-C1874)^2+(D1875-D1874)^2+(E1875-E1874)^2)</x:f>
        <x:v>0.4350000000000005</x:v>
      </x:c>
      <x:c r="G1875" s="8" t="str">
        <x:v>Current</x:v>
      </x:c>
    </x:row>
    <x:row r="1876" ht="32" customHeight="1">
      <x:c r="A1876" s="8" t="str">
        <x:v>drop:EB1:L7:light:-1:L207</x:v>
      </x:c>
      <x:c r="B1876" s="8" t="n">
        <x:v>14</x:v>
      </x:c>
      <x:c r="C1876" s="11" t="n">
        <x:v>-0.525</x:v>
      </x:c>
      <x:c r="D1876" s="11" t="n">
        <x:v>19.490000000000002</x:v>
      </x:c>
      <x:c r="E1876" s="11" t="n">
        <x:v>-12.573</x:v>
      </x:c>
      <x:c r="F1876" s="11" t="n">
        <x:f>SQRT((C1876-C1875)^2+(D1876-D1875)^2+(E1876-E1875)^2)</x:f>
        <x:v>0.7150000000000001</x:v>
      </x:c>
      <x:c r="G1876" s="8" t="str">
        <x:v>Current</x:v>
      </x:c>
    </x:row>
    <x:row r="1877" ht="32" customHeight="1">
      <x:c r="A1877" s="8" t="str">
        <x:v>drop:EB1:L7:light:-1:L219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-7.36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drop:EB1:L7:light:-1:L219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-7.36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drop:EB1:L7:light:-1:L219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0</x:v>
      </x:c>
      <x:c r="F1879" s="11" t="n">
        <x:f>SQRT((C1879-C1878)^2+(D1879-D1878)^2+(E1879-E1878)^2)</x:f>
        <x:v>7.36</x:v>
      </x:c>
      <x:c r="G1879" s="8" t="str">
        <x:v>Current</x:v>
      </x:c>
    </x:row>
    <x:row r="1880" ht="32" customHeight="1">
      <x:c r="A1880" s="8" t="str">
        <x:v>drop:EB1:L7:light:-1:L219</x:v>
      </x:c>
      <x:c r="B1880" s="8" t="n">
        <x:v>4</x:v>
      </x:c>
      <x:c r="C1880" s="11" t="n">
        <x:v>2.35</x:v>
      </x:c>
      <x:c r="D1880" s="11" t="n">
        <x:v>8.5</x:v>
      </x:c>
      <x:c r="E1880" s="11" t="n">
        <x:v>0</x:v>
      </x:c>
      <x:c r="F1880" s="11" t="n">
        <x:f>SQRT((C1880-C1879)^2+(D1880-D1879)^2+(E1880-E1879)^2)</x:f>
        <x:v>0.8499999999999996</x:v>
      </x:c>
      <x:c r="G1880" s="8" t="str">
        <x:v>Current</x:v>
      </x:c>
    </x:row>
    <x:row r="1881" ht="32" customHeight="1">
      <x:c r="A1881" s="8" t="str">
        <x:v>drop:EB1:L7:light:-1:L219</x:v>
      </x:c>
      <x:c r="B1881" s="8" t="n">
        <x:v>5</x:v>
      </x:c>
      <x:c r="C1881" s="11" t="n">
        <x:v>2.15</x:v>
      </x:c>
      <x:c r="D1881" s="11" t="n">
        <x:v>8.5</x:v>
      </x:c>
      <x:c r="E1881" s="11" t="n">
        <x:v>0</x:v>
      </x:c>
      <x:c r="F1881" s="11" t="n">
        <x:f>SQRT((C1881-C1880)^2+(D1881-D1880)^2+(E1881-E1880)^2)</x:f>
        <x:v>0.20000000000000018</x:v>
      </x:c>
      <x:c r="G1881" s="8" t="str">
        <x:v>Current</x:v>
      </x:c>
    </x:row>
    <x:row r="1882" ht="32" customHeight="1">
      <x:c r="A1882" s="8" t="str">
        <x:v>drop:EB1:L7:light:-1:L220</x:v>
      </x:c>
      <x:c r="B1882" s="8" t="n">
        <x:v>1</x:v>
      </x:c>
      <x:c r="C1882" s="11" t="n">
        <x:v>52.6</x:v>
      </x:c>
      <x:c r="D1882" s="11" t="n">
        <x:v>5.98</x:v>
      </x:c>
      <x:c r="E1882" s="11" t="n">
        <x:v>-7.36</x:v>
      </x:c>
      <x:c r="F1882" s="11" t="n">
        <x:f>0</x:f>
        <x:v>0</x:v>
      </x:c>
      <x:c r="G1882" s="8" t="str">
        <x:v>Current</x:v>
      </x:c>
    </x:row>
    <x:row r="1883" ht="32" customHeight="1">
      <x:c r="A1883" s="8" t="str">
        <x:v>drop:EB1:L7:light:-1:L220</x:v>
      </x:c>
      <x:c r="B1883" s="8" t="n">
        <x:v>2</x:v>
      </x:c>
      <x:c r="C1883" s="11" t="n">
        <x:v>52.6</x:v>
      </x:c>
      <x:c r="D1883" s="11" t="n">
        <x:v>7.04</x:v>
      </x:c>
      <x:c r="E1883" s="11" t="n">
        <x:v>-7.36</x:v>
      </x:c>
      <x:c r="F1883" s="11" t="n">
        <x:f>SQRT((C1883-C1882)^2+(D1883-D1882)^2+(E1883-E1882)^2)</x:f>
        <x:v>1.0599999999999996</x:v>
      </x:c>
      <x:c r="G1883" s="8" t="str">
        <x:v>Current</x:v>
      </x:c>
    </x:row>
    <x:row r="1884" ht="32" customHeight="1">
      <x:c r="A1884" s="8" t="str">
        <x:v>drop:EB1:L7:light:-1:L220</x:v>
      </x:c>
      <x:c r="B1884" s="8" t="n">
        <x:v>3</x:v>
      </x:c>
      <x:c r="C1884" s="11" t="n">
        <x:v>52.6</x:v>
      </x:c>
      <x:c r="D1884" s="11" t="n">
        <x:v>6.932496881126359</x:v>
      </x:c>
      <x:c r="E1884" s="11" t="n">
        <x:v>-7.4387096774193555</x:v>
      </x:c>
      <x:c r="F1884" s="11" t="n">
        <x:f>SQRT((C1884-C1883)^2+(D1884-D1883)^2+(E1884-E1883)^2)</x:f>
        <x:v>0.13323713403934787</x:v>
      </x:c>
      <x:c r="G1884" s="8" t="str">
        <x:v>Current</x:v>
      </x:c>
    </x:row>
    <x:row r="1885" ht="32" customHeight="1">
      <x:c r="A1885" s="8" t="str">
        <x:v>drop:EB1:L7:light:-1:L220</x:v>
      </x:c>
      <x:c r="B1885" s="8" t="n">
        <x:v>4</x:v>
      </x:c>
      <x:c r="C1885" s="11" t="n">
        <x:v>52.6</x:v>
      </x:c>
      <x:c r="D1885" s="11" t="n">
        <x:v>6.4074033149171274</x:v>
      </x:c>
      <x:c r="E1885" s="11" t="n">
        <x:v>-9.8</x:v>
      </x:c>
      <x:c r="F1885" s="11" t="n">
        <x:f>SQRT((C1885-C1884)^2+(D1885-D1884)^2+(E1885-E1884)^2)</x:f>
        <x:v>2.418969871822991</x:v>
      </x:c>
      <x:c r="G1885" s="8" t="str">
        <x:v>Current</x:v>
      </x:c>
    </x:row>
    <x:row r="1886" ht="32" customHeight="1">
      <x:c r="A1886" s="8" t="str">
        <x:v>drop:EB1:L7:light:-1:L220</x:v>
      </x:c>
      <x:c r="B1886" s="8" t="n">
        <x:v>5</x:v>
      </x:c>
      <x:c r="C1886" s="11" t="n">
        <x:v>52.6</x:v>
      </x:c>
      <x:c r="D1886" s="11" t="n">
        <x:v>6.55</x:v>
      </x:c>
      <x:c r="E1886" s="11" t="n">
        <x:v>-9.8</x:v>
      </x:c>
      <x:c r="F1886" s="11" t="n">
        <x:f>SQRT((C1886-C1885)^2+(D1886-D1885)^2+(E1886-E1885)^2)</x:f>
        <x:v>0.14259668508287238</x:v>
      </x:c>
      <x:c r="G1886" s="8" t="str">
        <x:v>Current</x:v>
      </x:c>
    </x:row>
    <x:row r="1887" ht="32" customHeight="1">
      <x:c r="A1887" s="8" t="str">
        <x:v>trunk:EB1:L7:light:1</x:v>
      </x:c>
      <x:c r="B1887" s="8" t="n">
        <x:v>1</x:v>
      </x:c>
      <x:c r="C1887" s="11" t="n">
        <x:v>0.24</x:v>
      </x:c>
      <x:c r="D1887" s="11" t="n">
        <x:v>1.5</x:v>
      </x:c>
      <x:c r="E1887" s="11" t="n">
        <x:v>10.75</x:v>
      </x:c>
      <x:c r="F1887" s="11" t="n">
        <x:f>0</x:f>
        <x:v>0</x:v>
      </x:c>
      <x:c r="G1887" s="8" t="str">
        <x:v>Current</x:v>
      </x:c>
    </x:row>
    <x:row r="1888" ht="32" customHeight="1">
      <x:c r="A1888" s="8" t="str">
        <x:v>trunk:EB1:L7:light:1</x:v>
      </x:c>
      <x:c r="B1888" s="8" t="n">
        <x:v>2</x:v>
      </x:c>
      <x:c r="C1888" s="11" t="n">
        <x:v>2.35</x:v>
      </x:c>
      <x:c r="D1888" s="11" t="n">
        <x:v>1.5</x:v>
      </x:c>
      <x:c r="E1888" s="11" t="n">
        <x:v>10.75</x:v>
      </x:c>
      <x:c r="F1888" s="11" t="n">
        <x:f>SQRT((C1888-C1887)^2+(D1888-D1887)^2+(E1888-E1887)^2)</x:f>
        <x:v>2.1100000000000003</x:v>
      </x:c>
      <x:c r="G1888" s="8" t="str">
        <x:v>Current</x:v>
      </x:c>
    </x:row>
    <x:row r="1889" ht="32" customHeight="1">
      <x:c r="A1889" s="8" t="str">
        <x:v>trunk:EB1:L7:light:1</x:v>
      </x:c>
      <x:c r="B1889" s="8" t="n">
        <x:v>3</x:v>
      </x:c>
      <x:c r="C1889" s="11" t="n">
        <x:v>2.35</x:v>
      </x:c>
      <x:c r="D1889" s="11" t="n">
        <x:v>7.65</x:v>
      </x:c>
      <x:c r="E1889" s="11" t="n">
        <x:v>10.75</x:v>
      </x:c>
      <x:c r="F1889" s="11" t="n">
        <x:f>SQRT((C1889-C1888)^2+(D1889-D1888)^2+(E1889-E1888)^2)</x:f>
        <x:v>6.15</x:v>
      </x:c>
      <x:c r="G1889" s="8" t="str">
        <x:v>Current</x:v>
      </x:c>
    </x:row>
    <x:row r="1890" ht="32" customHeight="1">
      <x:c r="A1890" s="8" t="str">
        <x:v>trunk:EB1:L7:light:1</x:v>
      </x:c>
      <x:c r="B1890" s="8" t="n">
        <x:v>4</x:v>
      </x:c>
      <x:c r="C1890" s="11" t="n">
        <x:v>2.35</x:v>
      </x:c>
      <x:c r="D1890" s="11" t="n">
        <x:v>7.65</x:v>
      </x:c>
      <x:c r="E1890" s="11" t="n">
        <x:v>7.36</x:v>
      </x:c>
      <x:c r="F1890" s="11" t="n">
        <x:f>SQRT((C1890-C1889)^2+(D1890-D1889)^2+(E1890-E1889)^2)</x:f>
        <x:v>3.3899999999999997</x:v>
      </x:c>
      <x:c r="G1890" s="8" t="str">
        <x:v>Current</x:v>
      </x:c>
    </x:row>
    <x:row r="1891" ht="32" customHeight="1">
      <x:c r="A1891" s="8" t="str">
        <x:v>trunk:EB1:L7:light:1</x:v>
      </x:c>
      <x:c r="B1891" s="8" t="n">
        <x:v>5</x:v>
      </x:c>
      <x:c r="C1891" s="11" t="n">
        <x:v>2.35</x:v>
      </x:c>
      <x:c r="D1891" s="11" t="n">
        <x:v>5.98</x:v>
      </x:c>
      <x:c r="E1891" s="11" t="n">
        <x:v>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trunk:EB1:L7:light:1</x:v>
      </x:c>
      <x:c r="B1892" s="8" t="n">
        <x:v>6</x:v>
      </x:c>
      <x:c r="C1892" s="11" t="n">
        <x:v>5.475</x:v>
      </x:c>
      <x:c r="D1892" s="11" t="n">
        <x:v>5.98</x:v>
      </x:c>
      <x:c r="E1892" s="11" t="n">
        <x:v>7.36</x:v>
      </x:c>
      <x:c r="F1892" s="11" t="n">
        <x:f>SQRT((C1892-C1891)^2+(D1892-D1891)^2+(E1892-E1891)^2)</x:f>
        <x:v>3.1249999999999996</x:v>
      </x:c>
      <x:c r="G1892" s="8" t="str">
        <x:v>Current</x:v>
      </x:c>
    </x:row>
    <x:row r="1893" ht="32" customHeight="1">
      <x:c r="A1893" s="8" t="str">
        <x:v>trunk:EB1:L7:light:1</x:v>
      </x:c>
      <x:c r="B1893" s="8" t="n">
        <x:v>7</x:v>
      </x:c>
      <x:c r="C1893" s="11" t="n">
        <x:v>36.975</x:v>
      </x:c>
      <x:c r="D1893" s="11" t="n">
        <x:v>5.98</x:v>
      </x:c>
      <x:c r="E1893" s="11" t="n">
        <x:v>7.36</x:v>
      </x:c>
      <x:c r="F1893" s="11" t="n">
        <x:f>SQRT((C1893-C1892)^2+(D1893-D1892)^2+(E1893-E1892)^2)</x:f>
        <x:v>31.5</x:v>
      </x:c>
      <x:c r="G1893" s="8" t="str">
        <x:v>Current</x:v>
      </x:c>
    </x:row>
    <x:row r="1894" ht="32" customHeight="1">
      <x:c r="A1894" s="8" t="str">
        <x:v>trunk:EB1:L7:light:1</x:v>
      </x:c>
      <x:c r="B1894" s="8" t="n">
        <x:v>8</x:v>
      </x:c>
      <x:c r="C1894" s="11" t="n">
        <x:v>36.975</x:v>
      </x:c>
      <x:c r="D1894" s="11" t="n">
        <x:v>7.04</x:v>
      </x:c>
      <x:c r="E1894" s="11" t="n">
        <x:v>7.36</x:v>
      </x:c>
      <x:c r="F1894" s="11" t="n">
        <x:f>SQRT((C1894-C1893)^2+(D1894-D1893)^2+(E1894-E1893)^2)</x:f>
        <x:v>1.0599999999999996</x:v>
      </x:c>
      <x:c r="G1894" s="8" t="str">
        <x:v>Current</x:v>
      </x:c>
    </x:row>
    <x:row r="1895" ht="32" customHeight="1">
      <x:c r="A1895" s="8" t="str">
        <x:v>trunk:EB1:L7:light:1</x:v>
      </x:c>
      <x:c r="B1895" s="8" t="n">
        <x:v>9</x:v>
      </x:c>
      <x:c r="C1895" s="11" t="n">
        <x:v>37.615</x:v>
      </x:c>
      <x:c r="D1895" s="11" t="n">
        <x:v>7.04</x:v>
      </x:c>
      <x:c r="E1895" s="11" t="n">
        <x:v>7.36</x:v>
      </x:c>
      <x:c r="F1895" s="11" t="n">
        <x:f>SQRT((C1895-C1894)^2+(D1895-D1894)^2+(E1895-E1894)^2)</x:f>
        <x:v>0.6400000000000006</x:v>
      </x:c>
      <x:c r="G1895" s="8" t="str">
        <x:v>Current</x:v>
      </x:c>
    </x:row>
    <x:row r="1896" ht="32" customHeight="1">
      <x:c r="A1896" s="8" t="str">
        <x:v>trunk:EB1:L7:light:1</x:v>
      </x:c>
      <x:c r="B1896" s="8" t="n">
        <x:v>10</x:v>
      </x:c>
      <x:c r="C1896" s="11" t="n">
        <x:v>37.695</x:v>
      </x:c>
      <x:c r="D1896" s="11" t="n">
        <x:v>6.950412371134018</x:v>
      </x:c>
      <x:c r="E1896" s="11" t="n">
        <x:v>7.36</x:v>
      </x:c>
      <x:c r="F1896" s="11" t="n">
        <x:f>SQRT((C1896-C1895)^2+(D1896-D1895)^2+(E1896-E1895)^2)</x:f>
        <x:v>0.12010804821421713</x:v>
      </x:c>
      <x:c r="G1896" s="8" t="str">
        <x:v>Current</x:v>
      </x:c>
    </x:row>
    <x:row r="1897" ht="32" customHeight="1">
      <x:c r="A1897" s="8" t="str">
        <x:v>trunk:EB1:L7:light:1</x:v>
      </x:c>
      <x:c r="B1897" s="8" t="n">
        <x:v>11</x:v>
      </x:c>
      <x:c r="C1897" s="11" t="n">
        <x:v>40.574999999999996</x:v>
      </x:c>
      <x:c r="D1897" s="11" t="n">
        <x:v>9.269999999999994</x:v>
      </x:c>
      <x:c r="E1897" s="11" t="n">
        <x:v>7.36</x:v>
      </x:c>
      <x:c r="F1897" s="11" t="n">
        <x:f>SQRT((C1897-C1896)^2+(D1897-D1896)^2+(E1897-E1896)^2)</x:f>
        <x:v>3.697957107375376</x:v>
      </x:c>
      <x:c r="G1897" s="8" t="str">
        <x:v>Current</x:v>
      </x:c>
    </x:row>
    <x:row r="1898" ht="32" customHeight="1">
      <x:c r="A1898" s="8" t="str">
        <x:v>trunk:EB1:L7:light:1</x:v>
      </x:c>
      <x:c r="B1898" s="8" t="n">
        <x:v>12</x:v>
      </x:c>
      <x:c r="C1898" s="11" t="n">
        <x:v>43.455</x:v>
      </x:c>
      <x:c r="D1898" s="11" t="n">
        <x:v>6.950412371134024</x:v>
      </x:c>
      <x:c r="E1898" s="11" t="n">
        <x:v>7.36</x:v>
      </x:c>
      <x:c r="F1898" s="11" t="n">
        <x:f>SQRT((C1898-C1897)^2+(D1898-D1897)^2+(E1898-E1897)^2)</x:f>
        <x:v>3.6979571073753776</x:v>
      </x:c>
      <x:c r="G1898" s="8" t="str">
        <x:v>Current</x:v>
      </x:c>
    </x:row>
    <x:row r="1899" ht="32" customHeight="1">
      <x:c r="A1899" s="8" t="str">
        <x:v>trunk:EB1:L7:light:1</x:v>
      </x:c>
      <x:c r="B1899" s="8" t="n">
        <x:v>13</x:v>
      </x:c>
      <x:c r="C1899" s="11" t="n">
        <x:v>43.535</x:v>
      </x:c>
      <x:c r="D1899" s="11" t="n">
        <x:v>7.04</x:v>
      </x:c>
      <x:c r="E1899" s="11" t="n">
        <x:v>7.36</x:v>
      </x:c>
      <x:c r="F1899" s="11" t="n">
        <x:f>SQRT((C1899-C1898)^2+(D1899-D1898)^2+(E1899-E1898)^2)</x:f>
        <x:v>0.12010804821421249</x:v>
      </x:c>
      <x:c r="G1899" s="8" t="str">
        <x:v>Current</x:v>
      </x:c>
    </x:row>
    <x:row r="1900" ht="32" customHeight="1">
      <x:c r="A1900" s="8" t="str">
        <x:v>trunk:EB1:L7:light:1</x:v>
      </x:c>
      <x:c r="B1900" s="8" t="n">
        <x:v>14</x:v>
      </x:c>
      <x:c r="C1900" s="11" t="n">
        <x:v>44.175</x:v>
      </x:c>
      <x:c r="D1900" s="11" t="n">
        <x:v>7.04</x:v>
      </x:c>
      <x:c r="E1900" s="11" t="n">
        <x:v>7.36</x:v>
      </x:c>
      <x:c r="F1900" s="11" t="n">
        <x:f>SQRT((C1900-C1899)^2+(D1900-D1899)^2+(E1900-E1899)^2)</x:f>
        <x:v>0.6400000000000006</x:v>
      </x:c>
      <x:c r="G1900" s="8" t="str">
        <x:v>Current</x:v>
      </x:c>
    </x:row>
    <x:row r="1901" ht="32" customHeight="1">
      <x:c r="A1901" s="8" t="str">
        <x:v>trunk:EB1:L7:light:1</x:v>
      </x:c>
      <x:c r="B1901" s="8" t="n">
        <x:v>15</x:v>
      </x:c>
      <x:c r="C1901" s="11" t="n">
        <x:v>44.175</x:v>
      </x:c>
      <x:c r="D1901" s="11" t="n">
        <x:v>5.98</x:v>
      </x:c>
      <x:c r="E1901" s="11" t="n">
        <x:v>7.36</x:v>
      </x:c>
      <x:c r="F1901" s="11" t="n">
        <x:f>SQRT((C1901-C1900)^2+(D1901-D1900)^2+(E1901-E1900)^2)</x:f>
        <x:v>1.0599999999999996</x:v>
      </x:c>
      <x:c r="G1901" s="8" t="str">
        <x:v>Current</x:v>
      </x:c>
    </x:row>
    <x:row r="1902" ht="32" customHeight="1">
      <x:c r="A1902" s="8" t="str">
        <x:v>trunk:EB1:L7:light:1</x:v>
      </x:c>
      <x:c r="B1902" s="8" t="n">
        <x:v>16</x:v>
      </x:c>
      <x:c r="C1902" s="11" t="n">
        <x:v>53.016</x:v>
      </x:c>
      <x:c r="D1902" s="11" t="n">
        <x:v>5.98</x:v>
      </x:c>
      <x:c r="E1902" s="11" t="n">
        <x:v>7.36</x:v>
      </x:c>
      <x:c r="F1902" s="11" t="n">
        <x:f>SQRT((C1902-C1901)^2+(D1902-D1901)^2+(E1902-E1901)^2)</x:f>
        <x:v>8.841000000000001</x:v>
      </x:c>
      <x:c r="G1902" s="8" t="str">
        <x:v>Current</x:v>
      </x:c>
    </x:row>
    <x:row r="1903" ht="32" customHeight="1">
      <x:c r="A1903" s="8" t="str">
        <x:v>drop:EB1:L7:light:1:L208</x:v>
      </x:c>
      <x:c r="B1903" s="8" t="n">
        <x:v>1</x:v>
      </x:c>
      <x:c r="C1903" s="11" t="n">
        <x:v>21.35</x:v>
      </x:c>
      <x:c r="D1903" s="11" t="n">
        <x:v>5.98</x:v>
      </x:c>
      <x:c r="E1903" s="11" t="n">
        <x:v>7.36</x:v>
      </x:c>
      <x:c r="F1903" s="11" t="n">
        <x:f>0</x:f>
        <x:v>0</x:v>
      </x:c>
      <x:c r="G1903" s="8" t="str">
        <x:v>Current</x:v>
      </x:c>
    </x:row>
    <x:row r="1904" ht="32" customHeight="1">
      <x:c r="A1904" s="8" t="str">
        <x:v>drop:EB1:L7:light:1:L208</x:v>
      </x:c>
      <x:c r="B1904" s="8" t="n">
        <x:v>2</x:v>
      </x:c>
      <x:c r="C1904" s="11" t="n">
        <x:v>21.35</x:v>
      </x:c>
      <x:c r="D1904" s="11" t="n">
        <x:v>7.04</x:v>
      </x:c>
      <x:c r="E1904" s="11" t="n">
        <x:v>7.36</x:v>
      </x:c>
      <x:c r="F1904" s="11" t="n">
        <x:f>SQRT((C1904-C1903)^2+(D1904-D1903)^2+(E1904-E1903)^2)</x:f>
        <x:v>1.0599999999999996</x:v>
      </x:c>
      <x:c r="G1904" s="8" t="str">
        <x:v>Current</x:v>
      </x:c>
    </x:row>
    <x:row r="1905" ht="32" customHeight="1">
      <x:c r="A1905" s="8" t="str">
        <x:v>drop:EB1:L7:light:1:L208</x:v>
      </x:c>
      <x:c r="B1905" s="8" t="n">
        <x:v>3</x:v>
      </x:c>
      <x:c r="C1905" s="11" t="n">
        <x:v>21.35</x:v>
      </x:c>
      <x:c r="D1905" s="11" t="n">
        <x:v>7.083548913043479</x:v>
      </x:c>
      <x:c r="E1905" s="11" t="n">
        <x:v>7.3</x:v>
      </x:c>
      <x:c r="F1905" s="11" t="n">
        <x:f>SQRT((C1905-C1904)^2+(D1905-D1904)^2+(E1905-E1904)^2)</x:f>
        <x:v>0.07413843690872174</x:v>
      </x:c>
      <x:c r="G1905" s="8" t="str">
        <x:v>Current</x:v>
      </x:c>
    </x:row>
    <x:row r="1906" ht="32" customHeight="1">
      <x:c r="A1906" s="8" t="str">
        <x:v>drop:EB1:L7:light:1:L208</x:v>
      </x:c>
      <x:c r="B1906" s="8" t="n">
        <x:v>4</x:v>
      </x:c>
      <x:c r="C1906" s="11" t="n">
        <x:v>21.35</x:v>
      </x:c>
      <x:c r="D1906" s="11" t="n">
        <x:v>7.32</x:v>
      </x:c>
      <x:c r="E1906" s="11" t="n">
        <x:v>7.3</x:v>
      </x:c>
      <x:c r="F1906" s="11" t="n">
        <x:f>SQRT((C1906-C1905)^2+(D1906-D1905)^2+(E1906-E1905)^2)</x:f>
        <x:v>0.23645108695652173</x:v>
      </x:c>
      <x:c r="G1906" s="8" t="str">
        <x:v>Current</x:v>
      </x:c>
    </x:row>
    <x:row r="1907" ht="32" customHeight="1">
      <x:c r="A1907" s="8" t="str">
        <x:v>drop:EB1:L7:light:1:L209</x:v>
      </x:c>
      <x:c r="B1907" s="8" t="n">
        <x:v>1</x:v>
      </x:c>
      <x:c r="C1907" s="11" t="n">
        <x:v>48.4</x:v>
      </x:c>
      <x:c r="D1907" s="11" t="n">
        <x:v>5.98</x:v>
      </x:c>
      <x:c r="E1907" s="11" t="n">
        <x:v>7.36</x:v>
      </x:c>
      <x:c r="F1907" s="11" t="n">
        <x:f>0</x:f>
        <x:v>0</x:v>
      </x:c>
      <x:c r="G1907" s="8" t="str">
        <x:v>Current</x:v>
      </x:c>
    </x:row>
    <x:row r="1908" ht="32" customHeight="1">
      <x:c r="A1908" s="8" t="str">
        <x:v>drop:EB1:L7:light:1:L209</x:v>
      </x:c>
      <x:c r="B1908" s="8" t="n">
        <x:v>2</x:v>
      </x:c>
      <x:c r="C1908" s="11" t="n">
        <x:v>48.4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1.0599999999999996</x:v>
      </x:c>
      <x:c r="G1908" s="8" t="str">
        <x:v>Current</x:v>
      </x:c>
    </x:row>
    <x:row r="1909" ht="32" customHeight="1">
      <x:c r="A1909" s="8" t="str">
        <x:v>drop:EB1:L7:light:1:L209</x:v>
      </x:c>
      <x:c r="B1909" s="8" t="n">
        <x:v>3</x:v>
      </x:c>
      <x:c r="C1909" s="11" t="n">
        <x:v>48.4</x:v>
      </x:c>
      <x:c r="D1909" s="11" t="n">
        <x:v>7.083548913043479</x:v>
      </x:c>
      <x:c r="E1909" s="11" t="n">
        <x:v>7.3</x:v>
      </x:c>
      <x:c r="F1909" s="11" t="n">
        <x:f>SQRT((C1909-C1908)^2+(D1909-D1908)^2+(E1909-E1908)^2)</x:f>
        <x:v>0.07413843690872174</x:v>
      </x:c>
      <x:c r="G1909" s="8" t="str">
        <x:v>Current</x:v>
      </x:c>
    </x:row>
    <x:row r="1910" ht="32" customHeight="1">
      <x:c r="A1910" s="8" t="str">
        <x:v>drop:EB1:L7:light:1:L209</x:v>
      </x:c>
      <x:c r="B1910" s="8" t="n">
        <x:v>4</x:v>
      </x:c>
      <x:c r="C1910" s="11" t="n">
        <x:v>48.4</x:v>
      </x:c>
      <x:c r="D1910" s="11" t="n">
        <x:v>7.32</x:v>
      </x:c>
      <x:c r="E1910" s="11" t="n">
        <x:v>7.3</x:v>
      </x:c>
      <x:c r="F1910" s="11" t="n">
        <x:f>SQRT((C1910-C1909)^2+(D1910-D1909)^2+(E1910-E1909)^2)</x:f>
        <x:v>0.23645108695652173</x:v>
      </x:c>
      <x:c r="G1910" s="8" t="str">
        <x:v>Current</x:v>
      </x:c>
    </x:row>
    <x:row r="1911" ht="32" customHeight="1">
      <x:c r="A1911" s="8" t="str">
        <x:v>drop:EB1:L7:light:1:L210</x:v>
      </x:c>
      <x:c r="B1911" s="8" t="n">
        <x:v>1</x:v>
      </x:c>
      <x:c r="C1911" s="11" t="n">
        <x:v>21.35</x:v>
      </x:c>
      <x:c r="D1911" s="11" t="n">
        <x:v>5.98</x:v>
      </x:c>
      <x:c r="E1911" s="11" t="n">
        <x:v>7.36</x:v>
      </x:c>
      <x:c r="F1911" s="11" t="n">
        <x:f>0</x:f>
        <x:v>0</x:v>
      </x:c>
      <x:c r="G1911" s="8" t="str">
        <x:v>Current</x:v>
      </x:c>
    </x:row>
    <x:row r="1912" ht="32" customHeight="1">
      <x:c r="A1912" s="8" t="str">
        <x:v>drop:EB1:L7:light:1:L210</x:v>
      </x:c>
      <x:c r="B1912" s="8" t="n">
        <x:v>2</x:v>
      </x:c>
      <x:c r="C1912" s="11" t="n">
        <x:v>21.35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1.0599999999999996</x:v>
      </x:c>
      <x:c r="G1912" s="8" t="str">
        <x:v>Current</x:v>
      </x:c>
    </x:row>
    <x:row r="1913" ht="32" customHeight="1">
      <x:c r="A1913" s="8" t="str">
        <x:v>drop:EB1:L7:light:1:L210</x:v>
      </x:c>
      <x:c r="B1913" s="8" t="n">
        <x:v>3</x:v>
      </x:c>
      <x:c r="C1913" s="11" t="n">
        <x:v>21.35</x:v>
      </x:c>
      <x:c r="D1913" s="11" t="n">
        <x:v>6.932313375305153</x:v>
      </x:c>
      <x:c r="E1913" s="11" t="n">
        <x:v>7.43953488372093</x:v>
      </x:c>
      <x:c r="F1913" s="11" t="n">
        <x:f>SQRT((C1913-C1912)^2+(D1913-D1912)^2+(E1913-E1912)^2)</x:f>
        <x:v>0.1338738468360072</x:v>
      </x:c>
      <x:c r="G1913" s="8" t="str">
        <x:v>Current</x:v>
      </x:c>
    </x:row>
    <x:row r="1914" ht="32" customHeight="1">
      <x:c r="A1914" s="8" t="str">
        <x:v>drop:EB1:L7:light:1:L210</x:v>
      </x:c>
      <x:c r="B1914" s="8" t="n">
        <x:v>4</x:v>
      </x:c>
      <x:c r="C1914" s="11" t="n">
        <x:v>21.35</x:v>
      </x:c>
      <x:c r="D1914" s="11" t="n">
        <x:v>6.189475138121547</x:v>
      </x:c>
      <x:c r="E1914" s="11" t="n">
        <x:v>10.78</x:v>
      </x:c>
      <x:c r="F1914" s="11" t="n">
        <x:f>SQRT((C1914-C1913)^2+(D1914-D1913)^2+(E1914-E1913)^2)</x:f>
        <x:v>3.4220630969781056</x:v>
      </x:c>
      <x:c r="G1914" s="8" t="str">
        <x:v>Current</x:v>
      </x:c>
    </x:row>
    <x:row r="1915" ht="32" customHeight="1">
      <x:c r="A1915" s="8" t="str">
        <x:v>drop:EB1:L7:light:1:L210</x:v>
      </x:c>
      <x:c r="B1915" s="8" t="n">
        <x:v>5</x:v>
      </x:c>
      <x:c r="C1915" s="11" t="n">
        <x:v>21.35</x:v>
      </x:c>
      <x:c r="D1915" s="11" t="n">
        <x:v>6.4</x:v>
      </x:c>
      <x:c r="E1915" s="11" t="n">
        <x:v>10.78</x:v>
      </x:c>
      <x:c r="F1915" s="11" t="n">
        <x:f>SQRT((C1915-C1914)^2+(D1915-D1914)^2+(E1915-E1914)^2)</x:f>
        <x:v>0.21052486187845343</x:v>
      </x:c>
      <x:c r="G1915" s="8" t="str">
        <x:v>Current</x:v>
      </x:c>
    </x:row>
    <x:row r="1916" ht="32" customHeight="1">
      <x:c r="A1916" s="8" t="str">
        <x:v>drop:EB1:L7:light:1:L211</x:v>
      </x:c>
      <x:c r="B1916" s="8" t="n">
        <x:v>1</x:v>
      </x:c>
      <x:c r="C1916" s="11" t="n">
        <x:v>48.4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drop:EB1:L7:light:1:L211</x:v>
      </x:c>
      <x:c r="B1917" s="8" t="n">
        <x:v>2</x:v>
      </x:c>
      <x:c r="C1917" s="11" t="n">
        <x:v>48.4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drop:EB1:L7:light:1:L211</x:v>
      </x:c>
      <x:c r="B1918" s="8" t="n">
        <x:v>3</x:v>
      </x:c>
      <x:c r="C1918" s="11" t="n">
        <x:v>48.4</x:v>
      </x:c>
      <x:c r="D1918" s="11" t="n">
        <x:v>6.932313375305153</x:v>
      </x:c>
      <x:c r="E1918" s="11" t="n">
        <x:v>7.43953488372093</x:v>
      </x:c>
      <x:c r="F1918" s="11" t="n">
        <x:f>SQRT((C1918-C1917)^2+(D1918-D1917)^2+(E1918-E1917)^2)</x:f>
        <x:v>0.1338738468360072</x:v>
      </x:c>
      <x:c r="G1918" s="8" t="str">
        <x:v>Current</x:v>
      </x:c>
    </x:row>
    <x:row r="1919" ht="32" customHeight="1">
      <x:c r="A1919" s="8" t="str">
        <x:v>drop:EB1:L7:light:1:L211</x:v>
      </x:c>
      <x:c r="B1919" s="8" t="n">
        <x:v>4</x:v>
      </x:c>
      <x:c r="C1919" s="11" t="n">
        <x:v>48.4</x:v>
      </x:c>
      <x:c r="D1919" s="11" t="n">
        <x:v>6.189475138121547</x:v>
      </x:c>
      <x:c r="E1919" s="11" t="n">
        <x:v>10.78</x:v>
      </x:c>
      <x:c r="F1919" s="11" t="n">
        <x:f>SQRT((C1919-C1918)^2+(D1919-D1918)^2+(E1919-E1918)^2)</x:f>
        <x:v>3.4220630969781056</x:v>
      </x:c>
      <x:c r="G1919" s="8" t="str">
        <x:v>Current</x:v>
      </x:c>
    </x:row>
    <x:row r="1920" ht="32" customHeight="1">
      <x:c r="A1920" s="8" t="str">
        <x:v>drop:EB1:L7:light:1:L211</x:v>
      </x:c>
      <x:c r="B1920" s="8" t="n">
        <x:v>5</x:v>
      </x:c>
      <x:c r="C1920" s="11" t="n">
        <x:v>48.4</x:v>
      </x:c>
      <x:c r="D1920" s="11" t="n">
        <x:v>6.4</x:v>
      </x:c>
      <x:c r="E1920" s="11" t="n">
        <x:v>10.78</x:v>
      </x:c>
      <x:c r="F1920" s="11" t="n">
        <x:f>SQRT((C1920-C1919)^2+(D1920-D1919)^2+(E1920-E1919)^2)</x:f>
        <x:v>0.21052486187845343</x:v>
      </x:c>
      <x:c r="G1920" s="8" t="str">
        <x:v>Current</x:v>
      </x:c>
    </x:row>
    <x:row r="1921" ht="32" customHeight="1">
      <x:c r="A1921" s="8" t="str">
        <x:v>drop:EB1:L7:light:1:L212</x:v>
      </x:c>
      <x:c r="B1921" s="8" t="n">
        <x:v>1</x:v>
      </x:c>
      <x:c r="C1921" s="11" t="n">
        <x:v>53.016</x:v>
      </x:c>
      <x:c r="D1921" s="11" t="n">
        <x:v>5.98</x:v>
      </x:c>
      <x:c r="E1921" s="11" t="n">
        <x:v>7.36</x:v>
      </x:c>
      <x:c r="F1921" s="11" t="n">
        <x:f>0</x:f>
        <x:v>0</x:v>
      </x:c>
      <x:c r="G1921" s="8" t="str">
        <x:v>Current</x:v>
      </x:c>
    </x:row>
    <x:row r="1922" ht="32" customHeight="1">
      <x:c r="A1922" s="8" t="str">
        <x:v>drop:EB1:L7:light:1:L212</x:v>
      </x:c>
      <x:c r="B1922" s="8" t="n">
        <x:v>2</x:v>
      </x:c>
      <x:c r="C1922" s="11" t="n">
        <x:v>53.016</x:v>
      </x:c>
      <x:c r="D1922" s="11" t="n">
        <x:v>5.98</x:v>
      </x:c>
      <x:c r="E1922" s="11" t="n">
        <x:v>5.475</x:v>
      </x:c>
      <x:c r="F1922" s="11" t="n">
        <x:f>SQRT((C1922-C1921)^2+(D1922-D1921)^2+(E1922-E1921)^2)</x:f>
        <x:v>1.8850000000000007</x:v>
      </x:c>
      <x:c r="G1922" s="8" t="str">
        <x:v>Current</x:v>
      </x:c>
    </x:row>
    <x:row r="1923" ht="32" customHeight="1">
      <x:c r="A1923" s="8" t="str">
        <x:v>drop:EB1:L7:light:1:L212</x:v>
      </x:c>
      <x:c r="B1923" s="8" t="n">
        <x:v>3</x:v>
      </x:c>
      <x:c r="C1923" s="11" t="n">
        <x:v>53.016</x:v>
      </x:c>
      <x:c r="D1923" s="11" t="n">
        <x:v>9</x:v>
      </x:c>
      <x:c r="E1923" s="11" t="n">
        <x:v>5.475</x:v>
      </x:c>
      <x:c r="F1923" s="11" t="n">
        <x:f>SQRT((C1923-C1922)^2+(D1923-D1922)^2+(E1923-E1922)^2)</x:f>
        <x:v>3.0199999999999996</x:v>
      </x:c>
      <x:c r="G1923" s="8" t="str">
        <x:v>Current</x:v>
      </x:c>
    </x:row>
    <x:row r="1924" ht="32" customHeight="1">
      <x:c r="A1924" s="8" t="str">
        <x:v>drop:EB1:L7:light:1:L212</x:v>
      </x:c>
      <x:c r="B1924" s="8" t="n">
        <x:v>4</x:v>
      </x:c>
      <x:c r="C1924" s="11" t="n">
        <x:v>53.72</x:v>
      </x:c>
      <x:c r="D1924" s="11" t="n">
        <x:v>9</x:v>
      </x:c>
      <x:c r="E1924" s="11" t="n">
        <x:v>5.475</x:v>
      </x:c>
      <x:c r="F1924" s="11" t="n">
        <x:f>SQRT((C1924-C1923)^2+(D1924-D1923)^2+(E1924-E1923)^2)</x:f>
        <x:v>0.7040000000000006</x:v>
      </x:c>
      <x:c r="G1924" s="8" t="str">
        <x:v>Current</x:v>
      </x:c>
    </x:row>
    <x:row r="1925" ht="32" customHeight="1">
      <x:c r="A1925" s="8" t="str">
        <x:v>drop:EB1:L7:light:1:L213</x:v>
      </x:c>
      <x:c r="B1925" s="8" t="n">
        <x:v>1</x:v>
      </x:c>
      <x:c r="C1925" s="11" t="n">
        <x:v>2.35</x:v>
      </x:c>
      <x:c r="D1925" s="11" t="n">
        <x:v>5.98</x:v>
      </x:c>
      <x:c r="E1925" s="11" t="n">
        <x:v>7.36</x:v>
      </x:c>
      <x:c r="F1925" s="11" t="n">
        <x:f>0</x:f>
        <x:v>0</x:v>
      </x:c>
      <x:c r="G1925" s="8" t="str">
        <x:v>Current</x:v>
      </x:c>
    </x:row>
    <x:row r="1926" ht="32" customHeight="1">
      <x:c r="A1926" s="8" t="str">
        <x:v>drop:EB1:L7:light:1:L213</x:v>
      </x:c>
      <x:c r="B1926" s="8" t="n">
        <x:v>2</x:v>
      </x:c>
      <x:c r="C1926" s="11" t="n">
        <x:v>2.35</x:v>
      </x:c>
      <x:c r="D1926" s="11" t="n">
        <x:v>7.65</x:v>
      </x:c>
      <x:c r="E1926" s="11" t="n">
        <x:v>7.36</x:v>
      </x:c>
      <x:c r="F1926" s="11" t="n">
        <x:f>SQRT((C1926-C1925)^2+(D1926-D1925)^2+(E1926-E1925)^2)</x:f>
        <x:v>1.67</x:v>
      </x:c>
      <x:c r="G1926" s="8" t="str">
        <x:v>Current</x:v>
      </x:c>
    </x:row>
    <x:row r="1927" ht="32" customHeight="1">
      <x:c r="A1927" s="8" t="str">
        <x:v>drop:EB1:L7:light:1:L213</x:v>
      </x:c>
      <x:c r="B1927" s="8" t="n">
        <x:v>3</x:v>
      </x:c>
      <x:c r="C1927" s="11" t="n">
        <x:v>2.35</x:v>
      </x:c>
      <x:c r="D1927" s="11" t="n">
        <x:v>7.65</x:v>
      </x:c>
      <x:c r="E1927" s="11" t="n">
        <x:v>7.703</x:v>
      </x:c>
      <x:c r="F1927" s="11" t="n">
        <x:f>SQRT((C1927-C1926)^2+(D1927-D1926)^2+(E1927-E1926)^2)</x:f>
        <x:v>0.34299999999999997</x:v>
      </x:c>
      <x:c r="G1927" s="8" t="str">
        <x:v>Current</x:v>
      </x:c>
    </x:row>
    <x:row r="1928" ht="32" customHeight="1">
      <x:c r="A1928" s="8" t="str">
        <x:v>drop:EB1:L7:light:1:L213</x:v>
      </x:c>
      <x:c r="B1928" s="8" t="n">
        <x:v>4</x:v>
      </x:c>
      <x:c r="C1928" s="11" t="n">
        <x:v>0</x:v>
      </x:c>
      <x:c r="D1928" s="11" t="n">
        <x:v>7.65</x:v>
      </x:c>
      <x:c r="E1928" s="11" t="n">
        <x:v>7.703</x:v>
      </x:c>
      <x:c r="F1928" s="11" t="n">
        <x:f>SQRT((C1928-C1927)^2+(D1928-D1927)^2+(E1928-E1927)^2)</x:f>
        <x:v>2.35</x:v>
      </x:c>
      <x:c r="G1928" s="8" t="str">
        <x:v>Current</x:v>
      </x:c>
    </x:row>
    <x:row r="1929" ht="32" customHeight="1">
      <x:c r="A1929" s="8" t="str">
        <x:v>drop:EB1:L7:light:1:L213</x:v>
      </x:c>
      <x:c r="B1929" s="8" t="n">
        <x:v>5</x:v>
      </x:c>
      <x:c r="C1929" s="11" t="n">
        <x:v>0</x:v>
      </x:c>
      <x:c r="D1929" s="11" t="n">
        <x:v>7.65</x:v>
      </x:c>
      <x:c r="E1929" s="11" t="n">
        <x:v>7.9430000000000005</x:v>
      </x:c>
      <x:c r="F1929" s="11" t="n">
        <x:f>SQRT((C1929-C1928)^2+(D1929-D1928)^2+(E1929-E1928)^2)</x:f>
        <x:v>0.2400000000000002</x:v>
      </x:c>
      <x:c r="G1929" s="8" t="str">
        <x:v>Current</x:v>
      </x:c>
    </x:row>
    <x:row r="1930" ht="32" customHeight="1">
      <x:c r="A1930" s="8" t="str">
        <x:v>drop:EB1:L7:light:1:L213</x:v>
      </x:c>
      <x:c r="B1930" s="8" t="n">
        <x:v>6</x:v>
      </x:c>
      <x:c r="C1930" s="11" t="n">
        <x:v>0</x:v>
      </x:c>
      <x:c r="D1930" s="11" t="n">
        <x:v>4.195</x:v>
      </x:c>
      <x:c r="E1930" s="11" t="n">
        <x:v>7.9430000000000005</x:v>
      </x:c>
      <x:c r="F1930" s="11" t="n">
        <x:f>SQRT((C1930-C1929)^2+(D1930-D1929)^2+(E1930-E1929)^2)</x:f>
        <x:v>3.455</x:v>
      </x:c>
      <x:c r="G1930" s="8" t="str">
        <x:v>Current</x:v>
      </x:c>
    </x:row>
    <x:row r="1931" ht="32" customHeight="1">
      <x:c r="A1931" s="8" t="str">
        <x:v>drop:EB1:L7:light:1:L213</x:v>
      </x:c>
      <x:c r="B1931" s="8" t="n">
        <x:v>7</x:v>
      </x:c>
      <x:c r="C1931" s="11" t="n">
        <x:v>0</x:v>
      </x:c>
      <x:c r="D1931" s="11" t="n">
        <x:v>4.195</x:v>
      </x:c>
      <x:c r="E1931" s="11" t="n">
        <x:v>7.593</x:v>
      </x:c>
      <x:c r="F1931" s="11" t="n">
        <x:f>SQRT((C1931-C1930)^2+(D1931-D1930)^2+(E1931-E1930)^2)</x:f>
        <x:v>0.35000000000000053</x:v>
      </x:c>
      <x:c r="G1931" s="8" t="str">
        <x:v>Current</x:v>
      </x:c>
    </x:row>
    <x:row r="1932" ht="32" customHeight="1">
      <x:c r="A1932" s="8" t="str">
        <x:v>drop:EB1:L7:light:1:L213</x:v>
      </x:c>
      <x:c r="B1932" s="8" t="n">
        <x:v>8</x:v>
      </x:c>
      <x:c r="C1932" s="11" t="n">
        <x:v>-0.7749999999999999</x:v>
      </x:c>
      <x:c r="D1932" s="11" t="n">
        <x:v>4.195</x:v>
      </x:c>
      <x:c r="E1932" s="11" t="n">
        <x:v>7.593</x:v>
      </x:c>
      <x:c r="F1932" s="11" t="n">
        <x:f>SQRT((C1932-C1931)^2+(D1932-D1931)^2+(E1932-E1931)^2)</x:f>
        <x:v>0.7749999999999999</x:v>
      </x:c>
      <x:c r="G1932" s="8" t="str">
        <x:v>Current</x:v>
      </x:c>
    </x:row>
    <x:row r="1933" ht="32" customHeight="1">
      <x:c r="A1933" s="8" t="str">
        <x:v>drop:EB1:L7:light:1:L214</x:v>
      </x:c>
      <x:c r="B1933" s="8" t="n">
        <x:v>1</x:v>
      </x:c>
      <x:c r="C1933" s="11" t="n">
        <x:v>2.35</x:v>
      </x:c>
      <x:c r="D1933" s="11" t="n">
        <x:v>5.98</x:v>
      </x:c>
      <x:c r="E1933" s="11" t="n">
        <x:v>7.36</x:v>
      </x:c>
      <x:c r="F1933" s="11" t="n">
        <x:f>0</x:f>
        <x:v>0</x:v>
      </x:c>
      <x:c r="G1933" s="8" t="str">
        <x:v>Current</x:v>
      </x:c>
    </x:row>
    <x:row r="1934" ht="32" customHeight="1">
      <x:c r="A1934" s="8" t="str">
        <x:v>drop:EB1:L7:light:1:L214</x:v>
      </x:c>
      <x:c r="B1934" s="8" t="n">
        <x:v>2</x:v>
      </x:c>
      <x:c r="C1934" s="11" t="n">
        <x:v>2.35</x:v>
      </x:c>
      <x:c r="D1934" s="11" t="n">
        <x:v>7.65</x:v>
      </x:c>
      <x:c r="E1934" s="11" t="n">
        <x:v>7.36</x:v>
      </x:c>
      <x:c r="F1934" s="11" t="n">
        <x:f>SQRT((C1934-C1933)^2+(D1934-D1933)^2+(E1934-E1933)^2)</x:f>
        <x:v>1.67</x:v>
      </x:c>
      <x:c r="G1934" s="8" t="str">
        <x:v>Current</x:v>
      </x:c>
    </x:row>
    <x:row r="1935" ht="32" customHeight="1">
      <x:c r="A1935" s="8" t="str">
        <x:v>drop:EB1:L7:light:1:L214</x:v>
      </x:c>
      <x:c r="B1935" s="8" t="n">
        <x:v>3</x:v>
      </x:c>
      <x:c r="C1935" s="11" t="n">
        <x:v>2.35</x:v>
      </x:c>
      <x:c r="D1935" s="11" t="n">
        <x:v>7.65</x:v>
      </x:c>
      <x:c r="E1935" s="11" t="n">
        <x:v>7.703</x:v>
      </x:c>
      <x:c r="F1935" s="11" t="n">
        <x:f>SQRT((C1935-C1934)^2+(D1935-D1934)^2+(E1935-E1934)^2)</x:f>
        <x:v>0.34299999999999997</x:v>
      </x:c>
      <x:c r="G1935" s="8" t="str">
        <x:v>Current</x:v>
      </x:c>
    </x:row>
    <x:row r="1936" ht="32" customHeight="1">
      <x:c r="A1936" s="8" t="str">
        <x:v>drop:EB1:L7:light:1:L214</x:v>
      </x:c>
      <x:c r="B1936" s="8" t="n">
        <x:v>4</x:v>
      </x:c>
      <x:c r="C1936" s="11" t="n">
        <x:v>0</x:v>
      </x:c>
      <x:c r="D1936" s="11" t="n">
        <x:v>7.65</x:v>
      </x:c>
      <x:c r="E1936" s="11" t="n">
        <x:v>7.703</x:v>
      </x:c>
      <x:c r="F1936" s="11" t="n">
        <x:f>SQRT((C1936-C1935)^2+(D1936-D1935)^2+(E1936-E1935)^2)</x:f>
        <x:v>2.35</x:v>
      </x:c>
      <x:c r="G1936" s="8" t="str">
        <x:v>Current</x:v>
      </x:c>
    </x:row>
    <x:row r="1937" ht="32" customHeight="1">
      <x:c r="A1937" s="8" t="str">
        <x:v>drop:EB1:L7:light:1:L214</x:v>
      </x:c>
      <x:c r="B1937" s="8" t="n">
        <x:v>5</x:v>
      </x:c>
      <x:c r="C1937" s="11" t="n">
        <x:v>0</x:v>
      </x:c>
      <x:c r="D1937" s="11" t="n">
        <x:v>7.65</x:v>
      </x:c>
      <x:c r="E1937" s="11" t="n">
        <x:v>12.363</x:v>
      </x:c>
      <x:c r="F1937" s="11" t="n">
        <x:f>SQRT((C1937-C1936)^2+(D1937-D1936)^2+(E1937-E1936)^2)</x:f>
        <x:v>4.659999999999999</x:v>
      </x:c>
      <x:c r="G1937" s="8" t="str">
        <x:v>Current</x:v>
      </x:c>
    </x:row>
    <x:row r="1938" ht="32" customHeight="1">
      <x:c r="A1938" s="8" t="str">
        <x:v>drop:EB1:L7:light:1:L214</x:v>
      </x:c>
      <x:c r="B1938" s="8" t="n">
        <x:v>6</x:v>
      </x:c>
      <x:c r="C1938" s="11" t="n">
        <x:v>0</x:v>
      </x:c>
      <x:c r="D1938" s="11" t="n">
        <x:v>4.195</x:v>
      </x:c>
      <x:c r="E1938" s="11" t="n">
        <x:v>12.363</x:v>
      </x:c>
      <x:c r="F1938" s="11" t="n">
        <x:f>SQRT((C1938-C1937)^2+(D1938-D1937)^2+(E1938-E1937)^2)</x:f>
        <x:v>3.455</x:v>
      </x:c>
      <x:c r="G1938" s="8" t="str">
        <x:v>Current</x:v>
      </x:c>
    </x:row>
    <x:row r="1939" ht="32" customHeight="1">
      <x:c r="A1939" s="8" t="str">
        <x:v>drop:EB1:L7:light:1:L214</x:v>
      </x:c>
      <x:c r="B1939" s="8" t="n">
        <x:v>7</x:v>
      </x:c>
      <x:c r="C1939" s="11" t="n">
        <x:v>0</x:v>
      </x:c>
      <x:c r="D1939" s="11" t="n">
        <x:v>4.195</x:v>
      </x:c>
      <x:c r="E1939" s="11" t="n">
        <x:v>12.713000000000001</x:v>
      </x:c>
      <x:c r="F1939" s="11" t="n">
        <x:f>SQRT((C1939-C1938)^2+(D1939-D1938)^2+(E1939-E1938)^2)</x:f>
        <x:v>0.3500000000000014</x:v>
      </x:c>
      <x:c r="G1939" s="8" t="str">
        <x:v>Current</x:v>
      </x:c>
    </x:row>
    <x:row r="1940" ht="32" customHeight="1">
      <x:c r="A1940" s="8" t="str">
        <x:v>drop:EB1:L7:light:1:L214</x:v>
      </x:c>
      <x:c r="B1940" s="8" t="n">
        <x:v>8</x:v>
      </x:c>
      <x:c r="C1940" s="11" t="n">
        <x:v>-0.7749999999999999</x:v>
      </x:c>
      <x:c r="D1940" s="11" t="n">
        <x:v>4.195</x:v>
      </x:c>
      <x:c r="E1940" s="11" t="n">
        <x:v>12.713000000000001</x:v>
      </x:c>
      <x:c r="F1940" s="11" t="n">
        <x:f>SQRT((C1940-C1939)^2+(D1940-D1939)^2+(E1940-E1939)^2)</x:f>
        <x:v>0.7749999999999999</x:v>
      </x:c>
      <x:c r="G1940" s="8" t="str">
        <x:v>Current</x:v>
      </x:c>
    </x:row>
    <x:row r="1941" ht="32" customHeight="1">
      <x:c r="A1941" s="8" t="str">
        <x:v>drop:EB1:L7:light:1:L215</x:v>
      </x:c>
      <x:c r="B1941" s="8" t="n">
        <x:v>1</x:v>
      </x:c>
      <x:c r="C1941" s="11" t="n">
        <x:v>2.35</x:v>
      </x:c>
      <x:c r="D1941" s="11" t="n">
        <x:v>5.98</x:v>
      </x:c>
      <x:c r="E1941" s="11" t="n">
        <x:v>7.36</x:v>
      </x:c>
      <x:c r="F1941" s="11" t="n">
        <x:f>0</x:f>
        <x:v>0</x:v>
      </x:c>
      <x:c r="G1941" s="8" t="str">
        <x:v>Current</x:v>
      </x:c>
    </x:row>
    <x:row r="1942" ht="32" customHeight="1">
      <x:c r="A1942" s="8" t="str">
        <x:v>drop:EB1:L7:light:1:L215</x:v>
      </x:c>
      <x:c r="B1942" s="8" t="n">
        <x:v>2</x:v>
      </x:c>
      <x:c r="C1942" s="11" t="n">
        <x:v>2.35</x:v>
      </x:c>
      <x:c r="D1942" s="11" t="n">
        <x:v>7.65</x:v>
      </x:c>
      <x:c r="E1942" s="11" t="n">
        <x:v>7.36</x:v>
      </x:c>
      <x:c r="F1942" s="11" t="n">
        <x:f>SQRT((C1942-C1941)^2+(D1942-D1941)^2+(E1942-E1941)^2)</x:f>
        <x:v>1.67</x:v>
      </x:c>
      <x:c r="G1942" s="8" t="str">
        <x:v>Current</x:v>
      </x:c>
    </x:row>
    <x:row r="1943" ht="32" customHeight="1">
      <x:c r="A1943" s="8" t="str">
        <x:v>drop:EB1:L7:light:1:L215</x:v>
      </x:c>
      <x:c r="B1943" s="8" t="n">
        <x:v>3</x:v>
      </x:c>
      <x:c r="C1943" s="11" t="n">
        <x:v>2.35</x:v>
      </x:c>
      <x:c r="D1943" s="11" t="n">
        <x:v>7.65</x:v>
      </x:c>
      <x:c r="E1943" s="11" t="n">
        <x:v>7.703</x:v>
      </x:c>
      <x:c r="F1943" s="11" t="n">
        <x:f>SQRT((C1943-C1942)^2+(D1943-D1942)^2+(E1943-E1942)^2)</x:f>
        <x:v>0.34299999999999997</x:v>
      </x:c>
      <x:c r="G1943" s="8" t="str">
        <x:v>Current</x:v>
      </x:c>
    </x:row>
    <x:row r="1944" ht="32" customHeight="1">
      <x:c r="A1944" s="8" t="str">
        <x:v>drop:EB1:L7:light:1:L215</x:v>
      </x:c>
      <x:c r="B1944" s="8" t="n">
        <x:v>4</x:v>
      </x:c>
      <x:c r="C1944" s="11" t="n">
        <x:v>0</x:v>
      </x:c>
      <x:c r="D1944" s="11" t="n">
        <x:v>7.65</x:v>
      </x:c>
      <x:c r="E1944" s="11" t="n">
        <x:v>7.703</x:v>
      </x:c>
      <x:c r="F1944" s="11" t="n">
        <x:f>SQRT((C1944-C1943)^2+(D1944-D1943)^2+(E1944-E1943)^2)</x:f>
        <x:v>2.35</x:v>
      </x:c>
      <x:c r="G1944" s="8" t="str">
        <x:v>Current</x:v>
      </x:c>
    </x:row>
    <x:row r="1945" ht="32" customHeight="1">
      <x:c r="A1945" s="8" t="str">
        <x:v>drop:EB1:L7:light:1:L215</x:v>
      </x:c>
      <x:c r="B1945" s="8" t="n">
        <x:v>5</x:v>
      </x:c>
      <x:c r="C1945" s="11" t="n">
        <x:v>0</x:v>
      </x:c>
      <x:c r="D1945" s="11" t="n">
        <x:v>7.65</x:v>
      </x:c>
      <x:c r="E1945" s="11" t="n">
        <x:v>7.9430000000000005</x:v>
      </x:c>
      <x:c r="F1945" s="11" t="n">
        <x:f>SQRT((C1945-C1944)^2+(D1945-D1944)^2+(E1945-E1944)^2)</x:f>
        <x:v>0.2400000000000002</x:v>
      </x:c>
      <x:c r="G1945" s="8" t="str">
        <x:v>Current</x:v>
      </x:c>
    </x:row>
    <x:row r="1946" ht="32" customHeight="1">
      <x:c r="A1946" s="8" t="str">
        <x:v>drop:EB1:L7:light:1:L215</x:v>
      </x:c>
      <x:c r="B1946" s="8" t="n">
        <x:v>6</x:v>
      </x:c>
      <x:c r="C1946" s="11" t="n">
        <x:v>0</x:v>
      </x:c>
      <x:c r="D1946" s="11" t="n">
        <x:v>8.4</x:v>
      </x:c>
      <x:c r="E1946" s="11" t="n">
        <x:v>7.9430000000000005</x:v>
      </x:c>
      <x:c r="F1946" s="11" t="n">
        <x:f>SQRT((C1946-C1945)^2+(D1946-D1945)^2+(E1946-E1945)^2)</x:f>
        <x:v>0.75</x:v>
      </x:c>
      <x:c r="G1946" s="8" t="str">
        <x:v>Current</x:v>
      </x:c>
    </x:row>
    <x:row r="1947" ht="32" customHeight="1">
      <x:c r="A1947" s="8" t="str">
        <x:v>drop:EB1:L7:light:1:L215</x:v>
      </x:c>
      <x:c r="B1947" s="8" t="n">
        <x:v>7</x:v>
      </x:c>
      <x:c r="C1947" s="11" t="n">
        <x:v>0.09</x:v>
      </x:c>
      <x:c r="D1947" s="11" t="n">
        <x:v>8.4</x:v>
      </x:c>
      <x:c r="E1947" s="11" t="n">
        <x:v>7.9430000000000005</x:v>
      </x:c>
      <x:c r="F1947" s="11" t="n">
        <x:f>SQRT((C1947-C1946)^2+(D1947-D1946)^2+(E1947-E1946)^2)</x:f>
        <x:v>0.09</x:v>
      </x:c>
      <x:c r="G1947" s="8" t="str">
        <x:v>Current</x:v>
      </x:c>
    </x:row>
    <x:row r="1948" ht="32" customHeight="1">
      <x:c r="A1948" s="8" t="str">
        <x:v>drop:EB1:L7:light:1:L215</x:v>
      </x:c>
      <x:c r="B1948" s="8" t="n">
        <x:v>8</x:v>
      </x:c>
      <x:c r="C1948" s="11" t="n">
        <x:v>0.09</x:v>
      </x:c>
      <x:c r="D1948" s="11" t="n">
        <x:v>8.4</x:v>
      </x:c>
      <x:c r="E1948" s="11" t="n">
        <x:v>8.068000000000001</x:v>
      </x:c>
      <x:c r="F1948" s="11" t="n">
        <x:f>SQRT((C1948-C1947)^2+(D1948-D1947)^2+(E1948-E1947)^2)</x:f>
        <x:v>0.1250000000000009</x:v>
      </x:c>
      <x:c r="G1948" s="8" t="str">
        <x:v>Current</x:v>
      </x:c>
    </x:row>
    <x:row r="1949" ht="32" customHeight="1">
      <x:c r="A1949" s="8" t="str">
        <x:v>drop:EB1:L7:light:1:L215</x:v>
      </x:c>
      <x:c r="B1949" s="8" t="n">
        <x:v>9</x:v>
      </x:c>
      <x:c r="C1949" s="11" t="n">
        <x:v>0.09</x:v>
      </x:c>
      <x:c r="D1949" s="11" t="n">
        <x:v>12.115</x:v>
      </x:c>
      <x:c r="E1949" s="11" t="n">
        <x:v>8.068000000000001</x:v>
      </x:c>
      <x:c r="F1949" s="11" t="n">
        <x:f>SQRT((C1949-C1948)^2+(D1949-D1948)^2+(E1949-E1948)^2)</x:f>
        <x:v>3.715</x:v>
      </x:c>
      <x:c r="G1949" s="8" t="str">
        <x:v>Current</x:v>
      </x:c>
    </x:row>
    <x:row r="1950" ht="32" customHeight="1">
      <x:c r="A1950" s="8" t="str">
        <x:v>drop:EB1:L7:light:1:L215</x:v>
      </x:c>
      <x:c r="B1950" s="8" t="n">
        <x:v>10</x:v>
      </x:c>
      <x:c r="C1950" s="11" t="n">
        <x:v>0.09</x:v>
      </x:c>
      <x:c r="D1950" s="11" t="n">
        <x:v>12.115</x:v>
      </x:c>
      <x:c r="E1950" s="11" t="n">
        <x:v>7.663</x:v>
      </x:c>
      <x:c r="F1950" s="11" t="n">
        <x:f>SQRT((C1950-C1949)^2+(D1950-D1949)^2+(E1950-E1949)^2)</x:f>
        <x:v>0.40500000000000114</x:v>
      </x:c>
      <x:c r="G1950" s="8" t="str">
        <x:v>Current</x:v>
      </x:c>
    </x:row>
    <x:row r="1951" ht="32" customHeight="1">
      <x:c r="A1951" s="8" t="str">
        <x:v>drop:EB1:L7:light:1:L215</x:v>
      </x:c>
      <x:c r="B1951" s="8" t="n">
        <x:v>11</x:v>
      </x:c>
      <x:c r="C1951" s="11" t="n">
        <x:v>-0.635</x:v>
      </x:c>
      <x:c r="D1951" s="11" t="n">
        <x:v>12.115</x:v>
      </x:c>
      <x:c r="E1951" s="11" t="n">
        <x:v>7.663</x:v>
      </x:c>
      <x:c r="F1951" s="11" t="n">
        <x:f>SQRT((C1951-C1950)^2+(D1951-D1950)^2+(E1951-E1950)^2)</x:f>
        <x:v>0.725</x:v>
      </x:c>
      <x:c r="G1951" s="8" t="str">
        <x:v>Current</x:v>
      </x:c>
    </x:row>
    <x:row r="1952" ht="32" customHeight="1">
      <x:c r="A1952" s="8" t="str">
        <x:v>drop:EB1:L7:light:1:L216</x:v>
      </x:c>
      <x:c r="B1952" s="8" t="n">
        <x:v>1</x:v>
      </x:c>
      <x:c r="C1952" s="11" t="n">
        <x:v>2.35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drop:EB1:L7:light:1:L216</x:v>
      </x:c>
      <x:c r="B1953" s="8" t="n">
        <x:v>2</x:v>
      </x:c>
      <x:c r="C1953" s="11" t="n">
        <x:v>2.35</x:v>
      </x:c>
      <x:c r="D1953" s="11" t="n">
        <x:v>7.65</x:v>
      </x:c>
      <x:c r="E1953" s="11" t="n">
        <x:v>7.36</x:v>
      </x:c>
      <x:c r="F1953" s="11" t="n">
        <x:f>SQRT((C1953-C1952)^2+(D1953-D1952)^2+(E1953-E1952)^2)</x:f>
        <x:v>1.67</x:v>
      </x:c>
      <x:c r="G1953" s="8" t="str">
        <x:v>Current</x:v>
      </x:c>
    </x:row>
    <x:row r="1954" ht="32" customHeight="1">
      <x:c r="A1954" s="8" t="str">
        <x:v>drop:EB1:L7:light:1:L216</x:v>
      </x:c>
      <x:c r="B1954" s="8" t="n">
        <x:v>3</x:v>
      </x:c>
      <x:c r="C1954" s="11" t="n">
        <x:v>2.35</x:v>
      </x:c>
      <x:c r="D1954" s="11" t="n">
        <x:v>7.65</x:v>
      </x:c>
      <x:c r="E1954" s="11" t="n">
        <x:v>7.703</x:v>
      </x:c>
      <x:c r="F1954" s="11" t="n">
        <x:f>SQRT((C1954-C1953)^2+(D1954-D1953)^2+(E1954-E1953)^2)</x:f>
        <x:v>0.34299999999999997</x:v>
      </x:c>
      <x:c r="G1954" s="8" t="str">
        <x:v>Current</x:v>
      </x:c>
    </x:row>
    <x:row r="1955" ht="32" customHeight="1">
      <x:c r="A1955" s="8" t="str">
        <x:v>drop:EB1:L7:light:1:L216</x:v>
      </x:c>
      <x:c r="B1955" s="8" t="n">
        <x:v>4</x:v>
      </x:c>
      <x:c r="C1955" s="11" t="n">
        <x:v>0</x:v>
      </x:c>
      <x:c r="D1955" s="11" t="n">
        <x:v>7.65</x:v>
      </x:c>
      <x:c r="E1955" s="11" t="n">
        <x:v>7.703</x:v>
      </x:c>
      <x:c r="F1955" s="11" t="n">
        <x:f>SQRT((C1955-C1954)^2+(D1955-D1954)^2+(E1955-E1954)^2)</x:f>
        <x:v>2.35</x:v>
      </x:c>
      <x:c r="G1955" s="8" t="str">
        <x:v>Current</x:v>
      </x:c>
    </x:row>
    <x:row r="1956" ht="32" customHeight="1">
      <x:c r="A1956" s="8" t="str">
        <x:v>drop:EB1:L7:light:1:L216</x:v>
      </x:c>
      <x:c r="B1956" s="8" t="n">
        <x:v>5</x:v>
      </x:c>
      <x:c r="C1956" s="11" t="n">
        <x:v>0</x:v>
      </x:c>
      <x:c r="D1956" s="11" t="n">
        <x:v>7.65</x:v>
      </x:c>
      <x:c r="E1956" s="11" t="n">
        <x:v>12.363</x:v>
      </x:c>
      <x:c r="F1956" s="11" t="n">
        <x:f>SQRT((C1956-C1955)^2+(D1956-D1955)^2+(E1956-E1955)^2)</x:f>
        <x:v>4.659999999999999</x:v>
      </x:c>
      <x:c r="G1956" s="8" t="str">
        <x:v>Current</x:v>
      </x:c>
    </x:row>
    <x:row r="1957" ht="32" customHeight="1">
      <x:c r="A1957" s="8" t="str">
        <x:v>drop:EB1:L7:light:1:L216</x:v>
      </x:c>
      <x:c r="B1957" s="8" t="n">
        <x:v>6</x:v>
      </x:c>
      <x:c r="C1957" s="11" t="n">
        <x:v>0</x:v>
      </x:c>
      <x:c r="D1957" s="11" t="n">
        <x:v>8.4</x:v>
      </x:c>
      <x:c r="E1957" s="11" t="n">
        <x:v>12.363</x:v>
      </x:c>
      <x:c r="F1957" s="11" t="n">
        <x:f>SQRT((C1957-C1956)^2+(D1957-D1956)^2+(E1957-E1956)^2)</x:f>
        <x:v>0.75</x:v>
      </x:c>
      <x:c r="G1957" s="8" t="str">
        <x:v>Current</x:v>
      </x:c>
    </x:row>
    <x:row r="1958" ht="32" customHeight="1">
      <x:c r="A1958" s="8" t="str">
        <x:v>drop:EB1:L7:light:1:L216</x:v>
      </x:c>
      <x:c r="B1958" s="8" t="n">
        <x:v>7</x:v>
      </x:c>
      <x:c r="C1958" s="11" t="n">
        <x:v>0.09</x:v>
      </x:c>
      <x:c r="D1958" s="11" t="n">
        <x:v>8.4</x:v>
      </x:c>
      <x:c r="E1958" s="11" t="n">
        <x:v>12.363</x:v>
      </x:c>
      <x:c r="F1958" s="11" t="n">
        <x:f>SQRT((C1958-C1957)^2+(D1958-D1957)^2+(E1958-E1957)^2)</x:f>
        <x:v>0.09</x:v>
      </x:c>
      <x:c r="G1958" s="8" t="str">
        <x:v>Current</x:v>
      </x:c>
    </x:row>
    <x:row r="1959" ht="32" customHeight="1">
      <x:c r="A1959" s="8" t="str">
        <x:v>drop:EB1:L7:light:1:L216</x:v>
      </x:c>
      <x:c r="B1959" s="8" t="n">
        <x:v>8</x:v>
      </x:c>
      <x:c r="C1959" s="11" t="n">
        <x:v>0.09</x:v>
      </x:c>
      <x:c r="D1959" s="11" t="n">
        <x:v>8.4</x:v>
      </x:c>
      <x:c r="E1959" s="11" t="n">
        <x:v>12.238</x:v>
      </x:c>
      <x:c r="F1959" s="11" t="n">
        <x:f>SQRT((C1959-C1958)^2+(D1959-D1958)^2+(E1959-E1958)^2)</x:f>
        <x:v>0.125</x:v>
      </x:c>
      <x:c r="G1959" s="8" t="str">
        <x:v>Current</x:v>
      </x:c>
    </x:row>
    <x:row r="1960" ht="32" customHeight="1">
      <x:c r="A1960" s="8" t="str">
        <x:v>drop:EB1:L7:light:1:L216</x:v>
      </x:c>
      <x:c r="B1960" s="8" t="n">
        <x:v>9</x:v>
      </x:c>
      <x:c r="C1960" s="11" t="n">
        <x:v>0.09</x:v>
      </x:c>
      <x:c r="D1960" s="11" t="n">
        <x:v>12.115</x:v>
      </x:c>
      <x:c r="E1960" s="11" t="n">
        <x:v>12.238</x:v>
      </x:c>
      <x:c r="F1960" s="11" t="n">
        <x:f>SQRT((C1960-C1959)^2+(D1960-D1959)^2+(E1960-E1959)^2)</x:f>
        <x:v>3.715</x:v>
      </x:c>
      <x:c r="G1960" s="8" t="str">
        <x:v>Current</x:v>
      </x:c>
    </x:row>
    <x:row r="1961" ht="32" customHeight="1">
      <x:c r="A1961" s="8" t="str">
        <x:v>drop:EB1:L7:light:1:L216</x:v>
      </x:c>
      <x:c r="B1961" s="8" t="n">
        <x:v>10</x:v>
      </x:c>
      <x:c r="C1961" s="11" t="n">
        <x:v>0.09</x:v>
      </x:c>
      <x:c r="D1961" s="11" t="n">
        <x:v>12.115</x:v>
      </x:c>
      <x:c r="E1961" s="11" t="n">
        <x:v>12.643</x:v>
      </x:c>
      <x:c r="F1961" s="11" t="n">
        <x:f>SQRT((C1961-C1960)^2+(D1961-D1960)^2+(E1961-E1960)^2)</x:f>
        <x:v>0.40500000000000114</x:v>
      </x:c>
      <x:c r="G1961" s="8" t="str">
        <x:v>Current</x:v>
      </x:c>
    </x:row>
    <x:row r="1962" ht="32" customHeight="1">
      <x:c r="A1962" s="8" t="str">
        <x:v>drop:EB1:L7:light:1:L216</x:v>
      </x:c>
      <x:c r="B1962" s="8" t="n">
        <x:v>11</x:v>
      </x:c>
      <x:c r="C1962" s="11" t="n">
        <x:v>-0.635</x:v>
      </x:c>
      <x:c r="D1962" s="11" t="n">
        <x:v>12.115</x:v>
      </x:c>
      <x:c r="E1962" s="11" t="n">
        <x:v>12.643</x:v>
      </x:c>
      <x:c r="F1962" s="11" t="n">
        <x:f>SQRT((C1962-C1961)^2+(D1962-D1961)^2+(E1962-E1961)^2)</x:f>
        <x:v>0.725</x:v>
      </x:c>
      <x:c r="G1962" s="8" t="str">
        <x:v>Current</x:v>
      </x:c>
    </x:row>
    <x:row r="1963" ht="32" customHeight="1">
      <x:c r="A1963" s="8" t="str">
        <x:v>drop:EB1:L7:light:1:L217</x:v>
      </x:c>
      <x:c r="B1963" s="8" t="n">
        <x:v>1</x:v>
      </x:c>
      <x:c r="C1963" s="11" t="n">
        <x:v>2.35</x:v>
      </x:c>
      <x:c r="D1963" s="11" t="n">
        <x:v>5.98</x:v>
      </x:c>
      <x:c r="E1963" s="11" t="n">
        <x:v>7.36</x:v>
      </x:c>
      <x:c r="F1963" s="11" t="n">
        <x:f>0</x:f>
        <x:v>0</x:v>
      </x:c>
      <x:c r="G1963" s="8" t="str">
        <x:v>Current</x:v>
      </x:c>
    </x:row>
    <x:row r="1964" ht="32" customHeight="1">
      <x:c r="A1964" s="8" t="str">
        <x:v>drop:EB1:L7:light:1:L217</x:v>
      </x:c>
      <x:c r="B1964" s="8" t="n">
        <x:v>2</x:v>
      </x:c>
      <x:c r="C1964" s="11" t="n">
        <x:v>2.35</x:v>
      </x:c>
      <x:c r="D1964" s="11" t="n">
        <x:v>7.65</x:v>
      </x:c>
      <x:c r="E1964" s="11" t="n">
        <x:v>7.36</x:v>
      </x:c>
      <x:c r="F1964" s="11" t="n">
        <x:f>SQRT((C1964-C1963)^2+(D1964-D1963)^2+(E1964-E1963)^2)</x:f>
        <x:v>1.67</x:v>
      </x:c>
      <x:c r="G1964" s="8" t="str">
        <x:v>Current</x:v>
      </x:c>
    </x:row>
    <x:row r="1965" ht="32" customHeight="1">
      <x:c r="A1965" s="8" t="str">
        <x:v>drop:EB1:L7:light:1:L217</x:v>
      </x:c>
      <x:c r="B1965" s="8" t="n">
        <x:v>3</x:v>
      </x:c>
      <x:c r="C1965" s="11" t="n">
        <x:v>2.35</x:v>
      </x:c>
      <x:c r="D1965" s="11" t="n">
        <x:v>7.65</x:v>
      </x:c>
      <x:c r="E1965" s="11" t="n">
        <x:v>7.703</x:v>
      </x:c>
      <x:c r="F1965" s="11" t="n">
        <x:f>SQRT((C1965-C1964)^2+(D1965-D1964)^2+(E1965-E1964)^2)</x:f>
        <x:v>0.34299999999999997</x:v>
      </x:c>
      <x:c r="G1965" s="8" t="str">
        <x:v>Current</x:v>
      </x:c>
    </x:row>
    <x:row r="1966" ht="32" customHeight="1">
      <x:c r="A1966" s="8" t="str">
        <x:v>drop:EB1:L7:light:1:L217</x:v>
      </x:c>
      <x:c r="B1966" s="8" t="n">
        <x:v>4</x:v>
      </x:c>
      <x:c r="C1966" s="11" t="n">
        <x:v>0</x:v>
      </x:c>
      <x:c r="D1966" s="11" t="n">
        <x:v>7.65</x:v>
      </x:c>
      <x:c r="E1966" s="11" t="n">
        <x:v>7.703</x:v>
      </x:c>
      <x:c r="F1966" s="11" t="n">
        <x:f>SQRT((C1966-C1965)^2+(D1966-D1965)^2+(E1966-E1965)^2)</x:f>
        <x:v>2.35</x:v>
      </x:c>
      <x:c r="G1966" s="8" t="str">
        <x:v>Current</x:v>
      </x:c>
    </x:row>
    <x:row r="1967" ht="32" customHeight="1">
      <x:c r="A1967" s="8" t="str">
        <x:v>drop:EB1:L7:light:1:L217</x:v>
      </x:c>
      <x:c r="B1967" s="8" t="n">
        <x:v>5</x:v>
      </x:c>
      <x:c r="C1967" s="11" t="n">
        <x:v>0</x:v>
      </x:c>
      <x:c r="D1967" s="11" t="n">
        <x:v>7.65</x:v>
      </x:c>
      <x:c r="E1967" s="11" t="n">
        <x:v>7.9430000000000005</x:v>
      </x:c>
      <x:c r="F1967" s="11" t="n">
        <x:f>SQRT((C1967-C1966)^2+(D1967-D1966)^2+(E1967-E1966)^2)</x:f>
        <x:v>0.2400000000000002</x:v>
      </x:c>
      <x:c r="G1967" s="8" t="str">
        <x:v>Current</x:v>
      </x:c>
    </x:row>
    <x:row r="1968" ht="32" customHeight="1">
      <x:c r="A1968" s="8" t="str">
        <x:v>drop:EB1:L7:light:1:L217</x:v>
      </x:c>
      <x:c r="B1968" s="8" t="n">
        <x:v>6</x:v>
      </x:c>
      <x:c r="C1968" s="11" t="n">
        <x:v>0</x:v>
      </x:c>
      <x:c r="D1968" s="11" t="n">
        <x:v>8.4</x:v>
      </x:c>
      <x:c r="E1968" s="11" t="n">
        <x:v>7.9430000000000005</x:v>
      </x:c>
      <x:c r="F1968" s="11" t="n">
        <x:f>SQRT((C1968-C1967)^2+(D1968-D1967)^2+(E1968-E1967)^2)</x:f>
        <x:v>0.75</x:v>
      </x:c>
      <x:c r="G1968" s="8" t="str">
        <x:v>Current</x:v>
      </x:c>
    </x:row>
    <x:row r="1969" ht="32" customHeight="1">
      <x:c r="A1969" s="8" t="str">
        <x:v>drop:EB1:L7:light:1:L217</x:v>
      </x:c>
      <x:c r="B1969" s="8" t="n">
        <x:v>7</x:v>
      </x:c>
      <x:c r="C1969" s="11" t="n">
        <x:v>0.09</x:v>
      </x:c>
      <x:c r="D1969" s="11" t="n">
        <x:v>8.4</x:v>
      </x:c>
      <x:c r="E1969" s="11" t="n">
        <x:v>7.9430000000000005</x:v>
      </x:c>
      <x:c r="F1969" s="11" t="n">
        <x:f>SQRT((C1969-C1968)^2+(D1969-D1968)^2+(E1969-E1968)^2)</x:f>
        <x:v>0.09</x:v>
      </x:c>
      <x:c r="G1969" s="8" t="str">
        <x:v>Current</x:v>
      </x:c>
    </x:row>
    <x:row r="1970" ht="32" customHeight="1">
      <x:c r="A1970" s="8" t="str">
        <x:v>drop:EB1:L7:light:1:L217</x:v>
      </x:c>
      <x:c r="B1970" s="8" t="n">
        <x:v>8</x:v>
      </x:c>
      <x:c r="C1970" s="11" t="n">
        <x:v>0.09</x:v>
      </x:c>
      <x:c r="D1970" s="11" t="n">
        <x:v>8.4</x:v>
      </x:c>
      <x:c r="E1970" s="11" t="n">
        <x:v>8.068000000000001</x:v>
      </x:c>
      <x:c r="F1970" s="11" t="n">
        <x:f>SQRT((C1970-C1969)^2+(D1970-D1969)^2+(E1970-E1969)^2)</x:f>
        <x:v>0.1250000000000009</x:v>
      </x:c>
      <x:c r="G1970" s="8" t="str">
        <x:v>Current</x:v>
      </x:c>
    </x:row>
    <x:row r="1971" ht="32" customHeight="1">
      <x:c r="A1971" s="8" t="str">
        <x:v>drop:EB1:L7:light:1:L217</x:v>
      </x:c>
      <x:c r="B1971" s="8" t="n">
        <x:v>9</x:v>
      </x:c>
      <x:c r="C1971" s="11" t="n">
        <x:v>0.09</x:v>
      </x:c>
      <x:c r="D1971" s="11" t="n">
        <x:v>15.85</x:v>
      </x:c>
      <x:c r="E1971" s="11" t="n">
        <x:v>8.068000000000001</x:v>
      </x:c>
      <x:c r="F1971" s="11" t="n">
        <x:f>SQRT((C1971-C1970)^2+(D1971-D1970)^2+(E1971-E1970)^2)</x:f>
        <x:v>7.449999999999999</x:v>
      </x:c>
      <x:c r="G1971" s="8" t="str">
        <x:v>Current</x:v>
      </x:c>
    </x:row>
    <x:row r="1972" ht="32" customHeight="1">
      <x:c r="A1972" s="8" t="str">
        <x:v>drop:EB1:L7:light:1:L217</x:v>
      </x:c>
      <x:c r="B1972" s="8" t="n">
        <x:v>10</x:v>
      </x:c>
      <x:c r="C1972" s="11" t="n">
        <x:v>0.19</x:v>
      </x:c>
      <x:c r="D1972" s="11" t="n">
        <x:v>15.85</x:v>
      </x:c>
      <x:c r="E1972" s="11" t="n">
        <x:v>8.068000000000001</x:v>
      </x:c>
      <x:c r="F1972" s="11" t="n">
        <x:f>SQRT((C1972-C1971)^2+(D1972-D1971)^2+(E1972-E1971)^2)</x:f>
        <x:v>0.1</x:v>
      </x:c>
      <x:c r="G1972" s="8" t="str">
        <x:v>Current</x:v>
      </x:c>
    </x:row>
    <x:row r="1973" ht="32" customHeight="1">
      <x:c r="A1973" s="8" t="str">
        <x:v>drop:EB1:L7:light:1:L217</x:v>
      </x:c>
      <x:c r="B1973" s="8" t="n">
        <x:v>11</x:v>
      </x:c>
      <x:c r="C1973" s="11" t="n">
        <x:v>0.19</x:v>
      </x:c>
      <x:c r="D1973" s="11" t="n">
        <x:v>15.85</x:v>
      </x:c>
      <x:c r="E1973" s="11" t="n">
        <x:v>8.168000000000001</x:v>
      </x:c>
      <x:c r="F1973" s="11" t="n">
        <x:f>SQRT((C1973-C1972)^2+(D1973-D1972)^2+(E1973-E1972)^2)</x:f>
        <x:v>0.09999999999999964</x:v>
      </x:c>
      <x:c r="G1973" s="8" t="str">
        <x:v>Current</x:v>
      </x:c>
    </x:row>
    <x:row r="1974" ht="32" customHeight="1">
      <x:c r="A1974" s="8" t="str">
        <x:v>drop:EB1:L7:light:1:L217</x:v>
      </x:c>
      <x:c r="B1974" s="8" t="n">
        <x:v>12</x:v>
      </x:c>
      <x:c r="C1974" s="11" t="n">
        <x:v>0.19</x:v>
      </x:c>
      <x:c r="D1974" s="11" t="n">
        <x:v>19.490000000000002</x:v>
      </x:c>
      <x:c r="E1974" s="11" t="n">
        <x:v>8.168000000000001</x:v>
      </x:c>
      <x:c r="F1974" s="11" t="n">
        <x:f>SQRT((C1974-C1973)^2+(D1974-D1973)^2+(E1974-E1973)^2)</x:f>
        <x:v>3.6400000000000023</x:v>
      </x:c>
      <x:c r="G1974" s="8" t="str">
        <x:v>Current</x:v>
      </x:c>
    </x:row>
    <x:row r="1975" ht="32" customHeight="1">
      <x:c r="A1975" s="8" t="str">
        <x:v>drop:EB1:L7:light:1:L217</x:v>
      </x:c>
      <x:c r="B1975" s="8" t="n">
        <x:v>13</x:v>
      </x:c>
      <x:c r="C1975" s="11" t="n">
        <x:v>0.19</x:v>
      </x:c>
      <x:c r="D1975" s="11" t="n">
        <x:v>19.490000000000002</x:v>
      </x:c>
      <x:c r="E1975" s="11" t="n">
        <x:v>7.7330000000000005</x:v>
      </x:c>
      <x:c r="F1975" s="11" t="n">
        <x:f>SQRT((C1975-C1974)^2+(D1975-D1974)^2+(E1975-E1974)^2)</x:f>
        <x:v>0.4350000000000005</x:v>
      </x:c>
      <x:c r="G1975" s="8" t="str">
        <x:v>Current</x:v>
      </x:c>
    </x:row>
    <x:row r="1976" ht="32" customHeight="1">
      <x:c r="A1976" s="8" t="str">
        <x:v>drop:EB1:L7:light:1:L217</x:v>
      </x:c>
      <x:c r="B1976" s="8" t="n">
        <x:v>14</x:v>
      </x:c>
      <x:c r="C1976" s="11" t="n">
        <x:v>-0.525</x:v>
      </x:c>
      <x:c r="D1976" s="11" t="n">
        <x:v>19.490000000000002</x:v>
      </x:c>
      <x:c r="E1976" s="11" t="n">
        <x:v>7.7330000000000005</x:v>
      </x:c>
      <x:c r="F1976" s="11" t="n">
        <x:f>SQRT((C1976-C1975)^2+(D1976-D1975)^2+(E1976-E1975)^2)</x:f>
        <x:v>0.7150000000000001</x:v>
      </x:c>
      <x:c r="G1976" s="8" t="str">
        <x:v>Current</x:v>
      </x:c>
    </x:row>
    <x:row r="1977" ht="32" customHeight="1">
      <x:c r="A1977" s="8" t="str">
        <x:v>drop:EB1:L7:light:1:L218</x:v>
      </x:c>
      <x:c r="B1977" s="8" t="n">
        <x:v>1</x:v>
      </x:c>
      <x:c r="C1977" s="11" t="n">
        <x:v>2.35</x:v>
      </x:c>
      <x:c r="D1977" s="11" t="n">
        <x:v>5.98</x:v>
      </x:c>
      <x:c r="E1977" s="11" t="n">
        <x:v>7.36</x:v>
      </x:c>
      <x:c r="F1977" s="11" t="n">
        <x:f>0</x:f>
        <x:v>0</x:v>
      </x:c>
      <x:c r="G1977" s="8" t="str">
        <x:v>Current</x:v>
      </x:c>
    </x:row>
    <x:row r="1978" ht="32" customHeight="1">
      <x:c r="A1978" s="8" t="str">
        <x:v>drop:EB1:L7:light:1:L218</x:v>
      </x:c>
      <x:c r="B1978" s="8" t="n">
        <x:v>2</x:v>
      </x:c>
      <x:c r="C1978" s="11" t="n">
        <x:v>2.35</x:v>
      </x:c>
      <x:c r="D1978" s="11" t="n">
        <x:v>7.65</x:v>
      </x:c>
      <x:c r="E1978" s="11" t="n">
        <x:v>7.36</x:v>
      </x:c>
      <x:c r="F1978" s="11" t="n">
        <x:f>SQRT((C1978-C1977)^2+(D1978-D1977)^2+(E1978-E1977)^2)</x:f>
        <x:v>1.67</x:v>
      </x:c>
      <x:c r="G1978" s="8" t="str">
        <x:v>Current</x:v>
      </x:c>
    </x:row>
    <x:row r="1979" ht="32" customHeight="1">
      <x:c r="A1979" s="8" t="str">
        <x:v>drop:EB1:L7:light:1:L218</x:v>
      </x:c>
      <x:c r="B1979" s="8" t="n">
        <x:v>3</x:v>
      </x:c>
      <x:c r="C1979" s="11" t="n">
        <x:v>2.35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0.34299999999999997</x:v>
      </x:c>
      <x:c r="G1979" s="8" t="str">
        <x:v>Current</x:v>
      </x:c>
    </x:row>
    <x:row r="1980" ht="32" customHeight="1">
      <x:c r="A1980" s="8" t="str">
        <x:v>drop:EB1:L7:light:1:L218</x:v>
      </x:c>
      <x:c r="B1980" s="8" t="n">
        <x:v>4</x:v>
      </x:c>
      <x:c r="C1980" s="11" t="n">
        <x:v>0</x:v>
      </x:c>
      <x:c r="D1980" s="11" t="n">
        <x:v>7.65</x:v>
      </x:c>
      <x:c r="E1980" s="11" t="n">
        <x:v>7.703</x:v>
      </x:c>
      <x:c r="F1980" s="11" t="n">
        <x:f>SQRT((C1980-C1979)^2+(D1980-D1979)^2+(E1980-E1979)^2)</x:f>
        <x:v>2.35</x:v>
      </x:c>
      <x:c r="G1980" s="8" t="str">
        <x:v>Current</x:v>
      </x:c>
    </x:row>
    <x:row r="1981" ht="32" customHeight="1">
      <x:c r="A1981" s="8" t="str">
        <x:v>drop:EB1:L7:light:1:L218</x:v>
      </x:c>
      <x:c r="B1981" s="8" t="n">
        <x:v>5</x:v>
      </x:c>
      <x:c r="C1981" s="11" t="n">
        <x:v>0</x:v>
      </x:c>
      <x:c r="D1981" s="11" t="n">
        <x:v>7.65</x:v>
      </x:c>
      <x:c r="E1981" s="11" t="n">
        <x:v>12.363</x:v>
      </x:c>
      <x:c r="F1981" s="11" t="n">
        <x:f>SQRT((C1981-C1980)^2+(D1981-D1980)^2+(E1981-E1980)^2)</x:f>
        <x:v>4.659999999999999</x:v>
      </x:c>
      <x:c r="G1981" s="8" t="str">
        <x:v>Current</x:v>
      </x:c>
    </x:row>
    <x:row r="1982" ht="32" customHeight="1">
      <x:c r="A1982" s="8" t="str">
        <x:v>drop:EB1:L7:light:1:L218</x:v>
      </x:c>
      <x:c r="B1982" s="8" t="n">
        <x:v>6</x:v>
      </x:c>
      <x:c r="C1982" s="11" t="n">
        <x:v>0</x:v>
      </x:c>
      <x:c r="D1982" s="11" t="n">
        <x:v>8.4</x:v>
      </x:c>
      <x:c r="E1982" s="11" t="n">
        <x:v>12.363</x:v>
      </x:c>
      <x:c r="F1982" s="11" t="n">
        <x:f>SQRT((C1982-C1981)^2+(D1982-D1981)^2+(E1982-E1981)^2)</x:f>
        <x:v>0.75</x:v>
      </x:c>
      <x:c r="G1982" s="8" t="str">
        <x:v>Current</x:v>
      </x:c>
    </x:row>
    <x:row r="1983" ht="32" customHeight="1">
      <x:c r="A1983" s="8" t="str">
        <x:v>drop:EB1:L7:light:1:L218</x:v>
      </x:c>
      <x:c r="B1983" s="8" t="n">
        <x:v>7</x:v>
      </x:c>
      <x:c r="C1983" s="11" t="n">
        <x:v>0.09</x:v>
      </x:c>
      <x:c r="D1983" s="11" t="n">
        <x:v>8.4</x:v>
      </x:c>
      <x:c r="E1983" s="11" t="n">
        <x:v>12.363</x:v>
      </x:c>
      <x:c r="F1983" s="11" t="n">
        <x:f>SQRT((C1983-C1982)^2+(D1983-D1982)^2+(E1983-E1982)^2)</x:f>
        <x:v>0.09</x:v>
      </x:c>
      <x:c r="G1983" s="8" t="str">
        <x:v>Current</x:v>
      </x:c>
    </x:row>
    <x:row r="1984" ht="32" customHeight="1">
      <x:c r="A1984" s="8" t="str">
        <x:v>drop:EB1:L7:light:1:L218</x:v>
      </x:c>
      <x:c r="B1984" s="8" t="n">
        <x:v>8</x:v>
      </x:c>
      <x:c r="C1984" s="11" t="n">
        <x:v>0.09</x:v>
      </x:c>
      <x:c r="D1984" s="11" t="n">
        <x:v>8.4</x:v>
      </x:c>
      <x:c r="E1984" s="11" t="n">
        <x:v>12.238</x:v>
      </x:c>
      <x:c r="F1984" s="11" t="n">
        <x:f>SQRT((C1984-C1983)^2+(D1984-D1983)^2+(E1984-E1983)^2)</x:f>
        <x:v>0.125</x:v>
      </x:c>
      <x:c r="G1984" s="8" t="str">
        <x:v>Current</x:v>
      </x:c>
    </x:row>
    <x:row r="1985" ht="32" customHeight="1">
      <x:c r="A1985" s="8" t="str">
        <x:v>drop:EB1:L7:light:1:L218</x:v>
      </x:c>
      <x:c r="B1985" s="8" t="n">
        <x:v>9</x:v>
      </x:c>
      <x:c r="C1985" s="11" t="n">
        <x:v>0.09</x:v>
      </x:c>
      <x:c r="D1985" s="11" t="n">
        <x:v>15.85</x:v>
      </x:c>
      <x:c r="E1985" s="11" t="n">
        <x:v>12.238</x:v>
      </x:c>
      <x:c r="F1985" s="11" t="n">
        <x:f>SQRT((C1985-C1984)^2+(D1985-D1984)^2+(E1985-E1984)^2)</x:f>
        <x:v>7.449999999999999</x:v>
      </x:c>
      <x:c r="G1985" s="8" t="str">
        <x:v>Current</x:v>
      </x:c>
    </x:row>
    <x:row r="1986" ht="32" customHeight="1">
      <x:c r="A1986" s="8" t="str">
        <x:v>drop:EB1:L7:light:1:L218</x:v>
      </x:c>
      <x:c r="B1986" s="8" t="n">
        <x:v>10</x:v>
      </x:c>
      <x:c r="C1986" s="11" t="n">
        <x:v>0.19</x:v>
      </x:c>
      <x:c r="D1986" s="11" t="n">
        <x:v>15.85</x:v>
      </x:c>
      <x:c r="E1986" s="11" t="n">
        <x:v>12.238</x:v>
      </x:c>
      <x:c r="F1986" s="11" t="n">
        <x:f>SQRT((C1986-C1985)^2+(D1986-D1985)^2+(E1986-E1985)^2)</x:f>
        <x:v>0.1</x:v>
      </x:c>
      <x:c r="G1986" s="8" t="str">
        <x:v>Current</x:v>
      </x:c>
    </x:row>
    <x:row r="1987" ht="32" customHeight="1">
      <x:c r="A1987" s="8" t="str">
        <x:v>drop:EB1:L7:light:1:L218</x:v>
      </x:c>
      <x:c r="B1987" s="8" t="n">
        <x:v>11</x:v>
      </x:c>
      <x:c r="C1987" s="11" t="n">
        <x:v>0.19</x:v>
      </x:c>
      <x:c r="D1987" s="11" t="n">
        <x:v>15.85</x:v>
      </x:c>
      <x:c r="E1987" s="11" t="n">
        <x:v>12.138</x:v>
      </x:c>
      <x:c r="F1987" s="11" t="n">
        <x:f>SQRT((C1987-C1986)^2+(D1987-D1986)^2+(E1987-E1986)^2)</x:f>
        <x:v>0.09999999999999964</x:v>
      </x:c>
      <x:c r="G1987" s="8" t="str">
        <x:v>Current</x:v>
      </x:c>
    </x:row>
    <x:row r="1988" ht="32" customHeight="1">
      <x:c r="A1988" s="8" t="str">
        <x:v>drop:EB1:L7:light:1:L218</x:v>
      </x:c>
      <x:c r="B1988" s="8" t="n">
        <x:v>12</x:v>
      </x:c>
      <x:c r="C1988" s="11" t="n">
        <x:v>0.19</x:v>
      </x:c>
      <x:c r="D1988" s="11" t="n">
        <x:v>19.490000000000002</x:v>
      </x:c>
      <x:c r="E1988" s="11" t="n">
        <x:v>12.138</x:v>
      </x:c>
      <x:c r="F1988" s="11" t="n">
        <x:f>SQRT((C1988-C1987)^2+(D1988-D1987)^2+(E1988-E1987)^2)</x:f>
        <x:v>3.6400000000000023</x:v>
      </x:c>
      <x:c r="G1988" s="8" t="str">
        <x:v>Current</x:v>
      </x:c>
    </x:row>
    <x:row r="1989" ht="32" customHeight="1">
      <x:c r="A1989" s="8" t="str">
        <x:v>drop:EB1:L7:light:1:L218</x:v>
      </x:c>
      <x:c r="B1989" s="8" t="n">
        <x:v>13</x:v>
      </x:c>
      <x:c r="C1989" s="11" t="n">
        <x:v>0.19</x:v>
      </x:c>
      <x:c r="D1989" s="11" t="n">
        <x:v>19.490000000000002</x:v>
      </x:c>
      <x:c r="E1989" s="11" t="n">
        <x:v>12.573</x:v>
      </x:c>
      <x:c r="F1989" s="11" t="n">
        <x:f>SQRT((C1989-C1988)^2+(D1989-D1988)^2+(E1989-E1988)^2)</x:f>
        <x:v>0.4350000000000005</x:v>
      </x:c>
      <x:c r="G1989" s="8" t="str">
        <x:v>Current</x:v>
      </x:c>
    </x:row>
    <x:row r="1990" ht="32" customHeight="1">
      <x:c r="A1990" s="8" t="str">
        <x:v>drop:EB1:L7:light:1:L218</x:v>
      </x:c>
      <x:c r="B1990" s="8" t="n">
        <x:v>14</x:v>
      </x:c>
      <x:c r="C1990" s="11" t="n">
        <x:v>-0.525</x:v>
      </x:c>
      <x:c r="D1990" s="11" t="n">
        <x:v>19.490000000000002</x:v>
      </x:c>
      <x:c r="E1990" s="11" t="n">
        <x:v>12.573</x:v>
      </x:c>
      <x:c r="F1990" s="11" t="n">
        <x:f>SQRT((C1990-C1989)^2+(D1990-D1989)^2+(E1990-E1989)^2)</x:f>
        <x:v>0.7150000000000001</x:v>
      </x:c>
      <x:c r="G1990" s="8" t="str">
        <x:v>Current</x:v>
      </x:c>
    </x:row>
    <x:row r="1991" ht="32" customHeight="1">
      <x:c r="A1991" s="8" t="str">
        <x:v>drop:EB1:L7:light:1:L221</x:v>
      </x:c>
      <x:c r="B1991" s="8" t="n">
        <x:v>1</x:v>
      </x:c>
      <x:c r="C1991" s="11" t="n">
        <x:v>52.6</x:v>
      </x:c>
      <x:c r="D1991" s="11" t="n">
        <x:v>5.98</x:v>
      </x:c>
      <x:c r="E1991" s="11" t="n">
        <x:v>7.36</x:v>
      </x:c>
      <x:c r="F1991" s="11" t="n">
        <x:f>0</x:f>
        <x:v>0</x:v>
      </x:c>
      <x:c r="G1991" s="8" t="str">
        <x:v>Current</x:v>
      </x:c>
    </x:row>
    <x:row r="1992" ht="32" customHeight="1">
      <x:c r="A1992" s="8" t="str">
        <x:v>drop:EB1:L7:light:1:L221</x:v>
      </x:c>
      <x:c r="B1992" s="8" t="n">
        <x:v>2</x:v>
      </x:c>
      <x:c r="C1992" s="11" t="n">
        <x:v>52.6</x:v>
      </x:c>
      <x:c r="D1992" s="11" t="n">
        <x:v>7.04</x:v>
      </x:c>
      <x:c r="E1992" s="11" t="n">
        <x:v>7.36</x:v>
      </x:c>
      <x:c r="F1992" s="11" t="n">
        <x:f>SQRT((C1992-C1991)^2+(D1992-D1991)^2+(E1992-E1991)^2)</x:f>
        <x:v>1.0599999999999996</x:v>
      </x:c>
      <x:c r="G1992" s="8" t="str">
        <x:v>Current</x:v>
      </x:c>
    </x:row>
    <x:row r="1993" ht="32" customHeight="1">
      <x:c r="A1993" s="8" t="str">
        <x:v>drop:EB1:L7:light:1:L221</x:v>
      </x:c>
      <x:c r="B1993" s="8" t="n">
        <x:v>3</x:v>
      </x:c>
      <x:c r="C1993" s="11" t="n">
        <x:v>52.6</x:v>
      </x:c>
      <x:c r="D1993" s="11" t="n">
        <x:v>6.932496881126359</x:v>
      </x:c>
      <x:c r="E1993" s="11" t="n">
        <x:v>7.4387096774193555</x:v>
      </x:c>
      <x:c r="F1993" s="11" t="n">
        <x:f>SQRT((C1993-C1992)^2+(D1993-D1992)^2+(E1993-E1992)^2)</x:f>
        <x:v>0.13323713403934787</x:v>
      </x:c>
      <x:c r="G1993" s="8" t="str">
        <x:v>Current</x:v>
      </x:c>
    </x:row>
    <x:row r="1994" ht="32" customHeight="1">
      <x:c r="A1994" s="8" t="str">
        <x:v>drop:EB1:L7:light:1:L221</x:v>
      </x:c>
      <x:c r="B1994" s="8" t="n">
        <x:v>4</x:v>
      </x:c>
      <x:c r="C1994" s="11" t="n">
        <x:v>52.6</x:v>
      </x:c>
      <x:c r="D1994" s="11" t="n">
        <x:v>6.4074033149171274</x:v>
      </x:c>
      <x:c r="E1994" s="11" t="n">
        <x:v>9.8</x:v>
      </x:c>
      <x:c r="F1994" s="11" t="n">
        <x:f>SQRT((C1994-C1993)^2+(D1994-D1993)^2+(E1994-E1993)^2)</x:f>
        <x:v>2.418969871822991</x:v>
      </x:c>
      <x:c r="G1994" s="8" t="str">
        <x:v>Current</x:v>
      </x:c>
    </x:row>
    <x:row r="1995" ht="32" customHeight="1">
      <x:c r="A1995" s="8" t="str">
        <x:v>drop:EB1:L7:light:1:L221</x:v>
      </x:c>
      <x:c r="B1995" s="8" t="n">
        <x:v>5</x:v>
      </x:c>
      <x:c r="C1995" s="11" t="n">
        <x:v>52.6</x:v>
      </x:c>
      <x:c r="D1995" s="11" t="n">
        <x:v>6.55</x:v>
      </x:c>
      <x:c r="E1995" s="11" t="n">
        <x:v>9.8</x:v>
      </x:c>
      <x:c r="F1995" s="11" t="n">
        <x:f>SQRT((C1995-C1994)^2+(D1995-D1994)^2+(E1995-E1994)^2)</x:f>
        <x:v>0.14259668508287238</x:v>
      </x:c>
      <x:c r="G1995" s="8" t="str">
        <x:v>Current</x:v>
      </x:c>
    </x:row>
    <x:row r="1996" ht="32" customHeight="1">
      <x:c r="A1996" s="8" t="str">
        <x:v>trunk:DB2:L10:light:-1</x:v>
      </x:c>
      <x:c r="B1996" s="8" t="n">
        <x:v>1</x:v>
      </x:c>
      <x:c r="C1996" s="11" t="n">
        <x:v>0.24</x:v>
      </x:c>
      <x:c r="D1996" s="11" t="n">
        <x:v>1.5</x:v>
      </x:c>
      <x:c r="E1996" s="11" t="n">
        <x:v>9.25</x:v>
      </x:c>
      <x:c r="F1996" s="11" t="n">
        <x:f>0</x:f>
        <x:v>0</x:v>
      </x:c>
      <x:c r="G1996" s="8" t="str">
        <x:v>Current</x:v>
      </x:c>
    </x:row>
    <x:row r="1997" ht="32" customHeight="1">
      <x:c r="A1997" s="8" t="str">
        <x:v>trunk:DB2:L10:light:-1</x:v>
      </x:c>
      <x:c r="B1997" s="8" t="n">
        <x:v>2</x:v>
      </x:c>
      <x:c r="C1997" s="11" t="n">
        <x:v>2.35</x:v>
      </x:c>
      <x:c r="D1997" s="11" t="n">
        <x:v>1.5</x:v>
      </x:c>
      <x:c r="E1997" s="11" t="n">
        <x:v>9.25</x:v>
      </x:c>
      <x:c r="F1997" s="11" t="n">
        <x:f>SQRT((C1997-C1996)^2+(D1997-D1996)^2+(E1997-E1996)^2)</x:f>
        <x:v>2.1100000000000003</x:v>
      </x:c>
      <x:c r="G1997" s="8" t="str">
        <x:v>Current</x:v>
      </x:c>
    </x:row>
    <x:row r="1998" ht="32" customHeight="1">
      <x:c r="A1998" s="8" t="str">
        <x:v>trunk:DB2:L10:light:-1</x:v>
      </x:c>
      <x:c r="B1998" s="8" t="n">
        <x:v>3</x:v>
      </x:c>
      <x:c r="C1998" s="11" t="n">
        <x:v>2.35</x:v>
      </x:c>
      <x:c r="D1998" s="11" t="n">
        <x:v>7.65</x:v>
      </x:c>
      <x:c r="E1998" s="11" t="n">
        <x:v>9.25</x:v>
      </x:c>
      <x:c r="F1998" s="11" t="n">
        <x:f>SQRT((C1998-C1997)^2+(D1998-D1997)^2+(E1998-E1997)^2)</x:f>
        <x:v>6.15</x:v>
      </x:c>
      <x:c r="G1998" s="8" t="str">
        <x:v>Current</x:v>
      </x:c>
    </x:row>
    <x:row r="1999" ht="32" customHeight="1">
      <x:c r="A1999" s="8" t="str">
        <x:v>trunk:DB2:L10:light:-1</x:v>
      </x:c>
      <x:c r="B1999" s="8" t="n">
        <x:v>4</x:v>
      </x:c>
      <x:c r="C1999" s="11" t="n">
        <x:v>2.35</x:v>
      </x:c>
      <x:c r="D1999" s="11" t="n">
        <x:v>7.65</x:v>
      </x:c>
      <x:c r="E1999" s="11" t="n">
        <x:v>-7.36</x:v>
      </x:c>
      <x:c r="F1999" s="11" t="n">
        <x:f>SQRT((C1999-C1998)^2+(D1999-D1998)^2+(E1999-E1998)^2)</x:f>
        <x:v>16.61</x:v>
      </x:c>
      <x:c r="G1999" s="8" t="str">
        <x:v>Current</x:v>
      </x:c>
    </x:row>
    <x:row r="2000" ht="32" customHeight="1">
      <x:c r="A2000" s="8" t="str">
        <x:v>trunk:DB2:L10:light:-1</x:v>
      </x:c>
      <x:c r="B2000" s="8" t="n">
        <x:v>5</x:v>
      </x:c>
      <x:c r="C2000" s="11" t="n">
        <x:v>2.35</x:v>
      </x:c>
      <x:c r="D2000" s="11" t="n">
        <x:v>6.140000000000001</x:v>
      </x:c>
      <x:c r="E2000" s="11" t="n">
        <x:v>-7.36</x:v>
      </x:c>
      <x:c r="F2000" s="11" t="n">
        <x:f>SQRT((C2000-C1999)^2+(D2000-D1999)^2+(E2000-E1999)^2)</x:f>
        <x:v>1.5099999999999998</x:v>
      </x:c>
      <x:c r="G2000" s="8" t="str">
        <x:v>Current</x:v>
      </x:c>
    </x:row>
    <x:row r="2001" ht="32" customHeight="1">
      <x:c r="A2001" s="8" t="str">
        <x:v>trunk:DB2:L10:light:-1</x:v>
      </x:c>
      <x:c r="B2001" s="8" t="n">
        <x:v>6</x:v>
      </x:c>
      <x:c r="C2001" s="11" t="n">
        <x:v>4.05</x:v>
      </x:c>
      <x:c r="D2001" s="11" t="n">
        <x:v>6.140000000000001</x:v>
      </x:c>
      <x:c r="E2001" s="11" t="n">
        <x:v>-7.36</x:v>
      </x:c>
      <x:c r="F2001" s="11" t="n">
        <x:f>SQRT((C2001-C2000)^2+(D2001-D2000)^2+(E2001-E2000)^2)</x:f>
        <x:v>1.6999999999999997</x:v>
      </x:c>
      <x:c r="G2001" s="8" t="str">
        <x:v>Current</x:v>
      </x:c>
    </x:row>
    <x:row r="2002" ht="32" customHeight="1">
      <x:c r="A2002" s="8" t="str">
        <x:v>drop:DB2:L10:light:-1:L-STATUE-C-ARCH</x:v>
      </x:c>
      <x:c r="B2002" s="8" t="n">
        <x:v>1</x:v>
      </x:c>
      <x:c r="C2002" s="11" t="n">
        <x:v>3.95</x:v>
      </x:c>
      <x:c r="D2002" s="11" t="n">
        <x:v>6.140000000000001</x:v>
      </x:c>
      <x:c r="E2002" s="11" t="n">
        <x:v>-7.36</x:v>
      </x:c>
      <x:c r="F2002" s="11" t="n">
        <x:f>0</x:f>
        <x:v>0</x:v>
      </x:c>
      <x:c r="G2002" s="8" t="str">
        <x:v>Current</x:v>
      </x:c>
    </x:row>
    <x:row r="2003" ht="32" customHeight="1">
      <x:c r="A2003" s="8" t="str">
        <x:v>drop:DB2:L10:light:-1:L-STATUE-C-ARCH</x:v>
      </x:c>
      <x:c r="B2003" s="8" t="n">
        <x:v>2</x:v>
      </x:c>
      <x:c r="C2003" s="11" t="n">
        <x:v>2.35</x:v>
      </x:c>
      <x:c r="D2003" s="11" t="n">
        <x:v>7.65</x:v>
      </x:c>
      <x:c r="E2003" s="11" t="n">
        <x:v>-7.36</x:v>
      </x:c>
      <x:c r="F2003" s="11" t="n">
        <x:f>SQRT((C2003-C2002)^2+(D2003-D2002)^2+(E2003-E2002)^2)</x:f>
        <x:v>2.2000227271553356</x:v>
      </x:c>
      <x:c r="G2003" s="8" t="str">
        <x:v>Current</x:v>
      </x:c>
    </x:row>
    <x:row r="2004" ht="32" customHeight="1">
      <x:c r="A2004" s="8" t="str">
        <x:v>drop:DB2:L10:light:-1:L-STATUE-C-ARCH</x:v>
      </x:c>
      <x:c r="B2004" s="8" t="n">
        <x:v>3</x:v>
      </x:c>
      <x:c r="C2004" s="11" t="n">
        <x:v>2.35</x:v>
      </x:c>
      <x:c r="D2004" s="11" t="n">
        <x:v>7.65</x:v>
      </x:c>
      <x:c r="E2004" s="11" t="n">
        <x:v>0</x:v>
      </x:c>
      <x:c r="F2004" s="11" t="n">
        <x:f>SQRT((C2004-C2003)^2+(D2004-D2003)^2+(E2004-E2003)^2)</x:f>
        <x:v>7.36</x:v>
      </x:c>
      <x:c r="G2004" s="8" t="str">
        <x:v>Current</x:v>
      </x:c>
    </x:row>
    <x:row r="2005" ht="32" customHeight="1">
      <x:c r="A2005" s="8" t="str">
        <x:v>drop:DB2:L10:light:-1:L-STATUE-C-ARCH</x:v>
      </x:c>
      <x:c r="B2005" s="8" t="n">
        <x:v>4</x:v>
      </x:c>
      <x:c r="C2005" s="11" t="n">
        <x:v>2.35</x:v>
      </x:c>
      <x:c r="D2005" s="11" t="n">
        <x:v>19.614</x:v>
      </x:c>
      <x:c r="E2005" s="11" t="n">
        <x:v>0</x:v>
      </x:c>
      <x:c r="F2005" s="11" t="n">
        <x:f>SQRT((C2005-C2004)^2+(D2005-D2004)^2+(E2005-E2004)^2)</x:f>
        <x:v>11.964</x:v>
      </x:c>
      <x:c r="G2005" s="8" t="str">
        <x:v>Current</x:v>
      </x:c>
    </x:row>
    <x:row r="2006" ht="32" customHeight="1">
      <x:c r="A2006" s="8" t="str">
        <x:v>drop:DB2:L10:light:-1:L-STATUE-C-ARCH</x:v>
      </x:c>
      <x:c r="B2006" s="8" t="n">
        <x:v>5</x:v>
      </x:c>
      <x:c r="C2006" s="11" t="n">
        <x:v>3.95</x:v>
      </x:c>
      <x:c r="D2006" s="11" t="n">
        <x:v>19.614</x:v>
      </x:c>
      <x:c r="E2006" s="11" t="n">
        <x:v>0</x:v>
      </x:c>
      <x:c r="F2006" s="11" t="n">
        <x:f>SQRT((C2006-C2005)^2+(D2006-D2005)^2+(E2006-E2005)^2)</x:f>
        <x:v>1.6</x:v>
      </x:c>
      <x:c r="G2006" s="8" t="str">
        <x:v>Current</x:v>
      </x:c>
    </x:row>
    <x:row r="2007" ht="32" customHeight="1">
      <x:c r="A2007" s="8" t="str">
        <x:v>drop:DB2:L10:light:-1:L-STATUE-C-JAMB-1</x:v>
      </x:c>
      <x:c r="B2007" s="8" t="n">
        <x:v>1</x:v>
      </x:c>
      <x:c r="C2007" s="11" t="n">
        <x:v>3.95</x:v>
      </x:c>
      <x:c r="D2007" s="11" t="n">
        <x:v>6.140000000000001</x:v>
      </x:c>
      <x:c r="E2007" s="11" t="n">
        <x:v>-7.36</x:v>
      </x:c>
      <x:c r="F2007" s="11" t="n">
        <x:f>0</x:f>
        <x:v>0</x:v>
      </x:c>
      <x:c r="G2007" s="8" t="str">
        <x:v>Current</x:v>
      </x:c>
    </x:row>
    <x:row r="2008" ht="32" customHeight="1">
      <x:c r="A2008" s="8" t="str">
        <x:v>drop:DB2:L10:light:-1:L-STATUE-C-JAMB-1</x:v>
      </x:c>
      <x:c r="B2008" s="8" t="n">
        <x:v>2</x:v>
      </x:c>
      <x:c r="C2008" s="11" t="n">
        <x:v>2.35</x:v>
      </x:c>
      <x:c r="D2008" s="11" t="n">
        <x:v>7.65</x:v>
      </x:c>
      <x:c r="E2008" s="11" t="n">
        <x:v>-7.36</x:v>
      </x:c>
      <x:c r="F2008" s="11" t="n">
        <x:f>SQRT((C2008-C2007)^2+(D2008-D2007)^2+(E2008-E2007)^2)</x:f>
        <x:v>2.2000227271553356</x:v>
      </x:c>
      <x:c r="G2008" s="8" t="str">
        <x:v>Current</x:v>
      </x:c>
    </x:row>
    <x:row r="2009" ht="32" customHeight="1">
      <x:c r="A2009" s="8" t="str">
        <x:v>drop:DB2:L10:light:-1:L-STATUE-C-JAMB-1</x:v>
      </x:c>
      <x:c r="B2009" s="8" t="n">
        <x:v>3</x:v>
      </x:c>
      <x:c r="C2009" s="11" t="n">
        <x:v>2.35</x:v>
      </x:c>
      <x:c r="D2009" s="11" t="n">
        <x:v>7.65</x:v>
      </x:c>
      <x:c r="E2009" s="11" t="n">
        <x:v>-0.691</x:v>
      </x:c>
      <x:c r="F2009" s="11" t="n">
        <x:f>SQRT((C2009-C2008)^2+(D2009-D2008)^2+(E2009-E2008)^2)</x:f>
        <x:v>6.6690000000000005</x:v>
      </x:c>
      <x:c r="G2009" s="8" t="str">
        <x:v>Current</x:v>
      </x:c>
    </x:row>
    <x:row r="2010" ht="32" customHeight="1">
      <x:c r="A2010" s="8" t="str">
        <x:v>drop:DB2:L10:light:-1:L-STATUE-C-JAMB-1</x:v>
      </x:c>
      <x:c r="B2010" s="8" t="n">
        <x:v>4</x:v>
      </x:c>
      <x:c r="C2010" s="11" t="n">
        <x:v>2.35</x:v>
      </x:c>
      <x:c r="D2010" s="11" t="n">
        <x:v>17.79</x:v>
      </x:c>
      <x:c r="E2010" s="11" t="n">
        <x:v>-0.691</x:v>
      </x:c>
      <x:c r="F2010" s="11" t="n">
        <x:f>SQRT((C2010-C2009)^2+(D2010-D2009)^2+(E2010-E2009)^2)</x:f>
        <x:v>10.139999999999999</x:v>
      </x:c>
      <x:c r="G2010" s="8" t="str">
        <x:v>Current</x:v>
      </x:c>
    </x:row>
    <x:row r="2011" ht="32" customHeight="1">
      <x:c r="A2011" s="8" t="str">
        <x:v>drop:DB2:L10:light:-1:L-STATUE-C-JAMB-1</x:v>
      </x:c>
      <x:c r="B2011" s="8" t="n">
        <x:v>5</x:v>
      </x:c>
      <x:c r="C2011" s="11" t="n">
        <x:v>3.95</x:v>
      </x:c>
      <x:c r="D2011" s="11" t="n">
        <x:v>17.79</x:v>
      </x:c>
      <x:c r="E2011" s="11" t="n">
        <x:v>-0.691</x:v>
      </x:c>
      <x:c r="F2011" s="11" t="n">
        <x:f>SQRT((C2011-C2010)^2+(D2011-D2010)^2+(E2011-E2010)^2)</x:f>
        <x:v>1.6</x:v>
      </x:c>
      <x:c r="G2011" s="8" t="str">
        <x:v>Current</x:v>
      </x:c>
    </x:row>
    <x:row r="2012" ht="32" customHeight="1">
      <x:c r="A2012" s="8" t="str">
        <x:v>drop:DB2:L10:light:-1:L-STATUE-C-CANDLE-1</x:v>
      </x:c>
      <x:c r="B2012" s="8" t="n">
        <x:v>1</x:v>
      </x:c>
      <x:c r="C2012" s="11" t="n">
        <x:v>3.72</x:v>
      </x:c>
      <x:c r="D2012" s="11" t="n">
        <x:v>6.140000000000001</x:v>
      </x:c>
      <x:c r="E2012" s="11" t="n">
        <x:v>-7.36</x:v>
      </x:c>
      <x:c r="F2012" s="11" t="n">
        <x:f>0</x:f>
        <x:v>0</x:v>
      </x:c>
      <x:c r="G2012" s="8" t="str">
        <x:v>Current</x:v>
      </x:c>
    </x:row>
    <x:row r="2013" ht="32" customHeight="1">
      <x:c r="A2013" s="8" t="str">
        <x:v>drop:DB2:L10:light:-1:L-STATUE-C-CANDLE-1</x:v>
      </x:c>
      <x:c r="B2013" s="8" t="n">
        <x:v>2</x:v>
      </x:c>
      <x:c r="C2013" s="11" t="n">
        <x:v>2.35</x:v>
      </x:c>
      <x:c r="D2013" s="11" t="n">
        <x:v>7.65</x:v>
      </x:c>
      <x:c r="E2013" s="11" t="n">
        <x:v>-7.36</x:v>
      </x:c>
      <x:c r="F2013" s="11" t="n">
        <x:f>SQRT((C2013-C2012)^2+(D2013-D2012)^2+(E2013-E2012)^2)</x:f>
        <x:v>2.038872237291979</x:v>
      </x:c>
      <x:c r="G2013" s="8" t="str">
        <x:v>Current</x:v>
      </x:c>
    </x:row>
    <x:row r="2014" ht="32" customHeight="1">
      <x:c r="A2014" s="8" t="str">
        <x:v>drop:DB2:L10:light:-1:L-STATUE-C-CANDLE-1</x:v>
      </x:c>
      <x:c r="B2014" s="8" t="n">
        <x:v>3</x:v>
      </x:c>
      <x:c r="C2014" s="11" t="n">
        <x:v>2.35</x:v>
      </x:c>
      <x:c r="D2014" s="11" t="n">
        <x:v>7.65</x:v>
      </x:c>
      <x:c r="E2014" s="11" t="n">
        <x:v>-0.3</x:v>
      </x:c>
      <x:c r="F2014" s="11" t="n">
        <x:f>SQRT((C2014-C2013)^2+(D2014-D2013)^2+(E2014-E2013)^2)</x:f>
        <x:v>7.0600000000000005</x:v>
      </x:c>
      <x:c r="G2014" s="8" t="str">
        <x:v>Current</x:v>
      </x:c>
    </x:row>
    <x:row r="2015" ht="32" customHeight="1">
      <x:c r="A2015" s="8" t="str">
        <x:v>drop:DB2:L10:light:-1:L-STATUE-C-CANDLE-1</x:v>
      </x:c>
      <x:c r="B2015" s="8" t="n">
        <x:v>4</x:v>
      </x:c>
      <x:c r="C2015" s="11" t="n">
        <x:v>2.35</x:v>
      </x:c>
      <x:c r="D2015" s="11" t="n">
        <x:v>16.683</x:v>
      </x:c>
      <x:c r="E2015" s="11" t="n">
        <x:v>-0.3</x:v>
      </x:c>
      <x:c r="F2015" s="11" t="n">
        <x:f>SQRT((C2015-C2014)^2+(D2015-D2014)^2+(E2015-E2014)^2)</x:f>
        <x:v>9.033</x:v>
      </x:c>
      <x:c r="G2015" s="8" t="str">
        <x:v>Current</x:v>
      </x:c>
    </x:row>
    <x:row r="2016" ht="32" customHeight="1">
      <x:c r="A2016" s="8" t="str">
        <x:v>drop:DB2:L10:light:-1:L-STATUE-C-CANDLE-1</x:v>
      </x:c>
      <x:c r="B2016" s="8" t="n">
        <x:v>5</x:v>
      </x:c>
      <x:c r="C2016" s="11" t="n">
        <x:v>3.72</x:v>
      </x:c>
      <x:c r="D2016" s="11" t="n">
        <x:v>16.683</x:v>
      </x:c>
      <x:c r="E2016" s="11" t="n">
        <x:v>-0.3</x:v>
      </x:c>
      <x:c r="F2016" s="11" t="n">
        <x:f>SQRT((C2016-C2015)^2+(D2016-D2015)^2+(E2016-E2015)^2)</x:f>
        <x:v>1.37</x:v>
      </x:c>
      <x:c r="G2016" s="8" t="str">
        <x:v>Current</x:v>
      </x:c>
    </x:row>
    <x:row r="2017" ht="32" customHeight="1">
      <x:c r="A2017" s="8" t="str">
        <x:v>drop:DB2:L10:light:-1:L-STATUE-B-ARCH</x:v>
      </x:c>
      <x:c r="B2017" s="8" t="n">
        <x:v>1</x:v>
      </x:c>
      <x:c r="C2017" s="11" t="n">
        <x:v>4.05</x:v>
      </x:c>
      <x:c r="D2017" s="11" t="n">
        <x:v>6.140000000000001</x:v>
      </x:c>
      <x:c r="E2017" s="11" t="n">
        <x:v>-7.36</x:v>
      </x:c>
      <x:c r="F2017" s="11" t="n">
        <x:f>0</x:f>
        <x:v>0</x:v>
      </x:c>
      <x:c r="G2017" s="8" t="str">
        <x:v>Current</x:v>
      </x:c>
    </x:row>
    <x:row r="2018" ht="32" customHeight="1">
      <x:c r="A2018" s="8" t="str">
        <x:v>drop:DB2:L10:light:-1:L-STATUE-B-ARCH</x:v>
      </x:c>
      <x:c r="B2018" s="8" t="n">
        <x:v>2</x:v>
      </x:c>
      <x:c r="C2018" s="11" t="n">
        <x:v>2.35</x:v>
      </x:c>
      <x:c r="D2018" s="11" t="n">
        <x:v>7.65</x:v>
      </x:c>
      <x:c r="E2018" s="11" t="n">
        <x:v>-7.36</x:v>
      </x:c>
      <x:c r="F2018" s="11" t="n">
        <x:f>SQRT((C2018-C2017)^2+(D2018-D2017)^2+(E2018-E2017)^2)</x:f>
        <x:v>2.2737853900489373</x:v>
      </x:c>
      <x:c r="G2018" s="8" t="str">
        <x:v>Current</x:v>
      </x:c>
    </x:row>
    <x:row r="2019" ht="32" customHeight="1">
      <x:c r="A2019" s="8" t="str">
        <x:v>drop:DB2:L10:light:-1:L-STATUE-B-ARCH</x:v>
      </x:c>
      <x:c r="B2019" s="8" t="n">
        <x:v>3</x:v>
      </x:c>
      <x:c r="C2019" s="11" t="n">
        <x:v>2.35</x:v>
      </x:c>
      <x:c r="D2019" s="11" t="n">
        <x:v>7.65</x:v>
      </x:c>
      <x:c r="E2019" s="11" t="n">
        <x:v>-5.35</x:v>
      </x:c>
      <x:c r="F2019" s="11" t="n">
        <x:f>SQRT((C2019-C2018)^2+(D2019-D2018)^2+(E2019-E2018)^2)</x:f>
        <x:v>2.0100000000000007</x:v>
      </x:c>
      <x:c r="G2019" s="8" t="str">
        <x:v>Current</x:v>
      </x:c>
    </x:row>
    <x:row r="2020" ht="32" customHeight="1">
      <x:c r="A2020" s="8" t="str">
        <x:v>drop:DB2:L10:light:-1:L-STATUE-B-ARCH</x:v>
      </x:c>
      <x:c r="B2020" s="8" t="n">
        <x:v>4</x:v>
      </x:c>
      <x:c r="C2020" s="11" t="n">
        <x:v>2.35</x:v>
      </x:c>
      <x:c r="D2020" s="11" t="n">
        <x:v>12.917</x:v>
      </x:c>
      <x:c r="E2020" s="11" t="n">
        <x:v>-5.35</x:v>
      </x:c>
      <x:c r="F2020" s="11" t="n">
        <x:f>SQRT((C2020-C2019)^2+(D2020-D2019)^2+(E2020-E2019)^2)</x:f>
        <x:v>5.2669999999999995</x:v>
      </x:c>
      <x:c r="G2020" s="8" t="str">
        <x:v>Current</x:v>
      </x:c>
    </x:row>
    <x:row r="2021" ht="32" customHeight="1">
      <x:c r="A2021" s="8" t="str">
        <x:v>drop:DB2:L10:light:-1:L-STATUE-B-ARCH</x:v>
      </x:c>
      <x:c r="B2021" s="8" t="n">
        <x:v>5</x:v>
      </x:c>
      <x:c r="C2021" s="11" t="n">
        <x:v>4.05</x:v>
      </x:c>
      <x:c r="D2021" s="11" t="n">
        <x:v>12.917</x:v>
      </x:c>
      <x:c r="E2021" s="11" t="n">
        <x:v>-5.35</x:v>
      </x:c>
      <x:c r="F2021" s="11" t="n">
        <x:f>SQRT((C2021-C2020)^2+(D2021-D2020)^2+(E2021-E2020)^2)</x:f>
        <x:v>1.6999999999999997</x:v>
      </x:c>
      <x:c r="G2021" s="8" t="str">
        <x:v>Current</x:v>
      </x:c>
    </x:row>
    <x:row r="2022" ht="32" customHeight="1">
      <x:c r="A2022" s="8" t="str">
        <x:v>drop:DB2:L10:light:-1:L-STATUE-B-JAMB-1</x:v>
      </x:c>
      <x:c r="B2022" s="8" t="n">
        <x:v>1</x:v>
      </x:c>
      <x:c r="C2022" s="11" t="n">
        <x:v>4.05</x:v>
      </x:c>
      <x:c r="D2022" s="11" t="n">
        <x:v>6.140000000000001</x:v>
      </x:c>
      <x:c r="E2022" s="11" t="n">
        <x:v>-7.36</x:v>
      </x:c>
      <x:c r="F2022" s="11" t="n">
        <x:f>0</x:f>
        <x:v>0</x:v>
      </x:c>
      <x:c r="G2022" s="8" t="str">
        <x:v>Current</x:v>
      </x:c>
    </x:row>
    <x:row r="2023" ht="32" customHeight="1">
      <x:c r="A2023" s="8" t="str">
        <x:v>drop:DB2:L10:light:-1:L-STATUE-B-JAMB-1</x:v>
      </x:c>
      <x:c r="B2023" s="8" t="n">
        <x:v>2</x:v>
      </x:c>
      <x:c r="C2023" s="11" t="n">
        <x:v>2.35</x:v>
      </x:c>
      <x:c r="D2023" s="11" t="n">
        <x:v>7.65</x:v>
      </x:c>
      <x:c r="E2023" s="11" t="n">
        <x:v>-7.36</x:v>
      </x:c>
      <x:c r="F2023" s="11" t="n">
        <x:f>SQRT((C2023-C2022)^2+(D2023-D2022)^2+(E2023-E2022)^2)</x:f>
        <x:v>2.2737853900489373</x:v>
      </x:c>
      <x:c r="G2023" s="8" t="str">
        <x:v>Current</x:v>
      </x:c>
    </x:row>
    <x:row r="2024" ht="32" customHeight="1">
      <x:c r="A2024" s="8" t="str">
        <x:v>drop:DB2:L10:light:-1:L-STATUE-B-JAMB-1</x:v>
      </x:c>
      <x:c r="B2024" s="8" t="n">
        <x:v>3</x:v>
      </x:c>
      <x:c r="C2024" s="11" t="n">
        <x:v>2.35</x:v>
      </x:c>
      <x:c r="D2024" s="11" t="n">
        <x:v>7.65</x:v>
      </x:c>
      <x:c r="E2024" s="11" t="n">
        <x:v>-5.928999999999999</x:v>
      </x:c>
      <x:c r="F2024" s="11" t="n">
        <x:f>SQRT((C2024-C2023)^2+(D2024-D2023)^2+(E2024-E2023)^2)</x:f>
        <x:v>1.431000000000001</x:v>
      </x:c>
      <x:c r="G2024" s="8" t="str">
        <x:v>Current</x:v>
      </x:c>
    </x:row>
    <x:row r="2025" ht="32" customHeight="1">
      <x:c r="A2025" s="8" t="str">
        <x:v>drop:DB2:L10:light:-1:L-STATUE-B-JAMB-1</x:v>
      </x:c>
      <x:c r="B2025" s="8" t="n">
        <x:v>4</x:v>
      </x:c>
      <x:c r="C2025" s="11" t="n">
        <x:v>2.35</x:v>
      </x:c>
      <x:c r="D2025" s="11" t="n">
        <x:v>11.35</x:v>
      </x:c>
      <x:c r="E2025" s="11" t="n">
        <x:v>-5.928999999999999</x:v>
      </x:c>
      <x:c r="F2025" s="11" t="n">
        <x:f>SQRT((C2025-C2024)^2+(D2025-D2024)^2+(E2025-E2024)^2)</x:f>
        <x:v>3.6999999999999993</x:v>
      </x:c>
      <x:c r="G2025" s="8" t="str">
        <x:v>Current</x:v>
      </x:c>
    </x:row>
    <x:row r="2026" ht="32" customHeight="1">
      <x:c r="A2026" s="8" t="str">
        <x:v>drop:DB2:L10:light:-1:L-STATUE-B-JAMB-1</x:v>
      </x:c>
      <x:c r="B2026" s="8" t="n">
        <x:v>5</x:v>
      </x:c>
      <x:c r="C2026" s="11" t="n">
        <x:v>4.05</x:v>
      </x:c>
      <x:c r="D2026" s="11" t="n">
        <x:v>11.35</x:v>
      </x:c>
      <x:c r="E2026" s="11" t="n">
        <x:v>-5.928999999999999</x:v>
      </x:c>
      <x:c r="F2026" s="11" t="n">
        <x:f>SQRT((C2026-C2025)^2+(D2026-D2025)^2+(E2026-E2025)^2)</x:f>
        <x:v>1.6999999999999997</x:v>
      </x:c>
      <x:c r="G2026" s="8" t="str">
        <x:v>Current</x:v>
      </x:c>
    </x:row>
    <x:row r="2027" ht="32" customHeight="1">
      <x:c r="A2027" s="8" t="str">
        <x:v>drop:DB2:L10:light:-1:L-STATUE-B-CANDLE-1</x:v>
      </x:c>
      <x:c r="B2027" s="8" t="n">
        <x:v>1</x:v>
      </x:c>
      <x:c r="C2027" s="11" t="n">
        <x:v>3.960000000000001</x:v>
      </x:c>
      <x:c r="D2027" s="11" t="n">
        <x:v>6.140000000000001</x:v>
      </x:c>
      <x:c r="E2027" s="11" t="n">
        <x:v>-7.36</x:v>
      </x:c>
      <x:c r="F2027" s="11" t="n">
        <x:f>0</x:f>
        <x:v>0</x:v>
      </x:c>
      <x:c r="G2027" s="8" t="str">
        <x:v>Current</x:v>
      </x:c>
    </x:row>
    <x:row r="2028" ht="32" customHeight="1">
      <x:c r="A2028" s="8" t="str">
        <x:v>drop:DB2:L10:light:-1:L-STATUE-B-CANDLE-1</x:v>
      </x:c>
      <x:c r="B2028" s="8" t="n">
        <x:v>2</x:v>
      </x:c>
      <x:c r="C2028" s="11" t="n">
        <x:v>2.35</x:v>
      </x:c>
      <x:c r="D2028" s="11" t="n">
        <x:v>7.65</x:v>
      </x:c>
      <x:c r="E2028" s="11" t="n">
        <x:v>-7.36</x:v>
      </x:c>
      <x:c r="F2028" s="11" t="n">
        <x:f>SQRT((C2028-C2027)^2+(D2028-D2027)^2+(E2028-E2027)^2)</x:f>
        <x:v>2.2073060503699984</x:v>
      </x:c>
      <x:c r="G2028" s="8" t="str">
        <x:v>Current</x:v>
      </x:c>
    </x:row>
    <x:row r="2029" ht="32" customHeight="1">
      <x:c r="A2029" s="8" t="str">
        <x:v>drop:DB2:L10:light:-1:L-STATUE-B-CANDLE-1</x:v>
      </x:c>
      <x:c r="B2029" s="8" t="n">
        <x:v>3</x:v>
      </x:c>
      <x:c r="C2029" s="11" t="n">
        <x:v>2.35</x:v>
      </x:c>
      <x:c r="D2029" s="11" t="n">
        <x:v>7.65</x:v>
      </x:c>
      <x:c r="E2029" s="11" t="n">
        <x:v>-5.659999999999999</x:v>
      </x:c>
      <x:c r="F2029" s="11" t="n">
        <x:f>SQRT((C2029-C2028)^2+(D2029-D2028)^2+(E2029-E2028)^2)</x:f>
        <x:v>1.700000000000001</x:v>
      </x:c>
      <x:c r="G2029" s="8" t="str">
        <x:v>Current</x:v>
      </x:c>
    </x:row>
    <x:row r="2030" ht="32" customHeight="1">
      <x:c r="A2030" s="8" t="str">
        <x:v>drop:DB2:L10:light:-1:L-STATUE-B-CANDLE-1</x:v>
      </x:c>
      <x:c r="B2030" s="8" t="n">
        <x:v>4</x:v>
      </x:c>
      <x:c r="C2030" s="11" t="n">
        <x:v>2.35</x:v>
      </x:c>
      <x:c r="D2030" s="11" t="n">
        <x:v>10.391</x:v>
      </x:c>
      <x:c r="E2030" s="11" t="n">
        <x:v>-5.659999999999999</x:v>
      </x:c>
      <x:c r="F2030" s="11" t="n">
        <x:f>SQRT((C2030-C2029)^2+(D2030-D2029)^2+(E2030-E2029)^2)</x:f>
        <x:v>2.7409999999999997</x:v>
      </x:c>
      <x:c r="G2030" s="8" t="str">
        <x:v>Current</x:v>
      </x:c>
    </x:row>
    <x:row r="2031" ht="32" customHeight="1">
      <x:c r="A2031" s="8" t="str">
        <x:v>drop:DB2:L10:light:-1:L-STATUE-B-CANDLE-1</x:v>
      </x:c>
      <x:c r="B2031" s="8" t="n">
        <x:v>5</x:v>
      </x:c>
      <x:c r="C2031" s="11" t="n">
        <x:v>3.9600000000000004</x:v>
      </x:c>
      <x:c r="D2031" s="11" t="n">
        <x:v>10.391</x:v>
      </x:c>
      <x:c r="E2031" s="11" t="n">
        <x:v>-5.659999999999999</x:v>
      </x:c>
      <x:c r="F2031" s="11" t="n">
        <x:f>SQRT((C2031-C2030)^2+(D2031-D2030)^2+(E2031-E2030)^2)</x:f>
        <x:v>1.6100000000000003</x:v>
      </x:c>
      <x:c r="G2031" s="8" t="str">
        <x:v>Current</x:v>
      </x:c>
    </x:row>
    <x:row r="2032" ht="32" customHeight="1">
      <x:c r="A2032" s="8" t="str">
        <x:v>drop:DB2:L10:light:-1:L-STATUE-B-JAMB-2</x:v>
      </x:c>
      <x:c r="B2032" s="8" t="n">
        <x:v>1</x:v>
      </x:c>
      <x:c r="C2032" s="11" t="n">
        <x:v>4.05</x:v>
      </x:c>
      <x:c r="D2032" s="11" t="n">
        <x:v>6.140000000000001</x:v>
      </x:c>
      <x:c r="E2032" s="11" t="n">
        <x:v>-7.36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drop:DB2:L10:light:-1:L-STATUE-B-JAMB-2</x:v>
      </x:c>
      <x:c r="B2033" s="8" t="n">
        <x:v>2</x:v>
      </x:c>
      <x:c r="C2033" s="11" t="n">
        <x:v>2.35</x:v>
      </x:c>
      <x:c r="D2033" s="11" t="n">
        <x:v>7.65</x:v>
      </x:c>
      <x:c r="E2033" s="11" t="n">
        <x:v>-7.36</x:v>
      </x:c>
      <x:c r="F2033" s="11" t="n">
        <x:f>SQRT((C2033-C2032)^2+(D2033-D2032)^2+(E2033-E2032)^2)</x:f>
        <x:v>2.2737853900489373</x:v>
      </x:c>
      <x:c r="G2033" s="8" t="str">
        <x:v>Current</x:v>
      </x:c>
    </x:row>
    <x:row r="2034" ht="32" customHeight="1">
      <x:c r="A2034" s="8" t="str">
        <x:v>drop:DB2:L10:light:-1:L-STATUE-B-JAMB-2</x:v>
      </x:c>
      <x:c r="B2034" s="8" t="n">
        <x:v>3</x:v>
      </x:c>
      <x:c r="C2034" s="11" t="n">
        <x:v>2.35</x:v>
      </x:c>
      <x:c r="D2034" s="11" t="n">
        <x:v>7.65</x:v>
      </x:c>
      <x:c r="E2034" s="11" t="n">
        <x:v>-4.771</x:v>
      </x:c>
      <x:c r="F2034" s="11" t="n">
        <x:f>SQRT((C2034-C2033)^2+(D2034-D2033)^2+(E2034-E2033)^2)</x:f>
        <x:v>2.5890000000000004</x:v>
      </x:c>
      <x:c r="G2034" s="8" t="str">
        <x:v>Current</x:v>
      </x:c>
    </x:row>
    <x:row r="2035" ht="32" customHeight="1">
      <x:c r="A2035" s="8" t="str">
        <x:v>drop:DB2:L10:light:-1:L-STATUE-B-JAMB-2</x:v>
      </x:c>
      <x:c r="B2035" s="8" t="n">
        <x:v>4</x:v>
      </x:c>
      <x:c r="C2035" s="11" t="n">
        <x:v>2.35</x:v>
      </x:c>
      <x:c r="D2035" s="11" t="n">
        <x:v>11.35</x:v>
      </x:c>
      <x:c r="E2035" s="11" t="n">
        <x:v>-4.771</x:v>
      </x:c>
      <x:c r="F2035" s="11" t="n">
        <x:f>SQRT((C2035-C2034)^2+(D2035-D2034)^2+(E2035-E2034)^2)</x:f>
        <x:v>3.6999999999999993</x:v>
      </x:c>
      <x:c r="G2035" s="8" t="str">
        <x:v>Current</x:v>
      </x:c>
    </x:row>
    <x:row r="2036" ht="32" customHeight="1">
      <x:c r="A2036" s="8" t="str">
        <x:v>drop:DB2:L10:light:-1:L-STATUE-B-JAMB-2</x:v>
      </x:c>
      <x:c r="B2036" s="8" t="n">
        <x:v>5</x:v>
      </x:c>
      <x:c r="C2036" s="11" t="n">
        <x:v>4.05</x:v>
      </x:c>
      <x:c r="D2036" s="11" t="n">
        <x:v>11.35</x:v>
      </x:c>
      <x:c r="E2036" s="11" t="n">
        <x:v>-4.771</x:v>
      </x:c>
      <x:c r="F2036" s="11" t="n">
        <x:f>SQRT((C2036-C2035)^2+(D2036-D2035)^2+(E2036-E2035)^2)</x:f>
        <x:v>1.6999999999999997</x:v>
      </x:c>
      <x:c r="G2036" s="8" t="str">
        <x:v>Current</x:v>
      </x:c>
    </x:row>
    <x:row r="2037" ht="32" customHeight="1">
      <x:c r="A2037" s="8" t="str">
        <x:v>drop:DB2:L10:light:-1:L-STATUE-B-CANDLE-2</x:v>
      </x:c>
      <x:c r="B2037" s="8" t="n">
        <x:v>1</x:v>
      </x:c>
      <x:c r="C2037" s="11" t="n">
        <x:v>3.960000000000001</x:v>
      </x:c>
      <x:c r="D2037" s="11" t="n">
        <x:v>6.140000000000001</x:v>
      </x:c>
      <x:c r="E2037" s="11" t="n">
        <x:v>-7.36</x:v>
      </x:c>
      <x:c r="F2037" s="11" t="n">
        <x:f>0</x:f>
        <x:v>0</x:v>
      </x:c>
      <x:c r="G2037" s="8" t="str">
        <x:v>Current</x:v>
      </x:c>
    </x:row>
    <x:row r="2038" ht="32" customHeight="1">
      <x:c r="A2038" s="8" t="str">
        <x:v>drop:DB2:L10:light:-1:L-STATUE-B-CANDLE-2</x:v>
      </x:c>
      <x:c r="B2038" s="8" t="n">
        <x:v>2</x:v>
      </x:c>
      <x:c r="C2038" s="11" t="n">
        <x:v>2.35</x:v>
      </x:c>
      <x:c r="D2038" s="11" t="n">
        <x:v>7.65</x:v>
      </x:c>
      <x:c r="E2038" s="11" t="n">
        <x:v>-7.36</x:v>
      </x:c>
      <x:c r="F2038" s="11" t="n">
        <x:f>SQRT((C2038-C2037)^2+(D2038-D2037)^2+(E2038-E2037)^2)</x:f>
        <x:v>2.2073060503699984</x:v>
      </x:c>
      <x:c r="G2038" s="8" t="str">
        <x:v>Current</x:v>
      </x:c>
    </x:row>
    <x:row r="2039" ht="32" customHeight="1">
      <x:c r="A2039" s="8" t="str">
        <x:v>drop:DB2:L10:light:-1:L-STATUE-B-CANDLE-2</x:v>
      </x:c>
      <x:c r="B2039" s="8" t="n">
        <x:v>3</x:v>
      </x:c>
      <x:c r="C2039" s="11" t="n">
        <x:v>2.35</x:v>
      </x:c>
      <x:c r="D2039" s="11" t="n">
        <x:v>7.65</x:v>
      </x:c>
      <x:c r="E2039" s="11" t="n">
        <x:v>-5.04</x:v>
      </x:c>
      <x:c r="F2039" s="11" t="n">
        <x:f>SQRT((C2039-C2038)^2+(D2039-D2038)^2+(E2039-E2038)^2)</x:f>
        <x:v>2.3200000000000003</x:v>
      </x:c>
      <x:c r="G2039" s="8" t="str">
        <x:v>Current</x:v>
      </x:c>
    </x:row>
    <x:row r="2040" ht="32" customHeight="1">
      <x:c r="A2040" s="8" t="str">
        <x:v>drop:DB2:L10:light:-1:L-STATUE-B-CANDLE-2</x:v>
      </x:c>
      <x:c r="B2040" s="8" t="n">
        <x:v>4</x:v>
      </x:c>
      <x:c r="C2040" s="11" t="n">
        <x:v>2.35</x:v>
      </x:c>
      <x:c r="D2040" s="11" t="n">
        <x:v>10.391</x:v>
      </x:c>
      <x:c r="E2040" s="11" t="n">
        <x:v>-5.04</x:v>
      </x:c>
      <x:c r="F2040" s="11" t="n">
        <x:f>SQRT((C2040-C2039)^2+(D2040-D2039)^2+(E2040-E2039)^2)</x:f>
        <x:v>2.7409999999999997</x:v>
      </x:c>
      <x:c r="G2040" s="8" t="str">
        <x:v>Current</x:v>
      </x:c>
    </x:row>
    <x:row r="2041" ht="32" customHeight="1">
      <x:c r="A2041" s="8" t="str">
        <x:v>drop:DB2:L10:light:-1:L-STATUE-B-CANDLE-2</x:v>
      </x:c>
      <x:c r="B2041" s="8" t="n">
        <x:v>5</x:v>
      </x:c>
      <x:c r="C2041" s="11" t="n">
        <x:v>3.9600000000000004</x:v>
      </x:c>
      <x:c r="D2041" s="11" t="n">
        <x:v>10.391</x:v>
      </x:c>
      <x:c r="E2041" s="11" t="n">
        <x:v>-5.04</x:v>
      </x:c>
      <x:c r="F2041" s="11" t="n">
        <x:f>SQRT((C2041-C2040)^2+(D2041-D2040)^2+(E2041-E2040)^2)</x:f>
        <x:v>1.6100000000000003</x:v>
      </x:c>
      <x:c r="G2041" s="8" t="str">
        <x:v>Current</x:v>
      </x:c>
    </x:row>
    <x:row r="2042" ht="32" customHeight="1">
      <x:c r="A2042" s="8" t="str">
        <x:v>trunk:DB2:L10:light:1</x:v>
      </x:c>
      <x:c r="B2042" s="8" t="n">
        <x:v>1</x:v>
      </x:c>
      <x:c r="C2042" s="11" t="n">
        <x:v>0.24</x:v>
      </x:c>
      <x:c r="D2042" s="11" t="n">
        <x:v>1.5</x:v>
      </x:c>
      <x:c r="E2042" s="11" t="n">
        <x:v>9.25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trunk:DB2:L10:light:1</x:v>
      </x:c>
      <x:c r="B2043" s="8" t="n">
        <x:v>2</x:v>
      </x:c>
      <x:c r="C2043" s="11" t="n">
        <x:v>2.35</x:v>
      </x:c>
      <x:c r="D2043" s="11" t="n">
        <x:v>1.5</x:v>
      </x:c>
      <x:c r="E2043" s="11" t="n">
        <x:v>9.25</x:v>
      </x:c>
      <x:c r="F2043" s="11" t="n">
        <x:f>SQRT((C2043-C2042)^2+(D2043-D2042)^2+(E2043-E2042)^2)</x:f>
        <x:v>2.1100000000000003</x:v>
      </x:c>
      <x:c r="G2043" s="8" t="str">
        <x:v>Current</x:v>
      </x:c>
    </x:row>
    <x:row r="2044" ht="32" customHeight="1">
      <x:c r="A2044" s="8" t="str">
        <x:v>trunk:DB2:L10:light:1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9.25</x:v>
      </x:c>
      <x:c r="F2044" s="11" t="n">
        <x:f>SQRT((C2044-C2043)^2+(D2044-D2043)^2+(E2044-E2043)^2)</x:f>
        <x:v>6.15</x:v>
      </x:c>
      <x:c r="G2044" s="8" t="str">
        <x:v>Current</x:v>
      </x:c>
    </x:row>
    <x:row r="2045" ht="32" customHeight="1">
      <x:c r="A2045" s="8" t="str">
        <x:v>trunk:DB2:L10:light:1</x:v>
      </x:c>
      <x:c r="B2045" s="8" t="n">
        <x:v>4</x:v>
      </x:c>
      <x:c r="C2045" s="11" t="n">
        <x:v>2.35</x:v>
      </x:c>
      <x:c r="D2045" s="11" t="n">
        <x:v>7.65</x:v>
      </x:c>
      <x:c r="E2045" s="11" t="n">
        <x:v>7.36</x:v>
      </x:c>
      <x:c r="F2045" s="11" t="n">
        <x:f>SQRT((C2045-C2044)^2+(D2045-D2044)^2+(E2045-E2044)^2)</x:f>
        <x:v>1.8899999999999997</x:v>
      </x:c>
      <x:c r="G2045" s="8" t="str">
        <x:v>Current</x:v>
      </x:c>
    </x:row>
    <x:row r="2046" ht="32" customHeight="1">
      <x:c r="A2046" s="8" t="str">
        <x:v>trunk:DB2:L10:light:1</x:v>
      </x:c>
      <x:c r="B2046" s="8" t="n">
        <x:v>5</x:v>
      </x:c>
      <x:c r="C2046" s="11" t="n">
        <x:v>2.35</x:v>
      </x:c>
      <x:c r="D2046" s="11" t="n">
        <x:v>6.140000000000001</x:v>
      </x:c>
      <x:c r="E2046" s="11" t="n">
        <x:v>7.36</x:v>
      </x:c>
      <x:c r="F2046" s="11" t="n">
        <x:f>SQRT((C2046-C2045)^2+(D2046-D2045)^2+(E2046-E2045)^2)</x:f>
        <x:v>1.5099999999999998</x:v>
      </x:c>
      <x:c r="G2046" s="8" t="str">
        <x:v>Current</x:v>
      </x:c>
    </x:row>
    <x:row r="2047" ht="32" customHeight="1">
      <x:c r="A2047" s="8" t="str">
        <x:v>trunk:DB2:L10:light:1</x:v>
      </x:c>
      <x:c r="B2047" s="8" t="n">
        <x:v>6</x:v>
      </x:c>
      <x:c r="C2047" s="11" t="n">
        <x:v>4.05</x:v>
      </x:c>
      <x:c r="D2047" s="11" t="n">
        <x:v>6.140000000000001</x:v>
      </x:c>
      <x:c r="E2047" s="11" t="n">
        <x:v>7.36</x:v>
      </x:c>
      <x:c r="F2047" s="11" t="n">
        <x:f>SQRT((C2047-C2046)^2+(D2047-D2046)^2+(E2047-E2046)^2)</x:f>
        <x:v>1.6999999999999997</x:v>
      </x:c>
      <x:c r="G2047" s="8" t="str">
        <x:v>Current</x:v>
      </x:c>
    </x:row>
    <x:row r="2048" ht="32" customHeight="1">
      <x:c r="A2048" s="8" t="str">
        <x:v>drop:DB2:L10:light:1:L-STATUE-C-JAMB-2</x:v>
      </x:c>
      <x:c r="B2048" s="8" t="n">
        <x:v>1</x:v>
      </x:c>
      <x:c r="C2048" s="11" t="n">
        <x:v>3.95</x:v>
      </x:c>
      <x:c r="D2048" s="11" t="n">
        <x:v>6.140000000000001</x:v>
      </x:c>
      <x:c r="E2048" s="11" t="n">
        <x:v>7.36</x:v>
      </x:c>
      <x:c r="F2048" s="11" t="n">
        <x:f>0</x:f>
        <x:v>0</x:v>
      </x:c>
      <x:c r="G2048" s="8" t="str">
        <x:v>Current</x:v>
      </x:c>
    </x:row>
    <x:row r="2049" ht="32" customHeight="1">
      <x:c r="A2049" s="8" t="str">
        <x:v>drop:DB2:L10:light:1:L-STATUE-C-JAMB-2</x:v>
      </x:c>
      <x:c r="B2049" s="8" t="n">
        <x:v>2</x:v>
      </x:c>
      <x:c r="C2049" s="11" t="n">
        <x:v>2.35</x:v>
      </x:c>
      <x:c r="D2049" s="11" t="n">
        <x:v>7.65</x:v>
      </x:c>
      <x:c r="E2049" s="11" t="n">
        <x:v>7.36</x:v>
      </x:c>
      <x:c r="F2049" s="11" t="n">
        <x:f>SQRT((C2049-C2048)^2+(D2049-D2048)^2+(E2049-E2048)^2)</x:f>
        <x:v>2.2000227271553356</x:v>
      </x:c>
      <x:c r="G2049" s="8" t="str">
        <x:v>Current</x:v>
      </x:c>
    </x:row>
    <x:row r="2050" ht="32" customHeight="1">
      <x:c r="A2050" s="8" t="str">
        <x:v>drop:DB2:L10:light:1:L-STATUE-C-JAMB-2</x:v>
      </x:c>
      <x:c r="B2050" s="8" t="n">
        <x:v>3</x:v>
      </x:c>
      <x:c r="C2050" s="11" t="n">
        <x:v>2.35</x:v>
      </x:c>
      <x:c r="D2050" s="11" t="n">
        <x:v>7.65</x:v>
      </x:c>
      <x:c r="E2050" s="11" t="n">
        <x:v>0.691</x:v>
      </x:c>
      <x:c r="F2050" s="11" t="n">
        <x:f>SQRT((C2050-C2049)^2+(D2050-D2049)^2+(E2050-E2049)^2)</x:f>
        <x:v>6.6690000000000005</x:v>
      </x:c>
      <x:c r="G2050" s="8" t="str">
        <x:v>Current</x:v>
      </x:c>
    </x:row>
    <x:row r="2051" ht="32" customHeight="1">
      <x:c r="A2051" s="8" t="str">
        <x:v>drop:DB2:L10:light:1:L-STATUE-C-JAMB-2</x:v>
      </x:c>
      <x:c r="B2051" s="8" t="n">
        <x:v>4</x:v>
      </x:c>
      <x:c r="C2051" s="11" t="n">
        <x:v>2.35</x:v>
      </x:c>
      <x:c r="D2051" s="11" t="n">
        <x:v>17.79</x:v>
      </x:c>
      <x:c r="E2051" s="11" t="n">
        <x:v>0.691</x:v>
      </x:c>
      <x:c r="F2051" s="11" t="n">
        <x:f>SQRT((C2051-C2050)^2+(D2051-D2050)^2+(E2051-E2050)^2)</x:f>
        <x:v>10.139999999999999</x:v>
      </x:c>
      <x:c r="G2051" s="8" t="str">
        <x:v>Current</x:v>
      </x:c>
    </x:row>
    <x:row r="2052" ht="32" customHeight="1">
      <x:c r="A2052" s="8" t="str">
        <x:v>drop:DB2:L10:light:1:L-STATUE-C-JAMB-2</x:v>
      </x:c>
      <x:c r="B2052" s="8" t="n">
        <x:v>5</x:v>
      </x:c>
      <x:c r="C2052" s="11" t="n">
        <x:v>3.95</x:v>
      </x:c>
      <x:c r="D2052" s="11" t="n">
        <x:v>17.79</x:v>
      </x:c>
      <x:c r="E2052" s="11" t="n">
        <x:v>0.691</x:v>
      </x:c>
      <x:c r="F2052" s="11" t="n">
        <x:f>SQRT((C2052-C2051)^2+(D2052-D2051)^2+(E2052-E2051)^2)</x:f>
        <x:v>1.6</x:v>
      </x:c>
      <x:c r="G2052" s="8" t="str">
        <x:v>Current</x:v>
      </x:c>
    </x:row>
    <x:row r="2053" ht="32" customHeight="1">
      <x:c r="A2053" s="8" t="str">
        <x:v>drop:DB2:L10:light:1:L-STATUE-C-CANDLE-2</x:v>
      </x:c>
      <x:c r="B2053" s="8" t="n">
        <x:v>1</x:v>
      </x:c>
      <x:c r="C2053" s="11" t="n">
        <x:v>3.72</x:v>
      </x:c>
      <x:c r="D2053" s="11" t="n">
        <x:v>6.140000000000001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drop:DB2:L10:light:1:L-STATUE-C-CANDLE-2</x:v>
      </x:c>
      <x:c r="B2054" s="8" t="n">
        <x:v>2</x:v>
      </x:c>
      <x:c r="C2054" s="11" t="n">
        <x:v>2.35</x:v>
      </x:c>
      <x:c r="D2054" s="11" t="n">
        <x:v>7.65</x:v>
      </x:c>
      <x:c r="E2054" s="11" t="n">
        <x:v>7.36</x:v>
      </x:c>
      <x:c r="F2054" s="11" t="n">
        <x:f>SQRT((C2054-C2053)^2+(D2054-D2053)^2+(E2054-E2053)^2)</x:f>
        <x:v>2.038872237291979</x:v>
      </x:c>
      <x:c r="G2054" s="8" t="str">
        <x:v>Current</x:v>
      </x:c>
    </x:row>
    <x:row r="2055" ht="32" customHeight="1">
      <x:c r="A2055" s="8" t="str">
        <x:v>drop:DB2:L10:light:1:L-STATUE-C-CANDLE-2</x:v>
      </x:c>
      <x:c r="B2055" s="8" t="n">
        <x:v>3</x:v>
      </x:c>
      <x:c r="C2055" s="11" t="n">
        <x:v>2.35</x:v>
      </x:c>
      <x:c r="D2055" s="11" t="n">
        <x:v>7.65</x:v>
      </x:c>
      <x:c r="E2055" s="11" t="n">
        <x:v>0.3</x:v>
      </x:c>
      <x:c r="F2055" s="11" t="n">
        <x:f>SQRT((C2055-C2054)^2+(D2055-D2054)^2+(E2055-E2054)^2)</x:f>
        <x:v>7.0600000000000005</x:v>
      </x:c>
      <x:c r="G2055" s="8" t="str">
        <x:v>Current</x:v>
      </x:c>
    </x:row>
    <x:row r="2056" ht="32" customHeight="1">
      <x:c r="A2056" s="8" t="str">
        <x:v>drop:DB2:L10:light:1:L-STATUE-C-CANDLE-2</x:v>
      </x:c>
      <x:c r="B2056" s="8" t="n">
        <x:v>4</x:v>
      </x:c>
      <x:c r="C2056" s="11" t="n">
        <x:v>2.35</x:v>
      </x:c>
      <x:c r="D2056" s="11" t="n">
        <x:v>16.683</x:v>
      </x:c>
      <x:c r="E2056" s="11" t="n">
        <x:v>0.3</x:v>
      </x:c>
      <x:c r="F2056" s="11" t="n">
        <x:f>SQRT((C2056-C2055)^2+(D2056-D2055)^2+(E2056-E2055)^2)</x:f>
        <x:v>9.033</x:v>
      </x:c>
      <x:c r="G2056" s="8" t="str">
        <x:v>Current</x:v>
      </x:c>
    </x:row>
    <x:row r="2057" ht="32" customHeight="1">
      <x:c r="A2057" s="8" t="str">
        <x:v>drop:DB2:L10:light:1:L-STATUE-C-CANDLE-2</x:v>
      </x:c>
      <x:c r="B2057" s="8" t="n">
        <x:v>5</x:v>
      </x:c>
      <x:c r="C2057" s="11" t="n">
        <x:v>3.72</x:v>
      </x:c>
      <x:c r="D2057" s="11" t="n">
        <x:v>16.683</x:v>
      </x:c>
      <x:c r="E2057" s="11" t="n">
        <x:v>0.3</x:v>
      </x:c>
      <x:c r="F2057" s="11" t="n">
        <x:f>SQRT((C2057-C2056)^2+(D2057-D2056)^2+(E2057-E2056)^2)</x:f>
        <x:v>1.37</x:v>
      </x:c>
      <x:c r="G2057" s="8" t="str">
        <x:v>Current</x:v>
      </x:c>
    </x:row>
    <x:row r="2058" ht="32" customHeight="1">
      <x:c r="A2058" s="8" t="str">
        <x:v>drop:DB2:L10:light:1:L-STATUE-H-ARCH</x:v>
      </x:c>
      <x:c r="B2058" s="8" t="n">
        <x:v>1</x:v>
      </x:c>
      <x:c r="C2058" s="11" t="n">
        <x:v>4.05</x:v>
      </x:c>
      <x:c r="D2058" s="11" t="n">
        <x:v>6.140000000000001</x:v>
      </x:c>
      <x:c r="E2058" s="11" t="n">
        <x:v>7.36</x:v>
      </x:c>
      <x:c r="F2058" s="11" t="n">
        <x:f>0</x:f>
        <x:v>0</x:v>
      </x:c>
      <x:c r="G2058" s="8" t="str">
        <x:v>Current</x:v>
      </x:c>
    </x:row>
    <x:row r="2059" ht="32" customHeight="1">
      <x:c r="A2059" s="8" t="str">
        <x:v>drop:DB2:L10:light:1:L-STATUE-H-ARCH</x:v>
      </x:c>
      <x:c r="B2059" s="8" t="n">
        <x:v>2</x:v>
      </x:c>
      <x:c r="C2059" s="11" t="n">
        <x:v>2.35</x:v>
      </x:c>
      <x:c r="D2059" s="11" t="n">
        <x:v>7.65</x:v>
      </x:c>
      <x:c r="E2059" s="11" t="n">
        <x:v>7.36</x:v>
      </x:c>
      <x:c r="F2059" s="11" t="n">
        <x:f>SQRT((C2059-C2058)^2+(D2059-D2058)^2+(E2059-E2058)^2)</x:f>
        <x:v>2.2737853900489373</x:v>
      </x:c>
      <x:c r="G2059" s="8" t="str">
        <x:v>Current</x:v>
      </x:c>
    </x:row>
    <x:row r="2060" ht="32" customHeight="1">
      <x:c r="A2060" s="8" t="str">
        <x:v>drop:DB2:L10:light:1:L-STATUE-H-ARCH</x:v>
      </x:c>
      <x:c r="B2060" s="8" t="n">
        <x:v>3</x:v>
      </x:c>
      <x:c r="C2060" s="11" t="n">
        <x:v>2.35</x:v>
      </x:c>
      <x:c r="D2060" s="11" t="n">
        <x:v>7.65</x:v>
      </x:c>
      <x:c r="E2060" s="11" t="n">
        <x:v>5.35</x:v>
      </x:c>
      <x:c r="F2060" s="11" t="n">
        <x:f>SQRT((C2060-C2059)^2+(D2060-D2059)^2+(E2060-E2059)^2)</x:f>
        <x:v>2.0100000000000007</x:v>
      </x:c>
      <x:c r="G2060" s="8" t="str">
        <x:v>Current</x:v>
      </x:c>
    </x:row>
    <x:row r="2061" ht="32" customHeight="1">
      <x:c r="A2061" s="8" t="str">
        <x:v>drop:DB2:L10:light:1:L-STATUE-H-ARCH</x:v>
      </x:c>
      <x:c r="B2061" s="8" t="n">
        <x:v>4</x:v>
      </x:c>
      <x:c r="C2061" s="11" t="n">
        <x:v>2.35</x:v>
      </x:c>
      <x:c r="D2061" s="11" t="n">
        <x:v>12.917</x:v>
      </x:c>
      <x:c r="E2061" s="11" t="n">
        <x:v>5.35</x:v>
      </x:c>
      <x:c r="F2061" s="11" t="n">
        <x:f>SQRT((C2061-C2060)^2+(D2061-D2060)^2+(E2061-E2060)^2)</x:f>
        <x:v>5.2669999999999995</x:v>
      </x:c>
      <x:c r="G2061" s="8" t="str">
        <x:v>Current</x:v>
      </x:c>
    </x:row>
    <x:row r="2062" ht="32" customHeight="1">
      <x:c r="A2062" s="8" t="str">
        <x:v>drop:DB2:L10:light:1:L-STATUE-H-ARCH</x:v>
      </x:c>
      <x:c r="B2062" s="8" t="n">
        <x:v>5</x:v>
      </x:c>
      <x:c r="C2062" s="11" t="n">
        <x:v>4.05</x:v>
      </x:c>
      <x:c r="D2062" s="11" t="n">
        <x:v>12.917</x:v>
      </x:c>
      <x:c r="E2062" s="11" t="n">
        <x:v>5.35</x:v>
      </x:c>
      <x:c r="F2062" s="11" t="n">
        <x:f>SQRT((C2062-C2061)^2+(D2062-D2061)^2+(E2062-E2061)^2)</x:f>
        <x:v>1.6999999999999997</x:v>
      </x:c>
      <x:c r="G2062" s="8" t="str">
        <x:v>Current</x:v>
      </x:c>
    </x:row>
    <x:row r="2063" ht="32" customHeight="1">
      <x:c r="A2063" s="8" t="str">
        <x:v>drop:DB2:L10:light:1:L-STATUE-H-JAMB-1</x:v>
      </x:c>
      <x:c r="B2063" s="8" t="n">
        <x:v>1</x:v>
      </x:c>
      <x:c r="C2063" s="11" t="n">
        <x:v>4.05</x:v>
      </x:c>
      <x:c r="D2063" s="11" t="n">
        <x:v>6.140000000000001</x:v>
      </x:c>
      <x:c r="E2063" s="11" t="n">
        <x:v>7.36</x:v>
      </x:c>
      <x:c r="F2063" s="11" t="n">
        <x:f>0</x:f>
        <x:v>0</x:v>
      </x:c>
      <x:c r="G2063" s="8" t="str">
        <x:v>Current</x:v>
      </x:c>
    </x:row>
    <x:row r="2064" ht="32" customHeight="1">
      <x:c r="A2064" s="8" t="str">
        <x:v>drop:DB2:L10:light:1:L-STATUE-H-JAMB-1</x:v>
      </x:c>
      <x:c r="B2064" s="8" t="n">
        <x:v>2</x:v>
      </x:c>
      <x:c r="C2064" s="11" t="n">
        <x:v>2.35</x:v>
      </x:c>
      <x:c r="D2064" s="11" t="n">
        <x:v>7.65</x:v>
      </x:c>
      <x:c r="E2064" s="11" t="n">
        <x:v>7.36</x:v>
      </x:c>
      <x:c r="F2064" s="11" t="n">
        <x:f>SQRT((C2064-C2063)^2+(D2064-D2063)^2+(E2064-E2063)^2)</x:f>
        <x:v>2.2737853900489373</x:v>
      </x:c>
      <x:c r="G2064" s="8" t="str">
        <x:v>Current</x:v>
      </x:c>
    </x:row>
    <x:row r="2065" ht="32" customHeight="1">
      <x:c r="A2065" s="8" t="str">
        <x:v>drop:DB2:L10:light:1:L-STATUE-H-JAMB-1</x:v>
      </x:c>
      <x:c r="B2065" s="8" t="n">
        <x:v>3</x:v>
      </x:c>
      <x:c r="C2065" s="11" t="n">
        <x:v>2.35</x:v>
      </x:c>
      <x:c r="D2065" s="11" t="n">
        <x:v>7.65</x:v>
      </x:c>
      <x:c r="E2065" s="11" t="n">
        <x:v>4.771</x:v>
      </x:c>
      <x:c r="F2065" s="11" t="n">
        <x:f>SQRT((C2065-C2064)^2+(D2065-D2064)^2+(E2065-E2064)^2)</x:f>
        <x:v>2.5890000000000004</x:v>
      </x:c>
      <x:c r="G2065" s="8" t="str">
        <x:v>Current</x:v>
      </x:c>
    </x:row>
    <x:row r="2066" ht="32" customHeight="1">
      <x:c r="A2066" s="8" t="str">
        <x:v>drop:DB2:L10:light:1:L-STATUE-H-JAMB-1</x:v>
      </x:c>
      <x:c r="B2066" s="8" t="n">
        <x:v>4</x:v>
      </x:c>
      <x:c r="C2066" s="11" t="n">
        <x:v>2.35</x:v>
      </x:c>
      <x:c r="D2066" s="11" t="n">
        <x:v>11.35</x:v>
      </x:c>
      <x:c r="E2066" s="11" t="n">
        <x:v>4.771</x:v>
      </x:c>
      <x:c r="F2066" s="11" t="n">
        <x:f>SQRT((C2066-C2065)^2+(D2066-D2065)^2+(E2066-E2065)^2)</x:f>
        <x:v>3.6999999999999993</x:v>
      </x:c>
      <x:c r="G2066" s="8" t="str">
        <x:v>Current</x:v>
      </x:c>
    </x:row>
    <x:row r="2067" ht="32" customHeight="1">
      <x:c r="A2067" s="8" t="str">
        <x:v>drop:DB2:L10:light:1:L-STATUE-H-JAMB-1</x:v>
      </x:c>
      <x:c r="B2067" s="8" t="n">
        <x:v>5</x:v>
      </x:c>
      <x:c r="C2067" s="11" t="n">
        <x:v>4.05</x:v>
      </x:c>
      <x:c r="D2067" s="11" t="n">
        <x:v>11.35</x:v>
      </x:c>
      <x:c r="E2067" s="11" t="n">
        <x:v>4.771</x:v>
      </x:c>
      <x:c r="F2067" s="11" t="n">
        <x:f>SQRT((C2067-C2066)^2+(D2067-D2066)^2+(E2067-E2066)^2)</x:f>
        <x:v>1.6999999999999997</x:v>
      </x:c>
      <x:c r="G2067" s="8" t="str">
        <x:v>Current</x:v>
      </x:c>
    </x:row>
    <x:row r="2068" ht="32" customHeight="1">
      <x:c r="A2068" s="8" t="str">
        <x:v>drop:DB2:L10:light:1:L-STATUE-H-CANDLE-1</x:v>
      </x:c>
      <x:c r="B2068" s="8" t="n">
        <x:v>1</x:v>
      </x:c>
      <x:c r="C2068" s="11" t="n">
        <x:v>3.960000000000001</x:v>
      </x:c>
      <x:c r="D2068" s="11" t="n">
        <x:v>6.140000000000001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drop:DB2:L10:light:1:L-STATUE-H-CANDLE-1</x:v>
      </x:c>
      <x:c r="B2069" s="8" t="n">
        <x:v>2</x:v>
      </x:c>
      <x:c r="C2069" s="11" t="n">
        <x:v>2.35</x:v>
      </x:c>
      <x:c r="D2069" s="11" t="n">
        <x:v>7.65</x:v>
      </x:c>
      <x:c r="E2069" s="11" t="n">
        <x:v>7.36</x:v>
      </x:c>
      <x:c r="F2069" s="11" t="n">
        <x:f>SQRT((C2069-C2068)^2+(D2069-D2068)^2+(E2069-E2068)^2)</x:f>
        <x:v>2.2073060503699984</x:v>
      </x:c>
      <x:c r="G2069" s="8" t="str">
        <x:v>Current</x:v>
      </x:c>
    </x:row>
    <x:row r="2070" ht="32" customHeight="1">
      <x:c r="A2070" s="8" t="str">
        <x:v>drop:DB2:L10:light:1:L-STATUE-H-CANDLE-1</x:v>
      </x:c>
      <x:c r="B2070" s="8" t="n">
        <x:v>3</x:v>
      </x:c>
      <x:c r="C2070" s="11" t="n">
        <x:v>2.35</x:v>
      </x:c>
      <x:c r="D2070" s="11" t="n">
        <x:v>7.65</x:v>
      </x:c>
      <x:c r="E2070" s="11" t="n">
        <x:v>5.04</x:v>
      </x:c>
      <x:c r="F2070" s="11" t="n">
        <x:f>SQRT((C2070-C2069)^2+(D2070-D2069)^2+(E2070-E2069)^2)</x:f>
        <x:v>2.3200000000000003</x:v>
      </x:c>
      <x:c r="G2070" s="8" t="str">
        <x:v>Current</x:v>
      </x:c>
    </x:row>
    <x:row r="2071" ht="32" customHeight="1">
      <x:c r="A2071" s="8" t="str">
        <x:v>drop:DB2:L10:light:1:L-STATUE-H-CANDLE-1</x:v>
      </x:c>
      <x:c r="B2071" s="8" t="n">
        <x:v>4</x:v>
      </x:c>
      <x:c r="C2071" s="11" t="n">
        <x:v>2.35</x:v>
      </x:c>
      <x:c r="D2071" s="11" t="n">
        <x:v>10.391</x:v>
      </x:c>
      <x:c r="E2071" s="11" t="n">
        <x:v>5.04</x:v>
      </x:c>
      <x:c r="F2071" s="11" t="n">
        <x:f>SQRT((C2071-C2070)^2+(D2071-D2070)^2+(E2071-E2070)^2)</x:f>
        <x:v>2.7409999999999997</x:v>
      </x:c>
      <x:c r="G2071" s="8" t="str">
        <x:v>Current</x:v>
      </x:c>
    </x:row>
    <x:row r="2072" ht="32" customHeight="1">
      <x:c r="A2072" s="8" t="str">
        <x:v>drop:DB2:L10:light:1:L-STATUE-H-CANDLE-1</x:v>
      </x:c>
      <x:c r="B2072" s="8" t="n">
        <x:v>5</x:v>
      </x:c>
      <x:c r="C2072" s="11" t="n">
        <x:v>3.9600000000000004</x:v>
      </x:c>
      <x:c r="D2072" s="11" t="n">
        <x:v>10.391</x:v>
      </x:c>
      <x:c r="E2072" s="11" t="n">
        <x:v>5.04</x:v>
      </x:c>
      <x:c r="F2072" s="11" t="n">
        <x:f>SQRT((C2072-C2071)^2+(D2072-D2071)^2+(E2072-E2071)^2)</x:f>
        <x:v>1.6100000000000003</x:v>
      </x:c>
      <x:c r="G2072" s="8" t="str">
        <x:v>Current</x:v>
      </x:c>
    </x:row>
    <x:row r="2073" ht="32" customHeight="1">
      <x:c r="A2073" s="8" t="str">
        <x:v>drop:DB2:L10:light:1:L-STATUE-H-JAMB-2</x:v>
      </x:c>
      <x:c r="B2073" s="8" t="n">
        <x:v>1</x:v>
      </x:c>
      <x:c r="C2073" s="11" t="n">
        <x:v>4.05</x:v>
      </x:c>
      <x:c r="D2073" s="11" t="n">
        <x:v>6.140000000000001</x:v>
      </x:c>
      <x:c r="E2073" s="11" t="n">
        <x:v>7.36</x:v>
      </x:c>
      <x:c r="F2073" s="11" t="n">
        <x:f>0</x:f>
        <x:v>0</x:v>
      </x:c>
      <x:c r="G2073" s="8" t="str">
        <x:v>Current</x:v>
      </x:c>
    </x:row>
    <x:row r="2074" ht="32" customHeight="1">
      <x:c r="A2074" s="8" t="str">
        <x:v>drop:DB2:L10:light:1:L-STATUE-H-JAMB-2</x:v>
      </x:c>
      <x:c r="B2074" s="8" t="n">
        <x:v>2</x:v>
      </x:c>
      <x:c r="C2074" s="11" t="n">
        <x:v>2.35</x:v>
      </x:c>
      <x:c r="D2074" s="11" t="n">
        <x:v>7.65</x:v>
      </x:c>
      <x:c r="E2074" s="11" t="n">
        <x:v>7.36</x:v>
      </x:c>
      <x:c r="F2074" s="11" t="n">
        <x:f>SQRT((C2074-C2073)^2+(D2074-D2073)^2+(E2074-E2073)^2)</x:f>
        <x:v>2.2737853900489373</x:v>
      </x:c>
      <x:c r="G2074" s="8" t="str">
        <x:v>Current</x:v>
      </x:c>
    </x:row>
    <x:row r="2075" ht="32" customHeight="1">
      <x:c r="A2075" s="8" t="str">
        <x:v>drop:DB2:L10:light:1:L-STATUE-H-JAMB-2</x:v>
      </x:c>
      <x:c r="B2075" s="8" t="n">
        <x:v>3</x:v>
      </x:c>
      <x:c r="C2075" s="11" t="n">
        <x:v>2.35</x:v>
      </x:c>
      <x:c r="D2075" s="11" t="n">
        <x:v>7.65</x:v>
      </x:c>
      <x:c r="E2075" s="11" t="n">
        <x:v>5.928999999999999</x:v>
      </x:c>
      <x:c r="F2075" s="11" t="n">
        <x:f>SQRT((C2075-C2074)^2+(D2075-D2074)^2+(E2075-E2074)^2)</x:f>
        <x:v>1.431000000000001</x:v>
      </x:c>
      <x:c r="G2075" s="8" t="str">
        <x:v>Current</x:v>
      </x:c>
    </x:row>
    <x:row r="2076" ht="32" customHeight="1">
      <x:c r="A2076" s="8" t="str">
        <x:v>drop:DB2:L10:light:1:L-STATUE-H-JAMB-2</x:v>
      </x:c>
      <x:c r="B2076" s="8" t="n">
        <x:v>4</x:v>
      </x:c>
      <x:c r="C2076" s="11" t="n">
        <x:v>2.35</x:v>
      </x:c>
      <x:c r="D2076" s="11" t="n">
        <x:v>11.35</x:v>
      </x:c>
      <x:c r="E2076" s="11" t="n">
        <x:v>5.928999999999999</x:v>
      </x:c>
      <x:c r="F2076" s="11" t="n">
        <x:f>SQRT((C2076-C2075)^2+(D2076-D2075)^2+(E2076-E2075)^2)</x:f>
        <x:v>3.6999999999999993</x:v>
      </x:c>
      <x:c r="G2076" s="8" t="str">
        <x:v>Current</x:v>
      </x:c>
    </x:row>
    <x:row r="2077" ht="32" customHeight="1">
      <x:c r="A2077" s="8" t="str">
        <x:v>drop:DB2:L10:light:1:L-STATUE-H-JAMB-2</x:v>
      </x:c>
      <x:c r="B2077" s="8" t="n">
        <x:v>5</x:v>
      </x:c>
      <x:c r="C2077" s="11" t="n">
        <x:v>4.05</x:v>
      </x:c>
      <x:c r="D2077" s="11" t="n">
        <x:v>11.35</x:v>
      </x:c>
      <x:c r="E2077" s="11" t="n">
        <x:v>5.928999999999999</x:v>
      </x:c>
      <x:c r="F2077" s="11" t="n">
        <x:f>SQRT((C2077-C2076)^2+(D2077-D2076)^2+(E2077-E2076)^2)</x:f>
        <x:v>1.6999999999999997</x:v>
      </x:c>
      <x:c r="G2077" s="8" t="str">
        <x:v>Current</x:v>
      </x:c>
    </x:row>
    <x:row r="2078" ht="32" customHeight="1">
      <x:c r="A2078" s="8" t="str">
        <x:v>drop:DB2:L10:light:1:L-STATUE-H-CANDLE-2</x:v>
      </x:c>
      <x:c r="B2078" s="8" t="n">
        <x:v>1</x:v>
      </x:c>
      <x:c r="C2078" s="11" t="n">
        <x:v>3.960000000000001</x:v>
      </x:c>
      <x:c r="D2078" s="11" t="n">
        <x:v>6.140000000000001</x:v>
      </x:c>
      <x:c r="E2078" s="11" t="n">
        <x:v>7.36</x:v>
      </x:c>
      <x:c r="F2078" s="11" t="n">
        <x:f>0</x:f>
        <x:v>0</x:v>
      </x:c>
      <x:c r="G2078" s="8" t="str">
        <x:v>Current</x:v>
      </x:c>
    </x:row>
    <x:row r="2079" ht="32" customHeight="1">
      <x:c r="A2079" s="8" t="str">
        <x:v>drop:DB2:L10:light:1:L-STATUE-H-CANDLE-2</x:v>
      </x:c>
      <x:c r="B2079" s="8" t="n">
        <x:v>2</x:v>
      </x:c>
      <x:c r="C2079" s="11" t="n">
        <x:v>2.35</x:v>
      </x:c>
      <x:c r="D2079" s="11" t="n">
        <x:v>7.65</x:v>
      </x:c>
      <x:c r="E2079" s="11" t="n">
        <x:v>7.36</x:v>
      </x:c>
      <x:c r="F2079" s="11" t="n">
        <x:f>SQRT((C2079-C2078)^2+(D2079-D2078)^2+(E2079-E2078)^2)</x:f>
        <x:v>2.2073060503699984</x:v>
      </x:c>
      <x:c r="G2079" s="8" t="str">
        <x:v>Current</x:v>
      </x:c>
    </x:row>
    <x:row r="2080" ht="32" customHeight="1">
      <x:c r="A2080" s="8" t="str">
        <x:v>drop:DB2:L10:light:1:L-STATUE-H-CANDLE-2</x:v>
      </x:c>
      <x:c r="B2080" s="8" t="n">
        <x:v>3</x:v>
      </x:c>
      <x:c r="C2080" s="11" t="n">
        <x:v>2.35</x:v>
      </x:c>
      <x:c r="D2080" s="11" t="n">
        <x:v>7.65</x:v>
      </x:c>
      <x:c r="E2080" s="11" t="n">
        <x:v>5.659999999999999</x:v>
      </x:c>
      <x:c r="F2080" s="11" t="n">
        <x:f>SQRT((C2080-C2079)^2+(D2080-D2079)^2+(E2080-E2079)^2)</x:f>
        <x:v>1.700000000000001</x:v>
      </x:c>
      <x:c r="G2080" s="8" t="str">
        <x:v>Current</x:v>
      </x:c>
    </x:row>
    <x:row r="2081" ht="32" customHeight="1">
      <x:c r="A2081" s="8" t="str">
        <x:v>drop:DB2:L10:light:1:L-STATUE-H-CANDLE-2</x:v>
      </x:c>
      <x:c r="B2081" s="8" t="n">
        <x:v>4</x:v>
      </x:c>
      <x:c r="C2081" s="11" t="n">
        <x:v>2.35</x:v>
      </x:c>
      <x:c r="D2081" s="11" t="n">
        <x:v>10.391</x:v>
      </x:c>
      <x:c r="E2081" s="11" t="n">
        <x:v>5.659999999999999</x:v>
      </x:c>
      <x:c r="F2081" s="11" t="n">
        <x:f>SQRT((C2081-C2080)^2+(D2081-D2080)^2+(E2081-E2080)^2)</x:f>
        <x:v>2.7409999999999997</x:v>
      </x:c>
      <x:c r="G2081" s="8" t="str">
        <x:v>Current</x:v>
      </x:c>
    </x:row>
    <x:row r="2082" ht="32" customHeight="1">
      <x:c r="A2082" s="8" t="str">
        <x:v>drop:DB2:L10:light:1:L-STATUE-H-CANDLE-2</x:v>
      </x:c>
      <x:c r="B2082" s="8" t="n">
        <x:v>5</x:v>
      </x:c>
      <x:c r="C2082" s="11" t="n">
        <x:v>3.9600000000000004</x:v>
      </x:c>
      <x:c r="D2082" s="11" t="n">
        <x:v>10.391</x:v>
      </x:c>
      <x:c r="E2082" s="11" t="n">
        <x:v>5.659999999999999</x:v>
      </x:c>
      <x:c r="F2082" s="11" t="n">
        <x:f>SQRT((C2082-C2081)^2+(D2082-D2081)^2+(E2082-E2081)^2)</x:f>
        <x:v>1.6100000000000003</x:v>
      </x:c>
      <x:c r="G2082" s="8" t="str">
        <x:v>Current</x:v>
      </x:c>
    </x:row>
    <x:row r="2083" ht="32" customHeight="1">
      <x:c r="A2083" s="8" t="str">
        <x:v>trunk:LC1:LS:light:1</x:v>
      </x:c>
      <x:c r="B2083" s="8" t="n">
        <x:v>1</x:v>
      </x:c>
      <x:c r="C2083" s="11" t="n">
        <x:v>48.895</x:v>
      </x:c>
      <x:c r="D2083" s="11" t="n">
        <x:v>1.85</x:v>
      </x:c>
      <x:c r="E2083" s="11" t="n">
        <x:v>-0.55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trunk:LC1:LS:light:1</x:v>
      </x:c>
      <x:c r="B2084" s="8" t="n">
        <x:v>2</x:v>
      </x:c>
      <x:c r="C2084" s="11" t="n">
        <x:v>48.735</x:v>
      </x:c>
      <x:c r="D2084" s="11" t="n">
        <x:v>1.85</x:v>
      </x:c>
      <x:c r="E2084" s="11" t="n">
        <x:v>-0.55</x:v>
      </x:c>
      <x:c r="F2084" s="11" t="n">
        <x:f>SQRT((C2084-C2083)^2+(D2084-D2083)^2+(E2084-E2083)^2)</x:f>
        <x:v>0.1600000000000037</x:v>
      </x:c>
      <x:c r="G2084" s="8" t="str">
        <x:v>Current</x:v>
      </x:c>
    </x:row>
    <x:row r="2085" ht="32" customHeight="1">
      <x:c r="A2085" s="8" t="str">
        <x:v>trunk:LC1:LS:light:1</x:v>
      </x:c>
      <x:c r="B2085" s="8" t="n">
        <x:v>3</x:v>
      </x:c>
      <x:c r="C2085" s="11" t="n">
        <x:v>48.735</x:v>
      </x:c>
      <x:c r="D2085" s="11" t="n">
        <x:v>1.85</x:v>
      </x:c>
      <x:c r="E2085" s="11" t="n">
        <x:v>-2.24</x:v>
      </x:c>
      <x:c r="F2085" s="11" t="n">
        <x:f>SQRT((C2085-C2084)^2+(D2085-D2084)^2+(E2085-E2084)^2)</x:f>
        <x:v>1.6900000000000002</x:v>
      </x:c>
      <x:c r="G2085" s="8" t="str">
        <x:v>Current</x:v>
      </x:c>
    </x:row>
    <x:row r="2086" ht="32" customHeight="1">
      <x:c r="A2086" s="8" t="str">
        <x:v>trunk:LC1:LS:light:1</x:v>
      </x:c>
      <x:c r="B2086" s="8" t="n">
        <x:v>4</x:v>
      </x:c>
      <x:c r="C2086" s="11" t="n">
        <x:v>48.735</x:v>
      </x:c>
      <x:c r="D2086" s="11" t="n">
        <x:v>4.33</x:v>
      </x:c>
      <x:c r="E2086" s="11" t="n">
        <x:v>-2.24</x:v>
      </x:c>
      <x:c r="F2086" s="11" t="n">
        <x:f>SQRT((C2086-C2085)^2+(D2086-D2085)^2+(E2086-E2085)^2)</x:f>
        <x:v>2.48</x:v>
      </x:c>
      <x:c r="G2086" s="8" t="str">
        <x:v>Current</x:v>
      </x:c>
    </x:row>
    <x:row r="2087" ht="32" customHeight="1">
      <x:c r="A2087" s="8" t="str">
        <x:v>trunk:LC1:LS:light:1</x:v>
      </x:c>
      <x:c r="B2087" s="8" t="n">
        <x:v>5</x:v>
      </x:c>
      <x:c r="C2087" s="11" t="n">
        <x:v>48.735</x:v>
      </x:c>
      <x:c r="D2087" s="11" t="n">
        <x:v>4.33</x:v>
      </x:c>
      <x:c r="E2087" s="11" t="n">
        <x:v>-3.3</x:v>
      </x:c>
      <x:c r="F2087" s="11" t="n">
        <x:f>SQRT((C2087-C2086)^2+(D2087-D2086)^2+(E2087-E2086)^2)</x:f>
        <x:v>1.0599999999999996</x:v>
      </x:c>
      <x:c r="G2087" s="8" t="str">
        <x:v>Current</x:v>
      </x:c>
    </x:row>
    <x:row r="2088" ht="32" customHeight="1">
      <x:c r="A2088" s="8" t="str">
        <x:v>trunk:LC1:LS:light:1</x:v>
      </x:c>
      <x:c r="B2088" s="8" t="n">
        <x:v>6</x:v>
      </x:c>
      <x:c r="C2088" s="11" t="n">
        <x:v>53.016</x:v>
      </x:c>
      <x:c r="D2088" s="11" t="n">
        <x:v>4.33</x:v>
      </x:c>
      <x:c r="E2088" s="11" t="n">
        <x:v>-3.3</x:v>
      </x:c>
      <x:c r="F2088" s="11" t="n">
        <x:f>SQRT((C2088-C2087)^2+(D2088-D2087)^2+(E2088-E2087)^2)</x:f>
        <x:v>4.280999999999999</x:v>
      </x:c>
      <x:c r="G2088" s="8" t="str">
        <x:v>Current</x:v>
      </x:c>
    </x:row>
    <x:row r="2089" ht="32" customHeight="1">
      <x:c r="A2089" s="8" t="str">
        <x:v>trunk:LC1:LS:light:1</x:v>
      </x:c>
      <x:c r="B2089" s="8" t="n">
        <x:v>7</x:v>
      </x:c>
      <x:c r="C2089" s="11" t="n">
        <x:v>53.016</x:v>
      </x:c>
      <x:c r="D2089" s="11" t="n">
        <x:v>6.164000000000001</x:v>
      </x:c>
      <x:c r="E2089" s="11" t="n">
        <x:v>-3.3</x:v>
      </x:c>
      <x:c r="F2089" s="11" t="n">
        <x:f>SQRT((C2089-C2088)^2+(D2089-D2088)^2+(E2089-E2088)^2)</x:f>
        <x:v>1.8340000000000005</x:v>
      </x:c>
      <x:c r="G2089" s="8" t="str">
        <x:v>Current</x:v>
      </x:c>
    </x:row>
    <x:row r="2090" ht="32" customHeight="1">
      <x:c r="A2090" s="8" t="str">
        <x:v>trunk:LC1:LS:light:1</x:v>
      </x:c>
      <x:c r="B2090" s="8" t="n">
        <x:v>8</x:v>
      </x:c>
      <x:c r="C2090" s="11" t="n">
        <x:v>53.016</x:v>
      </x:c>
      <x:c r="D2090" s="11" t="n">
        <x:v>6.164000000000001</x:v>
      </x:c>
      <x:c r="E2090" s="11" t="n">
        <x:v>7.36</x:v>
      </x:c>
      <x:c r="F2090" s="11" t="n">
        <x:f>SQRT((C2090-C2089)^2+(D2090-D2089)^2+(E2090-E2089)^2)</x:f>
        <x:v>10.66</x:v>
      </x:c>
      <x:c r="G2090" s="8" t="str">
        <x:v>Current</x:v>
      </x:c>
    </x:row>
    <x:row r="2091" ht="32" customHeight="1">
      <x:c r="A2091" s="8" t="str">
        <x:v>trunk:LC1:LS:light:1</x:v>
      </x:c>
      <x:c r="B2091" s="8" t="n">
        <x:v>9</x:v>
      </x:c>
      <x:c r="C2091" s="11" t="n">
        <x:v>44.175</x:v>
      </x:c>
      <x:c r="D2091" s="11" t="n">
        <x:v>6.164000000000001</x:v>
      </x:c>
      <x:c r="E2091" s="11" t="n">
        <x:v>7.36</x:v>
      </x:c>
      <x:c r="F2091" s="11" t="n">
        <x:f>SQRT((C2091-C2090)^2+(D2091-D2090)^2+(E2091-E2090)^2)</x:f>
        <x:v>8.841000000000001</x:v>
      </x:c>
      <x:c r="G2091" s="8" t="str">
        <x:v>Current</x:v>
      </x:c>
    </x:row>
    <x:row r="2092" ht="32" customHeight="1">
      <x:c r="A2092" s="8" t="str">
        <x:v>trunk:LC1:LS:light:1</x:v>
      </x:c>
      <x:c r="B2092" s="8" t="n">
        <x:v>10</x:v>
      </x:c>
      <x:c r="C2092" s="11" t="n">
        <x:v>44.175</x:v>
      </x:c>
      <x:c r="D2092" s="11" t="n">
        <x:v>7.04</x:v>
      </x:c>
      <x:c r="E2092" s="11" t="n">
        <x:v>7.36</x:v>
      </x:c>
      <x:c r="F2092" s="11" t="n">
        <x:f>SQRT((C2092-C2091)^2+(D2092-D2091)^2+(E2092-E2091)^2)</x:f>
        <x:v>0.8759999999999994</x:v>
      </x:c>
      <x:c r="G2092" s="8" t="str">
        <x:v>Current</x:v>
      </x:c>
    </x:row>
    <x:row r="2093" ht="32" customHeight="1">
      <x:c r="A2093" s="8" t="str">
        <x:v>trunk:LC1:LS:light:1</x:v>
      </x:c>
      <x:c r="B2093" s="8" t="n">
        <x:v>11</x:v>
      </x:c>
      <x:c r="C2093" s="11" t="n">
        <x:v>43.535</x:v>
      </x:c>
      <x:c r="D2093" s="11" t="n">
        <x:v>7.04</x:v>
      </x:c>
      <x:c r="E2093" s="11" t="n">
        <x:v>7.36</x:v>
      </x:c>
      <x:c r="F2093" s="11" t="n">
        <x:f>SQRT((C2093-C2092)^2+(D2093-D2092)^2+(E2093-E2092)^2)</x:f>
        <x:v>0.6400000000000006</x:v>
      </x:c>
      <x:c r="G2093" s="8" t="str">
        <x:v>Current</x:v>
      </x:c>
    </x:row>
    <x:row r="2094" ht="32" customHeight="1">
      <x:c r="A2094" s="8" t="str">
        <x:v>trunk:LC1:LS:light:1</x:v>
      </x:c>
      <x:c r="B2094" s="8" t="n">
        <x:v>12</x:v>
      </x:c>
      <x:c r="C2094" s="11" t="n">
        <x:v>43.455</x:v>
      </x:c>
      <x:c r="D2094" s="11" t="n">
        <x:v>6.950412371134024</x:v>
      </x:c>
      <x:c r="E2094" s="11" t="n">
        <x:v>7.36</x:v>
      </x:c>
      <x:c r="F2094" s="11" t="n">
        <x:f>SQRT((C2094-C2093)^2+(D2094-D2093)^2+(E2094-E2093)^2)</x:f>
        <x:v>0.12010804821421249</x:v>
      </x:c>
      <x:c r="G2094" s="8" t="str">
        <x:v>Current</x:v>
      </x:c>
    </x:row>
    <x:row r="2095" ht="32" customHeight="1">
      <x:c r="A2095" s="8" t="str">
        <x:v>trunk:LC1:LS:light:1</x:v>
      </x:c>
      <x:c r="B2095" s="8" t="n">
        <x:v>13</x:v>
      </x:c>
      <x:c r="C2095" s="11" t="n">
        <x:v>40.574999999999996</x:v>
      </x:c>
      <x:c r="D2095" s="11" t="n">
        <x:v>9.269999999999994</x:v>
      </x:c>
      <x:c r="E2095" s="11" t="n">
        <x:v>7.36</x:v>
      </x:c>
      <x:c r="F2095" s="11" t="n">
        <x:f>SQRT((C2095-C2094)^2+(D2095-D2094)^2+(E2095-E2094)^2)</x:f>
        <x:v>3.6979571073753776</x:v>
      </x:c>
      <x:c r="G2095" s="8" t="str">
        <x:v>Current</x:v>
      </x:c>
    </x:row>
    <x:row r="2096" ht="32" customHeight="1">
      <x:c r="A2096" s="8" t="str">
        <x:v>trunk:LC1:LS:light:1</x:v>
      </x:c>
      <x:c r="B2096" s="8" t="n">
        <x:v>14</x:v>
      </x:c>
      <x:c r="C2096" s="11" t="n">
        <x:v>37.695</x:v>
      </x:c>
      <x:c r="D2096" s="11" t="n">
        <x:v>6.950412371134018</x:v>
      </x:c>
      <x:c r="E2096" s="11" t="n">
        <x:v>7.36</x:v>
      </x:c>
      <x:c r="F2096" s="11" t="n">
        <x:f>SQRT((C2096-C2095)^2+(D2096-D2095)^2+(E2096-E2095)^2)</x:f>
        <x:v>3.697957107375376</x:v>
      </x:c>
      <x:c r="G2096" s="8" t="str">
        <x:v>Current</x:v>
      </x:c>
    </x:row>
    <x:row r="2097" ht="32" customHeight="1">
      <x:c r="A2097" s="8" t="str">
        <x:v>trunk:LC1:LS:light:1</x:v>
      </x:c>
      <x:c r="B2097" s="8" t="n">
        <x:v>15</x:v>
      </x:c>
      <x:c r="C2097" s="11" t="n">
        <x:v>37.615</x:v>
      </x:c>
      <x:c r="D2097" s="11" t="n">
        <x:v>7.04</x:v>
      </x:c>
      <x:c r="E2097" s="11" t="n">
        <x:v>7.36</x:v>
      </x:c>
      <x:c r="F2097" s="11" t="n">
        <x:f>SQRT((C2097-C2096)^2+(D2097-D2096)^2+(E2097-E2096)^2)</x:f>
        <x:v>0.12010804821421713</x:v>
      </x:c>
      <x:c r="G2097" s="8" t="str">
        <x:v>Current</x:v>
      </x:c>
    </x:row>
    <x:row r="2098" ht="32" customHeight="1">
      <x:c r="A2098" s="8" t="str">
        <x:v>trunk:LC1:LS:light:1</x:v>
      </x:c>
      <x:c r="B2098" s="8" t="n">
        <x:v>16</x:v>
      </x:c>
      <x:c r="C2098" s="11" t="n">
        <x:v>36.975</x:v>
      </x:c>
      <x:c r="D2098" s="11" t="n">
        <x:v>7.04</x:v>
      </x:c>
      <x:c r="E2098" s="11" t="n">
        <x:v>7.36</x:v>
      </x:c>
      <x:c r="F2098" s="11" t="n">
        <x:f>SQRT((C2098-C2097)^2+(D2098-D2097)^2+(E2098-E2097)^2)</x:f>
        <x:v>0.6400000000000006</x:v>
      </x:c>
      <x:c r="G2098" s="8" t="str">
        <x:v>Current</x:v>
      </x:c>
    </x:row>
    <x:row r="2099" ht="32" customHeight="1">
      <x:c r="A2099" s="8" t="str">
        <x:v>trunk:LC1:LS:light:1</x:v>
      </x:c>
      <x:c r="B2099" s="8" t="n">
        <x:v>17</x:v>
      </x:c>
      <x:c r="C2099" s="11" t="n">
        <x:v>36.975</x:v>
      </x:c>
      <x:c r="D2099" s="11" t="n">
        <x:v>6.164000000000001</x:v>
      </x:c>
      <x:c r="E2099" s="11" t="n">
        <x:v>7.36</x:v>
      </x:c>
      <x:c r="F2099" s="11" t="n">
        <x:f>SQRT((C2099-C2098)^2+(D2099-D2098)^2+(E2099-E2098)^2)</x:f>
        <x:v>0.8759999999999994</x:v>
      </x:c>
      <x:c r="G2099" s="8" t="str">
        <x:v>Current</x:v>
      </x:c>
    </x:row>
    <x:row r="2100" ht="32" customHeight="1">
      <x:c r="A2100" s="8" t="str">
        <x:v>trunk:LC1:LS:light:1</x:v>
      </x:c>
      <x:c r="B2100" s="8" t="n">
        <x:v>18</x:v>
      </x:c>
      <x:c r="C2100" s="11" t="n">
        <x:v>7.405000000000001</x:v>
      </x:c>
      <x:c r="D2100" s="11" t="n">
        <x:v>6.164000000000001</x:v>
      </x:c>
      <x:c r="E2100" s="11" t="n">
        <x:v>7.36</x:v>
      </x:c>
      <x:c r="F2100" s="11" t="n">
        <x:f>SQRT((C2100-C2099)^2+(D2100-D2099)^2+(E2100-E2099)^2)</x:f>
        <x:v>29.57</x:v>
      </x:c>
      <x:c r="G2100" s="8" t="str">
        <x:v>Current</x:v>
      </x:c>
    </x:row>
    <x:row r="2101" ht="32" customHeight="1">
      <x:c r="A2101" s="8" t="str">
        <x:v>drop:LC1:LS:light:1:L-STATION-1-A</x:v>
      </x:c>
      <x:c r="B2101" s="8" t="n">
        <x:v>1</x:v>
      </x:c>
      <x:c r="C2101" s="11" t="n">
        <x:v>34.405</x:v>
      </x:c>
      <x:c r="D2101" s="11" t="n">
        <x:v>6.164000000000001</x:v>
      </x:c>
      <x:c r="E2101" s="11" t="n">
        <x:v>7.36</x:v>
      </x:c>
      <x:c r="F2101" s="11" t="n">
        <x:f>0</x:f>
        <x:v>0</x:v>
      </x:c>
      <x:c r="G2101" s="8" t="str">
        <x:v>Current</x:v>
      </x:c>
    </x:row>
    <x:row r="2102" ht="32" customHeight="1">
      <x:c r="A2102" s="8" t="str">
        <x:v>drop:LC1:LS:light:1:L-STATION-1-A</x:v>
      </x:c>
      <x:c r="B2102" s="8" t="n">
        <x:v>2</x:v>
      </x:c>
      <x:c r="C2102" s="11" t="n">
        <x:v>34.405</x:v>
      </x:c>
      <x:c r="D2102" s="11" t="n">
        <x:v>4.72</x:v>
      </x:c>
      <x:c r="E2102" s="11" t="n">
        <x:v>7.36</x:v>
      </x:c>
      <x:c r="F2102" s="11" t="n">
        <x:f>SQRT((C2102-C2101)^2+(D2102-D2101)^2+(E2102-E2101)^2)</x:f>
        <x:v>1.4440000000000008</x:v>
      </x:c>
      <x:c r="G2102" s="8" t="str">
        <x:v>Current</x:v>
      </x:c>
    </x:row>
    <x:row r="2103" ht="32" customHeight="1">
      <x:c r="A2103" s="8" t="str">
        <x:v>drop:LC1:LS:light:1:L-STATION-1-A</x:v>
      </x:c>
      <x:c r="B2103" s="8" t="n">
        <x:v>3</x:v>
      </x:c>
      <x:c r="C2103" s="11" t="n">
        <x:v>34.405</x:v>
      </x:c>
      <x:c r="D2103" s="11" t="n">
        <x:v>4.72</x:v>
      </x:c>
      <x:c r="E2103" s="11" t="n">
        <x:v>7.23</x:v>
      </x:c>
      <x:c r="F2103" s="11" t="n">
        <x:f>SQRT((C2103-C2102)^2+(D2103-D2102)^2+(E2103-E2102)^2)</x:f>
        <x:v>0.1299999999999999</x:v>
      </x:c>
      <x:c r="G2103" s="8" t="str">
        <x:v>Current</x:v>
      </x:c>
    </x:row>
    <x:row r="2104" ht="32" customHeight="1">
      <x:c r="A2104" s="8" t="str">
        <x:v>drop:LC1:LS:light:1:L-STATION-1-B</x:v>
      </x:c>
      <x:c r="B2104" s="8" t="n">
        <x:v>1</x:v>
      </x:c>
      <x:c r="C2104" s="11" t="n">
        <x:v>35.045</x:v>
      </x:c>
      <x:c r="D2104" s="11" t="n">
        <x:v>6.164000000000001</x:v>
      </x:c>
      <x:c r="E2104" s="11" t="n">
        <x:v>7.36</x:v>
      </x:c>
      <x:c r="F2104" s="11" t="n">
        <x:f>0</x:f>
        <x:v>0</x:v>
      </x:c>
      <x:c r="G2104" s="8" t="str">
        <x:v>Current</x:v>
      </x:c>
    </x:row>
    <x:row r="2105" ht="32" customHeight="1">
      <x:c r="A2105" s="8" t="str">
        <x:v>drop:LC1:LS:light:1:L-STATION-1-B</x:v>
      </x:c>
      <x:c r="B2105" s="8" t="n">
        <x:v>2</x:v>
      </x:c>
      <x:c r="C2105" s="11" t="n">
        <x:v>35.045</x:v>
      </x:c>
      <x:c r="D2105" s="11" t="n">
        <x:v>4.72</x:v>
      </x:c>
      <x:c r="E2105" s="11" t="n">
        <x:v>7.36</x:v>
      </x:c>
      <x:c r="F2105" s="11" t="n">
        <x:f>SQRT((C2105-C2104)^2+(D2105-D2104)^2+(E2105-E2104)^2)</x:f>
        <x:v>1.4440000000000008</x:v>
      </x:c>
      <x:c r="G2105" s="8" t="str">
        <x:v>Current</x:v>
      </x:c>
    </x:row>
    <x:row r="2106" ht="32" customHeight="1">
      <x:c r="A2106" s="8" t="str">
        <x:v>drop:LC1:LS:light:1:L-STATION-1-B</x:v>
      </x:c>
      <x:c r="B2106" s="8" t="n">
        <x:v>3</x:v>
      </x:c>
      <x:c r="C2106" s="11" t="n">
        <x:v>35.045</x:v>
      </x:c>
      <x:c r="D2106" s="11" t="n">
        <x:v>4.72</x:v>
      </x:c>
      <x:c r="E2106" s="11" t="n">
        <x:v>7.23</x:v>
      </x:c>
      <x:c r="F2106" s="11" t="n">
        <x:f>SQRT((C2106-C2105)^2+(D2106-D2105)^2+(E2106-E2105)^2)</x:f>
        <x:v>0.1299999999999999</x:v>
      </x:c>
      <x:c r="G2106" s="8" t="str">
        <x:v>Current</x:v>
      </x:c>
    </x:row>
    <x:row r="2107" ht="32" customHeight="1">
      <x:c r="A2107" s="8" t="str">
        <x:v>drop:LC1:LS:light:1:L-STATION-2-A</x:v>
      </x:c>
      <x:c r="B2107" s="8" t="n">
        <x:v>1</x:v>
      </x:c>
      <x:c r="C2107" s="11" t="n">
        <x:v>29.905</x:v>
      </x:c>
      <x:c r="D2107" s="11" t="n">
        <x:v>6.164000000000001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drop:LC1:LS:light:1:L-STATION-2-A</x:v>
      </x:c>
      <x:c r="B2108" s="8" t="n">
        <x:v>2</x:v>
      </x:c>
      <x:c r="C2108" s="11" t="n">
        <x:v>29.905</x:v>
      </x:c>
      <x:c r="D2108" s="11" t="n">
        <x:v>4.72</x:v>
      </x:c>
      <x:c r="E2108" s="11" t="n">
        <x:v>7.36</x:v>
      </x:c>
      <x:c r="F2108" s="11" t="n">
        <x:f>SQRT((C2108-C2107)^2+(D2108-D2107)^2+(E2108-E2107)^2)</x:f>
        <x:v>1.4440000000000008</x:v>
      </x:c>
      <x:c r="G2108" s="8" t="str">
        <x:v>Current</x:v>
      </x:c>
    </x:row>
    <x:row r="2109" ht="32" customHeight="1">
      <x:c r="A2109" s="8" t="str">
        <x:v>drop:LC1:LS:light:1:L-STATION-2-A</x:v>
      </x:c>
      <x:c r="B2109" s="8" t="n">
        <x:v>3</x:v>
      </x:c>
      <x:c r="C2109" s="11" t="n">
        <x:v>29.905</x:v>
      </x:c>
      <x:c r="D2109" s="11" t="n">
        <x:v>4.72</x:v>
      </x:c>
      <x:c r="E2109" s="11" t="n">
        <x:v>7.23</x:v>
      </x:c>
      <x:c r="F2109" s="11" t="n">
        <x:f>SQRT((C2109-C2108)^2+(D2109-D2108)^2+(E2109-E2108)^2)</x:f>
        <x:v>0.1299999999999999</x:v>
      </x:c>
      <x:c r="G2109" s="8" t="str">
        <x:v>Current</x:v>
      </x:c>
    </x:row>
    <x:row r="2110" ht="32" customHeight="1">
      <x:c r="A2110" s="8" t="str">
        <x:v>drop:LC1:LS:light:1:L-STATION-2-B</x:v>
      </x:c>
      <x:c r="B2110" s="8" t="n">
        <x:v>1</x:v>
      </x:c>
      <x:c r="C2110" s="11" t="n">
        <x:v>30.545</x:v>
      </x:c>
      <x:c r="D2110" s="11" t="n">
        <x:v>6.164000000000001</x:v>
      </x:c>
      <x:c r="E2110" s="11" t="n">
        <x:v>7.36</x:v>
      </x:c>
      <x:c r="F2110" s="11" t="n">
        <x:f>0</x:f>
        <x:v>0</x:v>
      </x:c>
      <x:c r="G2110" s="8" t="str">
        <x:v>Current</x:v>
      </x:c>
    </x:row>
    <x:row r="2111" ht="32" customHeight="1">
      <x:c r="A2111" s="8" t="str">
        <x:v>drop:LC1:LS:light:1:L-STATION-2-B</x:v>
      </x:c>
      <x:c r="B2111" s="8" t="n">
        <x:v>2</x:v>
      </x:c>
      <x:c r="C2111" s="11" t="n">
        <x:v>30.545</x:v>
      </x:c>
      <x:c r="D2111" s="11" t="n">
        <x:v>4.72</x:v>
      </x:c>
      <x:c r="E2111" s="11" t="n">
        <x:v>7.36</x:v>
      </x:c>
      <x:c r="F2111" s="11" t="n">
        <x:f>SQRT((C2111-C2110)^2+(D2111-D2110)^2+(E2111-E2110)^2)</x:f>
        <x:v>1.4440000000000008</x:v>
      </x:c>
      <x:c r="G2111" s="8" t="str">
        <x:v>Current</x:v>
      </x:c>
    </x:row>
    <x:row r="2112" ht="32" customHeight="1">
      <x:c r="A2112" s="8" t="str">
        <x:v>drop:LC1:LS:light:1:L-STATION-2-B</x:v>
      </x:c>
      <x:c r="B2112" s="8" t="n">
        <x:v>3</x:v>
      </x:c>
      <x:c r="C2112" s="11" t="n">
        <x:v>30.545</x:v>
      </x:c>
      <x:c r="D2112" s="11" t="n">
        <x:v>4.72</x:v>
      </x:c>
      <x:c r="E2112" s="11" t="n">
        <x:v>7.23</x:v>
      </x:c>
      <x:c r="F2112" s="11" t="n">
        <x:f>SQRT((C2112-C2111)^2+(D2112-D2111)^2+(E2112-E2111)^2)</x:f>
        <x:v>0.1299999999999999</x:v>
      </x:c>
      <x:c r="G2112" s="8" t="str">
        <x:v>Current</x:v>
      </x:c>
    </x:row>
    <x:row r="2113" ht="32" customHeight="1">
      <x:c r="A2113" s="8" t="str">
        <x:v>drop:LC1:LS:light:1:L-STATION-3-A</x:v>
      </x:c>
      <x:c r="B2113" s="8" t="n">
        <x:v>1</x:v>
      </x:c>
      <x:c r="C2113" s="11" t="n">
        <x:v>25.405</x:v>
      </x:c>
      <x:c r="D2113" s="11" t="n">
        <x:v>6.164000000000001</x:v>
      </x:c>
      <x:c r="E2113" s="11" t="n">
        <x:v>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drop:LC1:LS:light:1:L-STATION-3-A</x:v>
      </x:c>
      <x:c r="B2114" s="8" t="n">
        <x:v>2</x:v>
      </x:c>
      <x:c r="C2114" s="11" t="n">
        <x:v>25.405</x:v>
      </x:c>
      <x:c r="D2114" s="11" t="n">
        <x:v>4.72</x:v>
      </x:c>
      <x:c r="E2114" s="11" t="n">
        <x:v>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drop:LC1:LS:light:1:L-STATION-3-A</x:v>
      </x:c>
      <x:c r="B2115" s="8" t="n">
        <x:v>3</x:v>
      </x:c>
      <x:c r="C2115" s="11" t="n">
        <x:v>25.405</x:v>
      </x:c>
      <x:c r="D2115" s="11" t="n">
        <x:v>4.72</x:v>
      </x:c>
      <x:c r="E2115" s="11" t="n">
        <x:v>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drop:LC1:LS:light:1:L-STATION-3-B</x:v>
      </x:c>
      <x:c r="B2116" s="8" t="n">
        <x:v>1</x:v>
      </x:c>
      <x:c r="C2116" s="11" t="n">
        <x:v>26.045</x:v>
      </x:c>
      <x:c r="D2116" s="11" t="n">
        <x:v>6.164000000000001</x:v>
      </x:c>
      <x:c r="E2116" s="11" t="n">
        <x:v>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drop:LC1:LS:light:1:L-STATION-3-B</x:v>
      </x:c>
      <x:c r="B2117" s="8" t="n">
        <x:v>2</x:v>
      </x:c>
      <x:c r="C2117" s="11" t="n">
        <x:v>26.045</x:v>
      </x:c>
      <x:c r="D2117" s="11" t="n">
        <x:v>4.72</x:v>
      </x:c>
      <x:c r="E2117" s="11" t="n">
        <x:v>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drop:LC1:LS:light:1:L-STATION-3-B</x:v>
      </x:c>
      <x:c r="B2118" s="8" t="n">
        <x:v>3</x:v>
      </x:c>
      <x:c r="C2118" s="11" t="n">
        <x:v>26.045</x:v>
      </x:c>
      <x:c r="D2118" s="11" t="n">
        <x:v>4.72</x:v>
      </x:c>
      <x:c r="E2118" s="11" t="n">
        <x:v>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drop:LC1:LS:light:1:L-STATION-4-A</x:v>
      </x:c>
      <x:c r="B2119" s="8" t="n">
        <x:v>1</x:v>
      </x:c>
      <x:c r="C2119" s="11" t="n">
        <x:v>20.905</x:v>
      </x:c>
      <x:c r="D2119" s="11" t="n">
        <x:v>6.164000000000001</x:v>
      </x:c>
      <x:c r="E2119" s="11" t="n">
        <x:v>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drop:LC1:LS:light:1:L-STATION-4-A</x:v>
      </x:c>
      <x:c r="B2120" s="8" t="n">
        <x:v>2</x:v>
      </x:c>
      <x:c r="C2120" s="11" t="n">
        <x:v>20.905</x:v>
      </x:c>
      <x:c r="D2120" s="11" t="n">
        <x:v>4.72</x:v>
      </x:c>
      <x:c r="E2120" s="11" t="n">
        <x:v>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drop:LC1:LS:light:1:L-STATION-4-A</x:v>
      </x:c>
      <x:c r="B2121" s="8" t="n">
        <x:v>3</x:v>
      </x:c>
      <x:c r="C2121" s="11" t="n">
        <x:v>20.905</x:v>
      </x:c>
      <x:c r="D2121" s="11" t="n">
        <x:v>4.72</x:v>
      </x:c>
      <x:c r="E2121" s="11" t="n">
        <x:v>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drop:LC1:LS:light:1:L-STATION-4-B</x:v>
      </x:c>
      <x:c r="B2122" s="8" t="n">
        <x:v>1</x:v>
      </x:c>
      <x:c r="C2122" s="11" t="n">
        <x:v>21.545</x:v>
      </x:c>
      <x:c r="D2122" s="11" t="n">
        <x:v>6.164000000000001</x:v>
      </x:c>
      <x:c r="E2122" s="11" t="n">
        <x:v>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drop:LC1:LS:light:1:L-STATION-4-B</x:v>
      </x:c>
      <x:c r="B2123" s="8" t="n">
        <x:v>2</x:v>
      </x:c>
      <x:c r="C2123" s="11" t="n">
        <x:v>21.545</x:v>
      </x:c>
      <x:c r="D2123" s="11" t="n">
        <x:v>4.72</x:v>
      </x:c>
      <x:c r="E2123" s="11" t="n">
        <x:v>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drop:LC1:LS:light:1:L-STATION-4-B</x:v>
      </x:c>
      <x:c r="B2124" s="8" t="n">
        <x:v>3</x:v>
      </x:c>
      <x:c r="C2124" s="11" t="n">
        <x:v>21.545</x:v>
      </x:c>
      <x:c r="D2124" s="11" t="n">
        <x:v>4.72</x:v>
      </x:c>
      <x:c r="E2124" s="11" t="n">
        <x:v>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drop:LC1:LS:light:1:L-STATION-5-A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drop:LC1:LS:light:1:L-STATION-5-A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drop:LC1:LS:light:1:L-STATION-5-A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drop:LC1:LS:light:1:L-STATION-5-B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drop:LC1:LS:light:1:L-STATION-5-B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drop:LC1:LS:light:1:L-STATION-5-B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drop:LC1:LS:light:1:L-STATION-6-A</x:v>
      </x:c>
      <x:c r="B2131" s="8" t="n">
        <x:v>1</x:v>
      </x:c>
      <x:c r="C2131" s="11" t="n">
        <x:v>11.905000000000001</x:v>
      </x:c>
      <x:c r="D2131" s="11" t="n">
        <x:v>6.164000000000001</x:v>
      </x:c>
      <x:c r="E2131" s="11" t="n">
        <x:v>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drop:LC1:LS:light:1:L-STATION-6-A</x:v>
      </x:c>
      <x:c r="B2132" s="8" t="n">
        <x:v>2</x:v>
      </x:c>
      <x:c r="C2132" s="11" t="n">
        <x:v>11.905000000000001</x:v>
      </x:c>
      <x:c r="D2132" s="11" t="n">
        <x:v>4.72</x:v>
      </x:c>
      <x:c r="E2132" s="11" t="n">
        <x:v>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drop:LC1:LS:light:1:L-STATION-6-A</x:v>
      </x:c>
      <x:c r="B2133" s="8" t="n">
        <x:v>3</x:v>
      </x:c>
      <x:c r="C2133" s="11" t="n">
        <x:v>11.905</x:v>
      </x:c>
      <x:c r="D2133" s="11" t="n">
        <x:v>4.72</x:v>
      </x:c>
      <x:c r="E2133" s="11" t="n">
        <x:v>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drop:LC1:LS:light:1:L-STATION-6-B</x:v>
      </x:c>
      <x:c r="B2134" s="8" t="n">
        <x:v>1</x:v>
      </x:c>
      <x:c r="C2134" s="11" t="n">
        <x:v>12.545000000000002</x:v>
      </x:c>
      <x:c r="D2134" s="11" t="n">
        <x:v>6.164000000000001</x:v>
      </x:c>
      <x:c r="E2134" s="11" t="n">
        <x:v>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drop:LC1:LS:light:1:L-STATION-6-B</x:v>
      </x:c>
      <x:c r="B2135" s="8" t="n">
        <x:v>2</x:v>
      </x:c>
      <x:c r="C2135" s="11" t="n">
        <x:v>12.545000000000002</x:v>
      </x:c>
      <x:c r="D2135" s="11" t="n">
        <x:v>4.72</x:v>
      </x:c>
      <x:c r="E2135" s="11" t="n">
        <x:v>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drop:LC1:LS:light:1:L-STATION-6-B</x:v>
      </x:c>
      <x:c r="B2136" s="8" t="n">
        <x:v>3</x:v>
      </x:c>
      <x:c r="C2136" s="11" t="n">
        <x:v>12.545</x:v>
      </x:c>
      <x:c r="D2136" s="11" t="n">
        <x:v>4.72</x:v>
      </x:c>
      <x:c r="E2136" s="11" t="n">
        <x:v>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drop:LC1:LS:light:1:L-STATION-7-A</x:v>
      </x:c>
      <x:c r="B2137" s="8" t="n">
        <x:v>1</x:v>
      </x:c>
      <x:c r="C2137" s="11" t="n">
        <x:v>7.405000000000001</x:v>
      </x:c>
      <x:c r="D2137" s="11" t="n">
        <x:v>6.164000000000001</x:v>
      </x:c>
      <x:c r="E2137" s="11" t="n">
        <x:v>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drop:LC1:LS:light:1:L-STATION-7-A</x:v>
      </x:c>
      <x:c r="B2138" s="8" t="n">
        <x:v>2</x:v>
      </x:c>
      <x:c r="C2138" s="11" t="n">
        <x:v>7.405000000000001</x:v>
      </x:c>
      <x:c r="D2138" s="11" t="n">
        <x:v>4.72</x:v>
      </x:c>
      <x:c r="E2138" s="11" t="n">
        <x:v>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drop:LC1:LS:light:1:L-STATION-7-A</x:v>
      </x:c>
      <x:c r="B2139" s="8" t="n">
        <x:v>3</x:v>
      </x:c>
      <x:c r="C2139" s="11" t="n">
        <x:v>7.404999999999999</x:v>
      </x:c>
      <x:c r="D2139" s="11" t="n">
        <x:v>4.72</x:v>
      </x:c>
      <x:c r="E2139" s="11" t="n">
        <x:v>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drop:LC1:LS:light:1:L-STATION-7-B</x:v>
      </x:c>
      <x:c r="B2140" s="8" t="n">
        <x:v>1</x:v>
      </x:c>
      <x:c r="C2140" s="11" t="n">
        <x:v>8.045000000000002</x:v>
      </x:c>
      <x:c r="D2140" s="11" t="n">
        <x:v>6.164000000000001</x:v>
      </x:c>
      <x:c r="E2140" s="11" t="n">
        <x:v>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drop:LC1:LS:light:1:L-STATION-7-B</x:v>
      </x:c>
      <x:c r="B2141" s="8" t="n">
        <x:v>2</x:v>
      </x:c>
      <x:c r="C2141" s="11" t="n">
        <x:v>8.045000000000002</x:v>
      </x:c>
      <x:c r="D2141" s="11" t="n">
        <x:v>4.72</x:v>
      </x:c>
      <x:c r="E2141" s="11" t="n">
        <x:v>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drop:LC1:LS:light:1:L-STATION-7-B</x:v>
      </x:c>
      <x:c r="B2142" s="8" t="n">
        <x:v>3</x:v>
      </x:c>
      <x:c r="C2142" s="11" t="n">
        <x:v>8.045</x:v>
      </x:c>
      <x:c r="D2142" s="11" t="n">
        <x:v>4.72</x:v>
      </x:c>
      <x:c r="E2142" s="11" t="n">
        <x:v>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trunk:LC1:LS:light:-1</x:v>
      </x:c>
      <x:c r="B2143" s="8" t="n">
        <x:v>1</x:v>
      </x:c>
      <x:c r="C2143" s="11" t="n">
        <x:v>48.895</x:v>
      </x:c>
      <x:c r="D2143" s="11" t="n">
        <x:v>1.85</x:v>
      </x:c>
      <x:c r="E2143" s="11" t="n">
        <x:v>-0.55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trunk:LC1:LS:light:-1</x:v>
      </x:c>
      <x:c r="B2144" s="8" t="n">
        <x:v>2</x:v>
      </x:c>
      <x:c r="C2144" s="11" t="n">
        <x:v>48.735</x:v>
      </x:c>
      <x:c r="D2144" s="11" t="n">
        <x:v>1.85</x:v>
      </x:c>
      <x:c r="E2144" s="11" t="n">
        <x:v>-0.55</x:v>
      </x:c>
      <x:c r="F2144" s="11" t="n">
        <x:f>SQRT((C2144-C2143)^2+(D2144-D2143)^2+(E2144-E2143)^2)</x:f>
        <x:v>0.1600000000000037</x:v>
      </x:c>
      <x:c r="G2144" s="8" t="str">
        <x:v>Current</x:v>
      </x:c>
    </x:row>
    <x:row r="2145" ht="32" customHeight="1">
      <x:c r="A2145" s="8" t="str">
        <x:v>trunk:LC1:LS:light:-1</x:v>
      </x:c>
      <x:c r="B2145" s="8" t="n">
        <x:v>3</x:v>
      </x:c>
      <x:c r="C2145" s="11" t="n">
        <x:v>48.735</x:v>
      </x:c>
      <x:c r="D2145" s="11" t="n">
        <x:v>1.85</x:v>
      </x:c>
      <x:c r="E2145" s="11" t="n">
        <x:v>-2.24</x:v>
      </x:c>
      <x:c r="F2145" s="11" t="n">
        <x:f>SQRT((C2145-C2144)^2+(D2145-D2144)^2+(E2145-E2144)^2)</x:f>
        <x:v>1.6900000000000002</x:v>
      </x:c>
      <x:c r="G2145" s="8" t="str">
        <x:v>Current</x:v>
      </x:c>
    </x:row>
    <x:row r="2146" ht="32" customHeight="1">
      <x:c r="A2146" s="8" t="str">
        <x:v>trunk:LC1:LS:light:-1</x:v>
      </x:c>
      <x:c r="B2146" s="8" t="n">
        <x:v>4</x:v>
      </x:c>
      <x:c r="C2146" s="11" t="n">
        <x:v>48.735</x:v>
      </x:c>
      <x:c r="D2146" s="11" t="n">
        <x:v>4.33</x:v>
      </x:c>
      <x:c r="E2146" s="11" t="n">
        <x:v>-2.24</x:v>
      </x:c>
      <x:c r="F2146" s="11" t="n">
        <x:f>SQRT((C2146-C2145)^2+(D2146-D2145)^2+(E2146-E2145)^2)</x:f>
        <x:v>2.48</x:v>
      </x:c>
      <x:c r="G2146" s="8" t="str">
        <x:v>Current</x:v>
      </x:c>
    </x:row>
    <x:row r="2147" ht="32" customHeight="1">
      <x:c r="A2147" s="8" t="str">
        <x:v>trunk:LC1:LS:light:-1</x:v>
      </x:c>
      <x:c r="B2147" s="8" t="n">
        <x:v>5</x:v>
      </x:c>
      <x:c r="C2147" s="11" t="n">
        <x:v>48.735</x:v>
      </x:c>
      <x:c r="D2147" s="11" t="n">
        <x:v>4.33</x:v>
      </x:c>
      <x:c r="E2147" s="11" t="n">
        <x:v>-3.3</x:v>
      </x:c>
      <x:c r="F2147" s="11" t="n">
        <x:f>SQRT((C2147-C2146)^2+(D2147-D2146)^2+(E2147-E2146)^2)</x:f>
        <x:v>1.0599999999999996</x:v>
      </x:c>
      <x:c r="G2147" s="8" t="str">
        <x:v>Current</x:v>
      </x:c>
    </x:row>
    <x:row r="2148" ht="32" customHeight="1">
      <x:c r="A2148" s="8" t="str">
        <x:v>trunk:LC1:LS:light:-1</x:v>
      </x:c>
      <x:c r="B2148" s="8" t="n">
        <x:v>6</x:v>
      </x:c>
      <x:c r="C2148" s="11" t="n">
        <x:v>53.016</x:v>
      </x:c>
      <x:c r="D2148" s="11" t="n">
        <x:v>4.33</x:v>
      </x:c>
      <x:c r="E2148" s="11" t="n">
        <x:v>-3.3</x:v>
      </x:c>
      <x:c r="F2148" s="11" t="n">
        <x:f>SQRT((C2148-C2147)^2+(D2148-D2147)^2+(E2148-E2147)^2)</x:f>
        <x:v>4.280999999999999</x:v>
      </x:c>
      <x:c r="G2148" s="8" t="str">
        <x:v>Current</x:v>
      </x:c>
    </x:row>
    <x:row r="2149" ht="32" customHeight="1">
      <x:c r="A2149" s="8" t="str">
        <x:v>trunk:LC1:LS:light:-1</x:v>
      </x:c>
      <x:c r="B2149" s="8" t="n">
        <x:v>7</x:v>
      </x:c>
      <x:c r="C2149" s="11" t="n">
        <x:v>53.016</x:v>
      </x:c>
      <x:c r="D2149" s="11" t="n">
        <x:v>6.164000000000001</x:v>
      </x:c>
      <x:c r="E2149" s="11" t="n">
        <x:v>-3.3</x:v>
      </x:c>
      <x:c r="F2149" s="11" t="n">
        <x:f>SQRT((C2149-C2148)^2+(D2149-D2148)^2+(E2149-E2148)^2)</x:f>
        <x:v>1.8340000000000005</x:v>
      </x:c>
      <x:c r="G2149" s="8" t="str">
        <x:v>Current</x:v>
      </x:c>
    </x:row>
    <x:row r="2150" ht="32" customHeight="1">
      <x:c r="A2150" s="8" t="str">
        <x:v>trunk:LC1:LS:light:-1</x:v>
      </x:c>
      <x:c r="B2150" s="8" t="n">
        <x:v>8</x:v>
      </x:c>
      <x:c r="C2150" s="11" t="n">
        <x:v>53.016</x:v>
      </x:c>
      <x:c r="D2150" s="11" t="n">
        <x:v>6.164000000000001</x:v>
      </x:c>
      <x:c r="E2150" s="11" t="n">
        <x:v>-7.36</x:v>
      </x:c>
      <x:c r="F2150" s="11" t="n">
        <x:f>SQRT((C2150-C2149)^2+(D2150-D2149)^2+(E2150-E2149)^2)</x:f>
        <x:v>4.0600000000000005</x:v>
      </x:c>
      <x:c r="G2150" s="8" t="str">
        <x:v>Current</x:v>
      </x:c>
    </x:row>
    <x:row r="2151" ht="32" customHeight="1">
      <x:c r="A2151" s="8" t="str">
        <x:v>trunk:LC1:LS:light:-1</x:v>
      </x:c>
      <x:c r="B2151" s="8" t="n">
        <x:v>9</x:v>
      </x:c>
      <x:c r="C2151" s="11" t="n">
        <x:v>44.175</x:v>
      </x:c>
      <x:c r="D2151" s="11" t="n">
        <x:v>6.164000000000001</x:v>
      </x:c>
      <x:c r="E2151" s="11" t="n">
        <x:v>-7.36</x:v>
      </x:c>
      <x:c r="F2151" s="11" t="n">
        <x:f>SQRT((C2151-C2150)^2+(D2151-D2150)^2+(E2151-E2150)^2)</x:f>
        <x:v>8.841000000000001</x:v>
      </x:c>
      <x:c r="G2151" s="8" t="str">
        <x:v>Current</x:v>
      </x:c>
    </x:row>
    <x:row r="2152" ht="32" customHeight="1">
      <x:c r="A2152" s="8" t="str">
        <x:v>trunk:LC1:LS:light:-1</x:v>
      </x:c>
      <x:c r="B2152" s="8" t="n">
        <x:v>10</x:v>
      </x:c>
      <x:c r="C2152" s="11" t="n">
        <x:v>44.175</x:v>
      </x:c>
      <x:c r="D2152" s="11" t="n">
        <x:v>7.04</x:v>
      </x:c>
      <x:c r="E2152" s="11" t="n">
        <x:v>-7.36</x:v>
      </x:c>
      <x:c r="F2152" s="11" t="n">
        <x:f>SQRT((C2152-C2151)^2+(D2152-D2151)^2+(E2152-E2151)^2)</x:f>
        <x:v>0.8759999999999994</x:v>
      </x:c>
      <x:c r="G2152" s="8" t="str">
        <x:v>Current</x:v>
      </x:c>
    </x:row>
    <x:row r="2153" ht="32" customHeight="1">
      <x:c r="A2153" s="8" t="str">
        <x:v>trunk:LC1:LS:light:-1</x:v>
      </x:c>
      <x:c r="B2153" s="8" t="n">
        <x:v>11</x:v>
      </x:c>
      <x:c r="C2153" s="11" t="n">
        <x:v>43.535</x:v>
      </x:c>
      <x:c r="D2153" s="11" t="n">
        <x:v>7.04</x:v>
      </x:c>
      <x:c r="E2153" s="11" t="n">
        <x:v>-7.36</x:v>
      </x:c>
      <x:c r="F2153" s="11" t="n">
        <x:f>SQRT((C2153-C2152)^2+(D2153-D2152)^2+(E2153-E2152)^2)</x:f>
        <x:v>0.6400000000000006</x:v>
      </x:c>
      <x:c r="G2153" s="8" t="str">
        <x:v>Current</x:v>
      </x:c>
    </x:row>
    <x:row r="2154" ht="32" customHeight="1">
      <x:c r="A2154" s="8" t="str">
        <x:v>trunk:LC1:LS:light:-1</x:v>
      </x:c>
      <x:c r="B2154" s="8" t="n">
        <x:v>12</x:v>
      </x:c>
      <x:c r="C2154" s="11" t="n">
        <x:v>43.455</x:v>
      </x:c>
      <x:c r="D2154" s="11" t="n">
        <x:v>6.950412371134024</x:v>
      </x:c>
      <x:c r="E2154" s="11" t="n">
        <x:v>-7.36</x:v>
      </x:c>
      <x:c r="F2154" s="11" t="n">
        <x:f>SQRT((C2154-C2153)^2+(D2154-D2153)^2+(E2154-E2153)^2)</x:f>
        <x:v>0.12010804821421249</x:v>
      </x:c>
      <x:c r="G2154" s="8" t="str">
        <x:v>Current</x:v>
      </x:c>
    </x:row>
    <x:row r="2155" ht="32" customHeight="1">
      <x:c r="A2155" s="8" t="str">
        <x:v>trunk:LC1:LS:light:-1</x:v>
      </x:c>
      <x:c r="B2155" s="8" t="n">
        <x:v>13</x:v>
      </x:c>
      <x:c r="C2155" s="11" t="n">
        <x:v>40.574999999999996</x:v>
      </x:c>
      <x:c r="D2155" s="11" t="n">
        <x:v>9.269999999999994</x:v>
      </x:c>
      <x:c r="E2155" s="11" t="n">
        <x:v>-7.36</x:v>
      </x:c>
      <x:c r="F2155" s="11" t="n">
        <x:f>SQRT((C2155-C2154)^2+(D2155-D2154)^2+(E2155-E2154)^2)</x:f>
        <x:v>3.6979571073753776</x:v>
      </x:c>
      <x:c r="G2155" s="8" t="str">
        <x:v>Current</x:v>
      </x:c>
    </x:row>
    <x:row r="2156" ht="32" customHeight="1">
      <x:c r="A2156" s="8" t="str">
        <x:v>trunk:LC1:LS:light:-1</x:v>
      </x:c>
      <x:c r="B2156" s="8" t="n">
        <x:v>14</x:v>
      </x:c>
      <x:c r="C2156" s="11" t="n">
        <x:v>37.695</x:v>
      </x:c>
      <x:c r="D2156" s="11" t="n">
        <x:v>6.950412371134018</x:v>
      </x:c>
      <x:c r="E2156" s="11" t="n">
        <x:v>-7.36</x:v>
      </x:c>
      <x:c r="F2156" s="11" t="n">
        <x:f>SQRT((C2156-C2155)^2+(D2156-D2155)^2+(E2156-E2155)^2)</x:f>
        <x:v>3.697957107375376</x:v>
      </x:c>
      <x:c r="G2156" s="8" t="str">
        <x:v>Current</x:v>
      </x:c>
    </x:row>
    <x:row r="2157" ht="32" customHeight="1">
      <x:c r="A2157" s="8" t="str">
        <x:v>trunk:LC1:LS:light:-1</x:v>
      </x:c>
      <x:c r="B2157" s="8" t="n">
        <x:v>15</x:v>
      </x:c>
      <x:c r="C2157" s="11" t="n">
        <x:v>37.615</x:v>
      </x:c>
      <x:c r="D2157" s="11" t="n">
        <x:v>7.04</x:v>
      </x:c>
      <x:c r="E2157" s="11" t="n">
        <x:v>-7.36</x:v>
      </x:c>
      <x:c r="F2157" s="11" t="n">
        <x:f>SQRT((C2157-C2156)^2+(D2157-D2156)^2+(E2157-E2156)^2)</x:f>
        <x:v>0.12010804821421713</x:v>
      </x:c>
      <x:c r="G2157" s="8" t="str">
        <x:v>Current</x:v>
      </x:c>
    </x:row>
    <x:row r="2158" ht="32" customHeight="1">
      <x:c r="A2158" s="8" t="str">
        <x:v>trunk:LC1:LS:light:-1</x:v>
      </x:c>
      <x:c r="B2158" s="8" t="n">
        <x:v>16</x:v>
      </x:c>
      <x:c r="C2158" s="11" t="n">
        <x:v>36.975</x:v>
      </x:c>
      <x:c r="D2158" s="11" t="n">
        <x:v>7.04</x:v>
      </x:c>
      <x:c r="E2158" s="11" t="n">
        <x:v>-7.36</x:v>
      </x:c>
      <x:c r="F2158" s="11" t="n">
        <x:f>SQRT((C2158-C2157)^2+(D2158-D2157)^2+(E2158-E2157)^2)</x:f>
        <x:v>0.6400000000000006</x:v>
      </x:c>
      <x:c r="G2158" s="8" t="str">
        <x:v>Current</x:v>
      </x:c>
    </x:row>
    <x:row r="2159" ht="32" customHeight="1">
      <x:c r="A2159" s="8" t="str">
        <x:v>trunk:LC1:LS:light:-1</x:v>
      </x:c>
      <x:c r="B2159" s="8" t="n">
        <x:v>17</x:v>
      </x:c>
      <x:c r="C2159" s="11" t="n">
        <x:v>36.975</x:v>
      </x:c>
      <x:c r="D2159" s="11" t="n">
        <x:v>6.164000000000001</x:v>
      </x:c>
      <x:c r="E2159" s="11" t="n">
        <x:v>-7.36</x:v>
      </x:c>
      <x:c r="F2159" s="11" t="n">
        <x:f>SQRT((C2159-C2158)^2+(D2159-D2158)^2+(E2159-E2158)^2)</x:f>
        <x:v>0.8759999999999994</x:v>
      </x:c>
      <x:c r="G2159" s="8" t="str">
        <x:v>Current</x:v>
      </x:c>
    </x:row>
    <x:row r="2160" ht="32" customHeight="1">
      <x:c r="A2160" s="8" t="str">
        <x:v>trunk:LC1:LS:light:-1</x:v>
      </x:c>
      <x:c r="B2160" s="8" t="n">
        <x:v>18</x:v>
      </x:c>
      <x:c r="C2160" s="11" t="n">
        <x:v>7.405000000000001</x:v>
      </x:c>
      <x:c r="D2160" s="11" t="n">
        <x:v>6.164000000000001</x:v>
      </x:c>
      <x:c r="E2160" s="11" t="n">
        <x:v>-7.36</x:v>
      </x:c>
      <x:c r="F2160" s="11" t="n">
        <x:f>SQRT((C2160-C2159)^2+(D2160-D2159)^2+(E2160-E2159)^2)</x:f>
        <x:v>29.57</x:v>
      </x:c>
      <x:c r="G2160" s="8" t="str">
        <x:v>Current</x:v>
      </x:c>
    </x:row>
    <x:row r="2161" ht="32" customHeight="1">
      <x:c r="A2161" s="8" t="str">
        <x:v>drop:LC1:LS:light:-1:L-STATION-8-A</x:v>
      </x:c>
      <x:c r="B2161" s="8" t="n">
        <x:v>1</x:v>
      </x:c>
      <x:c r="C2161" s="11" t="n">
        <x:v>7.405000000000001</x:v>
      </x:c>
      <x:c r="D2161" s="11" t="n">
        <x:v>6.164000000000001</x:v>
      </x:c>
      <x:c r="E2161" s="11" t="n">
        <x:v>-7.36</x:v>
      </x:c>
      <x:c r="F2161" s="11" t="n">
        <x:f>0</x:f>
        <x:v>0</x:v>
      </x:c>
      <x:c r="G2161" s="8" t="str">
        <x:v>Current</x:v>
      </x:c>
    </x:row>
    <x:row r="2162" ht="32" customHeight="1">
      <x:c r="A2162" s="8" t="str">
        <x:v>drop:LC1:LS:light:-1:L-STATION-8-A</x:v>
      </x:c>
      <x:c r="B2162" s="8" t="n">
        <x:v>2</x:v>
      </x:c>
      <x:c r="C2162" s="11" t="n">
        <x:v>7.405000000000001</x:v>
      </x:c>
      <x:c r="D2162" s="11" t="n">
        <x:v>4.72</x:v>
      </x:c>
      <x:c r="E2162" s="11" t="n">
        <x:v>-7.36</x:v>
      </x:c>
      <x:c r="F2162" s="11" t="n">
        <x:f>SQRT((C2162-C2161)^2+(D2162-D2161)^2+(E2162-E2161)^2)</x:f>
        <x:v>1.4440000000000008</x:v>
      </x:c>
      <x:c r="G2162" s="8" t="str">
        <x:v>Current</x:v>
      </x:c>
    </x:row>
    <x:row r="2163" ht="32" customHeight="1">
      <x:c r="A2163" s="8" t="str">
        <x:v>drop:LC1:LS:light:-1:L-STATION-8-A</x:v>
      </x:c>
      <x:c r="B2163" s="8" t="n">
        <x:v>3</x:v>
      </x:c>
      <x:c r="C2163" s="11" t="n">
        <x:v>7.404999999999999</x:v>
      </x:c>
      <x:c r="D2163" s="11" t="n">
        <x:v>4.72</x:v>
      </x:c>
      <x:c r="E2163" s="11" t="n">
        <x:v>-7.23</x:v>
      </x:c>
      <x:c r="F2163" s="11" t="n">
        <x:f>SQRT((C2163-C2162)^2+(D2163-D2162)^2+(E2163-E2162)^2)</x:f>
        <x:v>0.1299999999999999</x:v>
      </x:c>
      <x:c r="G2163" s="8" t="str">
        <x:v>Current</x:v>
      </x:c>
    </x:row>
    <x:row r="2164" ht="32" customHeight="1">
      <x:c r="A2164" s="8" t="str">
        <x:v>drop:LC1:LS:light:-1:L-STATION-8-B</x:v>
      </x:c>
      <x:c r="B2164" s="8" t="n">
        <x:v>1</x:v>
      </x:c>
      <x:c r="C2164" s="11" t="n">
        <x:v>8.045000000000002</x:v>
      </x:c>
      <x:c r="D2164" s="11" t="n">
        <x:v>6.164000000000001</x:v>
      </x:c>
      <x:c r="E2164" s="11" t="n">
        <x:v>-7.36</x:v>
      </x:c>
      <x:c r="F2164" s="11" t="n">
        <x:f>0</x:f>
        <x:v>0</x:v>
      </x:c>
      <x:c r="G2164" s="8" t="str">
        <x:v>Current</x:v>
      </x:c>
    </x:row>
    <x:row r="2165" ht="32" customHeight="1">
      <x:c r="A2165" s="8" t="str">
        <x:v>drop:LC1:LS:light:-1:L-STATION-8-B</x:v>
      </x:c>
      <x:c r="B2165" s="8" t="n">
        <x:v>2</x:v>
      </x:c>
      <x:c r="C2165" s="11" t="n">
        <x:v>8.045000000000002</x:v>
      </x:c>
      <x:c r="D2165" s="11" t="n">
        <x:v>4.72</x:v>
      </x:c>
      <x:c r="E2165" s="11" t="n">
        <x:v>-7.36</x:v>
      </x:c>
      <x:c r="F2165" s="11" t="n">
        <x:f>SQRT((C2165-C2164)^2+(D2165-D2164)^2+(E2165-E2164)^2)</x:f>
        <x:v>1.4440000000000008</x:v>
      </x:c>
      <x:c r="G2165" s="8" t="str">
        <x:v>Current</x:v>
      </x:c>
    </x:row>
    <x:row r="2166" ht="32" customHeight="1">
      <x:c r="A2166" s="8" t="str">
        <x:v>drop:LC1:LS:light:-1:L-STATION-8-B</x:v>
      </x:c>
      <x:c r="B2166" s="8" t="n">
        <x:v>3</x:v>
      </x:c>
      <x:c r="C2166" s="11" t="n">
        <x:v>8.045</x:v>
      </x:c>
      <x:c r="D2166" s="11" t="n">
        <x:v>4.72</x:v>
      </x:c>
      <x:c r="E2166" s="11" t="n">
        <x:v>-7.23</x:v>
      </x:c>
      <x:c r="F2166" s="11" t="n">
        <x:f>SQRT((C2166-C2165)^2+(D2166-D2165)^2+(E2166-E2165)^2)</x:f>
        <x:v>0.1299999999999999</x:v>
      </x:c>
      <x:c r="G2166" s="8" t="str">
        <x:v>Current</x:v>
      </x:c>
    </x:row>
    <x:row r="2167" ht="32" customHeight="1">
      <x:c r="A2167" s="8" t="str">
        <x:v>drop:LC1:LS:light:-1:L-STATION-9-A</x:v>
      </x:c>
      <x:c r="B2167" s="8" t="n">
        <x:v>1</x:v>
      </x:c>
      <x:c r="C2167" s="11" t="n">
        <x:v>11.905000000000001</x:v>
      </x:c>
      <x:c r="D2167" s="11" t="n">
        <x:v>6.164000000000001</x:v>
      </x:c>
      <x:c r="E2167" s="11" t="n">
        <x:v>-7.36</x:v>
      </x:c>
      <x:c r="F2167" s="11" t="n">
        <x:f>0</x:f>
        <x:v>0</x:v>
      </x:c>
      <x:c r="G2167" s="8" t="str">
        <x:v>Current</x:v>
      </x:c>
    </x:row>
    <x:row r="2168" ht="32" customHeight="1">
      <x:c r="A2168" s="8" t="str">
        <x:v>drop:LC1:LS:light:-1:L-STATION-9-A</x:v>
      </x:c>
      <x:c r="B2168" s="8" t="n">
        <x:v>2</x:v>
      </x:c>
      <x:c r="C2168" s="11" t="n">
        <x:v>11.905000000000001</x:v>
      </x:c>
      <x:c r="D2168" s="11" t="n">
        <x:v>4.72</x:v>
      </x:c>
      <x:c r="E2168" s="11" t="n">
        <x:v>-7.36</x:v>
      </x:c>
      <x:c r="F2168" s="11" t="n">
        <x:f>SQRT((C2168-C2167)^2+(D2168-D2167)^2+(E2168-E2167)^2)</x:f>
        <x:v>1.4440000000000008</x:v>
      </x:c>
      <x:c r="G2168" s="8" t="str">
        <x:v>Current</x:v>
      </x:c>
    </x:row>
    <x:row r="2169" ht="32" customHeight="1">
      <x:c r="A2169" s="8" t="str">
        <x:v>drop:LC1:LS:light:-1:L-STATION-9-A</x:v>
      </x:c>
      <x:c r="B2169" s="8" t="n">
        <x:v>3</x:v>
      </x:c>
      <x:c r="C2169" s="11" t="n">
        <x:v>11.905</x:v>
      </x:c>
      <x:c r="D2169" s="11" t="n">
        <x:v>4.72</x:v>
      </x:c>
      <x:c r="E2169" s="11" t="n">
        <x:v>-7.23</x:v>
      </x:c>
      <x:c r="F2169" s="11" t="n">
        <x:f>SQRT((C2169-C2168)^2+(D2169-D2168)^2+(E2169-E2168)^2)</x:f>
        <x:v>0.1299999999999999</x:v>
      </x:c>
      <x:c r="G2169" s="8" t="str">
        <x:v>Current</x:v>
      </x:c>
    </x:row>
    <x:row r="2170" ht="32" customHeight="1">
      <x:c r="A2170" s="8" t="str">
        <x:v>drop:LC1:LS:light:-1:L-STATION-9-B</x:v>
      </x:c>
      <x:c r="B2170" s="8" t="n">
        <x:v>1</x:v>
      </x:c>
      <x:c r="C2170" s="11" t="n">
        <x:v>12.545000000000002</x:v>
      </x:c>
      <x:c r="D2170" s="11" t="n">
        <x:v>6.164000000000001</x:v>
      </x:c>
      <x:c r="E2170" s="11" t="n">
        <x:v>-7.36</x:v>
      </x:c>
      <x:c r="F2170" s="11" t="n">
        <x:f>0</x:f>
        <x:v>0</x:v>
      </x:c>
      <x:c r="G2170" s="8" t="str">
        <x:v>Current</x:v>
      </x:c>
    </x:row>
    <x:row r="2171" ht="32" customHeight="1">
      <x:c r="A2171" s="8" t="str">
        <x:v>drop:LC1:LS:light:-1:L-STATION-9-B</x:v>
      </x:c>
      <x:c r="B2171" s="8" t="n">
        <x:v>2</x:v>
      </x:c>
      <x:c r="C2171" s="11" t="n">
        <x:v>12.545000000000002</x:v>
      </x:c>
      <x:c r="D2171" s="11" t="n">
        <x:v>4.72</x:v>
      </x:c>
      <x:c r="E2171" s="11" t="n">
        <x:v>-7.36</x:v>
      </x:c>
      <x:c r="F2171" s="11" t="n">
        <x:f>SQRT((C2171-C2170)^2+(D2171-D2170)^2+(E2171-E2170)^2)</x:f>
        <x:v>1.4440000000000008</x:v>
      </x:c>
      <x:c r="G2171" s="8" t="str">
        <x:v>Current</x:v>
      </x:c>
    </x:row>
    <x:row r="2172" ht="32" customHeight="1">
      <x:c r="A2172" s="8" t="str">
        <x:v>drop:LC1:LS:light:-1:L-STATION-9-B</x:v>
      </x:c>
      <x:c r="B2172" s="8" t="n">
        <x:v>3</x:v>
      </x:c>
      <x:c r="C2172" s="11" t="n">
        <x:v>12.545</x:v>
      </x:c>
      <x:c r="D2172" s="11" t="n">
        <x:v>4.72</x:v>
      </x:c>
      <x:c r="E2172" s="11" t="n">
        <x:v>-7.23</x:v>
      </x:c>
      <x:c r="F2172" s="11" t="n">
        <x:f>SQRT((C2172-C2171)^2+(D2172-D2171)^2+(E2172-E2171)^2)</x:f>
        <x:v>0.1299999999999999</x:v>
      </x:c>
      <x:c r="G2172" s="8" t="str">
        <x:v>Current</x:v>
      </x:c>
    </x:row>
    <x:row r="2173" ht="32" customHeight="1">
      <x:c r="A2173" s="8" t="str">
        <x:v>drop:LC1:LS:light:-1:L-STATION-10-A</x:v>
      </x:c>
      <x:c r="B2173" s="8" t="n">
        <x:v>1</x:v>
      </x:c>
      <x:c r="C2173" s="11" t="n">
        <x:v>16.405</x:v>
      </x:c>
      <x:c r="D2173" s="11" t="n">
        <x:v>6.164000000000001</x:v>
      </x:c>
      <x:c r="E2173" s="11" t="n">
        <x:v>-7.36</x:v>
      </x:c>
      <x:c r="F2173" s="11" t="n">
        <x:f>0</x:f>
        <x:v>0</x:v>
      </x:c>
      <x:c r="G2173" s="8" t="str">
        <x:v>Current</x:v>
      </x:c>
    </x:row>
    <x:row r="2174" ht="32" customHeight="1">
      <x:c r="A2174" s="8" t="str">
        <x:v>drop:LC1:LS:light:-1:L-STATION-10-A</x:v>
      </x:c>
      <x:c r="B2174" s="8" t="n">
        <x:v>2</x:v>
      </x:c>
      <x:c r="C2174" s="11" t="n">
        <x:v>16.405</x:v>
      </x:c>
      <x:c r="D2174" s="11" t="n">
        <x:v>4.72</x:v>
      </x:c>
      <x:c r="E2174" s="11" t="n">
        <x:v>-7.36</x:v>
      </x:c>
      <x:c r="F2174" s="11" t="n">
        <x:f>SQRT((C2174-C2173)^2+(D2174-D2173)^2+(E2174-E2173)^2)</x:f>
        <x:v>1.4440000000000008</x:v>
      </x:c>
      <x:c r="G2174" s="8" t="str">
        <x:v>Current</x:v>
      </x:c>
    </x:row>
    <x:row r="2175" ht="32" customHeight="1">
      <x:c r="A2175" s="8" t="str">
        <x:v>drop:LC1:LS:light:-1:L-STATION-10-A</x:v>
      </x:c>
      <x:c r="B2175" s="8" t="n">
        <x:v>3</x:v>
      </x:c>
      <x:c r="C2175" s="11" t="n">
        <x:v>16.405</x:v>
      </x:c>
      <x:c r="D2175" s="11" t="n">
        <x:v>4.72</x:v>
      </x:c>
      <x:c r="E2175" s="11" t="n">
        <x:v>-7.23</x:v>
      </x:c>
      <x:c r="F2175" s="11" t="n">
        <x:f>SQRT((C2175-C2174)^2+(D2175-D2174)^2+(E2175-E2174)^2)</x:f>
        <x:v>0.1299999999999999</x:v>
      </x:c>
      <x:c r="G2175" s="8" t="str">
        <x:v>Current</x:v>
      </x:c>
    </x:row>
    <x:row r="2176" ht="32" customHeight="1">
      <x:c r="A2176" s="8" t="str">
        <x:v>drop:LC1:LS:light:-1:L-STATION-10-B</x:v>
      </x:c>
      <x:c r="B2176" s="8" t="n">
        <x:v>1</x:v>
      </x:c>
      <x:c r="C2176" s="11" t="n">
        <x:v>17.045</x:v>
      </x:c>
      <x:c r="D2176" s="11" t="n">
        <x:v>6.164000000000001</x:v>
      </x:c>
      <x:c r="E2176" s="11" t="n">
        <x:v>-7.36</x:v>
      </x:c>
      <x:c r="F2176" s="11" t="n">
        <x:f>0</x:f>
        <x:v>0</x:v>
      </x:c>
      <x:c r="G2176" s="8" t="str">
        <x:v>Current</x:v>
      </x:c>
    </x:row>
    <x:row r="2177" ht="32" customHeight="1">
      <x:c r="A2177" s="8" t="str">
        <x:v>drop:LC1:LS:light:-1:L-STATION-10-B</x:v>
      </x:c>
      <x:c r="B2177" s="8" t="n">
        <x:v>2</x:v>
      </x:c>
      <x:c r="C2177" s="11" t="n">
        <x:v>17.045</x:v>
      </x:c>
      <x:c r="D2177" s="11" t="n">
        <x:v>4.72</x:v>
      </x:c>
      <x:c r="E2177" s="11" t="n">
        <x:v>-7.36</x:v>
      </x:c>
      <x:c r="F2177" s="11" t="n">
        <x:f>SQRT((C2177-C2176)^2+(D2177-D2176)^2+(E2177-E2176)^2)</x:f>
        <x:v>1.4440000000000008</x:v>
      </x:c>
      <x:c r="G2177" s="8" t="str">
        <x:v>Current</x:v>
      </x:c>
    </x:row>
    <x:row r="2178" ht="32" customHeight="1">
      <x:c r="A2178" s="8" t="str">
        <x:v>drop:LC1:LS:light:-1:L-STATION-10-B</x:v>
      </x:c>
      <x:c r="B2178" s="8" t="n">
        <x:v>3</x:v>
      </x:c>
      <x:c r="C2178" s="11" t="n">
        <x:v>17.045</x:v>
      </x:c>
      <x:c r="D2178" s="11" t="n">
        <x:v>4.72</x:v>
      </x:c>
      <x:c r="E2178" s="11" t="n">
        <x:v>-7.23</x:v>
      </x:c>
      <x:c r="F2178" s="11" t="n">
        <x:f>SQRT((C2178-C2177)^2+(D2178-D2177)^2+(E2178-E2177)^2)</x:f>
        <x:v>0.1299999999999999</x:v>
      </x:c>
      <x:c r="G2178" s="8" t="str">
        <x:v>Current</x:v>
      </x:c>
    </x:row>
    <x:row r="2179" ht="32" customHeight="1">
      <x:c r="A2179" s="8" t="str">
        <x:v>drop:LC1:LS:light:-1:L-STATION-11-A</x:v>
      </x:c>
      <x:c r="B2179" s="8" t="n">
        <x:v>1</x:v>
      </x:c>
      <x:c r="C2179" s="11" t="n">
        <x:v>20.905</x:v>
      </x:c>
      <x:c r="D2179" s="11" t="n">
        <x:v>6.164000000000001</x:v>
      </x:c>
      <x:c r="E2179" s="11" t="n">
        <x:v>-7.36</x:v>
      </x:c>
      <x:c r="F2179" s="11" t="n">
        <x:f>0</x:f>
        <x:v>0</x:v>
      </x:c>
      <x:c r="G2179" s="8" t="str">
        <x:v>Current</x:v>
      </x:c>
    </x:row>
    <x:row r="2180" ht="32" customHeight="1">
      <x:c r="A2180" s="8" t="str">
        <x:v>drop:LC1:LS:light:-1:L-STATION-11-A</x:v>
      </x:c>
      <x:c r="B2180" s="8" t="n">
        <x:v>2</x:v>
      </x:c>
      <x:c r="C2180" s="11" t="n">
        <x:v>20.905</x:v>
      </x:c>
      <x:c r="D2180" s="11" t="n">
        <x:v>4.72</x:v>
      </x:c>
      <x:c r="E2180" s="11" t="n">
        <x:v>-7.36</x:v>
      </x:c>
      <x:c r="F2180" s="11" t="n">
        <x:f>SQRT((C2180-C2179)^2+(D2180-D2179)^2+(E2180-E2179)^2)</x:f>
        <x:v>1.4440000000000008</x:v>
      </x:c>
      <x:c r="G2180" s="8" t="str">
        <x:v>Current</x:v>
      </x:c>
    </x:row>
    <x:row r="2181" ht="32" customHeight="1">
      <x:c r="A2181" s="8" t="str">
        <x:v>drop:LC1:LS:light:-1:L-STATION-11-A</x:v>
      </x:c>
      <x:c r="B2181" s="8" t="n">
        <x:v>3</x:v>
      </x:c>
      <x:c r="C2181" s="11" t="n">
        <x:v>20.905</x:v>
      </x:c>
      <x:c r="D2181" s="11" t="n">
        <x:v>4.72</x:v>
      </x:c>
      <x:c r="E2181" s="11" t="n">
        <x:v>-7.23</x:v>
      </x:c>
      <x:c r="F2181" s="11" t="n">
        <x:f>SQRT((C2181-C2180)^2+(D2181-D2180)^2+(E2181-E2180)^2)</x:f>
        <x:v>0.1299999999999999</x:v>
      </x:c>
      <x:c r="G2181" s="8" t="str">
        <x:v>Current</x:v>
      </x:c>
    </x:row>
    <x:row r="2182" ht="32" customHeight="1">
      <x:c r="A2182" s="8" t="str">
        <x:v>drop:LC1:LS:light:-1:L-STATION-11-B</x:v>
      </x:c>
      <x:c r="B2182" s="8" t="n">
        <x:v>1</x:v>
      </x:c>
      <x:c r="C2182" s="11" t="n">
        <x:v>21.545</x:v>
      </x:c>
      <x:c r="D2182" s="11" t="n">
        <x:v>6.164000000000001</x:v>
      </x:c>
      <x:c r="E2182" s="11" t="n">
        <x:v>-7.36</x:v>
      </x:c>
      <x:c r="F2182" s="11" t="n">
        <x:f>0</x:f>
        <x:v>0</x:v>
      </x:c>
      <x:c r="G2182" s="8" t="str">
        <x:v>Current</x:v>
      </x:c>
    </x:row>
    <x:row r="2183" ht="32" customHeight="1">
      <x:c r="A2183" s="8" t="str">
        <x:v>drop:LC1:LS:light:-1:L-STATION-11-B</x:v>
      </x:c>
      <x:c r="B2183" s="8" t="n">
        <x:v>2</x:v>
      </x:c>
      <x:c r="C2183" s="11" t="n">
        <x:v>21.545</x:v>
      </x:c>
      <x:c r="D2183" s="11" t="n">
        <x:v>4.72</x:v>
      </x:c>
      <x:c r="E2183" s="11" t="n">
        <x:v>-7.36</x:v>
      </x:c>
      <x:c r="F2183" s="11" t="n">
        <x:f>SQRT((C2183-C2182)^2+(D2183-D2182)^2+(E2183-E2182)^2)</x:f>
        <x:v>1.4440000000000008</x:v>
      </x:c>
      <x:c r="G2183" s="8" t="str">
        <x:v>Current</x:v>
      </x:c>
    </x:row>
    <x:row r="2184" ht="32" customHeight="1">
      <x:c r="A2184" s="8" t="str">
        <x:v>drop:LC1:LS:light:-1:L-STATION-11-B</x:v>
      </x:c>
      <x:c r="B2184" s="8" t="n">
        <x:v>3</x:v>
      </x:c>
      <x:c r="C2184" s="11" t="n">
        <x:v>21.545</x:v>
      </x:c>
      <x:c r="D2184" s="11" t="n">
        <x:v>4.72</x:v>
      </x:c>
      <x:c r="E2184" s="11" t="n">
        <x:v>-7.23</x:v>
      </x:c>
      <x:c r="F2184" s="11" t="n">
        <x:f>SQRT((C2184-C2183)^2+(D2184-D2183)^2+(E2184-E2183)^2)</x:f>
        <x:v>0.1299999999999999</x:v>
      </x:c>
      <x:c r="G2184" s="8" t="str">
        <x:v>Current</x:v>
      </x:c>
    </x:row>
    <x:row r="2185" ht="32" customHeight="1">
      <x:c r="A2185" s="8" t="str">
        <x:v>drop:LC1:LS:light:-1:L-STATION-12-A</x:v>
      </x:c>
      <x:c r="B2185" s="8" t="n">
        <x:v>1</x:v>
      </x:c>
      <x:c r="C2185" s="11" t="n">
        <x:v>25.405</x:v>
      </x:c>
      <x:c r="D2185" s="11" t="n">
        <x:v>6.164000000000001</x:v>
      </x:c>
      <x:c r="E2185" s="11" t="n">
        <x:v>-7.36</x:v>
      </x:c>
      <x:c r="F2185" s="11" t="n">
        <x:f>0</x:f>
        <x:v>0</x:v>
      </x:c>
      <x:c r="G2185" s="8" t="str">
        <x:v>Current</x:v>
      </x:c>
    </x:row>
    <x:row r="2186" ht="32" customHeight="1">
      <x:c r="A2186" s="8" t="str">
        <x:v>drop:LC1:LS:light:-1:L-STATION-12-A</x:v>
      </x:c>
      <x:c r="B2186" s="8" t="n">
        <x:v>2</x:v>
      </x:c>
      <x:c r="C2186" s="11" t="n">
        <x:v>25.405</x:v>
      </x:c>
      <x:c r="D2186" s="11" t="n">
        <x:v>4.72</x:v>
      </x:c>
      <x:c r="E2186" s="11" t="n">
        <x:v>-7.36</x:v>
      </x:c>
      <x:c r="F2186" s="11" t="n">
        <x:f>SQRT((C2186-C2185)^2+(D2186-D2185)^2+(E2186-E2185)^2)</x:f>
        <x:v>1.4440000000000008</x:v>
      </x:c>
      <x:c r="G2186" s="8" t="str">
        <x:v>Current</x:v>
      </x:c>
    </x:row>
    <x:row r="2187" ht="32" customHeight="1">
      <x:c r="A2187" s="8" t="str">
        <x:v>drop:LC1:LS:light:-1:L-STATION-12-A</x:v>
      </x:c>
      <x:c r="B2187" s="8" t="n">
        <x:v>3</x:v>
      </x:c>
      <x:c r="C2187" s="11" t="n">
        <x:v>25.405</x:v>
      </x:c>
      <x:c r="D2187" s="11" t="n">
        <x:v>4.72</x:v>
      </x:c>
      <x:c r="E2187" s="11" t="n">
        <x:v>-7.23</x:v>
      </x:c>
      <x:c r="F2187" s="11" t="n">
        <x:f>SQRT((C2187-C2186)^2+(D2187-D2186)^2+(E2187-E2186)^2)</x:f>
        <x:v>0.1299999999999999</x:v>
      </x:c>
      <x:c r="G2187" s="8" t="str">
        <x:v>Current</x:v>
      </x:c>
    </x:row>
    <x:row r="2188" ht="32" customHeight="1">
      <x:c r="A2188" s="8" t="str">
        <x:v>drop:LC1:LS:light:-1:L-STATION-12-B</x:v>
      </x:c>
      <x:c r="B2188" s="8" t="n">
        <x:v>1</x:v>
      </x:c>
      <x:c r="C2188" s="11" t="n">
        <x:v>26.045</x:v>
      </x:c>
      <x:c r="D2188" s="11" t="n">
        <x:v>6.164000000000001</x:v>
      </x:c>
      <x:c r="E2188" s="11" t="n">
        <x:v>-7.36</x:v>
      </x:c>
      <x:c r="F2188" s="11" t="n">
        <x:f>0</x:f>
        <x:v>0</x:v>
      </x:c>
      <x:c r="G2188" s="8" t="str">
        <x:v>Current</x:v>
      </x:c>
    </x:row>
    <x:row r="2189" ht="32" customHeight="1">
      <x:c r="A2189" s="8" t="str">
        <x:v>drop:LC1:LS:light:-1:L-STATION-12-B</x:v>
      </x:c>
      <x:c r="B2189" s="8" t="n">
        <x:v>2</x:v>
      </x:c>
      <x:c r="C2189" s="11" t="n">
        <x:v>26.045</x:v>
      </x:c>
      <x:c r="D2189" s="11" t="n">
        <x:v>4.72</x:v>
      </x:c>
      <x:c r="E2189" s="11" t="n">
        <x:v>-7.36</x:v>
      </x:c>
      <x:c r="F2189" s="11" t="n">
        <x:f>SQRT((C2189-C2188)^2+(D2189-D2188)^2+(E2189-E2188)^2)</x:f>
        <x:v>1.4440000000000008</x:v>
      </x:c>
      <x:c r="G2189" s="8" t="str">
        <x:v>Current</x:v>
      </x:c>
    </x:row>
    <x:row r="2190" ht="32" customHeight="1">
      <x:c r="A2190" s="8" t="str">
        <x:v>drop:LC1:LS:light:-1:L-STATION-12-B</x:v>
      </x:c>
      <x:c r="B2190" s="8" t="n">
        <x:v>3</x:v>
      </x:c>
      <x:c r="C2190" s="11" t="n">
        <x:v>26.045</x:v>
      </x:c>
      <x:c r="D2190" s="11" t="n">
        <x:v>4.72</x:v>
      </x:c>
      <x:c r="E2190" s="11" t="n">
        <x:v>-7.23</x:v>
      </x:c>
      <x:c r="F2190" s="11" t="n">
        <x:f>SQRT((C2190-C2189)^2+(D2190-D2189)^2+(E2190-E2189)^2)</x:f>
        <x:v>0.1299999999999999</x:v>
      </x:c>
      <x:c r="G2190" s="8" t="str">
        <x:v>Current</x:v>
      </x:c>
    </x:row>
    <x:row r="2191" ht="32" customHeight="1">
      <x:c r="A2191" s="8" t="str">
        <x:v>drop:LC1:LS:light:-1:L-STATION-13-A</x:v>
      </x:c>
      <x:c r="B2191" s="8" t="n">
        <x:v>1</x:v>
      </x:c>
      <x:c r="C2191" s="11" t="n">
        <x:v>29.905</x:v>
      </x:c>
      <x:c r="D2191" s="11" t="n">
        <x:v>6.164000000000001</x:v>
      </x:c>
      <x:c r="E2191" s="11" t="n">
        <x:v>-7.36</x:v>
      </x:c>
      <x:c r="F2191" s="11" t="n">
        <x:f>0</x:f>
        <x:v>0</x:v>
      </x:c>
      <x:c r="G2191" s="8" t="str">
        <x:v>Current</x:v>
      </x:c>
    </x:row>
    <x:row r="2192" ht="32" customHeight="1">
      <x:c r="A2192" s="8" t="str">
        <x:v>drop:LC1:LS:light:-1:L-STATION-13-A</x:v>
      </x:c>
      <x:c r="B2192" s="8" t="n">
        <x:v>2</x:v>
      </x:c>
      <x:c r="C2192" s="11" t="n">
        <x:v>29.905</x:v>
      </x:c>
      <x:c r="D2192" s="11" t="n">
        <x:v>4.72</x:v>
      </x:c>
      <x:c r="E2192" s="11" t="n">
        <x:v>-7.36</x:v>
      </x:c>
      <x:c r="F2192" s="11" t="n">
        <x:f>SQRT((C2192-C2191)^2+(D2192-D2191)^2+(E2192-E2191)^2)</x:f>
        <x:v>1.4440000000000008</x:v>
      </x:c>
      <x:c r="G2192" s="8" t="str">
        <x:v>Current</x:v>
      </x:c>
    </x:row>
    <x:row r="2193" ht="32" customHeight="1">
      <x:c r="A2193" s="8" t="str">
        <x:v>drop:LC1:LS:light:-1:L-STATION-13-A</x:v>
      </x:c>
      <x:c r="B2193" s="8" t="n">
        <x:v>3</x:v>
      </x:c>
      <x:c r="C2193" s="11" t="n">
        <x:v>29.905</x:v>
      </x:c>
      <x:c r="D2193" s="11" t="n">
        <x:v>4.72</x:v>
      </x:c>
      <x:c r="E2193" s="11" t="n">
        <x:v>-7.23</x:v>
      </x:c>
      <x:c r="F2193" s="11" t="n">
        <x:f>SQRT((C2193-C2192)^2+(D2193-D2192)^2+(E2193-E2192)^2)</x:f>
        <x:v>0.1299999999999999</x:v>
      </x:c>
      <x:c r="G2193" s="8" t="str">
        <x:v>Current</x:v>
      </x:c>
    </x:row>
    <x:row r="2194" ht="32" customHeight="1">
      <x:c r="A2194" s="8" t="str">
        <x:v>drop:LC1:LS:light:-1:L-STATION-13-B</x:v>
      </x:c>
      <x:c r="B2194" s="8" t="n">
        <x:v>1</x:v>
      </x:c>
      <x:c r="C2194" s="11" t="n">
        <x:v>30.545</x:v>
      </x:c>
      <x:c r="D2194" s="11" t="n">
        <x:v>6.164000000000001</x:v>
      </x:c>
      <x:c r="E2194" s="11" t="n">
        <x:v>-7.36</x:v>
      </x:c>
      <x:c r="F2194" s="11" t="n">
        <x:f>0</x:f>
        <x:v>0</x:v>
      </x:c>
      <x:c r="G2194" s="8" t="str">
        <x:v>Current</x:v>
      </x:c>
    </x:row>
    <x:row r="2195" ht="32" customHeight="1">
      <x:c r="A2195" s="8" t="str">
        <x:v>drop:LC1:LS:light:-1:L-STATION-13-B</x:v>
      </x:c>
      <x:c r="B2195" s="8" t="n">
        <x:v>2</x:v>
      </x:c>
      <x:c r="C2195" s="11" t="n">
        <x:v>30.545</x:v>
      </x:c>
      <x:c r="D2195" s="11" t="n">
        <x:v>4.72</x:v>
      </x:c>
      <x:c r="E2195" s="11" t="n">
        <x:v>-7.36</x:v>
      </x:c>
      <x:c r="F2195" s="11" t="n">
        <x:f>SQRT((C2195-C2194)^2+(D2195-D2194)^2+(E2195-E2194)^2)</x:f>
        <x:v>1.4440000000000008</x:v>
      </x:c>
      <x:c r="G2195" s="8" t="str">
        <x:v>Current</x:v>
      </x:c>
    </x:row>
    <x:row r="2196" ht="32" customHeight="1">
      <x:c r="A2196" s="8" t="str">
        <x:v>drop:LC1:LS:light:-1:L-STATION-13-B</x:v>
      </x:c>
      <x:c r="B2196" s="8" t="n">
        <x:v>3</x:v>
      </x:c>
      <x:c r="C2196" s="11" t="n">
        <x:v>30.545</x:v>
      </x:c>
      <x:c r="D2196" s="11" t="n">
        <x:v>4.72</x:v>
      </x:c>
      <x:c r="E2196" s="11" t="n">
        <x:v>-7.23</x:v>
      </x:c>
      <x:c r="F2196" s="11" t="n">
        <x:f>SQRT((C2196-C2195)^2+(D2196-D2195)^2+(E2196-E2195)^2)</x:f>
        <x:v>0.1299999999999999</x:v>
      </x:c>
      <x:c r="G2196" s="8" t="str">
        <x:v>Current</x:v>
      </x:c>
    </x:row>
    <x:row r="2197" ht="32" customHeight="1">
      <x:c r="A2197" s="8" t="str">
        <x:v>drop:LC1:LS:light:-1:L-STATION-14-A</x:v>
      </x:c>
      <x:c r="B2197" s="8" t="n">
        <x:v>1</x:v>
      </x:c>
      <x:c r="C2197" s="11" t="n">
        <x:v>34.405</x:v>
      </x:c>
      <x:c r="D2197" s="11" t="n">
        <x:v>6.164000000000001</x:v>
      </x:c>
      <x:c r="E2197" s="11" t="n">
        <x:v>-7.36</x:v>
      </x:c>
      <x:c r="F2197" s="11" t="n">
        <x:f>0</x:f>
        <x:v>0</x:v>
      </x:c>
      <x:c r="G2197" s="8" t="str">
        <x:v>Current</x:v>
      </x:c>
    </x:row>
    <x:row r="2198" ht="32" customHeight="1">
      <x:c r="A2198" s="8" t="str">
        <x:v>drop:LC1:LS:light:-1:L-STATION-14-A</x:v>
      </x:c>
      <x:c r="B2198" s="8" t="n">
        <x:v>2</x:v>
      </x:c>
      <x:c r="C2198" s="11" t="n">
        <x:v>34.405</x:v>
      </x:c>
      <x:c r="D2198" s="11" t="n">
        <x:v>4.72</x:v>
      </x:c>
      <x:c r="E2198" s="11" t="n">
        <x:v>-7.36</x:v>
      </x:c>
      <x:c r="F2198" s="11" t="n">
        <x:f>SQRT((C2198-C2197)^2+(D2198-D2197)^2+(E2198-E2197)^2)</x:f>
        <x:v>1.4440000000000008</x:v>
      </x:c>
      <x:c r="G2198" s="8" t="str">
        <x:v>Current</x:v>
      </x:c>
    </x:row>
    <x:row r="2199" ht="32" customHeight="1">
      <x:c r="A2199" s="8" t="str">
        <x:v>drop:LC1:LS:light:-1:L-STATION-14-A</x:v>
      </x:c>
      <x:c r="B2199" s="8" t="n">
        <x:v>3</x:v>
      </x:c>
      <x:c r="C2199" s="11" t="n">
        <x:v>34.405</x:v>
      </x:c>
      <x:c r="D2199" s="11" t="n">
        <x:v>4.72</x:v>
      </x:c>
      <x:c r="E2199" s="11" t="n">
        <x:v>-7.23</x:v>
      </x:c>
      <x:c r="F2199" s="11" t="n">
        <x:f>SQRT((C2199-C2198)^2+(D2199-D2198)^2+(E2199-E2198)^2)</x:f>
        <x:v>0.1299999999999999</x:v>
      </x:c>
      <x:c r="G2199" s="8" t="str">
        <x:v>Current</x:v>
      </x:c>
    </x:row>
    <x:row r="2200" ht="32" customHeight="1">
      <x:c r="A2200" s="8" t="str">
        <x:v>drop:LC1:LS:light:-1:L-STATION-14-B</x:v>
      </x:c>
      <x:c r="B2200" s="8" t="n">
        <x:v>1</x:v>
      </x:c>
      <x:c r="C2200" s="11" t="n">
        <x:v>35.045</x:v>
      </x:c>
      <x:c r="D2200" s="11" t="n">
        <x:v>6.164000000000001</x:v>
      </x:c>
      <x:c r="E2200" s="11" t="n">
        <x:v>-7.36</x:v>
      </x:c>
      <x:c r="F2200" s="11" t="n">
        <x:f>0</x:f>
        <x:v>0</x:v>
      </x:c>
      <x:c r="G2200" s="8" t="str">
        <x:v>Current</x:v>
      </x:c>
    </x:row>
    <x:row r="2201" ht="32" customHeight="1">
      <x:c r="A2201" s="8" t="str">
        <x:v>drop:LC1:LS:light:-1:L-STATION-14-B</x:v>
      </x:c>
      <x:c r="B2201" s="8" t="n">
        <x:v>2</x:v>
      </x:c>
      <x:c r="C2201" s="11" t="n">
        <x:v>35.045</x:v>
      </x:c>
      <x:c r="D2201" s="11" t="n">
        <x:v>4.72</x:v>
      </x:c>
      <x:c r="E2201" s="11" t="n">
        <x:v>-7.36</x:v>
      </x:c>
      <x:c r="F2201" s="11" t="n">
        <x:f>SQRT((C2201-C2200)^2+(D2201-D2200)^2+(E2201-E2200)^2)</x:f>
        <x:v>1.4440000000000008</x:v>
      </x:c>
      <x:c r="G2201" s="8" t="str">
        <x:v>Current</x:v>
      </x:c>
    </x:row>
    <x:row r="2202" ht="32" customHeight="1">
      <x:c r="A2202" s="8" t="str">
        <x:v>drop:LC1:LS:light:-1:L-STATION-14-B</x:v>
      </x:c>
      <x:c r="B2202" s="8" t="n">
        <x:v>3</x:v>
      </x:c>
      <x:c r="C2202" s="11" t="n">
        <x:v>35.045</x:v>
      </x:c>
      <x:c r="D2202" s="11" t="n">
        <x:v>4.72</x:v>
      </x:c>
      <x:c r="E2202" s="11" t="n">
        <x:v>-7.23</x:v>
      </x:c>
      <x:c r="F2202" s="11" t="n">
        <x:f>SQRT((C2202-C2201)^2+(D2202-D2201)^2+(E2202-E2201)^2)</x:f>
        <x:v>0.1299999999999999</x:v>
      </x:c>
      <x:c r="G2202" s="8" t="str">
        <x:v>Current</x:v>
      </x:c>
    </x:row>
    <x:row r="2203" ht="32" customHeight="1">
      <x:c r="A2203" s="8" t="str">
        <x:v>trunk:LC1:L8:light:-1</x:v>
      </x:c>
      <x:c r="B2203" s="8" t="n">
        <x:v>1</x:v>
      </x:c>
      <x:c r="C2203" s="11" t="n">
        <x:v>48.895</x:v>
      </x:c>
      <x:c r="D2203" s="11" t="n">
        <x:v>1.85</x:v>
      </x:c>
      <x:c r="E2203" s="11" t="n">
        <x:v>-0.55</x:v>
      </x:c>
      <x:c r="F2203" s="11" t="n">
        <x:f>0</x:f>
        <x:v>0</x:v>
      </x:c>
      <x:c r="G2203" s="8" t="str">
        <x:v>Current</x:v>
      </x:c>
    </x:row>
    <x:row r="2204" ht="32" customHeight="1">
      <x:c r="A2204" s="8" t="str">
        <x:v>trunk:LC1:L8:light:-1</x:v>
      </x:c>
      <x:c r="B2204" s="8" t="n">
        <x:v>2</x:v>
      </x:c>
      <x:c r="C2204" s="11" t="n">
        <x:v>48.735</x:v>
      </x:c>
      <x:c r="D2204" s="11" t="n">
        <x:v>1.85</x:v>
      </x:c>
      <x:c r="E2204" s="11" t="n">
        <x:v>-0.55</x:v>
      </x:c>
      <x:c r="F2204" s="11" t="n">
        <x:f>SQRT((C2204-C2203)^2+(D2204-D2203)^2+(E2204-E2203)^2)</x:f>
        <x:v>0.1600000000000037</x:v>
      </x:c>
      <x:c r="G2204" s="8" t="str">
        <x:v>Current</x:v>
      </x:c>
    </x:row>
    <x:row r="2205" ht="32" customHeight="1">
      <x:c r="A2205" s="8" t="str">
        <x:v>trunk:LC1:L8:light:-1</x:v>
      </x:c>
      <x:c r="B2205" s="8" t="n">
        <x:v>3</x:v>
      </x:c>
      <x:c r="C2205" s="11" t="n">
        <x:v>48.735</x:v>
      </x:c>
      <x:c r="D2205" s="11" t="n">
        <x:v>1.85</x:v>
      </x:c>
      <x:c r="E2205" s="11" t="n">
        <x:v>-2.24</x:v>
      </x:c>
      <x:c r="F2205" s="11" t="n">
        <x:f>SQRT((C2205-C2204)^2+(D2205-D2204)^2+(E2205-E2204)^2)</x:f>
        <x:v>1.6900000000000002</x:v>
      </x:c>
      <x:c r="G2205" s="8" t="str">
        <x:v>Current</x:v>
      </x:c>
    </x:row>
    <x:row r="2206" ht="32" customHeight="1">
      <x:c r="A2206" s="8" t="str">
        <x:v>trunk:LC1:L8:light:-1</x:v>
      </x:c>
      <x:c r="B2206" s="8" t="n">
        <x:v>4</x:v>
      </x:c>
      <x:c r="C2206" s="11" t="n">
        <x:v>48.735</x:v>
      </x:c>
      <x:c r="D2206" s="11" t="n">
        <x:v>4.33</x:v>
      </x:c>
      <x:c r="E2206" s="11" t="n">
        <x:v>-2.24</x:v>
      </x:c>
      <x:c r="F2206" s="11" t="n">
        <x:f>SQRT((C2206-C2205)^2+(D2206-D2205)^2+(E2206-E2205)^2)</x:f>
        <x:v>2.48</x:v>
      </x:c>
      <x:c r="G2206" s="8" t="str">
        <x:v>Current</x:v>
      </x:c>
    </x:row>
    <x:row r="2207" ht="32" customHeight="1">
      <x:c r="A2207" s="8" t="str">
        <x:v>trunk:LC1:L8:light:-1</x:v>
      </x:c>
      <x:c r="B2207" s="8" t="n">
        <x:v>5</x:v>
      </x:c>
      <x:c r="C2207" s="11" t="n">
        <x:v>48.735</x:v>
      </x:c>
      <x:c r="D2207" s="11" t="n">
        <x:v>4.33</x:v>
      </x:c>
      <x:c r="E2207" s="11" t="n">
        <x:v>-3.3</x:v>
      </x:c>
      <x:c r="F2207" s="11" t="n">
        <x:f>SQRT((C2207-C2206)^2+(D2207-D2206)^2+(E2207-E2206)^2)</x:f>
        <x:v>1.0599999999999996</x:v>
      </x:c>
      <x:c r="G2207" s="8" t="str">
        <x:v>Current</x:v>
      </x:c>
    </x:row>
    <x:row r="2208" ht="32" customHeight="1">
      <x:c r="A2208" s="8" t="str">
        <x:v>trunk:LC1:L8:light:-1</x:v>
      </x:c>
      <x:c r="B2208" s="8" t="n">
        <x:v>6</x:v>
      </x:c>
      <x:c r="C2208" s="11" t="n">
        <x:v>53.016</x:v>
      </x:c>
      <x:c r="D2208" s="11" t="n">
        <x:v>4.33</x:v>
      </x:c>
      <x:c r="E2208" s="11" t="n">
        <x:v>-3.3</x:v>
      </x:c>
      <x:c r="F2208" s="11" t="n">
        <x:f>SQRT((C2208-C2207)^2+(D2208-D2207)^2+(E2208-E2207)^2)</x:f>
        <x:v>4.280999999999999</x:v>
      </x:c>
      <x:c r="G2208" s="8" t="str">
        <x:v>Current</x:v>
      </x:c>
    </x:row>
    <x:row r="2209" ht="32" customHeight="1">
      <x:c r="A2209" s="8" t="str">
        <x:v>trunk:LC1:L8:light:-1</x:v>
      </x:c>
      <x:c r="B2209" s="8" t="n">
        <x:v>7</x:v>
      </x:c>
      <x:c r="C2209" s="11" t="n">
        <x:v>53.016</x:v>
      </x:c>
      <x:c r="D2209" s="11" t="n">
        <x:v>5.956</x:v>
      </x:c>
      <x:c r="E2209" s="11" t="n">
        <x:v>-3.3</x:v>
      </x:c>
      <x:c r="F2209" s="11" t="n">
        <x:f>SQRT((C2209-C2208)^2+(D2209-D2208)^2+(E2209-E2208)^2)</x:f>
        <x:v>1.6260000000000003</x:v>
      </x:c>
      <x:c r="G2209" s="8" t="str">
        <x:v>Current</x:v>
      </x:c>
    </x:row>
    <x:row r="2210" ht="32" customHeight="1">
      <x:c r="A2210" s="8" t="str">
        <x:v>trunk:LC1:L8:light:-1</x:v>
      </x:c>
      <x:c r="B2210" s="8" t="n">
        <x:v>8</x:v>
      </x:c>
      <x:c r="C2210" s="11" t="n">
        <x:v>53.016</x:v>
      </x:c>
      <x:c r="D2210" s="11" t="n">
        <x:v>5.956</x:v>
      </x:c>
      <x:c r="E2210" s="11" t="n">
        <x:v>-7.36</x:v>
      </x:c>
      <x:c r="F2210" s="11" t="n">
        <x:f>SQRT((C2210-C2209)^2+(D2210-D2209)^2+(E2210-E2209)^2)</x:f>
        <x:v>4.0600000000000005</x:v>
      </x:c>
      <x:c r="G2210" s="8" t="str">
        <x:v>Current</x:v>
      </x:c>
    </x:row>
    <x:row r="2211" ht="32" customHeight="1">
      <x:c r="A2211" s="8" t="str">
        <x:v>trunk:LC1:L8:light:-1</x:v>
      </x:c>
      <x:c r="B2211" s="8" t="n">
        <x:v>9</x:v>
      </x:c>
      <x:c r="C2211" s="11" t="n">
        <x:v>44.175</x:v>
      </x:c>
      <x:c r="D2211" s="11" t="n">
        <x:v>5.956</x:v>
      </x:c>
      <x:c r="E2211" s="11" t="n">
        <x:v>-7.36</x:v>
      </x:c>
      <x:c r="F2211" s="11" t="n">
        <x:f>SQRT((C2211-C2210)^2+(D2211-D2210)^2+(E2211-E2210)^2)</x:f>
        <x:v>8.841000000000001</x:v>
      </x:c>
      <x:c r="G2211" s="8" t="str">
        <x:v>Current</x:v>
      </x:c>
    </x:row>
    <x:row r="2212" ht="32" customHeight="1">
      <x:c r="A2212" s="8" t="str">
        <x:v>trunk:LC1:L8:light:-1</x:v>
      </x:c>
      <x:c r="B2212" s="8" t="n">
        <x:v>10</x:v>
      </x:c>
      <x:c r="C2212" s="11" t="n">
        <x:v>44.175</x:v>
      </x:c>
      <x:c r="D2212" s="11" t="n">
        <x:v>7.04</x:v>
      </x:c>
      <x:c r="E2212" s="11" t="n">
        <x:v>-7.36</x:v>
      </x:c>
      <x:c r="F2212" s="11" t="n">
        <x:f>SQRT((C2212-C2211)^2+(D2212-D2211)^2+(E2212-E2211)^2)</x:f>
        <x:v>1.0839999999999996</x:v>
      </x:c>
      <x:c r="G2212" s="8" t="str">
        <x:v>Current</x:v>
      </x:c>
    </x:row>
    <x:row r="2213" ht="32" customHeight="1">
      <x:c r="A2213" s="8" t="str">
        <x:v>trunk:LC1:L8:light:-1</x:v>
      </x:c>
      <x:c r="B2213" s="8" t="n">
        <x:v>11</x:v>
      </x:c>
      <x:c r="C2213" s="11" t="n">
        <x:v>43.535</x:v>
      </x:c>
      <x:c r="D2213" s="11" t="n">
        <x:v>7.04</x:v>
      </x:c>
      <x:c r="E2213" s="11" t="n">
        <x:v>-7.36</x:v>
      </x:c>
      <x:c r="F2213" s="11" t="n">
        <x:f>SQRT((C2213-C2212)^2+(D2213-D2212)^2+(E2213-E2212)^2)</x:f>
        <x:v>0.6400000000000006</x:v>
      </x:c>
      <x:c r="G2213" s="8" t="str">
        <x:v>Current</x:v>
      </x:c>
    </x:row>
    <x:row r="2214" ht="32" customHeight="1">
      <x:c r="A2214" s="8" t="str">
        <x:v>trunk:LC1:L8:light:-1</x:v>
      </x:c>
      <x:c r="B2214" s="8" t="n">
        <x:v>12</x:v>
      </x:c>
      <x:c r="C2214" s="11" t="n">
        <x:v>43.455</x:v>
      </x:c>
      <x:c r="D2214" s="11" t="n">
        <x:v>6.950412371134024</x:v>
      </x:c>
      <x:c r="E2214" s="11" t="n">
        <x:v>-7.36</x:v>
      </x:c>
      <x:c r="F2214" s="11" t="n">
        <x:f>SQRT((C2214-C2213)^2+(D2214-D2213)^2+(E2214-E2213)^2)</x:f>
        <x:v>0.12010804821421249</x:v>
      </x:c>
      <x:c r="G2214" s="8" t="str">
        <x:v>Current</x:v>
      </x:c>
    </x:row>
    <x:row r="2215" ht="32" customHeight="1">
      <x:c r="A2215" s="8" t="str">
        <x:v>trunk:LC1:L8:light:-1</x:v>
      </x:c>
      <x:c r="B2215" s="8" t="n">
        <x:v>13</x:v>
      </x:c>
      <x:c r="C2215" s="11" t="n">
        <x:v>40.574999999999996</x:v>
      </x:c>
      <x:c r="D2215" s="11" t="n">
        <x:v>9.269999999999994</x:v>
      </x:c>
      <x:c r="E2215" s="11" t="n">
        <x:v>-7.36</x:v>
      </x:c>
      <x:c r="F2215" s="11" t="n">
        <x:f>SQRT((C2215-C2214)^2+(D2215-D2214)^2+(E2215-E2214)^2)</x:f>
        <x:v>3.6979571073753776</x:v>
      </x:c>
      <x:c r="G2215" s="8" t="str">
        <x:v>Current</x:v>
      </x:c>
    </x:row>
    <x:row r="2216" ht="32" customHeight="1">
      <x:c r="A2216" s="8" t="str">
        <x:v>trunk:LC1:L8:light:-1</x:v>
      </x:c>
      <x:c r="B2216" s="8" t="n">
        <x:v>14</x:v>
      </x:c>
      <x:c r="C2216" s="11" t="n">
        <x:v>38.94</x:v>
      </x:c>
      <x:c r="D2216" s="11" t="n">
        <x:v>7.953150773195872</x:v>
      </x:c>
      <x:c r="E2216" s="11" t="n">
        <x:v>-7.36</x:v>
      </x:c>
      <x:c r="F2216" s="11" t="n">
        <x:f>SQRT((C2216-C2215)^2+(D2216-D2215)^2+(E2216-E2215)^2)</x:f>
        <x:v>2.09936106616623</x:v>
      </x:c>
      <x:c r="G2216" s="8" t="str">
        <x:v>Current</x:v>
      </x:c>
    </x:row>
    <x:row r="2217" ht="32" customHeight="1">
      <x:c r="A2217" s="8" t="str">
        <x:v>drop:LC1:L8:light:-1:L-WING-B-FI</x:v>
      </x:c>
      <x:c r="B2217" s="8" t="n">
        <x:v>1</x:v>
      </x:c>
      <x:c r="C2217" s="11" t="n">
        <x:v>38.94</x:v>
      </x:c>
      <x:c r="D2217" s="11" t="n">
        <x:v>7.953150773195872</x:v>
      </x:c>
      <x:c r="E2217" s="11" t="n">
        <x:v>-7.36</x:v>
      </x:c>
      <x:c r="F2217" s="11" t="n">
        <x:f>0</x:f>
        <x:v>0</x:v>
      </x:c>
      <x:c r="G2217" s="8" t="str">
        <x:v>Current</x:v>
      </x:c>
    </x:row>
    <x:row r="2218" ht="32" customHeight="1">
      <x:c r="A2218" s="8" t="str">
        <x:v>drop:LC1:L8:light:-1:L-WING-B-FI</x:v>
      </x:c>
      <x:c r="B2218" s="8" t="n">
        <x:v>2</x:v>
      </x:c>
      <x:c r="C2218" s="11" t="n">
        <x:v>38.94</x:v>
      </x:c>
      <x:c r="D2218" s="11" t="n">
        <x:v>7.953150773195873</x:v>
      </x:c>
      <x:c r="E2218" s="11" t="n">
        <x:v>-8.8</x:v>
      </x:c>
      <x:c r="F2218" s="11" t="n">
        <x:f>SQRT((C2218-C2217)^2+(D2218-D2217)^2+(E2218-E2217)^2)</x:f>
        <x:v>1.4400000000000004</x:v>
      </x:c>
      <x:c r="G2218" s="8" t="str">
        <x:v>Current</x:v>
      </x:c>
    </x:row>
    <x:row r="2219" ht="32" customHeight="1">
      <x:c r="A2219" s="8" t="str">
        <x:v>drop:LC1:L8:light:-1:L-WING-B-FI</x:v>
      </x:c>
      <x:c r="B2219" s="8" t="n">
        <x:v>3</x:v>
      </x:c>
      <x:c r="C2219" s="11" t="n">
        <x:v>38.94</x:v>
      </x:c>
      <x:c r="D2219" s="11" t="n">
        <x:v>8.095059999999997</x:v>
      </x:c>
      <x:c r="E2219" s="11" t="n">
        <x:v>-8.8</x:v>
      </x:c>
      <x:c r="F2219" s="11" t="n">
        <x:f>SQRT((C2219-C2218)^2+(D2219-D2218)^2+(E2219-E2218)^2)</x:f>
        <x:v>0.141909226804124</x:v>
      </x:c>
      <x:c r="G2219" s="8" t="str">
        <x:v>Current</x:v>
      </x:c>
    </x:row>
    <x:row r="2220" ht="32" customHeight="1">
      <x:c r="A2220" s="8" t="str">
        <x:v>drop:LC1:L8:light:-1:L-WING-B-FO</x:v>
      </x:c>
      <x:c r="B2220" s="8" t="n">
        <x:v>1</x:v>
      </x:c>
      <x:c r="C2220" s="11" t="n">
        <x:v>38.94</x:v>
      </x:c>
      <x:c r="D2220" s="11" t="n">
        <x:v>7.953150773195872</x:v>
      </x:c>
      <x:c r="E2220" s="11" t="n">
        <x:v>-7.36</x:v>
      </x:c>
      <x:c r="F2220" s="11" t="n">
        <x:f>0</x:f>
        <x:v>0</x:v>
      </x:c>
      <x:c r="G2220" s="8" t="str">
        <x:v>Current</x:v>
      </x:c>
    </x:row>
    <x:row r="2221" ht="32" customHeight="1">
      <x:c r="A2221" s="8" t="str">
        <x:v>drop:LC1:L8:light:-1:L-WING-B-FO</x:v>
      </x:c>
      <x:c r="B2221" s="8" t="n">
        <x:v>2</x:v>
      </x:c>
      <x:c r="C2221" s="11" t="n">
        <x:v>38.94</x:v>
      </x:c>
      <x:c r="D2221" s="11" t="n">
        <x:v>7.953150773195873</x:v>
      </x:c>
      <x:c r="E2221" s="11" t="n">
        <x:v>-11.4</x:v>
      </x:c>
      <x:c r="F2221" s="11" t="n">
        <x:f>SQRT((C2221-C2220)^2+(D2221-D2220)^2+(E2221-E2220)^2)</x:f>
        <x:v>4.04</x:v>
      </x:c>
      <x:c r="G2221" s="8" t="str">
        <x:v>Current</x:v>
      </x:c>
    </x:row>
    <x:row r="2222" ht="32" customHeight="1">
      <x:c r="A2222" s="8" t="str">
        <x:v>drop:LC1:L8:light:-1:L-WING-B-FO</x:v>
      </x:c>
      <x:c r="B2222" s="8" t="n">
        <x:v>3</x:v>
      </x:c>
      <x:c r="C2222" s="11" t="n">
        <x:v>38.94</x:v>
      </x:c>
      <x:c r="D2222" s="11" t="n">
        <x:v>8.095059999999997</x:v>
      </x:c>
      <x:c r="E2222" s="11" t="n">
        <x:v>-11.4</x:v>
      </x:c>
      <x:c r="F2222" s="11" t="n">
        <x:f>SQRT((C2222-C2221)^2+(D2222-D2221)^2+(E2222-E2221)^2)</x:f>
        <x:v>0.141909226804124</x:v>
      </x:c>
      <x:c r="G2222" s="8" t="str">
        <x:v>Current</x:v>
      </x:c>
    </x:row>
    <x:row r="2223" ht="32" customHeight="1">
      <x:c r="A2223" s="8" t="str">
        <x:v>drop:LC1:L8:light:-1:L-WING-B-RI</x:v>
      </x:c>
      <x:c r="B2223" s="8" t="n">
        <x:v>1</x:v>
      </x:c>
      <x:c r="C2223" s="11" t="n">
        <x:v>42.22</x:v>
      </x:c>
      <x:c r="D2223" s="11" t="n">
        <x:v>7.945096649484534</x:v>
      </x:c>
      <x:c r="E2223" s="11" t="n">
        <x:v>-7.36</x:v>
      </x:c>
      <x:c r="F2223" s="11" t="n">
        <x:f>0</x:f>
        <x:v>0</x:v>
      </x:c>
      <x:c r="G2223" s="8" t="str">
        <x:v>Current</x:v>
      </x:c>
    </x:row>
    <x:row r="2224" ht="32" customHeight="1">
      <x:c r="A2224" s="8" t="str">
        <x:v>drop:LC1:L8:light:-1:L-WING-B-RI</x:v>
      </x:c>
      <x:c r="B2224" s="8" t="n">
        <x:v>2</x:v>
      </x:c>
      <x:c r="C2224" s="11" t="n">
        <x:v>42.22</x:v>
      </x:c>
      <x:c r="D2224" s="11" t="n">
        <x:v>7.9450966494845385</x:v>
      </x:c>
      <x:c r="E2224" s="11" t="n">
        <x:v>-8.8</x:v>
      </x:c>
      <x:c r="F2224" s="11" t="n">
        <x:f>SQRT((C2224-C2223)^2+(D2224-D2223)^2+(E2224-E2223)^2)</x:f>
        <x:v>1.4400000000000004</x:v>
      </x:c>
      <x:c r="G2224" s="8" t="str">
        <x:v>Current</x:v>
      </x:c>
    </x:row>
    <x:row r="2225" ht="32" customHeight="1">
      <x:c r="A2225" s="8" t="str">
        <x:v>drop:LC1:L8:light:-1:L-WING-B-RI</x:v>
      </x:c>
      <x:c r="B2225" s="8" t="n">
        <x:v>3</x:v>
      </x:c>
      <x:c r="C2225" s="11" t="n">
        <x:v>42.22</x:v>
      </x:c>
      <x:c r="D2225" s="11" t="n">
        <x:v>8.063580000000004</x:v>
      </x:c>
      <x:c r="E2225" s="11" t="n">
        <x:v>-8.8</x:v>
      </x:c>
      <x:c r="F2225" s="11" t="n">
        <x:f>SQRT((C2225-C2224)^2+(D2225-D2224)^2+(E2225-E2224)^2)</x:f>
        <x:v>0.11848335051546499</x:v>
      </x:c>
      <x:c r="G2225" s="8" t="str">
        <x:v>Current</x:v>
      </x:c>
    </x:row>
    <x:row r="2226" ht="32" customHeight="1">
      <x:c r="A2226" s="8" t="str">
        <x:v>drop:LC1:L8:light:-1:L-WING-B-RO</x:v>
      </x:c>
      <x:c r="B2226" s="8" t="n">
        <x:v>1</x:v>
      </x:c>
      <x:c r="C2226" s="11" t="n">
        <x:v>42.22</x:v>
      </x:c>
      <x:c r="D2226" s="11" t="n">
        <x:v>7.945096649484534</x:v>
      </x:c>
      <x:c r="E2226" s="11" t="n">
        <x:v>-7.36</x:v>
      </x:c>
      <x:c r="F2226" s="11" t="n">
        <x:f>0</x:f>
        <x:v>0</x:v>
      </x:c>
      <x:c r="G2226" s="8" t="str">
        <x:v>Current</x:v>
      </x:c>
    </x:row>
    <x:row r="2227" ht="32" customHeight="1">
      <x:c r="A2227" s="8" t="str">
        <x:v>drop:LC1:L8:light:-1:L-WING-B-RO</x:v>
      </x:c>
      <x:c r="B2227" s="8" t="n">
        <x:v>2</x:v>
      </x:c>
      <x:c r="C2227" s="11" t="n">
        <x:v>42.22</x:v>
      </x:c>
      <x:c r="D2227" s="11" t="n">
        <x:v>7.9450966494845385</x:v>
      </x:c>
      <x:c r="E2227" s="11" t="n">
        <x:v>-11.4</x:v>
      </x:c>
      <x:c r="F2227" s="11" t="n">
        <x:f>SQRT((C2227-C2226)^2+(D2227-D2226)^2+(E2227-E2226)^2)</x:f>
        <x:v>4.04</x:v>
      </x:c>
      <x:c r="G2227" s="8" t="str">
        <x:v>Current</x:v>
      </x:c>
    </x:row>
    <x:row r="2228" ht="32" customHeight="1">
      <x:c r="A2228" s="8" t="str">
        <x:v>drop:LC1:L8:light:-1:L-WING-B-RO</x:v>
      </x:c>
      <x:c r="B2228" s="8" t="n">
        <x:v>3</x:v>
      </x:c>
      <x:c r="C2228" s="11" t="n">
        <x:v>42.22</x:v>
      </x:c>
      <x:c r="D2228" s="11" t="n">
        <x:v>8.063580000000004</x:v>
      </x:c>
      <x:c r="E2228" s="11" t="n">
        <x:v>-11.4</x:v>
      </x:c>
      <x:c r="F2228" s="11" t="n">
        <x:f>SQRT((C2228-C2227)^2+(D2228-D2227)^2+(E2228-E2227)^2)</x:f>
        <x:v>0.11848335051546499</x:v>
      </x:c>
      <x:c r="G2228" s="8" t="str">
        <x:v>Current</x:v>
      </x:c>
    </x:row>
    <x:row r="2229" ht="32" customHeight="1">
      <x:c r="A2229" s="8" t="str">
        <x:v>trunk:LC1:L8:light:1</x:v>
      </x:c>
      <x:c r="B2229" s="8" t="n">
        <x:v>1</x:v>
      </x:c>
      <x:c r="C2229" s="11" t="n">
        <x:v>48.895</x:v>
      </x:c>
      <x:c r="D2229" s="11" t="n">
        <x:v>1.85</x:v>
      </x:c>
      <x:c r="E2229" s="11" t="n">
        <x:v>-0.55</x:v>
      </x:c>
      <x:c r="F2229" s="11" t="n">
        <x:f>0</x:f>
        <x:v>0</x:v>
      </x:c>
      <x:c r="G2229" s="8" t="str">
        <x:v>Current</x:v>
      </x:c>
    </x:row>
    <x:row r="2230" ht="32" customHeight="1">
      <x:c r="A2230" s="8" t="str">
        <x:v>trunk:LC1:L8:light:1</x:v>
      </x:c>
      <x:c r="B2230" s="8" t="n">
        <x:v>2</x:v>
      </x:c>
      <x:c r="C2230" s="11" t="n">
        <x:v>48.735</x:v>
      </x:c>
      <x:c r="D2230" s="11" t="n">
        <x:v>1.85</x:v>
      </x:c>
      <x:c r="E2230" s="11" t="n">
        <x:v>-0.55</x:v>
      </x:c>
      <x:c r="F2230" s="11" t="n">
        <x:f>SQRT((C2230-C2229)^2+(D2230-D2229)^2+(E2230-E2229)^2)</x:f>
        <x:v>0.1600000000000037</x:v>
      </x:c>
      <x:c r="G2230" s="8" t="str">
        <x:v>Current</x:v>
      </x:c>
    </x:row>
    <x:row r="2231" ht="32" customHeight="1">
      <x:c r="A2231" s="8" t="str">
        <x:v>trunk:LC1:L8:light:1</x:v>
      </x:c>
      <x:c r="B2231" s="8" t="n">
        <x:v>3</x:v>
      </x:c>
      <x:c r="C2231" s="11" t="n">
        <x:v>48.735</x:v>
      </x:c>
      <x:c r="D2231" s="11" t="n">
        <x:v>1.85</x:v>
      </x:c>
      <x:c r="E2231" s="11" t="n">
        <x:v>-2.24</x:v>
      </x:c>
      <x:c r="F2231" s="11" t="n">
        <x:f>SQRT((C2231-C2230)^2+(D2231-D2230)^2+(E2231-E2230)^2)</x:f>
        <x:v>1.6900000000000002</x:v>
      </x:c>
      <x:c r="G2231" s="8" t="str">
        <x:v>Current</x:v>
      </x:c>
    </x:row>
    <x:row r="2232" ht="32" customHeight="1">
      <x:c r="A2232" s="8" t="str">
        <x:v>trunk:LC1:L8:light:1</x:v>
      </x:c>
      <x:c r="B2232" s="8" t="n">
        <x:v>4</x:v>
      </x:c>
      <x:c r="C2232" s="11" t="n">
        <x:v>48.735</x:v>
      </x:c>
      <x:c r="D2232" s="11" t="n">
        <x:v>4.33</x:v>
      </x:c>
      <x:c r="E2232" s="11" t="n">
        <x:v>-2.24</x:v>
      </x:c>
      <x:c r="F2232" s="11" t="n">
        <x:f>SQRT((C2232-C2231)^2+(D2232-D2231)^2+(E2232-E2231)^2)</x:f>
        <x:v>2.48</x:v>
      </x:c>
      <x:c r="G2232" s="8" t="str">
        <x:v>Current</x:v>
      </x:c>
    </x:row>
    <x:row r="2233" ht="32" customHeight="1">
      <x:c r="A2233" s="8" t="str">
        <x:v>trunk:LC1:L8:light:1</x:v>
      </x:c>
      <x:c r="B2233" s="8" t="n">
        <x:v>5</x:v>
      </x:c>
      <x:c r="C2233" s="11" t="n">
        <x:v>48.735</x:v>
      </x:c>
      <x:c r="D2233" s="11" t="n">
        <x:v>4.33</x:v>
      </x:c>
      <x:c r="E2233" s="11" t="n">
        <x:v>-3.3</x:v>
      </x:c>
      <x:c r="F2233" s="11" t="n">
        <x:f>SQRT((C2233-C2232)^2+(D2233-D2232)^2+(E2233-E2232)^2)</x:f>
        <x:v>1.0599999999999996</x:v>
      </x:c>
      <x:c r="G2233" s="8" t="str">
        <x:v>Current</x:v>
      </x:c>
    </x:row>
    <x:row r="2234" ht="32" customHeight="1">
      <x:c r="A2234" s="8" t="str">
        <x:v>trunk:LC1:L8:light:1</x:v>
      </x:c>
      <x:c r="B2234" s="8" t="n">
        <x:v>6</x:v>
      </x:c>
      <x:c r="C2234" s="11" t="n">
        <x:v>53.016</x:v>
      </x:c>
      <x:c r="D2234" s="11" t="n">
        <x:v>4.33</x:v>
      </x:c>
      <x:c r="E2234" s="11" t="n">
        <x:v>-3.3</x:v>
      </x:c>
      <x:c r="F2234" s="11" t="n">
        <x:f>SQRT((C2234-C2233)^2+(D2234-D2233)^2+(E2234-E2233)^2)</x:f>
        <x:v>4.280999999999999</x:v>
      </x:c>
      <x:c r="G2234" s="8" t="str">
        <x:v>Current</x:v>
      </x:c>
    </x:row>
    <x:row r="2235" ht="32" customHeight="1">
      <x:c r="A2235" s="8" t="str">
        <x:v>trunk:LC1:L8:light:1</x:v>
      </x:c>
      <x:c r="B2235" s="8" t="n">
        <x:v>7</x:v>
      </x:c>
      <x:c r="C2235" s="11" t="n">
        <x:v>53.016</x:v>
      </x:c>
      <x:c r="D2235" s="11" t="n">
        <x:v>5.956</x:v>
      </x:c>
      <x:c r="E2235" s="11" t="n">
        <x:v>-3.3</x:v>
      </x:c>
      <x:c r="F2235" s="11" t="n">
        <x:f>SQRT((C2235-C2234)^2+(D2235-D2234)^2+(E2235-E2234)^2)</x:f>
        <x:v>1.6260000000000003</x:v>
      </x:c>
      <x:c r="G2235" s="8" t="str">
        <x:v>Current</x:v>
      </x:c>
    </x:row>
    <x:row r="2236" ht="32" customHeight="1">
      <x:c r="A2236" s="8" t="str">
        <x:v>trunk:LC1:L8:light:1</x:v>
      </x:c>
      <x:c r="B2236" s="8" t="n">
        <x:v>8</x:v>
      </x:c>
      <x:c r="C2236" s="11" t="n">
        <x:v>53.016</x:v>
      </x:c>
      <x:c r="D2236" s="11" t="n">
        <x:v>5.956</x:v>
      </x:c>
      <x:c r="E2236" s="11" t="n">
        <x:v>7.36</x:v>
      </x:c>
      <x:c r="F2236" s="11" t="n">
        <x:f>SQRT((C2236-C2235)^2+(D2236-D2235)^2+(E2236-E2235)^2)</x:f>
        <x:v>10.66</x:v>
      </x:c>
      <x:c r="G2236" s="8" t="str">
        <x:v>Current</x:v>
      </x:c>
    </x:row>
    <x:row r="2237" ht="32" customHeight="1">
      <x:c r="A2237" s="8" t="str">
        <x:v>trunk:LC1:L8:light:1</x:v>
      </x:c>
      <x:c r="B2237" s="8" t="n">
        <x:v>9</x:v>
      </x:c>
      <x:c r="C2237" s="11" t="n">
        <x:v>44.175</x:v>
      </x:c>
      <x:c r="D2237" s="11" t="n">
        <x:v>5.956</x:v>
      </x:c>
      <x:c r="E2237" s="11" t="n">
        <x:v>7.36</x:v>
      </x:c>
      <x:c r="F2237" s="11" t="n">
        <x:f>SQRT((C2237-C2236)^2+(D2237-D2236)^2+(E2237-E2236)^2)</x:f>
        <x:v>8.841000000000001</x:v>
      </x:c>
      <x:c r="G2237" s="8" t="str">
        <x:v>Current</x:v>
      </x:c>
    </x:row>
    <x:row r="2238" ht="32" customHeight="1">
      <x:c r="A2238" s="8" t="str">
        <x:v>trunk:LC1:L8:light:1</x:v>
      </x:c>
      <x:c r="B2238" s="8" t="n">
        <x:v>10</x:v>
      </x:c>
      <x:c r="C2238" s="11" t="n">
        <x:v>44.175</x:v>
      </x:c>
      <x:c r="D2238" s="11" t="n">
        <x:v>7.04</x:v>
      </x:c>
      <x:c r="E2238" s="11" t="n">
        <x:v>7.36</x:v>
      </x:c>
      <x:c r="F2238" s="11" t="n">
        <x:f>SQRT((C2238-C2237)^2+(D2238-D2237)^2+(E2238-E2237)^2)</x:f>
        <x:v>1.0839999999999996</x:v>
      </x:c>
      <x:c r="G2238" s="8" t="str">
        <x:v>Current</x:v>
      </x:c>
    </x:row>
    <x:row r="2239" ht="32" customHeight="1">
      <x:c r="A2239" s="8" t="str">
        <x:v>trunk:LC1:L8:light:1</x:v>
      </x:c>
      <x:c r="B2239" s="8" t="n">
        <x:v>11</x:v>
      </x:c>
      <x:c r="C2239" s="11" t="n">
        <x:v>43.535</x:v>
      </x:c>
      <x:c r="D2239" s="11" t="n">
        <x:v>7.04</x:v>
      </x:c>
      <x:c r="E2239" s="11" t="n">
        <x:v>7.36</x:v>
      </x:c>
      <x:c r="F2239" s="11" t="n">
        <x:f>SQRT((C2239-C2238)^2+(D2239-D2238)^2+(E2239-E2238)^2)</x:f>
        <x:v>0.6400000000000006</x:v>
      </x:c>
      <x:c r="G2239" s="8" t="str">
        <x:v>Current</x:v>
      </x:c>
    </x:row>
    <x:row r="2240" ht="32" customHeight="1">
      <x:c r="A2240" s="8" t="str">
        <x:v>trunk:LC1:L8:light:1</x:v>
      </x:c>
      <x:c r="B2240" s="8" t="n">
        <x:v>12</x:v>
      </x:c>
      <x:c r="C2240" s="11" t="n">
        <x:v>43.455</x:v>
      </x:c>
      <x:c r="D2240" s="11" t="n">
        <x:v>6.950412371134024</x:v>
      </x:c>
      <x:c r="E2240" s="11" t="n">
        <x:v>7.36</x:v>
      </x:c>
      <x:c r="F2240" s="11" t="n">
        <x:f>SQRT((C2240-C2239)^2+(D2240-D2239)^2+(E2240-E2239)^2)</x:f>
        <x:v>0.12010804821421249</x:v>
      </x:c>
      <x:c r="G2240" s="8" t="str">
        <x:v>Current</x:v>
      </x:c>
    </x:row>
    <x:row r="2241" ht="32" customHeight="1">
      <x:c r="A2241" s="8" t="str">
        <x:v>trunk:LC1:L8:light:1</x:v>
      </x:c>
      <x:c r="B2241" s="8" t="n">
        <x:v>13</x:v>
      </x:c>
      <x:c r="C2241" s="11" t="n">
        <x:v>40.574999999999996</x:v>
      </x:c>
      <x:c r="D2241" s="11" t="n">
        <x:v>9.269999999999994</x:v>
      </x:c>
      <x:c r="E2241" s="11" t="n">
        <x:v>7.36</x:v>
      </x:c>
      <x:c r="F2241" s="11" t="n">
        <x:f>SQRT((C2241-C2240)^2+(D2241-D2240)^2+(E2241-E2240)^2)</x:f>
        <x:v>3.6979571073753776</x:v>
      </x:c>
      <x:c r="G2241" s="8" t="str">
        <x:v>Current</x:v>
      </x:c>
    </x:row>
    <x:row r="2242" ht="32" customHeight="1">
      <x:c r="A2242" s="8" t="str">
        <x:v>trunk:LC1:L8:light:1</x:v>
      </x:c>
      <x:c r="B2242" s="8" t="n">
        <x:v>14</x:v>
      </x:c>
      <x:c r="C2242" s="11" t="n">
        <x:v>38.94</x:v>
      </x:c>
      <x:c r="D2242" s="11" t="n">
        <x:v>7.953150773195872</x:v>
      </x:c>
      <x:c r="E2242" s="11" t="n">
        <x:v>7.36</x:v>
      </x:c>
      <x:c r="F2242" s="11" t="n">
        <x:f>SQRT((C2242-C2241)^2+(D2242-D2241)^2+(E2242-E2241)^2)</x:f>
        <x:v>2.09936106616623</x:v>
      </x:c>
      <x:c r="G2242" s="8" t="str">
        <x:v>Current</x:v>
      </x:c>
    </x:row>
    <x:row r="2243" ht="32" customHeight="1">
      <x:c r="A2243" s="8" t="str">
        <x:v>drop:LC1:L8:light:1:L-WING-H-FI</x:v>
      </x:c>
      <x:c r="B2243" s="8" t="n">
        <x:v>1</x:v>
      </x:c>
      <x:c r="C2243" s="11" t="n">
        <x:v>38.94</x:v>
      </x:c>
      <x:c r="D2243" s="11" t="n">
        <x:v>7.953150773195872</x:v>
      </x:c>
      <x:c r="E2243" s="11" t="n">
        <x:v>7.36</x:v>
      </x:c>
      <x:c r="F2243" s="11" t="n">
        <x:f>0</x:f>
        <x:v>0</x:v>
      </x:c>
      <x:c r="G2243" s="8" t="str">
        <x:v>Current</x:v>
      </x:c>
    </x:row>
    <x:row r="2244" ht="32" customHeight="1">
      <x:c r="A2244" s="8" t="str">
        <x:v>drop:LC1:L8:light:1:L-WING-H-FI</x:v>
      </x:c>
      <x:c r="B2244" s="8" t="n">
        <x:v>2</x:v>
      </x:c>
      <x:c r="C2244" s="11" t="n">
        <x:v>38.94</x:v>
      </x:c>
      <x:c r="D2244" s="11" t="n">
        <x:v>7.953150773195873</x:v>
      </x:c>
      <x:c r="E2244" s="11" t="n">
        <x:v>8.8</x:v>
      </x:c>
      <x:c r="F2244" s="11" t="n">
        <x:f>SQRT((C2244-C2243)^2+(D2244-D2243)^2+(E2244-E2243)^2)</x:f>
        <x:v>1.4400000000000004</x:v>
      </x:c>
      <x:c r="G2244" s="8" t="str">
        <x:v>Current</x:v>
      </x:c>
    </x:row>
    <x:row r="2245" ht="32" customHeight="1">
      <x:c r="A2245" s="8" t="str">
        <x:v>drop:LC1:L8:light:1:L-WING-H-FI</x:v>
      </x:c>
      <x:c r="B2245" s="8" t="n">
        <x:v>3</x:v>
      </x:c>
      <x:c r="C2245" s="11" t="n">
        <x:v>38.94</x:v>
      </x:c>
      <x:c r="D2245" s="11" t="n">
        <x:v>8.095059999999997</x:v>
      </x:c>
      <x:c r="E2245" s="11" t="n">
        <x:v>8.8</x:v>
      </x:c>
      <x:c r="F2245" s="11" t="n">
        <x:f>SQRT((C2245-C2244)^2+(D2245-D2244)^2+(E2245-E2244)^2)</x:f>
        <x:v>0.141909226804124</x:v>
      </x:c>
      <x:c r="G2245" s="8" t="str">
        <x:v>Current</x:v>
      </x:c>
    </x:row>
    <x:row r="2246" ht="32" customHeight="1">
      <x:c r="A2246" s="8" t="str">
        <x:v>drop:LC1:L8:light:1:L-WING-H-FO</x:v>
      </x:c>
      <x:c r="B2246" s="8" t="n">
        <x:v>1</x:v>
      </x:c>
      <x:c r="C2246" s="11" t="n">
        <x:v>38.94</x:v>
      </x:c>
      <x:c r="D2246" s="11" t="n">
        <x:v>7.953150773195872</x:v>
      </x:c>
      <x:c r="E2246" s="11" t="n">
        <x:v>7.36</x:v>
      </x:c>
      <x:c r="F2246" s="11" t="n">
        <x:f>0</x:f>
        <x:v>0</x:v>
      </x:c>
      <x:c r="G2246" s="8" t="str">
        <x:v>Current</x:v>
      </x:c>
    </x:row>
    <x:row r="2247" ht="32" customHeight="1">
      <x:c r="A2247" s="8" t="str">
        <x:v>drop:LC1:L8:light:1:L-WING-H-FO</x:v>
      </x:c>
      <x:c r="B2247" s="8" t="n">
        <x:v>2</x:v>
      </x:c>
      <x:c r="C2247" s="11" t="n">
        <x:v>38.94</x:v>
      </x:c>
      <x:c r="D2247" s="11" t="n">
        <x:v>7.953150773195873</x:v>
      </x:c>
      <x:c r="E2247" s="11" t="n">
        <x:v>11.4</x:v>
      </x:c>
      <x:c r="F2247" s="11" t="n">
        <x:f>SQRT((C2247-C2246)^2+(D2247-D2246)^2+(E2247-E2246)^2)</x:f>
        <x:v>4.04</x:v>
      </x:c>
      <x:c r="G2247" s="8" t="str">
        <x:v>Current</x:v>
      </x:c>
    </x:row>
    <x:row r="2248" ht="32" customHeight="1">
      <x:c r="A2248" s="8" t="str">
        <x:v>drop:LC1:L8:light:1:L-WING-H-FO</x:v>
      </x:c>
      <x:c r="B2248" s="8" t="n">
        <x:v>3</x:v>
      </x:c>
      <x:c r="C2248" s="11" t="n">
        <x:v>38.94</x:v>
      </x:c>
      <x:c r="D2248" s="11" t="n">
        <x:v>8.095059999999997</x:v>
      </x:c>
      <x:c r="E2248" s="11" t="n">
        <x:v>11.4</x:v>
      </x:c>
      <x:c r="F2248" s="11" t="n">
        <x:f>SQRT((C2248-C2247)^2+(D2248-D2247)^2+(E2248-E2247)^2)</x:f>
        <x:v>0.141909226804124</x:v>
      </x:c>
      <x:c r="G2248" s="8" t="str">
        <x:v>Current</x:v>
      </x:c>
    </x:row>
    <x:row r="2249" ht="32" customHeight="1">
      <x:c r="A2249" s="8" t="str">
        <x:v>drop:LC1:L8:light:1:L-WING-H-RI</x:v>
      </x:c>
      <x:c r="B2249" s="8" t="n">
        <x:v>1</x:v>
      </x:c>
      <x:c r="C2249" s="11" t="n">
        <x:v>42.22</x:v>
      </x:c>
      <x:c r="D2249" s="11" t="n">
        <x:v>7.945096649484534</x:v>
      </x:c>
      <x:c r="E2249" s="11" t="n">
        <x:v>7.36</x:v>
      </x:c>
      <x:c r="F2249" s="11" t="n">
        <x:f>0</x:f>
        <x:v>0</x:v>
      </x:c>
      <x:c r="G2249" s="8" t="str">
        <x:v>Current</x:v>
      </x:c>
    </x:row>
    <x:row r="2250" ht="32" customHeight="1">
      <x:c r="A2250" s="8" t="str">
        <x:v>drop:LC1:L8:light:1:L-WING-H-RI</x:v>
      </x:c>
      <x:c r="B2250" s="8" t="n">
        <x:v>2</x:v>
      </x:c>
      <x:c r="C2250" s="11" t="n">
        <x:v>42.22</x:v>
      </x:c>
      <x:c r="D2250" s="11" t="n">
        <x:v>7.9450966494845385</x:v>
      </x:c>
      <x:c r="E2250" s="11" t="n">
        <x:v>8.8</x:v>
      </x:c>
      <x:c r="F2250" s="11" t="n">
        <x:f>SQRT((C2250-C2249)^2+(D2250-D2249)^2+(E2250-E2249)^2)</x:f>
        <x:v>1.4400000000000004</x:v>
      </x:c>
      <x:c r="G2250" s="8" t="str">
        <x:v>Current</x:v>
      </x:c>
    </x:row>
    <x:row r="2251" ht="32" customHeight="1">
      <x:c r="A2251" s="8" t="str">
        <x:v>drop:LC1:L8:light:1:L-WING-H-RI</x:v>
      </x:c>
      <x:c r="B2251" s="8" t="n">
        <x:v>3</x:v>
      </x:c>
      <x:c r="C2251" s="11" t="n">
        <x:v>42.22</x:v>
      </x:c>
      <x:c r="D2251" s="11" t="n">
        <x:v>8.063580000000004</x:v>
      </x:c>
      <x:c r="E2251" s="11" t="n">
        <x:v>8.8</x:v>
      </x:c>
      <x:c r="F2251" s="11" t="n">
        <x:f>SQRT((C2251-C2250)^2+(D2251-D2250)^2+(E2251-E2250)^2)</x:f>
        <x:v>0.11848335051546499</x:v>
      </x:c>
      <x:c r="G2251" s="8" t="str">
        <x:v>Current</x:v>
      </x:c>
    </x:row>
    <x:row r="2252" ht="32" customHeight="1">
      <x:c r="A2252" s="8" t="str">
        <x:v>drop:LC1:L8:light:1:L-WING-H-RO</x:v>
      </x:c>
      <x:c r="B2252" s="8" t="n">
        <x:v>1</x:v>
      </x:c>
      <x:c r="C2252" s="11" t="n">
        <x:v>42.22</x:v>
      </x:c>
      <x:c r="D2252" s="11" t="n">
        <x:v>7.945096649484534</x:v>
      </x:c>
      <x:c r="E2252" s="11" t="n">
        <x:v>7.36</x:v>
      </x:c>
      <x:c r="F2252" s="11" t="n">
        <x:f>0</x:f>
        <x:v>0</x:v>
      </x:c>
      <x:c r="G2252" s="8" t="str">
        <x:v>Current</x:v>
      </x:c>
    </x:row>
    <x:row r="2253" ht="32" customHeight="1">
      <x:c r="A2253" s="8" t="str">
        <x:v>drop:LC1:L8:light:1:L-WING-H-RO</x:v>
      </x:c>
      <x:c r="B2253" s="8" t="n">
        <x:v>2</x:v>
      </x:c>
      <x:c r="C2253" s="11" t="n">
        <x:v>42.22</x:v>
      </x:c>
      <x:c r="D2253" s="11" t="n">
        <x:v>7.9450966494845385</x:v>
      </x:c>
      <x:c r="E2253" s="11" t="n">
        <x:v>11.4</x:v>
      </x:c>
      <x:c r="F2253" s="11" t="n">
        <x:f>SQRT((C2253-C2252)^2+(D2253-D2252)^2+(E2253-E2252)^2)</x:f>
        <x:v>4.04</x:v>
      </x:c>
      <x:c r="G2253" s="8" t="str">
        <x:v>Current</x:v>
      </x:c>
    </x:row>
    <x:row r="2254" ht="32" customHeight="1">
      <x:c r="A2254" s="8" t="str">
        <x:v>drop:LC1:L8:light:1:L-WING-H-RO</x:v>
      </x:c>
      <x:c r="B2254" s="8" t="n">
        <x:v>3</x:v>
      </x:c>
      <x:c r="C2254" s="11" t="n">
        <x:v>42.22</x:v>
      </x:c>
      <x:c r="D2254" s="11" t="n">
        <x:v>8.063580000000004</x:v>
      </x:c>
      <x:c r="E2254" s="11" t="n">
        <x:v>11.4</x:v>
      </x:c>
      <x:c r="F2254" s="11" t="n">
        <x:f>SQRT((C2254-C2253)^2+(D2254-D2253)^2+(E2254-E2253)^2)</x:f>
        <x:v>0.11848335051546499</x:v>
      </x:c>
      <x:c r="G2254" s="8" t="str">
        <x:v>Current</x:v>
      </x:c>
    </x:row>
    <x:row r="2255" ht="32" customHeight="1">
      <x:c r="A2255" s="8" t="str">
        <x:v>drop:LC1:L8:light:-1:L63</x:v>
      </x:c>
      <x:c r="B2255" s="8" t="n">
        <x:v>1</x:v>
      </x:c>
      <x:c r="C2255" s="11" t="n">
        <x:v>38.94</x:v>
      </x:c>
      <x:c r="D2255" s="11" t="n">
        <x:v>7.953150773195872</x:v>
      </x:c>
      <x:c r="E2255" s="11" t="n">
        <x:v>-7.36</x:v>
      </x:c>
      <x:c r="F2255" s="11" t="n">
        <x:f>0</x:f>
        <x:v>0</x:v>
      </x:c>
      <x:c r="G2255" s="8" t="str">
        <x:v>Retired</x:v>
      </x:c>
    </x:row>
    <x:row r="2256" ht="32" customHeight="1">
      <x:c r="A2256" s="8" t="str">
        <x:v>drop:LC1:L8:light:-1:L63</x:v>
      </x:c>
      <x:c r="B2256" s="8" t="n">
        <x:v>2</x:v>
      </x:c>
      <x:c r="C2256" s="11" t="n">
        <x:v>38.94</x:v>
      </x:c>
      <x:c r="D2256" s="11" t="n">
        <x:v>7.953150773195873</x:v>
      </x:c>
      <x:c r="E2256" s="11" t="n">
        <x:v>-10.15</x:v>
      </x:c>
      <x:c r="F2256" s="11" t="n">
        <x:f>SQRT((C2256-C2255)^2+(D2256-D2255)^2+(E2256-E2255)^2)</x:f>
        <x:v>2.79</x:v>
      </x:c>
      <x:c r="G2256" s="8" t="str">
        <x:v>Retired</x:v>
      </x:c>
    </x:row>
    <x:row r="2257" ht="32" customHeight="1">
      <x:c r="A2257" s="8" t="str">
        <x:v>drop:LC1:L8:light:-1:L63</x:v>
      </x:c>
      <x:c r="B2257" s="8" t="n">
        <x:v>3</x:v>
      </x:c>
      <x:c r="C2257" s="11" t="n">
        <x:v>38.94</x:v>
      </x:c>
      <x:c r="D2257" s="11" t="n">
        <x:v>3.8</x:v>
      </x:c>
      <x:c r="E2257" s="11" t="n">
        <x:v>-10.15</x:v>
      </x:c>
      <x:c r="F2257" s="11" t="n">
        <x:f>SQRT((C2257-C2256)^2+(D2257-D2256)^2+(E2257-E2256)^2)</x:f>
        <x:v>4.153150773195873</x:v>
      </x:c>
      <x:c r="G2257" s="8" t="str">
        <x:v>Retired</x:v>
      </x:c>
    </x:row>
    <x:row r="2258" ht="32" customHeight="1">
      <x:c r="A2258" s="8" t="str">
        <x:v>drop:LC1:L8:light:-1:L65</x:v>
      </x:c>
      <x:c r="B2258" s="8" t="n">
        <x:v>1</x:v>
      </x:c>
      <x:c r="C2258" s="11" t="n">
        <x:v>42.22</x:v>
      </x:c>
      <x:c r="D2258" s="11" t="n">
        <x:v>7.945096649484534</x:v>
      </x:c>
      <x:c r="E2258" s="11" t="n">
        <x:v>-7.36</x:v>
      </x:c>
      <x:c r="F2258" s="11" t="n">
        <x:f>0</x:f>
        <x:v>0</x:v>
      </x:c>
      <x:c r="G2258" s="8" t="str">
        <x:v>Retired</x:v>
      </x:c>
    </x:row>
    <x:row r="2259" ht="32" customHeight="1">
      <x:c r="A2259" s="8" t="str">
        <x:v>drop:LC1:L8:light:-1:L65</x:v>
      </x:c>
      <x:c r="B2259" s="8" t="n">
        <x:v>2</x:v>
      </x:c>
      <x:c r="C2259" s="11" t="n">
        <x:v>42.22</x:v>
      </x:c>
      <x:c r="D2259" s="11" t="n">
        <x:v>7.9450966494845385</x:v>
      </x:c>
      <x:c r="E2259" s="11" t="n">
        <x:v>-10.15</x:v>
      </x:c>
      <x:c r="F2259" s="11" t="n">
        <x:f>SQRT((C2259-C2258)^2+(D2259-D2258)^2+(E2259-E2258)^2)</x:f>
        <x:v>2.79</x:v>
      </x:c>
      <x:c r="G2259" s="8" t="str">
        <x:v>Retired</x:v>
      </x:c>
    </x:row>
    <x:row r="2260" ht="32" customHeight="1">
      <x:c r="A2260" s="8" t="str">
        <x:v>drop:LC1:L8:light:-1:L65</x:v>
      </x:c>
      <x:c r="B2260" s="8" t="n">
        <x:v>3</x:v>
      </x:c>
      <x:c r="C2260" s="11" t="n">
        <x:v>42.22</x:v>
      </x:c>
      <x:c r="D2260" s="11" t="n">
        <x:v>3.8</x:v>
      </x:c>
      <x:c r="E2260" s="11" t="n">
        <x:v>-10.15</x:v>
      </x:c>
      <x:c r="F2260" s="11" t="n">
        <x:f>SQRT((C2260-C2259)^2+(D2260-D2259)^2+(E2260-E2259)^2)</x:f>
        <x:v>4.145096649484539</x:v>
      </x:c>
      <x:c r="G2260" s="8" t="str">
        <x:v>Retired</x:v>
      </x:c>
    </x:row>
    <x:row r="2261" ht="32" customHeight="1">
      <x:c r="A2261" s="8" t="str">
        <x:v>drop:LC1:L8:light:1:L67</x:v>
      </x:c>
      <x:c r="B2261" s="8" t="n">
        <x:v>1</x:v>
      </x:c>
      <x:c r="C2261" s="11" t="n">
        <x:v>38.94</x:v>
      </x:c>
      <x:c r="D2261" s="11" t="n">
        <x:v>7.953150773195872</x:v>
      </x:c>
      <x:c r="E2261" s="11" t="n">
        <x:v>7.36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drop:LC1:L8:light:1:L67</x:v>
      </x:c>
      <x:c r="B2262" s="8" t="n">
        <x:v>2</x:v>
      </x:c>
      <x:c r="C2262" s="11" t="n">
        <x:v>38.94</x:v>
      </x:c>
      <x:c r="D2262" s="11" t="n">
        <x:v>7.953150773195873</x:v>
      </x:c>
      <x:c r="E2262" s="11" t="n">
        <x:v>10.15</x:v>
      </x:c>
      <x:c r="F2262" s="11" t="n">
        <x:f>SQRT((C2262-C2261)^2+(D2262-D2261)^2+(E2262-E2261)^2)</x:f>
        <x:v>2.79</x:v>
      </x:c>
      <x:c r="G2262" s="8" t="str">
        <x:v>Retired</x:v>
      </x:c>
    </x:row>
    <x:row r="2263" ht="32" customHeight="1">
      <x:c r="A2263" s="8" t="str">
        <x:v>drop:LC1:L8:light:1:L67</x:v>
      </x:c>
      <x:c r="B2263" s="8" t="n">
        <x:v>3</x:v>
      </x:c>
      <x:c r="C2263" s="11" t="n">
        <x:v>38.94</x:v>
      </x:c>
      <x:c r="D2263" s="11" t="n">
        <x:v>3.8</x:v>
      </x:c>
      <x:c r="E2263" s="11" t="n">
        <x:v>10.15</x:v>
      </x:c>
      <x:c r="F2263" s="11" t="n">
        <x:f>SQRT((C2263-C2262)^2+(D2263-D2262)^2+(E2263-E2262)^2)</x:f>
        <x:v>4.153150773195873</x:v>
      </x:c>
      <x:c r="G2263" s="8" t="str">
        <x:v>Retired</x:v>
      </x:c>
    </x:row>
    <x:row r="2264" ht="32" customHeight="1">
      <x:c r="A2264" s="8" t="str">
        <x:v>drop:LC1:L8:light:1:L69</x:v>
      </x:c>
      <x:c r="B2264" s="8" t="n">
        <x:v>1</x:v>
      </x:c>
      <x:c r="C2264" s="11" t="n">
        <x:v>42.22</x:v>
      </x:c>
      <x:c r="D2264" s="11" t="n">
        <x:v>7.945096649484534</x:v>
      </x:c>
      <x:c r="E2264" s="11" t="n">
        <x:v>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drop:LC1:L8:light:1:L69</x:v>
      </x:c>
      <x:c r="B2265" s="8" t="n">
        <x:v>2</x:v>
      </x:c>
      <x:c r="C2265" s="11" t="n">
        <x:v>42.22</x:v>
      </x:c>
      <x:c r="D2265" s="11" t="n">
        <x:v>7.9450966494845385</x:v>
      </x:c>
      <x:c r="E2265" s="11" t="n">
        <x:v>10.15</x:v>
      </x:c>
      <x:c r="F2265" s="11" t="n">
        <x:f>SQRT((C2265-C2264)^2+(D2265-D2264)^2+(E2265-E2264)^2)</x:f>
        <x:v>2.79</x:v>
      </x:c>
      <x:c r="G2265" s="8" t="str">
        <x:v>Retired</x:v>
      </x:c>
    </x:row>
    <x:row r="2266" ht="32" customHeight="1">
      <x:c r="A2266" s="8" t="str">
        <x:v>drop:LC1:L8:light:1:L69</x:v>
      </x:c>
      <x:c r="B2266" s="8" t="n">
        <x:v>3</x:v>
      </x:c>
      <x:c r="C2266" s="11" t="n">
        <x:v>42.22</x:v>
      </x:c>
      <x:c r="D2266" s="11" t="n">
        <x:v>3.8</x:v>
      </x:c>
      <x:c r="E2266" s="11" t="n">
        <x:v>10.15</x:v>
      </x:c>
      <x:c r="F2266" s="11" t="n">
        <x:f>SQRT((C2266-C2265)^2+(D2266-D2265)^2+(E2266-E2265)^2)</x:f>
        <x:v>4.145096649484539</x:v>
      </x:c>
      <x:c r="G2266" s="8" t="str">
        <x:v>Retired</x:v>
      </x:c>
    </x:row>
    <x:row r="2267" ht="32" customHeight="1">
      <x:c r="A2267" s="8" t="str">
        <x:v>trunk:LC1:LD:light:-1</x:v>
      </x:c>
      <x:c r="B2267" s="8" t="n">
        <x:v>1</x:v>
      </x:c>
      <x:c r="C2267" s="11" t="n">
        <x:v>48.895</x:v>
      </x:c>
      <x:c r="D2267" s="11" t="n">
        <x:v>1.85</x:v>
      </x:c>
      <x:c r="E2267" s="11" t="n">
        <x:v>-0.55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trunk:LC1:LD:light:-1</x:v>
      </x:c>
      <x:c r="B2268" s="8" t="n">
        <x:v>2</x:v>
      </x:c>
      <x:c r="C2268" s="11" t="n">
        <x:v>48.735</x:v>
      </x:c>
      <x:c r="D2268" s="11" t="n">
        <x:v>1.85</x:v>
      </x:c>
      <x:c r="E2268" s="11" t="n">
        <x:v>-0.55</x:v>
      </x:c>
      <x:c r="F2268" s="11" t="n">
        <x:f>SQRT((C2268-C2267)^2+(D2268-D2267)^2+(E2268-E2267)^2)</x:f>
        <x:v>0.1600000000000037</x:v>
      </x:c>
      <x:c r="G2268" s="8" t="str">
        <x:v>Retired</x:v>
      </x:c>
    </x:row>
    <x:row r="2269" ht="32" customHeight="1">
      <x:c r="A2269" s="8" t="str">
        <x:v>trunk:LC1:LD:light:-1</x:v>
      </x:c>
      <x:c r="B2269" s="8" t="n">
        <x:v>3</x:v>
      </x:c>
      <x:c r="C2269" s="11" t="n">
        <x:v>48.735</x:v>
      </x:c>
      <x:c r="D2269" s="11" t="n">
        <x:v>1.85</x:v>
      </x:c>
      <x:c r="E2269" s="11" t="n">
        <x:v>-2.24</x:v>
      </x:c>
      <x:c r="F2269" s="11" t="n">
        <x:f>SQRT((C2269-C2268)^2+(D2269-D2268)^2+(E2269-E2268)^2)</x:f>
        <x:v>1.6900000000000002</x:v>
      </x:c>
      <x:c r="G2269" s="8" t="str">
        <x:v>Retired</x:v>
      </x:c>
    </x:row>
    <x:row r="2270" ht="32" customHeight="1">
      <x:c r="A2270" s="8" t="str">
        <x:v>trunk:LC1:LD:light:-1</x:v>
      </x:c>
      <x:c r="B2270" s="8" t="n">
        <x:v>4</x:v>
      </x:c>
      <x:c r="C2270" s="11" t="n">
        <x:v>48.735</x:v>
      </x:c>
      <x:c r="D2270" s="11" t="n">
        <x:v>4.33</x:v>
      </x:c>
      <x:c r="E2270" s="11" t="n">
        <x:v>-2.24</x:v>
      </x:c>
      <x:c r="F2270" s="11" t="n">
        <x:f>SQRT((C2270-C2269)^2+(D2270-D2269)^2+(E2270-E2269)^2)</x:f>
        <x:v>2.48</x:v>
      </x:c>
      <x:c r="G2270" s="8" t="str">
        <x:v>Retired</x:v>
      </x:c>
    </x:row>
    <x:row r="2271" ht="32" customHeight="1">
      <x:c r="A2271" s="8" t="str">
        <x:v>trunk:LC1:LD:light:-1</x:v>
      </x:c>
      <x:c r="B2271" s="8" t="n">
        <x:v>5</x:v>
      </x:c>
      <x:c r="C2271" s="11" t="n">
        <x:v>48.735</x:v>
      </x:c>
      <x:c r="D2271" s="11" t="n">
        <x:v>4.33</x:v>
      </x:c>
      <x:c r="E2271" s="11" t="n">
        <x:v>-3.3</x:v>
      </x:c>
      <x:c r="F2271" s="11" t="n">
        <x:f>SQRT((C2271-C2270)^2+(D2271-D2270)^2+(E2271-E2270)^2)</x:f>
        <x:v>1.0599999999999996</x:v>
      </x:c>
      <x:c r="G2271" s="8" t="str">
        <x:v>Retired</x:v>
      </x:c>
    </x:row>
    <x:row r="2272" ht="32" customHeight="1">
      <x:c r="A2272" s="8" t="str">
        <x:v>trunk:LC1:LD:light:-1</x:v>
      </x:c>
      <x:c r="B2272" s="8" t="n">
        <x:v>6</x:v>
      </x:c>
      <x:c r="C2272" s="11" t="n">
        <x:v>53.016</x:v>
      </x:c>
      <x:c r="D2272" s="11" t="n">
        <x:v>4.33</x:v>
      </x:c>
      <x:c r="E2272" s="11" t="n">
        <x:v>-3.3</x:v>
      </x:c>
      <x:c r="F2272" s="11" t="n">
        <x:f>SQRT((C2272-C2271)^2+(D2272-D2271)^2+(E2272-E2271)^2)</x:f>
        <x:v>4.280999999999999</x:v>
      </x:c>
      <x:c r="G2272" s="8" t="str">
        <x:v>Retired</x:v>
      </x:c>
    </x:row>
    <x:row r="2273" ht="32" customHeight="1">
      <x:c r="A2273" s="8" t="str">
        <x:v>trunk:LC1:LD:light:-1</x:v>
      </x:c>
      <x:c r="B2273" s="8" t="n">
        <x:v>7</x:v>
      </x:c>
      <x:c r="C2273" s="11" t="n">
        <x:v>53.016</x:v>
      </x:c>
      <x:c r="D2273" s="11" t="n">
        <x:v>5.94</x:v>
      </x:c>
      <x:c r="E2273" s="11" t="n">
        <x:v>-3.3</x:v>
      </x:c>
      <x:c r="F2273" s="11" t="n">
        <x:f>SQRT((C2273-C2272)^2+(D2273-D2272)^2+(E2273-E2272)^2)</x:f>
        <x:v>1.6100000000000003</x:v>
      </x:c>
      <x:c r="G2273" s="8" t="str">
        <x:v>Retired</x:v>
      </x:c>
    </x:row>
    <x:row r="2274" ht="32" customHeight="1">
      <x:c r="A2274" s="8" t="str">
        <x:v>trunk:LC1:LD:light:-1</x:v>
      </x:c>
      <x:c r="B2274" s="8" t="n">
        <x:v>8</x:v>
      </x:c>
      <x:c r="C2274" s="11" t="n">
        <x:v>53.016</x:v>
      </x:c>
      <x:c r="D2274" s="11" t="n">
        <x:v>5.94</x:v>
      </x:c>
      <x:c r="E2274" s="11" t="n">
        <x:v>-7.36</x:v>
      </x:c>
      <x:c r="F2274" s="11" t="n">
        <x:f>SQRT((C2274-C2273)^2+(D2274-D2273)^2+(E2274-E2273)^2)</x:f>
        <x:v>4.0600000000000005</x:v>
      </x:c>
      <x:c r="G2274" s="8" t="str">
        <x:v>Retired</x:v>
      </x:c>
    </x:row>
    <x:row r="2275" ht="32" customHeight="1">
      <x:c r="A2275" s="8" t="str">
        <x:v>trunk:LC1:LD:light:-1</x:v>
      </x:c>
      <x:c r="B2275" s="8" t="n">
        <x:v>9</x:v>
      </x:c>
      <x:c r="C2275" s="11" t="n">
        <x:v>44.175</x:v>
      </x:c>
      <x:c r="D2275" s="11" t="n">
        <x:v>5.94</x:v>
      </x:c>
      <x:c r="E2275" s="11" t="n">
        <x:v>-7.36</x:v>
      </x:c>
      <x:c r="F2275" s="11" t="n">
        <x:f>SQRT((C2275-C2274)^2+(D2275-D2274)^2+(E2275-E2274)^2)</x:f>
        <x:v>8.841000000000001</x:v>
      </x:c>
      <x:c r="G2275" s="8" t="str">
        <x:v>Retired</x:v>
      </x:c>
    </x:row>
    <x:row r="2276" ht="32" customHeight="1">
      <x:c r="A2276" s="8" t="str">
        <x:v>trunk:LC1:LD:light:-1</x:v>
      </x:c>
      <x:c r="B2276" s="8" t="n">
        <x:v>10</x:v>
      </x:c>
      <x:c r="C2276" s="11" t="n">
        <x:v>44.175</x:v>
      </x:c>
      <x:c r="D2276" s="11" t="n">
        <x:v>7.04</x:v>
      </x:c>
      <x:c r="E2276" s="11" t="n">
        <x:v>-7.36</x:v>
      </x:c>
      <x:c r="F2276" s="11" t="n">
        <x:f>SQRT((C2276-C2275)^2+(D2276-D2275)^2+(E2276-E2275)^2)</x:f>
        <x:v>1.0999999999999996</x:v>
      </x:c>
      <x:c r="G2276" s="8" t="str">
        <x:v>Retired</x:v>
      </x:c>
    </x:row>
    <x:row r="2277" ht="32" customHeight="1">
      <x:c r="A2277" s="8" t="str">
        <x:v>trunk:LC1:LD:light:-1</x:v>
      </x:c>
      <x:c r="B2277" s="8" t="n">
        <x:v>11</x:v>
      </x:c>
      <x:c r="C2277" s="11" t="n">
        <x:v>43.535</x:v>
      </x:c>
      <x:c r="D2277" s="11" t="n">
        <x:v>7.04</x:v>
      </x:c>
      <x:c r="E2277" s="11" t="n">
        <x:v>-7.36</x:v>
      </x:c>
      <x:c r="F2277" s="11" t="n">
        <x:f>SQRT((C2277-C2276)^2+(D2277-D2276)^2+(E2277-E2276)^2)</x:f>
        <x:v>0.6400000000000006</x:v>
      </x:c>
      <x:c r="G2277" s="8" t="str">
        <x:v>Retired</x:v>
      </x:c>
    </x:row>
    <x:row r="2278" ht="32" customHeight="1">
      <x:c r="A2278" s="8" t="str">
        <x:v>trunk:LC1:LD:light:-1</x:v>
      </x:c>
      <x:c r="B2278" s="8" t="n">
        <x:v>12</x:v>
      </x:c>
      <x:c r="C2278" s="11" t="n">
        <x:v>43.455</x:v>
      </x:c>
      <x:c r="D2278" s="11" t="n">
        <x:v>6.950412371134024</x:v>
      </x:c>
      <x:c r="E2278" s="11" t="n">
        <x:v>-7.36</x:v>
      </x:c>
      <x:c r="F2278" s="11" t="n">
        <x:f>SQRT((C2278-C2277)^2+(D2278-D2277)^2+(E2278-E2277)^2)</x:f>
        <x:v>0.12010804821421249</x:v>
      </x:c>
      <x:c r="G2278" s="8" t="str">
        <x:v>Retired</x:v>
      </x:c>
    </x:row>
    <x:row r="2279" ht="32" customHeight="1">
      <x:c r="A2279" s="8" t="str">
        <x:v>trunk:LC1:LD:light:-1</x:v>
      </x:c>
      <x:c r="B2279" s="8" t="n">
        <x:v>13</x:v>
      </x:c>
      <x:c r="C2279" s="11" t="n">
        <x:v>40.574999999999996</x:v>
      </x:c>
      <x:c r="D2279" s="11" t="n">
        <x:v>9.269999999999994</x:v>
      </x:c>
      <x:c r="E2279" s="11" t="n">
        <x:v>-7.36</x:v>
      </x:c>
      <x:c r="F2279" s="11" t="n">
        <x:f>SQRT((C2279-C2278)^2+(D2279-D2278)^2+(E2279-E2278)^2)</x:f>
        <x:v>3.6979571073753776</x:v>
      </x:c>
      <x:c r="G2279" s="8" t="str">
        <x:v>Retired</x:v>
      </x:c>
    </x:row>
    <x:row r="2280" ht="32" customHeight="1">
      <x:c r="A2280" s="8" t="str">
        <x:v>trunk:LC1:LD:light:-1</x:v>
      </x:c>
      <x:c r="B2280" s="8" t="n">
        <x:v>14</x:v>
      </x:c>
      <x:c r="C2280" s="11" t="n">
        <x:v>37.695</x:v>
      </x:c>
      <x:c r="D2280" s="11" t="n">
        <x:v>6.950412371134018</x:v>
      </x:c>
      <x:c r="E2280" s="11" t="n">
        <x:v>-7.36</x:v>
      </x:c>
      <x:c r="F2280" s="11" t="n">
        <x:f>SQRT((C2280-C2279)^2+(D2280-D2279)^2+(E2280-E2279)^2)</x:f>
        <x:v>3.697957107375376</x:v>
      </x:c>
      <x:c r="G2280" s="8" t="str">
        <x:v>Retired</x:v>
      </x:c>
    </x:row>
    <x:row r="2281" ht="32" customHeight="1">
      <x:c r="A2281" s="8" t="str">
        <x:v>trunk:LC1:LD:light:-1</x:v>
      </x:c>
      <x:c r="B2281" s="8" t="n">
        <x:v>15</x:v>
      </x:c>
      <x:c r="C2281" s="11" t="n">
        <x:v>37.615</x:v>
      </x:c>
      <x:c r="D2281" s="11" t="n">
        <x:v>7.04</x:v>
      </x:c>
      <x:c r="E2281" s="11" t="n">
        <x:v>-7.36</x:v>
      </x:c>
      <x:c r="F2281" s="11" t="n">
        <x:f>SQRT((C2281-C2280)^2+(D2281-D2280)^2+(E2281-E2280)^2)</x:f>
        <x:v>0.12010804821421713</x:v>
      </x:c>
      <x:c r="G2281" s="8" t="str">
        <x:v>Retired</x:v>
      </x:c>
    </x:row>
    <x:row r="2282" ht="32" customHeight="1">
      <x:c r="A2282" s="8" t="str">
        <x:v>trunk:LC1:LD:light:-1</x:v>
      </x:c>
      <x:c r="B2282" s="8" t="n">
        <x:v>16</x:v>
      </x:c>
      <x:c r="C2282" s="11" t="n">
        <x:v>36.975</x:v>
      </x:c>
      <x:c r="D2282" s="11" t="n">
        <x:v>7.04</x:v>
      </x:c>
      <x:c r="E2282" s="11" t="n">
        <x:v>-7.36</x:v>
      </x:c>
      <x:c r="F2282" s="11" t="n">
        <x:f>SQRT((C2282-C2281)^2+(D2282-D2281)^2+(E2282-E2281)^2)</x:f>
        <x:v>0.6400000000000006</x:v>
      </x:c>
      <x:c r="G2282" s="8" t="str">
        <x:v>Retired</x:v>
      </x:c>
    </x:row>
    <x:row r="2283" ht="32" customHeight="1">
      <x:c r="A2283" s="8" t="str">
        <x:v>trunk:LC1:LD:light:-1</x:v>
      </x:c>
      <x:c r="B2283" s="8" t="n">
        <x:v>17</x:v>
      </x:c>
      <x:c r="C2283" s="11" t="n">
        <x:v>36.975</x:v>
      </x:c>
      <x:c r="D2283" s="11" t="n">
        <x:v>5.94</x:v>
      </x:c>
      <x:c r="E2283" s="11" t="n">
        <x:v>-7.36</x:v>
      </x:c>
      <x:c r="F2283" s="11" t="n">
        <x:f>SQRT((C2283-C2282)^2+(D2283-D2282)^2+(E2283-E2282)^2)</x:f>
        <x:v>1.0999999999999996</x:v>
      </x:c>
      <x:c r="G2283" s="8" t="str">
        <x:v>Retired</x:v>
      </x:c>
    </x:row>
    <x:row r="2284" ht="32" customHeight="1">
      <x:c r="A2284" s="8" t="str">
        <x:v>trunk:LC1:LD:light:-1</x:v>
      </x:c>
      <x:c r="B2284" s="8" t="n">
        <x:v>18</x:v>
      </x:c>
      <x:c r="C2284" s="11" t="n">
        <x:v>9.975000000000001</x:v>
      </x:c>
      <x:c r="D2284" s="11" t="n">
        <x:v>5.94</x:v>
      </x:c>
      <x:c r="E2284" s="11" t="n">
        <x:v>-7.36</x:v>
      </x:c>
      <x:c r="F2284" s="11" t="n">
        <x:f>SQRT((C2284-C2283)^2+(D2284-D2283)^2+(E2284-E2283)^2)</x:f>
        <x:v>27</x:v>
      </x:c>
      <x:c r="G2284" s="8" t="str">
        <x:v>Retired</x:v>
      </x:c>
    </x:row>
    <x:row r="2285" ht="32" customHeight="1">
      <x:c r="A2285" s="8" t="str">
        <x:v>drop:LC1:LD:light:-1:L82</x:v>
      </x:c>
      <x:c r="B2285" s="8" t="n">
        <x:v>1</x:v>
      </x:c>
      <x:c r="C2285" s="11" t="n">
        <x:v>9.975000000000001</x:v>
      </x:c>
      <x:c r="D2285" s="11" t="n">
        <x:v>5.94</x:v>
      </x:c>
      <x:c r="E2285" s="11" t="n">
        <x:v>-7.36</x:v>
      </x:c>
      <x:c r="F2285" s="11" t="n">
        <x:f>0</x:f>
        <x:v>0</x:v>
      </x:c>
      <x:c r="G2285" s="8" t="str">
        <x:v>Retired</x:v>
      </x:c>
    </x:row>
    <x:row r="2286" ht="32" customHeight="1">
      <x:c r="A2286" s="8" t="str">
        <x:v>drop:LC1:LD:light:-1:L82</x:v>
      </x:c>
      <x:c r="B2286" s="8" t="n">
        <x:v>2</x:v>
      </x:c>
      <x:c r="C2286" s="11" t="n">
        <x:v>9.975000000000001</x:v>
      </x:c>
      <x:c r="D2286" s="11" t="n">
        <x:v>5</x:v>
      </x:c>
      <x:c r="E2286" s="11" t="n">
        <x:v>-7.36</x:v>
      </x:c>
      <x:c r="F2286" s="11" t="n">
        <x:f>SQRT((C2286-C2285)^2+(D2286-D2285)^2+(E2286-E2285)^2)</x:f>
        <x:v>0.9400000000000004</x:v>
      </x:c>
      <x:c r="G2286" s="8" t="str">
        <x:v>Retired</x:v>
      </x:c>
    </x:row>
    <x:row r="2287" ht="32" customHeight="1">
      <x:c r="A2287" s="8" t="str">
        <x:v>drop:LC1:LD:light:-1:L82</x:v>
      </x:c>
      <x:c r="B2287" s="8" t="n">
        <x:v>3</x:v>
      </x:c>
      <x:c r="C2287" s="11" t="n">
        <x:v>9.975</x:v>
      </x:c>
      <x:c r="D2287" s="11" t="n">
        <x:v>5</x:v>
      </x:c>
      <x:c r="E2287" s="11" t="n">
        <x:v>-7.07</x:v>
      </x:c>
      <x:c r="F2287" s="11" t="n">
        <x:f>SQRT((C2287-C2286)^2+(D2287-D2286)^2+(E2287-E2286)^2)</x:f>
        <x:v>0.29000000000000004</x:v>
      </x:c>
      <x:c r="G2287" s="8" t="str">
        <x:v>Retired</x:v>
      </x:c>
    </x:row>
    <x:row r="2288" ht="32" customHeight="1">
      <x:c r="A2288" s="8" t="str">
        <x:v>drop:LC1:LD:light:-1:L84</x:v>
      </x:c>
      <x:c r="B2288" s="8" t="n">
        <x:v>1</x:v>
      </x:c>
      <x:c r="C2288" s="11" t="n">
        <x:v>14.475000000000001</x:v>
      </x:c>
      <x:c r="D2288" s="11" t="n">
        <x:v>5.94</x:v>
      </x:c>
      <x:c r="E2288" s="11" t="n">
        <x:v>-7.36</x:v>
      </x:c>
      <x:c r="F2288" s="11" t="n">
        <x:f>0</x:f>
        <x:v>0</x:v>
      </x:c>
      <x:c r="G2288" s="8" t="str">
        <x:v>Retired</x:v>
      </x:c>
    </x:row>
    <x:row r="2289" ht="32" customHeight="1">
      <x:c r="A2289" s="8" t="str">
        <x:v>drop:LC1:LD:light:-1:L84</x:v>
      </x:c>
      <x:c r="B2289" s="8" t="n">
        <x:v>2</x:v>
      </x:c>
      <x:c r="C2289" s="11" t="n">
        <x:v>14.475000000000001</x:v>
      </x:c>
      <x:c r="D2289" s="11" t="n">
        <x:v>5</x:v>
      </x:c>
      <x:c r="E2289" s="11" t="n">
        <x:v>-7.36</x:v>
      </x:c>
      <x:c r="F2289" s="11" t="n">
        <x:f>SQRT((C2289-C2288)^2+(D2289-D2288)^2+(E2289-E2288)^2)</x:f>
        <x:v>0.9400000000000004</x:v>
      </x:c>
      <x:c r="G2289" s="8" t="str">
        <x:v>Retired</x:v>
      </x:c>
    </x:row>
    <x:row r="2290" ht="32" customHeight="1">
      <x:c r="A2290" s="8" t="str">
        <x:v>drop:LC1:LD:light:-1:L84</x:v>
      </x:c>
      <x:c r="B2290" s="8" t="n">
        <x:v>3</x:v>
      </x:c>
      <x:c r="C2290" s="11" t="n">
        <x:v>14.475</x:v>
      </x:c>
      <x:c r="D2290" s="11" t="n">
        <x:v>5</x:v>
      </x:c>
      <x:c r="E2290" s="11" t="n">
        <x:v>-7.07</x:v>
      </x:c>
      <x:c r="F2290" s="11" t="n">
        <x:f>SQRT((C2290-C2289)^2+(D2290-D2289)^2+(E2290-E2289)^2)</x:f>
        <x:v>0.29000000000000004</x:v>
      </x:c>
      <x:c r="G2290" s="8" t="str">
        <x:v>Retired</x:v>
      </x:c>
    </x:row>
    <x:row r="2291" ht="32" customHeight="1">
      <x:c r="A2291" s="8" t="str">
        <x:v>drop:LC1:LD:light:-1:L86</x:v>
      </x:c>
      <x:c r="B2291" s="8" t="n">
        <x:v>1</x:v>
      </x:c>
      <x:c r="C2291" s="11" t="n">
        <x:v>18.975</x:v>
      </x:c>
      <x:c r="D2291" s="11" t="n">
        <x:v>5.94</x:v>
      </x:c>
      <x:c r="E2291" s="11" t="n">
        <x:v>-7.36</x:v>
      </x:c>
      <x:c r="F2291" s="11" t="n">
        <x:f>0</x:f>
        <x:v>0</x:v>
      </x:c>
      <x:c r="G2291" s="8" t="str">
        <x:v>Retired</x:v>
      </x:c>
    </x:row>
    <x:row r="2292" ht="32" customHeight="1">
      <x:c r="A2292" s="8" t="str">
        <x:v>drop:LC1:LD:light:-1:L86</x:v>
      </x:c>
      <x:c r="B2292" s="8" t="n">
        <x:v>2</x:v>
      </x:c>
      <x:c r="C2292" s="11" t="n">
        <x:v>18.975</x:v>
      </x:c>
      <x:c r="D2292" s="11" t="n">
        <x:v>5</x:v>
      </x:c>
      <x:c r="E2292" s="11" t="n">
        <x:v>-7.36</x:v>
      </x:c>
      <x:c r="F2292" s="11" t="n">
        <x:f>SQRT((C2292-C2291)^2+(D2292-D2291)^2+(E2292-E2291)^2)</x:f>
        <x:v>0.9400000000000004</x:v>
      </x:c>
      <x:c r="G2292" s="8" t="str">
        <x:v>Retired</x:v>
      </x:c>
    </x:row>
    <x:row r="2293" ht="32" customHeight="1">
      <x:c r="A2293" s="8" t="str">
        <x:v>drop:LC1:LD:light:-1:L86</x:v>
      </x:c>
      <x:c r="B2293" s="8" t="n">
        <x:v>3</x:v>
      </x:c>
      <x:c r="C2293" s="11" t="n">
        <x:v>18.975</x:v>
      </x:c>
      <x:c r="D2293" s="11" t="n">
        <x:v>5</x:v>
      </x:c>
      <x:c r="E2293" s="11" t="n">
        <x:v>-7.07</x:v>
      </x:c>
      <x:c r="F2293" s="11" t="n">
        <x:f>SQRT((C2293-C2292)^2+(D2293-D2292)^2+(E2293-E2292)^2)</x:f>
        <x:v>0.29000000000000004</x:v>
      </x:c>
      <x:c r="G2293" s="8" t="str">
        <x:v>Retired</x:v>
      </x:c>
    </x:row>
    <x:row r="2294" ht="32" customHeight="1">
      <x:c r="A2294" s="8" t="str">
        <x:v>drop:LC1:LD:light:-1:L88</x:v>
      </x:c>
      <x:c r="B2294" s="8" t="n">
        <x:v>1</x:v>
      </x:c>
      <x:c r="C2294" s="11" t="n">
        <x:v>23.475</x:v>
      </x:c>
      <x:c r="D2294" s="11" t="n">
        <x:v>5.94</x:v>
      </x:c>
      <x:c r="E2294" s="11" t="n">
        <x:v>-7.36</x:v>
      </x:c>
      <x:c r="F2294" s="11" t="n">
        <x:f>0</x:f>
        <x:v>0</x:v>
      </x:c>
      <x:c r="G2294" s="8" t="str">
        <x:v>Retired</x:v>
      </x:c>
    </x:row>
    <x:row r="2295" ht="32" customHeight="1">
      <x:c r="A2295" s="8" t="str">
        <x:v>drop:LC1:LD:light:-1:L88</x:v>
      </x:c>
      <x:c r="B2295" s="8" t="n">
        <x:v>2</x:v>
      </x:c>
      <x:c r="C2295" s="11" t="n">
        <x:v>23.475</x:v>
      </x:c>
      <x:c r="D2295" s="11" t="n">
        <x:v>5</x:v>
      </x:c>
      <x:c r="E2295" s="11" t="n">
        <x:v>-7.36</x:v>
      </x:c>
      <x:c r="F2295" s="11" t="n">
        <x:f>SQRT((C2295-C2294)^2+(D2295-D2294)^2+(E2295-E2294)^2)</x:f>
        <x:v>0.9400000000000004</x:v>
      </x:c>
      <x:c r="G2295" s="8" t="str">
        <x:v>Retired</x:v>
      </x:c>
    </x:row>
    <x:row r="2296" ht="32" customHeight="1">
      <x:c r="A2296" s="8" t="str">
        <x:v>drop:LC1:LD:light:-1:L88</x:v>
      </x:c>
      <x:c r="B2296" s="8" t="n">
        <x:v>3</x:v>
      </x:c>
      <x:c r="C2296" s="11" t="n">
        <x:v>23.475</x:v>
      </x:c>
      <x:c r="D2296" s="11" t="n">
        <x:v>5</x:v>
      </x:c>
      <x:c r="E2296" s="11" t="n">
        <x:v>-7.07</x:v>
      </x:c>
      <x:c r="F2296" s="11" t="n">
        <x:f>SQRT((C2296-C2295)^2+(D2296-D2295)^2+(E2296-E2295)^2)</x:f>
        <x:v>0.29000000000000004</x:v>
      </x:c>
      <x:c r="G2296" s="8" t="str">
        <x:v>Retired</x:v>
      </x:c>
    </x:row>
    <x:row r="2297" ht="32" customHeight="1">
      <x:c r="A2297" s="8" t="str">
        <x:v>drop:LC1:LD:light:-1:L90</x:v>
      </x:c>
      <x:c r="B2297" s="8" t="n">
        <x:v>1</x:v>
      </x:c>
      <x:c r="C2297" s="11" t="n">
        <x:v>27.975</x:v>
      </x:c>
      <x:c r="D2297" s="11" t="n">
        <x:v>5.94</x:v>
      </x:c>
      <x:c r="E2297" s="11" t="n">
        <x:v>-7.36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drop:LC1:LD:light:-1:L90</x:v>
      </x:c>
      <x:c r="B2298" s="8" t="n">
        <x:v>2</x:v>
      </x:c>
      <x:c r="C2298" s="11" t="n">
        <x:v>27.975</x:v>
      </x:c>
      <x:c r="D2298" s="11" t="n">
        <x:v>5</x:v>
      </x:c>
      <x:c r="E2298" s="11" t="n">
        <x:v>-7.36</x:v>
      </x:c>
      <x:c r="F2298" s="11" t="n">
        <x:f>SQRT((C2298-C2297)^2+(D2298-D2297)^2+(E2298-E2297)^2)</x:f>
        <x:v>0.9400000000000004</x:v>
      </x:c>
      <x:c r="G2298" s="8" t="str">
        <x:v>Retired</x:v>
      </x:c>
    </x:row>
    <x:row r="2299" ht="32" customHeight="1">
      <x:c r="A2299" s="8" t="str">
        <x:v>drop:LC1:LD:light:-1:L90</x:v>
      </x:c>
      <x:c r="B2299" s="8" t="n">
        <x:v>3</x:v>
      </x:c>
      <x:c r="C2299" s="11" t="n">
        <x:v>27.975</x:v>
      </x:c>
      <x:c r="D2299" s="11" t="n">
        <x:v>5</x:v>
      </x:c>
      <x:c r="E2299" s="11" t="n">
        <x:v>-7.07</x:v>
      </x:c>
      <x:c r="F2299" s="11" t="n">
        <x:f>SQRT((C2299-C2298)^2+(D2299-D2298)^2+(E2299-E2298)^2)</x:f>
        <x:v>0.29000000000000004</x:v>
      </x:c>
      <x:c r="G2299" s="8" t="str">
        <x:v>Retired</x:v>
      </x:c>
    </x:row>
    <x:row r="2300" ht="32" customHeight="1">
      <x:c r="A2300" s="8" t="str">
        <x:v>drop:LC1:LD:light:-1:L92</x:v>
      </x:c>
      <x:c r="B2300" s="8" t="n">
        <x:v>1</x:v>
      </x:c>
      <x:c r="C2300" s="11" t="n">
        <x:v>32.475</x:v>
      </x:c>
      <x:c r="D2300" s="11" t="n">
        <x:v>5.94</x:v>
      </x:c>
      <x:c r="E2300" s="11" t="n">
        <x:v>-7.36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drop:LC1:LD:light:-1:L92</x:v>
      </x:c>
      <x:c r="B2301" s="8" t="n">
        <x:v>2</x:v>
      </x:c>
      <x:c r="C2301" s="11" t="n">
        <x:v>32.475</x:v>
      </x:c>
      <x:c r="D2301" s="11" t="n">
        <x:v>5</x:v>
      </x:c>
      <x:c r="E2301" s="11" t="n">
        <x:v>-7.36</x:v>
      </x:c>
      <x:c r="F2301" s="11" t="n">
        <x:f>SQRT((C2301-C2300)^2+(D2301-D2300)^2+(E2301-E2300)^2)</x:f>
        <x:v>0.9400000000000004</x:v>
      </x:c>
      <x:c r="G2301" s="8" t="str">
        <x:v>Retired</x:v>
      </x:c>
    </x:row>
    <x:row r="2302" ht="32" customHeight="1">
      <x:c r="A2302" s="8" t="str">
        <x:v>drop:LC1:LD:light:-1:L92</x:v>
      </x:c>
      <x:c r="B2302" s="8" t="n">
        <x:v>3</x:v>
      </x:c>
      <x:c r="C2302" s="11" t="n">
        <x:v>32.475</x:v>
      </x:c>
      <x:c r="D2302" s="11" t="n">
        <x:v>5</x:v>
      </x:c>
      <x:c r="E2302" s="11" t="n">
        <x:v>-7.07</x:v>
      </x:c>
      <x:c r="F2302" s="11" t="n">
        <x:f>SQRT((C2302-C2301)^2+(D2302-D2301)^2+(E2302-E2301)^2)</x:f>
        <x:v>0.29000000000000004</x:v>
      </x:c>
      <x:c r="G2302" s="8" t="str">
        <x:v>Retired</x:v>
      </x:c>
    </x:row>
    <x:row r="2303" ht="32" customHeight="1">
      <x:c r="A2303" s="8" t="str">
        <x:v>drop:LC1:LD:light:-1:L94</x:v>
      </x:c>
      <x:c r="B2303" s="8" t="n">
        <x:v>1</x:v>
      </x:c>
      <x:c r="C2303" s="11" t="n">
        <x:v>36.975</x:v>
      </x:c>
      <x:c r="D2303" s="11" t="n">
        <x:v>5.94</x:v>
      </x:c>
      <x:c r="E2303" s="11" t="n">
        <x:v>-7.36</x:v>
      </x:c>
      <x:c r="F2303" s="11" t="n">
        <x:f>0</x:f>
        <x:v>0</x:v>
      </x:c>
      <x:c r="G2303" s="8" t="str">
        <x:v>Retired</x:v>
      </x:c>
    </x:row>
    <x:row r="2304" ht="32" customHeight="1">
      <x:c r="A2304" s="8" t="str">
        <x:v>drop:LC1:LD:light:-1:L94</x:v>
      </x:c>
      <x:c r="B2304" s="8" t="n">
        <x:v>2</x:v>
      </x:c>
      <x:c r="C2304" s="11" t="n">
        <x:v>36.975</x:v>
      </x:c>
      <x:c r="D2304" s="11" t="n">
        <x:v>5</x:v>
      </x:c>
      <x:c r="E2304" s="11" t="n">
        <x:v>-7.36</x:v>
      </x:c>
      <x:c r="F2304" s="11" t="n">
        <x:f>SQRT((C2304-C2303)^2+(D2304-D2303)^2+(E2304-E2303)^2)</x:f>
        <x:v>0.9400000000000004</x:v>
      </x:c>
      <x:c r="G2304" s="8" t="str">
        <x:v>Retired</x:v>
      </x:c>
    </x:row>
    <x:row r="2305" ht="32" customHeight="1">
      <x:c r="A2305" s="8" t="str">
        <x:v>drop:LC1:LD:light:-1:L94</x:v>
      </x:c>
      <x:c r="B2305" s="8" t="n">
        <x:v>3</x:v>
      </x:c>
      <x:c r="C2305" s="11" t="n">
        <x:v>36.975</x:v>
      </x:c>
      <x:c r="D2305" s="11" t="n">
        <x:v>5</x:v>
      </x:c>
      <x:c r="E2305" s="11" t="n">
        <x:v>-7.07</x:v>
      </x:c>
      <x:c r="F2305" s="11" t="n">
        <x:f>SQRT((C2305-C2304)^2+(D2305-D2304)^2+(E2305-E2304)^2)</x:f>
        <x:v>0.29000000000000004</x:v>
      </x:c>
      <x:c r="G2305" s="8" t="str">
        <x:v>Retired</x:v>
      </x:c>
    </x:row>
    <x:row r="2306" ht="32" customHeight="1">
      <x:c r="A2306" s="8" t="str">
        <x:v>trunk:LC1:LD:light:1</x:v>
      </x:c>
      <x:c r="B2306" s="8" t="n">
        <x:v>1</x:v>
      </x:c>
      <x:c r="C2306" s="11" t="n">
        <x:v>48.895</x:v>
      </x:c>
      <x:c r="D2306" s="11" t="n">
        <x:v>1.85</x:v>
      </x:c>
      <x:c r="E2306" s="11" t="n">
        <x:v>-0.55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trunk:LC1:LD:light:1</x:v>
      </x:c>
      <x:c r="B2307" s="8" t="n">
        <x:v>2</x:v>
      </x:c>
      <x:c r="C2307" s="11" t="n">
        <x:v>48.735</x:v>
      </x:c>
      <x:c r="D2307" s="11" t="n">
        <x:v>1.85</x:v>
      </x:c>
      <x:c r="E2307" s="11" t="n">
        <x:v>-0.55</x:v>
      </x:c>
      <x:c r="F2307" s="11" t="n">
        <x:f>SQRT((C2307-C2306)^2+(D2307-D2306)^2+(E2307-E2306)^2)</x:f>
        <x:v>0.1600000000000037</x:v>
      </x:c>
      <x:c r="G2307" s="8" t="str">
        <x:v>Retired</x:v>
      </x:c>
    </x:row>
    <x:row r="2308" ht="32" customHeight="1">
      <x:c r="A2308" s="8" t="str">
        <x:v>trunk:LC1:LD:light:1</x:v>
      </x:c>
      <x:c r="B2308" s="8" t="n">
        <x:v>3</x:v>
      </x:c>
      <x:c r="C2308" s="11" t="n">
        <x:v>48.735</x:v>
      </x:c>
      <x:c r="D2308" s="11" t="n">
        <x:v>1.85</x:v>
      </x:c>
      <x:c r="E2308" s="11" t="n">
        <x:v>-2.24</x:v>
      </x:c>
      <x:c r="F2308" s="11" t="n">
        <x:f>SQRT((C2308-C2307)^2+(D2308-D2307)^2+(E2308-E2307)^2)</x:f>
        <x:v>1.6900000000000002</x:v>
      </x:c>
      <x:c r="G2308" s="8" t="str">
        <x:v>Retired</x:v>
      </x:c>
    </x:row>
    <x:row r="2309" ht="32" customHeight="1">
      <x:c r="A2309" s="8" t="str">
        <x:v>trunk:LC1:LD:light:1</x:v>
      </x:c>
      <x:c r="B2309" s="8" t="n">
        <x:v>4</x:v>
      </x:c>
      <x:c r="C2309" s="11" t="n">
        <x:v>48.735</x:v>
      </x:c>
      <x:c r="D2309" s="11" t="n">
        <x:v>4.33</x:v>
      </x:c>
      <x:c r="E2309" s="11" t="n">
        <x:v>-2.24</x:v>
      </x:c>
      <x:c r="F2309" s="11" t="n">
        <x:f>SQRT((C2309-C2308)^2+(D2309-D2308)^2+(E2309-E2308)^2)</x:f>
        <x:v>2.48</x:v>
      </x:c>
      <x:c r="G2309" s="8" t="str">
        <x:v>Retired</x:v>
      </x:c>
    </x:row>
    <x:row r="2310" ht="32" customHeight="1">
      <x:c r="A2310" s="8" t="str">
        <x:v>trunk:LC1:LD:light:1</x:v>
      </x:c>
      <x:c r="B2310" s="8" t="n">
        <x:v>5</x:v>
      </x:c>
      <x:c r="C2310" s="11" t="n">
        <x:v>48.735</x:v>
      </x:c>
      <x:c r="D2310" s="11" t="n">
        <x:v>4.33</x:v>
      </x:c>
      <x:c r="E2310" s="11" t="n">
        <x:v>-3.3</x:v>
      </x:c>
      <x:c r="F2310" s="11" t="n">
        <x:f>SQRT((C2310-C2309)^2+(D2310-D2309)^2+(E2310-E2309)^2)</x:f>
        <x:v>1.0599999999999996</x:v>
      </x:c>
      <x:c r="G2310" s="8" t="str">
        <x:v>Retired</x:v>
      </x:c>
    </x:row>
    <x:row r="2311" ht="32" customHeight="1">
      <x:c r="A2311" s="8" t="str">
        <x:v>trunk:LC1:LD:light:1</x:v>
      </x:c>
      <x:c r="B2311" s="8" t="n">
        <x:v>6</x:v>
      </x:c>
      <x:c r="C2311" s="11" t="n">
        <x:v>53.016</x:v>
      </x:c>
      <x:c r="D2311" s="11" t="n">
        <x:v>4.33</x:v>
      </x:c>
      <x:c r="E2311" s="11" t="n">
        <x:v>-3.3</x:v>
      </x:c>
      <x:c r="F2311" s="11" t="n">
        <x:f>SQRT((C2311-C2310)^2+(D2311-D2310)^2+(E2311-E2310)^2)</x:f>
        <x:v>4.280999999999999</x:v>
      </x:c>
      <x:c r="G2311" s="8" t="str">
        <x:v>Retired</x:v>
      </x:c>
    </x:row>
    <x:row r="2312" ht="32" customHeight="1">
      <x:c r="A2312" s="8" t="str">
        <x:v>trunk:LC1:LD:light:1</x:v>
      </x:c>
      <x:c r="B2312" s="8" t="n">
        <x:v>7</x:v>
      </x:c>
      <x:c r="C2312" s="11" t="n">
        <x:v>53.016</x:v>
      </x:c>
      <x:c r="D2312" s="11" t="n">
        <x:v>5.94</x:v>
      </x:c>
      <x:c r="E2312" s="11" t="n">
        <x:v>-3.3</x:v>
      </x:c>
      <x:c r="F2312" s="11" t="n">
        <x:f>SQRT((C2312-C2311)^2+(D2312-D2311)^2+(E2312-E2311)^2)</x:f>
        <x:v>1.6100000000000003</x:v>
      </x:c>
      <x:c r="G2312" s="8" t="str">
        <x:v>Retired</x:v>
      </x:c>
    </x:row>
    <x:row r="2313" ht="32" customHeight="1">
      <x:c r="A2313" s="8" t="str">
        <x:v>trunk:LC1:LD:light:1</x:v>
      </x:c>
      <x:c r="B2313" s="8" t="n">
        <x:v>8</x:v>
      </x:c>
      <x:c r="C2313" s="11" t="n">
        <x:v>53.016</x:v>
      </x:c>
      <x:c r="D2313" s="11" t="n">
        <x:v>5.94</x:v>
      </x:c>
      <x:c r="E2313" s="11" t="n">
        <x:v>7.36</x:v>
      </x:c>
      <x:c r="F2313" s="11" t="n">
        <x:f>SQRT((C2313-C2312)^2+(D2313-D2312)^2+(E2313-E2312)^2)</x:f>
        <x:v>10.66</x:v>
      </x:c>
      <x:c r="G2313" s="8" t="str">
        <x:v>Retired</x:v>
      </x:c>
    </x:row>
    <x:row r="2314" ht="32" customHeight="1">
      <x:c r="A2314" s="8" t="str">
        <x:v>trunk:LC1:LD:light:1</x:v>
      </x:c>
      <x:c r="B2314" s="8" t="n">
        <x:v>9</x:v>
      </x:c>
      <x:c r="C2314" s="11" t="n">
        <x:v>44.175</x:v>
      </x:c>
      <x:c r="D2314" s="11" t="n">
        <x:v>5.94</x:v>
      </x:c>
      <x:c r="E2314" s="11" t="n">
        <x:v>7.36</x:v>
      </x:c>
      <x:c r="F2314" s="11" t="n">
        <x:f>SQRT((C2314-C2313)^2+(D2314-D2313)^2+(E2314-E2313)^2)</x:f>
        <x:v>8.841000000000001</x:v>
      </x:c>
      <x:c r="G2314" s="8" t="str">
        <x:v>Retired</x:v>
      </x:c>
    </x:row>
    <x:row r="2315" ht="32" customHeight="1">
      <x:c r="A2315" s="8" t="str">
        <x:v>trunk:LC1:LD:light:1</x:v>
      </x:c>
      <x:c r="B2315" s="8" t="n">
        <x:v>10</x:v>
      </x:c>
      <x:c r="C2315" s="11" t="n">
        <x:v>44.175</x:v>
      </x:c>
      <x:c r="D2315" s="11" t="n">
        <x:v>7.04</x:v>
      </x:c>
      <x:c r="E2315" s="11" t="n">
        <x:v>7.36</x:v>
      </x:c>
      <x:c r="F2315" s="11" t="n">
        <x:f>SQRT((C2315-C2314)^2+(D2315-D2314)^2+(E2315-E2314)^2)</x:f>
        <x:v>1.0999999999999996</x:v>
      </x:c>
      <x:c r="G2315" s="8" t="str">
        <x:v>Retired</x:v>
      </x:c>
    </x:row>
    <x:row r="2316" ht="32" customHeight="1">
      <x:c r="A2316" s="8" t="str">
        <x:v>trunk:LC1:LD:light:1</x:v>
      </x:c>
      <x:c r="B2316" s="8" t="n">
        <x:v>11</x:v>
      </x:c>
      <x:c r="C2316" s="11" t="n">
        <x:v>43.535</x:v>
      </x:c>
      <x:c r="D2316" s="11" t="n">
        <x:v>7.04</x:v>
      </x:c>
      <x:c r="E2316" s="11" t="n">
        <x:v>7.36</x:v>
      </x:c>
      <x:c r="F2316" s="11" t="n">
        <x:f>SQRT((C2316-C2315)^2+(D2316-D2315)^2+(E2316-E2315)^2)</x:f>
        <x:v>0.6400000000000006</x:v>
      </x:c>
      <x:c r="G2316" s="8" t="str">
        <x:v>Retired</x:v>
      </x:c>
    </x:row>
    <x:row r="2317" ht="32" customHeight="1">
      <x:c r="A2317" s="8" t="str">
        <x:v>trunk:LC1:LD:light:1</x:v>
      </x:c>
      <x:c r="B2317" s="8" t="n">
        <x:v>12</x:v>
      </x:c>
      <x:c r="C2317" s="11" t="n">
        <x:v>43.455</x:v>
      </x:c>
      <x:c r="D2317" s="11" t="n">
        <x:v>6.950412371134024</x:v>
      </x:c>
      <x:c r="E2317" s="11" t="n">
        <x:v>7.36</x:v>
      </x:c>
      <x:c r="F2317" s="11" t="n">
        <x:f>SQRT((C2317-C2316)^2+(D2317-D2316)^2+(E2317-E2316)^2)</x:f>
        <x:v>0.12010804821421249</x:v>
      </x:c>
      <x:c r="G2317" s="8" t="str">
        <x:v>Retired</x:v>
      </x:c>
    </x:row>
    <x:row r="2318" ht="32" customHeight="1">
      <x:c r="A2318" s="8" t="str">
        <x:v>trunk:LC1:LD:light:1</x:v>
      </x:c>
      <x:c r="B2318" s="8" t="n">
        <x:v>13</x:v>
      </x:c>
      <x:c r="C2318" s="11" t="n">
        <x:v>40.574999999999996</x:v>
      </x:c>
      <x:c r="D2318" s="11" t="n">
        <x:v>9.269999999999994</x:v>
      </x:c>
      <x:c r="E2318" s="11" t="n">
        <x:v>7.36</x:v>
      </x:c>
      <x:c r="F2318" s="11" t="n">
        <x:f>SQRT((C2318-C2317)^2+(D2318-D2317)^2+(E2318-E2317)^2)</x:f>
        <x:v>3.6979571073753776</x:v>
      </x:c>
      <x:c r="G2318" s="8" t="str">
        <x:v>Retired</x:v>
      </x:c>
    </x:row>
    <x:row r="2319" ht="32" customHeight="1">
      <x:c r="A2319" s="8" t="str">
        <x:v>trunk:LC1:LD:light:1</x:v>
      </x:c>
      <x:c r="B2319" s="8" t="n">
        <x:v>14</x:v>
      </x:c>
      <x:c r="C2319" s="11" t="n">
        <x:v>37.695</x:v>
      </x:c>
      <x:c r="D2319" s="11" t="n">
        <x:v>6.950412371134018</x:v>
      </x:c>
      <x:c r="E2319" s="11" t="n">
        <x:v>7.36</x:v>
      </x:c>
      <x:c r="F2319" s="11" t="n">
        <x:f>SQRT((C2319-C2318)^2+(D2319-D2318)^2+(E2319-E2318)^2)</x:f>
        <x:v>3.697957107375376</x:v>
      </x:c>
      <x:c r="G2319" s="8" t="str">
        <x:v>Retired</x:v>
      </x:c>
    </x:row>
    <x:row r="2320" ht="32" customHeight="1">
      <x:c r="A2320" s="8" t="str">
        <x:v>trunk:LC1:LD:light:1</x:v>
      </x:c>
      <x:c r="B2320" s="8" t="n">
        <x:v>15</x:v>
      </x:c>
      <x:c r="C2320" s="11" t="n">
        <x:v>37.615</x:v>
      </x:c>
      <x:c r="D2320" s="11" t="n">
        <x:v>7.04</x:v>
      </x:c>
      <x:c r="E2320" s="11" t="n">
        <x:v>7.36</x:v>
      </x:c>
      <x:c r="F2320" s="11" t="n">
        <x:f>SQRT((C2320-C2319)^2+(D2320-D2319)^2+(E2320-E2319)^2)</x:f>
        <x:v>0.12010804821421713</x:v>
      </x:c>
      <x:c r="G2320" s="8" t="str">
        <x:v>Retired</x:v>
      </x:c>
    </x:row>
    <x:row r="2321" ht="32" customHeight="1">
      <x:c r="A2321" s="8" t="str">
        <x:v>trunk:LC1:LD:light:1</x:v>
      </x:c>
      <x:c r="B2321" s="8" t="n">
        <x:v>16</x:v>
      </x:c>
      <x:c r="C2321" s="11" t="n">
        <x:v>36.975</x:v>
      </x:c>
      <x:c r="D2321" s="11" t="n">
        <x:v>7.04</x:v>
      </x:c>
      <x:c r="E2321" s="11" t="n">
        <x:v>7.36</x:v>
      </x:c>
      <x:c r="F2321" s="11" t="n">
        <x:f>SQRT((C2321-C2320)^2+(D2321-D2320)^2+(E2321-E2320)^2)</x:f>
        <x:v>0.6400000000000006</x:v>
      </x:c>
      <x:c r="G2321" s="8" t="str">
        <x:v>Retired</x:v>
      </x:c>
    </x:row>
    <x:row r="2322" ht="32" customHeight="1">
      <x:c r="A2322" s="8" t="str">
        <x:v>trunk:LC1:LD:light:1</x:v>
      </x:c>
      <x:c r="B2322" s="8" t="n">
        <x:v>17</x:v>
      </x:c>
      <x:c r="C2322" s="11" t="n">
        <x:v>36.975</x:v>
      </x:c>
      <x:c r="D2322" s="11" t="n">
        <x:v>5.94</x:v>
      </x:c>
      <x:c r="E2322" s="11" t="n">
        <x:v>7.36</x:v>
      </x:c>
      <x:c r="F2322" s="11" t="n">
        <x:f>SQRT((C2322-C2321)^2+(D2322-D2321)^2+(E2322-E2321)^2)</x:f>
        <x:v>1.0999999999999996</x:v>
      </x:c>
      <x:c r="G2322" s="8" t="str">
        <x:v>Retired</x:v>
      </x:c>
    </x:row>
    <x:row r="2323" ht="32" customHeight="1">
      <x:c r="A2323" s="8" t="str">
        <x:v>trunk:LC1:LD:light:1</x:v>
      </x:c>
      <x:c r="B2323" s="8" t="n">
        <x:v>18</x:v>
      </x:c>
      <x:c r="C2323" s="11" t="n">
        <x:v>9.975000000000001</x:v>
      </x:c>
      <x:c r="D2323" s="11" t="n">
        <x:v>5.94</x:v>
      </x:c>
      <x:c r="E2323" s="11" t="n">
        <x:v>7.36</x:v>
      </x:c>
      <x:c r="F2323" s="11" t="n">
        <x:f>SQRT((C2323-C2322)^2+(D2323-D2322)^2+(E2323-E2322)^2)</x:f>
        <x:v>27</x:v>
      </x:c>
      <x:c r="G2323" s="8" t="str">
        <x:v>Retired</x:v>
      </x:c>
    </x:row>
    <x:row r="2324" ht="32" customHeight="1">
      <x:c r="A2324" s="8" t="str">
        <x:v>drop:LC1:LD:light:1:L83</x:v>
      </x:c>
      <x:c r="B2324" s="8" t="n">
        <x:v>1</x:v>
      </x:c>
      <x:c r="C2324" s="11" t="n">
        <x:v>9.975000000000001</x:v>
      </x:c>
      <x:c r="D2324" s="11" t="n">
        <x:v>5.94</x:v>
      </x:c>
      <x:c r="E2324" s="11" t="n">
        <x:v>7.36</x:v>
      </x:c>
      <x:c r="F2324" s="11" t="n">
        <x:f>0</x:f>
        <x:v>0</x:v>
      </x:c>
      <x:c r="G2324" s="8" t="str">
        <x:v>Retired</x:v>
      </x:c>
    </x:row>
    <x:row r="2325" ht="32" customHeight="1">
      <x:c r="A2325" s="8" t="str">
        <x:v>drop:LC1:LD:light:1:L83</x:v>
      </x:c>
      <x:c r="B2325" s="8" t="n">
        <x:v>2</x:v>
      </x:c>
      <x:c r="C2325" s="11" t="n">
        <x:v>9.975000000000001</x:v>
      </x:c>
      <x:c r="D2325" s="11" t="n">
        <x:v>5</x:v>
      </x:c>
      <x:c r="E2325" s="11" t="n">
        <x:v>7.36</x:v>
      </x:c>
      <x:c r="F2325" s="11" t="n">
        <x:f>SQRT((C2325-C2324)^2+(D2325-D2324)^2+(E2325-E2324)^2)</x:f>
        <x:v>0.9400000000000004</x:v>
      </x:c>
      <x:c r="G2325" s="8" t="str">
        <x:v>Retired</x:v>
      </x:c>
    </x:row>
    <x:row r="2326" ht="32" customHeight="1">
      <x:c r="A2326" s="8" t="str">
        <x:v>drop:LC1:LD:light:1:L83</x:v>
      </x:c>
      <x:c r="B2326" s="8" t="n">
        <x:v>3</x:v>
      </x:c>
      <x:c r="C2326" s="11" t="n">
        <x:v>9.975</x:v>
      </x:c>
      <x:c r="D2326" s="11" t="n">
        <x:v>5</x:v>
      </x:c>
      <x:c r="E2326" s="11" t="n">
        <x:v>7.07</x:v>
      </x:c>
      <x:c r="F2326" s="11" t="n">
        <x:f>SQRT((C2326-C2325)^2+(D2326-D2325)^2+(E2326-E2325)^2)</x:f>
        <x:v>0.29000000000000004</x:v>
      </x:c>
      <x:c r="G2326" s="8" t="str">
        <x:v>Retired</x:v>
      </x:c>
    </x:row>
    <x:row r="2327" ht="32" customHeight="1">
      <x:c r="A2327" s="8" t="str">
        <x:v>drop:LC1:LD:light:1:L85</x:v>
      </x:c>
      <x:c r="B2327" s="8" t="n">
        <x:v>1</x:v>
      </x:c>
      <x:c r="C2327" s="11" t="n">
        <x:v>14.475000000000001</x:v>
      </x:c>
      <x:c r="D2327" s="11" t="n">
        <x:v>5.94</x:v>
      </x:c>
      <x:c r="E2327" s="11" t="n">
        <x:v>7.36</x:v>
      </x:c>
      <x:c r="F2327" s="11" t="n">
        <x:f>0</x:f>
        <x:v>0</x:v>
      </x:c>
      <x:c r="G2327" s="8" t="str">
        <x:v>Retired</x:v>
      </x:c>
    </x:row>
    <x:row r="2328" ht="32" customHeight="1">
      <x:c r="A2328" s="8" t="str">
        <x:v>drop:LC1:LD:light:1:L85</x:v>
      </x:c>
      <x:c r="B2328" s="8" t="n">
        <x:v>2</x:v>
      </x:c>
      <x:c r="C2328" s="11" t="n">
        <x:v>14.475000000000001</x:v>
      </x:c>
      <x:c r="D2328" s="11" t="n">
        <x:v>5</x:v>
      </x:c>
      <x:c r="E2328" s="11" t="n">
        <x:v>7.36</x:v>
      </x:c>
      <x:c r="F2328" s="11" t="n">
        <x:f>SQRT((C2328-C2327)^2+(D2328-D2327)^2+(E2328-E2327)^2)</x:f>
        <x:v>0.9400000000000004</x:v>
      </x:c>
      <x:c r="G2328" s="8" t="str">
        <x:v>Retired</x:v>
      </x:c>
    </x:row>
    <x:row r="2329" ht="32" customHeight="1">
      <x:c r="A2329" s="8" t="str">
        <x:v>drop:LC1:LD:light:1:L85</x:v>
      </x:c>
      <x:c r="B2329" s="8" t="n">
        <x:v>3</x:v>
      </x:c>
      <x:c r="C2329" s="11" t="n">
        <x:v>14.475</x:v>
      </x:c>
      <x:c r="D2329" s="11" t="n">
        <x:v>5</x:v>
      </x:c>
      <x:c r="E2329" s="11" t="n">
        <x:v>7.07</x:v>
      </x:c>
      <x:c r="F2329" s="11" t="n">
        <x:f>SQRT((C2329-C2328)^2+(D2329-D2328)^2+(E2329-E2328)^2)</x:f>
        <x:v>0.29000000000000004</x:v>
      </x:c>
      <x:c r="G2329" s="8" t="str">
        <x:v>Retired</x:v>
      </x:c>
    </x:row>
    <x:row r="2330" ht="32" customHeight="1">
      <x:c r="A2330" s="8" t="str">
        <x:v>drop:LC1:LD:light:1:L87</x:v>
      </x:c>
      <x:c r="B2330" s="8" t="n">
        <x:v>1</x:v>
      </x:c>
      <x:c r="C2330" s="11" t="n">
        <x:v>18.975</x:v>
      </x:c>
      <x:c r="D2330" s="11" t="n">
        <x:v>5.94</x:v>
      </x:c>
      <x:c r="E2330" s="11" t="n">
        <x:v>7.36</x:v>
      </x:c>
      <x:c r="F2330" s="11" t="n">
        <x:f>0</x:f>
        <x:v>0</x:v>
      </x:c>
      <x:c r="G2330" s="8" t="str">
        <x:v>Retired</x:v>
      </x:c>
    </x:row>
    <x:row r="2331" ht="32" customHeight="1">
      <x:c r="A2331" s="8" t="str">
        <x:v>drop:LC1:LD:light:1:L87</x:v>
      </x:c>
      <x:c r="B2331" s="8" t="n">
        <x:v>2</x:v>
      </x:c>
      <x:c r="C2331" s="11" t="n">
        <x:v>18.975</x:v>
      </x:c>
      <x:c r="D2331" s="11" t="n">
        <x:v>5</x:v>
      </x:c>
      <x:c r="E2331" s="11" t="n">
        <x:v>7.36</x:v>
      </x:c>
      <x:c r="F2331" s="11" t="n">
        <x:f>SQRT((C2331-C2330)^2+(D2331-D2330)^2+(E2331-E2330)^2)</x:f>
        <x:v>0.9400000000000004</x:v>
      </x:c>
      <x:c r="G2331" s="8" t="str">
        <x:v>Retired</x:v>
      </x:c>
    </x:row>
    <x:row r="2332" ht="32" customHeight="1">
      <x:c r="A2332" s="8" t="str">
        <x:v>drop:LC1:LD:light:1:L87</x:v>
      </x:c>
      <x:c r="B2332" s="8" t="n">
        <x:v>3</x:v>
      </x:c>
      <x:c r="C2332" s="11" t="n">
        <x:v>18.975</x:v>
      </x:c>
      <x:c r="D2332" s="11" t="n">
        <x:v>5</x:v>
      </x:c>
      <x:c r="E2332" s="11" t="n">
        <x:v>7.07</x:v>
      </x:c>
      <x:c r="F2332" s="11" t="n">
        <x:f>SQRT((C2332-C2331)^2+(D2332-D2331)^2+(E2332-E2331)^2)</x:f>
        <x:v>0.29000000000000004</x:v>
      </x:c>
      <x:c r="G2332" s="8" t="str">
        <x:v>Retired</x:v>
      </x:c>
    </x:row>
    <x:row r="2333" ht="32" customHeight="1">
      <x:c r="A2333" s="8" t="str">
        <x:v>drop:LC1:LD:light:1:L89</x:v>
      </x:c>
      <x:c r="B2333" s="8" t="n">
        <x:v>1</x:v>
      </x:c>
      <x:c r="C2333" s="11" t="n">
        <x:v>23.475</x:v>
      </x:c>
      <x:c r="D2333" s="11" t="n">
        <x:v>5.94</x:v>
      </x:c>
      <x:c r="E2333" s="11" t="n">
        <x:v>7.36</x:v>
      </x:c>
      <x:c r="F2333" s="11" t="n">
        <x:f>0</x:f>
        <x:v>0</x:v>
      </x:c>
      <x:c r="G2333" s="8" t="str">
        <x:v>Retired</x:v>
      </x:c>
    </x:row>
    <x:row r="2334" ht="32" customHeight="1">
      <x:c r="A2334" s="8" t="str">
        <x:v>drop:LC1:LD:light:1:L89</x:v>
      </x:c>
      <x:c r="B2334" s="8" t="n">
        <x:v>2</x:v>
      </x:c>
      <x:c r="C2334" s="11" t="n">
        <x:v>23.475</x:v>
      </x:c>
      <x:c r="D2334" s="11" t="n">
        <x:v>5</x:v>
      </x:c>
      <x:c r="E2334" s="11" t="n">
        <x:v>7.36</x:v>
      </x:c>
      <x:c r="F2334" s="11" t="n">
        <x:f>SQRT((C2334-C2333)^2+(D2334-D2333)^2+(E2334-E2333)^2)</x:f>
        <x:v>0.9400000000000004</x:v>
      </x:c>
      <x:c r="G2334" s="8" t="str">
        <x:v>Retired</x:v>
      </x:c>
    </x:row>
    <x:row r="2335" ht="32" customHeight="1">
      <x:c r="A2335" s="8" t="str">
        <x:v>drop:LC1:LD:light:1:L89</x:v>
      </x:c>
      <x:c r="B2335" s="8" t="n">
        <x:v>3</x:v>
      </x:c>
      <x:c r="C2335" s="11" t="n">
        <x:v>23.475</x:v>
      </x:c>
      <x:c r="D2335" s="11" t="n">
        <x:v>5</x:v>
      </x:c>
      <x:c r="E2335" s="11" t="n">
        <x:v>7.07</x:v>
      </x:c>
      <x:c r="F2335" s="11" t="n">
        <x:f>SQRT((C2335-C2334)^2+(D2335-D2334)^2+(E2335-E2334)^2)</x:f>
        <x:v>0.29000000000000004</x:v>
      </x:c>
      <x:c r="G2335" s="8" t="str">
        <x:v>Retired</x:v>
      </x:c>
    </x:row>
    <x:row r="2336" ht="32" customHeight="1">
      <x:c r="A2336" s="8" t="str">
        <x:v>drop:LC1:LD:light:1:L91</x:v>
      </x:c>
      <x:c r="B2336" s="8" t="n">
        <x:v>1</x:v>
      </x:c>
      <x:c r="C2336" s="11" t="n">
        <x:v>27.975</x:v>
      </x:c>
      <x:c r="D2336" s="11" t="n">
        <x:v>5.94</x:v>
      </x:c>
      <x:c r="E2336" s="11" t="n">
        <x:v>7.36</x:v>
      </x:c>
      <x:c r="F2336" s="11" t="n">
        <x:f>0</x:f>
        <x:v>0</x:v>
      </x:c>
      <x:c r="G2336" s="8" t="str">
        <x:v>Retired</x:v>
      </x:c>
    </x:row>
    <x:row r="2337" ht="32" customHeight="1">
      <x:c r="A2337" s="8" t="str">
        <x:v>drop:LC1:LD:light:1:L91</x:v>
      </x:c>
      <x:c r="B2337" s="8" t="n">
        <x:v>2</x:v>
      </x:c>
      <x:c r="C2337" s="11" t="n">
        <x:v>27.975</x:v>
      </x:c>
      <x:c r="D2337" s="11" t="n">
        <x:v>5</x:v>
      </x:c>
      <x:c r="E2337" s="11" t="n">
        <x:v>7.36</x:v>
      </x:c>
      <x:c r="F2337" s="11" t="n">
        <x:f>SQRT((C2337-C2336)^2+(D2337-D2336)^2+(E2337-E2336)^2)</x:f>
        <x:v>0.9400000000000004</x:v>
      </x:c>
      <x:c r="G2337" s="8" t="str">
        <x:v>Retired</x:v>
      </x:c>
    </x:row>
    <x:row r="2338" ht="32" customHeight="1">
      <x:c r="A2338" s="8" t="str">
        <x:v>drop:LC1:LD:light:1:L91</x:v>
      </x:c>
      <x:c r="B2338" s="8" t="n">
        <x:v>3</x:v>
      </x:c>
      <x:c r="C2338" s="11" t="n">
        <x:v>27.975</x:v>
      </x:c>
      <x:c r="D2338" s="11" t="n">
        <x:v>5</x:v>
      </x:c>
      <x:c r="E2338" s="11" t="n">
        <x:v>7.07</x:v>
      </x:c>
      <x:c r="F2338" s="11" t="n">
        <x:f>SQRT((C2338-C2337)^2+(D2338-D2337)^2+(E2338-E2337)^2)</x:f>
        <x:v>0.29000000000000004</x:v>
      </x:c>
      <x:c r="G2338" s="8" t="str">
        <x:v>Retired</x:v>
      </x:c>
    </x:row>
    <x:row r="2339" ht="32" customHeight="1">
      <x:c r="A2339" s="8" t="str">
        <x:v>drop:LC1:LD:light:1:L93</x:v>
      </x:c>
      <x:c r="B2339" s="8" t="n">
        <x:v>1</x:v>
      </x:c>
      <x:c r="C2339" s="11" t="n">
        <x:v>32.475</x:v>
      </x:c>
      <x:c r="D2339" s="11" t="n">
        <x:v>5.94</x:v>
      </x:c>
      <x:c r="E2339" s="11" t="n">
        <x:v>7.36</x:v>
      </x:c>
      <x:c r="F2339" s="11" t="n">
        <x:f>0</x:f>
        <x:v>0</x:v>
      </x:c>
      <x:c r="G2339" s="8" t="str">
        <x:v>Retired</x:v>
      </x:c>
    </x:row>
    <x:row r="2340" ht="32" customHeight="1">
      <x:c r="A2340" s="8" t="str">
        <x:v>drop:LC1:LD:light:1:L93</x:v>
      </x:c>
      <x:c r="B2340" s="8" t="n">
        <x:v>2</x:v>
      </x:c>
      <x:c r="C2340" s="11" t="n">
        <x:v>32.475</x:v>
      </x:c>
      <x:c r="D2340" s="11" t="n">
        <x:v>5</x:v>
      </x:c>
      <x:c r="E2340" s="11" t="n">
        <x:v>7.36</x:v>
      </x:c>
      <x:c r="F2340" s="11" t="n">
        <x:f>SQRT((C2340-C2339)^2+(D2340-D2339)^2+(E2340-E2339)^2)</x:f>
        <x:v>0.9400000000000004</x:v>
      </x:c>
      <x:c r="G2340" s="8" t="str">
        <x:v>Retired</x:v>
      </x:c>
    </x:row>
    <x:row r="2341" ht="32" customHeight="1">
      <x:c r="A2341" s="8" t="str">
        <x:v>drop:LC1:LD:light:1:L93</x:v>
      </x:c>
      <x:c r="B2341" s="8" t="n">
        <x:v>3</x:v>
      </x:c>
      <x:c r="C2341" s="11" t="n">
        <x:v>32.475</x:v>
      </x:c>
      <x:c r="D2341" s="11" t="n">
        <x:v>5</x:v>
      </x:c>
      <x:c r="E2341" s="11" t="n">
        <x:v>7.07</x:v>
      </x:c>
      <x:c r="F2341" s="11" t="n">
        <x:f>SQRT((C2341-C2340)^2+(D2341-D2340)^2+(E2341-E2340)^2)</x:f>
        <x:v>0.29000000000000004</x:v>
      </x:c>
      <x:c r="G2341" s="8" t="str">
        <x:v>Retired</x:v>
      </x:c>
    </x:row>
    <x:row r="2342" ht="32" customHeight="1">
      <x:c r="A2342" s="8" t="str">
        <x:v>drop:LC1:LD:light:1:L95</x:v>
      </x:c>
      <x:c r="B2342" s="8" t="n">
        <x:v>1</x:v>
      </x:c>
      <x:c r="C2342" s="11" t="n">
        <x:v>36.975</x:v>
      </x:c>
      <x:c r="D2342" s="11" t="n">
        <x:v>5.94</x:v>
      </x:c>
      <x:c r="E2342" s="11" t="n">
        <x:v>7.36</x:v>
      </x:c>
      <x:c r="F2342" s="11" t="n">
        <x:f>0</x:f>
        <x:v>0</x:v>
      </x:c>
      <x:c r="G2342" s="8" t="str">
        <x:v>Retired</x:v>
      </x:c>
    </x:row>
    <x:row r="2343" ht="32" customHeight="1">
      <x:c r="A2343" s="8" t="str">
        <x:v>drop:LC1:LD:light:1:L95</x:v>
      </x:c>
      <x:c r="B2343" s="8" t="n">
        <x:v>2</x:v>
      </x:c>
      <x:c r="C2343" s="11" t="n">
        <x:v>36.975</x:v>
      </x:c>
      <x:c r="D2343" s="11" t="n">
        <x:v>5</x:v>
      </x:c>
      <x:c r="E2343" s="11" t="n">
        <x:v>7.36</x:v>
      </x:c>
      <x:c r="F2343" s="11" t="n">
        <x:f>SQRT((C2343-C2342)^2+(D2343-D2342)^2+(E2343-E2342)^2)</x:f>
        <x:v>0.9400000000000004</x:v>
      </x:c>
      <x:c r="G2343" s="8" t="str">
        <x:v>Retired</x:v>
      </x:c>
    </x:row>
    <x:row r="2344" ht="32" customHeight="1">
      <x:c r="A2344" s="8" t="str">
        <x:v>drop:LC1:LD:light:1:L95</x:v>
      </x:c>
      <x:c r="B2344" s="8" t="n">
        <x:v>3</x:v>
      </x:c>
      <x:c r="C2344" s="11" t="n">
        <x:v>36.975</x:v>
      </x:c>
      <x:c r="D2344" s="11" t="n">
        <x:v>5</x:v>
      </x:c>
      <x:c r="E2344" s="11" t="n">
        <x:v>7.07</x:v>
      </x:c>
      <x:c r="F2344" s="11" t="n">
        <x:f>SQRT((C2344-C2343)^2+(D2344-D2343)^2+(E2344-E2343)^2)</x:f>
        <x:v>0.29000000000000004</x:v>
      </x:c>
      <x:c r="G2344" s="8" t="str">
        <x:v>Retired</x:v>
      </x:c>
    </x:row>
    <x:row r="2345" ht="32" customHeight="1">
      <x:c r="A2345" s="8" t="str">
        <x:v>drop:LC1:LD:light:-1:L96</x:v>
      </x:c>
      <x:c r="B2345" s="8" t="n">
        <x:v>1</x:v>
      </x:c>
      <x:c r="C2345" s="11" t="n">
        <x:v>48.5</x:v>
      </x:c>
      <x:c r="D2345" s="11" t="n">
        <x:v>5.94</x:v>
      </x:c>
      <x:c r="E2345" s="11" t="n">
        <x:v>-7.36</x:v>
      </x:c>
      <x:c r="F2345" s="11" t="n">
        <x:f>0</x:f>
        <x:v>0</x:v>
      </x:c>
      <x:c r="G2345" s="8" t="str">
        <x:v>Retired</x:v>
      </x:c>
    </x:row>
    <x:row r="2346" ht="32" customHeight="1">
      <x:c r="A2346" s="8" t="str">
        <x:v>drop:LC1:LD:light:-1:L96</x:v>
      </x:c>
      <x:c r="B2346" s="8" t="n">
        <x:v>2</x:v>
      </x:c>
      <x:c r="C2346" s="11" t="n">
        <x:v>48.5</x:v>
      </x:c>
      <x:c r="D2346" s="11" t="n">
        <x:v>5.94</x:v>
      </x:c>
      <x:c r="E2346" s="11" t="n">
        <x:v>-3.525</x:v>
      </x:c>
      <x:c r="F2346" s="11" t="n">
        <x:f>SQRT((C2346-C2345)^2+(D2346-D2345)^2+(E2346-E2345)^2)</x:f>
        <x:v>3.8350000000000004</x:v>
      </x:c>
      <x:c r="G2346" s="8" t="str">
        <x:v>Retired</x:v>
      </x:c>
    </x:row>
    <x:row r="2347" ht="32" customHeight="1">
      <x:c r="A2347" s="8" t="str">
        <x:v>drop:LC1:LD:light:-1:L96</x:v>
      </x:c>
      <x:c r="B2347" s="8" t="n">
        <x:v>3</x:v>
      </x:c>
      <x:c r="C2347" s="11" t="n">
        <x:v>46.455</x:v>
      </x:c>
      <x:c r="D2347" s="11" t="n">
        <x:v>5.94</x:v>
      </x:c>
      <x:c r="E2347" s="11" t="n">
        <x:v>-3.525</x:v>
      </x:c>
      <x:c r="F2347" s="11" t="n">
        <x:f>SQRT((C2347-C2346)^2+(D2347-D2346)^2+(E2347-E2346)^2)</x:f>
        <x:v>2.0450000000000017</x:v>
      </x:c>
      <x:c r="G2347" s="8" t="str">
        <x:v>Retired</x:v>
      </x:c>
    </x:row>
    <x:row r="2348" ht="32" customHeight="1">
      <x:c r="A2348" s="8" t="str">
        <x:v>drop:LC1:LD:light:-1:L96</x:v>
      </x:c>
      <x:c r="B2348" s="8" t="n">
        <x:v>4</x:v>
      </x:c>
      <x:c r="C2348" s="11" t="n">
        <x:v>46.455</x:v>
      </x:c>
      <x:c r="D2348" s="11" t="n">
        <x:v>4.3</x:v>
      </x:c>
      <x:c r="E2348" s="11" t="n">
        <x:v>-3.525</x:v>
      </x:c>
      <x:c r="F2348" s="11" t="n">
        <x:f>SQRT((C2348-C2347)^2+(D2348-D2347)^2+(E2348-E2347)^2)</x:f>
        <x:v>1.6400000000000006</x:v>
      </x:c>
      <x:c r="G2348" s="8" t="str">
        <x:v>Retired</x:v>
      </x:c>
    </x:row>
    <x:row r="2349" ht="32" customHeight="1">
      <x:c r="A2349" s="8" t="str">
        <x:v>drop:LC1:LD:light:-1:L96</x:v>
      </x:c>
      <x:c r="B2349" s="8" t="n">
        <x:v>5</x:v>
      </x:c>
      <x:c r="C2349" s="11" t="n">
        <x:v>46.455</x:v>
      </x:c>
      <x:c r="D2349" s="11" t="n">
        <x:v>4.3</x:v>
      </x:c>
      <x:c r="E2349" s="11" t="n">
        <x:v>-3.2399999999999998</x:v>
      </x:c>
      <x:c r="F2349" s="11" t="n">
        <x:f>SQRT((C2349-C2348)^2+(D2349-D2348)^2+(E2349-E2348)^2)</x:f>
        <x:v>0.28500000000000014</x:v>
      </x:c>
      <x:c r="G2349" s="8" t="str">
        <x:v>Retired</x:v>
      </x:c>
    </x:row>
    <x:row r="2350" ht="32" customHeight="1">
      <x:c r="A2350" s="8" t="str">
        <x:v>drop:LC1:LD:light:1:L97</x:v>
      </x:c>
      <x:c r="B2350" s="8" t="n">
        <x:v>1</x:v>
      </x:c>
      <x:c r="C2350" s="11" t="n">
        <x:v>48.5</x:v>
      </x:c>
      <x:c r="D2350" s="11" t="n">
        <x:v>5.94</x:v>
      </x:c>
      <x:c r="E2350" s="11" t="n">
        <x:v>7.36</x:v>
      </x:c>
      <x:c r="F2350" s="11" t="n">
        <x:f>0</x:f>
        <x:v>0</x:v>
      </x:c>
      <x:c r="G2350" s="8" t="str">
        <x:v>Retired</x:v>
      </x:c>
    </x:row>
    <x:row r="2351" ht="32" customHeight="1">
      <x:c r="A2351" s="8" t="str">
        <x:v>drop:LC1:LD:light:1:L97</x:v>
      </x:c>
      <x:c r="B2351" s="8" t="n">
        <x:v>2</x:v>
      </x:c>
      <x:c r="C2351" s="11" t="n">
        <x:v>48.5</x:v>
      </x:c>
      <x:c r="D2351" s="11" t="n">
        <x:v>5.94</x:v>
      </x:c>
      <x:c r="E2351" s="11" t="n">
        <x:v>3.525</x:v>
      </x:c>
      <x:c r="F2351" s="11" t="n">
        <x:f>SQRT((C2351-C2350)^2+(D2351-D2350)^2+(E2351-E2350)^2)</x:f>
        <x:v>3.8350000000000004</x:v>
      </x:c>
      <x:c r="G2351" s="8" t="str">
        <x:v>Retired</x:v>
      </x:c>
    </x:row>
    <x:row r="2352" ht="32" customHeight="1">
      <x:c r="A2352" s="8" t="str">
        <x:v>drop:LC1:LD:light:1:L97</x:v>
      </x:c>
      <x:c r="B2352" s="8" t="n">
        <x:v>3</x:v>
      </x:c>
      <x:c r="C2352" s="11" t="n">
        <x:v>46.455</x:v>
      </x:c>
      <x:c r="D2352" s="11" t="n">
        <x:v>5.94</x:v>
      </x:c>
      <x:c r="E2352" s="11" t="n">
        <x:v>3.525</x:v>
      </x:c>
      <x:c r="F2352" s="11" t="n">
        <x:f>SQRT((C2352-C2351)^2+(D2352-D2351)^2+(E2352-E2351)^2)</x:f>
        <x:v>2.0450000000000017</x:v>
      </x:c>
      <x:c r="G2352" s="8" t="str">
        <x:v>Retired</x:v>
      </x:c>
    </x:row>
    <x:row r="2353" ht="32" customHeight="1">
      <x:c r="A2353" s="8" t="str">
        <x:v>drop:LC1:LD:light:1:L97</x:v>
      </x:c>
      <x:c r="B2353" s="8" t="n">
        <x:v>4</x:v>
      </x:c>
      <x:c r="C2353" s="11" t="n">
        <x:v>46.455</x:v>
      </x:c>
      <x:c r="D2353" s="11" t="n">
        <x:v>4.3</x:v>
      </x:c>
      <x:c r="E2353" s="11" t="n">
        <x:v>3.525</x:v>
      </x:c>
      <x:c r="F2353" s="11" t="n">
        <x:f>SQRT((C2353-C2352)^2+(D2353-D2352)^2+(E2353-E2352)^2)</x:f>
        <x:v>1.6400000000000006</x:v>
      </x:c>
      <x:c r="G2353" s="8" t="str">
        <x:v>Retired</x:v>
      </x:c>
    </x:row>
    <x:row r="2354" ht="32" customHeight="1">
      <x:c r="A2354" s="8" t="str">
        <x:v>drop:LC1:LD:light:1:L97</x:v>
      </x:c>
      <x:c r="B2354" s="8" t="n">
        <x:v>5</x:v>
      </x:c>
      <x:c r="C2354" s="11" t="n">
        <x:v>46.455</x:v>
      </x:c>
      <x:c r="D2354" s="11" t="n">
        <x:v>4.3</x:v>
      </x:c>
      <x:c r="E2354" s="11" t="n">
        <x:v>3.2399999999999998</x:v>
      </x:c>
      <x:c r="F2354" s="11" t="n">
        <x:f>SQRT((C2354-C2353)^2+(D2354-D2353)^2+(E2354-E2353)^2)</x:f>
        <x:v>0.28500000000000014</x:v>
      </x:c>
      <x:c r="G2354" s="8" t="str">
        <x:v>Retired</x:v>
      </x:c>
    </x:row>
    <x:row r="2355" ht="32" customHeight="1">
      <x:c r="A2355" s="8" t="str">
        <x:v>trunk:DB2:L7:light:-1</x:v>
      </x:c>
      <x:c r="B2355" s="8" t="n">
        <x:v>1</x:v>
      </x:c>
      <x:c r="C2355" s="11" t="n">
        <x:v>2.73</x:v>
      </x:c>
      <x:c r="D2355" s="11" t="n">
        <x:v>1.5</x:v>
      </x:c>
      <x:c r="E2355" s="11" t="n">
        <x:v>-3.3</x:v>
      </x:c>
      <x:c r="F2355" s="11" t="n">
        <x:f>0</x:f>
        <x:v>0</x:v>
      </x:c>
      <x:c r="G2355" s="8" t="str">
        <x:v>Retired</x:v>
      </x:c>
    </x:row>
    <x:row r="2356" ht="32" customHeight="1">
      <x:c r="A2356" s="8" t="str">
        <x:v>trunk:DB2:L7:light:-1</x:v>
      </x:c>
      <x:c r="B2356" s="8" t="n">
        <x:v>2</x:v>
      </x:c>
      <x:c r="C2356" s="11" t="n">
        <x:v>2.35</x:v>
      </x:c>
      <x:c r="D2356" s="11" t="n">
        <x:v>1.5</x:v>
      </x:c>
      <x:c r="E2356" s="11" t="n">
        <x:v>-3.3</x:v>
      </x:c>
      <x:c r="F2356" s="11" t="n">
        <x:f>SQRT((C2356-C2355)^2+(D2356-D2355)^2+(E2356-E2355)^2)</x:f>
        <x:v>0.3799999999999999</x:v>
      </x:c>
      <x:c r="G2356" s="8" t="str">
        <x:v>Retired</x:v>
      </x:c>
    </x:row>
    <x:row r="2357" ht="32" customHeight="1">
      <x:c r="A2357" s="8" t="str">
        <x:v>trunk:DB2:L7:light:-1</x:v>
      </x:c>
      <x:c r="B2357" s="8" t="n">
        <x:v>3</x:v>
      </x:c>
      <x:c r="C2357" s="11" t="n">
        <x:v>2.35</x:v>
      </x:c>
      <x:c r="D2357" s="11" t="n">
        <x:v>7.65</x:v>
      </x:c>
      <x:c r="E2357" s="11" t="n">
        <x:v>-3.3</x:v>
      </x:c>
      <x:c r="F2357" s="11" t="n">
        <x:f>SQRT((C2357-C2356)^2+(D2357-D2356)^2+(E2357-E2356)^2)</x:f>
        <x:v>6.15</x:v>
      </x:c>
      <x:c r="G2357" s="8" t="str">
        <x:v>Retired</x:v>
      </x:c>
    </x:row>
    <x:row r="2358" ht="32" customHeight="1">
      <x:c r="A2358" s="8" t="str">
        <x:v>trunk:DB2:L7:light:-1</x:v>
      </x:c>
      <x:c r="B2358" s="8" t="n">
        <x:v>4</x:v>
      </x:c>
      <x:c r="C2358" s="11" t="n">
        <x:v>2.35</x:v>
      </x:c>
      <x:c r="D2358" s="11" t="n">
        <x:v>7.65</x:v>
      </x:c>
      <x:c r="E2358" s="11" t="n">
        <x:v>-7.36</x:v>
      </x:c>
      <x:c r="F2358" s="11" t="n">
        <x:f>SQRT((C2358-C2357)^2+(D2358-D2357)^2+(E2358-E2357)^2)</x:f>
        <x:v>4.0600000000000005</x:v>
      </x:c>
      <x:c r="G2358" s="8" t="str">
        <x:v>Retired</x:v>
      </x:c>
    </x:row>
    <x:row r="2359" ht="32" customHeight="1">
      <x:c r="A2359" s="8" t="str">
        <x:v>trunk:DB2:L7:light:-1</x:v>
      </x:c>
      <x:c r="B2359" s="8" t="n">
        <x:v>5</x:v>
      </x:c>
      <x:c r="C2359" s="11" t="n">
        <x:v>2.35</x:v>
      </x:c>
      <x:c r="D2359" s="11" t="n">
        <x:v>5.98</x:v>
      </x:c>
      <x:c r="E2359" s="11" t="n">
        <x:v>-7.36</x:v>
      </x:c>
      <x:c r="F2359" s="11" t="n">
        <x:f>SQRT((C2359-C2358)^2+(D2359-D2358)^2+(E2359-E2358)^2)</x:f>
        <x:v>1.67</x:v>
      </x:c>
      <x:c r="G2359" s="8" t="str">
        <x:v>Retired</x:v>
      </x:c>
    </x:row>
    <x:row r="2360" ht="32" customHeight="1">
      <x:c r="A2360" s="8" t="str">
        <x:v>trunk:DB2:L7:light:-1</x:v>
      </x:c>
      <x:c r="B2360" s="8" t="n">
        <x:v>6</x:v>
      </x:c>
      <x:c r="C2360" s="11" t="n">
        <x:v>5.475</x:v>
      </x:c>
      <x:c r="D2360" s="11" t="n">
        <x:v>5.98</x:v>
      </x:c>
      <x:c r="E2360" s="11" t="n">
        <x:v>-7.36</x:v>
      </x:c>
      <x:c r="F2360" s="11" t="n">
        <x:f>SQRT((C2360-C2359)^2+(D2360-D2359)^2+(E2360-E2359)^2)</x:f>
        <x:v>3.1249999999999996</x:v>
      </x:c>
      <x:c r="G2360" s="8" t="str">
        <x:v>Retired</x:v>
      </x:c>
    </x:row>
    <x:row r="2361" ht="32" customHeight="1">
      <x:c r="A2361" s="8" t="str">
        <x:v>trunk:DB2:L7:light:-1</x:v>
      </x:c>
      <x:c r="B2361" s="8" t="n">
        <x:v>7</x:v>
      </x:c>
      <x:c r="C2361" s="11" t="n">
        <x:v>36.975</x:v>
      </x:c>
      <x:c r="D2361" s="11" t="n">
        <x:v>5.98</x:v>
      </x:c>
      <x:c r="E2361" s="11" t="n">
        <x:v>-7.36</x:v>
      </x:c>
      <x:c r="F2361" s="11" t="n">
        <x:f>SQRT((C2361-C2360)^2+(D2361-D2360)^2+(E2361-E2360)^2)</x:f>
        <x:v>31.5</x:v>
      </x:c>
      <x:c r="G2361" s="8" t="str">
        <x:v>Retired</x:v>
      </x:c>
    </x:row>
    <x:row r="2362" ht="32" customHeight="1">
      <x:c r="A2362" s="8" t="str">
        <x:v>trunk:DB2:L7:light:-1</x:v>
      </x:c>
      <x:c r="B2362" s="8" t="n">
        <x:v>8</x:v>
      </x:c>
      <x:c r="C2362" s="11" t="n">
        <x:v>36.975</x:v>
      </x:c>
      <x:c r="D2362" s="11" t="n">
        <x:v>7.04</x:v>
      </x:c>
      <x:c r="E2362" s="11" t="n">
        <x:v>-7.36</x:v>
      </x:c>
      <x:c r="F2362" s="11" t="n">
        <x:f>SQRT((C2362-C2361)^2+(D2362-D2361)^2+(E2362-E2361)^2)</x:f>
        <x:v>1.0599999999999996</x:v>
      </x:c>
      <x:c r="G2362" s="8" t="str">
        <x:v>Retired</x:v>
      </x:c>
    </x:row>
    <x:row r="2363" ht="32" customHeight="1">
      <x:c r="A2363" s="8" t="str">
        <x:v>trunk:DB2:L7:light:-1</x:v>
      </x:c>
      <x:c r="B2363" s="8" t="n">
        <x:v>9</x:v>
      </x:c>
      <x:c r="C2363" s="11" t="n">
        <x:v>37.615</x:v>
      </x:c>
      <x:c r="D2363" s="11" t="n">
        <x:v>7.04</x:v>
      </x:c>
      <x:c r="E2363" s="11" t="n">
        <x:v>-7.36</x:v>
      </x:c>
      <x:c r="F2363" s="11" t="n">
        <x:f>SQRT((C2363-C2362)^2+(D2363-D2362)^2+(E2363-E2362)^2)</x:f>
        <x:v>0.6400000000000006</x:v>
      </x:c>
      <x:c r="G2363" s="8" t="str">
        <x:v>Retired</x:v>
      </x:c>
    </x:row>
    <x:row r="2364" ht="32" customHeight="1">
      <x:c r="A2364" s="8" t="str">
        <x:v>trunk:DB2:L7:light:-1</x:v>
      </x:c>
      <x:c r="B2364" s="8" t="n">
        <x:v>10</x:v>
      </x:c>
      <x:c r="C2364" s="11" t="n">
        <x:v>37.695</x:v>
      </x:c>
      <x:c r="D2364" s="11" t="n">
        <x:v>6.950412371134018</x:v>
      </x:c>
      <x:c r="E2364" s="11" t="n">
        <x:v>-7.36</x:v>
      </x:c>
      <x:c r="F2364" s="11" t="n">
        <x:f>SQRT((C2364-C2363)^2+(D2364-D2363)^2+(E2364-E2363)^2)</x:f>
        <x:v>0.12010804821421713</x:v>
      </x:c>
      <x:c r="G2364" s="8" t="str">
        <x:v>Retired</x:v>
      </x:c>
    </x:row>
    <x:row r="2365" ht="32" customHeight="1">
      <x:c r="A2365" s="8" t="str">
        <x:v>trunk:DB2:L7:light:-1</x:v>
      </x:c>
      <x:c r="B2365" s="8" t="n">
        <x:v>11</x:v>
      </x:c>
      <x:c r="C2365" s="11" t="n">
        <x:v>40.574999999999996</x:v>
      </x:c>
      <x:c r="D2365" s="11" t="n">
        <x:v>9.269999999999994</x:v>
      </x:c>
      <x:c r="E2365" s="11" t="n">
        <x:v>-7.36</x:v>
      </x:c>
      <x:c r="F2365" s="11" t="n">
        <x:f>SQRT((C2365-C2364)^2+(D2365-D2364)^2+(E2365-E2364)^2)</x:f>
        <x:v>3.697957107375376</x:v>
      </x:c>
      <x:c r="G2365" s="8" t="str">
        <x:v>Retired</x:v>
      </x:c>
    </x:row>
    <x:row r="2366" ht="32" customHeight="1">
      <x:c r="A2366" s="8" t="str">
        <x:v>trunk:DB2:L7:light:-1</x:v>
      </x:c>
      <x:c r="B2366" s="8" t="n">
        <x:v>12</x:v>
      </x:c>
      <x:c r="C2366" s="11" t="n">
        <x:v>43.455</x:v>
      </x:c>
      <x:c r="D2366" s="11" t="n">
        <x:v>6.950412371134024</x:v>
      </x:c>
      <x:c r="E2366" s="11" t="n">
        <x:v>-7.36</x:v>
      </x:c>
      <x:c r="F2366" s="11" t="n">
        <x:f>SQRT((C2366-C2365)^2+(D2366-D2365)^2+(E2366-E2365)^2)</x:f>
        <x:v>3.6979571073753776</x:v>
      </x:c>
      <x:c r="G2366" s="8" t="str">
        <x:v>Retired</x:v>
      </x:c>
    </x:row>
    <x:row r="2367" ht="32" customHeight="1">
      <x:c r="A2367" s="8" t="str">
        <x:v>trunk:DB2:L7:light:-1</x:v>
      </x:c>
      <x:c r="B2367" s="8" t="n">
        <x:v>13</x:v>
      </x:c>
      <x:c r="C2367" s="11" t="n">
        <x:v>43.535</x:v>
      </x:c>
      <x:c r="D2367" s="11" t="n">
        <x:v>7.04</x:v>
      </x:c>
      <x:c r="E2367" s="11" t="n">
        <x:v>-7.36</x:v>
      </x:c>
      <x:c r="F2367" s="11" t="n">
        <x:f>SQRT((C2367-C2366)^2+(D2367-D2366)^2+(E2367-E2366)^2)</x:f>
        <x:v>0.12010804821421249</x:v>
      </x:c>
      <x:c r="G2367" s="8" t="str">
        <x:v>Retired</x:v>
      </x:c>
    </x:row>
    <x:row r="2368" ht="32" customHeight="1">
      <x:c r="A2368" s="8" t="str">
        <x:v>trunk:DB2:L7:light:-1</x:v>
      </x:c>
      <x:c r="B2368" s="8" t="n">
        <x:v>14</x:v>
      </x:c>
      <x:c r="C2368" s="11" t="n">
        <x:v>44.175</x:v>
      </x:c>
      <x:c r="D2368" s="11" t="n">
        <x:v>7.04</x:v>
      </x:c>
      <x:c r="E2368" s="11" t="n">
        <x:v>-7.36</x:v>
      </x:c>
      <x:c r="F2368" s="11" t="n">
        <x:f>SQRT((C2368-C2367)^2+(D2368-D2367)^2+(E2368-E2367)^2)</x:f>
        <x:v>0.6400000000000006</x:v>
      </x:c>
      <x:c r="G2368" s="8" t="str">
        <x:v>Retired</x:v>
      </x:c>
    </x:row>
    <x:row r="2369" ht="32" customHeight="1">
      <x:c r="A2369" s="8" t="str">
        <x:v>trunk:DB2:L7:light:-1</x:v>
      </x:c>
      <x:c r="B2369" s="8" t="n">
        <x:v>15</x:v>
      </x:c>
      <x:c r="C2369" s="11" t="n">
        <x:v>44.175</x:v>
      </x:c>
      <x:c r="D2369" s="11" t="n">
        <x:v>5.98</x:v>
      </x:c>
      <x:c r="E2369" s="11" t="n">
        <x:v>-7.36</x:v>
      </x:c>
      <x:c r="F2369" s="11" t="n">
        <x:f>SQRT((C2369-C2368)^2+(D2369-D2368)^2+(E2369-E2368)^2)</x:f>
        <x:v>1.0599999999999996</x:v>
      </x:c>
      <x:c r="G2369" s="8" t="str">
        <x:v>Retired</x:v>
      </x:c>
    </x:row>
    <x:row r="2370" ht="32" customHeight="1">
      <x:c r="A2370" s="8" t="str">
        <x:v>trunk:DB2:L7:light:-1</x:v>
      </x:c>
      <x:c r="B2370" s="8" t="n">
        <x:v>16</x:v>
      </x:c>
      <x:c r="C2370" s="11" t="n">
        <x:v>53.016</x:v>
      </x:c>
      <x:c r="D2370" s="11" t="n">
        <x:v>5.98</x:v>
      </x:c>
      <x:c r="E2370" s="11" t="n">
        <x:v>-7.36</x:v>
      </x:c>
      <x:c r="F2370" s="11" t="n">
        <x:f>SQRT((C2370-C2369)^2+(D2370-D2369)^2+(E2370-E2369)^2)</x:f>
        <x:v>8.841000000000001</x:v>
      </x:c>
      <x:c r="G2370" s="8" t="str">
        <x:v>Retired</x:v>
      </x:c>
    </x:row>
    <x:row r="2371" ht="32" customHeight="1">
      <x:c r="A2371" s="8" t="str">
        <x:v>drop:DB2:L7:light:-1:L196</x:v>
      </x:c>
      <x:c r="B2371" s="8" t="n">
        <x:v>1</x:v>
      </x:c>
      <x:c r="C2371" s="11" t="n">
        <x:v>29.160000000000004</x:v>
      </x:c>
      <x:c r="D2371" s="11" t="n">
        <x:v>5.98</x:v>
      </x:c>
      <x:c r="E2371" s="11" t="n">
        <x:v>-7.36</x:v>
      </x:c>
      <x:c r="F2371" s="11" t="n">
        <x:f>0</x:f>
        <x:v>0</x:v>
      </x:c>
      <x:c r="G2371" s="8" t="str">
        <x:v>Retired</x:v>
      </x:c>
    </x:row>
    <x:row r="2372" ht="32" customHeight="1">
      <x:c r="A2372" s="8" t="str">
        <x:v>drop:DB2:L7:light:-1:L196</x:v>
      </x:c>
      <x:c r="B2372" s="8" t="n">
        <x:v>2</x:v>
      </x:c>
      <x:c r="C2372" s="11" t="n">
        <x:v>29.160000000000004</x:v>
      </x:c>
      <x:c r="D2372" s="11" t="n">
        <x:v>7.04</x:v>
      </x:c>
      <x:c r="E2372" s="11" t="n">
        <x:v>-7.36</x:v>
      </x:c>
      <x:c r="F2372" s="11" t="n">
        <x:f>SQRT((C2372-C2371)^2+(D2372-D2371)^2+(E2372-E2371)^2)</x:f>
        <x:v>1.0599999999999996</x:v>
      </x:c>
      <x:c r="G2372" s="8" t="str">
        <x:v>Retired</x:v>
      </x:c>
    </x:row>
    <x:row r="2373" ht="32" customHeight="1">
      <x:c r="A2373" s="8" t="str">
        <x:v>drop:DB2:L7:light:-1:L196</x:v>
      </x:c>
      <x:c r="B2373" s="8" t="n">
        <x:v>3</x:v>
      </x:c>
      <x:c r="C2373" s="11" t="n">
        <x:v>29.16</x:v>
      </x:c>
      <x:c r="D2373" s="11" t="n">
        <x:v>12.382</x:v>
      </x:c>
      <x:c r="E2373" s="11" t="n">
        <x:v>0</x:v>
      </x:c>
      <x:c r="F2373" s="11" t="n">
        <x:f>SQRT((C2373-C2372)^2+(D2373-D2372)^2+(E2373-E2372)^2)</x:f>
        <x:v>9.094314927469798</x:v>
      </x:c>
      <x:c r="G2373" s="8" t="str">
        <x:v>Retired</x:v>
      </x:c>
    </x:row>
    <x:row r="2374" ht="32" customHeight="1">
      <x:c r="A2374" s="8" t="str">
        <x:v>drop:DB2:L7:light:-1:L196</x:v>
      </x:c>
      <x:c r="B2374" s="8" t="n">
        <x:v>4</x:v>
      </x:c>
      <x:c r="C2374" s="11" t="n">
        <x:v>29.16</x:v>
      </x:c>
      <x:c r="D2374" s="11" t="n">
        <x:v>12.69</x:v>
      </x:c>
      <x:c r="E2374" s="11" t="n">
        <x:v>0</x:v>
      </x:c>
      <x:c r="F2374" s="11" t="n">
        <x:f>SQRT((C2374-C2373)^2+(D2374-D2373)^2+(E2374-E2373)^2)</x:f>
        <x:v>0.30799999999999983</x:v>
      </x:c>
      <x:c r="G2374" s="8" t="str">
        <x:v>Retired</x:v>
      </x:c>
    </x:row>
    <x:row r="2375" ht="32" customHeight="1">
      <x:c r="A2375" s="8" t="str">
        <x:v>drop:DB2:L7:light:-1:L197</x:v>
      </x:c>
      <x:c r="B2375" s="8" t="n">
        <x:v>1</x:v>
      </x:c>
      <x:c r="C2375" s="11" t="n">
        <x:v>21.35</x:v>
      </x:c>
      <x:c r="D2375" s="11" t="n">
        <x:v>5.98</x:v>
      </x:c>
      <x:c r="E2375" s="11" t="n">
        <x:v>-7.36</x:v>
      </x:c>
      <x:c r="F2375" s="11" t="n">
        <x:f>0</x:f>
        <x:v>0</x:v>
      </x:c>
      <x:c r="G2375" s="8" t="str">
        <x:v>Retired</x:v>
      </x:c>
    </x:row>
    <x:row r="2376" ht="32" customHeight="1">
      <x:c r="A2376" s="8" t="str">
        <x:v>drop:DB2:L7:light:-1:L197</x:v>
      </x:c>
      <x:c r="B2376" s="8" t="n">
        <x:v>2</x:v>
      </x:c>
      <x:c r="C2376" s="11" t="n">
        <x:v>21.35</x:v>
      </x:c>
      <x:c r="D2376" s="11" t="n">
        <x:v>7.04</x:v>
      </x:c>
      <x:c r="E2376" s="11" t="n">
        <x:v>-7.36</x:v>
      </x:c>
      <x:c r="F2376" s="11" t="n">
        <x:f>SQRT((C2376-C2375)^2+(D2376-D2375)^2+(E2376-E2375)^2)</x:f>
        <x:v>1.0599999999999996</x:v>
      </x:c>
      <x:c r="G2376" s="8" t="str">
        <x:v>Retired</x:v>
      </x:c>
    </x:row>
    <x:row r="2377" ht="32" customHeight="1">
      <x:c r="A2377" s="8" t="str">
        <x:v>drop:DB2:L7:light:-1:L197</x:v>
      </x:c>
      <x:c r="B2377" s="8" t="n">
        <x:v>3</x:v>
      </x:c>
      <x:c r="C2377" s="11" t="n">
        <x:v>21.35</x:v>
      </x:c>
      <x:c r="D2377" s="11" t="n">
        <x:v>7.083548913043479</x:v>
      </x:c>
      <x:c r="E2377" s="11" t="n">
        <x:v>-7.3</x:v>
      </x:c>
      <x:c r="F2377" s="11" t="n">
        <x:f>SQRT((C2377-C2376)^2+(D2377-D2376)^2+(E2377-E2376)^2)</x:f>
        <x:v>0.07413843690872174</x:v>
      </x:c>
      <x:c r="G2377" s="8" t="str">
        <x:v>Retired</x:v>
      </x:c>
    </x:row>
    <x:row r="2378" ht="32" customHeight="1">
      <x:c r="A2378" s="8" t="str">
        <x:v>drop:DB2:L7:light:-1:L197</x:v>
      </x:c>
      <x:c r="B2378" s="8" t="n">
        <x:v>4</x:v>
      </x:c>
      <x:c r="C2378" s="11" t="n">
        <x:v>21.35</x:v>
      </x:c>
      <x:c r="D2378" s="11" t="n">
        <x:v>7.32</x:v>
      </x:c>
      <x:c r="E2378" s="11" t="n">
        <x:v>-7.3</x:v>
      </x:c>
      <x:c r="F2378" s="11" t="n">
        <x:f>SQRT((C2378-C2377)^2+(D2378-D2377)^2+(E2378-E2377)^2)</x:f>
        <x:v>0.23645108695652173</x:v>
      </x:c>
      <x:c r="G2378" s="8" t="str">
        <x:v>Retired</x:v>
      </x:c>
    </x:row>
    <x:row r="2379" ht="32" customHeight="1">
      <x:c r="A2379" s="8" t="str">
        <x:v>drop:DB2:L7:light:-1:L198</x:v>
      </x:c>
      <x:c r="B2379" s="8" t="n">
        <x:v>1</x:v>
      </x:c>
      <x:c r="C2379" s="11" t="n">
        <x:v>48.4</x:v>
      </x:c>
      <x:c r="D2379" s="11" t="n">
        <x:v>5.98</x:v>
      </x:c>
      <x:c r="E2379" s="11" t="n">
        <x:v>-7.36</x:v>
      </x:c>
      <x:c r="F2379" s="11" t="n">
        <x:f>0</x:f>
        <x:v>0</x:v>
      </x:c>
      <x:c r="G2379" s="8" t="str">
        <x:v>Retired</x:v>
      </x:c>
    </x:row>
    <x:row r="2380" ht="32" customHeight="1">
      <x:c r="A2380" s="8" t="str">
        <x:v>drop:DB2:L7:light:-1:L198</x:v>
      </x:c>
      <x:c r="B2380" s="8" t="n">
        <x:v>2</x:v>
      </x:c>
      <x:c r="C2380" s="11" t="n">
        <x:v>48.4</x:v>
      </x:c>
      <x:c r="D2380" s="11" t="n">
        <x:v>7.04</x:v>
      </x:c>
      <x:c r="E2380" s="11" t="n">
        <x:v>-7.36</x:v>
      </x:c>
      <x:c r="F2380" s="11" t="n">
        <x:f>SQRT((C2380-C2379)^2+(D2380-D2379)^2+(E2380-E2379)^2)</x:f>
        <x:v>1.0599999999999996</x:v>
      </x:c>
      <x:c r="G2380" s="8" t="str">
        <x:v>Retired</x:v>
      </x:c>
    </x:row>
    <x:row r="2381" ht="32" customHeight="1">
      <x:c r="A2381" s="8" t="str">
        <x:v>drop:DB2:L7:light:-1:L198</x:v>
      </x:c>
      <x:c r="B2381" s="8" t="n">
        <x:v>3</x:v>
      </x:c>
      <x:c r="C2381" s="11" t="n">
        <x:v>48.4</x:v>
      </x:c>
      <x:c r="D2381" s="11" t="n">
        <x:v>7.083548913043479</x:v>
      </x:c>
      <x:c r="E2381" s="11" t="n">
        <x:v>-7.3</x:v>
      </x:c>
      <x:c r="F2381" s="11" t="n">
        <x:f>SQRT((C2381-C2380)^2+(D2381-D2380)^2+(E2381-E2380)^2)</x:f>
        <x:v>0.07413843690872174</x:v>
      </x:c>
      <x:c r="G2381" s="8" t="str">
        <x:v>Retired</x:v>
      </x:c>
    </x:row>
    <x:row r="2382" ht="32" customHeight="1">
      <x:c r="A2382" s="8" t="str">
        <x:v>drop:DB2:L7:light:-1:L198</x:v>
      </x:c>
      <x:c r="B2382" s="8" t="n">
        <x:v>4</x:v>
      </x:c>
      <x:c r="C2382" s="11" t="n">
        <x:v>48.4</x:v>
      </x:c>
      <x:c r="D2382" s="11" t="n">
        <x:v>7.32</x:v>
      </x:c>
      <x:c r="E2382" s="11" t="n">
        <x:v>-7.3</x:v>
      </x:c>
      <x:c r="F2382" s="11" t="n">
        <x:f>SQRT((C2382-C2381)^2+(D2382-D2381)^2+(E2382-E2381)^2)</x:f>
        <x:v>0.23645108695652173</x:v>
      </x:c>
      <x:c r="G2382" s="8" t="str">
        <x:v>Retired</x:v>
      </x:c>
    </x:row>
    <x:row r="2383" ht="32" customHeight="1">
      <x:c r="A2383" s="8" t="str">
        <x:v>drop:DB2:L7:light:-1:L199</x:v>
      </x:c>
      <x:c r="B2383" s="8" t="n">
        <x:v>1</x:v>
      </x:c>
      <x:c r="C2383" s="11" t="n">
        <x:v>21.35</x:v>
      </x:c>
      <x:c r="D2383" s="11" t="n">
        <x:v>5.98</x:v>
      </x:c>
      <x:c r="E2383" s="11" t="n">
        <x:v>-7.36</x:v>
      </x:c>
      <x:c r="F2383" s="11" t="n">
        <x:f>0</x:f>
        <x:v>0</x:v>
      </x:c>
      <x:c r="G2383" s="8" t="str">
        <x:v>Retired</x:v>
      </x:c>
    </x:row>
    <x:row r="2384" ht="32" customHeight="1">
      <x:c r="A2384" s="8" t="str">
        <x:v>drop:DB2:L7:light:-1:L199</x:v>
      </x:c>
      <x:c r="B2384" s="8" t="n">
        <x:v>2</x:v>
      </x:c>
      <x:c r="C2384" s="11" t="n">
        <x:v>21.35</x:v>
      </x:c>
      <x:c r="D2384" s="11" t="n">
        <x:v>7.04</x:v>
      </x:c>
      <x:c r="E2384" s="11" t="n">
        <x:v>-7.36</x:v>
      </x:c>
      <x:c r="F2384" s="11" t="n">
        <x:f>SQRT((C2384-C2383)^2+(D2384-D2383)^2+(E2384-E2383)^2)</x:f>
        <x:v>1.0599999999999996</x:v>
      </x:c>
      <x:c r="G2384" s="8" t="str">
        <x:v>Retired</x:v>
      </x:c>
    </x:row>
    <x:row r="2385" ht="32" customHeight="1">
      <x:c r="A2385" s="8" t="str">
        <x:v>drop:DB2:L7:light:-1:L199</x:v>
      </x:c>
      <x:c r="B2385" s="8" t="n">
        <x:v>3</x:v>
      </x:c>
      <x:c r="C2385" s="11" t="n">
        <x:v>21.35</x:v>
      </x:c>
      <x:c r="D2385" s="11" t="n">
        <x:v>6.932426896644658</x:v>
      </x:c>
      <x:c r="E2385" s="11" t="n">
        <x:v>-7.439024390243903</x:v>
      </x:c>
      <x:c r="F2385" s="11" t="n">
        <x:f>SQRT((C2385-C2384)^2+(D2385-D2384)^2+(E2385-E2384)^2)</x:f>
        <x:v>0.1334796869149751</x:v>
      </x:c>
      <x:c r="G2385" s="8" t="str">
        <x:v>Retired</x:v>
      </x:c>
    </x:row>
    <x:row r="2386" ht="32" customHeight="1">
      <x:c r="A2386" s="8" t="str">
        <x:v>drop:DB2:L7:light:-1:L199</x:v>
      </x:c>
      <x:c r="B2386" s="8" t="n">
        <x:v>4</x:v>
      </x:c>
      <x:c r="C2386" s="11" t="n">
        <x:v>21.35</x:v>
      </x:c>
      <x:c r="D2386" s="11" t="n">
        <x:v>6.22950276243094</x:v>
      </x:c>
      <x:c r="E2386" s="11" t="n">
        <x:v>-10.6</x:v>
      </x:c>
      <x:c r="F2386" s="11" t="n">
        <x:f>SQRT((C2386-C2385)^2+(D2386-D2385)^2+(E2386-E2385)^2)</x:f>
        <x:v>3.2381891766746786</x:v>
      </x:c>
      <x:c r="G2386" s="8" t="str">
        <x:v>Retired</x:v>
      </x:c>
    </x:row>
    <x:row r="2387" ht="32" customHeight="1">
      <x:c r="A2387" s="8" t="str">
        <x:v>drop:DB2:L7:light:-1:L199</x:v>
      </x:c>
      <x:c r="B2387" s="8" t="n">
        <x:v>5</x:v>
      </x:c>
      <x:c r="C2387" s="11" t="n">
        <x:v>21.35</x:v>
      </x:c>
      <x:c r="D2387" s="11" t="n">
        <x:v>6.47</x:v>
      </x:c>
      <x:c r="E2387" s="11" t="n">
        <x:v>-10.6</x:v>
      </x:c>
      <x:c r="F2387" s="11" t="n">
        <x:f>SQRT((C2387-C2386)^2+(D2387-D2386)^2+(E2387-E2386)^2)</x:f>
        <x:v>0.24049723756905994</x:v>
      </x:c>
      <x:c r="G2387" s="8" t="str">
        <x:v>Retired</x:v>
      </x:c>
    </x:row>
    <x:row r="2388" ht="32" customHeight="1">
      <x:c r="A2388" s="8" t="str">
        <x:v>drop:DB2:L7:light:-1:L200</x:v>
      </x:c>
      <x:c r="B2388" s="8" t="n">
        <x:v>1</x:v>
      </x:c>
      <x:c r="C2388" s="11" t="n">
        <x:v>48.4</x:v>
      </x:c>
      <x:c r="D2388" s="11" t="n">
        <x:v>5.98</x:v>
      </x:c>
      <x:c r="E2388" s="11" t="n">
        <x:v>-7.36</x:v>
      </x:c>
      <x:c r="F2388" s="11" t="n">
        <x:f>0</x:f>
        <x:v>0</x:v>
      </x:c>
      <x:c r="G2388" s="8" t="str">
        <x:v>Retired</x:v>
      </x:c>
    </x:row>
    <x:row r="2389" ht="32" customHeight="1">
      <x:c r="A2389" s="8" t="str">
        <x:v>drop:DB2:L7:light:-1:L200</x:v>
      </x:c>
      <x:c r="B2389" s="8" t="n">
        <x:v>2</x:v>
      </x:c>
      <x:c r="C2389" s="11" t="n">
        <x:v>48.4</x:v>
      </x:c>
      <x:c r="D2389" s="11" t="n">
        <x:v>7.04</x:v>
      </x:c>
      <x:c r="E2389" s="11" t="n">
        <x:v>-7.36</x:v>
      </x:c>
      <x:c r="F2389" s="11" t="n">
        <x:f>SQRT((C2389-C2388)^2+(D2389-D2388)^2+(E2389-E2388)^2)</x:f>
        <x:v>1.0599999999999996</x:v>
      </x:c>
      <x:c r="G2389" s="8" t="str">
        <x:v>Retired</x:v>
      </x:c>
    </x:row>
    <x:row r="2390" ht="32" customHeight="1">
      <x:c r="A2390" s="8" t="str">
        <x:v>drop:DB2:L7:light:-1:L200</x:v>
      </x:c>
      <x:c r="B2390" s="8" t="n">
        <x:v>3</x:v>
      </x:c>
      <x:c r="C2390" s="11" t="n">
        <x:v>48.4</x:v>
      </x:c>
      <x:c r="D2390" s="11" t="n">
        <x:v>6.932426896644658</x:v>
      </x:c>
      <x:c r="E2390" s="11" t="n">
        <x:v>-7.439024390243903</x:v>
      </x:c>
      <x:c r="F2390" s="11" t="n">
        <x:f>SQRT((C2390-C2389)^2+(D2390-D2389)^2+(E2390-E2389)^2)</x:f>
        <x:v>0.1334796869149751</x:v>
      </x:c>
      <x:c r="G2390" s="8" t="str">
        <x:v>Retired</x:v>
      </x:c>
    </x:row>
    <x:row r="2391" ht="32" customHeight="1">
      <x:c r="A2391" s="8" t="str">
        <x:v>drop:DB2:L7:light:-1:L200</x:v>
      </x:c>
      <x:c r="B2391" s="8" t="n">
        <x:v>4</x:v>
      </x:c>
      <x:c r="C2391" s="11" t="n">
        <x:v>48.4</x:v>
      </x:c>
      <x:c r="D2391" s="11" t="n">
        <x:v>6.22950276243094</x:v>
      </x:c>
      <x:c r="E2391" s="11" t="n">
        <x:v>-10.6</x:v>
      </x:c>
      <x:c r="F2391" s="11" t="n">
        <x:f>SQRT((C2391-C2390)^2+(D2391-D2390)^2+(E2391-E2390)^2)</x:f>
        <x:v>3.2381891766746786</x:v>
      </x:c>
      <x:c r="G2391" s="8" t="str">
        <x:v>Retired</x:v>
      </x:c>
    </x:row>
    <x:row r="2392" ht="32" customHeight="1">
      <x:c r="A2392" s="8" t="str">
        <x:v>drop:DB2:L7:light:-1:L200</x:v>
      </x:c>
      <x:c r="B2392" s="8" t="n">
        <x:v>5</x:v>
      </x:c>
      <x:c r="C2392" s="11" t="n">
        <x:v>48.4</x:v>
      </x:c>
      <x:c r="D2392" s="11" t="n">
        <x:v>6.47</x:v>
      </x:c>
      <x:c r="E2392" s="11" t="n">
        <x:v>-10.6</x:v>
      </x:c>
      <x:c r="F2392" s="11" t="n">
        <x:f>SQRT((C2392-C2391)^2+(D2392-D2391)^2+(E2392-E2391)^2)</x:f>
        <x:v>0.24049723756905994</x:v>
      </x:c>
      <x:c r="G2392" s="8" t="str">
        <x:v>Retired</x:v>
      </x:c>
    </x:row>
    <x:row r="2393" ht="32" customHeight="1">
      <x:c r="A2393" s="8" t="str">
        <x:v>drop:DB2:L7:light:-1:L201</x:v>
      </x:c>
      <x:c r="B2393" s="8" t="n">
        <x:v>1</x:v>
      </x:c>
      <x:c r="C2393" s="11" t="n">
        <x:v>53.016</x:v>
      </x:c>
      <x:c r="D2393" s="11" t="n">
        <x:v>5.98</x:v>
      </x:c>
      <x:c r="E2393" s="11" t="n">
        <x:v>-7.36</x:v>
      </x:c>
      <x:c r="F2393" s="11" t="n">
        <x:f>0</x:f>
        <x:v>0</x:v>
      </x:c>
      <x:c r="G2393" s="8" t="str">
        <x:v>Retired</x:v>
      </x:c>
    </x:row>
    <x:row r="2394" ht="32" customHeight="1">
      <x:c r="A2394" s="8" t="str">
        <x:v>drop:DB2:L7:light:-1:L201</x:v>
      </x:c>
      <x:c r="B2394" s="8" t="n">
        <x:v>2</x:v>
      </x:c>
      <x:c r="C2394" s="11" t="n">
        <x:v>53.016</x:v>
      </x:c>
      <x:c r="D2394" s="11" t="n">
        <x:v>5.98</x:v>
      </x:c>
      <x:c r="E2394" s="11" t="n">
        <x:v>-3.65</x:v>
      </x:c>
      <x:c r="F2394" s="11" t="n">
        <x:f>SQRT((C2394-C2393)^2+(D2394-D2393)^2+(E2394-E2393)^2)</x:f>
        <x:v>3.7100000000000004</x:v>
      </x:c>
      <x:c r="G2394" s="8" t="str">
        <x:v>Retired</x:v>
      </x:c>
    </x:row>
    <x:row r="2395" ht="32" customHeight="1">
      <x:c r="A2395" s="8" t="str">
        <x:v>drop:DB2:L7:light:-1:L201</x:v>
      </x:c>
      <x:c r="B2395" s="8" t="n">
        <x:v>3</x:v>
      </x:c>
      <x:c r="C2395" s="11" t="n">
        <x:v>53.016</x:v>
      </x:c>
      <x:c r="D2395" s="11" t="n">
        <x:v>10</x:v>
      </x:c>
      <x:c r="E2395" s="11" t="n">
        <x:v>-3.65</x:v>
      </x:c>
      <x:c r="F2395" s="11" t="n">
        <x:f>SQRT((C2395-C2394)^2+(D2395-D2394)^2+(E2395-E2394)^2)</x:f>
        <x:v>4.02</x:v>
      </x:c>
      <x:c r="G2395" s="8" t="str">
        <x:v>Retired</x:v>
      </x:c>
    </x:row>
    <x:row r="2396" ht="32" customHeight="1">
      <x:c r="A2396" s="8" t="str">
        <x:v>drop:DB2:L7:light:-1:L201</x:v>
      </x:c>
      <x:c r="B2396" s="8" t="n">
        <x:v>4</x:v>
      </x:c>
      <x:c r="C2396" s="11" t="n">
        <x:v>53.45</x:v>
      </x:c>
      <x:c r="D2396" s="11" t="n">
        <x:v>10</x:v>
      </x:c>
      <x:c r="E2396" s="11" t="n">
        <x:v>-3.65</x:v>
      </x:c>
      <x:c r="F2396" s="11" t="n">
        <x:f>SQRT((C2396-C2395)^2+(D2396-D2395)^2+(E2396-E2395)^2)</x:f>
        <x:v>0.4340000000000046</x:v>
      </x:c>
      <x:c r="G2396" s="8" t="str">
        <x:v>Retired</x:v>
      </x:c>
    </x:row>
    <x:row r="2397" ht="32" customHeight="1">
      <x:c r="A2397" s="8" t="str">
        <x:v>drop:DB2:L7:light:-1:L202</x:v>
      </x:c>
      <x:c r="B2397" s="8" t="n">
        <x:v>1</x:v>
      </x:c>
      <x:c r="C2397" s="11" t="n">
        <x:v>2.35</x:v>
      </x:c>
      <x:c r="D2397" s="11" t="n">
        <x:v>5.98</x:v>
      </x:c>
      <x:c r="E2397" s="11" t="n">
        <x:v>-7.36</x:v>
      </x:c>
      <x:c r="F2397" s="11" t="n">
        <x:f>0</x:f>
        <x:v>0</x:v>
      </x:c>
      <x:c r="G2397" s="8" t="str">
        <x:v>Retired</x:v>
      </x:c>
    </x:row>
    <x:row r="2398" ht="32" customHeight="1">
      <x:c r="A2398" s="8" t="str">
        <x:v>drop:DB2:L7:light:-1:L202</x:v>
      </x:c>
      <x:c r="B2398" s="8" t="n">
        <x:v>2</x:v>
      </x:c>
      <x:c r="C2398" s="11" t="n">
        <x:v>2.35</x:v>
      </x:c>
      <x:c r="D2398" s="11" t="n">
        <x:v>7.65</x:v>
      </x:c>
      <x:c r="E2398" s="11" t="n">
        <x:v>-7.36</x:v>
      </x:c>
      <x:c r="F2398" s="11" t="n">
        <x:f>SQRT((C2398-C2397)^2+(D2398-D2397)^2+(E2398-E2397)^2)</x:f>
        <x:v>1.67</x:v>
      </x:c>
      <x:c r="G2398" s="8" t="str">
        <x:v>Retired</x:v>
      </x:c>
    </x:row>
    <x:row r="2399" ht="32" customHeight="1">
      <x:c r="A2399" s="8" t="str">
        <x:v>drop:DB2:L7:light:-1:L202</x:v>
      </x:c>
      <x:c r="B2399" s="8" t="n">
        <x:v>3</x:v>
      </x:c>
      <x:c r="C2399" s="11" t="n">
        <x:v>2.35</x:v>
      </x:c>
      <x:c r="D2399" s="11" t="n">
        <x:v>7.65</x:v>
      </x:c>
      <x:c r="E2399" s="11" t="n">
        <x:v>-7.703</x:v>
      </x:c>
      <x:c r="F2399" s="11" t="n">
        <x:f>SQRT((C2399-C2398)^2+(D2399-D2398)^2+(E2399-E2398)^2)</x:f>
        <x:v>0.34299999999999997</x:v>
      </x:c>
      <x:c r="G2399" s="8" t="str">
        <x:v>Retired</x:v>
      </x:c>
    </x:row>
    <x:row r="2400" ht="32" customHeight="1">
      <x:c r="A2400" s="8" t="str">
        <x:v>drop:DB2:L7:light:-1:L202</x:v>
      </x:c>
      <x:c r="B2400" s="8" t="n">
        <x:v>4</x:v>
      </x:c>
      <x:c r="C2400" s="11" t="n">
        <x:v>0</x:v>
      </x:c>
      <x:c r="D2400" s="11" t="n">
        <x:v>7.65</x:v>
      </x:c>
      <x:c r="E2400" s="11" t="n">
        <x:v>-7.703</x:v>
      </x:c>
      <x:c r="F2400" s="11" t="n">
        <x:f>SQRT((C2400-C2399)^2+(D2400-D2399)^2+(E2400-E2399)^2)</x:f>
        <x:v>2.35</x:v>
      </x:c>
      <x:c r="G2400" s="8" t="str">
        <x:v>Retired</x:v>
      </x:c>
    </x:row>
    <x:row r="2401" ht="32" customHeight="1">
      <x:c r="A2401" s="8" t="str">
        <x:v>drop:DB2:L7:light:-1:L202</x:v>
      </x:c>
      <x:c r="B2401" s="8" t="n">
        <x:v>5</x:v>
      </x:c>
      <x:c r="C2401" s="11" t="n">
        <x:v>0</x:v>
      </x:c>
      <x:c r="D2401" s="11" t="n">
        <x:v>7.65</x:v>
      </x:c>
      <x:c r="E2401" s="11" t="n">
        <x:v>-7.9430000000000005</x:v>
      </x:c>
      <x:c r="F2401" s="11" t="n">
        <x:f>SQRT((C2401-C2400)^2+(D2401-D2400)^2+(E2401-E2400)^2)</x:f>
        <x:v>0.2400000000000002</x:v>
      </x:c>
      <x:c r="G2401" s="8" t="str">
        <x:v>Retired</x:v>
      </x:c>
    </x:row>
    <x:row r="2402" ht="32" customHeight="1">
      <x:c r="A2402" s="8" t="str">
        <x:v>drop:DB2:L7:light:-1:L202</x:v>
      </x:c>
      <x:c r="B2402" s="8" t="n">
        <x:v>6</x:v>
      </x:c>
      <x:c r="C2402" s="11" t="n">
        <x:v>0</x:v>
      </x:c>
      <x:c r="D2402" s="11" t="n">
        <x:v>4.195</x:v>
      </x:c>
      <x:c r="E2402" s="11" t="n">
        <x:v>-7.9430000000000005</x:v>
      </x:c>
      <x:c r="F2402" s="11" t="n">
        <x:f>SQRT((C2402-C2401)^2+(D2402-D2401)^2+(E2402-E2401)^2)</x:f>
        <x:v>3.455</x:v>
      </x:c>
      <x:c r="G2402" s="8" t="str">
        <x:v>Retired</x:v>
      </x:c>
    </x:row>
    <x:row r="2403" ht="32" customHeight="1">
      <x:c r="A2403" s="8" t="str">
        <x:v>drop:DB2:L7:light:-1:L202</x:v>
      </x:c>
      <x:c r="B2403" s="8" t="n">
        <x:v>7</x:v>
      </x:c>
      <x:c r="C2403" s="11" t="n">
        <x:v>0</x:v>
      </x:c>
      <x:c r="D2403" s="11" t="n">
        <x:v>4.195</x:v>
      </x:c>
      <x:c r="E2403" s="11" t="n">
        <x:v>-7.578</x:v>
      </x:c>
      <x:c r="F2403" s="11" t="n">
        <x:f>SQRT((C2403-C2402)^2+(D2403-D2402)^2+(E2403-E2402)^2)</x:f>
        <x:v>0.3650000000000002</x:v>
      </x:c>
      <x:c r="G2403" s="8" t="str">
        <x:v>Retired</x:v>
      </x:c>
    </x:row>
    <x:row r="2404" ht="32" customHeight="1">
      <x:c r="A2404" s="8" t="str">
        <x:v>drop:DB2:L7:light:-1:L202</x:v>
      </x:c>
      <x:c r="B2404" s="8" t="n">
        <x:v>8</x:v>
      </x:c>
      <x:c r="C2404" s="11" t="n">
        <x:v>-0.78</x:v>
      </x:c>
      <x:c r="D2404" s="11" t="n">
        <x:v>4.195</x:v>
      </x:c>
      <x:c r="E2404" s="11" t="n">
        <x:v>-7.578</x:v>
      </x:c>
      <x:c r="F2404" s="11" t="n">
        <x:f>SQRT((C2404-C2403)^2+(D2404-D2403)^2+(E2404-E2403)^2)</x:f>
        <x:v>0.78</x:v>
      </x:c>
      <x:c r="G2404" s="8" t="str">
        <x:v>Retired</x:v>
      </x:c>
    </x:row>
    <x:row r="2405" ht="32" customHeight="1">
      <x:c r="A2405" s="8" t="str">
        <x:v>drop:DB2:L7:light:-1:L203</x:v>
      </x:c>
      <x:c r="B2405" s="8" t="n">
        <x:v>1</x:v>
      </x:c>
      <x:c r="C2405" s="11" t="n">
        <x:v>2.35</x:v>
      </x:c>
      <x:c r="D2405" s="11" t="n">
        <x:v>5.98</x:v>
      </x:c>
      <x:c r="E2405" s="11" t="n">
        <x:v>-7.36</x:v>
      </x:c>
      <x:c r="F2405" s="11" t="n">
        <x:f>0</x:f>
        <x:v>0</x:v>
      </x:c>
      <x:c r="G2405" s="8" t="str">
        <x:v>Retired</x:v>
      </x:c>
    </x:row>
    <x:row r="2406" ht="32" customHeight="1">
      <x:c r="A2406" s="8" t="str">
        <x:v>drop:DB2:L7:light:-1:L203</x:v>
      </x:c>
      <x:c r="B2406" s="8" t="n">
        <x:v>2</x:v>
      </x:c>
      <x:c r="C2406" s="11" t="n">
        <x:v>2.35</x:v>
      </x:c>
      <x:c r="D2406" s="11" t="n">
        <x:v>7.65</x:v>
      </x:c>
      <x:c r="E2406" s="11" t="n">
        <x:v>-7.36</x:v>
      </x:c>
      <x:c r="F2406" s="11" t="n">
        <x:f>SQRT((C2406-C2405)^2+(D2406-D2405)^2+(E2406-E2405)^2)</x:f>
        <x:v>1.67</x:v>
      </x:c>
      <x:c r="G2406" s="8" t="str">
        <x:v>Retired</x:v>
      </x:c>
    </x:row>
    <x:row r="2407" ht="32" customHeight="1">
      <x:c r="A2407" s="8" t="str">
        <x:v>drop:DB2:L7:light:-1:L203</x:v>
      </x:c>
      <x:c r="B2407" s="8" t="n">
        <x:v>3</x:v>
      </x:c>
      <x:c r="C2407" s="11" t="n">
        <x:v>2.35</x:v>
      </x:c>
      <x:c r="D2407" s="11" t="n">
        <x:v>7.65</x:v>
      </x:c>
      <x:c r="E2407" s="11" t="n">
        <x:v>-7.703</x:v>
      </x:c>
      <x:c r="F2407" s="11" t="n">
        <x:f>SQRT((C2407-C2406)^2+(D2407-D2406)^2+(E2407-E2406)^2)</x:f>
        <x:v>0.34299999999999997</x:v>
      </x:c>
      <x:c r="G2407" s="8" t="str">
        <x:v>Retired</x:v>
      </x:c>
    </x:row>
    <x:row r="2408" ht="32" customHeight="1">
      <x:c r="A2408" s="8" t="str">
        <x:v>drop:DB2:L7:light:-1:L203</x:v>
      </x:c>
      <x:c r="B2408" s="8" t="n">
        <x:v>4</x:v>
      </x:c>
      <x:c r="C2408" s="11" t="n">
        <x:v>0</x:v>
      </x:c>
      <x:c r="D2408" s="11" t="n">
        <x:v>7.65</x:v>
      </x:c>
      <x:c r="E2408" s="11" t="n">
        <x:v>-7.703</x:v>
      </x:c>
      <x:c r="F2408" s="11" t="n">
        <x:f>SQRT((C2408-C2407)^2+(D2408-D2407)^2+(E2408-E2407)^2)</x:f>
        <x:v>2.35</x:v>
      </x:c>
      <x:c r="G2408" s="8" t="str">
        <x:v>Retired</x:v>
      </x:c>
    </x:row>
    <x:row r="2409" ht="32" customHeight="1">
      <x:c r="A2409" s="8" t="str">
        <x:v>drop:DB2:L7:light:-1:L203</x:v>
      </x:c>
      <x:c r="B2409" s="8" t="n">
        <x:v>5</x:v>
      </x:c>
      <x:c r="C2409" s="11" t="n">
        <x:v>0</x:v>
      </x:c>
      <x:c r="D2409" s="11" t="n">
        <x:v>7.65</x:v>
      </x:c>
      <x:c r="E2409" s="11" t="n">
        <x:v>-12.363</x:v>
      </x:c>
      <x:c r="F2409" s="11" t="n">
        <x:f>SQRT((C2409-C2408)^2+(D2409-D2408)^2+(E2409-E2408)^2)</x:f>
        <x:v>4.659999999999999</x:v>
      </x:c>
      <x:c r="G2409" s="8" t="str">
        <x:v>Retired</x:v>
      </x:c>
    </x:row>
    <x:row r="2410" ht="32" customHeight="1">
      <x:c r="A2410" s="8" t="str">
        <x:v>drop:DB2:L7:light:-1:L203</x:v>
      </x:c>
      <x:c r="B2410" s="8" t="n">
        <x:v>6</x:v>
      </x:c>
      <x:c r="C2410" s="11" t="n">
        <x:v>0</x:v>
      </x:c>
      <x:c r="D2410" s="11" t="n">
        <x:v>4.195</x:v>
      </x:c>
      <x:c r="E2410" s="11" t="n">
        <x:v>-12.363</x:v>
      </x:c>
      <x:c r="F2410" s="11" t="n">
        <x:f>SQRT((C2410-C2409)^2+(D2410-D2409)^2+(E2410-E2409)^2)</x:f>
        <x:v>3.455</x:v>
      </x:c>
      <x:c r="G2410" s="8" t="str">
        <x:v>Retired</x:v>
      </x:c>
    </x:row>
    <x:row r="2411" ht="32" customHeight="1">
      <x:c r="A2411" s="8" t="str">
        <x:v>drop:DB2:L7:light:-1:L203</x:v>
      </x:c>
      <x:c r="B2411" s="8" t="n">
        <x:v>7</x:v>
      </x:c>
      <x:c r="C2411" s="11" t="n">
        <x:v>0</x:v>
      </x:c>
      <x:c r="D2411" s="11" t="n">
        <x:v>4.195</x:v>
      </x:c>
      <x:c r="E2411" s="11" t="n">
        <x:v>-12.728000000000002</x:v>
      </x:c>
      <x:c r="F2411" s="11" t="n">
        <x:f>SQRT((C2411-C2410)^2+(D2411-D2410)^2+(E2411-E2410)^2)</x:f>
        <x:v>0.365000000000002</x:v>
      </x:c>
      <x:c r="G2411" s="8" t="str">
        <x:v>Retired</x:v>
      </x:c>
    </x:row>
    <x:row r="2412" ht="32" customHeight="1">
      <x:c r="A2412" s="8" t="str">
        <x:v>drop:DB2:L7:light:-1:L203</x:v>
      </x:c>
      <x:c r="B2412" s="8" t="n">
        <x:v>8</x:v>
      </x:c>
      <x:c r="C2412" s="11" t="n">
        <x:v>-0.78</x:v>
      </x:c>
      <x:c r="D2412" s="11" t="n">
        <x:v>4.195</x:v>
      </x:c>
      <x:c r="E2412" s="11" t="n">
        <x:v>-12.728000000000002</x:v>
      </x:c>
      <x:c r="F2412" s="11" t="n">
        <x:f>SQRT((C2412-C2411)^2+(D2412-D2411)^2+(E2412-E2411)^2)</x:f>
        <x:v>0.78</x:v>
      </x:c>
      <x:c r="G2412" s="8" t="str">
        <x:v>Retired</x:v>
      </x:c>
    </x:row>
    <x:row r="2413" ht="32" customHeight="1">
      <x:c r="A2413" s="8" t="str">
        <x:v>drop:DB2:L7:light:-1:L204</x:v>
      </x:c>
      <x:c r="B2413" s="8" t="n">
        <x:v>1</x:v>
      </x:c>
      <x:c r="C2413" s="11" t="n">
        <x:v>2.35</x:v>
      </x:c>
      <x:c r="D2413" s="11" t="n">
        <x:v>5.98</x:v>
      </x:c>
      <x:c r="E2413" s="11" t="n">
        <x:v>-7.36</x:v>
      </x:c>
      <x:c r="F2413" s="11" t="n">
        <x:f>0</x:f>
        <x:v>0</x:v>
      </x:c>
      <x:c r="G2413" s="8" t="str">
        <x:v>Retired</x:v>
      </x:c>
    </x:row>
    <x:row r="2414" ht="32" customHeight="1">
      <x:c r="A2414" s="8" t="str">
        <x:v>drop:DB2:L7:light:-1:L204</x:v>
      </x:c>
      <x:c r="B2414" s="8" t="n">
        <x:v>2</x:v>
      </x:c>
      <x:c r="C2414" s="11" t="n">
        <x:v>2.35</x:v>
      </x:c>
      <x:c r="D2414" s="11" t="n">
        <x:v>7.65</x:v>
      </x:c>
      <x:c r="E2414" s="11" t="n">
        <x:v>-7.36</x:v>
      </x:c>
      <x:c r="F2414" s="11" t="n">
        <x:f>SQRT((C2414-C2413)^2+(D2414-D2413)^2+(E2414-E2413)^2)</x:f>
        <x:v>1.67</x:v>
      </x:c>
      <x:c r="G2414" s="8" t="str">
        <x:v>Retired</x:v>
      </x:c>
    </x:row>
    <x:row r="2415" ht="32" customHeight="1">
      <x:c r="A2415" s="8" t="str">
        <x:v>drop:DB2:L7:light:-1:L204</x:v>
      </x:c>
      <x:c r="B2415" s="8" t="n">
        <x:v>3</x:v>
      </x:c>
      <x:c r="C2415" s="11" t="n">
        <x:v>2.35</x:v>
      </x:c>
      <x:c r="D2415" s="11" t="n">
        <x:v>7.65</x:v>
      </x:c>
      <x:c r="E2415" s="11" t="n">
        <x:v>-7.703</x:v>
      </x:c>
      <x:c r="F2415" s="11" t="n">
        <x:f>SQRT((C2415-C2414)^2+(D2415-D2414)^2+(E2415-E2414)^2)</x:f>
        <x:v>0.34299999999999997</x:v>
      </x:c>
      <x:c r="G2415" s="8" t="str">
        <x:v>Retired</x:v>
      </x:c>
    </x:row>
    <x:row r="2416" ht="32" customHeight="1">
      <x:c r="A2416" s="8" t="str">
        <x:v>drop:DB2:L7:light:-1:L204</x:v>
      </x:c>
      <x:c r="B2416" s="8" t="n">
        <x:v>4</x:v>
      </x:c>
      <x:c r="C2416" s="11" t="n">
        <x:v>0</x:v>
      </x:c>
      <x:c r="D2416" s="11" t="n">
        <x:v>7.65</x:v>
      </x:c>
      <x:c r="E2416" s="11" t="n">
        <x:v>-7.703</x:v>
      </x:c>
      <x:c r="F2416" s="11" t="n">
        <x:f>SQRT((C2416-C2415)^2+(D2416-D2415)^2+(E2416-E2415)^2)</x:f>
        <x:v>2.35</x:v>
      </x:c>
      <x:c r="G2416" s="8" t="str">
        <x:v>Retired</x:v>
      </x:c>
    </x:row>
    <x:row r="2417" ht="32" customHeight="1">
      <x:c r="A2417" s="8" t="str">
        <x:v>drop:DB2:L7:light:-1:L204</x:v>
      </x:c>
      <x:c r="B2417" s="8" t="n">
        <x:v>5</x:v>
      </x:c>
      <x:c r="C2417" s="11" t="n">
        <x:v>0</x:v>
      </x:c>
      <x:c r="D2417" s="11" t="n">
        <x:v>7.65</x:v>
      </x:c>
      <x:c r="E2417" s="11" t="n">
        <x:v>-7.9430000000000005</x:v>
      </x:c>
      <x:c r="F2417" s="11" t="n">
        <x:f>SQRT((C2417-C2416)^2+(D2417-D2416)^2+(E2417-E2416)^2)</x:f>
        <x:v>0.2400000000000002</x:v>
      </x:c>
      <x:c r="G2417" s="8" t="str">
        <x:v>Retired</x:v>
      </x:c>
    </x:row>
    <x:row r="2418" ht="32" customHeight="1">
      <x:c r="A2418" s="8" t="str">
        <x:v>drop:DB2:L7:light:-1:L204</x:v>
      </x:c>
      <x:c r="B2418" s="8" t="n">
        <x:v>6</x:v>
      </x:c>
      <x:c r="C2418" s="11" t="n">
        <x:v>0</x:v>
      </x:c>
      <x:c r="D2418" s="11" t="n">
        <x:v>8.4</x:v>
      </x:c>
      <x:c r="E2418" s="11" t="n">
        <x:v>-7.9430000000000005</x:v>
      </x:c>
      <x:c r="F2418" s="11" t="n">
        <x:f>SQRT((C2418-C2417)^2+(D2418-D2417)^2+(E2418-E2417)^2)</x:f>
        <x:v>0.75</x:v>
      </x:c>
      <x:c r="G2418" s="8" t="str">
        <x:v>Retired</x:v>
      </x:c>
    </x:row>
    <x:row r="2419" ht="32" customHeight="1">
      <x:c r="A2419" s="8" t="str">
        <x:v>drop:DB2:L7:light:-1:L204</x:v>
      </x:c>
      <x:c r="B2419" s="8" t="n">
        <x:v>7</x:v>
      </x:c>
      <x:c r="C2419" s="11" t="n">
        <x:v>0.09</x:v>
      </x:c>
      <x:c r="D2419" s="11" t="n">
        <x:v>8.4</x:v>
      </x:c>
      <x:c r="E2419" s="11" t="n">
        <x:v>-7.9430000000000005</x:v>
      </x:c>
      <x:c r="F2419" s="11" t="n">
        <x:f>SQRT((C2419-C2418)^2+(D2419-D2418)^2+(E2419-E2418)^2)</x:f>
        <x:v>0.09</x:v>
      </x:c>
      <x:c r="G2419" s="8" t="str">
        <x:v>Retired</x:v>
      </x:c>
    </x:row>
    <x:row r="2420" ht="32" customHeight="1">
      <x:c r="A2420" s="8" t="str">
        <x:v>drop:DB2:L7:light:-1:L204</x:v>
      </x:c>
      <x:c r="B2420" s="8" t="n">
        <x:v>8</x:v>
      </x:c>
      <x:c r="C2420" s="11" t="n">
        <x:v>0.09</x:v>
      </x:c>
      <x:c r="D2420" s="11" t="n">
        <x:v>8.4</x:v>
      </x:c>
      <x:c r="E2420" s="11" t="n">
        <x:v>-8.068000000000001</x:v>
      </x:c>
      <x:c r="F2420" s="11" t="n">
        <x:f>SQRT((C2420-C2419)^2+(D2420-D2419)^2+(E2420-E2419)^2)</x:f>
        <x:v>0.1250000000000009</x:v>
      </x:c>
      <x:c r="G2420" s="8" t="str">
        <x:v>Retired</x:v>
      </x:c>
    </x:row>
    <x:row r="2421" ht="32" customHeight="1">
      <x:c r="A2421" s="8" t="str">
        <x:v>drop:DB2:L7:light:-1:L204</x:v>
      </x:c>
      <x:c r="B2421" s="8" t="n">
        <x:v>9</x:v>
      </x:c>
      <x:c r="C2421" s="11" t="n">
        <x:v>0.09</x:v>
      </x:c>
      <x:c r="D2421" s="11" t="n">
        <x:v>12.115</x:v>
      </x:c>
      <x:c r="E2421" s="11" t="n">
        <x:v>-8.068000000000001</x:v>
      </x:c>
      <x:c r="F2421" s="11" t="n">
        <x:f>SQRT((C2421-C2420)^2+(D2421-D2420)^2+(E2421-E2420)^2)</x:f>
        <x:v>3.715</x:v>
      </x:c>
      <x:c r="G2421" s="8" t="str">
        <x:v>Retired</x:v>
      </x:c>
    </x:row>
    <x:row r="2422" ht="32" customHeight="1">
      <x:c r="A2422" s="8" t="str">
        <x:v>drop:DB2:L7:light:-1:L204</x:v>
      </x:c>
      <x:c r="B2422" s="8" t="n">
        <x:v>10</x:v>
      </x:c>
      <x:c r="C2422" s="11" t="n">
        <x:v>0.09</x:v>
      </x:c>
      <x:c r="D2422" s="11" t="n">
        <x:v>12.115</x:v>
      </x:c>
      <x:c r="E2422" s="11" t="n">
        <x:v>-7.728000000000001</x:v>
      </x:c>
      <x:c r="F2422" s="11" t="n">
        <x:f>SQRT((C2422-C2421)^2+(D2422-D2421)^2+(E2422-E2421)^2)</x:f>
        <x:v>0.34000000000000075</x:v>
      </x:c>
      <x:c r="G2422" s="8" t="str">
        <x:v>Retired</x:v>
      </x:c>
    </x:row>
    <x:row r="2423" ht="32" customHeight="1">
      <x:c r="A2423" s="8" t="str">
        <x:v>drop:DB2:L7:light:-1:L204</x:v>
      </x:c>
      <x:c r="B2423" s="8" t="n">
        <x:v>11</x:v>
      </x:c>
      <x:c r="C2423" s="11" t="n">
        <x:v>-0.4199999999999997</x:v>
      </x:c>
      <x:c r="D2423" s="11" t="n">
        <x:v>12.115</x:v>
      </x:c>
      <x:c r="E2423" s="11" t="n">
        <x:v>-7.728000000000001</x:v>
      </x:c>
      <x:c r="F2423" s="11" t="n">
        <x:f>SQRT((C2423-C2422)^2+(D2423-D2422)^2+(E2423-E2422)^2)</x:f>
        <x:v>0.5099999999999997</x:v>
      </x:c>
      <x:c r="G2423" s="8" t="str">
        <x:v>Retired</x:v>
      </x:c>
    </x:row>
    <x:row r="2424" ht="32" customHeight="1">
      <x:c r="A2424" s="8" t="str">
        <x:v>drop:DB2:L7:light:-1:L205</x:v>
      </x:c>
      <x:c r="B2424" s="8" t="n">
        <x:v>1</x:v>
      </x:c>
      <x:c r="C2424" s="11" t="n">
        <x:v>2.35</x:v>
      </x:c>
      <x:c r="D2424" s="11" t="n">
        <x:v>5.98</x:v>
      </x:c>
      <x:c r="E2424" s="11" t="n">
        <x:v>-7.36</x:v>
      </x:c>
      <x:c r="F2424" s="11" t="n">
        <x:f>0</x:f>
        <x:v>0</x:v>
      </x:c>
      <x:c r="G2424" s="8" t="str">
        <x:v>Retired</x:v>
      </x:c>
    </x:row>
    <x:row r="2425" ht="32" customHeight="1">
      <x:c r="A2425" s="8" t="str">
        <x:v>drop:DB2:L7:light:-1:L205</x:v>
      </x:c>
      <x:c r="B2425" s="8" t="n">
        <x:v>2</x:v>
      </x:c>
      <x:c r="C2425" s="11" t="n">
        <x:v>2.35</x:v>
      </x:c>
      <x:c r="D2425" s="11" t="n">
        <x:v>7.65</x:v>
      </x:c>
      <x:c r="E2425" s="11" t="n">
        <x:v>-7.36</x:v>
      </x:c>
      <x:c r="F2425" s="11" t="n">
        <x:f>SQRT((C2425-C2424)^2+(D2425-D2424)^2+(E2425-E2424)^2)</x:f>
        <x:v>1.67</x:v>
      </x:c>
      <x:c r="G2425" s="8" t="str">
        <x:v>Retired</x:v>
      </x:c>
    </x:row>
    <x:row r="2426" ht="32" customHeight="1">
      <x:c r="A2426" s="8" t="str">
        <x:v>drop:DB2:L7:light:-1:L205</x:v>
      </x:c>
      <x:c r="B2426" s="8" t="n">
        <x:v>3</x:v>
      </x:c>
      <x:c r="C2426" s="11" t="n">
        <x:v>2.35</x:v>
      </x:c>
      <x:c r="D2426" s="11" t="n">
        <x:v>7.65</x:v>
      </x:c>
      <x:c r="E2426" s="11" t="n">
        <x:v>-7.703</x:v>
      </x:c>
      <x:c r="F2426" s="11" t="n">
        <x:f>SQRT((C2426-C2425)^2+(D2426-D2425)^2+(E2426-E2425)^2)</x:f>
        <x:v>0.34299999999999997</x:v>
      </x:c>
      <x:c r="G2426" s="8" t="str">
        <x:v>Retired</x:v>
      </x:c>
    </x:row>
    <x:row r="2427" ht="32" customHeight="1">
      <x:c r="A2427" s="8" t="str">
        <x:v>drop:DB2:L7:light:-1:L205</x:v>
      </x:c>
      <x:c r="B2427" s="8" t="n">
        <x:v>4</x:v>
      </x:c>
      <x:c r="C2427" s="11" t="n">
        <x:v>0</x:v>
      </x:c>
      <x:c r="D2427" s="11" t="n">
        <x:v>7.65</x:v>
      </x:c>
      <x:c r="E2427" s="11" t="n">
        <x:v>-7.703</x:v>
      </x:c>
      <x:c r="F2427" s="11" t="n">
        <x:f>SQRT((C2427-C2426)^2+(D2427-D2426)^2+(E2427-E2426)^2)</x:f>
        <x:v>2.35</x:v>
      </x:c>
      <x:c r="G2427" s="8" t="str">
        <x:v>Retired</x:v>
      </x:c>
    </x:row>
    <x:row r="2428" ht="32" customHeight="1">
      <x:c r="A2428" s="8" t="str">
        <x:v>drop:DB2:L7:light:-1:L205</x:v>
      </x:c>
      <x:c r="B2428" s="8" t="n">
        <x:v>5</x:v>
      </x:c>
      <x:c r="C2428" s="11" t="n">
        <x:v>0</x:v>
      </x:c>
      <x:c r="D2428" s="11" t="n">
        <x:v>7.65</x:v>
      </x:c>
      <x:c r="E2428" s="11" t="n">
        <x:v>-12.363</x:v>
      </x:c>
      <x:c r="F2428" s="11" t="n">
        <x:f>SQRT((C2428-C2427)^2+(D2428-D2427)^2+(E2428-E2427)^2)</x:f>
        <x:v>4.659999999999999</x:v>
      </x:c>
      <x:c r="G2428" s="8" t="str">
        <x:v>Retired</x:v>
      </x:c>
    </x:row>
    <x:row r="2429" ht="32" customHeight="1">
      <x:c r="A2429" s="8" t="str">
        <x:v>drop:DB2:L7:light:-1:L205</x:v>
      </x:c>
      <x:c r="B2429" s="8" t="n">
        <x:v>6</x:v>
      </x:c>
      <x:c r="C2429" s="11" t="n">
        <x:v>0</x:v>
      </x:c>
      <x:c r="D2429" s="11" t="n">
        <x:v>8.4</x:v>
      </x:c>
      <x:c r="E2429" s="11" t="n">
        <x:v>-12.363</x:v>
      </x:c>
      <x:c r="F2429" s="11" t="n">
        <x:f>SQRT((C2429-C2428)^2+(D2429-D2428)^2+(E2429-E2428)^2)</x:f>
        <x:v>0.75</x:v>
      </x:c>
      <x:c r="G2429" s="8" t="str">
        <x:v>Retired</x:v>
      </x:c>
    </x:row>
    <x:row r="2430" ht="32" customHeight="1">
      <x:c r="A2430" s="8" t="str">
        <x:v>drop:DB2:L7:light:-1:L205</x:v>
      </x:c>
      <x:c r="B2430" s="8" t="n">
        <x:v>7</x:v>
      </x:c>
      <x:c r="C2430" s="11" t="n">
        <x:v>0.09</x:v>
      </x:c>
      <x:c r="D2430" s="11" t="n">
        <x:v>8.4</x:v>
      </x:c>
      <x:c r="E2430" s="11" t="n">
        <x:v>-12.363</x:v>
      </x:c>
      <x:c r="F2430" s="11" t="n">
        <x:f>SQRT((C2430-C2429)^2+(D2430-D2429)^2+(E2430-E2429)^2)</x:f>
        <x:v>0.09</x:v>
      </x:c>
      <x:c r="G2430" s="8" t="str">
        <x:v>Retired</x:v>
      </x:c>
    </x:row>
    <x:row r="2431" ht="32" customHeight="1">
      <x:c r="A2431" s="8" t="str">
        <x:v>drop:DB2:L7:light:-1:L205</x:v>
      </x:c>
      <x:c r="B2431" s="8" t="n">
        <x:v>8</x:v>
      </x:c>
      <x:c r="C2431" s="11" t="n">
        <x:v>0.09</x:v>
      </x:c>
      <x:c r="D2431" s="11" t="n">
        <x:v>8.4</x:v>
      </x:c>
      <x:c r="E2431" s="11" t="n">
        <x:v>-12.238</x:v>
      </x:c>
      <x:c r="F2431" s="11" t="n">
        <x:f>SQRT((C2431-C2430)^2+(D2431-D2430)^2+(E2431-E2430)^2)</x:f>
        <x:v>0.125</x:v>
      </x:c>
      <x:c r="G2431" s="8" t="str">
        <x:v>Retired</x:v>
      </x:c>
    </x:row>
    <x:row r="2432" ht="32" customHeight="1">
      <x:c r="A2432" s="8" t="str">
        <x:v>drop:DB2:L7:light:-1:L205</x:v>
      </x:c>
      <x:c r="B2432" s="8" t="n">
        <x:v>9</x:v>
      </x:c>
      <x:c r="C2432" s="11" t="n">
        <x:v>0.09</x:v>
      </x:c>
      <x:c r="D2432" s="11" t="n">
        <x:v>12.115</x:v>
      </x:c>
      <x:c r="E2432" s="11" t="n">
        <x:v>-12.238</x:v>
      </x:c>
      <x:c r="F2432" s="11" t="n">
        <x:f>SQRT((C2432-C2431)^2+(D2432-D2431)^2+(E2432-E2431)^2)</x:f>
        <x:v>3.715</x:v>
      </x:c>
      <x:c r="G2432" s="8" t="str">
        <x:v>Retired</x:v>
      </x:c>
    </x:row>
    <x:row r="2433" ht="32" customHeight="1">
      <x:c r="A2433" s="8" t="str">
        <x:v>drop:DB2:L7:light:-1:L205</x:v>
      </x:c>
      <x:c r="B2433" s="8" t="n">
        <x:v>10</x:v>
      </x:c>
      <x:c r="C2433" s="11" t="n">
        <x:v>0.09</x:v>
      </x:c>
      <x:c r="D2433" s="11" t="n">
        <x:v>12.115</x:v>
      </x:c>
      <x:c r="E2433" s="11" t="n">
        <x:v>-12.578</x:v>
      </x:c>
      <x:c r="F2433" s="11" t="n">
        <x:f>SQRT((C2433-C2432)^2+(D2433-D2432)^2+(E2433-E2432)^2)</x:f>
        <x:v>0.33999999999999986</x:v>
      </x:c>
      <x:c r="G2433" s="8" t="str">
        <x:v>Retired</x:v>
      </x:c>
    </x:row>
    <x:row r="2434" ht="32" customHeight="1">
      <x:c r="A2434" s="8" t="str">
        <x:v>drop:DB2:L7:light:-1:L205</x:v>
      </x:c>
      <x:c r="B2434" s="8" t="n">
        <x:v>11</x:v>
      </x:c>
      <x:c r="C2434" s="11" t="n">
        <x:v>-0.4199999999999997</x:v>
      </x:c>
      <x:c r="D2434" s="11" t="n">
        <x:v>12.115</x:v>
      </x:c>
      <x:c r="E2434" s="11" t="n">
        <x:v>-12.578</x:v>
      </x:c>
      <x:c r="F2434" s="11" t="n">
        <x:f>SQRT((C2434-C2433)^2+(D2434-D2433)^2+(E2434-E2433)^2)</x:f>
        <x:v>0.5099999999999997</x:v>
      </x:c>
      <x:c r="G2434" s="8" t="str">
        <x:v>Retired</x:v>
      </x:c>
    </x:row>
    <x:row r="2435" ht="32" customHeight="1">
      <x:c r="A2435" s="8" t="str">
        <x:v>drop:DB2:L7:light:-1:L206</x:v>
      </x:c>
      <x:c r="B2435" s="8" t="n">
        <x:v>1</x:v>
      </x:c>
      <x:c r="C2435" s="11" t="n">
        <x:v>2.35</x:v>
      </x:c>
      <x:c r="D2435" s="11" t="n">
        <x:v>5.98</x:v>
      </x:c>
      <x:c r="E2435" s="11" t="n">
        <x:v>-7.36</x:v>
      </x:c>
      <x:c r="F2435" s="11" t="n">
        <x:f>0</x:f>
        <x:v>0</x:v>
      </x:c>
      <x:c r="G2435" s="8" t="str">
        <x:v>Retired</x:v>
      </x:c>
    </x:row>
    <x:row r="2436" ht="32" customHeight="1">
      <x:c r="A2436" s="8" t="str">
        <x:v>drop:DB2:L7:light:-1:L206</x:v>
      </x:c>
      <x:c r="B2436" s="8" t="n">
        <x:v>2</x:v>
      </x:c>
      <x:c r="C2436" s="11" t="n">
        <x:v>2.35</x:v>
      </x:c>
      <x:c r="D2436" s="11" t="n">
        <x:v>7.65</x:v>
      </x:c>
      <x:c r="E2436" s="11" t="n">
        <x:v>-7.36</x:v>
      </x:c>
      <x:c r="F2436" s="11" t="n">
        <x:f>SQRT((C2436-C2435)^2+(D2436-D2435)^2+(E2436-E2435)^2)</x:f>
        <x:v>1.67</x:v>
      </x:c>
      <x:c r="G2436" s="8" t="str">
        <x:v>Retired</x:v>
      </x:c>
    </x:row>
    <x:row r="2437" ht="32" customHeight="1">
      <x:c r="A2437" s="8" t="str">
        <x:v>drop:DB2:L7:light:-1:L206</x:v>
      </x:c>
      <x:c r="B2437" s="8" t="n">
        <x:v>3</x:v>
      </x:c>
      <x:c r="C2437" s="11" t="n">
        <x:v>2.35</x:v>
      </x:c>
      <x:c r="D2437" s="11" t="n">
        <x:v>7.65</x:v>
      </x:c>
      <x:c r="E2437" s="11" t="n">
        <x:v>-7.703</x:v>
      </x:c>
      <x:c r="F2437" s="11" t="n">
        <x:f>SQRT((C2437-C2436)^2+(D2437-D2436)^2+(E2437-E2436)^2)</x:f>
        <x:v>0.34299999999999997</x:v>
      </x:c>
      <x:c r="G2437" s="8" t="str">
        <x:v>Retired</x:v>
      </x:c>
    </x:row>
    <x:row r="2438" ht="32" customHeight="1">
      <x:c r="A2438" s="8" t="str">
        <x:v>drop:DB2:L7:light:-1:L206</x:v>
      </x:c>
      <x:c r="B2438" s="8" t="n">
        <x:v>4</x:v>
      </x:c>
      <x:c r="C2438" s="11" t="n">
        <x:v>0</x:v>
      </x:c>
      <x:c r="D2438" s="11" t="n">
        <x:v>7.65</x:v>
      </x:c>
      <x:c r="E2438" s="11" t="n">
        <x:v>-7.703</x:v>
      </x:c>
      <x:c r="F2438" s="11" t="n">
        <x:f>SQRT((C2438-C2437)^2+(D2438-D2437)^2+(E2438-E2437)^2)</x:f>
        <x:v>2.35</x:v>
      </x:c>
      <x:c r="G2438" s="8" t="str">
        <x:v>Retired</x:v>
      </x:c>
    </x:row>
    <x:row r="2439" ht="32" customHeight="1">
      <x:c r="A2439" s="8" t="str">
        <x:v>drop:DB2:L7:light:-1:L206</x:v>
      </x:c>
      <x:c r="B2439" s="8" t="n">
        <x:v>5</x:v>
      </x:c>
      <x:c r="C2439" s="11" t="n">
        <x:v>0</x:v>
      </x:c>
      <x:c r="D2439" s="11" t="n">
        <x:v>7.65</x:v>
      </x:c>
      <x:c r="E2439" s="11" t="n">
        <x:v>-7.9430000000000005</x:v>
      </x:c>
      <x:c r="F2439" s="11" t="n">
        <x:f>SQRT((C2439-C2438)^2+(D2439-D2438)^2+(E2439-E2438)^2)</x:f>
        <x:v>0.2400000000000002</x:v>
      </x:c>
      <x:c r="G2439" s="8" t="str">
        <x:v>Retired</x:v>
      </x:c>
    </x:row>
    <x:row r="2440" ht="32" customHeight="1">
      <x:c r="A2440" s="8" t="str">
        <x:v>drop:DB2:L7:light:-1:L206</x:v>
      </x:c>
      <x:c r="B2440" s="8" t="n">
        <x:v>6</x:v>
      </x:c>
      <x:c r="C2440" s="11" t="n">
        <x:v>0</x:v>
      </x:c>
      <x:c r="D2440" s="11" t="n">
        <x:v>8.4</x:v>
      </x:c>
      <x:c r="E2440" s="11" t="n">
        <x:v>-7.9430000000000005</x:v>
      </x:c>
      <x:c r="F2440" s="11" t="n">
        <x:f>SQRT((C2440-C2439)^2+(D2440-D2439)^2+(E2440-E2439)^2)</x:f>
        <x:v>0.75</x:v>
      </x:c>
      <x:c r="G2440" s="8" t="str">
        <x:v>Retired</x:v>
      </x:c>
    </x:row>
    <x:row r="2441" ht="32" customHeight="1">
      <x:c r="A2441" s="8" t="str">
        <x:v>drop:DB2:L7:light:-1:L206</x:v>
      </x:c>
      <x:c r="B2441" s="8" t="n">
        <x:v>7</x:v>
      </x:c>
      <x:c r="C2441" s="11" t="n">
        <x:v>0.09</x:v>
      </x:c>
      <x:c r="D2441" s="11" t="n">
        <x:v>8.4</x:v>
      </x:c>
      <x:c r="E2441" s="11" t="n">
        <x:v>-7.9430000000000005</x:v>
      </x:c>
      <x:c r="F2441" s="11" t="n">
        <x:f>SQRT((C2441-C2440)^2+(D2441-D2440)^2+(E2441-E2440)^2)</x:f>
        <x:v>0.09</x:v>
      </x:c>
      <x:c r="G2441" s="8" t="str">
        <x:v>Retired</x:v>
      </x:c>
    </x:row>
    <x:row r="2442" ht="32" customHeight="1">
      <x:c r="A2442" s="8" t="str">
        <x:v>drop:DB2:L7:light:-1:L206</x:v>
      </x:c>
      <x:c r="B2442" s="8" t="n">
        <x:v>8</x:v>
      </x:c>
      <x:c r="C2442" s="11" t="n">
        <x:v>0.09</x:v>
      </x:c>
      <x:c r="D2442" s="11" t="n">
        <x:v>8.4</x:v>
      </x:c>
      <x:c r="E2442" s="11" t="n">
        <x:v>-8.068000000000001</x:v>
      </x:c>
      <x:c r="F2442" s="11" t="n">
        <x:f>SQRT((C2442-C2441)^2+(D2442-D2441)^2+(E2442-E2441)^2)</x:f>
        <x:v>0.1250000000000009</x:v>
      </x:c>
      <x:c r="G2442" s="8" t="str">
        <x:v>Retired</x:v>
      </x:c>
    </x:row>
    <x:row r="2443" ht="32" customHeight="1">
      <x:c r="A2443" s="8" t="str">
        <x:v>drop:DB2:L7:light:-1:L206</x:v>
      </x:c>
      <x:c r="B2443" s="8" t="n">
        <x:v>9</x:v>
      </x:c>
      <x:c r="C2443" s="11" t="n">
        <x:v>0.09</x:v>
      </x:c>
      <x:c r="D2443" s="11" t="n">
        <x:v>15.85</x:v>
      </x:c>
      <x:c r="E2443" s="11" t="n">
        <x:v>-8.068000000000001</x:v>
      </x:c>
      <x:c r="F2443" s="11" t="n">
        <x:f>SQRT((C2443-C2442)^2+(D2443-D2442)^2+(E2443-E2442)^2)</x:f>
        <x:v>7.449999999999999</x:v>
      </x:c>
      <x:c r="G2443" s="8" t="str">
        <x:v>Retired</x:v>
      </x:c>
    </x:row>
    <x:row r="2444" ht="32" customHeight="1">
      <x:c r="A2444" s="8" t="str">
        <x:v>drop:DB2:L7:light:-1:L206</x:v>
      </x:c>
      <x:c r="B2444" s="8" t="n">
        <x:v>10</x:v>
      </x:c>
      <x:c r="C2444" s="11" t="n">
        <x:v>0.19</x:v>
      </x:c>
      <x:c r="D2444" s="11" t="n">
        <x:v>15.85</x:v>
      </x:c>
      <x:c r="E2444" s="11" t="n">
        <x:v>-8.068000000000001</x:v>
      </x:c>
      <x:c r="F2444" s="11" t="n">
        <x:f>SQRT((C2444-C2443)^2+(D2444-D2443)^2+(E2444-E2443)^2)</x:f>
        <x:v>0.1</x:v>
      </x:c>
      <x:c r="G2444" s="8" t="str">
        <x:v>Retired</x:v>
      </x:c>
    </x:row>
    <x:row r="2445" ht="32" customHeight="1">
      <x:c r="A2445" s="8" t="str">
        <x:v>drop:DB2:L7:light:-1:L206</x:v>
      </x:c>
      <x:c r="B2445" s="8" t="n">
        <x:v>11</x:v>
      </x:c>
      <x:c r="C2445" s="11" t="n">
        <x:v>0.19</x:v>
      </x:c>
      <x:c r="D2445" s="11" t="n">
        <x:v>15.85</x:v>
      </x:c>
      <x:c r="E2445" s="11" t="n">
        <x:v>-8.168000000000001</x:v>
      </x:c>
      <x:c r="F2445" s="11" t="n">
        <x:f>SQRT((C2445-C2444)^2+(D2445-D2444)^2+(E2445-E2444)^2)</x:f>
        <x:v>0.09999999999999964</x:v>
      </x:c>
      <x:c r="G2445" s="8" t="str">
        <x:v>Retired</x:v>
      </x:c>
    </x:row>
    <x:row r="2446" ht="32" customHeight="1">
      <x:c r="A2446" s="8" t="str">
        <x:v>drop:DB2:L7:light:-1:L206</x:v>
      </x:c>
      <x:c r="B2446" s="8" t="n">
        <x:v>12</x:v>
      </x:c>
      <x:c r="C2446" s="11" t="n">
        <x:v>0.19</x:v>
      </x:c>
      <x:c r="D2446" s="11" t="n">
        <x:v>19.490000000000002</x:v>
      </x:c>
      <x:c r="E2446" s="11" t="n">
        <x:v>-8.168000000000001</x:v>
      </x:c>
      <x:c r="F2446" s="11" t="n">
        <x:f>SQRT((C2446-C2445)^2+(D2446-D2445)^2+(E2446-E2445)^2)</x:f>
        <x:v>3.6400000000000023</x:v>
      </x:c>
      <x:c r="G2446" s="8" t="str">
        <x:v>Retired</x:v>
      </x:c>
    </x:row>
    <x:row r="2447" ht="32" customHeight="1">
      <x:c r="A2447" s="8" t="str">
        <x:v>drop:DB2:L7:light:-1:L206</x:v>
      </x:c>
      <x:c r="B2447" s="8" t="n">
        <x:v>13</x:v>
      </x:c>
      <x:c r="C2447" s="11" t="n">
        <x:v>0.19</x:v>
      </x:c>
      <x:c r="D2447" s="11" t="n">
        <x:v>19.490000000000002</x:v>
      </x:c>
      <x:c r="E2447" s="11" t="n">
        <x:v>-7.728000000000001</x:v>
      </x:c>
      <x:c r="F2447" s="11" t="n">
        <x:f>SQRT((C2447-C2446)^2+(D2447-D2446)^2+(E2447-E2446)^2)</x:f>
        <x:v>0.4400000000000004</x:v>
      </x:c>
      <x:c r="G2447" s="8" t="str">
        <x:v>Retired</x:v>
      </x:c>
    </x:row>
    <x:row r="2448" ht="32" customHeight="1">
      <x:c r="A2448" s="8" t="str">
        <x:v>drop:DB2:L7:light:-1:L206</x:v>
      </x:c>
      <x:c r="B2448" s="8" t="n">
        <x:v>14</x:v>
      </x:c>
      <x:c r="C2448" s="11" t="n">
        <x:v>-0.3199999999999996</x:v>
      </x:c>
      <x:c r="D2448" s="11" t="n">
        <x:v>19.490000000000002</x:v>
      </x:c>
      <x:c r="E2448" s="11" t="n">
        <x:v>-7.728000000000001</x:v>
      </x:c>
      <x:c r="F2448" s="11" t="n">
        <x:f>SQRT((C2448-C2447)^2+(D2448-D2447)^2+(E2448-E2447)^2)</x:f>
        <x:v>0.5099999999999996</x:v>
      </x:c>
      <x:c r="G2448" s="8" t="str">
        <x:v>Retired</x:v>
      </x:c>
    </x:row>
    <x:row r="2449" ht="32" customHeight="1">
      <x:c r="A2449" s="8" t="str">
        <x:v>drop:DB2:L7:light:-1:L207</x:v>
      </x:c>
      <x:c r="B2449" s="8" t="n">
        <x:v>1</x:v>
      </x:c>
      <x:c r="C2449" s="11" t="n">
        <x:v>2.35</x:v>
      </x:c>
      <x:c r="D2449" s="11" t="n">
        <x:v>5.98</x:v>
      </x:c>
      <x:c r="E2449" s="11" t="n">
        <x:v>-7.36</x:v>
      </x:c>
      <x:c r="F2449" s="11" t="n">
        <x:f>0</x:f>
        <x:v>0</x:v>
      </x:c>
      <x:c r="G2449" s="8" t="str">
        <x:v>Retired</x:v>
      </x:c>
    </x:row>
    <x:row r="2450" ht="32" customHeight="1">
      <x:c r="A2450" s="8" t="str">
        <x:v>drop:DB2:L7:light:-1:L207</x:v>
      </x:c>
      <x:c r="B2450" s="8" t="n">
        <x:v>2</x:v>
      </x:c>
      <x:c r="C2450" s="11" t="n">
        <x:v>2.35</x:v>
      </x:c>
      <x:c r="D2450" s="11" t="n">
        <x:v>7.65</x:v>
      </x:c>
      <x:c r="E2450" s="11" t="n">
        <x:v>-7.36</x:v>
      </x:c>
      <x:c r="F2450" s="11" t="n">
        <x:f>SQRT((C2450-C2449)^2+(D2450-D2449)^2+(E2450-E2449)^2)</x:f>
        <x:v>1.67</x:v>
      </x:c>
      <x:c r="G2450" s="8" t="str">
        <x:v>Retired</x:v>
      </x:c>
    </x:row>
    <x:row r="2451" ht="32" customHeight="1">
      <x:c r="A2451" s="8" t="str">
        <x:v>drop:DB2:L7:light:-1:L207</x:v>
      </x:c>
      <x:c r="B2451" s="8" t="n">
        <x:v>3</x:v>
      </x:c>
      <x:c r="C2451" s="11" t="n">
        <x:v>2.35</x:v>
      </x:c>
      <x:c r="D2451" s="11" t="n">
        <x:v>7.65</x:v>
      </x:c>
      <x:c r="E2451" s="11" t="n">
        <x:v>-7.703</x:v>
      </x:c>
      <x:c r="F2451" s="11" t="n">
        <x:f>SQRT((C2451-C2450)^2+(D2451-D2450)^2+(E2451-E2450)^2)</x:f>
        <x:v>0.34299999999999997</x:v>
      </x:c>
      <x:c r="G2451" s="8" t="str">
        <x:v>Retired</x:v>
      </x:c>
    </x:row>
    <x:row r="2452" ht="32" customHeight="1">
      <x:c r="A2452" s="8" t="str">
        <x:v>drop:DB2:L7:light:-1:L207</x:v>
      </x:c>
      <x:c r="B2452" s="8" t="n">
        <x:v>4</x:v>
      </x:c>
      <x:c r="C2452" s="11" t="n">
        <x:v>0</x:v>
      </x:c>
      <x:c r="D2452" s="11" t="n">
        <x:v>7.65</x:v>
      </x:c>
      <x:c r="E2452" s="11" t="n">
        <x:v>-7.703</x:v>
      </x:c>
      <x:c r="F2452" s="11" t="n">
        <x:f>SQRT((C2452-C2451)^2+(D2452-D2451)^2+(E2452-E2451)^2)</x:f>
        <x:v>2.35</x:v>
      </x:c>
      <x:c r="G2452" s="8" t="str">
        <x:v>Retired</x:v>
      </x:c>
    </x:row>
    <x:row r="2453" ht="32" customHeight="1">
      <x:c r="A2453" s="8" t="str">
        <x:v>drop:DB2:L7:light:-1:L207</x:v>
      </x:c>
      <x:c r="B2453" s="8" t="n">
        <x:v>5</x:v>
      </x:c>
      <x:c r="C2453" s="11" t="n">
        <x:v>0</x:v>
      </x:c>
      <x:c r="D2453" s="11" t="n">
        <x:v>7.65</x:v>
      </x:c>
      <x:c r="E2453" s="11" t="n">
        <x:v>-12.363</x:v>
      </x:c>
      <x:c r="F2453" s="11" t="n">
        <x:f>SQRT((C2453-C2452)^2+(D2453-D2452)^2+(E2453-E2452)^2)</x:f>
        <x:v>4.659999999999999</x:v>
      </x:c>
      <x:c r="G2453" s="8" t="str">
        <x:v>Retired</x:v>
      </x:c>
    </x:row>
    <x:row r="2454" ht="32" customHeight="1">
      <x:c r="A2454" s="8" t="str">
        <x:v>drop:DB2:L7:light:-1:L207</x:v>
      </x:c>
      <x:c r="B2454" s="8" t="n">
        <x:v>6</x:v>
      </x:c>
      <x:c r="C2454" s="11" t="n">
        <x:v>0</x:v>
      </x:c>
      <x:c r="D2454" s="11" t="n">
        <x:v>8.4</x:v>
      </x:c>
      <x:c r="E2454" s="11" t="n">
        <x:v>-12.363</x:v>
      </x:c>
      <x:c r="F2454" s="11" t="n">
        <x:f>SQRT((C2454-C2453)^2+(D2454-D2453)^2+(E2454-E2453)^2)</x:f>
        <x:v>0.75</x:v>
      </x:c>
      <x:c r="G2454" s="8" t="str">
        <x:v>Retired</x:v>
      </x:c>
    </x:row>
    <x:row r="2455" ht="32" customHeight="1">
      <x:c r="A2455" s="8" t="str">
        <x:v>drop:DB2:L7:light:-1:L207</x:v>
      </x:c>
      <x:c r="B2455" s="8" t="n">
        <x:v>7</x:v>
      </x:c>
      <x:c r="C2455" s="11" t="n">
        <x:v>0.09</x:v>
      </x:c>
      <x:c r="D2455" s="11" t="n">
        <x:v>8.4</x:v>
      </x:c>
      <x:c r="E2455" s="11" t="n">
        <x:v>-12.363</x:v>
      </x:c>
      <x:c r="F2455" s="11" t="n">
        <x:f>SQRT((C2455-C2454)^2+(D2455-D2454)^2+(E2455-E2454)^2)</x:f>
        <x:v>0.09</x:v>
      </x:c>
      <x:c r="G2455" s="8" t="str">
        <x:v>Retired</x:v>
      </x:c>
    </x:row>
    <x:row r="2456" ht="32" customHeight="1">
      <x:c r="A2456" s="8" t="str">
        <x:v>drop:DB2:L7:light:-1:L207</x:v>
      </x:c>
      <x:c r="B2456" s="8" t="n">
        <x:v>8</x:v>
      </x:c>
      <x:c r="C2456" s="11" t="n">
        <x:v>0.09</x:v>
      </x:c>
      <x:c r="D2456" s="11" t="n">
        <x:v>8.4</x:v>
      </x:c>
      <x:c r="E2456" s="11" t="n">
        <x:v>-12.238</x:v>
      </x:c>
      <x:c r="F2456" s="11" t="n">
        <x:f>SQRT((C2456-C2455)^2+(D2456-D2455)^2+(E2456-E2455)^2)</x:f>
        <x:v>0.125</x:v>
      </x:c>
      <x:c r="G2456" s="8" t="str">
        <x:v>Retired</x:v>
      </x:c>
    </x:row>
    <x:row r="2457" ht="32" customHeight="1">
      <x:c r="A2457" s="8" t="str">
        <x:v>drop:DB2:L7:light:-1:L207</x:v>
      </x:c>
      <x:c r="B2457" s="8" t="n">
        <x:v>9</x:v>
      </x:c>
      <x:c r="C2457" s="11" t="n">
        <x:v>0.09</x:v>
      </x:c>
      <x:c r="D2457" s="11" t="n">
        <x:v>15.85</x:v>
      </x:c>
      <x:c r="E2457" s="11" t="n">
        <x:v>-12.238</x:v>
      </x:c>
      <x:c r="F2457" s="11" t="n">
        <x:f>SQRT((C2457-C2456)^2+(D2457-D2456)^2+(E2457-E2456)^2)</x:f>
        <x:v>7.449999999999999</x:v>
      </x:c>
      <x:c r="G2457" s="8" t="str">
        <x:v>Retired</x:v>
      </x:c>
    </x:row>
    <x:row r="2458" ht="32" customHeight="1">
      <x:c r="A2458" s="8" t="str">
        <x:v>drop:DB2:L7:light:-1:L207</x:v>
      </x:c>
      <x:c r="B2458" s="8" t="n">
        <x:v>10</x:v>
      </x:c>
      <x:c r="C2458" s="11" t="n">
        <x:v>0.19</x:v>
      </x:c>
      <x:c r="D2458" s="11" t="n">
        <x:v>15.85</x:v>
      </x:c>
      <x:c r="E2458" s="11" t="n">
        <x:v>-12.238</x:v>
      </x:c>
      <x:c r="F2458" s="11" t="n">
        <x:f>SQRT((C2458-C2457)^2+(D2458-D2457)^2+(E2458-E2457)^2)</x:f>
        <x:v>0.1</x:v>
      </x:c>
      <x:c r="G2458" s="8" t="str">
        <x:v>Retired</x:v>
      </x:c>
    </x:row>
    <x:row r="2459" ht="32" customHeight="1">
      <x:c r="A2459" s="8" t="str">
        <x:v>drop:DB2:L7:light:-1:L207</x:v>
      </x:c>
      <x:c r="B2459" s="8" t="n">
        <x:v>11</x:v>
      </x:c>
      <x:c r="C2459" s="11" t="n">
        <x:v>0.19</x:v>
      </x:c>
      <x:c r="D2459" s="11" t="n">
        <x:v>15.85</x:v>
      </x:c>
      <x:c r="E2459" s="11" t="n">
        <x:v>-12.138</x:v>
      </x:c>
      <x:c r="F2459" s="11" t="n">
        <x:f>SQRT((C2459-C2458)^2+(D2459-D2458)^2+(E2459-E2458)^2)</x:f>
        <x:v>0.09999999999999964</x:v>
      </x:c>
      <x:c r="G2459" s="8" t="str">
        <x:v>Retired</x:v>
      </x:c>
    </x:row>
    <x:row r="2460" ht="32" customHeight="1">
      <x:c r="A2460" s="8" t="str">
        <x:v>drop:DB2:L7:light:-1:L207</x:v>
      </x:c>
      <x:c r="B2460" s="8" t="n">
        <x:v>12</x:v>
      </x:c>
      <x:c r="C2460" s="11" t="n">
        <x:v>0.19</x:v>
      </x:c>
      <x:c r="D2460" s="11" t="n">
        <x:v>19.490000000000002</x:v>
      </x:c>
      <x:c r="E2460" s="11" t="n">
        <x:v>-12.138</x:v>
      </x:c>
      <x:c r="F2460" s="11" t="n">
        <x:f>SQRT((C2460-C2459)^2+(D2460-D2459)^2+(E2460-E2459)^2)</x:f>
        <x:v>3.6400000000000023</x:v>
      </x:c>
      <x:c r="G2460" s="8" t="str">
        <x:v>Retired</x:v>
      </x:c>
    </x:row>
    <x:row r="2461" ht="32" customHeight="1">
      <x:c r="A2461" s="8" t="str">
        <x:v>drop:DB2:L7:light:-1:L207</x:v>
      </x:c>
      <x:c r="B2461" s="8" t="n">
        <x:v>13</x:v>
      </x:c>
      <x:c r="C2461" s="11" t="n">
        <x:v>0.19</x:v>
      </x:c>
      <x:c r="D2461" s="11" t="n">
        <x:v>19.490000000000002</x:v>
      </x:c>
      <x:c r="E2461" s="11" t="n">
        <x:v>-12.578</x:v>
      </x:c>
      <x:c r="F2461" s="11" t="n">
        <x:f>SQRT((C2461-C2460)^2+(D2461-D2460)^2+(E2461-E2460)^2)</x:f>
        <x:v>0.4399999999999995</x:v>
      </x:c>
      <x:c r="G2461" s="8" t="str">
        <x:v>Retired</x:v>
      </x:c>
    </x:row>
    <x:row r="2462" ht="32" customHeight="1">
      <x:c r="A2462" s="8" t="str">
        <x:v>drop:DB2:L7:light:-1:L207</x:v>
      </x:c>
      <x:c r="B2462" s="8" t="n">
        <x:v>14</x:v>
      </x:c>
      <x:c r="C2462" s="11" t="n">
        <x:v>-0.3199999999999996</x:v>
      </x:c>
      <x:c r="D2462" s="11" t="n">
        <x:v>19.490000000000002</x:v>
      </x:c>
      <x:c r="E2462" s="11" t="n">
        <x:v>-12.578</x:v>
      </x:c>
      <x:c r="F2462" s="11" t="n">
        <x:f>SQRT((C2462-C2461)^2+(D2462-D2461)^2+(E2462-E2461)^2)</x:f>
        <x:v>0.5099999999999996</x:v>
      </x:c>
      <x:c r="G2462" s="8" t="str">
        <x:v>Retired</x:v>
      </x:c>
    </x:row>
    <x:row r="2463" ht="32" customHeight="1">
      <x:c r="A2463" s="8" t="str">
        <x:v>drop:DB2:L7:light:-1:L219</x:v>
      </x:c>
      <x:c r="B2463" s="8" t="n">
        <x:v>1</x:v>
      </x:c>
      <x:c r="C2463" s="11" t="n">
        <x:v>2.35</x:v>
      </x:c>
      <x:c r="D2463" s="11" t="n">
        <x:v>5.98</x:v>
      </x:c>
      <x:c r="E2463" s="11" t="n">
        <x:v>-7.36</x:v>
      </x:c>
      <x:c r="F2463" s="11" t="n">
        <x:f>0</x:f>
        <x:v>0</x:v>
      </x:c>
      <x:c r="G2463" s="8" t="str">
        <x:v>Retired</x:v>
      </x:c>
    </x:row>
    <x:row r="2464" ht="32" customHeight="1">
      <x:c r="A2464" s="8" t="str">
        <x:v>drop:DB2:L7:light:-1:L219</x:v>
      </x:c>
      <x:c r="B2464" s="8" t="n">
        <x:v>2</x:v>
      </x:c>
      <x:c r="C2464" s="11" t="n">
        <x:v>2.35</x:v>
      </x:c>
      <x:c r="D2464" s="11" t="n">
        <x:v>7.65</x:v>
      </x:c>
      <x:c r="E2464" s="11" t="n">
        <x:v>-7.36</x:v>
      </x:c>
      <x:c r="F2464" s="11" t="n">
        <x:f>SQRT((C2464-C2463)^2+(D2464-D2463)^2+(E2464-E2463)^2)</x:f>
        <x:v>1.67</x:v>
      </x:c>
      <x:c r="G2464" s="8" t="str">
        <x:v>Retired</x:v>
      </x:c>
    </x:row>
    <x:row r="2465" ht="32" customHeight="1">
      <x:c r="A2465" s="8" t="str">
        <x:v>drop:DB2:L7:light:-1:L219</x:v>
      </x:c>
      <x:c r="B2465" s="8" t="n">
        <x:v>3</x:v>
      </x:c>
      <x:c r="C2465" s="11" t="n">
        <x:v>2.35</x:v>
      </x:c>
      <x:c r="D2465" s="11" t="n">
        <x:v>7.65</x:v>
      </x:c>
      <x:c r="E2465" s="11" t="n">
        <x:v>0</x:v>
      </x:c>
      <x:c r="F2465" s="11" t="n">
        <x:f>SQRT((C2465-C2464)^2+(D2465-D2464)^2+(E2465-E2464)^2)</x:f>
        <x:v>7.36</x:v>
      </x:c>
      <x:c r="G2465" s="8" t="str">
        <x:v>Retired</x:v>
      </x:c>
    </x:row>
    <x:row r="2466" ht="32" customHeight="1">
      <x:c r="A2466" s="8" t="str">
        <x:v>drop:DB2:L7:light:-1:L219</x:v>
      </x:c>
      <x:c r="B2466" s="8" t="n">
        <x:v>4</x:v>
      </x:c>
      <x:c r="C2466" s="11" t="n">
        <x:v>2.35</x:v>
      </x:c>
      <x:c r="D2466" s="11" t="n">
        <x:v>8.5</x:v>
      </x:c>
      <x:c r="E2466" s="11" t="n">
        <x:v>0</x:v>
      </x:c>
      <x:c r="F2466" s="11" t="n">
        <x:f>SQRT((C2466-C2465)^2+(D2466-D2465)^2+(E2466-E2465)^2)</x:f>
        <x:v>0.8499999999999996</x:v>
      </x:c>
      <x:c r="G2466" s="8" t="str">
        <x:v>Retired</x:v>
      </x:c>
    </x:row>
    <x:row r="2467" ht="32" customHeight="1">
      <x:c r="A2467" s="8" t="str">
        <x:v>drop:DB2:L7:light:-1:L219</x:v>
      </x:c>
      <x:c r="B2467" s="8" t="n">
        <x:v>5</x:v>
      </x:c>
      <x:c r="C2467" s="11" t="n">
        <x:v>2.15</x:v>
      </x:c>
      <x:c r="D2467" s="11" t="n">
        <x:v>8.5</x:v>
      </x:c>
      <x:c r="E2467" s="11" t="n">
        <x:v>0</x:v>
      </x:c>
      <x:c r="F2467" s="11" t="n">
        <x:f>SQRT((C2467-C2466)^2+(D2467-D2466)^2+(E2467-E2466)^2)</x:f>
        <x:v>0.20000000000000018</x:v>
      </x:c>
      <x:c r="G2467" s="8" t="str">
        <x:v>Retired</x:v>
      </x:c>
    </x:row>
    <x:row r="2468" ht="32" customHeight="1">
      <x:c r="A2468" s="8" t="str">
        <x:v>drop:DB2:L7:light:-1:L220</x:v>
      </x:c>
      <x:c r="B2468" s="8" t="n">
        <x:v>1</x:v>
      </x:c>
      <x:c r="C2468" s="11" t="n">
        <x:v>52.6</x:v>
      </x:c>
      <x:c r="D2468" s="11" t="n">
        <x:v>5.98</x:v>
      </x:c>
      <x:c r="E2468" s="11" t="n">
        <x:v>-7.36</x:v>
      </x:c>
      <x:c r="F2468" s="11" t="n">
        <x:f>0</x:f>
        <x:v>0</x:v>
      </x:c>
      <x:c r="G2468" s="8" t="str">
        <x:v>Retired</x:v>
      </x:c>
    </x:row>
    <x:row r="2469" ht="32" customHeight="1">
      <x:c r="A2469" s="8" t="str">
        <x:v>drop:DB2:L7:light:-1:L220</x:v>
      </x:c>
      <x:c r="B2469" s="8" t="n">
        <x:v>2</x:v>
      </x:c>
      <x:c r="C2469" s="11" t="n">
        <x:v>52.6</x:v>
      </x:c>
      <x:c r="D2469" s="11" t="n">
        <x:v>7.04</x:v>
      </x:c>
      <x:c r="E2469" s="11" t="n">
        <x:v>-7.36</x:v>
      </x:c>
      <x:c r="F2469" s="11" t="n">
        <x:f>SQRT((C2469-C2468)^2+(D2469-D2468)^2+(E2469-E2468)^2)</x:f>
        <x:v>1.0599999999999996</x:v>
      </x:c>
      <x:c r="G2469" s="8" t="str">
        <x:v>Retired</x:v>
      </x:c>
    </x:row>
    <x:row r="2470" ht="32" customHeight="1">
      <x:c r="A2470" s="8" t="str">
        <x:v>drop:DB2:L7:light:-1:L220</x:v>
      </x:c>
      <x:c r="B2470" s="8" t="n">
        <x:v>3</x:v>
      </x:c>
      <x:c r="C2470" s="11" t="n">
        <x:v>52.6</x:v>
      </x:c>
      <x:c r="D2470" s="11" t="n">
        <x:v>6.932496881126359</x:v>
      </x:c>
      <x:c r="E2470" s="11" t="n">
        <x:v>-7.4387096774193555</x:v>
      </x:c>
      <x:c r="F2470" s="11" t="n">
        <x:f>SQRT((C2470-C2469)^2+(D2470-D2469)^2+(E2470-E2469)^2)</x:f>
        <x:v>0.13323713403934787</x:v>
      </x:c>
      <x:c r="G2470" s="8" t="str">
        <x:v>Retired</x:v>
      </x:c>
    </x:row>
    <x:row r="2471" ht="32" customHeight="1">
      <x:c r="A2471" s="8" t="str">
        <x:v>drop:DB2:L7:light:-1:L220</x:v>
      </x:c>
      <x:c r="B2471" s="8" t="n">
        <x:v>4</x:v>
      </x:c>
      <x:c r="C2471" s="11" t="n">
        <x:v>52.6</x:v>
      </x:c>
      <x:c r="D2471" s="11" t="n">
        <x:v>6.4074033149171274</x:v>
      </x:c>
      <x:c r="E2471" s="11" t="n">
        <x:v>-9.8</x:v>
      </x:c>
      <x:c r="F2471" s="11" t="n">
        <x:f>SQRT((C2471-C2470)^2+(D2471-D2470)^2+(E2471-E2470)^2)</x:f>
        <x:v>2.418969871822991</x:v>
      </x:c>
      <x:c r="G2471" s="8" t="str">
        <x:v>Retired</x:v>
      </x:c>
    </x:row>
    <x:row r="2472" ht="32" customHeight="1">
      <x:c r="A2472" s="8" t="str">
        <x:v>drop:DB2:L7:light:-1:L220</x:v>
      </x:c>
      <x:c r="B2472" s="8" t="n">
        <x:v>5</x:v>
      </x:c>
      <x:c r="C2472" s="11" t="n">
        <x:v>52.6</x:v>
      </x:c>
      <x:c r="D2472" s="11" t="n">
        <x:v>6.55</x:v>
      </x:c>
      <x:c r="E2472" s="11" t="n">
        <x:v>-9.8</x:v>
      </x:c>
      <x:c r="F2472" s="11" t="n">
        <x:f>SQRT((C2472-C2471)^2+(D2472-D2471)^2+(E2472-E2471)^2)</x:f>
        <x:v>0.14259668508287238</x:v>
      </x:c>
      <x:c r="G2472" s="8" t="str">
        <x:v>Retired</x:v>
      </x:c>
    </x:row>
    <x:row r="2473" ht="32" customHeight="1">
      <x:c r="A2473" s="8" t="str">
        <x:v>trunk:DB2:L7:light:1</x:v>
      </x:c>
      <x:c r="B2473" s="8" t="n">
        <x:v>1</x:v>
      </x:c>
      <x:c r="C2473" s="11" t="n">
        <x:v>2.73</x:v>
      </x:c>
      <x:c r="D2473" s="11" t="n">
        <x:v>1.5</x:v>
      </x:c>
      <x:c r="E2473" s="11" t="n">
        <x:v>-3.3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trunk:DB2:L7:light:1</x:v>
      </x:c>
      <x:c r="B2474" s="8" t="n">
        <x:v>2</x:v>
      </x:c>
      <x:c r="C2474" s="11" t="n">
        <x:v>2.35</x:v>
      </x:c>
      <x:c r="D2474" s="11" t="n">
        <x:v>1.5</x:v>
      </x:c>
      <x:c r="E2474" s="11" t="n">
        <x:v>-3.3</x:v>
      </x:c>
      <x:c r="F2474" s="11" t="n">
        <x:f>SQRT((C2474-C2473)^2+(D2474-D2473)^2+(E2474-E2473)^2)</x:f>
        <x:v>0.3799999999999999</x:v>
      </x:c>
      <x:c r="G2474" s="8" t="str">
        <x:v>Retired</x:v>
      </x:c>
    </x:row>
    <x:row r="2475" ht="32" customHeight="1">
      <x:c r="A2475" s="8" t="str">
        <x:v>trunk:DB2:L7:light:1</x:v>
      </x:c>
      <x:c r="B2475" s="8" t="n">
        <x:v>3</x:v>
      </x:c>
      <x:c r="C2475" s="11" t="n">
        <x:v>2.35</x:v>
      </x:c>
      <x:c r="D2475" s="11" t="n">
        <x:v>7.65</x:v>
      </x:c>
      <x:c r="E2475" s="11" t="n">
        <x:v>-3.3</x:v>
      </x:c>
      <x:c r="F2475" s="11" t="n">
        <x:f>SQRT((C2475-C2474)^2+(D2475-D2474)^2+(E2475-E2474)^2)</x:f>
        <x:v>6.15</x:v>
      </x:c>
      <x:c r="G2475" s="8" t="str">
        <x:v>Retired</x:v>
      </x:c>
    </x:row>
    <x:row r="2476" ht="32" customHeight="1">
      <x:c r="A2476" s="8" t="str">
        <x:v>trunk:DB2:L7:light:1</x:v>
      </x:c>
      <x:c r="B2476" s="8" t="n">
        <x:v>4</x:v>
      </x:c>
      <x:c r="C2476" s="11" t="n">
        <x:v>2.35</x:v>
      </x:c>
      <x:c r="D2476" s="11" t="n">
        <x:v>7.65</x:v>
      </x:c>
      <x:c r="E2476" s="11" t="n">
        <x:v>7.36</x:v>
      </x:c>
      <x:c r="F2476" s="11" t="n">
        <x:f>SQRT((C2476-C2475)^2+(D2476-D2475)^2+(E2476-E2475)^2)</x:f>
        <x:v>10.66</x:v>
      </x:c>
      <x:c r="G2476" s="8" t="str">
        <x:v>Retired</x:v>
      </x:c>
    </x:row>
    <x:row r="2477" ht="32" customHeight="1">
      <x:c r="A2477" s="8" t="str">
        <x:v>trunk:DB2:L7:light:1</x:v>
      </x:c>
      <x:c r="B2477" s="8" t="n">
        <x:v>5</x:v>
      </x:c>
      <x:c r="C2477" s="11" t="n">
        <x:v>2.35</x:v>
      </x:c>
      <x:c r="D2477" s="11" t="n">
        <x:v>5.98</x:v>
      </x:c>
      <x:c r="E2477" s="11" t="n">
        <x:v>7.36</x:v>
      </x:c>
      <x:c r="F2477" s="11" t="n">
        <x:f>SQRT((C2477-C2476)^2+(D2477-D2476)^2+(E2477-E2476)^2)</x:f>
        <x:v>1.67</x:v>
      </x:c>
      <x:c r="G2477" s="8" t="str">
        <x:v>Retired</x:v>
      </x:c>
    </x:row>
    <x:row r="2478" ht="32" customHeight="1">
      <x:c r="A2478" s="8" t="str">
        <x:v>trunk:DB2:L7:light:1</x:v>
      </x:c>
      <x:c r="B2478" s="8" t="n">
        <x:v>6</x:v>
      </x:c>
      <x:c r="C2478" s="11" t="n">
        <x:v>5.475</x:v>
      </x:c>
      <x:c r="D2478" s="11" t="n">
        <x:v>5.98</x:v>
      </x:c>
      <x:c r="E2478" s="11" t="n">
        <x:v>7.36</x:v>
      </x:c>
      <x:c r="F2478" s="11" t="n">
        <x:f>SQRT((C2478-C2477)^2+(D2478-D2477)^2+(E2478-E2477)^2)</x:f>
        <x:v>3.1249999999999996</x:v>
      </x:c>
      <x:c r="G2478" s="8" t="str">
        <x:v>Retired</x:v>
      </x:c>
    </x:row>
    <x:row r="2479" ht="32" customHeight="1">
      <x:c r="A2479" s="8" t="str">
        <x:v>trunk:DB2:L7:light:1</x:v>
      </x:c>
      <x:c r="B2479" s="8" t="n">
        <x:v>7</x:v>
      </x:c>
      <x:c r="C2479" s="11" t="n">
        <x:v>36.975</x:v>
      </x:c>
      <x:c r="D2479" s="11" t="n">
        <x:v>5.98</x:v>
      </x:c>
      <x:c r="E2479" s="11" t="n">
        <x:v>7.36</x:v>
      </x:c>
      <x:c r="F2479" s="11" t="n">
        <x:f>SQRT((C2479-C2478)^2+(D2479-D2478)^2+(E2479-E2478)^2)</x:f>
        <x:v>31.5</x:v>
      </x:c>
      <x:c r="G2479" s="8" t="str">
        <x:v>Retired</x:v>
      </x:c>
    </x:row>
    <x:row r="2480" ht="32" customHeight="1">
      <x:c r="A2480" s="8" t="str">
        <x:v>trunk:DB2:L7:light:1</x:v>
      </x:c>
      <x:c r="B2480" s="8" t="n">
        <x:v>8</x:v>
      </x:c>
      <x:c r="C2480" s="11" t="n">
        <x:v>36.975</x:v>
      </x:c>
      <x:c r="D2480" s="11" t="n">
        <x:v>7.04</x:v>
      </x:c>
      <x:c r="E2480" s="11" t="n">
        <x:v>7.36</x:v>
      </x:c>
      <x:c r="F2480" s="11" t="n">
        <x:f>SQRT((C2480-C2479)^2+(D2480-D2479)^2+(E2480-E2479)^2)</x:f>
        <x:v>1.0599999999999996</x:v>
      </x:c>
      <x:c r="G2480" s="8" t="str">
        <x:v>Retired</x:v>
      </x:c>
    </x:row>
    <x:row r="2481" ht="32" customHeight="1">
      <x:c r="A2481" s="8" t="str">
        <x:v>trunk:DB2:L7:light:1</x:v>
      </x:c>
      <x:c r="B2481" s="8" t="n">
        <x:v>9</x:v>
      </x:c>
      <x:c r="C2481" s="11" t="n">
        <x:v>37.615</x:v>
      </x:c>
      <x:c r="D2481" s="11" t="n">
        <x:v>7.04</x:v>
      </x:c>
      <x:c r="E2481" s="11" t="n">
        <x:v>7.36</x:v>
      </x:c>
      <x:c r="F2481" s="11" t="n">
        <x:f>SQRT((C2481-C2480)^2+(D2481-D2480)^2+(E2481-E2480)^2)</x:f>
        <x:v>0.6400000000000006</x:v>
      </x:c>
      <x:c r="G2481" s="8" t="str">
        <x:v>Retired</x:v>
      </x:c>
    </x:row>
    <x:row r="2482" ht="32" customHeight="1">
      <x:c r="A2482" s="8" t="str">
        <x:v>trunk:DB2:L7:light:1</x:v>
      </x:c>
      <x:c r="B2482" s="8" t="n">
        <x:v>10</x:v>
      </x:c>
      <x:c r="C2482" s="11" t="n">
        <x:v>37.695</x:v>
      </x:c>
      <x:c r="D2482" s="11" t="n">
        <x:v>6.950412371134018</x:v>
      </x:c>
      <x:c r="E2482" s="11" t="n">
        <x:v>7.36</x:v>
      </x:c>
      <x:c r="F2482" s="11" t="n">
        <x:f>SQRT((C2482-C2481)^2+(D2482-D2481)^2+(E2482-E2481)^2)</x:f>
        <x:v>0.12010804821421713</x:v>
      </x:c>
      <x:c r="G2482" s="8" t="str">
        <x:v>Retired</x:v>
      </x:c>
    </x:row>
    <x:row r="2483" ht="32" customHeight="1">
      <x:c r="A2483" s="8" t="str">
        <x:v>trunk:DB2:L7:light:1</x:v>
      </x:c>
      <x:c r="B2483" s="8" t="n">
        <x:v>11</x:v>
      </x:c>
      <x:c r="C2483" s="11" t="n">
        <x:v>40.574999999999996</x:v>
      </x:c>
      <x:c r="D2483" s="11" t="n">
        <x:v>9.269999999999994</x:v>
      </x:c>
      <x:c r="E2483" s="11" t="n">
        <x:v>7.36</x:v>
      </x:c>
      <x:c r="F2483" s="11" t="n">
        <x:f>SQRT((C2483-C2482)^2+(D2483-D2482)^2+(E2483-E2482)^2)</x:f>
        <x:v>3.697957107375376</x:v>
      </x:c>
      <x:c r="G2483" s="8" t="str">
        <x:v>Retired</x:v>
      </x:c>
    </x:row>
    <x:row r="2484" ht="32" customHeight="1">
      <x:c r="A2484" s="8" t="str">
        <x:v>trunk:DB2:L7:light:1</x:v>
      </x:c>
      <x:c r="B2484" s="8" t="n">
        <x:v>12</x:v>
      </x:c>
      <x:c r="C2484" s="11" t="n">
        <x:v>43.455</x:v>
      </x:c>
      <x:c r="D2484" s="11" t="n">
        <x:v>6.950412371134024</x:v>
      </x:c>
      <x:c r="E2484" s="11" t="n">
        <x:v>7.36</x:v>
      </x:c>
      <x:c r="F2484" s="11" t="n">
        <x:f>SQRT((C2484-C2483)^2+(D2484-D2483)^2+(E2484-E2483)^2)</x:f>
        <x:v>3.6979571073753776</x:v>
      </x:c>
      <x:c r="G2484" s="8" t="str">
        <x:v>Retired</x:v>
      </x:c>
    </x:row>
    <x:row r="2485" ht="32" customHeight="1">
      <x:c r="A2485" s="8" t="str">
        <x:v>trunk:DB2:L7:light:1</x:v>
      </x:c>
      <x:c r="B2485" s="8" t="n">
        <x:v>13</x:v>
      </x:c>
      <x:c r="C2485" s="11" t="n">
        <x:v>43.535</x:v>
      </x:c>
      <x:c r="D2485" s="11" t="n">
        <x:v>7.04</x:v>
      </x:c>
      <x:c r="E2485" s="11" t="n">
        <x:v>7.36</x:v>
      </x:c>
      <x:c r="F2485" s="11" t="n">
        <x:f>SQRT((C2485-C2484)^2+(D2485-D2484)^2+(E2485-E2484)^2)</x:f>
        <x:v>0.12010804821421249</x:v>
      </x:c>
      <x:c r="G2485" s="8" t="str">
        <x:v>Retired</x:v>
      </x:c>
    </x:row>
    <x:row r="2486" ht="32" customHeight="1">
      <x:c r="A2486" s="8" t="str">
        <x:v>trunk:DB2:L7:light:1</x:v>
      </x:c>
      <x:c r="B2486" s="8" t="n">
        <x:v>14</x:v>
      </x:c>
      <x:c r="C2486" s="11" t="n">
        <x:v>44.175</x:v>
      </x:c>
      <x:c r="D2486" s="11" t="n">
        <x:v>7.04</x:v>
      </x:c>
      <x:c r="E2486" s="11" t="n">
        <x:v>7.36</x:v>
      </x:c>
      <x:c r="F2486" s="11" t="n">
        <x:f>SQRT((C2486-C2485)^2+(D2486-D2485)^2+(E2486-E2485)^2)</x:f>
        <x:v>0.6400000000000006</x:v>
      </x:c>
      <x:c r="G2486" s="8" t="str">
        <x:v>Retired</x:v>
      </x:c>
    </x:row>
    <x:row r="2487" ht="32" customHeight="1">
      <x:c r="A2487" s="8" t="str">
        <x:v>trunk:DB2:L7:light:1</x:v>
      </x:c>
      <x:c r="B2487" s="8" t="n">
        <x:v>15</x:v>
      </x:c>
      <x:c r="C2487" s="11" t="n">
        <x:v>44.175</x:v>
      </x:c>
      <x:c r="D2487" s="11" t="n">
        <x:v>5.98</x:v>
      </x:c>
      <x:c r="E2487" s="11" t="n">
        <x:v>7.36</x:v>
      </x:c>
      <x:c r="F2487" s="11" t="n">
        <x:f>SQRT((C2487-C2486)^2+(D2487-D2486)^2+(E2487-E2486)^2)</x:f>
        <x:v>1.0599999999999996</x:v>
      </x:c>
      <x:c r="G2487" s="8" t="str">
        <x:v>Retired</x:v>
      </x:c>
    </x:row>
    <x:row r="2488" ht="32" customHeight="1">
      <x:c r="A2488" s="8" t="str">
        <x:v>trunk:DB2:L7:light:1</x:v>
      </x:c>
      <x:c r="B2488" s="8" t="n">
        <x:v>16</x:v>
      </x:c>
      <x:c r="C2488" s="11" t="n">
        <x:v>53.016</x:v>
      </x:c>
      <x:c r="D2488" s="11" t="n">
        <x:v>5.98</x:v>
      </x:c>
      <x:c r="E2488" s="11" t="n">
        <x:v>7.36</x:v>
      </x:c>
      <x:c r="F2488" s="11" t="n">
        <x:f>SQRT((C2488-C2487)^2+(D2488-D2487)^2+(E2488-E2487)^2)</x:f>
        <x:v>8.841000000000001</x:v>
      </x:c>
      <x:c r="G2488" s="8" t="str">
        <x:v>Retired</x:v>
      </x:c>
    </x:row>
    <x:row r="2489" ht="32" customHeight="1">
      <x:c r="A2489" s="8" t="str">
        <x:v>drop:DB2:L7:light:1:L208</x:v>
      </x:c>
      <x:c r="B2489" s="8" t="n">
        <x:v>1</x:v>
      </x:c>
      <x:c r="C2489" s="11" t="n">
        <x:v>21.35</x:v>
      </x:c>
      <x:c r="D2489" s="11" t="n">
        <x:v>5.98</x:v>
      </x:c>
      <x:c r="E2489" s="11" t="n">
        <x:v>7.36</x:v>
      </x:c>
      <x:c r="F2489" s="11" t="n">
        <x:f>0</x:f>
        <x:v>0</x:v>
      </x:c>
      <x:c r="G2489" s="8" t="str">
        <x:v>Retired</x:v>
      </x:c>
    </x:row>
    <x:row r="2490" ht="32" customHeight="1">
      <x:c r="A2490" s="8" t="str">
        <x:v>drop:DB2:L7:light:1:L208</x:v>
      </x:c>
      <x:c r="B2490" s="8" t="n">
        <x:v>2</x:v>
      </x:c>
      <x:c r="C2490" s="11" t="n">
        <x:v>21.35</x:v>
      </x:c>
      <x:c r="D2490" s="11" t="n">
        <x:v>7.04</x:v>
      </x:c>
      <x:c r="E2490" s="11" t="n">
        <x:v>7.36</x:v>
      </x:c>
      <x:c r="F2490" s="11" t="n">
        <x:f>SQRT((C2490-C2489)^2+(D2490-D2489)^2+(E2490-E2489)^2)</x:f>
        <x:v>1.0599999999999996</x:v>
      </x:c>
      <x:c r="G2490" s="8" t="str">
        <x:v>Retired</x:v>
      </x:c>
    </x:row>
    <x:row r="2491" ht="32" customHeight="1">
      <x:c r="A2491" s="8" t="str">
        <x:v>drop:DB2:L7:light:1:L208</x:v>
      </x:c>
      <x:c r="B2491" s="8" t="n">
        <x:v>3</x:v>
      </x:c>
      <x:c r="C2491" s="11" t="n">
        <x:v>21.35</x:v>
      </x:c>
      <x:c r="D2491" s="11" t="n">
        <x:v>7.083548913043479</x:v>
      </x:c>
      <x:c r="E2491" s="11" t="n">
        <x:v>7.3</x:v>
      </x:c>
      <x:c r="F2491" s="11" t="n">
        <x:f>SQRT((C2491-C2490)^2+(D2491-D2490)^2+(E2491-E2490)^2)</x:f>
        <x:v>0.07413843690872174</x:v>
      </x:c>
      <x:c r="G2491" s="8" t="str">
        <x:v>Retired</x:v>
      </x:c>
    </x:row>
    <x:row r="2492" ht="32" customHeight="1">
      <x:c r="A2492" s="8" t="str">
        <x:v>drop:DB2:L7:light:1:L208</x:v>
      </x:c>
      <x:c r="B2492" s="8" t="n">
        <x:v>4</x:v>
      </x:c>
      <x:c r="C2492" s="11" t="n">
        <x:v>21.35</x:v>
      </x:c>
      <x:c r="D2492" s="11" t="n">
        <x:v>7.32</x:v>
      </x:c>
      <x:c r="E2492" s="11" t="n">
        <x:v>7.3</x:v>
      </x:c>
      <x:c r="F2492" s="11" t="n">
        <x:f>SQRT((C2492-C2491)^2+(D2492-D2491)^2+(E2492-E2491)^2)</x:f>
        <x:v>0.23645108695652173</x:v>
      </x:c>
      <x:c r="G2492" s="8" t="str">
        <x:v>Retired</x:v>
      </x:c>
    </x:row>
    <x:row r="2493" ht="32" customHeight="1">
      <x:c r="A2493" s="8" t="str">
        <x:v>drop:DB2:L7:light:1:L209</x:v>
      </x:c>
      <x:c r="B2493" s="8" t="n">
        <x:v>1</x:v>
      </x:c>
      <x:c r="C2493" s="11" t="n">
        <x:v>48.4</x:v>
      </x:c>
      <x:c r="D2493" s="11" t="n">
        <x:v>5.98</x:v>
      </x:c>
      <x:c r="E2493" s="11" t="n">
        <x:v>7.36</x:v>
      </x:c>
      <x:c r="F2493" s="11" t="n">
        <x:f>0</x:f>
        <x:v>0</x:v>
      </x:c>
      <x:c r="G2493" s="8" t="str">
        <x:v>Retired</x:v>
      </x:c>
    </x:row>
    <x:row r="2494" ht="32" customHeight="1">
      <x:c r="A2494" s="8" t="str">
        <x:v>drop:DB2:L7:light:1:L209</x:v>
      </x:c>
      <x:c r="B2494" s="8" t="n">
        <x:v>2</x:v>
      </x:c>
      <x:c r="C2494" s="11" t="n">
        <x:v>48.4</x:v>
      </x:c>
      <x:c r="D2494" s="11" t="n">
        <x:v>7.04</x:v>
      </x:c>
      <x:c r="E2494" s="11" t="n">
        <x:v>7.36</x:v>
      </x:c>
      <x:c r="F2494" s="11" t="n">
        <x:f>SQRT((C2494-C2493)^2+(D2494-D2493)^2+(E2494-E2493)^2)</x:f>
        <x:v>1.0599999999999996</x:v>
      </x:c>
      <x:c r="G2494" s="8" t="str">
        <x:v>Retired</x:v>
      </x:c>
    </x:row>
    <x:row r="2495" ht="32" customHeight="1">
      <x:c r="A2495" s="8" t="str">
        <x:v>drop:DB2:L7:light:1:L209</x:v>
      </x:c>
      <x:c r="B2495" s="8" t="n">
        <x:v>3</x:v>
      </x:c>
      <x:c r="C2495" s="11" t="n">
        <x:v>48.4</x:v>
      </x:c>
      <x:c r="D2495" s="11" t="n">
        <x:v>7.083548913043479</x:v>
      </x:c>
      <x:c r="E2495" s="11" t="n">
        <x:v>7.3</x:v>
      </x:c>
      <x:c r="F2495" s="11" t="n">
        <x:f>SQRT((C2495-C2494)^2+(D2495-D2494)^2+(E2495-E2494)^2)</x:f>
        <x:v>0.07413843690872174</x:v>
      </x:c>
      <x:c r="G2495" s="8" t="str">
        <x:v>Retired</x:v>
      </x:c>
    </x:row>
    <x:row r="2496" ht="32" customHeight="1">
      <x:c r="A2496" s="8" t="str">
        <x:v>drop:DB2:L7:light:1:L209</x:v>
      </x:c>
      <x:c r="B2496" s="8" t="n">
        <x:v>4</x:v>
      </x:c>
      <x:c r="C2496" s="11" t="n">
        <x:v>48.4</x:v>
      </x:c>
      <x:c r="D2496" s="11" t="n">
        <x:v>7.32</x:v>
      </x:c>
      <x:c r="E2496" s="11" t="n">
        <x:v>7.3</x:v>
      </x:c>
      <x:c r="F2496" s="11" t="n">
        <x:f>SQRT((C2496-C2495)^2+(D2496-D2495)^2+(E2496-E2495)^2)</x:f>
        <x:v>0.23645108695652173</x:v>
      </x:c>
      <x:c r="G2496" s="8" t="str">
        <x:v>Retired</x:v>
      </x:c>
    </x:row>
    <x:row r="2497" ht="32" customHeight="1">
      <x:c r="A2497" s="8" t="str">
        <x:v>drop:DB2:L7:light:1:L210</x:v>
      </x:c>
      <x:c r="B2497" s="8" t="n">
        <x:v>1</x:v>
      </x:c>
      <x:c r="C2497" s="11" t="n">
        <x:v>21.35</x:v>
      </x:c>
      <x:c r="D2497" s="11" t="n">
        <x:v>5.98</x:v>
      </x:c>
      <x:c r="E2497" s="11" t="n">
        <x:v>7.36</x:v>
      </x:c>
      <x:c r="F2497" s="11" t="n">
        <x:f>0</x:f>
        <x:v>0</x:v>
      </x:c>
      <x:c r="G2497" s="8" t="str">
        <x:v>Retired</x:v>
      </x:c>
    </x:row>
    <x:row r="2498" ht="32" customHeight="1">
      <x:c r="A2498" s="8" t="str">
        <x:v>drop:DB2:L7:light:1:L210</x:v>
      </x:c>
      <x:c r="B2498" s="8" t="n">
        <x:v>2</x:v>
      </x:c>
      <x:c r="C2498" s="11" t="n">
        <x:v>21.35</x:v>
      </x:c>
      <x:c r="D2498" s="11" t="n">
        <x:v>7.04</x:v>
      </x:c>
      <x:c r="E2498" s="11" t="n">
        <x:v>7.36</x:v>
      </x:c>
      <x:c r="F2498" s="11" t="n">
        <x:f>SQRT((C2498-C2497)^2+(D2498-D2497)^2+(E2498-E2497)^2)</x:f>
        <x:v>1.0599999999999996</x:v>
      </x:c>
      <x:c r="G2498" s="8" t="str">
        <x:v>Retired</x:v>
      </x:c>
    </x:row>
    <x:row r="2499" ht="32" customHeight="1">
      <x:c r="A2499" s="8" t="str">
        <x:v>drop:DB2:L7:light:1:L210</x:v>
      </x:c>
      <x:c r="B2499" s="8" t="n">
        <x:v>3</x:v>
      </x:c>
      <x:c r="C2499" s="11" t="n">
        <x:v>21.35</x:v>
      </x:c>
      <x:c r="D2499" s="11" t="n">
        <x:v>6.932426896644658</x:v>
      </x:c>
      <x:c r="E2499" s="11" t="n">
        <x:v>7.439024390243903</x:v>
      </x:c>
      <x:c r="F2499" s="11" t="n">
        <x:f>SQRT((C2499-C2498)^2+(D2499-D2498)^2+(E2499-E2498)^2)</x:f>
        <x:v>0.1334796869149751</x:v>
      </x:c>
      <x:c r="G2499" s="8" t="str">
        <x:v>Retired</x:v>
      </x:c>
    </x:row>
    <x:row r="2500" ht="32" customHeight="1">
      <x:c r="A2500" s="8" t="str">
        <x:v>drop:DB2:L7:light:1:L210</x:v>
      </x:c>
      <x:c r="B2500" s="8" t="n">
        <x:v>4</x:v>
      </x:c>
      <x:c r="C2500" s="11" t="n">
        <x:v>21.35</x:v>
      </x:c>
      <x:c r="D2500" s="11" t="n">
        <x:v>6.22950276243094</x:v>
      </x:c>
      <x:c r="E2500" s="11" t="n">
        <x:v>10.6</x:v>
      </x:c>
      <x:c r="F2500" s="11" t="n">
        <x:f>SQRT((C2500-C2499)^2+(D2500-D2499)^2+(E2500-E2499)^2)</x:f>
        <x:v>3.2381891766746786</x:v>
      </x:c>
      <x:c r="G2500" s="8" t="str">
        <x:v>Retired</x:v>
      </x:c>
    </x:row>
    <x:row r="2501" ht="32" customHeight="1">
      <x:c r="A2501" s="8" t="str">
        <x:v>drop:DB2:L7:light:1:L210</x:v>
      </x:c>
      <x:c r="B2501" s="8" t="n">
        <x:v>5</x:v>
      </x:c>
      <x:c r="C2501" s="11" t="n">
        <x:v>21.35</x:v>
      </x:c>
      <x:c r="D2501" s="11" t="n">
        <x:v>6.47</x:v>
      </x:c>
      <x:c r="E2501" s="11" t="n">
        <x:v>10.6</x:v>
      </x:c>
      <x:c r="F2501" s="11" t="n">
        <x:f>SQRT((C2501-C2500)^2+(D2501-D2500)^2+(E2501-E2500)^2)</x:f>
        <x:v>0.24049723756905994</x:v>
      </x:c>
      <x:c r="G2501" s="8" t="str">
        <x:v>Retired</x:v>
      </x:c>
    </x:row>
    <x:row r="2502" ht="32" customHeight="1">
      <x:c r="A2502" s="8" t="str">
        <x:v>drop:DB2:L7:light:1:L211</x:v>
      </x:c>
      <x:c r="B2502" s="8" t="n">
        <x:v>1</x:v>
      </x:c>
      <x:c r="C2502" s="11" t="n">
        <x:v>48.4</x:v>
      </x:c>
      <x:c r="D2502" s="11" t="n">
        <x:v>5.98</x:v>
      </x:c>
      <x:c r="E2502" s="11" t="n">
        <x:v>7.36</x:v>
      </x:c>
      <x:c r="F2502" s="11" t="n">
        <x:f>0</x:f>
        <x:v>0</x:v>
      </x:c>
      <x:c r="G2502" s="8" t="str">
        <x:v>Retired</x:v>
      </x:c>
    </x:row>
    <x:row r="2503" ht="32" customHeight="1">
      <x:c r="A2503" s="8" t="str">
        <x:v>drop:DB2:L7:light:1:L211</x:v>
      </x:c>
      <x:c r="B2503" s="8" t="n">
        <x:v>2</x:v>
      </x:c>
      <x:c r="C2503" s="11" t="n">
        <x:v>48.4</x:v>
      </x:c>
      <x:c r="D2503" s="11" t="n">
        <x:v>7.04</x:v>
      </x:c>
      <x:c r="E2503" s="11" t="n">
        <x:v>7.36</x:v>
      </x:c>
      <x:c r="F2503" s="11" t="n">
        <x:f>SQRT((C2503-C2502)^2+(D2503-D2502)^2+(E2503-E2502)^2)</x:f>
        <x:v>1.0599999999999996</x:v>
      </x:c>
      <x:c r="G2503" s="8" t="str">
        <x:v>Retired</x:v>
      </x:c>
    </x:row>
    <x:row r="2504" ht="32" customHeight="1">
      <x:c r="A2504" s="8" t="str">
        <x:v>drop:DB2:L7:light:1:L211</x:v>
      </x:c>
      <x:c r="B2504" s="8" t="n">
        <x:v>3</x:v>
      </x:c>
      <x:c r="C2504" s="11" t="n">
        <x:v>48.4</x:v>
      </x:c>
      <x:c r="D2504" s="11" t="n">
        <x:v>6.932426896644658</x:v>
      </x:c>
      <x:c r="E2504" s="11" t="n">
        <x:v>7.439024390243903</x:v>
      </x:c>
      <x:c r="F2504" s="11" t="n">
        <x:f>SQRT((C2504-C2503)^2+(D2504-D2503)^2+(E2504-E2503)^2)</x:f>
        <x:v>0.1334796869149751</x:v>
      </x:c>
      <x:c r="G2504" s="8" t="str">
        <x:v>Retired</x:v>
      </x:c>
    </x:row>
    <x:row r="2505" ht="32" customHeight="1">
      <x:c r="A2505" s="8" t="str">
        <x:v>drop:DB2:L7:light:1:L211</x:v>
      </x:c>
      <x:c r="B2505" s="8" t="n">
        <x:v>4</x:v>
      </x:c>
      <x:c r="C2505" s="11" t="n">
        <x:v>48.4</x:v>
      </x:c>
      <x:c r="D2505" s="11" t="n">
        <x:v>6.22950276243094</x:v>
      </x:c>
      <x:c r="E2505" s="11" t="n">
        <x:v>10.6</x:v>
      </x:c>
      <x:c r="F2505" s="11" t="n">
        <x:f>SQRT((C2505-C2504)^2+(D2505-D2504)^2+(E2505-E2504)^2)</x:f>
        <x:v>3.2381891766746786</x:v>
      </x:c>
      <x:c r="G2505" s="8" t="str">
        <x:v>Retired</x:v>
      </x:c>
    </x:row>
    <x:row r="2506" ht="32" customHeight="1">
      <x:c r="A2506" s="8" t="str">
        <x:v>drop:DB2:L7:light:1:L211</x:v>
      </x:c>
      <x:c r="B2506" s="8" t="n">
        <x:v>5</x:v>
      </x:c>
      <x:c r="C2506" s="11" t="n">
        <x:v>48.4</x:v>
      </x:c>
      <x:c r="D2506" s="11" t="n">
        <x:v>6.47</x:v>
      </x:c>
      <x:c r="E2506" s="11" t="n">
        <x:v>10.6</x:v>
      </x:c>
      <x:c r="F2506" s="11" t="n">
        <x:f>SQRT((C2506-C2505)^2+(D2506-D2505)^2+(E2506-E2505)^2)</x:f>
        <x:v>0.24049723756905994</x:v>
      </x:c>
      <x:c r="G2506" s="8" t="str">
        <x:v>Retired</x:v>
      </x:c>
    </x:row>
    <x:row r="2507" ht="32" customHeight="1">
      <x:c r="A2507" s="8" t="str">
        <x:v>drop:DB2:L7:light:1:L212</x:v>
      </x:c>
      <x:c r="B2507" s="8" t="n">
        <x:v>1</x:v>
      </x:c>
      <x:c r="C2507" s="11" t="n">
        <x:v>53.016</x:v>
      </x:c>
      <x:c r="D2507" s="11" t="n">
        <x:v>5.98</x:v>
      </x:c>
      <x:c r="E2507" s="11" t="n">
        <x:v>7.36</x:v>
      </x:c>
      <x:c r="F2507" s="11" t="n">
        <x:f>0</x:f>
        <x:v>0</x:v>
      </x:c>
      <x:c r="G2507" s="8" t="str">
        <x:v>Retired</x:v>
      </x:c>
    </x:row>
    <x:row r="2508" ht="32" customHeight="1">
      <x:c r="A2508" s="8" t="str">
        <x:v>drop:DB2:L7:light:1:L212</x:v>
      </x:c>
      <x:c r="B2508" s="8" t="n">
        <x:v>2</x:v>
      </x:c>
      <x:c r="C2508" s="11" t="n">
        <x:v>53.016</x:v>
      </x:c>
      <x:c r="D2508" s="11" t="n">
        <x:v>5.98</x:v>
      </x:c>
      <x:c r="E2508" s="11" t="n">
        <x:v>3.65</x:v>
      </x:c>
      <x:c r="F2508" s="11" t="n">
        <x:f>SQRT((C2508-C2507)^2+(D2508-D2507)^2+(E2508-E2507)^2)</x:f>
        <x:v>3.7100000000000004</x:v>
      </x:c>
      <x:c r="G2508" s="8" t="str">
        <x:v>Retired</x:v>
      </x:c>
    </x:row>
    <x:row r="2509" ht="32" customHeight="1">
      <x:c r="A2509" s="8" t="str">
        <x:v>drop:DB2:L7:light:1:L212</x:v>
      </x:c>
      <x:c r="B2509" s="8" t="n">
        <x:v>3</x:v>
      </x:c>
      <x:c r="C2509" s="11" t="n">
        <x:v>53.016</x:v>
      </x:c>
      <x:c r="D2509" s="11" t="n">
        <x:v>10</x:v>
      </x:c>
      <x:c r="E2509" s="11" t="n">
        <x:v>3.65</x:v>
      </x:c>
      <x:c r="F2509" s="11" t="n">
        <x:f>SQRT((C2509-C2508)^2+(D2509-D2508)^2+(E2509-E2508)^2)</x:f>
        <x:v>4.02</x:v>
      </x:c>
      <x:c r="G2509" s="8" t="str">
        <x:v>Retired</x:v>
      </x:c>
    </x:row>
    <x:row r="2510" ht="32" customHeight="1">
      <x:c r="A2510" s="8" t="str">
        <x:v>drop:DB2:L7:light:1:L212</x:v>
      </x:c>
      <x:c r="B2510" s="8" t="n">
        <x:v>4</x:v>
      </x:c>
      <x:c r="C2510" s="11" t="n">
        <x:v>53.45</x:v>
      </x:c>
      <x:c r="D2510" s="11" t="n">
        <x:v>10</x:v>
      </x:c>
      <x:c r="E2510" s="11" t="n">
        <x:v>3.65</x:v>
      </x:c>
      <x:c r="F2510" s="11" t="n">
        <x:f>SQRT((C2510-C2509)^2+(D2510-D2509)^2+(E2510-E2509)^2)</x:f>
        <x:v>0.4340000000000046</x:v>
      </x:c>
      <x:c r="G2510" s="8" t="str">
        <x:v>Retired</x:v>
      </x:c>
    </x:row>
    <x:row r="2511" ht="32" customHeight="1">
      <x:c r="A2511" s="8" t="str">
        <x:v>drop:DB2:L7:light:1:L213</x:v>
      </x:c>
      <x:c r="B2511" s="8" t="n">
        <x:v>1</x:v>
      </x:c>
      <x:c r="C2511" s="11" t="n">
        <x:v>2.35</x:v>
      </x:c>
      <x:c r="D2511" s="11" t="n">
        <x:v>5.98</x:v>
      </x:c>
      <x:c r="E2511" s="11" t="n">
        <x:v>7.36</x:v>
      </x:c>
      <x:c r="F2511" s="11" t="n">
        <x:f>0</x:f>
        <x:v>0</x:v>
      </x:c>
      <x:c r="G2511" s="8" t="str">
        <x:v>Retired</x:v>
      </x:c>
    </x:row>
    <x:row r="2512" ht="32" customHeight="1">
      <x:c r="A2512" s="8" t="str">
        <x:v>drop:DB2:L7:light:1:L213</x:v>
      </x:c>
      <x:c r="B2512" s="8" t="n">
        <x:v>2</x:v>
      </x:c>
      <x:c r="C2512" s="11" t="n">
        <x:v>2.35</x:v>
      </x:c>
      <x:c r="D2512" s="11" t="n">
        <x:v>7.65</x:v>
      </x:c>
      <x:c r="E2512" s="11" t="n">
        <x:v>7.36</x:v>
      </x:c>
      <x:c r="F2512" s="11" t="n">
        <x:f>SQRT((C2512-C2511)^2+(D2512-D2511)^2+(E2512-E2511)^2)</x:f>
        <x:v>1.67</x:v>
      </x:c>
      <x:c r="G2512" s="8" t="str">
        <x:v>Retired</x:v>
      </x:c>
    </x:row>
    <x:row r="2513" ht="32" customHeight="1">
      <x:c r="A2513" s="8" t="str">
        <x:v>drop:DB2:L7:light:1:L213</x:v>
      </x:c>
      <x:c r="B2513" s="8" t="n">
        <x:v>3</x:v>
      </x:c>
      <x:c r="C2513" s="11" t="n">
        <x:v>2.35</x:v>
      </x:c>
      <x:c r="D2513" s="11" t="n">
        <x:v>7.65</x:v>
      </x:c>
      <x:c r="E2513" s="11" t="n">
        <x:v>7.703</x:v>
      </x:c>
      <x:c r="F2513" s="11" t="n">
        <x:f>SQRT((C2513-C2512)^2+(D2513-D2512)^2+(E2513-E2512)^2)</x:f>
        <x:v>0.34299999999999997</x:v>
      </x:c>
      <x:c r="G2513" s="8" t="str">
        <x:v>Retired</x:v>
      </x:c>
    </x:row>
    <x:row r="2514" ht="32" customHeight="1">
      <x:c r="A2514" s="8" t="str">
        <x:v>drop:DB2:L7:light:1:L213</x:v>
      </x:c>
      <x:c r="B2514" s="8" t="n">
        <x:v>4</x:v>
      </x:c>
      <x:c r="C2514" s="11" t="n">
        <x:v>0</x:v>
      </x:c>
      <x:c r="D2514" s="11" t="n">
        <x:v>7.65</x:v>
      </x:c>
      <x:c r="E2514" s="11" t="n">
        <x:v>7.703</x:v>
      </x:c>
      <x:c r="F2514" s="11" t="n">
        <x:f>SQRT((C2514-C2513)^2+(D2514-D2513)^2+(E2514-E2513)^2)</x:f>
        <x:v>2.35</x:v>
      </x:c>
      <x:c r="G2514" s="8" t="str">
        <x:v>Retired</x:v>
      </x:c>
    </x:row>
    <x:row r="2515" ht="32" customHeight="1">
      <x:c r="A2515" s="8" t="str">
        <x:v>drop:DB2:L7:light:1:L213</x:v>
      </x:c>
      <x:c r="B2515" s="8" t="n">
        <x:v>5</x:v>
      </x:c>
      <x:c r="C2515" s="11" t="n">
        <x:v>0</x:v>
      </x:c>
      <x:c r="D2515" s="11" t="n">
        <x:v>7.65</x:v>
      </x:c>
      <x:c r="E2515" s="11" t="n">
        <x:v>7.9430000000000005</x:v>
      </x:c>
      <x:c r="F2515" s="11" t="n">
        <x:f>SQRT((C2515-C2514)^2+(D2515-D2514)^2+(E2515-E2514)^2)</x:f>
        <x:v>0.2400000000000002</x:v>
      </x:c>
      <x:c r="G2515" s="8" t="str">
        <x:v>Retired</x:v>
      </x:c>
    </x:row>
    <x:row r="2516" ht="32" customHeight="1">
      <x:c r="A2516" s="8" t="str">
        <x:v>drop:DB2:L7:light:1:L213</x:v>
      </x:c>
      <x:c r="B2516" s="8" t="n">
        <x:v>6</x:v>
      </x:c>
      <x:c r="C2516" s="11" t="n">
        <x:v>0</x:v>
      </x:c>
      <x:c r="D2516" s="11" t="n">
        <x:v>4.195</x:v>
      </x:c>
      <x:c r="E2516" s="11" t="n">
        <x:v>7.9430000000000005</x:v>
      </x:c>
      <x:c r="F2516" s="11" t="n">
        <x:f>SQRT((C2516-C2515)^2+(D2516-D2515)^2+(E2516-E2515)^2)</x:f>
        <x:v>3.455</x:v>
      </x:c>
      <x:c r="G2516" s="8" t="str">
        <x:v>Retired</x:v>
      </x:c>
    </x:row>
    <x:row r="2517" ht="32" customHeight="1">
      <x:c r="A2517" s="8" t="str">
        <x:v>drop:DB2:L7:light:1:L213</x:v>
      </x:c>
      <x:c r="B2517" s="8" t="n">
        <x:v>7</x:v>
      </x:c>
      <x:c r="C2517" s="11" t="n">
        <x:v>0</x:v>
      </x:c>
      <x:c r="D2517" s="11" t="n">
        <x:v>4.195</x:v>
      </x:c>
      <x:c r="E2517" s="11" t="n">
        <x:v>7.578</x:v>
      </x:c>
      <x:c r="F2517" s="11" t="n">
        <x:f>SQRT((C2517-C2516)^2+(D2517-D2516)^2+(E2517-E2516)^2)</x:f>
        <x:v>0.3650000000000002</x:v>
      </x:c>
      <x:c r="G2517" s="8" t="str">
        <x:v>Retired</x:v>
      </x:c>
    </x:row>
    <x:row r="2518" ht="32" customHeight="1">
      <x:c r="A2518" s="8" t="str">
        <x:v>drop:DB2:L7:light:1:L213</x:v>
      </x:c>
      <x:c r="B2518" s="8" t="n">
        <x:v>8</x:v>
      </x:c>
      <x:c r="C2518" s="11" t="n">
        <x:v>-0.78</x:v>
      </x:c>
      <x:c r="D2518" s="11" t="n">
        <x:v>4.195</x:v>
      </x:c>
      <x:c r="E2518" s="11" t="n">
        <x:v>7.578</x:v>
      </x:c>
      <x:c r="F2518" s="11" t="n">
        <x:f>SQRT((C2518-C2517)^2+(D2518-D2517)^2+(E2518-E2517)^2)</x:f>
        <x:v>0.78</x:v>
      </x:c>
      <x:c r="G2518" s="8" t="str">
        <x:v>Retired</x:v>
      </x:c>
    </x:row>
    <x:row r="2519" ht="32" customHeight="1">
      <x:c r="A2519" s="8" t="str">
        <x:v>drop:DB2:L7:light:1:L214</x:v>
      </x:c>
      <x:c r="B2519" s="8" t="n">
        <x:v>1</x:v>
      </x:c>
      <x:c r="C2519" s="11" t="n">
        <x:v>2.35</x:v>
      </x:c>
      <x:c r="D2519" s="11" t="n">
        <x:v>5.98</x:v>
      </x:c>
      <x:c r="E2519" s="11" t="n">
        <x:v>7.36</x:v>
      </x:c>
      <x:c r="F2519" s="11" t="n">
        <x:f>0</x:f>
        <x:v>0</x:v>
      </x:c>
      <x:c r="G2519" s="8" t="str">
        <x:v>Retired</x:v>
      </x:c>
    </x:row>
    <x:row r="2520" ht="32" customHeight="1">
      <x:c r="A2520" s="8" t="str">
        <x:v>drop:DB2:L7:light:1:L214</x:v>
      </x:c>
      <x:c r="B2520" s="8" t="n">
        <x:v>2</x:v>
      </x:c>
      <x:c r="C2520" s="11" t="n">
        <x:v>2.35</x:v>
      </x:c>
      <x:c r="D2520" s="11" t="n">
        <x:v>7.65</x:v>
      </x:c>
      <x:c r="E2520" s="11" t="n">
        <x:v>7.36</x:v>
      </x:c>
      <x:c r="F2520" s="11" t="n">
        <x:f>SQRT((C2520-C2519)^2+(D2520-D2519)^2+(E2520-E2519)^2)</x:f>
        <x:v>1.67</x:v>
      </x:c>
      <x:c r="G2520" s="8" t="str">
        <x:v>Retired</x:v>
      </x:c>
    </x:row>
    <x:row r="2521" ht="32" customHeight="1">
      <x:c r="A2521" s="8" t="str">
        <x:v>drop:DB2:L7:light:1:L214</x:v>
      </x:c>
      <x:c r="B2521" s="8" t="n">
        <x:v>3</x:v>
      </x:c>
      <x:c r="C2521" s="11" t="n">
        <x:v>2.35</x:v>
      </x:c>
      <x:c r="D2521" s="11" t="n">
        <x:v>7.65</x:v>
      </x:c>
      <x:c r="E2521" s="11" t="n">
        <x:v>7.703</x:v>
      </x:c>
      <x:c r="F2521" s="11" t="n">
        <x:f>SQRT((C2521-C2520)^2+(D2521-D2520)^2+(E2521-E2520)^2)</x:f>
        <x:v>0.34299999999999997</x:v>
      </x:c>
      <x:c r="G2521" s="8" t="str">
        <x:v>Retired</x:v>
      </x:c>
    </x:row>
    <x:row r="2522" ht="32" customHeight="1">
      <x:c r="A2522" s="8" t="str">
        <x:v>drop:DB2:L7:light:1:L214</x:v>
      </x:c>
      <x:c r="B2522" s="8" t="n">
        <x:v>4</x:v>
      </x:c>
      <x:c r="C2522" s="11" t="n">
        <x:v>0</x:v>
      </x:c>
      <x:c r="D2522" s="11" t="n">
        <x:v>7.65</x:v>
      </x:c>
      <x:c r="E2522" s="11" t="n">
        <x:v>7.703</x:v>
      </x:c>
      <x:c r="F2522" s="11" t="n">
        <x:f>SQRT((C2522-C2521)^2+(D2522-D2521)^2+(E2522-E2521)^2)</x:f>
        <x:v>2.35</x:v>
      </x:c>
      <x:c r="G2522" s="8" t="str">
        <x:v>Retired</x:v>
      </x:c>
    </x:row>
    <x:row r="2523" ht="32" customHeight="1">
      <x:c r="A2523" s="8" t="str">
        <x:v>drop:DB2:L7:light:1:L214</x:v>
      </x:c>
      <x:c r="B2523" s="8" t="n">
        <x:v>5</x:v>
      </x:c>
      <x:c r="C2523" s="11" t="n">
        <x:v>0</x:v>
      </x:c>
      <x:c r="D2523" s="11" t="n">
        <x:v>7.65</x:v>
      </x:c>
      <x:c r="E2523" s="11" t="n">
        <x:v>12.363</x:v>
      </x:c>
      <x:c r="F2523" s="11" t="n">
        <x:f>SQRT((C2523-C2522)^2+(D2523-D2522)^2+(E2523-E2522)^2)</x:f>
        <x:v>4.659999999999999</x:v>
      </x:c>
      <x:c r="G2523" s="8" t="str">
        <x:v>Retired</x:v>
      </x:c>
    </x:row>
    <x:row r="2524" ht="32" customHeight="1">
      <x:c r="A2524" s="8" t="str">
        <x:v>drop:DB2:L7:light:1:L214</x:v>
      </x:c>
      <x:c r="B2524" s="8" t="n">
        <x:v>6</x:v>
      </x:c>
      <x:c r="C2524" s="11" t="n">
        <x:v>0</x:v>
      </x:c>
      <x:c r="D2524" s="11" t="n">
        <x:v>4.195</x:v>
      </x:c>
      <x:c r="E2524" s="11" t="n">
        <x:v>12.363</x:v>
      </x:c>
      <x:c r="F2524" s="11" t="n">
        <x:f>SQRT((C2524-C2523)^2+(D2524-D2523)^2+(E2524-E2523)^2)</x:f>
        <x:v>3.455</x:v>
      </x:c>
      <x:c r="G2524" s="8" t="str">
        <x:v>Retired</x:v>
      </x:c>
    </x:row>
    <x:row r="2525" ht="32" customHeight="1">
      <x:c r="A2525" s="8" t="str">
        <x:v>drop:DB2:L7:light:1:L214</x:v>
      </x:c>
      <x:c r="B2525" s="8" t="n">
        <x:v>7</x:v>
      </x:c>
      <x:c r="C2525" s="11" t="n">
        <x:v>0</x:v>
      </x:c>
      <x:c r="D2525" s="11" t="n">
        <x:v>4.195</x:v>
      </x:c>
      <x:c r="E2525" s="11" t="n">
        <x:v>12.728000000000002</x:v>
      </x:c>
      <x:c r="F2525" s="11" t="n">
        <x:f>SQRT((C2525-C2524)^2+(D2525-D2524)^2+(E2525-E2524)^2)</x:f>
        <x:v>0.365000000000002</x:v>
      </x:c>
      <x:c r="G2525" s="8" t="str">
        <x:v>Retired</x:v>
      </x:c>
    </x:row>
    <x:row r="2526" ht="32" customHeight="1">
      <x:c r="A2526" s="8" t="str">
        <x:v>drop:DB2:L7:light:1:L214</x:v>
      </x:c>
      <x:c r="B2526" s="8" t="n">
        <x:v>8</x:v>
      </x:c>
      <x:c r="C2526" s="11" t="n">
        <x:v>-0.78</x:v>
      </x:c>
      <x:c r="D2526" s="11" t="n">
        <x:v>4.195</x:v>
      </x:c>
      <x:c r="E2526" s="11" t="n">
        <x:v>12.728000000000002</x:v>
      </x:c>
      <x:c r="F2526" s="11" t="n">
        <x:f>SQRT((C2526-C2525)^2+(D2526-D2525)^2+(E2526-E2525)^2)</x:f>
        <x:v>0.78</x:v>
      </x:c>
      <x:c r="G2526" s="8" t="str">
        <x:v>Retired</x:v>
      </x:c>
    </x:row>
    <x:row r="2527" ht="32" customHeight="1">
      <x:c r="A2527" s="8" t="str">
        <x:v>drop:DB2:L7:light:1:L215</x:v>
      </x:c>
      <x:c r="B2527" s="8" t="n">
        <x:v>1</x:v>
      </x:c>
      <x:c r="C2527" s="11" t="n">
        <x:v>2.35</x:v>
      </x:c>
      <x:c r="D2527" s="11" t="n">
        <x:v>5.98</x:v>
      </x:c>
      <x:c r="E2527" s="11" t="n">
        <x:v>7.36</x:v>
      </x:c>
      <x:c r="F2527" s="11" t="n">
        <x:f>0</x:f>
        <x:v>0</x:v>
      </x:c>
      <x:c r="G2527" s="8" t="str">
        <x:v>Retired</x:v>
      </x:c>
    </x:row>
    <x:row r="2528" ht="32" customHeight="1">
      <x:c r="A2528" s="8" t="str">
        <x:v>drop:DB2:L7:light:1:L215</x:v>
      </x:c>
      <x:c r="B2528" s="8" t="n">
        <x:v>2</x:v>
      </x:c>
      <x:c r="C2528" s="11" t="n">
        <x:v>2.35</x:v>
      </x:c>
      <x:c r="D2528" s="11" t="n">
        <x:v>7.65</x:v>
      </x:c>
      <x:c r="E2528" s="11" t="n">
        <x:v>7.36</x:v>
      </x:c>
      <x:c r="F2528" s="11" t="n">
        <x:f>SQRT((C2528-C2527)^2+(D2528-D2527)^2+(E2528-E2527)^2)</x:f>
        <x:v>1.67</x:v>
      </x:c>
      <x:c r="G2528" s="8" t="str">
        <x:v>Retired</x:v>
      </x:c>
    </x:row>
    <x:row r="2529" ht="32" customHeight="1">
      <x:c r="A2529" s="8" t="str">
        <x:v>drop:DB2:L7:light:1:L215</x:v>
      </x:c>
      <x:c r="B2529" s="8" t="n">
        <x:v>3</x:v>
      </x:c>
      <x:c r="C2529" s="11" t="n">
        <x:v>2.35</x:v>
      </x:c>
      <x:c r="D2529" s="11" t="n">
        <x:v>7.65</x:v>
      </x:c>
      <x:c r="E2529" s="11" t="n">
        <x:v>7.703</x:v>
      </x:c>
      <x:c r="F2529" s="11" t="n">
        <x:f>SQRT((C2529-C2528)^2+(D2529-D2528)^2+(E2529-E2528)^2)</x:f>
        <x:v>0.34299999999999997</x:v>
      </x:c>
      <x:c r="G2529" s="8" t="str">
        <x:v>Retired</x:v>
      </x:c>
    </x:row>
    <x:row r="2530" ht="32" customHeight="1">
      <x:c r="A2530" s="8" t="str">
        <x:v>drop:DB2:L7:light:1:L215</x:v>
      </x:c>
      <x:c r="B2530" s="8" t="n">
        <x:v>4</x:v>
      </x:c>
      <x:c r="C2530" s="11" t="n">
        <x:v>0</x:v>
      </x:c>
      <x:c r="D2530" s="11" t="n">
        <x:v>7.65</x:v>
      </x:c>
      <x:c r="E2530" s="11" t="n">
        <x:v>7.703</x:v>
      </x:c>
      <x:c r="F2530" s="11" t="n">
        <x:f>SQRT((C2530-C2529)^2+(D2530-D2529)^2+(E2530-E2529)^2)</x:f>
        <x:v>2.35</x:v>
      </x:c>
      <x:c r="G2530" s="8" t="str">
        <x:v>Retired</x:v>
      </x:c>
    </x:row>
    <x:row r="2531" ht="32" customHeight="1">
      <x:c r="A2531" s="8" t="str">
        <x:v>drop:DB2:L7:light:1:L215</x:v>
      </x:c>
      <x:c r="B2531" s="8" t="n">
        <x:v>5</x:v>
      </x:c>
      <x:c r="C2531" s="11" t="n">
        <x:v>0</x:v>
      </x:c>
      <x:c r="D2531" s="11" t="n">
        <x:v>7.65</x:v>
      </x:c>
      <x:c r="E2531" s="11" t="n">
        <x:v>7.9430000000000005</x:v>
      </x:c>
      <x:c r="F2531" s="11" t="n">
        <x:f>SQRT((C2531-C2530)^2+(D2531-D2530)^2+(E2531-E2530)^2)</x:f>
        <x:v>0.2400000000000002</x:v>
      </x:c>
      <x:c r="G2531" s="8" t="str">
        <x:v>Retired</x:v>
      </x:c>
    </x:row>
    <x:row r="2532" ht="32" customHeight="1">
      <x:c r="A2532" s="8" t="str">
        <x:v>drop:DB2:L7:light:1:L215</x:v>
      </x:c>
      <x:c r="B2532" s="8" t="n">
        <x:v>6</x:v>
      </x:c>
      <x:c r="C2532" s="11" t="n">
        <x:v>0</x:v>
      </x:c>
      <x:c r="D2532" s="11" t="n">
        <x:v>8.4</x:v>
      </x:c>
      <x:c r="E2532" s="11" t="n">
        <x:v>7.9430000000000005</x:v>
      </x:c>
      <x:c r="F2532" s="11" t="n">
        <x:f>SQRT((C2532-C2531)^2+(D2532-D2531)^2+(E2532-E2531)^2)</x:f>
        <x:v>0.75</x:v>
      </x:c>
      <x:c r="G2532" s="8" t="str">
        <x:v>Retired</x:v>
      </x:c>
    </x:row>
    <x:row r="2533" ht="32" customHeight="1">
      <x:c r="A2533" s="8" t="str">
        <x:v>drop:DB2:L7:light:1:L215</x:v>
      </x:c>
      <x:c r="B2533" s="8" t="n">
        <x:v>7</x:v>
      </x:c>
      <x:c r="C2533" s="11" t="n">
        <x:v>0.09</x:v>
      </x:c>
      <x:c r="D2533" s="11" t="n">
        <x:v>8.4</x:v>
      </x:c>
      <x:c r="E2533" s="11" t="n">
        <x:v>7.9430000000000005</x:v>
      </x:c>
      <x:c r="F2533" s="11" t="n">
        <x:f>SQRT((C2533-C2532)^2+(D2533-D2532)^2+(E2533-E2532)^2)</x:f>
        <x:v>0.09</x:v>
      </x:c>
      <x:c r="G2533" s="8" t="str">
        <x:v>Retired</x:v>
      </x:c>
    </x:row>
    <x:row r="2534" ht="32" customHeight="1">
      <x:c r="A2534" s="8" t="str">
        <x:v>drop:DB2:L7:light:1:L215</x:v>
      </x:c>
      <x:c r="B2534" s="8" t="n">
        <x:v>8</x:v>
      </x:c>
      <x:c r="C2534" s="11" t="n">
        <x:v>0.09</x:v>
      </x:c>
      <x:c r="D2534" s="11" t="n">
        <x:v>8.4</x:v>
      </x:c>
      <x:c r="E2534" s="11" t="n">
        <x:v>8.068000000000001</x:v>
      </x:c>
      <x:c r="F2534" s="11" t="n">
        <x:f>SQRT((C2534-C2533)^2+(D2534-D2533)^2+(E2534-E2533)^2)</x:f>
        <x:v>0.1250000000000009</x:v>
      </x:c>
      <x:c r="G2534" s="8" t="str">
        <x:v>Retired</x:v>
      </x:c>
    </x:row>
    <x:row r="2535" ht="32" customHeight="1">
      <x:c r="A2535" s="8" t="str">
        <x:v>drop:DB2:L7:light:1:L215</x:v>
      </x:c>
      <x:c r="B2535" s="8" t="n">
        <x:v>9</x:v>
      </x:c>
      <x:c r="C2535" s="11" t="n">
        <x:v>0.09</x:v>
      </x:c>
      <x:c r="D2535" s="11" t="n">
        <x:v>12.115</x:v>
      </x:c>
      <x:c r="E2535" s="11" t="n">
        <x:v>8.068000000000001</x:v>
      </x:c>
      <x:c r="F2535" s="11" t="n">
        <x:f>SQRT((C2535-C2534)^2+(D2535-D2534)^2+(E2535-E2534)^2)</x:f>
        <x:v>3.715</x:v>
      </x:c>
      <x:c r="G2535" s="8" t="str">
        <x:v>Retired</x:v>
      </x:c>
    </x:row>
    <x:row r="2536" ht="32" customHeight="1">
      <x:c r="A2536" s="8" t="str">
        <x:v>drop:DB2:L7:light:1:L215</x:v>
      </x:c>
      <x:c r="B2536" s="8" t="n">
        <x:v>10</x:v>
      </x:c>
      <x:c r="C2536" s="11" t="n">
        <x:v>0.09</x:v>
      </x:c>
      <x:c r="D2536" s="11" t="n">
        <x:v>12.115</x:v>
      </x:c>
      <x:c r="E2536" s="11" t="n">
        <x:v>7.728000000000001</x:v>
      </x:c>
      <x:c r="F2536" s="11" t="n">
        <x:f>SQRT((C2536-C2535)^2+(D2536-D2535)^2+(E2536-E2535)^2)</x:f>
        <x:v>0.34000000000000075</x:v>
      </x:c>
      <x:c r="G2536" s="8" t="str">
        <x:v>Retired</x:v>
      </x:c>
    </x:row>
    <x:row r="2537" ht="32" customHeight="1">
      <x:c r="A2537" s="8" t="str">
        <x:v>drop:DB2:L7:light:1:L215</x:v>
      </x:c>
      <x:c r="B2537" s="8" t="n">
        <x:v>11</x:v>
      </x:c>
      <x:c r="C2537" s="11" t="n">
        <x:v>-0.4199999999999997</x:v>
      </x:c>
      <x:c r="D2537" s="11" t="n">
        <x:v>12.115</x:v>
      </x:c>
      <x:c r="E2537" s="11" t="n">
        <x:v>7.728000000000001</x:v>
      </x:c>
      <x:c r="F2537" s="11" t="n">
        <x:f>SQRT((C2537-C2536)^2+(D2537-D2536)^2+(E2537-E2536)^2)</x:f>
        <x:v>0.5099999999999997</x:v>
      </x:c>
      <x:c r="G2537" s="8" t="str">
        <x:v>Retired</x:v>
      </x:c>
    </x:row>
    <x:row r="2538" ht="32" customHeight="1">
      <x:c r="A2538" s="8" t="str">
        <x:v>drop:DB2:L7:light:1:L216</x:v>
      </x:c>
      <x:c r="B2538" s="8" t="n">
        <x:v>1</x:v>
      </x:c>
      <x:c r="C2538" s="11" t="n">
        <x:v>2.35</x:v>
      </x:c>
      <x:c r="D2538" s="11" t="n">
        <x:v>5.98</x:v>
      </x:c>
      <x:c r="E2538" s="11" t="n">
        <x:v>7.36</x:v>
      </x:c>
      <x:c r="F2538" s="11" t="n">
        <x:f>0</x:f>
        <x:v>0</x:v>
      </x:c>
      <x:c r="G2538" s="8" t="str">
        <x:v>Retired</x:v>
      </x:c>
    </x:row>
    <x:row r="2539" ht="32" customHeight="1">
      <x:c r="A2539" s="8" t="str">
        <x:v>drop:DB2:L7:light:1:L216</x:v>
      </x:c>
      <x:c r="B2539" s="8" t="n">
        <x:v>2</x:v>
      </x:c>
      <x:c r="C2539" s="11" t="n">
        <x:v>2.35</x:v>
      </x:c>
      <x:c r="D2539" s="11" t="n">
        <x:v>7.65</x:v>
      </x:c>
      <x:c r="E2539" s="11" t="n">
        <x:v>7.36</x:v>
      </x:c>
      <x:c r="F2539" s="11" t="n">
        <x:f>SQRT((C2539-C2538)^2+(D2539-D2538)^2+(E2539-E2538)^2)</x:f>
        <x:v>1.67</x:v>
      </x:c>
      <x:c r="G2539" s="8" t="str">
        <x:v>Retired</x:v>
      </x:c>
    </x:row>
    <x:row r="2540" ht="32" customHeight="1">
      <x:c r="A2540" s="8" t="str">
        <x:v>drop:DB2:L7:light:1:L216</x:v>
      </x:c>
      <x:c r="B2540" s="8" t="n">
        <x:v>3</x:v>
      </x:c>
      <x:c r="C2540" s="11" t="n">
        <x:v>2.35</x:v>
      </x:c>
      <x:c r="D2540" s="11" t="n">
        <x:v>7.65</x:v>
      </x:c>
      <x:c r="E2540" s="11" t="n">
        <x:v>7.703</x:v>
      </x:c>
      <x:c r="F2540" s="11" t="n">
        <x:f>SQRT((C2540-C2539)^2+(D2540-D2539)^2+(E2540-E2539)^2)</x:f>
        <x:v>0.34299999999999997</x:v>
      </x:c>
      <x:c r="G2540" s="8" t="str">
        <x:v>Retired</x:v>
      </x:c>
    </x:row>
    <x:row r="2541" ht="32" customHeight="1">
      <x:c r="A2541" s="8" t="str">
        <x:v>drop:DB2:L7:light:1:L216</x:v>
      </x:c>
      <x:c r="B2541" s="8" t="n">
        <x:v>4</x:v>
      </x:c>
      <x:c r="C2541" s="11" t="n">
        <x:v>0</x:v>
      </x:c>
      <x:c r="D2541" s="11" t="n">
        <x:v>7.65</x:v>
      </x:c>
      <x:c r="E2541" s="11" t="n">
        <x:v>7.703</x:v>
      </x:c>
      <x:c r="F2541" s="11" t="n">
        <x:f>SQRT((C2541-C2540)^2+(D2541-D2540)^2+(E2541-E2540)^2)</x:f>
        <x:v>2.35</x:v>
      </x:c>
      <x:c r="G2541" s="8" t="str">
        <x:v>Retired</x:v>
      </x:c>
    </x:row>
    <x:row r="2542" ht="32" customHeight="1">
      <x:c r="A2542" s="8" t="str">
        <x:v>drop:DB2:L7:light:1:L216</x:v>
      </x:c>
      <x:c r="B2542" s="8" t="n">
        <x:v>5</x:v>
      </x:c>
      <x:c r="C2542" s="11" t="n">
        <x:v>0</x:v>
      </x:c>
      <x:c r="D2542" s="11" t="n">
        <x:v>7.65</x:v>
      </x:c>
      <x:c r="E2542" s="11" t="n">
        <x:v>12.363</x:v>
      </x:c>
      <x:c r="F2542" s="11" t="n">
        <x:f>SQRT((C2542-C2541)^2+(D2542-D2541)^2+(E2542-E2541)^2)</x:f>
        <x:v>4.659999999999999</x:v>
      </x:c>
      <x:c r="G2542" s="8" t="str">
        <x:v>Retired</x:v>
      </x:c>
    </x:row>
    <x:row r="2543" ht="32" customHeight="1">
      <x:c r="A2543" s="8" t="str">
        <x:v>drop:DB2:L7:light:1:L216</x:v>
      </x:c>
      <x:c r="B2543" s="8" t="n">
        <x:v>6</x:v>
      </x:c>
      <x:c r="C2543" s="11" t="n">
        <x:v>0</x:v>
      </x:c>
      <x:c r="D2543" s="11" t="n">
        <x:v>8.4</x:v>
      </x:c>
      <x:c r="E2543" s="11" t="n">
        <x:v>12.363</x:v>
      </x:c>
      <x:c r="F2543" s="11" t="n">
        <x:f>SQRT((C2543-C2542)^2+(D2543-D2542)^2+(E2543-E2542)^2)</x:f>
        <x:v>0.75</x:v>
      </x:c>
      <x:c r="G2543" s="8" t="str">
        <x:v>Retired</x:v>
      </x:c>
    </x:row>
    <x:row r="2544" ht="32" customHeight="1">
      <x:c r="A2544" s="8" t="str">
        <x:v>drop:DB2:L7:light:1:L216</x:v>
      </x:c>
      <x:c r="B2544" s="8" t="n">
        <x:v>7</x:v>
      </x:c>
      <x:c r="C2544" s="11" t="n">
        <x:v>0.09</x:v>
      </x:c>
      <x:c r="D2544" s="11" t="n">
        <x:v>8.4</x:v>
      </x:c>
      <x:c r="E2544" s="11" t="n">
        <x:v>12.363</x:v>
      </x:c>
      <x:c r="F2544" s="11" t="n">
        <x:f>SQRT((C2544-C2543)^2+(D2544-D2543)^2+(E2544-E2543)^2)</x:f>
        <x:v>0.09</x:v>
      </x:c>
      <x:c r="G2544" s="8" t="str">
        <x:v>Retired</x:v>
      </x:c>
    </x:row>
    <x:row r="2545" ht="32" customHeight="1">
      <x:c r="A2545" s="8" t="str">
        <x:v>drop:DB2:L7:light:1:L216</x:v>
      </x:c>
      <x:c r="B2545" s="8" t="n">
        <x:v>8</x:v>
      </x:c>
      <x:c r="C2545" s="11" t="n">
        <x:v>0.09</x:v>
      </x:c>
      <x:c r="D2545" s="11" t="n">
        <x:v>8.4</x:v>
      </x:c>
      <x:c r="E2545" s="11" t="n">
        <x:v>12.238</x:v>
      </x:c>
      <x:c r="F2545" s="11" t="n">
        <x:f>SQRT((C2545-C2544)^2+(D2545-D2544)^2+(E2545-E2544)^2)</x:f>
        <x:v>0.125</x:v>
      </x:c>
      <x:c r="G2545" s="8" t="str">
        <x:v>Retired</x:v>
      </x:c>
    </x:row>
    <x:row r="2546" ht="32" customHeight="1">
      <x:c r="A2546" s="8" t="str">
        <x:v>drop:DB2:L7:light:1:L216</x:v>
      </x:c>
      <x:c r="B2546" s="8" t="n">
        <x:v>9</x:v>
      </x:c>
      <x:c r="C2546" s="11" t="n">
        <x:v>0.09</x:v>
      </x:c>
      <x:c r="D2546" s="11" t="n">
        <x:v>12.115</x:v>
      </x:c>
      <x:c r="E2546" s="11" t="n">
        <x:v>12.238</x:v>
      </x:c>
      <x:c r="F2546" s="11" t="n">
        <x:f>SQRT((C2546-C2545)^2+(D2546-D2545)^2+(E2546-E2545)^2)</x:f>
        <x:v>3.715</x:v>
      </x:c>
      <x:c r="G2546" s="8" t="str">
        <x:v>Retired</x:v>
      </x:c>
    </x:row>
    <x:row r="2547" ht="32" customHeight="1">
      <x:c r="A2547" s="8" t="str">
        <x:v>drop:DB2:L7:light:1:L216</x:v>
      </x:c>
      <x:c r="B2547" s="8" t="n">
        <x:v>10</x:v>
      </x:c>
      <x:c r="C2547" s="11" t="n">
        <x:v>0.09</x:v>
      </x:c>
      <x:c r="D2547" s="11" t="n">
        <x:v>12.115</x:v>
      </x:c>
      <x:c r="E2547" s="11" t="n">
        <x:v>12.578</x:v>
      </x:c>
      <x:c r="F2547" s="11" t="n">
        <x:f>SQRT((C2547-C2546)^2+(D2547-D2546)^2+(E2547-E2546)^2)</x:f>
        <x:v>0.33999999999999986</x:v>
      </x:c>
      <x:c r="G2547" s="8" t="str">
        <x:v>Retired</x:v>
      </x:c>
    </x:row>
    <x:row r="2548" ht="32" customHeight="1">
      <x:c r="A2548" s="8" t="str">
        <x:v>drop:DB2:L7:light:1:L216</x:v>
      </x:c>
      <x:c r="B2548" s="8" t="n">
        <x:v>11</x:v>
      </x:c>
      <x:c r="C2548" s="11" t="n">
        <x:v>-0.4199999999999997</x:v>
      </x:c>
      <x:c r="D2548" s="11" t="n">
        <x:v>12.115</x:v>
      </x:c>
      <x:c r="E2548" s="11" t="n">
        <x:v>12.578</x:v>
      </x:c>
      <x:c r="F2548" s="11" t="n">
        <x:f>SQRT((C2548-C2547)^2+(D2548-D2547)^2+(E2548-E2547)^2)</x:f>
        <x:v>0.5099999999999997</x:v>
      </x:c>
      <x:c r="G2548" s="8" t="str">
        <x:v>Retired</x:v>
      </x:c>
    </x:row>
    <x:row r="2549" ht="32" customHeight="1">
      <x:c r="A2549" s="8" t="str">
        <x:v>drop:DB2:L7:light:1:L217</x:v>
      </x:c>
      <x:c r="B2549" s="8" t="n">
        <x:v>1</x:v>
      </x:c>
      <x:c r="C2549" s="11" t="n">
        <x:v>2.35</x:v>
      </x:c>
      <x:c r="D2549" s="11" t="n">
        <x:v>5.98</x:v>
      </x:c>
      <x:c r="E2549" s="11" t="n">
        <x:v>7.36</x:v>
      </x:c>
      <x:c r="F2549" s="11" t="n">
        <x:f>0</x:f>
        <x:v>0</x:v>
      </x:c>
      <x:c r="G2549" s="8" t="str">
        <x:v>Retired</x:v>
      </x:c>
    </x:row>
    <x:row r="2550" ht="32" customHeight="1">
      <x:c r="A2550" s="8" t="str">
        <x:v>drop:DB2:L7:light:1:L217</x:v>
      </x:c>
      <x:c r="B2550" s="8" t="n">
        <x:v>2</x:v>
      </x:c>
      <x:c r="C2550" s="11" t="n">
        <x:v>2.35</x:v>
      </x:c>
      <x:c r="D2550" s="11" t="n">
        <x:v>7.65</x:v>
      </x:c>
      <x:c r="E2550" s="11" t="n">
        <x:v>7.36</x:v>
      </x:c>
      <x:c r="F2550" s="11" t="n">
        <x:f>SQRT((C2550-C2549)^2+(D2550-D2549)^2+(E2550-E2549)^2)</x:f>
        <x:v>1.67</x:v>
      </x:c>
      <x:c r="G2550" s="8" t="str">
        <x:v>Retired</x:v>
      </x:c>
    </x:row>
    <x:row r="2551" ht="32" customHeight="1">
      <x:c r="A2551" s="8" t="str">
        <x:v>drop:DB2:L7:light:1:L217</x:v>
      </x:c>
      <x:c r="B2551" s="8" t="n">
        <x:v>3</x:v>
      </x:c>
      <x:c r="C2551" s="11" t="n">
        <x:v>2.35</x:v>
      </x:c>
      <x:c r="D2551" s="11" t="n">
        <x:v>7.65</x:v>
      </x:c>
      <x:c r="E2551" s="11" t="n">
        <x:v>7.703</x:v>
      </x:c>
      <x:c r="F2551" s="11" t="n">
        <x:f>SQRT((C2551-C2550)^2+(D2551-D2550)^2+(E2551-E2550)^2)</x:f>
        <x:v>0.34299999999999997</x:v>
      </x:c>
      <x:c r="G2551" s="8" t="str">
        <x:v>Retired</x:v>
      </x:c>
    </x:row>
    <x:row r="2552" ht="32" customHeight="1">
      <x:c r="A2552" s="8" t="str">
        <x:v>drop:DB2:L7:light:1:L217</x:v>
      </x:c>
      <x:c r="B2552" s="8" t="n">
        <x:v>4</x:v>
      </x:c>
      <x:c r="C2552" s="11" t="n">
        <x:v>0</x:v>
      </x:c>
      <x:c r="D2552" s="11" t="n">
        <x:v>7.65</x:v>
      </x:c>
      <x:c r="E2552" s="11" t="n">
        <x:v>7.703</x:v>
      </x:c>
      <x:c r="F2552" s="11" t="n">
        <x:f>SQRT((C2552-C2551)^2+(D2552-D2551)^2+(E2552-E2551)^2)</x:f>
        <x:v>2.35</x:v>
      </x:c>
      <x:c r="G2552" s="8" t="str">
        <x:v>Retired</x:v>
      </x:c>
    </x:row>
    <x:row r="2553" ht="32" customHeight="1">
      <x:c r="A2553" s="8" t="str">
        <x:v>drop:DB2:L7:light:1:L217</x:v>
      </x:c>
      <x:c r="B2553" s="8" t="n">
        <x:v>5</x:v>
      </x:c>
      <x:c r="C2553" s="11" t="n">
        <x:v>0</x:v>
      </x:c>
      <x:c r="D2553" s="11" t="n">
        <x:v>7.65</x:v>
      </x:c>
      <x:c r="E2553" s="11" t="n">
        <x:v>7.9430000000000005</x:v>
      </x:c>
      <x:c r="F2553" s="11" t="n">
        <x:f>SQRT((C2553-C2552)^2+(D2553-D2552)^2+(E2553-E2552)^2)</x:f>
        <x:v>0.2400000000000002</x:v>
      </x:c>
      <x:c r="G2553" s="8" t="str">
        <x:v>Retired</x:v>
      </x:c>
    </x:row>
    <x:row r="2554" ht="32" customHeight="1">
      <x:c r="A2554" s="8" t="str">
        <x:v>drop:DB2:L7:light:1:L217</x:v>
      </x:c>
      <x:c r="B2554" s="8" t="n">
        <x:v>6</x:v>
      </x:c>
      <x:c r="C2554" s="11" t="n">
        <x:v>0</x:v>
      </x:c>
      <x:c r="D2554" s="11" t="n">
        <x:v>8.4</x:v>
      </x:c>
      <x:c r="E2554" s="11" t="n">
        <x:v>7.9430000000000005</x:v>
      </x:c>
      <x:c r="F2554" s="11" t="n">
        <x:f>SQRT((C2554-C2553)^2+(D2554-D2553)^2+(E2554-E2553)^2)</x:f>
        <x:v>0.75</x:v>
      </x:c>
      <x:c r="G2554" s="8" t="str">
        <x:v>Retired</x:v>
      </x:c>
    </x:row>
    <x:row r="2555" ht="32" customHeight="1">
      <x:c r="A2555" s="8" t="str">
        <x:v>drop:DB2:L7:light:1:L217</x:v>
      </x:c>
      <x:c r="B2555" s="8" t="n">
        <x:v>7</x:v>
      </x:c>
      <x:c r="C2555" s="11" t="n">
        <x:v>0.09</x:v>
      </x:c>
      <x:c r="D2555" s="11" t="n">
        <x:v>8.4</x:v>
      </x:c>
      <x:c r="E2555" s="11" t="n">
        <x:v>7.9430000000000005</x:v>
      </x:c>
      <x:c r="F2555" s="11" t="n">
        <x:f>SQRT((C2555-C2554)^2+(D2555-D2554)^2+(E2555-E2554)^2)</x:f>
        <x:v>0.09</x:v>
      </x:c>
      <x:c r="G2555" s="8" t="str">
        <x:v>Retired</x:v>
      </x:c>
    </x:row>
    <x:row r="2556" ht="32" customHeight="1">
      <x:c r="A2556" s="8" t="str">
        <x:v>drop:DB2:L7:light:1:L217</x:v>
      </x:c>
      <x:c r="B2556" s="8" t="n">
        <x:v>8</x:v>
      </x:c>
      <x:c r="C2556" s="11" t="n">
        <x:v>0.09</x:v>
      </x:c>
      <x:c r="D2556" s="11" t="n">
        <x:v>8.4</x:v>
      </x:c>
      <x:c r="E2556" s="11" t="n">
        <x:v>8.068000000000001</x:v>
      </x:c>
      <x:c r="F2556" s="11" t="n">
        <x:f>SQRT((C2556-C2555)^2+(D2556-D2555)^2+(E2556-E2555)^2)</x:f>
        <x:v>0.1250000000000009</x:v>
      </x:c>
      <x:c r="G2556" s="8" t="str">
        <x:v>Retired</x:v>
      </x:c>
    </x:row>
    <x:row r="2557" ht="32" customHeight="1">
      <x:c r="A2557" s="8" t="str">
        <x:v>drop:DB2:L7:light:1:L217</x:v>
      </x:c>
      <x:c r="B2557" s="8" t="n">
        <x:v>9</x:v>
      </x:c>
      <x:c r="C2557" s="11" t="n">
        <x:v>0.09</x:v>
      </x:c>
      <x:c r="D2557" s="11" t="n">
        <x:v>15.85</x:v>
      </x:c>
      <x:c r="E2557" s="11" t="n">
        <x:v>8.068000000000001</x:v>
      </x:c>
      <x:c r="F2557" s="11" t="n">
        <x:f>SQRT((C2557-C2556)^2+(D2557-D2556)^2+(E2557-E2556)^2)</x:f>
        <x:v>7.449999999999999</x:v>
      </x:c>
      <x:c r="G2557" s="8" t="str">
        <x:v>Retired</x:v>
      </x:c>
    </x:row>
    <x:row r="2558" ht="32" customHeight="1">
      <x:c r="A2558" s="8" t="str">
        <x:v>drop:DB2:L7:light:1:L217</x:v>
      </x:c>
      <x:c r="B2558" s="8" t="n">
        <x:v>10</x:v>
      </x:c>
      <x:c r="C2558" s="11" t="n">
        <x:v>0.19</x:v>
      </x:c>
      <x:c r="D2558" s="11" t="n">
        <x:v>15.85</x:v>
      </x:c>
      <x:c r="E2558" s="11" t="n">
        <x:v>8.068000000000001</x:v>
      </x:c>
      <x:c r="F2558" s="11" t="n">
        <x:f>SQRT((C2558-C2557)^2+(D2558-D2557)^2+(E2558-E2557)^2)</x:f>
        <x:v>0.1</x:v>
      </x:c>
      <x:c r="G2558" s="8" t="str">
        <x:v>Retired</x:v>
      </x:c>
    </x:row>
    <x:row r="2559" ht="32" customHeight="1">
      <x:c r="A2559" s="8" t="str">
        <x:v>drop:DB2:L7:light:1:L217</x:v>
      </x:c>
      <x:c r="B2559" s="8" t="n">
        <x:v>11</x:v>
      </x:c>
      <x:c r="C2559" s="11" t="n">
        <x:v>0.19</x:v>
      </x:c>
      <x:c r="D2559" s="11" t="n">
        <x:v>15.85</x:v>
      </x:c>
      <x:c r="E2559" s="11" t="n">
        <x:v>8.168000000000001</x:v>
      </x:c>
      <x:c r="F2559" s="11" t="n">
        <x:f>SQRT((C2559-C2558)^2+(D2559-D2558)^2+(E2559-E2558)^2)</x:f>
        <x:v>0.09999999999999964</x:v>
      </x:c>
      <x:c r="G2559" s="8" t="str">
        <x:v>Retired</x:v>
      </x:c>
    </x:row>
    <x:row r="2560" ht="32" customHeight="1">
      <x:c r="A2560" s="8" t="str">
        <x:v>drop:DB2:L7:light:1:L217</x:v>
      </x:c>
      <x:c r="B2560" s="8" t="n">
        <x:v>12</x:v>
      </x:c>
      <x:c r="C2560" s="11" t="n">
        <x:v>0.19</x:v>
      </x:c>
      <x:c r="D2560" s="11" t="n">
        <x:v>19.490000000000002</x:v>
      </x:c>
      <x:c r="E2560" s="11" t="n">
        <x:v>8.168000000000001</x:v>
      </x:c>
      <x:c r="F2560" s="11" t="n">
        <x:f>SQRT((C2560-C2559)^2+(D2560-D2559)^2+(E2560-E2559)^2)</x:f>
        <x:v>3.6400000000000023</x:v>
      </x:c>
      <x:c r="G2560" s="8" t="str">
        <x:v>Retired</x:v>
      </x:c>
    </x:row>
    <x:row r="2561" ht="32" customHeight="1">
      <x:c r="A2561" s="8" t="str">
        <x:v>drop:DB2:L7:light:1:L217</x:v>
      </x:c>
      <x:c r="B2561" s="8" t="n">
        <x:v>13</x:v>
      </x:c>
      <x:c r="C2561" s="11" t="n">
        <x:v>0.19</x:v>
      </x:c>
      <x:c r="D2561" s="11" t="n">
        <x:v>19.490000000000002</x:v>
      </x:c>
      <x:c r="E2561" s="11" t="n">
        <x:v>7.728000000000001</x:v>
      </x:c>
      <x:c r="F2561" s="11" t="n">
        <x:f>SQRT((C2561-C2560)^2+(D2561-D2560)^2+(E2561-E2560)^2)</x:f>
        <x:v>0.4400000000000004</x:v>
      </x:c>
      <x:c r="G2561" s="8" t="str">
        <x:v>Retired</x:v>
      </x:c>
    </x:row>
    <x:row r="2562" ht="32" customHeight="1">
      <x:c r="A2562" s="8" t="str">
        <x:v>drop:DB2:L7:light:1:L217</x:v>
      </x:c>
      <x:c r="B2562" s="8" t="n">
        <x:v>14</x:v>
      </x:c>
      <x:c r="C2562" s="11" t="n">
        <x:v>-0.3199999999999996</x:v>
      </x:c>
      <x:c r="D2562" s="11" t="n">
        <x:v>19.490000000000002</x:v>
      </x:c>
      <x:c r="E2562" s="11" t="n">
        <x:v>7.728000000000001</x:v>
      </x:c>
      <x:c r="F2562" s="11" t="n">
        <x:f>SQRT((C2562-C2561)^2+(D2562-D2561)^2+(E2562-E2561)^2)</x:f>
        <x:v>0.5099999999999996</x:v>
      </x:c>
      <x:c r="G2562" s="8" t="str">
        <x:v>Retired</x:v>
      </x:c>
    </x:row>
    <x:row r="2563" ht="32" customHeight="1">
      <x:c r="A2563" s="8" t="str">
        <x:v>drop:DB2:L7:light:1:L218</x:v>
      </x:c>
      <x:c r="B2563" s="8" t="n">
        <x:v>1</x:v>
      </x:c>
      <x:c r="C2563" s="11" t="n">
        <x:v>2.35</x:v>
      </x:c>
      <x:c r="D2563" s="11" t="n">
        <x:v>5.98</x:v>
      </x:c>
      <x:c r="E2563" s="11" t="n">
        <x:v>7.36</x:v>
      </x:c>
      <x:c r="F2563" s="11" t="n">
        <x:f>0</x:f>
        <x:v>0</x:v>
      </x:c>
      <x:c r="G2563" s="8" t="str">
        <x:v>Retired</x:v>
      </x:c>
    </x:row>
    <x:row r="2564" ht="32" customHeight="1">
      <x:c r="A2564" s="8" t="str">
        <x:v>drop:DB2:L7:light:1:L218</x:v>
      </x:c>
      <x:c r="B2564" s="8" t="n">
        <x:v>2</x:v>
      </x:c>
      <x:c r="C2564" s="11" t="n">
        <x:v>2.35</x:v>
      </x:c>
      <x:c r="D2564" s="11" t="n">
        <x:v>7.65</x:v>
      </x:c>
      <x:c r="E2564" s="11" t="n">
        <x:v>7.36</x:v>
      </x:c>
      <x:c r="F2564" s="11" t="n">
        <x:f>SQRT((C2564-C2563)^2+(D2564-D2563)^2+(E2564-E2563)^2)</x:f>
        <x:v>1.67</x:v>
      </x:c>
      <x:c r="G2564" s="8" t="str">
        <x:v>Retired</x:v>
      </x:c>
    </x:row>
    <x:row r="2565" ht="32" customHeight="1">
      <x:c r="A2565" s="8" t="str">
        <x:v>drop:DB2:L7:light:1:L218</x:v>
      </x:c>
      <x:c r="B2565" s="8" t="n">
        <x:v>3</x:v>
      </x:c>
      <x:c r="C2565" s="11" t="n">
        <x:v>2.35</x:v>
      </x:c>
      <x:c r="D2565" s="11" t="n">
        <x:v>7.65</x:v>
      </x:c>
      <x:c r="E2565" s="11" t="n">
        <x:v>7.703</x:v>
      </x:c>
      <x:c r="F2565" s="11" t="n">
        <x:f>SQRT((C2565-C2564)^2+(D2565-D2564)^2+(E2565-E2564)^2)</x:f>
        <x:v>0.34299999999999997</x:v>
      </x:c>
      <x:c r="G2565" s="8" t="str">
        <x:v>Retired</x:v>
      </x:c>
    </x:row>
    <x:row r="2566" ht="32" customHeight="1">
      <x:c r="A2566" s="8" t="str">
        <x:v>drop:DB2:L7:light:1:L218</x:v>
      </x:c>
      <x:c r="B2566" s="8" t="n">
        <x:v>4</x:v>
      </x:c>
      <x:c r="C2566" s="11" t="n">
        <x:v>0</x:v>
      </x:c>
      <x:c r="D2566" s="11" t="n">
        <x:v>7.65</x:v>
      </x:c>
      <x:c r="E2566" s="11" t="n">
        <x:v>7.703</x:v>
      </x:c>
      <x:c r="F2566" s="11" t="n">
        <x:f>SQRT((C2566-C2565)^2+(D2566-D2565)^2+(E2566-E2565)^2)</x:f>
        <x:v>2.35</x:v>
      </x:c>
      <x:c r="G2566" s="8" t="str">
        <x:v>Retired</x:v>
      </x:c>
    </x:row>
    <x:row r="2567" ht="32" customHeight="1">
      <x:c r="A2567" s="8" t="str">
        <x:v>drop:DB2:L7:light:1:L218</x:v>
      </x:c>
      <x:c r="B2567" s="8" t="n">
        <x:v>5</x:v>
      </x:c>
      <x:c r="C2567" s="11" t="n">
        <x:v>0</x:v>
      </x:c>
      <x:c r="D2567" s="11" t="n">
        <x:v>7.65</x:v>
      </x:c>
      <x:c r="E2567" s="11" t="n">
        <x:v>12.363</x:v>
      </x:c>
      <x:c r="F2567" s="11" t="n">
        <x:f>SQRT((C2567-C2566)^2+(D2567-D2566)^2+(E2567-E2566)^2)</x:f>
        <x:v>4.659999999999999</x:v>
      </x:c>
      <x:c r="G2567" s="8" t="str">
        <x:v>Retired</x:v>
      </x:c>
    </x:row>
    <x:row r="2568" ht="32" customHeight="1">
      <x:c r="A2568" s="8" t="str">
        <x:v>drop:DB2:L7:light:1:L218</x:v>
      </x:c>
      <x:c r="B2568" s="8" t="n">
        <x:v>6</x:v>
      </x:c>
      <x:c r="C2568" s="11" t="n">
        <x:v>0</x:v>
      </x:c>
      <x:c r="D2568" s="11" t="n">
        <x:v>8.4</x:v>
      </x:c>
      <x:c r="E2568" s="11" t="n">
        <x:v>12.363</x:v>
      </x:c>
      <x:c r="F2568" s="11" t="n">
        <x:f>SQRT((C2568-C2567)^2+(D2568-D2567)^2+(E2568-E2567)^2)</x:f>
        <x:v>0.75</x:v>
      </x:c>
      <x:c r="G2568" s="8" t="str">
        <x:v>Retired</x:v>
      </x:c>
    </x:row>
    <x:row r="2569" ht="32" customHeight="1">
      <x:c r="A2569" s="8" t="str">
        <x:v>drop:DB2:L7:light:1:L218</x:v>
      </x:c>
      <x:c r="B2569" s="8" t="n">
        <x:v>7</x:v>
      </x:c>
      <x:c r="C2569" s="11" t="n">
        <x:v>0.09</x:v>
      </x:c>
      <x:c r="D2569" s="11" t="n">
        <x:v>8.4</x:v>
      </x:c>
      <x:c r="E2569" s="11" t="n">
        <x:v>12.363</x:v>
      </x:c>
      <x:c r="F2569" s="11" t="n">
        <x:f>SQRT((C2569-C2568)^2+(D2569-D2568)^2+(E2569-E2568)^2)</x:f>
        <x:v>0.09</x:v>
      </x:c>
      <x:c r="G2569" s="8" t="str">
        <x:v>Retired</x:v>
      </x:c>
    </x:row>
    <x:row r="2570" ht="32" customHeight="1">
      <x:c r="A2570" s="8" t="str">
        <x:v>drop:DB2:L7:light:1:L218</x:v>
      </x:c>
      <x:c r="B2570" s="8" t="n">
        <x:v>8</x:v>
      </x:c>
      <x:c r="C2570" s="11" t="n">
        <x:v>0.09</x:v>
      </x:c>
      <x:c r="D2570" s="11" t="n">
        <x:v>8.4</x:v>
      </x:c>
      <x:c r="E2570" s="11" t="n">
        <x:v>12.238</x:v>
      </x:c>
      <x:c r="F2570" s="11" t="n">
        <x:f>SQRT((C2570-C2569)^2+(D2570-D2569)^2+(E2570-E2569)^2)</x:f>
        <x:v>0.125</x:v>
      </x:c>
      <x:c r="G2570" s="8" t="str">
        <x:v>Retired</x:v>
      </x:c>
    </x:row>
    <x:row r="2571" ht="32" customHeight="1">
      <x:c r="A2571" s="8" t="str">
        <x:v>drop:DB2:L7:light:1:L218</x:v>
      </x:c>
      <x:c r="B2571" s="8" t="n">
        <x:v>9</x:v>
      </x:c>
      <x:c r="C2571" s="11" t="n">
        <x:v>0.09</x:v>
      </x:c>
      <x:c r="D2571" s="11" t="n">
        <x:v>15.85</x:v>
      </x:c>
      <x:c r="E2571" s="11" t="n">
        <x:v>12.238</x:v>
      </x:c>
      <x:c r="F2571" s="11" t="n">
        <x:f>SQRT((C2571-C2570)^2+(D2571-D2570)^2+(E2571-E2570)^2)</x:f>
        <x:v>7.449999999999999</x:v>
      </x:c>
      <x:c r="G2571" s="8" t="str">
        <x:v>Retired</x:v>
      </x:c>
    </x:row>
    <x:row r="2572" ht="32" customHeight="1">
      <x:c r="A2572" s="8" t="str">
        <x:v>drop:DB2:L7:light:1:L218</x:v>
      </x:c>
      <x:c r="B2572" s="8" t="n">
        <x:v>10</x:v>
      </x:c>
      <x:c r="C2572" s="11" t="n">
        <x:v>0.19</x:v>
      </x:c>
      <x:c r="D2572" s="11" t="n">
        <x:v>15.85</x:v>
      </x:c>
      <x:c r="E2572" s="11" t="n">
        <x:v>12.238</x:v>
      </x:c>
      <x:c r="F2572" s="11" t="n">
        <x:f>SQRT((C2572-C2571)^2+(D2572-D2571)^2+(E2572-E2571)^2)</x:f>
        <x:v>0.1</x:v>
      </x:c>
      <x:c r="G2572" s="8" t="str">
        <x:v>Retired</x:v>
      </x:c>
    </x:row>
    <x:row r="2573" ht="32" customHeight="1">
      <x:c r="A2573" s="8" t="str">
        <x:v>drop:DB2:L7:light:1:L218</x:v>
      </x:c>
      <x:c r="B2573" s="8" t="n">
        <x:v>11</x:v>
      </x:c>
      <x:c r="C2573" s="11" t="n">
        <x:v>0.19</x:v>
      </x:c>
      <x:c r="D2573" s="11" t="n">
        <x:v>15.85</x:v>
      </x:c>
      <x:c r="E2573" s="11" t="n">
        <x:v>12.138</x:v>
      </x:c>
      <x:c r="F2573" s="11" t="n">
        <x:f>SQRT((C2573-C2572)^2+(D2573-D2572)^2+(E2573-E2572)^2)</x:f>
        <x:v>0.09999999999999964</x:v>
      </x:c>
      <x:c r="G2573" s="8" t="str">
        <x:v>Retired</x:v>
      </x:c>
    </x:row>
    <x:row r="2574" ht="32" customHeight="1">
      <x:c r="A2574" s="8" t="str">
        <x:v>drop:DB2:L7:light:1:L218</x:v>
      </x:c>
      <x:c r="B2574" s="8" t="n">
        <x:v>12</x:v>
      </x:c>
      <x:c r="C2574" s="11" t="n">
        <x:v>0.19</x:v>
      </x:c>
      <x:c r="D2574" s="11" t="n">
        <x:v>19.490000000000002</x:v>
      </x:c>
      <x:c r="E2574" s="11" t="n">
        <x:v>12.138</x:v>
      </x:c>
      <x:c r="F2574" s="11" t="n">
        <x:f>SQRT((C2574-C2573)^2+(D2574-D2573)^2+(E2574-E2573)^2)</x:f>
        <x:v>3.6400000000000023</x:v>
      </x:c>
      <x:c r="G2574" s="8" t="str">
        <x:v>Retired</x:v>
      </x:c>
    </x:row>
    <x:row r="2575" ht="32" customHeight="1">
      <x:c r="A2575" s="8" t="str">
        <x:v>drop:DB2:L7:light:1:L218</x:v>
      </x:c>
      <x:c r="B2575" s="8" t="n">
        <x:v>13</x:v>
      </x:c>
      <x:c r="C2575" s="11" t="n">
        <x:v>0.19</x:v>
      </x:c>
      <x:c r="D2575" s="11" t="n">
        <x:v>19.490000000000002</x:v>
      </x:c>
      <x:c r="E2575" s="11" t="n">
        <x:v>12.578</x:v>
      </x:c>
      <x:c r="F2575" s="11" t="n">
        <x:f>SQRT((C2575-C2574)^2+(D2575-D2574)^2+(E2575-E2574)^2)</x:f>
        <x:v>0.4399999999999995</x:v>
      </x:c>
      <x:c r="G2575" s="8" t="str">
        <x:v>Retired</x:v>
      </x:c>
    </x:row>
    <x:row r="2576" ht="32" customHeight="1">
      <x:c r="A2576" s="8" t="str">
        <x:v>drop:DB2:L7:light:1:L218</x:v>
      </x:c>
      <x:c r="B2576" s="8" t="n">
        <x:v>14</x:v>
      </x:c>
      <x:c r="C2576" s="11" t="n">
        <x:v>-0.3199999999999996</x:v>
      </x:c>
      <x:c r="D2576" s="11" t="n">
        <x:v>19.490000000000002</x:v>
      </x:c>
      <x:c r="E2576" s="11" t="n">
        <x:v>12.578</x:v>
      </x:c>
      <x:c r="F2576" s="11" t="n">
        <x:f>SQRT((C2576-C2575)^2+(D2576-D2575)^2+(E2576-E2575)^2)</x:f>
        <x:v>0.5099999999999996</x:v>
      </x:c>
      <x:c r="G2576" s="8" t="str">
        <x:v>Retired</x:v>
      </x:c>
    </x:row>
    <x:row r="2577" ht="32" customHeight="1">
      <x:c r="A2577" s="8" t="str">
        <x:v>drop:DB2:L7:light:1:L221</x:v>
      </x:c>
      <x:c r="B2577" s="8" t="n">
        <x:v>1</x:v>
      </x:c>
      <x:c r="C2577" s="11" t="n">
        <x:v>52.6</x:v>
      </x:c>
      <x:c r="D2577" s="11" t="n">
        <x:v>5.98</x:v>
      </x:c>
      <x:c r="E2577" s="11" t="n">
        <x:v>7.36</x:v>
      </x:c>
      <x:c r="F2577" s="11" t="n">
        <x:f>0</x:f>
        <x:v>0</x:v>
      </x:c>
      <x:c r="G2577" s="8" t="str">
        <x:v>Retired</x:v>
      </x:c>
    </x:row>
    <x:row r="2578" ht="32" customHeight="1">
      <x:c r="A2578" s="8" t="str">
        <x:v>drop:DB2:L7:light:1:L221</x:v>
      </x:c>
      <x:c r="B2578" s="8" t="n">
        <x:v>2</x:v>
      </x:c>
      <x:c r="C2578" s="11" t="n">
        <x:v>52.6</x:v>
      </x:c>
      <x:c r="D2578" s="11" t="n">
        <x:v>7.04</x:v>
      </x:c>
      <x:c r="E2578" s="11" t="n">
        <x:v>7.36</x:v>
      </x:c>
      <x:c r="F2578" s="11" t="n">
        <x:f>SQRT((C2578-C2577)^2+(D2578-D2577)^2+(E2578-E2577)^2)</x:f>
        <x:v>1.0599999999999996</x:v>
      </x:c>
      <x:c r="G2578" s="8" t="str">
        <x:v>Retired</x:v>
      </x:c>
    </x:row>
    <x:row r="2579" ht="32" customHeight="1">
      <x:c r="A2579" s="8" t="str">
        <x:v>drop:DB2:L7:light:1:L221</x:v>
      </x:c>
      <x:c r="B2579" s="8" t="n">
        <x:v>3</x:v>
      </x:c>
      <x:c r="C2579" s="11" t="n">
        <x:v>52.6</x:v>
      </x:c>
      <x:c r="D2579" s="11" t="n">
        <x:v>6.932496881126359</x:v>
      </x:c>
      <x:c r="E2579" s="11" t="n">
        <x:v>7.4387096774193555</x:v>
      </x:c>
      <x:c r="F2579" s="11" t="n">
        <x:f>SQRT((C2579-C2578)^2+(D2579-D2578)^2+(E2579-E2578)^2)</x:f>
        <x:v>0.13323713403934787</x:v>
      </x:c>
      <x:c r="G2579" s="8" t="str">
        <x:v>Retired</x:v>
      </x:c>
    </x:row>
    <x:row r="2580" ht="32" customHeight="1">
      <x:c r="A2580" s="8" t="str">
        <x:v>drop:DB2:L7:light:1:L221</x:v>
      </x:c>
      <x:c r="B2580" s="8" t="n">
        <x:v>4</x:v>
      </x:c>
      <x:c r="C2580" s="11" t="n">
        <x:v>52.6</x:v>
      </x:c>
      <x:c r="D2580" s="11" t="n">
        <x:v>6.4074033149171274</x:v>
      </x:c>
      <x:c r="E2580" s="11" t="n">
        <x:v>9.8</x:v>
      </x:c>
      <x:c r="F2580" s="11" t="n">
        <x:f>SQRT((C2580-C2579)^2+(D2580-D2579)^2+(E2580-E2579)^2)</x:f>
        <x:v>2.418969871822991</x:v>
      </x:c>
      <x:c r="G2580" s="8" t="str">
        <x:v>Retired</x:v>
      </x:c>
    </x:row>
    <x:row r="2581" ht="32" customHeight="1">
      <x:c r="A2581" s="8" t="str">
        <x:v>drop:DB2:L7:light:1:L221</x:v>
      </x:c>
      <x:c r="B2581" s="8" t="n">
        <x:v>5</x:v>
      </x:c>
      <x:c r="C2581" s="11" t="n">
        <x:v>52.6</x:v>
      </x:c>
      <x:c r="D2581" s="11" t="n">
        <x:v>6.55</x:v>
      </x:c>
      <x:c r="E2581" s="11" t="n">
        <x:v>9.8</x:v>
      </x:c>
      <x:c r="F2581" s="11" t="n">
        <x:f>SQRT((C2581-C2580)^2+(D2581-D2580)^2+(E2581-E2580)^2)</x:f>
        <x:v>0.14259668508287238</x:v>
      </x:c>
      <x:c r="G2581" s="8" t="str">
        <x:v>Retired</x:v>
      </x:c>
    </x:row>
    <x:row r="2582" ht="32" customHeight="1">
      <x:c r="A2582" s="8" t="str">
        <x:v>drop:LC1:L1:light:-1:L3</x:v>
      </x:c>
      <x:c r="B2582" s="8" t="n">
        <x:v>1</x:v>
      </x:c>
      <x:c r="C2582" s="11" t="n">
        <x:v>10.125</x:v>
      </x:c>
      <x:c r="D2582" s="11" t="n">
        <x:v>5.9</x:v>
      </x:c>
      <x:c r="E2582" s="11" t="n">
        <x:v>-7.36</x:v>
      </x:c>
      <x:c r="F2582" s="11" t="n">
        <x:f>0</x:f>
        <x:v>0</x:v>
      </x:c>
      <x:c r="G2582" s="8" t="str">
        <x:v>Retired</x:v>
      </x:c>
    </x:row>
    <x:row r="2583" ht="32" customHeight="1">
      <x:c r="A2583" s="8" t="str">
        <x:v>drop:LC1:L1:light:-1:L3</x:v>
      </x:c>
      <x:c r="B2583" s="8" t="n">
        <x:v>2</x:v>
      </x:c>
      <x:c r="C2583" s="11" t="n">
        <x:v>10.32</x:v>
      </x:c>
      <x:c r="D2583" s="11" t="n">
        <x:v>5.9</x:v>
      </x:c>
      <x:c r="E2583" s="11" t="n">
        <x:v>-7.36</x:v>
      </x:c>
      <x:c r="F2583" s="11" t="n">
        <x:f>SQRT((C2583-C2582)^2+(D2583-D2582)^2+(E2583-E2582)^2)</x:f>
        <x:v>0.19500000000000028</x:v>
      </x:c>
      <x:c r="G2583" s="8" t="str">
        <x:v>Retired</x:v>
      </x:c>
    </x:row>
    <x:row r="2584" ht="32" customHeight="1">
      <x:c r="A2584" s="8" t="str">
        <x:v>drop:LC1:L1:light:-1:L3</x:v>
      </x:c>
      <x:c r="B2584" s="8" t="n">
        <x:v>3</x:v>
      </x:c>
      <x:c r="C2584" s="11" t="n">
        <x:v>10.32</x:v>
      </x:c>
      <x:c r="D2584" s="11" t="n">
        <x:v>7.04</x:v>
      </x:c>
      <x:c r="E2584" s="11" t="n">
        <x:v>-7.36</x:v>
      </x:c>
      <x:c r="F2584" s="11" t="n">
        <x:f>SQRT((C2584-C2583)^2+(D2584-D2583)^2+(E2584-E2583)^2)</x:f>
        <x:v>1.1399999999999997</x:v>
      </x:c>
      <x:c r="G2584" s="8" t="str">
        <x:v>Retired</x:v>
      </x:c>
    </x:row>
    <x:row r="2585" ht="32" customHeight="1">
      <x:c r="A2585" s="8" t="str">
        <x:v>drop:LC1:L1:light:-1:L3</x:v>
      </x:c>
      <x:c r="B2585" s="8" t="n">
        <x:v>4</x:v>
      </x:c>
      <x:c r="C2585" s="11" t="n">
        <x:v>10.32</x:v>
      </x:c>
      <x:c r="D2585" s="11" t="n">
        <x:v>9.442448369565216</x:v>
      </x:c>
      <x:c r="E2585" s="11" t="n">
        <x:v>-4.050000000000001</x:v>
      </x:c>
      <x:c r="F2585" s="11" t="n">
        <x:f>SQRT((C2585-C2584)^2+(D2585-D2584)^2+(E2585-E2584)^2)</x:f>
        <x:v>4.089970436131118</x:v>
      </x:c>
      <x:c r="G2585" s="8" t="str">
        <x:v>Retired</x:v>
      </x:c>
    </x:row>
    <x:row r="2586" ht="32" customHeight="1">
      <x:c r="A2586" s="8" t="str">
        <x:v>drop:LC1:L1:light:-1:L3</x:v>
      </x:c>
      <x:c r="B2586" s="8" t="n">
        <x:v>5</x:v>
      </x:c>
      <x:c r="C2586" s="11" t="n">
        <x:v>10.32</x:v>
      </x:c>
      <x:c r="D2586" s="11" t="n">
        <x:v>9.235</x:v>
      </x:c>
      <x:c r="E2586" s="11" t="n">
        <x:v>-4.05</x:v>
      </x:c>
      <x:c r="F2586" s="11" t="n">
        <x:f>SQRT((C2586-C2585)^2+(D2586-D2585)^2+(E2586-E2585)^2)</x:f>
        <x:v>0.20744836956521695</x:v>
      </x:c>
      <x:c r="G2586" s="8" t="str">
        <x:v>Retired</x:v>
      </x:c>
    </x:row>
    <x:row r="2587" ht="32" customHeight="1">
      <x:c r="A2587" s="8" t="str">
        <x:v>drop:LC1:L1:light:-1:L3</x:v>
      </x:c>
      <x:c r="B2587" s="8" t="n">
        <x:v>6</x:v>
      </x:c>
      <x:c r="C2587" s="11" t="n">
        <x:v>10.32</x:v>
      </x:c>
      <x:c r="D2587" s="11" t="n">
        <x:v>9.235</x:v>
      </x:c>
      <x:c r="E2587" s="11" t="n">
        <x:v>-3</x:v>
      </x:c>
      <x:c r="F2587" s="11" t="n">
        <x:f>SQRT((C2587-C2586)^2+(D2587-D2586)^2+(E2587-E2586)^2)</x:f>
        <x:v>1.0499999999999998</x:v>
      </x:c>
      <x:c r="G2587" s="8" t="str">
        <x:v>Retired</x:v>
      </x:c>
    </x:row>
    <x:row r="2588" ht="32" customHeight="1">
      <x:c r="A2588" s="8" t="str">
        <x:v>drop:LC1:L1:light:-1:L3</x:v>
      </x:c>
      <x:c r="B2588" s="8" t="n">
        <x:v>7</x:v>
      </x:c>
      <x:c r="C2588" s="11" t="n">
        <x:v>9.975</x:v>
      </x:c>
      <x:c r="D2588" s="11" t="n">
        <x:v>9.235</x:v>
      </x:c>
      <x:c r="E2588" s="11" t="n">
        <x:v>-3</x:v>
      </x:c>
      <x:c r="F2588" s="11" t="n">
        <x:f>SQRT((C2588-C2587)^2+(D2588-D2587)^2+(E2588-E2587)^2)</x:f>
        <x:v>0.34500000000000064</x:v>
      </x:c>
      <x:c r="G2588" s="8" t="str">
        <x:v>Retired</x:v>
      </x:c>
    </x:row>
    <x:row r="2589" ht="32" customHeight="1">
      <x:c r="A2589" s="8" t="str">
        <x:v>drop:LC1:L1:light:-1:L3</x:v>
      </x:c>
      <x:c r="B2589" s="8" t="n">
        <x:v>8</x:v>
      </x:c>
      <x:c r="C2589" s="11" t="n">
        <x:v>10.125</x:v>
      </x:c>
      <x:c r="D2589" s="11" t="n">
        <x:v>9.235</x:v>
      </x:c>
      <x:c r="E2589" s="11" t="n">
        <x:v>-2.48</x:v>
      </x:c>
      <x:c r="F2589" s="11" t="n">
        <x:f>SQRT((C2589-C2588)^2+(D2589-D2588)^2+(E2589-E2588)^2)</x:f>
        <x:v>0.5412023651093925</x:v>
      </x:c>
      <x:c r="G2589" s="8" t="str">
        <x:v>Retired</x:v>
      </x:c>
    </x:row>
    <x:row r="2590" ht="32" customHeight="1">
      <x:c r="A2590" s="8" t="str">
        <x:v>drop:LC1:L1:light:-1:L3</x:v>
      </x:c>
      <x:c r="B2590" s="8" t="n">
        <x:v>9</x:v>
      </x:c>
      <x:c r="C2590" s="11" t="n">
        <x:v>10.18</x:v>
      </x:c>
      <x:c r="D2590" s="11" t="n">
        <x:v>9.235</x:v>
      </x:c>
      <x:c r="E2590" s="11" t="n">
        <x:v>-2.48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drop:LC1:L1:light:-1:L3</x:v>
      </x:c>
      <x:c r="B2591" s="8" t="n">
        <x:v>10</x:v>
      </x:c>
      <x:c r="C2591" s="11" t="n">
        <x:v>10.18</x:v>
      </x:c>
      <x:c r="D2591" s="11" t="n">
        <x:v>8.77</x:v>
      </x:c>
      <x:c r="E2591" s="11" t="n">
        <x:v>-2.48</x:v>
      </x:c>
      <x:c r="F2591" s="11" t="n">
        <x:f>SQRT((C2591-C2590)^2+(D2591-D2590)^2+(E2591-E2590)^2)</x:f>
        <x:v>0.46499999999999986</x:v>
      </x:c>
      <x:c r="G2591" s="8" t="str">
        <x:v>Retired</x:v>
      </x:c>
    </x:row>
    <x:row r="2592" ht="32" customHeight="1">
      <x:c r="A2592" s="8" t="str">
        <x:v>drop:LC1:L1:light:-1:L3</x:v>
      </x:c>
      <x:c r="B2592" s="8" t="n">
        <x:v>11</x:v>
      </x:c>
      <x:c r="C2592" s="11" t="n">
        <x:v>10.125</x:v>
      </x:c>
      <x:c r="D2592" s="11" t="n">
        <x:v>8.77</x:v>
      </x:c>
      <x:c r="E2592" s="11" t="n">
        <x:v>-2.48</x:v>
      </x:c>
      <x:c r="F2592" s="11" t="n">
        <x:f>SQRT((C2592-C2591)^2+(D2592-D2591)^2+(E2592-E2591)^2)</x:f>
        <x:v>0.054999999999999716</x:v>
      </x:c>
      <x:c r="G2592" s="8" t="str">
        <x:v>Retired</x:v>
      </x:c>
    </x:row>
    <x:row r="2593" ht="32" customHeight="1">
      <x:c r="A2593" s="8" t="str">
        <x:v>drop:LC1:L1:light:-1:L4</x:v>
      </x:c>
      <x:c r="B2593" s="8" t="n">
        <x:v>1</x:v>
      </x:c>
      <x:c r="C2593" s="11" t="n">
        <x:v>10.125</x:v>
      </x:c>
      <x:c r="D2593" s="11" t="n">
        <x:v>5.9</x:v>
      </x:c>
      <x:c r="E2593" s="11" t="n">
        <x:v>-7.36</x:v>
      </x:c>
      <x:c r="F2593" s="11" t="n">
        <x:f>0</x:f>
        <x:v>0</x:v>
      </x:c>
      <x:c r="G2593" s="8" t="str">
        <x:v>Retired</x:v>
      </x:c>
    </x:row>
    <x:row r="2594" ht="32" customHeight="1">
      <x:c r="A2594" s="8" t="str">
        <x:v>drop:LC1:L1:light:-1:L4</x:v>
      </x:c>
      <x:c r="B2594" s="8" t="n">
        <x:v>2</x:v>
      </x:c>
      <x:c r="C2594" s="11" t="n">
        <x:v>10.32</x:v>
      </x:c>
      <x:c r="D2594" s="11" t="n">
        <x:v>5.9</x:v>
      </x:c>
      <x:c r="E2594" s="11" t="n">
        <x:v>-7.36</x:v>
      </x:c>
      <x:c r="F2594" s="11" t="n">
        <x:f>SQRT((C2594-C2593)^2+(D2594-D2593)^2+(E2594-E2593)^2)</x:f>
        <x:v>0.19500000000000028</x:v>
      </x:c>
      <x:c r="G2594" s="8" t="str">
        <x:v>Retired</x:v>
      </x:c>
    </x:row>
    <x:row r="2595" ht="32" customHeight="1">
      <x:c r="A2595" s="8" t="str">
        <x:v>drop:LC1:L1:light:-1:L4</x:v>
      </x:c>
      <x:c r="B2595" s="8" t="n">
        <x:v>3</x:v>
      </x:c>
      <x:c r="C2595" s="11" t="n">
        <x:v>10.32</x:v>
      </x:c>
      <x:c r="D2595" s="11" t="n">
        <x:v>7.04</x:v>
      </x:c>
      <x:c r="E2595" s="11" t="n">
        <x:v>-7.36</x:v>
      </x:c>
      <x:c r="F2595" s="11" t="n">
        <x:f>SQRT((C2595-C2594)^2+(D2595-D2594)^2+(E2595-E2594)^2)</x:f>
        <x:v>1.1399999999999997</x:v>
      </x:c>
      <x:c r="G2595" s="8" t="str">
        <x:v>Retired</x:v>
      </x:c>
    </x:row>
    <x:row r="2596" ht="32" customHeight="1">
      <x:c r="A2596" s="8" t="str">
        <x:v>drop:LC1:L1:light:-1:L4</x:v>
      </x:c>
      <x:c r="B2596" s="8" t="n">
        <x:v>4</x:v>
      </x:c>
      <x:c r="C2596" s="11" t="n">
        <x:v>10.32</x:v>
      </x:c>
      <x:c r="D2596" s="11" t="n">
        <x:v>9.442448369565216</x:v>
      </x:c>
      <x:c r="E2596" s="11" t="n">
        <x:v>-4.050000000000001</x:v>
      </x:c>
      <x:c r="F2596" s="11" t="n">
        <x:f>SQRT((C2596-C2595)^2+(D2596-D2595)^2+(E2596-E2595)^2)</x:f>
        <x:v>4.089970436131118</x:v>
      </x:c>
      <x:c r="G2596" s="8" t="str">
        <x:v>Retired</x:v>
      </x:c>
    </x:row>
    <x:row r="2597" ht="32" customHeight="1">
      <x:c r="A2597" s="8" t="str">
        <x:v>drop:LC1:L1:light:-1:L4</x:v>
      </x:c>
      <x:c r="B2597" s="8" t="n">
        <x:v>5</x:v>
      </x:c>
      <x:c r="C2597" s="11" t="n">
        <x:v>10.32</x:v>
      </x:c>
      <x:c r="D2597" s="11" t="n">
        <x:v>9.235</x:v>
      </x:c>
      <x:c r="E2597" s="11" t="n">
        <x:v>-4.05</x:v>
      </x:c>
      <x:c r="F2597" s="11" t="n">
        <x:f>SQRT((C2597-C2596)^2+(D2597-D2596)^2+(E2597-E2596)^2)</x:f>
        <x:v>0.20744836956521695</x:v>
      </x:c>
      <x:c r="G2597" s="8" t="str">
        <x:v>Retired</x:v>
      </x:c>
    </x:row>
    <x:row r="2598" ht="32" customHeight="1">
      <x:c r="A2598" s="8" t="str">
        <x:v>drop:LC1:L1:light:-1:L4</x:v>
      </x:c>
      <x:c r="B2598" s="8" t="n">
        <x:v>6</x:v>
      </x:c>
      <x:c r="C2598" s="11" t="n">
        <x:v>10.32</x:v>
      </x:c>
      <x:c r="D2598" s="11" t="n">
        <x:v>9.235</x:v>
      </x:c>
      <x:c r="E2598" s="11" t="n">
        <x:v>-3</x:v>
      </x:c>
      <x:c r="F2598" s="11" t="n">
        <x:f>SQRT((C2598-C2597)^2+(D2598-D2597)^2+(E2598-E2597)^2)</x:f>
        <x:v>1.0499999999999998</x:v>
      </x:c>
      <x:c r="G2598" s="8" t="str">
        <x:v>Retired</x:v>
      </x:c>
    </x:row>
    <x:row r="2599" ht="32" customHeight="1">
      <x:c r="A2599" s="8" t="str">
        <x:v>drop:LC1:L1:light:-1:L4</x:v>
      </x:c>
      <x:c r="B2599" s="8" t="n">
        <x:v>7</x:v>
      </x:c>
      <x:c r="C2599" s="11" t="n">
        <x:v>9.975</x:v>
      </x:c>
      <x:c r="D2599" s="11" t="n">
        <x:v>9.235</x:v>
      </x:c>
      <x:c r="E2599" s="11" t="n">
        <x:v>-3</x:v>
      </x:c>
      <x:c r="F2599" s="11" t="n">
        <x:f>SQRT((C2599-C2598)^2+(D2599-D2598)^2+(E2599-E2598)^2)</x:f>
        <x:v>0.34500000000000064</x:v>
      </x:c>
      <x:c r="G2599" s="8" t="str">
        <x:v>Retired</x:v>
      </x:c>
    </x:row>
    <x:row r="2600" ht="32" customHeight="1">
      <x:c r="A2600" s="8" t="str">
        <x:v>drop:LC1:L1:light:-1:L4</x:v>
      </x:c>
      <x:c r="B2600" s="8" t="n">
        <x:v>8</x:v>
      </x:c>
      <x:c r="C2600" s="11" t="n">
        <x:v>10.125</x:v>
      </x:c>
      <x:c r="D2600" s="11" t="n">
        <x:v>9.235</x:v>
      </x:c>
      <x:c r="E2600" s="11" t="n">
        <x:v>-2.72</x:v>
      </x:c>
      <x:c r="F2600" s="11" t="n">
        <x:f>SQRT((C2600-C2599)^2+(D2600-D2599)^2+(E2600-E2599)^2)</x:f>
        <x:v>0.3176476034853718</x:v>
      </x:c>
      <x:c r="G2600" s="8" t="str">
        <x:v>Retired</x:v>
      </x:c>
    </x:row>
    <x:row r="2601" ht="32" customHeight="1">
      <x:c r="A2601" s="8" t="str">
        <x:v>drop:LC1:L1:light:-1:L4</x:v>
      </x:c>
      <x:c r="B2601" s="8" t="n">
        <x:v>9</x:v>
      </x:c>
      <x:c r="C2601" s="11" t="n">
        <x:v>10.18</x:v>
      </x:c>
      <x:c r="D2601" s="11" t="n">
        <x:v>9.235</x:v>
      </x:c>
      <x:c r="E2601" s="11" t="n">
        <x:v>-2.72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drop:LC1:L1:light:-1:L4</x:v>
      </x:c>
      <x:c r="B2602" s="8" t="n">
        <x:v>10</x:v>
      </x:c>
      <x:c r="C2602" s="11" t="n">
        <x:v>10.18</x:v>
      </x:c>
      <x:c r="D2602" s="11" t="n">
        <x:v>8.77</x:v>
      </x:c>
      <x:c r="E2602" s="11" t="n">
        <x:v>-2.72</x:v>
      </x:c>
      <x:c r="F2602" s="11" t="n">
        <x:f>SQRT((C2602-C2601)^2+(D2602-D2601)^2+(E2602-E2601)^2)</x:f>
        <x:v>0.46499999999999986</x:v>
      </x:c>
      <x:c r="G2602" s="8" t="str">
        <x:v>Retired</x:v>
      </x:c>
    </x:row>
    <x:row r="2603" ht="32" customHeight="1">
      <x:c r="A2603" s="8" t="str">
        <x:v>drop:LC1:L1:light:-1:L4</x:v>
      </x:c>
      <x:c r="B2603" s="8" t="n">
        <x:v>11</x:v>
      </x:c>
      <x:c r="C2603" s="11" t="n">
        <x:v>10.125</x:v>
      </x:c>
      <x:c r="D2603" s="11" t="n">
        <x:v>8.77</x:v>
      </x:c>
      <x:c r="E2603" s="11" t="n">
        <x:v>-2.72</x:v>
      </x:c>
      <x:c r="F2603" s="11" t="n">
        <x:f>SQRT((C2603-C2602)^2+(D2603-D2602)^2+(E2603-E2602)^2)</x:f>
        <x:v>0.054999999999999716</x:v>
      </x:c>
      <x:c r="G2603" s="8" t="str">
        <x:v>Retired</x:v>
      </x:c>
    </x:row>
    <x:row r="2604" ht="32" customHeight="1">
      <x:c r="A2604" s="8" t="str">
        <x:v>drop:LC1:L1:light:-1:L7</x:v>
      </x:c>
      <x:c r="B2604" s="8" t="n">
        <x:v>1</x:v>
      </x:c>
      <x:c r="C2604" s="11" t="n">
        <x:v>14.625</x:v>
      </x:c>
      <x:c r="D2604" s="11" t="n">
        <x:v>5.9</x:v>
      </x:c>
      <x:c r="E2604" s="11" t="n">
        <x:v>-7.36</x:v>
      </x:c>
      <x:c r="F2604" s="11" t="n">
        <x:f>0</x:f>
        <x:v>0</x:v>
      </x:c>
      <x:c r="G2604" s="8" t="str">
        <x:v>Retired</x:v>
      </x:c>
    </x:row>
    <x:row r="2605" ht="32" customHeight="1">
      <x:c r="A2605" s="8" t="str">
        <x:v>drop:LC1:L1:light:-1:L7</x:v>
      </x:c>
      <x:c r="B2605" s="8" t="n">
        <x:v>2</x:v>
      </x:c>
      <x:c r="C2605" s="11" t="n">
        <x:v>14.82</x:v>
      </x:c>
      <x:c r="D2605" s="11" t="n">
        <x:v>5.9</x:v>
      </x:c>
      <x:c r="E2605" s="11" t="n">
        <x:v>-7.36</x:v>
      </x:c>
      <x:c r="F2605" s="11" t="n">
        <x:f>SQRT((C2605-C2604)^2+(D2605-D2604)^2+(E2605-E2604)^2)</x:f>
        <x:v>0.19500000000000028</x:v>
      </x:c>
      <x:c r="G2605" s="8" t="str">
        <x:v>Retired</x:v>
      </x:c>
    </x:row>
    <x:row r="2606" ht="32" customHeight="1">
      <x:c r="A2606" s="8" t="str">
        <x:v>drop:LC1:L1:light:-1:L7</x:v>
      </x:c>
      <x:c r="B2606" s="8" t="n">
        <x:v>3</x:v>
      </x:c>
      <x:c r="C2606" s="11" t="n">
        <x:v>14.82</x:v>
      </x:c>
      <x:c r="D2606" s="11" t="n">
        <x:v>7.04</x:v>
      </x:c>
      <x:c r="E2606" s="11" t="n">
        <x:v>-7.36</x:v>
      </x:c>
      <x:c r="F2606" s="11" t="n">
        <x:f>SQRT((C2606-C2605)^2+(D2606-D2605)^2+(E2606-E2605)^2)</x:f>
        <x:v>1.1399999999999997</x:v>
      </x:c>
      <x:c r="G2606" s="8" t="str">
        <x:v>Retired</x:v>
      </x:c>
    </x:row>
    <x:row r="2607" ht="32" customHeight="1">
      <x:c r="A2607" s="8" t="str">
        <x:v>drop:LC1:L1:light:-1:L7</x:v>
      </x:c>
      <x:c r="B2607" s="8" t="n">
        <x:v>4</x:v>
      </x:c>
      <x:c r="C2607" s="11" t="n">
        <x:v>14.82</x:v>
      </x:c>
      <x:c r="D2607" s="11" t="n">
        <x:v>9.442448369565216</x:v>
      </x:c>
      <x:c r="E2607" s="11" t="n">
        <x:v>-4.050000000000001</x:v>
      </x:c>
      <x:c r="F2607" s="11" t="n">
        <x:f>SQRT((C2607-C2606)^2+(D2607-D2606)^2+(E2607-E2606)^2)</x:f>
        <x:v>4.089970436131118</x:v>
      </x:c>
      <x:c r="G2607" s="8" t="str">
        <x:v>Retired</x:v>
      </x:c>
    </x:row>
    <x:row r="2608" ht="32" customHeight="1">
      <x:c r="A2608" s="8" t="str">
        <x:v>drop:LC1:L1:light:-1:L7</x:v>
      </x:c>
      <x:c r="B2608" s="8" t="n">
        <x:v>5</x:v>
      </x:c>
      <x:c r="C2608" s="11" t="n">
        <x:v>14.82</x:v>
      </x:c>
      <x:c r="D2608" s="11" t="n">
        <x:v>9.235</x:v>
      </x:c>
      <x:c r="E2608" s="11" t="n">
        <x:v>-4.05</x:v>
      </x:c>
      <x:c r="F2608" s="11" t="n">
        <x:f>SQRT((C2608-C2607)^2+(D2608-D2607)^2+(E2608-E2607)^2)</x:f>
        <x:v>0.20744836956521695</x:v>
      </x:c>
      <x:c r="G2608" s="8" t="str">
        <x:v>Retired</x:v>
      </x:c>
    </x:row>
    <x:row r="2609" ht="32" customHeight="1">
      <x:c r="A2609" s="8" t="str">
        <x:v>drop:LC1:L1:light:-1:L7</x:v>
      </x:c>
      <x:c r="B2609" s="8" t="n">
        <x:v>6</x:v>
      </x:c>
      <x:c r="C2609" s="11" t="n">
        <x:v>14.82</x:v>
      </x:c>
      <x:c r="D2609" s="11" t="n">
        <x:v>9.235</x:v>
      </x:c>
      <x:c r="E2609" s="11" t="n">
        <x:v>-3</x:v>
      </x:c>
      <x:c r="F2609" s="11" t="n">
        <x:f>SQRT((C2609-C2608)^2+(D2609-D2608)^2+(E2609-E2608)^2)</x:f>
        <x:v>1.0499999999999998</x:v>
      </x:c>
      <x:c r="G2609" s="8" t="str">
        <x:v>Retired</x:v>
      </x:c>
    </x:row>
    <x:row r="2610" ht="32" customHeight="1">
      <x:c r="A2610" s="8" t="str">
        <x:v>drop:LC1:L1:light:-1:L7</x:v>
      </x:c>
      <x:c r="B2610" s="8" t="n">
        <x:v>7</x:v>
      </x:c>
      <x:c r="C2610" s="11" t="n">
        <x:v>14.475</x:v>
      </x:c>
      <x:c r="D2610" s="11" t="n">
        <x:v>9.235</x:v>
      </x:c>
      <x:c r="E2610" s="11" t="n">
        <x:v>-3</x:v>
      </x:c>
      <x:c r="F2610" s="11" t="n">
        <x:f>SQRT((C2610-C2609)^2+(D2610-D2609)^2+(E2610-E2609)^2)</x:f>
        <x:v>0.34500000000000064</x:v>
      </x:c>
      <x:c r="G2610" s="8" t="str">
        <x:v>Retired</x:v>
      </x:c>
    </x:row>
    <x:row r="2611" ht="32" customHeight="1">
      <x:c r="A2611" s="8" t="str">
        <x:v>drop:LC1:L1:light:-1:L7</x:v>
      </x:c>
      <x:c r="B2611" s="8" t="n">
        <x:v>8</x:v>
      </x:c>
      <x:c r="C2611" s="11" t="n">
        <x:v>14.625</x:v>
      </x:c>
      <x:c r="D2611" s="11" t="n">
        <x:v>9.235</x:v>
      </x:c>
      <x:c r="E2611" s="11" t="n">
        <x:v>-2.48</x:v>
      </x:c>
      <x:c r="F2611" s="11" t="n">
        <x:f>SQRT((C2611-C2610)^2+(D2611-D2610)^2+(E2611-E2610)^2)</x:f>
        <x:v>0.5412023651093925</x:v>
      </x:c>
      <x:c r="G2611" s="8" t="str">
        <x:v>Retired</x:v>
      </x:c>
    </x:row>
    <x:row r="2612" ht="32" customHeight="1">
      <x:c r="A2612" s="8" t="str">
        <x:v>drop:LC1:L1:light:-1:L7</x:v>
      </x:c>
      <x:c r="B2612" s="8" t="n">
        <x:v>9</x:v>
      </x:c>
      <x:c r="C2612" s="11" t="n">
        <x:v>14.68</x:v>
      </x:c>
      <x:c r="D2612" s="11" t="n">
        <x:v>9.235</x:v>
      </x:c>
      <x:c r="E2612" s="11" t="n">
        <x:v>-2.48</x:v>
      </x:c>
      <x:c r="F2612" s="11" t="n">
        <x:f>SQRT((C2612-C2611)^2+(D2612-D2611)^2+(E2612-E2611)^2)</x:f>
        <x:v>0.054999999999999716</x:v>
      </x:c>
      <x:c r="G2612" s="8" t="str">
        <x:v>Retired</x:v>
      </x:c>
    </x:row>
    <x:row r="2613" ht="32" customHeight="1">
      <x:c r="A2613" s="8" t="str">
        <x:v>drop:LC1:L1:light:-1:L7</x:v>
      </x:c>
      <x:c r="B2613" s="8" t="n">
        <x:v>10</x:v>
      </x:c>
      <x:c r="C2613" s="11" t="n">
        <x:v>14.68</x:v>
      </x:c>
      <x:c r="D2613" s="11" t="n">
        <x:v>8.77</x:v>
      </x:c>
      <x:c r="E2613" s="11" t="n">
        <x:v>-2.48</x:v>
      </x:c>
      <x:c r="F2613" s="11" t="n">
        <x:f>SQRT((C2613-C2612)^2+(D2613-D2612)^2+(E2613-E2612)^2)</x:f>
        <x:v>0.46499999999999986</x:v>
      </x:c>
      <x:c r="G2613" s="8" t="str">
        <x:v>Retired</x:v>
      </x:c>
    </x:row>
    <x:row r="2614" ht="32" customHeight="1">
      <x:c r="A2614" s="8" t="str">
        <x:v>drop:LC1:L1:light:-1:L7</x:v>
      </x:c>
      <x:c r="B2614" s="8" t="n">
        <x:v>11</x:v>
      </x:c>
      <x:c r="C2614" s="11" t="n">
        <x:v>14.625</x:v>
      </x:c>
      <x:c r="D2614" s="11" t="n">
        <x:v>8.77</x:v>
      </x:c>
      <x:c r="E2614" s="11" t="n">
        <x:v>-2.48</x:v>
      </x:c>
      <x:c r="F2614" s="11" t="n">
        <x:f>SQRT((C2614-C2613)^2+(D2614-D2613)^2+(E2614-E2613)^2)</x:f>
        <x:v>0.054999999999999716</x:v>
      </x:c>
      <x:c r="G2614" s="8" t="str">
        <x:v>Retired</x:v>
      </x:c>
    </x:row>
    <x:row r="2615" ht="32" customHeight="1">
      <x:c r="A2615" s="8" t="str">
        <x:v>drop:LC1:L1:light:-1:L8</x:v>
      </x:c>
      <x:c r="B2615" s="8" t="n">
        <x:v>1</x:v>
      </x:c>
      <x:c r="C2615" s="11" t="n">
        <x:v>14.625</x:v>
      </x:c>
      <x:c r="D2615" s="11" t="n">
        <x:v>5.9</x:v>
      </x:c>
      <x:c r="E2615" s="11" t="n">
        <x:v>-7.36</x:v>
      </x:c>
      <x:c r="F2615" s="11" t="n">
        <x:f>0</x:f>
        <x:v>0</x:v>
      </x:c>
      <x:c r="G2615" s="8" t="str">
        <x:v>Retired</x:v>
      </x:c>
    </x:row>
    <x:row r="2616" ht="32" customHeight="1">
      <x:c r="A2616" s="8" t="str">
        <x:v>drop:LC1:L1:light:-1:L8</x:v>
      </x:c>
      <x:c r="B2616" s="8" t="n">
        <x:v>2</x:v>
      </x:c>
      <x:c r="C2616" s="11" t="n">
        <x:v>14.82</x:v>
      </x:c>
      <x:c r="D2616" s="11" t="n">
        <x:v>5.9</x:v>
      </x:c>
      <x:c r="E2616" s="11" t="n">
        <x:v>-7.36</x:v>
      </x:c>
      <x:c r="F2616" s="11" t="n">
        <x:f>SQRT((C2616-C2615)^2+(D2616-D2615)^2+(E2616-E2615)^2)</x:f>
        <x:v>0.19500000000000028</x:v>
      </x:c>
      <x:c r="G2616" s="8" t="str">
        <x:v>Retired</x:v>
      </x:c>
    </x:row>
    <x:row r="2617" ht="32" customHeight="1">
      <x:c r="A2617" s="8" t="str">
        <x:v>drop:LC1:L1:light:-1:L8</x:v>
      </x:c>
      <x:c r="B2617" s="8" t="n">
        <x:v>3</x:v>
      </x:c>
      <x:c r="C2617" s="11" t="n">
        <x:v>14.82</x:v>
      </x:c>
      <x:c r="D2617" s="11" t="n">
        <x:v>7.04</x:v>
      </x:c>
      <x:c r="E2617" s="11" t="n">
        <x:v>-7.36</x:v>
      </x:c>
      <x:c r="F2617" s="11" t="n">
        <x:f>SQRT((C2617-C2616)^2+(D2617-D2616)^2+(E2617-E2616)^2)</x:f>
        <x:v>1.1399999999999997</x:v>
      </x:c>
      <x:c r="G2617" s="8" t="str">
        <x:v>Retired</x:v>
      </x:c>
    </x:row>
    <x:row r="2618" ht="32" customHeight="1">
      <x:c r="A2618" s="8" t="str">
        <x:v>drop:LC1:L1:light:-1:L8</x:v>
      </x:c>
      <x:c r="B2618" s="8" t="n">
        <x:v>4</x:v>
      </x:c>
      <x:c r="C2618" s="11" t="n">
        <x:v>14.82</x:v>
      </x:c>
      <x:c r="D2618" s="11" t="n">
        <x:v>9.442448369565216</x:v>
      </x:c>
      <x:c r="E2618" s="11" t="n">
        <x:v>-4.050000000000001</x:v>
      </x:c>
      <x:c r="F2618" s="11" t="n">
        <x:f>SQRT((C2618-C2617)^2+(D2618-D2617)^2+(E2618-E2617)^2)</x:f>
        <x:v>4.089970436131118</x:v>
      </x:c>
      <x:c r="G2618" s="8" t="str">
        <x:v>Retired</x:v>
      </x:c>
    </x:row>
    <x:row r="2619" ht="32" customHeight="1">
      <x:c r="A2619" s="8" t="str">
        <x:v>drop:LC1:L1:light:-1:L8</x:v>
      </x:c>
      <x:c r="B2619" s="8" t="n">
        <x:v>5</x:v>
      </x:c>
      <x:c r="C2619" s="11" t="n">
        <x:v>14.82</x:v>
      </x:c>
      <x:c r="D2619" s="11" t="n">
        <x:v>9.235</x:v>
      </x:c>
      <x:c r="E2619" s="11" t="n">
        <x:v>-4.05</x:v>
      </x:c>
      <x:c r="F2619" s="11" t="n">
        <x:f>SQRT((C2619-C2618)^2+(D2619-D2618)^2+(E2619-E2618)^2)</x:f>
        <x:v>0.20744836956521695</x:v>
      </x:c>
      <x:c r="G2619" s="8" t="str">
        <x:v>Retired</x:v>
      </x:c>
    </x:row>
    <x:row r="2620" ht="32" customHeight="1">
      <x:c r="A2620" s="8" t="str">
        <x:v>drop:LC1:L1:light:-1:L8</x:v>
      </x:c>
      <x:c r="B2620" s="8" t="n">
        <x:v>6</x:v>
      </x:c>
      <x:c r="C2620" s="11" t="n">
        <x:v>14.82</x:v>
      </x:c>
      <x:c r="D2620" s="11" t="n">
        <x:v>9.235</x:v>
      </x:c>
      <x:c r="E2620" s="11" t="n">
        <x:v>-3</x:v>
      </x:c>
      <x:c r="F2620" s="11" t="n">
        <x:f>SQRT((C2620-C2619)^2+(D2620-D2619)^2+(E2620-E2619)^2)</x:f>
        <x:v>1.0499999999999998</x:v>
      </x:c>
      <x:c r="G2620" s="8" t="str">
        <x:v>Retired</x:v>
      </x:c>
    </x:row>
    <x:row r="2621" ht="32" customHeight="1">
      <x:c r="A2621" s="8" t="str">
        <x:v>drop:LC1:L1:light:-1:L8</x:v>
      </x:c>
      <x:c r="B2621" s="8" t="n">
        <x:v>7</x:v>
      </x:c>
      <x:c r="C2621" s="11" t="n">
        <x:v>14.475</x:v>
      </x:c>
      <x:c r="D2621" s="11" t="n">
        <x:v>9.235</x:v>
      </x:c>
      <x:c r="E2621" s="11" t="n">
        <x:v>-3</x:v>
      </x:c>
      <x:c r="F2621" s="11" t="n">
        <x:f>SQRT((C2621-C2620)^2+(D2621-D2620)^2+(E2621-E2620)^2)</x:f>
        <x:v>0.34500000000000064</x:v>
      </x:c>
      <x:c r="G2621" s="8" t="str">
        <x:v>Retired</x:v>
      </x:c>
    </x:row>
    <x:row r="2622" ht="32" customHeight="1">
      <x:c r="A2622" s="8" t="str">
        <x:v>drop:LC1:L1:light:-1:L8</x:v>
      </x:c>
      <x:c r="B2622" s="8" t="n">
        <x:v>8</x:v>
      </x:c>
      <x:c r="C2622" s="11" t="n">
        <x:v>14.625</x:v>
      </x:c>
      <x:c r="D2622" s="11" t="n">
        <x:v>9.235</x:v>
      </x:c>
      <x:c r="E2622" s="11" t="n">
        <x:v>-2.72</x:v>
      </x:c>
      <x:c r="F2622" s="11" t="n">
        <x:f>SQRT((C2622-C2621)^2+(D2622-D2621)^2+(E2622-E2621)^2)</x:f>
        <x:v>0.3176476034853718</x:v>
      </x:c>
      <x:c r="G2622" s="8" t="str">
        <x:v>Retired</x:v>
      </x:c>
    </x:row>
    <x:row r="2623" ht="32" customHeight="1">
      <x:c r="A2623" s="8" t="str">
        <x:v>drop:LC1:L1:light:-1:L8</x:v>
      </x:c>
      <x:c r="B2623" s="8" t="n">
        <x:v>9</x:v>
      </x:c>
      <x:c r="C2623" s="11" t="n">
        <x:v>14.68</x:v>
      </x:c>
      <x:c r="D2623" s="11" t="n">
        <x:v>9.235</x:v>
      </x:c>
      <x:c r="E2623" s="11" t="n">
        <x:v>-2.72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drop:LC1:L1:light:-1:L8</x:v>
      </x:c>
      <x:c r="B2624" s="8" t="n">
        <x:v>10</x:v>
      </x:c>
      <x:c r="C2624" s="11" t="n">
        <x:v>14.68</x:v>
      </x:c>
      <x:c r="D2624" s="11" t="n">
        <x:v>8.77</x:v>
      </x:c>
      <x:c r="E2624" s="11" t="n">
        <x:v>-2.72</x:v>
      </x:c>
      <x:c r="F2624" s="11" t="n">
        <x:f>SQRT((C2624-C2623)^2+(D2624-D2623)^2+(E2624-E2623)^2)</x:f>
        <x:v>0.46499999999999986</x:v>
      </x:c>
      <x:c r="G2624" s="8" t="str">
        <x:v>Retired</x:v>
      </x:c>
    </x:row>
    <x:row r="2625" ht="32" customHeight="1">
      <x:c r="A2625" s="8" t="str">
        <x:v>drop:LC1:L1:light:-1:L8</x:v>
      </x:c>
      <x:c r="B2625" s="8" t="n">
        <x:v>11</x:v>
      </x:c>
      <x:c r="C2625" s="11" t="n">
        <x:v>14.625</x:v>
      </x:c>
      <x:c r="D2625" s="11" t="n">
        <x:v>8.77</x:v>
      </x:c>
      <x:c r="E2625" s="11" t="n">
        <x:v>-2.72</x:v>
      </x:c>
      <x:c r="F2625" s="11" t="n">
        <x:f>SQRT((C2625-C2624)^2+(D2625-D2624)^2+(E2625-E2624)^2)</x:f>
        <x:v>0.054999999999999716</x:v>
      </x:c>
      <x:c r="G2625" s="8" t="str">
        <x:v>Retired</x:v>
      </x:c>
    </x:row>
    <x:row r="2626" ht="32" customHeight="1">
      <x:c r="A2626" s="8" t="str">
        <x:v>drop:LC1:L1:light:-1:L11</x:v>
      </x:c>
      <x:c r="B2626" s="8" t="n">
        <x:v>1</x:v>
      </x:c>
      <x:c r="C2626" s="11" t="n">
        <x:v>19.125</x:v>
      </x:c>
      <x:c r="D2626" s="11" t="n">
        <x:v>5.9</x:v>
      </x:c>
      <x:c r="E2626" s="11" t="n">
        <x:v>-7.36</x:v>
      </x:c>
      <x:c r="F2626" s="11" t="n">
        <x:f>0</x:f>
        <x:v>0</x:v>
      </x:c>
      <x:c r="G2626" s="8" t="str">
        <x:v>Retired</x:v>
      </x:c>
    </x:row>
    <x:row r="2627" ht="32" customHeight="1">
      <x:c r="A2627" s="8" t="str">
        <x:v>drop:LC1:L1:light:-1:L11</x:v>
      </x:c>
      <x:c r="B2627" s="8" t="n">
        <x:v>2</x:v>
      </x:c>
      <x:c r="C2627" s="11" t="n">
        <x:v>19.32</x:v>
      </x:c>
      <x:c r="D2627" s="11" t="n">
        <x:v>5.9</x:v>
      </x:c>
      <x:c r="E2627" s="11" t="n">
        <x:v>-7.36</x:v>
      </x:c>
      <x:c r="F2627" s="11" t="n">
        <x:f>SQRT((C2627-C2626)^2+(D2627-D2626)^2+(E2627-E2626)^2)</x:f>
        <x:v>0.19500000000000028</x:v>
      </x:c>
      <x:c r="G2627" s="8" t="str">
        <x:v>Retired</x:v>
      </x:c>
    </x:row>
    <x:row r="2628" ht="32" customHeight="1">
      <x:c r="A2628" s="8" t="str">
        <x:v>drop:LC1:L1:light:-1:L11</x:v>
      </x:c>
      <x:c r="B2628" s="8" t="n">
        <x:v>3</x:v>
      </x:c>
      <x:c r="C2628" s="11" t="n">
        <x:v>19.32</x:v>
      </x:c>
      <x:c r="D2628" s="11" t="n">
        <x:v>7.04</x:v>
      </x:c>
      <x:c r="E2628" s="11" t="n">
        <x:v>-7.36</x:v>
      </x:c>
      <x:c r="F2628" s="11" t="n">
        <x:f>SQRT((C2628-C2627)^2+(D2628-D2627)^2+(E2628-E2627)^2)</x:f>
        <x:v>1.1399999999999997</x:v>
      </x:c>
      <x:c r="G2628" s="8" t="str">
        <x:v>Retired</x:v>
      </x:c>
    </x:row>
    <x:row r="2629" ht="32" customHeight="1">
      <x:c r="A2629" s="8" t="str">
        <x:v>drop:LC1:L1:light:-1:L11</x:v>
      </x:c>
      <x:c r="B2629" s="8" t="n">
        <x:v>4</x:v>
      </x:c>
      <x:c r="C2629" s="11" t="n">
        <x:v>19.32</x:v>
      </x:c>
      <x:c r="D2629" s="11" t="n">
        <x:v>9.442448369565216</x:v>
      </x:c>
      <x:c r="E2629" s="11" t="n">
        <x:v>-4.050000000000001</x:v>
      </x:c>
      <x:c r="F2629" s="11" t="n">
        <x:f>SQRT((C2629-C2628)^2+(D2629-D2628)^2+(E2629-E2628)^2)</x:f>
        <x:v>4.089970436131118</x:v>
      </x:c>
      <x:c r="G2629" s="8" t="str">
        <x:v>Retired</x:v>
      </x:c>
    </x:row>
    <x:row r="2630" ht="32" customHeight="1">
      <x:c r="A2630" s="8" t="str">
        <x:v>drop:LC1:L1:light:-1:L11</x:v>
      </x:c>
      <x:c r="B2630" s="8" t="n">
        <x:v>5</x:v>
      </x:c>
      <x:c r="C2630" s="11" t="n">
        <x:v>19.32</x:v>
      </x:c>
      <x:c r="D2630" s="11" t="n">
        <x:v>9.235</x:v>
      </x:c>
      <x:c r="E2630" s="11" t="n">
        <x:v>-4.05</x:v>
      </x:c>
      <x:c r="F2630" s="11" t="n">
        <x:f>SQRT((C2630-C2629)^2+(D2630-D2629)^2+(E2630-E2629)^2)</x:f>
        <x:v>0.20744836956521695</x:v>
      </x:c>
      <x:c r="G2630" s="8" t="str">
        <x:v>Retired</x:v>
      </x:c>
    </x:row>
    <x:row r="2631" ht="32" customHeight="1">
      <x:c r="A2631" s="8" t="str">
        <x:v>drop:LC1:L1:light:-1:L11</x:v>
      </x:c>
      <x:c r="B2631" s="8" t="n">
        <x:v>6</x:v>
      </x:c>
      <x:c r="C2631" s="11" t="n">
        <x:v>19.32</x:v>
      </x:c>
      <x:c r="D2631" s="11" t="n">
        <x:v>9.235</x:v>
      </x:c>
      <x:c r="E2631" s="11" t="n">
        <x:v>-3</x:v>
      </x:c>
      <x:c r="F2631" s="11" t="n">
        <x:f>SQRT((C2631-C2630)^2+(D2631-D2630)^2+(E2631-E2630)^2)</x:f>
        <x:v>1.0499999999999998</x:v>
      </x:c>
      <x:c r="G2631" s="8" t="str">
        <x:v>Retired</x:v>
      </x:c>
    </x:row>
    <x:row r="2632" ht="32" customHeight="1">
      <x:c r="A2632" s="8" t="str">
        <x:v>drop:LC1:L1:light:-1:L11</x:v>
      </x:c>
      <x:c r="B2632" s="8" t="n">
        <x:v>7</x:v>
      </x:c>
      <x:c r="C2632" s="11" t="n">
        <x:v>18.975</x:v>
      </x:c>
      <x:c r="D2632" s="11" t="n">
        <x:v>9.235</x:v>
      </x:c>
      <x:c r="E2632" s="11" t="n">
        <x:v>-3</x:v>
      </x:c>
      <x:c r="F2632" s="11" t="n">
        <x:f>SQRT((C2632-C2631)^2+(D2632-D2631)^2+(E2632-E2631)^2)</x:f>
        <x:v>0.34499999999999886</x:v>
      </x:c>
      <x:c r="G2632" s="8" t="str">
        <x:v>Retired</x:v>
      </x:c>
    </x:row>
    <x:row r="2633" ht="32" customHeight="1">
      <x:c r="A2633" s="8" t="str">
        <x:v>drop:LC1:L1:light:-1:L11</x:v>
      </x:c>
      <x:c r="B2633" s="8" t="n">
        <x:v>8</x:v>
      </x:c>
      <x:c r="C2633" s="11" t="n">
        <x:v>19.125</x:v>
      </x:c>
      <x:c r="D2633" s="11" t="n">
        <x:v>9.235</x:v>
      </x:c>
      <x:c r="E2633" s="11" t="n">
        <x:v>-2.48</x:v>
      </x:c>
      <x:c r="F2633" s="11" t="n">
        <x:f>SQRT((C2633-C2632)^2+(D2633-D2632)^2+(E2633-E2632)^2)</x:f>
        <x:v>0.541202365109392</x:v>
      </x:c>
      <x:c r="G2633" s="8" t="str">
        <x:v>Retired</x:v>
      </x:c>
    </x:row>
    <x:row r="2634" ht="32" customHeight="1">
      <x:c r="A2634" s="8" t="str">
        <x:v>drop:LC1:L1:light:-1:L11</x:v>
      </x:c>
      <x:c r="B2634" s="8" t="n">
        <x:v>9</x:v>
      </x:c>
      <x:c r="C2634" s="11" t="n">
        <x:v>19.18</x:v>
      </x:c>
      <x:c r="D2634" s="11" t="n">
        <x:v>9.235</x:v>
      </x:c>
      <x:c r="E2634" s="11" t="n">
        <x:v>-2.48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drop:LC1:L1:light:-1:L11</x:v>
      </x:c>
      <x:c r="B2635" s="8" t="n">
        <x:v>10</x:v>
      </x:c>
      <x:c r="C2635" s="11" t="n">
        <x:v>19.18</x:v>
      </x:c>
      <x:c r="D2635" s="11" t="n">
        <x:v>8.77</x:v>
      </x:c>
      <x:c r="E2635" s="11" t="n">
        <x:v>-2.48</x:v>
      </x:c>
      <x:c r="F2635" s="11" t="n">
        <x:f>SQRT((C2635-C2634)^2+(D2635-D2634)^2+(E2635-E2634)^2)</x:f>
        <x:v>0.46499999999999986</x:v>
      </x:c>
      <x:c r="G2635" s="8" t="str">
        <x:v>Retired</x:v>
      </x:c>
    </x:row>
    <x:row r="2636" ht="32" customHeight="1">
      <x:c r="A2636" s="8" t="str">
        <x:v>drop:LC1:L1:light:-1:L11</x:v>
      </x:c>
      <x:c r="B2636" s="8" t="n">
        <x:v>11</x:v>
      </x:c>
      <x:c r="C2636" s="11" t="n">
        <x:v>19.125</x:v>
      </x:c>
      <x:c r="D2636" s="11" t="n">
        <x:v>8.77</x:v>
      </x:c>
      <x:c r="E2636" s="11" t="n">
        <x:v>-2.48</x:v>
      </x:c>
      <x:c r="F2636" s="11" t="n">
        <x:f>SQRT((C2636-C2635)^2+(D2636-D2635)^2+(E2636-E2635)^2)</x:f>
        <x:v>0.054999999999999716</x:v>
      </x:c>
      <x:c r="G2636" s="8" t="str">
        <x:v>Retired</x:v>
      </x:c>
    </x:row>
    <x:row r="2637" ht="32" customHeight="1">
      <x:c r="A2637" s="8" t="str">
        <x:v>drop:LC1:L1:light:-1:L12</x:v>
      </x:c>
      <x:c r="B2637" s="8" t="n">
        <x:v>1</x:v>
      </x:c>
      <x:c r="C2637" s="11" t="n">
        <x:v>19.125</x:v>
      </x:c>
      <x:c r="D2637" s="11" t="n">
        <x:v>5.9</x:v>
      </x:c>
      <x:c r="E2637" s="11" t="n">
        <x:v>-7.36</x:v>
      </x:c>
      <x:c r="F2637" s="11" t="n">
        <x:f>0</x:f>
        <x:v>0</x:v>
      </x:c>
      <x:c r="G2637" s="8" t="str">
        <x:v>Retired</x:v>
      </x:c>
    </x:row>
    <x:row r="2638" ht="32" customHeight="1">
      <x:c r="A2638" s="8" t="str">
        <x:v>drop:LC1:L1:light:-1:L12</x:v>
      </x:c>
      <x:c r="B2638" s="8" t="n">
        <x:v>2</x:v>
      </x:c>
      <x:c r="C2638" s="11" t="n">
        <x:v>19.32</x:v>
      </x:c>
      <x:c r="D2638" s="11" t="n">
        <x:v>5.9</x:v>
      </x:c>
      <x:c r="E2638" s="11" t="n">
        <x:v>-7.36</x:v>
      </x:c>
      <x:c r="F2638" s="11" t="n">
        <x:f>SQRT((C2638-C2637)^2+(D2638-D2637)^2+(E2638-E2637)^2)</x:f>
        <x:v>0.19500000000000028</x:v>
      </x:c>
      <x:c r="G2638" s="8" t="str">
        <x:v>Retired</x:v>
      </x:c>
    </x:row>
    <x:row r="2639" ht="32" customHeight="1">
      <x:c r="A2639" s="8" t="str">
        <x:v>drop:LC1:L1:light:-1:L12</x:v>
      </x:c>
      <x:c r="B2639" s="8" t="n">
        <x:v>3</x:v>
      </x:c>
      <x:c r="C2639" s="11" t="n">
        <x:v>19.32</x:v>
      </x:c>
      <x:c r="D2639" s="11" t="n">
        <x:v>7.04</x:v>
      </x:c>
      <x:c r="E2639" s="11" t="n">
        <x:v>-7.36</x:v>
      </x:c>
      <x:c r="F2639" s="11" t="n">
        <x:f>SQRT((C2639-C2638)^2+(D2639-D2638)^2+(E2639-E2638)^2)</x:f>
        <x:v>1.1399999999999997</x:v>
      </x:c>
      <x:c r="G2639" s="8" t="str">
        <x:v>Retired</x:v>
      </x:c>
    </x:row>
    <x:row r="2640" ht="32" customHeight="1">
      <x:c r="A2640" s="8" t="str">
        <x:v>drop:LC1:L1:light:-1:L12</x:v>
      </x:c>
      <x:c r="B2640" s="8" t="n">
        <x:v>4</x:v>
      </x:c>
      <x:c r="C2640" s="11" t="n">
        <x:v>19.32</x:v>
      </x:c>
      <x:c r="D2640" s="11" t="n">
        <x:v>9.442448369565216</x:v>
      </x:c>
      <x:c r="E2640" s="11" t="n">
        <x:v>-4.050000000000001</x:v>
      </x:c>
      <x:c r="F2640" s="11" t="n">
        <x:f>SQRT((C2640-C2639)^2+(D2640-D2639)^2+(E2640-E2639)^2)</x:f>
        <x:v>4.089970436131118</x:v>
      </x:c>
      <x:c r="G2640" s="8" t="str">
        <x:v>Retired</x:v>
      </x:c>
    </x:row>
    <x:row r="2641" ht="32" customHeight="1">
      <x:c r="A2641" s="8" t="str">
        <x:v>drop:LC1:L1:light:-1:L12</x:v>
      </x:c>
      <x:c r="B2641" s="8" t="n">
        <x:v>5</x:v>
      </x:c>
      <x:c r="C2641" s="11" t="n">
        <x:v>19.32</x:v>
      </x:c>
      <x:c r="D2641" s="11" t="n">
        <x:v>9.235</x:v>
      </x:c>
      <x:c r="E2641" s="11" t="n">
        <x:v>-4.05</x:v>
      </x:c>
      <x:c r="F2641" s="11" t="n">
        <x:f>SQRT((C2641-C2640)^2+(D2641-D2640)^2+(E2641-E2640)^2)</x:f>
        <x:v>0.20744836956521695</x:v>
      </x:c>
      <x:c r="G2641" s="8" t="str">
        <x:v>Retired</x:v>
      </x:c>
    </x:row>
    <x:row r="2642" ht="32" customHeight="1">
      <x:c r="A2642" s="8" t="str">
        <x:v>drop:LC1:L1:light:-1:L12</x:v>
      </x:c>
      <x:c r="B2642" s="8" t="n">
        <x:v>6</x:v>
      </x:c>
      <x:c r="C2642" s="11" t="n">
        <x:v>19.32</x:v>
      </x:c>
      <x:c r="D2642" s="11" t="n">
        <x:v>9.235</x:v>
      </x:c>
      <x:c r="E2642" s="11" t="n">
        <x:v>-3</x:v>
      </x:c>
      <x:c r="F2642" s="11" t="n">
        <x:f>SQRT((C2642-C2641)^2+(D2642-D2641)^2+(E2642-E2641)^2)</x:f>
        <x:v>1.0499999999999998</x:v>
      </x:c>
      <x:c r="G2642" s="8" t="str">
        <x:v>Retired</x:v>
      </x:c>
    </x:row>
    <x:row r="2643" ht="32" customHeight="1">
      <x:c r="A2643" s="8" t="str">
        <x:v>drop:LC1:L1:light:-1:L12</x:v>
      </x:c>
      <x:c r="B2643" s="8" t="n">
        <x:v>7</x:v>
      </x:c>
      <x:c r="C2643" s="11" t="n">
        <x:v>18.975</x:v>
      </x:c>
      <x:c r="D2643" s="11" t="n">
        <x:v>9.235</x:v>
      </x:c>
      <x:c r="E2643" s="11" t="n">
        <x:v>-3</x:v>
      </x:c>
      <x:c r="F2643" s="11" t="n">
        <x:f>SQRT((C2643-C2642)^2+(D2643-D2642)^2+(E2643-E2642)^2)</x:f>
        <x:v>0.34499999999999886</x:v>
      </x:c>
      <x:c r="G2643" s="8" t="str">
        <x:v>Retired</x:v>
      </x:c>
    </x:row>
    <x:row r="2644" ht="32" customHeight="1">
      <x:c r="A2644" s="8" t="str">
        <x:v>drop:LC1:L1:light:-1:L12</x:v>
      </x:c>
      <x:c r="B2644" s="8" t="n">
        <x:v>8</x:v>
      </x:c>
      <x:c r="C2644" s="11" t="n">
        <x:v>19.125</x:v>
      </x:c>
      <x:c r="D2644" s="11" t="n">
        <x:v>9.235</x:v>
      </x:c>
      <x:c r="E2644" s="11" t="n">
        <x:v>-2.72</x:v>
      </x:c>
      <x:c r="F2644" s="11" t="n">
        <x:f>SQRT((C2644-C2643)^2+(D2644-D2643)^2+(E2644-E2643)^2)</x:f>
        <x:v>0.31764760348537097</x:v>
      </x:c>
      <x:c r="G2644" s="8" t="str">
        <x:v>Retired</x:v>
      </x:c>
    </x:row>
    <x:row r="2645" ht="32" customHeight="1">
      <x:c r="A2645" s="8" t="str">
        <x:v>drop:LC1:L1:light:-1:L12</x:v>
      </x:c>
      <x:c r="B2645" s="8" t="n">
        <x:v>9</x:v>
      </x:c>
      <x:c r="C2645" s="11" t="n">
        <x:v>19.18</x:v>
      </x:c>
      <x:c r="D2645" s="11" t="n">
        <x:v>9.235</x:v>
      </x:c>
      <x:c r="E2645" s="11" t="n">
        <x:v>-2.72</x:v>
      </x:c>
      <x:c r="F2645" s="11" t="n">
        <x:f>SQRT((C2645-C2644)^2+(D2645-D2644)^2+(E2645-E2644)^2)</x:f>
        <x:v>0.054999999999999716</x:v>
      </x:c>
      <x:c r="G2645" s="8" t="str">
        <x:v>Retired</x:v>
      </x:c>
    </x:row>
    <x:row r="2646" ht="32" customHeight="1">
      <x:c r="A2646" s="8" t="str">
        <x:v>drop:LC1:L1:light:-1:L12</x:v>
      </x:c>
      <x:c r="B2646" s="8" t="n">
        <x:v>10</x:v>
      </x:c>
      <x:c r="C2646" s="11" t="n">
        <x:v>19.18</x:v>
      </x:c>
      <x:c r="D2646" s="11" t="n">
        <x:v>8.77</x:v>
      </x:c>
      <x:c r="E2646" s="11" t="n">
        <x:v>-2.72</x:v>
      </x:c>
      <x:c r="F2646" s="11" t="n">
        <x:f>SQRT((C2646-C2645)^2+(D2646-D2645)^2+(E2646-E2645)^2)</x:f>
        <x:v>0.46499999999999986</x:v>
      </x:c>
      <x:c r="G2646" s="8" t="str">
        <x:v>Retired</x:v>
      </x:c>
    </x:row>
    <x:row r="2647" ht="32" customHeight="1">
      <x:c r="A2647" s="8" t="str">
        <x:v>drop:LC1:L1:light:-1:L12</x:v>
      </x:c>
      <x:c r="B2647" s="8" t="n">
        <x:v>11</x:v>
      </x:c>
      <x:c r="C2647" s="11" t="n">
        <x:v>19.125</x:v>
      </x:c>
      <x:c r="D2647" s="11" t="n">
        <x:v>8.77</x:v>
      </x:c>
      <x:c r="E2647" s="11" t="n">
        <x:v>-2.72</x:v>
      </x:c>
      <x:c r="F2647" s="11" t="n">
        <x:f>SQRT((C2647-C2646)^2+(D2647-D2646)^2+(E2647-E2646)^2)</x:f>
        <x:v>0.054999999999999716</x:v>
      </x:c>
      <x:c r="G2647" s="8" t="str">
        <x:v>Retired</x:v>
      </x:c>
    </x:row>
    <x:row r="2648" ht="32" customHeight="1">
      <x:c r="A2648" s="8" t="str">
        <x:v>drop:LC1:L1:light:-1:L16</x:v>
      </x:c>
      <x:c r="B2648" s="8" t="n">
        <x:v>1</x:v>
      </x:c>
      <x:c r="C2648" s="11" t="n">
        <x:v>23.625</x:v>
      </x:c>
      <x:c r="D2648" s="11" t="n">
        <x:v>5.9</x:v>
      </x:c>
      <x:c r="E2648" s="11" t="n">
        <x:v>-7.36</x:v>
      </x:c>
      <x:c r="F2648" s="11" t="n">
        <x:f>0</x:f>
        <x:v>0</x:v>
      </x:c>
      <x:c r="G2648" s="8" t="str">
        <x:v>Retired</x:v>
      </x:c>
    </x:row>
    <x:row r="2649" ht="32" customHeight="1">
      <x:c r="A2649" s="8" t="str">
        <x:v>drop:LC1:L1:light:-1:L16</x:v>
      </x:c>
      <x:c r="B2649" s="8" t="n">
        <x:v>2</x:v>
      </x:c>
      <x:c r="C2649" s="11" t="n">
        <x:v>23.82</x:v>
      </x:c>
      <x:c r="D2649" s="11" t="n">
        <x:v>5.9</x:v>
      </x:c>
      <x:c r="E2649" s="11" t="n">
        <x:v>-7.36</x:v>
      </x:c>
      <x:c r="F2649" s="11" t="n">
        <x:f>SQRT((C2649-C2648)^2+(D2649-D2648)^2+(E2649-E2648)^2)</x:f>
        <x:v>0.19500000000000028</x:v>
      </x:c>
      <x:c r="G2649" s="8" t="str">
        <x:v>Retired</x:v>
      </x:c>
    </x:row>
    <x:row r="2650" ht="32" customHeight="1">
      <x:c r="A2650" s="8" t="str">
        <x:v>drop:LC1:L1:light:-1:L16</x:v>
      </x:c>
      <x:c r="B2650" s="8" t="n">
        <x:v>3</x:v>
      </x:c>
      <x:c r="C2650" s="11" t="n">
        <x:v>23.82</x:v>
      </x:c>
      <x:c r="D2650" s="11" t="n">
        <x:v>7.04</x:v>
      </x:c>
      <x:c r="E2650" s="11" t="n">
        <x:v>-7.36</x:v>
      </x:c>
      <x:c r="F2650" s="11" t="n">
        <x:f>SQRT((C2650-C2649)^2+(D2650-D2649)^2+(E2650-E2649)^2)</x:f>
        <x:v>1.1399999999999997</x:v>
      </x:c>
      <x:c r="G2650" s="8" t="str">
        <x:v>Retired</x:v>
      </x:c>
    </x:row>
    <x:row r="2651" ht="32" customHeight="1">
      <x:c r="A2651" s="8" t="str">
        <x:v>drop:LC1:L1:light:-1:L16</x:v>
      </x:c>
      <x:c r="B2651" s="8" t="n">
        <x:v>4</x:v>
      </x:c>
      <x:c r="C2651" s="11" t="n">
        <x:v>23.82</x:v>
      </x:c>
      <x:c r="D2651" s="11" t="n">
        <x:v>9.442448369565216</x:v>
      </x:c>
      <x:c r="E2651" s="11" t="n">
        <x:v>-4.050000000000001</x:v>
      </x:c>
      <x:c r="F2651" s="11" t="n">
        <x:f>SQRT((C2651-C2650)^2+(D2651-D2650)^2+(E2651-E2650)^2)</x:f>
        <x:v>4.089970436131118</x:v>
      </x:c>
      <x:c r="G2651" s="8" t="str">
        <x:v>Retired</x:v>
      </x:c>
    </x:row>
    <x:row r="2652" ht="32" customHeight="1">
      <x:c r="A2652" s="8" t="str">
        <x:v>drop:LC1:L1:light:-1:L16</x:v>
      </x:c>
      <x:c r="B2652" s="8" t="n">
        <x:v>5</x:v>
      </x:c>
      <x:c r="C2652" s="11" t="n">
        <x:v>23.82</x:v>
      </x:c>
      <x:c r="D2652" s="11" t="n">
        <x:v>9.235</x:v>
      </x:c>
      <x:c r="E2652" s="11" t="n">
        <x:v>-4.05</x:v>
      </x:c>
      <x:c r="F2652" s="11" t="n">
        <x:f>SQRT((C2652-C2651)^2+(D2652-D2651)^2+(E2652-E2651)^2)</x:f>
        <x:v>0.20744836956521695</x:v>
      </x:c>
      <x:c r="G2652" s="8" t="str">
        <x:v>Retired</x:v>
      </x:c>
    </x:row>
    <x:row r="2653" ht="32" customHeight="1">
      <x:c r="A2653" s="8" t="str">
        <x:v>drop:LC1:L1:light:-1:L16</x:v>
      </x:c>
      <x:c r="B2653" s="8" t="n">
        <x:v>6</x:v>
      </x:c>
      <x:c r="C2653" s="11" t="n">
        <x:v>23.82</x:v>
      </x:c>
      <x:c r="D2653" s="11" t="n">
        <x:v>9.235</x:v>
      </x:c>
      <x:c r="E2653" s="11" t="n">
        <x:v>-3</x:v>
      </x:c>
      <x:c r="F2653" s="11" t="n">
        <x:f>SQRT((C2653-C2652)^2+(D2653-D2652)^2+(E2653-E2652)^2)</x:f>
        <x:v>1.0499999999999998</x:v>
      </x:c>
      <x:c r="G2653" s="8" t="str">
        <x:v>Retired</x:v>
      </x:c>
    </x:row>
    <x:row r="2654" ht="32" customHeight="1">
      <x:c r="A2654" s="8" t="str">
        <x:v>drop:LC1:L1:light:-1:L16</x:v>
      </x:c>
      <x:c r="B2654" s="8" t="n">
        <x:v>7</x:v>
      </x:c>
      <x:c r="C2654" s="11" t="n">
        <x:v>23.475</x:v>
      </x:c>
      <x:c r="D2654" s="11" t="n">
        <x:v>9.235</x:v>
      </x:c>
      <x:c r="E2654" s="11" t="n">
        <x:v>-3</x:v>
      </x:c>
      <x:c r="F2654" s="11" t="n">
        <x:f>SQRT((C2654-C2653)^2+(D2654-D2653)^2+(E2654-E2653)^2)</x:f>
        <x:v>0.34499999999999886</x:v>
      </x:c>
      <x:c r="G2654" s="8" t="str">
        <x:v>Retired</x:v>
      </x:c>
    </x:row>
    <x:row r="2655" ht="32" customHeight="1">
      <x:c r="A2655" s="8" t="str">
        <x:v>drop:LC1:L1:light:-1:L16</x:v>
      </x:c>
      <x:c r="B2655" s="8" t="n">
        <x:v>8</x:v>
      </x:c>
      <x:c r="C2655" s="11" t="n">
        <x:v>23.625</x:v>
      </x:c>
      <x:c r="D2655" s="11" t="n">
        <x:v>9.235</x:v>
      </x:c>
      <x:c r="E2655" s="11" t="n">
        <x:v>-2.72</x:v>
      </x:c>
      <x:c r="F2655" s="11" t="n">
        <x:f>SQRT((C2655-C2654)^2+(D2655-D2654)^2+(E2655-E2654)^2)</x:f>
        <x:v>0.31764760348537097</x:v>
      </x:c>
      <x:c r="G2655" s="8" t="str">
        <x:v>Retired</x:v>
      </x:c>
    </x:row>
    <x:row r="2656" ht="32" customHeight="1">
      <x:c r="A2656" s="8" t="str">
        <x:v>drop:LC1:L1:light:-1:L16</x:v>
      </x:c>
      <x:c r="B2656" s="8" t="n">
        <x:v>9</x:v>
      </x:c>
      <x:c r="C2656" s="11" t="n">
        <x:v>23.68</x:v>
      </x:c>
      <x:c r="D2656" s="11" t="n">
        <x:v>9.235</x:v>
      </x:c>
      <x:c r="E2656" s="11" t="n">
        <x:v>-2.72</x:v>
      </x:c>
      <x:c r="F2656" s="11" t="n">
        <x:f>SQRT((C2656-C2655)^2+(D2656-D2655)^2+(E2656-E2655)^2)</x:f>
        <x:v>0.054999999999999716</x:v>
      </x:c>
      <x:c r="G2656" s="8" t="str">
        <x:v>Retired</x:v>
      </x:c>
    </x:row>
    <x:row r="2657" ht="32" customHeight="1">
      <x:c r="A2657" s="8" t="str">
        <x:v>drop:LC1:L1:light:-1:L16</x:v>
      </x:c>
      <x:c r="B2657" s="8" t="n">
        <x:v>10</x:v>
      </x:c>
      <x:c r="C2657" s="11" t="n">
        <x:v>23.68</x:v>
      </x:c>
      <x:c r="D2657" s="11" t="n">
        <x:v>8.77</x:v>
      </x:c>
      <x:c r="E2657" s="11" t="n">
        <x:v>-2.72</x:v>
      </x:c>
      <x:c r="F2657" s="11" t="n">
        <x:f>SQRT((C2657-C2656)^2+(D2657-D2656)^2+(E2657-E2656)^2)</x:f>
        <x:v>0.46499999999999986</x:v>
      </x:c>
      <x:c r="G2657" s="8" t="str">
        <x:v>Retired</x:v>
      </x:c>
    </x:row>
    <x:row r="2658" ht="32" customHeight="1">
      <x:c r="A2658" s="8" t="str">
        <x:v>drop:LC1:L1:light:-1:L16</x:v>
      </x:c>
      <x:c r="B2658" s="8" t="n">
        <x:v>11</x:v>
      </x:c>
      <x:c r="C2658" s="11" t="n">
        <x:v>23.625</x:v>
      </x:c>
      <x:c r="D2658" s="11" t="n">
        <x:v>8.77</x:v>
      </x:c>
      <x:c r="E2658" s="11" t="n">
        <x:v>-2.72</x:v>
      </x:c>
      <x:c r="F2658" s="11" t="n">
        <x:f>SQRT((C2658-C2657)^2+(D2658-D2657)^2+(E2658-E2657)^2)</x:f>
        <x:v>0.054999999999999716</x:v>
      </x:c>
      <x:c r="G2658" s="8" t="str">
        <x:v>Retired</x:v>
      </x:c>
    </x:row>
    <x:row r="2659" ht="32" customHeight="1">
      <x:c r="A2659" s="8" t="str">
        <x:v>drop:LC1:L1:light:-1:L59</x:v>
      </x:c>
      <x:c r="B2659" s="8" t="n">
        <x:v>1</x:v>
      </x:c>
      <x:c r="C2659" s="11" t="n">
        <x:v>2.65</x:v>
      </x:c>
      <x:c r="D2659" s="11" t="n">
        <x:v>5.9</x:v>
      </x:c>
      <x:c r="E2659" s="11" t="n">
        <x:v>-7.36</x:v>
      </x:c>
      <x:c r="F2659" s="11" t="n">
        <x:f>0</x:f>
        <x:v>0</x:v>
      </x:c>
      <x:c r="G2659" s="8" t="str">
        <x:v>Retired</x:v>
      </x:c>
    </x:row>
    <x:row r="2660" ht="32" customHeight="1">
      <x:c r="A2660" s="8" t="str">
        <x:v>drop:LC1:L1:light:-1:L59</x:v>
      </x:c>
      <x:c r="B2660" s="8" t="n">
        <x:v>2</x:v>
      </x:c>
      <x:c r="C2660" s="11" t="n">
        <x:v>2.35</x:v>
      </x:c>
      <x:c r="D2660" s="11" t="n">
        <x:v>7.65</x:v>
      </x:c>
      <x:c r="E2660" s="11" t="n">
        <x:v>-7.36</x:v>
      </x:c>
      <x:c r="F2660" s="11" t="n">
        <x:f>SQRT((C2660-C2659)^2+(D2660-D2659)^2+(E2660-E2659)^2)</x:f>
        <x:v>1.7755280904564703</x:v>
      </x:c>
      <x:c r="G2660" s="8" t="str">
        <x:v>Retired</x:v>
      </x:c>
    </x:row>
    <x:row r="2661" ht="32" customHeight="1">
      <x:c r="A2661" s="8" t="str">
        <x:v>drop:LC1:L1:light:-1:L59</x:v>
      </x:c>
      <x:c r="B2661" s="8" t="n">
        <x:v>3</x:v>
      </x:c>
      <x:c r="C2661" s="11" t="n">
        <x:v>2.35</x:v>
      </x:c>
      <x:c r="D2661" s="11" t="n">
        <x:v>7.65</x:v>
      </x:c>
      <x:c r="E2661" s="11" t="n">
        <x:v>-4.2</x:v>
      </x:c>
      <x:c r="F2661" s="11" t="n">
        <x:f>SQRT((C2661-C2660)^2+(D2661-D2660)^2+(E2661-E2660)^2)</x:f>
        <x:v>3.16</x:v>
      </x:c>
      <x:c r="G2661" s="8" t="str">
        <x:v>Retired</x:v>
      </x:c>
    </x:row>
    <x:row r="2662" ht="32" customHeight="1">
      <x:c r="A2662" s="8" t="str">
        <x:v>drop:LC1:L1:light:-1:L59</x:v>
      </x:c>
      <x:c r="B2662" s="8" t="n">
        <x:v>4</x:v>
      </x:c>
      <x:c r="C2662" s="11" t="n">
        <x:v>2.35</x:v>
      </x:c>
      <x:c r="D2662" s="11" t="n">
        <x:v>3.45</x:v>
      </x:c>
      <x:c r="E2662" s="11" t="n">
        <x:v>-4.2</x:v>
      </x:c>
      <x:c r="F2662" s="11" t="n">
        <x:f>SQRT((C2662-C2661)^2+(D2662-D2661)^2+(E2662-E2661)^2)</x:f>
        <x:v>4.2</x:v>
      </x:c>
      <x:c r="G2662" s="8" t="str">
        <x:v>Retired</x:v>
      </x:c>
    </x:row>
    <x:row r="2663" ht="32" customHeight="1">
      <x:c r="A2663" s="8" t="str">
        <x:v>drop:LC1:L1:light:-1:L59</x:v>
      </x:c>
      <x:c r="B2663" s="8" t="n">
        <x:v>5</x:v>
      </x:c>
      <x:c r="C2663" s="11" t="n">
        <x:v>2.65</x:v>
      </x:c>
      <x:c r="D2663" s="11" t="n">
        <x:v>3.45</x:v>
      </x:c>
      <x:c r="E2663" s="11" t="n">
        <x:v>-4.2</x:v>
      </x:c>
      <x:c r="F2663" s="11" t="n">
        <x:f>SQRT((C2663-C2662)^2+(D2663-D2662)^2+(E2663-E2662)^2)</x:f>
        <x:v>0.2999999999999998</x:v>
      </x:c>
      <x:c r="G2663" s="8" t="str">
        <x:v>Retired</x:v>
      </x:c>
    </x:row>
    <x:row r="2664" ht="32" customHeight="1">
      <x:c r="A2664" s="8" t="str">
        <x:v>drop:LC1:L1:light:-1:L60</x:v>
      </x:c>
      <x:c r="B2664" s="8" t="n">
        <x:v>1</x:v>
      </x:c>
      <x:c r="C2664" s="11" t="n">
        <x:v>2.65</x:v>
      </x:c>
      <x:c r="D2664" s="11" t="n">
        <x:v>5.9</x:v>
      </x:c>
      <x:c r="E2664" s="11" t="n">
        <x:v>-7.36</x:v>
      </x:c>
      <x:c r="F2664" s="11" t="n">
        <x:f>0</x:f>
        <x:v>0</x:v>
      </x:c>
      <x:c r="G2664" s="8" t="str">
        <x:v>Retired</x:v>
      </x:c>
    </x:row>
    <x:row r="2665" ht="32" customHeight="1">
      <x:c r="A2665" s="8" t="str">
        <x:v>drop:LC1:L1:light:-1:L60</x:v>
      </x:c>
      <x:c r="B2665" s="8" t="n">
        <x:v>2</x:v>
      </x:c>
      <x:c r="C2665" s="11" t="n">
        <x:v>2.35</x:v>
      </x:c>
      <x:c r="D2665" s="11" t="n">
        <x:v>7.65</x:v>
      </x:c>
      <x:c r="E2665" s="11" t="n">
        <x:v>-7.36</x:v>
      </x:c>
      <x:c r="F2665" s="11" t="n">
        <x:f>SQRT((C2665-C2664)^2+(D2665-D2664)^2+(E2665-E2664)^2)</x:f>
        <x:v>1.7755280904564703</x:v>
      </x:c>
      <x:c r="G2665" s="8" t="str">
        <x:v>Retired</x:v>
      </x:c>
    </x:row>
    <x:row r="2666" ht="32" customHeight="1">
      <x:c r="A2666" s="8" t="str">
        <x:v>drop:LC1:L1:light:-1:L60</x:v>
      </x:c>
      <x:c r="B2666" s="8" t="n">
        <x:v>3</x:v>
      </x:c>
      <x:c r="C2666" s="11" t="n">
        <x:v>2.35</x:v>
      </x:c>
      <x:c r="D2666" s="11" t="n">
        <x:v>7.65</x:v>
      </x:c>
      <x:c r="E2666" s="11" t="n">
        <x:v>-4.2</x:v>
      </x:c>
      <x:c r="F2666" s="11" t="n">
        <x:f>SQRT((C2666-C2665)^2+(D2666-D2665)^2+(E2666-E2665)^2)</x:f>
        <x:v>3.16</x:v>
      </x:c>
      <x:c r="G2666" s="8" t="str">
        <x:v>Retired</x:v>
      </x:c>
    </x:row>
    <x:row r="2667" ht="32" customHeight="1">
      <x:c r="A2667" s="8" t="str">
        <x:v>drop:LC1:L1:light:-1:L60</x:v>
      </x:c>
      <x:c r="B2667" s="8" t="n">
        <x:v>4</x:v>
      </x:c>
      <x:c r="C2667" s="11" t="n">
        <x:v>2.35</x:v>
      </x:c>
      <x:c r="D2667" s="11" t="n">
        <x:v>5.95</x:v>
      </x:c>
      <x:c r="E2667" s="11" t="n">
        <x:v>-4.2</x:v>
      </x:c>
      <x:c r="F2667" s="11" t="n">
        <x:f>SQRT((C2667-C2666)^2+(D2667-D2666)^2+(E2667-E2666)^2)</x:f>
        <x:v>1.7000000000000002</x:v>
      </x:c>
      <x:c r="G2667" s="8" t="str">
        <x:v>Retired</x:v>
      </x:c>
    </x:row>
    <x:row r="2668" ht="32" customHeight="1">
      <x:c r="A2668" s="8" t="str">
        <x:v>drop:LC1:L1:light:-1:L60</x:v>
      </x:c>
      <x:c r="B2668" s="8" t="n">
        <x:v>5</x:v>
      </x:c>
      <x:c r="C2668" s="11" t="n">
        <x:v>2.65</x:v>
      </x:c>
      <x:c r="D2668" s="11" t="n">
        <x:v>5.95</x:v>
      </x:c>
      <x:c r="E2668" s="11" t="n">
        <x:v>-4.2</x:v>
      </x:c>
      <x:c r="F2668" s="11" t="n">
        <x:f>SQRT((C2668-C2667)^2+(D2668-D2667)^2+(E2668-E2667)^2)</x:f>
        <x:v>0.2999999999999998</x:v>
      </x:c>
      <x:c r="G2668" s="8" t="str">
        <x:v>Retired</x:v>
      </x:c>
    </x:row>
    <x:row r="2669" ht="32" customHeight="1">
      <x:c r="A2669" s="8" t="str">
        <x:v>drop:LC1:L1:light:1:L5</x:v>
      </x:c>
      <x:c r="B2669" s="8" t="n">
        <x:v>1</x:v>
      </x:c>
      <x:c r="C2669" s="11" t="n">
        <x:v>10.125</x:v>
      </x:c>
      <x:c r="D2669" s="11" t="n">
        <x:v>5.9</x:v>
      </x:c>
      <x:c r="E2669" s="11" t="n">
        <x:v>7.36</x:v>
      </x:c>
      <x:c r="F2669" s="11" t="n">
        <x:f>0</x:f>
        <x:v>0</x:v>
      </x:c>
      <x:c r="G2669" s="8" t="str">
        <x:v>Retired</x:v>
      </x:c>
    </x:row>
    <x:row r="2670" ht="32" customHeight="1">
      <x:c r="A2670" s="8" t="str">
        <x:v>drop:LC1:L1:light:1:L5</x:v>
      </x:c>
      <x:c r="B2670" s="8" t="n">
        <x:v>2</x:v>
      </x:c>
      <x:c r="C2670" s="11" t="n">
        <x:v>10.32</x:v>
      </x:c>
      <x:c r="D2670" s="11" t="n">
        <x:v>5.9</x:v>
      </x:c>
      <x:c r="E2670" s="11" t="n">
        <x:v>7.36</x:v>
      </x:c>
      <x:c r="F2670" s="11" t="n">
        <x:f>SQRT((C2670-C2669)^2+(D2670-D2669)^2+(E2670-E2669)^2)</x:f>
        <x:v>0.19500000000000028</x:v>
      </x:c>
      <x:c r="G2670" s="8" t="str">
        <x:v>Retired</x:v>
      </x:c>
    </x:row>
    <x:row r="2671" ht="32" customHeight="1">
      <x:c r="A2671" s="8" t="str">
        <x:v>drop:LC1:L1:light:1:L5</x:v>
      </x:c>
      <x:c r="B2671" s="8" t="n">
        <x:v>3</x:v>
      </x:c>
      <x:c r="C2671" s="11" t="n">
        <x:v>10.32</x:v>
      </x:c>
      <x:c r="D2671" s="11" t="n">
        <x:v>7.04</x:v>
      </x:c>
      <x:c r="E2671" s="11" t="n">
        <x:v>7.36</x:v>
      </x:c>
      <x:c r="F2671" s="11" t="n">
        <x:f>SQRT((C2671-C2670)^2+(D2671-D2670)^2+(E2671-E2670)^2)</x:f>
        <x:v>1.1399999999999997</x:v>
      </x:c>
      <x:c r="G2671" s="8" t="str">
        <x:v>Retired</x:v>
      </x:c>
    </x:row>
    <x:row r="2672" ht="32" customHeight="1">
      <x:c r="A2672" s="8" t="str">
        <x:v>drop:LC1:L1:light:1:L5</x:v>
      </x:c>
      <x:c r="B2672" s="8" t="n">
        <x:v>4</x:v>
      </x:c>
      <x:c r="C2672" s="11" t="n">
        <x:v>10.32</x:v>
      </x:c>
      <x:c r="D2672" s="11" t="n">
        <x:v>9.442448369565216</x:v>
      </x:c>
      <x:c r="E2672" s="11" t="n">
        <x:v>4.050000000000001</x:v>
      </x:c>
      <x:c r="F2672" s="11" t="n">
        <x:f>SQRT((C2672-C2671)^2+(D2672-D2671)^2+(E2672-E2671)^2)</x:f>
        <x:v>4.089970436131118</x:v>
      </x:c>
      <x:c r="G2672" s="8" t="str">
        <x:v>Retired</x:v>
      </x:c>
    </x:row>
    <x:row r="2673" ht="32" customHeight="1">
      <x:c r="A2673" s="8" t="str">
        <x:v>drop:LC1:L1:light:1:L5</x:v>
      </x:c>
      <x:c r="B2673" s="8" t="n">
        <x:v>5</x:v>
      </x:c>
      <x:c r="C2673" s="11" t="n">
        <x:v>10.32</x:v>
      </x:c>
      <x:c r="D2673" s="11" t="n">
        <x:v>9.235</x:v>
      </x:c>
      <x:c r="E2673" s="11" t="n">
        <x:v>4.05</x:v>
      </x:c>
      <x:c r="F2673" s="11" t="n">
        <x:f>SQRT((C2673-C2672)^2+(D2673-D2672)^2+(E2673-E2672)^2)</x:f>
        <x:v>0.20744836956521695</x:v>
      </x:c>
      <x:c r="G2673" s="8" t="str">
        <x:v>Retired</x:v>
      </x:c>
    </x:row>
    <x:row r="2674" ht="32" customHeight="1">
      <x:c r="A2674" s="8" t="str">
        <x:v>drop:LC1:L1:light:1:L5</x:v>
      </x:c>
      <x:c r="B2674" s="8" t="n">
        <x:v>6</x:v>
      </x:c>
      <x:c r="C2674" s="11" t="n">
        <x:v>10.32</x:v>
      </x:c>
      <x:c r="D2674" s="11" t="n">
        <x:v>9.235</x:v>
      </x:c>
      <x:c r="E2674" s="11" t="n">
        <x:v>3</x:v>
      </x:c>
      <x:c r="F2674" s="11" t="n">
        <x:f>SQRT((C2674-C2673)^2+(D2674-D2673)^2+(E2674-E2673)^2)</x:f>
        <x:v>1.0499999999999998</x:v>
      </x:c>
      <x:c r="G2674" s="8" t="str">
        <x:v>Retired</x:v>
      </x:c>
    </x:row>
    <x:row r="2675" ht="32" customHeight="1">
      <x:c r="A2675" s="8" t="str">
        <x:v>drop:LC1:L1:light:1:L5</x:v>
      </x:c>
      <x:c r="B2675" s="8" t="n">
        <x:v>7</x:v>
      </x:c>
      <x:c r="C2675" s="11" t="n">
        <x:v>9.975</x:v>
      </x:c>
      <x:c r="D2675" s="11" t="n">
        <x:v>9.235</x:v>
      </x:c>
      <x:c r="E2675" s="11" t="n">
        <x:v>3</x:v>
      </x:c>
      <x:c r="F2675" s="11" t="n">
        <x:f>SQRT((C2675-C2674)^2+(D2675-D2674)^2+(E2675-E2674)^2)</x:f>
        <x:v>0.34500000000000064</x:v>
      </x:c>
      <x:c r="G2675" s="8" t="str">
        <x:v>Retired</x:v>
      </x:c>
    </x:row>
    <x:row r="2676" ht="32" customHeight="1">
      <x:c r="A2676" s="8" t="str">
        <x:v>drop:LC1:L1:light:1:L5</x:v>
      </x:c>
      <x:c r="B2676" s="8" t="n">
        <x:v>8</x:v>
      </x:c>
      <x:c r="C2676" s="11" t="n">
        <x:v>10.125</x:v>
      </x:c>
      <x:c r="D2676" s="11" t="n">
        <x:v>9.235</x:v>
      </x:c>
      <x:c r="E2676" s="11" t="n">
        <x:v>2.48</x:v>
      </x:c>
      <x:c r="F2676" s="11" t="n">
        <x:f>SQRT((C2676-C2675)^2+(D2676-D2675)^2+(E2676-E2675)^2)</x:f>
        <x:v>0.5412023651093925</x:v>
      </x:c>
      <x:c r="G2676" s="8" t="str">
        <x:v>Retired</x:v>
      </x:c>
    </x:row>
    <x:row r="2677" ht="32" customHeight="1">
      <x:c r="A2677" s="8" t="str">
        <x:v>drop:LC1:L1:light:1:L5</x:v>
      </x:c>
      <x:c r="B2677" s="8" t="n">
        <x:v>9</x:v>
      </x:c>
      <x:c r="C2677" s="11" t="n">
        <x:v>10.18</x:v>
      </x:c>
      <x:c r="D2677" s="11" t="n">
        <x:v>9.235</x:v>
      </x:c>
      <x:c r="E2677" s="11" t="n">
        <x:v>2.48</x:v>
      </x:c>
      <x:c r="F2677" s="11" t="n">
        <x:f>SQRT((C2677-C2676)^2+(D2677-D2676)^2+(E2677-E2676)^2)</x:f>
        <x:v>0.054999999999999716</x:v>
      </x:c>
      <x:c r="G2677" s="8" t="str">
        <x:v>Retired</x:v>
      </x:c>
    </x:row>
    <x:row r="2678" ht="32" customHeight="1">
      <x:c r="A2678" s="8" t="str">
        <x:v>drop:LC1:L1:light:1:L5</x:v>
      </x:c>
      <x:c r="B2678" s="8" t="n">
        <x:v>10</x:v>
      </x:c>
      <x:c r="C2678" s="11" t="n">
        <x:v>10.18</x:v>
      </x:c>
      <x:c r="D2678" s="11" t="n">
        <x:v>8.77</x:v>
      </x:c>
      <x:c r="E2678" s="11" t="n">
        <x:v>2.48</x:v>
      </x:c>
      <x:c r="F2678" s="11" t="n">
        <x:f>SQRT((C2678-C2677)^2+(D2678-D2677)^2+(E2678-E2677)^2)</x:f>
        <x:v>0.46499999999999986</x:v>
      </x:c>
      <x:c r="G2678" s="8" t="str">
        <x:v>Retired</x:v>
      </x:c>
    </x:row>
    <x:row r="2679" ht="32" customHeight="1">
      <x:c r="A2679" s="8" t="str">
        <x:v>drop:LC1:L1:light:1:L5</x:v>
      </x:c>
      <x:c r="B2679" s="8" t="n">
        <x:v>11</x:v>
      </x:c>
      <x:c r="C2679" s="11" t="n">
        <x:v>10.125</x:v>
      </x:c>
      <x:c r="D2679" s="11" t="n">
        <x:v>8.77</x:v>
      </x:c>
      <x:c r="E2679" s="11" t="n">
        <x:v>2.48</x:v>
      </x:c>
      <x:c r="F2679" s="11" t="n">
        <x:f>SQRT((C2679-C2678)^2+(D2679-D2678)^2+(E2679-E2678)^2)</x:f>
        <x:v>0.054999999999999716</x:v>
      </x:c>
      <x:c r="G2679" s="8" t="str">
        <x:v>Retired</x:v>
      </x:c>
    </x:row>
    <x:row r="2680" ht="32" customHeight="1">
      <x:c r="A2680" s="8" t="str">
        <x:v>drop:LC1:L1:light:1:L6</x:v>
      </x:c>
      <x:c r="B2680" s="8" t="n">
        <x:v>1</x:v>
      </x:c>
      <x:c r="C2680" s="11" t="n">
        <x:v>10.125</x:v>
      </x:c>
      <x:c r="D2680" s="11" t="n">
        <x:v>5.9</x:v>
      </x:c>
      <x:c r="E2680" s="11" t="n">
        <x:v>7.36</x:v>
      </x:c>
      <x:c r="F2680" s="11" t="n">
        <x:f>0</x:f>
        <x:v>0</x:v>
      </x:c>
      <x:c r="G2680" s="8" t="str">
        <x:v>Retired</x:v>
      </x:c>
    </x:row>
    <x:row r="2681" ht="32" customHeight="1">
      <x:c r="A2681" s="8" t="str">
        <x:v>drop:LC1:L1:light:1:L6</x:v>
      </x:c>
      <x:c r="B2681" s="8" t="n">
        <x:v>2</x:v>
      </x:c>
      <x:c r="C2681" s="11" t="n">
        <x:v>10.32</x:v>
      </x:c>
      <x:c r="D2681" s="11" t="n">
        <x:v>5.9</x:v>
      </x:c>
      <x:c r="E2681" s="11" t="n">
        <x:v>7.36</x:v>
      </x:c>
      <x:c r="F2681" s="11" t="n">
        <x:f>SQRT((C2681-C2680)^2+(D2681-D2680)^2+(E2681-E2680)^2)</x:f>
        <x:v>0.19500000000000028</x:v>
      </x:c>
      <x:c r="G2681" s="8" t="str">
        <x:v>Retired</x:v>
      </x:c>
    </x:row>
    <x:row r="2682" ht="32" customHeight="1">
      <x:c r="A2682" s="8" t="str">
        <x:v>drop:LC1:L1:light:1:L6</x:v>
      </x:c>
      <x:c r="B2682" s="8" t="n">
        <x:v>3</x:v>
      </x:c>
      <x:c r="C2682" s="11" t="n">
        <x:v>10.32</x:v>
      </x:c>
      <x:c r="D2682" s="11" t="n">
        <x:v>7.04</x:v>
      </x:c>
      <x:c r="E2682" s="11" t="n">
        <x:v>7.36</x:v>
      </x:c>
      <x:c r="F2682" s="11" t="n">
        <x:f>SQRT((C2682-C2681)^2+(D2682-D2681)^2+(E2682-E2681)^2)</x:f>
        <x:v>1.1399999999999997</x:v>
      </x:c>
      <x:c r="G2682" s="8" t="str">
        <x:v>Retired</x:v>
      </x:c>
    </x:row>
    <x:row r="2683" ht="32" customHeight="1">
      <x:c r="A2683" s="8" t="str">
        <x:v>drop:LC1:L1:light:1:L6</x:v>
      </x:c>
      <x:c r="B2683" s="8" t="n">
        <x:v>4</x:v>
      </x:c>
      <x:c r="C2683" s="11" t="n">
        <x:v>10.32</x:v>
      </x:c>
      <x:c r="D2683" s="11" t="n">
        <x:v>9.442448369565216</x:v>
      </x:c>
      <x:c r="E2683" s="11" t="n">
        <x:v>4.050000000000001</x:v>
      </x:c>
      <x:c r="F2683" s="11" t="n">
        <x:f>SQRT((C2683-C2682)^2+(D2683-D2682)^2+(E2683-E2682)^2)</x:f>
        <x:v>4.089970436131118</x:v>
      </x:c>
      <x:c r="G2683" s="8" t="str">
        <x:v>Retired</x:v>
      </x:c>
    </x:row>
    <x:row r="2684" ht="32" customHeight="1">
      <x:c r="A2684" s="8" t="str">
        <x:v>drop:LC1:L1:light:1:L6</x:v>
      </x:c>
      <x:c r="B2684" s="8" t="n">
        <x:v>5</x:v>
      </x:c>
      <x:c r="C2684" s="11" t="n">
        <x:v>10.32</x:v>
      </x:c>
      <x:c r="D2684" s="11" t="n">
        <x:v>9.235</x:v>
      </x:c>
      <x:c r="E2684" s="11" t="n">
        <x:v>4.05</x:v>
      </x:c>
      <x:c r="F2684" s="11" t="n">
        <x:f>SQRT((C2684-C2683)^2+(D2684-D2683)^2+(E2684-E2683)^2)</x:f>
        <x:v>0.20744836956521695</x:v>
      </x:c>
      <x:c r="G2684" s="8" t="str">
        <x:v>Retired</x:v>
      </x:c>
    </x:row>
    <x:row r="2685" ht="32" customHeight="1">
      <x:c r="A2685" s="8" t="str">
        <x:v>drop:LC1:L1:light:1:L6</x:v>
      </x:c>
      <x:c r="B2685" s="8" t="n">
        <x:v>6</x:v>
      </x:c>
      <x:c r="C2685" s="11" t="n">
        <x:v>10.32</x:v>
      </x:c>
      <x:c r="D2685" s="11" t="n">
        <x:v>9.235</x:v>
      </x:c>
      <x:c r="E2685" s="11" t="n">
        <x:v>3</x:v>
      </x:c>
      <x:c r="F2685" s="11" t="n">
        <x:f>SQRT((C2685-C2684)^2+(D2685-D2684)^2+(E2685-E2684)^2)</x:f>
        <x:v>1.0499999999999998</x:v>
      </x:c>
      <x:c r="G2685" s="8" t="str">
        <x:v>Retired</x:v>
      </x:c>
    </x:row>
    <x:row r="2686" ht="32" customHeight="1">
      <x:c r="A2686" s="8" t="str">
        <x:v>drop:LC1:L1:light:1:L6</x:v>
      </x:c>
      <x:c r="B2686" s="8" t="n">
        <x:v>7</x:v>
      </x:c>
      <x:c r="C2686" s="11" t="n">
        <x:v>9.975</x:v>
      </x:c>
      <x:c r="D2686" s="11" t="n">
        <x:v>9.235</x:v>
      </x:c>
      <x:c r="E2686" s="11" t="n">
        <x:v>3</x:v>
      </x:c>
      <x:c r="F2686" s="11" t="n">
        <x:f>SQRT((C2686-C2685)^2+(D2686-D2685)^2+(E2686-E2685)^2)</x:f>
        <x:v>0.34500000000000064</x:v>
      </x:c>
      <x:c r="G2686" s="8" t="str">
        <x:v>Retired</x:v>
      </x:c>
    </x:row>
    <x:row r="2687" ht="32" customHeight="1">
      <x:c r="A2687" s="8" t="str">
        <x:v>drop:LC1:L1:light:1:L6</x:v>
      </x:c>
      <x:c r="B2687" s="8" t="n">
        <x:v>8</x:v>
      </x:c>
      <x:c r="C2687" s="11" t="n">
        <x:v>10.125</x:v>
      </x:c>
      <x:c r="D2687" s="11" t="n">
        <x:v>9.235</x:v>
      </x:c>
      <x:c r="E2687" s="11" t="n">
        <x:v>2.72</x:v>
      </x:c>
      <x:c r="F2687" s="11" t="n">
        <x:f>SQRT((C2687-C2686)^2+(D2687-D2686)^2+(E2687-E2686)^2)</x:f>
        <x:v>0.3176476034853718</x:v>
      </x:c>
      <x:c r="G2687" s="8" t="str">
        <x:v>Retired</x:v>
      </x:c>
    </x:row>
    <x:row r="2688" ht="32" customHeight="1">
      <x:c r="A2688" s="8" t="str">
        <x:v>drop:LC1:L1:light:1:L6</x:v>
      </x:c>
      <x:c r="B2688" s="8" t="n">
        <x:v>9</x:v>
      </x:c>
      <x:c r="C2688" s="11" t="n">
        <x:v>10.18</x:v>
      </x:c>
      <x:c r="D2688" s="11" t="n">
        <x:v>9.235</x:v>
      </x:c>
      <x:c r="E2688" s="11" t="n">
        <x:v>2.72</x:v>
      </x:c>
      <x:c r="F2688" s="11" t="n">
        <x:f>SQRT((C2688-C2687)^2+(D2688-D2687)^2+(E2688-E2687)^2)</x:f>
        <x:v>0.054999999999999716</x:v>
      </x:c>
      <x:c r="G2688" s="8" t="str">
        <x:v>Retired</x:v>
      </x:c>
    </x:row>
    <x:row r="2689" ht="32" customHeight="1">
      <x:c r="A2689" s="8" t="str">
        <x:v>drop:LC1:L1:light:1:L6</x:v>
      </x:c>
      <x:c r="B2689" s="8" t="n">
        <x:v>10</x:v>
      </x:c>
      <x:c r="C2689" s="11" t="n">
        <x:v>10.18</x:v>
      </x:c>
      <x:c r="D2689" s="11" t="n">
        <x:v>8.77</x:v>
      </x:c>
      <x:c r="E2689" s="11" t="n">
        <x:v>2.72</x:v>
      </x:c>
      <x:c r="F2689" s="11" t="n">
        <x:f>SQRT((C2689-C2688)^2+(D2689-D2688)^2+(E2689-E2688)^2)</x:f>
        <x:v>0.46499999999999986</x:v>
      </x:c>
      <x:c r="G2689" s="8" t="str">
        <x:v>Retired</x:v>
      </x:c>
    </x:row>
    <x:row r="2690" ht="32" customHeight="1">
      <x:c r="A2690" s="8" t="str">
        <x:v>drop:LC1:L1:light:1:L6</x:v>
      </x:c>
      <x:c r="B2690" s="8" t="n">
        <x:v>11</x:v>
      </x:c>
      <x:c r="C2690" s="11" t="n">
        <x:v>10.125</x:v>
      </x:c>
      <x:c r="D2690" s="11" t="n">
        <x:v>8.77</x:v>
      </x:c>
      <x:c r="E2690" s="11" t="n">
        <x:v>2.72</x:v>
      </x:c>
      <x:c r="F2690" s="11" t="n">
        <x:f>SQRT((C2690-C2689)^2+(D2690-D2689)^2+(E2690-E2689)^2)</x:f>
        <x:v>0.054999999999999716</x:v>
      </x:c>
      <x:c r="G2690" s="8" t="str">
        <x:v>Retired</x:v>
      </x:c>
    </x:row>
    <x:row r="2691" ht="32" customHeight="1">
      <x:c r="A2691" s="8" t="str">
        <x:v>drop:LC1:L1:light:1:L9</x:v>
      </x:c>
      <x:c r="B2691" s="8" t="n">
        <x:v>1</x:v>
      </x:c>
      <x:c r="C2691" s="11" t="n">
        <x:v>14.625</x:v>
      </x:c>
      <x:c r="D2691" s="11" t="n">
        <x:v>5.9</x:v>
      </x:c>
      <x:c r="E2691" s="11" t="n">
        <x:v>7.36</x:v>
      </x:c>
      <x:c r="F2691" s="11" t="n">
        <x:f>0</x:f>
        <x:v>0</x:v>
      </x:c>
      <x:c r="G2691" s="8" t="str">
        <x:v>Retired</x:v>
      </x:c>
    </x:row>
    <x:row r="2692" ht="32" customHeight="1">
      <x:c r="A2692" s="8" t="str">
        <x:v>drop:LC1:L1:light:1:L9</x:v>
      </x:c>
      <x:c r="B2692" s="8" t="n">
        <x:v>2</x:v>
      </x:c>
      <x:c r="C2692" s="11" t="n">
        <x:v>14.82</x:v>
      </x:c>
      <x:c r="D2692" s="11" t="n">
        <x:v>5.9</x:v>
      </x:c>
      <x:c r="E2692" s="11" t="n">
        <x:v>7.36</x:v>
      </x:c>
      <x:c r="F2692" s="11" t="n">
        <x:f>SQRT((C2692-C2691)^2+(D2692-D2691)^2+(E2692-E2691)^2)</x:f>
        <x:v>0.19500000000000028</x:v>
      </x:c>
      <x:c r="G2692" s="8" t="str">
        <x:v>Retired</x:v>
      </x:c>
    </x:row>
    <x:row r="2693" ht="32" customHeight="1">
      <x:c r="A2693" s="8" t="str">
        <x:v>drop:LC1:L1:light:1:L9</x:v>
      </x:c>
      <x:c r="B2693" s="8" t="n">
        <x:v>3</x:v>
      </x:c>
      <x:c r="C2693" s="11" t="n">
        <x:v>14.82</x:v>
      </x:c>
      <x:c r="D2693" s="11" t="n">
        <x:v>7.04</x:v>
      </x:c>
      <x:c r="E2693" s="11" t="n">
        <x:v>7.36</x:v>
      </x:c>
      <x:c r="F2693" s="11" t="n">
        <x:f>SQRT((C2693-C2692)^2+(D2693-D2692)^2+(E2693-E2692)^2)</x:f>
        <x:v>1.1399999999999997</x:v>
      </x:c>
      <x:c r="G2693" s="8" t="str">
        <x:v>Retired</x:v>
      </x:c>
    </x:row>
    <x:row r="2694" ht="32" customHeight="1">
      <x:c r="A2694" s="8" t="str">
        <x:v>drop:LC1:L1:light:1:L9</x:v>
      </x:c>
      <x:c r="B2694" s="8" t="n">
        <x:v>4</x:v>
      </x:c>
      <x:c r="C2694" s="11" t="n">
        <x:v>14.82</x:v>
      </x:c>
      <x:c r="D2694" s="11" t="n">
        <x:v>9.442448369565216</x:v>
      </x:c>
      <x:c r="E2694" s="11" t="n">
        <x:v>4.050000000000001</x:v>
      </x:c>
      <x:c r="F2694" s="11" t="n">
        <x:f>SQRT((C2694-C2693)^2+(D2694-D2693)^2+(E2694-E2693)^2)</x:f>
        <x:v>4.089970436131118</x:v>
      </x:c>
      <x:c r="G2694" s="8" t="str">
        <x:v>Retired</x:v>
      </x:c>
    </x:row>
    <x:row r="2695" ht="32" customHeight="1">
      <x:c r="A2695" s="8" t="str">
        <x:v>drop:LC1:L1:light:1:L9</x:v>
      </x:c>
      <x:c r="B2695" s="8" t="n">
        <x:v>5</x:v>
      </x:c>
      <x:c r="C2695" s="11" t="n">
        <x:v>14.82</x:v>
      </x:c>
      <x:c r="D2695" s="11" t="n">
        <x:v>9.235</x:v>
      </x:c>
      <x:c r="E2695" s="11" t="n">
        <x:v>4.05</x:v>
      </x:c>
      <x:c r="F2695" s="11" t="n">
        <x:f>SQRT((C2695-C2694)^2+(D2695-D2694)^2+(E2695-E2694)^2)</x:f>
        <x:v>0.20744836956521695</x:v>
      </x:c>
      <x:c r="G2695" s="8" t="str">
        <x:v>Retired</x:v>
      </x:c>
    </x:row>
    <x:row r="2696" ht="32" customHeight="1">
      <x:c r="A2696" s="8" t="str">
        <x:v>drop:LC1:L1:light:1:L9</x:v>
      </x:c>
      <x:c r="B2696" s="8" t="n">
        <x:v>6</x:v>
      </x:c>
      <x:c r="C2696" s="11" t="n">
        <x:v>14.82</x:v>
      </x:c>
      <x:c r="D2696" s="11" t="n">
        <x:v>9.235</x:v>
      </x:c>
      <x:c r="E2696" s="11" t="n">
        <x:v>3</x:v>
      </x:c>
      <x:c r="F2696" s="11" t="n">
        <x:f>SQRT((C2696-C2695)^2+(D2696-D2695)^2+(E2696-E2695)^2)</x:f>
        <x:v>1.0499999999999998</x:v>
      </x:c>
      <x:c r="G2696" s="8" t="str">
        <x:v>Retired</x:v>
      </x:c>
    </x:row>
    <x:row r="2697" ht="32" customHeight="1">
      <x:c r="A2697" s="8" t="str">
        <x:v>drop:LC1:L1:light:1:L9</x:v>
      </x:c>
      <x:c r="B2697" s="8" t="n">
        <x:v>7</x:v>
      </x:c>
      <x:c r="C2697" s="11" t="n">
        <x:v>14.475</x:v>
      </x:c>
      <x:c r="D2697" s="11" t="n">
        <x:v>9.235</x:v>
      </x:c>
      <x:c r="E2697" s="11" t="n">
        <x:v>3</x:v>
      </x:c>
      <x:c r="F2697" s="11" t="n">
        <x:f>SQRT((C2697-C2696)^2+(D2697-D2696)^2+(E2697-E2696)^2)</x:f>
        <x:v>0.34500000000000064</x:v>
      </x:c>
      <x:c r="G2697" s="8" t="str">
        <x:v>Retired</x:v>
      </x:c>
    </x:row>
    <x:row r="2698" ht="32" customHeight="1">
      <x:c r="A2698" s="8" t="str">
        <x:v>drop:LC1:L1:light:1:L9</x:v>
      </x:c>
      <x:c r="B2698" s="8" t="n">
        <x:v>8</x:v>
      </x:c>
      <x:c r="C2698" s="11" t="n">
        <x:v>14.625</x:v>
      </x:c>
      <x:c r="D2698" s="11" t="n">
        <x:v>9.235</x:v>
      </x:c>
      <x:c r="E2698" s="11" t="n">
        <x:v>2.48</x:v>
      </x:c>
      <x:c r="F2698" s="11" t="n">
        <x:f>SQRT((C2698-C2697)^2+(D2698-D2697)^2+(E2698-E2697)^2)</x:f>
        <x:v>0.5412023651093925</x:v>
      </x:c>
      <x:c r="G2698" s="8" t="str">
        <x:v>Retired</x:v>
      </x:c>
    </x:row>
    <x:row r="2699" ht="32" customHeight="1">
      <x:c r="A2699" s="8" t="str">
        <x:v>drop:LC1:L1:light:1:L9</x:v>
      </x:c>
      <x:c r="B2699" s="8" t="n">
        <x:v>9</x:v>
      </x:c>
      <x:c r="C2699" s="11" t="n">
        <x:v>14.68</x:v>
      </x:c>
      <x:c r="D2699" s="11" t="n">
        <x:v>9.235</x:v>
      </x:c>
      <x:c r="E2699" s="11" t="n">
        <x:v>2.48</x:v>
      </x:c>
      <x:c r="F2699" s="11" t="n">
        <x:f>SQRT((C2699-C2698)^2+(D2699-D2698)^2+(E2699-E2698)^2)</x:f>
        <x:v>0.054999999999999716</x:v>
      </x:c>
      <x:c r="G2699" s="8" t="str">
        <x:v>Retired</x:v>
      </x:c>
    </x:row>
    <x:row r="2700" ht="32" customHeight="1">
      <x:c r="A2700" s="8" t="str">
        <x:v>drop:LC1:L1:light:1:L9</x:v>
      </x:c>
      <x:c r="B2700" s="8" t="n">
        <x:v>10</x:v>
      </x:c>
      <x:c r="C2700" s="11" t="n">
        <x:v>14.68</x:v>
      </x:c>
      <x:c r="D2700" s="11" t="n">
        <x:v>8.77</x:v>
      </x:c>
      <x:c r="E2700" s="11" t="n">
        <x:v>2.48</x:v>
      </x:c>
      <x:c r="F2700" s="11" t="n">
        <x:f>SQRT((C2700-C2699)^2+(D2700-D2699)^2+(E2700-E2699)^2)</x:f>
        <x:v>0.46499999999999986</x:v>
      </x:c>
      <x:c r="G2700" s="8" t="str">
        <x:v>Retired</x:v>
      </x:c>
    </x:row>
    <x:row r="2701" ht="32" customHeight="1">
      <x:c r="A2701" s="8" t="str">
        <x:v>drop:LC1:L1:light:1:L9</x:v>
      </x:c>
      <x:c r="B2701" s="8" t="n">
        <x:v>11</x:v>
      </x:c>
      <x:c r="C2701" s="11" t="n">
        <x:v>14.625</x:v>
      </x:c>
      <x:c r="D2701" s="11" t="n">
        <x:v>8.77</x:v>
      </x:c>
      <x:c r="E2701" s="11" t="n">
        <x:v>2.48</x:v>
      </x:c>
      <x:c r="F2701" s="11" t="n">
        <x:f>SQRT((C2701-C2700)^2+(D2701-D2700)^2+(E2701-E2700)^2)</x:f>
        <x:v>0.054999999999999716</x:v>
      </x:c>
      <x:c r="G2701" s="8" t="str">
        <x:v>Retired</x:v>
      </x:c>
    </x:row>
    <x:row r="2702" ht="32" customHeight="1">
      <x:c r="A2702" s="8" t="str">
        <x:v>drop:LC1:L1:light:1:L10</x:v>
      </x:c>
      <x:c r="B2702" s="8" t="n">
        <x:v>1</x:v>
      </x:c>
      <x:c r="C2702" s="11" t="n">
        <x:v>14.625</x:v>
      </x:c>
      <x:c r="D2702" s="11" t="n">
        <x:v>5.9</x:v>
      </x:c>
      <x:c r="E2702" s="11" t="n">
        <x:v>7.36</x:v>
      </x:c>
      <x:c r="F2702" s="11" t="n">
        <x:f>0</x:f>
        <x:v>0</x:v>
      </x:c>
      <x:c r="G2702" s="8" t="str">
        <x:v>Retired</x:v>
      </x:c>
    </x:row>
    <x:row r="2703" ht="32" customHeight="1">
      <x:c r="A2703" s="8" t="str">
        <x:v>drop:LC1:L1:light:1:L10</x:v>
      </x:c>
      <x:c r="B2703" s="8" t="n">
        <x:v>2</x:v>
      </x:c>
      <x:c r="C2703" s="11" t="n">
        <x:v>14.82</x:v>
      </x:c>
      <x:c r="D2703" s="11" t="n">
        <x:v>5.9</x:v>
      </x:c>
      <x:c r="E2703" s="11" t="n">
        <x:v>7.36</x:v>
      </x:c>
      <x:c r="F2703" s="11" t="n">
        <x:f>SQRT((C2703-C2702)^2+(D2703-D2702)^2+(E2703-E2702)^2)</x:f>
        <x:v>0.19500000000000028</x:v>
      </x:c>
      <x:c r="G2703" s="8" t="str">
        <x:v>Retired</x:v>
      </x:c>
    </x:row>
    <x:row r="2704" ht="32" customHeight="1">
      <x:c r="A2704" s="8" t="str">
        <x:v>drop:LC1:L1:light:1:L10</x:v>
      </x:c>
      <x:c r="B2704" s="8" t="n">
        <x:v>3</x:v>
      </x:c>
      <x:c r="C2704" s="11" t="n">
        <x:v>14.82</x:v>
      </x:c>
      <x:c r="D2704" s="11" t="n">
        <x:v>7.04</x:v>
      </x:c>
      <x:c r="E2704" s="11" t="n">
        <x:v>7.36</x:v>
      </x:c>
      <x:c r="F2704" s="11" t="n">
        <x:f>SQRT((C2704-C2703)^2+(D2704-D2703)^2+(E2704-E2703)^2)</x:f>
        <x:v>1.1399999999999997</x:v>
      </x:c>
      <x:c r="G2704" s="8" t="str">
        <x:v>Retired</x:v>
      </x:c>
    </x:row>
    <x:row r="2705" ht="32" customHeight="1">
      <x:c r="A2705" s="8" t="str">
        <x:v>drop:LC1:L1:light:1:L10</x:v>
      </x:c>
      <x:c r="B2705" s="8" t="n">
        <x:v>4</x:v>
      </x:c>
      <x:c r="C2705" s="11" t="n">
        <x:v>14.82</x:v>
      </x:c>
      <x:c r="D2705" s="11" t="n">
        <x:v>9.442448369565216</x:v>
      </x:c>
      <x:c r="E2705" s="11" t="n">
        <x:v>4.050000000000001</x:v>
      </x:c>
      <x:c r="F2705" s="11" t="n">
        <x:f>SQRT((C2705-C2704)^2+(D2705-D2704)^2+(E2705-E2704)^2)</x:f>
        <x:v>4.089970436131118</x:v>
      </x:c>
      <x:c r="G2705" s="8" t="str">
        <x:v>Retired</x:v>
      </x:c>
    </x:row>
    <x:row r="2706" ht="32" customHeight="1">
      <x:c r="A2706" s="8" t="str">
        <x:v>drop:LC1:L1:light:1:L10</x:v>
      </x:c>
      <x:c r="B2706" s="8" t="n">
        <x:v>5</x:v>
      </x:c>
      <x:c r="C2706" s="11" t="n">
        <x:v>14.82</x:v>
      </x:c>
      <x:c r="D2706" s="11" t="n">
        <x:v>9.235</x:v>
      </x:c>
      <x:c r="E2706" s="11" t="n">
        <x:v>4.05</x:v>
      </x:c>
      <x:c r="F2706" s="11" t="n">
        <x:f>SQRT((C2706-C2705)^2+(D2706-D2705)^2+(E2706-E2705)^2)</x:f>
        <x:v>0.20744836956521695</x:v>
      </x:c>
      <x:c r="G2706" s="8" t="str">
        <x:v>Retired</x:v>
      </x:c>
    </x:row>
    <x:row r="2707" ht="32" customHeight="1">
      <x:c r="A2707" s="8" t="str">
        <x:v>drop:LC1:L1:light:1:L10</x:v>
      </x:c>
      <x:c r="B2707" s="8" t="n">
        <x:v>6</x:v>
      </x:c>
      <x:c r="C2707" s="11" t="n">
        <x:v>14.82</x:v>
      </x:c>
      <x:c r="D2707" s="11" t="n">
        <x:v>9.235</x:v>
      </x:c>
      <x:c r="E2707" s="11" t="n">
        <x:v>3</x:v>
      </x:c>
      <x:c r="F2707" s="11" t="n">
        <x:f>SQRT((C2707-C2706)^2+(D2707-D2706)^2+(E2707-E2706)^2)</x:f>
        <x:v>1.0499999999999998</x:v>
      </x:c>
      <x:c r="G2707" s="8" t="str">
        <x:v>Retired</x:v>
      </x:c>
    </x:row>
    <x:row r="2708" ht="32" customHeight="1">
      <x:c r="A2708" s="8" t="str">
        <x:v>drop:LC1:L1:light:1:L10</x:v>
      </x:c>
      <x:c r="B2708" s="8" t="n">
        <x:v>7</x:v>
      </x:c>
      <x:c r="C2708" s="11" t="n">
        <x:v>14.475</x:v>
      </x:c>
      <x:c r="D2708" s="11" t="n">
        <x:v>9.235</x:v>
      </x:c>
      <x:c r="E2708" s="11" t="n">
        <x:v>3</x:v>
      </x:c>
      <x:c r="F2708" s="11" t="n">
        <x:f>SQRT((C2708-C2707)^2+(D2708-D2707)^2+(E2708-E2707)^2)</x:f>
        <x:v>0.34500000000000064</x:v>
      </x:c>
      <x:c r="G2708" s="8" t="str">
        <x:v>Retired</x:v>
      </x:c>
    </x:row>
    <x:row r="2709" ht="32" customHeight="1">
      <x:c r="A2709" s="8" t="str">
        <x:v>drop:LC1:L1:light:1:L10</x:v>
      </x:c>
      <x:c r="B2709" s="8" t="n">
        <x:v>8</x:v>
      </x:c>
      <x:c r="C2709" s="11" t="n">
        <x:v>14.625</x:v>
      </x:c>
      <x:c r="D2709" s="11" t="n">
        <x:v>9.235</x:v>
      </x:c>
      <x:c r="E2709" s="11" t="n">
        <x:v>2.72</x:v>
      </x:c>
      <x:c r="F2709" s="11" t="n">
        <x:f>SQRT((C2709-C2708)^2+(D2709-D2708)^2+(E2709-E2708)^2)</x:f>
        <x:v>0.3176476034853718</x:v>
      </x:c>
      <x:c r="G2709" s="8" t="str">
        <x:v>Retired</x:v>
      </x:c>
    </x:row>
    <x:row r="2710" ht="32" customHeight="1">
      <x:c r="A2710" s="8" t="str">
        <x:v>drop:LC1:L1:light:1:L10</x:v>
      </x:c>
      <x:c r="B2710" s="8" t="n">
        <x:v>9</x:v>
      </x:c>
      <x:c r="C2710" s="11" t="n">
        <x:v>14.68</x:v>
      </x:c>
      <x:c r="D2710" s="11" t="n">
        <x:v>9.235</x:v>
      </x:c>
      <x:c r="E2710" s="11" t="n">
        <x:v>2.72</x:v>
      </x:c>
      <x:c r="F2710" s="11" t="n">
        <x:f>SQRT((C2710-C2709)^2+(D2710-D2709)^2+(E2710-E2709)^2)</x:f>
        <x:v>0.054999999999999716</x:v>
      </x:c>
      <x:c r="G2710" s="8" t="str">
        <x:v>Retired</x:v>
      </x:c>
    </x:row>
    <x:row r="2711" ht="32" customHeight="1">
      <x:c r="A2711" s="8" t="str">
        <x:v>drop:LC1:L1:light:1:L10</x:v>
      </x:c>
      <x:c r="B2711" s="8" t="n">
        <x:v>10</x:v>
      </x:c>
      <x:c r="C2711" s="11" t="n">
        <x:v>14.68</x:v>
      </x:c>
      <x:c r="D2711" s="11" t="n">
        <x:v>8.77</x:v>
      </x:c>
      <x:c r="E2711" s="11" t="n">
        <x:v>2.72</x:v>
      </x:c>
      <x:c r="F2711" s="11" t="n">
        <x:f>SQRT((C2711-C2710)^2+(D2711-D2710)^2+(E2711-E2710)^2)</x:f>
        <x:v>0.46499999999999986</x:v>
      </x:c>
      <x:c r="G2711" s="8" t="str">
        <x:v>Retired</x:v>
      </x:c>
    </x:row>
    <x:row r="2712" ht="32" customHeight="1">
      <x:c r="A2712" s="8" t="str">
        <x:v>drop:LC1:L1:light:1:L10</x:v>
      </x:c>
      <x:c r="B2712" s="8" t="n">
        <x:v>11</x:v>
      </x:c>
      <x:c r="C2712" s="11" t="n">
        <x:v>14.625</x:v>
      </x:c>
      <x:c r="D2712" s="11" t="n">
        <x:v>8.77</x:v>
      </x:c>
      <x:c r="E2712" s="11" t="n">
        <x:v>2.72</x:v>
      </x:c>
      <x:c r="F2712" s="11" t="n">
        <x:f>SQRT((C2712-C2711)^2+(D2712-D2711)^2+(E2712-E2711)^2)</x:f>
        <x:v>0.054999999999999716</x:v>
      </x:c>
      <x:c r="G2712" s="8" t="str">
        <x:v>Retired</x:v>
      </x:c>
    </x:row>
    <x:row r="2713" ht="32" customHeight="1">
      <x:c r="A2713" s="8" t="str">
        <x:v>drop:LC1:L1:light:1:L13</x:v>
      </x:c>
      <x:c r="B2713" s="8" t="n">
        <x:v>1</x:v>
      </x:c>
      <x:c r="C2713" s="11" t="n">
        <x:v>19.125</x:v>
      </x:c>
      <x:c r="D2713" s="11" t="n">
        <x:v>5.9</x:v>
      </x:c>
      <x:c r="E2713" s="11" t="n">
        <x:v>7.36</x:v>
      </x:c>
      <x:c r="F2713" s="11" t="n">
        <x:f>0</x:f>
        <x:v>0</x:v>
      </x:c>
      <x:c r="G2713" s="8" t="str">
        <x:v>Retired</x:v>
      </x:c>
    </x:row>
    <x:row r="2714" ht="32" customHeight="1">
      <x:c r="A2714" s="8" t="str">
        <x:v>drop:LC1:L1:light:1:L13</x:v>
      </x:c>
      <x:c r="B2714" s="8" t="n">
        <x:v>2</x:v>
      </x:c>
      <x:c r="C2714" s="11" t="n">
        <x:v>19.32</x:v>
      </x:c>
      <x:c r="D2714" s="11" t="n">
        <x:v>5.9</x:v>
      </x:c>
      <x:c r="E2714" s="11" t="n">
        <x:v>7.36</x:v>
      </x:c>
      <x:c r="F2714" s="11" t="n">
        <x:f>SQRT((C2714-C2713)^2+(D2714-D2713)^2+(E2714-E2713)^2)</x:f>
        <x:v>0.19500000000000028</x:v>
      </x:c>
      <x:c r="G2714" s="8" t="str">
        <x:v>Retired</x:v>
      </x:c>
    </x:row>
    <x:row r="2715" ht="32" customHeight="1">
      <x:c r="A2715" s="8" t="str">
        <x:v>drop:LC1:L1:light:1:L13</x:v>
      </x:c>
      <x:c r="B2715" s="8" t="n">
        <x:v>3</x:v>
      </x:c>
      <x:c r="C2715" s="11" t="n">
        <x:v>19.32</x:v>
      </x:c>
      <x:c r="D2715" s="11" t="n">
        <x:v>7.04</x:v>
      </x:c>
      <x:c r="E2715" s="11" t="n">
        <x:v>7.36</x:v>
      </x:c>
      <x:c r="F2715" s="11" t="n">
        <x:f>SQRT((C2715-C2714)^2+(D2715-D2714)^2+(E2715-E2714)^2)</x:f>
        <x:v>1.1399999999999997</x:v>
      </x:c>
      <x:c r="G2715" s="8" t="str">
        <x:v>Retired</x:v>
      </x:c>
    </x:row>
    <x:row r="2716" ht="32" customHeight="1">
      <x:c r="A2716" s="8" t="str">
        <x:v>drop:LC1:L1:light:1:L13</x:v>
      </x:c>
      <x:c r="B2716" s="8" t="n">
        <x:v>4</x:v>
      </x:c>
      <x:c r="C2716" s="11" t="n">
        <x:v>19.32</x:v>
      </x:c>
      <x:c r="D2716" s="11" t="n">
        <x:v>9.442448369565216</x:v>
      </x:c>
      <x:c r="E2716" s="11" t="n">
        <x:v>4.050000000000001</x:v>
      </x:c>
      <x:c r="F2716" s="11" t="n">
        <x:f>SQRT((C2716-C2715)^2+(D2716-D2715)^2+(E2716-E2715)^2)</x:f>
        <x:v>4.089970436131118</x:v>
      </x:c>
      <x:c r="G2716" s="8" t="str">
        <x:v>Retired</x:v>
      </x:c>
    </x:row>
    <x:row r="2717" ht="32" customHeight="1">
      <x:c r="A2717" s="8" t="str">
        <x:v>drop:LC1:L1:light:1:L13</x:v>
      </x:c>
      <x:c r="B2717" s="8" t="n">
        <x:v>5</x:v>
      </x:c>
      <x:c r="C2717" s="11" t="n">
        <x:v>19.32</x:v>
      </x:c>
      <x:c r="D2717" s="11" t="n">
        <x:v>9.235</x:v>
      </x:c>
      <x:c r="E2717" s="11" t="n">
        <x:v>4.05</x:v>
      </x:c>
      <x:c r="F2717" s="11" t="n">
        <x:f>SQRT((C2717-C2716)^2+(D2717-D2716)^2+(E2717-E2716)^2)</x:f>
        <x:v>0.20744836956521695</x:v>
      </x:c>
      <x:c r="G2717" s="8" t="str">
        <x:v>Retired</x:v>
      </x:c>
    </x:row>
    <x:row r="2718" ht="32" customHeight="1">
      <x:c r="A2718" s="8" t="str">
        <x:v>drop:LC1:L1:light:1:L13</x:v>
      </x:c>
      <x:c r="B2718" s="8" t="n">
        <x:v>6</x:v>
      </x:c>
      <x:c r="C2718" s="11" t="n">
        <x:v>19.32</x:v>
      </x:c>
      <x:c r="D2718" s="11" t="n">
        <x:v>9.235</x:v>
      </x:c>
      <x:c r="E2718" s="11" t="n">
        <x:v>3</x:v>
      </x:c>
      <x:c r="F2718" s="11" t="n">
        <x:f>SQRT((C2718-C2717)^2+(D2718-D2717)^2+(E2718-E2717)^2)</x:f>
        <x:v>1.0499999999999998</x:v>
      </x:c>
      <x:c r="G2718" s="8" t="str">
        <x:v>Retired</x:v>
      </x:c>
    </x:row>
    <x:row r="2719" ht="32" customHeight="1">
      <x:c r="A2719" s="8" t="str">
        <x:v>drop:LC1:L1:light:1:L13</x:v>
      </x:c>
      <x:c r="B2719" s="8" t="n">
        <x:v>7</x:v>
      </x:c>
      <x:c r="C2719" s="11" t="n">
        <x:v>18.975</x:v>
      </x:c>
      <x:c r="D2719" s="11" t="n">
        <x:v>9.235</x:v>
      </x:c>
      <x:c r="E2719" s="11" t="n">
        <x:v>3</x:v>
      </x:c>
      <x:c r="F2719" s="11" t="n">
        <x:f>SQRT((C2719-C2718)^2+(D2719-D2718)^2+(E2719-E2718)^2)</x:f>
        <x:v>0.34499999999999886</x:v>
      </x:c>
      <x:c r="G2719" s="8" t="str">
        <x:v>Retired</x:v>
      </x:c>
    </x:row>
    <x:row r="2720" ht="32" customHeight="1">
      <x:c r="A2720" s="8" t="str">
        <x:v>drop:LC1:L1:light:1:L13</x:v>
      </x:c>
      <x:c r="B2720" s="8" t="n">
        <x:v>8</x:v>
      </x:c>
      <x:c r="C2720" s="11" t="n">
        <x:v>19.125</x:v>
      </x:c>
      <x:c r="D2720" s="11" t="n">
        <x:v>9.235</x:v>
      </x:c>
      <x:c r="E2720" s="11" t="n">
        <x:v>2.48</x:v>
      </x:c>
      <x:c r="F2720" s="11" t="n">
        <x:f>SQRT((C2720-C2719)^2+(D2720-D2719)^2+(E2720-E2719)^2)</x:f>
        <x:v>0.541202365109392</x:v>
      </x:c>
      <x:c r="G2720" s="8" t="str">
        <x:v>Retired</x:v>
      </x:c>
    </x:row>
    <x:row r="2721" ht="32" customHeight="1">
      <x:c r="A2721" s="8" t="str">
        <x:v>drop:LC1:L1:light:1:L13</x:v>
      </x:c>
      <x:c r="B2721" s="8" t="n">
        <x:v>9</x:v>
      </x:c>
      <x:c r="C2721" s="11" t="n">
        <x:v>19.18</x:v>
      </x:c>
      <x:c r="D2721" s="11" t="n">
        <x:v>9.235</x:v>
      </x:c>
      <x:c r="E2721" s="11" t="n">
        <x:v>2.48</x:v>
      </x:c>
      <x:c r="F2721" s="11" t="n">
        <x:f>SQRT((C2721-C2720)^2+(D2721-D2720)^2+(E2721-E2720)^2)</x:f>
        <x:v>0.054999999999999716</x:v>
      </x:c>
      <x:c r="G2721" s="8" t="str">
        <x:v>Retired</x:v>
      </x:c>
    </x:row>
    <x:row r="2722" ht="32" customHeight="1">
      <x:c r="A2722" s="8" t="str">
        <x:v>drop:LC1:L1:light:1:L13</x:v>
      </x:c>
      <x:c r="B2722" s="8" t="n">
        <x:v>10</x:v>
      </x:c>
      <x:c r="C2722" s="11" t="n">
        <x:v>19.18</x:v>
      </x:c>
      <x:c r="D2722" s="11" t="n">
        <x:v>8.77</x:v>
      </x:c>
      <x:c r="E2722" s="11" t="n">
        <x:v>2.48</x:v>
      </x:c>
      <x:c r="F2722" s="11" t="n">
        <x:f>SQRT((C2722-C2721)^2+(D2722-D2721)^2+(E2722-E2721)^2)</x:f>
        <x:v>0.46499999999999986</x:v>
      </x:c>
      <x:c r="G2722" s="8" t="str">
        <x:v>Retired</x:v>
      </x:c>
    </x:row>
    <x:row r="2723" ht="32" customHeight="1">
      <x:c r="A2723" s="8" t="str">
        <x:v>drop:LC1:L1:light:1:L13</x:v>
      </x:c>
      <x:c r="B2723" s="8" t="n">
        <x:v>11</x:v>
      </x:c>
      <x:c r="C2723" s="11" t="n">
        <x:v>19.125</x:v>
      </x:c>
      <x:c r="D2723" s="11" t="n">
        <x:v>8.77</x:v>
      </x:c>
      <x:c r="E2723" s="11" t="n">
        <x:v>2.48</x:v>
      </x:c>
      <x:c r="F2723" s="11" t="n">
        <x:f>SQRT((C2723-C2722)^2+(D2723-D2722)^2+(E2723-E2722)^2)</x:f>
        <x:v>0.054999999999999716</x:v>
      </x:c>
      <x:c r="G2723" s="8" t="str">
        <x:v>Retired</x:v>
      </x:c>
    </x:row>
    <x:row r="2724" ht="32" customHeight="1">
      <x:c r="A2724" s="8" t="str">
        <x:v>drop:LC1:L1:light:1:L14</x:v>
      </x:c>
      <x:c r="B2724" s="8" t="n">
        <x:v>1</x:v>
      </x:c>
      <x:c r="C2724" s="11" t="n">
        <x:v>19.125</x:v>
      </x:c>
      <x:c r="D2724" s="11" t="n">
        <x:v>5.9</x:v>
      </x:c>
      <x:c r="E2724" s="11" t="n">
        <x:v>7.36</x:v>
      </x:c>
      <x:c r="F2724" s="11" t="n">
        <x:f>0</x:f>
        <x:v>0</x:v>
      </x:c>
      <x:c r="G2724" s="8" t="str">
        <x:v>Retired</x:v>
      </x:c>
    </x:row>
    <x:row r="2725" ht="32" customHeight="1">
      <x:c r="A2725" s="8" t="str">
        <x:v>drop:LC1:L1:light:1:L14</x:v>
      </x:c>
      <x:c r="B2725" s="8" t="n">
        <x:v>2</x:v>
      </x:c>
      <x:c r="C2725" s="11" t="n">
        <x:v>19.32</x:v>
      </x:c>
      <x:c r="D2725" s="11" t="n">
        <x:v>5.9</x:v>
      </x:c>
      <x:c r="E2725" s="11" t="n">
        <x:v>7.36</x:v>
      </x:c>
      <x:c r="F2725" s="11" t="n">
        <x:f>SQRT((C2725-C2724)^2+(D2725-D2724)^2+(E2725-E2724)^2)</x:f>
        <x:v>0.19500000000000028</x:v>
      </x:c>
      <x:c r="G2725" s="8" t="str">
        <x:v>Retired</x:v>
      </x:c>
    </x:row>
    <x:row r="2726" ht="32" customHeight="1">
      <x:c r="A2726" s="8" t="str">
        <x:v>drop:LC1:L1:light:1:L14</x:v>
      </x:c>
      <x:c r="B2726" s="8" t="n">
        <x:v>3</x:v>
      </x:c>
      <x:c r="C2726" s="11" t="n">
        <x:v>19.32</x:v>
      </x:c>
      <x:c r="D2726" s="11" t="n">
        <x:v>7.04</x:v>
      </x:c>
      <x:c r="E2726" s="11" t="n">
        <x:v>7.36</x:v>
      </x:c>
      <x:c r="F2726" s="11" t="n">
        <x:f>SQRT((C2726-C2725)^2+(D2726-D2725)^2+(E2726-E2725)^2)</x:f>
        <x:v>1.1399999999999997</x:v>
      </x:c>
      <x:c r="G2726" s="8" t="str">
        <x:v>Retired</x:v>
      </x:c>
    </x:row>
    <x:row r="2727" ht="32" customHeight="1">
      <x:c r="A2727" s="8" t="str">
        <x:v>drop:LC1:L1:light:1:L14</x:v>
      </x:c>
      <x:c r="B2727" s="8" t="n">
        <x:v>4</x:v>
      </x:c>
      <x:c r="C2727" s="11" t="n">
        <x:v>19.32</x:v>
      </x:c>
      <x:c r="D2727" s="11" t="n">
        <x:v>9.442448369565216</x:v>
      </x:c>
      <x:c r="E2727" s="11" t="n">
        <x:v>4.050000000000001</x:v>
      </x:c>
      <x:c r="F2727" s="11" t="n">
        <x:f>SQRT((C2727-C2726)^2+(D2727-D2726)^2+(E2727-E2726)^2)</x:f>
        <x:v>4.089970436131118</x:v>
      </x:c>
      <x:c r="G2727" s="8" t="str">
        <x:v>Retired</x:v>
      </x:c>
    </x:row>
    <x:row r="2728" ht="32" customHeight="1">
      <x:c r="A2728" s="8" t="str">
        <x:v>drop:LC1:L1:light:1:L14</x:v>
      </x:c>
      <x:c r="B2728" s="8" t="n">
        <x:v>5</x:v>
      </x:c>
      <x:c r="C2728" s="11" t="n">
        <x:v>19.32</x:v>
      </x:c>
      <x:c r="D2728" s="11" t="n">
        <x:v>9.235</x:v>
      </x:c>
      <x:c r="E2728" s="11" t="n">
        <x:v>4.05</x:v>
      </x:c>
      <x:c r="F2728" s="11" t="n">
        <x:f>SQRT((C2728-C2727)^2+(D2728-D2727)^2+(E2728-E2727)^2)</x:f>
        <x:v>0.20744836956521695</x:v>
      </x:c>
      <x:c r="G2728" s="8" t="str">
        <x:v>Retired</x:v>
      </x:c>
    </x:row>
    <x:row r="2729" ht="32" customHeight="1">
      <x:c r="A2729" s="8" t="str">
        <x:v>drop:LC1:L1:light:1:L14</x:v>
      </x:c>
      <x:c r="B2729" s="8" t="n">
        <x:v>6</x:v>
      </x:c>
      <x:c r="C2729" s="11" t="n">
        <x:v>19.32</x:v>
      </x:c>
      <x:c r="D2729" s="11" t="n">
        <x:v>9.235</x:v>
      </x:c>
      <x:c r="E2729" s="11" t="n">
        <x:v>3</x:v>
      </x:c>
      <x:c r="F2729" s="11" t="n">
        <x:f>SQRT((C2729-C2728)^2+(D2729-D2728)^2+(E2729-E2728)^2)</x:f>
        <x:v>1.0499999999999998</x:v>
      </x:c>
      <x:c r="G2729" s="8" t="str">
        <x:v>Retired</x:v>
      </x:c>
    </x:row>
    <x:row r="2730" ht="32" customHeight="1">
      <x:c r="A2730" s="8" t="str">
        <x:v>drop:LC1:L1:light:1:L14</x:v>
      </x:c>
      <x:c r="B2730" s="8" t="n">
        <x:v>7</x:v>
      </x:c>
      <x:c r="C2730" s="11" t="n">
        <x:v>18.975</x:v>
      </x:c>
      <x:c r="D2730" s="11" t="n">
        <x:v>9.235</x:v>
      </x:c>
      <x:c r="E2730" s="11" t="n">
        <x:v>3</x:v>
      </x:c>
      <x:c r="F2730" s="11" t="n">
        <x:f>SQRT((C2730-C2729)^2+(D2730-D2729)^2+(E2730-E2729)^2)</x:f>
        <x:v>0.34499999999999886</x:v>
      </x:c>
      <x:c r="G2730" s="8" t="str">
        <x:v>Retired</x:v>
      </x:c>
    </x:row>
    <x:row r="2731" ht="32" customHeight="1">
      <x:c r="A2731" s="8" t="str">
        <x:v>drop:LC1:L1:light:1:L14</x:v>
      </x:c>
      <x:c r="B2731" s="8" t="n">
        <x:v>8</x:v>
      </x:c>
      <x:c r="C2731" s="11" t="n">
        <x:v>19.125</x:v>
      </x:c>
      <x:c r="D2731" s="11" t="n">
        <x:v>9.235</x:v>
      </x:c>
      <x:c r="E2731" s="11" t="n">
        <x:v>2.72</x:v>
      </x:c>
      <x:c r="F2731" s="11" t="n">
        <x:f>SQRT((C2731-C2730)^2+(D2731-D2730)^2+(E2731-E2730)^2)</x:f>
        <x:v>0.31764760348537097</x:v>
      </x:c>
      <x:c r="G2731" s="8" t="str">
        <x:v>Retired</x:v>
      </x:c>
    </x:row>
    <x:row r="2732" ht="32" customHeight="1">
      <x:c r="A2732" s="8" t="str">
        <x:v>drop:LC1:L1:light:1:L14</x:v>
      </x:c>
      <x:c r="B2732" s="8" t="n">
        <x:v>9</x:v>
      </x:c>
      <x:c r="C2732" s="11" t="n">
        <x:v>19.18</x:v>
      </x:c>
      <x:c r="D2732" s="11" t="n">
        <x:v>9.235</x:v>
      </x:c>
      <x:c r="E2732" s="11" t="n">
        <x:v>2.72</x:v>
      </x:c>
      <x:c r="F2732" s="11" t="n">
        <x:f>SQRT((C2732-C2731)^2+(D2732-D2731)^2+(E2732-E2731)^2)</x:f>
        <x:v>0.054999999999999716</x:v>
      </x:c>
      <x:c r="G2732" s="8" t="str">
        <x:v>Retired</x:v>
      </x:c>
    </x:row>
    <x:row r="2733" ht="32" customHeight="1">
      <x:c r="A2733" s="8" t="str">
        <x:v>drop:LC1:L1:light:1:L14</x:v>
      </x:c>
      <x:c r="B2733" s="8" t="n">
        <x:v>10</x:v>
      </x:c>
      <x:c r="C2733" s="11" t="n">
        <x:v>19.18</x:v>
      </x:c>
      <x:c r="D2733" s="11" t="n">
        <x:v>8.77</x:v>
      </x:c>
      <x:c r="E2733" s="11" t="n">
        <x:v>2.72</x:v>
      </x:c>
      <x:c r="F2733" s="11" t="n">
        <x:f>SQRT((C2733-C2732)^2+(D2733-D2732)^2+(E2733-E2732)^2)</x:f>
        <x:v>0.46499999999999986</x:v>
      </x:c>
      <x:c r="G2733" s="8" t="str">
        <x:v>Retired</x:v>
      </x:c>
    </x:row>
    <x:row r="2734" ht="32" customHeight="1">
      <x:c r="A2734" s="8" t="str">
        <x:v>drop:LC1:L1:light:1:L14</x:v>
      </x:c>
      <x:c r="B2734" s="8" t="n">
        <x:v>11</x:v>
      </x:c>
      <x:c r="C2734" s="11" t="n">
        <x:v>19.125</x:v>
      </x:c>
      <x:c r="D2734" s="11" t="n">
        <x:v>8.77</x:v>
      </x:c>
      <x:c r="E2734" s="11" t="n">
        <x:v>2.72</x:v>
      </x:c>
      <x:c r="F2734" s="11" t="n">
        <x:f>SQRT((C2734-C2733)^2+(D2734-D2733)^2+(E2734-E2733)^2)</x:f>
        <x:v>0.054999999999999716</x:v>
      </x:c>
      <x:c r="G2734" s="8" t="str">
        <x:v>Retired</x:v>
      </x:c>
    </x:row>
    <x:row r="2735" ht="32" customHeight="1">
      <x:c r="A2735" s="8" t="str">
        <x:v>drop:LC1:L1:light:1:L18</x:v>
      </x:c>
      <x:c r="B2735" s="8" t="n">
        <x:v>1</x:v>
      </x:c>
      <x:c r="C2735" s="11" t="n">
        <x:v>23.625</x:v>
      </x:c>
      <x:c r="D2735" s="11" t="n">
        <x:v>5.9</x:v>
      </x:c>
      <x:c r="E2735" s="11" t="n">
        <x:v>7.36</x:v>
      </x:c>
      <x:c r="F2735" s="11" t="n">
        <x:f>0</x:f>
        <x:v>0</x:v>
      </x:c>
      <x:c r="G2735" s="8" t="str">
        <x:v>Retired</x:v>
      </x:c>
    </x:row>
    <x:row r="2736" ht="32" customHeight="1">
      <x:c r="A2736" s="8" t="str">
        <x:v>drop:LC1:L1:light:1:L18</x:v>
      </x:c>
      <x:c r="B2736" s="8" t="n">
        <x:v>2</x:v>
      </x:c>
      <x:c r="C2736" s="11" t="n">
        <x:v>23.82</x:v>
      </x:c>
      <x:c r="D2736" s="11" t="n">
        <x:v>5.9</x:v>
      </x:c>
      <x:c r="E2736" s="11" t="n">
        <x:v>7.36</x:v>
      </x:c>
      <x:c r="F2736" s="11" t="n">
        <x:f>SQRT((C2736-C2735)^2+(D2736-D2735)^2+(E2736-E2735)^2)</x:f>
        <x:v>0.19500000000000028</x:v>
      </x:c>
      <x:c r="G2736" s="8" t="str">
        <x:v>Retired</x:v>
      </x:c>
    </x:row>
    <x:row r="2737" ht="32" customHeight="1">
      <x:c r="A2737" s="8" t="str">
        <x:v>drop:LC1:L1:light:1:L18</x:v>
      </x:c>
      <x:c r="B2737" s="8" t="n">
        <x:v>3</x:v>
      </x:c>
      <x:c r="C2737" s="11" t="n">
        <x:v>23.82</x:v>
      </x:c>
      <x:c r="D2737" s="11" t="n">
        <x:v>7.04</x:v>
      </x:c>
      <x:c r="E2737" s="11" t="n">
        <x:v>7.36</x:v>
      </x:c>
      <x:c r="F2737" s="11" t="n">
        <x:f>SQRT((C2737-C2736)^2+(D2737-D2736)^2+(E2737-E2736)^2)</x:f>
        <x:v>1.1399999999999997</x:v>
      </x:c>
      <x:c r="G2737" s="8" t="str">
        <x:v>Retired</x:v>
      </x:c>
    </x:row>
    <x:row r="2738" ht="32" customHeight="1">
      <x:c r="A2738" s="8" t="str">
        <x:v>drop:LC1:L1:light:1:L18</x:v>
      </x:c>
      <x:c r="B2738" s="8" t="n">
        <x:v>4</x:v>
      </x:c>
      <x:c r="C2738" s="11" t="n">
        <x:v>23.82</x:v>
      </x:c>
      <x:c r="D2738" s="11" t="n">
        <x:v>9.442448369565216</x:v>
      </x:c>
      <x:c r="E2738" s="11" t="n">
        <x:v>4.050000000000001</x:v>
      </x:c>
      <x:c r="F2738" s="11" t="n">
        <x:f>SQRT((C2738-C2737)^2+(D2738-D2737)^2+(E2738-E2737)^2)</x:f>
        <x:v>4.089970436131118</x:v>
      </x:c>
      <x:c r="G2738" s="8" t="str">
        <x:v>Retired</x:v>
      </x:c>
    </x:row>
    <x:row r="2739" ht="32" customHeight="1">
      <x:c r="A2739" s="8" t="str">
        <x:v>drop:LC1:L1:light:1:L18</x:v>
      </x:c>
      <x:c r="B2739" s="8" t="n">
        <x:v>5</x:v>
      </x:c>
      <x:c r="C2739" s="11" t="n">
        <x:v>23.82</x:v>
      </x:c>
      <x:c r="D2739" s="11" t="n">
        <x:v>9.235</x:v>
      </x:c>
      <x:c r="E2739" s="11" t="n">
        <x:v>4.05</x:v>
      </x:c>
      <x:c r="F2739" s="11" t="n">
        <x:f>SQRT((C2739-C2738)^2+(D2739-D2738)^2+(E2739-E2738)^2)</x:f>
        <x:v>0.20744836956521695</x:v>
      </x:c>
      <x:c r="G2739" s="8" t="str">
        <x:v>Retired</x:v>
      </x:c>
    </x:row>
    <x:row r="2740" ht="32" customHeight="1">
      <x:c r="A2740" s="8" t="str">
        <x:v>drop:LC1:L1:light:1:L18</x:v>
      </x:c>
      <x:c r="B2740" s="8" t="n">
        <x:v>6</x:v>
      </x:c>
      <x:c r="C2740" s="11" t="n">
        <x:v>23.82</x:v>
      </x:c>
      <x:c r="D2740" s="11" t="n">
        <x:v>9.235</x:v>
      </x:c>
      <x:c r="E2740" s="11" t="n">
        <x:v>3</x:v>
      </x:c>
      <x:c r="F2740" s="11" t="n">
        <x:f>SQRT((C2740-C2739)^2+(D2740-D2739)^2+(E2740-E2739)^2)</x:f>
        <x:v>1.0499999999999998</x:v>
      </x:c>
      <x:c r="G2740" s="8" t="str">
        <x:v>Retired</x:v>
      </x:c>
    </x:row>
    <x:row r="2741" ht="32" customHeight="1">
      <x:c r="A2741" s="8" t="str">
        <x:v>drop:LC1:L1:light:1:L18</x:v>
      </x:c>
      <x:c r="B2741" s="8" t="n">
        <x:v>7</x:v>
      </x:c>
      <x:c r="C2741" s="11" t="n">
        <x:v>23.475</x:v>
      </x:c>
      <x:c r="D2741" s="11" t="n">
        <x:v>9.235</x:v>
      </x:c>
      <x:c r="E2741" s="11" t="n">
        <x:v>3</x:v>
      </x:c>
      <x:c r="F2741" s="11" t="n">
        <x:f>SQRT((C2741-C2740)^2+(D2741-D2740)^2+(E2741-E2740)^2)</x:f>
        <x:v>0.34499999999999886</x:v>
      </x:c>
      <x:c r="G2741" s="8" t="str">
        <x:v>Retired</x:v>
      </x:c>
    </x:row>
    <x:row r="2742" ht="32" customHeight="1">
      <x:c r="A2742" s="8" t="str">
        <x:v>drop:LC1:L1:light:1:L18</x:v>
      </x:c>
      <x:c r="B2742" s="8" t="n">
        <x:v>8</x:v>
      </x:c>
      <x:c r="C2742" s="11" t="n">
        <x:v>23.625</x:v>
      </x:c>
      <x:c r="D2742" s="11" t="n">
        <x:v>9.235</x:v>
      </x:c>
      <x:c r="E2742" s="11" t="n">
        <x:v>2.72</x:v>
      </x:c>
      <x:c r="F2742" s="11" t="n">
        <x:f>SQRT((C2742-C2741)^2+(D2742-D2741)^2+(E2742-E2741)^2)</x:f>
        <x:v>0.31764760348537097</x:v>
      </x:c>
      <x:c r="G2742" s="8" t="str">
        <x:v>Retired</x:v>
      </x:c>
    </x:row>
    <x:row r="2743" ht="32" customHeight="1">
      <x:c r="A2743" s="8" t="str">
        <x:v>drop:LC1:L1:light:1:L18</x:v>
      </x:c>
      <x:c r="B2743" s="8" t="n">
        <x:v>9</x:v>
      </x:c>
      <x:c r="C2743" s="11" t="n">
        <x:v>23.68</x:v>
      </x:c>
      <x:c r="D2743" s="11" t="n">
        <x:v>9.235</x:v>
      </x:c>
      <x:c r="E2743" s="11" t="n">
        <x:v>2.72</x:v>
      </x:c>
      <x:c r="F2743" s="11" t="n">
        <x:f>SQRT((C2743-C2742)^2+(D2743-D2742)^2+(E2743-E2742)^2)</x:f>
        <x:v>0.054999999999999716</x:v>
      </x:c>
      <x:c r="G2743" s="8" t="str">
        <x:v>Retired</x:v>
      </x:c>
    </x:row>
    <x:row r="2744" ht="32" customHeight="1">
      <x:c r="A2744" s="8" t="str">
        <x:v>drop:LC1:L1:light:1:L18</x:v>
      </x:c>
      <x:c r="B2744" s="8" t="n">
        <x:v>10</x:v>
      </x:c>
      <x:c r="C2744" s="11" t="n">
        <x:v>23.68</x:v>
      </x:c>
      <x:c r="D2744" s="11" t="n">
        <x:v>8.77</x:v>
      </x:c>
      <x:c r="E2744" s="11" t="n">
        <x:v>2.72</x:v>
      </x:c>
      <x:c r="F2744" s="11" t="n">
        <x:f>SQRT((C2744-C2743)^2+(D2744-D2743)^2+(E2744-E2743)^2)</x:f>
        <x:v>0.46499999999999986</x:v>
      </x:c>
      <x:c r="G2744" s="8" t="str">
        <x:v>Retired</x:v>
      </x:c>
    </x:row>
    <x:row r="2745" ht="32" customHeight="1">
      <x:c r="A2745" s="8" t="str">
        <x:v>drop:LC1:L1:light:1:L18</x:v>
      </x:c>
      <x:c r="B2745" s="8" t="n">
        <x:v>11</x:v>
      </x:c>
      <x:c r="C2745" s="11" t="n">
        <x:v>23.625</x:v>
      </x:c>
      <x:c r="D2745" s="11" t="n">
        <x:v>8.77</x:v>
      </x:c>
      <x:c r="E2745" s="11" t="n">
        <x:v>2.72</x:v>
      </x:c>
      <x:c r="F2745" s="11" t="n">
        <x:f>SQRT((C2745-C2744)^2+(D2745-D2744)^2+(E2745-E2744)^2)</x:f>
        <x:v>0.054999999999999716</x:v>
      </x:c>
      <x:c r="G2745" s="8" t="str">
        <x:v>Retired</x:v>
      </x:c>
    </x:row>
    <x:row r="2746" ht="32" customHeight="1">
      <x:c r="A2746" s="8" t="str">
        <x:v>drop:LC1:L1:light:1:L61</x:v>
      </x:c>
      <x:c r="B2746" s="8" t="n">
        <x:v>1</x:v>
      </x:c>
      <x:c r="C2746" s="11" t="n">
        <x:v>2.65</x:v>
      </x:c>
      <x:c r="D2746" s="11" t="n">
        <x:v>5.9</x:v>
      </x:c>
      <x:c r="E2746" s="11" t="n">
        <x:v>7.36</x:v>
      </x:c>
      <x:c r="F2746" s="11" t="n">
        <x:f>0</x:f>
        <x:v>0</x:v>
      </x:c>
      <x:c r="G2746" s="8" t="str">
        <x:v>Retired</x:v>
      </x:c>
    </x:row>
    <x:row r="2747" ht="32" customHeight="1">
      <x:c r="A2747" s="8" t="str">
        <x:v>drop:LC1:L1:light:1:L61</x:v>
      </x:c>
      <x:c r="B2747" s="8" t="n">
        <x:v>2</x:v>
      </x:c>
      <x:c r="C2747" s="11" t="n">
        <x:v>2.35</x:v>
      </x:c>
      <x:c r="D2747" s="11" t="n">
        <x:v>7.65</x:v>
      </x:c>
      <x:c r="E2747" s="11" t="n">
        <x:v>7.36</x:v>
      </x:c>
      <x:c r="F2747" s="11" t="n">
        <x:f>SQRT((C2747-C2746)^2+(D2747-D2746)^2+(E2747-E2746)^2)</x:f>
        <x:v>1.7755280904564703</x:v>
      </x:c>
      <x:c r="G2747" s="8" t="str">
        <x:v>Retired</x:v>
      </x:c>
    </x:row>
    <x:row r="2748" ht="32" customHeight="1">
      <x:c r="A2748" s="8" t="str">
        <x:v>drop:LC1:L1:light:1:L61</x:v>
      </x:c>
      <x:c r="B2748" s="8" t="n">
        <x:v>3</x:v>
      </x:c>
      <x:c r="C2748" s="11" t="n">
        <x:v>2.35</x:v>
      </x:c>
      <x:c r="D2748" s="11" t="n">
        <x:v>7.65</x:v>
      </x:c>
      <x:c r="E2748" s="11" t="n">
        <x:v>4.2</x:v>
      </x:c>
      <x:c r="F2748" s="11" t="n">
        <x:f>SQRT((C2748-C2747)^2+(D2748-D2747)^2+(E2748-E2747)^2)</x:f>
        <x:v>3.16</x:v>
      </x:c>
      <x:c r="G2748" s="8" t="str">
        <x:v>Retired</x:v>
      </x:c>
    </x:row>
    <x:row r="2749" ht="32" customHeight="1">
      <x:c r="A2749" s="8" t="str">
        <x:v>drop:LC1:L1:light:1:L61</x:v>
      </x:c>
      <x:c r="B2749" s="8" t="n">
        <x:v>4</x:v>
      </x:c>
      <x:c r="C2749" s="11" t="n">
        <x:v>2.35</x:v>
      </x:c>
      <x:c r="D2749" s="11" t="n">
        <x:v>3.45</x:v>
      </x:c>
      <x:c r="E2749" s="11" t="n">
        <x:v>4.2</x:v>
      </x:c>
      <x:c r="F2749" s="11" t="n">
        <x:f>SQRT((C2749-C2748)^2+(D2749-D2748)^2+(E2749-E2748)^2)</x:f>
        <x:v>4.2</x:v>
      </x:c>
      <x:c r="G2749" s="8" t="str">
        <x:v>Retired</x:v>
      </x:c>
    </x:row>
    <x:row r="2750" ht="32" customHeight="1">
      <x:c r="A2750" s="8" t="str">
        <x:v>drop:LC1:L1:light:1:L61</x:v>
      </x:c>
      <x:c r="B2750" s="8" t="n">
        <x:v>5</x:v>
      </x:c>
      <x:c r="C2750" s="11" t="n">
        <x:v>2.65</x:v>
      </x:c>
      <x:c r="D2750" s="11" t="n">
        <x:v>3.45</x:v>
      </x:c>
      <x:c r="E2750" s="11" t="n">
        <x:v>4.2</x:v>
      </x:c>
      <x:c r="F2750" s="11" t="n">
        <x:f>SQRT((C2750-C2749)^2+(D2750-D2749)^2+(E2750-E2749)^2)</x:f>
        <x:v>0.2999999999999998</x:v>
      </x:c>
      <x:c r="G2750" s="8" t="str">
        <x:v>Retired</x:v>
      </x:c>
    </x:row>
    <x:row r="2751" ht="32" customHeight="1">
      <x:c r="A2751" s="8" t="str">
        <x:v>drop:LC1:L1:light:1:L62</x:v>
      </x:c>
      <x:c r="B2751" s="8" t="n">
        <x:v>1</x:v>
      </x:c>
      <x:c r="C2751" s="11" t="n">
        <x:v>2.65</x:v>
      </x:c>
      <x:c r="D2751" s="11" t="n">
        <x:v>5.9</x:v>
      </x:c>
      <x:c r="E2751" s="11" t="n">
        <x:v>7.36</x:v>
      </x:c>
      <x:c r="F2751" s="11" t="n">
        <x:f>0</x:f>
        <x:v>0</x:v>
      </x:c>
      <x:c r="G2751" s="8" t="str">
        <x:v>Retired</x:v>
      </x:c>
    </x:row>
    <x:row r="2752" ht="32" customHeight="1">
      <x:c r="A2752" s="8" t="str">
        <x:v>drop:LC1:L1:light:1:L62</x:v>
      </x:c>
      <x:c r="B2752" s="8" t="n">
        <x:v>2</x:v>
      </x:c>
      <x:c r="C2752" s="11" t="n">
        <x:v>2.35</x:v>
      </x:c>
      <x:c r="D2752" s="11" t="n">
        <x:v>7.65</x:v>
      </x:c>
      <x:c r="E2752" s="11" t="n">
        <x:v>7.36</x:v>
      </x:c>
      <x:c r="F2752" s="11" t="n">
        <x:f>SQRT((C2752-C2751)^2+(D2752-D2751)^2+(E2752-E2751)^2)</x:f>
        <x:v>1.7755280904564703</x:v>
      </x:c>
      <x:c r="G2752" s="8" t="str">
        <x:v>Retired</x:v>
      </x:c>
    </x:row>
    <x:row r="2753" ht="32" customHeight="1">
      <x:c r="A2753" s="8" t="str">
        <x:v>drop:LC1:L1:light:1:L62</x:v>
      </x:c>
      <x:c r="B2753" s="8" t="n">
        <x:v>3</x:v>
      </x:c>
      <x:c r="C2753" s="11" t="n">
        <x:v>2.35</x:v>
      </x:c>
      <x:c r="D2753" s="11" t="n">
        <x:v>7.65</x:v>
      </x:c>
      <x:c r="E2753" s="11" t="n">
        <x:v>4.2</x:v>
      </x:c>
      <x:c r="F2753" s="11" t="n">
        <x:f>SQRT((C2753-C2752)^2+(D2753-D2752)^2+(E2753-E2752)^2)</x:f>
        <x:v>3.16</x:v>
      </x:c>
      <x:c r="G2753" s="8" t="str">
        <x:v>Retired</x:v>
      </x:c>
    </x:row>
    <x:row r="2754" ht="32" customHeight="1">
      <x:c r="A2754" s="8" t="str">
        <x:v>drop:LC1:L1:light:1:L62</x:v>
      </x:c>
      <x:c r="B2754" s="8" t="n">
        <x:v>4</x:v>
      </x:c>
      <x:c r="C2754" s="11" t="n">
        <x:v>2.35</x:v>
      </x:c>
      <x:c r="D2754" s="11" t="n">
        <x:v>5.95</x:v>
      </x:c>
      <x:c r="E2754" s="11" t="n">
        <x:v>4.2</x:v>
      </x:c>
      <x:c r="F2754" s="11" t="n">
        <x:f>SQRT((C2754-C2753)^2+(D2754-D2753)^2+(E2754-E2753)^2)</x:f>
        <x:v>1.7000000000000002</x:v>
      </x:c>
      <x:c r="G2754" s="8" t="str">
        <x:v>Retired</x:v>
      </x:c>
    </x:row>
    <x:row r="2755" ht="32" customHeight="1">
      <x:c r="A2755" s="8" t="str">
        <x:v>drop:LC1:L1:light:1:L62</x:v>
      </x:c>
      <x:c r="B2755" s="8" t="n">
        <x:v>5</x:v>
      </x:c>
      <x:c r="C2755" s="11" t="n">
        <x:v>2.65</x:v>
      </x:c>
      <x:c r="D2755" s="11" t="n">
        <x:v>5.95</x:v>
      </x:c>
      <x:c r="E2755" s="11" t="n">
        <x:v>4.2</x:v>
      </x:c>
      <x:c r="F2755" s="11" t="n">
        <x:f>SQRT((C2755-C2754)^2+(D2755-D2754)^2+(E2755-E2754)^2)</x:f>
        <x:v>0.2999999999999998</x:v>
      </x:c>
      <x:c r="G2755" s="8" t="str">
        <x:v>Retired</x:v>
      </x:c>
    </x:row>
    <x:row r="2756" ht="32" customHeight="1">
      <x:c r="A2756" s="8" t="str">
        <x:v>drop:LC1:L2:light:-1:L43</x:v>
      </x:c>
      <x:c r="B2756" s="8" t="n">
        <x:v>1</x:v>
      </x:c>
      <x:c r="C2756" s="11" t="n">
        <x:v>23.585</x:v>
      </x:c>
      <x:c r="D2756" s="11" t="n">
        <x:v>5.908</x:v>
      </x:c>
      <x:c r="E2756" s="11" t="n">
        <x:v>-7.36</x:v>
      </x:c>
      <x:c r="F2756" s="11" t="n">
        <x:f>0</x:f>
        <x:v>0</x:v>
      </x:c>
      <x:c r="G2756" s="8" t="str">
        <x:v>Retired</x:v>
      </x:c>
    </x:row>
    <x:row r="2757" ht="32" customHeight="1">
      <x:c r="A2757" s="8" t="str">
        <x:v>drop:LC1:L2:light:-1:L43</x:v>
      </x:c>
      <x:c r="B2757" s="8" t="n">
        <x:v>2</x:v>
      </x:c>
      <x:c r="C2757" s="11" t="n">
        <x:v>23.475</x:v>
      </x:c>
      <x:c r="D2757" s="11" t="n">
        <x:v>5.908</x:v>
      </x:c>
      <x:c r="E2757" s="11" t="n">
        <x:v>-7.36</x:v>
      </x:c>
      <x:c r="F2757" s="11" t="n">
        <x:f>SQRT((C2757-C2756)^2+(D2757-D2756)^2+(E2757-E2756)^2)</x:f>
        <x:v>0.10999999999999943</x:v>
      </x:c>
      <x:c r="G2757" s="8" t="str">
        <x:v>Retired</x:v>
      </x:c>
    </x:row>
    <x:row r="2758" ht="32" customHeight="1">
      <x:c r="A2758" s="8" t="str">
        <x:v>drop:LC1:L2:light:-1:L43</x:v>
      </x:c>
      <x:c r="B2758" s="8" t="n">
        <x:v>3</x:v>
      </x:c>
      <x:c r="C2758" s="11" t="n">
        <x:v>23.475</x:v>
      </x:c>
      <x:c r="D2758" s="11" t="n">
        <x:v>7.055</x:v>
      </x:c>
      <x:c r="E2758" s="11" t="n">
        <x:v>-7.36</x:v>
      </x:c>
      <x:c r="F2758" s="11" t="n">
        <x:f>SQRT((C2758-C2757)^2+(D2758-D2757)^2+(E2758-E2757)^2)</x:f>
        <x:v>1.1469999999999994</x:v>
      </x:c>
      <x:c r="G2758" s="8" t="str">
        <x:v>Retired</x:v>
      </x:c>
    </x:row>
    <x:row r="2759" ht="32" customHeight="1">
      <x:c r="A2759" s="8" t="str">
        <x:v>drop:LC1:L2:light:-1:L43</x:v>
      </x:c>
      <x:c r="B2759" s="8" t="n">
        <x:v>4</x:v>
      </x:c>
      <x:c r="C2759" s="11" t="n">
        <x:v>23.585</x:v>
      </x:c>
      <x:c r="D2759" s="11" t="n">
        <x:v>7.055</x:v>
      </x:c>
      <x:c r="E2759" s="11" t="n">
        <x:v>-6.09</x:v>
      </x:c>
      <x:c r="F2759" s="11" t="n">
        <x:f>SQRT((C2759-C2758)^2+(D2759-D2758)^2+(E2759-E2758)^2)</x:f>
        <x:v>1.2747548783981966</x:v>
      </x:c>
      <x:c r="G2759" s="8" t="str">
        <x:v>Retired</x:v>
      </x:c>
    </x:row>
    <x:row r="2760" ht="32" customHeight="1">
      <x:c r="A2760" s="8" t="str">
        <x:v>drop:LC1:L2:light:-1:L43</x:v>
      </x:c>
      <x:c r="B2760" s="8" t="n">
        <x:v>5</x:v>
      </x:c>
      <x:c r="C2760" s="11" t="n">
        <x:v>23.64</x:v>
      </x:c>
      <x:c r="D2760" s="11" t="n">
        <x:v>7.055</x:v>
      </x:c>
      <x:c r="E2760" s="11" t="n">
        <x:v>-6.09</x:v>
      </x:c>
      <x:c r="F2760" s="11" t="n">
        <x:f>SQRT((C2760-C2759)^2+(D2760-D2759)^2+(E2760-E2759)^2)</x:f>
        <x:v>0.054999999999999716</x:v>
      </x:c>
      <x:c r="G2760" s="8" t="str">
        <x:v>Retired</x:v>
      </x:c>
    </x:row>
    <x:row r="2761" ht="32" customHeight="1">
      <x:c r="A2761" s="8" t="str">
        <x:v>drop:LC1:L2:light:-1:L43</x:v>
      </x:c>
      <x:c r="B2761" s="8" t="n">
        <x:v>6</x:v>
      </x:c>
      <x:c r="C2761" s="11" t="n">
        <x:v>23.64</x:v>
      </x:c>
      <x:c r="D2761" s="11" t="n">
        <x:v>6.84</x:v>
      </x:c>
      <x:c r="E2761" s="11" t="n">
        <x:v>-6.09</x:v>
      </x:c>
      <x:c r="F2761" s="11" t="n">
        <x:f>SQRT((C2761-C2760)^2+(D2761-D2760)^2+(E2761-E2760)^2)</x:f>
        <x:v>0.21499999999999986</x:v>
      </x:c>
      <x:c r="G2761" s="8" t="str">
        <x:v>Retired</x:v>
      </x:c>
    </x:row>
    <x:row r="2762" ht="32" customHeight="1">
      <x:c r="A2762" s="8" t="str">
        <x:v>drop:LC1:L2:light:-1:L43</x:v>
      </x:c>
      <x:c r="B2762" s="8" t="n">
        <x:v>7</x:v>
      </x:c>
      <x:c r="C2762" s="11" t="n">
        <x:v>23.585</x:v>
      </x:c>
      <x:c r="D2762" s="11" t="n">
        <x:v>6.84</x:v>
      </x:c>
      <x:c r="E2762" s="11" t="n">
        <x:v>-6.09</x:v>
      </x:c>
      <x:c r="F2762" s="11" t="n">
        <x:f>SQRT((C2762-C2761)^2+(D2762-D2761)^2+(E2762-E2761)^2)</x:f>
        <x:v>0.054999999999999716</x:v>
      </x:c>
      <x:c r="G2762" s="8" t="str">
        <x:v>Retired</x:v>
      </x:c>
    </x:row>
    <x:row r="2763" ht="32" customHeight="1">
      <x:c r="A2763" s="8" t="str">
        <x:v>drop:LC1:L2:light:-1:L47</x:v>
      </x:c>
      <x:c r="B2763" s="8" t="n">
        <x:v>1</x:v>
      </x:c>
      <x:c r="C2763" s="11" t="n">
        <x:v>28.085</x:v>
      </x:c>
      <x:c r="D2763" s="11" t="n">
        <x:v>5.908</x:v>
      </x:c>
      <x:c r="E2763" s="11" t="n">
        <x:v>-7.36</x:v>
      </x:c>
      <x:c r="F2763" s="11" t="n">
        <x:f>0</x:f>
        <x:v>0</x:v>
      </x:c>
      <x:c r="G2763" s="8" t="str">
        <x:v>Retired</x:v>
      </x:c>
    </x:row>
    <x:row r="2764" ht="32" customHeight="1">
      <x:c r="A2764" s="8" t="str">
        <x:v>drop:LC1:L2:light:-1:L47</x:v>
      </x:c>
      <x:c r="B2764" s="8" t="n">
        <x:v>2</x:v>
      </x:c>
      <x:c r="C2764" s="11" t="n">
        <x:v>27.975</x:v>
      </x:c>
      <x:c r="D2764" s="11" t="n">
        <x:v>5.908</x:v>
      </x:c>
      <x:c r="E2764" s="11" t="n">
        <x:v>-7.36</x:v>
      </x:c>
      <x:c r="F2764" s="11" t="n">
        <x:f>SQRT((C2764-C2763)^2+(D2764-D2763)^2+(E2764-E2763)^2)</x:f>
        <x:v>0.10999999999999943</x:v>
      </x:c>
      <x:c r="G2764" s="8" t="str">
        <x:v>Retired</x:v>
      </x:c>
    </x:row>
    <x:row r="2765" ht="32" customHeight="1">
      <x:c r="A2765" s="8" t="str">
        <x:v>drop:LC1:L2:light:-1:L47</x:v>
      </x:c>
      <x:c r="B2765" s="8" t="n">
        <x:v>3</x:v>
      </x:c>
      <x:c r="C2765" s="11" t="n">
        <x:v>27.975</x:v>
      </x:c>
      <x:c r="D2765" s="11" t="n">
        <x:v>7.055</x:v>
      </x:c>
      <x:c r="E2765" s="11" t="n">
        <x:v>-7.36</x:v>
      </x:c>
      <x:c r="F2765" s="11" t="n">
        <x:f>SQRT((C2765-C2764)^2+(D2765-D2764)^2+(E2765-E2764)^2)</x:f>
        <x:v>1.1469999999999994</x:v>
      </x:c>
      <x:c r="G2765" s="8" t="str">
        <x:v>Retired</x:v>
      </x:c>
    </x:row>
    <x:row r="2766" ht="32" customHeight="1">
      <x:c r="A2766" s="8" t="str">
        <x:v>drop:LC1:L2:light:-1:L47</x:v>
      </x:c>
      <x:c r="B2766" s="8" t="n">
        <x:v>4</x:v>
      </x:c>
      <x:c r="C2766" s="11" t="n">
        <x:v>28.085</x:v>
      </x:c>
      <x:c r="D2766" s="11" t="n">
        <x:v>7.055</x:v>
      </x:c>
      <x:c r="E2766" s="11" t="n">
        <x:v>-6.09</x:v>
      </x:c>
      <x:c r="F2766" s="11" t="n">
        <x:f>SQRT((C2766-C2765)^2+(D2766-D2765)^2+(E2766-E2765)^2)</x:f>
        <x:v>1.2747548783981966</x:v>
      </x:c>
      <x:c r="G2766" s="8" t="str">
        <x:v>Retired</x:v>
      </x:c>
    </x:row>
    <x:row r="2767" ht="32" customHeight="1">
      <x:c r="A2767" s="8" t="str">
        <x:v>drop:LC1:L2:light:-1:L47</x:v>
      </x:c>
      <x:c r="B2767" s="8" t="n">
        <x:v>5</x:v>
      </x:c>
      <x:c r="C2767" s="11" t="n">
        <x:v>28.14</x:v>
      </x:c>
      <x:c r="D2767" s="11" t="n">
        <x:v>7.055</x:v>
      </x:c>
      <x:c r="E2767" s="11" t="n">
        <x:v>-6.09</x:v>
      </x:c>
      <x:c r="F2767" s="11" t="n">
        <x:f>SQRT((C2767-C2766)^2+(D2767-D2766)^2+(E2767-E2766)^2)</x:f>
        <x:v>0.054999999999999716</x:v>
      </x:c>
      <x:c r="G2767" s="8" t="str">
        <x:v>Retired</x:v>
      </x:c>
    </x:row>
    <x:row r="2768" ht="32" customHeight="1">
      <x:c r="A2768" s="8" t="str">
        <x:v>drop:LC1:L2:light:-1:L47</x:v>
      </x:c>
      <x:c r="B2768" s="8" t="n">
        <x:v>6</x:v>
      </x:c>
      <x:c r="C2768" s="11" t="n">
        <x:v>28.14</x:v>
      </x:c>
      <x:c r="D2768" s="11" t="n">
        <x:v>6.84</x:v>
      </x:c>
      <x:c r="E2768" s="11" t="n">
        <x:v>-6.09</x:v>
      </x:c>
      <x:c r="F2768" s="11" t="n">
        <x:f>SQRT((C2768-C2767)^2+(D2768-D2767)^2+(E2768-E2767)^2)</x:f>
        <x:v>0.21499999999999986</x:v>
      </x:c>
      <x:c r="G2768" s="8" t="str">
        <x:v>Retired</x:v>
      </x:c>
    </x:row>
    <x:row r="2769" ht="32" customHeight="1">
      <x:c r="A2769" s="8" t="str">
        <x:v>drop:LC1:L2:light:-1:L47</x:v>
      </x:c>
      <x:c r="B2769" s="8" t="n">
        <x:v>7</x:v>
      </x:c>
      <x:c r="C2769" s="11" t="n">
        <x:v>28.085</x:v>
      </x:c>
      <x:c r="D2769" s="11" t="n">
        <x:v>6.84</x:v>
      </x:c>
      <x:c r="E2769" s="11" t="n">
        <x:v>-6.09</x:v>
      </x:c>
      <x:c r="F2769" s="11" t="n">
        <x:f>SQRT((C2769-C2768)^2+(D2769-D2768)^2+(E2769-E2768)^2)</x:f>
        <x:v>0.054999999999999716</x:v>
      </x:c>
      <x:c r="G2769" s="8" t="str">
        <x:v>Retired</x:v>
      </x:c>
    </x:row>
    <x:row r="2770" ht="32" customHeight="1">
      <x:c r="A2770" s="8" t="str">
        <x:v>drop:LC1:L2:light:-1:L48</x:v>
      </x:c>
      <x:c r="B2770" s="8" t="n">
        <x:v>1</x:v>
      </x:c>
      <x:c r="C2770" s="11" t="n">
        <x:v>28.085</x:v>
      </x:c>
      <x:c r="D2770" s="11" t="n">
        <x:v>5.908</x:v>
      </x:c>
      <x:c r="E2770" s="11" t="n">
        <x:v>-7.36</x:v>
      </x:c>
      <x:c r="F2770" s="11" t="n">
        <x:f>0</x:f>
        <x:v>0</x:v>
      </x:c>
      <x:c r="G2770" s="8" t="str">
        <x:v>Retired</x:v>
      </x:c>
    </x:row>
    <x:row r="2771" ht="32" customHeight="1">
      <x:c r="A2771" s="8" t="str">
        <x:v>drop:LC1:L2:light:-1:L48</x:v>
      </x:c>
      <x:c r="B2771" s="8" t="n">
        <x:v>2</x:v>
      </x:c>
      <x:c r="C2771" s="11" t="n">
        <x:v>27.975</x:v>
      </x:c>
      <x:c r="D2771" s="11" t="n">
        <x:v>5.908</x:v>
      </x:c>
      <x:c r="E2771" s="11" t="n">
        <x:v>-7.36</x:v>
      </x:c>
      <x:c r="F2771" s="11" t="n">
        <x:f>SQRT((C2771-C2770)^2+(D2771-D2770)^2+(E2771-E2770)^2)</x:f>
        <x:v>0.10999999999999943</x:v>
      </x:c>
      <x:c r="G2771" s="8" t="str">
        <x:v>Retired</x:v>
      </x:c>
    </x:row>
    <x:row r="2772" ht="32" customHeight="1">
      <x:c r="A2772" s="8" t="str">
        <x:v>drop:LC1:L2:light:-1:L48</x:v>
      </x:c>
      <x:c r="B2772" s="8" t="n">
        <x:v>3</x:v>
      </x:c>
      <x:c r="C2772" s="11" t="n">
        <x:v>27.975</x:v>
      </x:c>
      <x:c r="D2772" s="11" t="n">
        <x:v>7.055</x:v>
      </x:c>
      <x:c r="E2772" s="11" t="n">
        <x:v>-7.36</x:v>
      </x:c>
      <x:c r="F2772" s="11" t="n">
        <x:f>SQRT((C2772-C2771)^2+(D2772-D2771)^2+(E2772-E2771)^2)</x:f>
        <x:v>1.1469999999999994</x:v>
      </x:c>
      <x:c r="G2772" s="8" t="str">
        <x:v>Retired</x:v>
      </x:c>
    </x:row>
    <x:row r="2773" ht="32" customHeight="1">
      <x:c r="A2773" s="8" t="str">
        <x:v>drop:LC1:L2:light:-1:L48</x:v>
      </x:c>
      <x:c r="B2773" s="8" t="n">
        <x:v>4</x:v>
      </x:c>
      <x:c r="C2773" s="11" t="n">
        <x:v>28.085</x:v>
      </x:c>
      <x:c r="D2773" s="11" t="n">
        <x:v>7.055</x:v>
      </x:c>
      <x:c r="E2773" s="11" t="n">
        <x:v>-4.84</x:v>
      </x:c>
      <x:c r="F2773" s="11" t="n">
        <x:f>SQRT((C2773-C2772)^2+(D2773-D2772)^2+(E2773-E2772)^2)</x:f>
        <x:v>2.5223996511258884</x:v>
      </x:c>
      <x:c r="G2773" s="8" t="str">
        <x:v>Retired</x:v>
      </x:c>
    </x:row>
    <x:row r="2774" ht="32" customHeight="1">
      <x:c r="A2774" s="8" t="str">
        <x:v>drop:LC1:L2:light:-1:L48</x:v>
      </x:c>
      <x:c r="B2774" s="8" t="n">
        <x:v>5</x:v>
      </x:c>
      <x:c r="C2774" s="11" t="n">
        <x:v>28.14</x:v>
      </x:c>
      <x:c r="D2774" s="11" t="n">
        <x:v>7.055</x:v>
      </x:c>
      <x:c r="E2774" s="11" t="n">
        <x:v>-4.84</x:v>
      </x:c>
      <x:c r="F2774" s="11" t="n">
        <x:f>SQRT((C2774-C2773)^2+(D2774-D2773)^2+(E2774-E2773)^2)</x:f>
        <x:v>0.054999999999999716</x:v>
      </x:c>
      <x:c r="G2774" s="8" t="str">
        <x:v>Retired</x:v>
      </x:c>
    </x:row>
    <x:row r="2775" ht="32" customHeight="1">
      <x:c r="A2775" s="8" t="str">
        <x:v>drop:LC1:L2:light:-1:L48</x:v>
      </x:c>
      <x:c r="B2775" s="8" t="n">
        <x:v>6</x:v>
      </x:c>
      <x:c r="C2775" s="11" t="n">
        <x:v>28.14</x:v>
      </x:c>
      <x:c r="D2775" s="11" t="n">
        <x:v>6.84</x:v>
      </x:c>
      <x:c r="E2775" s="11" t="n">
        <x:v>-4.84</x:v>
      </x:c>
      <x:c r="F2775" s="11" t="n">
        <x:f>SQRT((C2775-C2774)^2+(D2775-D2774)^2+(E2775-E2774)^2)</x:f>
        <x:v>0.21499999999999986</x:v>
      </x:c>
      <x:c r="G2775" s="8" t="str">
        <x:v>Retired</x:v>
      </x:c>
    </x:row>
    <x:row r="2776" ht="32" customHeight="1">
      <x:c r="A2776" s="8" t="str">
        <x:v>drop:LC1:L2:light:-1:L48</x:v>
      </x:c>
      <x:c r="B2776" s="8" t="n">
        <x:v>7</x:v>
      </x:c>
      <x:c r="C2776" s="11" t="n">
        <x:v>28.085</x:v>
      </x:c>
      <x:c r="D2776" s="11" t="n">
        <x:v>6.84</x:v>
      </x:c>
      <x:c r="E2776" s="11" t="n">
        <x:v>-4.84</x:v>
      </x:c>
      <x:c r="F2776" s="11" t="n">
        <x:f>SQRT((C2776-C2775)^2+(D2776-D2775)^2+(E2776-E2775)^2)</x:f>
        <x:v>0.054999999999999716</x:v>
      </x:c>
      <x:c r="G2776" s="8" t="str">
        <x:v>Retired</x:v>
      </x:c>
    </x:row>
    <x:row r="2777" ht="32" customHeight="1">
      <x:c r="A2777" s="8" t="str">
        <x:v>drop:LC1:L2:light:-1:L51</x:v>
      </x:c>
      <x:c r="B2777" s="8" t="n">
        <x:v>1</x:v>
      </x:c>
      <x:c r="C2777" s="11" t="n">
        <x:v>32.585</x:v>
      </x:c>
      <x:c r="D2777" s="11" t="n">
        <x:v>5.908</x:v>
      </x:c>
      <x:c r="E2777" s="11" t="n">
        <x:v>-7.36</x:v>
      </x:c>
      <x:c r="F2777" s="11" t="n">
        <x:f>0</x:f>
        <x:v>0</x:v>
      </x:c>
      <x:c r="G2777" s="8" t="str">
        <x:v>Retired</x:v>
      </x:c>
    </x:row>
    <x:row r="2778" ht="32" customHeight="1">
      <x:c r="A2778" s="8" t="str">
        <x:v>drop:LC1:L2:light:-1:L51</x:v>
      </x:c>
      <x:c r="B2778" s="8" t="n">
        <x:v>2</x:v>
      </x:c>
      <x:c r="C2778" s="11" t="n">
        <x:v>32.475</x:v>
      </x:c>
      <x:c r="D2778" s="11" t="n">
        <x:v>5.908</x:v>
      </x:c>
      <x:c r="E2778" s="11" t="n">
        <x:v>-7.36</x:v>
      </x:c>
      <x:c r="F2778" s="11" t="n">
        <x:f>SQRT((C2778-C2777)^2+(D2778-D2777)^2+(E2778-E2777)^2)</x:f>
        <x:v>0.10999999999999943</x:v>
      </x:c>
      <x:c r="G2778" s="8" t="str">
        <x:v>Retired</x:v>
      </x:c>
    </x:row>
    <x:row r="2779" ht="32" customHeight="1">
      <x:c r="A2779" s="8" t="str">
        <x:v>drop:LC1:L2:light:-1:L51</x:v>
      </x:c>
      <x:c r="B2779" s="8" t="n">
        <x:v>3</x:v>
      </x:c>
      <x:c r="C2779" s="11" t="n">
        <x:v>32.475</x:v>
      </x:c>
      <x:c r="D2779" s="11" t="n">
        <x:v>7.055</x:v>
      </x:c>
      <x:c r="E2779" s="11" t="n">
        <x:v>-7.36</x:v>
      </x:c>
      <x:c r="F2779" s="11" t="n">
        <x:f>SQRT((C2779-C2778)^2+(D2779-D2778)^2+(E2779-E2778)^2)</x:f>
        <x:v>1.1469999999999994</x:v>
      </x:c>
      <x:c r="G2779" s="8" t="str">
        <x:v>Retired</x:v>
      </x:c>
    </x:row>
    <x:row r="2780" ht="32" customHeight="1">
      <x:c r="A2780" s="8" t="str">
        <x:v>drop:LC1:L2:light:-1:L51</x:v>
      </x:c>
      <x:c r="B2780" s="8" t="n">
        <x:v>4</x:v>
      </x:c>
      <x:c r="C2780" s="11" t="n">
        <x:v>32.585</x:v>
      </x:c>
      <x:c r="D2780" s="11" t="n">
        <x:v>7.055</x:v>
      </x:c>
      <x:c r="E2780" s="11" t="n">
        <x:v>-6.09</x:v>
      </x:c>
      <x:c r="F2780" s="11" t="n">
        <x:f>SQRT((C2780-C2779)^2+(D2780-D2779)^2+(E2780-E2779)^2)</x:f>
        <x:v>1.2747548783981966</x:v>
      </x:c>
      <x:c r="G2780" s="8" t="str">
        <x:v>Retired</x:v>
      </x:c>
    </x:row>
    <x:row r="2781" ht="32" customHeight="1">
      <x:c r="A2781" s="8" t="str">
        <x:v>drop:LC1:L2:light:-1:L51</x:v>
      </x:c>
      <x:c r="B2781" s="8" t="n">
        <x:v>5</x:v>
      </x:c>
      <x:c r="C2781" s="11" t="n">
        <x:v>32.64</x:v>
      </x:c>
      <x:c r="D2781" s="11" t="n">
        <x:v>7.055</x:v>
      </x:c>
      <x:c r="E2781" s="11" t="n">
        <x:v>-6.09</x:v>
      </x:c>
      <x:c r="F2781" s="11" t="n">
        <x:f>SQRT((C2781-C2780)^2+(D2781-D2780)^2+(E2781-E2780)^2)</x:f>
        <x:v>0.054999999999999716</x:v>
      </x:c>
      <x:c r="G2781" s="8" t="str">
        <x:v>Retired</x:v>
      </x:c>
    </x:row>
    <x:row r="2782" ht="32" customHeight="1">
      <x:c r="A2782" s="8" t="str">
        <x:v>drop:LC1:L2:light:-1:L51</x:v>
      </x:c>
      <x:c r="B2782" s="8" t="n">
        <x:v>6</x:v>
      </x:c>
      <x:c r="C2782" s="11" t="n">
        <x:v>32.64</x:v>
      </x:c>
      <x:c r="D2782" s="11" t="n">
        <x:v>6.84</x:v>
      </x:c>
      <x:c r="E2782" s="11" t="n">
        <x:v>-6.09</x:v>
      </x:c>
      <x:c r="F2782" s="11" t="n">
        <x:f>SQRT((C2782-C2781)^2+(D2782-D2781)^2+(E2782-E2781)^2)</x:f>
        <x:v>0.21499999999999986</x:v>
      </x:c>
      <x:c r="G2782" s="8" t="str">
        <x:v>Retired</x:v>
      </x:c>
    </x:row>
    <x:row r="2783" ht="32" customHeight="1">
      <x:c r="A2783" s="8" t="str">
        <x:v>drop:LC1:L2:light:-1:L51</x:v>
      </x:c>
      <x:c r="B2783" s="8" t="n">
        <x:v>7</x:v>
      </x:c>
      <x:c r="C2783" s="11" t="n">
        <x:v>32.585</x:v>
      </x:c>
      <x:c r="D2783" s="11" t="n">
        <x:v>6.84</x:v>
      </x:c>
      <x:c r="E2783" s="11" t="n">
        <x:v>-6.09</x:v>
      </x:c>
      <x:c r="F2783" s="11" t="n">
        <x:f>SQRT((C2783-C2782)^2+(D2783-D2782)^2+(E2783-E2782)^2)</x:f>
        <x:v>0.054999999999999716</x:v>
      </x:c>
      <x:c r="G2783" s="8" t="str">
        <x:v>Retired</x:v>
      </x:c>
    </x:row>
    <x:row r="2784" ht="32" customHeight="1">
      <x:c r="A2784" s="8" t="str">
        <x:v>drop:LC1:L2:light:-1:L52</x:v>
      </x:c>
      <x:c r="B2784" s="8" t="n">
        <x:v>1</x:v>
      </x:c>
      <x:c r="C2784" s="11" t="n">
        <x:v>32.585</x:v>
      </x:c>
      <x:c r="D2784" s="11" t="n">
        <x:v>5.908</x:v>
      </x:c>
      <x:c r="E2784" s="11" t="n">
        <x:v>-7.36</x:v>
      </x:c>
      <x:c r="F2784" s="11" t="n">
        <x:f>0</x:f>
        <x:v>0</x:v>
      </x:c>
      <x:c r="G2784" s="8" t="str">
        <x:v>Retired</x:v>
      </x:c>
    </x:row>
    <x:row r="2785" ht="32" customHeight="1">
      <x:c r="A2785" s="8" t="str">
        <x:v>drop:LC1:L2:light:-1:L52</x:v>
      </x:c>
      <x:c r="B2785" s="8" t="n">
        <x:v>2</x:v>
      </x:c>
      <x:c r="C2785" s="11" t="n">
        <x:v>32.475</x:v>
      </x:c>
      <x:c r="D2785" s="11" t="n">
        <x:v>5.908</x:v>
      </x:c>
      <x:c r="E2785" s="11" t="n">
        <x:v>-7.36</x:v>
      </x:c>
      <x:c r="F2785" s="11" t="n">
        <x:f>SQRT((C2785-C2784)^2+(D2785-D2784)^2+(E2785-E2784)^2)</x:f>
        <x:v>0.10999999999999943</x:v>
      </x:c>
      <x:c r="G2785" s="8" t="str">
        <x:v>Retired</x:v>
      </x:c>
    </x:row>
    <x:row r="2786" ht="32" customHeight="1">
      <x:c r="A2786" s="8" t="str">
        <x:v>drop:LC1:L2:light:-1:L52</x:v>
      </x:c>
      <x:c r="B2786" s="8" t="n">
        <x:v>3</x:v>
      </x:c>
      <x:c r="C2786" s="11" t="n">
        <x:v>32.475</x:v>
      </x:c>
      <x:c r="D2786" s="11" t="n">
        <x:v>7.055</x:v>
      </x:c>
      <x:c r="E2786" s="11" t="n">
        <x:v>-7.36</x:v>
      </x:c>
      <x:c r="F2786" s="11" t="n">
        <x:f>SQRT((C2786-C2785)^2+(D2786-D2785)^2+(E2786-E2785)^2)</x:f>
        <x:v>1.1469999999999994</x:v>
      </x:c>
      <x:c r="G2786" s="8" t="str">
        <x:v>Retired</x:v>
      </x:c>
    </x:row>
    <x:row r="2787" ht="32" customHeight="1">
      <x:c r="A2787" s="8" t="str">
        <x:v>drop:LC1:L2:light:-1:L52</x:v>
      </x:c>
      <x:c r="B2787" s="8" t="n">
        <x:v>4</x:v>
      </x:c>
      <x:c r="C2787" s="11" t="n">
        <x:v>32.585</x:v>
      </x:c>
      <x:c r="D2787" s="11" t="n">
        <x:v>7.055</x:v>
      </x:c>
      <x:c r="E2787" s="11" t="n">
        <x:v>-4.84</x:v>
      </x:c>
      <x:c r="F2787" s="11" t="n">
        <x:f>SQRT((C2787-C2786)^2+(D2787-D2786)^2+(E2787-E2786)^2)</x:f>
        <x:v>2.5223996511258884</x:v>
      </x:c>
      <x:c r="G2787" s="8" t="str">
        <x:v>Retired</x:v>
      </x:c>
    </x:row>
    <x:row r="2788" ht="32" customHeight="1">
      <x:c r="A2788" s="8" t="str">
        <x:v>drop:LC1:L2:light:-1:L52</x:v>
      </x:c>
      <x:c r="B2788" s="8" t="n">
        <x:v>5</x:v>
      </x:c>
      <x:c r="C2788" s="11" t="n">
        <x:v>32.64</x:v>
      </x:c>
      <x:c r="D2788" s="11" t="n">
        <x:v>7.055</x:v>
      </x:c>
      <x:c r="E2788" s="11" t="n">
        <x:v>-4.84</x:v>
      </x:c>
      <x:c r="F2788" s="11" t="n">
        <x:f>SQRT((C2788-C2787)^2+(D2788-D2787)^2+(E2788-E2787)^2)</x:f>
        <x:v>0.054999999999999716</x:v>
      </x:c>
      <x:c r="G2788" s="8" t="str">
        <x:v>Retired</x:v>
      </x:c>
    </x:row>
    <x:row r="2789" ht="32" customHeight="1">
      <x:c r="A2789" s="8" t="str">
        <x:v>drop:LC1:L2:light:-1:L52</x:v>
      </x:c>
      <x:c r="B2789" s="8" t="n">
        <x:v>6</x:v>
      </x:c>
      <x:c r="C2789" s="11" t="n">
        <x:v>32.64</x:v>
      </x:c>
      <x:c r="D2789" s="11" t="n">
        <x:v>6.84</x:v>
      </x:c>
      <x:c r="E2789" s="11" t="n">
        <x:v>-4.84</x:v>
      </x:c>
      <x:c r="F2789" s="11" t="n">
        <x:f>SQRT((C2789-C2788)^2+(D2789-D2788)^2+(E2789-E2788)^2)</x:f>
        <x:v>0.21499999999999986</x:v>
      </x:c>
      <x:c r="G2789" s="8" t="str">
        <x:v>Retired</x:v>
      </x:c>
    </x:row>
    <x:row r="2790" ht="32" customHeight="1">
      <x:c r="A2790" s="8" t="str">
        <x:v>drop:LC1:L2:light:-1:L52</x:v>
      </x:c>
      <x:c r="B2790" s="8" t="n">
        <x:v>7</x:v>
      </x:c>
      <x:c r="C2790" s="11" t="n">
        <x:v>32.585</x:v>
      </x:c>
      <x:c r="D2790" s="11" t="n">
        <x:v>6.84</x:v>
      </x:c>
      <x:c r="E2790" s="11" t="n">
        <x:v>-4.84</x:v>
      </x:c>
      <x:c r="F2790" s="11" t="n">
        <x:f>SQRT((C2790-C2789)^2+(D2790-D2789)^2+(E2790-E2789)^2)</x:f>
        <x:v>0.054999999999999716</x:v>
      </x:c>
      <x:c r="G2790" s="8" t="str">
        <x:v>Retired</x:v>
      </x:c>
    </x:row>
    <x:row r="2791" ht="32" customHeight="1">
      <x:c r="A2791" s="8" t="str">
        <x:v>drop:LC1:L2:light:-1:L55</x:v>
      </x:c>
      <x:c r="B2791" s="8" t="n">
        <x:v>1</x:v>
      </x:c>
      <x:c r="C2791" s="11" t="n">
        <x:v>37.085</x:v>
      </x:c>
      <x:c r="D2791" s="11" t="n">
        <x:v>7.04</x:v>
      </x:c>
      <x:c r="E2791" s="11" t="n">
        <x:v>-7.36</x:v>
      </x:c>
      <x:c r="F2791" s="11" t="n">
        <x:f>0</x:f>
        <x:v>0</x:v>
      </x:c>
      <x:c r="G2791" s="8" t="str">
        <x:v>Retired</x:v>
      </x:c>
    </x:row>
    <x:row r="2792" ht="32" customHeight="1">
      <x:c r="A2792" s="8" t="str">
        <x:v>drop:LC1:L2:light:-1:L55</x:v>
      </x:c>
      <x:c r="B2792" s="8" t="n">
        <x:v>2</x:v>
      </x:c>
      <x:c r="C2792" s="11" t="n">
        <x:v>36.975</x:v>
      </x:c>
      <x:c r="D2792" s="11" t="n">
        <x:v>7.04</x:v>
      </x:c>
      <x:c r="E2792" s="11" t="n">
        <x:v>-7.36</x:v>
      </x:c>
      <x:c r="F2792" s="11" t="n">
        <x:f>SQRT((C2792-C2791)^2+(D2792-D2791)^2+(E2792-E2791)^2)</x:f>
        <x:v>0.10999999999999943</x:v>
      </x:c>
      <x:c r="G2792" s="8" t="str">
        <x:v>Retired</x:v>
      </x:c>
    </x:row>
    <x:row r="2793" ht="32" customHeight="1">
      <x:c r="A2793" s="8" t="str">
        <x:v>drop:LC1:L2:light:-1:L55</x:v>
      </x:c>
      <x:c r="B2793" s="8" t="n">
        <x:v>3</x:v>
      </x:c>
      <x:c r="C2793" s="11" t="n">
        <x:v>36.975</x:v>
      </x:c>
      <x:c r="D2793" s="11" t="n">
        <x:v>7.055</x:v>
      </x:c>
      <x:c r="E2793" s="11" t="n">
        <x:v>-7.36</x:v>
      </x:c>
      <x:c r="F2793" s="11" t="n">
        <x:f>SQRT((C2793-C2792)^2+(D2793-D2792)^2+(E2793-E2792)^2)</x:f>
        <x:v>0.01499999999999968</x:v>
      </x:c>
      <x:c r="G2793" s="8" t="str">
        <x:v>Retired</x:v>
      </x:c>
    </x:row>
    <x:row r="2794" ht="32" customHeight="1">
      <x:c r="A2794" s="8" t="str">
        <x:v>drop:LC1:L2:light:-1:L55</x:v>
      </x:c>
      <x:c r="B2794" s="8" t="n">
        <x:v>4</x:v>
      </x:c>
      <x:c r="C2794" s="11" t="n">
        <x:v>37.085</x:v>
      </x:c>
      <x:c r="D2794" s="11" t="n">
        <x:v>7.055</x:v>
      </x:c>
      <x:c r="E2794" s="11" t="n">
        <x:v>-6.09</x:v>
      </x:c>
      <x:c r="F2794" s="11" t="n">
        <x:f>SQRT((C2794-C2793)^2+(D2794-D2793)^2+(E2794-E2793)^2)</x:f>
        <x:v>1.2747548783981966</x:v>
      </x:c>
      <x:c r="G2794" s="8" t="str">
        <x:v>Retired</x:v>
      </x:c>
    </x:row>
    <x:row r="2795" ht="32" customHeight="1">
      <x:c r="A2795" s="8" t="str">
        <x:v>drop:LC1:L2:light:-1:L55</x:v>
      </x:c>
      <x:c r="B2795" s="8" t="n">
        <x:v>5</x:v>
      </x:c>
      <x:c r="C2795" s="11" t="n">
        <x:v>37.14</x:v>
      </x:c>
      <x:c r="D2795" s="11" t="n">
        <x:v>7.055</x:v>
      </x:c>
      <x:c r="E2795" s="11" t="n">
        <x:v>-6.09</x:v>
      </x:c>
      <x:c r="F2795" s="11" t="n">
        <x:f>SQRT((C2795-C2794)^2+(D2795-D2794)^2+(E2795-E2794)^2)</x:f>
        <x:v>0.054999999999999716</x:v>
      </x:c>
      <x:c r="G2795" s="8" t="str">
        <x:v>Retired</x:v>
      </x:c>
    </x:row>
    <x:row r="2796" ht="32" customHeight="1">
      <x:c r="A2796" s="8" t="str">
        <x:v>drop:LC1:L2:light:-1:L55</x:v>
      </x:c>
      <x:c r="B2796" s="8" t="n">
        <x:v>6</x:v>
      </x:c>
      <x:c r="C2796" s="11" t="n">
        <x:v>37.14</x:v>
      </x:c>
      <x:c r="D2796" s="11" t="n">
        <x:v>6.84</x:v>
      </x:c>
      <x:c r="E2796" s="11" t="n">
        <x:v>-6.09</x:v>
      </x:c>
      <x:c r="F2796" s="11" t="n">
        <x:f>SQRT((C2796-C2795)^2+(D2796-D2795)^2+(E2796-E2795)^2)</x:f>
        <x:v>0.21499999999999986</x:v>
      </x:c>
      <x:c r="G2796" s="8" t="str">
        <x:v>Retired</x:v>
      </x:c>
    </x:row>
    <x:row r="2797" ht="32" customHeight="1">
      <x:c r="A2797" s="8" t="str">
        <x:v>drop:LC1:L2:light:-1:L55</x:v>
      </x:c>
      <x:c r="B2797" s="8" t="n">
        <x:v>7</x:v>
      </x:c>
      <x:c r="C2797" s="11" t="n">
        <x:v>37.085</x:v>
      </x:c>
      <x:c r="D2797" s="11" t="n">
        <x:v>6.84</x:v>
      </x:c>
      <x:c r="E2797" s="11" t="n">
        <x:v>-6.09</x:v>
      </x:c>
      <x:c r="F2797" s="11" t="n">
        <x:f>SQRT((C2797-C2796)^2+(D2797-D2796)^2+(E2797-E2796)^2)</x:f>
        <x:v>0.054999999999999716</x:v>
      </x:c>
      <x:c r="G2797" s="8" t="str">
        <x:v>Retired</x:v>
      </x:c>
    </x:row>
    <x:row r="2798" ht="32" customHeight="1">
      <x:c r="A2798" s="8" t="str">
        <x:v>drop:LC1:L2:light:-1:L56</x:v>
      </x:c>
      <x:c r="B2798" s="8" t="n">
        <x:v>1</x:v>
      </x:c>
      <x:c r="C2798" s="11" t="n">
        <x:v>37.085</x:v>
      </x:c>
      <x:c r="D2798" s="11" t="n">
        <x:v>7.04</x:v>
      </x:c>
      <x:c r="E2798" s="11" t="n">
        <x:v>-7.36</x:v>
      </x:c>
      <x:c r="F2798" s="11" t="n">
        <x:f>0</x:f>
        <x:v>0</x:v>
      </x:c>
      <x:c r="G2798" s="8" t="str">
        <x:v>Retired</x:v>
      </x:c>
    </x:row>
    <x:row r="2799" ht="32" customHeight="1">
      <x:c r="A2799" s="8" t="str">
        <x:v>drop:LC1:L2:light:-1:L56</x:v>
      </x:c>
      <x:c r="B2799" s="8" t="n">
        <x:v>2</x:v>
      </x:c>
      <x:c r="C2799" s="11" t="n">
        <x:v>36.975</x:v>
      </x:c>
      <x:c r="D2799" s="11" t="n">
        <x:v>7.04</x:v>
      </x:c>
      <x:c r="E2799" s="11" t="n">
        <x:v>-7.36</x:v>
      </x:c>
      <x:c r="F2799" s="11" t="n">
        <x:f>SQRT((C2799-C2798)^2+(D2799-D2798)^2+(E2799-E2798)^2)</x:f>
        <x:v>0.10999999999999943</x:v>
      </x:c>
      <x:c r="G2799" s="8" t="str">
        <x:v>Retired</x:v>
      </x:c>
    </x:row>
    <x:row r="2800" ht="32" customHeight="1">
      <x:c r="A2800" s="8" t="str">
        <x:v>drop:LC1:L2:light:-1:L56</x:v>
      </x:c>
      <x:c r="B2800" s="8" t="n">
        <x:v>3</x:v>
      </x:c>
      <x:c r="C2800" s="11" t="n">
        <x:v>36.975</x:v>
      </x:c>
      <x:c r="D2800" s="11" t="n">
        <x:v>7.055</x:v>
      </x:c>
      <x:c r="E2800" s="11" t="n">
        <x:v>-7.36</x:v>
      </x:c>
      <x:c r="F2800" s="11" t="n">
        <x:f>SQRT((C2800-C2799)^2+(D2800-D2799)^2+(E2800-E2799)^2)</x:f>
        <x:v>0.01499999999999968</x:v>
      </x:c>
      <x:c r="G2800" s="8" t="str">
        <x:v>Retired</x:v>
      </x:c>
    </x:row>
    <x:row r="2801" ht="32" customHeight="1">
      <x:c r="A2801" s="8" t="str">
        <x:v>drop:LC1:L2:light:-1:L56</x:v>
      </x:c>
      <x:c r="B2801" s="8" t="n">
        <x:v>4</x:v>
      </x:c>
      <x:c r="C2801" s="11" t="n">
        <x:v>37.085</x:v>
      </x:c>
      <x:c r="D2801" s="11" t="n">
        <x:v>7.055</x:v>
      </x:c>
      <x:c r="E2801" s="11" t="n">
        <x:v>-4.84</x:v>
      </x:c>
      <x:c r="F2801" s="11" t="n">
        <x:f>SQRT((C2801-C2800)^2+(D2801-D2800)^2+(E2801-E2800)^2)</x:f>
        <x:v>2.5223996511258884</x:v>
      </x:c>
      <x:c r="G2801" s="8" t="str">
        <x:v>Retired</x:v>
      </x:c>
    </x:row>
    <x:row r="2802" ht="32" customHeight="1">
      <x:c r="A2802" s="8" t="str">
        <x:v>drop:LC1:L2:light:-1:L56</x:v>
      </x:c>
      <x:c r="B2802" s="8" t="n">
        <x:v>5</x:v>
      </x:c>
      <x:c r="C2802" s="11" t="n">
        <x:v>37.14</x:v>
      </x:c>
      <x:c r="D2802" s="11" t="n">
        <x:v>7.055</x:v>
      </x:c>
      <x:c r="E2802" s="11" t="n">
        <x:v>-4.84</x:v>
      </x:c>
      <x:c r="F2802" s="11" t="n">
        <x:f>SQRT((C2802-C2801)^2+(D2802-D2801)^2+(E2802-E2801)^2)</x:f>
        <x:v>0.054999999999999716</x:v>
      </x:c>
      <x:c r="G2802" s="8" t="str">
        <x:v>Retired</x:v>
      </x:c>
    </x:row>
    <x:row r="2803" ht="32" customHeight="1">
      <x:c r="A2803" s="8" t="str">
        <x:v>drop:LC1:L2:light:-1:L56</x:v>
      </x:c>
      <x:c r="B2803" s="8" t="n">
        <x:v>6</x:v>
      </x:c>
      <x:c r="C2803" s="11" t="n">
        <x:v>37.14</x:v>
      </x:c>
      <x:c r="D2803" s="11" t="n">
        <x:v>6.84</x:v>
      </x:c>
      <x:c r="E2803" s="11" t="n">
        <x:v>-4.84</x:v>
      </x:c>
      <x:c r="F2803" s="11" t="n">
        <x:f>SQRT((C2803-C2802)^2+(D2803-D2802)^2+(E2803-E2802)^2)</x:f>
        <x:v>0.21499999999999986</x:v>
      </x:c>
      <x:c r="G2803" s="8" t="str">
        <x:v>Retired</x:v>
      </x:c>
    </x:row>
    <x:row r="2804" ht="32" customHeight="1">
      <x:c r="A2804" s="8" t="str">
        <x:v>drop:LC1:L2:light:-1:L56</x:v>
      </x:c>
      <x:c r="B2804" s="8" t="n">
        <x:v>7</x:v>
      </x:c>
      <x:c r="C2804" s="11" t="n">
        <x:v>37.085</x:v>
      </x:c>
      <x:c r="D2804" s="11" t="n">
        <x:v>6.84</x:v>
      </x:c>
      <x:c r="E2804" s="11" t="n">
        <x:v>-4.84</x:v>
      </x:c>
      <x:c r="F2804" s="11" t="n">
        <x:f>SQRT((C2804-C2803)^2+(D2804-D2803)^2+(E2804-E2803)^2)</x:f>
        <x:v>0.054999999999999716</x:v>
      </x:c>
      <x:c r="G2804" s="8" t="str">
        <x:v>Retired</x:v>
      </x:c>
    </x:row>
    <x:row r="2805" ht="32" customHeight="1">
      <x:c r="A2805" s="8" t="str">
        <x:v>drop:LC1:L2:light:1:L45</x:v>
      </x:c>
      <x:c r="B2805" s="8" t="n">
        <x:v>1</x:v>
      </x:c>
      <x:c r="C2805" s="11" t="n">
        <x:v>23.585</x:v>
      </x:c>
      <x:c r="D2805" s="11" t="n">
        <x:v>5.908</x:v>
      </x:c>
      <x:c r="E2805" s="11" t="n">
        <x:v>7.36</x:v>
      </x:c>
      <x:c r="F2805" s="11" t="n">
        <x:f>0</x:f>
        <x:v>0</x:v>
      </x:c>
      <x:c r="G2805" s="8" t="str">
        <x:v>Retired</x:v>
      </x:c>
    </x:row>
    <x:row r="2806" ht="32" customHeight="1">
      <x:c r="A2806" s="8" t="str">
        <x:v>drop:LC1:L2:light:1:L45</x:v>
      </x:c>
      <x:c r="B2806" s="8" t="n">
        <x:v>2</x:v>
      </x:c>
      <x:c r="C2806" s="11" t="n">
        <x:v>23.475</x:v>
      </x:c>
      <x:c r="D2806" s="11" t="n">
        <x:v>5.908</x:v>
      </x:c>
      <x:c r="E2806" s="11" t="n">
        <x:v>7.36</x:v>
      </x:c>
      <x:c r="F2806" s="11" t="n">
        <x:f>SQRT((C2806-C2805)^2+(D2806-D2805)^2+(E2806-E2805)^2)</x:f>
        <x:v>0.10999999999999943</x:v>
      </x:c>
      <x:c r="G2806" s="8" t="str">
        <x:v>Retired</x:v>
      </x:c>
    </x:row>
    <x:row r="2807" ht="32" customHeight="1">
      <x:c r="A2807" s="8" t="str">
        <x:v>drop:LC1:L2:light:1:L45</x:v>
      </x:c>
      <x:c r="B2807" s="8" t="n">
        <x:v>3</x:v>
      </x:c>
      <x:c r="C2807" s="11" t="n">
        <x:v>23.475</x:v>
      </x:c>
      <x:c r="D2807" s="11" t="n">
        <x:v>7.055</x:v>
      </x:c>
      <x:c r="E2807" s="11" t="n">
        <x:v>7.36</x:v>
      </x:c>
      <x:c r="F2807" s="11" t="n">
        <x:f>SQRT((C2807-C2806)^2+(D2807-D2806)^2+(E2807-E2806)^2)</x:f>
        <x:v>1.1469999999999994</x:v>
      </x:c>
      <x:c r="G2807" s="8" t="str">
        <x:v>Retired</x:v>
      </x:c>
    </x:row>
    <x:row r="2808" ht="32" customHeight="1">
      <x:c r="A2808" s="8" t="str">
        <x:v>drop:LC1:L2:light:1:L45</x:v>
      </x:c>
      <x:c r="B2808" s="8" t="n">
        <x:v>4</x:v>
      </x:c>
      <x:c r="C2808" s="11" t="n">
        <x:v>23.585</x:v>
      </x:c>
      <x:c r="D2808" s="11" t="n">
        <x:v>7.055</x:v>
      </x:c>
      <x:c r="E2808" s="11" t="n">
        <x:v>6.09</x:v>
      </x:c>
      <x:c r="F2808" s="11" t="n">
        <x:f>SQRT((C2808-C2807)^2+(D2808-D2807)^2+(E2808-E2807)^2)</x:f>
        <x:v>1.2747548783981966</x:v>
      </x:c>
      <x:c r="G2808" s="8" t="str">
        <x:v>Retired</x:v>
      </x:c>
    </x:row>
    <x:row r="2809" ht="32" customHeight="1">
      <x:c r="A2809" s="8" t="str">
        <x:v>drop:LC1:L2:light:1:L45</x:v>
      </x:c>
      <x:c r="B2809" s="8" t="n">
        <x:v>5</x:v>
      </x:c>
      <x:c r="C2809" s="11" t="n">
        <x:v>23.64</x:v>
      </x:c>
      <x:c r="D2809" s="11" t="n">
        <x:v>7.055</x:v>
      </x:c>
      <x:c r="E2809" s="11" t="n">
        <x:v>6.09</x:v>
      </x:c>
      <x:c r="F2809" s="11" t="n">
        <x:f>SQRT((C2809-C2808)^2+(D2809-D2808)^2+(E2809-E2808)^2)</x:f>
        <x:v>0.054999999999999716</x:v>
      </x:c>
      <x:c r="G2809" s="8" t="str">
        <x:v>Retired</x:v>
      </x:c>
    </x:row>
    <x:row r="2810" ht="32" customHeight="1">
      <x:c r="A2810" s="8" t="str">
        <x:v>drop:LC1:L2:light:1:L45</x:v>
      </x:c>
      <x:c r="B2810" s="8" t="n">
        <x:v>6</x:v>
      </x:c>
      <x:c r="C2810" s="11" t="n">
        <x:v>23.64</x:v>
      </x:c>
      <x:c r="D2810" s="11" t="n">
        <x:v>6.84</x:v>
      </x:c>
      <x:c r="E2810" s="11" t="n">
        <x:v>6.09</x:v>
      </x:c>
      <x:c r="F2810" s="11" t="n">
        <x:f>SQRT((C2810-C2809)^2+(D2810-D2809)^2+(E2810-E2809)^2)</x:f>
        <x:v>0.21499999999999986</x:v>
      </x:c>
      <x:c r="G2810" s="8" t="str">
        <x:v>Retired</x:v>
      </x:c>
    </x:row>
    <x:row r="2811" ht="32" customHeight="1">
      <x:c r="A2811" s="8" t="str">
        <x:v>drop:LC1:L2:light:1:L45</x:v>
      </x:c>
      <x:c r="B2811" s="8" t="n">
        <x:v>7</x:v>
      </x:c>
      <x:c r="C2811" s="11" t="n">
        <x:v>23.585</x:v>
      </x:c>
      <x:c r="D2811" s="11" t="n">
        <x:v>6.84</x:v>
      </x:c>
      <x:c r="E2811" s="11" t="n">
        <x:v>6.09</x:v>
      </x:c>
      <x:c r="F2811" s="11" t="n">
        <x:f>SQRT((C2811-C2810)^2+(D2811-D2810)^2+(E2811-E2810)^2)</x:f>
        <x:v>0.054999999999999716</x:v>
      </x:c>
      <x:c r="G2811" s="8" t="str">
        <x:v>Retired</x:v>
      </x:c>
    </x:row>
    <x:row r="2812" ht="32" customHeight="1">
      <x:c r="A2812" s="8" t="str">
        <x:v>drop:LC1:L2:light:1:L49</x:v>
      </x:c>
      <x:c r="B2812" s="8" t="n">
        <x:v>1</x:v>
      </x:c>
      <x:c r="C2812" s="11" t="n">
        <x:v>28.085</x:v>
      </x:c>
      <x:c r="D2812" s="11" t="n">
        <x:v>5.908</x:v>
      </x:c>
      <x:c r="E2812" s="11" t="n">
        <x:v>7.36</x:v>
      </x:c>
      <x:c r="F2812" s="11" t="n">
        <x:f>0</x:f>
        <x:v>0</x:v>
      </x:c>
      <x:c r="G2812" s="8" t="str">
        <x:v>Retired</x:v>
      </x:c>
    </x:row>
    <x:row r="2813" ht="32" customHeight="1">
      <x:c r="A2813" s="8" t="str">
        <x:v>drop:LC1:L2:light:1:L49</x:v>
      </x:c>
      <x:c r="B2813" s="8" t="n">
        <x:v>2</x:v>
      </x:c>
      <x:c r="C2813" s="11" t="n">
        <x:v>27.975</x:v>
      </x:c>
      <x:c r="D2813" s="11" t="n">
        <x:v>5.908</x:v>
      </x:c>
      <x:c r="E2813" s="11" t="n">
        <x:v>7.36</x:v>
      </x:c>
      <x:c r="F2813" s="11" t="n">
        <x:f>SQRT((C2813-C2812)^2+(D2813-D2812)^2+(E2813-E2812)^2)</x:f>
        <x:v>0.10999999999999943</x:v>
      </x:c>
      <x:c r="G2813" s="8" t="str">
        <x:v>Retired</x:v>
      </x:c>
    </x:row>
    <x:row r="2814" ht="32" customHeight="1">
      <x:c r="A2814" s="8" t="str">
        <x:v>drop:LC1:L2:light:1:L49</x:v>
      </x:c>
      <x:c r="B2814" s="8" t="n">
        <x:v>3</x:v>
      </x:c>
      <x:c r="C2814" s="11" t="n">
        <x:v>27.975</x:v>
      </x:c>
      <x:c r="D2814" s="11" t="n">
        <x:v>7.055</x:v>
      </x:c>
      <x:c r="E2814" s="11" t="n">
        <x:v>7.36</x:v>
      </x:c>
      <x:c r="F2814" s="11" t="n">
        <x:f>SQRT((C2814-C2813)^2+(D2814-D2813)^2+(E2814-E2813)^2)</x:f>
        <x:v>1.1469999999999994</x:v>
      </x:c>
      <x:c r="G2814" s="8" t="str">
        <x:v>Retired</x:v>
      </x:c>
    </x:row>
    <x:row r="2815" ht="32" customHeight="1">
      <x:c r="A2815" s="8" t="str">
        <x:v>drop:LC1:L2:light:1:L49</x:v>
      </x:c>
      <x:c r="B2815" s="8" t="n">
        <x:v>4</x:v>
      </x:c>
      <x:c r="C2815" s="11" t="n">
        <x:v>28.085</x:v>
      </x:c>
      <x:c r="D2815" s="11" t="n">
        <x:v>7.055</x:v>
      </x:c>
      <x:c r="E2815" s="11" t="n">
        <x:v>6.09</x:v>
      </x:c>
      <x:c r="F2815" s="11" t="n">
        <x:f>SQRT((C2815-C2814)^2+(D2815-D2814)^2+(E2815-E2814)^2)</x:f>
        <x:v>1.2747548783981966</x:v>
      </x:c>
      <x:c r="G2815" s="8" t="str">
        <x:v>Retired</x:v>
      </x:c>
    </x:row>
    <x:row r="2816" ht="32" customHeight="1">
      <x:c r="A2816" s="8" t="str">
        <x:v>drop:LC1:L2:light:1:L49</x:v>
      </x:c>
      <x:c r="B2816" s="8" t="n">
        <x:v>5</x:v>
      </x:c>
      <x:c r="C2816" s="11" t="n">
        <x:v>28.14</x:v>
      </x:c>
      <x:c r="D2816" s="11" t="n">
        <x:v>7.055</x:v>
      </x:c>
      <x:c r="E2816" s="11" t="n">
        <x:v>6.09</x:v>
      </x:c>
      <x:c r="F2816" s="11" t="n">
        <x:f>SQRT((C2816-C2815)^2+(D2816-D2815)^2+(E2816-E2815)^2)</x:f>
        <x:v>0.054999999999999716</x:v>
      </x:c>
      <x:c r="G2816" s="8" t="str">
        <x:v>Retired</x:v>
      </x:c>
    </x:row>
    <x:row r="2817" ht="32" customHeight="1">
      <x:c r="A2817" s="8" t="str">
        <x:v>drop:LC1:L2:light:1:L49</x:v>
      </x:c>
      <x:c r="B2817" s="8" t="n">
        <x:v>6</x:v>
      </x:c>
      <x:c r="C2817" s="11" t="n">
        <x:v>28.14</x:v>
      </x:c>
      <x:c r="D2817" s="11" t="n">
        <x:v>6.84</x:v>
      </x:c>
      <x:c r="E2817" s="11" t="n">
        <x:v>6.09</x:v>
      </x:c>
      <x:c r="F2817" s="11" t="n">
        <x:f>SQRT((C2817-C2816)^2+(D2817-D2816)^2+(E2817-E2816)^2)</x:f>
        <x:v>0.21499999999999986</x:v>
      </x:c>
      <x:c r="G2817" s="8" t="str">
        <x:v>Retired</x:v>
      </x:c>
    </x:row>
    <x:row r="2818" ht="32" customHeight="1">
      <x:c r="A2818" s="8" t="str">
        <x:v>drop:LC1:L2:light:1:L49</x:v>
      </x:c>
      <x:c r="B2818" s="8" t="n">
        <x:v>7</x:v>
      </x:c>
      <x:c r="C2818" s="11" t="n">
        <x:v>28.085</x:v>
      </x:c>
      <x:c r="D2818" s="11" t="n">
        <x:v>6.84</x:v>
      </x:c>
      <x:c r="E2818" s="11" t="n">
        <x:v>6.09</x:v>
      </x:c>
      <x:c r="F2818" s="11" t="n">
        <x:f>SQRT((C2818-C2817)^2+(D2818-D2817)^2+(E2818-E2817)^2)</x:f>
        <x:v>0.054999999999999716</x:v>
      </x:c>
      <x:c r="G2818" s="8" t="str">
        <x:v>Retired</x:v>
      </x:c>
    </x:row>
    <x:row r="2819" ht="32" customHeight="1">
      <x:c r="A2819" s="8" t="str">
        <x:v>drop:LC1:L2:light:1:L50</x:v>
      </x:c>
      <x:c r="B2819" s="8" t="n">
        <x:v>1</x:v>
      </x:c>
      <x:c r="C2819" s="11" t="n">
        <x:v>28.085</x:v>
      </x:c>
      <x:c r="D2819" s="11" t="n">
        <x:v>5.908</x:v>
      </x:c>
      <x:c r="E2819" s="11" t="n">
        <x:v>7.36</x:v>
      </x:c>
      <x:c r="F2819" s="11" t="n">
        <x:f>0</x:f>
        <x:v>0</x:v>
      </x:c>
      <x:c r="G2819" s="8" t="str">
        <x:v>Retired</x:v>
      </x:c>
    </x:row>
    <x:row r="2820" ht="32" customHeight="1">
      <x:c r="A2820" s="8" t="str">
        <x:v>drop:LC1:L2:light:1:L50</x:v>
      </x:c>
      <x:c r="B2820" s="8" t="n">
        <x:v>2</x:v>
      </x:c>
      <x:c r="C2820" s="11" t="n">
        <x:v>27.975</x:v>
      </x:c>
      <x:c r="D2820" s="11" t="n">
        <x:v>5.908</x:v>
      </x:c>
      <x:c r="E2820" s="11" t="n">
        <x:v>7.36</x:v>
      </x:c>
      <x:c r="F2820" s="11" t="n">
        <x:f>SQRT((C2820-C2819)^2+(D2820-D2819)^2+(E2820-E2819)^2)</x:f>
        <x:v>0.10999999999999943</x:v>
      </x:c>
      <x:c r="G2820" s="8" t="str">
        <x:v>Retired</x:v>
      </x:c>
    </x:row>
    <x:row r="2821" ht="32" customHeight="1">
      <x:c r="A2821" s="8" t="str">
        <x:v>drop:LC1:L2:light:1:L50</x:v>
      </x:c>
      <x:c r="B2821" s="8" t="n">
        <x:v>3</x:v>
      </x:c>
      <x:c r="C2821" s="11" t="n">
        <x:v>27.975</x:v>
      </x:c>
      <x:c r="D2821" s="11" t="n">
        <x:v>7.055</x:v>
      </x:c>
      <x:c r="E2821" s="11" t="n">
        <x:v>7.36</x:v>
      </x:c>
      <x:c r="F2821" s="11" t="n">
        <x:f>SQRT((C2821-C2820)^2+(D2821-D2820)^2+(E2821-E2820)^2)</x:f>
        <x:v>1.1469999999999994</x:v>
      </x:c>
      <x:c r="G2821" s="8" t="str">
        <x:v>Retired</x:v>
      </x:c>
    </x:row>
    <x:row r="2822" ht="32" customHeight="1">
      <x:c r="A2822" s="8" t="str">
        <x:v>drop:LC1:L2:light:1:L50</x:v>
      </x:c>
      <x:c r="B2822" s="8" t="n">
        <x:v>4</x:v>
      </x:c>
      <x:c r="C2822" s="11" t="n">
        <x:v>28.085</x:v>
      </x:c>
      <x:c r="D2822" s="11" t="n">
        <x:v>7.055</x:v>
      </x:c>
      <x:c r="E2822" s="11" t="n">
        <x:v>4.84</x:v>
      </x:c>
      <x:c r="F2822" s="11" t="n">
        <x:f>SQRT((C2822-C2821)^2+(D2822-D2821)^2+(E2822-E2821)^2)</x:f>
        <x:v>2.5223996511258884</x:v>
      </x:c>
      <x:c r="G2822" s="8" t="str">
        <x:v>Retired</x:v>
      </x:c>
    </x:row>
    <x:row r="2823" ht="32" customHeight="1">
      <x:c r="A2823" s="8" t="str">
        <x:v>drop:LC1:L2:light:1:L50</x:v>
      </x:c>
      <x:c r="B2823" s="8" t="n">
        <x:v>5</x:v>
      </x:c>
      <x:c r="C2823" s="11" t="n">
        <x:v>28.14</x:v>
      </x:c>
      <x:c r="D2823" s="11" t="n">
        <x:v>7.055</x:v>
      </x:c>
      <x:c r="E2823" s="11" t="n">
        <x:v>4.84</x:v>
      </x:c>
      <x:c r="F2823" s="11" t="n">
        <x:f>SQRT((C2823-C2822)^2+(D2823-D2822)^2+(E2823-E2822)^2)</x:f>
        <x:v>0.054999999999999716</x:v>
      </x:c>
      <x:c r="G2823" s="8" t="str">
        <x:v>Retired</x:v>
      </x:c>
    </x:row>
    <x:row r="2824" ht="32" customHeight="1">
      <x:c r="A2824" s="8" t="str">
        <x:v>drop:LC1:L2:light:1:L50</x:v>
      </x:c>
      <x:c r="B2824" s="8" t="n">
        <x:v>6</x:v>
      </x:c>
      <x:c r="C2824" s="11" t="n">
        <x:v>28.14</x:v>
      </x:c>
      <x:c r="D2824" s="11" t="n">
        <x:v>6.84</x:v>
      </x:c>
      <x:c r="E2824" s="11" t="n">
        <x:v>4.84</x:v>
      </x:c>
      <x:c r="F2824" s="11" t="n">
        <x:f>SQRT((C2824-C2823)^2+(D2824-D2823)^2+(E2824-E2823)^2)</x:f>
        <x:v>0.21499999999999986</x:v>
      </x:c>
      <x:c r="G2824" s="8" t="str">
        <x:v>Retired</x:v>
      </x:c>
    </x:row>
    <x:row r="2825" ht="32" customHeight="1">
      <x:c r="A2825" s="8" t="str">
        <x:v>drop:LC1:L2:light:1:L50</x:v>
      </x:c>
      <x:c r="B2825" s="8" t="n">
        <x:v>7</x:v>
      </x:c>
      <x:c r="C2825" s="11" t="n">
        <x:v>28.085</x:v>
      </x:c>
      <x:c r="D2825" s="11" t="n">
        <x:v>6.84</x:v>
      </x:c>
      <x:c r="E2825" s="11" t="n">
        <x:v>4.84</x:v>
      </x:c>
      <x:c r="F2825" s="11" t="n">
        <x:f>SQRT((C2825-C2824)^2+(D2825-D2824)^2+(E2825-E2824)^2)</x:f>
        <x:v>0.054999999999999716</x:v>
      </x:c>
      <x:c r="G2825" s="8" t="str">
        <x:v>Retired</x:v>
      </x:c>
    </x:row>
    <x:row r="2826" ht="32" customHeight="1">
      <x:c r="A2826" s="8" t="str">
        <x:v>drop:LC1:L2:light:1:L53</x:v>
      </x:c>
      <x:c r="B2826" s="8" t="n">
        <x:v>1</x:v>
      </x:c>
      <x:c r="C2826" s="11" t="n">
        <x:v>32.585</x:v>
      </x:c>
      <x:c r="D2826" s="11" t="n">
        <x:v>5.908</x:v>
      </x:c>
      <x:c r="E2826" s="11" t="n">
        <x:v>7.36</x:v>
      </x:c>
      <x:c r="F2826" s="11" t="n">
        <x:f>0</x:f>
        <x:v>0</x:v>
      </x:c>
      <x:c r="G2826" s="8" t="str">
        <x:v>Retired</x:v>
      </x:c>
    </x:row>
    <x:row r="2827" ht="32" customHeight="1">
      <x:c r="A2827" s="8" t="str">
        <x:v>drop:LC1:L2:light:1:L53</x:v>
      </x:c>
      <x:c r="B2827" s="8" t="n">
        <x:v>2</x:v>
      </x:c>
      <x:c r="C2827" s="11" t="n">
        <x:v>32.475</x:v>
      </x:c>
      <x:c r="D2827" s="11" t="n">
        <x:v>5.908</x:v>
      </x:c>
      <x:c r="E2827" s="11" t="n">
        <x:v>7.36</x:v>
      </x:c>
      <x:c r="F2827" s="11" t="n">
        <x:f>SQRT((C2827-C2826)^2+(D2827-D2826)^2+(E2827-E2826)^2)</x:f>
        <x:v>0.10999999999999943</x:v>
      </x:c>
      <x:c r="G2827" s="8" t="str">
        <x:v>Retired</x:v>
      </x:c>
    </x:row>
    <x:row r="2828" ht="32" customHeight="1">
      <x:c r="A2828" s="8" t="str">
        <x:v>drop:LC1:L2:light:1:L53</x:v>
      </x:c>
      <x:c r="B2828" s="8" t="n">
        <x:v>3</x:v>
      </x:c>
      <x:c r="C2828" s="11" t="n">
        <x:v>32.475</x:v>
      </x:c>
      <x:c r="D2828" s="11" t="n">
        <x:v>7.055</x:v>
      </x:c>
      <x:c r="E2828" s="11" t="n">
        <x:v>7.36</x:v>
      </x:c>
      <x:c r="F2828" s="11" t="n">
        <x:f>SQRT((C2828-C2827)^2+(D2828-D2827)^2+(E2828-E2827)^2)</x:f>
        <x:v>1.1469999999999994</x:v>
      </x:c>
      <x:c r="G2828" s="8" t="str">
        <x:v>Retired</x:v>
      </x:c>
    </x:row>
    <x:row r="2829" ht="32" customHeight="1">
      <x:c r="A2829" s="8" t="str">
        <x:v>drop:LC1:L2:light:1:L53</x:v>
      </x:c>
      <x:c r="B2829" s="8" t="n">
        <x:v>4</x:v>
      </x:c>
      <x:c r="C2829" s="11" t="n">
        <x:v>32.585</x:v>
      </x:c>
      <x:c r="D2829" s="11" t="n">
        <x:v>7.055</x:v>
      </x:c>
      <x:c r="E2829" s="11" t="n">
        <x:v>6.09</x:v>
      </x:c>
      <x:c r="F2829" s="11" t="n">
        <x:f>SQRT((C2829-C2828)^2+(D2829-D2828)^2+(E2829-E2828)^2)</x:f>
        <x:v>1.2747548783981966</x:v>
      </x:c>
      <x:c r="G2829" s="8" t="str">
        <x:v>Retired</x:v>
      </x:c>
    </x:row>
    <x:row r="2830" ht="32" customHeight="1">
      <x:c r="A2830" s="8" t="str">
        <x:v>drop:LC1:L2:light:1:L53</x:v>
      </x:c>
      <x:c r="B2830" s="8" t="n">
        <x:v>5</x:v>
      </x:c>
      <x:c r="C2830" s="11" t="n">
        <x:v>32.64</x:v>
      </x:c>
      <x:c r="D2830" s="11" t="n">
        <x:v>7.055</x:v>
      </x:c>
      <x:c r="E2830" s="11" t="n">
        <x:v>6.09</x:v>
      </x:c>
      <x:c r="F2830" s="11" t="n">
        <x:f>SQRT((C2830-C2829)^2+(D2830-D2829)^2+(E2830-E2829)^2)</x:f>
        <x:v>0.054999999999999716</x:v>
      </x:c>
      <x:c r="G2830" s="8" t="str">
        <x:v>Retired</x:v>
      </x:c>
    </x:row>
    <x:row r="2831" ht="32" customHeight="1">
      <x:c r="A2831" s="8" t="str">
        <x:v>drop:LC1:L2:light:1:L53</x:v>
      </x:c>
      <x:c r="B2831" s="8" t="n">
        <x:v>6</x:v>
      </x:c>
      <x:c r="C2831" s="11" t="n">
        <x:v>32.64</x:v>
      </x:c>
      <x:c r="D2831" s="11" t="n">
        <x:v>6.84</x:v>
      </x:c>
      <x:c r="E2831" s="11" t="n">
        <x:v>6.09</x:v>
      </x:c>
      <x:c r="F2831" s="11" t="n">
        <x:f>SQRT((C2831-C2830)^2+(D2831-D2830)^2+(E2831-E2830)^2)</x:f>
        <x:v>0.21499999999999986</x:v>
      </x:c>
      <x:c r="G2831" s="8" t="str">
        <x:v>Retired</x:v>
      </x:c>
    </x:row>
    <x:row r="2832" ht="32" customHeight="1">
      <x:c r="A2832" s="8" t="str">
        <x:v>drop:LC1:L2:light:1:L53</x:v>
      </x:c>
      <x:c r="B2832" s="8" t="n">
        <x:v>7</x:v>
      </x:c>
      <x:c r="C2832" s="11" t="n">
        <x:v>32.585</x:v>
      </x:c>
      <x:c r="D2832" s="11" t="n">
        <x:v>6.84</x:v>
      </x:c>
      <x:c r="E2832" s="11" t="n">
        <x:v>6.09</x:v>
      </x:c>
      <x:c r="F2832" s="11" t="n">
        <x:f>SQRT((C2832-C2831)^2+(D2832-D2831)^2+(E2832-E2831)^2)</x:f>
        <x:v>0.054999999999999716</x:v>
      </x:c>
      <x:c r="G2832" s="8" t="str">
        <x:v>Retired</x:v>
      </x:c>
    </x:row>
    <x:row r="2833" ht="32" customHeight="1">
      <x:c r="A2833" s="8" t="str">
        <x:v>drop:LC1:L2:light:1:L54</x:v>
      </x:c>
      <x:c r="B2833" s="8" t="n">
        <x:v>1</x:v>
      </x:c>
      <x:c r="C2833" s="11" t="n">
        <x:v>32.585</x:v>
      </x:c>
      <x:c r="D2833" s="11" t="n">
        <x:v>5.908</x:v>
      </x:c>
      <x:c r="E2833" s="11" t="n">
        <x:v>7.36</x:v>
      </x:c>
      <x:c r="F2833" s="11" t="n">
        <x:f>0</x:f>
        <x:v>0</x:v>
      </x:c>
      <x:c r="G2833" s="8" t="str">
        <x:v>Retired</x:v>
      </x:c>
    </x:row>
    <x:row r="2834" ht="32" customHeight="1">
      <x:c r="A2834" s="8" t="str">
        <x:v>drop:LC1:L2:light:1:L54</x:v>
      </x:c>
      <x:c r="B2834" s="8" t="n">
        <x:v>2</x:v>
      </x:c>
      <x:c r="C2834" s="11" t="n">
        <x:v>32.475</x:v>
      </x:c>
      <x:c r="D2834" s="11" t="n">
        <x:v>5.908</x:v>
      </x:c>
      <x:c r="E2834" s="11" t="n">
        <x:v>7.36</x:v>
      </x:c>
      <x:c r="F2834" s="11" t="n">
        <x:f>SQRT((C2834-C2833)^2+(D2834-D2833)^2+(E2834-E2833)^2)</x:f>
        <x:v>0.10999999999999943</x:v>
      </x:c>
      <x:c r="G2834" s="8" t="str">
        <x:v>Retired</x:v>
      </x:c>
    </x:row>
    <x:row r="2835" ht="32" customHeight="1">
      <x:c r="A2835" s="8" t="str">
        <x:v>drop:LC1:L2:light:1:L54</x:v>
      </x:c>
      <x:c r="B2835" s="8" t="n">
        <x:v>3</x:v>
      </x:c>
      <x:c r="C2835" s="11" t="n">
        <x:v>32.475</x:v>
      </x:c>
      <x:c r="D2835" s="11" t="n">
        <x:v>7.055</x:v>
      </x:c>
      <x:c r="E2835" s="11" t="n">
        <x:v>7.36</x:v>
      </x:c>
      <x:c r="F2835" s="11" t="n">
        <x:f>SQRT((C2835-C2834)^2+(D2835-D2834)^2+(E2835-E2834)^2)</x:f>
        <x:v>1.1469999999999994</x:v>
      </x:c>
      <x:c r="G2835" s="8" t="str">
        <x:v>Retired</x:v>
      </x:c>
    </x:row>
    <x:row r="2836" ht="32" customHeight="1">
      <x:c r="A2836" s="8" t="str">
        <x:v>drop:LC1:L2:light:1:L54</x:v>
      </x:c>
      <x:c r="B2836" s="8" t="n">
        <x:v>4</x:v>
      </x:c>
      <x:c r="C2836" s="11" t="n">
        <x:v>32.585</x:v>
      </x:c>
      <x:c r="D2836" s="11" t="n">
        <x:v>7.055</x:v>
      </x:c>
      <x:c r="E2836" s="11" t="n">
        <x:v>4.84</x:v>
      </x:c>
      <x:c r="F2836" s="11" t="n">
        <x:f>SQRT((C2836-C2835)^2+(D2836-D2835)^2+(E2836-E2835)^2)</x:f>
        <x:v>2.5223996511258884</x:v>
      </x:c>
      <x:c r="G2836" s="8" t="str">
        <x:v>Retired</x:v>
      </x:c>
    </x:row>
    <x:row r="2837" ht="32" customHeight="1">
      <x:c r="A2837" s="8" t="str">
        <x:v>drop:LC1:L2:light:1:L54</x:v>
      </x:c>
      <x:c r="B2837" s="8" t="n">
        <x:v>5</x:v>
      </x:c>
      <x:c r="C2837" s="11" t="n">
        <x:v>32.64</x:v>
      </x:c>
      <x:c r="D2837" s="11" t="n">
        <x:v>7.055</x:v>
      </x:c>
      <x:c r="E2837" s="11" t="n">
        <x:v>4.84</x:v>
      </x:c>
      <x:c r="F2837" s="11" t="n">
        <x:f>SQRT((C2837-C2836)^2+(D2837-D2836)^2+(E2837-E2836)^2)</x:f>
        <x:v>0.054999999999999716</x:v>
      </x:c>
      <x:c r="G2837" s="8" t="str">
        <x:v>Retired</x:v>
      </x:c>
    </x:row>
    <x:row r="2838" ht="32" customHeight="1">
      <x:c r="A2838" s="8" t="str">
        <x:v>drop:LC1:L2:light:1:L54</x:v>
      </x:c>
      <x:c r="B2838" s="8" t="n">
        <x:v>6</x:v>
      </x:c>
      <x:c r="C2838" s="11" t="n">
        <x:v>32.64</x:v>
      </x:c>
      <x:c r="D2838" s="11" t="n">
        <x:v>6.84</x:v>
      </x:c>
      <x:c r="E2838" s="11" t="n">
        <x:v>4.84</x:v>
      </x:c>
      <x:c r="F2838" s="11" t="n">
        <x:f>SQRT((C2838-C2837)^2+(D2838-D2837)^2+(E2838-E2837)^2)</x:f>
        <x:v>0.21499999999999986</x:v>
      </x:c>
      <x:c r="G2838" s="8" t="str">
        <x:v>Retired</x:v>
      </x:c>
    </x:row>
    <x:row r="2839" ht="32" customHeight="1">
      <x:c r="A2839" s="8" t="str">
        <x:v>drop:LC1:L2:light:1:L54</x:v>
      </x:c>
      <x:c r="B2839" s="8" t="n">
        <x:v>7</x:v>
      </x:c>
      <x:c r="C2839" s="11" t="n">
        <x:v>32.585</x:v>
      </x:c>
      <x:c r="D2839" s="11" t="n">
        <x:v>6.84</x:v>
      </x:c>
      <x:c r="E2839" s="11" t="n">
        <x:v>4.84</x:v>
      </x:c>
      <x:c r="F2839" s="11" t="n">
        <x:f>SQRT((C2839-C2838)^2+(D2839-D2838)^2+(E2839-E2838)^2)</x:f>
        <x:v>0.054999999999999716</x:v>
      </x:c>
      <x:c r="G2839" s="8" t="str">
        <x:v>Retired</x:v>
      </x:c>
    </x:row>
    <x:row r="2840" ht="32" customHeight="1">
      <x:c r="A2840" s="8" t="str">
        <x:v>drop:LC1:L2:light:1:L57</x:v>
      </x:c>
      <x:c r="B2840" s="8" t="n">
        <x:v>1</x:v>
      </x:c>
      <x:c r="C2840" s="11" t="n">
        <x:v>37.085</x:v>
      </x:c>
      <x:c r="D2840" s="11" t="n">
        <x:v>7.04</x:v>
      </x:c>
      <x:c r="E2840" s="11" t="n">
        <x:v>7.36</x:v>
      </x:c>
      <x:c r="F2840" s="11" t="n">
        <x:f>0</x:f>
        <x:v>0</x:v>
      </x:c>
      <x:c r="G2840" s="8" t="str">
        <x:v>Retired</x:v>
      </x:c>
    </x:row>
    <x:row r="2841" ht="32" customHeight="1">
      <x:c r="A2841" s="8" t="str">
        <x:v>drop:LC1:L2:light:1:L57</x:v>
      </x:c>
      <x:c r="B2841" s="8" t="n">
        <x:v>2</x:v>
      </x:c>
      <x:c r="C2841" s="11" t="n">
        <x:v>36.975</x:v>
      </x:c>
      <x:c r="D2841" s="11" t="n">
        <x:v>7.04</x:v>
      </x:c>
      <x:c r="E2841" s="11" t="n">
        <x:v>7.36</x:v>
      </x:c>
      <x:c r="F2841" s="11" t="n">
        <x:f>SQRT((C2841-C2840)^2+(D2841-D2840)^2+(E2841-E2840)^2)</x:f>
        <x:v>0.10999999999999943</x:v>
      </x:c>
      <x:c r="G2841" s="8" t="str">
        <x:v>Retired</x:v>
      </x:c>
    </x:row>
    <x:row r="2842" ht="32" customHeight="1">
      <x:c r="A2842" s="8" t="str">
        <x:v>drop:LC1:L2:light:1:L57</x:v>
      </x:c>
      <x:c r="B2842" s="8" t="n">
        <x:v>3</x:v>
      </x:c>
      <x:c r="C2842" s="11" t="n">
        <x:v>36.975</x:v>
      </x:c>
      <x:c r="D2842" s="11" t="n">
        <x:v>7.055</x:v>
      </x:c>
      <x:c r="E2842" s="11" t="n">
        <x:v>7.36</x:v>
      </x:c>
      <x:c r="F2842" s="11" t="n">
        <x:f>SQRT((C2842-C2841)^2+(D2842-D2841)^2+(E2842-E2841)^2)</x:f>
        <x:v>0.01499999999999968</x:v>
      </x:c>
      <x:c r="G2842" s="8" t="str">
        <x:v>Retired</x:v>
      </x:c>
    </x:row>
    <x:row r="2843" ht="32" customHeight="1">
      <x:c r="A2843" s="8" t="str">
        <x:v>drop:LC1:L2:light:1:L57</x:v>
      </x:c>
      <x:c r="B2843" s="8" t="n">
        <x:v>4</x:v>
      </x:c>
      <x:c r="C2843" s="11" t="n">
        <x:v>37.085</x:v>
      </x:c>
      <x:c r="D2843" s="11" t="n">
        <x:v>7.055</x:v>
      </x:c>
      <x:c r="E2843" s="11" t="n">
        <x:v>6.09</x:v>
      </x:c>
      <x:c r="F2843" s="11" t="n">
        <x:f>SQRT((C2843-C2842)^2+(D2843-D2842)^2+(E2843-E2842)^2)</x:f>
        <x:v>1.2747548783981966</x:v>
      </x:c>
      <x:c r="G2843" s="8" t="str">
        <x:v>Retired</x:v>
      </x:c>
    </x:row>
    <x:row r="2844" ht="32" customHeight="1">
      <x:c r="A2844" s="8" t="str">
        <x:v>drop:LC1:L2:light:1:L57</x:v>
      </x:c>
      <x:c r="B2844" s="8" t="n">
        <x:v>5</x:v>
      </x:c>
      <x:c r="C2844" s="11" t="n">
        <x:v>37.14</x:v>
      </x:c>
      <x:c r="D2844" s="11" t="n">
        <x:v>7.055</x:v>
      </x:c>
      <x:c r="E2844" s="11" t="n">
        <x:v>6.09</x:v>
      </x:c>
      <x:c r="F2844" s="11" t="n">
        <x:f>SQRT((C2844-C2843)^2+(D2844-D2843)^2+(E2844-E2843)^2)</x:f>
        <x:v>0.054999999999999716</x:v>
      </x:c>
      <x:c r="G2844" s="8" t="str">
        <x:v>Retired</x:v>
      </x:c>
    </x:row>
    <x:row r="2845" ht="32" customHeight="1">
      <x:c r="A2845" s="8" t="str">
        <x:v>drop:LC1:L2:light:1:L57</x:v>
      </x:c>
      <x:c r="B2845" s="8" t="n">
        <x:v>6</x:v>
      </x:c>
      <x:c r="C2845" s="11" t="n">
        <x:v>37.14</x:v>
      </x:c>
      <x:c r="D2845" s="11" t="n">
        <x:v>6.84</x:v>
      </x:c>
      <x:c r="E2845" s="11" t="n">
        <x:v>6.09</x:v>
      </x:c>
      <x:c r="F2845" s="11" t="n">
        <x:f>SQRT((C2845-C2844)^2+(D2845-D2844)^2+(E2845-E2844)^2)</x:f>
        <x:v>0.21499999999999986</x:v>
      </x:c>
      <x:c r="G2845" s="8" t="str">
        <x:v>Retired</x:v>
      </x:c>
    </x:row>
    <x:row r="2846" ht="32" customHeight="1">
      <x:c r="A2846" s="8" t="str">
        <x:v>drop:LC1:L2:light:1:L57</x:v>
      </x:c>
      <x:c r="B2846" s="8" t="n">
        <x:v>7</x:v>
      </x:c>
      <x:c r="C2846" s="11" t="n">
        <x:v>37.085</x:v>
      </x:c>
      <x:c r="D2846" s="11" t="n">
        <x:v>6.84</x:v>
      </x:c>
      <x:c r="E2846" s="11" t="n">
        <x:v>6.09</x:v>
      </x:c>
      <x:c r="F2846" s="11" t="n">
        <x:f>SQRT((C2846-C2845)^2+(D2846-D2845)^2+(E2846-E2845)^2)</x:f>
        <x:v>0.054999999999999716</x:v>
      </x:c>
      <x:c r="G2846" s="8" t="str">
        <x:v>Retired</x:v>
      </x:c>
    </x:row>
    <x:row r="2847" ht="32" customHeight="1">
      <x:c r="A2847" s="8" t="str">
        <x:v>drop:LC1:L2:light:1:L58</x:v>
      </x:c>
      <x:c r="B2847" s="8" t="n">
        <x:v>1</x:v>
      </x:c>
      <x:c r="C2847" s="11" t="n">
        <x:v>37.085</x:v>
      </x:c>
      <x:c r="D2847" s="11" t="n">
        <x:v>7.04</x:v>
      </x:c>
      <x:c r="E2847" s="11" t="n">
        <x:v>7.36</x:v>
      </x:c>
      <x:c r="F2847" s="11" t="n">
        <x:f>0</x:f>
        <x:v>0</x:v>
      </x:c>
      <x:c r="G2847" s="8" t="str">
        <x:v>Retired</x:v>
      </x:c>
    </x:row>
    <x:row r="2848" ht="32" customHeight="1">
      <x:c r="A2848" s="8" t="str">
        <x:v>drop:LC1:L2:light:1:L58</x:v>
      </x:c>
      <x:c r="B2848" s="8" t="n">
        <x:v>2</x:v>
      </x:c>
      <x:c r="C2848" s="11" t="n">
        <x:v>36.975</x:v>
      </x:c>
      <x:c r="D2848" s="11" t="n">
        <x:v>7.04</x:v>
      </x:c>
      <x:c r="E2848" s="11" t="n">
        <x:v>7.36</x:v>
      </x:c>
      <x:c r="F2848" s="11" t="n">
        <x:f>SQRT((C2848-C2847)^2+(D2848-D2847)^2+(E2848-E2847)^2)</x:f>
        <x:v>0.10999999999999943</x:v>
      </x:c>
      <x:c r="G2848" s="8" t="str">
        <x:v>Retired</x:v>
      </x:c>
    </x:row>
    <x:row r="2849" ht="32" customHeight="1">
      <x:c r="A2849" s="8" t="str">
        <x:v>drop:LC1:L2:light:1:L58</x:v>
      </x:c>
      <x:c r="B2849" s="8" t="n">
        <x:v>3</x:v>
      </x:c>
      <x:c r="C2849" s="11" t="n">
        <x:v>36.975</x:v>
      </x:c>
      <x:c r="D2849" s="11" t="n">
        <x:v>7.055</x:v>
      </x:c>
      <x:c r="E2849" s="11" t="n">
        <x:v>7.36</x:v>
      </x:c>
      <x:c r="F2849" s="11" t="n">
        <x:f>SQRT((C2849-C2848)^2+(D2849-D2848)^2+(E2849-E2848)^2)</x:f>
        <x:v>0.01499999999999968</x:v>
      </x:c>
      <x:c r="G2849" s="8" t="str">
        <x:v>Retired</x:v>
      </x:c>
    </x:row>
    <x:row r="2850" ht="32" customHeight="1">
      <x:c r="A2850" s="8" t="str">
        <x:v>drop:LC1:L2:light:1:L58</x:v>
      </x:c>
      <x:c r="B2850" s="8" t="n">
        <x:v>4</x:v>
      </x:c>
      <x:c r="C2850" s="11" t="n">
        <x:v>37.085</x:v>
      </x:c>
      <x:c r="D2850" s="11" t="n">
        <x:v>7.055</x:v>
      </x:c>
      <x:c r="E2850" s="11" t="n">
        <x:v>4.84</x:v>
      </x:c>
      <x:c r="F2850" s="11" t="n">
        <x:f>SQRT((C2850-C2849)^2+(D2850-D2849)^2+(E2850-E2849)^2)</x:f>
        <x:v>2.5223996511258884</x:v>
      </x:c>
      <x:c r="G2850" s="8" t="str">
        <x:v>Retired</x:v>
      </x:c>
    </x:row>
    <x:row r="2851" ht="32" customHeight="1">
      <x:c r="A2851" s="8" t="str">
        <x:v>drop:LC1:L2:light:1:L58</x:v>
      </x:c>
      <x:c r="B2851" s="8" t="n">
        <x:v>5</x:v>
      </x:c>
      <x:c r="C2851" s="11" t="n">
        <x:v>37.14</x:v>
      </x:c>
      <x:c r="D2851" s="11" t="n">
        <x:v>7.055</x:v>
      </x:c>
      <x:c r="E2851" s="11" t="n">
        <x:v>4.84</x:v>
      </x:c>
      <x:c r="F2851" s="11" t="n">
        <x:f>SQRT((C2851-C2850)^2+(D2851-D2850)^2+(E2851-E2850)^2)</x:f>
        <x:v>0.054999999999999716</x:v>
      </x:c>
      <x:c r="G2851" s="8" t="str">
        <x:v>Retired</x:v>
      </x:c>
    </x:row>
    <x:row r="2852" ht="32" customHeight="1">
      <x:c r="A2852" s="8" t="str">
        <x:v>drop:LC1:L2:light:1:L58</x:v>
      </x:c>
      <x:c r="B2852" s="8" t="n">
        <x:v>6</x:v>
      </x:c>
      <x:c r="C2852" s="11" t="n">
        <x:v>37.14</x:v>
      </x:c>
      <x:c r="D2852" s="11" t="n">
        <x:v>6.84</x:v>
      </x:c>
      <x:c r="E2852" s="11" t="n">
        <x:v>4.84</x:v>
      </x:c>
      <x:c r="F2852" s="11" t="n">
        <x:f>SQRT((C2852-C2851)^2+(D2852-D2851)^2+(E2852-E2851)^2)</x:f>
        <x:v>0.21499999999999986</x:v>
      </x:c>
      <x:c r="G2852" s="8" t="str">
        <x:v>Retired</x:v>
      </x:c>
    </x:row>
    <x:row r="2853" ht="32" customHeight="1">
      <x:c r="A2853" s="8" t="str">
        <x:v>drop:LC1:L2:light:1:L58</x:v>
      </x:c>
      <x:c r="B2853" s="8" t="n">
        <x:v>7</x:v>
      </x:c>
      <x:c r="C2853" s="11" t="n">
        <x:v>37.085</x:v>
      </x:c>
      <x:c r="D2853" s="11" t="n">
        <x:v>6.84</x:v>
      </x:c>
      <x:c r="E2853" s="11" t="n">
        <x:v>4.84</x:v>
      </x:c>
      <x:c r="F2853" s="11" t="n">
        <x:f>SQRT((C2853-C2852)^2+(D2853-D2852)^2+(E2853-E2852)^2)</x:f>
        <x:v>0.054999999999999716</x:v>
      </x:c>
      <x:c r="G2853" s="8" t="str">
        <x:v>Retired</x:v>
      </x:c>
    </x:row>
    <x:row r="2854" ht="32" customHeight="1">
      <x:c r="A2854" s="8" t="str">
        <x:v>drop:LC1:LD:light:-1:L78</x:v>
      </x:c>
      <x:c r="B2854" s="8" t="n">
        <x:v>1</x:v>
      </x:c>
      <x:c r="C2854" s="11" t="n">
        <x:v>16.725</x:v>
      </x:c>
      <x:c r="D2854" s="11" t="n">
        <x:v>5.94</x:v>
      </x:c>
      <x:c r="E2854" s="11" t="n">
        <x:v>-7.36</x:v>
      </x:c>
      <x:c r="F2854" s="11" t="n">
        <x:f>0</x:f>
        <x:v>0</x:v>
      </x:c>
      <x:c r="G2854" s="8" t="str">
        <x:v>Retired</x:v>
      </x:c>
    </x:row>
    <x:row r="2855" ht="32" customHeight="1">
      <x:c r="A2855" s="8" t="str">
        <x:v>drop:LC1:LD:light:-1:L78</x:v>
      </x:c>
      <x:c r="B2855" s="8" t="n">
        <x:v>2</x:v>
      </x:c>
      <x:c r="C2855" s="11" t="n">
        <x:v>16.725</x:v>
      </x:c>
      <x:c r="D2855" s="11" t="n">
        <x:v>7.04</x:v>
      </x:c>
      <x:c r="E2855" s="11" t="n">
        <x:v>-7.36</x:v>
      </x:c>
      <x:c r="F2855" s="11" t="n">
        <x:f>SQRT((C2855-C2854)^2+(D2855-D2854)^2+(E2855-E2854)^2)</x:f>
        <x:v>1.0999999999999996</x:v>
      </x:c>
      <x:c r="G2855" s="8" t="str">
        <x:v>Retired</x:v>
      </x:c>
    </x:row>
    <x:row r="2856" ht="32" customHeight="1">
      <x:c r="A2856" s="8" t="str">
        <x:v>drop:LC1:LD:light:-1:L78</x:v>
      </x:c>
      <x:c r="B2856" s="8" t="n">
        <x:v>3</x:v>
      </x:c>
      <x:c r="C2856" s="11" t="n">
        <x:v>16.725</x:v>
      </x:c>
      <x:c r="D2856" s="11" t="n">
        <x:v>12.382</x:v>
      </x:c>
      <x:c r="E2856" s="11" t="n">
        <x:v>0</x:v>
      </x:c>
      <x:c r="F2856" s="11" t="n">
        <x:f>SQRT((C2856-C2855)^2+(D2856-D2855)^2+(E2856-E2855)^2)</x:f>
        <x:v>9.094314927469798</x:v>
      </x:c>
      <x:c r="G2856" s="8" t="str">
        <x:v>Retired</x:v>
      </x:c>
    </x:row>
    <x:row r="2857" ht="32" customHeight="1">
      <x:c r="A2857" s="8" t="str">
        <x:v>drop:LC1:LD:light:-1:L78</x:v>
      </x:c>
      <x:c r="B2857" s="8" t="n">
        <x:v>4</x:v>
      </x:c>
      <x:c r="C2857" s="11" t="n">
        <x:v>16.725</x:v>
      </x:c>
      <x:c r="D2857" s="11" t="n">
        <x:v>12.152</x:v>
      </x:c>
      <x:c r="E2857" s="11" t="n">
        <x:v>0</x:v>
      </x:c>
      <x:c r="F2857" s="11" t="n">
        <x:f>SQRT((C2857-C2856)^2+(D2857-D2856)^2+(E2857-E2856)^2)</x:f>
        <x:v>0.23000000000000043</x:v>
      </x:c>
      <x:c r="G2857" s="8" t="str">
        <x:v>Retired</x:v>
      </x:c>
    </x:row>
    <x:row r="2858" ht="32" customHeight="1">
      <x:c r="A2858" s="8" t="str">
        <x:v>drop:LC1:LD:light:-1:L78</x:v>
      </x:c>
      <x:c r="B2858" s="8" t="n">
        <x:v>5</x:v>
      </x:c>
      <x:c r="C2858" s="11" t="n">
        <x:v>16.725</x:v>
      </x:c>
      <x:c r="D2858" s="11" t="n">
        <x:v>7.3</x:v>
      </x:c>
      <x:c r="E2858" s="11" t="n">
        <x:v>0</x:v>
      </x:c>
      <x:c r="F2858" s="11" t="n">
        <x:f>SQRT((C2858-C2857)^2+(D2858-D2857)^2+(E2858-E2857)^2)</x:f>
        <x:v>4.851999999999999</x:v>
      </x:c>
      <x:c r="G2858" s="8" t="str">
        <x:v>Retired</x:v>
      </x:c>
    </x:row>
    <x:row r="2859" ht="32" customHeight="1">
      <x:c r="A2859" s="8" t="str">
        <x:v>drop:LC1:LD:light:-1:L79</x:v>
      </x:c>
      <x:c r="B2859" s="8" t="n">
        <x:v>1</x:v>
      </x:c>
      <x:c r="C2859" s="11" t="n">
        <x:v>25.725</x:v>
      </x:c>
      <x:c r="D2859" s="11" t="n">
        <x:v>5.94</x:v>
      </x:c>
      <x:c r="E2859" s="11" t="n">
        <x:v>-7.36</x:v>
      </x:c>
      <x:c r="F2859" s="11" t="n">
        <x:f>0</x:f>
        <x:v>0</x:v>
      </x:c>
      <x:c r="G2859" s="8" t="str">
        <x:v>Retired</x:v>
      </x:c>
    </x:row>
    <x:row r="2860" ht="32" customHeight="1">
      <x:c r="A2860" s="8" t="str">
        <x:v>drop:LC1:LD:light:-1:L79</x:v>
      </x:c>
      <x:c r="B2860" s="8" t="n">
        <x:v>2</x:v>
      </x:c>
      <x:c r="C2860" s="11" t="n">
        <x:v>25.725</x:v>
      </x:c>
      <x:c r="D2860" s="11" t="n">
        <x:v>7.04</x:v>
      </x:c>
      <x:c r="E2860" s="11" t="n">
        <x:v>-7.36</x:v>
      </x:c>
      <x:c r="F2860" s="11" t="n">
        <x:f>SQRT((C2860-C2859)^2+(D2860-D2859)^2+(E2860-E2859)^2)</x:f>
        <x:v>1.0999999999999996</x:v>
      </x:c>
      <x:c r="G2860" s="8" t="str">
        <x:v>Retired</x:v>
      </x:c>
    </x:row>
    <x:row r="2861" ht="32" customHeight="1">
      <x:c r="A2861" s="8" t="str">
        <x:v>drop:LC1:LD:light:-1:L79</x:v>
      </x:c>
      <x:c r="B2861" s="8" t="n">
        <x:v>3</x:v>
      </x:c>
      <x:c r="C2861" s="11" t="n">
        <x:v>25.725</x:v>
      </x:c>
      <x:c r="D2861" s="11" t="n">
        <x:v>12.382</x:v>
      </x:c>
      <x:c r="E2861" s="11" t="n">
        <x:v>0</x:v>
      </x:c>
      <x:c r="F2861" s="11" t="n">
        <x:f>SQRT((C2861-C2860)^2+(D2861-D2860)^2+(E2861-E2860)^2)</x:f>
        <x:v>9.094314927469798</x:v>
      </x:c>
      <x:c r="G2861" s="8" t="str">
        <x:v>Retired</x:v>
      </x:c>
    </x:row>
    <x:row r="2862" ht="32" customHeight="1">
      <x:c r="A2862" s="8" t="str">
        <x:v>drop:LC1:LD:light:-1:L79</x:v>
      </x:c>
      <x:c r="B2862" s="8" t="n">
        <x:v>4</x:v>
      </x:c>
      <x:c r="C2862" s="11" t="n">
        <x:v>25.725</x:v>
      </x:c>
      <x:c r="D2862" s="11" t="n">
        <x:v>12.152</x:v>
      </x:c>
      <x:c r="E2862" s="11" t="n">
        <x:v>0</x:v>
      </x:c>
      <x:c r="F2862" s="11" t="n">
        <x:f>SQRT((C2862-C2861)^2+(D2862-D2861)^2+(E2862-E2861)^2)</x:f>
        <x:v>0.23000000000000043</x:v>
      </x:c>
      <x:c r="G2862" s="8" t="str">
        <x:v>Retired</x:v>
      </x:c>
    </x:row>
    <x:row r="2863" ht="32" customHeight="1">
      <x:c r="A2863" s="8" t="str">
        <x:v>drop:LC1:LD:light:-1:L79</x:v>
      </x:c>
      <x:c r="B2863" s="8" t="n">
        <x:v>5</x:v>
      </x:c>
      <x:c r="C2863" s="11" t="n">
        <x:v>25.725</x:v>
      </x:c>
      <x:c r="D2863" s="11" t="n">
        <x:v>7.3</x:v>
      </x:c>
      <x:c r="E2863" s="11" t="n">
        <x:v>0</x:v>
      </x:c>
      <x:c r="F2863" s="11" t="n">
        <x:f>SQRT((C2863-C2862)^2+(D2863-D2862)^2+(E2863-E2862)^2)</x:f>
        <x:v>4.851999999999999</x:v>
      </x:c>
      <x:c r="G2863" s="8" t="str">
        <x:v>Retired</x:v>
      </x:c>
    </x:row>
    <x:row r="2864" ht="32" customHeight="1">
      <x:c r="A2864" s="8" t="str">
        <x:v>drop:LC1:LD:light:-1:L80</x:v>
      </x:c>
      <x:c r="B2864" s="8" t="n">
        <x:v>1</x:v>
      </x:c>
      <x:c r="C2864" s="11" t="n">
        <x:v>34.725</x:v>
      </x:c>
      <x:c r="D2864" s="11" t="n">
        <x:v>5.94</x:v>
      </x:c>
      <x:c r="E2864" s="11" t="n">
        <x:v>-7.36</x:v>
      </x:c>
      <x:c r="F2864" s="11" t="n">
        <x:f>0</x:f>
        <x:v>0</x:v>
      </x:c>
      <x:c r="G2864" s="8" t="str">
        <x:v>Retired</x:v>
      </x:c>
    </x:row>
    <x:row r="2865" ht="32" customHeight="1">
      <x:c r="A2865" s="8" t="str">
        <x:v>drop:LC1:LD:light:-1:L80</x:v>
      </x:c>
      <x:c r="B2865" s="8" t="n">
        <x:v>2</x:v>
      </x:c>
      <x:c r="C2865" s="11" t="n">
        <x:v>34.725</x:v>
      </x:c>
      <x:c r="D2865" s="11" t="n">
        <x:v>7.04</x:v>
      </x:c>
      <x:c r="E2865" s="11" t="n">
        <x:v>-7.36</x:v>
      </x:c>
      <x:c r="F2865" s="11" t="n">
        <x:f>SQRT((C2865-C2864)^2+(D2865-D2864)^2+(E2865-E2864)^2)</x:f>
        <x:v>1.0999999999999996</x:v>
      </x:c>
      <x:c r="G2865" s="8" t="str">
        <x:v>Retired</x:v>
      </x:c>
    </x:row>
    <x:row r="2866" ht="32" customHeight="1">
      <x:c r="A2866" s="8" t="str">
        <x:v>drop:LC1:LD:light:-1:L80</x:v>
      </x:c>
      <x:c r="B2866" s="8" t="n">
        <x:v>3</x:v>
      </x:c>
      <x:c r="C2866" s="11" t="n">
        <x:v>34.725</x:v>
      </x:c>
      <x:c r="D2866" s="11" t="n">
        <x:v>12.382</x:v>
      </x:c>
      <x:c r="E2866" s="11" t="n">
        <x:v>0</x:v>
      </x:c>
      <x:c r="F2866" s="11" t="n">
        <x:f>SQRT((C2866-C2865)^2+(D2866-D2865)^2+(E2866-E2865)^2)</x:f>
        <x:v>9.094314927469798</x:v>
      </x:c>
      <x:c r="G2866" s="8" t="str">
        <x:v>Retired</x:v>
      </x:c>
    </x:row>
    <x:row r="2867" ht="32" customHeight="1">
      <x:c r="A2867" s="8" t="str">
        <x:v>drop:LC1:LD:light:-1:L80</x:v>
      </x:c>
      <x:c r="B2867" s="8" t="n">
        <x:v>4</x:v>
      </x:c>
      <x:c r="C2867" s="11" t="n">
        <x:v>34.725</x:v>
      </x:c>
      <x:c r="D2867" s="11" t="n">
        <x:v>12.152</x:v>
      </x:c>
      <x:c r="E2867" s="11" t="n">
        <x:v>0</x:v>
      </x:c>
      <x:c r="F2867" s="11" t="n">
        <x:f>SQRT((C2867-C2866)^2+(D2867-D2866)^2+(E2867-E2866)^2)</x:f>
        <x:v>0.23000000000000043</x:v>
      </x:c>
      <x:c r="G2867" s="8" t="str">
        <x:v>Retired</x:v>
      </x:c>
    </x:row>
    <x:row r="2868" ht="32" customHeight="1">
      <x:c r="A2868" s="8" t="str">
        <x:v>drop:LC1:LD:light:-1:L80</x:v>
      </x:c>
      <x:c r="B2868" s="8" t="n">
        <x:v>5</x:v>
      </x:c>
      <x:c r="C2868" s="11" t="n">
        <x:v>34.725</x:v>
      </x:c>
      <x:c r="D2868" s="11" t="n">
        <x:v>7.3</x:v>
      </x:c>
      <x:c r="E2868" s="11" t="n">
        <x:v>0</x:v>
      </x:c>
      <x:c r="F2868" s="11" t="n">
        <x:f>SQRT((C2868-C2867)^2+(D2868-D2867)^2+(E2868-E2867)^2)</x:f>
        <x:v>4.851999999999999</x:v>
      </x:c>
      <x:c r="G2868" s="8" t="str">
        <x:v>Retired</x:v>
      </x:c>
    </x:row>
    <x:row r="2869" ht="32" customHeight="1">
      <x:c r="A2869" s="8" t="str">
        <x:v>drop:LC1:LD:light:-1:L81</x:v>
      </x:c>
      <x:c r="B2869" s="8" t="n">
        <x:v>1</x:v>
      </x:c>
      <x:c r="C2869" s="11" t="n">
        <x:v>40.575</x:v>
      </x:c>
      <x:c r="D2869" s="11" t="n">
        <x:v>9.269999999999989</x:v>
      </x:c>
      <x:c r="E2869" s="11" t="n">
        <x:v>-7.36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drop:LC1:LD:light:-1:L81</x:v>
      </x:c>
      <x:c r="B2870" s="8" t="n">
        <x:v>2</x:v>
      </x:c>
      <x:c r="C2870" s="11" t="n">
        <x:v>40.575</x:v>
      </x:c>
      <x:c r="D2870" s="11" t="n">
        <x:v>9.27</x:v>
      </x:c>
      <x:c r="E2870" s="11" t="n">
        <x:v>-4.24</x:v>
      </x:c>
      <x:c r="F2870" s="11" t="n">
        <x:f>SQRT((C2870-C2869)^2+(D2870-D2869)^2+(E2870-E2869)^2)</x:f>
        <x:v>3.12</x:v>
      </x:c>
      <x:c r="G2870" s="8" t="str">
        <x:v>Retired</x:v>
      </x:c>
    </x:row>
    <x:row r="2871" ht="32" customHeight="1">
      <x:c r="A2871" s="8" t="str">
        <x:v>drop:LC1:LD:light:-1:L81</x:v>
      </x:c>
      <x:c r="B2871" s="8" t="n">
        <x:v>3</x:v>
      </x:c>
      <x:c r="C2871" s="11" t="n">
        <x:v>40.575</x:v>
      </x:c>
      <x:c r="D2871" s="11" t="n">
        <x:v>9.362608695652174</x:v>
      </x:c>
      <x:c r="E2871" s="11" t="n">
        <x:v>-4.16</x:v>
      </x:c>
      <x:c r="F2871" s="11" t="n">
        <x:f>SQRT((C2871-C2870)^2+(D2871-D2870)^2+(E2871-E2870)^2)</x:f>
        <x:v>0.12237798213076184</x:v>
      </x:c>
      <x:c r="G2871" s="8" t="str">
        <x:v>Retired</x:v>
      </x:c>
    </x:row>
    <x:row r="2872" ht="32" customHeight="1">
      <x:c r="A2872" s="8" t="str">
        <x:v>drop:LC1:LD:light:-1:L81</x:v>
      </x:c>
      <x:c r="B2872" s="8" t="n">
        <x:v>4</x:v>
      </x:c>
      <x:c r="C2872" s="11" t="n">
        <x:v>40.575</x:v>
      </x:c>
      <x:c r="D2872" s="11" t="n">
        <x:v>12.382</x:v>
      </x:c>
      <x:c r="E2872" s="11" t="n">
        <x:v>0</x:v>
      </x:c>
      <x:c r="F2872" s="11" t="n">
        <x:f>SQRT((C2872-C2871)^2+(D2872-D2871)^2+(E2872-E2871)^2)</x:f>
        <x:v>5.140264959004669</x:v>
      </x:c>
      <x:c r="G2872" s="8" t="str">
        <x:v>Retired</x:v>
      </x:c>
    </x:row>
    <x:row r="2873" ht="32" customHeight="1">
      <x:c r="A2873" s="8" t="str">
        <x:v>drop:LC1:LD:light:-1:L81</x:v>
      </x:c>
      <x:c r="B2873" s="8" t="n">
        <x:v>5</x:v>
      </x:c>
      <x:c r="C2873" s="11" t="n">
        <x:v>40.575</x:v>
      </x:c>
      <x:c r="D2873" s="11" t="n">
        <x:v>12.152</x:v>
      </x:c>
      <x:c r="E2873" s="11" t="n">
        <x:v>0</x:v>
      </x:c>
      <x:c r="F2873" s="11" t="n">
        <x:f>SQRT((C2873-C2872)^2+(D2873-D2872)^2+(E2873-E2872)^2)</x:f>
        <x:v>0.23000000000000043</x:v>
      </x:c>
      <x:c r="G2873" s="8" t="str">
        <x:v>Retired</x:v>
      </x:c>
    </x:row>
    <x:row r="2874" ht="32" customHeight="1">
      <x:c r="A2874" s="8" t="str">
        <x:v>drop:LC1:LD:light:-1:L81</x:v>
      </x:c>
      <x:c r="B2874" s="8" t="n">
        <x:v>6</x:v>
      </x:c>
      <x:c r="C2874" s="11" t="n">
        <x:v>40.575</x:v>
      </x:c>
      <x:c r="D2874" s="11" t="n">
        <x:v>9.2</x:v>
      </x:c>
      <x:c r="E2874" s="11" t="n">
        <x:v>0</x:v>
      </x:c>
      <x:c r="F2874" s="11" t="n">
        <x:f>SQRT((C2874-C2873)^2+(D2874-D2873)^2+(E2874-E2873)^2)</x:f>
        <x:v>2.952</x:v>
      </x:c>
      <x:c r="G2874" s="8" t="str">
        <x:v>Retired</x:v>
      </x:c>
    </x:row>
    <x:row r="2875" ht="32" customHeight="1">
      <x:c r="A2875" s="8" t="str">
        <x:v>drop:LC1:L5:light:-1:L143</x:v>
      </x:c>
      <x:c r="B2875" s="8" t="n">
        <x:v>1</x:v>
      </x:c>
      <x:c r="C2875" s="11" t="n">
        <x:v>45</x:v>
      </x:c>
      <x:c r="D2875" s="11" t="n">
        <x:v>5.948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drop:LC1:L5:light:-1:L143</x:v>
      </x:c>
      <x:c r="B2876" s="8" t="n">
        <x:v>2</x:v>
      </x:c>
      <x:c r="C2876" s="11" t="n">
        <x:v>45</x:v>
      </x:c>
      <x:c r="D2876" s="11" t="n">
        <x:v>7.04</x:v>
      </x:c>
      <x:c r="E2876" s="11" t="n">
        <x:v>-7.36</x:v>
      </x:c>
      <x:c r="F2876" s="11" t="n">
        <x:f>SQRT((C2876-C2875)^2+(D2876-D2875)^2+(E2876-E2875)^2)</x:f>
        <x:v>1.0919999999999996</x:v>
      </x:c>
      <x:c r="G2876" s="8" t="str">
        <x:v>Retired</x:v>
      </x:c>
    </x:row>
    <x:row r="2877" ht="32" customHeight="1">
      <x:c r="A2877" s="8" t="str">
        <x:v>drop:LC1:L5:light:-1:L143</x:v>
      </x:c>
      <x:c r="B2877" s="8" t="n">
        <x:v>3</x:v>
      </x:c>
      <x:c r="C2877" s="11" t="n">
        <x:v>45</x:v>
      </x:c>
      <x:c r="D2877" s="11" t="n">
        <x:v>6.932586272843179</x:v>
      </x:c>
      <x:c r="E2877" s="11" t="n">
        <x:v>-7.438307692307693</x:v>
      </x:c>
      <x:c r="F2877" s="11" t="n">
        <x:f>SQRT((C2877-C2876)^2+(D2877-D2876)^2+(E2877-E2876)^2)</x:f>
        <x:v>0.13292781295227982</x:v>
      </x:c>
      <x:c r="G2877" s="8" t="str">
        <x:v>Retired</x:v>
      </x:c>
    </x:row>
    <x:row r="2878" ht="32" customHeight="1">
      <x:c r="A2878" s="8" t="str">
        <x:v>drop:LC1:L5:light:-1:L143</x:v>
      </x:c>
      <x:c r="B2878" s="8" t="n">
        <x:v>4</x:v>
      </x:c>
      <x:c r="C2878" s="11" t="n">
        <x:v>45</x:v>
      </x:c>
      <x:c r="D2878" s="11" t="n">
        <x:v>6.270864640883978</x:v>
      </x:c>
      <x:c r="E2878" s="11" t="n">
        <x:v>-10.414</x:v>
      </x:c>
      <x:c r="F2878" s="11" t="n">
        <x:f>SQRT((C2878-C2877)^2+(D2878-D2877)^2+(E2878-E2877)^2)</x:f>
        <x:v>3.048379935024818</x:v>
      </x:c>
      <x:c r="G2878" s="8" t="str">
        <x:v>Retired</x:v>
      </x:c>
    </x:row>
    <x:row r="2879" ht="32" customHeight="1">
      <x:c r="A2879" s="8" t="str">
        <x:v>drop:LC1:L5:light:-1:L143</x:v>
      </x:c>
      <x:c r="B2879" s="8" t="n">
        <x:v>5</x:v>
      </x:c>
      <x:c r="C2879" s="11" t="n">
        <x:v>45</x:v>
      </x:c>
      <x:c r="D2879" s="11" t="n">
        <x:v>2.6</x:v>
      </x:c>
      <x:c r="E2879" s="11" t="n">
        <x:v>-10.414</x:v>
      </x:c>
      <x:c r="F2879" s="11" t="n">
        <x:f>SQRT((C2879-C2878)^2+(D2879-D2878)^2+(E2879-E2878)^2)</x:f>
        <x:v>3.6708646408839782</x:v>
      </x:c>
      <x:c r="G2879" s="8" t="str">
        <x:v>Retired</x:v>
      </x:c>
    </x:row>
    <x:row r="2880" ht="32" customHeight="1">
      <x:c r="A2880" s="8" t="str">
        <x:v>drop:LC1:L5:light:-1:L143</x:v>
      </x:c>
      <x:c r="B2880" s="8" t="n">
        <x:v>6</x:v>
      </x:c>
      <x:c r="C2880" s="11" t="n">
        <x:v>45</x:v>
      </x:c>
      <x:c r="D2880" s="11" t="n">
        <x:v>2.6</x:v>
      </x:c>
      <x:c r="E2880" s="11" t="n">
        <x:v>-10.55</x:v>
      </x:c>
      <x:c r="F2880" s="11" t="n">
        <x:f>SQRT((C2880-C2879)^2+(D2880-D2879)^2+(E2880-E2879)^2)</x:f>
        <x:v>0.136000000000001</x:v>
      </x:c>
      <x:c r="G2880" s="8" t="str">
        <x:v>Retired</x:v>
      </x:c>
    </x:row>
    <x:row r="2881" ht="32" customHeight="1">
      <x:c r="A2881" s="8" t="str">
        <x:v>drop:LC1:L5:light:-1:L144</x:v>
      </x:c>
      <x:c r="B2881" s="8" t="n">
        <x:v>1</x:v>
      </x:c>
      <x:c r="C2881" s="11" t="n">
        <x:v>47.849999999999994</x:v>
      </x:c>
      <x:c r="D2881" s="11" t="n">
        <x:v>5.948</x:v>
      </x:c>
      <x:c r="E2881" s="11" t="n">
        <x:v>-7.36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drop:LC1:L5:light:-1:L144</x:v>
      </x:c>
      <x:c r="B2882" s="8" t="n">
        <x:v>2</x:v>
      </x:c>
      <x:c r="C2882" s="11" t="n">
        <x:v>47.849999999999994</x:v>
      </x:c>
      <x:c r="D2882" s="11" t="n">
        <x:v>7.04</x:v>
      </x:c>
      <x:c r="E2882" s="11" t="n">
        <x:v>-7.36</x:v>
      </x:c>
      <x:c r="F2882" s="11" t="n">
        <x:f>SQRT((C2882-C2881)^2+(D2882-D2881)^2+(E2882-E2881)^2)</x:f>
        <x:v>1.0919999999999996</x:v>
      </x:c>
      <x:c r="G2882" s="8" t="str">
        <x:v>Retired</x:v>
      </x:c>
    </x:row>
    <x:row r="2883" ht="32" customHeight="1">
      <x:c r="A2883" s="8" t="str">
        <x:v>drop:LC1:L5:light:-1:L144</x:v>
      </x:c>
      <x:c r="B2883" s="8" t="n">
        <x:v>3</x:v>
      </x:c>
      <x:c r="C2883" s="11" t="n">
        <x:v>47.849999999999994</x:v>
      </x:c>
      <x:c r="D2883" s="11" t="n">
        <x:v>6.932586272843179</x:v>
      </x:c>
      <x:c r="E2883" s="11" t="n">
        <x:v>-7.438307692307693</x:v>
      </x:c>
      <x:c r="F2883" s="11" t="n">
        <x:f>SQRT((C2883-C2882)^2+(D2883-D2882)^2+(E2883-E2882)^2)</x:f>
        <x:v>0.13292781295227982</x:v>
      </x:c>
      <x:c r="G2883" s="8" t="str">
        <x:v>Retired</x:v>
      </x:c>
    </x:row>
    <x:row r="2884" ht="32" customHeight="1">
      <x:c r="A2884" s="8" t="str">
        <x:v>drop:LC1:L5:light:-1:L144</x:v>
      </x:c>
      <x:c r="B2884" s="8" t="n">
        <x:v>4</x:v>
      </x:c>
      <x:c r="C2884" s="11" t="n">
        <x:v>47.849999999999994</x:v>
      </x:c>
      <x:c r="D2884" s="11" t="n">
        <x:v>6.270864640883978</x:v>
      </x:c>
      <x:c r="E2884" s="11" t="n">
        <x:v>-10.414</x:v>
      </x:c>
      <x:c r="F2884" s="11" t="n">
        <x:f>SQRT((C2884-C2883)^2+(D2884-D2883)^2+(E2884-E2883)^2)</x:f>
        <x:v>3.048379935024818</x:v>
      </x:c>
      <x:c r="G2884" s="8" t="str">
        <x:v>Retired</x:v>
      </x:c>
    </x:row>
    <x:row r="2885" ht="32" customHeight="1">
      <x:c r="A2885" s="8" t="str">
        <x:v>drop:LC1:L5:light:-1:L144</x:v>
      </x:c>
      <x:c r="B2885" s="8" t="n">
        <x:v>5</x:v>
      </x:c>
      <x:c r="C2885" s="11" t="n">
        <x:v>47.849999999999994</x:v>
      </x:c>
      <x:c r="D2885" s="11" t="n">
        <x:v>2.6</x:v>
      </x:c>
      <x:c r="E2885" s="11" t="n">
        <x:v>-10.414</x:v>
      </x:c>
      <x:c r="F2885" s="11" t="n">
        <x:f>SQRT((C2885-C2884)^2+(D2885-D2884)^2+(E2885-E2884)^2)</x:f>
        <x:v>3.6708646408839782</x:v>
      </x:c>
      <x:c r="G2885" s="8" t="str">
        <x:v>Retired</x:v>
      </x:c>
    </x:row>
    <x:row r="2886" ht="32" customHeight="1">
      <x:c r="A2886" s="8" t="str">
        <x:v>drop:LC1:L5:light:-1:L144</x:v>
      </x:c>
      <x:c r="B2886" s="8" t="n">
        <x:v>6</x:v>
      </x:c>
      <x:c r="C2886" s="11" t="n">
        <x:v>47.849999999999994</x:v>
      </x:c>
      <x:c r="D2886" s="11" t="n">
        <x:v>2.6</x:v>
      </x:c>
      <x:c r="E2886" s="11" t="n">
        <x:v>-10.55</x:v>
      </x:c>
      <x:c r="F2886" s="11" t="n">
        <x:f>SQRT((C2886-C2885)^2+(D2886-D2885)^2+(E2886-E2885)^2)</x:f>
        <x:v>0.136000000000001</x:v>
      </x:c>
      <x:c r="G2886" s="8" t="str">
        <x:v>Retired</x:v>
      </x:c>
    </x:row>
    <x:row r="2887" ht="32" customHeight="1">
      <x:c r="A2887" s="8" t="str">
        <x:v>drop:LC1:L5:light:1:L149</x:v>
      </x:c>
      <x:c r="B2887" s="8" t="n">
        <x:v>1</x:v>
      </x:c>
      <x:c r="C2887" s="11" t="n">
        <x:v>45</x:v>
      </x:c>
      <x:c r="D2887" s="11" t="n">
        <x:v>5.948</x:v>
      </x:c>
      <x:c r="E2887" s="11" t="n">
        <x:v>7.36</x:v>
      </x:c>
      <x:c r="F2887" s="11" t="n">
        <x:f>0</x:f>
        <x:v>0</x:v>
      </x:c>
      <x:c r="G2887" s="8" t="str">
        <x:v>Retired</x:v>
      </x:c>
    </x:row>
    <x:row r="2888" ht="32" customHeight="1">
      <x:c r="A2888" s="8" t="str">
        <x:v>drop:LC1:L5:light:1:L149</x:v>
      </x:c>
      <x:c r="B2888" s="8" t="n">
        <x:v>2</x:v>
      </x:c>
      <x:c r="C2888" s="11" t="n">
        <x:v>45</x:v>
      </x:c>
      <x:c r="D2888" s="11" t="n">
        <x:v>7.04</x:v>
      </x:c>
      <x:c r="E2888" s="11" t="n">
        <x:v>7.36</x:v>
      </x:c>
      <x:c r="F2888" s="11" t="n">
        <x:f>SQRT((C2888-C2887)^2+(D2888-D2887)^2+(E2888-E2887)^2)</x:f>
        <x:v>1.0919999999999996</x:v>
      </x:c>
      <x:c r="G2888" s="8" t="str">
        <x:v>Retired</x:v>
      </x:c>
    </x:row>
    <x:row r="2889" ht="32" customHeight="1">
      <x:c r="A2889" s="8" t="str">
        <x:v>drop:LC1:L5:light:1:L149</x:v>
      </x:c>
      <x:c r="B2889" s="8" t="n">
        <x:v>3</x:v>
      </x:c>
      <x:c r="C2889" s="11" t="n">
        <x:v>45</x:v>
      </x:c>
      <x:c r="D2889" s="11" t="n">
        <x:v>6.932586272843179</x:v>
      </x:c>
      <x:c r="E2889" s="11" t="n">
        <x:v>7.438307692307693</x:v>
      </x:c>
      <x:c r="F2889" s="11" t="n">
        <x:f>SQRT((C2889-C2888)^2+(D2889-D2888)^2+(E2889-E2888)^2)</x:f>
        <x:v>0.13292781295227982</x:v>
      </x:c>
      <x:c r="G2889" s="8" t="str">
        <x:v>Retired</x:v>
      </x:c>
    </x:row>
    <x:row r="2890" ht="32" customHeight="1">
      <x:c r="A2890" s="8" t="str">
        <x:v>drop:LC1:L5:light:1:L149</x:v>
      </x:c>
      <x:c r="B2890" s="8" t="n">
        <x:v>4</x:v>
      </x:c>
      <x:c r="C2890" s="11" t="n">
        <x:v>45</x:v>
      </x:c>
      <x:c r="D2890" s="11" t="n">
        <x:v>6.270864640883978</x:v>
      </x:c>
      <x:c r="E2890" s="11" t="n">
        <x:v>10.414</x:v>
      </x:c>
      <x:c r="F2890" s="11" t="n">
        <x:f>SQRT((C2890-C2889)^2+(D2890-D2889)^2+(E2890-E2889)^2)</x:f>
        <x:v>3.048379935024818</x:v>
      </x:c>
      <x:c r="G2890" s="8" t="str">
        <x:v>Retired</x:v>
      </x:c>
    </x:row>
    <x:row r="2891" ht="32" customHeight="1">
      <x:c r="A2891" s="8" t="str">
        <x:v>drop:LC1:L5:light:1:L149</x:v>
      </x:c>
      <x:c r="B2891" s="8" t="n">
        <x:v>5</x:v>
      </x:c>
      <x:c r="C2891" s="11" t="n">
        <x:v>45</x:v>
      </x:c>
      <x:c r="D2891" s="11" t="n">
        <x:v>2.6</x:v>
      </x:c>
      <x:c r="E2891" s="11" t="n">
        <x:v>10.414</x:v>
      </x:c>
      <x:c r="F2891" s="11" t="n">
        <x:f>SQRT((C2891-C2890)^2+(D2891-D2890)^2+(E2891-E2890)^2)</x:f>
        <x:v>3.6708646408839782</x:v>
      </x:c>
      <x:c r="G2891" s="8" t="str">
        <x:v>Retired</x:v>
      </x:c>
    </x:row>
    <x:row r="2892" ht="32" customHeight="1">
      <x:c r="A2892" s="8" t="str">
        <x:v>drop:LC1:L5:light:1:L149</x:v>
      </x:c>
      <x:c r="B2892" s="8" t="n">
        <x:v>6</x:v>
      </x:c>
      <x:c r="C2892" s="11" t="n">
        <x:v>45</x:v>
      </x:c>
      <x:c r="D2892" s="11" t="n">
        <x:v>2.6</x:v>
      </x:c>
      <x:c r="E2892" s="11" t="n">
        <x:v>10.55</x:v>
      </x:c>
      <x:c r="F2892" s="11" t="n">
        <x:f>SQRT((C2892-C2891)^2+(D2892-D2891)^2+(E2892-E2891)^2)</x:f>
        <x:v>0.136000000000001</x:v>
      </x:c>
      <x:c r="G2892" s="8" t="str">
        <x:v>Retired</x:v>
      </x:c>
    </x:row>
    <x:row r="2893" ht="32" customHeight="1">
      <x:c r="A2893" s="8" t="str">
        <x:v>drop:LC1:L5:light:1:L150</x:v>
      </x:c>
      <x:c r="B2893" s="8" t="n">
        <x:v>1</x:v>
      </x:c>
      <x:c r="C2893" s="11" t="n">
        <x:v>47.849999999999994</x:v>
      </x:c>
      <x:c r="D2893" s="11" t="n">
        <x:v>5.948</x:v>
      </x:c>
      <x:c r="E2893" s="11" t="n">
        <x:v>7.36</x:v>
      </x:c>
      <x:c r="F2893" s="11" t="n">
        <x:f>0</x:f>
        <x:v>0</x:v>
      </x:c>
      <x:c r="G2893" s="8" t="str">
        <x:v>Retired</x:v>
      </x:c>
    </x:row>
    <x:row r="2894" ht="32" customHeight="1">
      <x:c r="A2894" s="8" t="str">
        <x:v>drop:LC1:L5:light:1:L150</x:v>
      </x:c>
      <x:c r="B2894" s="8" t="n">
        <x:v>2</x:v>
      </x:c>
      <x:c r="C2894" s="11" t="n">
        <x:v>47.849999999999994</x:v>
      </x:c>
      <x:c r="D2894" s="11" t="n">
        <x:v>7.04</x:v>
      </x:c>
      <x:c r="E2894" s="11" t="n">
        <x:v>7.36</x:v>
      </x:c>
      <x:c r="F2894" s="11" t="n">
        <x:f>SQRT((C2894-C2893)^2+(D2894-D2893)^2+(E2894-E2893)^2)</x:f>
        <x:v>1.0919999999999996</x:v>
      </x:c>
      <x:c r="G2894" s="8" t="str">
        <x:v>Retired</x:v>
      </x:c>
    </x:row>
    <x:row r="2895" ht="32" customHeight="1">
      <x:c r="A2895" s="8" t="str">
        <x:v>drop:LC1:L5:light:1:L150</x:v>
      </x:c>
      <x:c r="B2895" s="8" t="n">
        <x:v>3</x:v>
      </x:c>
      <x:c r="C2895" s="11" t="n">
        <x:v>47.849999999999994</x:v>
      </x:c>
      <x:c r="D2895" s="11" t="n">
        <x:v>6.932586272843179</x:v>
      </x:c>
      <x:c r="E2895" s="11" t="n">
        <x:v>7.438307692307693</x:v>
      </x:c>
      <x:c r="F2895" s="11" t="n">
        <x:f>SQRT((C2895-C2894)^2+(D2895-D2894)^2+(E2895-E2894)^2)</x:f>
        <x:v>0.13292781295227982</x:v>
      </x:c>
      <x:c r="G2895" s="8" t="str">
        <x:v>Retired</x:v>
      </x:c>
    </x:row>
    <x:row r="2896" ht="32" customHeight="1">
      <x:c r="A2896" s="8" t="str">
        <x:v>drop:LC1:L5:light:1:L150</x:v>
      </x:c>
      <x:c r="B2896" s="8" t="n">
        <x:v>4</x:v>
      </x:c>
      <x:c r="C2896" s="11" t="n">
        <x:v>47.849999999999994</x:v>
      </x:c>
      <x:c r="D2896" s="11" t="n">
        <x:v>6.270864640883978</x:v>
      </x:c>
      <x:c r="E2896" s="11" t="n">
        <x:v>10.414</x:v>
      </x:c>
      <x:c r="F2896" s="11" t="n">
        <x:f>SQRT((C2896-C2895)^2+(D2896-D2895)^2+(E2896-E2895)^2)</x:f>
        <x:v>3.048379935024818</x:v>
      </x:c>
      <x:c r="G2896" s="8" t="str">
        <x:v>Retired</x:v>
      </x:c>
    </x:row>
    <x:row r="2897" ht="32" customHeight="1">
      <x:c r="A2897" s="8" t="str">
        <x:v>drop:LC1:L5:light:1:L150</x:v>
      </x:c>
      <x:c r="B2897" s="8" t="n">
        <x:v>5</x:v>
      </x:c>
      <x:c r="C2897" s="11" t="n">
        <x:v>47.849999999999994</x:v>
      </x:c>
      <x:c r="D2897" s="11" t="n">
        <x:v>2.6</x:v>
      </x:c>
      <x:c r="E2897" s="11" t="n">
        <x:v>10.414</x:v>
      </x:c>
      <x:c r="F2897" s="11" t="n">
        <x:f>SQRT((C2897-C2896)^2+(D2897-D2896)^2+(E2897-E2896)^2)</x:f>
        <x:v>3.6708646408839782</x:v>
      </x:c>
      <x:c r="G2897" s="8" t="str">
        <x:v>Retired</x:v>
      </x:c>
    </x:row>
    <x:row r="2898" ht="32" customHeight="1">
      <x:c r="A2898" s="8" t="str">
        <x:v>drop:LC1:L5:light:1:L150</x:v>
      </x:c>
      <x:c r="B2898" s="8" t="n">
        <x:v>6</x:v>
      </x:c>
      <x:c r="C2898" s="11" t="n">
        <x:v>47.849999999999994</x:v>
      </x:c>
      <x:c r="D2898" s="11" t="n">
        <x:v>2.6</x:v>
      </x:c>
      <x:c r="E2898" s="11" t="n">
        <x:v>10.55</x:v>
      </x:c>
      <x:c r="F2898" s="11" t="n">
        <x:f>SQRT((C2898-C2897)^2+(D2898-D2897)^2+(E2898-E2897)^2)</x:f>
        <x:v>0.136000000000001</x:v>
      </x:c>
      <x:c r="G2898" s="8" t="str">
        <x:v>Retired</x:v>
      </x:c>
    </x:row>
    <x:row r="2899" ht="32" customHeight="1">
      <x:c r="A2899" s="8" t="str">
        <x:v>drop:LC1:L8:light:-1:L64</x:v>
      </x:c>
      <x:c r="B2899" s="8" t="n">
        <x:v>1</x:v>
      </x:c>
      <x:c r="C2899" s="11" t="n">
        <x:v>38.94</x:v>
      </x:c>
      <x:c r="D2899" s="11" t="n">
        <x:v>7.953150773195872</x:v>
      </x:c>
      <x:c r="E2899" s="11" t="n">
        <x:v>-7.36</x:v>
      </x:c>
      <x:c r="F2899" s="11" t="n">
        <x:f>0</x:f>
        <x:v>0</x:v>
      </x:c>
      <x:c r="G2899" s="8" t="str">
        <x:v>Retired</x:v>
      </x:c>
    </x:row>
    <x:row r="2900" ht="32" customHeight="1">
      <x:c r="A2900" s="8" t="str">
        <x:v>drop:LC1:L8:light:-1:L64</x:v>
      </x:c>
      <x:c r="B2900" s="8" t="n">
        <x:v>2</x:v>
      </x:c>
      <x:c r="C2900" s="11" t="n">
        <x:v>38.94</x:v>
      </x:c>
      <x:c r="D2900" s="11" t="n">
        <x:v>7.953150773195873</x:v>
      </x:c>
      <x:c r="E2900" s="11" t="n">
        <x:v>-8.8</x:v>
      </x:c>
      <x:c r="F2900" s="11" t="n">
        <x:f>SQRT((C2900-C2899)^2+(D2900-D2899)^2+(E2900-E2899)^2)</x:f>
        <x:v>1.4400000000000004</x:v>
      </x:c>
      <x:c r="G2900" s="8" t="str">
        <x:v>Retired</x:v>
      </x:c>
    </x:row>
    <x:row r="2901" ht="32" customHeight="1">
      <x:c r="A2901" s="8" t="str">
        <x:v>drop:LC1:L8:light:-1:L64</x:v>
      </x:c>
      <x:c r="B2901" s="8" t="n">
        <x:v>3</x:v>
      </x:c>
      <x:c r="C2901" s="11" t="n">
        <x:v>38.94</x:v>
      </x:c>
      <x:c r="D2901" s="11" t="n">
        <x:v>4.4</x:v>
      </x:c>
      <x:c r="E2901" s="11" t="n">
        <x:v>-8.8</x:v>
      </x:c>
      <x:c r="F2901" s="11" t="n">
        <x:f>SQRT((C2901-C2900)^2+(D2901-D2900)^2+(E2901-E2900)^2)</x:f>
        <x:v>3.5531507731958722</x:v>
      </x:c>
      <x:c r="G2901" s="8" t="str">
        <x:v>Retired</x:v>
      </x:c>
    </x:row>
    <x:row r="2902" ht="32" customHeight="1">
      <x:c r="A2902" s="8" t="str">
        <x:v>drop:LC1:L8:light:-1:L66</x:v>
      </x:c>
      <x:c r="B2902" s="8" t="n">
        <x:v>1</x:v>
      </x:c>
      <x:c r="C2902" s="11" t="n">
        <x:v>42.22</x:v>
      </x:c>
      <x:c r="D2902" s="11" t="n">
        <x:v>7.945096649484534</x:v>
      </x:c>
      <x:c r="E2902" s="11" t="n">
        <x:v>-7.36</x:v>
      </x:c>
      <x:c r="F2902" s="11" t="n">
        <x:f>0</x:f>
        <x:v>0</x:v>
      </x:c>
      <x:c r="G2902" s="8" t="str">
        <x:v>Retired</x:v>
      </x:c>
    </x:row>
    <x:row r="2903" ht="32" customHeight="1">
      <x:c r="A2903" s="8" t="str">
        <x:v>drop:LC1:L8:light:-1:L66</x:v>
      </x:c>
      <x:c r="B2903" s="8" t="n">
        <x:v>2</x:v>
      </x:c>
      <x:c r="C2903" s="11" t="n">
        <x:v>42.22</x:v>
      </x:c>
      <x:c r="D2903" s="11" t="n">
        <x:v>7.9450966494845385</x:v>
      </x:c>
      <x:c r="E2903" s="11" t="n">
        <x:v>-8.8</x:v>
      </x:c>
      <x:c r="F2903" s="11" t="n">
        <x:f>SQRT((C2903-C2902)^2+(D2903-D2902)^2+(E2903-E2902)^2)</x:f>
        <x:v>1.4400000000000004</x:v>
      </x:c>
      <x:c r="G2903" s="8" t="str">
        <x:v>Retired</x:v>
      </x:c>
    </x:row>
    <x:row r="2904" ht="32" customHeight="1">
      <x:c r="A2904" s="8" t="str">
        <x:v>drop:LC1:L8:light:-1:L66</x:v>
      </x:c>
      <x:c r="B2904" s="8" t="n">
        <x:v>3</x:v>
      </x:c>
      <x:c r="C2904" s="11" t="n">
        <x:v>42.22</x:v>
      </x:c>
      <x:c r="D2904" s="11" t="n">
        <x:v>4.4</x:v>
      </x:c>
      <x:c r="E2904" s="11" t="n">
        <x:v>-8.8</x:v>
      </x:c>
      <x:c r="F2904" s="11" t="n">
        <x:f>SQRT((C2904-C2903)^2+(D2904-D2903)^2+(E2904-E2903)^2)</x:f>
        <x:v>3.545096649484538</x:v>
      </x:c>
      <x:c r="G2904" s="8" t="str">
        <x:v>Retired</x:v>
      </x:c>
    </x:row>
    <x:row r="2905" ht="32" customHeight="1">
      <x:c r="A2905" s="8" t="str">
        <x:v>drop:LC1:L8:light:1:L68</x:v>
      </x:c>
      <x:c r="B2905" s="8" t="n">
        <x:v>1</x:v>
      </x:c>
      <x:c r="C2905" s="11" t="n">
        <x:v>38.94</x:v>
      </x:c>
      <x:c r="D2905" s="11" t="n">
        <x:v>7.953150773195872</x:v>
      </x:c>
      <x:c r="E2905" s="11" t="n">
        <x:v>7.36</x:v>
      </x:c>
      <x:c r="F2905" s="11" t="n">
        <x:f>0</x:f>
        <x:v>0</x:v>
      </x:c>
      <x:c r="G2905" s="8" t="str">
        <x:v>Retired</x:v>
      </x:c>
    </x:row>
    <x:row r="2906" ht="32" customHeight="1">
      <x:c r="A2906" s="8" t="str">
        <x:v>drop:LC1:L8:light:1:L68</x:v>
      </x:c>
      <x:c r="B2906" s="8" t="n">
        <x:v>2</x:v>
      </x:c>
      <x:c r="C2906" s="11" t="n">
        <x:v>38.94</x:v>
      </x:c>
      <x:c r="D2906" s="11" t="n">
        <x:v>7.953150773195873</x:v>
      </x:c>
      <x:c r="E2906" s="11" t="n">
        <x:v>8.8</x:v>
      </x:c>
      <x:c r="F2906" s="11" t="n">
        <x:f>SQRT((C2906-C2905)^2+(D2906-D2905)^2+(E2906-E2905)^2)</x:f>
        <x:v>1.4400000000000004</x:v>
      </x:c>
      <x:c r="G2906" s="8" t="str">
        <x:v>Retired</x:v>
      </x:c>
    </x:row>
    <x:row r="2907" ht="32" customHeight="1">
      <x:c r="A2907" s="8" t="str">
        <x:v>drop:LC1:L8:light:1:L68</x:v>
      </x:c>
      <x:c r="B2907" s="8" t="n">
        <x:v>3</x:v>
      </x:c>
      <x:c r="C2907" s="11" t="n">
        <x:v>38.94</x:v>
      </x:c>
      <x:c r="D2907" s="11" t="n">
        <x:v>4.4</x:v>
      </x:c>
      <x:c r="E2907" s="11" t="n">
        <x:v>8.8</x:v>
      </x:c>
      <x:c r="F2907" s="11" t="n">
        <x:f>SQRT((C2907-C2906)^2+(D2907-D2906)^2+(E2907-E2906)^2)</x:f>
        <x:v>3.5531507731958722</x:v>
      </x:c>
      <x:c r="G2907" s="8" t="str">
        <x:v>Retired</x:v>
      </x:c>
    </x:row>
    <x:row r="2908" ht="32" customHeight="1">
      <x:c r="A2908" s="8" t="str">
        <x:v>drop:LC1:L8:light:1:L70</x:v>
      </x:c>
      <x:c r="B2908" s="8" t="n">
        <x:v>1</x:v>
      </x:c>
      <x:c r="C2908" s="11" t="n">
        <x:v>42.22</x:v>
      </x:c>
      <x:c r="D2908" s="11" t="n">
        <x:v>7.945096649484534</x:v>
      </x:c>
      <x:c r="E2908" s="11" t="n">
        <x:v>7.36</x:v>
      </x:c>
      <x:c r="F2908" s="11" t="n">
        <x:f>0</x:f>
        <x:v>0</x:v>
      </x:c>
      <x:c r="G2908" s="8" t="str">
        <x:v>Retired</x:v>
      </x:c>
    </x:row>
    <x:row r="2909" ht="32" customHeight="1">
      <x:c r="A2909" s="8" t="str">
        <x:v>drop:LC1:L8:light:1:L70</x:v>
      </x:c>
      <x:c r="B2909" s="8" t="n">
        <x:v>2</x:v>
      </x:c>
      <x:c r="C2909" s="11" t="n">
        <x:v>42.22</x:v>
      </x:c>
      <x:c r="D2909" s="11" t="n">
        <x:v>7.9450966494845385</x:v>
      </x:c>
      <x:c r="E2909" s="11" t="n">
        <x:v>8.8</x:v>
      </x:c>
      <x:c r="F2909" s="11" t="n">
        <x:f>SQRT((C2909-C2908)^2+(D2909-D2908)^2+(E2909-E2908)^2)</x:f>
        <x:v>1.4400000000000004</x:v>
      </x:c>
      <x:c r="G2909" s="8" t="str">
        <x:v>Retired</x:v>
      </x:c>
    </x:row>
    <x:row r="2910" ht="32" customHeight="1">
      <x:c r="A2910" s="8" t="str">
        <x:v>drop:LC1:L8:light:1:L70</x:v>
      </x:c>
      <x:c r="B2910" s="8" t="n">
        <x:v>3</x:v>
      </x:c>
      <x:c r="C2910" s="11" t="n">
        <x:v>42.22</x:v>
      </x:c>
      <x:c r="D2910" s="11" t="n">
        <x:v>4.4</x:v>
      </x:c>
      <x:c r="E2910" s="11" t="n">
        <x:v>8.8</x:v>
      </x:c>
      <x:c r="F2910" s="11" t="n">
        <x:f>SQRT((C2910-C2909)^2+(D2910-D2909)^2+(E2910-E2909)^2)</x:f>
        <x:v>3.545096649484538</x:v>
      </x:c>
      <x:c r="G2910" s="8" t="str">
        <x:v>Retired</x:v>
      </x:c>
    </x:row>
  </x:sheetData>
  <x:conditionalFormatting sqref="G7:G291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7977fa36c6f4bdb"/>
  </x:tableParts>
</x:worksheet>
</file>