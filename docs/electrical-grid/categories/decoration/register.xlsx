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d63c40c5044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44ef7cba2144c74"/>
    <x:sheet xmlns:r="http://schemas.openxmlformats.org/officeDocument/2006/relationships" name="Equipment" sheetId="2" r:id="R9cb14d7bd3e844b5"/>
    <x:sheet xmlns:r="http://schemas.openxmlformats.org/officeDocument/2006/relationships" name="Electrical Lines" sheetId="3" r:id="R5e88782b6eb44440"/>
    <x:sheet xmlns:r="http://schemas.openxmlformats.org/officeDocument/2006/relationships" name="Route Points" sheetId="4" r:id="R234faf9287cf49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10"/>
      <x:color rgb="FF20383E"/>
      <x:name val="Arial"/>
    </x:font>
    <x:font>
      <x:b/>
      <x:sz val="16"/>
      <x:color rgb="FF173D46"/>
      <x:name val="Arial"/>
    </x:font>
    <x:font>
      <x:b/>
      <x:sz val="10"/>
      <x:color rgb="FFFFFFFF"/>
      <x:name val="Arial"/>
    </x:font>
    <x:font>
      <x:sz val="11"/>
      <x:color rgb="FF20383E"/>
      <x:name val="Arial"/>
    </x:font>
    <x:font>
      <x:b/>
      <x:sz val="11"/>
      <x:color rgb="FF20383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D46"/>
      </x:patternFill>
    </x:fill>
    <x:fill>
      <x:patternFill patternType="solid">
        <x:fgColor rgb="FFFFF2CC"/>
      </x:patternFill>
    </x:fill>
    <x:fill>
      <x:patternFill patternType="solid">
        <x:fgColor rgb="FFF1F5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4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aef6502c754e01" /><Relationship Type="http://schemas.openxmlformats.org/officeDocument/2006/relationships/theme" Target="/xl/theme/theme1.xml" Id="R0184083c48354667" /><Relationship Type="http://schemas.openxmlformats.org/officeDocument/2006/relationships/sharedStrings" Target="/xl/sharedStrings.xml" Id="R3aa45578a9254d7c" /><Relationship Type="http://schemas.openxmlformats.org/officeDocument/2006/relationships/worksheet" Target="/xl/worksheets/sheet1.xml" Id="Re44ef7cba2144c74" /><Relationship Type="http://schemas.openxmlformats.org/officeDocument/2006/relationships/worksheet" Target="/xl/worksheets/sheet2.xml" Id="R9cb14d7bd3e844b5" /><Relationship Type="http://schemas.openxmlformats.org/officeDocument/2006/relationships/worksheet" Target="/xl/worksheets/sheet3.xml" Id="R5e88782b6eb44440" /><Relationship Type="http://schemas.openxmlformats.org/officeDocument/2006/relationships/worksheet" Target="/xl/worksheets/sheet4.xml" Id="R234faf9287cf4904" /></Relationships>
</file>

<file path=xl/tables/table1.xml><?xml version="1.0" encoding="utf-8"?>
<x:table xmlns:x="http://schemas.openxmlformats.org/spreadsheetml/2006/main" id="1" name="EquipmentRegister" displayName="EquipmentRegister" ref="A6:AC43" headerRowCount="1" totalsRowCount="0" totalsRowShown="0">
  <x:tableColumns count="29">
    <x:tableColumn id="1" name="Equipment ID"/>
    <x:tableColumn id="2" name="Name"/>
    <x:tableColumn id="3" name="Category"/>
    <x:tableColumn id="4" name="Board"/>
    <x:tableColumn id="5" name="Circuit"/>
    <x:tableColumn id="6" name="X (m)"/>
    <x:tableColumn id="7" name="Y (m)"/>
    <x:tableColumn id="8" name="Z (m)"/>
    <x:tableColumn id="9" name="Mount"/>
    <x:tableColumn id="10" name="Visibility"/>
    <x:tableColumn id="11" name="Command state"/>
    <x:tableColumn id="12" name="Model envelope (mm)"/>
    <x:tableColumn id="13" name="Planning specs"/>
    <x:tableColumn id="14" name="Rated estimate (W)"/>
    <x:tableColumn id="15" name="Yaw (deg)"/>
    <x:tableColumn id="16" name="Tilt (deg)"/>
    <x:tableColumn id="17" name="Manufacturer"/>
    <x:tableColumn id="18" name="Product model"/>
    <x:tableColumn id="19" name="Approved specs"/>
    <x:tableColumn id="20" name="Datasheet / approval"/>
    <x:tableColumn id="21" name="Manual control ID"/>
    <x:tableColumn id="22" name="Control group"/>
    <x:tableColumn id="23" name="Proposed X (m)"/>
    <x:tableColumn id="24" name="Proposed Y (m)"/>
    <x:tableColumn id="25" name="Proposed Z (m)"/>
    <x:tableColumn id="26" name="Engineering notes"/>
    <x:tableColumn id="27" name="Record state"/>
    <x:tableColumn id="28" name="Route IDs"/>
    <x:tableColumn id="29" name="Model paramete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ectricalLineRegister" displayName="ElectricalLineRegister" ref="A6:Z7" headerRowCount="1" totalsRowCount="0" totalsRowShown="0">
  <x:tableColumns count="26">
    <x:tableColumn id="1" name="Route ID"/>
    <x:tableColumn id="2" name="Name"/>
    <x:tableColumn id="3" name="Source ID"/>
    <x:tableColumn id="4" name="Destination IDs"/>
    <x:tableColumn id="5" name="Board"/>
    <x:tableColumn id="6" name="Circuit"/>
    <x:tableColumn id="7" name="Kind"/>
    <x:tableColumn id="8" name="Role"/>
    <x:tableColumn id="9" name="Route length (m)"/>
    <x:tableColumn id="10" name="Upstream length (m)"/>
    <x:tableColumn id="11" name="Full home run (m)"/>
    <x:tableColumn id="12" name="Length basis"/>
    <x:tableColumn id="13" name="Allowance (m)"/>
    <x:tableColumn id="14" name="Planned length (m)"/>
    <x:tableColumn id="15" name="Planning specification"/>
    <x:tableColumn id="16" name="Installation proposal"/>
    <x:tableColumn id="17" name="Cable designation"/>
    <x:tableColumn id="18" name="Core count"/>
    <x:tableColumn id="19" name="Cross-section (mm2)"/>
    <x:tableColumn id="20" name="Containment specification"/>
    <x:tableColumn id="21" name="Manufacturer / product"/>
    <x:tableColumn id="22" name="Control / terminal reference"/>
    <x:tableColumn id="23" name="Approval reference"/>
    <x:tableColumn id="24" name="Engineering notes"/>
    <x:tableColumn id="25" name="Record state"/>
    <x:tableColumn id="26" name="Trunk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eVertexRegister" displayName="RouteVertexRegister" ref="A6:G7" headerRowCount="1" totalsRowCount="0" totalsRowShown="0">
  <x:tableColumns count="7">
    <x:tableColumn id="1" name="Route ID"/>
    <x:tableColumn id="2" name="Vertex"/>
    <x:tableColumn id="3" name="X (m)"/>
    <x:tableColumn id="4" name="Y (m)"/>
    <x:tableColumn id="5" name="Z (m)"/>
    <x:tableColumn id="6" name="Segment length (m)"/>
    <x:tableColumn id="7" name="Record 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a16ab3b5bc45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94739ecd6041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3888d6606b4e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 ht="38" customHeight="1">
      <x:c r="A1" s="18" t="str">
        <x:v>Decoration and furnishings: equipment and electrical register</x:v>
      </x:c>
      <x:c r="B1" s="16"/>
    </x:row>
    <x:row r="2" ht="34" customHeight="1">
      <x:c r="A2" s="16"/>
      <x:c r="B2" s="16"/>
    </x:row>
    <x:row r="3" ht="34" customHeight="1">
      <x:c r="A3" s="20" t="str">
        <x:v>Purpose</x:v>
      </x:c>
      <x:c r="B3" s="16" t="str">
        <x:v>Manage equipment specifications, locations, stable IDs, control mapping and electrical-line specifications against one shared layout.</x:v>
      </x:c>
    </x:row>
    <x:row r="4" ht="64" customHeight="1">
      <x:c r="A4" s="20" t="str">
        <x:v>Baseline</x:v>
      </x:c>
      <x:c r="B4" s="16" t="str">
        <x:v>Decoration and furnishings. Seasonal decorative lighting and non-electrical simulator furnishings. Model snapshot: 2026-10-24T18:15:14.532Z.</x:v>
      </x:c>
    </x:row>
    <x:row r="5" ht="34" customHeight="1">
      <x:c r="A5" s="20" t="str">
        <x:v>Current equipment</x:v>
      </x:c>
      <x:c r="B5" s="16" t="n">
        <x:f>COUNTIFS(Equipment!$AA$7:$AA$43,"Current")</x:f>
        <x:v>37</x:v>
      </x:c>
    </x:row>
    <x:row r="6" ht="34" customHeight="1">
      <x:c r="A6" s="20" t="str">
        <x:v>Current routes</x:v>
      </x:c>
      <x:c r="B6" s="16" t="n">
        <x:f>COUNTIFS('Electrical Lines'!$Y$7:$Y$7,"Current")</x:f>
        <x:v>0</x:v>
      </x:c>
    </x:row>
    <x:row r="7" ht="34" customHeight="1">
      <x:c r="A7" s="20" t="str">
        <x:v>Retired equipment / routes</x:v>
      </x:c>
      <x:c r="B7" s="16" t="n">
        <x:f>COUNTIFS(Equipment!$AA$7:$AA$43,"Retired")+COUNTIFS('Electrical Lines'!$Y$7:$Y$7,"Retired")</x:f>
        <x:v>0</x:v>
      </x:c>
    </x:row>
    <x:row r="8" ht="48" customHeight="1">
      <x:c r="A8" s="20" t="str">
        <x:v>Coordinates</x:v>
      </x:c>
      <x:c r="B8" s="16" t="str">
        <x:v>Metres: X toward sanctuary from axis 1; Y up from nave ±0.000; negative Z toward B, positive toward H.</x:v>
      </x:c>
    </x:row>
    <x:row r="9" ht="48" customHeight="1">
      <x:c r="A9" s="20" t="str">
        <x:v>Amber columns</x:v>
      </x:c>
      <x:c r="B9" s="16" t="str">
        <x:v>Editable engineering inputs. Approved products/specifications, control IDs, notes and cable allowances survive refresh by ID. Blank means pending.</x:v>
      </x:c>
    </x:row>
    <x:row r="10" ht="64" customHeight="1">
      <x:c r="A10" s="20" t="str">
        <x:v>Model columns</x:v>
      </x:c>
      <x:c r="B10" s="16" t="str">
        <x:v>Imported positions, IDs, planning specs and route vertices refresh from paired layout/systems exports. Use Proposed X/Y/Z for position revisions.</x:v>
      </x:c>
    </x:row>
    <x:row r="11" ht="64" customHeight="1">
      <x:c r="A11" s="20" t="str">
        <x:v>Position changes</x:v>
      </x:c>
      <x:c r="B11" s="16" t="str">
        <x:v>Enter all three Proposed coordinates; export a draft layout, import it in the viewer, check supports/aim/clearances, then export matching layout and systems JSON. Enclosures require a coordinated model-source change.</x:v>
      </x:c>
    </x:row>
    <x:row r="12" ht="64" customHeight="1">
      <x:c r="A12" s="20" t="str">
        <x:v>Line lengths</x:v>
      </x:c>
      <x:c r="B12" s="16" t="str">
        <x:v>Route length sums the ordered 3D segments. Full home-run length adds its upstream path once. Do not add shared bundles again; no procurement total is implied.</x:v>
      </x:c>
    </x:row>
    <x:row r="13" ht="34" customHeight="1">
      <x:c r="A13" s="20" t="str">
        <x:v>Specifications</x:v>
      </x:c>
      <x:c r="B13" s="16" t="str">
        <x:v>Catalogue values and procedural dimensions are planning proxies. Final cable type, core count, cross-section, containment and approvals remain blank until designed.</x:v>
      </x:c>
    </x:row>
    <x:row r="14" ht="44" customHeight="1">
      <x:c r="A14" s="20" t="str">
        <x:v>Source layout SHA-256</x:v>
      </x:c>
      <x:c r="B14" s="16" t="str">
        <x:v>944ecbe81a903e81a65ffa487f20c3a417603b0749843148bbf77414d42d60b4</x:v>
      </x:c>
    </x:row>
    <x:row r="15" ht="44" customHeight="1">
      <x:c r="A15" s="20" t="str">
        <x:v>Source systems SHA-256</x:v>
      </x:c>
      <x:c r="B15" s="16" t="str">
        <x:v>d50c68edff009ac84589ad37b15985dac299e304fb4daa2752ebe808d92740fd</x:v>
      </x:c>
    </x:row>
    <x:row r="16" ht="34" customHeight="1">
      <x:c r="A16" s="20" t="str">
        <x:v>Layout version</x:v>
      </x:c>
      <x:c r="B16" s="16" t="str">
        <x:v>2026-10-16-tower-board; sanctuary 2026-10-07-sanctuary-8</x:v>
      </x:c>
    </x:row>
    <x:row r="17" ht="34" customHeight="1">
      <x:c r="A17" s="20" t="str">
        <x:v>Layout source</x:v>
      </x:c>
      <x:c r="B17" s="16" t="str">
        <x:v>docs/electrical-grid/equipment-layout.json</x:v>
      </x:c>
    </x:row>
    <x:row r="18" ht="34" customHeight="1">
      <x:c r="A18" s="20" t="str">
        <x:v>Systems source</x:v>
      </x:c>
      <x:c r="B18" s="16" t="str">
        <x:v>docs/electrical-grid/electrical-systems.json</x:v>
      </x:c>
    </x:row>
    <x:row r="19" ht="64" customHeight="1">
      <x:c r="A19" s="20" t="str">
        <x:v>Viewer</x:v>
      </x:c>
      <x:c r="B19" s="16" t="str">
        <x:v>Thach_Bi_Viewer/OPEN_CHURCH.html → Simulator → Wiring. Equipment IDs and route IDs match both the 2D and 3D views.</x:v>
      </x:c>
    </x:row>
    <x:row r="20" ht="64" customHeight="1">
      <x:c r="A20" s="20" t="str">
        <x:v>Refresh</x:v>
      </x:c>
      <x:c r="B20" s="16" t="str">
        <x:v>See docs/electrical-grid/register.md. Edit amber fields in the usage-category files. Refresh preserves their values by ID, retains retired records and updates the summary report.</x:v>
      </x:c>
    </x:row>
    <x:row r="21" ht="64" customHeight="1">
      <x:c r="A21" s="20" t="str">
        <x:v>Known limits</x:v>
      </x:c>
      <x:c r="B21" s="16" t="str">
        <x:v>Physical switching channels and cable specifications are pending. Current feedback, speech clarity and other design shortfalls remain open.</x:v>
      </x:c>
    </x:row>
    <x:row r="22" ht="64" customHeight="1">
      <x:c r="A22" s="20" t="str">
        <x:v>Scope</x:v>
      </x:c>
      <x:c r="B22" s="16" t="str">
        <x:v>Seasonal decorative lighting and non-electrical simulator furnishings. Shared board sources are cross-references to the distribution-controls register; they are not duplicated here. Architectural fabric stays in the drawing specifications.</x:v>
      </x:c>
    </x:row>
    <x:row r="23" ht="64" customHeight="1">
      <x:c r="A23" s="20" t="str">
        <x:v>Release status</x:v>
      </x:c>
      <x:c r="B23" s="16" t="str">
        <x:v>Design development; not issued for purchasing, installation or construction.</x:v>
      </x:c>
    </x:row>
    <x:row r="24" ht="34" customHeight="1">
      <x:c r="A24" s="16"/>
      <x:c r="B24" s="16"/>
    </x:row>
    <x:row r="25" ht="34" customHeight="1">
      <x:c r="A25" s="16"/>
      <x:c r="B25" s="16"/>
    </x:row>
    <x:row r="26" ht="34" customHeight="1">
      <x:c r="A26" s="16"/>
      <x:c r="B26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5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6" hidden="0" customWidth="1"/>
    <x:col min="13" max="13" width="6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64" hidden="0" customWidth="1"/>
    <x:col min="20" max="20" width="45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64" hidden="0" customWidth="1"/>
    <x:col min="27" max="27" width="18" hidden="0" customWidth="1"/>
    <x:col min="28" max="28" width="58" hidden="0" customWidth="1"/>
    <x:col min="29" max="29" width="64" hidden="0" customWidth="1"/>
  </x:cols>
  <x:sheetData>
    <x:row r="1" ht="32" customHeight="1">
      <x:c r="A1" s="3" t="str">
        <x:v>Decoration and furnishings: equipment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32" customHeight="1">
      <x:c r="A3" s="2" t="str">
        <x:v>Current X/Y/Z use metres, Y up from nave datum. Use all three Proposed coordinates to prepare a layout revision.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</x:row>
    <x:row r="6" ht="44" customHeight="1">
      <x:c r="A6" s="7" t="str">
        <x:v>Equipment ID</x:v>
      </x:c>
      <x:c r="B6" s="7" t="str">
        <x:v>Name</x:v>
      </x:c>
      <x:c r="C6" s="7" t="str">
        <x:v>Category</x:v>
      </x:c>
      <x:c r="D6" s="7" t="str">
        <x:v>Board</x:v>
      </x:c>
      <x:c r="E6" s="7" t="str">
        <x:v>Circuit</x:v>
      </x:c>
      <x:c r="F6" s="7" t="str">
        <x:v>X (m)</x:v>
      </x:c>
      <x:c r="G6" s="7" t="str">
        <x:v>Y (m)</x:v>
      </x:c>
      <x:c r="H6" s="7" t="str">
        <x:v>Z (m)</x:v>
      </x:c>
      <x:c r="I6" s="7" t="str">
        <x:v>Mount</x:v>
      </x:c>
      <x:c r="J6" s="7" t="str">
        <x:v>Visibility</x:v>
      </x:c>
      <x:c r="K6" s="7" t="str">
        <x:v>Command state</x:v>
      </x:c>
      <x:c r="L6" s="7" t="str">
        <x:v>Model envelope (mm)</x:v>
      </x:c>
      <x:c r="M6" s="7" t="str">
        <x:v>Planning specs</x:v>
      </x:c>
      <x:c r="N6" s="7" t="str">
        <x:v>Rated estimate (W)</x:v>
      </x:c>
      <x:c r="O6" s="7" t="str">
        <x:v>Yaw (deg)</x:v>
      </x:c>
      <x:c r="P6" s="7" t="str">
        <x:v>Tilt (deg)</x:v>
      </x:c>
      <x:c r="Q6" s="7" t="str">
        <x:v>Manufacturer</x:v>
      </x:c>
      <x:c r="R6" s="7" t="str">
        <x:v>Product model</x:v>
      </x:c>
      <x:c r="S6" s="7" t="str">
        <x:v>Approved specs</x:v>
      </x:c>
      <x:c r="T6" s="7" t="str">
        <x:v>Datasheet / approval</x:v>
      </x:c>
      <x:c r="U6" s="7" t="str">
        <x:v>Manual control ID</x:v>
      </x:c>
      <x:c r="V6" s="7" t="str">
        <x:v>Control group</x:v>
      </x:c>
      <x:c r="W6" s="7" t="str">
        <x:v>Proposed X (m)</x:v>
      </x:c>
      <x:c r="X6" s="7" t="str">
        <x:v>Proposed Y (m)</x:v>
      </x:c>
      <x:c r="Y6" s="7" t="str">
        <x:v>Proposed Z (m)</x:v>
      </x:c>
      <x:c r="Z6" s="7" t="str">
        <x:v>Engineering notes</x:v>
      </x:c>
      <x:c r="AA6" s="7" t="str">
        <x:v>Record state</x:v>
      </x:c>
      <x:c r="AB6" s="7" t="str">
        <x:v>Route IDs</x:v>
      </x:c>
      <x:c r="AC6" s="7" t="str">
        <x:v>Model parameters</x:v>
      </x:c>
    </x:row>
    <x:row r="7" ht="96" customHeight="1">
      <x:c r="A7" s="8" t="str">
        <x:v>D293</x:v>
      </x:c>
      <x:c r="B7" s="8" t="str">
        <x:v>Statue · Our Lady</x:v>
      </x:c>
      <x:c r="C7" s="8" t="str">
        <x:v>decor</x:v>
      </x:c>
      <x:c r="D7" s="8"/>
      <x:c r="E7" s="8" t="str">
        <x:v>DECOR</x:v>
      </x:c>
      <x:c r="F7" s="11" t="n">
        <x:v>48.83</x:v>
      </x:c>
      <x:c r="G7" s="11" t="n">
        <x:v>2.85</x:v>
      </x:c>
      <x:c r="H7" s="11" t="n">
        <x:v>-5.5</x:v>
      </x:c>
      <x:c r="I7" s="8" t="str">
        <x:v>floor</x:v>
      </x:c>
      <x:c r="J7" s="8" t="str">
        <x:v>Shown</x:v>
      </x:c>
      <x:c r="K7" s="8" t="str">
        <x:v>On</x:v>
      </x:c>
      <x:c r="L7" s="8" t="str">
        <x:v>See model parameters</x:v>
      </x:c>
      <x:c r="M7" s="8" t="str">
        <x:v>Statue · Our Lady (Đức Mẹ)</x:v>
      </x:c>
      <x:c r="N7" s="11"/>
      <x:c r="O7" s="11" t="n">
        <x:v>180</x:v>
      </x:c>
      <x:c r="P7" s="11" t="n">
        <x:v>0</x:v>
      </x:c>
      <x:c r="Q7" s="9"/>
      <x:c r="R7" s="9"/>
      <x:c r="S7" s="9"/>
      <x:c r="T7" s="9"/>
      <x:c r="U7" s="9"/>
      <x:c r="V7" s="9"/>
      <x:c r="W7" s="13"/>
      <x:c r="X7" s="13"/>
      <x:c r="Y7" s="13"/>
      <x:c r="Z7" s="9"/>
      <x:c r="AA7" s="8" t="str">
        <x:v>Current</x:v>
      </x:c>
      <x:c r="AB7" s="8" t="str"/>
      <x:c r="AC7" s="8" t="str">
        <x:v>{"dim":1}</x:v>
      </x:c>
    </x:row>
    <x:row r="8" ht="96" customHeight="1">
      <x:c r="A8" s="8" t="str">
        <x:v>D294</x:v>
      </x:c>
      <x:c r="B8" s="8" t="str">
        <x:v>Statue · Saint Joseph</x:v>
      </x:c>
      <x:c r="C8" s="8" t="str">
        <x:v>decor</x:v>
      </x:c>
      <x:c r="D8" s="8"/>
      <x:c r="E8" s="8" t="str">
        <x:v>DECOR</x:v>
      </x:c>
      <x:c r="F8" s="11" t="n">
        <x:v>48.83</x:v>
      </x:c>
      <x:c r="G8" s="11" t="n">
        <x:v>2.85</x:v>
      </x:c>
      <x:c r="H8" s="11" t="n">
        <x:v>5.5</x:v>
      </x:c>
      <x:c r="I8" s="8" t="str">
        <x:v>floor</x:v>
      </x:c>
      <x:c r="J8" s="8" t="str">
        <x:v>Shown</x:v>
      </x:c>
      <x:c r="K8" s="8" t="str">
        <x:v>On</x:v>
      </x:c>
      <x:c r="L8" s="8" t="str">
        <x:v>See model parameters</x:v>
      </x:c>
      <x:c r="M8" s="8" t="str">
        <x:v>Statue · Saint Joseph</x:v>
      </x:c>
      <x:c r="N8" s="11"/>
      <x:c r="O8" s="11" t="n">
        <x:v>180</x:v>
      </x:c>
      <x:c r="P8" s="11" t="n">
        <x:v>0</x:v>
      </x:c>
      <x:c r="Q8" s="9"/>
      <x:c r="R8" s="9"/>
      <x:c r="S8" s="9"/>
      <x:c r="T8" s="9"/>
      <x:c r="U8" s="9"/>
      <x:c r="V8" s="9"/>
      <x:c r="W8" s="13"/>
      <x:c r="X8" s="13"/>
      <x:c r="Y8" s="13"/>
      <x:c r="Z8" s="9"/>
      <x:c r="AA8" s="8" t="str">
        <x:v>Current</x:v>
      </x:c>
      <x:c r="AB8" s="8" t="str"/>
      <x:c r="AC8" s="8" t="str">
        <x:v>{"dim":1}</x:v>
      </x:c>
    </x:row>
    <x:row r="9" ht="96" customHeight="1">
      <x:c r="A9" s="8" t="str">
        <x:v>D295</x:v>
      </x:c>
      <x:c r="B9" s="8" t="str">
        <x:v>Flower stand · tabernacle B</x:v>
      </x:c>
      <x:c r="C9" s="8" t="str">
        <x:v>decor</x:v>
      </x:c>
      <x:c r="D9" s="8"/>
      <x:c r="E9" s="8" t="str">
        <x:v>DECOR</x:v>
      </x:c>
      <x:c r="F9" s="11" t="n">
        <x:v>47.2</x:v>
      </x:c>
      <x:c r="G9" s="11" t="n">
        <x:v>0.8</x:v>
      </x:c>
      <x:c r="H9" s="11" t="n">
        <x:v>-1.15</x:v>
      </x:c>
      <x:c r="I9" s="8" t="str">
        <x:v>floor</x:v>
      </x:c>
      <x:c r="J9" s="8" t="str">
        <x:v>Shown</x:v>
      </x:c>
      <x:c r="K9" s="8" t="str">
        <x:v>On</x:v>
      </x:c>
      <x:c r="L9" s="8" t="str">
        <x:v>See model parameters</x:v>
      </x:c>
      <x:c r="M9" s="8" t="str">
        <x:v>Tall flower stand · white lilies</x:v>
      </x:c>
      <x:c r="N9" s="11"/>
      <x:c r="O9" s="11" t="n">
        <x:v>180</x:v>
      </x:c>
      <x:c r="P9" s="11" t="n">
        <x:v>0</x:v>
      </x:c>
      <x:c r="Q9" s="9"/>
      <x:c r="R9" s="9"/>
      <x:c r="S9" s="9"/>
      <x:c r="T9" s="9"/>
      <x:c r="U9" s="9"/>
      <x:c r="V9" s="9"/>
      <x:c r="W9" s="13"/>
      <x:c r="X9" s="13"/>
      <x:c r="Y9" s="13"/>
      <x:c r="Z9" s="9"/>
      <x:c r="AA9" s="8" t="str">
        <x:v>Current</x:v>
      </x:c>
      <x:c r="AB9" s="8" t="str"/>
      <x:c r="AC9" s="8" t="str">
        <x:v>{"dim":1}</x:v>
      </x:c>
    </x:row>
    <x:row r="10" ht="96" customHeight="1">
      <x:c r="A10" s="8" t="str">
        <x:v>D296</x:v>
      </x:c>
      <x:c r="B10" s="8" t="str">
        <x:v>Palm · sanctuary B</x:v>
      </x:c>
      <x:c r="C10" s="8" t="str">
        <x:v>decor</x:v>
      </x:c>
      <x:c r="D10" s="8"/>
      <x:c r="E10" s="8" t="str">
        <x:v>DECOR</x:v>
      </x:c>
      <x:c r="F10" s="11" t="n">
        <x:v>45.15</x:v>
      </x:c>
      <x:c r="G10" s="11" t="n">
        <x:v>0.8</x:v>
      </x:c>
      <x:c r="H10" s="11" t="n">
        <x:v>-2.9</x:v>
      </x:c>
      <x:c r="I10" s="8" t="str">
        <x:v>floor</x:v>
      </x:c>
      <x:c r="J10" s="8" t="str">
        <x:v>Shown</x:v>
      </x:c>
      <x:c r="K10" s="8" t="str">
        <x:v>On</x:v>
      </x:c>
      <x:c r="L10" s="8" t="str">
        <x:v>See model parameters</x:v>
      </x:c>
      <x:c r="M10" s="8" t="str">
        <x:v>Potted palm</x:v>
      </x:c>
      <x:c r="N10" s="11"/>
      <x:c r="O10" s="11" t="n">
        <x:v>0</x:v>
      </x:c>
      <x:c r="P10" s="11" t="n">
        <x:v>0</x:v>
      </x:c>
      <x:c r="Q10" s="9"/>
      <x:c r="R10" s="9"/>
      <x:c r="S10" s="9"/>
      <x:c r="T10" s="9"/>
      <x:c r="U10" s="9"/>
      <x:c r="V10" s="9"/>
      <x:c r="W10" s="13"/>
      <x:c r="X10" s="13"/>
      <x:c r="Y10" s="13"/>
      <x:c r="Z10" s="9"/>
      <x:c r="AA10" s="8" t="str">
        <x:v>Current</x:v>
      </x:c>
      <x:c r="AB10" s="8" t="str"/>
      <x:c r="AC10" s="8" t="str">
        <x:v>{"dim":1}</x:v>
      </x:c>
    </x:row>
    <x:row r="11" ht="96" customHeight="1">
      <x:c r="A11" s="8" t="str">
        <x:v>D297</x:v>
      </x:c>
      <x:c r="B11" s="8" t="str">
        <x:v>Shrine flowers · B · outer</x:v>
      </x:c>
      <x:c r="C11" s="8" t="str">
        <x:v>decor</x:v>
      </x:c>
      <x:c r="D11" s="8"/>
      <x:c r="E11" s="8" t="str">
        <x:v>DECOR</x:v>
      </x:c>
      <x:c r="F11" s="11" t="n">
        <x:v>48.78</x:v>
      </x:c>
      <x:c r="G11" s="11" t="n">
        <x:v>2.85</x:v>
      </x:c>
      <x:c r="H11" s="11" t="n">
        <x:v>-6.2</x:v>
      </x:c>
      <x:c r="I11" s="8" t="str">
        <x:v>floor</x:v>
      </x:c>
      <x:c r="J11" s="8" t="str">
        <x:v>Shown</x:v>
      </x:c>
      <x:c r="K11" s="8" t="str">
        <x:v>On</x:v>
      </x:c>
      <x:c r="L11" s="8" t="str">
        <x:v>See model parameters</x:v>
      </x:c>
      <x:c r="M11" s="8" t="str">
        <x:v>Low flower arrangement</x:v>
      </x:c>
      <x:c r="N11" s="11"/>
      <x:c r="O11" s="11" t="n">
        <x:v>180</x:v>
      </x:c>
      <x:c r="P11" s="11" t="n">
        <x:v>0</x:v>
      </x:c>
      <x:c r="Q11" s="9"/>
      <x:c r="R11" s="9"/>
      <x:c r="S11" s="9"/>
      <x:c r="T11" s="9"/>
      <x:c r="U11" s="9"/>
      <x:c r="V11" s="9"/>
      <x:c r="W11" s="13"/>
      <x:c r="X11" s="13"/>
      <x:c r="Y11" s="13"/>
      <x:c r="Z11" s="9"/>
      <x:c r="AA11" s="8" t="str">
        <x:v>Current</x:v>
      </x:c>
      <x:c r="AB11" s="8" t="str"/>
      <x:c r="AC11" s="8" t="str">
        <x:v>{"dim":1}</x:v>
      </x:c>
    </x:row>
    <x:row r="12" ht="96" customHeight="1">
      <x:c r="A12" s="8" t="str">
        <x:v>D298</x:v>
      </x:c>
      <x:c r="B12" s="8" t="str">
        <x:v>Shrine flowers · B · inner</x:v>
      </x:c>
      <x:c r="C12" s="8" t="str">
        <x:v>decor</x:v>
      </x:c>
      <x:c r="D12" s="8"/>
      <x:c r="E12" s="8" t="str">
        <x:v>DECOR</x:v>
      </x:c>
      <x:c r="F12" s="11" t="n">
        <x:v>48.78</x:v>
      </x:c>
      <x:c r="G12" s="11" t="n">
        <x:v>2.85</x:v>
      </x:c>
      <x:c r="H12" s="11" t="n">
        <x:v>-4.8</x:v>
      </x:c>
      <x:c r="I12" s="8" t="str">
        <x:v>floor</x:v>
      </x:c>
      <x:c r="J12" s="8" t="str">
        <x:v>Shown</x:v>
      </x:c>
      <x:c r="K12" s="8" t="str">
        <x:v>On</x:v>
      </x:c>
      <x:c r="L12" s="8" t="str">
        <x:v>See model parameters</x:v>
      </x:c>
      <x:c r="M12" s="8" t="str">
        <x:v>Low flower arrangement</x:v>
      </x:c>
      <x:c r="N12" s="11"/>
      <x:c r="O12" s="11" t="n">
        <x:v>180</x:v>
      </x:c>
      <x:c r="P12" s="11" t="n">
        <x:v>0</x:v>
      </x:c>
      <x:c r="Q12" s="9"/>
      <x:c r="R12" s="9"/>
      <x:c r="S12" s="9"/>
      <x:c r="T12" s="9"/>
      <x:c r="U12" s="9"/>
      <x:c r="V12" s="9"/>
      <x:c r="W12" s="13"/>
      <x:c r="X12" s="13"/>
      <x:c r="Y12" s="13"/>
      <x:c r="Z12" s="9"/>
      <x:c r="AA12" s="8" t="str">
        <x:v>Current</x:v>
      </x:c>
      <x:c r="AB12" s="8" t="str"/>
      <x:c r="AC12" s="8" t="str">
        <x:v>{"dim":1}</x:v>
      </x:c>
    </x:row>
    <x:row r="13" ht="96" customHeight="1">
      <x:c r="A13" s="8" t="str">
        <x:v>D299</x:v>
      </x:c>
      <x:c r="B13" s="8" t="str">
        <x:v>Palm · entrance B</x:v>
      </x:c>
      <x:c r="C13" s="8" t="str">
        <x:v>decor</x:v>
      </x:c>
      <x:c r="D13" s="8"/>
      <x:c r="E13" s="8" t="str">
        <x:v>DECOR</x:v>
      </x:c>
      <x:c r="F13" s="11" t="n">
        <x:v>6.3</x:v>
      </x:c>
      <x:c r="G13" s="11" t="n">
        <x:v>0</x:v>
      </x:c>
      <x:c r="H13" s="11" t="n">
        <x:v>-6.55</x:v>
      </x:c>
      <x:c r="I13" s="8" t="str">
        <x:v>floor</x:v>
      </x:c>
      <x:c r="J13" s="8" t="str">
        <x:v>Shown</x:v>
      </x:c>
      <x:c r="K13" s="8" t="str">
        <x:v>On</x:v>
      </x:c>
      <x:c r="L13" s="8" t="str">
        <x:v>See model parameters</x:v>
      </x:c>
      <x:c r="M13" s="8" t="str">
        <x:v>Potted palm</x:v>
      </x:c>
      <x:c r="N13" s="11"/>
      <x:c r="O13" s="11" t="n">
        <x:v>0</x:v>
      </x:c>
      <x:c r="P13" s="11" t="n">
        <x:v>0</x:v>
      </x:c>
      <x:c r="Q13" s="9"/>
      <x:c r="R13" s="9"/>
      <x:c r="S13" s="9"/>
      <x:c r="T13" s="9"/>
      <x:c r="U13" s="9"/>
      <x:c r="V13" s="9"/>
      <x:c r="W13" s="13"/>
      <x:c r="X13" s="13"/>
      <x:c r="Y13" s="13"/>
      <x:c r="Z13" s="9"/>
      <x:c r="AA13" s="8" t="str">
        <x:v>Current</x:v>
      </x:c>
      <x:c r="AB13" s="8" t="str"/>
      <x:c r="AC13" s="8" t="str">
        <x:v>{"dim":1}</x:v>
      </x:c>
    </x:row>
    <x:row r="14" ht="96" customHeight="1">
      <x:c r="A14" s="8" t="str">
        <x:v>D300</x:v>
      </x:c>
      <x:c r="B14" s="8" t="str">
        <x:v>Banner · axis 9 · B</x:v>
      </x:c>
      <x:c r="C14" s="8" t="str">
        <x:v>decor</x:v>
      </x:c>
      <x:c r="D14" s="8"/>
      <x:c r="E14" s="8" t="str">
        <x:v>DECOR</x:v>
      </x:c>
      <x:c r="F14" s="11" t="n">
        <x:v>36.660000000000004</x:v>
      </x:c>
      <x:c r="G14" s="11" t="n">
        <x:v>6.6</x:v>
      </x:c>
      <x:c r="H14" s="11" t="n">
        <x:v>-3.6</x:v>
      </x:c>
      <x:c r="I14" s="8" t="str">
        <x:v>wall</x:v>
      </x:c>
      <x:c r="J14" s="8" t="str">
        <x:v>Shown</x:v>
      </x:c>
      <x:c r="K14" s="8" t="str">
        <x:v>On</x:v>
      </x:c>
      <x:c r="L14" s="8" t="str">
        <x:v>See model parameters</x:v>
      </x:c>
      <x:c r="M14" s="8" t="str">
        <x:v>Liturgical banner</x:v>
      </x:c>
      <x:c r="N14" s="11"/>
      <x:c r="O14" s="11" t="n">
        <x:v>180</x:v>
      </x:c>
      <x:c r="P14" s="11" t="n">
        <x:v>0</x:v>
      </x:c>
      <x:c r="Q14" s="9"/>
      <x:c r="R14" s="9"/>
      <x:c r="S14" s="9"/>
      <x:c r="T14" s="9"/>
      <x:c r="U14" s="9"/>
      <x:c r="V14" s="9"/>
      <x:c r="W14" s="13"/>
      <x:c r="X14" s="13"/>
      <x:c r="Y14" s="13"/>
      <x:c r="Z14" s="9"/>
      <x:c r="AA14" s="8" t="str">
        <x:v>Current</x:v>
      </x:c>
      <x:c r="AB14" s="8" t="str"/>
      <x:c r="AC14" s="8" t="str">
        <x:v>{"colour":"fabricWhite","dim":1}</x:v>
      </x:c>
    </x:row>
    <x:row r="15" ht="96" customHeight="1">
      <x:c r="A15" s="8" t="str">
        <x:v>D301</x:v>
      </x:c>
      <x:c r="B15" s="8" t="str">
        <x:v>Flower stand · tabernacle H</x:v>
      </x:c>
      <x:c r="C15" s="8" t="str">
        <x:v>decor</x:v>
      </x:c>
      <x:c r="D15" s="8"/>
      <x:c r="E15" s="8" t="str">
        <x:v>DECOR</x:v>
      </x:c>
      <x:c r="F15" s="11" t="n">
        <x:v>47.2</x:v>
      </x:c>
      <x:c r="G15" s="11" t="n">
        <x:v>0.8</x:v>
      </x:c>
      <x:c r="H15" s="11" t="n">
        <x:v>1.15</x:v>
      </x:c>
      <x:c r="I15" s="8" t="str">
        <x:v>floor</x:v>
      </x:c>
      <x:c r="J15" s="8" t="str">
        <x:v>Shown</x:v>
      </x:c>
      <x:c r="K15" s="8" t="str">
        <x:v>On</x:v>
      </x:c>
      <x:c r="L15" s="8" t="str">
        <x:v>See model parameters</x:v>
      </x:c>
      <x:c r="M15" s="8" t="str">
        <x:v>Tall flower stand · white lilies</x:v>
      </x:c>
      <x:c r="N15" s="11"/>
      <x:c r="O15" s="11" t="n">
        <x:v>180</x:v>
      </x:c>
      <x:c r="P15" s="11" t="n">
        <x:v>0</x:v>
      </x:c>
      <x:c r="Q15" s="9"/>
      <x:c r="R15" s="9"/>
      <x:c r="S15" s="9"/>
      <x:c r="T15" s="9"/>
      <x:c r="U15" s="9"/>
      <x:c r="V15" s="9"/>
      <x:c r="W15" s="13"/>
      <x:c r="X15" s="13"/>
      <x:c r="Y15" s="13"/>
      <x:c r="Z15" s="9"/>
      <x:c r="AA15" s="8" t="str">
        <x:v>Current</x:v>
      </x:c>
      <x:c r="AB15" s="8" t="str"/>
      <x:c r="AC15" s="8" t="str">
        <x:v>{"dim":1}</x:v>
      </x:c>
    </x:row>
    <x:row r="16" ht="96" customHeight="1">
      <x:c r="A16" s="8" t="str">
        <x:v>D302</x:v>
      </x:c>
      <x:c r="B16" s="8" t="str">
        <x:v>Palm · sanctuary H</x:v>
      </x:c>
      <x:c r="C16" s="8" t="str">
        <x:v>decor</x:v>
      </x:c>
      <x:c r="D16" s="8"/>
      <x:c r="E16" s="8" t="str">
        <x:v>DECOR</x:v>
      </x:c>
      <x:c r="F16" s="11" t="n">
        <x:v>45.15</x:v>
      </x:c>
      <x:c r="G16" s="11" t="n">
        <x:v>0.8</x:v>
      </x:c>
      <x:c r="H16" s="11" t="n">
        <x:v>2.9</x:v>
      </x:c>
      <x:c r="I16" s="8" t="str">
        <x:v>floor</x:v>
      </x:c>
      <x:c r="J16" s="8" t="str">
        <x:v>Shown</x:v>
      </x:c>
      <x:c r="K16" s="8" t="str">
        <x:v>On</x:v>
      </x:c>
      <x:c r="L16" s="8" t="str">
        <x:v>See model parameters</x:v>
      </x:c>
      <x:c r="M16" s="8" t="str">
        <x:v>Potted palm</x:v>
      </x:c>
      <x:c r="N16" s="11"/>
      <x:c r="O16" s="11" t="n">
        <x:v>0</x:v>
      </x:c>
      <x:c r="P16" s="11" t="n">
        <x:v>0</x:v>
      </x:c>
      <x:c r="Q16" s="9"/>
      <x:c r="R16" s="9"/>
      <x:c r="S16" s="9"/>
      <x:c r="T16" s="9"/>
      <x:c r="U16" s="9"/>
      <x:c r="V16" s="9"/>
      <x:c r="W16" s="13"/>
      <x:c r="X16" s="13"/>
      <x:c r="Y16" s="13"/>
      <x:c r="Z16" s="9"/>
      <x:c r="AA16" s="8" t="str">
        <x:v>Current</x:v>
      </x:c>
      <x:c r="AB16" s="8" t="str"/>
      <x:c r="AC16" s="8" t="str">
        <x:v>{"dim":1}</x:v>
      </x:c>
    </x:row>
    <x:row r="17" ht="96" customHeight="1">
      <x:c r="A17" s="8" t="str">
        <x:v>D303</x:v>
      </x:c>
      <x:c r="B17" s="8" t="str">
        <x:v>Shrine flowers · H · inner</x:v>
      </x:c>
      <x:c r="C17" s="8" t="str">
        <x:v>decor</x:v>
      </x:c>
      <x:c r="D17" s="8"/>
      <x:c r="E17" s="8" t="str">
        <x:v>DECOR</x:v>
      </x:c>
      <x:c r="F17" s="11" t="n">
        <x:v>48.78</x:v>
      </x:c>
      <x:c r="G17" s="11" t="n">
        <x:v>2.85</x:v>
      </x:c>
      <x:c r="H17" s="11" t="n">
        <x:v>4.8</x:v>
      </x:c>
      <x:c r="I17" s="8" t="str">
        <x:v>floor</x:v>
      </x:c>
      <x:c r="J17" s="8" t="str">
        <x:v>Shown</x:v>
      </x:c>
      <x:c r="K17" s="8" t="str">
        <x:v>On</x:v>
      </x:c>
      <x:c r="L17" s="8" t="str">
        <x:v>See model parameters</x:v>
      </x:c>
      <x:c r="M17" s="8" t="str">
        <x:v>Low flower arrangement</x:v>
      </x:c>
      <x:c r="N17" s="11"/>
      <x:c r="O17" s="11" t="n">
        <x:v>180</x:v>
      </x:c>
      <x:c r="P17" s="11" t="n">
        <x:v>0</x:v>
      </x:c>
      <x:c r="Q17" s="9"/>
      <x:c r="R17" s="9"/>
      <x:c r="S17" s="9"/>
      <x:c r="T17" s="9"/>
      <x:c r="U17" s="9"/>
      <x:c r="V17" s="9"/>
      <x:c r="W17" s="13"/>
      <x:c r="X17" s="13"/>
      <x:c r="Y17" s="13"/>
      <x:c r="Z17" s="9"/>
      <x:c r="AA17" s="8" t="str">
        <x:v>Current</x:v>
      </x:c>
      <x:c r="AB17" s="8" t="str"/>
      <x:c r="AC17" s="8" t="str">
        <x:v>{"dim":1}</x:v>
      </x:c>
    </x:row>
    <x:row r="18" ht="96" customHeight="1">
      <x:c r="A18" s="8" t="str">
        <x:v>D304</x:v>
      </x:c>
      <x:c r="B18" s="8" t="str">
        <x:v>Shrine flowers · H · outer</x:v>
      </x:c>
      <x:c r="C18" s="8" t="str">
        <x:v>decor</x:v>
      </x:c>
      <x:c r="D18" s="8"/>
      <x:c r="E18" s="8" t="str">
        <x:v>DECOR</x:v>
      </x:c>
      <x:c r="F18" s="11" t="n">
        <x:v>48.78</x:v>
      </x:c>
      <x:c r="G18" s="11" t="n">
        <x:v>2.85</x:v>
      </x:c>
      <x:c r="H18" s="11" t="n">
        <x:v>6.2</x:v>
      </x:c>
      <x:c r="I18" s="8" t="str">
        <x:v>floor</x:v>
      </x:c>
      <x:c r="J18" s="8" t="str">
        <x:v>Shown</x:v>
      </x:c>
      <x:c r="K18" s="8" t="str">
        <x:v>On</x:v>
      </x:c>
      <x:c r="L18" s="8" t="str">
        <x:v>See model parameters</x:v>
      </x:c>
      <x:c r="M18" s="8" t="str">
        <x:v>Low flower arrangement</x:v>
      </x:c>
      <x:c r="N18" s="11"/>
      <x:c r="O18" s="11" t="n">
        <x:v>180</x:v>
      </x:c>
      <x:c r="P18" s="11" t="n">
        <x:v>0</x:v>
      </x:c>
      <x:c r="Q18" s="9"/>
      <x:c r="R18" s="9"/>
      <x:c r="S18" s="9"/>
      <x:c r="T18" s="9"/>
      <x:c r="U18" s="9"/>
      <x:c r="V18" s="9"/>
      <x:c r="W18" s="13"/>
      <x:c r="X18" s="13"/>
      <x:c r="Y18" s="13"/>
      <x:c r="Z18" s="9"/>
      <x:c r="AA18" s="8" t="str">
        <x:v>Current</x:v>
      </x:c>
      <x:c r="AB18" s="8" t="str"/>
      <x:c r="AC18" s="8" t="str">
        <x:v>{"dim":1}</x:v>
      </x:c>
    </x:row>
    <x:row r="19" ht="96" customHeight="1">
      <x:c r="A19" s="8" t="str">
        <x:v>D305</x:v>
      </x:c>
      <x:c r="B19" s="8" t="str">
        <x:v>Palm · entrance H</x:v>
      </x:c>
      <x:c r="C19" s="8" t="str">
        <x:v>decor</x:v>
      </x:c>
      <x:c r="D19" s="8"/>
      <x:c r="E19" s="8" t="str">
        <x:v>DECOR</x:v>
      </x:c>
      <x:c r="F19" s="11" t="n">
        <x:v>6.3</x:v>
      </x:c>
      <x:c r="G19" s="11" t="n">
        <x:v>0</x:v>
      </x:c>
      <x:c r="H19" s="11" t="n">
        <x:v>6.55</x:v>
      </x:c>
      <x:c r="I19" s="8" t="str">
        <x:v>floor</x:v>
      </x:c>
      <x:c r="J19" s="8" t="str">
        <x:v>Shown</x:v>
      </x:c>
      <x:c r="K19" s="8" t="str">
        <x:v>On</x:v>
      </x:c>
      <x:c r="L19" s="8" t="str">
        <x:v>See model parameters</x:v>
      </x:c>
      <x:c r="M19" s="8" t="str">
        <x:v>Potted palm</x:v>
      </x:c>
      <x:c r="N19" s="11"/>
      <x:c r="O19" s="11" t="n">
        <x:v>0</x:v>
      </x:c>
      <x:c r="P19" s="11" t="n">
        <x:v>0</x:v>
      </x:c>
      <x:c r="Q19" s="9"/>
      <x:c r="R19" s="9"/>
      <x:c r="S19" s="9"/>
      <x:c r="T19" s="9"/>
      <x:c r="U19" s="9"/>
      <x:c r="V19" s="9"/>
      <x:c r="W19" s="13"/>
      <x:c r="X19" s="13"/>
      <x:c r="Y19" s="13"/>
      <x:c r="Z19" s="9"/>
      <x:c r="AA19" s="8" t="str">
        <x:v>Current</x:v>
      </x:c>
      <x:c r="AB19" s="8" t="str"/>
      <x:c r="AC19" s="8" t="str">
        <x:v>{"dim":1}</x:v>
      </x:c>
    </x:row>
    <x:row r="20" ht="96" customHeight="1">
      <x:c r="A20" s="8" t="str">
        <x:v>D306</x:v>
      </x:c>
      <x:c r="B20" s="8" t="str">
        <x:v>Banner · axis 9 · H</x:v>
      </x:c>
      <x:c r="C20" s="8" t="str">
        <x:v>decor</x:v>
      </x:c>
      <x:c r="D20" s="8"/>
      <x:c r="E20" s="8" t="str">
        <x:v>DECOR</x:v>
      </x:c>
      <x:c r="F20" s="11" t="n">
        <x:v>36.660000000000004</x:v>
      </x:c>
      <x:c r="G20" s="11" t="n">
        <x:v>6.6</x:v>
      </x:c>
      <x:c r="H20" s="11" t="n">
        <x:v>3.6</x:v>
      </x:c>
      <x:c r="I20" s="8" t="str">
        <x:v>wall</x:v>
      </x:c>
      <x:c r="J20" s="8" t="str">
        <x:v>Shown</x:v>
      </x:c>
      <x:c r="K20" s="8" t="str">
        <x:v>On</x:v>
      </x:c>
      <x:c r="L20" s="8" t="str">
        <x:v>See model parameters</x:v>
      </x:c>
      <x:c r="M20" s="8" t="str">
        <x:v>Liturgical banner</x:v>
      </x:c>
      <x:c r="N20" s="11"/>
      <x:c r="O20" s="11" t="n">
        <x:v>180</x:v>
      </x:c>
      <x:c r="P20" s="11" t="n">
        <x:v>0</x:v>
      </x:c>
      <x:c r="Q20" s="9"/>
      <x:c r="R20" s="9"/>
      <x:c r="S20" s="9"/>
      <x:c r="T20" s="9"/>
      <x:c r="U20" s="9"/>
      <x:c r="V20" s="9"/>
      <x:c r="W20" s="13"/>
      <x:c r="X20" s="13"/>
      <x:c r="Y20" s="13"/>
      <x:c r="Z20" s="9"/>
      <x:c r="AA20" s="8" t="str">
        <x:v>Current</x:v>
      </x:c>
      <x:c r="AB20" s="8" t="str"/>
      <x:c r="AC20" s="8" t="str">
        <x:v>{"colour":"fabricWhite","dim":1}</x:v>
      </x:c>
    </x:row>
    <x:row r="21" ht="96" customHeight="1">
      <x:c r="A21" s="8" t="str">
        <x:v>D307</x:v>
      </x:c>
      <x:c r="B21" s="8" t="str">
        <x:v>Paschal candle</x:v>
      </x:c>
      <x:c r="C21" s="8" t="str">
        <x:v>decor</x:v>
      </x:c>
      <x:c r="D21" s="8"/>
      <x:c r="E21" s="8" t="str">
        <x:v>DECOR</x:v>
      </x:c>
      <x:c r="F21" s="11" t="n">
        <x:v>40.769999999999996</x:v>
      </x:c>
      <x:c r="G21" s="11" t="n">
        <x:v>0.8</x:v>
      </x:c>
      <x:c r="H21" s="11" t="n">
        <x:v>-1.55</x:v>
      </x:c>
      <x:c r="I21" s="8" t="str">
        <x:v>floor</x:v>
      </x:c>
      <x:c r="J21" s="8" t="str">
        <x:v>Shown</x:v>
      </x:c>
      <x:c r="K21" s="8" t="str">
        <x:v>On</x:v>
      </x:c>
      <x:c r="L21" s="8" t="str">
        <x:v>See model parameters</x:v>
      </x:c>
      <x:c r="M21" s="8" t="str">
        <x:v>Paschal candle</x:v>
      </x:c>
      <x:c r="N21" s="11"/>
      <x:c r="O21" s="11" t="n">
        <x:v>180</x:v>
      </x:c>
      <x:c r="P21" s="11" t="n">
        <x:v>0</x:v>
      </x:c>
      <x:c r="Q21" s="9"/>
      <x:c r="R21" s="9"/>
      <x:c r="S21" s="9"/>
      <x:c r="T21" s="9"/>
      <x:c r="U21" s="9"/>
      <x:c r="V21" s="9"/>
      <x:c r="W21" s="13"/>
      <x:c r="X21" s="13"/>
      <x:c r="Y21" s="13"/>
      <x:c r="Z21" s="9"/>
      <x:c r="AA21" s="8" t="str">
        <x:v>Current</x:v>
      </x:c>
      <x:c r="AB21" s="8" t="str"/>
      <x:c r="AC21" s="8" t="str">
        <x:v>{"dim":1}</x:v>
      </x:c>
    </x:row>
    <x:row r="22" ht="96" customHeight="1">
      <x:c r="A22" s="8" t="str">
        <x:v>D308</x:v>
      </x:c>
      <x:c r="B22" s="8" t="str">
        <x:v>Aisle carpet (weddings &amp; feasts)</x:v>
      </x:c>
      <x:c r="C22" s="8" t="str">
        <x:v>decor</x:v>
      </x:c>
      <x:c r="D22" s="8"/>
      <x:c r="E22" s="8" t="str">
        <x:v>DECOR</x:v>
      </x:c>
      <x:c r="F22" s="11" t="n">
        <x:v>6.2</x:v>
      </x:c>
      <x:c r="G22" s="11" t="n">
        <x:v>0</x:v>
      </x:c>
      <x:c r="H22" s="11" t="n">
        <x:v>0</x:v>
      </x:c>
      <x:c r="I22" s="8" t="str">
        <x:v>floor</x:v>
      </x:c>
      <x:c r="J22" s="8" t="str">
        <x:v>Hidden alternative</x:v>
      </x:c>
      <x:c r="K22" s="8" t="str">
        <x:v>On</x:v>
      </x:c>
      <x:c r="L22" s="8" t="str">
        <x:v>See model parameters</x:v>
      </x:c>
      <x:c r="M22" s="8" t="str">
        <x:v>Aisle carpet runner</x:v>
      </x:c>
      <x:c r="N22" s="11"/>
      <x:c r="O22" s="11" t="n">
        <x:v>0</x:v>
      </x:c>
      <x:c r="P22" s="11" t="n">
        <x:v>0</x:v>
      </x:c>
      <x:c r="Q22" s="9"/>
      <x:c r="R22" s="9"/>
      <x:c r="S22" s="9"/>
      <x:c r="T22" s="9"/>
      <x:c r="U22" s="9"/>
      <x:c r="V22" s="9"/>
      <x:c r="W22" s="13"/>
      <x:c r="X22" s="13"/>
      <x:c r="Y22" s="13"/>
      <x:c r="Z22" s="9"/>
      <x:c r="AA22" s="8" t="str">
        <x:v>Current</x:v>
      </x:c>
      <x:c r="AB22" s="8" t="str"/>
      <x:c r="AC22" s="8" t="str">
        <x:v>{"length":32,"dim":1}</x:v>
      </x:c>
    </x:row>
    <x:row r="23" ht="96" customHeight="1">
      <x:c r="A23" s="8" t="str">
        <x:v>D309</x:v>
      </x:c>
      <x:c r="B23" s="8" t="str">
        <x:v>Christmas tree · front stage</x:v>
      </x:c>
      <x:c r="C23" s="8" t="str">
        <x:v>decor</x:v>
      </x:c>
      <x:c r="D23" s="8" t="str">
        <x:v>DB1</x:v>
      </x:c>
      <x:c r="E23" s="8" t="str">
        <x:v>X1</x:v>
      </x:c>
      <x:c r="F23" s="11" t="n">
        <x:v>-4.2</x:v>
      </x:c>
      <x:c r="G23" s="11" t="n">
        <x:v>-0.48</x:v>
      </x:c>
      <x:c r="H23" s="11" t="n">
        <x:v>-5.6</x:v>
      </x:c>
      <x:c r="I23" s="8" t="str">
        <x:v>floor</x:v>
      </x:c>
      <x:c r="J23" s="8" t="str">
        <x:v>Hidden alternative</x:v>
      </x:c>
      <x:c r="K23" s="8" t="str">
        <x:v>Off</x:v>
      </x:c>
      <x:c r="L23" s="8" t="str">
        <x:v>1871 × 3350 × 1900</x:v>
      </x:c>
      <x:c r="M23" s="8" t="str">
        <x:v>350 lm · 2400 K</x:v>
      </x:c>
      <x:c r="N23" s="11" t="n">
        <x:v>0</x:v>
      </x:c>
      <x:c r="O23" s="11" t="n">
        <x:v>180</x:v>
      </x:c>
      <x:c r="P23" s="11" t="n">
        <x:v>0</x:v>
      </x:c>
      <x:c r="Q23" s="9"/>
      <x:c r="R23" s="9"/>
      <x:c r="S23" s="9"/>
      <x:c r="T23" s="9"/>
      <x:c r="U23" s="9"/>
      <x:c r="V23" s="9"/>
      <x:c r="W23" s="13"/>
      <x:c r="X23" s="13"/>
      <x:c r="Y23" s="13"/>
      <x:c r="Z23" s="9"/>
      <x:c r="AA23" s="8" t="str">
        <x:v>Current</x:v>
      </x:c>
      <x:c r="AB23" s="8" t="str"/>
      <x:c r="AC23" s="8" t="str">
        <x:v>{"dim":1}</x:v>
      </x:c>
    </x:row>
    <x:row r="24" ht="96" customHeight="1">
      <x:c r="A24" s="8" t="str">
        <x:v>D310</x:v>
      </x:c>
      <x:c r="B24" s="8" t="str">
        <x:v>Nativity grotto (hang đá) · front stage</x:v>
      </x:c>
      <x:c r="C24" s="8" t="str">
        <x:v>decor</x:v>
      </x:c>
      <x:c r="D24" s="8" t="str">
        <x:v>DB1</x:v>
      </x:c>
      <x:c r="E24" s="8" t="str">
        <x:v>X1</x:v>
      </x:c>
      <x:c r="F24" s="11" t="n">
        <x:v>-4.2</x:v>
      </x:c>
      <x:c r="G24" s="11" t="n">
        <x:v>-0.48</x:v>
      </x:c>
      <x:c r="H24" s="11" t="n">
        <x:v>5.6</x:v>
      </x:c>
      <x:c r="I24" s="8" t="str">
        <x:v>floor</x:v>
      </x:c>
      <x:c r="J24" s="8" t="str">
        <x:v>Hidden alternative</x:v>
      </x:c>
      <x:c r="K24" s="8" t="str">
        <x:v>Off</x:v>
      </x:c>
      <x:c r="L24" s="8" t="str">
        <x:v>2005 × 2858 × 3347</x:v>
      </x:c>
      <x:c r="M24" s="8" t="str">
        <x:v>400 lm · 3000 K</x:v>
      </x:c>
      <x:c r="N24" s="11" t="n">
        <x:v>0</x:v>
      </x:c>
      <x:c r="O24" s="11" t="n">
        <x:v>180</x:v>
      </x:c>
      <x:c r="P24" s="11" t="n">
        <x:v>0</x:v>
      </x:c>
      <x:c r="Q24" s="9"/>
      <x:c r="R24" s="9"/>
      <x:c r="S24" s="9"/>
      <x:c r="T24" s="9"/>
      <x:c r="U24" s="9"/>
      <x:c r="V24" s="9"/>
      <x:c r="W24" s="13"/>
      <x:c r="X24" s="13"/>
      <x:c r="Y24" s="13"/>
      <x:c r="Z24" s="9"/>
      <x:c r="AA24" s="8" t="str">
        <x:v>Current</x:v>
      </x:c>
      <x:c r="AB24" s="8" t="str"/>
      <x:c r="AC24" s="8" t="str">
        <x:v>{"dim":1}</x:v>
      </x:c>
    </x:row>
    <x:row r="25" ht="96" customHeight="1">
      <x:c r="A25" s="8" t="str">
        <x:v>D311</x:v>
      </x:c>
      <x:c r="B25" s="8" t="str">
        <x:v>Star over the crossing</x:v>
      </x:c>
      <x:c r="C25" s="8" t="str">
        <x:v>decor</x:v>
      </x:c>
      <x:c r="D25" s="8" t="str">
        <x:v>DB1</x:v>
      </x:c>
      <x:c r="E25" s="8" t="str">
        <x:v>X1</x:v>
      </x:c>
      <x:c r="F25" s="11" t="n">
        <x:v>40.575</x:v>
      </x:c>
      <x:c r="G25" s="11" t="n">
        <x:v>9.4</x:v>
      </x:c>
      <x:c r="H25" s="11" t="n">
        <x:v>0</x:v>
      </x:c>
      <x:c r="I25" s="8" t="str">
        <x:v>pendant</x:v>
      </x:c>
      <x:c r="J25" s="8" t="str">
        <x:v>Hidden alternative</x:v>
      </x:c>
      <x:c r="K25" s="8" t="str">
        <x:v>Off</x:v>
      </x:c>
      <x:c r="L25" s="8" t="str">
        <x:v>60 × 1595 × 1046</x:v>
      </x:c>
      <x:c r="M25" s="8" t="str">
        <x:v>500 lm · 5000 K</x:v>
      </x:c>
      <x:c r="N25" s="11" t="n">
        <x:v>0</x:v>
      </x:c>
      <x:c r="O25" s="11" t="n">
        <x:v>90</x:v>
      </x:c>
      <x:c r="P25" s="11" t="n">
        <x:v>0</x:v>
      </x:c>
      <x:c r="Q25" s="9"/>
      <x:c r="R25" s="9"/>
      <x:c r="S25" s="9"/>
      <x:c r="T25" s="9"/>
      <x:c r="U25" s="9"/>
      <x:c r="V25" s="9"/>
      <x:c r="W25" s="13"/>
      <x:c r="X25" s="13"/>
      <x:c r="Y25" s="13"/>
      <x:c r="Z25" s="9"/>
      <x:c r="AA25" s="8" t="str">
        <x:v>Current</x:v>
      </x:c>
      <x:c r="AB25" s="8" t="str"/>
      <x:c r="AC25" s="8" t="str">
        <x:v>{"dim":1,"anchorY":12.152}</x:v>
      </x:c>
    </x:row>
    <x:row r="26" ht="96" customHeight="1">
      <x:c r="A26" s="8" t="str">
        <x:v>D312</x:v>
      </x:c>
      <x:c r="B26" s="8" t="str">
        <x:v>Red lanterns · veranda B · bay 4–5</x:v>
      </x:c>
      <x:c r="C26" s="8" t="str">
        <x:v>decor</x:v>
      </x:c>
      <x:c r="D26" s="8" t="str">
        <x:v>DB1</x:v>
      </x:c>
      <x:c r="E26" s="8" t="str">
        <x:v>X1</x:v>
      </x:c>
      <x:c r="F26" s="11" t="n">
        <x:v>16.725</x:v>
      </x:c>
      <x:c r="G26" s="11" t="n">
        <x:v>5.6</x:v>
      </x:c>
      <x:c r="H26" s="11" t="n">
        <x:v>-8.85</x:v>
      </x:c>
      <x:c r="I26" s="8" t="str">
        <x:v>pendant</x:v>
      </x:c>
      <x:c r="J26" s="8" t="str">
        <x:v>Hidden alternative</x:v>
      </x:c>
      <x:c r="K26" s="8" t="str">
        <x:v>Off</x:v>
      </x:c>
      <x:c r="L26" s="8" t="str">
        <x:v>320 × 1043 × 3405</x:v>
      </x:c>
      <x:c r="M26" s="8" t="str">
        <x:v>240 lm · 2200 K · 3.4 m strand</x:v>
      </x:c>
      <x:c r="N26" s="11" t="n">
        <x:v>0</x:v>
      </x:c>
      <x:c r="O26" s="11" t="n">
        <x:v>90</x:v>
      </x:c>
      <x:c r="P26" s="11" t="n">
        <x:v>0</x:v>
      </x:c>
      <x:c r="Q26" s="9"/>
      <x:c r="R26" s="9"/>
      <x:c r="S26" s="9"/>
      <x:c r="T26" s="9"/>
      <x:c r="U26" s="9"/>
      <x:c r="V26" s="9"/>
      <x:c r="W26" s="13"/>
      <x:c r="X26" s="13"/>
      <x:c r="Y26" s="13"/>
      <x:c r="Z26" s="9"/>
      <x:c r="AA26" s="8" t="str">
        <x:v>Current</x:v>
      </x:c>
      <x:c r="AB26" s="8" t="str"/>
      <x:c r="AC26" s="8" t="str">
        <x:v>{"length":3.4,"dim":1,"anchorY":6.638660220994475}</x:v>
      </x:c>
    </x:row>
    <x:row r="27" ht="96" customHeight="1">
      <x:c r="A27" s="8" t="str">
        <x:v>D313</x:v>
      </x:c>
      <x:c r="B27" s="8" t="str">
        <x:v>Red lanterns · veranda H · bay 4–5</x:v>
      </x:c>
      <x:c r="C27" s="8" t="str">
        <x:v>decor</x:v>
      </x:c>
      <x:c r="D27" s="8" t="str">
        <x:v>DB1</x:v>
      </x:c>
      <x:c r="E27" s="8" t="str">
        <x:v>X1</x:v>
      </x:c>
      <x:c r="F27" s="11" t="n">
        <x:v>16.725</x:v>
      </x:c>
      <x:c r="G27" s="11" t="n">
        <x:v>5.6</x:v>
      </x:c>
      <x:c r="H27" s="11" t="n">
        <x:v>8.85</x:v>
      </x:c>
      <x:c r="I27" s="8" t="str">
        <x:v>pendant</x:v>
      </x:c>
      <x:c r="J27" s="8" t="str">
        <x:v>Hidden alternative</x:v>
      </x:c>
      <x:c r="K27" s="8" t="str">
        <x:v>Off</x:v>
      </x:c>
      <x:c r="L27" s="8" t="str">
        <x:v>320 × 1043 × 3405</x:v>
      </x:c>
      <x:c r="M27" s="8" t="str">
        <x:v>240 lm · 2200 K · 3.4 m strand</x:v>
      </x:c>
      <x:c r="N27" s="11" t="n">
        <x:v>0</x:v>
      </x:c>
      <x:c r="O27" s="11" t="n">
        <x:v>90</x:v>
      </x:c>
      <x:c r="P27" s="11" t="n">
        <x:v>0</x:v>
      </x:c>
      <x:c r="Q27" s="9"/>
      <x:c r="R27" s="9"/>
      <x:c r="S27" s="9"/>
      <x:c r="T27" s="9"/>
      <x:c r="U27" s="9"/>
      <x:c r="V27" s="9"/>
      <x:c r="W27" s="13"/>
      <x:c r="X27" s="13"/>
      <x:c r="Y27" s="13"/>
      <x:c r="Z27" s="9"/>
      <x:c r="AA27" s="8" t="str">
        <x:v>Current</x:v>
      </x:c>
      <x:c r="AB27" s="8" t="str"/>
      <x:c r="AC27" s="8" t="str">
        <x:v>{"length":3.4,"dim":1,"anchorY":6.638660220994475}</x:v>
      </x:c>
    </x:row>
    <x:row r="28" ht="96" customHeight="1">
      <x:c r="A28" s="8" t="str">
        <x:v>D314</x:v>
      </x:c>
      <x:c r="B28" s="8" t="str">
        <x:v>Red lanterns · veranda B · bay 5–6</x:v>
      </x:c>
      <x:c r="C28" s="8" t="str">
        <x:v>decor</x:v>
      </x:c>
      <x:c r="D28" s="8" t="str">
        <x:v>DB1</x:v>
      </x:c>
      <x:c r="E28" s="8" t="str">
        <x:v>X1</x:v>
      </x:c>
      <x:c r="F28" s="11" t="n">
        <x:v>21.225</x:v>
      </x:c>
      <x:c r="G28" s="11" t="n">
        <x:v>5.6</x:v>
      </x:c>
      <x:c r="H28" s="11" t="n">
        <x:v>-8.85</x:v>
      </x:c>
      <x:c r="I28" s="8" t="str">
        <x:v>pendant</x:v>
      </x:c>
      <x:c r="J28" s="8" t="str">
        <x:v>Hidden alternative</x:v>
      </x:c>
      <x:c r="K28" s="8" t="str">
        <x:v>Off</x:v>
      </x:c>
      <x:c r="L28" s="8" t="str">
        <x:v>320 × 1043 × 3405</x:v>
      </x:c>
      <x:c r="M28" s="8" t="str">
        <x:v>240 lm · 2200 K · 3.4 m strand</x:v>
      </x:c>
      <x:c r="N28" s="11" t="n">
        <x:v>0</x:v>
      </x:c>
      <x:c r="O28" s="11" t="n">
        <x:v>90</x:v>
      </x:c>
      <x:c r="P28" s="11" t="n">
        <x:v>0</x:v>
      </x:c>
      <x:c r="Q28" s="9"/>
      <x:c r="R28" s="9"/>
      <x:c r="S28" s="9"/>
      <x:c r="T28" s="9"/>
      <x:c r="U28" s="9"/>
      <x:c r="V28" s="9"/>
      <x:c r="W28" s="13"/>
      <x:c r="X28" s="13"/>
      <x:c r="Y28" s="13"/>
      <x:c r="Z28" s="9"/>
      <x:c r="AA28" s="8" t="str">
        <x:v>Current</x:v>
      </x:c>
      <x:c r="AB28" s="8" t="str"/>
      <x:c r="AC28" s="8" t="str">
        <x:v>{"length":3.4,"dim":1,"anchorY":6.638660220994475}</x:v>
      </x:c>
    </x:row>
    <x:row r="29" ht="96" customHeight="1">
      <x:c r="A29" s="8" t="str">
        <x:v>D315</x:v>
      </x:c>
      <x:c r="B29" s="8" t="str">
        <x:v>Red lanterns · veranda H · bay 5–6</x:v>
      </x:c>
      <x:c r="C29" s="8" t="str">
        <x:v>decor</x:v>
      </x:c>
      <x:c r="D29" s="8" t="str">
        <x:v>DB1</x:v>
      </x:c>
      <x:c r="E29" s="8" t="str">
        <x:v>X1</x:v>
      </x:c>
      <x:c r="F29" s="11" t="n">
        <x:v>21.225</x:v>
      </x:c>
      <x:c r="G29" s="11" t="n">
        <x:v>5.6</x:v>
      </x:c>
      <x:c r="H29" s="11" t="n">
        <x:v>8.85</x:v>
      </x:c>
      <x:c r="I29" s="8" t="str">
        <x:v>pendant</x:v>
      </x:c>
      <x:c r="J29" s="8" t="str">
        <x:v>Hidden alternative</x:v>
      </x:c>
      <x:c r="K29" s="8" t="str">
        <x:v>Off</x:v>
      </x:c>
      <x:c r="L29" s="8" t="str">
        <x:v>320 × 1043 × 3405</x:v>
      </x:c>
      <x:c r="M29" s="8" t="str">
        <x:v>240 lm · 2200 K · 3.4 m strand</x:v>
      </x:c>
      <x:c r="N29" s="11" t="n">
        <x:v>0</x:v>
      </x:c>
      <x:c r="O29" s="11" t="n">
        <x:v>90</x:v>
      </x:c>
      <x:c r="P29" s="11" t="n">
        <x:v>0</x:v>
      </x:c>
      <x:c r="Q29" s="9"/>
      <x:c r="R29" s="9"/>
      <x:c r="S29" s="9"/>
      <x:c r="T29" s="9"/>
      <x:c r="U29" s="9"/>
      <x:c r="V29" s="9"/>
      <x:c r="W29" s="13"/>
      <x:c r="X29" s="13"/>
      <x:c r="Y29" s="13"/>
      <x:c r="Z29" s="9"/>
      <x:c r="AA29" s="8" t="str">
        <x:v>Current</x:v>
      </x:c>
      <x:c r="AB29" s="8" t="str"/>
      <x:c r="AC29" s="8" t="str">
        <x:v>{"length":3.4,"dim":1,"anchorY":6.638660220994475}</x:v>
      </x:c>
    </x:row>
    <x:row r="30" ht="96" customHeight="1">
      <x:c r="A30" s="8" t="str">
        <x:v>D316</x:v>
      </x:c>
      <x:c r="B30" s="8" t="str">
        <x:v>Red lanterns · veranda B · bay 7–8</x:v>
      </x:c>
      <x:c r="C30" s="8" t="str">
        <x:v>decor</x:v>
      </x:c>
      <x:c r="D30" s="8" t="str">
        <x:v>DB1</x:v>
      </x:c>
      <x:c r="E30" s="8" t="str">
        <x:v>X1</x:v>
      </x:c>
      <x:c r="F30" s="11" t="n">
        <x:v>30.225</x:v>
      </x:c>
      <x:c r="G30" s="11" t="n">
        <x:v>5.6</x:v>
      </x:c>
      <x:c r="H30" s="11" t="n">
        <x:v>-8.85</x:v>
      </x:c>
      <x:c r="I30" s="8" t="str">
        <x:v>pendant</x:v>
      </x:c>
      <x:c r="J30" s="8" t="str">
        <x:v>Hidden alternative</x:v>
      </x:c>
      <x:c r="K30" s="8" t="str">
        <x:v>Off</x:v>
      </x:c>
      <x:c r="L30" s="8" t="str">
        <x:v>320 × 1043 × 3405</x:v>
      </x:c>
      <x:c r="M30" s="8" t="str">
        <x:v>240 lm · 2200 K · 3.4 m strand</x:v>
      </x:c>
      <x:c r="N30" s="11" t="n">
        <x:v>0</x:v>
      </x:c>
      <x:c r="O30" s="11" t="n">
        <x:v>90</x:v>
      </x:c>
      <x:c r="P30" s="11" t="n">
        <x:v>0</x:v>
      </x:c>
      <x:c r="Q30" s="9"/>
      <x:c r="R30" s="9"/>
      <x:c r="S30" s="9"/>
      <x:c r="T30" s="9"/>
      <x:c r="U30" s="9"/>
      <x:c r="V30" s="9"/>
      <x:c r="W30" s="13"/>
      <x:c r="X30" s="13"/>
      <x:c r="Y30" s="13"/>
      <x:c r="Z30" s="9"/>
      <x:c r="AA30" s="8" t="str">
        <x:v>Current</x:v>
      </x:c>
      <x:c r="AB30" s="8" t="str"/>
      <x:c r="AC30" s="8" t="str">
        <x:v>{"length":3.4,"dim":1,"anchorY":6.638660220994475}</x:v>
      </x:c>
    </x:row>
    <x:row r="31" ht="96" customHeight="1">
      <x:c r="A31" s="8" t="str">
        <x:v>D317</x:v>
      </x:c>
      <x:c r="B31" s="8" t="str">
        <x:v>Red lanterns · veranda H · bay 7–8</x:v>
      </x:c>
      <x:c r="C31" s="8" t="str">
        <x:v>decor</x:v>
      </x:c>
      <x:c r="D31" s="8" t="str">
        <x:v>DB1</x:v>
      </x:c>
      <x:c r="E31" s="8" t="str">
        <x:v>X1</x:v>
      </x:c>
      <x:c r="F31" s="11" t="n">
        <x:v>30.225</x:v>
      </x:c>
      <x:c r="G31" s="11" t="n">
        <x:v>5.6</x:v>
      </x:c>
      <x:c r="H31" s="11" t="n">
        <x:v>8.85</x:v>
      </x:c>
      <x:c r="I31" s="8" t="str">
        <x:v>pendant</x:v>
      </x:c>
      <x:c r="J31" s="8" t="str">
        <x:v>Hidden alternative</x:v>
      </x:c>
      <x:c r="K31" s="8" t="str">
        <x:v>Off</x:v>
      </x:c>
      <x:c r="L31" s="8" t="str">
        <x:v>320 × 1043 × 3405</x:v>
      </x:c>
      <x:c r="M31" s="8" t="str">
        <x:v>240 lm · 2200 K · 3.4 m strand</x:v>
      </x:c>
      <x:c r="N31" s="11" t="n">
        <x:v>0</x:v>
      </x:c>
      <x:c r="O31" s="11" t="n">
        <x:v>90</x:v>
      </x:c>
      <x:c r="P31" s="11" t="n">
        <x:v>0</x:v>
      </x:c>
      <x:c r="Q31" s="9"/>
      <x:c r="R31" s="9"/>
      <x:c r="S31" s="9"/>
      <x:c r="T31" s="9"/>
      <x:c r="U31" s="9"/>
      <x:c r="V31" s="9"/>
      <x:c r="W31" s="13"/>
      <x:c r="X31" s="13"/>
      <x:c r="Y31" s="13"/>
      <x:c r="Z31" s="9"/>
      <x:c r="AA31" s="8" t="str">
        <x:v>Current</x:v>
      </x:c>
      <x:c r="AB31" s="8" t="str"/>
      <x:c r="AC31" s="8" t="str">
        <x:v>{"length":3.4,"dim":1,"anchorY":6.638660220994475}</x:v>
      </x:c>
    </x:row>
    <x:row r="32" ht="96" customHeight="1">
      <x:c r="A32" s="8" t="str">
        <x:v>D318</x:v>
      </x:c>
      <x:c r="B32" s="8" t="str">
        <x:v>Red lanterns · veranda B · bay 8–9</x:v>
      </x:c>
      <x:c r="C32" s="8" t="str">
        <x:v>decor</x:v>
      </x:c>
      <x:c r="D32" s="8" t="str">
        <x:v>DB1</x:v>
      </x:c>
      <x:c r="E32" s="8" t="str">
        <x:v>X1</x:v>
      </x:c>
      <x:c r="F32" s="11" t="n">
        <x:v>34.725</x:v>
      </x:c>
      <x:c r="G32" s="11" t="n">
        <x:v>5.6</x:v>
      </x:c>
      <x:c r="H32" s="11" t="n">
        <x:v>-8.85</x:v>
      </x:c>
      <x:c r="I32" s="8" t="str">
        <x:v>pendant</x:v>
      </x:c>
      <x:c r="J32" s="8" t="str">
        <x:v>Hidden alternative</x:v>
      </x:c>
      <x:c r="K32" s="8" t="str">
        <x:v>Off</x:v>
      </x:c>
      <x:c r="L32" s="8" t="str">
        <x:v>320 × 1043 × 3405</x:v>
      </x:c>
      <x:c r="M32" s="8" t="str">
        <x:v>240 lm · 2200 K · 3.4 m strand</x:v>
      </x:c>
      <x:c r="N32" s="11" t="n">
        <x:v>0</x:v>
      </x:c>
      <x:c r="O32" s="11" t="n">
        <x:v>90</x:v>
      </x:c>
      <x:c r="P32" s="11" t="n">
        <x:v>0</x:v>
      </x:c>
      <x:c r="Q32" s="9"/>
      <x:c r="R32" s="9"/>
      <x:c r="S32" s="9"/>
      <x:c r="T32" s="9"/>
      <x:c r="U32" s="9"/>
      <x:c r="V32" s="9"/>
      <x:c r="W32" s="13"/>
      <x:c r="X32" s="13"/>
      <x:c r="Y32" s="13"/>
      <x:c r="Z32" s="9"/>
      <x:c r="AA32" s="8" t="str">
        <x:v>Current</x:v>
      </x:c>
      <x:c r="AB32" s="8" t="str"/>
      <x:c r="AC32" s="8" t="str">
        <x:v>{"length":3.4,"dim":1,"anchorY":6.638660220994475}</x:v>
      </x:c>
    </x:row>
    <x:row r="33" ht="96" customHeight="1">
      <x:c r="A33" s="8" t="str">
        <x:v>D319</x:v>
      </x:c>
      <x:c r="B33" s="8" t="str">
        <x:v>Red lanterns · veranda H · bay 8–9</x:v>
      </x:c>
      <x:c r="C33" s="8" t="str">
        <x:v>decor</x:v>
      </x:c>
      <x:c r="D33" s="8" t="str">
        <x:v>DB1</x:v>
      </x:c>
      <x:c r="E33" s="8" t="str">
        <x:v>X1</x:v>
      </x:c>
      <x:c r="F33" s="11" t="n">
        <x:v>34.725</x:v>
      </x:c>
      <x:c r="G33" s="11" t="n">
        <x:v>5.6</x:v>
      </x:c>
      <x:c r="H33" s="11" t="n">
        <x:v>8.85</x:v>
      </x:c>
      <x:c r="I33" s="8" t="str">
        <x:v>pendant</x:v>
      </x:c>
      <x:c r="J33" s="8" t="str">
        <x:v>Hidden alternative</x:v>
      </x:c>
      <x:c r="K33" s="8" t="str">
        <x:v>Off</x:v>
      </x:c>
      <x:c r="L33" s="8" t="str">
        <x:v>320 × 1043 × 3405</x:v>
      </x:c>
      <x:c r="M33" s="8" t="str">
        <x:v>240 lm · 2200 K · 3.4 m strand</x:v>
      </x:c>
      <x:c r="N33" s="11" t="n">
        <x:v>0</x:v>
      </x:c>
      <x:c r="O33" s="11" t="n">
        <x:v>90</x:v>
      </x:c>
      <x:c r="P33" s="11" t="n">
        <x:v>0</x:v>
      </x:c>
      <x:c r="Q33" s="9"/>
      <x:c r="R33" s="9"/>
      <x:c r="S33" s="9"/>
      <x:c r="T33" s="9"/>
      <x:c r="U33" s="9"/>
      <x:c r="V33" s="9"/>
      <x:c r="W33" s="13"/>
      <x:c r="X33" s="13"/>
      <x:c r="Y33" s="13"/>
      <x:c r="Z33" s="9"/>
      <x:c r="AA33" s="8" t="str">
        <x:v>Current</x:v>
      </x:c>
      <x:c r="AB33" s="8" t="str"/>
      <x:c r="AC33" s="8" t="str">
        <x:v>{"length":3.4,"dim":1,"anchorY":6.638660220994475}</x:v>
      </x:c>
    </x:row>
    <x:row r="34" ht="96" customHeight="1">
      <x:c r="A34" s="8" t="str">
        <x:v>D320</x:v>
      </x:c>
      <x:c r="B34" s="8" t="str">
        <x:v>Festival pennants · axis 4</x:v>
      </x:c>
      <x:c r="C34" s="8" t="str">
        <x:v>decor</x:v>
      </x:c>
      <x:c r="D34" s="8"/>
      <x:c r="E34" s="8" t="str">
        <x:v>DECOR</x:v>
      </x:c>
      <x:c r="F34" s="11" t="n">
        <x:v>14.475</x:v>
      </x:c>
      <x:c r="G34" s="11" t="n">
        <x:v>7.2</x:v>
      </x:c>
      <x:c r="H34" s="11" t="n">
        <x:v>0</x:v>
      </x:c>
      <x:c r="I34" s="8" t="str">
        <x:v>pendant</x:v>
      </x:c>
      <x:c r="J34" s="8" t="str">
        <x:v>Hidden alternative</x:v>
      </x:c>
      <x:c r="K34" s="8" t="str">
        <x:v>On</x:v>
      </x:c>
      <x:c r="L34" s="8" t="str">
        <x:v>See model parameters</x:v>
      </x:c>
      <x:c r="M34" s="8" t="str">
        <x:v>Festival pennants (cờ đuôi nheo)</x:v>
      </x:c>
      <x:c r="N34" s="11"/>
      <x:c r="O34" s="11" t="n">
        <x:v>0</x:v>
      </x:c>
      <x:c r="P34" s="11" t="n">
        <x:v>0</x:v>
      </x:c>
      <x:c r="Q34" s="9"/>
      <x:c r="R34" s="9"/>
      <x:c r="S34" s="9"/>
      <x:c r="T34" s="9"/>
      <x:c r="U34" s="9"/>
      <x:c r="V34" s="9"/>
      <x:c r="W34" s="13"/>
      <x:c r="X34" s="13"/>
      <x:c r="Y34" s="13"/>
      <x:c r="Z34" s="9"/>
      <x:c r="AA34" s="8" t="str">
        <x:v>Current</x:v>
      </x:c>
      <x:c r="AB34" s="8" t="str"/>
      <x:c r="AC34" s="8" t="str">
        <x:v>{"length":7,"dim":1,"anchorY":7.2}</x:v>
      </x:c>
    </x:row>
    <x:row r="35" ht="96" customHeight="1">
      <x:c r="A35" s="8" t="str">
        <x:v>D321</x:v>
      </x:c>
      <x:c r="B35" s="8" t="str">
        <x:v>Festival pennants · axis 6</x:v>
      </x:c>
      <x:c r="C35" s="8" t="str">
        <x:v>decor</x:v>
      </x:c>
      <x:c r="D35" s="8"/>
      <x:c r="E35" s="8" t="str">
        <x:v>DECOR</x:v>
      </x:c>
      <x:c r="F35" s="11" t="n">
        <x:v>23.475</x:v>
      </x:c>
      <x:c r="G35" s="11" t="n">
        <x:v>7.2</x:v>
      </x:c>
      <x:c r="H35" s="11" t="n">
        <x:v>0</x:v>
      </x:c>
      <x:c r="I35" s="8" t="str">
        <x:v>pendant</x:v>
      </x:c>
      <x:c r="J35" s="8" t="str">
        <x:v>Hidden alternative</x:v>
      </x:c>
      <x:c r="K35" s="8" t="str">
        <x:v>On</x:v>
      </x:c>
      <x:c r="L35" s="8" t="str">
        <x:v>See model parameters</x:v>
      </x:c>
      <x:c r="M35" s="8" t="str">
        <x:v>Festival pennants (cờ đuôi nheo)</x:v>
      </x:c>
      <x:c r="N35" s="11"/>
      <x:c r="O35" s="11" t="n">
        <x:v>0</x:v>
      </x:c>
      <x:c r="P35" s="11" t="n">
        <x:v>0</x:v>
      </x:c>
      <x:c r="Q35" s="9"/>
      <x:c r="R35" s="9"/>
      <x:c r="S35" s="9"/>
      <x:c r="T35" s="9"/>
      <x:c r="U35" s="9"/>
      <x:c r="V35" s="9"/>
      <x:c r="W35" s="13"/>
      <x:c r="X35" s="13"/>
      <x:c r="Y35" s="13"/>
      <x:c r="Z35" s="9"/>
      <x:c r="AA35" s="8" t="str">
        <x:v>Current</x:v>
      </x:c>
      <x:c r="AB35" s="8" t="str"/>
      <x:c r="AC35" s="8" t="str">
        <x:v>{"length":7,"dim":1,"anchorY":7.2}</x:v>
      </x:c>
    </x:row>
    <x:row r="36" ht="96" customHeight="1">
      <x:c r="A36" s="8" t="str">
        <x:v>D322</x:v>
      </x:c>
      <x:c r="B36" s="8" t="str">
        <x:v>Festival pennants · axis 8</x:v>
      </x:c>
      <x:c r="C36" s="8" t="str">
        <x:v>decor</x:v>
      </x:c>
      <x:c r="D36" s="8"/>
      <x:c r="E36" s="8" t="str">
        <x:v>DECOR</x:v>
      </x:c>
      <x:c r="F36" s="11" t="n">
        <x:v>32.475</x:v>
      </x:c>
      <x:c r="G36" s="11" t="n">
        <x:v>7.2</x:v>
      </x:c>
      <x:c r="H36" s="11" t="n">
        <x:v>0</x:v>
      </x:c>
      <x:c r="I36" s="8" t="str">
        <x:v>pendant</x:v>
      </x:c>
      <x:c r="J36" s="8" t="str">
        <x:v>Hidden alternative</x:v>
      </x:c>
      <x:c r="K36" s="8" t="str">
        <x:v>On</x:v>
      </x:c>
      <x:c r="L36" s="8" t="str">
        <x:v>See model parameters</x:v>
      </x:c>
      <x:c r="M36" s="8" t="str">
        <x:v>Festival pennants (cờ đuôi nheo)</x:v>
      </x:c>
      <x:c r="N36" s="11"/>
      <x:c r="O36" s="11" t="n">
        <x:v>0</x:v>
      </x:c>
      <x:c r="P36" s="11" t="n">
        <x:v>0</x:v>
      </x:c>
      <x:c r="Q36" s="9"/>
      <x:c r="R36" s="9"/>
      <x:c r="S36" s="9"/>
      <x:c r="T36" s="9"/>
      <x:c r="U36" s="9"/>
      <x:c r="V36" s="9"/>
      <x:c r="W36" s="13"/>
      <x:c r="X36" s="13"/>
      <x:c r="Y36" s="13"/>
      <x:c r="Z36" s="9"/>
      <x:c r="AA36" s="8" t="str">
        <x:v>Current</x:v>
      </x:c>
      <x:c r="AB36" s="8" t="str"/>
      <x:c r="AC36" s="8" t="str">
        <x:v>{"length":7,"dim":1,"anchorY":7.2}</x:v>
      </x:c>
    </x:row>
    <x:row r="37" ht="96" customHeight="1">
      <x:c r="A37" s="8" t="str">
        <x:v>D-WING-B-PETER</x:v>
      </x:c>
      <x:c r="B37" s="8" t="str">
        <x:v>Saint Peter picture · wing B · concept</x:v>
      </x:c>
      <x:c r="C37" s="8" t="str">
        <x:v>decor</x:v>
      </x:c>
      <x:c r="D37" s="8"/>
      <x:c r="E37" s="8" t="str">
        <x:v>DECOR</x:v>
      </x:c>
      <x:c r="F37" s="11" t="n">
        <x:v>39.7</x:v>
      </x:c>
      <x:c r="G37" s="11" t="n">
        <x:v>2.2</x:v>
      </x:c>
      <x:c r="H37" s="11" t="n">
        <x:v>-13.095</x:v>
      </x:c>
      <x:c r="I37" s="8" t="str">
        <x:v>wall</x:v>
      </x:c>
      <x:c r="J37" s="8" t="str">
        <x:v>Shown</x:v>
      </x:c>
      <x:c r="K37" s="8" t="str">
        <x:v>On</x:v>
      </x:c>
      <x:c r="L37" s="8" t="str">
        <x:v>See model parameters</x:v>
      </x:c>
      <x:c r="M37" s="8" t="str">
        <x:v>Generated devotional concept. Frame proxy 1.12 × 1.62 m; actual size, material, glass, mounting and artwork approval pending. Unpowered.</x:v>
      </x:c>
      <x:c r="N37" s="11"/>
      <x:c r="O37" s="11" t="n">
        <x:v>90</x:v>
      </x:c>
      <x:c r="P37" s="11" t="n">
        <x:v>0</x:v>
      </x:c>
      <x:c r="Q37" s="9"/>
      <x:c r="R37" s="9"/>
      <x:c r="S37" s="9"/>
      <x:c r="T37" s="9"/>
      <x:c r="U37" s="9"/>
      <x:c r="V37" s="9"/>
      <x:c r="W37" s="13"/>
      <x:c r="X37" s="13"/>
      <x:c r="Y37" s="13"/>
      <x:c r="Z37" s="9"/>
      <x:c r="AA37" s="8" t="str">
        <x:v>Current</x:v>
      </x:c>
      <x:c r="AB37" s="8" t="str"/>
      <x:c r="AC37" s="8" t="str">
        <x:v>{"dim":1,"note":"USER CONFIRMED subjects/location: Peter and Paul between windows in each wing. CONCEPT 1.12 ×1.62 m frame proxy, Y2.20 centre. Actual size, height, substrate, frame, artwork and fixings pending. Unpow"}</x:v>
      </x:c>
    </x:row>
    <x:row r="38" ht="96" customHeight="1">
      <x:c r="A38" s="8" t="str">
        <x:v>D-WING-B-PAUL</x:v>
      </x:c>
      <x:c r="B38" s="8" t="str">
        <x:v>Saint Paul picture · wing B · concept</x:v>
      </x:c>
      <x:c r="C38" s="8" t="str">
        <x:v>decor</x:v>
      </x:c>
      <x:c r="D38" s="8"/>
      <x:c r="E38" s="8" t="str">
        <x:v>DECOR</x:v>
      </x:c>
      <x:c r="F38" s="11" t="n">
        <x:v>41.45</x:v>
      </x:c>
      <x:c r="G38" s="11" t="n">
        <x:v>2.2</x:v>
      </x:c>
      <x:c r="H38" s="11" t="n">
        <x:v>-13.095</x:v>
      </x:c>
      <x:c r="I38" s="8" t="str">
        <x:v>wall</x:v>
      </x:c>
      <x:c r="J38" s="8" t="str">
        <x:v>Shown</x:v>
      </x:c>
      <x:c r="K38" s="8" t="str">
        <x:v>On</x:v>
      </x:c>
      <x:c r="L38" s="8" t="str">
        <x:v>See model parameters</x:v>
      </x:c>
      <x:c r="M38" s="8" t="str">
        <x:v>Generated devotional concept. Frame proxy 1.12 × 1.62 m; actual size, material, glass, mounting and artwork approval pending. Unpowered.</x:v>
      </x:c>
      <x:c r="N38" s="11"/>
      <x:c r="O38" s="11" t="n">
        <x:v>90</x:v>
      </x:c>
      <x:c r="P38" s="11" t="n">
        <x:v>0</x:v>
      </x:c>
      <x:c r="Q38" s="9"/>
      <x:c r="R38" s="9"/>
      <x:c r="S38" s="9"/>
      <x:c r="T38" s="9"/>
      <x:c r="U38" s="9"/>
      <x:c r="V38" s="9"/>
      <x:c r="W38" s="13"/>
      <x:c r="X38" s="13"/>
      <x:c r="Y38" s="13"/>
      <x:c r="Z38" s="9"/>
      <x:c r="AA38" s="8" t="str">
        <x:v>Current</x:v>
      </x:c>
      <x:c r="AB38" s="8" t="str"/>
      <x:c r="AC38" s="8" t="str">
        <x:v>{"dim":1,"note":"USER CONFIRMED subjects/location: Peter and Paul between windows in each wing. CONCEPT 1.12 ×1.62 m frame proxy, Y2.20 centre. Actual size, height, substrate, frame, artwork and fixings pending. Unpow"}</x:v>
      </x:c>
    </x:row>
    <x:row r="39" ht="96" customHeight="1">
      <x:c r="A39" s="8" t="str">
        <x:v>D-WING-H-PETER</x:v>
      </x:c>
      <x:c r="B39" s="8" t="str">
        <x:v>Saint Peter picture · wing H · concept</x:v>
      </x:c>
      <x:c r="C39" s="8" t="str">
        <x:v>decor</x:v>
      </x:c>
      <x:c r="D39" s="8"/>
      <x:c r="E39" s="8" t="str">
        <x:v>DECOR</x:v>
      </x:c>
      <x:c r="F39" s="11" t="n">
        <x:v>39.7</x:v>
      </x:c>
      <x:c r="G39" s="11" t="n">
        <x:v>2.2</x:v>
      </x:c>
      <x:c r="H39" s="11" t="n">
        <x:v>13.095</x:v>
      </x:c>
      <x:c r="I39" s="8" t="str">
        <x:v>wall</x:v>
      </x:c>
      <x:c r="J39" s="8" t="str">
        <x:v>Shown</x:v>
      </x:c>
      <x:c r="K39" s="8" t="str">
        <x:v>On</x:v>
      </x:c>
      <x:c r="L39" s="8" t="str">
        <x:v>See model parameters</x:v>
      </x:c>
      <x:c r="M39" s="8" t="str">
        <x:v>Generated devotional concept. Frame proxy 1.12 × 1.62 m; actual size, material, glass, mounting and artwork approval pending. Unpowered.</x:v>
      </x:c>
      <x:c r="N39" s="11"/>
      <x:c r="O39" s="11" t="n">
        <x:v>-90</x:v>
      </x:c>
      <x:c r="P39" s="11" t="n">
        <x:v>0</x:v>
      </x:c>
      <x:c r="Q39" s="9"/>
      <x:c r="R39" s="9"/>
      <x:c r="S39" s="9"/>
      <x:c r="T39" s="9"/>
      <x:c r="U39" s="9"/>
      <x:c r="V39" s="9"/>
      <x:c r="W39" s="13"/>
      <x:c r="X39" s="13"/>
      <x:c r="Y39" s="13"/>
      <x:c r="Z39" s="9"/>
      <x:c r="AA39" s="8" t="str">
        <x:v>Current</x:v>
      </x:c>
      <x:c r="AB39" s="8" t="str"/>
      <x:c r="AC39" s="8" t="str">
        <x:v>{"dim":1,"note":"USER CONFIRMED subjects/location: Peter and Paul between windows in each wing. CONCEPT 1.12 ×1.62 m frame proxy, Y2.20 centre. Actual size, height, substrate, frame, artwork and fixings pending. Unpow"}</x:v>
      </x:c>
    </x:row>
    <x:row r="40" ht="96" customHeight="1">
      <x:c r="A40" s="8" t="str">
        <x:v>D-WING-H-PAUL</x:v>
      </x:c>
      <x:c r="B40" s="8" t="str">
        <x:v>Saint Paul picture · wing H · concept</x:v>
      </x:c>
      <x:c r="C40" s="8" t="str">
        <x:v>decor</x:v>
      </x:c>
      <x:c r="D40" s="8"/>
      <x:c r="E40" s="8" t="str">
        <x:v>DECOR</x:v>
      </x:c>
      <x:c r="F40" s="11" t="n">
        <x:v>41.45</x:v>
      </x:c>
      <x:c r="G40" s="11" t="n">
        <x:v>2.2</x:v>
      </x:c>
      <x:c r="H40" s="11" t="n">
        <x:v>13.095</x:v>
      </x:c>
      <x:c r="I40" s="8" t="str">
        <x:v>wall</x:v>
      </x:c>
      <x:c r="J40" s="8" t="str">
        <x:v>Shown</x:v>
      </x:c>
      <x:c r="K40" s="8" t="str">
        <x:v>On</x:v>
      </x:c>
      <x:c r="L40" s="8" t="str">
        <x:v>See model parameters</x:v>
      </x:c>
      <x:c r="M40" s="8" t="str">
        <x:v>Generated devotional concept. Frame proxy 1.12 × 1.62 m; actual size, material, glass, mounting and artwork approval pending. Unpowered.</x:v>
      </x:c>
      <x:c r="N40" s="11"/>
      <x:c r="O40" s="11" t="n">
        <x:v>-90</x:v>
      </x:c>
      <x:c r="P40" s="11" t="n">
        <x:v>0</x:v>
      </x:c>
      <x:c r="Q40" s="9"/>
      <x:c r="R40" s="9"/>
      <x:c r="S40" s="9"/>
      <x:c r="T40" s="9"/>
      <x:c r="U40" s="9"/>
      <x:c r="V40" s="9"/>
      <x:c r="W40" s="13"/>
      <x:c r="X40" s="13"/>
      <x:c r="Y40" s="13"/>
      <x:c r="Z40" s="9"/>
      <x:c r="AA40" s="8" t="str">
        <x:v>Current</x:v>
      </x:c>
      <x:c r="AB40" s="8" t="str"/>
      <x:c r="AC40" s="8" t="str">
        <x:v>{"dim":1,"note":"USER CONFIRMED subjects/location: Peter and Paul between windows in each wing. CONCEPT 1.12 ×1.62 m frame proxy, Y2.20 centre. Actual size, height, substrate, frame, artwork and fixings pending. Unpow"}</x:v>
      </x:c>
    </x:row>
    <x:row r="41" ht="96" customHeight="1">
      <x:c r="A41" s="8" t="str">
        <x:v>D-FACADE-C</x:v>
      </x:c>
      <x:c r="B41" s="8" t="str">
        <x:v>Façade statue · Assumption of Our Lady</x:v>
      </x:c>
      <x:c r="C41" s="8" t="str">
        <x:v>decor</x:v>
      </x:c>
      <x:c r="D41" s="8"/>
      <x:c r="E41" s="8" t="str">
        <x:v>DECOR</x:v>
      </x:c>
      <x:c r="F41" s="11" t="n">
        <x:v>4.08</x:v>
      </x:c>
      <x:c r="G41" s="11" t="n">
        <x:v>16.683</x:v>
      </x:c>
      <x:c r="H41" s="11" t="n">
        <x:v>0</x:v>
      </x:c>
      <x:c r="I41" s="8" t="str">
        <x:v>floor</x:v>
      </x:c>
      <x:c r="J41" s="8" t="str">
        <x:v>Shown</x:v>
      </x:c>
      <x:c r="K41" s="8" t="str">
        <x:v>On</x:v>
      </x:c>
      <x:c r="L41" s="8" t="str">
        <x:v>See model parameters</x:v>
      </x:c>
      <x:c r="M41" s="8" t="str">
        <x:v>Ivory figure 2.2 m on a cloud plinth, open raised arms and upturned face, for the central façade niche. Generated concept: the sculptor, size, material, weight and fixing are pending.</x:v>
      </x:c>
      <x:c r="N41" s="11"/>
      <x:c r="O41" s="11" t="n">
        <x:v>180</x:v>
      </x:c>
      <x:c r="P41" s="11" t="n">
        <x:v>0</x:v>
      </x:c>
      <x:c r="Q41" s="9"/>
      <x:c r="R41" s="9"/>
      <x:c r="S41" s="9"/>
      <x:c r="T41" s="9"/>
      <x:c r="U41" s="9"/>
      <x:c r="V41" s="9"/>
      <x:c r="W41" s="13"/>
      <x:c r="X41" s="13"/>
      <x:c r="Y41" s="13"/>
      <x:c r="Z41" s="9"/>
      <x:c r="AA41" s="8" t="str">
        <x:v>Current</x:v>
      </x:c>
      <x:c r="AB41" s="8" t="str"/>
      <x:c r="AC41" s="8" t="str">
        <x:v>{"dim":1,"note":"USER CONFIRMED subject and place. Generated figure on the drawn niche pedestal. Sculptor, size, material, weight and fixing pending."}</x:v>
      </x:c>
    </x:row>
    <x:row r="42" ht="96" customHeight="1">
      <x:c r="A42" s="8" t="str">
        <x:v>D-FACADE-B</x:v>
      </x:c>
      <x:c r="B42" s="8" t="str">
        <x:v>Façade statue · Saint Peter</x:v>
      </x:c>
      <x:c r="C42" s="8" t="str">
        <x:v>decor</x:v>
      </x:c>
      <x:c r="D42" s="8"/>
      <x:c r="E42" s="8" t="str">
        <x:v>DECOR</x:v>
      </x:c>
      <x:c r="F42" s="11" t="n">
        <x:v>4.15</x:v>
      </x:c>
      <x:c r="G42" s="11" t="n">
        <x:v>10.391</x:v>
      </x:c>
      <x:c r="H42" s="11" t="n">
        <x:v>-5.35</x:v>
      </x:c>
      <x:c r="I42" s="8" t="str">
        <x:v>floor</x:v>
      </x:c>
      <x:c r="J42" s="8" t="str">
        <x:v>Shown</x:v>
      </x:c>
      <x:c r="K42" s="8" t="str">
        <x:v>On</x:v>
      </x:c>
      <x:c r="L42" s="8" t="str">
        <x:v>See model parameters</x:v>
      </x:c>
      <x:c r="M42" s="8" t="str">
        <x:v>Ivory figure 1.78 m with keys and book, for a side façade niche. Generated concept: subject, sculptor, size, material, weight and fixing are pending.</x:v>
      </x:c>
      <x:c r="N42" s="11"/>
      <x:c r="O42" s="11" t="n">
        <x:v>180</x:v>
      </x:c>
      <x:c r="P42" s="11" t="n">
        <x:v>0</x:v>
      </x:c>
      <x:c r="Q42" s="9"/>
      <x:c r="R42" s="9"/>
      <x:c r="S42" s="9"/>
      <x:c r="T42" s="9"/>
      <x:c r="U42" s="9"/>
      <x:c r="V42" s="9"/>
      <x:c r="W42" s="13"/>
      <x:c r="X42" s="13"/>
      <x:c r="Y42" s="13"/>
      <x:c r="Z42" s="9"/>
      <x:c r="AA42" s="8" t="str">
        <x:v>Current</x:v>
      </x:c>
      <x:c r="AB42" s="8" t="str"/>
      <x:c r="AC42" s="8" t="str">
        <x:v>{"dim":1,"note":"PROPOSED subject; owner to confirm the two saints. Generated figure on the drawn niche pedestal. Sculptor, size, material, weight and fixing pending."}</x:v>
      </x:c>
    </x:row>
    <x:row r="43" ht="96" customHeight="1">
      <x:c r="A43" s="8" t="str">
        <x:v>D-FACADE-H</x:v>
      </x:c>
      <x:c r="B43" s="8" t="str">
        <x:v>Façade statue · Saint Paul</x:v>
      </x:c>
      <x:c r="C43" s="8" t="str">
        <x:v>decor</x:v>
      </x:c>
      <x:c r="D43" s="8"/>
      <x:c r="E43" s="8" t="str">
        <x:v>DECOR</x:v>
      </x:c>
      <x:c r="F43" s="11" t="n">
        <x:v>4.15</x:v>
      </x:c>
      <x:c r="G43" s="11" t="n">
        <x:v>10.391</x:v>
      </x:c>
      <x:c r="H43" s="11" t="n">
        <x:v>5.35</x:v>
      </x:c>
      <x:c r="I43" s="8" t="str">
        <x:v>floor</x:v>
      </x:c>
      <x:c r="J43" s="8" t="str">
        <x:v>Shown</x:v>
      </x:c>
      <x:c r="K43" s="8" t="str">
        <x:v>On</x:v>
      </x:c>
      <x:c r="L43" s="8" t="str">
        <x:v>See model parameters</x:v>
      </x:c>
      <x:c r="M43" s="8" t="str">
        <x:v>Ivory figure 1.78 m with sword and book, for a side façade niche. Generated concept: subject, sculptor, size, material, weight and fixing are pending.</x:v>
      </x:c>
      <x:c r="N43" s="11"/>
      <x:c r="O43" s="11" t="n">
        <x:v>180</x:v>
      </x:c>
      <x:c r="P43" s="11" t="n">
        <x:v>0</x:v>
      </x:c>
      <x:c r="Q43" s="9"/>
      <x:c r="R43" s="9"/>
      <x:c r="S43" s="9"/>
      <x:c r="T43" s="9"/>
      <x:c r="U43" s="9"/>
      <x:c r="V43" s="9"/>
      <x:c r="W43" s="13"/>
      <x:c r="X43" s="13"/>
      <x:c r="Y43" s="13"/>
      <x:c r="Z43" s="9"/>
      <x:c r="AA43" s="8" t="str">
        <x:v>Current</x:v>
      </x:c>
      <x:c r="AB43" s="8" t="str"/>
      <x:c r="AC43" s="8" t="str">
        <x:v>{"dim":1,"note":"PROPOSED subject; owner to confirm the two saints. Generated figure on the drawn niche pedestal. Sculptor, size, material, weight and fixing pending."}</x:v>
      </x:c>
    </x:row>
  </x:sheetData>
  <x:conditionalFormatting sqref="AA7:AA43">
    <x:cfRule type="containsText" dxfId="0" priority="1" operator="containsText" text="Retired"/>
  </x:conditionalFormatting>
  <x:dataValidations count="3">
    <x:dataValidation type="decimal" operator="between" sqref="W7:W43">
      <x:formula1>-1000</x:formula1>
      <x:formula2>1000</x:formula2>
    </x:dataValidation>
    <x:dataValidation type="decimal" operator="between" sqref="X7:X43">
      <x:formula1>-1000</x:formula1>
      <x:formula2>1000</x:formula2>
    </x:dataValidation>
    <x:dataValidation type="decimal" operator="between" sqref="Y7:Y43">
      <x:formula1>-1000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ca16ab3b5bc45b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50" hidden="0" customWidth="1"/>
    <x:col min="3" max="3" width="18" hidden="0" customWidth="1"/>
    <x:col min="4" max="4" width="5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3" hidden="0" customWidth="1"/>
    <x:col min="13" max="13" width="18" hidden="0" customWidth="1"/>
    <x:col min="14" max="14" width="18" hidden="0" customWidth="1"/>
    <x:col min="15" max="15" width="58" hidden="0" customWidth="1"/>
    <x:col min="16" max="16" width="58" hidden="0" customWidth="1"/>
    <x:col min="17" max="17" width="18" hidden="0" customWidth="1"/>
    <x:col min="18" max="18" width="18" hidden="0" customWidth="1"/>
    <x:col min="19" max="19" width="18" hidden="0" customWidth="1"/>
    <x:col min="20" max="20" width="58" hidden="0" customWidth="1"/>
    <x:col min="21" max="21" width="18" hidden="0" customWidth="1"/>
    <x:col min="22" max="22" width="18" hidden="0" customWidth="1"/>
    <x:col min="23" max="23" width="18" hidden="0" customWidth="1"/>
    <x:col min="24" max="24" width="58" hidden="0" customWidth="1"/>
    <x:col min="25" max="25" width="18" hidden="0" customWidth="1"/>
    <x:col min="26" max="26" width="58" hidden="0" customWidth="1"/>
  </x:cols>
  <x:sheetData>
    <x:row r="1" ht="32" customHeight="1">
      <x:c r="A1" s="3" t="str">
        <x:v>Electrical line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2" customHeight="1">
      <x:c r="A3" s="2" t="str">
        <x:v>Lengths are geometric. Blank allowance means installed length is pending. Shared bundles are not extra home-run cable.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2" t="str">
        <x:v>No records in this category in the saved layout. The common table structure is retained.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7" t="str">
        <x:v>Route ID</x:v>
      </x:c>
      <x:c r="B6" s="7" t="str">
        <x:v>Name</x:v>
      </x:c>
      <x:c r="C6" s="7" t="str">
        <x:v>Source ID</x:v>
      </x:c>
      <x:c r="D6" s="7" t="str">
        <x:v>Destination IDs</x:v>
      </x:c>
      <x:c r="E6" s="7" t="str">
        <x:v>Board</x:v>
      </x:c>
      <x:c r="F6" s="7" t="str">
        <x:v>Circuit</x:v>
      </x:c>
      <x:c r="G6" s="7" t="str">
        <x:v>Kind</x:v>
      </x:c>
      <x:c r="H6" s="7" t="str">
        <x:v>Role</x:v>
      </x:c>
      <x:c r="I6" s="7" t="str">
        <x:v>Route length (m)</x:v>
      </x:c>
      <x:c r="J6" s="7" t="str">
        <x:v>Upstream length (m)</x:v>
      </x:c>
      <x:c r="K6" s="7" t="str">
        <x:v>Full home run (m)</x:v>
      </x:c>
      <x:c r="L6" s="7" t="str">
        <x:v>Length basis</x:v>
      </x:c>
      <x:c r="M6" s="7" t="str">
        <x:v>Allowance (m)</x:v>
      </x:c>
      <x:c r="N6" s="7" t="str">
        <x:v>Planned length (m)</x:v>
      </x:c>
      <x:c r="O6" s="7" t="str">
        <x:v>Planning specification</x:v>
      </x:c>
      <x:c r="P6" s="7" t="str">
        <x:v>Installation proposal</x:v>
      </x:c>
      <x:c r="Q6" s="7" t="str">
        <x:v>Cable designation</x:v>
      </x:c>
      <x:c r="R6" s="7" t="str">
        <x:v>Core count</x:v>
      </x:c>
      <x:c r="S6" s="7" t="str">
        <x:v>Cross-section (mm2)</x:v>
      </x:c>
      <x:c r="T6" s="7" t="str">
        <x:v>Containment specification</x:v>
      </x:c>
      <x:c r="U6" s="7" t="str">
        <x:v>Manufacturer / product</x:v>
      </x:c>
      <x:c r="V6" s="7" t="str">
        <x:v>Control / terminal reference</x:v>
      </x:c>
      <x:c r="W6" s="7" t="str">
        <x:v>Approval reference</x:v>
      </x:c>
      <x:c r="X6" s="7" t="str">
        <x:v>Engineering notes</x:v>
      </x:c>
      <x:c r="Y6" s="7" t="str">
        <x:v>Record state</x:v>
      </x:c>
      <x:c r="Z6" s="7" t="str">
        <x:v>Trunk ID</x:v>
      </x:c>
    </x:row>
    <x:row r="7" ht="90" customHeight="1">
      <x:c r="A7" s="8"/>
      <x:c r="B7" s="8"/>
      <x:c r="C7" s="8"/>
      <x:c r="D7" s="8"/>
      <x:c r="E7" s="8"/>
      <x:c r="F7" s="8"/>
      <x:c r="G7" s="8"/>
      <x:c r="H7" s="8"/>
      <x:c r="I7" s="11"/>
      <x:c r="J7" s="11"/>
      <x:c r="K7" s="11"/>
      <x:c r="L7" s="8"/>
      <x:c r="M7" s="13"/>
      <x:c r="N7" s="11"/>
      <x:c r="O7" s="8"/>
      <x:c r="P7" s="8"/>
      <x:c r="Q7" s="9"/>
      <x:c r="R7" s="9"/>
      <x:c r="S7" s="13"/>
      <x:c r="T7" s="9"/>
      <x:c r="U7" s="9"/>
      <x:c r="V7" s="9"/>
      <x:c r="W7" s="9"/>
      <x:c r="X7" s="9"/>
      <x:c r="Y7" s="8"/>
      <x:c r="Z7" s="8"/>
    </x:row>
  </x:sheetData>
  <x:conditionalFormatting sqref="Y7:Y7">
    <x:cfRule type="containsText" dxfId="1" priority="1" operator="containsText" text="Retired"/>
  </x:conditionalFormatting>
  <x:dataValidations count="3">
    <x:dataValidation type="decimal" operator="greaterThanOrEqual" sqref="M7">
      <x:formula1>0</x:formula1>
    </x:dataValidation>
    <x:dataValidation type="decimal" operator="greaterThanOrEqual" sqref="R7">
      <x:formula1>0</x:formula1>
    </x:dataValidation>
    <x:dataValidation type="decimal" operator="greaterThanOrEqual" sqref="S7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94739ecd6041f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customHeight="1">
      <x:c r="A1" s="3" t="str">
        <x:v>Route vertices in the shared layout</x:v>
      </x:c>
      <x:c r="B1" s="2"/>
      <x:c r="C1" s="2"/>
      <x:c r="D1" s="2"/>
      <x:c r="E1" s="2"/>
      <x:c r="F1" s="2"/>
      <x:c r="G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</x:row>
    <x:row r="3" ht="32" customHeight="1">
      <x:c r="A3" s="2" t="str">
        <x:v>Each route uses these ordered X/Y/Z vertices in metres. Segment lengths are calculated from adjacent vertices.</x:v>
      </x:c>
      <x:c r="B3" s="2"/>
      <x:c r="C3" s="2"/>
      <x:c r="D3" s="2"/>
      <x:c r="E3" s="2"/>
      <x:c r="F3" s="2"/>
      <x:c r="G3" s="2"/>
    </x:row>
    <x:row r="4" ht="32" customHeight="1">
      <x:c r="A4" s="2" t="str">
        <x:v>No records in this category in the saved layout. The common table structure is retained.</x:v>
      </x:c>
      <x:c r="B4" s="2"/>
      <x:c r="C4" s="2"/>
      <x:c r="D4" s="2"/>
      <x:c r="E4" s="2"/>
      <x:c r="F4" s="2"/>
      <x:c r="G4" s="2"/>
    </x:row>
    <x:row r="5" ht="32" customHeight="1">
      <x:c r="A5" s="2"/>
      <x:c r="B5" s="2"/>
      <x:c r="C5" s="2"/>
      <x:c r="D5" s="2"/>
      <x:c r="E5" s="2"/>
      <x:c r="F5" s="2"/>
      <x:c r="G5" s="2"/>
    </x:row>
    <x:row r="6" ht="44" customHeight="1">
      <x:c r="A6" s="7" t="str">
        <x:v>Route ID</x:v>
      </x:c>
      <x:c r="B6" s="7" t="str">
        <x:v>Vertex</x:v>
      </x:c>
      <x:c r="C6" s="7" t="str">
        <x:v>X (m)</x:v>
      </x:c>
      <x:c r="D6" s="7" t="str">
        <x:v>Y (m)</x:v>
      </x:c>
      <x:c r="E6" s="7" t="str">
        <x:v>Z (m)</x:v>
      </x:c>
      <x:c r="F6" s="7" t="str">
        <x:v>Segment length (m)</x:v>
      </x:c>
      <x:c r="G6" s="7" t="str">
        <x:v>Record state</x:v>
      </x:c>
    </x:row>
    <x:row r="7" ht="32" customHeight="1">
      <x:c r="A7" s="8"/>
      <x:c r="B7" s="8"/>
      <x:c r="C7" s="11"/>
      <x:c r="D7" s="11"/>
      <x:c r="E7" s="11"/>
      <x:c r="F7" s="11"/>
      <x:c r="G7" s="8"/>
    </x:row>
  </x:sheetData>
  <x:conditionalFormatting sqref="G7:G7">
    <x:cfRule type="containsText" dxfId="2" priority="1" operator="containsText" text="Retired"/>
  </x:conditionalFormatting>
  <x:pageMargins left="0.7" right="0.7" top="0.75" bottom="0.75" header="0.3" footer="0.3"/>
  <x:tableParts count="1">
    <x:tablePart xmlns:r="http://schemas.openxmlformats.org/officeDocument/2006/relationships" r:id="R113888d6606b4e0f"/>
  </x:tableParts>
</x:worksheet>
</file>