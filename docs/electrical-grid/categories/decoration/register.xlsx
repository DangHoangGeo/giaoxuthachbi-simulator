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5ee65f4e0c4f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ac18dfa1f15e4f77"/>
    <x:sheet xmlns:r="http://schemas.openxmlformats.org/officeDocument/2006/relationships" name="Equipment" sheetId="2" r:id="R0b202a48d40c449c"/>
    <x:sheet xmlns:r="http://schemas.openxmlformats.org/officeDocument/2006/relationships" name="Electrical Lines" sheetId="3" r:id="Ra7e70a1f64014ffe"/>
    <x:sheet xmlns:r="http://schemas.openxmlformats.org/officeDocument/2006/relationships" name="Route Points" sheetId="4" r:id="R433a91310b8a4e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c3b8fd529f491e" /><Relationship Type="http://schemas.openxmlformats.org/officeDocument/2006/relationships/theme" Target="/xl/theme/theme1.xml" Id="R2be3fee9ac784130" /><Relationship Type="http://schemas.openxmlformats.org/officeDocument/2006/relationships/sharedStrings" Target="/xl/sharedStrings.xml" Id="R79171bd70d3d470a" /><Relationship Type="http://schemas.openxmlformats.org/officeDocument/2006/relationships/worksheet" Target="/xl/worksheets/sheet1.xml" Id="Rac18dfa1f15e4f77" /><Relationship Type="http://schemas.openxmlformats.org/officeDocument/2006/relationships/worksheet" Target="/xl/worksheets/sheet2.xml" Id="R0b202a48d40c449c" /><Relationship Type="http://schemas.openxmlformats.org/officeDocument/2006/relationships/worksheet" Target="/xl/worksheets/sheet3.xml" Id="Ra7e70a1f64014ffe" /><Relationship Type="http://schemas.openxmlformats.org/officeDocument/2006/relationships/worksheet" Target="/xl/worksheets/sheet4.xml" Id="R433a91310b8a4ed6" /></Relationships>
</file>

<file path=xl/tables/table1.xml><?xml version="1.0" encoding="utf-8"?>
<x:table xmlns:x="http://schemas.openxmlformats.org/spreadsheetml/2006/main" id="1" name="EquipmentRegister" displayName="EquipmentRegister" ref="A6:AC43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3a7474a2de2434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5ac94bfe359475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42339e5dd0b432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2026-10-24T17:42:22.582Z.</x:v>
      </x:c>
    </x:row>
    <x:row r="5" ht="34" customHeight="1">
      <x:c r="A5" s="20" t="str">
        <x:v>Current equipment</x:v>
      </x:c>
      <x:c r="B5" s="16" t="n">
        <x:f>COUNTIFS(Equipment!$AA$7:$AA$43,"Current")</x:f>
        <x:v>37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COUNTIFS(Equipment!$AA$7:$AA$43,"Retired")+COUNTIFS('Electrical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94f37cc477b452b68afd0631937580a0b9412b859965e9046c49f59c64746a3f</x:v>
      </x:c>
    </x:row>
    <x:row r="15" ht="44" customHeight="1">
      <x:c r="A15" s="20" t="str">
        <x:v>Source systems SHA-256</x:v>
      </x:c>
      <x:c r="B15" s="16" t="str">
        <x:v>1c162288ea3d9215a1f3a3feb59b009079a72c6a8a777f9f9044923d3b18ad31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48.83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48.83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0.8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0.8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48.78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48.78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0.8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0.8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48.78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48.78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0.8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{"length":3.4,"dim":1,"anchorY":6.638660220994475}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{"length":3.4,"dim":1,"anchorY":6.638660220994475}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{"length":3.4,"dim":1,"anchorY":6.638660220994475}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{"length":3.4,"dim":1,"anchorY":6.638660220994475}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{"length":3.4,"dim":1,"anchorY":6.638660220994475}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{"length":3.4,"dim":1,"anchorY":6.638660220994475}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{"length":3.4,"dim":1,"anchorY":6.638660220994475}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{"length":3.4,"dim":1,"anchorY":6.638660220994475}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  <x:row r="37" ht="96" customHeight="1">
      <x:c r="A37" s="8" t="str">
        <x:v>D-WING-B-PETER</x:v>
      </x:c>
      <x:c r="B37" s="8" t="str">
        <x:v>Saint Peter picture · wing B · concept</x:v>
      </x:c>
      <x:c r="C37" s="8" t="str">
        <x:v>decor</x:v>
      </x:c>
      <x:c r="D37" s="8"/>
      <x:c r="E37" s="8" t="str">
        <x:v>DECOR</x:v>
      </x:c>
      <x:c r="F37" s="11" t="n">
        <x:v>39.7</x:v>
      </x:c>
      <x:c r="G37" s="11" t="n">
        <x:v>2.2</x:v>
      </x:c>
      <x:c r="H37" s="11" t="n">
        <x:v>-13.095</x:v>
      </x:c>
      <x:c r="I37" s="8" t="str">
        <x:v>wall</x:v>
      </x:c>
      <x:c r="J37" s="8" t="str">
        <x:v>Shown</x:v>
      </x:c>
      <x:c r="K37" s="8" t="str">
        <x:v>On</x:v>
      </x:c>
      <x:c r="L37" s="8" t="str">
        <x:v>See model parameters</x:v>
      </x:c>
      <x:c r="M37" s="8" t="str">
        <x:v>Generated devotional concept. Frame proxy 1.12 × 1.62 m; actual size, material, glass, mounting and artwork approval pending. Unpowered.</x:v>
      </x:c>
      <x:c r="N37" s="11"/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/>
      <x:c r="AC37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8" ht="96" customHeight="1">
      <x:c r="A38" s="8" t="str">
        <x:v>D-WING-B-PAUL</x:v>
      </x:c>
      <x:c r="B38" s="8" t="str">
        <x:v>Saint Paul picture · wing B · concept</x:v>
      </x:c>
      <x:c r="C38" s="8" t="str">
        <x:v>decor</x:v>
      </x:c>
      <x:c r="D38" s="8"/>
      <x:c r="E38" s="8" t="str">
        <x:v>DECOR</x:v>
      </x:c>
      <x:c r="F38" s="11" t="n">
        <x:v>41.45</x:v>
      </x:c>
      <x:c r="G38" s="11" t="n">
        <x:v>2.2</x:v>
      </x:c>
      <x:c r="H38" s="11" t="n">
        <x:v>-13.095</x:v>
      </x:c>
      <x:c r="I38" s="8" t="str">
        <x:v>wall</x:v>
      </x:c>
      <x:c r="J38" s="8" t="str">
        <x:v>Shown</x:v>
      </x:c>
      <x:c r="K38" s="8" t="str">
        <x:v>On</x:v>
      </x:c>
      <x:c r="L38" s="8" t="str">
        <x:v>See model parameters</x:v>
      </x:c>
      <x:c r="M38" s="8" t="str">
        <x:v>Generated devotional concept. Frame proxy 1.12 × 1.62 m; actual size, material, glass, mounting and artwork approval pending. Unpowered.</x:v>
      </x:c>
      <x:c r="N38" s="11"/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/>
      <x:c r="AC38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9" ht="96" customHeight="1">
      <x:c r="A39" s="8" t="str">
        <x:v>D-WING-H-PETER</x:v>
      </x:c>
      <x:c r="B39" s="8" t="str">
        <x:v>Saint Peter picture · wing H · concept</x:v>
      </x:c>
      <x:c r="C39" s="8" t="str">
        <x:v>decor</x:v>
      </x:c>
      <x:c r="D39" s="8"/>
      <x:c r="E39" s="8" t="str">
        <x:v>DECOR</x:v>
      </x:c>
      <x:c r="F39" s="11" t="n">
        <x:v>39.7</x:v>
      </x:c>
      <x:c r="G39" s="11" t="n">
        <x:v>2.2</x:v>
      </x:c>
      <x:c r="H39" s="11" t="n">
        <x:v>13.095</x:v>
      </x:c>
      <x:c r="I39" s="8" t="str">
        <x:v>wall</x:v>
      </x:c>
      <x:c r="J39" s="8" t="str">
        <x:v>Shown</x:v>
      </x:c>
      <x:c r="K39" s="8" t="str">
        <x:v>On</x:v>
      </x:c>
      <x:c r="L39" s="8" t="str">
        <x:v>See model parameters</x:v>
      </x:c>
      <x:c r="M39" s="8" t="str">
        <x:v>Generated devotional concept. Frame proxy 1.12 × 1.62 m; actual size, material, glass, mounting and artwork approval pending. Unpowered.</x:v>
      </x:c>
      <x:c r="N39" s="11"/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/>
      <x:c r="AC39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0" ht="96" customHeight="1">
      <x:c r="A40" s="8" t="str">
        <x:v>D-WING-H-PAUL</x:v>
      </x:c>
      <x:c r="B40" s="8" t="str">
        <x:v>Saint Paul picture · wing H · concept</x:v>
      </x:c>
      <x:c r="C40" s="8" t="str">
        <x:v>decor</x:v>
      </x:c>
      <x:c r="D40" s="8"/>
      <x:c r="E40" s="8" t="str">
        <x:v>DECOR</x:v>
      </x:c>
      <x:c r="F40" s="11" t="n">
        <x:v>41.45</x:v>
      </x:c>
      <x:c r="G40" s="11" t="n">
        <x:v>2.2</x:v>
      </x:c>
      <x:c r="H40" s="11" t="n">
        <x:v>13.095</x:v>
      </x:c>
      <x:c r="I40" s="8" t="str">
        <x:v>wall</x:v>
      </x:c>
      <x:c r="J40" s="8" t="str">
        <x:v>Shown</x:v>
      </x:c>
      <x:c r="K40" s="8" t="str">
        <x:v>On</x:v>
      </x:c>
      <x:c r="L40" s="8" t="str">
        <x:v>See model parameters</x:v>
      </x:c>
      <x:c r="M40" s="8" t="str">
        <x:v>Generated devotional concept. Frame proxy 1.12 × 1.62 m; actual size, material, glass, mounting and artwork approval pending. Unpowered.</x:v>
      </x:c>
      <x:c r="N40" s="11"/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/>
      <x:c r="AC40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1" ht="96" customHeight="1">
      <x:c r="A41" s="8" t="str">
        <x:v>D-FACADE-C</x:v>
      </x:c>
      <x:c r="B41" s="8" t="str">
        <x:v>Façade statue · Assumption of Our Lady</x:v>
      </x:c>
      <x:c r="C41" s="8" t="str">
        <x:v>decor</x:v>
      </x:c>
      <x:c r="D41" s="8"/>
      <x:c r="E41" s="8" t="str">
        <x:v>DECOR</x:v>
      </x:c>
      <x:c r="F41" s="11" t="n">
        <x:v>4.08</x:v>
      </x:c>
      <x:c r="G41" s="11" t="n">
        <x:v>16.683</x:v>
      </x:c>
      <x:c r="H41" s="11" t="n">
        <x:v>0</x:v>
      </x:c>
      <x:c r="I41" s="8" t="str">
        <x:v>floor</x:v>
      </x:c>
      <x:c r="J41" s="8" t="str">
        <x:v>Shown</x:v>
      </x:c>
      <x:c r="K41" s="8" t="str">
        <x:v>On</x:v>
      </x:c>
      <x:c r="L41" s="8" t="str">
        <x:v>See model parameters</x:v>
      </x:c>
      <x:c r="M41" s="8" t="str">
        <x:v>Ivory figure 2.2 m on a cloud plinth, open raised arms and upturned face, for the central façade niche. Generated concept: the sculptor, size, material, weight and fixing are pending.</x:v>
      </x:c>
      <x:c r="N41" s="11"/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/>
      <x:c r="AC41" s="8" t="str">
        <x:v>{"dim":1,"note":"USER CONFIRMED subject and place. Generated figure on the drawn niche pedestal. Sculptor, size, material, weight and fixing pending."}</x:v>
      </x:c>
    </x:row>
    <x:row r="42" ht="96" customHeight="1">
      <x:c r="A42" s="8" t="str">
        <x:v>D-FACADE-B</x:v>
      </x:c>
      <x:c r="B42" s="8" t="str">
        <x:v>Façade statue · Saint Peter</x:v>
      </x:c>
      <x:c r="C42" s="8" t="str">
        <x:v>decor</x:v>
      </x:c>
      <x:c r="D42" s="8"/>
      <x:c r="E42" s="8" t="str">
        <x:v>DECOR</x:v>
      </x:c>
      <x:c r="F42" s="11" t="n">
        <x:v>4.15</x:v>
      </x:c>
      <x:c r="G42" s="11" t="n">
        <x:v>10.391</x:v>
      </x:c>
      <x:c r="H42" s="11" t="n">
        <x:v>-5.35</x:v>
      </x:c>
      <x:c r="I42" s="8" t="str">
        <x:v>floor</x:v>
      </x:c>
      <x:c r="J42" s="8" t="str">
        <x:v>Shown</x:v>
      </x:c>
      <x:c r="K42" s="8" t="str">
        <x:v>On</x:v>
      </x:c>
      <x:c r="L42" s="8" t="str">
        <x:v>See model parameters</x:v>
      </x:c>
      <x:c r="M42" s="8" t="str">
        <x:v>Ivory figure 1.78 m with keys and book, for a side façade niche. Generated concept: subject, sculptor, size, material, weight and fixing are pending.</x:v>
      </x:c>
      <x:c r="N42" s="11"/>
      <x:c r="O42" s="11" t="n">
        <x:v>180</x:v>
      </x:c>
      <x:c r="P42" s="11" t="n">
        <x:v>0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/>
      <x:c r="AC42" s="8" t="str">
        <x:v>{"dim":1,"note":"PROPOSED subject; owner to confirm the two saints. Generated figure on the drawn niche pedestal. Sculptor, size, material, weight and fixing pending."}</x:v>
      </x:c>
    </x:row>
    <x:row r="43" ht="96" customHeight="1">
      <x:c r="A43" s="8" t="str">
        <x:v>D-FACADE-H</x:v>
      </x:c>
      <x:c r="B43" s="8" t="str">
        <x:v>Façade statue · Saint Paul</x:v>
      </x:c>
      <x:c r="C43" s="8" t="str">
        <x:v>decor</x:v>
      </x:c>
      <x:c r="D43" s="8"/>
      <x:c r="E43" s="8" t="str">
        <x:v>DECOR</x:v>
      </x:c>
      <x:c r="F43" s="11" t="n">
        <x:v>4.15</x:v>
      </x:c>
      <x:c r="G43" s="11" t="n">
        <x:v>10.391</x:v>
      </x:c>
      <x:c r="H43" s="11" t="n">
        <x:v>5.35</x:v>
      </x:c>
      <x:c r="I43" s="8" t="str">
        <x:v>floor</x:v>
      </x:c>
      <x:c r="J43" s="8" t="str">
        <x:v>Shown</x:v>
      </x:c>
      <x:c r="K43" s="8" t="str">
        <x:v>On</x:v>
      </x:c>
      <x:c r="L43" s="8" t="str">
        <x:v>See model parameters</x:v>
      </x:c>
      <x:c r="M43" s="8" t="str">
        <x:v>Ivory figure 1.78 m with sword and book, for a side façade niche. Generated concept: subject, sculptor, size, material, weight and fixing are pending.</x:v>
      </x:c>
      <x:c r="N43" s="11"/>
      <x:c r="O43" s="11" t="n">
        <x:v>180</x:v>
      </x:c>
      <x:c r="P43" s="11" t="n">
        <x:v>0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/>
      <x:c r="AC43" s="8" t="str">
        <x:v>{"dim":1,"note":"PROPOSED subject; owner to confirm the two saints. Generated figure on the drawn niche pedestal. Sculptor, size, material, weight and fixing pending."}</x:v>
      </x:c>
    </x:row>
  </x:sheetData>
  <x:conditionalFormatting sqref="AA7:AA43">
    <x:cfRule type="containsText" dxfId="0" priority="1" operator="containsText" text="Retired"/>
  </x:conditionalFormatting>
  <x:dataValidations count="3">
    <x:dataValidation type="decimal" operator="between" sqref="W7:W43">
      <x:formula1>-1000</x:formula1>
      <x:formula2>1000</x:formula2>
    </x:dataValidation>
    <x:dataValidation type="decimal" operator="between" sqref="X7:X43">
      <x:formula1>-1000</x:formula1>
      <x:formula2>1000</x:formula2>
    </x:dataValidation>
    <x:dataValidation type="decimal" operator="between" sqref="Y7:Y43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3a7474a2de2434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ac94bfe359475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a42339e5dd0b4324"/>
  </x:tableParts>
</x:worksheet>
</file>