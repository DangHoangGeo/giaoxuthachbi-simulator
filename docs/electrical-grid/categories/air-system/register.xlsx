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3acbc1d1c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7a00a19307e48b0"/>
    <x:sheet xmlns:r="http://schemas.openxmlformats.org/officeDocument/2006/relationships" name="Equipment" sheetId="2" r:id="Rfbfa7fed3f6648ca"/>
    <x:sheet xmlns:r="http://schemas.openxmlformats.org/officeDocument/2006/relationships" name="Electrical Lines" sheetId="3" r:id="R6ea773f956fa4d8e"/>
    <x:sheet xmlns:r="http://schemas.openxmlformats.org/officeDocument/2006/relationships" name="Route Points" sheetId="4" r:id="R00a56819caa0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d2c38538c418b" /><Relationship Type="http://schemas.openxmlformats.org/officeDocument/2006/relationships/theme" Target="/xl/theme/theme1.xml" Id="R448bc977f8784fc3" /><Relationship Type="http://schemas.openxmlformats.org/officeDocument/2006/relationships/sharedStrings" Target="/xl/sharedStrings.xml" Id="R1f2ab20369e845d7" /><Relationship Type="http://schemas.openxmlformats.org/officeDocument/2006/relationships/worksheet" Target="/xl/worksheets/sheet1.xml" Id="R87a00a19307e48b0" /><Relationship Type="http://schemas.openxmlformats.org/officeDocument/2006/relationships/worksheet" Target="/xl/worksheets/sheet2.xml" Id="Rfbfa7fed3f6648ca" /><Relationship Type="http://schemas.openxmlformats.org/officeDocument/2006/relationships/worksheet" Target="/xl/worksheets/sheet3.xml" Id="R6ea773f956fa4d8e" /><Relationship Type="http://schemas.openxmlformats.org/officeDocument/2006/relationships/worksheet" Target="/xl/worksheets/sheet4.xml" Id="R00a56819caa047d0" /></Relationships>
</file>

<file path=xl/tables/table1.xml><?xml version="1.0" encoding="utf-8"?>
<x:table xmlns:x="http://schemas.openxmlformats.org/spreadsheetml/2006/main" id="1" name="EquipmentRegister" displayName="EquipmentRegister" ref="A6:AC55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77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464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003bcc69fb4b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41ac41d26345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31eaa0cdeb46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Fans and ventilation: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Fans and ventilation. Ceiling, wall, entrance and exhaust fans for air movement and ventilation. Model snapshot: 2026-10-19T13:14:34.808Z.</x:v>
      </x:c>
    </x:row>
    <x:row r="5" ht="34" customHeight="1">
      <x:c r="A5" s="20" t="str">
        <x:v>Current equipment</x:v>
      </x:c>
      <x:c r="B5" s="16" t="n">
        <x:f>COUNTIFS(Equipment!$AA$7:$AA$55,"Current")</x:f>
        <x:v>45</x:v>
      </x:c>
    </x:row>
    <x:row r="6" ht="34" customHeight="1">
      <x:c r="A6" s="20" t="str">
        <x:v>Current routes</x:v>
      </x:c>
      <x:c r="B6" s="16" t="n">
        <x:f>COUNTIFS('Electrical Lines'!$Y$7:$Y$77,"Current")</x:f>
        <x:v>58</x:v>
      </x:c>
    </x:row>
    <x:row r="7" ht="34" customHeight="1">
      <x:c r="A7" s="20" t="str">
        <x:v>Retired equipment / routes</x:v>
      </x:c>
      <x:c r="B7" s="16" t="n">
        <x:f>COUNTIFS(Equipment!$AA$7:$AA$55,"Retired")+COUNTIFS('Electrical Lines'!$Y$7:$Y$77,"Retired")</x:f>
        <x:v>17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5e78147eff2f4a61ae97936ba8b51920b75ba77bd982e40a1cae0206f908332c</x:v>
      </x:c>
    </x:row>
    <x:row r="15" ht="44" customHeight="1">
      <x:c r="A15" s="20" t="str">
        <x:v>Source systems SHA-256</x:v>
      </x:c>
      <x:c r="B15" s="16" t="str">
        <x:v>7a659950a4bf89cc57551f6d9714dbafa89ad76ea9820ddefb4bbc73056b5b2e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Ceiling, wall, entrance and exhaust fans for air movement and ventilation.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Fans and ventilation: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F226</x:v>
      </x:c>
      <x:c r="B7" s="8" t="str">
        <x:v>Ceiling fan · bay 2′–3 · B aisle</x:v>
      </x:c>
      <x:c r="C7" s="8" t="str">
        <x:v>fan</x:v>
      </x:c>
      <x:c r="D7" s="8" t="str">
        <x:v>DB1</x:v>
      </x:c>
      <x:c r="E7" s="8" t="str">
        <x:v>F1</x:v>
      </x:c>
      <x:c r="F7" s="11" t="n">
        <x:v>7.725</x:v>
      </x:c>
      <x:c r="G7" s="11" t="n">
        <x:v>4.2</x:v>
      </x:c>
      <x:c r="H7" s="11" t="n">
        <x:v>-4.4</x:v>
      </x:c>
      <x:c r="I7" s="8" t="str">
        <x:v>pendant</x:v>
      </x:c>
      <x:c r="J7" s="8" t="str">
        <x:v>Shown</x:v>
      </x:c>
      <x:c r="K7" s="8" t="str">
        <x:v>On</x:v>
      </x:c>
      <x:c r="L7" s="8" t="str">
        <x:v>1323 × 255 × 1391</x:v>
      </x:c>
      <x:c r="M7" s="8" t="str">
        <x:v>1.42 m diameter · 60 W at maximum speed. Speed steps: 1: 1.3 m3/s, 18 W, 32 dBA, 110 rpm; 2: 2 m3/s, 34 W, 38 dBA, 170 rpm; 3: 2.8 m3/s, 60 W, 45 dBA, 240 rpm</x:v>
      </x:c>
      <x:c r="N7" s="11" t="n">
        <x:v>60</x:v>
      </x:c>
      <x:c r="O7" s="11" t="n">
        <x:v>0</x:v>
      </x:c>
      <x:c r="P7" s="11" t="n">
        <x:v>0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>
        <x:v>drop:FC1:F1:fan:-1:F226</x:v>
      </x:c>
      <x:c r="AC7" s="8" t="str">
        <x:v>{"dim":1,"speed":2,"anchorY":9.028413043478261,"note":"Long downrod from a purlin bracket with an anti-sway restraint; structural engineer to verify."}</x:v>
      </x:c>
    </x:row>
    <x:row r="8" ht="96" customHeight="1">
      <x:c r="A8" s="8" t="str">
        <x:v>F227</x:v>
      </x:c>
      <x:c r="B8" s="8" t="str">
        <x:v>Ceiling fan · bay 2′–3 · H aisle</x:v>
      </x:c>
      <x:c r="C8" s="8" t="str">
        <x:v>fan</x:v>
      </x:c>
      <x:c r="D8" s="8" t="str">
        <x:v>DB1</x:v>
      </x:c>
      <x:c r="E8" s="8" t="str">
        <x:v>F1</x:v>
      </x:c>
      <x:c r="F8" s="11" t="n">
        <x:v>7.725</x:v>
      </x:c>
      <x:c r="G8" s="11" t="n">
        <x:v>4.2</x:v>
      </x:c>
      <x:c r="H8" s="11" t="n">
        <x:v>4.4</x:v>
      </x:c>
      <x:c r="I8" s="8" t="str">
        <x:v>pendant</x:v>
      </x:c>
      <x:c r="J8" s="8" t="str">
        <x:v>Shown</x:v>
      </x:c>
      <x:c r="K8" s="8" t="str">
        <x:v>On</x:v>
      </x:c>
      <x:c r="L8" s="8" t="str">
        <x:v>1323 × 255 × 1391</x:v>
      </x:c>
      <x:c r="M8" s="8" t="str">
        <x:v>1.42 m diameter · 60 W at maximum speed. Speed steps: 1: 1.3 m3/s, 18 W, 32 dBA, 110 rpm; 2: 2 m3/s, 34 W, 38 dBA, 170 rpm; 3: 2.8 m3/s, 60 W, 45 dBA, 240 rpm</x:v>
      </x:c>
      <x:c r="N8" s="11" t="n">
        <x:v>60</x:v>
      </x:c>
      <x:c r="O8" s="11" t="n">
        <x:v>0</x:v>
      </x:c>
      <x:c r="P8" s="11" t="n">
        <x:v>0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>
        <x:v>drop:FC1:F1:fan:1:F227</x:v>
      </x:c>
      <x:c r="AC8" s="8" t="str">
        <x:v>{"dim":1,"speed":2,"anchorY":9.028413043478261,"note":"Long downrod from a purlin bracket with an anti-sway restraint; structural engineer to verify."}</x:v>
      </x:c>
    </x:row>
    <x:row r="9" ht="96" customHeight="1">
      <x:c r="A9" s="8" t="str">
        <x:v>F228</x:v>
      </x:c>
      <x:c r="B9" s="8" t="str">
        <x:v>Ceiling fan · bay 3–4 · B aisle</x:v>
      </x:c>
      <x:c r="C9" s="8" t="str">
        <x:v>fan</x:v>
      </x:c>
      <x:c r="D9" s="8" t="str">
        <x:v>DB1</x:v>
      </x:c>
      <x:c r="E9" s="8" t="str">
        <x:v>F1</x:v>
      </x:c>
      <x:c r="F9" s="11" t="n">
        <x:v>12.225</x:v>
      </x:c>
      <x:c r="G9" s="11" t="n">
        <x:v>4.2</x:v>
      </x:c>
      <x:c r="H9" s="11" t="n">
        <x:v>-3.6</x:v>
      </x:c>
      <x:c r="I9" s="8" t="str">
        <x:v>pendant</x:v>
      </x:c>
      <x:c r="J9" s="8" t="str">
        <x:v>Shown</x:v>
      </x:c>
      <x:c r="K9" s="8" t="str">
        <x:v>On</x:v>
      </x:c>
      <x:c r="L9" s="8" t="str">
        <x:v>1323 × 255 × 1391</x:v>
      </x:c>
      <x:c r="M9" s="8" t="str">
        <x:v>1.42 m diameter · 60 W at maximum speed. Speed steps: 1: 1.3 m3/s, 18 W, 32 dBA, 110 rpm; 2: 2 m3/s, 34 W, 38 dBA, 170 rpm; 3: 2.8 m3/s, 60 W, 45 dBA, 240 rpm</x:v>
      </x:c>
      <x:c r="N9" s="11" t="n">
        <x:v>60</x:v>
      </x:c>
      <x:c r="O9" s="11" t="n">
        <x:v>0</x:v>
      </x:c>
      <x:c r="P9" s="11" t="n">
        <x:v>0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>
        <x:v>drop:FC1:F1:fan:-1:F228</x:v>
      </x:c>
      <x:c r="AC9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10" ht="96" customHeight="1">
      <x:c r="A10" s="8" t="str">
        <x:v>F229</x:v>
      </x:c>
      <x:c r="B10" s="8" t="str">
        <x:v>Ceiling fan · bay 3–4 · H aisle</x:v>
      </x:c>
      <x:c r="C10" s="8" t="str">
        <x:v>fan</x:v>
      </x:c>
      <x:c r="D10" s="8" t="str">
        <x:v>DB1</x:v>
      </x:c>
      <x:c r="E10" s="8" t="str">
        <x:v>F1</x:v>
      </x:c>
      <x:c r="F10" s="11" t="n">
        <x:v>12.225</x:v>
      </x:c>
      <x:c r="G10" s="11" t="n">
        <x:v>4.2</x:v>
      </x:c>
      <x:c r="H10" s="11" t="n">
        <x:v>3.6</x:v>
      </x:c>
      <x:c r="I10" s="8" t="str">
        <x:v>pendant</x:v>
      </x:c>
      <x:c r="J10" s="8" t="str">
        <x:v>Shown</x:v>
      </x:c>
      <x:c r="K10" s="8" t="str">
        <x:v>On</x:v>
      </x:c>
      <x:c r="L10" s="8" t="str">
        <x:v>1323 × 255 × 1391</x:v>
      </x:c>
      <x:c r="M10" s="8" t="str">
        <x:v>1.42 m diameter · 60 W at maximum speed. Speed steps: 1: 1.3 m3/s, 18 W, 32 dBA, 110 rpm; 2: 2 m3/s, 34 W, 38 dBA, 170 rpm; 3: 2.8 m3/s, 60 W, 45 dBA, 240 rpm</x:v>
      </x:c>
      <x:c r="N10" s="11" t="n">
        <x:v>60</x:v>
      </x:c>
      <x:c r="O10" s="11" t="n">
        <x:v>0</x:v>
      </x:c>
      <x:c r="P10" s="11" t="n">
        <x:v>0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>
        <x:v>drop:FC1:F1:fan:1:F229</x:v>
      </x:c>
      <x:c r="AC10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11" ht="96" customHeight="1">
      <x:c r="A11" s="8" t="str">
        <x:v>F230</x:v>
      </x:c>
      <x:c r="B11" s="8" t="str">
        <x:v>Ceiling fan · bay 4–5 · B aisle</x:v>
      </x:c>
      <x:c r="C11" s="8" t="str">
        <x:v>fan</x:v>
      </x:c>
      <x:c r="D11" s="8" t="str">
        <x:v>DB1</x:v>
      </x:c>
      <x:c r="E11" s="8" t="str">
        <x:v>F1</x:v>
      </x:c>
      <x:c r="F11" s="11" t="n">
        <x:v>16.725</x:v>
      </x:c>
      <x:c r="G11" s="11" t="n">
        <x:v>4.2</x:v>
      </x:c>
      <x:c r="H11" s="11" t="n">
        <x:v>-3.6</x:v>
      </x:c>
      <x:c r="I11" s="8" t="str">
        <x:v>pendant</x:v>
      </x:c>
      <x:c r="J11" s="8" t="str">
        <x:v>Shown</x:v>
      </x:c>
      <x:c r="K11" s="8" t="str">
        <x:v>On</x:v>
      </x:c>
      <x:c r="L11" s="8" t="str">
        <x:v>1323 × 255 × 1391</x:v>
      </x:c>
      <x:c r="M11" s="8" t="str">
        <x:v>1.42 m diameter · 60 W at maximum speed. Speed steps: 1: 1.3 m3/s, 18 W, 32 dBA, 110 rpm; 2: 2 m3/s, 34 W, 38 dBA, 170 rpm; 3: 2.8 m3/s, 60 W, 45 dBA, 240 rpm</x:v>
      </x:c>
      <x:c r="N11" s="11" t="n">
        <x:v>60</x:v>
      </x:c>
      <x:c r="O11" s="11" t="n">
        <x:v>0</x:v>
      </x:c>
      <x:c r="P11" s="11" t="n">
        <x:v>0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>
        <x:v>drop:FC1:F1:fan:-1:F230</x:v>
      </x:c>
      <x:c r="AC11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12" ht="96" customHeight="1">
      <x:c r="A12" s="8" t="str">
        <x:v>F231</x:v>
      </x:c>
      <x:c r="B12" s="8" t="str">
        <x:v>Ceiling fan · bay 4–5 · H aisle</x:v>
      </x:c>
      <x:c r="C12" s="8" t="str">
        <x:v>fan</x:v>
      </x:c>
      <x:c r="D12" s="8" t="str">
        <x:v>DB1</x:v>
      </x:c>
      <x:c r="E12" s="8" t="str">
        <x:v>F1</x:v>
      </x:c>
      <x:c r="F12" s="11" t="n">
        <x:v>16.725</x:v>
      </x:c>
      <x:c r="G12" s="11" t="n">
        <x:v>4.2</x:v>
      </x:c>
      <x:c r="H12" s="11" t="n">
        <x:v>3.6</x:v>
      </x:c>
      <x:c r="I12" s="8" t="str">
        <x:v>pendant</x:v>
      </x:c>
      <x:c r="J12" s="8" t="str">
        <x:v>Shown</x:v>
      </x:c>
      <x:c r="K12" s="8" t="str">
        <x:v>On</x:v>
      </x:c>
      <x:c r="L12" s="8" t="str">
        <x:v>1323 × 255 × 1391</x:v>
      </x:c>
      <x:c r="M12" s="8" t="str">
        <x:v>1.42 m diameter · 60 W at maximum speed. Speed steps: 1: 1.3 m3/s, 18 W, 32 dBA, 110 rpm; 2: 2 m3/s, 34 W, 38 dBA, 170 rpm; 3: 2.8 m3/s, 60 W, 45 dBA, 240 rpm</x:v>
      </x:c>
      <x:c r="N12" s="11" t="n">
        <x:v>60</x:v>
      </x:c>
      <x:c r="O12" s="11" t="n">
        <x:v>0</x:v>
      </x:c>
      <x:c r="P12" s="11" t="n">
        <x:v>0</x:v>
      </x:c>
      <x:c r="Q12" s="9"/>
      <x:c r="R12" s="9"/>
      <x:c r="S12" s="9"/>
      <x:c r="T12" s="9"/>
      <x:c r="U12" s="9"/>
      <x:c r="V12" s="9"/>
      <x:c r="W12" s="13"/>
      <x:c r="X12" s="13"/>
      <x:c r="Y12" s="13"/>
      <x:c r="Z12" s="9"/>
      <x:c r="AA12" s="8" t="str">
        <x:v>Current</x:v>
      </x:c>
      <x:c r="AB12" s="8" t="str">
        <x:v>drop:FC1:F1:fan:1:F231</x:v>
      </x:c>
      <x:c r="AC12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13" ht="96" customHeight="1">
      <x:c r="A13" s="8" t="str">
        <x:v>F232</x:v>
      </x:c>
      <x:c r="B13" s="8" t="str">
        <x:v>Ceiling fan · bay 5–6 · B aisle</x:v>
      </x:c>
      <x:c r="C13" s="8" t="str">
        <x:v>fan</x:v>
      </x:c>
      <x:c r="D13" s="8" t="str">
        <x:v>DB1</x:v>
      </x:c>
      <x:c r="E13" s="8" t="str">
        <x:v>F1</x:v>
      </x:c>
      <x:c r="F13" s="11" t="n">
        <x:v>21.225</x:v>
      </x:c>
      <x:c r="G13" s="11" t="n">
        <x:v>4.2</x:v>
      </x:c>
      <x:c r="H13" s="11" t="n">
        <x:v>-3.6</x:v>
      </x:c>
      <x:c r="I13" s="8" t="str">
        <x:v>pendant</x:v>
      </x:c>
      <x:c r="J13" s="8" t="str">
        <x:v>Shown</x:v>
      </x:c>
      <x:c r="K13" s="8" t="str">
        <x:v>On</x:v>
      </x:c>
      <x:c r="L13" s="8" t="str">
        <x:v>1323 × 255 × 1391</x:v>
      </x:c>
      <x:c r="M13" s="8" t="str">
        <x:v>1.42 m diameter · 60 W at maximum speed. Speed steps: 1: 1.3 m3/s, 18 W, 32 dBA, 110 rpm; 2: 2 m3/s, 34 W, 38 dBA, 170 rpm; 3: 2.8 m3/s, 60 W, 45 dBA, 240 rpm</x:v>
      </x:c>
      <x:c r="N13" s="11" t="n">
        <x:v>60</x:v>
      </x:c>
      <x:c r="O13" s="11" t="n">
        <x:v>0</x:v>
      </x:c>
      <x:c r="P13" s="11" t="n">
        <x:v>0</x:v>
      </x:c>
      <x:c r="Q13" s="9"/>
      <x:c r="R13" s="9"/>
      <x:c r="S13" s="9"/>
      <x:c r="T13" s="9"/>
      <x:c r="U13" s="9"/>
      <x:c r="V13" s="9"/>
      <x:c r="W13" s="13"/>
      <x:c r="X13" s="13"/>
      <x:c r="Y13" s="13"/>
      <x:c r="Z13" s="9"/>
      <x:c r="AA13" s="8" t="str">
        <x:v>Current</x:v>
      </x:c>
      <x:c r="AB13" s="8" t="str">
        <x:v>drop:FC1:F1:fan:-1:F232</x:v>
      </x:c>
      <x:c r="AC13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14" ht="96" customHeight="1">
      <x:c r="A14" s="8" t="str">
        <x:v>F233</x:v>
      </x:c>
      <x:c r="B14" s="8" t="str">
        <x:v>Ceiling fan · bay 5–6 · H aisle</x:v>
      </x:c>
      <x:c r="C14" s="8" t="str">
        <x:v>fan</x:v>
      </x:c>
      <x:c r="D14" s="8" t="str">
        <x:v>DB1</x:v>
      </x:c>
      <x:c r="E14" s="8" t="str">
        <x:v>F1</x:v>
      </x:c>
      <x:c r="F14" s="11" t="n">
        <x:v>21.225</x:v>
      </x:c>
      <x:c r="G14" s="11" t="n">
        <x:v>4.2</x:v>
      </x:c>
      <x:c r="H14" s="11" t="n">
        <x:v>3.6</x:v>
      </x:c>
      <x:c r="I14" s="8" t="str">
        <x:v>pendant</x:v>
      </x:c>
      <x:c r="J14" s="8" t="str">
        <x:v>Shown</x:v>
      </x:c>
      <x:c r="K14" s="8" t="str">
        <x:v>On</x:v>
      </x:c>
      <x:c r="L14" s="8" t="str">
        <x:v>1323 × 255 × 1391</x:v>
      </x:c>
      <x:c r="M14" s="8" t="str">
        <x:v>1.42 m diameter · 60 W at maximum speed. Speed steps: 1: 1.3 m3/s, 18 W, 32 dBA, 110 rpm; 2: 2 m3/s, 34 W, 38 dBA, 170 rpm; 3: 2.8 m3/s, 60 W, 45 dBA, 240 rpm</x:v>
      </x:c>
      <x:c r="N14" s="11" t="n">
        <x:v>60</x:v>
      </x:c>
      <x:c r="O14" s="11" t="n">
        <x:v>0</x:v>
      </x:c>
      <x:c r="P14" s="11" t="n">
        <x:v>0</x:v>
      </x:c>
      <x:c r="Q14" s="9"/>
      <x:c r="R14" s="9"/>
      <x:c r="S14" s="9"/>
      <x:c r="T14" s="9"/>
      <x:c r="U14" s="9"/>
      <x:c r="V14" s="9"/>
      <x:c r="W14" s="13"/>
      <x:c r="X14" s="13"/>
      <x:c r="Y14" s="13"/>
      <x:c r="Z14" s="9"/>
      <x:c r="AA14" s="8" t="str">
        <x:v>Current</x:v>
      </x:c>
      <x:c r="AB14" s="8" t="str">
        <x:v>drop:FC1:F1:fan:1:F233</x:v>
      </x:c>
      <x:c r="AC14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15" ht="96" customHeight="1">
      <x:c r="A15" s="8" t="str">
        <x:v>F234</x:v>
      </x:c>
      <x:c r="B15" s="8" t="str">
        <x:v>Ceiling fan · bay 6–7 · B aisle</x:v>
      </x:c>
      <x:c r="C15" s="8" t="str">
        <x:v>fan</x:v>
      </x:c>
      <x:c r="D15" s="8" t="str">
        <x:v>DB1</x:v>
      </x:c>
      <x:c r="E15" s="8" t="str">
        <x:v>F1</x:v>
      </x:c>
      <x:c r="F15" s="11" t="n">
        <x:v>25.725</x:v>
      </x:c>
      <x:c r="G15" s="11" t="n">
        <x:v>4.2</x:v>
      </x:c>
      <x:c r="H15" s="11" t="n">
        <x:v>-3.6</x:v>
      </x:c>
      <x:c r="I15" s="8" t="str">
        <x:v>pendant</x:v>
      </x:c>
      <x:c r="J15" s="8" t="str">
        <x:v>Shown</x:v>
      </x:c>
      <x:c r="K15" s="8" t="str">
        <x:v>On</x:v>
      </x:c>
      <x:c r="L15" s="8" t="str">
        <x:v>1323 × 255 × 1391</x:v>
      </x:c>
      <x:c r="M15" s="8" t="str">
        <x:v>1.42 m diameter · 60 W at maximum speed. Speed steps: 1: 1.3 m3/s, 18 W, 32 dBA, 110 rpm; 2: 2 m3/s, 34 W, 38 dBA, 170 rpm; 3: 2.8 m3/s, 60 W, 45 dBA, 240 rpm</x:v>
      </x:c>
      <x:c r="N15" s="11" t="n">
        <x:v>60</x:v>
      </x:c>
      <x:c r="O15" s="11" t="n">
        <x:v>0</x:v>
      </x:c>
      <x:c r="P15" s="11" t="n">
        <x:v>0</x:v>
      </x:c>
      <x:c r="Q15" s="9"/>
      <x:c r="R15" s="9"/>
      <x:c r="S15" s="9"/>
      <x:c r="T15" s="9"/>
      <x:c r="U15" s="9"/>
      <x:c r="V15" s="9"/>
      <x:c r="W15" s="13"/>
      <x:c r="X15" s="13"/>
      <x:c r="Y15" s="13"/>
      <x:c r="Z15" s="9"/>
      <x:c r="AA15" s="8" t="str">
        <x:v>Current</x:v>
      </x:c>
      <x:c r="AB15" s="8" t="str">
        <x:v>drop:FC1:F1:fan:-1:F234</x:v>
      </x:c>
      <x:c r="AC15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16" ht="96" customHeight="1">
      <x:c r="A16" s="8" t="str">
        <x:v>F235</x:v>
      </x:c>
      <x:c r="B16" s="8" t="str">
        <x:v>Ceiling fan · bay 6–7 · H aisle</x:v>
      </x:c>
      <x:c r="C16" s="8" t="str">
        <x:v>fan</x:v>
      </x:c>
      <x:c r="D16" s="8" t="str">
        <x:v>DB1</x:v>
      </x:c>
      <x:c r="E16" s="8" t="str">
        <x:v>F1</x:v>
      </x:c>
      <x:c r="F16" s="11" t="n">
        <x:v>25.725</x:v>
      </x:c>
      <x:c r="G16" s="11" t="n">
        <x:v>4.2</x:v>
      </x:c>
      <x:c r="H16" s="11" t="n">
        <x:v>3.6</x:v>
      </x:c>
      <x:c r="I16" s="8" t="str">
        <x:v>pendant</x:v>
      </x:c>
      <x:c r="J16" s="8" t="str">
        <x:v>Shown</x:v>
      </x:c>
      <x:c r="K16" s="8" t="str">
        <x:v>On</x:v>
      </x:c>
      <x:c r="L16" s="8" t="str">
        <x:v>1323 × 255 × 1391</x:v>
      </x:c>
      <x:c r="M16" s="8" t="str">
        <x:v>1.42 m diameter · 60 W at maximum speed. Speed steps: 1: 1.3 m3/s, 18 W, 32 dBA, 110 rpm; 2: 2 m3/s, 34 W, 38 dBA, 170 rpm; 3: 2.8 m3/s, 60 W, 45 dBA, 240 rpm</x:v>
      </x:c>
      <x:c r="N16" s="11" t="n">
        <x:v>60</x:v>
      </x:c>
      <x:c r="O16" s="11" t="n">
        <x:v>0</x:v>
      </x:c>
      <x:c r="P16" s="11" t="n">
        <x:v>0</x:v>
      </x:c>
      <x:c r="Q16" s="9"/>
      <x:c r="R16" s="9"/>
      <x:c r="S16" s="9"/>
      <x:c r="T16" s="9"/>
      <x:c r="U16" s="9"/>
      <x:c r="V16" s="9"/>
      <x:c r="W16" s="13"/>
      <x:c r="X16" s="13"/>
      <x:c r="Y16" s="13"/>
      <x:c r="Z16" s="9"/>
      <x:c r="AA16" s="8" t="str">
        <x:v>Current</x:v>
      </x:c>
      <x:c r="AB16" s="8" t="str">
        <x:v>drop:FC1:F1:fan:1:F235</x:v>
      </x:c>
      <x:c r="AC16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17" ht="96" customHeight="1">
      <x:c r="A17" s="8" t="str">
        <x:v>F236</x:v>
      </x:c>
      <x:c r="B17" s="8" t="str">
        <x:v>Ceiling fan · bay 7–8 · B aisle</x:v>
      </x:c>
      <x:c r="C17" s="8" t="str">
        <x:v>fan</x:v>
      </x:c>
      <x:c r="D17" s="8" t="str">
        <x:v>DB1</x:v>
      </x:c>
      <x:c r="E17" s="8" t="str">
        <x:v>F1</x:v>
      </x:c>
      <x:c r="F17" s="11" t="n">
        <x:v>30.225</x:v>
      </x:c>
      <x:c r="G17" s="11" t="n">
        <x:v>4.2</x:v>
      </x:c>
      <x:c r="H17" s="11" t="n">
        <x:v>-3.6</x:v>
      </x:c>
      <x:c r="I17" s="8" t="str">
        <x:v>pendant</x:v>
      </x:c>
      <x:c r="J17" s="8" t="str">
        <x:v>Shown</x:v>
      </x:c>
      <x:c r="K17" s="8" t="str">
        <x:v>On</x:v>
      </x:c>
      <x:c r="L17" s="8" t="str">
        <x:v>1323 × 255 × 1391</x:v>
      </x:c>
      <x:c r="M17" s="8" t="str">
        <x:v>1.42 m diameter · 60 W at maximum speed. Speed steps: 1: 1.3 m3/s, 18 W, 32 dBA, 110 rpm; 2: 2 m3/s, 34 W, 38 dBA, 170 rpm; 3: 2.8 m3/s, 60 W, 45 dBA, 240 rpm</x:v>
      </x:c>
      <x:c r="N17" s="11" t="n">
        <x:v>60</x:v>
      </x:c>
      <x:c r="O17" s="11" t="n">
        <x:v>0</x:v>
      </x:c>
      <x:c r="P17" s="11" t="n">
        <x:v>0</x:v>
      </x:c>
      <x:c r="Q17" s="9"/>
      <x:c r="R17" s="9"/>
      <x:c r="S17" s="9"/>
      <x:c r="T17" s="9"/>
      <x:c r="U17" s="9"/>
      <x:c r="V17" s="9"/>
      <x:c r="W17" s="13"/>
      <x:c r="X17" s="13"/>
      <x:c r="Y17" s="13"/>
      <x:c r="Z17" s="9"/>
      <x:c r="AA17" s="8" t="str">
        <x:v>Current</x:v>
      </x:c>
      <x:c r="AB17" s="8" t="str">
        <x:v>drop:FC1:F1:fan:-1:F236</x:v>
      </x:c>
      <x:c r="AC17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18" ht="96" customHeight="1">
      <x:c r="A18" s="8" t="str">
        <x:v>F237</x:v>
      </x:c>
      <x:c r="B18" s="8" t="str">
        <x:v>Ceiling fan · bay 7–8 · H aisle</x:v>
      </x:c>
      <x:c r="C18" s="8" t="str">
        <x:v>fan</x:v>
      </x:c>
      <x:c r="D18" s="8" t="str">
        <x:v>DB1</x:v>
      </x:c>
      <x:c r="E18" s="8" t="str">
        <x:v>F1</x:v>
      </x:c>
      <x:c r="F18" s="11" t="n">
        <x:v>30.225</x:v>
      </x:c>
      <x:c r="G18" s="11" t="n">
        <x:v>4.2</x:v>
      </x:c>
      <x:c r="H18" s="11" t="n">
        <x:v>3.6</x:v>
      </x:c>
      <x:c r="I18" s="8" t="str">
        <x:v>pendant</x:v>
      </x:c>
      <x:c r="J18" s="8" t="str">
        <x:v>Shown</x:v>
      </x:c>
      <x:c r="K18" s="8" t="str">
        <x:v>On</x:v>
      </x:c>
      <x:c r="L18" s="8" t="str">
        <x:v>1323 × 255 × 1391</x:v>
      </x:c>
      <x:c r="M18" s="8" t="str">
        <x:v>1.42 m diameter · 60 W at maximum speed. Speed steps: 1: 1.3 m3/s, 18 W, 32 dBA, 110 rpm; 2: 2 m3/s, 34 W, 38 dBA, 170 rpm; 3: 2.8 m3/s, 60 W, 45 dBA, 240 rpm</x:v>
      </x:c>
      <x:c r="N18" s="11" t="n">
        <x:v>60</x:v>
      </x:c>
      <x:c r="O18" s="11" t="n">
        <x:v>0</x:v>
      </x:c>
      <x:c r="P18" s="11" t="n">
        <x:v>0</x:v>
      </x:c>
      <x:c r="Q18" s="9"/>
      <x:c r="R18" s="9"/>
      <x:c r="S18" s="9"/>
      <x:c r="T18" s="9"/>
      <x:c r="U18" s="9"/>
      <x:c r="V18" s="9"/>
      <x:c r="W18" s="13"/>
      <x:c r="X18" s="13"/>
      <x:c r="Y18" s="13"/>
      <x:c r="Z18" s="9"/>
      <x:c r="AA18" s="8" t="str">
        <x:v>Current</x:v>
      </x:c>
      <x:c r="AB18" s="8" t="str">
        <x:v>drop:FC1:F1:fan:1:F237</x:v>
      </x:c>
      <x:c r="AC18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19" ht="96" customHeight="1">
      <x:c r="A19" s="8" t="str">
        <x:v>F238</x:v>
      </x:c>
      <x:c r="B19" s="8" t="str">
        <x:v>Ceiling fan · bay 8–9 · B aisle</x:v>
      </x:c>
      <x:c r="C19" s="8" t="str">
        <x:v>fan</x:v>
      </x:c>
      <x:c r="D19" s="8" t="str">
        <x:v>DB1</x:v>
      </x:c>
      <x:c r="E19" s="8" t="str">
        <x:v>F1</x:v>
      </x:c>
      <x:c r="F19" s="11" t="n">
        <x:v>34.725</x:v>
      </x:c>
      <x:c r="G19" s="11" t="n">
        <x:v>4.2</x:v>
      </x:c>
      <x:c r="H19" s="11" t="n">
        <x:v>-3.6</x:v>
      </x:c>
      <x:c r="I19" s="8" t="str">
        <x:v>pendant</x:v>
      </x:c>
      <x:c r="J19" s="8" t="str">
        <x:v>Shown</x:v>
      </x:c>
      <x:c r="K19" s="8" t="str">
        <x:v>On</x:v>
      </x:c>
      <x:c r="L19" s="8" t="str">
        <x:v>1323 × 255 × 1391</x:v>
      </x:c>
      <x:c r="M19" s="8" t="str">
        <x:v>1.42 m diameter · 60 W at maximum speed. Speed steps: 1: 1.3 m3/s, 18 W, 32 dBA, 110 rpm; 2: 2 m3/s, 34 W, 38 dBA, 170 rpm; 3: 2.8 m3/s, 60 W, 45 dBA, 240 rpm</x:v>
      </x:c>
      <x:c r="N19" s="11" t="n">
        <x:v>60</x:v>
      </x:c>
      <x:c r="O19" s="11" t="n">
        <x:v>0</x:v>
      </x:c>
      <x:c r="P19" s="11" t="n">
        <x:v>0</x:v>
      </x:c>
      <x:c r="Q19" s="9"/>
      <x:c r="R19" s="9"/>
      <x:c r="S19" s="9"/>
      <x:c r="T19" s="9"/>
      <x:c r="U19" s="9"/>
      <x:c r="V19" s="9"/>
      <x:c r="W19" s="13"/>
      <x:c r="X19" s="13"/>
      <x:c r="Y19" s="13"/>
      <x:c r="Z19" s="9"/>
      <x:c r="AA19" s="8" t="str">
        <x:v>Current</x:v>
      </x:c>
      <x:c r="AB19" s="8" t="str">
        <x:v>drop:FC1:F1:fan:-1:F238</x:v>
      </x:c>
      <x:c r="AC19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20" ht="96" customHeight="1">
      <x:c r="A20" s="8" t="str">
        <x:v>F239</x:v>
      </x:c>
      <x:c r="B20" s="8" t="str">
        <x:v>Ceiling fan · bay 8–9 · H aisle</x:v>
      </x:c>
      <x:c r="C20" s="8" t="str">
        <x:v>fan</x:v>
      </x:c>
      <x:c r="D20" s="8" t="str">
        <x:v>DB1</x:v>
      </x:c>
      <x:c r="E20" s="8" t="str">
        <x:v>F1</x:v>
      </x:c>
      <x:c r="F20" s="11" t="n">
        <x:v>34.725</x:v>
      </x:c>
      <x:c r="G20" s="11" t="n">
        <x:v>4.2</x:v>
      </x:c>
      <x:c r="H20" s="11" t="n">
        <x:v>3.6</x:v>
      </x:c>
      <x:c r="I20" s="8" t="str">
        <x:v>pendant</x:v>
      </x:c>
      <x:c r="J20" s="8" t="str">
        <x:v>Shown</x:v>
      </x:c>
      <x:c r="K20" s="8" t="str">
        <x:v>On</x:v>
      </x:c>
      <x:c r="L20" s="8" t="str">
        <x:v>1323 × 255 × 1391</x:v>
      </x:c>
      <x:c r="M20" s="8" t="str">
        <x:v>1.42 m diameter · 60 W at maximum speed. Speed steps: 1: 1.3 m3/s, 18 W, 32 dBA, 110 rpm; 2: 2 m3/s, 34 W, 38 dBA, 170 rpm; 3: 2.8 m3/s, 60 W, 45 dBA, 240 rpm</x:v>
      </x:c>
      <x:c r="N20" s="11" t="n">
        <x:v>60</x:v>
      </x:c>
      <x:c r="O20" s="11" t="n">
        <x:v>0</x:v>
      </x:c>
      <x:c r="P20" s="11" t="n">
        <x:v>0</x:v>
      </x:c>
      <x:c r="Q20" s="9"/>
      <x:c r="R20" s="9"/>
      <x:c r="S20" s="9"/>
      <x:c r="T20" s="9"/>
      <x:c r="U20" s="9"/>
      <x:c r="V20" s="9"/>
      <x:c r="W20" s="13"/>
      <x:c r="X20" s="13"/>
      <x:c r="Y20" s="13"/>
      <x:c r="Z20" s="9"/>
      <x:c r="AA20" s="8" t="str">
        <x:v>Current</x:v>
      </x:c>
      <x:c r="AB20" s="8" t="str">
        <x:v>drop:FC1:F1:fan:1:F239</x:v>
      </x:c>
      <x:c r="AC20" s="8" t="str">
        <x:v>{"dim":1,"speed":2,"anchorY":8.73,"note":"Downrod from a hanger under the column-line beam B03 at mid-span, with an anti-sway restraint. B03 section, connections and fan loads: structural engineer to verify."}</x:v>
      </x:c>
    </x:row>
    <x:row r="21" ht="96" customHeight="1">
      <x:c r="A21" s="8" t="str">
        <x:v>F240</x:v>
      </x:c>
      <x:c r="B21" s="8" t="str">
        <x:v>Wall fan · wing B · 1 · held review</x:v>
      </x:c>
      <x:c r="C21" s="8" t="str">
        <x:v>fan</x:v>
      </x:c>
      <x:c r="D21" s="8" t="str">
        <x:v>DB1</x:v>
      </x:c>
      <x:c r="E21" s="8" t="str">
        <x:v>F5</x:v>
      </x:c>
      <x:c r="F21" s="11" t="n">
        <x:v>38.05</x:v>
      </x:c>
      <x:c r="G21" s="11" t="n">
        <x:v>4.05</x:v>
      </x:c>
      <x:c r="H21" s="11" t="n">
        <x:v>-13.06</x:v>
      </x:c>
      <x:c r="I21" s="8" t="str">
        <x:v>wall</x:v>
      </x:c>
      <x:c r="J21" s="8" t="str">
        <x:v>Shown</x:v>
      </x:c>
      <x:c r="K21" s="8" t="str">
        <x:v>On</x:v>
      </x:c>
      <x:c r="L21" s="8" t="str">
        <x:v>665 × 490 × 490</x:v>
      </x:c>
      <x:c r="M21" s="8" t="str">
        <x:v>0.45 m diameter · 55 W at maximum speed. Speed steps: 1: 0.45 m3/s, 35 W, 47 dBA, 900 rpm; 2: 0.6 m3/s, 45 W, 52 dBA, 1100 rpm; 3: 0.75 m3/s, 55 W, 57 dBA, 1300 rpm</x:v>
      </x:c>
      <x:c r="N21" s="11" t="n">
        <x:v>55</x:v>
      </x:c>
      <x:c r="O21" s="11" t="n">
        <x:v>72.99417126631943</x:v>
      </x:c>
      <x:c r="P21" s="11" t="n">
        <x:v>-51.090325667206876</x:v>
      </x:c>
      <x:c r="Q21" s="9"/>
      <x:c r="R21" s="9"/>
      <x:c r="S21" s="9"/>
      <x:c r="T21" s="9"/>
      <x:c r="U21" s="9"/>
      <x:c r="V21" s="9"/>
      <x:c r="W21" s="13"/>
      <x:c r="X21" s="13"/>
      <x:c r="Y21" s="13"/>
      <x:c r="Z21" s="9"/>
      <x:c r="AA21" s="8" t="str">
        <x:v>Current</x:v>
      </x:c>
      <x:c r="AB21" s="8" t="str">
        <x:v>drop:FC1:F5:fan:-1:F240</x:v>
      </x:c>
      <x:c r="AC21" s="8" t="str">
        <x:v>{"dim":1,"speed":1,"note":"ENGINEERING HOLD: two fans per wing above window openings, clear of central saints strip. Same catalog flow/power/noise; extended bracket proxy unverified. Air, noise, speech, mounting, concealment an"}</x:v>
      </x:c>
    </x:row>
    <x:row r="22" ht="96" customHeight="1">
      <x:c r="A22" s="8" t="str">
        <x:v>F241</x:v>
      </x:c>
      <x:c r="B22" s="8" t="str">
        <x:v>Wall fan · wing B · 2 · held review</x:v>
      </x:c>
      <x:c r="C22" s="8" t="str">
        <x:v>fan</x:v>
      </x:c>
      <x:c r="D22" s="8" t="str">
        <x:v>DB1</x:v>
      </x:c>
      <x:c r="E22" s="8" t="str">
        <x:v>F5</x:v>
      </x:c>
      <x:c r="F22" s="11" t="n">
        <x:v>43.1</x:v>
      </x:c>
      <x:c r="G22" s="11" t="n">
        <x:v>4.05</x:v>
      </x:c>
      <x:c r="H22" s="11" t="n">
        <x:v>-13.06</x:v>
      </x:c>
      <x:c r="I22" s="8" t="str">
        <x:v>wall</x:v>
      </x:c>
      <x:c r="J22" s="8" t="str">
        <x:v>Shown</x:v>
      </x:c>
      <x:c r="K22" s="8" t="str">
        <x:v>On</x:v>
      </x:c>
      <x:c r="L22" s="8" t="str">
        <x:v>665 × 490 × 490</x:v>
      </x:c>
      <x:c r="M22" s="8" t="str">
        <x:v>0.45 m diameter · 55 W at maximum speed. Speed steps: 1: 0.45 m3/s, 35 W, 47 dBA, 900 rpm; 2: 0.6 m3/s, 45 W, 52 dBA, 1100 rpm; 3: 0.75 m3/s, 55 W, 57 dBA, 1300 rpm</x:v>
      </x:c>
      <x:c r="N22" s="11" t="n">
        <x:v>55</x:v>
      </x:c>
      <x:c r="O22" s="11" t="n">
        <x:v>106.8256052315808</x:v>
      </x:c>
      <x:c r="P22" s="11" t="n">
        <x:v>-51.11711106599782</x:v>
      </x:c>
      <x:c r="Q22" s="9"/>
      <x:c r="R22" s="9"/>
      <x:c r="S22" s="9"/>
      <x:c r="T22" s="9"/>
      <x:c r="U22" s="9"/>
      <x:c r="V22" s="9"/>
      <x:c r="W22" s="13"/>
      <x:c r="X22" s="13"/>
      <x:c r="Y22" s="13"/>
      <x:c r="Z22" s="9"/>
      <x:c r="AA22" s="8" t="str">
        <x:v>Current</x:v>
      </x:c>
      <x:c r="AB22" s="8" t="str">
        <x:v>drop:FC1:F5:fan:-1:F241</x:v>
      </x:c>
      <x:c r="AC22" s="8" t="str">
        <x:v>{"dim":1,"speed":1,"note":"ENGINEERING HOLD: two fans per wing above window openings, clear of central saints strip. Same catalog flow/power/noise; extended bracket proxy unverified. Air, noise, speech, mounting, concealment an"}</x:v>
      </x:c>
    </x:row>
    <x:row r="23" ht="96" customHeight="1">
      <x:c r="A23" s="8" t="str">
        <x:v>F242</x:v>
      </x:c>
      <x:c r="B23" s="8" t="str">
        <x:v>Wall fan · wing H · 1 · held review</x:v>
      </x:c>
      <x:c r="C23" s="8" t="str">
        <x:v>fan</x:v>
      </x:c>
      <x:c r="D23" s="8" t="str">
        <x:v>DB1</x:v>
      </x:c>
      <x:c r="E23" s="8" t="str">
        <x:v>F5</x:v>
      </x:c>
      <x:c r="F23" s="11" t="n">
        <x:v>38.05</x:v>
      </x:c>
      <x:c r="G23" s="11" t="n">
        <x:v>4.05</x:v>
      </x:c>
      <x:c r="H23" s="11" t="n">
        <x:v>13.06</x:v>
      </x:c>
      <x:c r="I23" s="8" t="str">
        <x:v>wall</x:v>
      </x:c>
      <x:c r="J23" s="8" t="str">
        <x:v>Shown</x:v>
      </x:c>
      <x:c r="K23" s="8" t="str">
        <x:v>On</x:v>
      </x:c>
      <x:c r="L23" s="8" t="str">
        <x:v>665 × 490 × 490</x:v>
      </x:c>
      <x:c r="M23" s="8" t="str">
        <x:v>0.45 m diameter · 55 W at maximum speed. Speed steps: 1: 0.45 m3/s, 35 W, 47 dBA, 900 rpm; 2: 0.6 m3/s, 45 W, 52 dBA, 1100 rpm; 3: 0.75 m3/s, 55 W, 57 dBA, 1300 rpm</x:v>
      </x:c>
      <x:c r="N23" s="11" t="n">
        <x:v>55</x:v>
      </x:c>
      <x:c r="O23" s="11" t="n">
        <x:v>-72.99417126631943</x:v>
      </x:c>
      <x:c r="P23" s="11" t="n">
        <x:v>-51.090325667206876</x:v>
      </x:c>
      <x:c r="Q23" s="9"/>
      <x:c r="R23" s="9"/>
      <x:c r="S23" s="9"/>
      <x:c r="T23" s="9"/>
      <x:c r="U23" s="9"/>
      <x:c r="V23" s="9"/>
      <x:c r="W23" s="13"/>
      <x:c r="X23" s="13"/>
      <x:c r="Y23" s="13"/>
      <x:c r="Z23" s="9"/>
      <x:c r="AA23" s="8" t="str">
        <x:v>Current</x:v>
      </x:c>
      <x:c r="AB23" s="8" t="str">
        <x:v>drop:FC1:F5:fan:1:F242</x:v>
      </x:c>
      <x:c r="AC23" s="8" t="str">
        <x:v>{"dim":1,"speed":1,"note":"ENGINEERING HOLD: two fans per wing above window openings, clear of central saints strip. Same catalog flow/power/noise; extended bracket proxy unverified. Air, noise, speech, mounting, concealment an"}</x:v>
      </x:c>
    </x:row>
    <x:row r="24" ht="96" customHeight="1">
      <x:c r="A24" s="8" t="str">
        <x:v>F243</x:v>
      </x:c>
      <x:c r="B24" s="8" t="str">
        <x:v>Wall fan · wing H · 2 · held review</x:v>
      </x:c>
      <x:c r="C24" s="8" t="str">
        <x:v>fan</x:v>
      </x:c>
      <x:c r="D24" s="8" t="str">
        <x:v>DB1</x:v>
      </x:c>
      <x:c r="E24" s="8" t="str">
        <x:v>F5</x:v>
      </x:c>
      <x:c r="F24" s="11" t="n">
        <x:v>43.1</x:v>
      </x:c>
      <x:c r="G24" s="11" t="n">
        <x:v>4.05</x:v>
      </x:c>
      <x:c r="H24" s="11" t="n">
        <x:v>13.06</x:v>
      </x:c>
      <x:c r="I24" s="8" t="str">
        <x:v>wall</x:v>
      </x:c>
      <x:c r="J24" s="8" t="str">
        <x:v>Shown</x:v>
      </x:c>
      <x:c r="K24" s="8" t="str">
        <x:v>On</x:v>
      </x:c>
      <x:c r="L24" s="8" t="str">
        <x:v>665 × 490 × 490</x:v>
      </x:c>
      <x:c r="M24" s="8" t="str">
        <x:v>0.45 m diameter · 55 W at maximum speed. Speed steps: 1: 0.45 m3/s, 35 W, 47 dBA, 900 rpm; 2: 0.6 m3/s, 45 W, 52 dBA, 1100 rpm; 3: 0.75 m3/s, 55 W, 57 dBA, 1300 rpm</x:v>
      </x:c>
      <x:c r="N24" s="11" t="n">
        <x:v>55</x:v>
      </x:c>
      <x:c r="O24" s="11" t="n">
        <x:v>-106.8256052315808</x:v>
      </x:c>
      <x:c r="P24" s="11" t="n">
        <x:v>-51.11711106599782</x:v>
      </x:c>
      <x:c r="Q24" s="9"/>
      <x:c r="R24" s="9"/>
      <x:c r="S24" s="9"/>
      <x:c r="T24" s="9"/>
      <x:c r="U24" s="9"/>
      <x:c r="V24" s="9"/>
      <x:c r="W24" s="13"/>
      <x:c r="X24" s="13"/>
      <x:c r="Y24" s="13"/>
      <x:c r="Z24" s="9"/>
      <x:c r="AA24" s="8" t="str">
        <x:v>Current</x:v>
      </x:c>
      <x:c r="AB24" s="8" t="str">
        <x:v>drop:FC1:F5:fan:1:F243</x:v>
      </x:c>
      <x:c r="AC24" s="8" t="str">
        <x:v>{"dim":1,"speed":1,"note":"ENGINEERING HOLD: two fans per wing above window openings, clear of central saints strip. Same catalog flow/power/noise; extended bracket proxy unverified. Air, noise, speech, mounting, concealment an"}</x:v>
      </x:c>
    </x:row>
    <x:row r="25" ht="96" customHeight="1">
      <x:c r="A25" s="8" t="str">
        <x:v>F244</x:v>
      </x:c>
      <x:c r="B25" s="8" t="str">
        <x:v>Wall fan · axis 4 · B</x:v>
      </x:c>
      <x:c r="C25" s="8" t="str">
        <x:v>fan</x:v>
      </x:c>
      <x:c r="D25" s="8" t="str">
        <x:v>DB1</x:v>
      </x:c>
      <x:c r="E25" s="8" t="str">
        <x:v>F2</x:v>
      </x:c>
      <x:c r="F25" s="11" t="n">
        <x:v>14.475</x:v>
      </x:c>
      <x:c r="G25" s="11" t="n">
        <x:v>5.55</x:v>
      </x:c>
      <x:c r="H25" s="11" t="n">
        <x:v>-7.07</x:v>
      </x:c>
      <x:c r="I25" s="8" t="str">
        <x:v>wall</x:v>
      </x:c>
      <x:c r="J25" s="8" t="str">
        <x:v>Shown</x:v>
      </x:c>
      <x:c r="K25" s="8" t="str">
        <x:v>Off</x:v>
      </x:c>
      <x:c r="L25" s="8" t="str">
        <x:v>665 × 490 × 490</x:v>
      </x:c>
      <x:c r="M25" s="8" t="str">
        <x:v>0.45 m diameter · 55 W at maximum speed. Speed steps: 1: 0.45 m3/s, 35 W, 47 dBA, 900 rpm; 2: 0.6 m3/s, 45 W, 52 dBA, 1100 rpm; 3: 0.75 m3/s, 55 W, 57 dBA, 1300 rpm</x:v>
      </x:c>
      <x:c r="N25" s="11" t="n">
        <x:v>55</x:v>
      </x:c>
      <x:c r="O25" s="11" t="n">
        <x:v>90</x:v>
      </x:c>
      <x:c r="P25" s="11" t="n">
        <x:v>-38</x:v>
      </x:c>
      <x:c r="Q25" s="9"/>
      <x:c r="R25" s="9"/>
      <x:c r="S25" s="9"/>
      <x:c r="T25" s="9"/>
      <x:c r="U25" s="9"/>
      <x:c r="V25" s="9"/>
      <x:c r="W25" s="13"/>
      <x:c r="X25" s="13"/>
      <x:c r="Y25" s="13"/>
      <x:c r="Z25" s="9"/>
      <x:c r="AA25" s="8" t="str">
        <x:v>Current</x:v>
      </x:c>
      <x:c r="AB25" s="8" t="str">
        <x:v>drop:FC1:F2:fan:-1:F244</x:v>
      </x:c>
      <x:c r="AC25" s="8" t="str">
        <x:v>{"dim":1,"speed":1}</x:v>
      </x:c>
    </x:row>
    <x:row r="26" ht="96" customHeight="1">
      <x:c r="A26" s="8" t="str">
        <x:v>F245</x:v>
      </x:c>
      <x:c r="B26" s="8" t="str">
        <x:v>Wall fan · axis 4 · H</x:v>
      </x:c>
      <x:c r="C26" s="8" t="str">
        <x:v>fan</x:v>
      </x:c>
      <x:c r="D26" s="8" t="str">
        <x:v>DB1</x:v>
      </x:c>
      <x:c r="E26" s="8" t="str">
        <x:v>F2</x:v>
      </x:c>
      <x:c r="F26" s="11" t="n">
        <x:v>14.475</x:v>
      </x:c>
      <x:c r="G26" s="11" t="n">
        <x:v>5.55</x:v>
      </x:c>
      <x:c r="H26" s="11" t="n">
        <x:v>7.07</x:v>
      </x:c>
      <x:c r="I26" s="8" t="str">
        <x:v>wall</x:v>
      </x:c>
      <x:c r="J26" s="8" t="str">
        <x:v>Shown</x:v>
      </x:c>
      <x:c r="K26" s="8" t="str">
        <x:v>Off</x:v>
      </x:c>
      <x:c r="L26" s="8" t="str">
        <x:v>665 × 490 × 490</x:v>
      </x:c>
      <x:c r="M26" s="8" t="str">
        <x:v>0.45 m diameter · 55 W at maximum speed. Speed steps: 1: 0.45 m3/s, 35 W, 47 dBA, 900 rpm; 2: 0.6 m3/s, 45 W, 52 dBA, 1100 rpm; 3: 0.75 m3/s, 55 W, 57 dBA, 1300 rpm</x:v>
      </x:c>
      <x:c r="N26" s="11" t="n">
        <x:v>55</x:v>
      </x:c>
      <x:c r="O26" s="11" t="n">
        <x:v>-90</x:v>
      </x:c>
      <x:c r="P26" s="11" t="n">
        <x:v>-38</x:v>
      </x:c>
      <x:c r="Q26" s="9"/>
      <x:c r="R26" s="9"/>
      <x:c r="S26" s="9"/>
      <x:c r="T26" s="9"/>
      <x:c r="U26" s="9"/>
      <x:c r="V26" s="9"/>
      <x:c r="W26" s="13"/>
      <x:c r="X26" s="13"/>
      <x:c r="Y26" s="13"/>
      <x:c r="Z26" s="9"/>
      <x:c r="AA26" s="8" t="str">
        <x:v>Current</x:v>
      </x:c>
      <x:c r="AB26" s="8" t="str">
        <x:v>drop:FC1:F2:fan:1:F245</x:v>
      </x:c>
      <x:c r="AC26" s="8" t="str">
        <x:v>{"dim":1,"speed":1}</x:v>
      </x:c>
    </x:row>
    <x:row r="27" ht="96" customHeight="1">
      <x:c r="A27" s="8" t="str">
        <x:v>F246</x:v>
      </x:c>
      <x:c r="B27" s="8" t="str">
        <x:v>Wall fan · axis 6 · B</x:v>
      </x:c>
      <x:c r="C27" s="8" t="str">
        <x:v>fan</x:v>
      </x:c>
      <x:c r="D27" s="8" t="str">
        <x:v>DB1</x:v>
      </x:c>
      <x:c r="E27" s="8" t="str">
        <x:v>F2</x:v>
      </x:c>
      <x:c r="F27" s="11" t="n">
        <x:v>23.475</x:v>
      </x:c>
      <x:c r="G27" s="11" t="n">
        <x:v>5.55</x:v>
      </x:c>
      <x:c r="H27" s="11" t="n">
        <x:v>-7.07</x:v>
      </x:c>
      <x:c r="I27" s="8" t="str">
        <x:v>wall</x:v>
      </x:c>
      <x:c r="J27" s="8" t="str">
        <x:v>Shown</x:v>
      </x:c>
      <x:c r="K27" s="8" t="str">
        <x:v>Off</x:v>
      </x:c>
      <x:c r="L27" s="8" t="str">
        <x:v>665 × 490 × 490</x:v>
      </x:c>
      <x:c r="M27" s="8" t="str">
        <x:v>0.45 m diameter · 55 W at maximum speed. Speed steps: 1: 0.45 m3/s, 35 W, 47 dBA, 900 rpm; 2: 0.6 m3/s, 45 W, 52 dBA, 1100 rpm; 3: 0.75 m3/s, 55 W, 57 dBA, 1300 rpm</x:v>
      </x:c>
      <x:c r="N27" s="11" t="n">
        <x:v>55</x:v>
      </x:c>
      <x:c r="O27" s="11" t="n">
        <x:v>90</x:v>
      </x:c>
      <x:c r="P27" s="11" t="n">
        <x:v>-38</x:v>
      </x:c>
      <x:c r="Q27" s="9"/>
      <x:c r="R27" s="9"/>
      <x:c r="S27" s="9"/>
      <x:c r="T27" s="9"/>
      <x:c r="U27" s="9"/>
      <x:c r="V27" s="9"/>
      <x:c r="W27" s="13"/>
      <x:c r="X27" s="13"/>
      <x:c r="Y27" s="13"/>
      <x:c r="Z27" s="9"/>
      <x:c r="AA27" s="8" t="str">
        <x:v>Current</x:v>
      </x:c>
      <x:c r="AB27" s="8" t="str">
        <x:v>drop:FC1:F2:fan:-1:F246</x:v>
      </x:c>
      <x:c r="AC27" s="8" t="str">
        <x:v>{"dim":1,"speed":1}</x:v>
      </x:c>
    </x:row>
    <x:row r="28" ht="96" customHeight="1">
      <x:c r="A28" s="8" t="str">
        <x:v>F247</x:v>
      </x:c>
      <x:c r="B28" s="8" t="str">
        <x:v>Wall fan · axis 6 · H</x:v>
      </x:c>
      <x:c r="C28" s="8" t="str">
        <x:v>fan</x:v>
      </x:c>
      <x:c r="D28" s="8" t="str">
        <x:v>DB1</x:v>
      </x:c>
      <x:c r="E28" s="8" t="str">
        <x:v>F2</x:v>
      </x:c>
      <x:c r="F28" s="11" t="n">
        <x:v>23.475</x:v>
      </x:c>
      <x:c r="G28" s="11" t="n">
        <x:v>5.55</x:v>
      </x:c>
      <x:c r="H28" s="11" t="n">
        <x:v>7.07</x:v>
      </x:c>
      <x:c r="I28" s="8" t="str">
        <x:v>wall</x:v>
      </x:c>
      <x:c r="J28" s="8" t="str">
        <x:v>Shown</x:v>
      </x:c>
      <x:c r="K28" s="8" t="str">
        <x:v>Off</x:v>
      </x:c>
      <x:c r="L28" s="8" t="str">
        <x:v>665 × 490 × 490</x:v>
      </x:c>
      <x:c r="M28" s="8" t="str">
        <x:v>0.45 m diameter · 55 W at maximum speed. Speed steps: 1: 0.45 m3/s, 35 W, 47 dBA, 900 rpm; 2: 0.6 m3/s, 45 W, 52 dBA, 1100 rpm; 3: 0.75 m3/s, 55 W, 57 dBA, 1300 rpm</x:v>
      </x:c>
      <x:c r="N28" s="11" t="n">
        <x:v>55</x:v>
      </x:c>
      <x:c r="O28" s="11" t="n">
        <x:v>-90</x:v>
      </x:c>
      <x:c r="P28" s="11" t="n">
        <x:v>-38</x:v>
      </x:c>
      <x:c r="Q28" s="9"/>
      <x:c r="R28" s="9"/>
      <x:c r="S28" s="9"/>
      <x:c r="T28" s="9"/>
      <x:c r="U28" s="9"/>
      <x:c r="V28" s="9"/>
      <x:c r="W28" s="13"/>
      <x:c r="X28" s="13"/>
      <x:c r="Y28" s="13"/>
      <x:c r="Z28" s="9"/>
      <x:c r="AA28" s="8" t="str">
        <x:v>Current</x:v>
      </x:c>
      <x:c r="AB28" s="8" t="str">
        <x:v>drop:FC1:F2:fan:1:F247</x:v>
      </x:c>
      <x:c r="AC28" s="8" t="str">
        <x:v>{"dim":1,"speed":1}</x:v>
      </x:c>
    </x:row>
    <x:row r="29" ht="96" customHeight="1">
      <x:c r="A29" s="8" t="str">
        <x:v>F248</x:v>
      </x:c>
      <x:c r="B29" s="8" t="str">
        <x:v>Wall fan · axis 8 · B</x:v>
      </x:c>
      <x:c r="C29" s="8" t="str">
        <x:v>fan</x:v>
      </x:c>
      <x:c r="D29" s="8" t="str">
        <x:v>DB1</x:v>
      </x:c>
      <x:c r="E29" s="8" t="str">
        <x:v>F2</x:v>
      </x:c>
      <x:c r="F29" s="11" t="n">
        <x:v>32.475</x:v>
      </x:c>
      <x:c r="G29" s="11" t="n">
        <x:v>5.55</x:v>
      </x:c>
      <x:c r="H29" s="11" t="n">
        <x:v>-7.07</x:v>
      </x:c>
      <x:c r="I29" s="8" t="str">
        <x:v>wall</x:v>
      </x:c>
      <x:c r="J29" s="8" t="str">
        <x:v>Shown</x:v>
      </x:c>
      <x:c r="K29" s="8" t="str">
        <x:v>Off</x:v>
      </x:c>
      <x:c r="L29" s="8" t="str">
        <x:v>665 × 490 × 490</x:v>
      </x:c>
      <x:c r="M29" s="8" t="str">
        <x:v>0.45 m diameter · 55 W at maximum speed. Speed steps: 1: 0.45 m3/s, 35 W, 47 dBA, 900 rpm; 2: 0.6 m3/s, 45 W, 52 dBA, 1100 rpm; 3: 0.75 m3/s, 55 W, 57 dBA, 1300 rpm</x:v>
      </x:c>
      <x:c r="N29" s="11" t="n">
        <x:v>55</x:v>
      </x:c>
      <x:c r="O29" s="11" t="n">
        <x:v>90</x:v>
      </x:c>
      <x:c r="P29" s="11" t="n">
        <x:v>-38</x:v>
      </x:c>
      <x:c r="Q29" s="9"/>
      <x:c r="R29" s="9"/>
      <x:c r="S29" s="9"/>
      <x:c r="T29" s="9"/>
      <x:c r="U29" s="9"/>
      <x:c r="V29" s="9"/>
      <x:c r="W29" s="13"/>
      <x:c r="X29" s="13"/>
      <x:c r="Y29" s="13"/>
      <x:c r="Z29" s="9"/>
      <x:c r="AA29" s="8" t="str">
        <x:v>Current</x:v>
      </x:c>
      <x:c r="AB29" s="8" t="str">
        <x:v>drop:FC1:F2:fan:-1:F248</x:v>
      </x:c>
      <x:c r="AC29" s="8" t="str">
        <x:v>{"dim":1,"speed":1}</x:v>
      </x:c>
    </x:row>
    <x:row r="30" ht="96" customHeight="1">
      <x:c r="A30" s="8" t="str">
        <x:v>F249</x:v>
      </x:c>
      <x:c r="B30" s="8" t="str">
        <x:v>Wall fan · axis 8 · H</x:v>
      </x:c>
      <x:c r="C30" s="8" t="str">
        <x:v>fan</x:v>
      </x:c>
      <x:c r="D30" s="8" t="str">
        <x:v>DB1</x:v>
      </x:c>
      <x:c r="E30" s="8" t="str">
        <x:v>F2</x:v>
      </x:c>
      <x:c r="F30" s="11" t="n">
        <x:v>32.475</x:v>
      </x:c>
      <x:c r="G30" s="11" t="n">
        <x:v>5.55</x:v>
      </x:c>
      <x:c r="H30" s="11" t="n">
        <x:v>7.07</x:v>
      </x:c>
      <x:c r="I30" s="8" t="str">
        <x:v>wall</x:v>
      </x:c>
      <x:c r="J30" s="8" t="str">
        <x:v>Shown</x:v>
      </x:c>
      <x:c r="K30" s="8" t="str">
        <x:v>Off</x:v>
      </x:c>
      <x:c r="L30" s="8" t="str">
        <x:v>665 × 490 × 490</x:v>
      </x:c>
      <x:c r="M30" s="8" t="str">
        <x:v>0.45 m diameter · 55 W at maximum speed. Speed steps: 1: 0.45 m3/s, 35 W, 47 dBA, 900 rpm; 2: 0.6 m3/s, 45 W, 52 dBA, 1100 rpm; 3: 0.75 m3/s, 55 W, 57 dBA, 1300 rpm</x:v>
      </x:c>
      <x:c r="N30" s="11" t="n">
        <x:v>55</x:v>
      </x:c>
      <x:c r="O30" s="11" t="n">
        <x:v>-90</x:v>
      </x:c>
      <x:c r="P30" s="11" t="n">
        <x:v>-38</x:v>
      </x:c>
      <x:c r="Q30" s="9"/>
      <x:c r="R30" s="9"/>
      <x:c r="S30" s="9"/>
      <x:c r="T30" s="9"/>
      <x:c r="U30" s="9"/>
      <x:c r="V30" s="9"/>
      <x:c r="W30" s="13"/>
      <x:c r="X30" s="13"/>
      <x:c r="Y30" s="13"/>
      <x:c r="Z30" s="9"/>
      <x:c r="AA30" s="8" t="str">
        <x:v>Current</x:v>
      </x:c>
      <x:c r="AB30" s="8" t="str">
        <x:v>drop:FC1:F2:fan:1:F249</x:v>
      </x:c>
      <x:c r="AC30" s="8" t="str">
        <x:v>{"dim":1,"speed":1}</x:v>
      </x:c>
    </x:row>
    <x:row r="31" ht="96" customHeight="1">
      <x:c r="A31" s="8" t="str">
        <x:v>F250</x:v>
      </x:c>
      <x:c r="B31" s="8" t="str">
        <x:v>Entrance circulator · B</x:v>
      </x:c>
      <x:c r="C31" s="8" t="str">
        <x:v>fan</x:v>
      </x:c>
      <x:c r="D31" s="8" t="str">
        <x:v>DB2</x:v>
      </x:c>
      <x:c r="E31" s="8" t="str">
        <x:v>F4</x:v>
      </x:c>
      <x:c r="F31" s="11" t="n">
        <x:v>2.655</x:v>
      </x:c>
      <x:c r="G31" s="11" t="n">
        <x:v>6</x:v>
      </x:c>
      <x:c r="H31" s="11" t="n">
        <x:v>-3.05</x:v>
      </x:c>
      <x:c r="I31" s="8" t="str">
        <x:v>wall</x:v>
      </x:c>
      <x:c r="J31" s="8" t="str">
        <x:v>Shown</x:v>
      </x:c>
      <x:c r="K31" s="8" t="str">
        <x:v>Off</x:v>
      </x:c>
      <x:c r="L31" s="8" t="str">
        <x:v>769 × 958 × 958</x:v>
      </x:c>
      <x:c r="M31" s="8" t="str">
        <x:v>0.9 m diameter · 380 W at maximum speed. Speed steps: 1: 2.2 m3/s, 160 W, 52 dBA, 450 rpm; 2: 3.2 m3/s, 260 W, 58 dBA, 650 rpm; 3: 4.2 m3/s, 380 W, 64 dBA, 850 rpm</x:v>
      </x:c>
      <x:c r="N31" s="11" t="n">
        <x:v>380</x:v>
      </x:c>
      <x:c r="O31" s="11" t="n">
        <x:v>8</x:v>
      </x:c>
      <x:c r="P31" s="11" t="n">
        <x:v>-14</x:v>
      </x:c>
      <x:c r="Q31" s="9"/>
      <x:c r="R31" s="9"/>
      <x:c r="S31" s="9"/>
      <x:c r="T31" s="9"/>
      <x:c r="U31" s="9"/>
      <x:c r="V31" s="9"/>
      <x:c r="W31" s="13"/>
      <x:c r="X31" s="13"/>
      <x:c r="Y31" s="13"/>
      <x:c r="Z31" s="9"/>
      <x:c r="AA31" s="8" t="str">
        <x:v>Current</x:v>
      </x:c>
      <x:c r="AB31" s="8" t="str">
        <x:v>drop:DB2:F4:fan:-1:F250</x:v>
      </x:c>
      <x:c r="AC31" s="8" t="str">
        <x:v>{"dim":1,"speed":2}</x:v>
      </x:c>
    </x:row>
    <x:row r="32" ht="96" customHeight="1">
      <x:c r="A32" s="8" t="str">
        <x:v>F251</x:v>
      </x:c>
      <x:c r="B32" s="8" t="str">
        <x:v>Entrance circulator · H</x:v>
      </x:c>
      <x:c r="C32" s="8" t="str">
        <x:v>fan</x:v>
      </x:c>
      <x:c r="D32" s="8" t="str">
        <x:v>DB2</x:v>
      </x:c>
      <x:c r="E32" s="8" t="str">
        <x:v>F4</x:v>
      </x:c>
      <x:c r="F32" s="11" t="n">
        <x:v>2.655</x:v>
      </x:c>
      <x:c r="G32" s="11" t="n">
        <x:v>6</x:v>
      </x:c>
      <x:c r="H32" s="11" t="n">
        <x:v>3.05</x:v>
      </x:c>
      <x:c r="I32" s="8" t="str">
        <x:v>wall</x:v>
      </x:c>
      <x:c r="J32" s="8" t="str">
        <x:v>Shown</x:v>
      </x:c>
      <x:c r="K32" s="8" t="str">
        <x:v>Off</x:v>
      </x:c>
      <x:c r="L32" s="8" t="str">
        <x:v>769 × 958 × 958</x:v>
      </x:c>
      <x:c r="M32" s="8" t="str">
        <x:v>0.9 m diameter · 380 W at maximum speed. Speed steps: 1: 2.2 m3/s, 160 W, 52 dBA, 450 rpm; 2: 3.2 m3/s, 260 W, 58 dBA, 650 rpm; 3: 4.2 m3/s, 380 W, 64 dBA, 850 rpm</x:v>
      </x:c>
      <x:c r="N32" s="11" t="n">
        <x:v>380</x:v>
      </x:c>
      <x:c r="O32" s="11" t="n">
        <x:v>-8</x:v>
      </x:c>
      <x:c r="P32" s="11" t="n">
        <x:v>-14</x:v>
      </x:c>
      <x:c r="Q32" s="9"/>
      <x:c r="R32" s="9"/>
      <x:c r="S32" s="9"/>
      <x:c r="T32" s="9"/>
      <x:c r="U32" s="9"/>
      <x:c r="V32" s="9"/>
      <x:c r="W32" s="13"/>
      <x:c r="X32" s="13"/>
      <x:c r="Y32" s="13"/>
      <x:c r="Z32" s="9"/>
      <x:c r="AA32" s="8" t="str">
        <x:v>Current</x:v>
      </x:c>
      <x:c r="AB32" s="8" t="str">
        <x:v>drop:DB2:F4:fan:1:F251</x:v>
      </x:c>
      <x:c r="AC32" s="8" t="str">
        <x:v>{"dim":1,"speed":2}</x:v>
      </x:c>
    </x:row>
    <x:row r="33" ht="96" customHeight="1">
      <x:c r="A33" s="8" t="str">
        <x:v>F252</x:v>
      </x:c>
      <x:c r="B33" s="8" t="str">
        <x:v>Exhaust fan · front gable · B outer</x:v>
      </x:c>
      <x:c r="C33" s="8" t="str">
        <x:v>fan</x:v>
      </x:c>
      <x:c r="D33" s="8" t="str">
        <x:v>DB1</x:v>
      </x:c>
      <x:c r="E33" s="8" t="str">
        <x:v>V1</x:v>
      </x:c>
      <x:c r="F33" s="11" t="n">
        <x:v>5.48</x:v>
      </x:c>
      <x:c r="G33" s="11" t="n">
        <x:v>9.4</x:v>
      </x:c>
      <x:c r="H33" s="11" t="n">
        <x:v>-2.4</x:v>
      </x:c>
      <x:c r="I33" s="8" t="str">
        <x:v>wall</x:v>
      </x:c>
      <x:c r="J33" s="8" t="str">
        <x:v>Shown</x:v>
      </x:c>
      <x:c r="K33" s="8" t="str">
        <x:v>On</x:v>
      </x:c>
      <x:c r="L33" s="8" t="str">
        <x:v>112 × 620 × 620</x:v>
      </x:c>
      <x:c r="M33" s="8" t="str">
        <x:v>0.5 m diameter · 170 W at maximum speed. Speed steps: 1: 0.8 m3/s, 60 W, 40 dBA, 900 rpm; 2: 1.2 m3/s, 110 W, 46 dBA, 1300 rpm; 3: 1.6 m3/s, 170 W, 52 dBA, 1700 rpm</x:v>
      </x:c>
      <x:c r="N33" s="11" t="n">
        <x:v>170</x:v>
      </x:c>
      <x:c r="O33" s="11" t="n">
        <x:v>0</x:v>
      </x:c>
      <x:c r="P33" s="11" t="n">
        <x:v>0</x:v>
      </x:c>
      <x:c r="Q33" s="9"/>
      <x:c r="R33" s="9"/>
      <x:c r="S33" s="9"/>
      <x:c r="T33" s="9"/>
      <x:c r="U33" s="9"/>
      <x:c r="V33" s="9"/>
      <x:c r="W33" s="13"/>
      <x:c r="X33" s="13"/>
      <x:c r="Y33" s="13"/>
      <x:c r="Z33" s="9"/>
      <x:c r="AA33" s="8" t="str">
        <x:v>Current</x:v>
      </x:c>
      <x:c r="AB33" s="8" t="str">
        <x:v>drop:FC1:V1:fan:-1:F252</x:v>
      </x:c>
      <x:c r="AC33" s="8" t="str">
        <x:v>{"dim":1,"speed":1}</x:v>
      </x:c>
    </x:row>
    <x:row r="34" ht="96" customHeight="1">
      <x:c r="A34" s="8" t="str">
        <x:v>F253</x:v>
      </x:c>
      <x:c r="B34" s="8" t="str">
        <x:v>Exhaust fan · front gable · B inner</x:v>
      </x:c>
      <x:c r="C34" s="8" t="str">
        <x:v>fan</x:v>
      </x:c>
      <x:c r="D34" s="8" t="str">
        <x:v>DB1</x:v>
      </x:c>
      <x:c r="E34" s="8" t="str">
        <x:v>V1</x:v>
      </x:c>
      <x:c r="F34" s="11" t="n">
        <x:v>5.48</x:v>
      </x:c>
      <x:c r="G34" s="11" t="n">
        <x:v>9.4</x:v>
      </x:c>
      <x:c r="H34" s="11" t="n">
        <x:v>-0.8</x:v>
      </x:c>
      <x:c r="I34" s="8" t="str">
        <x:v>wall</x:v>
      </x:c>
      <x:c r="J34" s="8" t="str">
        <x:v>Shown</x:v>
      </x:c>
      <x:c r="K34" s="8" t="str">
        <x:v>On</x:v>
      </x:c>
      <x:c r="L34" s="8" t="str">
        <x:v>112 × 620 × 620</x:v>
      </x:c>
      <x:c r="M34" s="8" t="str">
        <x:v>0.5 m diameter · 170 W at maximum speed. Speed steps: 1: 0.8 m3/s, 60 W, 40 dBA, 900 rpm; 2: 1.2 m3/s, 110 W, 46 dBA, 1300 rpm; 3: 1.6 m3/s, 170 W, 52 dBA, 1700 rpm</x:v>
      </x:c>
      <x:c r="N34" s="11" t="n">
        <x:v>170</x:v>
      </x:c>
      <x:c r="O34" s="11" t="n">
        <x:v>0</x:v>
      </x:c>
      <x:c r="P34" s="11" t="n">
        <x:v>0</x:v>
      </x:c>
      <x:c r="Q34" s="9"/>
      <x:c r="R34" s="9"/>
      <x:c r="S34" s="9"/>
      <x:c r="T34" s="9"/>
      <x:c r="U34" s="9"/>
      <x:c r="V34" s="9"/>
      <x:c r="W34" s="13"/>
      <x:c r="X34" s="13"/>
      <x:c r="Y34" s="13"/>
      <x:c r="Z34" s="9"/>
      <x:c r="AA34" s="8" t="str">
        <x:v>Current</x:v>
      </x:c>
      <x:c r="AB34" s="8" t="str">
        <x:v>drop:FC1:V1:fan:-1:F253</x:v>
      </x:c>
      <x:c r="AC34" s="8" t="str">
        <x:v>{"dim":1,"speed":1}</x:v>
      </x:c>
    </x:row>
    <x:row r="35" ht="96" customHeight="1">
      <x:c r="A35" s="8" t="str">
        <x:v>F254</x:v>
      </x:c>
      <x:c r="B35" s="8" t="str">
        <x:v>Exhaust fan · front gable · H inner</x:v>
      </x:c>
      <x:c r="C35" s="8" t="str">
        <x:v>fan</x:v>
      </x:c>
      <x:c r="D35" s="8" t="str">
        <x:v>DB1</x:v>
      </x:c>
      <x:c r="E35" s="8" t="str">
        <x:v>V1</x:v>
      </x:c>
      <x:c r="F35" s="11" t="n">
        <x:v>5.48</x:v>
      </x:c>
      <x:c r="G35" s="11" t="n">
        <x:v>9.4</x:v>
      </x:c>
      <x:c r="H35" s="11" t="n">
        <x:v>0.8</x:v>
      </x:c>
      <x:c r="I35" s="8" t="str">
        <x:v>wall</x:v>
      </x:c>
      <x:c r="J35" s="8" t="str">
        <x:v>Shown</x:v>
      </x:c>
      <x:c r="K35" s="8" t="str">
        <x:v>On</x:v>
      </x:c>
      <x:c r="L35" s="8" t="str">
        <x:v>112 × 620 × 620</x:v>
      </x:c>
      <x:c r="M35" s="8" t="str">
        <x:v>0.5 m diameter · 170 W at maximum speed. Speed steps: 1: 0.8 m3/s, 60 W, 40 dBA, 900 rpm; 2: 1.2 m3/s, 110 W, 46 dBA, 1300 rpm; 3: 1.6 m3/s, 170 W, 52 dBA, 1700 rpm</x:v>
      </x:c>
      <x:c r="N35" s="11" t="n">
        <x:v>170</x:v>
      </x:c>
      <x:c r="O35" s="11" t="n">
        <x:v>0</x:v>
      </x:c>
      <x:c r="P35" s="11" t="n">
        <x:v>0</x:v>
      </x:c>
      <x:c r="Q35" s="9"/>
      <x:c r="R35" s="9"/>
      <x:c r="S35" s="9"/>
      <x:c r="T35" s="9"/>
      <x:c r="U35" s="9"/>
      <x:c r="V35" s="9"/>
      <x:c r="W35" s="13"/>
      <x:c r="X35" s="13"/>
      <x:c r="Y35" s="13"/>
      <x:c r="Z35" s="9"/>
      <x:c r="AA35" s="8" t="str">
        <x:v>Current</x:v>
      </x:c>
      <x:c r="AB35" s="8" t="str">
        <x:v>drop:FC1:V1:fan:1:F254</x:v>
      </x:c>
      <x:c r="AC35" s="8" t="str">
        <x:v>{"dim":1,"speed":1}</x:v>
      </x:c>
    </x:row>
    <x:row r="36" ht="96" customHeight="1">
      <x:c r="A36" s="8" t="str">
        <x:v>F255</x:v>
      </x:c>
      <x:c r="B36" s="8" t="str">
        <x:v>Exhaust fan · front gable · H outer</x:v>
      </x:c>
      <x:c r="C36" s="8" t="str">
        <x:v>fan</x:v>
      </x:c>
      <x:c r="D36" s="8" t="str">
        <x:v>DB1</x:v>
      </x:c>
      <x:c r="E36" s="8" t="str">
        <x:v>V1</x:v>
      </x:c>
      <x:c r="F36" s="11" t="n">
        <x:v>5.48</x:v>
      </x:c>
      <x:c r="G36" s="11" t="n">
        <x:v>9.4</x:v>
      </x:c>
      <x:c r="H36" s="11" t="n">
        <x:v>2.4</x:v>
      </x:c>
      <x:c r="I36" s="8" t="str">
        <x:v>wall</x:v>
      </x:c>
      <x:c r="J36" s="8" t="str">
        <x:v>Shown</x:v>
      </x:c>
      <x:c r="K36" s="8" t="str">
        <x:v>On</x:v>
      </x:c>
      <x:c r="L36" s="8" t="str">
        <x:v>112 × 620 × 620</x:v>
      </x:c>
      <x:c r="M36" s="8" t="str">
        <x:v>0.5 m diameter · 170 W at maximum speed. Speed steps: 1: 0.8 m3/s, 60 W, 40 dBA, 900 rpm; 2: 1.2 m3/s, 110 W, 46 dBA, 1300 rpm; 3: 1.6 m3/s, 170 W, 52 dBA, 1700 rpm</x:v>
      </x:c>
      <x:c r="N36" s="11" t="n">
        <x:v>170</x:v>
      </x:c>
      <x:c r="O36" s="11" t="n">
        <x:v>0</x:v>
      </x:c>
      <x:c r="P36" s="11" t="n">
        <x:v>0</x:v>
      </x:c>
      <x:c r="Q36" s="9"/>
      <x:c r="R36" s="9"/>
      <x:c r="S36" s="9"/>
      <x:c r="T36" s="9"/>
      <x:c r="U36" s="9"/>
      <x:c r="V36" s="9"/>
      <x:c r="W36" s="13"/>
      <x:c r="X36" s="13"/>
      <x:c r="Y36" s="13"/>
      <x:c r="Z36" s="9"/>
      <x:c r="AA36" s="8" t="str">
        <x:v>Current</x:v>
      </x:c>
      <x:c r="AB36" s="8" t="str">
        <x:v>drop:FC1:V1:fan:1:F255</x:v>
      </x:c>
      <x:c r="AC36" s="8" t="str">
        <x:v>{"dim":1,"speed":1}</x:v>
      </x:c>
    </x:row>
    <x:row r="37" ht="96" customHeight="1">
      <x:c r="A37" s="8" t="str">
        <x:v>F256</x:v>
      </x:c>
      <x:c r="B37" s="8" t="str">
        <x:v>Exhaust fan · wing gable B · front</x:v>
      </x:c>
      <x:c r="C37" s="8" t="str">
        <x:v>fan</x:v>
      </x:c>
      <x:c r="D37" s="8" t="str">
        <x:v>DB1</x:v>
      </x:c>
      <x:c r="E37" s="8" t="str">
        <x:v>V2</x:v>
      </x:c>
      <x:c r="F37" s="11" t="n">
        <x:v>39.7</x:v>
      </x:c>
      <x:c r="G37" s="11" t="n">
        <x:v>7.6</x:v>
      </x:c>
      <x:c r="H37" s="11" t="n">
        <x:v>-13.13</x:v>
      </x:c>
      <x:c r="I37" s="8" t="str">
        <x:v>wall</x:v>
      </x:c>
      <x:c r="J37" s="8" t="str">
        <x:v>Shown</x:v>
      </x:c>
      <x:c r="K37" s="8" t="str">
        <x:v>On</x:v>
      </x:c>
      <x:c r="L37" s="8" t="str">
        <x:v>112 × 620 × 620</x:v>
      </x:c>
      <x:c r="M37" s="8" t="str">
        <x:v>0.5 m diameter · 170 W at maximum speed. Speed steps: 1: 0.8 m3/s, 60 W, 40 dBA, 900 rpm; 2: 1.2 m3/s, 110 W, 46 dBA, 1300 rpm; 3: 1.6 m3/s, 170 W, 52 dBA, 1700 rpm</x:v>
      </x:c>
      <x:c r="N37" s="11" t="n">
        <x:v>170</x:v>
      </x:c>
      <x:c r="O37" s="11" t="n">
        <x:v>90</x:v>
      </x:c>
      <x:c r="P37" s="11" t="n">
        <x:v>0</x:v>
      </x:c>
      <x:c r="Q37" s="9"/>
      <x:c r="R37" s="9"/>
      <x:c r="S37" s="9"/>
      <x:c r="T37" s="9"/>
      <x:c r="U37" s="9"/>
      <x:c r="V37" s="9"/>
      <x:c r="W37" s="13"/>
      <x:c r="X37" s="13"/>
      <x:c r="Y37" s="13"/>
      <x:c r="Z37" s="9"/>
      <x:c r="AA37" s="8" t="str">
        <x:v>Current</x:v>
      </x:c>
      <x:c r="AB37" s="8" t="str">
        <x:v>drop:FC1:V2:fan:-1:F256</x:v>
      </x:c>
      <x:c r="AC37" s="8" t="str">
        <x:v>{"dim":1,"speed":1}</x:v>
      </x:c>
    </x:row>
    <x:row r="38" ht="96" customHeight="1">
      <x:c r="A38" s="8" t="str">
        <x:v>F257</x:v>
      </x:c>
      <x:c r="B38" s="8" t="str">
        <x:v>Exhaust fan · wing gable B · rear</x:v>
      </x:c>
      <x:c r="C38" s="8" t="str">
        <x:v>fan</x:v>
      </x:c>
      <x:c r="D38" s="8" t="str">
        <x:v>DB1</x:v>
      </x:c>
      <x:c r="E38" s="8" t="str">
        <x:v>V2</x:v>
      </x:c>
      <x:c r="F38" s="11" t="n">
        <x:v>41.45</x:v>
      </x:c>
      <x:c r="G38" s="11" t="n">
        <x:v>7.6</x:v>
      </x:c>
      <x:c r="H38" s="11" t="n">
        <x:v>-13.13</x:v>
      </x:c>
      <x:c r="I38" s="8" t="str">
        <x:v>wall</x:v>
      </x:c>
      <x:c r="J38" s="8" t="str">
        <x:v>Shown</x:v>
      </x:c>
      <x:c r="K38" s="8" t="str">
        <x:v>On</x:v>
      </x:c>
      <x:c r="L38" s="8" t="str">
        <x:v>112 × 620 × 620</x:v>
      </x:c>
      <x:c r="M38" s="8" t="str">
        <x:v>0.5 m diameter · 170 W at maximum speed. Speed steps: 1: 0.8 m3/s, 60 W, 40 dBA, 900 rpm; 2: 1.2 m3/s, 110 W, 46 dBA, 1300 rpm; 3: 1.6 m3/s, 170 W, 52 dBA, 1700 rpm</x:v>
      </x:c>
      <x:c r="N38" s="11" t="n">
        <x:v>170</x:v>
      </x:c>
      <x:c r="O38" s="11" t="n">
        <x:v>90</x:v>
      </x:c>
      <x:c r="P38" s="11" t="n">
        <x:v>0</x:v>
      </x:c>
      <x:c r="Q38" s="9"/>
      <x:c r="R38" s="9"/>
      <x:c r="S38" s="9"/>
      <x:c r="T38" s="9"/>
      <x:c r="U38" s="9"/>
      <x:c r="V38" s="9"/>
      <x:c r="W38" s="13"/>
      <x:c r="X38" s="13"/>
      <x:c r="Y38" s="13"/>
      <x:c r="Z38" s="9"/>
      <x:c r="AA38" s="8" t="str">
        <x:v>Current</x:v>
      </x:c>
      <x:c r="AB38" s="8" t="str">
        <x:v>drop:FC1:V2:fan:-1:F257</x:v>
      </x:c>
      <x:c r="AC38" s="8" t="str">
        <x:v>{"dim":1,"speed":1}</x:v>
      </x:c>
    </x:row>
    <x:row r="39" ht="96" customHeight="1">
      <x:c r="A39" s="8" t="str">
        <x:v>F258</x:v>
      </x:c>
      <x:c r="B39" s="8" t="str">
        <x:v>Exhaust fan · wing gable H · front</x:v>
      </x:c>
      <x:c r="C39" s="8" t="str">
        <x:v>fan</x:v>
      </x:c>
      <x:c r="D39" s="8" t="str">
        <x:v>DB1</x:v>
      </x:c>
      <x:c r="E39" s="8" t="str">
        <x:v>V2</x:v>
      </x:c>
      <x:c r="F39" s="11" t="n">
        <x:v>39.7</x:v>
      </x:c>
      <x:c r="G39" s="11" t="n">
        <x:v>7.6</x:v>
      </x:c>
      <x:c r="H39" s="11" t="n">
        <x:v>13.13</x:v>
      </x:c>
      <x:c r="I39" s="8" t="str">
        <x:v>wall</x:v>
      </x:c>
      <x:c r="J39" s="8" t="str">
        <x:v>Shown</x:v>
      </x:c>
      <x:c r="K39" s="8" t="str">
        <x:v>On</x:v>
      </x:c>
      <x:c r="L39" s="8" t="str">
        <x:v>112 × 620 × 620</x:v>
      </x:c>
      <x:c r="M39" s="8" t="str">
        <x:v>0.5 m diameter · 170 W at maximum speed. Speed steps: 1: 0.8 m3/s, 60 W, 40 dBA, 900 rpm; 2: 1.2 m3/s, 110 W, 46 dBA, 1300 rpm; 3: 1.6 m3/s, 170 W, 52 dBA, 1700 rpm</x:v>
      </x:c>
      <x:c r="N39" s="11" t="n">
        <x:v>170</x:v>
      </x:c>
      <x:c r="O39" s="11" t="n">
        <x:v>-90</x:v>
      </x:c>
      <x:c r="P39" s="11" t="n">
        <x:v>0</x:v>
      </x:c>
      <x:c r="Q39" s="9"/>
      <x:c r="R39" s="9"/>
      <x:c r="S39" s="9"/>
      <x:c r="T39" s="9"/>
      <x:c r="U39" s="9"/>
      <x:c r="V39" s="9"/>
      <x:c r="W39" s="13"/>
      <x:c r="X39" s="13"/>
      <x:c r="Y39" s="13"/>
      <x:c r="Z39" s="9"/>
      <x:c r="AA39" s="8" t="str">
        <x:v>Current</x:v>
      </x:c>
      <x:c r="AB39" s="8" t="str">
        <x:v>drop:FC1:V2:fan:1:F258</x:v>
      </x:c>
      <x:c r="AC39" s="8" t="str">
        <x:v>{"dim":1,"speed":1}</x:v>
      </x:c>
    </x:row>
    <x:row r="40" ht="96" customHeight="1">
      <x:c r="A40" s="8" t="str">
        <x:v>F259</x:v>
      </x:c>
      <x:c r="B40" s="8" t="str">
        <x:v>Exhaust fan · wing gable H · rear</x:v>
      </x:c>
      <x:c r="C40" s="8" t="str">
        <x:v>fan</x:v>
      </x:c>
      <x:c r="D40" s="8" t="str">
        <x:v>DB1</x:v>
      </x:c>
      <x:c r="E40" s="8" t="str">
        <x:v>V2</x:v>
      </x:c>
      <x:c r="F40" s="11" t="n">
        <x:v>41.45</x:v>
      </x:c>
      <x:c r="G40" s="11" t="n">
        <x:v>7.6</x:v>
      </x:c>
      <x:c r="H40" s="11" t="n">
        <x:v>13.13</x:v>
      </x:c>
      <x:c r="I40" s="8" t="str">
        <x:v>wall</x:v>
      </x:c>
      <x:c r="J40" s="8" t="str">
        <x:v>Shown</x:v>
      </x:c>
      <x:c r="K40" s="8" t="str">
        <x:v>On</x:v>
      </x:c>
      <x:c r="L40" s="8" t="str">
        <x:v>112 × 620 × 620</x:v>
      </x:c>
      <x:c r="M40" s="8" t="str">
        <x:v>0.5 m diameter · 170 W at maximum speed. Speed steps: 1: 0.8 m3/s, 60 W, 40 dBA, 900 rpm; 2: 1.2 m3/s, 110 W, 46 dBA, 1300 rpm; 3: 1.6 m3/s, 170 W, 52 dBA, 1700 rpm</x:v>
      </x:c>
      <x:c r="N40" s="11" t="n">
        <x:v>170</x:v>
      </x:c>
      <x:c r="O40" s="11" t="n">
        <x:v>-90</x:v>
      </x:c>
      <x:c r="P40" s="11" t="n">
        <x:v>0</x:v>
      </x:c>
      <x:c r="Q40" s="9"/>
      <x:c r="R40" s="9"/>
      <x:c r="S40" s="9"/>
      <x:c r="T40" s="9"/>
      <x:c r="U40" s="9"/>
      <x:c r="V40" s="9"/>
      <x:c r="W40" s="13"/>
      <x:c r="X40" s="13"/>
      <x:c r="Y40" s="13"/>
      <x:c r="Z40" s="9"/>
      <x:c r="AA40" s="8" t="str">
        <x:v>Current</x:v>
      </x:c>
      <x:c r="AB40" s="8" t="str">
        <x:v>drop:FC1:V2:fan:1:F259</x:v>
      </x:c>
      <x:c r="AC40" s="8" t="str">
        <x:v>{"dim":1,"speed":1}</x:v>
      </x:c>
    </x:row>
    <x:row r="41" ht="96" customHeight="1">
      <x:c r="A41" s="8" t="str">
        <x:v>F260</x:v>
      </x:c>
      <x:c r="B41" s="8" t="str">
        <x:v>Exhaust fan · service room</x:v>
      </x:c>
      <x:c r="C41" s="8" t="str">
        <x:v>fan</x:v>
      </x:c>
      <x:c r="D41" s="8" t="str">
        <x:v>DB1</x:v>
      </x:c>
      <x:c r="E41" s="8" t="str">
        <x:v>V3</x:v>
      </x:c>
      <x:c r="F41" s="11" t="n">
        <x:v>53.12</x:v>
      </x:c>
      <x:c r="G41" s="11" t="n">
        <x:v>3.3</x:v>
      </x:c>
      <x:c r="H41" s="11" t="n">
        <x:v>0</x:v>
      </x:c>
      <x:c r="I41" s="8" t="str">
        <x:v>wall</x:v>
      </x:c>
      <x:c r="J41" s="8" t="str">
        <x:v>Shown</x:v>
      </x:c>
      <x:c r="K41" s="8" t="str">
        <x:v>On</x:v>
      </x:c>
      <x:c r="L41" s="8" t="str">
        <x:v>112 × 620 × 620</x:v>
      </x:c>
      <x:c r="M41" s="8" t="str">
        <x:v>0.5 m diameter · 170 W at maximum speed. Speed steps: 1: 0.8 m3/s, 60 W, 40 dBA, 900 rpm; 2: 1.2 m3/s, 110 W, 46 dBA, 1300 rpm; 3: 1.6 m3/s, 170 W, 52 dBA, 1700 rpm</x:v>
      </x:c>
      <x:c r="N41" s="11" t="n">
        <x:v>170</x:v>
      </x:c>
      <x:c r="O41" s="11" t="n">
        <x:v>180</x:v>
      </x:c>
      <x:c r="P41" s="11" t="n">
        <x:v>0</x:v>
      </x:c>
      <x:c r="Q41" s="9"/>
      <x:c r="R41" s="9"/>
      <x:c r="S41" s="9"/>
      <x:c r="T41" s="9"/>
      <x:c r="U41" s="9"/>
      <x:c r="V41" s="9"/>
      <x:c r="W41" s="13"/>
      <x:c r="X41" s="13"/>
      <x:c r="Y41" s="13"/>
      <x:c r="Z41" s="9"/>
      <x:c r="AA41" s="8" t="str">
        <x:v>Current</x:v>
      </x:c>
      <x:c r="AB41" s="8" t="str">
        <x:v>drop:FC1:V3:fan:-1:F260</x:v>
      </x:c>
      <x:c r="AC41" s="8" t="str">
        <x:v>{"dim":1,"speed":1}</x:v>
      </x:c>
    </x:row>
    <x:row r="42" ht="96" customHeight="1">
      <x:c r="A42" s="8" t="str">
        <x:v>F-NAVE-B-2P</x:v>
      </x:c>
      <x:c r="B42" s="8" t="str">
        <x:v>Wall fan · axis 2′ · B</x:v>
      </x:c>
      <x:c r="C42" s="8" t="str">
        <x:v>fan</x:v>
      </x:c>
      <x:c r="D42" s="8" t="str">
        <x:v>DB1</x:v>
      </x:c>
      <x:c r="E42" s="8" t="str">
        <x:v>F2</x:v>
      </x:c>
      <x:c r="F42" s="11" t="n">
        <x:v>5.475</x:v>
      </x:c>
      <x:c r="G42" s="11" t="n">
        <x:v>5.55</x:v>
      </x:c>
      <x:c r="H42" s="11" t="n">
        <x:v>-7.07</x:v>
      </x:c>
      <x:c r="I42" s="8" t="str">
        <x:v>wall</x:v>
      </x:c>
      <x:c r="J42" s="8" t="str">
        <x:v>Shown</x:v>
      </x:c>
      <x:c r="K42" s="8" t="str">
        <x:v>Off</x:v>
      </x:c>
      <x:c r="L42" s="8" t="str">
        <x:v>665 × 490 × 490</x:v>
      </x:c>
      <x:c r="M42" s="8" t="str">
        <x:v>0.45 m diameter · 55 W at maximum speed. Speed steps: 1: 0.45 m3/s, 35 W, 47 dBA, 900 rpm; 2: 0.6 m3/s, 45 W, 52 dBA, 1100 rpm; 3: 0.75 m3/s, 55 W, 57 dBA, 1300 rpm</x:v>
      </x:c>
      <x:c r="N42" s="11" t="n">
        <x:v>55</x:v>
      </x:c>
      <x:c r="O42" s="11" t="n">
        <x:v>90</x:v>
      </x:c>
      <x:c r="P42" s="11" t="n">
        <x:v>-38</x:v>
      </x:c>
      <x:c r="Q42" s="9"/>
      <x:c r="R42" s="9"/>
      <x:c r="S42" s="9"/>
      <x:c r="T42" s="9"/>
      <x:c r="U42" s="9"/>
      <x:c r="V42" s="9"/>
      <x:c r="W42" s="13"/>
      <x:c r="X42" s="13"/>
      <x:c r="Y42" s="13"/>
      <x:c r="Z42" s="9"/>
      <x:c r="AA42" s="8" t="str">
        <x:v>Current</x:v>
      </x:c>
      <x:c r="AB42" s="8" t="str">
        <x:v>drop:FC1:F2:fan:-1:F-NAVE-B-2P</x:v>
      </x:c>
      <x:c r="AC42" s="8" t="str">
        <x:v>{"dim":1,"speed":1}</x:v>
      </x:c>
    </x:row>
    <x:row r="43" ht="96" customHeight="1">
      <x:c r="A43" s="8" t="str">
        <x:v>F-NAVE-H-2P</x:v>
      </x:c>
      <x:c r="B43" s="8" t="str">
        <x:v>Wall fan · axis 2′ · H</x:v>
      </x:c>
      <x:c r="C43" s="8" t="str">
        <x:v>fan</x:v>
      </x:c>
      <x:c r="D43" s="8" t="str">
        <x:v>DB1</x:v>
      </x:c>
      <x:c r="E43" s="8" t="str">
        <x:v>F2</x:v>
      </x:c>
      <x:c r="F43" s="11" t="n">
        <x:v>5.475</x:v>
      </x:c>
      <x:c r="G43" s="11" t="n">
        <x:v>5.55</x:v>
      </x:c>
      <x:c r="H43" s="11" t="n">
        <x:v>7.07</x:v>
      </x:c>
      <x:c r="I43" s="8" t="str">
        <x:v>wall</x:v>
      </x:c>
      <x:c r="J43" s="8" t="str">
        <x:v>Shown</x:v>
      </x:c>
      <x:c r="K43" s="8" t="str">
        <x:v>Off</x:v>
      </x:c>
      <x:c r="L43" s="8" t="str">
        <x:v>665 × 490 × 490</x:v>
      </x:c>
      <x:c r="M43" s="8" t="str">
        <x:v>0.45 m diameter · 55 W at maximum speed. Speed steps: 1: 0.45 m3/s, 35 W, 47 dBA, 900 rpm; 2: 0.6 m3/s, 45 W, 52 dBA, 1100 rpm; 3: 0.75 m3/s, 55 W, 57 dBA, 1300 rpm</x:v>
      </x:c>
      <x:c r="N43" s="11" t="n">
        <x:v>55</x:v>
      </x:c>
      <x:c r="O43" s="11" t="n">
        <x:v>-90</x:v>
      </x:c>
      <x:c r="P43" s="11" t="n">
        <x:v>-38</x:v>
      </x:c>
      <x:c r="Q43" s="9"/>
      <x:c r="R43" s="9"/>
      <x:c r="S43" s="9"/>
      <x:c r="T43" s="9"/>
      <x:c r="U43" s="9"/>
      <x:c r="V43" s="9"/>
      <x:c r="W43" s="13"/>
      <x:c r="X43" s="13"/>
      <x:c r="Y43" s="13"/>
      <x:c r="Z43" s="9"/>
      <x:c r="AA43" s="8" t="str">
        <x:v>Current</x:v>
      </x:c>
      <x:c r="AB43" s="8" t="str">
        <x:v>drop:FC1:F2:fan:1:F-NAVE-H-2P</x:v>
      </x:c>
      <x:c r="AC43" s="8" t="str">
        <x:v>{"dim":1,"speed":1}</x:v>
      </x:c>
    </x:row>
    <x:row r="44" ht="96" customHeight="1">
      <x:c r="A44" s="8" t="str">
        <x:v>F-NAVE-B-3</x:v>
      </x:c>
      <x:c r="B44" s="8" t="str">
        <x:v>Wall fan · axis 3 · B</x:v>
      </x:c>
      <x:c r="C44" s="8" t="str">
        <x:v>fan</x:v>
      </x:c>
      <x:c r="D44" s="8" t="str">
        <x:v>DB1</x:v>
      </x:c>
      <x:c r="E44" s="8" t="str">
        <x:v>F2</x:v>
      </x:c>
      <x:c r="F44" s="11" t="n">
        <x:v>9.975</x:v>
      </x:c>
      <x:c r="G44" s="11" t="n">
        <x:v>5.55</x:v>
      </x:c>
      <x:c r="H44" s="11" t="n">
        <x:v>-7.07</x:v>
      </x:c>
      <x:c r="I44" s="8" t="str">
        <x:v>wall</x:v>
      </x:c>
      <x:c r="J44" s="8" t="str">
        <x:v>Shown</x:v>
      </x:c>
      <x:c r="K44" s="8" t="str">
        <x:v>Off</x:v>
      </x:c>
      <x:c r="L44" s="8" t="str">
        <x:v>665 × 490 × 490</x:v>
      </x:c>
      <x:c r="M44" s="8" t="str">
        <x:v>0.45 m diameter · 55 W at maximum speed. Speed steps: 1: 0.45 m3/s, 35 W, 47 dBA, 900 rpm; 2: 0.6 m3/s, 45 W, 52 dBA, 1100 rpm; 3: 0.75 m3/s, 55 W, 57 dBA, 1300 rpm</x:v>
      </x:c>
      <x:c r="N44" s="11" t="n">
        <x:v>55</x:v>
      </x:c>
      <x:c r="O44" s="11" t="n">
        <x:v>90</x:v>
      </x:c>
      <x:c r="P44" s="11" t="n">
        <x:v>-38</x:v>
      </x:c>
      <x:c r="Q44" s="9"/>
      <x:c r="R44" s="9"/>
      <x:c r="S44" s="9"/>
      <x:c r="T44" s="9"/>
      <x:c r="U44" s="9"/>
      <x:c r="V44" s="9"/>
      <x:c r="W44" s="13"/>
      <x:c r="X44" s="13"/>
      <x:c r="Y44" s="13"/>
      <x:c r="Z44" s="9"/>
      <x:c r="AA44" s="8" t="str">
        <x:v>Current</x:v>
      </x:c>
      <x:c r="AB44" s="8" t="str">
        <x:v>drop:FC1:F2:fan:-1:F-NAVE-B-3</x:v>
      </x:c>
      <x:c r="AC44" s="8" t="str">
        <x:v>{"dim":1,"speed":1}</x:v>
      </x:c>
    </x:row>
    <x:row r="45" ht="96" customHeight="1">
      <x:c r="A45" s="8" t="str">
        <x:v>F-NAVE-H-3</x:v>
      </x:c>
      <x:c r="B45" s="8" t="str">
        <x:v>Wall fan · axis 3 · H</x:v>
      </x:c>
      <x:c r="C45" s="8" t="str">
        <x:v>fan</x:v>
      </x:c>
      <x:c r="D45" s="8" t="str">
        <x:v>DB1</x:v>
      </x:c>
      <x:c r="E45" s="8" t="str">
        <x:v>F2</x:v>
      </x:c>
      <x:c r="F45" s="11" t="n">
        <x:v>9.975</x:v>
      </x:c>
      <x:c r="G45" s="11" t="n">
        <x:v>5.55</x:v>
      </x:c>
      <x:c r="H45" s="11" t="n">
        <x:v>7.07</x:v>
      </x:c>
      <x:c r="I45" s="8" t="str">
        <x:v>wall</x:v>
      </x:c>
      <x:c r="J45" s="8" t="str">
        <x:v>Shown</x:v>
      </x:c>
      <x:c r="K45" s="8" t="str">
        <x:v>Off</x:v>
      </x:c>
      <x:c r="L45" s="8" t="str">
        <x:v>665 × 490 × 490</x:v>
      </x:c>
      <x:c r="M45" s="8" t="str">
        <x:v>0.45 m diameter · 55 W at maximum speed. Speed steps: 1: 0.45 m3/s, 35 W, 47 dBA, 900 rpm; 2: 0.6 m3/s, 45 W, 52 dBA, 1100 rpm; 3: 0.75 m3/s, 55 W, 57 dBA, 1300 rpm</x:v>
      </x:c>
      <x:c r="N45" s="11" t="n">
        <x:v>55</x:v>
      </x:c>
      <x:c r="O45" s="11" t="n">
        <x:v>-90</x:v>
      </x:c>
      <x:c r="P45" s="11" t="n">
        <x:v>-38</x:v>
      </x:c>
      <x:c r="Q45" s="9"/>
      <x:c r="R45" s="9"/>
      <x:c r="S45" s="9"/>
      <x:c r="T45" s="9"/>
      <x:c r="U45" s="9"/>
      <x:c r="V45" s="9"/>
      <x:c r="W45" s="13"/>
      <x:c r="X45" s="13"/>
      <x:c r="Y45" s="13"/>
      <x:c r="Z45" s="9"/>
      <x:c r="AA45" s="8" t="str">
        <x:v>Current</x:v>
      </x:c>
      <x:c r="AB45" s="8" t="str">
        <x:v>drop:FC1:F2:fan:1:F-NAVE-H-3</x:v>
      </x:c>
      <x:c r="AC45" s="8" t="str">
        <x:v>{"dim":1,"speed":1}</x:v>
      </x:c>
    </x:row>
    <x:row r="46" ht="96" customHeight="1">
      <x:c r="A46" s="8" t="str">
        <x:v>F-NAVE-B-5</x:v>
      </x:c>
      <x:c r="B46" s="8" t="str">
        <x:v>Wall fan · axis 5 · B</x:v>
      </x:c>
      <x:c r="C46" s="8" t="str">
        <x:v>fan</x:v>
      </x:c>
      <x:c r="D46" s="8" t="str">
        <x:v>DB1</x:v>
      </x:c>
      <x:c r="E46" s="8" t="str">
        <x:v>F2</x:v>
      </x:c>
      <x:c r="F46" s="11" t="n">
        <x:v>18.975</x:v>
      </x:c>
      <x:c r="G46" s="11" t="n">
        <x:v>5.55</x:v>
      </x:c>
      <x:c r="H46" s="11" t="n">
        <x:v>-7.07</x:v>
      </x:c>
      <x:c r="I46" s="8" t="str">
        <x:v>wall</x:v>
      </x:c>
      <x:c r="J46" s="8" t="str">
        <x:v>Shown</x:v>
      </x:c>
      <x:c r="K46" s="8" t="str">
        <x:v>Off</x:v>
      </x:c>
      <x:c r="L46" s="8" t="str">
        <x:v>665 × 490 × 490</x:v>
      </x:c>
      <x:c r="M46" s="8" t="str">
        <x:v>0.45 m diameter · 55 W at maximum speed. Speed steps: 1: 0.45 m3/s, 35 W, 47 dBA, 900 rpm; 2: 0.6 m3/s, 45 W, 52 dBA, 1100 rpm; 3: 0.75 m3/s, 55 W, 57 dBA, 1300 rpm</x:v>
      </x:c>
      <x:c r="N46" s="11" t="n">
        <x:v>55</x:v>
      </x:c>
      <x:c r="O46" s="11" t="n">
        <x:v>90</x:v>
      </x:c>
      <x:c r="P46" s="11" t="n">
        <x:v>-38</x:v>
      </x:c>
      <x:c r="Q46" s="9"/>
      <x:c r="R46" s="9"/>
      <x:c r="S46" s="9"/>
      <x:c r="T46" s="9"/>
      <x:c r="U46" s="9"/>
      <x:c r="V46" s="9"/>
      <x:c r="W46" s="13"/>
      <x:c r="X46" s="13"/>
      <x:c r="Y46" s="13"/>
      <x:c r="Z46" s="9"/>
      <x:c r="AA46" s="8" t="str">
        <x:v>Current</x:v>
      </x:c>
      <x:c r="AB46" s="8" t="str">
        <x:v>drop:FC1:F2:fan:-1:F-NAVE-B-5</x:v>
      </x:c>
      <x:c r="AC46" s="8" t="str">
        <x:v>{"dim":1,"speed":1}</x:v>
      </x:c>
    </x:row>
    <x:row r="47" ht="96" customHeight="1">
      <x:c r="A47" s="8" t="str">
        <x:v>F-NAVE-H-5</x:v>
      </x:c>
      <x:c r="B47" s="8" t="str">
        <x:v>Wall fan · axis 5 · H</x:v>
      </x:c>
      <x:c r="C47" s="8" t="str">
        <x:v>fan</x:v>
      </x:c>
      <x:c r="D47" s="8" t="str">
        <x:v>DB1</x:v>
      </x:c>
      <x:c r="E47" s="8" t="str">
        <x:v>F2</x:v>
      </x:c>
      <x:c r="F47" s="11" t="n">
        <x:v>18.975</x:v>
      </x:c>
      <x:c r="G47" s="11" t="n">
        <x:v>5.55</x:v>
      </x:c>
      <x:c r="H47" s="11" t="n">
        <x:v>7.07</x:v>
      </x:c>
      <x:c r="I47" s="8" t="str">
        <x:v>wall</x:v>
      </x:c>
      <x:c r="J47" s="8" t="str">
        <x:v>Shown</x:v>
      </x:c>
      <x:c r="K47" s="8" t="str">
        <x:v>Off</x:v>
      </x:c>
      <x:c r="L47" s="8" t="str">
        <x:v>665 × 490 × 490</x:v>
      </x:c>
      <x:c r="M47" s="8" t="str">
        <x:v>0.45 m diameter · 55 W at maximum speed. Speed steps: 1: 0.45 m3/s, 35 W, 47 dBA, 900 rpm; 2: 0.6 m3/s, 45 W, 52 dBA, 1100 rpm; 3: 0.75 m3/s, 55 W, 57 dBA, 1300 rpm</x:v>
      </x:c>
      <x:c r="N47" s="11" t="n">
        <x:v>55</x:v>
      </x:c>
      <x:c r="O47" s="11" t="n">
        <x:v>-90</x:v>
      </x:c>
      <x:c r="P47" s="11" t="n">
        <x:v>-38</x:v>
      </x:c>
      <x:c r="Q47" s="9"/>
      <x:c r="R47" s="9"/>
      <x:c r="S47" s="9"/>
      <x:c r="T47" s="9"/>
      <x:c r="U47" s="9"/>
      <x:c r="V47" s="9"/>
      <x:c r="W47" s="13"/>
      <x:c r="X47" s="13"/>
      <x:c r="Y47" s="13"/>
      <x:c r="Z47" s="9"/>
      <x:c r="AA47" s="8" t="str">
        <x:v>Current</x:v>
      </x:c>
      <x:c r="AB47" s="8" t="str">
        <x:v>drop:FC1:F2:fan:1:F-NAVE-H-5</x:v>
      </x:c>
      <x:c r="AC47" s="8" t="str">
        <x:v>{"dim":1,"speed":1}</x:v>
      </x:c>
    </x:row>
    <x:row r="48" ht="96" customHeight="1">
      <x:c r="A48" s="8" t="str">
        <x:v>F-NAVE-B-7</x:v>
      </x:c>
      <x:c r="B48" s="8" t="str">
        <x:v>Wall fan · axis 7 · B</x:v>
      </x:c>
      <x:c r="C48" s="8" t="str">
        <x:v>fan</x:v>
      </x:c>
      <x:c r="D48" s="8" t="str">
        <x:v>DB1</x:v>
      </x:c>
      <x:c r="E48" s="8" t="str">
        <x:v>F2</x:v>
      </x:c>
      <x:c r="F48" s="11" t="n">
        <x:v>27.975</x:v>
      </x:c>
      <x:c r="G48" s="11" t="n">
        <x:v>5.55</x:v>
      </x:c>
      <x:c r="H48" s="11" t="n">
        <x:v>-7.07</x:v>
      </x:c>
      <x:c r="I48" s="8" t="str">
        <x:v>wall</x:v>
      </x:c>
      <x:c r="J48" s="8" t="str">
        <x:v>Shown</x:v>
      </x:c>
      <x:c r="K48" s="8" t="str">
        <x:v>Off</x:v>
      </x:c>
      <x:c r="L48" s="8" t="str">
        <x:v>665 × 490 × 490</x:v>
      </x:c>
      <x:c r="M48" s="8" t="str">
        <x:v>0.45 m diameter · 55 W at maximum speed. Speed steps: 1: 0.45 m3/s, 35 W, 47 dBA, 900 rpm; 2: 0.6 m3/s, 45 W, 52 dBA, 1100 rpm; 3: 0.75 m3/s, 55 W, 57 dBA, 1300 rpm</x:v>
      </x:c>
      <x:c r="N48" s="11" t="n">
        <x:v>55</x:v>
      </x:c>
      <x:c r="O48" s="11" t="n">
        <x:v>90</x:v>
      </x:c>
      <x:c r="P48" s="11" t="n">
        <x:v>-38</x:v>
      </x:c>
      <x:c r="Q48" s="9"/>
      <x:c r="R48" s="9"/>
      <x:c r="S48" s="9"/>
      <x:c r="T48" s="9"/>
      <x:c r="U48" s="9"/>
      <x:c r="V48" s="9"/>
      <x:c r="W48" s="13"/>
      <x:c r="X48" s="13"/>
      <x:c r="Y48" s="13"/>
      <x:c r="Z48" s="9"/>
      <x:c r="AA48" s="8" t="str">
        <x:v>Current</x:v>
      </x:c>
      <x:c r="AB48" s="8" t="str">
        <x:v>drop:FC1:F2:fan:-1:F-NAVE-B-7</x:v>
      </x:c>
      <x:c r="AC48" s="8" t="str">
        <x:v>{"dim":1,"speed":1}</x:v>
      </x:c>
    </x:row>
    <x:row r="49" ht="96" customHeight="1">
      <x:c r="A49" s="8" t="str">
        <x:v>F-NAVE-H-7</x:v>
      </x:c>
      <x:c r="B49" s="8" t="str">
        <x:v>Wall fan · axis 7 · H</x:v>
      </x:c>
      <x:c r="C49" s="8" t="str">
        <x:v>fan</x:v>
      </x:c>
      <x:c r="D49" s="8" t="str">
        <x:v>DB1</x:v>
      </x:c>
      <x:c r="E49" s="8" t="str">
        <x:v>F2</x:v>
      </x:c>
      <x:c r="F49" s="11" t="n">
        <x:v>27.975</x:v>
      </x:c>
      <x:c r="G49" s="11" t="n">
        <x:v>5.55</x:v>
      </x:c>
      <x:c r="H49" s="11" t="n">
        <x:v>7.07</x:v>
      </x:c>
      <x:c r="I49" s="8" t="str">
        <x:v>wall</x:v>
      </x:c>
      <x:c r="J49" s="8" t="str">
        <x:v>Shown</x:v>
      </x:c>
      <x:c r="K49" s="8" t="str">
        <x:v>Off</x:v>
      </x:c>
      <x:c r="L49" s="8" t="str">
        <x:v>665 × 490 × 490</x:v>
      </x:c>
      <x:c r="M49" s="8" t="str">
        <x:v>0.45 m diameter · 55 W at maximum speed. Speed steps: 1: 0.45 m3/s, 35 W, 47 dBA, 900 rpm; 2: 0.6 m3/s, 45 W, 52 dBA, 1100 rpm; 3: 0.75 m3/s, 55 W, 57 dBA, 1300 rpm</x:v>
      </x:c>
      <x:c r="N49" s="11" t="n">
        <x:v>55</x:v>
      </x:c>
      <x:c r="O49" s="11" t="n">
        <x:v>-90</x:v>
      </x:c>
      <x:c r="P49" s="11" t="n">
        <x:v>-38</x:v>
      </x:c>
      <x:c r="Q49" s="9"/>
      <x:c r="R49" s="9"/>
      <x:c r="S49" s="9"/>
      <x:c r="T49" s="9"/>
      <x:c r="U49" s="9"/>
      <x:c r="V49" s="9"/>
      <x:c r="W49" s="13"/>
      <x:c r="X49" s="13"/>
      <x:c r="Y49" s="13"/>
      <x:c r="Z49" s="9"/>
      <x:c r="AA49" s="8" t="str">
        <x:v>Current</x:v>
      </x:c>
      <x:c r="AB49" s="8" t="str">
        <x:v>drop:FC1:F2:fan:1:F-NAVE-H-7</x:v>
      </x:c>
      <x:c r="AC49" s="8" t="str">
        <x:v>{"dim":1,"speed":1}</x:v>
      </x:c>
    </x:row>
    <x:row r="50" ht="96" customHeight="1">
      <x:c r="A50" s="8" t="str">
        <x:v>F-NAVE-B-9</x:v>
      </x:c>
      <x:c r="B50" s="8" t="str">
        <x:v>Wall fan · axis 9 · B</x:v>
      </x:c>
      <x:c r="C50" s="8" t="str">
        <x:v>fan</x:v>
      </x:c>
      <x:c r="D50" s="8" t="str">
        <x:v>DB1</x:v>
      </x:c>
      <x:c r="E50" s="8" t="str">
        <x:v>F2</x:v>
      </x:c>
      <x:c r="F50" s="11" t="n">
        <x:v>36.975</x:v>
      </x:c>
      <x:c r="G50" s="11" t="n">
        <x:v>5.55</x:v>
      </x:c>
      <x:c r="H50" s="11" t="n">
        <x:v>-7.07</x:v>
      </x:c>
      <x:c r="I50" s="8" t="str">
        <x:v>wall</x:v>
      </x:c>
      <x:c r="J50" s="8" t="str">
        <x:v>Shown</x:v>
      </x:c>
      <x:c r="K50" s="8" t="str">
        <x:v>Off</x:v>
      </x:c>
      <x:c r="L50" s="8" t="str">
        <x:v>665 × 490 × 490</x:v>
      </x:c>
      <x:c r="M50" s="8" t="str">
        <x:v>0.45 m diameter · 55 W at maximum speed. Speed steps: 1: 0.45 m3/s, 35 W, 47 dBA, 900 rpm; 2: 0.6 m3/s, 45 W, 52 dBA, 1100 rpm; 3: 0.75 m3/s, 55 W, 57 dBA, 1300 rpm</x:v>
      </x:c>
      <x:c r="N50" s="11" t="n">
        <x:v>55</x:v>
      </x:c>
      <x:c r="O50" s="11" t="n">
        <x:v>90</x:v>
      </x:c>
      <x:c r="P50" s="11" t="n">
        <x:v>-38</x:v>
      </x:c>
      <x:c r="Q50" s="9"/>
      <x:c r="R50" s="9"/>
      <x:c r="S50" s="9"/>
      <x:c r="T50" s="9"/>
      <x:c r="U50" s="9"/>
      <x:c r="V50" s="9"/>
      <x:c r="W50" s="13"/>
      <x:c r="X50" s="13"/>
      <x:c r="Y50" s="13"/>
      <x:c r="Z50" s="9"/>
      <x:c r="AA50" s="8" t="str">
        <x:v>Current</x:v>
      </x:c>
      <x:c r="AB50" s="8" t="str">
        <x:v>drop:FC1:F2:fan:-1:F-NAVE-B-9</x:v>
      </x:c>
      <x:c r="AC50" s="8" t="str">
        <x:v>{"dim":1,"speed":1}</x:v>
      </x:c>
    </x:row>
    <x:row r="51" ht="96" customHeight="1">
      <x:c r="A51" s="8" t="str">
        <x:v>F-NAVE-H-9</x:v>
      </x:c>
      <x:c r="B51" s="8" t="str">
        <x:v>Wall fan · axis 9 · H</x:v>
      </x:c>
      <x:c r="C51" s="8" t="str">
        <x:v>fan</x:v>
      </x:c>
      <x:c r="D51" s="8" t="str">
        <x:v>DB1</x:v>
      </x:c>
      <x:c r="E51" s="8" t="str">
        <x:v>F2</x:v>
      </x:c>
      <x:c r="F51" s="11" t="n">
        <x:v>36.975</x:v>
      </x:c>
      <x:c r="G51" s="11" t="n">
        <x:v>5.55</x:v>
      </x:c>
      <x:c r="H51" s="11" t="n">
        <x:v>7.07</x:v>
      </x:c>
      <x:c r="I51" s="8" t="str">
        <x:v>wall</x:v>
      </x:c>
      <x:c r="J51" s="8" t="str">
        <x:v>Shown</x:v>
      </x:c>
      <x:c r="K51" s="8" t="str">
        <x:v>Off</x:v>
      </x:c>
      <x:c r="L51" s="8" t="str">
        <x:v>665 × 490 × 490</x:v>
      </x:c>
      <x:c r="M51" s="8" t="str">
        <x:v>0.45 m diameter · 55 W at maximum speed. Speed steps: 1: 0.45 m3/s, 35 W, 47 dBA, 900 rpm; 2: 0.6 m3/s, 45 W, 52 dBA, 1100 rpm; 3: 0.75 m3/s, 55 W, 57 dBA, 1300 rpm</x:v>
      </x:c>
      <x:c r="N51" s="11" t="n">
        <x:v>55</x:v>
      </x:c>
      <x:c r="O51" s="11" t="n">
        <x:v>-90</x:v>
      </x:c>
      <x:c r="P51" s="11" t="n">
        <x:v>-38</x:v>
      </x:c>
      <x:c r="Q51" s="9"/>
      <x:c r="R51" s="9"/>
      <x:c r="S51" s="9"/>
      <x:c r="T51" s="9"/>
      <x:c r="U51" s="9"/>
      <x:c r="V51" s="9"/>
      <x:c r="W51" s="13"/>
      <x:c r="X51" s="13"/>
      <x:c r="Y51" s="13"/>
      <x:c r="Z51" s="9"/>
      <x:c r="AA51" s="8" t="str">
        <x:v>Current</x:v>
      </x:c>
      <x:c r="AB51" s="8" t="str">
        <x:v>drop:FC1:F2:fan:1:F-NAVE-H-9</x:v>
      </x:c>
      <x:c r="AC51" s="8" t="str">
        <x:v>{"dim":1,"speed":1}</x:v>
      </x:c>
    </x:row>
    <x:row r="52" ht="96" customHeight="1">
      <x:c r="A52" s="8" t="str">
        <x:v>F-WING-B-3</x:v>
      </x:c>
      <x:c r="B52" s="8" t="str">
        <x:v>Wall fan · wing B · 3 · held review</x:v>
      </x:c>
      <x:c r="C52" s="8" t="str">
        <x:v>fan</x:v>
      </x:c>
      <x:c r="D52" s="8" t="str">
        <x:v>DB1</x:v>
      </x:c>
      <x:c r="E52" s="8" t="str">
        <x:v>F5</x:v>
      </x:c>
      <x:c r="F52" s="11" t="n">
        <x:v>41.2</x:v>
      </x:c>
      <x:c r="G52" s="11" t="n">
        <x:v>2.7</x:v>
      </x:c>
      <x:c r="H52" s="11" t="n">
        <x:v>-13.06</x:v>
      </x:c>
      <x:c r="I52" s="8" t="str">
        <x:v>wall</x:v>
      </x:c>
      <x:c r="J52" s="8" t="str">
        <x:v>Shown</x:v>
      </x:c>
      <x:c r="K52" s="8" t="str">
        <x:v>On</x:v>
      </x:c>
      <x:c r="L52" s="8" t="str">
        <x:v>460 × 490 × 490</x:v>
      </x:c>
      <x:c r="M52" s="8" t="str">
        <x:v>0.45 m diameter · 55 W at maximum speed. Speed steps: 1: 0.45 m3/s, 35 W, 47 dBA, 900 rpm; 2: 0.6 m3/s, 45 W, 52 dBA, 1100 rpm; 3: 0.75 m3/s, 55 W, 57 dBA, 1300 rpm</x:v>
      </x:c>
      <x:c r="N52" s="11" t="n">
        <x:v>55</x:v>
      </x:c>
      <x:c r="O52" s="11" t="n">
        <x:v>75.89736516026656</x:v>
      </x:c>
      <x:c r="P52" s="11" t="n">
        <x:v>-30.031965296126412</x:v>
      </x:c>
      <x:c r="Q52" s="9"/>
      <x:c r="R52" s="9"/>
      <x:c r="S52" s="9"/>
      <x:c r="T52" s="9"/>
      <x:c r="U52" s="9"/>
      <x:c r="V52" s="9"/>
      <x:c r="W52" s="13"/>
      <x:c r="X52" s="13"/>
      <x:c r="Y52" s="13"/>
      <x:c r="Z52" s="9"/>
      <x:c r="AA52" s="8" t="str">
        <x:v>Retired</x:v>
      </x:c>
      <x:c r="AB52" s="8" t="str">
        <x:v>drop:FC1:F5:fan:-1:F-WING-B-3</x:v>
      </x:c>
      <x:c r="AC52" s="8" t="str">
        <x:v>{"dim":1,"speed":1,"note":"ENGINEERING HOLD: 4 per wing at low speed cover 68/80 seats; noise and speech criteria fail. Gable anchors, concealment, sweep clearance and maintenance unapproved."}</x:v>
      </x:c>
    </x:row>
    <x:row r="53" ht="96" customHeight="1">
      <x:c r="A53" s="8" t="str">
        <x:v>F-WING-B-4</x:v>
      </x:c>
      <x:c r="B53" s="8" t="str">
        <x:v>Wall fan · wing B · 4 · held review</x:v>
      </x:c>
      <x:c r="C53" s="8" t="str">
        <x:v>fan</x:v>
      </x:c>
      <x:c r="D53" s="8" t="str">
        <x:v>DB1</x:v>
      </x:c>
      <x:c r="E53" s="8" t="str">
        <x:v>F5</x:v>
      </x:c>
      <x:c r="F53" s="11" t="n">
        <x:v>42</x:v>
      </x:c>
      <x:c r="G53" s="11" t="n">
        <x:v>3.5</x:v>
      </x:c>
      <x:c r="H53" s="11" t="n">
        <x:v>-13.06</x:v>
      </x:c>
      <x:c r="I53" s="8" t="str">
        <x:v>wall</x:v>
      </x:c>
      <x:c r="J53" s="8" t="str">
        <x:v>Shown</x:v>
      </x:c>
      <x:c r="K53" s="8" t="str">
        <x:v>On</x:v>
      </x:c>
      <x:c r="L53" s="8" t="str">
        <x:v>460 × 490 × 490</x:v>
      </x:c>
      <x:c r="M53" s="8" t="str">
        <x:v>0.45 m diameter · 55 W at maximum speed. Speed steps: 1: 0.45 m3/s, 35 W, 47 dBA, 900 rpm; 2: 0.6 m3/s, 45 W, 52 dBA, 1100 rpm; 3: 0.75 m3/s, 55 W, 57 dBA, 1300 rpm</x:v>
      </x:c>
      <x:c r="N53" s="11" t="n">
        <x:v>55</x:v>
      </x:c>
      <x:c r="O53" s="11" t="n">
        <x:v>81.9727624895681</x:v>
      </x:c>
      <x:c r="P53" s="11" t="n">
        <x:v>-63.92906953677533</x:v>
      </x:c>
      <x:c r="Q53" s="9"/>
      <x:c r="R53" s="9"/>
      <x:c r="S53" s="9"/>
      <x:c r="T53" s="9"/>
      <x:c r="U53" s="9"/>
      <x:c r="V53" s="9"/>
      <x:c r="W53" s="13"/>
      <x:c r="X53" s="13"/>
      <x:c r="Y53" s="13"/>
      <x:c r="Z53" s="9"/>
      <x:c r="AA53" s="8" t="str">
        <x:v>Retired</x:v>
      </x:c>
      <x:c r="AB53" s="8" t="str">
        <x:v>drop:FC1:F5:fan:-1:F-WING-B-4</x:v>
      </x:c>
      <x:c r="AC53" s="8" t="str">
        <x:v>{"dim":1,"speed":1,"note":"ENGINEERING HOLD: 4 per wing at low speed cover 68/80 seats; noise and speech criteria fail. Gable anchors, concealment, sweep clearance and maintenance unapproved."}</x:v>
      </x:c>
    </x:row>
    <x:row r="54" ht="96" customHeight="1">
      <x:c r="A54" s="8" t="str">
        <x:v>F-WING-H-3</x:v>
      </x:c>
      <x:c r="B54" s="8" t="str">
        <x:v>Wall fan · wing H · 3 · held review</x:v>
      </x:c>
      <x:c r="C54" s="8" t="str">
        <x:v>fan</x:v>
      </x:c>
      <x:c r="D54" s="8" t="str">
        <x:v>DB1</x:v>
      </x:c>
      <x:c r="E54" s="8" t="str">
        <x:v>F5</x:v>
      </x:c>
      <x:c r="F54" s="11" t="n">
        <x:v>41.2</x:v>
      </x:c>
      <x:c r="G54" s="11" t="n">
        <x:v>2.7</x:v>
      </x:c>
      <x:c r="H54" s="11" t="n">
        <x:v>13.06</x:v>
      </x:c>
      <x:c r="I54" s="8" t="str">
        <x:v>wall</x:v>
      </x:c>
      <x:c r="J54" s="8" t="str">
        <x:v>Shown</x:v>
      </x:c>
      <x:c r="K54" s="8" t="str">
        <x:v>On</x:v>
      </x:c>
      <x:c r="L54" s="8" t="str">
        <x:v>460 × 490 × 490</x:v>
      </x:c>
      <x:c r="M54" s="8" t="str">
        <x:v>0.45 m diameter · 55 W at maximum speed. Speed steps: 1: 0.45 m3/s, 35 W, 47 dBA, 900 rpm; 2: 0.6 m3/s, 45 W, 52 dBA, 1100 rpm; 3: 0.75 m3/s, 55 W, 57 dBA, 1300 rpm</x:v>
      </x:c>
      <x:c r="N54" s="11" t="n">
        <x:v>55</x:v>
      </x:c>
      <x:c r="O54" s="11" t="n">
        <x:v>-75.89736516026656</x:v>
      </x:c>
      <x:c r="P54" s="11" t="n">
        <x:v>-30.031965296126412</x:v>
      </x:c>
      <x:c r="Q54" s="9"/>
      <x:c r="R54" s="9"/>
      <x:c r="S54" s="9"/>
      <x:c r="T54" s="9"/>
      <x:c r="U54" s="9"/>
      <x:c r="V54" s="9"/>
      <x:c r="W54" s="13"/>
      <x:c r="X54" s="13"/>
      <x:c r="Y54" s="13"/>
      <x:c r="Z54" s="9"/>
      <x:c r="AA54" s="8" t="str">
        <x:v>Retired</x:v>
      </x:c>
      <x:c r="AB54" s="8" t="str">
        <x:v>drop:FC1:F5:fan:1:F-WING-H-3</x:v>
      </x:c>
      <x:c r="AC54" s="8" t="str">
        <x:v>{"dim":1,"speed":1,"note":"ENGINEERING HOLD: 4 per wing at low speed cover 68/80 seats; noise and speech criteria fail. Gable anchors, concealment, sweep clearance and maintenance unapproved."}</x:v>
      </x:c>
    </x:row>
    <x:row r="55" ht="96" customHeight="1">
      <x:c r="A55" s="8" t="str">
        <x:v>F-WING-H-4</x:v>
      </x:c>
      <x:c r="B55" s="8" t="str">
        <x:v>Wall fan · wing H · 4 · held review</x:v>
      </x:c>
      <x:c r="C55" s="8" t="str">
        <x:v>fan</x:v>
      </x:c>
      <x:c r="D55" s="8" t="str">
        <x:v>DB1</x:v>
      </x:c>
      <x:c r="E55" s="8" t="str">
        <x:v>F5</x:v>
      </x:c>
      <x:c r="F55" s="11" t="n">
        <x:v>42</x:v>
      </x:c>
      <x:c r="G55" s="11" t="n">
        <x:v>3.5</x:v>
      </x:c>
      <x:c r="H55" s="11" t="n">
        <x:v>13.06</x:v>
      </x:c>
      <x:c r="I55" s="8" t="str">
        <x:v>wall</x:v>
      </x:c>
      <x:c r="J55" s="8" t="str">
        <x:v>Shown</x:v>
      </x:c>
      <x:c r="K55" s="8" t="str">
        <x:v>On</x:v>
      </x:c>
      <x:c r="L55" s="8" t="str">
        <x:v>460 × 490 × 490</x:v>
      </x:c>
      <x:c r="M55" s="8" t="str">
        <x:v>0.45 m diameter · 55 W at maximum speed. Speed steps: 1: 0.45 m3/s, 35 W, 47 dBA, 900 rpm; 2: 0.6 m3/s, 45 W, 52 dBA, 1100 rpm; 3: 0.75 m3/s, 55 W, 57 dBA, 1300 rpm</x:v>
      </x:c>
      <x:c r="N55" s="11" t="n">
        <x:v>55</x:v>
      </x:c>
      <x:c r="O55" s="11" t="n">
        <x:v>-81.9727624895681</x:v>
      </x:c>
      <x:c r="P55" s="11" t="n">
        <x:v>-63.92906953677533</x:v>
      </x:c>
      <x:c r="Q55" s="9"/>
      <x:c r="R55" s="9"/>
      <x:c r="S55" s="9"/>
      <x:c r="T55" s="9"/>
      <x:c r="U55" s="9"/>
      <x:c r="V55" s="9"/>
      <x:c r="W55" s="13"/>
      <x:c r="X55" s="13"/>
      <x:c r="Y55" s="13"/>
      <x:c r="Z55" s="9"/>
      <x:c r="AA55" s="8" t="str">
        <x:v>Retired</x:v>
      </x:c>
      <x:c r="AB55" s="8" t="str">
        <x:v>drop:FC1:F5:fan:1:F-WING-H-4</x:v>
      </x:c>
      <x:c r="AC55" s="8" t="str">
        <x:v>{"dim":1,"speed":1,"note":"ENGINEERING HOLD: 4 per wing at low speed cover 68/80 seats; noise and speech criteria fail. Gable anchors, concealment, sweep clearance and maintenance unapproved."}</x:v>
      </x:c>
    </x:row>
  </x:sheetData>
  <x:conditionalFormatting sqref="AA7:AA55">
    <x:cfRule type="containsText" dxfId="0" priority="1" operator="containsText" text="Retired"/>
  </x:conditionalFormatting>
  <x:dataValidations count="3">
    <x:dataValidation type="decimal" operator="between" sqref="W7:W55">
      <x:formula1>-1000</x:formula1>
      <x:formula2>1000</x:formula2>
    </x:dataValidation>
    <x:dataValidation type="decimal" operator="between" sqref="X7:X55">
      <x:formula1>-1000</x:formula1>
      <x:formula2>1000</x:formula2>
    </x:dataValidation>
    <x:dataValidation type="decimal" operator="between" sqref="Y7:Y55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4003bcc69fb4ba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103" customHeight="1">
      <x:c r="A7" s="8" t="str">
        <x:v>trunk:FC1:F1:fan:-1</x:v>
      </x:c>
      <x:c r="B7" s="8" t="str">
        <x:v>F1 · B · circuit trunk</x:v>
      </x:c>
      <x:c r="C7" s="8" t="str">
        <x:v>FC1</x:v>
      </x:c>
      <x:c r="D7" s="8" t="str">
        <x:v>F226
F228
F230
F232
F234
F236
F238</x:v>
      </x:c>
      <x:c r="E7" s="8" t="str">
        <x:v>DB1</x:v>
      </x:c>
      <x:c r="F7" s="8" t="str">
        <x:v>F1</x:v>
      </x:c>
      <x:c r="G7" s="8" t="str">
        <x:v>fan</x:v>
      </x:c>
      <x:c r="H7" s="8" t="str">
        <x:v>trunk</x:v>
      </x:c>
      <x:c r="I7" s="11" t="n">
        <x:f>SUMIF('Route Points'!$A$7:$A$464,A7,'Route Points'!$F$7:$F$464)</x:f>
        <x:v>64.02913031117919</x:v>
      </x:c>
      <x:c r="J7" s="11"/>
      <x:c r="K7" s="11" t="str">
        <x:f>IF(L7="Full home run",I7+J7,"")</x:f>
      </x:c>
      <x:c r="L7" s="8" t="str">
        <x:v>Route segment</x:v>
      </x:c>
      <x:c r="M7" s="13"/>
      <x:c r="N7" s="11" t="str">
        <x:f>IF(AND(ISNUMBER(M7),L7&lt;&gt;"Shared bundle"),IF(L7="Full home run",K7,I7)+M7,"")</x:f>
      </x:c>
      <x:c r="O7" s="8" t="str">
        <x:v>Cable type / conductors / cross-section / conduit: pending electrical design</x:v>
      </x:c>
      <x:c r="P7" s="8" t="str">
        <x:v>Wall bands above openings; concealed finish-matched soffit crossing over the 9–10 wing opening.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drop:FC1:F1:fan:-1:F226</x:v>
      </x:c>
      <x:c r="B8" s="8" t="str">
        <x:v>F1 → Ceiling fan · bay 2′–3 · B aisle</x:v>
      </x:c>
      <x:c r="C8" s="8" t="str">
        <x:v>FC1</x:v>
      </x:c>
      <x:c r="D8" s="8" t="str">
        <x:v>F226</x:v>
      </x:c>
      <x:c r="E8" s="8" t="str">
        <x:v>DB1</x:v>
      </x:c>
      <x:c r="F8" s="8" t="str">
        <x:v>F1</x:v>
      </x:c>
      <x:c r="G8" s="8" t="str">
        <x:v>fan</x:v>
      </x:c>
      <x:c r="H8" s="8" t="str">
        <x:v>drop</x:v>
      </x:c>
      <x:c r="I8" s="11" t="n">
        <x:f>SUMIF('Route Points'!$A$7:$A$464,A8,'Route Points'!$F$7:$F$464)</x:f>
        <x:v>10.986909264308505</x:v>
      </x:c>
      <x:c r="J8" s="11"/>
      <x:c r="K8" s="11" t="str">
        <x:f>IF(L8="Full home run",I8+J8,"")</x:f>
      </x:c>
      <x:c r="L8" s="8" t="str">
        <x:v>Route segment</x:v>
      </x:c>
      <x:c r="M8" s="13"/>
      <x:c r="N8" s="11" t="str">
        <x:f>IF(AND(ISNUMBER(M8),L8&lt;&gt;"Shared bundle"),IF(L8="Full home run",K8,I8)+M8,"")</x:f>
      </x:c>
      <x:c r="O8" s="8" t="str">
        <x:v>Cable type / conductors / cross-section / conduit: pending electrical design</x:v>
      </x:c>
      <x:c r="P8" s="8" t="str">
        <x:v>Above nave lining / covered soffit route at wings and verandas; cable continues inside the existing pendant stem. Roof build-up, supports and access pending.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 t="str">
        <x:v>trunk:FC1:F1:fan:-1</x:v>
      </x:c>
    </x:row>
    <x:row r="9" ht="90" customHeight="1">
      <x:c r="A9" s="8" t="str">
        <x:v>drop:FC1:F1:fan:-1:F228</x:v>
      </x:c>
      <x:c r="B9" s="8" t="str">
        <x:v>F1 → Ceiling fan · bay 3–4 · B aisle</x:v>
      </x:c>
      <x:c r="C9" s="8" t="str">
        <x:v>FC1</x:v>
      </x:c>
      <x:c r="D9" s="8" t="str">
        <x:v>F228</x:v>
      </x:c>
      <x:c r="E9" s="8" t="str">
        <x:v>DB1</x:v>
      </x:c>
      <x:c r="F9" s="8" t="str">
        <x:v>F1</x:v>
      </x:c>
      <x:c r="G9" s="8" t="str">
        <x:v>fan</x:v>
      </x:c>
      <x:c r="H9" s="8" t="str">
        <x:v>drop</x:v>
      </x:c>
      <x:c r="I9" s="11" t="n">
        <x:f>SUMIF('Route Points'!$A$7:$A$464,A9,'Route Points'!$F$7:$F$464)</x:f>
        <x:v>12.387819159643918</x:v>
      </x:c>
      <x:c r="J9" s="11"/>
      <x:c r="K9" s="11" t="str">
        <x:f>IF(L9="Full home run",I9+J9,"")</x:f>
      </x:c>
      <x:c r="L9" s="8" t="str">
        <x:v>Route segment</x:v>
      </x:c>
      <x:c r="M9" s="13"/>
      <x:c r="N9" s="11" t="str">
        <x:f>IF(AND(ISNUMBER(M9),L9&lt;&gt;"Shared bundle"),IF(L9="Full home run",K9,I9)+M9,"")</x:f>
      </x:c>
      <x:c r="O9" s="8" t="str">
        <x:v>Cable type / conductors / cross-section / conduit: pending electrical design</x:v>
      </x:c>
      <x:c r="P9" s="8" t="str">
        <x:v>Above nave lining, then down the outer face of the column-line beam in a removable finish-matched cover to the hanger; cable continues inside the downrod. Hanger, beam section and access pending.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 t="str">
        <x:v>trunk:FC1:F1:fan:-1</x:v>
      </x:c>
    </x:row>
    <x:row r="10" ht="90" customHeight="1">
      <x:c r="A10" s="8" t="str">
        <x:v>drop:FC1:F1:fan:-1:F230</x:v>
      </x:c>
      <x:c r="B10" s="8" t="str">
        <x:v>F1 → Ceiling fan · bay 4–5 · B aisle</x:v>
      </x:c>
      <x:c r="C10" s="8" t="str">
        <x:v>FC1</x:v>
      </x:c>
      <x:c r="D10" s="8" t="str">
        <x:v>F230</x:v>
      </x:c>
      <x:c r="E10" s="8" t="str">
        <x:v>DB1</x:v>
      </x:c>
      <x:c r="F10" s="8" t="str">
        <x:v>F1</x:v>
      </x:c>
      <x:c r="G10" s="8" t="str">
        <x:v>fan</x:v>
      </x:c>
      <x:c r="H10" s="8" t="str">
        <x:v>drop</x:v>
      </x:c>
      <x:c r="I10" s="11" t="n">
        <x:f>SUMIF('Route Points'!$A$7:$A$464,A10,'Route Points'!$F$7:$F$464)</x:f>
        <x:v>12.377819159643915</x:v>
      </x:c>
      <x:c r="J10" s="11"/>
      <x:c r="K10" s="11" t="str">
        <x:f>IF(L10="Full home run",I10+J10,"")</x:f>
      </x:c>
      <x:c r="L10" s="8" t="str">
        <x:v>Route segment</x:v>
      </x:c>
      <x:c r="M10" s="13"/>
      <x:c r="N10" s="11" t="str">
        <x:f>IF(AND(ISNUMBER(M10),L10&lt;&gt;"Shared bundle"),IF(L10="Full home run",K10,I10)+M10,"")</x:f>
      </x:c>
      <x:c r="O10" s="8" t="str">
        <x:v>Cable type / conductors / cross-section / conduit: pending electrical design</x:v>
      </x:c>
      <x:c r="P10" s="8" t="str">
        <x:v>Above nave lining, then down the outer face of the column-line beam in a removable finish-matched cover to the hanger; cable continues inside the downrod. Hanger, beam section and access pending.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 t="str">
        <x:v>trunk:FC1:F1:fan:-1</x:v>
      </x:c>
    </x:row>
    <x:row r="11" ht="90" customHeight="1">
      <x:c r="A11" s="8" t="str">
        <x:v>drop:FC1:F1:fan:-1:F232</x:v>
      </x:c>
      <x:c r="B11" s="8" t="str">
        <x:v>F1 → Ceiling fan · bay 5–6 · B aisle</x:v>
      </x:c>
      <x:c r="C11" s="8" t="str">
        <x:v>FC1</x:v>
      </x:c>
      <x:c r="D11" s="8" t="str">
        <x:v>F232</x:v>
      </x:c>
      <x:c r="E11" s="8" t="str">
        <x:v>DB1</x:v>
      </x:c>
      <x:c r="F11" s="8" t="str">
        <x:v>F1</x:v>
      </x:c>
      <x:c r="G11" s="8" t="str">
        <x:v>fan</x:v>
      </x:c>
      <x:c r="H11" s="8" t="str">
        <x:v>drop</x:v>
      </x:c>
      <x:c r="I11" s="11" t="n">
        <x:f>SUMIF('Route Points'!$A$7:$A$464,A11,'Route Points'!$F$7:$F$464)</x:f>
        <x:v>12.387819159643916</x:v>
      </x:c>
      <x:c r="J11" s="11"/>
      <x:c r="K11" s="11" t="str">
        <x:f>IF(L11="Full home run",I11+J11,"")</x:f>
      </x:c>
      <x:c r="L11" s="8" t="str">
        <x:v>Route segment</x:v>
      </x:c>
      <x:c r="M11" s="13"/>
      <x:c r="N11" s="11" t="str">
        <x:f>IF(AND(ISNUMBER(M11),L11&lt;&gt;"Shared bundle"),IF(L11="Full home run",K11,I11)+M11,"")</x:f>
      </x:c>
      <x:c r="O11" s="8" t="str">
        <x:v>Cable type / conductors / cross-section / conduit: pending electrical design</x:v>
      </x:c>
      <x:c r="P11" s="8" t="str">
        <x:v>Above nave lining, then down the outer face of the column-line beam in a removable finish-matched cover to the hanger; cable continues inside the downrod. Hanger, beam section and access pending.</x:v>
      </x:c>
      <x:c r="Q11" s="9"/>
      <x:c r="R11" s="9"/>
      <x:c r="S11" s="13"/>
      <x:c r="T11" s="9"/>
      <x:c r="U11" s="9"/>
      <x:c r="V11" s="9"/>
      <x:c r="W11" s="9"/>
      <x:c r="X11" s="9"/>
      <x:c r="Y11" s="8" t="str">
        <x:v>Current</x:v>
      </x:c>
      <x:c r="Z11" s="8" t="str">
        <x:v>trunk:FC1:F1:fan:-1</x:v>
      </x:c>
    </x:row>
    <x:row r="12" ht="90" customHeight="1">
      <x:c r="A12" s="8" t="str">
        <x:v>drop:FC1:F1:fan:-1:F234</x:v>
      </x:c>
      <x:c r="B12" s="8" t="str">
        <x:v>F1 → Ceiling fan · bay 6–7 · B aisle</x:v>
      </x:c>
      <x:c r="C12" s="8" t="str">
        <x:v>FC1</x:v>
      </x:c>
      <x:c r="D12" s="8" t="str">
        <x:v>F234</x:v>
      </x:c>
      <x:c r="E12" s="8" t="str">
        <x:v>DB1</x:v>
      </x:c>
      <x:c r="F12" s="8" t="str">
        <x:v>F1</x:v>
      </x:c>
      <x:c r="G12" s="8" t="str">
        <x:v>fan</x:v>
      </x:c>
      <x:c r="H12" s="8" t="str">
        <x:v>drop</x:v>
      </x:c>
      <x:c r="I12" s="11" t="n">
        <x:f>SUMIF('Route Points'!$A$7:$A$464,A12,'Route Points'!$F$7:$F$464)</x:f>
        <x:v>12.387819159643916</x:v>
      </x:c>
      <x:c r="J12" s="11"/>
      <x:c r="K12" s="11" t="str">
        <x:f>IF(L12="Full home run",I12+J12,"")</x:f>
      </x:c>
      <x:c r="L12" s="8" t="str">
        <x:v>Route segment</x:v>
      </x:c>
      <x:c r="M12" s="13"/>
      <x:c r="N12" s="11" t="str">
        <x:f>IF(AND(ISNUMBER(M12),L12&lt;&gt;"Shared bundle"),IF(L12="Full home run",K12,I12)+M12,"")</x:f>
      </x:c>
      <x:c r="O12" s="8" t="str">
        <x:v>Cable type / conductors / cross-section / conduit: pending electrical design</x:v>
      </x:c>
      <x:c r="P12" s="8" t="str">
        <x:v>Above nave lining, then down the outer face of the column-line beam in a removable finish-matched cover to the hanger; cable continues inside the downrod. Hanger, beam section and access pending.</x:v>
      </x:c>
      <x:c r="Q12" s="9"/>
      <x:c r="R12" s="9"/>
      <x:c r="S12" s="13"/>
      <x:c r="T12" s="9"/>
      <x:c r="U12" s="9"/>
      <x:c r="V12" s="9"/>
      <x:c r="W12" s="9"/>
      <x:c r="X12" s="9"/>
      <x:c r="Y12" s="8" t="str">
        <x:v>Current</x:v>
      </x:c>
      <x:c r="Z12" s="8" t="str">
        <x:v>trunk:FC1:F1:fan:-1</x:v>
      </x:c>
    </x:row>
    <x:row r="13" ht="90" customHeight="1">
      <x:c r="A13" s="8" t="str">
        <x:v>drop:FC1:F1:fan:-1:F236</x:v>
      </x:c>
      <x:c r="B13" s="8" t="str">
        <x:v>F1 → Ceiling fan · bay 7–8 · B aisle</x:v>
      </x:c>
      <x:c r="C13" s="8" t="str">
        <x:v>FC1</x:v>
      </x:c>
      <x:c r="D13" s="8" t="str">
        <x:v>F236</x:v>
      </x:c>
      <x:c r="E13" s="8" t="str">
        <x:v>DB1</x:v>
      </x:c>
      <x:c r="F13" s="8" t="str">
        <x:v>F1</x:v>
      </x:c>
      <x:c r="G13" s="8" t="str">
        <x:v>fan</x:v>
      </x:c>
      <x:c r="H13" s="8" t="str">
        <x:v>drop</x:v>
      </x:c>
      <x:c r="I13" s="11" t="n">
        <x:f>SUMIF('Route Points'!$A$7:$A$464,A13,'Route Points'!$F$7:$F$464)</x:f>
        <x:v>12.387819159643916</x:v>
      </x:c>
      <x:c r="J13" s="11"/>
      <x:c r="K13" s="11" t="str">
        <x:f>IF(L13="Full home run",I13+J13,"")</x:f>
      </x:c>
      <x:c r="L13" s="8" t="str">
        <x:v>Route segment</x:v>
      </x:c>
      <x:c r="M13" s="13"/>
      <x:c r="N13" s="11" t="str">
        <x:f>IF(AND(ISNUMBER(M13),L13&lt;&gt;"Shared bundle"),IF(L13="Full home run",K13,I13)+M13,"")</x:f>
      </x:c>
      <x:c r="O13" s="8" t="str">
        <x:v>Cable type / conductors / cross-section / conduit: pending electrical design</x:v>
      </x:c>
      <x:c r="P13" s="8" t="str">
        <x:v>Above nave lining, then down the outer face of the column-line beam in a removable finish-matched cover to the hanger; cable continues inside the downrod. Hanger, beam section and access pending.</x:v>
      </x:c>
      <x:c r="Q13" s="9"/>
      <x:c r="R13" s="9"/>
      <x:c r="S13" s="13"/>
      <x:c r="T13" s="9"/>
      <x:c r="U13" s="9"/>
      <x:c r="V13" s="9"/>
      <x:c r="W13" s="9"/>
      <x:c r="X13" s="9"/>
      <x:c r="Y13" s="8" t="str">
        <x:v>Current</x:v>
      </x:c>
      <x:c r="Z13" s="8" t="str">
        <x:v>trunk:FC1:F1:fan:-1</x:v>
      </x:c>
    </x:row>
    <x:row r="14" ht="90" customHeight="1">
      <x:c r="A14" s="8" t="str">
        <x:v>drop:FC1:F1:fan:-1:F238</x:v>
      </x:c>
      <x:c r="B14" s="8" t="str">
        <x:v>F1 → Ceiling fan · bay 8–9 · B aisle</x:v>
      </x:c>
      <x:c r="C14" s="8" t="str">
        <x:v>FC1</x:v>
      </x:c>
      <x:c r="D14" s="8" t="str">
        <x:v>F238</x:v>
      </x:c>
      <x:c r="E14" s="8" t="str">
        <x:v>DB1</x:v>
      </x:c>
      <x:c r="F14" s="8" t="str">
        <x:v>F1</x:v>
      </x:c>
      <x:c r="G14" s="8" t="str">
        <x:v>fan</x:v>
      </x:c>
      <x:c r="H14" s="8" t="str">
        <x:v>drop</x:v>
      </x:c>
      <x:c r="I14" s="11" t="n">
        <x:f>SUMIF('Route Points'!$A$7:$A$464,A14,'Route Points'!$F$7:$F$464)</x:f>
        <x:v>12.377819159643918</x:v>
      </x:c>
      <x:c r="J14" s="11"/>
      <x:c r="K14" s="11" t="str">
        <x:f>IF(L14="Full home run",I14+J14,"")</x:f>
      </x:c>
      <x:c r="L14" s="8" t="str">
        <x:v>Route segment</x:v>
      </x:c>
      <x:c r="M14" s="13"/>
      <x:c r="N14" s="11" t="str">
        <x:f>IF(AND(ISNUMBER(M14),L14&lt;&gt;"Shared bundle"),IF(L14="Full home run",K14,I14)+M14,"")</x:f>
      </x:c>
      <x:c r="O14" s="8" t="str">
        <x:v>Cable type / conductors / cross-section / conduit: pending electrical design</x:v>
      </x:c>
      <x:c r="P14" s="8" t="str">
        <x:v>Above nave lining, then down the outer face of the column-line beam in a removable finish-matched cover to the hanger; cable continues inside the downrod. Hanger, beam section and access pending.</x:v>
      </x:c>
      <x:c r="Q14" s="9"/>
      <x:c r="R14" s="9"/>
      <x:c r="S14" s="13"/>
      <x:c r="T14" s="9"/>
      <x:c r="U14" s="9"/>
      <x:c r="V14" s="9"/>
      <x:c r="W14" s="9"/>
      <x:c r="X14" s="9"/>
      <x:c r="Y14" s="8" t="str">
        <x:v>Current</x:v>
      </x:c>
      <x:c r="Z14" s="8" t="str">
        <x:v>trunk:FC1:F1:fan:-1</x:v>
      </x:c>
    </x:row>
    <x:row r="15" ht="103" customHeight="1">
      <x:c r="A15" s="8" t="str">
        <x:v>trunk:FC1:F1:fan:1</x:v>
      </x:c>
      <x:c r="B15" s="8" t="str">
        <x:v>F1 · H · circuit trunk</x:v>
      </x:c>
      <x:c r="C15" s="8" t="str">
        <x:v>FC1</x:v>
      </x:c>
      <x:c r="D15" s="8" t="str">
        <x:v>F227
F229
F231
F233
F235
F237
F239</x:v>
      </x:c>
      <x:c r="E15" s="8" t="str">
        <x:v>DB1</x:v>
      </x:c>
      <x:c r="F15" s="8" t="str">
        <x:v>F1</x:v>
      </x:c>
      <x:c r="G15" s="8" t="str">
        <x:v>fan</x:v>
      </x:c>
      <x:c r="H15" s="8" t="str">
        <x:v>trunk</x:v>
      </x:c>
      <x:c r="I15" s="11" t="n">
        <x:f>SUMIF('Route Points'!$A$7:$A$464,A15,'Route Points'!$F$7:$F$464)</x:f>
        <x:v>70.62913031117918</x:v>
      </x:c>
      <x:c r="J15" s="11"/>
      <x:c r="K15" s="11" t="str">
        <x:f>IF(L15="Full home run",I15+J15,"")</x:f>
      </x:c>
      <x:c r="L15" s="8" t="str">
        <x:v>Route segment</x:v>
      </x:c>
      <x:c r="M15" s="13"/>
      <x:c r="N15" s="11" t="str">
        <x:f>IF(AND(ISNUMBER(M15),L15&lt;&gt;"Shared bundle"),IF(L15="Full home run",K15,I15)+M15,"")</x:f>
      </x:c>
      <x:c r="O15" s="8" t="str">
        <x:v>Cable type / conductors / cross-section / conduit: pending electrical design</x:v>
      </x:c>
      <x:c r="P15" s="8" t="str">
        <x:v>Wall bands above openings; concealed finish-matched soffit crossing over the 9–10 wing opening.</x:v>
      </x:c>
      <x:c r="Q15" s="9"/>
      <x:c r="R15" s="9"/>
      <x:c r="S15" s="13"/>
      <x:c r="T15" s="9"/>
      <x:c r="U15" s="9"/>
      <x:c r="V15" s="9"/>
      <x:c r="W15" s="9"/>
      <x:c r="X15" s="9"/>
      <x:c r="Y15" s="8" t="str">
        <x:v>Current</x:v>
      </x:c>
      <x:c r="Z15" s="8"/>
    </x:row>
    <x:row r="16" ht="90" customHeight="1">
      <x:c r="A16" s="8" t="str">
        <x:v>drop:FC1:F1:fan:1:F227</x:v>
      </x:c>
      <x:c r="B16" s="8" t="str">
        <x:v>F1 → Ceiling fan · bay 2′–3 · H aisle</x:v>
      </x:c>
      <x:c r="C16" s="8" t="str">
        <x:v>FC1</x:v>
      </x:c>
      <x:c r="D16" s="8" t="str">
        <x:v>F227</x:v>
      </x:c>
      <x:c r="E16" s="8" t="str">
        <x:v>DB1</x:v>
      </x:c>
      <x:c r="F16" s="8" t="str">
        <x:v>F1</x:v>
      </x:c>
      <x:c r="G16" s="8" t="str">
        <x:v>fan</x:v>
      </x:c>
      <x:c r="H16" s="8" t="str">
        <x:v>drop</x:v>
      </x:c>
      <x:c r="I16" s="11" t="n">
        <x:f>SUMIF('Route Points'!$A$7:$A$464,A16,'Route Points'!$F$7:$F$464)</x:f>
        <x:v>10.986909264308505</x:v>
      </x:c>
      <x:c r="J16" s="11"/>
      <x:c r="K16" s="11" t="str">
        <x:f>IF(L16="Full home run",I16+J16,"")</x:f>
      </x:c>
      <x:c r="L16" s="8" t="str">
        <x:v>Route segment</x:v>
      </x:c>
      <x:c r="M16" s="13"/>
      <x:c r="N16" s="11" t="str">
        <x:f>IF(AND(ISNUMBER(M16),L16&lt;&gt;"Shared bundle"),IF(L16="Full home run",K16,I16)+M16,"")</x:f>
      </x:c>
      <x:c r="O16" s="8" t="str">
        <x:v>Cable type / conductors / cross-section / conduit: pending electrical design</x:v>
      </x:c>
      <x:c r="P16" s="8" t="str">
        <x:v>Above nave lining / covered soffit route at wings and verandas; cable continues inside the existing pendant stem. Roof build-up, supports and access pending.</x:v>
      </x:c>
      <x:c r="Q16" s="9"/>
      <x:c r="R16" s="9"/>
      <x:c r="S16" s="13"/>
      <x:c r="T16" s="9"/>
      <x:c r="U16" s="9"/>
      <x:c r="V16" s="9"/>
      <x:c r="W16" s="9"/>
      <x:c r="X16" s="9"/>
      <x:c r="Y16" s="8" t="str">
        <x:v>Current</x:v>
      </x:c>
      <x:c r="Z16" s="8" t="str">
        <x:v>trunk:FC1:F1:fan:1</x:v>
      </x:c>
    </x:row>
    <x:row r="17" ht="90" customHeight="1">
      <x:c r="A17" s="8" t="str">
        <x:v>drop:FC1:F1:fan:1:F229</x:v>
      </x:c>
      <x:c r="B17" s="8" t="str">
        <x:v>F1 → Ceiling fan · bay 3–4 · H aisle</x:v>
      </x:c>
      <x:c r="C17" s="8" t="str">
        <x:v>FC1</x:v>
      </x:c>
      <x:c r="D17" s="8" t="str">
        <x:v>F229</x:v>
      </x:c>
      <x:c r="E17" s="8" t="str">
        <x:v>DB1</x:v>
      </x:c>
      <x:c r="F17" s="8" t="str">
        <x:v>F1</x:v>
      </x:c>
      <x:c r="G17" s="8" t="str">
        <x:v>fan</x:v>
      </x:c>
      <x:c r="H17" s="8" t="str">
        <x:v>drop</x:v>
      </x:c>
      <x:c r="I17" s="11" t="n">
        <x:f>SUMIF('Route Points'!$A$7:$A$464,A17,'Route Points'!$F$7:$F$464)</x:f>
        <x:v>12.387819159643918</x:v>
      </x:c>
      <x:c r="J17" s="11"/>
      <x:c r="K17" s="11" t="str">
        <x:f>IF(L17="Full home run",I17+J17,"")</x:f>
      </x:c>
      <x:c r="L17" s="8" t="str">
        <x:v>Route segment</x:v>
      </x:c>
      <x:c r="M17" s="13"/>
      <x:c r="N17" s="11" t="str">
        <x:f>IF(AND(ISNUMBER(M17),L17&lt;&gt;"Shared bundle"),IF(L17="Full home run",K17,I17)+M17,"")</x:f>
      </x:c>
      <x:c r="O17" s="8" t="str">
        <x:v>Cable type / conductors / cross-section / conduit: pending electrical design</x:v>
      </x:c>
      <x:c r="P17" s="8" t="str">
        <x:v>Above nave lining, then down the outer face of the column-line beam in a removable finish-matched cover to the hanger; cable continues inside the downrod. Hanger, beam section and access pending.</x:v>
      </x:c>
      <x:c r="Q17" s="9"/>
      <x:c r="R17" s="9"/>
      <x:c r="S17" s="13"/>
      <x:c r="T17" s="9"/>
      <x:c r="U17" s="9"/>
      <x:c r="V17" s="9"/>
      <x:c r="W17" s="9"/>
      <x:c r="X17" s="9"/>
      <x:c r="Y17" s="8" t="str">
        <x:v>Current</x:v>
      </x:c>
      <x:c r="Z17" s="8" t="str">
        <x:v>trunk:FC1:F1:fan:1</x:v>
      </x:c>
    </x:row>
    <x:row r="18" ht="90" customHeight="1">
      <x:c r="A18" s="8" t="str">
        <x:v>drop:FC1:F1:fan:1:F231</x:v>
      </x:c>
      <x:c r="B18" s="8" t="str">
        <x:v>F1 → Ceiling fan · bay 4–5 · H aisle</x:v>
      </x:c>
      <x:c r="C18" s="8" t="str">
        <x:v>FC1</x:v>
      </x:c>
      <x:c r="D18" s="8" t="str">
        <x:v>F231</x:v>
      </x:c>
      <x:c r="E18" s="8" t="str">
        <x:v>DB1</x:v>
      </x:c>
      <x:c r="F18" s="8" t="str">
        <x:v>F1</x:v>
      </x:c>
      <x:c r="G18" s="8" t="str">
        <x:v>fan</x:v>
      </x:c>
      <x:c r="H18" s="8" t="str">
        <x:v>drop</x:v>
      </x:c>
      <x:c r="I18" s="11" t="n">
        <x:f>SUMIF('Route Points'!$A$7:$A$464,A18,'Route Points'!$F$7:$F$464)</x:f>
        <x:v>12.377819159643915</x:v>
      </x:c>
      <x:c r="J18" s="11"/>
      <x:c r="K18" s="11" t="str">
        <x:f>IF(L18="Full home run",I18+J18,"")</x:f>
      </x:c>
      <x:c r="L18" s="8" t="str">
        <x:v>Route segment</x:v>
      </x:c>
      <x:c r="M18" s="13"/>
      <x:c r="N18" s="11" t="str">
        <x:f>IF(AND(ISNUMBER(M18),L18&lt;&gt;"Shared bundle"),IF(L18="Full home run",K18,I18)+M18,"")</x:f>
      </x:c>
      <x:c r="O18" s="8" t="str">
        <x:v>Cable type / conductors / cross-section / conduit: pending electrical design</x:v>
      </x:c>
      <x:c r="P18" s="8" t="str">
        <x:v>Above nave lining, then down the outer face of the column-line beam in a removable finish-matched cover to the hanger; cable continues inside the downrod. Hanger, beam section and access pending.</x:v>
      </x:c>
      <x:c r="Q18" s="9"/>
      <x:c r="R18" s="9"/>
      <x:c r="S18" s="13"/>
      <x:c r="T18" s="9"/>
      <x:c r="U18" s="9"/>
      <x:c r="V18" s="9"/>
      <x:c r="W18" s="9"/>
      <x:c r="X18" s="9"/>
      <x:c r="Y18" s="8" t="str">
        <x:v>Current</x:v>
      </x:c>
      <x:c r="Z18" s="8" t="str">
        <x:v>trunk:FC1:F1:fan:1</x:v>
      </x:c>
    </x:row>
    <x:row r="19" ht="90" customHeight="1">
      <x:c r="A19" s="8" t="str">
        <x:v>drop:FC1:F1:fan:1:F233</x:v>
      </x:c>
      <x:c r="B19" s="8" t="str">
        <x:v>F1 → Ceiling fan · bay 5–6 · H aisle</x:v>
      </x:c>
      <x:c r="C19" s="8" t="str">
        <x:v>FC1</x:v>
      </x:c>
      <x:c r="D19" s="8" t="str">
        <x:v>F233</x:v>
      </x:c>
      <x:c r="E19" s="8" t="str">
        <x:v>DB1</x:v>
      </x:c>
      <x:c r="F19" s="8" t="str">
        <x:v>F1</x:v>
      </x:c>
      <x:c r="G19" s="8" t="str">
        <x:v>fan</x:v>
      </x:c>
      <x:c r="H19" s="8" t="str">
        <x:v>drop</x:v>
      </x:c>
      <x:c r="I19" s="11" t="n">
        <x:f>SUMIF('Route Points'!$A$7:$A$464,A19,'Route Points'!$F$7:$F$464)</x:f>
        <x:v>12.387819159643916</x:v>
      </x:c>
      <x:c r="J19" s="11"/>
      <x:c r="K19" s="11" t="str">
        <x:f>IF(L19="Full home run",I19+J19,"")</x:f>
      </x:c>
      <x:c r="L19" s="8" t="str">
        <x:v>Route segment</x:v>
      </x:c>
      <x:c r="M19" s="13"/>
      <x:c r="N19" s="11" t="str">
        <x:f>IF(AND(ISNUMBER(M19),L19&lt;&gt;"Shared bundle"),IF(L19="Full home run",K19,I19)+M19,"")</x:f>
      </x:c>
      <x:c r="O19" s="8" t="str">
        <x:v>Cable type / conductors / cross-section / conduit: pending electrical design</x:v>
      </x:c>
      <x:c r="P19" s="8" t="str">
        <x:v>Above nave lining, then down the outer face of the column-line beam in a removable finish-matched cover to the hanger; cable continues inside the downrod. Hanger, beam section and access pending.</x:v>
      </x:c>
      <x:c r="Q19" s="9"/>
      <x:c r="R19" s="9"/>
      <x:c r="S19" s="13"/>
      <x:c r="T19" s="9"/>
      <x:c r="U19" s="9"/>
      <x:c r="V19" s="9"/>
      <x:c r="W19" s="9"/>
      <x:c r="X19" s="9"/>
      <x:c r="Y19" s="8" t="str">
        <x:v>Current</x:v>
      </x:c>
      <x:c r="Z19" s="8" t="str">
        <x:v>trunk:FC1:F1:fan:1</x:v>
      </x:c>
    </x:row>
    <x:row r="20" ht="90" customHeight="1">
      <x:c r="A20" s="8" t="str">
        <x:v>drop:FC1:F1:fan:1:F235</x:v>
      </x:c>
      <x:c r="B20" s="8" t="str">
        <x:v>F1 → Ceiling fan · bay 6–7 · H aisle</x:v>
      </x:c>
      <x:c r="C20" s="8" t="str">
        <x:v>FC1</x:v>
      </x:c>
      <x:c r="D20" s="8" t="str">
        <x:v>F235</x:v>
      </x:c>
      <x:c r="E20" s="8" t="str">
        <x:v>DB1</x:v>
      </x:c>
      <x:c r="F20" s="8" t="str">
        <x:v>F1</x:v>
      </x:c>
      <x:c r="G20" s="8" t="str">
        <x:v>fan</x:v>
      </x:c>
      <x:c r="H20" s="8" t="str">
        <x:v>drop</x:v>
      </x:c>
      <x:c r="I20" s="11" t="n">
        <x:f>SUMIF('Route Points'!$A$7:$A$464,A20,'Route Points'!$F$7:$F$464)</x:f>
        <x:v>12.387819159643916</x:v>
      </x:c>
      <x:c r="J20" s="11"/>
      <x:c r="K20" s="11" t="str">
        <x:f>IF(L20="Full home run",I20+J20,"")</x:f>
      </x:c>
      <x:c r="L20" s="8" t="str">
        <x:v>Route segment</x:v>
      </x:c>
      <x:c r="M20" s="13"/>
      <x:c r="N20" s="11" t="str">
        <x:f>IF(AND(ISNUMBER(M20),L20&lt;&gt;"Shared bundle"),IF(L20="Full home run",K20,I20)+M20,"")</x:f>
      </x:c>
      <x:c r="O20" s="8" t="str">
        <x:v>Cable type / conductors / cross-section / conduit: pending electrical design</x:v>
      </x:c>
      <x:c r="P20" s="8" t="str">
        <x:v>Above nave lining, then down the outer face of the column-line beam in a removable finish-matched cover to the hanger; cable continues inside the downrod. Hanger, beam section and access pending.</x:v>
      </x:c>
      <x:c r="Q20" s="9"/>
      <x:c r="R20" s="9"/>
      <x:c r="S20" s="13"/>
      <x:c r="T20" s="9"/>
      <x:c r="U20" s="9"/>
      <x:c r="V20" s="9"/>
      <x:c r="W20" s="9"/>
      <x:c r="X20" s="9"/>
      <x:c r="Y20" s="8" t="str">
        <x:v>Current</x:v>
      </x:c>
      <x:c r="Z20" s="8" t="str">
        <x:v>trunk:FC1:F1:fan:1</x:v>
      </x:c>
    </x:row>
    <x:row r="21" ht="90" customHeight="1">
      <x:c r="A21" s="8" t="str">
        <x:v>drop:FC1:F1:fan:1:F237</x:v>
      </x:c>
      <x:c r="B21" s="8" t="str">
        <x:v>F1 → Ceiling fan · bay 7–8 · H aisle</x:v>
      </x:c>
      <x:c r="C21" s="8" t="str">
        <x:v>FC1</x:v>
      </x:c>
      <x:c r="D21" s="8" t="str">
        <x:v>F237</x:v>
      </x:c>
      <x:c r="E21" s="8" t="str">
        <x:v>DB1</x:v>
      </x:c>
      <x:c r="F21" s="8" t="str">
        <x:v>F1</x:v>
      </x:c>
      <x:c r="G21" s="8" t="str">
        <x:v>fan</x:v>
      </x:c>
      <x:c r="H21" s="8" t="str">
        <x:v>drop</x:v>
      </x:c>
      <x:c r="I21" s="11" t="n">
        <x:f>SUMIF('Route Points'!$A$7:$A$464,A21,'Route Points'!$F$7:$F$464)</x:f>
        <x:v>12.387819159643916</x:v>
      </x:c>
      <x:c r="J21" s="11"/>
      <x:c r="K21" s="11" t="str">
        <x:f>IF(L21="Full home run",I21+J21,"")</x:f>
      </x:c>
      <x:c r="L21" s="8" t="str">
        <x:v>Route segment</x:v>
      </x:c>
      <x:c r="M21" s="13"/>
      <x:c r="N21" s="11" t="str">
        <x:f>IF(AND(ISNUMBER(M21),L21&lt;&gt;"Shared bundle"),IF(L21="Full home run",K21,I21)+M21,"")</x:f>
      </x:c>
      <x:c r="O21" s="8" t="str">
        <x:v>Cable type / conductors / cross-section / conduit: pending electrical design</x:v>
      </x:c>
      <x:c r="P21" s="8" t="str">
        <x:v>Above nave lining, then down the outer face of the column-line beam in a removable finish-matched cover to the hanger; cable continues inside the downrod. Hanger, beam section and access pending.</x:v>
      </x:c>
      <x:c r="Q21" s="9"/>
      <x:c r="R21" s="9"/>
      <x:c r="S21" s="13"/>
      <x:c r="T21" s="9"/>
      <x:c r="U21" s="9"/>
      <x:c r="V21" s="9"/>
      <x:c r="W21" s="9"/>
      <x:c r="X21" s="9"/>
      <x:c r="Y21" s="8" t="str">
        <x:v>Current</x:v>
      </x:c>
      <x:c r="Z21" s="8" t="str">
        <x:v>trunk:FC1:F1:fan:1</x:v>
      </x:c>
    </x:row>
    <x:row r="22" ht="90" customHeight="1">
      <x:c r="A22" s="8" t="str">
        <x:v>drop:FC1:F1:fan:1:F239</x:v>
      </x:c>
      <x:c r="B22" s="8" t="str">
        <x:v>F1 → Ceiling fan · bay 8–9 · H aisle</x:v>
      </x:c>
      <x:c r="C22" s="8" t="str">
        <x:v>FC1</x:v>
      </x:c>
      <x:c r="D22" s="8" t="str">
        <x:v>F239</x:v>
      </x:c>
      <x:c r="E22" s="8" t="str">
        <x:v>DB1</x:v>
      </x:c>
      <x:c r="F22" s="8" t="str">
        <x:v>F1</x:v>
      </x:c>
      <x:c r="G22" s="8" t="str">
        <x:v>fan</x:v>
      </x:c>
      <x:c r="H22" s="8" t="str">
        <x:v>drop</x:v>
      </x:c>
      <x:c r="I22" s="11" t="n">
        <x:f>SUMIF('Route Points'!$A$7:$A$464,A22,'Route Points'!$F$7:$F$464)</x:f>
        <x:v>12.377819159643918</x:v>
      </x:c>
      <x:c r="J22" s="11"/>
      <x:c r="K22" s="11" t="str">
        <x:f>IF(L22="Full home run",I22+J22,"")</x:f>
      </x:c>
      <x:c r="L22" s="8" t="str">
        <x:v>Route segment</x:v>
      </x:c>
      <x:c r="M22" s="13"/>
      <x:c r="N22" s="11" t="str">
        <x:f>IF(AND(ISNUMBER(M22),L22&lt;&gt;"Shared bundle"),IF(L22="Full home run",K22,I22)+M22,"")</x:f>
      </x:c>
      <x:c r="O22" s="8" t="str">
        <x:v>Cable type / conductors / cross-section / conduit: pending electrical design</x:v>
      </x:c>
      <x:c r="P22" s="8" t="str">
        <x:v>Above nave lining, then down the outer face of the column-line beam in a removable finish-matched cover to the hanger; cable continues inside the downrod. Hanger, beam section and access pending.</x:v>
      </x:c>
      <x:c r="Q22" s="9"/>
      <x:c r="R22" s="9"/>
      <x:c r="S22" s="13"/>
      <x:c r="T22" s="9"/>
      <x:c r="U22" s="9"/>
      <x:c r="V22" s="9"/>
      <x:c r="W22" s="9"/>
      <x:c r="X22" s="9"/>
      <x:c r="Y22" s="8" t="str">
        <x:v>Current</x:v>
      </x:c>
      <x:c r="Z22" s="8" t="str">
        <x:v>trunk:FC1:F1:fan:1</x:v>
      </x:c>
    </x:row>
    <x:row r="23" ht="90" customHeight="1">
      <x:c r="A23" s="8" t="str">
        <x:v>trunk:FC1:F5:fan:-1</x:v>
      </x:c>
      <x:c r="B23" s="8" t="str">
        <x:v>F5 · B · circuit trunk</x:v>
      </x:c>
      <x:c r="C23" s="8" t="str">
        <x:v>FC1</x:v>
      </x:c>
      <x:c r="D23" s="8" t="str">
        <x:v>F240
F241</x:v>
      </x:c>
      <x:c r="E23" s="8" t="str">
        <x:v>DB1</x:v>
      </x:c>
      <x:c r="F23" s="8" t="str">
        <x:v>F5</x:v>
      </x:c>
      <x:c r="G23" s="8" t="str">
        <x:v>fan</x:v>
      </x:c>
      <x:c r="H23" s="8" t="str">
        <x:v>trunk</x:v>
      </x:c>
      <x:c r="I23" s="11" t="n">
        <x:f>SUMIF('Route Points'!$A$7:$A$464,A23,'Route Points'!$F$7:$F$464)</x:f>
        <x:v>33.83219768896557</x:v>
      </x:c>
      <x:c r="J23" s="11"/>
      <x:c r="K23" s="11" t="str">
        <x:f>IF(L23="Full home run",I23+J23,"")</x:f>
      </x:c>
      <x:c r="L23" s="8" t="str">
        <x:v>Route segment</x:v>
      </x:c>
      <x:c r="M23" s="13"/>
      <x:c r="N23" s="11" t="str">
        <x:f>IF(AND(ISNUMBER(M23),L23&lt;&gt;"Shared bundle"),IF(L23="Full home run",K23,I23)+M23,"")</x:f>
      </x:c>
      <x:c r="O23" s="8" t="str">
        <x:v>Cable type / conductors / cross-section / conduit: pending electrical design</x:v>
      </x:c>
      <x:c r="P23" s="8" t="str">
        <x:v>Wall bands above openings; concealed finish-matched soffit crossing over the 9–10 wing opening.</x:v>
      </x:c>
      <x:c r="Q23" s="9"/>
      <x:c r="R23" s="9"/>
      <x:c r="S23" s="13"/>
      <x:c r="T23" s="9"/>
      <x:c r="U23" s="9"/>
      <x:c r="V23" s="9"/>
      <x:c r="W23" s="9"/>
      <x:c r="X23" s="9"/>
      <x:c r="Y23" s="8" t="str">
        <x:v>Current</x:v>
      </x:c>
      <x:c r="Z23" s="8"/>
    </x:row>
    <x:row r="24" ht="90" customHeight="1">
      <x:c r="A24" s="8" t="str">
        <x:v>drop:FC1:F5:fan:-1:F240</x:v>
      </x:c>
      <x:c r="B24" s="8" t="str">
        <x:v>F5 → Wall fan · wing B · 1 · held review</x:v>
      </x:c>
      <x:c r="C24" s="8" t="str">
        <x:v>FC1</x:v>
      </x:c>
      <x:c r="D24" s="8" t="str">
        <x:v>F240</x:v>
      </x:c>
      <x:c r="E24" s="8" t="str">
        <x:v>DB1</x:v>
      </x:c>
      <x:c r="F24" s="8" t="str">
        <x:v>F5</x:v>
      </x:c>
      <x:c r="G24" s="8" t="str">
        <x:v>fan</x:v>
      </x:c>
      <x:c r="H24" s="8" t="str">
        <x:v>drop</x:v>
      </x:c>
      <x:c r="I24" s="11" t="n">
        <x:f>SUMIF('Route Points'!$A$7:$A$464,A24,'Route Points'!$F$7:$F$464)</x:f>
        <x:v>9.264333762886594</x:v>
      </x:c>
      <x:c r="J24" s="11"/>
      <x:c r="K24" s="11" t="str">
        <x:f>IF(L24="Full home run",I24+J24,"")</x:f>
      </x:c>
      <x:c r="L24" s="8" t="str">
        <x:v>Route segment</x:v>
      </x:c>
      <x:c r="M24" s="13"/>
      <x:c r="N24" s="11" t="str">
        <x:f>IF(AND(ISNUMBER(M24),L24&lt;&gt;"Shared bundle"),IF(L24="Full home run",K24,I24)+M24,"")</x:f>
      </x:c>
      <x:c r="O24" s="8" t="str">
        <x:v>Cable type / conductors / cross-section / conduit: pending electrical design</x:v>
      </x:c>
      <x:c r="P24" s="8" t="str">
        <x:v>Covered roof-soffit crossing into outer arcade / wing-gable wall, then concealed pier drop. No exposed crossing at equipment height.</x:v>
      </x:c>
      <x:c r="Q24" s="9"/>
      <x:c r="R24" s="9"/>
      <x:c r="S24" s="13"/>
      <x:c r="T24" s="9"/>
      <x:c r="U24" s="9"/>
      <x:c r="V24" s="9"/>
      <x:c r="W24" s="9"/>
      <x:c r="X24" s="9"/>
      <x:c r="Y24" s="8" t="str">
        <x:v>Current</x:v>
      </x:c>
      <x:c r="Z24" s="8" t="str">
        <x:v>trunk:FC1:F5:fan:-1</x:v>
      </x:c>
    </x:row>
    <x:row r="25" ht="90" customHeight="1">
      <x:c r="A25" s="8" t="str">
        <x:v>drop:FC1:F5:fan:-1:F241</x:v>
      </x:c>
      <x:c r="B25" s="8" t="str">
        <x:v>F5 → Wall fan · wing B · 2 · held review</x:v>
      </x:c>
      <x:c r="C25" s="8" t="str">
        <x:v>FC1</x:v>
      </x:c>
      <x:c r="D25" s="8" t="str">
        <x:v>F241</x:v>
      </x:c>
      <x:c r="E25" s="8" t="str">
        <x:v>DB1</x:v>
      </x:c>
      <x:c r="F25" s="8" t="str">
        <x:v>F5</x:v>
      </x:c>
      <x:c r="G25" s="8" t="str">
        <x:v>fan</x:v>
      </x:c>
      <x:c r="H25" s="8" t="str">
        <x:v>drop</x:v>
      </x:c>
      <x:c r="I25" s="11" t="n">
        <x:f>SUMIF('Route Points'!$A$7:$A$464,A25,'Route Points'!$F$7:$F$464)</x:f>
        <x:v>9.264333762886599</x:v>
      </x:c>
      <x:c r="J25" s="11"/>
      <x:c r="K25" s="11" t="str">
        <x:f>IF(L25="Full home run",I25+J25,"")</x:f>
      </x:c>
      <x:c r="L25" s="8" t="str">
        <x:v>Route segment</x:v>
      </x:c>
      <x:c r="M25" s="13"/>
      <x:c r="N25" s="11" t="str">
        <x:f>IF(AND(ISNUMBER(M25),L25&lt;&gt;"Shared bundle"),IF(L25="Full home run",K25,I25)+M25,"")</x:f>
      </x:c>
      <x:c r="O25" s="8" t="str">
        <x:v>Cable type / conductors / cross-section / conduit: pending electrical design</x:v>
      </x:c>
      <x:c r="P25" s="8" t="str">
        <x:v>Covered roof-soffit crossing into outer arcade / wing-gable wall, then concealed pier drop. No exposed crossing at equipment height.</x:v>
      </x:c>
      <x:c r="Q25" s="9"/>
      <x:c r="R25" s="9"/>
      <x:c r="S25" s="13"/>
      <x:c r="T25" s="9"/>
      <x:c r="U25" s="9"/>
      <x:c r="V25" s="9"/>
      <x:c r="W25" s="9"/>
      <x:c r="X25" s="9"/>
      <x:c r="Y25" s="8" t="str">
        <x:v>Current</x:v>
      </x:c>
      <x:c r="Z25" s="8" t="str">
        <x:v>trunk:FC1:F5:fan:-1</x:v>
      </x:c>
    </x:row>
    <x:row r="26" ht="90" customHeight="1">
      <x:c r="A26" s="8" t="str">
        <x:v>trunk:FC1:F5:fan:1</x:v>
      </x:c>
      <x:c r="B26" s="8" t="str">
        <x:v>F5 · H · circuit trunk</x:v>
      </x:c>
      <x:c r="C26" s="8" t="str">
        <x:v>FC1</x:v>
      </x:c>
      <x:c r="D26" s="8" t="str">
        <x:v>F242
F243</x:v>
      </x:c>
      <x:c r="E26" s="8" t="str">
        <x:v>DB1</x:v>
      </x:c>
      <x:c r="F26" s="8" t="str">
        <x:v>F5</x:v>
      </x:c>
      <x:c r="G26" s="8" t="str">
        <x:v>fan</x:v>
      </x:c>
      <x:c r="H26" s="8" t="str">
        <x:v>trunk</x:v>
      </x:c>
      <x:c r="I26" s="11" t="n">
        <x:f>SUMIF('Route Points'!$A$7:$A$464,A26,'Route Points'!$F$7:$F$464)</x:f>
        <x:v>40.43219768896558</x:v>
      </x:c>
      <x:c r="J26" s="11"/>
      <x:c r="K26" s="11" t="str">
        <x:f>IF(L26="Full home run",I26+J26,"")</x:f>
      </x:c>
      <x:c r="L26" s="8" t="str">
        <x:v>Route segment</x:v>
      </x:c>
      <x:c r="M26" s="13"/>
      <x:c r="N26" s="11" t="str">
        <x:f>IF(AND(ISNUMBER(M26),L26&lt;&gt;"Shared bundle"),IF(L26="Full home run",K26,I26)+M26,"")</x:f>
      </x:c>
      <x:c r="O26" s="8" t="str">
        <x:v>Cable type / conductors / cross-section / conduit: pending electrical design</x:v>
      </x:c>
      <x:c r="P26" s="8" t="str">
        <x:v>Wall bands above openings; concealed finish-matched soffit crossing over the 9–10 wing opening.</x:v>
      </x:c>
      <x:c r="Q26" s="9"/>
      <x:c r="R26" s="9"/>
      <x:c r="S26" s="13"/>
      <x:c r="T26" s="9"/>
      <x:c r="U26" s="9"/>
      <x:c r="V26" s="9"/>
      <x:c r="W26" s="9"/>
      <x:c r="X26" s="9"/>
      <x:c r="Y26" s="8" t="str">
        <x:v>Current</x:v>
      </x:c>
      <x:c r="Z26" s="8"/>
    </x:row>
    <x:row r="27" ht="90" customHeight="1">
      <x:c r="A27" s="8" t="str">
        <x:v>drop:FC1:F5:fan:1:F242</x:v>
      </x:c>
      <x:c r="B27" s="8" t="str">
        <x:v>F5 → Wall fan · wing H · 1 · held review</x:v>
      </x:c>
      <x:c r="C27" s="8" t="str">
        <x:v>FC1</x:v>
      </x:c>
      <x:c r="D27" s="8" t="str">
        <x:v>F242</x:v>
      </x:c>
      <x:c r="E27" s="8" t="str">
        <x:v>DB1</x:v>
      </x:c>
      <x:c r="F27" s="8" t="str">
        <x:v>F5</x:v>
      </x:c>
      <x:c r="G27" s="8" t="str">
        <x:v>fan</x:v>
      </x:c>
      <x:c r="H27" s="8" t="str">
        <x:v>drop</x:v>
      </x:c>
      <x:c r="I27" s="11" t="n">
        <x:f>SUMIF('Route Points'!$A$7:$A$464,A27,'Route Points'!$F$7:$F$464)</x:f>
        <x:v>9.264333762886594</x:v>
      </x:c>
      <x:c r="J27" s="11"/>
      <x:c r="K27" s="11" t="str">
        <x:f>IF(L27="Full home run",I27+J27,"")</x:f>
      </x:c>
      <x:c r="L27" s="8" t="str">
        <x:v>Route segment</x:v>
      </x:c>
      <x:c r="M27" s="13"/>
      <x:c r="N27" s="11" t="str">
        <x:f>IF(AND(ISNUMBER(M27),L27&lt;&gt;"Shared bundle"),IF(L27="Full home run",K27,I27)+M27,"")</x:f>
      </x:c>
      <x:c r="O27" s="8" t="str">
        <x:v>Cable type / conductors / cross-section / conduit: pending electrical design</x:v>
      </x:c>
      <x:c r="P27" s="8" t="str">
        <x:v>Covered roof-soffit crossing into outer arcade / wing-gable wall, then concealed pier drop. No exposed crossing at equipment height.</x:v>
      </x:c>
      <x:c r="Q27" s="9"/>
      <x:c r="R27" s="9"/>
      <x:c r="S27" s="13"/>
      <x:c r="T27" s="9"/>
      <x:c r="U27" s="9"/>
      <x:c r="V27" s="9"/>
      <x:c r="W27" s="9"/>
      <x:c r="X27" s="9"/>
      <x:c r="Y27" s="8" t="str">
        <x:v>Current</x:v>
      </x:c>
      <x:c r="Z27" s="8" t="str">
        <x:v>trunk:FC1:F5:fan:1</x:v>
      </x:c>
    </x:row>
    <x:row r="28" ht="90" customHeight="1">
      <x:c r="A28" s="8" t="str">
        <x:v>drop:FC1:F5:fan:1:F243</x:v>
      </x:c>
      <x:c r="B28" s="8" t="str">
        <x:v>F5 → Wall fan · wing H · 2 · held review</x:v>
      </x:c>
      <x:c r="C28" s="8" t="str">
        <x:v>FC1</x:v>
      </x:c>
      <x:c r="D28" s="8" t="str">
        <x:v>F243</x:v>
      </x:c>
      <x:c r="E28" s="8" t="str">
        <x:v>DB1</x:v>
      </x:c>
      <x:c r="F28" s="8" t="str">
        <x:v>F5</x:v>
      </x:c>
      <x:c r="G28" s="8" t="str">
        <x:v>fan</x:v>
      </x:c>
      <x:c r="H28" s="8" t="str">
        <x:v>drop</x:v>
      </x:c>
      <x:c r="I28" s="11" t="n">
        <x:f>SUMIF('Route Points'!$A$7:$A$464,A28,'Route Points'!$F$7:$F$464)</x:f>
        <x:v>9.264333762886599</x:v>
      </x:c>
      <x:c r="J28" s="11"/>
      <x:c r="K28" s="11" t="str">
        <x:f>IF(L28="Full home run",I28+J28,"")</x:f>
      </x:c>
      <x:c r="L28" s="8" t="str">
        <x:v>Route segment</x:v>
      </x:c>
      <x:c r="M28" s="13"/>
      <x:c r="N28" s="11" t="str">
        <x:f>IF(AND(ISNUMBER(M28),L28&lt;&gt;"Shared bundle"),IF(L28="Full home run",K28,I28)+M28,"")</x:f>
      </x:c>
      <x:c r="O28" s="8" t="str">
        <x:v>Cable type / conductors / cross-section / conduit: pending electrical design</x:v>
      </x:c>
      <x:c r="P28" s="8" t="str">
        <x:v>Covered roof-soffit crossing into outer arcade / wing-gable wall, then concealed pier drop. No exposed crossing at equipment height.</x:v>
      </x:c>
      <x:c r="Q28" s="9"/>
      <x:c r="R28" s="9"/>
      <x:c r="S28" s="13"/>
      <x:c r="T28" s="9"/>
      <x:c r="U28" s="9"/>
      <x:c r="V28" s="9"/>
      <x:c r="W28" s="9"/>
      <x:c r="X28" s="9"/>
      <x:c r="Y28" s="8" t="str">
        <x:v>Current</x:v>
      </x:c>
      <x:c r="Z28" s="8" t="str">
        <x:v>trunk:FC1:F5:fan:1</x:v>
      </x:c>
    </x:row>
    <x:row r="29" ht="116" customHeight="1">
      <x:c r="A29" s="8" t="str">
        <x:v>trunk:FC1:F2:fan:-1</x:v>
      </x:c>
      <x:c r="B29" s="8" t="str">
        <x:v>F2 · B · circuit trunk</x:v>
      </x:c>
      <x:c r="C29" s="8" t="str">
        <x:v>FC1</x:v>
      </x:c>
      <x:c r="D29" s="8" t="str">
        <x:v>F244
F246
F248
F-NAVE-B-2P
F-NAVE-B-3
F-NAVE-B-5
F-NAVE-B-7
F-NAVE-B-9</x:v>
      </x:c>
      <x:c r="E29" s="8" t="str">
        <x:v>DB1</x:v>
      </x:c>
      <x:c r="F29" s="8" t="str">
        <x:v>F2</x:v>
      </x:c>
      <x:c r="G29" s="8" t="str">
        <x:v>fan</x:v>
      </x:c>
      <x:c r="H29" s="8" t="str">
        <x:v>trunk</x:v>
      </x:c>
      <x:c r="I29" s="11" t="n">
        <x:f>SUMIF('Route Points'!$A$7:$A$464,A29,'Route Points'!$F$7:$F$464)</x:f>
        <x:v>67.57613031117918</x:v>
      </x:c>
      <x:c r="J29" s="11"/>
      <x:c r="K29" s="11" t="str">
        <x:f>IF(L29="Full home run",I29+J29,"")</x:f>
      </x:c>
      <x:c r="L29" s="8" t="str">
        <x:v>Route segment</x:v>
      </x:c>
      <x:c r="M29" s="13"/>
      <x:c r="N29" s="11" t="str">
        <x:f>IF(AND(ISNUMBER(M29),L29&lt;&gt;"Shared bundle"),IF(L29="Full home run",K29,I29)+M29,"")</x:f>
      </x:c>
      <x:c r="O29" s="8" t="str">
        <x:v>Cable type / conductors / cross-section / conduit: pending electrical design</x:v>
      </x:c>
      <x:c r="P29" s="8" t="str">
        <x:v>Wall bands above openings; concealed finish-matched soffit crossing over the 9–10 wing opening.</x:v>
      </x:c>
      <x:c r="Q29" s="9"/>
      <x:c r="R29" s="9"/>
      <x:c r="S29" s="13"/>
      <x:c r="T29" s="9"/>
      <x:c r="U29" s="9"/>
      <x:c r="V29" s="9"/>
      <x:c r="W29" s="9"/>
      <x:c r="X29" s="9"/>
      <x:c r="Y29" s="8" t="str">
        <x:v>Current</x:v>
      </x:c>
      <x:c r="Z29" s="8"/>
    </x:row>
    <x:row r="30" ht="90" customHeight="1">
      <x:c r="A30" s="8" t="str">
        <x:v>drop:FC1:F2:fan:-1:F244</x:v>
      </x:c>
      <x:c r="B30" s="8" t="str">
        <x:v>F2 → Wall fan · axis 4 · B</x:v>
      </x:c>
      <x:c r="C30" s="8" t="str">
        <x:v>FC1</x:v>
      </x:c>
      <x:c r="D30" s="8" t="str">
        <x:v>F244</x:v>
      </x:c>
      <x:c r="E30" s="8" t="str">
        <x:v>DB1</x:v>
      </x:c>
      <x:c r="F30" s="8" t="str">
        <x:v>F2</x:v>
      </x:c>
      <x:c r="G30" s="8" t="str">
        <x:v>fan</x:v>
      </x:c>
      <x:c r="H30" s="8" t="str">
        <x:v>drop</x:v>
      </x:c>
      <x:c r="I30" s="11" t="n">
        <x:f>SUMIF('Route Points'!$A$7:$A$464,A30,'Route Points'!$F$7:$F$464)</x:f>
        <x:v>0.7520000000000007</x:v>
      </x:c>
      <x:c r="J30" s="11"/>
      <x:c r="K30" s="11" t="str">
        <x:f>IF(L30="Full home run",I30+J30,"")</x:f>
      </x:c>
      <x:c r="L30" s="8" t="str">
        <x:v>Route segment</x:v>
      </x:c>
      <x:c r="M30" s="13"/>
      <x:c r="N30" s="11" t="str">
        <x:f>IF(AND(ISNUMBER(M30),L30&lt;&gt;"Shared bundle"),IF(L30="Full home run",K30,I30)+M30,"")</x:f>
      </x:c>
      <x:c r="O30" s="8" t="str">
        <x:v>Cable type / conductors / cross-section / conduit: pending electrical design</x:v>
      </x:c>
      <x:c r="P30" s="8" t="str">
        <x:v>Concealed solid-pier / wall drop and local termination.</x:v>
      </x:c>
      <x:c r="Q30" s="9"/>
      <x:c r="R30" s="9"/>
      <x:c r="S30" s="13"/>
      <x:c r="T30" s="9"/>
      <x:c r="U30" s="9"/>
      <x:c r="V30" s="9"/>
      <x:c r="W30" s="9"/>
      <x:c r="X30" s="9"/>
      <x:c r="Y30" s="8" t="str">
        <x:v>Current</x:v>
      </x:c>
      <x:c r="Z30" s="8" t="str">
        <x:v>trunk:FC1:F2:fan:-1</x:v>
      </x:c>
    </x:row>
    <x:row r="31" ht="90" customHeight="1">
      <x:c r="A31" s="8" t="str">
        <x:v>drop:FC1:F2:fan:-1:F246</x:v>
      </x:c>
      <x:c r="B31" s="8" t="str">
        <x:v>F2 → Wall fan · axis 6 · B</x:v>
      </x:c>
      <x:c r="C31" s="8" t="str">
        <x:v>FC1</x:v>
      </x:c>
      <x:c r="D31" s="8" t="str">
        <x:v>F246</x:v>
      </x:c>
      <x:c r="E31" s="8" t="str">
        <x:v>DB1</x:v>
      </x:c>
      <x:c r="F31" s="8" t="str">
        <x:v>F2</x:v>
      </x:c>
      <x:c r="G31" s="8" t="str">
        <x:v>fan</x:v>
      </x:c>
      <x:c r="H31" s="8" t="str">
        <x:v>drop</x:v>
      </x:c>
      <x:c r="I31" s="11" t="n">
        <x:f>SUMIF('Route Points'!$A$7:$A$464,A31,'Route Points'!$F$7:$F$464)</x:f>
        <x:v>0.7520000000000007</x:v>
      </x:c>
      <x:c r="J31" s="11"/>
      <x:c r="K31" s="11" t="str">
        <x:f>IF(L31="Full home run",I31+J31,"")</x:f>
      </x:c>
      <x:c r="L31" s="8" t="str">
        <x:v>Route segment</x:v>
      </x:c>
      <x:c r="M31" s="13"/>
      <x:c r="N31" s="11" t="str">
        <x:f>IF(AND(ISNUMBER(M31),L31&lt;&gt;"Shared bundle"),IF(L31="Full home run",K31,I31)+M31,"")</x:f>
      </x:c>
      <x:c r="O31" s="8" t="str">
        <x:v>Cable type / conductors / cross-section / conduit: pending electrical design</x:v>
      </x:c>
      <x:c r="P31" s="8" t="str">
        <x:v>Concealed solid-pier / wall drop and local termination.</x:v>
      </x:c>
      <x:c r="Q31" s="9"/>
      <x:c r="R31" s="9"/>
      <x:c r="S31" s="13"/>
      <x:c r="T31" s="9"/>
      <x:c r="U31" s="9"/>
      <x:c r="V31" s="9"/>
      <x:c r="W31" s="9"/>
      <x:c r="X31" s="9"/>
      <x:c r="Y31" s="8" t="str">
        <x:v>Current</x:v>
      </x:c>
      <x:c r="Z31" s="8" t="str">
        <x:v>trunk:FC1:F2:fan:-1</x:v>
      </x:c>
    </x:row>
    <x:row r="32" ht="90" customHeight="1">
      <x:c r="A32" s="8" t="str">
        <x:v>drop:FC1:F2:fan:-1:F248</x:v>
      </x:c>
      <x:c r="B32" s="8" t="str">
        <x:v>F2 → Wall fan · axis 8 · B</x:v>
      </x:c>
      <x:c r="C32" s="8" t="str">
        <x:v>FC1</x:v>
      </x:c>
      <x:c r="D32" s="8" t="str">
        <x:v>F248</x:v>
      </x:c>
      <x:c r="E32" s="8" t="str">
        <x:v>DB1</x:v>
      </x:c>
      <x:c r="F32" s="8" t="str">
        <x:v>F2</x:v>
      </x:c>
      <x:c r="G32" s="8" t="str">
        <x:v>fan</x:v>
      </x:c>
      <x:c r="H32" s="8" t="str">
        <x:v>drop</x:v>
      </x:c>
      <x:c r="I32" s="11" t="n">
        <x:f>SUMIF('Route Points'!$A$7:$A$464,A32,'Route Points'!$F$7:$F$464)</x:f>
        <x:v>0.7520000000000007</x:v>
      </x:c>
      <x:c r="J32" s="11"/>
      <x:c r="K32" s="11" t="str">
        <x:f>IF(L32="Full home run",I32+J32,"")</x:f>
      </x:c>
      <x:c r="L32" s="8" t="str">
        <x:v>Route segment</x:v>
      </x:c>
      <x:c r="M32" s="13"/>
      <x:c r="N32" s="11" t="str">
        <x:f>IF(AND(ISNUMBER(M32),L32&lt;&gt;"Shared bundle"),IF(L32="Full home run",K32,I32)+M32,"")</x:f>
      </x:c>
      <x:c r="O32" s="8" t="str">
        <x:v>Cable type / conductors / cross-section / conduit: pending electrical design</x:v>
      </x:c>
      <x:c r="P32" s="8" t="str">
        <x:v>Concealed solid-pier / wall drop and local termination.</x:v>
      </x:c>
      <x:c r="Q32" s="9"/>
      <x:c r="R32" s="9"/>
      <x:c r="S32" s="13"/>
      <x:c r="T32" s="9"/>
      <x:c r="U32" s="9"/>
      <x:c r="V32" s="9"/>
      <x:c r="W32" s="9"/>
      <x:c r="X32" s="9"/>
      <x:c r="Y32" s="8" t="str">
        <x:v>Current</x:v>
      </x:c>
      <x:c r="Z32" s="8" t="str">
        <x:v>trunk:FC1:F2:fan:-1</x:v>
      </x:c>
    </x:row>
    <x:row r="33" ht="90" customHeight="1">
      <x:c r="A33" s="8" t="str">
        <x:v>drop:FC1:F2:fan:-1:F-NAVE-B-2P</x:v>
      </x:c>
      <x:c r="B33" s="8" t="str">
        <x:v>F2 → Wall fan · axis 2′ · B</x:v>
      </x:c>
      <x:c r="C33" s="8" t="str">
        <x:v>FC1</x:v>
      </x:c>
      <x:c r="D33" s="8" t="str">
        <x:v>F-NAVE-B-2P</x:v>
      </x:c>
      <x:c r="E33" s="8" t="str">
        <x:v>DB1</x:v>
      </x:c>
      <x:c r="F33" s="8" t="str">
        <x:v>F2</x:v>
      </x:c>
      <x:c r="G33" s="8" t="str">
        <x:v>fan</x:v>
      </x:c>
      <x:c r="H33" s="8" t="str">
        <x:v>drop</x:v>
      </x:c>
      <x:c r="I33" s="11" t="n">
        <x:f>SUMIF('Route Points'!$A$7:$A$464,A33,'Route Points'!$F$7:$F$464)</x:f>
        <x:v>0.7520000000000007</x:v>
      </x:c>
      <x:c r="J33" s="11"/>
      <x:c r="K33" s="11" t="str">
        <x:f>IF(L33="Full home run",I33+J33,"")</x:f>
      </x:c>
      <x:c r="L33" s="8" t="str">
        <x:v>Route segment</x:v>
      </x:c>
      <x:c r="M33" s="13"/>
      <x:c r="N33" s="11" t="str">
        <x:f>IF(AND(ISNUMBER(M33),L33&lt;&gt;"Shared bundle"),IF(L33="Full home run",K33,I33)+M33,"")</x:f>
      </x:c>
      <x:c r="O33" s="8" t="str">
        <x:v>Cable type / conductors / cross-section / conduit: pending electrical design</x:v>
      </x:c>
      <x:c r="P33" s="8" t="str">
        <x:v>Concealed solid-pier / wall drop and local termination.</x:v>
      </x:c>
      <x:c r="Q33" s="9"/>
      <x:c r="R33" s="9"/>
      <x:c r="S33" s="13"/>
      <x:c r="T33" s="9"/>
      <x:c r="U33" s="9"/>
      <x:c r="V33" s="9"/>
      <x:c r="W33" s="9"/>
      <x:c r="X33" s="9"/>
      <x:c r="Y33" s="8" t="str">
        <x:v>Current</x:v>
      </x:c>
      <x:c r="Z33" s="8" t="str">
        <x:v>trunk:FC1:F2:fan:-1</x:v>
      </x:c>
    </x:row>
    <x:row r="34" ht="90" customHeight="1">
      <x:c r="A34" s="8" t="str">
        <x:v>drop:FC1:F2:fan:-1:F-NAVE-B-3</x:v>
      </x:c>
      <x:c r="B34" s="8" t="str">
        <x:v>F2 → Wall fan · axis 3 · B</x:v>
      </x:c>
      <x:c r="C34" s="8" t="str">
        <x:v>FC1</x:v>
      </x:c>
      <x:c r="D34" s="8" t="str">
        <x:v>F-NAVE-B-3</x:v>
      </x:c>
      <x:c r="E34" s="8" t="str">
        <x:v>DB1</x:v>
      </x:c>
      <x:c r="F34" s="8" t="str">
        <x:v>F2</x:v>
      </x:c>
      <x:c r="G34" s="8" t="str">
        <x:v>fan</x:v>
      </x:c>
      <x:c r="H34" s="8" t="str">
        <x:v>drop</x:v>
      </x:c>
      <x:c r="I34" s="11" t="n">
        <x:f>SUMIF('Route Points'!$A$7:$A$464,A34,'Route Points'!$F$7:$F$464)</x:f>
        <x:v>0.7520000000000007</x:v>
      </x:c>
      <x:c r="J34" s="11"/>
      <x:c r="K34" s="11" t="str">
        <x:f>IF(L34="Full home run",I34+J34,"")</x:f>
      </x:c>
      <x:c r="L34" s="8" t="str">
        <x:v>Route segment</x:v>
      </x:c>
      <x:c r="M34" s="13"/>
      <x:c r="N34" s="11" t="str">
        <x:f>IF(AND(ISNUMBER(M34),L34&lt;&gt;"Shared bundle"),IF(L34="Full home run",K34,I34)+M34,"")</x:f>
      </x:c>
      <x:c r="O34" s="8" t="str">
        <x:v>Cable type / conductors / cross-section / conduit: pending electrical design</x:v>
      </x:c>
      <x:c r="P34" s="8" t="str">
        <x:v>Concealed solid-pier / wall drop and local termination.</x:v>
      </x:c>
      <x:c r="Q34" s="9"/>
      <x:c r="R34" s="9"/>
      <x:c r="S34" s="13"/>
      <x:c r="T34" s="9"/>
      <x:c r="U34" s="9"/>
      <x:c r="V34" s="9"/>
      <x:c r="W34" s="9"/>
      <x:c r="X34" s="9"/>
      <x:c r="Y34" s="8" t="str">
        <x:v>Current</x:v>
      </x:c>
      <x:c r="Z34" s="8" t="str">
        <x:v>trunk:FC1:F2:fan:-1</x:v>
      </x:c>
    </x:row>
    <x:row r="35" ht="90" customHeight="1">
      <x:c r="A35" s="8" t="str">
        <x:v>drop:FC1:F2:fan:-1:F-NAVE-B-5</x:v>
      </x:c>
      <x:c r="B35" s="8" t="str">
        <x:v>F2 → Wall fan · axis 5 · B</x:v>
      </x:c>
      <x:c r="C35" s="8" t="str">
        <x:v>FC1</x:v>
      </x:c>
      <x:c r="D35" s="8" t="str">
        <x:v>F-NAVE-B-5</x:v>
      </x:c>
      <x:c r="E35" s="8" t="str">
        <x:v>DB1</x:v>
      </x:c>
      <x:c r="F35" s="8" t="str">
        <x:v>F2</x:v>
      </x:c>
      <x:c r="G35" s="8" t="str">
        <x:v>fan</x:v>
      </x:c>
      <x:c r="H35" s="8" t="str">
        <x:v>drop</x:v>
      </x:c>
      <x:c r="I35" s="11" t="n">
        <x:f>SUMIF('Route Points'!$A$7:$A$464,A35,'Route Points'!$F$7:$F$464)</x:f>
        <x:v>0.7520000000000007</x:v>
      </x:c>
      <x:c r="J35" s="11"/>
      <x:c r="K35" s="11" t="str">
        <x:f>IF(L35="Full home run",I35+J35,"")</x:f>
      </x:c>
      <x:c r="L35" s="8" t="str">
        <x:v>Route segment</x:v>
      </x:c>
      <x:c r="M35" s="13"/>
      <x:c r="N35" s="11" t="str">
        <x:f>IF(AND(ISNUMBER(M35),L35&lt;&gt;"Shared bundle"),IF(L35="Full home run",K35,I35)+M35,"")</x:f>
      </x:c>
      <x:c r="O35" s="8" t="str">
        <x:v>Cable type / conductors / cross-section / conduit: pending electrical design</x:v>
      </x:c>
      <x:c r="P35" s="8" t="str">
        <x:v>Concealed solid-pier / wall drop and local termination.</x:v>
      </x:c>
      <x:c r="Q35" s="9"/>
      <x:c r="R35" s="9"/>
      <x:c r="S35" s="13"/>
      <x:c r="T35" s="9"/>
      <x:c r="U35" s="9"/>
      <x:c r="V35" s="9"/>
      <x:c r="W35" s="9"/>
      <x:c r="X35" s="9"/>
      <x:c r="Y35" s="8" t="str">
        <x:v>Current</x:v>
      </x:c>
      <x:c r="Z35" s="8" t="str">
        <x:v>trunk:FC1:F2:fan:-1</x:v>
      </x:c>
    </x:row>
    <x:row r="36" ht="90" customHeight="1">
      <x:c r="A36" s="8" t="str">
        <x:v>drop:FC1:F2:fan:-1:F-NAVE-B-7</x:v>
      </x:c>
      <x:c r="B36" s="8" t="str">
        <x:v>F2 → Wall fan · axis 7 · B</x:v>
      </x:c>
      <x:c r="C36" s="8" t="str">
        <x:v>FC1</x:v>
      </x:c>
      <x:c r="D36" s="8" t="str">
        <x:v>F-NAVE-B-7</x:v>
      </x:c>
      <x:c r="E36" s="8" t="str">
        <x:v>DB1</x:v>
      </x:c>
      <x:c r="F36" s="8" t="str">
        <x:v>F2</x:v>
      </x:c>
      <x:c r="G36" s="8" t="str">
        <x:v>fan</x:v>
      </x:c>
      <x:c r="H36" s="8" t="str">
        <x:v>drop</x:v>
      </x:c>
      <x:c r="I36" s="11" t="n">
        <x:f>SUMIF('Route Points'!$A$7:$A$464,A36,'Route Points'!$F$7:$F$464)</x:f>
        <x:v>0.7520000000000007</x:v>
      </x:c>
      <x:c r="J36" s="11"/>
      <x:c r="K36" s="11" t="str">
        <x:f>IF(L36="Full home run",I36+J36,"")</x:f>
      </x:c>
      <x:c r="L36" s="8" t="str">
        <x:v>Route segment</x:v>
      </x:c>
      <x:c r="M36" s="13"/>
      <x:c r="N36" s="11" t="str">
        <x:f>IF(AND(ISNUMBER(M36),L36&lt;&gt;"Shared bundle"),IF(L36="Full home run",K36,I36)+M36,"")</x:f>
      </x:c>
      <x:c r="O36" s="8" t="str">
        <x:v>Cable type / conductors / cross-section / conduit: pending electrical design</x:v>
      </x:c>
      <x:c r="P36" s="8" t="str">
        <x:v>Concealed solid-pier / wall drop and local termination.</x:v>
      </x:c>
      <x:c r="Q36" s="9"/>
      <x:c r="R36" s="9"/>
      <x:c r="S36" s="13"/>
      <x:c r="T36" s="9"/>
      <x:c r="U36" s="9"/>
      <x:c r="V36" s="9"/>
      <x:c r="W36" s="9"/>
      <x:c r="X36" s="9"/>
      <x:c r="Y36" s="8" t="str">
        <x:v>Current</x:v>
      </x:c>
      <x:c r="Z36" s="8" t="str">
        <x:v>trunk:FC1:F2:fan:-1</x:v>
      </x:c>
    </x:row>
    <x:row r="37" ht="90" customHeight="1">
      <x:c r="A37" s="8" t="str">
        <x:v>drop:FC1:F2:fan:-1:F-NAVE-B-9</x:v>
      </x:c>
      <x:c r="B37" s="8" t="str">
        <x:v>F2 → Wall fan · axis 9 · B</x:v>
      </x:c>
      <x:c r="C37" s="8" t="str">
        <x:v>FC1</x:v>
      </x:c>
      <x:c r="D37" s="8" t="str">
        <x:v>F-NAVE-B-9</x:v>
      </x:c>
      <x:c r="E37" s="8" t="str">
        <x:v>DB1</x:v>
      </x:c>
      <x:c r="F37" s="8" t="str">
        <x:v>F2</x:v>
      </x:c>
      <x:c r="G37" s="8" t="str">
        <x:v>fan</x:v>
      </x:c>
      <x:c r="H37" s="8" t="str">
        <x:v>drop</x:v>
      </x:c>
      <x:c r="I37" s="11" t="n">
        <x:f>SUMIF('Route Points'!$A$7:$A$464,A37,'Route Points'!$F$7:$F$464)</x:f>
        <x:v>0.7520000000000007</x:v>
      </x:c>
      <x:c r="J37" s="11"/>
      <x:c r="K37" s="11" t="str">
        <x:f>IF(L37="Full home run",I37+J37,"")</x:f>
      </x:c>
      <x:c r="L37" s="8" t="str">
        <x:v>Route segment</x:v>
      </x:c>
      <x:c r="M37" s="13"/>
      <x:c r="N37" s="11" t="str">
        <x:f>IF(AND(ISNUMBER(M37),L37&lt;&gt;"Shared bundle"),IF(L37="Full home run",K37,I37)+M37,"")</x:f>
      </x:c>
      <x:c r="O37" s="8" t="str">
        <x:v>Cable type / conductors / cross-section / conduit: pending electrical design</x:v>
      </x:c>
      <x:c r="P37" s="8" t="str">
        <x:v>Concealed solid-pier / wall drop and local termination.</x:v>
      </x:c>
      <x:c r="Q37" s="9"/>
      <x:c r="R37" s="9"/>
      <x:c r="S37" s="13"/>
      <x:c r="T37" s="9"/>
      <x:c r="U37" s="9"/>
      <x:c r="V37" s="9"/>
      <x:c r="W37" s="9"/>
      <x:c r="X37" s="9"/>
      <x:c r="Y37" s="8" t="str">
        <x:v>Current</x:v>
      </x:c>
      <x:c r="Z37" s="8" t="str">
        <x:v>trunk:FC1:F2:fan:-1</x:v>
      </x:c>
    </x:row>
    <x:row r="38" ht="116" customHeight="1">
      <x:c r="A38" s="8" t="str">
        <x:v>trunk:FC1:F2:fan:1</x:v>
      </x:c>
      <x:c r="B38" s="8" t="str">
        <x:v>F2 · H · circuit trunk</x:v>
      </x:c>
      <x:c r="C38" s="8" t="str">
        <x:v>FC1</x:v>
      </x:c>
      <x:c r="D38" s="8" t="str">
        <x:v>F245
F247
F249
F-NAVE-H-2P
F-NAVE-H-3
F-NAVE-H-5
F-NAVE-H-7
F-NAVE-H-9</x:v>
      </x:c>
      <x:c r="E38" s="8" t="str">
        <x:v>DB1</x:v>
      </x:c>
      <x:c r="F38" s="8" t="str">
        <x:v>F2</x:v>
      </x:c>
      <x:c r="G38" s="8" t="str">
        <x:v>fan</x:v>
      </x:c>
      <x:c r="H38" s="8" t="str">
        <x:v>trunk</x:v>
      </x:c>
      <x:c r="I38" s="11" t="n">
        <x:f>SUMIF('Route Points'!$A$7:$A$464,A38,'Route Points'!$F$7:$F$464)</x:f>
        <x:v>74.17613031117918</x:v>
      </x:c>
      <x:c r="J38" s="11"/>
      <x:c r="K38" s="11" t="str">
        <x:f>IF(L38="Full home run",I38+J38,"")</x:f>
      </x:c>
      <x:c r="L38" s="8" t="str">
        <x:v>Route segment</x:v>
      </x:c>
      <x:c r="M38" s="13"/>
      <x:c r="N38" s="11" t="str">
        <x:f>IF(AND(ISNUMBER(M38),L38&lt;&gt;"Shared bundle"),IF(L38="Full home run",K38,I38)+M38,"")</x:f>
      </x:c>
      <x:c r="O38" s="8" t="str">
        <x:v>Cable type / conductors / cross-section / conduit: pending electrical design</x:v>
      </x:c>
      <x:c r="P38" s="8" t="str">
        <x:v>Wall bands above openings; concealed finish-matched soffit crossing over the 9–10 wing opening.</x:v>
      </x:c>
      <x:c r="Q38" s="9"/>
      <x:c r="R38" s="9"/>
      <x:c r="S38" s="13"/>
      <x:c r="T38" s="9"/>
      <x:c r="U38" s="9"/>
      <x:c r="V38" s="9"/>
      <x:c r="W38" s="9"/>
      <x:c r="X38" s="9"/>
      <x:c r="Y38" s="8" t="str">
        <x:v>Current</x:v>
      </x:c>
      <x:c r="Z38" s="8"/>
    </x:row>
    <x:row r="39" ht="90" customHeight="1">
      <x:c r="A39" s="8" t="str">
        <x:v>drop:FC1:F2:fan:1:F245</x:v>
      </x:c>
      <x:c r="B39" s="8" t="str">
        <x:v>F2 → Wall fan · axis 4 · H</x:v>
      </x:c>
      <x:c r="C39" s="8" t="str">
        <x:v>FC1</x:v>
      </x:c>
      <x:c r="D39" s="8" t="str">
        <x:v>F245</x:v>
      </x:c>
      <x:c r="E39" s="8" t="str">
        <x:v>DB1</x:v>
      </x:c>
      <x:c r="F39" s="8" t="str">
        <x:v>F2</x:v>
      </x:c>
      <x:c r="G39" s="8" t="str">
        <x:v>fan</x:v>
      </x:c>
      <x:c r="H39" s="8" t="str">
        <x:v>drop</x:v>
      </x:c>
      <x:c r="I39" s="11" t="n">
        <x:f>SUMIF('Route Points'!$A$7:$A$464,A39,'Route Points'!$F$7:$F$464)</x:f>
        <x:v>0.7520000000000007</x:v>
      </x:c>
      <x:c r="J39" s="11"/>
      <x:c r="K39" s="11" t="str">
        <x:f>IF(L39="Full home run",I39+J39,"")</x:f>
      </x:c>
      <x:c r="L39" s="8" t="str">
        <x:v>Route segment</x:v>
      </x:c>
      <x:c r="M39" s="13"/>
      <x:c r="N39" s="11" t="str">
        <x:f>IF(AND(ISNUMBER(M39),L39&lt;&gt;"Shared bundle"),IF(L39="Full home run",K39,I39)+M39,"")</x:f>
      </x:c>
      <x:c r="O39" s="8" t="str">
        <x:v>Cable type / conductors / cross-section / conduit: pending electrical design</x:v>
      </x:c>
      <x:c r="P39" s="8" t="str">
        <x:v>Concealed solid-pier / wall drop and local termination.</x:v>
      </x:c>
      <x:c r="Q39" s="9"/>
      <x:c r="R39" s="9"/>
      <x:c r="S39" s="13"/>
      <x:c r="T39" s="9"/>
      <x:c r="U39" s="9"/>
      <x:c r="V39" s="9"/>
      <x:c r="W39" s="9"/>
      <x:c r="X39" s="9"/>
      <x:c r="Y39" s="8" t="str">
        <x:v>Current</x:v>
      </x:c>
      <x:c r="Z39" s="8" t="str">
        <x:v>trunk:FC1:F2:fan:1</x:v>
      </x:c>
    </x:row>
    <x:row r="40" ht="90" customHeight="1">
      <x:c r="A40" s="8" t="str">
        <x:v>drop:FC1:F2:fan:1:F247</x:v>
      </x:c>
      <x:c r="B40" s="8" t="str">
        <x:v>F2 → Wall fan · axis 6 · H</x:v>
      </x:c>
      <x:c r="C40" s="8" t="str">
        <x:v>FC1</x:v>
      </x:c>
      <x:c r="D40" s="8" t="str">
        <x:v>F247</x:v>
      </x:c>
      <x:c r="E40" s="8" t="str">
        <x:v>DB1</x:v>
      </x:c>
      <x:c r="F40" s="8" t="str">
        <x:v>F2</x:v>
      </x:c>
      <x:c r="G40" s="8" t="str">
        <x:v>fan</x:v>
      </x:c>
      <x:c r="H40" s="8" t="str">
        <x:v>drop</x:v>
      </x:c>
      <x:c r="I40" s="11" t="n">
        <x:f>SUMIF('Route Points'!$A$7:$A$464,A40,'Route Points'!$F$7:$F$464)</x:f>
        <x:v>0.7520000000000007</x:v>
      </x:c>
      <x:c r="J40" s="11"/>
      <x:c r="K40" s="11" t="str">
        <x:f>IF(L40="Full home run",I40+J40,"")</x:f>
      </x:c>
      <x:c r="L40" s="8" t="str">
        <x:v>Route segment</x:v>
      </x:c>
      <x:c r="M40" s="13"/>
      <x:c r="N40" s="11" t="str">
        <x:f>IF(AND(ISNUMBER(M40),L40&lt;&gt;"Shared bundle"),IF(L40="Full home run",K40,I40)+M40,"")</x:f>
      </x:c>
      <x:c r="O40" s="8" t="str">
        <x:v>Cable type / conductors / cross-section / conduit: pending electrical design</x:v>
      </x:c>
      <x:c r="P40" s="8" t="str">
        <x:v>Concealed solid-pier / wall drop and local termination.</x:v>
      </x:c>
      <x:c r="Q40" s="9"/>
      <x:c r="R40" s="9"/>
      <x:c r="S40" s="13"/>
      <x:c r="T40" s="9"/>
      <x:c r="U40" s="9"/>
      <x:c r="V40" s="9"/>
      <x:c r="W40" s="9"/>
      <x:c r="X40" s="9"/>
      <x:c r="Y40" s="8" t="str">
        <x:v>Current</x:v>
      </x:c>
      <x:c r="Z40" s="8" t="str">
        <x:v>trunk:FC1:F2:fan:1</x:v>
      </x:c>
    </x:row>
    <x:row r="41" ht="90" customHeight="1">
      <x:c r="A41" s="8" t="str">
        <x:v>drop:FC1:F2:fan:1:F249</x:v>
      </x:c>
      <x:c r="B41" s="8" t="str">
        <x:v>F2 → Wall fan · axis 8 · H</x:v>
      </x:c>
      <x:c r="C41" s="8" t="str">
        <x:v>FC1</x:v>
      </x:c>
      <x:c r="D41" s="8" t="str">
        <x:v>F249</x:v>
      </x:c>
      <x:c r="E41" s="8" t="str">
        <x:v>DB1</x:v>
      </x:c>
      <x:c r="F41" s="8" t="str">
        <x:v>F2</x:v>
      </x:c>
      <x:c r="G41" s="8" t="str">
        <x:v>fan</x:v>
      </x:c>
      <x:c r="H41" s="8" t="str">
        <x:v>drop</x:v>
      </x:c>
      <x:c r="I41" s="11" t="n">
        <x:f>SUMIF('Route Points'!$A$7:$A$464,A41,'Route Points'!$F$7:$F$464)</x:f>
        <x:v>0.7520000000000007</x:v>
      </x:c>
      <x:c r="J41" s="11"/>
      <x:c r="K41" s="11" t="str">
        <x:f>IF(L41="Full home run",I41+J41,"")</x:f>
      </x:c>
      <x:c r="L41" s="8" t="str">
        <x:v>Route segment</x:v>
      </x:c>
      <x:c r="M41" s="13"/>
      <x:c r="N41" s="11" t="str">
        <x:f>IF(AND(ISNUMBER(M41),L41&lt;&gt;"Shared bundle"),IF(L41="Full home run",K41,I41)+M41,"")</x:f>
      </x:c>
      <x:c r="O41" s="8" t="str">
        <x:v>Cable type / conductors / cross-section / conduit: pending electrical design</x:v>
      </x:c>
      <x:c r="P41" s="8" t="str">
        <x:v>Concealed solid-pier / wall drop and local termination.</x:v>
      </x:c>
      <x:c r="Q41" s="9"/>
      <x:c r="R41" s="9"/>
      <x:c r="S41" s="13"/>
      <x:c r="T41" s="9"/>
      <x:c r="U41" s="9"/>
      <x:c r="V41" s="9"/>
      <x:c r="W41" s="9"/>
      <x:c r="X41" s="9"/>
      <x:c r="Y41" s="8" t="str">
        <x:v>Current</x:v>
      </x:c>
      <x:c r="Z41" s="8" t="str">
        <x:v>trunk:FC1:F2:fan:1</x:v>
      </x:c>
    </x:row>
    <x:row r="42" ht="90" customHeight="1">
      <x:c r="A42" s="8" t="str">
        <x:v>drop:FC1:F2:fan:1:F-NAVE-H-2P</x:v>
      </x:c>
      <x:c r="B42" s="8" t="str">
        <x:v>F2 → Wall fan · axis 2′ · H</x:v>
      </x:c>
      <x:c r="C42" s="8" t="str">
        <x:v>FC1</x:v>
      </x:c>
      <x:c r="D42" s="8" t="str">
        <x:v>F-NAVE-H-2P</x:v>
      </x:c>
      <x:c r="E42" s="8" t="str">
        <x:v>DB1</x:v>
      </x:c>
      <x:c r="F42" s="8" t="str">
        <x:v>F2</x:v>
      </x:c>
      <x:c r="G42" s="8" t="str">
        <x:v>fan</x:v>
      </x:c>
      <x:c r="H42" s="8" t="str">
        <x:v>drop</x:v>
      </x:c>
      <x:c r="I42" s="11" t="n">
        <x:f>SUMIF('Route Points'!$A$7:$A$464,A42,'Route Points'!$F$7:$F$464)</x:f>
        <x:v>0.7520000000000007</x:v>
      </x:c>
      <x:c r="J42" s="11"/>
      <x:c r="K42" s="11" t="str">
        <x:f>IF(L42="Full home run",I42+J42,"")</x:f>
      </x:c>
      <x:c r="L42" s="8" t="str">
        <x:v>Route segment</x:v>
      </x:c>
      <x:c r="M42" s="13"/>
      <x:c r="N42" s="11" t="str">
        <x:f>IF(AND(ISNUMBER(M42),L42&lt;&gt;"Shared bundle"),IF(L42="Full home run",K42,I42)+M42,"")</x:f>
      </x:c>
      <x:c r="O42" s="8" t="str">
        <x:v>Cable type / conductors / cross-section / conduit: pending electrical design</x:v>
      </x:c>
      <x:c r="P42" s="8" t="str">
        <x:v>Concealed solid-pier / wall drop and local termination.</x:v>
      </x:c>
      <x:c r="Q42" s="9"/>
      <x:c r="R42" s="9"/>
      <x:c r="S42" s="13"/>
      <x:c r="T42" s="9"/>
      <x:c r="U42" s="9"/>
      <x:c r="V42" s="9"/>
      <x:c r="W42" s="9"/>
      <x:c r="X42" s="9"/>
      <x:c r="Y42" s="8" t="str">
        <x:v>Current</x:v>
      </x:c>
      <x:c r="Z42" s="8" t="str">
        <x:v>trunk:FC1:F2:fan:1</x:v>
      </x:c>
    </x:row>
    <x:row r="43" ht="90" customHeight="1">
      <x:c r="A43" s="8" t="str">
        <x:v>drop:FC1:F2:fan:1:F-NAVE-H-3</x:v>
      </x:c>
      <x:c r="B43" s="8" t="str">
        <x:v>F2 → Wall fan · axis 3 · H</x:v>
      </x:c>
      <x:c r="C43" s="8" t="str">
        <x:v>FC1</x:v>
      </x:c>
      <x:c r="D43" s="8" t="str">
        <x:v>F-NAVE-H-3</x:v>
      </x:c>
      <x:c r="E43" s="8" t="str">
        <x:v>DB1</x:v>
      </x:c>
      <x:c r="F43" s="8" t="str">
        <x:v>F2</x:v>
      </x:c>
      <x:c r="G43" s="8" t="str">
        <x:v>fan</x:v>
      </x:c>
      <x:c r="H43" s="8" t="str">
        <x:v>drop</x:v>
      </x:c>
      <x:c r="I43" s="11" t="n">
        <x:f>SUMIF('Route Points'!$A$7:$A$464,A43,'Route Points'!$F$7:$F$464)</x:f>
        <x:v>0.7520000000000007</x:v>
      </x:c>
      <x:c r="J43" s="11"/>
      <x:c r="K43" s="11" t="str">
        <x:f>IF(L43="Full home run",I43+J43,"")</x:f>
      </x:c>
      <x:c r="L43" s="8" t="str">
        <x:v>Route segment</x:v>
      </x:c>
      <x:c r="M43" s="13"/>
      <x:c r="N43" s="11" t="str">
        <x:f>IF(AND(ISNUMBER(M43),L43&lt;&gt;"Shared bundle"),IF(L43="Full home run",K43,I43)+M43,"")</x:f>
      </x:c>
      <x:c r="O43" s="8" t="str">
        <x:v>Cable type / conductors / cross-section / conduit: pending electrical design</x:v>
      </x:c>
      <x:c r="P43" s="8" t="str">
        <x:v>Concealed solid-pier / wall drop and local termination.</x:v>
      </x:c>
      <x:c r="Q43" s="9"/>
      <x:c r="R43" s="9"/>
      <x:c r="S43" s="13"/>
      <x:c r="T43" s="9"/>
      <x:c r="U43" s="9"/>
      <x:c r="V43" s="9"/>
      <x:c r="W43" s="9"/>
      <x:c r="X43" s="9"/>
      <x:c r="Y43" s="8" t="str">
        <x:v>Current</x:v>
      </x:c>
      <x:c r="Z43" s="8" t="str">
        <x:v>trunk:FC1:F2:fan:1</x:v>
      </x:c>
    </x:row>
    <x:row r="44" ht="90" customHeight="1">
      <x:c r="A44" s="8" t="str">
        <x:v>drop:FC1:F2:fan:1:F-NAVE-H-5</x:v>
      </x:c>
      <x:c r="B44" s="8" t="str">
        <x:v>F2 → Wall fan · axis 5 · H</x:v>
      </x:c>
      <x:c r="C44" s="8" t="str">
        <x:v>FC1</x:v>
      </x:c>
      <x:c r="D44" s="8" t="str">
        <x:v>F-NAVE-H-5</x:v>
      </x:c>
      <x:c r="E44" s="8" t="str">
        <x:v>DB1</x:v>
      </x:c>
      <x:c r="F44" s="8" t="str">
        <x:v>F2</x:v>
      </x:c>
      <x:c r="G44" s="8" t="str">
        <x:v>fan</x:v>
      </x:c>
      <x:c r="H44" s="8" t="str">
        <x:v>drop</x:v>
      </x:c>
      <x:c r="I44" s="11" t="n">
        <x:f>SUMIF('Route Points'!$A$7:$A$464,A44,'Route Points'!$F$7:$F$464)</x:f>
        <x:v>0.7520000000000007</x:v>
      </x:c>
      <x:c r="J44" s="11"/>
      <x:c r="K44" s="11" t="str">
        <x:f>IF(L44="Full home run",I44+J44,"")</x:f>
      </x:c>
      <x:c r="L44" s="8" t="str">
        <x:v>Route segment</x:v>
      </x:c>
      <x:c r="M44" s="13"/>
      <x:c r="N44" s="11" t="str">
        <x:f>IF(AND(ISNUMBER(M44),L44&lt;&gt;"Shared bundle"),IF(L44="Full home run",K44,I44)+M44,"")</x:f>
      </x:c>
      <x:c r="O44" s="8" t="str">
        <x:v>Cable type / conductors / cross-section / conduit: pending electrical design</x:v>
      </x:c>
      <x:c r="P44" s="8" t="str">
        <x:v>Concealed solid-pier / wall drop and local termination.</x:v>
      </x:c>
      <x:c r="Q44" s="9"/>
      <x:c r="R44" s="9"/>
      <x:c r="S44" s="13"/>
      <x:c r="T44" s="9"/>
      <x:c r="U44" s="9"/>
      <x:c r="V44" s="9"/>
      <x:c r="W44" s="9"/>
      <x:c r="X44" s="9"/>
      <x:c r="Y44" s="8" t="str">
        <x:v>Current</x:v>
      </x:c>
      <x:c r="Z44" s="8" t="str">
        <x:v>trunk:FC1:F2:fan:1</x:v>
      </x:c>
    </x:row>
    <x:row r="45" ht="90" customHeight="1">
      <x:c r="A45" s="8" t="str">
        <x:v>drop:FC1:F2:fan:1:F-NAVE-H-7</x:v>
      </x:c>
      <x:c r="B45" s="8" t="str">
        <x:v>F2 → Wall fan · axis 7 · H</x:v>
      </x:c>
      <x:c r="C45" s="8" t="str">
        <x:v>FC1</x:v>
      </x:c>
      <x:c r="D45" s="8" t="str">
        <x:v>F-NAVE-H-7</x:v>
      </x:c>
      <x:c r="E45" s="8" t="str">
        <x:v>DB1</x:v>
      </x:c>
      <x:c r="F45" s="8" t="str">
        <x:v>F2</x:v>
      </x:c>
      <x:c r="G45" s="8" t="str">
        <x:v>fan</x:v>
      </x:c>
      <x:c r="H45" s="8" t="str">
        <x:v>drop</x:v>
      </x:c>
      <x:c r="I45" s="11" t="n">
        <x:f>SUMIF('Route Points'!$A$7:$A$464,A45,'Route Points'!$F$7:$F$464)</x:f>
        <x:v>0.7520000000000007</x:v>
      </x:c>
      <x:c r="J45" s="11"/>
      <x:c r="K45" s="11" t="str">
        <x:f>IF(L45="Full home run",I45+J45,"")</x:f>
      </x:c>
      <x:c r="L45" s="8" t="str">
        <x:v>Route segment</x:v>
      </x:c>
      <x:c r="M45" s="13"/>
      <x:c r="N45" s="11" t="str">
        <x:f>IF(AND(ISNUMBER(M45),L45&lt;&gt;"Shared bundle"),IF(L45="Full home run",K45,I45)+M45,"")</x:f>
      </x:c>
      <x:c r="O45" s="8" t="str">
        <x:v>Cable type / conductors / cross-section / conduit: pending electrical design</x:v>
      </x:c>
      <x:c r="P45" s="8" t="str">
        <x:v>Concealed solid-pier / wall drop and local termination.</x:v>
      </x:c>
      <x:c r="Q45" s="9"/>
      <x:c r="R45" s="9"/>
      <x:c r="S45" s="13"/>
      <x:c r="T45" s="9"/>
      <x:c r="U45" s="9"/>
      <x:c r="V45" s="9"/>
      <x:c r="W45" s="9"/>
      <x:c r="X45" s="9"/>
      <x:c r="Y45" s="8" t="str">
        <x:v>Current</x:v>
      </x:c>
      <x:c r="Z45" s="8" t="str">
        <x:v>trunk:FC1:F2:fan:1</x:v>
      </x:c>
    </x:row>
    <x:row r="46" ht="90" customHeight="1">
      <x:c r="A46" s="8" t="str">
        <x:v>drop:FC1:F2:fan:1:F-NAVE-H-9</x:v>
      </x:c>
      <x:c r="B46" s="8" t="str">
        <x:v>F2 → Wall fan · axis 9 · H</x:v>
      </x:c>
      <x:c r="C46" s="8" t="str">
        <x:v>FC1</x:v>
      </x:c>
      <x:c r="D46" s="8" t="str">
        <x:v>F-NAVE-H-9</x:v>
      </x:c>
      <x:c r="E46" s="8" t="str">
        <x:v>DB1</x:v>
      </x:c>
      <x:c r="F46" s="8" t="str">
        <x:v>F2</x:v>
      </x:c>
      <x:c r="G46" s="8" t="str">
        <x:v>fan</x:v>
      </x:c>
      <x:c r="H46" s="8" t="str">
        <x:v>drop</x:v>
      </x:c>
      <x:c r="I46" s="11" t="n">
        <x:f>SUMIF('Route Points'!$A$7:$A$464,A46,'Route Points'!$F$7:$F$464)</x:f>
        <x:v>0.7520000000000007</x:v>
      </x:c>
      <x:c r="J46" s="11"/>
      <x:c r="K46" s="11" t="str">
        <x:f>IF(L46="Full home run",I46+J46,"")</x:f>
      </x:c>
      <x:c r="L46" s="8" t="str">
        <x:v>Route segment</x:v>
      </x:c>
      <x:c r="M46" s="13"/>
      <x:c r="N46" s="11" t="str">
        <x:f>IF(AND(ISNUMBER(M46),L46&lt;&gt;"Shared bundle"),IF(L46="Full home run",K46,I46)+M46,"")</x:f>
      </x:c>
      <x:c r="O46" s="8" t="str">
        <x:v>Cable type / conductors / cross-section / conduit: pending electrical design</x:v>
      </x:c>
      <x:c r="P46" s="8" t="str">
        <x:v>Concealed solid-pier / wall drop and local termination.</x:v>
      </x:c>
      <x:c r="Q46" s="9"/>
      <x:c r="R46" s="9"/>
      <x:c r="S46" s="13"/>
      <x:c r="T46" s="9"/>
      <x:c r="U46" s="9"/>
      <x:c r="V46" s="9"/>
      <x:c r="W46" s="9"/>
      <x:c r="X46" s="9"/>
      <x:c r="Y46" s="8" t="str">
        <x:v>Current</x:v>
      </x:c>
      <x:c r="Z46" s="8" t="str">
        <x:v>trunk:FC1:F2:fan:1</x:v>
      </x:c>
    </x:row>
    <x:row r="47" ht="90" customHeight="1">
      <x:c r="A47" s="8" t="str">
        <x:v>trunk:DB2:F4:fan:-1</x:v>
      </x:c>
      <x:c r="B47" s="8" t="str">
        <x:v>F4 · B · circuit trunk</x:v>
      </x:c>
      <x:c r="C47" s="8" t="str">
        <x:v>DB2</x:v>
      </x:c>
      <x:c r="D47" s="8" t="str">
        <x:v>F250</x:v>
      </x:c>
      <x:c r="E47" s="8" t="str">
        <x:v>DB2</x:v>
      </x:c>
      <x:c r="F47" s="8" t="str">
        <x:v>F4</x:v>
      </x:c>
      <x:c r="G47" s="8" t="str">
        <x:v>fan</x:v>
      </x:c>
      <x:c r="H47" s="8" t="str">
        <x:v>trunk</x:v>
      </x:c>
      <x:c r="I47" s="11" t="n">
        <x:f>SUMIF('Route Points'!$A$7:$A$464,A47,'Route Points'!$F$7:$F$464)</x:f>
        <x:v>12.517</x:v>
      </x:c>
      <x:c r="J47" s="11"/>
      <x:c r="K47" s="11" t="str">
        <x:f>IF(L47="Full home run",I47+J47,"")</x:f>
      </x:c>
      <x:c r="L47" s="8" t="str">
        <x:v>Route segment</x:v>
      </x:c>
      <x:c r="M47" s="13"/>
      <x:c r="N47" s="11" t="str">
        <x:f>IF(AND(ISNUMBER(M47),L47&lt;&gt;"Shared bundle"),IF(L47="Full home run",K47,I47)+M47,"")</x:f>
      </x:c>
      <x:c r="O47" s="8" t="str">
        <x:v>Cable type / conductors / cross-section / conduit: pending electrical design</x:v>
      </x:c>
      <x:c r="P47" s="8" t="str">
        <x:v>Wall bands above openings; concealed finish-matched soffit crossing over the 9–10 wing opening.</x:v>
      </x:c>
      <x:c r="Q47" s="9"/>
      <x:c r="R47" s="9"/>
      <x:c r="S47" s="13"/>
      <x:c r="T47" s="9"/>
      <x:c r="U47" s="9"/>
      <x:c r="V47" s="9"/>
      <x:c r="W47" s="9"/>
      <x:c r="X47" s="9"/>
      <x:c r="Y47" s="8" t="str">
        <x:v>Current</x:v>
      </x:c>
      <x:c r="Z47" s="8"/>
    </x:row>
    <x:row r="48" ht="90" customHeight="1">
      <x:c r="A48" s="8" t="str">
        <x:v>drop:DB2:F4:fan:-1:F250</x:v>
      </x:c>
      <x:c r="B48" s="8" t="str">
        <x:v>F4 → Entrance circulator · B</x:v>
      </x:c>
      <x:c r="C48" s="8" t="str">
        <x:v>DB2</x:v>
      </x:c>
      <x:c r="D48" s="8" t="str">
        <x:v>F250</x:v>
      </x:c>
      <x:c r="E48" s="8" t="str">
        <x:v>DB2</x:v>
      </x:c>
      <x:c r="F48" s="8" t="str">
        <x:v>F4</x:v>
      </x:c>
      <x:c r="G48" s="8" t="str">
        <x:v>fan</x:v>
      </x:c>
      <x:c r="H48" s="8" t="str">
        <x:v>drop</x:v>
      </x:c>
      <x:c r="I48" s="11" t="n">
        <x:f>SUMIF('Route Points'!$A$7:$A$464,A48,'Route Points'!$F$7:$F$464)</x:f>
        <x:v>7.91542691446789</x:v>
      </x:c>
      <x:c r="J48" s="11"/>
      <x:c r="K48" s="11" t="str">
        <x:f>IF(L48="Full home run",I48+J48,"")</x:f>
      </x:c>
      <x:c r="L48" s="8" t="str">
        <x:v>Route segment</x:v>
      </x:c>
      <x:c r="M48" s="13"/>
      <x:c r="N48" s="11" t="str">
        <x:f>IF(AND(ISNUMBER(M48),L48&lt;&gt;"Shared bundle"),IF(L48="Full home run",K48,I48)+M48,"")</x:f>
      </x:c>
      <x:c r="O48" s="8" t="str">
        <x:v>Cable type / conductors / cross-section / conduit: pending electrical design</x:v>
      </x:c>
      <x:c r="P48" s="8" t="str">
        <x:v>Concealed entrance wall band, solid pier and local termination.</x:v>
      </x:c>
      <x:c r="Q48" s="9"/>
      <x:c r="R48" s="9"/>
      <x:c r="S48" s="13"/>
      <x:c r="T48" s="9"/>
      <x:c r="U48" s="9"/>
      <x:c r="V48" s="9"/>
      <x:c r="W48" s="9"/>
      <x:c r="X48" s="9"/>
      <x:c r="Y48" s="8" t="str">
        <x:v>Current</x:v>
      </x:c>
      <x:c r="Z48" s="8" t="str">
        <x:v>trunk:DB2:F4:fan:-1</x:v>
      </x:c>
    </x:row>
    <x:row r="49" ht="90" customHeight="1">
      <x:c r="A49" s="8" t="str">
        <x:v>trunk:DB2:F4:fan:1</x:v>
      </x:c>
      <x:c r="B49" s="8" t="str">
        <x:v>F4 · H · circuit trunk</x:v>
      </x:c>
      <x:c r="C49" s="8" t="str">
        <x:v>DB2</x:v>
      </x:c>
      <x:c r="D49" s="8" t="str">
        <x:v>F251</x:v>
      </x:c>
      <x:c r="E49" s="8" t="str">
        <x:v>DB2</x:v>
      </x:c>
      <x:c r="F49" s="8" t="str">
        <x:v>F4</x:v>
      </x:c>
      <x:c r="G49" s="8" t="str">
        <x:v>fan</x:v>
      </x:c>
      <x:c r="H49" s="8" t="str">
        <x:v>trunk</x:v>
      </x:c>
      <x:c r="I49" s="11" t="n">
        <x:f>SUMIF('Route Points'!$A$7:$A$464,A49,'Route Points'!$F$7:$F$464)</x:f>
        <x:v>19.117</x:v>
      </x:c>
      <x:c r="J49" s="11"/>
      <x:c r="K49" s="11" t="str">
        <x:f>IF(L49="Full home run",I49+J49,"")</x:f>
      </x:c>
      <x:c r="L49" s="8" t="str">
        <x:v>Route segment</x:v>
      </x:c>
      <x:c r="M49" s="13"/>
      <x:c r="N49" s="11" t="str">
        <x:f>IF(AND(ISNUMBER(M49),L49&lt;&gt;"Shared bundle"),IF(L49="Full home run",K49,I49)+M49,"")</x:f>
      </x:c>
      <x:c r="O49" s="8" t="str">
        <x:v>Cable type / conductors / cross-section / conduit: pending electrical design</x:v>
      </x:c>
      <x:c r="P49" s="8" t="str">
        <x:v>Wall bands above openings; concealed finish-matched soffit crossing over the 9–10 wing opening.</x:v>
      </x:c>
      <x:c r="Q49" s="9"/>
      <x:c r="R49" s="9"/>
      <x:c r="S49" s="13"/>
      <x:c r="T49" s="9"/>
      <x:c r="U49" s="9"/>
      <x:c r="V49" s="9"/>
      <x:c r="W49" s="9"/>
      <x:c r="X49" s="9"/>
      <x:c r="Y49" s="8" t="str">
        <x:v>Current</x:v>
      </x:c>
      <x:c r="Z49" s="8"/>
    </x:row>
    <x:row r="50" ht="90" customHeight="1">
      <x:c r="A50" s="8" t="str">
        <x:v>drop:DB2:F4:fan:1:F251</x:v>
      </x:c>
      <x:c r="B50" s="8" t="str">
        <x:v>F4 → Entrance circulator · H</x:v>
      </x:c>
      <x:c r="C50" s="8" t="str">
        <x:v>DB2</x:v>
      </x:c>
      <x:c r="D50" s="8" t="str">
        <x:v>F251</x:v>
      </x:c>
      <x:c r="E50" s="8" t="str">
        <x:v>DB2</x:v>
      </x:c>
      <x:c r="F50" s="8" t="str">
        <x:v>F4</x:v>
      </x:c>
      <x:c r="G50" s="8" t="str">
        <x:v>fan</x:v>
      </x:c>
      <x:c r="H50" s="8" t="str">
        <x:v>drop</x:v>
      </x:c>
      <x:c r="I50" s="11" t="n">
        <x:f>SUMIF('Route Points'!$A$7:$A$464,A50,'Route Points'!$F$7:$F$464)</x:f>
        <x:v>7.91542691446789</x:v>
      </x:c>
      <x:c r="J50" s="11"/>
      <x:c r="K50" s="11" t="str">
        <x:f>IF(L50="Full home run",I50+J50,"")</x:f>
      </x:c>
      <x:c r="L50" s="8" t="str">
        <x:v>Route segment</x:v>
      </x:c>
      <x:c r="M50" s="13"/>
      <x:c r="N50" s="11" t="str">
        <x:f>IF(AND(ISNUMBER(M50),L50&lt;&gt;"Shared bundle"),IF(L50="Full home run",K50,I50)+M50,"")</x:f>
      </x:c>
      <x:c r="O50" s="8" t="str">
        <x:v>Cable type / conductors / cross-section / conduit: pending electrical design</x:v>
      </x:c>
      <x:c r="P50" s="8" t="str">
        <x:v>Concealed entrance wall band, solid pier and local termination.</x:v>
      </x:c>
      <x:c r="Q50" s="9"/>
      <x:c r="R50" s="9"/>
      <x:c r="S50" s="13"/>
      <x:c r="T50" s="9"/>
      <x:c r="U50" s="9"/>
      <x:c r="V50" s="9"/>
      <x:c r="W50" s="9"/>
      <x:c r="X50" s="9"/>
      <x:c r="Y50" s="8" t="str">
        <x:v>Current</x:v>
      </x:c>
      <x:c r="Z50" s="8" t="str">
        <x:v>trunk:DB2:F4:fan:1</x:v>
      </x:c>
    </x:row>
    <x:row r="51" ht="90" customHeight="1">
      <x:c r="A51" s="8" t="str">
        <x:v>trunk:FC1:V1:fan:-1</x:v>
      </x:c>
      <x:c r="B51" s="8" t="str">
        <x:v>V1 · B · circuit trunk</x:v>
      </x:c>
      <x:c r="C51" s="8" t="str">
        <x:v>FC1</x:v>
      </x:c>
      <x:c r="D51" s="8" t="str">
        <x:v>F252
F253</x:v>
      </x:c>
      <x:c r="E51" s="8" t="str">
        <x:v>DB1</x:v>
      </x:c>
      <x:c r="F51" s="8" t="str">
        <x:v>V1</x:v>
      </x:c>
      <x:c r="G51" s="8" t="str">
        <x:v>fan</x:v>
      </x:c>
      <x:c r="H51" s="8" t="str">
        <x:v>trunk</x:v>
      </x:c>
      <x:c r="I51" s="11" t="n">
        <x:f>SUMIF('Route Points'!$A$7:$A$464,A51,'Route Points'!$F$7:$F$464)</x:f>
        <x:v>67.54713031117919</x:v>
      </x:c>
      <x:c r="J51" s="11"/>
      <x:c r="K51" s="11" t="str">
        <x:f>IF(L51="Full home run",I51+J51,"")</x:f>
      </x:c>
      <x:c r="L51" s="8" t="str">
        <x:v>Route segment</x:v>
      </x:c>
      <x:c r="M51" s="13"/>
      <x:c r="N51" s="11" t="str">
        <x:f>IF(AND(ISNUMBER(M51),L51&lt;&gt;"Shared bundle"),IF(L51="Full home run",K51,I51)+M51,"")</x:f>
      </x:c>
      <x:c r="O51" s="8" t="str">
        <x:v>Cable type / conductors / cross-section / conduit: pending electrical design</x:v>
      </x:c>
      <x:c r="P51" s="8" t="str">
        <x:v>Wall bands above openings; concealed finish-matched soffit crossing over the 9–10 wing opening.</x:v>
      </x:c>
      <x:c r="Q51" s="9"/>
      <x:c r="R51" s="9"/>
      <x:c r="S51" s="13"/>
      <x:c r="T51" s="9"/>
      <x:c r="U51" s="9"/>
      <x:c r="V51" s="9"/>
      <x:c r="W51" s="9"/>
      <x:c r="X51" s="9"/>
      <x:c r="Y51" s="8" t="str">
        <x:v>Current</x:v>
      </x:c>
      <x:c r="Z51" s="8"/>
    </x:row>
    <x:row r="52" ht="90" customHeight="1">
      <x:c r="A52" s="8" t="str">
        <x:v>drop:FC1:V1:fan:-1:F252</x:v>
      </x:c>
      <x:c r="B52" s="8" t="str">
        <x:v>V1 → Exhaust fan · front gable · B outer</x:v>
      </x:c>
      <x:c r="C52" s="8" t="str">
        <x:v>FC1</x:v>
      </x:c>
      <x:c r="D52" s="8" t="str">
        <x:v>F252</x:v>
      </x:c>
      <x:c r="E52" s="8" t="str">
        <x:v>DB1</x:v>
      </x:c>
      <x:c r="F52" s="8" t="str">
        <x:v>V1</x:v>
      </x:c>
      <x:c r="G52" s="8" t="str">
        <x:v>fan</x:v>
      </x:c>
      <x:c r="H52" s="8" t="str">
        <x:v>drop</x:v>
      </x:c>
      <x:c r="I52" s="11" t="n">
        <x:f>SUMIF('Route Points'!$A$7:$A$464,A52,'Route Points'!$F$7:$F$464)</x:f>
        <x:v>8.69282092938182</x:v>
      </x:c>
      <x:c r="J52" s="11"/>
      <x:c r="K52" s="11" t="str">
        <x:f>IF(L52="Full home run",I52+J52,"")</x:f>
      </x:c>
      <x:c r="L52" s="8" t="str">
        <x:v>Route segment</x:v>
      </x:c>
      <x:c r="M52" s="13"/>
      <x:c r="N52" s="11" t="str">
        <x:f>IF(AND(ISNUMBER(M52),L52&lt;&gt;"Shared bundle"),IF(L52="Full home run",K52,I52)+M52,"")</x:f>
      </x:c>
      <x:c r="O52" s="8" t="str">
        <x:v>Cable type / conductors / cross-section / conduit: pending electrical design</x:v>
      </x:c>
      <x:c r="P52" s="8" t="str">
        <x:v>Above roof lining to solid front gable above terrace; local fan connection.</x:v>
      </x:c>
      <x:c r="Q52" s="9"/>
      <x:c r="R52" s="9"/>
      <x:c r="S52" s="13"/>
      <x:c r="T52" s="9"/>
      <x:c r="U52" s="9"/>
      <x:c r="V52" s="9"/>
      <x:c r="W52" s="9"/>
      <x:c r="X52" s="9"/>
      <x:c r="Y52" s="8" t="str">
        <x:v>Current</x:v>
      </x:c>
      <x:c r="Z52" s="8" t="str">
        <x:v>trunk:FC1:V1:fan:-1</x:v>
      </x:c>
    </x:row>
    <x:row r="53" ht="90" customHeight="1">
      <x:c r="A53" s="8" t="str">
        <x:v>drop:FC1:V1:fan:-1:F253</x:v>
      </x:c>
      <x:c r="B53" s="8" t="str">
        <x:v>V1 → Exhaust fan · front gable · B inner</x:v>
      </x:c>
      <x:c r="C53" s="8" t="str">
        <x:v>FC1</x:v>
      </x:c>
      <x:c r="D53" s="8" t="str">
        <x:v>F253</x:v>
      </x:c>
      <x:c r="E53" s="8" t="str">
        <x:v>DB1</x:v>
      </x:c>
      <x:c r="F53" s="8" t="str">
        <x:v>V1</x:v>
      </x:c>
      <x:c r="G53" s="8" t="str">
        <x:v>fan</x:v>
      </x:c>
      <x:c r="H53" s="8" t="str">
        <x:v>drop</x:v>
      </x:c>
      <x:c r="I53" s="11" t="n">
        <x:f>SUMIF('Route Points'!$A$7:$A$464,A53,'Route Points'!$F$7:$F$464)</x:f>
        <x:v>11.831150261440472</x:v>
      </x:c>
      <x:c r="J53" s="11"/>
      <x:c r="K53" s="11" t="str">
        <x:f>IF(L53="Full home run",I53+J53,"")</x:f>
      </x:c>
      <x:c r="L53" s="8" t="str">
        <x:v>Route segment</x:v>
      </x:c>
      <x:c r="M53" s="13"/>
      <x:c r="N53" s="11" t="str">
        <x:f>IF(AND(ISNUMBER(M53),L53&lt;&gt;"Shared bundle"),IF(L53="Full home run",K53,I53)+M53,"")</x:f>
      </x:c>
      <x:c r="O53" s="8" t="str">
        <x:v>Cable type / conductors / cross-section / conduit: pending electrical design</x:v>
      </x:c>
      <x:c r="P53" s="8" t="str">
        <x:v>Above roof lining to solid front gable above terrace; local fan connection.</x:v>
      </x:c>
      <x:c r="Q53" s="9"/>
      <x:c r="R53" s="9"/>
      <x:c r="S53" s="13"/>
      <x:c r="T53" s="9"/>
      <x:c r="U53" s="9"/>
      <x:c r="V53" s="9"/>
      <x:c r="W53" s="9"/>
      <x:c r="X53" s="9"/>
      <x:c r="Y53" s="8" t="str">
        <x:v>Current</x:v>
      </x:c>
      <x:c r="Z53" s="8" t="str">
        <x:v>trunk:FC1:V1:fan:-1</x:v>
      </x:c>
    </x:row>
    <x:row r="54" ht="90" customHeight="1">
      <x:c r="A54" s="8" t="str">
        <x:v>trunk:FC1:V1:fan:1</x:v>
      </x:c>
      <x:c r="B54" s="8" t="str">
        <x:v>V1 · H · circuit trunk</x:v>
      </x:c>
      <x:c r="C54" s="8" t="str">
        <x:v>FC1</x:v>
      </x:c>
      <x:c r="D54" s="8" t="str">
        <x:v>F254
F255</x:v>
      </x:c>
      <x:c r="E54" s="8" t="str">
        <x:v>DB1</x:v>
      </x:c>
      <x:c r="F54" s="8" t="str">
        <x:v>V1</x:v>
      </x:c>
      <x:c r="G54" s="8" t="str">
        <x:v>fan</x:v>
      </x:c>
      <x:c r="H54" s="8" t="str">
        <x:v>trunk</x:v>
      </x:c>
      <x:c r="I54" s="11" t="n">
        <x:f>SUMIF('Route Points'!$A$7:$A$464,A54,'Route Points'!$F$7:$F$464)</x:f>
        <x:v>74.14713031117918</x:v>
      </x:c>
      <x:c r="J54" s="11"/>
      <x:c r="K54" s="11" t="str">
        <x:f>IF(L54="Full home run",I54+J54,"")</x:f>
      </x:c>
      <x:c r="L54" s="8" t="str">
        <x:v>Route segment</x:v>
      </x:c>
      <x:c r="M54" s="13"/>
      <x:c r="N54" s="11" t="str">
        <x:f>IF(AND(ISNUMBER(M54),L54&lt;&gt;"Shared bundle"),IF(L54="Full home run",K54,I54)+M54,"")</x:f>
      </x:c>
      <x:c r="O54" s="8" t="str">
        <x:v>Cable type / conductors / cross-section / conduit: pending electrical design</x:v>
      </x:c>
      <x:c r="P54" s="8" t="str">
        <x:v>Wall bands above openings; concealed finish-matched soffit crossing over the 9–10 wing opening.</x:v>
      </x:c>
      <x:c r="Q54" s="9"/>
      <x:c r="R54" s="9"/>
      <x:c r="S54" s="13"/>
      <x:c r="T54" s="9"/>
      <x:c r="U54" s="9"/>
      <x:c r="V54" s="9"/>
      <x:c r="W54" s="9"/>
      <x:c r="X54" s="9"/>
      <x:c r="Y54" s="8" t="str">
        <x:v>Current</x:v>
      </x:c>
      <x:c r="Z54" s="8"/>
    </x:row>
    <x:row r="55" ht="90" customHeight="1">
      <x:c r="A55" s="8" t="str">
        <x:v>drop:FC1:V1:fan:1:F254</x:v>
      </x:c>
      <x:c r="B55" s="8" t="str">
        <x:v>V1 → Exhaust fan · front gable · H inner</x:v>
      </x:c>
      <x:c r="C55" s="8" t="str">
        <x:v>FC1</x:v>
      </x:c>
      <x:c r="D55" s="8" t="str">
        <x:v>F254</x:v>
      </x:c>
      <x:c r="E55" s="8" t="str">
        <x:v>DB1</x:v>
      </x:c>
      <x:c r="F55" s="8" t="str">
        <x:v>V1</x:v>
      </x:c>
      <x:c r="G55" s="8" t="str">
        <x:v>fan</x:v>
      </x:c>
      <x:c r="H55" s="8" t="str">
        <x:v>drop</x:v>
      </x:c>
      <x:c r="I55" s="11" t="n">
        <x:f>SUMIF('Route Points'!$A$7:$A$464,A55,'Route Points'!$F$7:$F$464)</x:f>
        <x:v>11.831150261440472</x:v>
      </x:c>
      <x:c r="J55" s="11"/>
      <x:c r="K55" s="11" t="str">
        <x:f>IF(L55="Full home run",I55+J55,"")</x:f>
      </x:c>
      <x:c r="L55" s="8" t="str">
        <x:v>Route segment</x:v>
      </x:c>
      <x:c r="M55" s="13"/>
      <x:c r="N55" s="11" t="str">
        <x:f>IF(AND(ISNUMBER(M55),L55&lt;&gt;"Shared bundle"),IF(L55="Full home run",K55,I55)+M55,"")</x:f>
      </x:c>
      <x:c r="O55" s="8" t="str">
        <x:v>Cable type / conductors / cross-section / conduit: pending electrical design</x:v>
      </x:c>
      <x:c r="P55" s="8" t="str">
        <x:v>Above roof lining to solid front gable above terrace; local fan connection.</x:v>
      </x:c>
      <x:c r="Q55" s="9"/>
      <x:c r="R55" s="9"/>
      <x:c r="S55" s="13"/>
      <x:c r="T55" s="9"/>
      <x:c r="U55" s="9"/>
      <x:c r="V55" s="9"/>
      <x:c r="W55" s="9"/>
      <x:c r="X55" s="9"/>
      <x:c r="Y55" s="8" t="str">
        <x:v>Current</x:v>
      </x:c>
      <x:c r="Z55" s="8" t="str">
        <x:v>trunk:FC1:V1:fan:1</x:v>
      </x:c>
    </x:row>
    <x:row r="56" ht="90" customHeight="1">
      <x:c r="A56" s="8" t="str">
        <x:v>drop:FC1:V1:fan:1:F255</x:v>
      </x:c>
      <x:c r="B56" s="8" t="str">
        <x:v>V1 → Exhaust fan · front gable · H outer</x:v>
      </x:c>
      <x:c r="C56" s="8" t="str">
        <x:v>FC1</x:v>
      </x:c>
      <x:c r="D56" s="8" t="str">
        <x:v>F255</x:v>
      </x:c>
      <x:c r="E56" s="8" t="str">
        <x:v>DB1</x:v>
      </x:c>
      <x:c r="F56" s="8" t="str">
        <x:v>V1</x:v>
      </x:c>
      <x:c r="G56" s="8" t="str">
        <x:v>fan</x:v>
      </x:c>
      <x:c r="H56" s="8" t="str">
        <x:v>drop</x:v>
      </x:c>
      <x:c r="I56" s="11" t="n">
        <x:f>SUMIF('Route Points'!$A$7:$A$464,A56,'Route Points'!$F$7:$F$464)</x:f>
        <x:v>8.69282092938182</x:v>
      </x:c>
      <x:c r="J56" s="11"/>
      <x:c r="K56" s="11" t="str">
        <x:f>IF(L56="Full home run",I56+J56,"")</x:f>
      </x:c>
      <x:c r="L56" s="8" t="str">
        <x:v>Route segment</x:v>
      </x:c>
      <x:c r="M56" s="13"/>
      <x:c r="N56" s="11" t="str">
        <x:f>IF(AND(ISNUMBER(M56),L56&lt;&gt;"Shared bundle"),IF(L56="Full home run",K56,I56)+M56,"")</x:f>
      </x:c>
      <x:c r="O56" s="8" t="str">
        <x:v>Cable type / conductors / cross-section / conduit: pending electrical design</x:v>
      </x:c>
      <x:c r="P56" s="8" t="str">
        <x:v>Above roof lining to solid front gable above terrace; local fan connection.</x:v>
      </x:c>
      <x:c r="Q56" s="9"/>
      <x:c r="R56" s="9"/>
      <x:c r="S56" s="13"/>
      <x:c r="T56" s="9"/>
      <x:c r="U56" s="9"/>
      <x:c r="V56" s="9"/>
      <x:c r="W56" s="9"/>
      <x:c r="X56" s="9"/>
      <x:c r="Y56" s="8" t="str">
        <x:v>Current</x:v>
      </x:c>
      <x:c r="Z56" s="8" t="str">
        <x:v>trunk:FC1:V1:fan:1</x:v>
      </x:c>
    </x:row>
    <x:row r="57" ht="90" customHeight="1">
      <x:c r="A57" s="8" t="str">
        <x:v>trunk:FC1:V2:fan:-1</x:v>
      </x:c>
      <x:c r="B57" s="8" t="str">
        <x:v>V2 · B · circuit trunk</x:v>
      </x:c>
      <x:c r="C57" s="8" t="str">
        <x:v>FC1</x:v>
      </x:c>
      <x:c r="D57" s="8" t="str">
        <x:v>F256
F257</x:v>
      </x:c>
      <x:c r="E57" s="8" t="str">
        <x:v>DB1</x:v>
      </x:c>
      <x:c r="F57" s="8" t="str">
        <x:v>V2</x:v>
      </x:c>
      <x:c r="G57" s="8" t="str">
        <x:v>fan</x:v>
      </x:c>
      <x:c r="H57" s="8" t="str">
        <x:v>trunk</x:v>
      </x:c>
      <x:c r="I57" s="11" t="n">
        <x:f>SUMIF('Route Points'!$A$7:$A$464,A57,'Route Points'!$F$7:$F$464)</x:f>
        <x:v>31.713576429531756</x:v>
      </x:c>
      <x:c r="J57" s="11"/>
      <x:c r="K57" s="11" t="str">
        <x:f>IF(L57="Full home run",I57+J57,"")</x:f>
      </x:c>
      <x:c r="L57" s="8" t="str">
        <x:v>Route segment</x:v>
      </x:c>
      <x:c r="M57" s="13"/>
      <x:c r="N57" s="11" t="str">
        <x:f>IF(AND(ISNUMBER(M57),L57&lt;&gt;"Shared bundle"),IF(L57="Full home run",K57,I57)+M57,"")</x:f>
      </x:c>
      <x:c r="O57" s="8" t="str">
        <x:v>Cable type / conductors / cross-section / conduit: pending electrical design</x:v>
      </x:c>
      <x:c r="P57" s="8" t="str">
        <x:v>Wall bands above openings; concealed finish-matched soffit crossing over the 9–10 wing opening.</x:v>
      </x:c>
      <x:c r="Q57" s="9"/>
      <x:c r="R57" s="9"/>
      <x:c r="S57" s="13"/>
      <x:c r="T57" s="9"/>
      <x:c r="U57" s="9"/>
      <x:c r="V57" s="9"/>
      <x:c r="W57" s="9"/>
      <x:c r="X57" s="9"/>
      <x:c r="Y57" s="8" t="str">
        <x:v>Current</x:v>
      </x:c>
      <x:c r="Z57" s="8"/>
    </x:row>
    <x:row r="58" ht="90" customHeight="1">
      <x:c r="A58" s="8" t="str">
        <x:v>drop:FC1:V2:fan:-1:F256</x:v>
      </x:c>
      <x:c r="B58" s="8" t="str">
        <x:v>V2 → Exhaust fan · wing gable B · front</x:v>
      </x:c>
      <x:c r="C58" s="8" t="str">
        <x:v>FC1</x:v>
      </x:c>
      <x:c r="D58" s="8" t="str">
        <x:v>F256</x:v>
      </x:c>
      <x:c r="E58" s="8" t="str">
        <x:v>DB1</x:v>
      </x:c>
      <x:c r="F58" s="8" t="str">
        <x:v>V2</x:v>
      </x:c>
      <x:c r="G58" s="8" t="str">
        <x:v>fan</x:v>
      </x:c>
      <x:c r="H58" s="8" t="str">
        <x:v>drop</x:v>
      </x:c>
      <x:c r="I58" s="11" t="n">
        <x:f>SUMIF('Route Points'!$A$7:$A$464,A58,'Route Points'!$F$7:$F$464)</x:f>
        <x:v>6.973264175257731</x:v>
      </x:c>
      <x:c r="J58" s="11"/>
      <x:c r="K58" s="11" t="str">
        <x:f>IF(L58="Full home run",I58+J58,"")</x:f>
      </x:c>
      <x:c r="L58" s="8" t="str">
        <x:v>Route segment</x:v>
      </x:c>
      <x:c r="M58" s="13"/>
      <x:c r="N58" s="11" t="str">
        <x:f>IF(AND(ISNUMBER(M58),L58&lt;&gt;"Shared bundle"),IF(L58="Full home run",K58,I58)+M58,"")</x:f>
      </x:c>
      <x:c r="O58" s="8" t="str">
        <x:v>Cable type / conductors / cross-section / conduit: pending electrical design</x:v>
      </x:c>
      <x:c r="P58" s="8" t="str">
        <x:v>Covered roof-soffit crossing into outer arcade / wing-gable wall, then concealed pier drop. No exposed crossing at equipment height.</x:v>
      </x:c>
      <x:c r="Q58" s="9"/>
      <x:c r="R58" s="9"/>
      <x:c r="S58" s="13"/>
      <x:c r="T58" s="9"/>
      <x:c r="U58" s="9"/>
      <x:c r="V58" s="9"/>
      <x:c r="W58" s="9"/>
      <x:c r="X58" s="9"/>
      <x:c r="Y58" s="8" t="str">
        <x:v>Current</x:v>
      </x:c>
      <x:c r="Z58" s="8" t="str">
        <x:v>trunk:FC1:V2:fan:-1</x:v>
      </x:c>
    </x:row>
    <x:row r="59" ht="90" customHeight="1">
      <x:c r="A59" s="8" t="str">
        <x:v>drop:FC1:V2:fan:-1:F257</x:v>
      </x:c>
      <x:c r="B59" s="8" t="str">
        <x:v>V2 → Exhaust fan · wing gable B · rear</x:v>
      </x:c>
      <x:c r="C59" s="8" t="str">
        <x:v>FC1</x:v>
      </x:c>
      <x:c r="D59" s="8" t="str">
        <x:v>F257</x:v>
      </x:c>
      <x:c r="E59" s="8" t="str">
        <x:v>DB1</x:v>
      </x:c>
      <x:c r="F59" s="8" t="str">
        <x:v>V2</x:v>
      </x:c>
      <x:c r="G59" s="8" t="str">
        <x:v>fan</x:v>
      </x:c>
      <x:c r="H59" s="8" t="str">
        <x:v>drop</x:v>
      </x:c>
      <x:c r="I59" s="11" t="n">
        <x:f>SUMIF('Route Points'!$A$7:$A$464,A59,'Route Points'!$F$7:$F$464)</x:f>
        <x:v>6.973264175257731</x:v>
      </x:c>
      <x:c r="J59" s="11"/>
      <x:c r="K59" s="11" t="str">
        <x:f>IF(L59="Full home run",I59+J59,"")</x:f>
      </x:c>
      <x:c r="L59" s="8" t="str">
        <x:v>Route segment</x:v>
      </x:c>
      <x:c r="M59" s="13"/>
      <x:c r="N59" s="11" t="str">
        <x:f>IF(AND(ISNUMBER(M59),L59&lt;&gt;"Shared bundle"),IF(L59="Full home run",K59,I59)+M59,"")</x:f>
      </x:c>
      <x:c r="O59" s="8" t="str">
        <x:v>Cable type / conductors / cross-section / conduit: pending electrical design</x:v>
      </x:c>
      <x:c r="P59" s="8" t="str">
        <x:v>Covered roof-soffit crossing into outer arcade / wing-gable wall, then concealed pier drop. No exposed crossing at equipment height.</x:v>
      </x:c>
      <x:c r="Q59" s="9"/>
      <x:c r="R59" s="9"/>
      <x:c r="S59" s="13"/>
      <x:c r="T59" s="9"/>
      <x:c r="U59" s="9"/>
      <x:c r="V59" s="9"/>
      <x:c r="W59" s="9"/>
      <x:c r="X59" s="9"/>
      <x:c r="Y59" s="8" t="str">
        <x:v>Current</x:v>
      </x:c>
      <x:c r="Z59" s="8" t="str">
        <x:v>trunk:FC1:V2:fan:-1</x:v>
      </x:c>
    </x:row>
    <x:row r="60" ht="90" customHeight="1">
      <x:c r="A60" s="8" t="str">
        <x:v>trunk:FC1:V2:fan:1</x:v>
      </x:c>
      <x:c r="B60" s="8" t="str">
        <x:v>V2 · H · circuit trunk</x:v>
      </x:c>
      <x:c r="C60" s="8" t="str">
        <x:v>FC1</x:v>
      </x:c>
      <x:c r="D60" s="8" t="str">
        <x:v>F258
F259</x:v>
      </x:c>
      <x:c r="E60" s="8" t="str">
        <x:v>DB1</x:v>
      </x:c>
      <x:c r="F60" s="8" t="str">
        <x:v>V2</x:v>
      </x:c>
      <x:c r="G60" s="8" t="str">
        <x:v>fan</x:v>
      </x:c>
      <x:c r="H60" s="8" t="str">
        <x:v>trunk</x:v>
      </x:c>
      <x:c r="I60" s="11" t="n">
        <x:f>SUMIF('Route Points'!$A$7:$A$464,A60,'Route Points'!$F$7:$F$464)</x:f>
        <x:v>38.31357642953176</x:v>
      </x:c>
      <x:c r="J60" s="11"/>
      <x:c r="K60" s="11" t="str">
        <x:f>IF(L60="Full home run",I60+J60,"")</x:f>
      </x:c>
      <x:c r="L60" s="8" t="str">
        <x:v>Route segment</x:v>
      </x:c>
      <x:c r="M60" s="13"/>
      <x:c r="N60" s="11" t="str">
        <x:f>IF(AND(ISNUMBER(M60),L60&lt;&gt;"Shared bundle"),IF(L60="Full home run",K60,I60)+M60,"")</x:f>
      </x:c>
      <x:c r="O60" s="8" t="str">
        <x:v>Cable type / conductors / cross-section / conduit: pending electrical design</x:v>
      </x:c>
      <x:c r="P60" s="8" t="str">
        <x:v>Wall bands above openings; concealed finish-matched soffit crossing over the 9–10 wing opening.</x:v>
      </x:c>
      <x:c r="Q60" s="9"/>
      <x:c r="R60" s="9"/>
      <x:c r="S60" s="13"/>
      <x:c r="T60" s="9"/>
      <x:c r="U60" s="9"/>
      <x:c r="V60" s="9"/>
      <x:c r="W60" s="9"/>
      <x:c r="X60" s="9"/>
      <x:c r="Y60" s="8" t="str">
        <x:v>Current</x:v>
      </x:c>
      <x:c r="Z60" s="8"/>
    </x:row>
    <x:row r="61" ht="90" customHeight="1">
      <x:c r="A61" s="8" t="str">
        <x:v>drop:FC1:V2:fan:1:F258</x:v>
      </x:c>
      <x:c r="B61" s="8" t="str">
        <x:v>V2 → Exhaust fan · wing gable H · front</x:v>
      </x:c>
      <x:c r="C61" s="8" t="str">
        <x:v>FC1</x:v>
      </x:c>
      <x:c r="D61" s="8" t="str">
        <x:v>F258</x:v>
      </x:c>
      <x:c r="E61" s="8" t="str">
        <x:v>DB1</x:v>
      </x:c>
      <x:c r="F61" s="8" t="str">
        <x:v>V2</x:v>
      </x:c>
      <x:c r="G61" s="8" t="str">
        <x:v>fan</x:v>
      </x:c>
      <x:c r="H61" s="8" t="str">
        <x:v>drop</x:v>
      </x:c>
      <x:c r="I61" s="11" t="n">
        <x:f>SUMIF('Route Points'!$A$7:$A$464,A61,'Route Points'!$F$7:$F$464)</x:f>
        <x:v>6.973264175257731</x:v>
      </x:c>
      <x:c r="J61" s="11"/>
      <x:c r="K61" s="11" t="str">
        <x:f>IF(L61="Full home run",I61+J61,"")</x:f>
      </x:c>
      <x:c r="L61" s="8" t="str">
        <x:v>Route segment</x:v>
      </x:c>
      <x:c r="M61" s="13"/>
      <x:c r="N61" s="11" t="str">
        <x:f>IF(AND(ISNUMBER(M61),L61&lt;&gt;"Shared bundle"),IF(L61="Full home run",K61,I61)+M61,"")</x:f>
      </x:c>
      <x:c r="O61" s="8" t="str">
        <x:v>Cable type / conductors / cross-section / conduit: pending electrical design</x:v>
      </x:c>
      <x:c r="P61" s="8" t="str">
        <x:v>Covered roof-soffit crossing into outer arcade / wing-gable wall, then concealed pier drop. No exposed crossing at equipment height.</x:v>
      </x:c>
      <x:c r="Q61" s="9"/>
      <x:c r="R61" s="9"/>
      <x:c r="S61" s="13"/>
      <x:c r="T61" s="9"/>
      <x:c r="U61" s="9"/>
      <x:c r="V61" s="9"/>
      <x:c r="W61" s="9"/>
      <x:c r="X61" s="9"/>
      <x:c r="Y61" s="8" t="str">
        <x:v>Current</x:v>
      </x:c>
      <x:c r="Z61" s="8" t="str">
        <x:v>trunk:FC1:V2:fan:1</x:v>
      </x:c>
    </x:row>
    <x:row r="62" ht="90" customHeight="1">
      <x:c r="A62" s="8" t="str">
        <x:v>drop:FC1:V2:fan:1:F259</x:v>
      </x:c>
      <x:c r="B62" s="8" t="str">
        <x:v>V2 → Exhaust fan · wing gable H · rear</x:v>
      </x:c>
      <x:c r="C62" s="8" t="str">
        <x:v>FC1</x:v>
      </x:c>
      <x:c r="D62" s="8" t="str">
        <x:v>F259</x:v>
      </x:c>
      <x:c r="E62" s="8" t="str">
        <x:v>DB1</x:v>
      </x:c>
      <x:c r="F62" s="8" t="str">
        <x:v>V2</x:v>
      </x:c>
      <x:c r="G62" s="8" t="str">
        <x:v>fan</x:v>
      </x:c>
      <x:c r="H62" s="8" t="str">
        <x:v>drop</x:v>
      </x:c>
      <x:c r="I62" s="11" t="n">
        <x:f>SUMIF('Route Points'!$A$7:$A$464,A62,'Route Points'!$F$7:$F$464)</x:f>
        <x:v>6.973264175257731</x:v>
      </x:c>
      <x:c r="J62" s="11"/>
      <x:c r="K62" s="11" t="str">
        <x:f>IF(L62="Full home run",I62+J62,"")</x:f>
      </x:c>
      <x:c r="L62" s="8" t="str">
        <x:v>Route segment</x:v>
      </x:c>
      <x:c r="M62" s="13"/>
      <x:c r="N62" s="11" t="str">
        <x:f>IF(AND(ISNUMBER(M62),L62&lt;&gt;"Shared bundle"),IF(L62="Full home run",K62,I62)+M62,"")</x:f>
      </x:c>
      <x:c r="O62" s="8" t="str">
        <x:v>Cable type / conductors / cross-section / conduit: pending electrical design</x:v>
      </x:c>
      <x:c r="P62" s="8" t="str">
        <x:v>Covered roof-soffit crossing into outer arcade / wing-gable wall, then concealed pier drop. No exposed crossing at equipment height.</x:v>
      </x:c>
      <x:c r="Q62" s="9"/>
      <x:c r="R62" s="9"/>
      <x:c r="S62" s="13"/>
      <x:c r="T62" s="9"/>
      <x:c r="U62" s="9"/>
      <x:c r="V62" s="9"/>
      <x:c r="W62" s="9"/>
      <x:c r="X62" s="9"/>
      <x:c r="Y62" s="8" t="str">
        <x:v>Current</x:v>
      </x:c>
      <x:c r="Z62" s="8" t="str">
        <x:v>trunk:FC1:V2:fan:1</x:v>
      </x:c>
    </x:row>
    <x:row r="63" ht="90" customHeight="1">
      <x:c r="A63" s="8" t="str">
        <x:v>trunk:FC1:V3:fan:-1</x:v>
      </x:c>
      <x:c r="B63" s="8" t="str">
        <x:v>V3 · B · circuit trunk</x:v>
      </x:c>
      <x:c r="C63" s="8" t="str">
        <x:v>FC1</x:v>
      </x:c>
      <x:c r="D63" s="8" t="str">
        <x:v>F260</x:v>
      </x:c>
      <x:c r="E63" s="8" t="str">
        <x:v>DB1</x:v>
      </x:c>
      <x:c r="F63" s="8" t="str">
        <x:v>V3</x:v>
      </x:c>
      <x:c r="G63" s="8" t="str">
        <x:v>fan</x:v>
      </x:c>
      <x:c r="H63" s="8" t="str">
        <x:v>trunk</x:v>
      </x:c>
      <x:c r="I63" s="11" t="n">
        <x:f>SUMIF('Route Points'!$A$7:$A$464,A63,'Route Points'!$F$7:$F$464)</x:f>
        <x:v>16.407000000000004</x:v>
      </x:c>
      <x:c r="J63" s="11"/>
      <x:c r="K63" s="11" t="str">
        <x:f>IF(L63="Full home run",I63+J63,"")</x:f>
      </x:c>
      <x:c r="L63" s="8" t="str">
        <x:v>Route segment</x:v>
      </x:c>
      <x:c r="M63" s="13"/>
      <x:c r="N63" s="11" t="str">
        <x:f>IF(AND(ISNUMBER(M63),L63&lt;&gt;"Shared bundle"),IF(L63="Full home run",K63,I63)+M63,"")</x:f>
      </x:c>
      <x:c r="O63" s="8" t="str">
        <x:v>Cable type / conductors / cross-section / conduit: pending electrical design</x:v>
      </x:c>
      <x:c r="P63" s="8" t="str">
        <x:v>Wall bands above openings; concealed finish-matched soffit crossing over the 9–10 wing opening.</x:v>
      </x:c>
      <x:c r="Q63" s="9"/>
      <x:c r="R63" s="9"/>
      <x:c r="S63" s="13"/>
      <x:c r="T63" s="9"/>
      <x:c r="U63" s="9"/>
      <x:c r="V63" s="9"/>
      <x:c r="W63" s="9"/>
      <x:c r="X63" s="9"/>
      <x:c r="Y63" s="8" t="str">
        <x:v>Current</x:v>
      </x:c>
      <x:c r="Z63" s="8"/>
    </x:row>
    <x:row r="64" ht="90" customHeight="1">
      <x:c r="A64" s="8" t="str">
        <x:v>drop:FC1:V3:fan:-1:F260</x:v>
      </x:c>
      <x:c r="B64" s="8" t="str">
        <x:v>V3 → Exhaust fan · service room</x:v>
      </x:c>
      <x:c r="C64" s="8" t="str">
        <x:v>FC1</x:v>
      </x:c>
      <x:c r="D64" s="8" t="str">
        <x:v>F260</x:v>
      </x:c>
      <x:c r="E64" s="8" t="str">
        <x:v>DB1</x:v>
      </x:c>
      <x:c r="F64" s="8" t="str">
        <x:v>V3</x:v>
      </x:c>
      <x:c r="G64" s="8" t="str">
        <x:v>fan</x:v>
      </x:c>
      <x:c r="H64" s="8" t="str">
        <x:v>drop</x:v>
      </x:c>
      <x:c r="I64" s="11" t="n">
        <x:f>SUMIF('Route Points'!$A$7:$A$464,A64,'Route Points'!$F$7:$F$464)</x:f>
        <x:v>10.32</x:v>
      </x:c>
      <x:c r="J64" s="11"/>
      <x:c r="K64" s="11" t="str">
        <x:f>IF(L64="Full home run",I64+J64,"")</x:f>
      </x:c>
      <x:c r="L64" s="8" t="str">
        <x:v>Route segment</x:v>
      </x:c>
      <x:c r="M64" s="13"/>
      <x:c r="N64" s="11" t="str">
        <x:f>IF(AND(ISNUMBER(M64),L64&lt;&gt;"Shared bundle"),IF(L64="Full home run",K64,I64)+M64,"")</x:f>
      </x:c>
      <x:c r="O64" s="8" t="str">
        <x:v>Cable type / conductors / cross-section / conduit: pending electrical design</x:v>
      </x:c>
      <x:c r="P64" s="8" t="str">
        <x:v>Rear-wall band and local termination; gable / weatherproof entry details pending.</x:v>
      </x:c>
      <x:c r="Q64" s="9"/>
      <x:c r="R64" s="9"/>
      <x:c r="S64" s="13"/>
      <x:c r="T64" s="9"/>
      <x:c r="U64" s="9"/>
      <x:c r="V64" s="9"/>
      <x:c r="W64" s="9"/>
      <x:c r="X64" s="9"/>
      <x:c r="Y64" s="8" t="str">
        <x:v>Current</x:v>
      </x:c>
      <x:c r="Z64" s="8" t="str">
        <x:v>trunk:FC1:V3:fan:-1</x:v>
      </x:c>
    </x:row>
    <x:row r="65" ht="90" customHeight="1">
      <x:c r="A65" s="8" t="str">
        <x:v>drop:FC1:V1:fan:-1:F256</x:v>
      </x:c>
      <x:c r="B65" s="8" t="str">
        <x:v>V1 → Exhaust fan · wing gable B · front</x:v>
      </x:c>
      <x:c r="C65" s="8" t="str">
        <x:v>FC1</x:v>
      </x:c>
      <x:c r="D65" s="8" t="str">
        <x:v>F256</x:v>
      </x:c>
      <x:c r="E65" s="8" t="str">
        <x:v>DB1</x:v>
      </x:c>
      <x:c r="F65" s="8" t="str">
        <x:v>V1</x:v>
      </x:c>
      <x:c r="G65" s="8" t="str">
        <x:v>fan</x:v>
      </x:c>
      <x:c r="H65" s="8" t="str">
        <x:v>drop</x:v>
      </x:c>
      <x:c r="I65" s="11" t="n">
        <x:f>SUMIF('Route Points'!$A$7:$A$464,A65,'Route Points'!$F$7:$F$464)</x:f>
        <x:v>6.973264175257731</x:v>
      </x:c>
      <x:c r="J65" s="11"/>
      <x:c r="K65" s="11" t="str">
        <x:f>IF(L65="Full home run",I65+J65,"")</x:f>
      </x:c>
      <x:c r="L65" s="8" t="str">
        <x:v>Route segment</x:v>
      </x:c>
      <x:c r="M65" s="13"/>
      <x:c r="N65" s="11" t="str">
        <x:f>IF(AND(ISNUMBER(M65),L65&lt;&gt;"Shared bundle"),IF(L65="Full home run",K65,I65)+M65,"")</x:f>
      </x:c>
      <x:c r="O65" s="8" t="str">
        <x:v>Cable type / conductors / cross-section / conduit: pending electrical design</x:v>
      </x:c>
      <x:c r="P65" s="8" t="str">
        <x:v>Covered roof-soffit crossing into outer arcade / wing-gable wall, then concealed pier drop. No exposed crossing at equipment height.</x:v>
      </x:c>
      <x:c r="Q65" s="9"/>
      <x:c r="R65" s="9"/>
      <x:c r="S65" s="13"/>
      <x:c r="T65" s="9"/>
      <x:c r="U65" s="9"/>
      <x:c r="V65" s="9"/>
      <x:c r="W65" s="9"/>
      <x:c r="X65" s="9"/>
      <x:c r="Y65" s="8" t="str">
        <x:v>Retired</x:v>
      </x:c>
      <x:c r="Z65" s="8" t="str">
        <x:v>trunk:FC1:V1:fan:-1</x:v>
      </x:c>
    </x:row>
    <x:row r="66" ht="90" customHeight="1">
      <x:c r="A66" s="8" t="str">
        <x:v>drop:FC1:V1:fan:-1:F257</x:v>
      </x:c>
      <x:c r="B66" s="8" t="str">
        <x:v>V1 → Exhaust fan · wing gable B · rear</x:v>
      </x:c>
      <x:c r="C66" s="8" t="str">
        <x:v>FC1</x:v>
      </x:c>
      <x:c r="D66" s="8" t="str">
        <x:v>F257</x:v>
      </x:c>
      <x:c r="E66" s="8" t="str">
        <x:v>DB1</x:v>
      </x:c>
      <x:c r="F66" s="8" t="str">
        <x:v>V1</x:v>
      </x:c>
      <x:c r="G66" s="8" t="str">
        <x:v>fan</x:v>
      </x:c>
      <x:c r="H66" s="8" t="str">
        <x:v>drop</x:v>
      </x:c>
      <x:c r="I66" s="11" t="n">
        <x:f>SUMIF('Route Points'!$A$7:$A$464,A66,'Route Points'!$F$7:$F$464)</x:f>
        <x:v>6.973264175257731</x:v>
      </x:c>
      <x:c r="J66" s="11"/>
      <x:c r="K66" s="11" t="str">
        <x:f>IF(L66="Full home run",I66+J66,"")</x:f>
      </x:c>
      <x:c r="L66" s="8" t="str">
        <x:v>Route segment</x:v>
      </x:c>
      <x:c r="M66" s="13"/>
      <x:c r="N66" s="11" t="str">
        <x:f>IF(AND(ISNUMBER(M66),L66&lt;&gt;"Shared bundle"),IF(L66="Full home run",K66,I66)+M66,"")</x:f>
      </x:c>
      <x:c r="O66" s="8" t="str">
        <x:v>Cable type / conductors / cross-section / conduit: pending electrical design</x:v>
      </x:c>
      <x:c r="P66" s="8" t="str">
        <x:v>Covered roof-soffit crossing into outer arcade / wing-gable wall, then concealed pier drop. No exposed crossing at equipment height.</x:v>
      </x:c>
      <x:c r="Q66" s="9"/>
      <x:c r="R66" s="9"/>
      <x:c r="S66" s="13"/>
      <x:c r="T66" s="9"/>
      <x:c r="U66" s="9"/>
      <x:c r="V66" s="9"/>
      <x:c r="W66" s="9"/>
      <x:c r="X66" s="9"/>
      <x:c r="Y66" s="8" t="str">
        <x:v>Retired</x:v>
      </x:c>
      <x:c r="Z66" s="8" t="str">
        <x:v>trunk:FC1:V1:fan:-1</x:v>
      </x:c>
    </x:row>
    <x:row r="67" ht="90" customHeight="1">
      <x:c r="A67" s="8" t="str">
        <x:v>drop:FC1:V1:fan:-1:F260</x:v>
      </x:c>
      <x:c r="B67" s="8" t="str">
        <x:v>V1 → Exhaust fan · service room</x:v>
      </x:c>
      <x:c r="C67" s="8" t="str">
        <x:v>FC1</x:v>
      </x:c>
      <x:c r="D67" s="8" t="str">
        <x:v>F260</x:v>
      </x:c>
      <x:c r="E67" s="8" t="str">
        <x:v>DB1</x:v>
      </x:c>
      <x:c r="F67" s="8" t="str">
        <x:v>V1</x:v>
      </x:c>
      <x:c r="G67" s="8" t="str">
        <x:v>fan</x:v>
      </x:c>
      <x:c r="H67" s="8" t="str">
        <x:v>drop</x:v>
      </x:c>
      <x:c r="I67" s="11" t="n">
        <x:f>SUMIF('Route Points'!$A$7:$A$464,A67,'Route Points'!$F$7:$F$464)</x:f>
        <x:v>10.2</x:v>
      </x:c>
      <x:c r="J67" s="11"/>
      <x:c r="K67" s="11" t="str">
        <x:f>IF(L67="Full home run",I67+J67,"")</x:f>
      </x:c>
      <x:c r="L67" s="8" t="str">
        <x:v>Route segment</x:v>
      </x:c>
      <x:c r="M67" s="13"/>
      <x:c r="N67" s="11" t="str">
        <x:f>IF(AND(ISNUMBER(M67),L67&lt;&gt;"Shared bundle"),IF(L67="Full home run",K67,I67)+M67,"")</x:f>
      </x:c>
      <x:c r="O67" s="8" t="str">
        <x:v>Cable type / conductors / cross-section / conduit: pending electrical design</x:v>
      </x:c>
      <x:c r="P67" s="8" t="str">
        <x:v>Rear-wall band and local termination; gable / weatherproof entry details pending.</x:v>
      </x:c>
      <x:c r="Q67" s="9"/>
      <x:c r="R67" s="9"/>
      <x:c r="S67" s="13"/>
      <x:c r="T67" s="9"/>
      <x:c r="U67" s="9"/>
      <x:c r="V67" s="9"/>
      <x:c r="W67" s="9"/>
      <x:c r="X67" s="9"/>
      <x:c r="Y67" s="8" t="str">
        <x:v>Retired</x:v>
      </x:c>
      <x:c r="Z67" s="8" t="str">
        <x:v>trunk:FC1:V1:fan:-1</x:v>
      </x:c>
    </x:row>
    <x:row r="68" ht="90" customHeight="1">
      <x:c r="A68" s="8" t="str">
        <x:v>drop:FC1:V1:fan:1:F258</x:v>
      </x:c>
      <x:c r="B68" s="8" t="str">
        <x:v>V1 → Exhaust fan · wing gable H · front</x:v>
      </x:c>
      <x:c r="C68" s="8" t="str">
        <x:v>FC1</x:v>
      </x:c>
      <x:c r="D68" s="8" t="str">
        <x:v>F258</x:v>
      </x:c>
      <x:c r="E68" s="8" t="str">
        <x:v>DB1</x:v>
      </x:c>
      <x:c r="F68" s="8" t="str">
        <x:v>V1</x:v>
      </x:c>
      <x:c r="G68" s="8" t="str">
        <x:v>fan</x:v>
      </x:c>
      <x:c r="H68" s="8" t="str">
        <x:v>drop</x:v>
      </x:c>
      <x:c r="I68" s="11" t="n">
        <x:f>SUMIF('Route Points'!$A$7:$A$464,A68,'Route Points'!$F$7:$F$464)</x:f>
        <x:v>6.973264175257731</x:v>
      </x:c>
      <x:c r="J68" s="11"/>
      <x:c r="K68" s="11" t="str">
        <x:f>IF(L68="Full home run",I68+J68,"")</x:f>
      </x:c>
      <x:c r="L68" s="8" t="str">
        <x:v>Route segment</x:v>
      </x:c>
      <x:c r="M68" s="13"/>
      <x:c r="N68" s="11" t="str">
        <x:f>IF(AND(ISNUMBER(M68),L68&lt;&gt;"Shared bundle"),IF(L68="Full home run",K68,I68)+M68,"")</x:f>
      </x:c>
      <x:c r="O68" s="8" t="str">
        <x:v>Cable type / conductors / cross-section / conduit: pending electrical design</x:v>
      </x:c>
      <x:c r="P68" s="8" t="str">
        <x:v>Covered roof-soffit crossing into outer arcade / wing-gable wall, then concealed pier drop. No exposed crossing at equipment height.</x:v>
      </x:c>
      <x:c r="Q68" s="9"/>
      <x:c r="R68" s="9"/>
      <x:c r="S68" s="13"/>
      <x:c r="T68" s="9"/>
      <x:c r="U68" s="9"/>
      <x:c r="V68" s="9"/>
      <x:c r="W68" s="9"/>
      <x:c r="X68" s="9"/>
      <x:c r="Y68" s="8" t="str">
        <x:v>Retired</x:v>
      </x:c>
      <x:c r="Z68" s="8" t="str">
        <x:v>trunk:FC1:V1:fan:1</x:v>
      </x:c>
    </x:row>
    <x:row r="69" ht="90" customHeight="1">
      <x:c r="A69" s="8" t="str">
        <x:v>drop:FC1:V1:fan:1:F259</x:v>
      </x:c>
      <x:c r="B69" s="8" t="str">
        <x:v>V1 → Exhaust fan · wing gable H · rear</x:v>
      </x:c>
      <x:c r="C69" s="8" t="str">
        <x:v>FC1</x:v>
      </x:c>
      <x:c r="D69" s="8" t="str">
        <x:v>F259</x:v>
      </x:c>
      <x:c r="E69" s="8" t="str">
        <x:v>DB1</x:v>
      </x:c>
      <x:c r="F69" s="8" t="str">
        <x:v>V1</x:v>
      </x:c>
      <x:c r="G69" s="8" t="str">
        <x:v>fan</x:v>
      </x:c>
      <x:c r="H69" s="8" t="str">
        <x:v>drop</x:v>
      </x:c>
      <x:c r="I69" s="11" t="n">
        <x:f>SUMIF('Route Points'!$A$7:$A$464,A69,'Route Points'!$F$7:$F$464)</x:f>
        <x:v>6.973264175257731</x:v>
      </x:c>
      <x:c r="J69" s="11"/>
      <x:c r="K69" s="11" t="str">
        <x:f>IF(L69="Full home run",I69+J69,"")</x:f>
      </x:c>
      <x:c r="L69" s="8" t="str">
        <x:v>Route segment</x:v>
      </x:c>
      <x:c r="M69" s="13"/>
      <x:c r="N69" s="11" t="str">
        <x:f>IF(AND(ISNUMBER(M69),L69&lt;&gt;"Shared bundle"),IF(L69="Full home run",K69,I69)+M69,"")</x:f>
      </x:c>
      <x:c r="O69" s="8" t="str">
        <x:v>Cable type / conductors / cross-section / conduit: pending electrical design</x:v>
      </x:c>
      <x:c r="P69" s="8" t="str">
        <x:v>Covered roof-soffit crossing into outer arcade / wing-gable wall, then concealed pier drop. No exposed crossing at equipment height.</x:v>
      </x:c>
      <x:c r="Q69" s="9"/>
      <x:c r="R69" s="9"/>
      <x:c r="S69" s="13"/>
      <x:c r="T69" s="9"/>
      <x:c r="U69" s="9"/>
      <x:c r="V69" s="9"/>
      <x:c r="W69" s="9"/>
      <x:c r="X69" s="9"/>
      <x:c r="Y69" s="8" t="str">
        <x:v>Retired</x:v>
      </x:c>
      <x:c r="Z69" s="8" t="str">
        <x:v>trunk:FC1:V1:fan:1</x:v>
      </x:c>
    </x:row>
    <x:row r="70" ht="90" customHeight="1">
      <x:c r="A70" s="8" t="str">
        <x:v>drop:FC1:F5:fan:-1:F-WING-B-3</x:v>
      </x:c>
      <x:c r="B70" s="8" t="str">
        <x:v>F5 → Wall fan · wing B · 3 · held review</x:v>
      </x:c>
      <x:c r="C70" s="8" t="str">
        <x:v>FC1</x:v>
      </x:c>
      <x:c r="D70" s="8" t="str">
        <x:v>F-WING-B-3</x:v>
      </x:c>
      <x:c r="E70" s="8" t="str">
        <x:v>DB1</x:v>
      </x:c>
      <x:c r="F70" s="8" t="str">
        <x:v>F5</x:v>
      </x:c>
      <x:c r="G70" s="8" t="str">
        <x:v>fan</x:v>
      </x:c>
      <x:c r="H70" s="8" t="str">
        <x:v>drop</x:v>
      </x:c>
      <x:c r="I70" s="11" t="n">
        <x:f>SUMIF('Route Points'!$A$7:$A$464,A70,'Route Points'!$F$7:$F$464)</x:f>
        <x:v>12.144617268041237</x:v>
      </x:c>
      <x:c r="J70" s="11"/>
      <x:c r="K70" s="11" t="str">
        <x:f>IF(L70="Full home run",I70+J70,"")</x:f>
      </x:c>
      <x:c r="L70" s="8" t="str">
        <x:v>Route segment</x:v>
      </x:c>
      <x:c r="M70" s="13"/>
      <x:c r="N70" s="11" t="str">
        <x:f>IF(AND(ISNUMBER(M70),L70&lt;&gt;"Shared bundle"),IF(L70="Full home run",K70,I70)+M70,"")</x:f>
      </x:c>
      <x:c r="O70" s="8" t="str">
        <x:v>Cable type / conductors / cross-section / conduit: pending electrical design</x:v>
      </x:c>
      <x:c r="P70" s="8" t="str">
        <x:v>Covered roof-soffit crossing into outer arcade / wing-gable wall, then concealed pier drop. No exposed crossing at equipment height.</x:v>
      </x:c>
      <x:c r="Q70" s="9"/>
      <x:c r="R70" s="9"/>
      <x:c r="S70" s="13"/>
      <x:c r="T70" s="9"/>
      <x:c r="U70" s="9"/>
      <x:c r="V70" s="9"/>
      <x:c r="W70" s="9"/>
      <x:c r="X70" s="9"/>
      <x:c r="Y70" s="8" t="str">
        <x:v>Retired</x:v>
      </x:c>
      <x:c r="Z70" s="8" t="str">
        <x:v>trunk:FC1:F5:fan:-1</x:v>
      </x:c>
    </x:row>
    <x:row r="71" ht="90" customHeight="1">
      <x:c r="A71" s="8" t="str">
        <x:v>drop:FC1:F5:fan:-1:F-WING-B-4</x:v>
      </x:c>
      <x:c r="B71" s="8" t="str">
        <x:v>F5 → Wall fan · wing B · 4 · held review</x:v>
      </x:c>
      <x:c r="C71" s="8" t="str">
        <x:v>FC1</x:v>
      </x:c>
      <x:c r="D71" s="8" t="str">
        <x:v>F-WING-B-4</x:v>
      </x:c>
      <x:c r="E71" s="8" t="str">
        <x:v>DB1</x:v>
      </x:c>
      <x:c r="F71" s="8" t="str">
        <x:v>F5</x:v>
      </x:c>
      <x:c r="G71" s="8" t="str">
        <x:v>fan</x:v>
      </x:c>
      <x:c r="H71" s="8" t="str">
        <x:v>drop</x:v>
      </x:c>
      <x:c r="I71" s="11" t="n">
        <x:f>SUMIF('Route Points'!$A$7:$A$464,A71,'Route Points'!$F$7:$F$464)</x:f>
        <x:v>10.700287371134024</x:v>
      </x:c>
      <x:c r="J71" s="11"/>
      <x:c r="K71" s="11" t="str">
        <x:f>IF(L71="Full home run",I71+J71,"")</x:f>
      </x:c>
      <x:c r="L71" s="8" t="str">
        <x:v>Route segment</x:v>
      </x:c>
      <x:c r="M71" s="13"/>
      <x:c r="N71" s="11" t="str">
        <x:f>IF(AND(ISNUMBER(M71),L71&lt;&gt;"Shared bundle"),IF(L71="Full home run",K71,I71)+M71,"")</x:f>
      </x:c>
      <x:c r="O71" s="8" t="str">
        <x:v>Cable type / conductors / cross-section / conduit: pending electrical design</x:v>
      </x:c>
      <x:c r="P71" s="8" t="str">
        <x:v>Covered roof-soffit crossing into outer arcade / wing-gable wall, then concealed pier drop. No exposed crossing at equipment height.</x:v>
      </x:c>
      <x:c r="Q71" s="9"/>
      <x:c r="R71" s="9"/>
      <x:c r="S71" s="13"/>
      <x:c r="T71" s="9"/>
      <x:c r="U71" s="9"/>
      <x:c r="V71" s="9"/>
      <x:c r="W71" s="9"/>
      <x:c r="X71" s="9"/>
      <x:c r="Y71" s="8" t="str">
        <x:v>Retired</x:v>
      </x:c>
      <x:c r="Z71" s="8" t="str">
        <x:v>trunk:FC1:F5:fan:-1</x:v>
      </x:c>
    </x:row>
    <x:row r="72" ht="90" customHeight="1">
      <x:c r="A72" s="8" t="str">
        <x:v>drop:FC1:F5:fan:1:F-WING-H-3</x:v>
      </x:c>
      <x:c r="B72" s="8" t="str">
        <x:v>F5 → Wall fan · wing H · 3 · held review</x:v>
      </x:c>
      <x:c r="C72" s="8" t="str">
        <x:v>FC1</x:v>
      </x:c>
      <x:c r="D72" s="8" t="str">
        <x:v>F-WING-H-3</x:v>
      </x:c>
      <x:c r="E72" s="8" t="str">
        <x:v>DB1</x:v>
      </x:c>
      <x:c r="F72" s="8" t="str">
        <x:v>F5</x:v>
      </x:c>
      <x:c r="G72" s="8" t="str">
        <x:v>fan</x:v>
      </x:c>
      <x:c r="H72" s="8" t="str">
        <x:v>drop</x:v>
      </x:c>
      <x:c r="I72" s="11" t="n">
        <x:f>SUMIF('Route Points'!$A$7:$A$464,A72,'Route Points'!$F$7:$F$464)</x:f>
        <x:v>12.144617268041237</x:v>
      </x:c>
      <x:c r="J72" s="11"/>
      <x:c r="K72" s="11" t="str">
        <x:f>IF(L72="Full home run",I72+J72,"")</x:f>
      </x:c>
      <x:c r="L72" s="8" t="str">
        <x:v>Route segment</x:v>
      </x:c>
      <x:c r="M72" s="13"/>
      <x:c r="N72" s="11" t="str">
        <x:f>IF(AND(ISNUMBER(M72),L72&lt;&gt;"Shared bundle"),IF(L72="Full home run",K72,I72)+M72,"")</x:f>
      </x:c>
      <x:c r="O72" s="8" t="str">
        <x:v>Cable type / conductors / cross-section / conduit: pending electrical design</x:v>
      </x:c>
      <x:c r="P72" s="8" t="str">
        <x:v>Covered roof-soffit crossing into outer arcade / wing-gable wall, then concealed pier drop. No exposed crossing at equipment height.</x:v>
      </x:c>
      <x:c r="Q72" s="9"/>
      <x:c r="R72" s="9"/>
      <x:c r="S72" s="13"/>
      <x:c r="T72" s="9"/>
      <x:c r="U72" s="9"/>
      <x:c r="V72" s="9"/>
      <x:c r="W72" s="9"/>
      <x:c r="X72" s="9"/>
      <x:c r="Y72" s="8" t="str">
        <x:v>Retired</x:v>
      </x:c>
      <x:c r="Z72" s="8" t="str">
        <x:v>trunk:FC1:F5:fan:1</x:v>
      </x:c>
    </x:row>
    <x:row r="73" ht="90" customHeight="1">
      <x:c r="A73" s="8" t="str">
        <x:v>drop:FC1:F5:fan:1:F-WING-H-4</x:v>
      </x:c>
      <x:c r="B73" s="8" t="str">
        <x:v>F5 → Wall fan · wing H · 4 · held review</x:v>
      </x:c>
      <x:c r="C73" s="8" t="str">
        <x:v>FC1</x:v>
      </x:c>
      <x:c r="D73" s="8" t="str">
        <x:v>F-WING-H-4</x:v>
      </x:c>
      <x:c r="E73" s="8" t="str">
        <x:v>DB1</x:v>
      </x:c>
      <x:c r="F73" s="8" t="str">
        <x:v>F5</x:v>
      </x:c>
      <x:c r="G73" s="8" t="str">
        <x:v>fan</x:v>
      </x:c>
      <x:c r="H73" s="8" t="str">
        <x:v>drop</x:v>
      </x:c>
      <x:c r="I73" s="11" t="n">
        <x:f>SUMIF('Route Points'!$A$7:$A$464,A73,'Route Points'!$F$7:$F$464)</x:f>
        <x:v>10.700287371134024</x:v>
      </x:c>
      <x:c r="J73" s="11"/>
      <x:c r="K73" s="11" t="str">
        <x:f>IF(L73="Full home run",I73+J73,"")</x:f>
      </x:c>
      <x:c r="L73" s="8" t="str">
        <x:v>Route segment</x:v>
      </x:c>
      <x:c r="M73" s="13"/>
      <x:c r="N73" s="11" t="str">
        <x:f>IF(AND(ISNUMBER(M73),L73&lt;&gt;"Shared bundle"),IF(L73="Full home run",K73,I73)+M73,"")</x:f>
      </x:c>
      <x:c r="O73" s="8" t="str">
        <x:v>Cable type / conductors / cross-section / conduit: pending electrical design</x:v>
      </x:c>
      <x:c r="P73" s="8" t="str">
        <x:v>Covered roof-soffit crossing into outer arcade / wing-gable wall, then concealed pier drop. No exposed crossing at equipment height.</x:v>
      </x:c>
      <x:c r="Q73" s="9"/>
      <x:c r="R73" s="9"/>
      <x:c r="S73" s="13"/>
      <x:c r="T73" s="9"/>
      <x:c r="U73" s="9"/>
      <x:c r="V73" s="9"/>
      <x:c r="W73" s="9"/>
      <x:c r="X73" s="9"/>
      <x:c r="Y73" s="8" t="str">
        <x:v>Retired</x:v>
      </x:c>
      <x:c r="Z73" s="8" t="str">
        <x:v>trunk:FC1:F5:fan:1</x:v>
      </x:c>
    </x:row>
    <x:row r="74" ht="90" customHeight="1">
      <x:c r="A74" s="8" t="str">
        <x:v>drop:FC1:F1:fan:-1:F240</x:v>
      </x:c>
      <x:c r="B74" s="8" t="str">
        <x:v>F1 → Ceiling fan · wing B · front</x:v>
      </x:c>
      <x:c r="C74" s="8" t="str">
        <x:v>FC1</x:v>
      </x:c>
      <x:c r="D74" s="8" t="str">
        <x:v>F240</x:v>
      </x:c>
      <x:c r="E74" s="8" t="str">
        <x:v>DB1</x:v>
      </x:c>
      <x:c r="F74" s="8" t="str">
        <x:v>F1</x:v>
      </x:c>
      <x:c r="G74" s="8" t="str">
        <x:v>fan</x:v>
      </x:c>
      <x:c r="H74" s="8" t="str">
        <x:v>drop</x:v>
      </x:c>
      <x:c r="I74" s="11" t="n">
        <x:f>SUMIF('Route Points'!$A$7:$A$464,A74,'Route Points'!$F$7:$F$464)</x:f>
        <x:v>7.73309922680412</x:v>
      </x:c>
      <x:c r="J74" s="11"/>
      <x:c r="K74" s="11" t="str">
        <x:f>IF(L74="Full home run",I74+J74,"")</x:f>
      </x:c>
      <x:c r="L74" s="8" t="str">
        <x:v>Route segment</x:v>
      </x:c>
      <x:c r="M74" s="13"/>
      <x:c r="N74" s="11" t="str">
        <x:f>IF(AND(ISNUMBER(M74),L74&lt;&gt;"Shared bundle"),IF(L74="Full home run",K74,I74)+M74,"")</x:f>
      </x:c>
      <x:c r="O74" s="8" t="str">
        <x:v>Cable type / conductors / cross-section / conduit: pending electrical design</x:v>
      </x:c>
      <x:c r="P74" s="8" t="str">
        <x:v>Above nave lining / covered soffit route at wings and verandas; cable continues inside the existing pendant stem. Roof build-up, supports and access pending.</x:v>
      </x:c>
      <x:c r="Q74" s="9"/>
      <x:c r="R74" s="9"/>
      <x:c r="S74" s="13"/>
      <x:c r="T74" s="9"/>
      <x:c r="U74" s="9"/>
      <x:c r="V74" s="9"/>
      <x:c r="W74" s="9"/>
      <x:c r="X74" s="9"/>
      <x:c r="Y74" s="8" t="str">
        <x:v>Retired</x:v>
      </x:c>
      <x:c r="Z74" s="8" t="str">
        <x:v>trunk:FC1:F1:fan:-1</x:v>
      </x:c>
    </x:row>
    <x:row r="75" ht="90" customHeight="1">
      <x:c r="A75" s="8" t="str">
        <x:v>drop:FC1:F1:fan:-1:F241</x:v>
      </x:c>
      <x:c r="B75" s="8" t="str">
        <x:v>F1 → Ceiling fan · wing B · rear</x:v>
      </x:c>
      <x:c r="C75" s="8" t="str">
        <x:v>FC1</x:v>
      </x:c>
      <x:c r="D75" s="8" t="str">
        <x:v>F241</x:v>
      </x:c>
      <x:c r="E75" s="8" t="str">
        <x:v>DB1</x:v>
      </x:c>
      <x:c r="F75" s="8" t="str">
        <x:v>F1</x:v>
      </x:c>
      <x:c r="G75" s="8" t="str">
        <x:v>fan</x:v>
      </x:c>
      <x:c r="H75" s="8" t="str">
        <x:v>drop</x:v>
      </x:c>
      <x:c r="I75" s="11" t="n">
        <x:f>SUMIF('Route Points'!$A$7:$A$464,A75,'Route Points'!$F$7:$F$464)</x:f>
        <x:v>7.733099226804125</x:v>
      </x:c>
      <x:c r="J75" s="11"/>
      <x:c r="K75" s="11" t="str">
        <x:f>IF(L75="Full home run",I75+J75,"")</x:f>
      </x:c>
      <x:c r="L75" s="8" t="str">
        <x:v>Route segment</x:v>
      </x:c>
      <x:c r="M75" s="13"/>
      <x:c r="N75" s="11" t="str">
        <x:f>IF(AND(ISNUMBER(M75),L75&lt;&gt;"Shared bundle"),IF(L75="Full home run",K75,I75)+M75,"")</x:f>
      </x:c>
      <x:c r="O75" s="8" t="str">
        <x:v>Cable type / conductors / cross-section / conduit: pending electrical design</x:v>
      </x:c>
      <x:c r="P75" s="8" t="str">
        <x:v>Above nave lining / covered soffit route at wings and verandas; cable continues inside the existing pendant stem. Roof build-up, supports and access pending.</x:v>
      </x:c>
      <x:c r="Q75" s="9"/>
      <x:c r="R75" s="9"/>
      <x:c r="S75" s="13"/>
      <x:c r="T75" s="9"/>
      <x:c r="U75" s="9"/>
      <x:c r="V75" s="9"/>
      <x:c r="W75" s="9"/>
      <x:c r="X75" s="9"/>
      <x:c r="Y75" s="8" t="str">
        <x:v>Retired</x:v>
      </x:c>
      <x:c r="Z75" s="8" t="str">
        <x:v>trunk:FC1:F1:fan:-1</x:v>
      </x:c>
    </x:row>
    <x:row r="76" ht="90" customHeight="1">
      <x:c r="A76" s="8" t="str">
        <x:v>drop:FC1:F1:fan:1:F242</x:v>
      </x:c>
      <x:c r="B76" s="8" t="str">
        <x:v>F1 → Ceiling fan · wing H · front</x:v>
      </x:c>
      <x:c r="C76" s="8" t="str">
        <x:v>FC1</x:v>
      </x:c>
      <x:c r="D76" s="8" t="str">
        <x:v>F242</x:v>
      </x:c>
      <x:c r="E76" s="8" t="str">
        <x:v>DB1</x:v>
      </x:c>
      <x:c r="F76" s="8" t="str">
        <x:v>F1</x:v>
      </x:c>
      <x:c r="G76" s="8" t="str">
        <x:v>fan</x:v>
      </x:c>
      <x:c r="H76" s="8" t="str">
        <x:v>drop</x:v>
      </x:c>
      <x:c r="I76" s="11" t="n">
        <x:f>SUMIF('Route Points'!$A$7:$A$464,A76,'Route Points'!$F$7:$F$464)</x:f>
        <x:v>7.73309922680412</x:v>
      </x:c>
      <x:c r="J76" s="11"/>
      <x:c r="K76" s="11" t="str">
        <x:f>IF(L76="Full home run",I76+J76,"")</x:f>
      </x:c>
      <x:c r="L76" s="8" t="str">
        <x:v>Route segment</x:v>
      </x:c>
      <x:c r="M76" s="13"/>
      <x:c r="N76" s="11" t="str">
        <x:f>IF(AND(ISNUMBER(M76),L76&lt;&gt;"Shared bundle"),IF(L76="Full home run",K76,I76)+M76,"")</x:f>
      </x:c>
      <x:c r="O76" s="8" t="str">
        <x:v>Cable type / conductors / cross-section / conduit: pending electrical design</x:v>
      </x:c>
      <x:c r="P76" s="8" t="str">
        <x:v>Above nave lining / covered soffit route at wings and verandas; cable continues inside the existing pendant stem. Roof build-up, supports and access pending.</x:v>
      </x:c>
      <x:c r="Q76" s="9"/>
      <x:c r="R76" s="9"/>
      <x:c r="S76" s="13"/>
      <x:c r="T76" s="9"/>
      <x:c r="U76" s="9"/>
      <x:c r="V76" s="9"/>
      <x:c r="W76" s="9"/>
      <x:c r="X76" s="9"/>
      <x:c r="Y76" s="8" t="str">
        <x:v>Retired</x:v>
      </x:c>
      <x:c r="Z76" s="8" t="str">
        <x:v>trunk:FC1:F1:fan:1</x:v>
      </x:c>
    </x:row>
    <x:row r="77" ht="90" customHeight="1">
      <x:c r="A77" s="8" t="str">
        <x:v>drop:FC1:F1:fan:1:F243</x:v>
      </x:c>
      <x:c r="B77" s="8" t="str">
        <x:v>F1 → Ceiling fan · wing H · rear</x:v>
      </x:c>
      <x:c r="C77" s="8" t="str">
        <x:v>FC1</x:v>
      </x:c>
      <x:c r="D77" s="8" t="str">
        <x:v>F243</x:v>
      </x:c>
      <x:c r="E77" s="8" t="str">
        <x:v>DB1</x:v>
      </x:c>
      <x:c r="F77" s="8" t="str">
        <x:v>F1</x:v>
      </x:c>
      <x:c r="G77" s="8" t="str">
        <x:v>fan</x:v>
      </x:c>
      <x:c r="H77" s="8" t="str">
        <x:v>drop</x:v>
      </x:c>
      <x:c r="I77" s="11" t="n">
        <x:f>SUMIF('Route Points'!$A$7:$A$464,A77,'Route Points'!$F$7:$F$464)</x:f>
        <x:v>7.733099226804125</x:v>
      </x:c>
      <x:c r="J77" s="11"/>
      <x:c r="K77" s="11" t="str">
        <x:f>IF(L77="Full home run",I77+J77,"")</x:f>
      </x:c>
      <x:c r="L77" s="8" t="str">
        <x:v>Route segment</x:v>
      </x:c>
      <x:c r="M77" s="13"/>
      <x:c r="N77" s="11" t="str">
        <x:f>IF(AND(ISNUMBER(M77),L77&lt;&gt;"Shared bundle"),IF(L77="Full home run",K77,I77)+M77,"")</x:f>
      </x:c>
      <x:c r="O77" s="8" t="str">
        <x:v>Cable type / conductors / cross-section / conduit: pending electrical design</x:v>
      </x:c>
      <x:c r="P77" s="8" t="str">
        <x:v>Above nave lining / covered soffit route at wings and verandas; cable continues inside the existing pendant stem. Roof build-up, supports and access pending.</x:v>
      </x:c>
      <x:c r="Q77" s="9"/>
      <x:c r="R77" s="9"/>
      <x:c r="S77" s="13"/>
      <x:c r="T77" s="9"/>
      <x:c r="U77" s="9"/>
      <x:c r="V77" s="9"/>
      <x:c r="W77" s="9"/>
      <x:c r="X77" s="9"/>
      <x:c r="Y77" s="8" t="str">
        <x:v>Retired</x:v>
      </x:c>
      <x:c r="Z77" s="8" t="str">
        <x:v>trunk:FC1:F1:fan:1</x:v>
      </x:c>
    </x:row>
  </x:sheetData>
  <x:conditionalFormatting sqref="Y7:Y77">
    <x:cfRule type="containsText" dxfId="1" priority="1" operator="containsText" text="Retired"/>
  </x:conditionalFormatting>
  <x:dataValidations count="3">
    <x:dataValidation type="decimal" operator="greaterThanOrEqual" sqref="M7:M77">
      <x:formula1>0</x:formula1>
    </x:dataValidation>
    <x:dataValidation type="decimal" operator="greaterThanOrEqual" sqref="R7:R77">
      <x:formula1>0</x:formula1>
    </x:dataValidation>
    <x:dataValidation type="decimal" operator="greaterThanOrEqual" sqref="S7:S7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41ac41d263453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trunk:FC1:F1:fan:-1</x:v>
      </x:c>
      <x:c r="B7" s="8" t="n">
        <x:v>1</x:v>
      </x:c>
      <x:c r="C7" s="11" t="n">
        <x:v>48.895</x:v>
      </x:c>
      <x:c r="D7" s="11" t="n">
        <x:v>1.95</x:v>
      </x:c>
      <x:c r="E7" s="11" t="n">
        <x:v>0.4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trunk:FC1:F1:fan:-1</x:v>
      </x:c>
      <x:c r="B8" s="8" t="n">
        <x:v>2</x:v>
      </x:c>
      <x:c r="C8" s="11" t="n">
        <x:v>48.735</x:v>
      </x:c>
      <x:c r="D8" s="11" t="n">
        <x:v>1.95</x:v>
      </x:c>
      <x:c r="E8" s="11" t="n">
        <x:v>0.4</x:v>
      </x:c>
      <x:c r="F8" s="11" t="n">
        <x:f>SQRT((C8-C7)^2+(D8-D7)^2+(E8-E7)^2)</x:f>
        <x:v>0.1600000000000037</x:v>
      </x:c>
      <x:c r="G8" s="8" t="str">
        <x:v>Current</x:v>
      </x:c>
    </x:row>
    <x:row r="9" ht="32" customHeight="1">
      <x:c r="A9" s="8" t="str">
        <x:v>trunk:FC1:F1:fan:-1</x:v>
      </x:c>
      <x:c r="B9" s="8" t="n">
        <x:v>3</x:v>
      </x:c>
      <x:c r="C9" s="11" t="n">
        <x:v>48.735</x:v>
      </x:c>
      <x:c r="D9" s="11" t="n">
        <x:v>1.95</x:v>
      </x:c>
      <x:c r="E9" s="11" t="n">
        <x:v>-2.24</x:v>
      </x:c>
      <x:c r="F9" s="11" t="n">
        <x:f>SQRT((C9-C8)^2+(D9-D8)^2+(E9-E8)^2)</x:f>
        <x:v>2.64</x:v>
      </x:c>
      <x:c r="G9" s="8" t="str">
        <x:v>Current</x:v>
      </x:c>
    </x:row>
    <x:row r="10" ht="32" customHeight="1">
      <x:c r="A10" s="8" t="str">
        <x:v>trunk:FC1:F1:fan:-1</x:v>
      </x:c>
      <x:c r="B10" s="8" t="n">
        <x:v>4</x:v>
      </x:c>
      <x:c r="C10" s="11" t="n">
        <x:v>48.735</x:v>
      </x:c>
      <x:c r="D10" s="11" t="n">
        <x:v>4.33</x:v>
      </x:c>
      <x:c r="E10" s="11" t="n">
        <x:v>-2.24</x:v>
      </x:c>
      <x:c r="F10" s="11" t="n">
        <x:f>SQRT((C10-C9)^2+(D10-D9)^2+(E10-E9)^2)</x:f>
        <x:v>2.38</x:v>
      </x:c>
      <x:c r="G10" s="8" t="str">
        <x:v>Current</x:v>
      </x:c>
    </x:row>
    <x:row r="11" ht="32" customHeight="1">
      <x:c r="A11" s="8" t="str">
        <x:v>trunk:FC1:F1:fan:-1</x:v>
      </x:c>
      <x:c r="B11" s="8" t="n">
        <x:v>5</x:v>
      </x:c>
      <x:c r="C11" s="11" t="n">
        <x:v>48.735</x:v>
      </x:c>
      <x:c r="D11" s="11" t="n">
        <x:v>4.33</x:v>
      </x:c>
      <x:c r="E11" s="11" t="n">
        <x:v>-3.3</x:v>
      </x:c>
      <x:c r="F11" s="11" t="n">
        <x:f>SQRT((C11-C10)^2+(D11-D10)^2+(E11-E10)^2)</x:f>
        <x:v>1.0599999999999996</x:v>
      </x:c>
      <x:c r="G11" s="8" t="str">
        <x:v>Current</x:v>
      </x:c>
    </x:row>
    <x:row r="12" ht="32" customHeight="1">
      <x:c r="A12" s="8" t="str">
        <x:v>trunk:FC1:F1:fan:-1</x:v>
      </x:c>
      <x:c r="B12" s="8" t="n">
        <x:v>6</x:v>
      </x:c>
      <x:c r="C12" s="11" t="n">
        <x:v>53.016</x:v>
      </x:c>
      <x:c r="D12" s="11" t="n">
        <x:v>4.33</x:v>
      </x:c>
      <x:c r="E12" s="11" t="n">
        <x:v>-3.3</x:v>
      </x:c>
      <x:c r="F12" s="11" t="n">
        <x:f>SQRT((C12-C11)^2+(D12-D11)^2+(E12-E11)^2)</x:f>
        <x:v>4.280999999999999</x:v>
      </x:c>
      <x:c r="G12" s="8" t="str">
        <x:v>Current</x:v>
      </x:c>
    </x:row>
    <x:row r="13" ht="32" customHeight="1">
      <x:c r="A13" s="8" t="str">
        <x:v>trunk:FC1:F1:fan:-1</x:v>
      </x:c>
      <x:c r="B13" s="8" t="n">
        <x:v>7</x:v>
      </x:c>
      <x:c r="C13" s="11" t="n">
        <x:v>53.016</x:v>
      </x:c>
      <x:c r="D13" s="11" t="n">
        <x:v>6.0040000000000004</x:v>
      </x:c>
      <x:c r="E13" s="11" t="n">
        <x:v>-3.3</x:v>
      </x:c>
      <x:c r="F13" s="11" t="n">
        <x:f>SQRT((C13-C12)^2+(D13-D12)^2+(E13-E12)^2)</x:f>
        <x:v>1.6740000000000004</x:v>
      </x:c>
      <x:c r="G13" s="8" t="str">
        <x:v>Current</x:v>
      </x:c>
    </x:row>
    <x:row r="14" ht="32" customHeight="1">
      <x:c r="A14" s="8" t="str">
        <x:v>trunk:FC1:F1:fan:-1</x:v>
      </x:c>
      <x:c r="B14" s="8" t="n">
        <x:v>8</x:v>
      </x:c>
      <x:c r="C14" s="11" t="n">
        <x:v>53.016</x:v>
      </x:c>
      <x:c r="D14" s="11" t="n">
        <x:v>6.0040000000000004</x:v>
      </x:c>
      <x:c r="E14" s="11" t="n">
        <x:v>-7.36</x:v>
      </x:c>
      <x:c r="F14" s="11" t="n">
        <x:f>SQRT((C14-C13)^2+(D14-D13)^2+(E14-E13)^2)</x:f>
        <x:v>4.0600000000000005</x:v>
      </x:c>
      <x:c r="G14" s="8" t="str">
        <x:v>Current</x:v>
      </x:c>
    </x:row>
    <x:row r="15" ht="32" customHeight="1">
      <x:c r="A15" s="8" t="str">
        <x:v>trunk:FC1:F1:fan:-1</x:v>
      </x:c>
      <x:c r="B15" s="8" t="n">
        <x:v>9</x:v>
      </x:c>
      <x:c r="C15" s="11" t="n">
        <x:v>44.175</x:v>
      </x:c>
      <x:c r="D15" s="11" t="n">
        <x:v>6.0040000000000004</x:v>
      </x:c>
      <x:c r="E15" s="11" t="n">
        <x:v>-7.36</x:v>
      </x:c>
      <x:c r="F15" s="11" t="n">
        <x:f>SQRT((C15-C14)^2+(D15-D14)^2+(E15-E14)^2)</x:f>
        <x:v>8.841000000000001</x:v>
      </x:c>
      <x:c r="G15" s="8" t="str">
        <x:v>Current</x:v>
      </x:c>
    </x:row>
    <x:row r="16" ht="32" customHeight="1">
      <x:c r="A16" s="8" t="str">
        <x:v>trunk:FC1:F1:fan:-1</x:v>
      </x:c>
      <x:c r="B16" s="8" t="n">
        <x:v>10</x:v>
      </x:c>
      <x:c r="C16" s="11" t="n">
        <x:v>44.175</x:v>
      </x:c>
      <x:c r="D16" s="11" t="n">
        <x:v>7.04</x:v>
      </x:c>
      <x:c r="E16" s="11" t="n">
        <x:v>-7.36</x:v>
      </x:c>
      <x:c r="F16" s="11" t="n">
        <x:f>SQRT((C16-C15)^2+(D16-D15)^2+(E16-E15)^2)</x:f>
        <x:v>1.0359999999999996</x:v>
      </x:c>
      <x:c r="G16" s="8" t="str">
        <x:v>Current</x:v>
      </x:c>
    </x:row>
    <x:row r="17" ht="32" customHeight="1">
      <x:c r="A17" s="8" t="str">
        <x:v>trunk:FC1:F1:fan:-1</x:v>
      </x:c>
      <x:c r="B17" s="8" t="n">
        <x:v>11</x:v>
      </x:c>
      <x:c r="C17" s="11" t="n">
        <x:v>43.535</x:v>
      </x:c>
      <x:c r="D17" s="11" t="n">
        <x:v>7.04</x:v>
      </x:c>
      <x:c r="E17" s="11" t="n">
        <x:v>-7.36</x:v>
      </x:c>
      <x:c r="F17" s="11" t="n">
        <x:f>SQRT((C17-C16)^2+(D17-D16)^2+(E17-E16)^2)</x:f>
        <x:v>0.6400000000000006</x:v>
      </x:c>
      <x:c r="G17" s="8" t="str">
        <x:v>Current</x:v>
      </x:c>
    </x:row>
    <x:row r="18" ht="32" customHeight="1">
      <x:c r="A18" s="8" t="str">
        <x:v>trunk:FC1:F1:fan:-1</x:v>
      </x:c>
      <x:c r="B18" s="8" t="n">
        <x:v>12</x:v>
      </x:c>
      <x:c r="C18" s="11" t="n">
        <x:v>43.455</x:v>
      </x:c>
      <x:c r="D18" s="11" t="n">
        <x:v>6.950412371134024</x:v>
      </x:c>
      <x:c r="E18" s="11" t="n">
        <x:v>-7.36</x:v>
      </x:c>
      <x:c r="F18" s="11" t="n">
        <x:f>SQRT((C18-C17)^2+(D18-D17)^2+(E18-E17)^2)</x:f>
        <x:v>0.12010804821421249</x:v>
      </x:c>
      <x:c r="G18" s="8" t="str">
        <x:v>Current</x:v>
      </x:c>
    </x:row>
    <x:row r="19" ht="32" customHeight="1">
      <x:c r="A19" s="8" t="str">
        <x:v>trunk:FC1:F1:fan:-1</x:v>
      </x:c>
      <x:c r="B19" s="8" t="n">
        <x:v>13</x:v>
      </x:c>
      <x:c r="C19" s="11" t="n">
        <x:v>40.574999999999996</x:v>
      </x:c>
      <x:c r="D19" s="11" t="n">
        <x:v>9.269999999999994</x:v>
      </x:c>
      <x:c r="E19" s="11" t="n">
        <x:v>-7.36</x:v>
      </x:c>
      <x:c r="F19" s="11" t="n">
        <x:f>SQRT((C19-C18)^2+(D19-D18)^2+(E19-E18)^2)</x:f>
        <x:v>3.6979571073753776</x:v>
      </x:c>
      <x:c r="G19" s="8" t="str">
        <x:v>Current</x:v>
      </x:c>
    </x:row>
    <x:row r="20" ht="32" customHeight="1">
      <x:c r="A20" s="8" t="str">
        <x:v>trunk:FC1:F1:fan:-1</x:v>
      </x:c>
      <x:c r="B20" s="8" t="n">
        <x:v>14</x:v>
      </x:c>
      <x:c r="C20" s="11" t="n">
        <x:v>37.695</x:v>
      </x:c>
      <x:c r="D20" s="11" t="n">
        <x:v>6.950412371134018</x:v>
      </x:c>
      <x:c r="E20" s="11" t="n">
        <x:v>-7.36</x:v>
      </x:c>
      <x:c r="F20" s="11" t="n">
        <x:f>SQRT((C20-C19)^2+(D20-D19)^2+(E20-E19)^2)</x:f>
        <x:v>3.697957107375376</x:v>
      </x:c>
      <x:c r="G20" s="8" t="str">
        <x:v>Current</x:v>
      </x:c>
    </x:row>
    <x:row r="21" ht="32" customHeight="1">
      <x:c r="A21" s="8" t="str">
        <x:v>trunk:FC1:F1:fan:-1</x:v>
      </x:c>
      <x:c r="B21" s="8" t="n">
        <x:v>15</x:v>
      </x:c>
      <x:c r="C21" s="11" t="n">
        <x:v>37.615</x:v>
      </x:c>
      <x:c r="D21" s="11" t="n">
        <x:v>7.04</x:v>
      </x:c>
      <x:c r="E21" s="11" t="n">
        <x:v>-7.36</x:v>
      </x:c>
      <x:c r="F21" s="11" t="n">
        <x:f>SQRT((C21-C20)^2+(D21-D20)^2+(E21-E20)^2)</x:f>
        <x:v>0.12010804821421713</x:v>
      </x:c>
      <x:c r="G21" s="8" t="str">
        <x:v>Current</x:v>
      </x:c>
    </x:row>
    <x:row r="22" ht="32" customHeight="1">
      <x:c r="A22" s="8" t="str">
        <x:v>trunk:FC1:F1:fan:-1</x:v>
      </x:c>
      <x:c r="B22" s="8" t="n">
        <x:v>16</x:v>
      </x:c>
      <x:c r="C22" s="11" t="n">
        <x:v>36.975</x:v>
      </x:c>
      <x:c r="D22" s="11" t="n">
        <x:v>7.04</x:v>
      </x:c>
      <x:c r="E22" s="11" t="n">
        <x:v>-7.36</x:v>
      </x:c>
      <x:c r="F22" s="11" t="n">
        <x:f>SQRT((C22-C21)^2+(D22-D21)^2+(E22-E21)^2)</x:f>
        <x:v>0.6400000000000006</x:v>
      </x:c>
      <x:c r="G22" s="8" t="str">
        <x:v>Current</x:v>
      </x:c>
    </x:row>
    <x:row r="23" ht="32" customHeight="1">
      <x:c r="A23" s="8" t="str">
        <x:v>trunk:FC1:F1:fan:-1</x:v>
      </x:c>
      <x:c r="B23" s="8" t="n">
        <x:v>17</x:v>
      </x:c>
      <x:c r="C23" s="11" t="n">
        <x:v>36.975</x:v>
      </x:c>
      <x:c r="D23" s="11" t="n">
        <x:v>6.0040000000000004</x:v>
      </x:c>
      <x:c r="E23" s="11" t="n">
        <x:v>-7.36</x:v>
      </x:c>
      <x:c r="F23" s="11" t="n">
        <x:f>SQRT((C23-C22)^2+(D23-D22)^2+(E23-E22)^2)</x:f>
        <x:v>1.0359999999999996</x:v>
      </x:c>
      <x:c r="G23" s="8" t="str">
        <x:v>Current</x:v>
      </x:c>
    </x:row>
    <x:row r="24" ht="32" customHeight="1">
      <x:c r="A24" s="8" t="str">
        <x:v>trunk:FC1:F1:fan:-1</x:v>
      </x:c>
      <x:c r="B24" s="8" t="n">
        <x:v>18</x:v>
      </x:c>
      <x:c r="C24" s="11" t="n">
        <x:v>9.030000000000001</x:v>
      </x:c>
      <x:c r="D24" s="11" t="n">
        <x:v>6.0040000000000004</x:v>
      </x:c>
      <x:c r="E24" s="11" t="n">
        <x:v>-7.36</x:v>
      </x:c>
      <x:c r="F24" s="11" t="n">
        <x:f>SQRT((C24-C23)^2+(D24-D23)^2+(E24-E23)^2)</x:f>
        <x:v>27.945</x:v>
      </x:c>
      <x:c r="G24" s="8" t="str">
        <x:v>Current</x:v>
      </x:c>
    </x:row>
    <x:row r="25" ht="32" customHeight="1">
      <x:c r="A25" s="8" t="str">
        <x:v>drop:FC1:F1:fan:-1:F226</x:v>
      </x:c>
      <x:c r="B25" s="8" t="n">
        <x:v>1</x:v>
      </x:c>
      <x:c r="C25" s="11" t="n">
        <x:v>9.030000000000001</x:v>
      </x:c>
      <x:c r="D25" s="11" t="n">
        <x:v>6.0040000000000004</x:v>
      </x:c>
      <x:c r="E25" s="11" t="n">
        <x:v>-7.36</x:v>
      </x:c>
      <x:c r="F25" s="11" t="n">
        <x:f>0</x:f>
        <x:v>0</x:v>
      </x:c>
      <x:c r="G25" s="8" t="str">
        <x:v>Current</x:v>
      </x:c>
    </x:row>
    <x:row r="26" ht="32" customHeight="1">
      <x:c r="A26" s="8" t="str">
        <x:v>drop:FC1:F1:fan:-1:F226</x:v>
      </x:c>
      <x:c r="B26" s="8" t="n">
        <x:v>2</x:v>
      </x:c>
      <x:c r="C26" s="11" t="n">
        <x:v>9.030000000000001</x:v>
      </x:c>
      <x:c r="D26" s="11" t="n">
        <x:v>7.04</x:v>
      </x:c>
      <x:c r="E26" s="11" t="n">
        <x:v>-7.36</x:v>
      </x:c>
      <x:c r="F26" s="11" t="n">
        <x:f>SQRT((C26-C25)^2+(D26-D25)^2+(E26-E25)^2)</x:f>
        <x:v>1.0359999999999996</x:v>
      </x:c>
      <x:c r="G26" s="8" t="str">
        <x:v>Current</x:v>
      </x:c>
    </x:row>
    <x:row r="27" ht="32" customHeight="1">
      <x:c r="A27" s="8" t="str">
        <x:v>drop:FC1:F1:fan:-1:F226</x:v>
      </x:c>
      <x:c r="B27" s="8" t="n">
        <x:v>3</x:v>
      </x:c>
      <x:c r="C27" s="11" t="n">
        <x:v>7.725</x:v>
      </x:c>
      <x:c r="D27" s="11" t="n">
        <x:v>7.04</x:v>
      </x:c>
      <x:c r="E27" s="11" t="n">
        <x:v>-7.36</x:v>
      </x:c>
      <x:c r="F27" s="11" t="n">
        <x:f>SQRT((C27-C26)^2+(D27-D26)^2+(E27-E26)^2)</x:f>
        <x:v>1.3050000000000015</x:v>
      </x:c>
      <x:c r="G27" s="8" t="str">
        <x:v>Current</x:v>
      </x:c>
    </x:row>
    <x:row r="28" ht="32" customHeight="1">
      <x:c r="A28" s="8" t="str">
        <x:v>drop:FC1:F1:fan:-1:F226</x:v>
      </x:c>
      <x:c r="B28" s="8" t="n">
        <x:v>4</x:v>
      </x:c>
      <x:c r="C28" s="11" t="n">
        <x:v>7.725</x:v>
      </x:c>
      <x:c r="D28" s="11" t="n">
        <x:v>9.18841304347826</x:v>
      </x:c>
      <x:c r="E28" s="11" t="n">
        <x:v>-4.4</x:v>
      </x:c>
      <x:c r="F28" s="11" t="n">
        <x:f>SQRT((C28-C27)^2+(D28-D27)^2+(E28-E27)^2)</x:f>
        <x:v>3.6574962208302444</x:v>
      </x:c>
      <x:c r="G28" s="8" t="str">
        <x:v>Current</x:v>
      </x:c>
    </x:row>
    <x:row r="29" ht="32" customHeight="1">
      <x:c r="A29" s="8" t="str">
        <x:v>drop:FC1:F1:fan:-1:F226</x:v>
      </x:c>
      <x:c r="B29" s="8" t="n">
        <x:v>5</x:v>
      </x:c>
      <x:c r="C29" s="11" t="n">
        <x:v>7.725</x:v>
      </x:c>
      <x:c r="D29" s="11" t="n">
        <x:v>9.028413043478261</x:v>
      </x:c>
      <x:c r="E29" s="11" t="n">
        <x:v>-4.4</x:v>
      </x:c>
      <x:c r="F29" s="11" t="n">
        <x:f>SQRT((C29-C28)^2+(D29-D28)^2+(E29-E28)^2)</x:f>
        <x:v>0.15999999999999837</x:v>
      </x:c>
      <x:c r="G29" s="8" t="str">
        <x:v>Current</x:v>
      </x:c>
    </x:row>
    <x:row r="30" ht="32" customHeight="1">
      <x:c r="A30" s="8" t="str">
        <x:v>drop:FC1:F1:fan:-1:F226</x:v>
      </x:c>
      <x:c r="B30" s="8" t="n">
        <x:v>6</x:v>
      </x:c>
      <x:c r="C30" s="11" t="n">
        <x:v>7.725</x:v>
      </x:c>
      <x:c r="D30" s="11" t="n">
        <x:v>4.2</x:v>
      </x:c>
      <x:c r="E30" s="11" t="n">
        <x:v>-4.4</x:v>
      </x:c>
      <x:c r="F30" s="11" t="n">
        <x:f>SQRT((C30-C29)^2+(D30-D29)^2+(E30-E29)^2)</x:f>
        <x:v>4.828413043478261</x:v>
      </x:c>
      <x:c r="G30" s="8" t="str">
        <x:v>Current</x:v>
      </x:c>
    </x:row>
    <x:row r="31" ht="32" customHeight="1">
      <x:c r="A31" s="8" t="str">
        <x:v>drop:FC1:F1:fan:-1:F228</x:v>
      </x:c>
      <x:c r="B31" s="8" t="n">
        <x:v>1</x:v>
      </x:c>
      <x:c r="C31" s="11" t="n">
        <x:v>13.530000000000001</x:v>
      </x:c>
      <x:c r="D31" s="11" t="n">
        <x:v>6.0040000000000004</x:v>
      </x:c>
      <x:c r="E31" s="11" t="n">
        <x:v>-7.36</x:v>
      </x:c>
      <x:c r="F31" s="11" t="n">
        <x:f>0</x:f>
        <x:v>0</x:v>
      </x:c>
      <x:c r="G31" s="8" t="str">
        <x:v>Current</x:v>
      </x:c>
    </x:row>
    <x:row r="32" ht="32" customHeight="1">
      <x:c r="A32" s="8" t="str">
        <x:v>drop:FC1:F1:fan:-1:F228</x:v>
      </x:c>
      <x:c r="B32" s="8" t="n">
        <x:v>2</x:v>
      </x:c>
      <x:c r="C32" s="11" t="n">
        <x:v>13.530000000000001</x:v>
      </x:c>
      <x:c r="D32" s="11" t="n">
        <x:v>7.04</x:v>
      </x:c>
      <x:c r="E32" s="11" t="n">
        <x:v>-7.36</x:v>
      </x:c>
      <x:c r="F32" s="11" t="n">
        <x:f>SQRT((C32-C31)^2+(D32-D31)^2+(E32-E31)^2)</x:f>
        <x:v>1.0359999999999996</x:v>
      </x:c>
      <x:c r="G32" s="8" t="str">
        <x:v>Current</x:v>
      </x:c>
    </x:row>
    <x:row r="33" ht="32" customHeight="1">
      <x:c r="A33" s="8" t="str">
        <x:v>drop:FC1:F1:fan:-1:F228</x:v>
      </x:c>
      <x:c r="B33" s="8" t="n">
        <x:v>3</x:v>
      </x:c>
      <x:c r="C33" s="11" t="n">
        <x:v>13.174999999999999</x:v>
      </x:c>
      <x:c r="D33" s="11" t="n">
        <x:v>7.04</x:v>
      </x:c>
      <x:c r="E33" s="11" t="n">
        <x:v>-7.36</x:v>
      </x:c>
      <x:c r="F33" s="11" t="n">
        <x:f>SQRT((C33-C32)^2+(D33-D32)^2+(E33-E32)^2)</x:f>
        <x:v>0.3550000000000022</x:v>
      </x:c>
      <x:c r="G33" s="8" t="str">
        <x:v>Current</x:v>
      </x:c>
    </x:row>
    <x:row r="34" ht="32" customHeight="1">
      <x:c r="A34" s="8" t="str">
        <x:v>drop:FC1:F1:fan:-1:F228</x:v>
      </x:c>
      <x:c r="B34" s="8" t="n">
        <x:v>4</x:v>
      </x:c>
      <x:c r="C34" s="11" t="n">
        <x:v>13.174999999999999</x:v>
      </x:c>
      <x:c r="D34" s="11" t="n">
        <x:v>9.642047554347826</x:v>
      </x:c>
      <x:c r="E34" s="11" t="n">
        <x:v>-3.775</x:v>
      </x:c>
      <x:c r="F34" s="11" t="n">
        <x:f>SQRT((C34-C33)^2+(D34-D33)^2+(E34-E33)^2)</x:f>
        <x:v>4.429771605296091</x:v>
      </x:c>
      <x:c r="G34" s="8" t="str">
        <x:v>Current</x:v>
      </x:c>
    </x:row>
    <x:row r="35" ht="32" customHeight="1">
      <x:c r="A35" s="8" t="str">
        <x:v>drop:FC1:F1:fan:-1:F228</x:v>
      </x:c>
      <x:c r="B35" s="8" t="n">
        <x:v>5</x:v>
      </x:c>
      <x:c r="C35" s="11" t="n">
        <x:v>13.174999999999999</x:v>
      </x:c>
      <x:c r="D35" s="11" t="n">
        <x:v>8.68</x:v>
      </x:c>
      <x:c r="E35" s="11" t="n">
        <x:v>-3.775</x:v>
      </x:c>
      <x:c r="F35" s="11" t="n">
        <x:f>SQRT((C35-C34)^2+(D35-D34)^2+(E35-E34)^2)</x:f>
        <x:v>0.9620475543478264</x:v>
      </x:c>
      <x:c r="G35" s="8" t="str">
        <x:v>Current</x:v>
      </x:c>
    </x:row>
    <x:row r="36" ht="32" customHeight="1">
      <x:c r="A36" s="8" t="str">
        <x:v>drop:FC1:F1:fan:-1:F228</x:v>
      </x:c>
      <x:c r="B36" s="8" t="n">
        <x:v>6</x:v>
      </x:c>
      <x:c r="C36" s="11" t="n">
        <x:v>13.174999999999999</x:v>
      </x:c>
      <x:c r="D36" s="11" t="n">
        <x:v>8.68</x:v>
      </x:c>
      <x:c r="E36" s="11" t="n">
        <x:v>-3.6</x:v>
      </x:c>
      <x:c r="F36" s="11" t="n">
        <x:f>SQRT((C36-C35)^2+(D36-D35)^2+(E36-E35)^2)</x:f>
        <x:v>0.17499999999999982</x:v>
      </x:c>
      <x:c r="G36" s="8" t="str">
        <x:v>Current</x:v>
      </x:c>
    </x:row>
    <x:row r="37" ht="32" customHeight="1">
      <x:c r="A37" s="8" t="str">
        <x:v>drop:FC1:F1:fan:-1:F228</x:v>
      </x:c>
      <x:c r="B37" s="8" t="n">
        <x:v>7</x:v>
      </x:c>
      <x:c r="C37" s="11" t="n">
        <x:v>12.225</x:v>
      </x:c>
      <x:c r="D37" s="11" t="n">
        <x:v>8.68</x:v>
      </x:c>
      <x:c r="E37" s="11" t="n">
        <x:v>-3.6</x:v>
      </x:c>
      <x:c r="F37" s="11" t="n">
        <x:f>SQRT((C37-C36)^2+(D37-D36)^2+(E37-E36)^2)</x:f>
        <x:v>0.9499999999999993</x:v>
      </x:c>
      <x:c r="G37" s="8" t="str">
        <x:v>Current</x:v>
      </x:c>
    </x:row>
    <x:row r="38" ht="32" customHeight="1">
      <x:c r="A38" s="8" t="str">
        <x:v>drop:FC1:F1:fan:-1:F228</x:v>
      </x:c>
      <x:c r="B38" s="8" t="n">
        <x:v>8</x:v>
      </x:c>
      <x:c r="C38" s="11" t="n">
        <x:v>12.225</x:v>
      </x:c>
      <x:c r="D38" s="11" t="n">
        <x:v>4.2</x:v>
      </x:c>
      <x:c r="E38" s="11" t="n">
        <x:v>-3.6</x:v>
      </x:c>
      <x:c r="F38" s="11" t="n">
        <x:f>SQRT((C38-C37)^2+(D38-D37)^2+(E38-E37)^2)</x:f>
        <x:v>4.4799999999999995</x:v>
      </x:c>
      <x:c r="G38" s="8" t="str">
        <x:v>Current</x:v>
      </x:c>
    </x:row>
    <x:row r="39" ht="32" customHeight="1">
      <x:c r="A39" s="8" t="str">
        <x:v>drop:FC1:F1:fan:-1:F230</x:v>
      </x:c>
      <x:c r="B39" s="8" t="n">
        <x:v>1</x:v>
      </x:c>
      <x:c r="C39" s="11" t="n">
        <x:v>18.02</x:v>
      </x:c>
      <x:c r="D39" s="11" t="n">
        <x:v>6.0040000000000004</x:v>
      </x:c>
      <x:c r="E39" s="11" t="n">
        <x:v>-7.36</x:v>
      </x:c>
      <x:c r="F39" s="11" t="n">
        <x:f>0</x:f>
        <x:v>0</x:v>
      </x:c>
      <x:c r="G39" s="8" t="str">
        <x:v>Current</x:v>
      </x:c>
    </x:row>
    <x:row r="40" ht="32" customHeight="1">
      <x:c r="A40" s="8" t="str">
        <x:v>drop:FC1:F1:fan:-1:F230</x:v>
      </x:c>
      <x:c r="B40" s="8" t="n">
        <x:v>2</x:v>
      </x:c>
      <x:c r="C40" s="11" t="n">
        <x:v>18.02</x:v>
      </x:c>
      <x:c r="D40" s="11" t="n">
        <x:v>7.04</x:v>
      </x:c>
      <x:c r="E40" s="11" t="n">
        <x:v>-7.36</x:v>
      </x:c>
      <x:c r="F40" s="11" t="n">
        <x:f>SQRT((C40-C39)^2+(D40-D39)^2+(E40-E39)^2)</x:f>
        <x:v>1.0359999999999996</x:v>
      </x:c>
      <x:c r="G40" s="8" t="str">
        <x:v>Current</x:v>
      </x:c>
    </x:row>
    <x:row r="41" ht="32" customHeight="1">
      <x:c r="A41" s="8" t="str">
        <x:v>drop:FC1:F1:fan:-1:F230</x:v>
      </x:c>
      <x:c r="B41" s="8" t="n">
        <x:v>3</x:v>
      </x:c>
      <x:c r="C41" s="11" t="n">
        <x:v>17.675</x:v>
      </x:c>
      <x:c r="D41" s="11" t="n">
        <x:v>7.04</x:v>
      </x:c>
      <x:c r="E41" s="11" t="n">
        <x:v>-7.36</x:v>
      </x:c>
      <x:c r="F41" s="11" t="n">
        <x:f>SQRT((C41-C40)^2+(D41-D40)^2+(E41-E40)^2)</x:f>
        <x:v>0.34499999999999886</x:v>
      </x:c>
      <x:c r="G41" s="8" t="str">
        <x:v>Current</x:v>
      </x:c>
    </x:row>
    <x:row r="42" ht="32" customHeight="1">
      <x:c r="A42" s="8" t="str">
        <x:v>drop:FC1:F1:fan:-1:F230</x:v>
      </x:c>
      <x:c r="B42" s="8" t="n">
        <x:v>4</x:v>
      </x:c>
      <x:c r="C42" s="11" t="n">
        <x:v>17.675</x:v>
      </x:c>
      <x:c r="D42" s="11" t="n">
        <x:v>9.642047554347826</x:v>
      </x:c>
      <x:c r="E42" s="11" t="n">
        <x:v>-3.775</x:v>
      </x:c>
      <x:c r="F42" s="11" t="n">
        <x:f>SQRT((C42-C41)^2+(D42-D41)^2+(E42-E41)^2)</x:f>
        <x:v>4.429771605296091</x:v>
      </x:c>
      <x:c r="G42" s="8" t="str">
        <x:v>Current</x:v>
      </x:c>
    </x:row>
    <x:row r="43" ht="32" customHeight="1">
      <x:c r="A43" s="8" t="str">
        <x:v>drop:FC1:F1:fan:-1:F230</x:v>
      </x:c>
      <x:c r="B43" s="8" t="n">
        <x:v>5</x:v>
      </x:c>
      <x:c r="C43" s="11" t="n">
        <x:v>17.675</x:v>
      </x:c>
      <x:c r="D43" s="11" t="n">
        <x:v>8.68</x:v>
      </x:c>
      <x:c r="E43" s="11" t="n">
        <x:v>-3.775</x:v>
      </x:c>
      <x:c r="F43" s="11" t="n">
        <x:f>SQRT((C43-C42)^2+(D43-D42)^2+(E43-E42)^2)</x:f>
        <x:v>0.9620475543478264</x:v>
      </x:c>
      <x:c r="G43" s="8" t="str">
        <x:v>Current</x:v>
      </x:c>
    </x:row>
    <x:row r="44" ht="32" customHeight="1">
      <x:c r="A44" s="8" t="str">
        <x:v>drop:FC1:F1:fan:-1:F230</x:v>
      </x:c>
      <x:c r="B44" s="8" t="n">
        <x:v>6</x:v>
      </x:c>
      <x:c r="C44" s="11" t="n">
        <x:v>17.675</x:v>
      </x:c>
      <x:c r="D44" s="11" t="n">
        <x:v>8.68</x:v>
      </x:c>
      <x:c r="E44" s="11" t="n">
        <x:v>-3.6</x:v>
      </x:c>
      <x:c r="F44" s="11" t="n">
        <x:f>SQRT((C44-C43)^2+(D44-D43)^2+(E44-E43)^2)</x:f>
        <x:v>0.17499999999999982</x:v>
      </x:c>
      <x:c r="G44" s="8" t="str">
        <x:v>Current</x:v>
      </x:c>
    </x:row>
    <x:row r="45" ht="32" customHeight="1">
      <x:c r="A45" s="8" t="str">
        <x:v>drop:FC1:F1:fan:-1:F230</x:v>
      </x:c>
      <x:c r="B45" s="8" t="n">
        <x:v>7</x:v>
      </x:c>
      <x:c r="C45" s="11" t="n">
        <x:v>16.725</x:v>
      </x:c>
      <x:c r="D45" s="11" t="n">
        <x:v>8.68</x:v>
      </x:c>
      <x:c r="E45" s="11" t="n">
        <x:v>-3.6</x:v>
      </x:c>
      <x:c r="F45" s="11" t="n">
        <x:f>SQRT((C45-C44)^2+(D45-D44)^2+(E45-E44)^2)</x:f>
        <x:v>0.9499999999999993</x:v>
      </x:c>
      <x:c r="G45" s="8" t="str">
        <x:v>Current</x:v>
      </x:c>
    </x:row>
    <x:row r="46" ht="32" customHeight="1">
      <x:c r="A46" s="8" t="str">
        <x:v>drop:FC1:F1:fan:-1:F230</x:v>
      </x:c>
      <x:c r="B46" s="8" t="n">
        <x:v>8</x:v>
      </x:c>
      <x:c r="C46" s="11" t="n">
        <x:v>16.725</x:v>
      </x:c>
      <x:c r="D46" s="11" t="n">
        <x:v>4.2</x:v>
      </x:c>
      <x:c r="E46" s="11" t="n">
        <x:v>-3.6</x:v>
      </x:c>
      <x:c r="F46" s="11" t="n">
        <x:f>SQRT((C46-C45)^2+(D46-D45)^2+(E46-E45)^2)</x:f>
        <x:v>4.4799999999999995</x:v>
      </x:c>
      <x:c r="G46" s="8" t="str">
        <x:v>Current</x:v>
      </x:c>
    </x:row>
    <x:row r="47" ht="32" customHeight="1">
      <x:c r="A47" s="8" t="str">
        <x:v>drop:FC1:F1:fan:-1:F232</x:v>
      </x:c>
      <x:c r="B47" s="8" t="n">
        <x:v>1</x:v>
      </x:c>
      <x:c r="C47" s="11" t="n">
        <x:v>22.53</x:v>
      </x:c>
      <x:c r="D47" s="11" t="n">
        <x:v>6.0040000000000004</x:v>
      </x:c>
      <x:c r="E47" s="11" t="n">
        <x:v>-7.36</x:v>
      </x:c>
      <x:c r="F47" s="11" t="n">
        <x:f>0</x:f>
        <x:v>0</x:v>
      </x:c>
      <x:c r="G47" s="8" t="str">
        <x:v>Current</x:v>
      </x:c>
    </x:row>
    <x:row r="48" ht="32" customHeight="1">
      <x:c r="A48" s="8" t="str">
        <x:v>drop:FC1:F1:fan:-1:F232</x:v>
      </x:c>
      <x:c r="B48" s="8" t="n">
        <x:v>2</x:v>
      </x:c>
      <x:c r="C48" s="11" t="n">
        <x:v>22.53</x:v>
      </x:c>
      <x:c r="D48" s="11" t="n">
        <x:v>7.04</x:v>
      </x:c>
      <x:c r="E48" s="11" t="n">
        <x:v>-7.36</x:v>
      </x:c>
      <x:c r="F48" s="11" t="n">
        <x:f>SQRT((C48-C47)^2+(D48-D47)^2+(E48-E47)^2)</x:f>
        <x:v>1.0359999999999996</x:v>
      </x:c>
      <x:c r="G48" s="8" t="str">
        <x:v>Current</x:v>
      </x:c>
    </x:row>
    <x:row r="49" ht="32" customHeight="1">
      <x:c r="A49" s="8" t="str">
        <x:v>drop:FC1:F1:fan:-1:F232</x:v>
      </x:c>
      <x:c r="B49" s="8" t="n">
        <x:v>3</x:v>
      </x:c>
      <x:c r="C49" s="11" t="n">
        <x:v>22.175</x:v>
      </x:c>
      <x:c r="D49" s="11" t="n">
        <x:v>7.04</x:v>
      </x:c>
      <x:c r="E49" s="11" t="n">
        <x:v>-7.36</x:v>
      </x:c>
      <x:c r="F49" s="11" t="n">
        <x:f>SQRT((C49-C48)^2+(D49-D48)^2+(E49-E48)^2)</x:f>
        <x:v>0.3550000000000004</x:v>
      </x:c>
      <x:c r="G49" s="8" t="str">
        <x:v>Current</x:v>
      </x:c>
    </x:row>
    <x:row r="50" ht="32" customHeight="1">
      <x:c r="A50" s="8" t="str">
        <x:v>drop:FC1:F1:fan:-1:F232</x:v>
      </x:c>
      <x:c r="B50" s="8" t="n">
        <x:v>4</x:v>
      </x:c>
      <x:c r="C50" s="11" t="n">
        <x:v>22.175</x:v>
      </x:c>
      <x:c r="D50" s="11" t="n">
        <x:v>9.642047554347826</x:v>
      </x:c>
      <x:c r="E50" s="11" t="n">
        <x:v>-3.775</x:v>
      </x:c>
      <x:c r="F50" s="11" t="n">
        <x:f>SQRT((C50-C49)^2+(D50-D49)^2+(E50-E49)^2)</x:f>
        <x:v>4.429771605296091</x:v>
      </x:c>
      <x:c r="G50" s="8" t="str">
        <x:v>Current</x:v>
      </x:c>
    </x:row>
    <x:row r="51" ht="32" customHeight="1">
      <x:c r="A51" s="8" t="str">
        <x:v>drop:FC1:F1:fan:-1:F232</x:v>
      </x:c>
      <x:c r="B51" s="8" t="n">
        <x:v>5</x:v>
      </x:c>
      <x:c r="C51" s="11" t="n">
        <x:v>22.175</x:v>
      </x:c>
      <x:c r="D51" s="11" t="n">
        <x:v>8.68</x:v>
      </x:c>
      <x:c r="E51" s="11" t="n">
        <x:v>-3.775</x:v>
      </x:c>
      <x:c r="F51" s="11" t="n">
        <x:f>SQRT((C51-C50)^2+(D51-D50)^2+(E51-E50)^2)</x:f>
        <x:v>0.9620475543478264</x:v>
      </x:c>
      <x:c r="G51" s="8" t="str">
        <x:v>Current</x:v>
      </x:c>
    </x:row>
    <x:row r="52" ht="32" customHeight="1">
      <x:c r="A52" s="8" t="str">
        <x:v>drop:FC1:F1:fan:-1:F232</x:v>
      </x:c>
      <x:c r="B52" s="8" t="n">
        <x:v>6</x:v>
      </x:c>
      <x:c r="C52" s="11" t="n">
        <x:v>22.175</x:v>
      </x:c>
      <x:c r="D52" s="11" t="n">
        <x:v>8.68</x:v>
      </x:c>
      <x:c r="E52" s="11" t="n">
        <x:v>-3.6</x:v>
      </x:c>
      <x:c r="F52" s="11" t="n">
        <x:f>SQRT((C52-C51)^2+(D52-D51)^2+(E52-E51)^2)</x:f>
        <x:v>0.17499999999999982</x:v>
      </x:c>
      <x:c r="G52" s="8" t="str">
        <x:v>Current</x:v>
      </x:c>
    </x:row>
    <x:row r="53" ht="32" customHeight="1">
      <x:c r="A53" s="8" t="str">
        <x:v>drop:FC1:F1:fan:-1:F232</x:v>
      </x:c>
      <x:c r="B53" s="8" t="n">
        <x:v>7</x:v>
      </x:c>
      <x:c r="C53" s="11" t="n">
        <x:v>21.225</x:v>
      </x:c>
      <x:c r="D53" s="11" t="n">
        <x:v>8.68</x:v>
      </x:c>
      <x:c r="E53" s="11" t="n">
        <x:v>-3.6</x:v>
      </x:c>
      <x:c r="F53" s="11" t="n">
        <x:f>SQRT((C53-C52)^2+(D53-D52)^2+(E53-E52)^2)</x:f>
        <x:v>0.9499999999999993</x:v>
      </x:c>
      <x:c r="G53" s="8" t="str">
        <x:v>Current</x:v>
      </x:c>
    </x:row>
    <x:row r="54" ht="32" customHeight="1">
      <x:c r="A54" s="8" t="str">
        <x:v>drop:FC1:F1:fan:-1:F232</x:v>
      </x:c>
      <x:c r="B54" s="8" t="n">
        <x:v>8</x:v>
      </x:c>
      <x:c r="C54" s="11" t="n">
        <x:v>21.225</x:v>
      </x:c>
      <x:c r="D54" s="11" t="n">
        <x:v>4.2</x:v>
      </x:c>
      <x:c r="E54" s="11" t="n">
        <x:v>-3.6</x:v>
      </x:c>
      <x:c r="F54" s="11" t="n">
        <x:f>SQRT((C54-C53)^2+(D54-D53)^2+(E54-E53)^2)</x:f>
        <x:v>4.4799999999999995</x:v>
      </x:c>
      <x:c r="G54" s="8" t="str">
        <x:v>Current</x:v>
      </x:c>
    </x:row>
    <x:row r="55" ht="32" customHeight="1">
      <x:c r="A55" s="8" t="str">
        <x:v>drop:FC1:F1:fan:-1:F234</x:v>
      </x:c>
      <x:c r="B55" s="8" t="n">
        <x:v>1</x:v>
      </x:c>
      <x:c r="C55" s="11" t="n">
        <x:v>27.03</x:v>
      </x:c>
      <x:c r="D55" s="11" t="n">
        <x:v>6.0040000000000004</x:v>
      </x:c>
      <x:c r="E55" s="11" t="n">
        <x:v>-7.36</x:v>
      </x:c>
      <x:c r="F55" s="11" t="n">
        <x:f>0</x:f>
        <x:v>0</x:v>
      </x:c>
      <x:c r="G55" s="8" t="str">
        <x:v>Current</x:v>
      </x:c>
    </x:row>
    <x:row r="56" ht="32" customHeight="1">
      <x:c r="A56" s="8" t="str">
        <x:v>drop:FC1:F1:fan:-1:F234</x:v>
      </x:c>
      <x:c r="B56" s="8" t="n">
        <x:v>2</x:v>
      </x:c>
      <x:c r="C56" s="11" t="n">
        <x:v>27.03</x:v>
      </x:c>
      <x:c r="D56" s="11" t="n">
        <x:v>7.04</x:v>
      </x:c>
      <x:c r="E56" s="11" t="n">
        <x:v>-7.36</x:v>
      </x:c>
      <x:c r="F56" s="11" t="n">
        <x:f>SQRT((C56-C55)^2+(D56-D55)^2+(E56-E55)^2)</x:f>
        <x:v>1.0359999999999996</x:v>
      </x:c>
      <x:c r="G56" s="8" t="str">
        <x:v>Current</x:v>
      </x:c>
    </x:row>
    <x:row r="57" ht="32" customHeight="1">
      <x:c r="A57" s="8" t="str">
        <x:v>drop:FC1:F1:fan:-1:F234</x:v>
      </x:c>
      <x:c r="B57" s="8" t="n">
        <x:v>3</x:v>
      </x:c>
      <x:c r="C57" s="11" t="n">
        <x:v>26.675</x:v>
      </x:c>
      <x:c r="D57" s="11" t="n">
        <x:v>7.04</x:v>
      </x:c>
      <x:c r="E57" s="11" t="n">
        <x:v>-7.36</x:v>
      </x:c>
      <x:c r="F57" s="11" t="n">
        <x:f>SQRT((C57-C56)^2+(D57-D56)^2+(E57-E56)^2)</x:f>
        <x:v>0.3550000000000004</x:v>
      </x:c>
      <x:c r="G57" s="8" t="str">
        <x:v>Current</x:v>
      </x:c>
    </x:row>
    <x:row r="58" ht="32" customHeight="1">
      <x:c r="A58" s="8" t="str">
        <x:v>drop:FC1:F1:fan:-1:F234</x:v>
      </x:c>
      <x:c r="B58" s="8" t="n">
        <x:v>4</x:v>
      </x:c>
      <x:c r="C58" s="11" t="n">
        <x:v>26.675</x:v>
      </x:c>
      <x:c r="D58" s="11" t="n">
        <x:v>9.642047554347826</x:v>
      </x:c>
      <x:c r="E58" s="11" t="n">
        <x:v>-3.775</x:v>
      </x:c>
      <x:c r="F58" s="11" t="n">
        <x:f>SQRT((C58-C57)^2+(D58-D57)^2+(E58-E57)^2)</x:f>
        <x:v>4.429771605296091</x:v>
      </x:c>
      <x:c r="G58" s="8" t="str">
        <x:v>Current</x:v>
      </x:c>
    </x:row>
    <x:row r="59" ht="32" customHeight="1">
      <x:c r="A59" s="8" t="str">
        <x:v>drop:FC1:F1:fan:-1:F234</x:v>
      </x:c>
      <x:c r="B59" s="8" t="n">
        <x:v>5</x:v>
      </x:c>
      <x:c r="C59" s="11" t="n">
        <x:v>26.675</x:v>
      </x:c>
      <x:c r="D59" s="11" t="n">
        <x:v>8.68</x:v>
      </x:c>
      <x:c r="E59" s="11" t="n">
        <x:v>-3.775</x:v>
      </x:c>
      <x:c r="F59" s="11" t="n">
        <x:f>SQRT((C59-C58)^2+(D59-D58)^2+(E59-E58)^2)</x:f>
        <x:v>0.9620475543478264</x:v>
      </x:c>
      <x:c r="G59" s="8" t="str">
        <x:v>Current</x:v>
      </x:c>
    </x:row>
    <x:row r="60" ht="32" customHeight="1">
      <x:c r="A60" s="8" t="str">
        <x:v>drop:FC1:F1:fan:-1:F234</x:v>
      </x:c>
      <x:c r="B60" s="8" t="n">
        <x:v>6</x:v>
      </x:c>
      <x:c r="C60" s="11" t="n">
        <x:v>26.675</x:v>
      </x:c>
      <x:c r="D60" s="11" t="n">
        <x:v>8.68</x:v>
      </x:c>
      <x:c r="E60" s="11" t="n">
        <x:v>-3.6</x:v>
      </x:c>
      <x:c r="F60" s="11" t="n">
        <x:f>SQRT((C60-C59)^2+(D60-D59)^2+(E60-E59)^2)</x:f>
        <x:v>0.17499999999999982</x:v>
      </x:c>
      <x:c r="G60" s="8" t="str">
        <x:v>Current</x:v>
      </x:c>
    </x:row>
    <x:row r="61" ht="32" customHeight="1">
      <x:c r="A61" s="8" t="str">
        <x:v>drop:FC1:F1:fan:-1:F234</x:v>
      </x:c>
      <x:c r="B61" s="8" t="n">
        <x:v>7</x:v>
      </x:c>
      <x:c r="C61" s="11" t="n">
        <x:v>25.725</x:v>
      </x:c>
      <x:c r="D61" s="11" t="n">
        <x:v>8.68</x:v>
      </x:c>
      <x:c r="E61" s="11" t="n">
        <x:v>-3.6</x:v>
      </x:c>
      <x:c r="F61" s="11" t="n">
        <x:f>SQRT((C61-C60)^2+(D61-D60)^2+(E61-E60)^2)</x:f>
        <x:v>0.9499999999999993</x:v>
      </x:c>
      <x:c r="G61" s="8" t="str">
        <x:v>Current</x:v>
      </x:c>
    </x:row>
    <x:row r="62" ht="32" customHeight="1">
      <x:c r="A62" s="8" t="str">
        <x:v>drop:FC1:F1:fan:-1:F234</x:v>
      </x:c>
      <x:c r="B62" s="8" t="n">
        <x:v>8</x:v>
      </x:c>
      <x:c r="C62" s="11" t="n">
        <x:v>25.725</x:v>
      </x:c>
      <x:c r="D62" s="11" t="n">
        <x:v>4.2</x:v>
      </x:c>
      <x:c r="E62" s="11" t="n">
        <x:v>-3.6</x:v>
      </x:c>
      <x:c r="F62" s="11" t="n">
        <x:f>SQRT((C62-C61)^2+(D62-D61)^2+(E62-E61)^2)</x:f>
        <x:v>4.4799999999999995</x:v>
      </x:c>
      <x:c r="G62" s="8" t="str">
        <x:v>Current</x:v>
      </x:c>
    </x:row>
    <x:row r="63" ht="32" customHeight="1">
      <x:c r="A63" s="8" t="str">
        <x:v>drop:FC1:F1:fan:-1:F236</x:v>
      </x:c>
      <x:c r="B63" s="8" t="n">
        <x:v>1</x:v>
      </x:c>
      <x:c r="C63" s="11" t="n">
        <x:v>31.53</x:v>
      </x:c>
      <x:c r="D63" s="11" t="n">
        <x:v>6.0040000000000004</x:v>
      </x:c>
      <x:c r="E63" s="11" t="n">
        <x:v>-7.36</x:v>
      </x:c>
      <x:c r="F63" s="11" t="n">
        <x:f>0</x:f>
        <x:v>0</x:v>
      </x:c>
      <x:c r="G63" s="8" t="str">
        <x:v>Current</x:v>
      </x:c>
    </x:row>
    <x:row r="64" ht="32" customHeight="1">
      <x:c r="A64" s="8" t="str">
        <x:v>drop:FC1:F1:fan:-1:F236</x:v>
      </x:c>
      <x:c r="B64" s="8" t="n">
        <x:v>2</x:v>
      </x:c>
      <x:c r="C64" s="11" t="n">
        <x:v>31.53</x:v>
      </x:c>
      <x:c r="D64" s="11" t="n">
        <x:v>7.04</x:v>
      </x:c>
      <x:c r="E64" s="11" t="n">
        <x:v>-7.36</x:v>
      </x:c>
      <x:c r="F64" s="11" t="n">
        <x:f>SQRT((C64-C63)^2+(D64-D63)^2+(E64-E63)^2)</x:f>
        <x:v>1.0359999999999996</x:v>
      </x:c>
      <x:c r="G64" s="8" t="str">
        <x:v>Current</x:v>
      </x:c>
    </x:row>
    <x:row r="65" ht="32" customHeight="1">
      <x:c r="A65" s="8" t="str">
        <x:v>drop:FC1:F1:fan:-1:F236</x:v>
      </x:c>
      <x:c r="B65" s="8" t="n">
        <x:v>3</x:v>
      </x:c>
      <x:c r="C65" s="11" t="n">
        <x:v>31.175</x:v>
      </x:c>
      <x:c r="D65" s="11" t="n">
        <x:v>7.04</x:v>
      </x:c>
      <x:c r="E65" s="11" t="n">
        <x:v>-7.36</x:v>
      </x:c>
      <x:c r="F65" s="11" t="n">
        <x:f>SQRT((C65-C64)^2+(D65-D64)^2+(E65-E64)^2)</x:f>
        <x:v>0.3550000000000004</x:v>
      </x:c>
      <x:c r="G65" s="8" t="str">
        <x:v>Current</x:v>
      </x:c>
    </x:row>
    <x:row r="66" ht="32" customHeight="1">
      <x:c r="A66" s="8" t="str">
        <x:v>drop:FC1:F1:fan:-1:F236</x:v>
      </x:c>
      <x:c r="B66" s="8" t="n">
        <x:v>4</x:v>
      </x:c>
      <x:c r="C66" s="11" t="n">
        <x:v>31.175</x:v>
      </x:c>
      <x:c r="D66" s="11" t="n">
        <x:v>9.642047554347826</x:v>
      </x:c>
      <x:c r="E66" s="11" t="n">
        <x:v>-3.775</x:v>
      </x:c>
      <x:c r="F66" s="11" t="n">
        <x:f>SQRT((C66-C65)^2+(D66-D65)^2+(E66-E65)^2)</x:f>
        <x:v>4.429771605296091</x:v>
      </x:c>
      <x:c r="G66" s="8" t="str">
        <x:v>Current</x:v>
      </x:c>
    </x:row>
    <x:row r="67" ht="32" customHeight="1">
      <x:c r="A67" s="8" t="str">
        <x:v>drop:FC1:F1:fan:-1:F236</x:v>
      </x:c>
      <x:c r="B67" s="8" t="n">
        <x:v>5</x:v>
      </x:c>
      <x:c r="C67" s="11" t="n">
        <x:v>31.175</x:v>
      </x:c>
      <x:c r="D67" s="11" t="n">
        <x:v>8.68</x:v>
      </x:c>
      <x:c r="E67" s="11" t="n">
        <x:v>-3.775</x:v>
      </x:c>
      <x:c r="F67" s="11" t="n">
        <x:f>SQRT((C67-C66)^2+(D67-D66)^2+(E67-E66)^2)</x:f>
        <x:v>0.9620475543478264</x:v>
      </x:c>
      <x:c r="G67" s="8" t="str">
        <x:v>Current</x:v>
      </x:c>
    </x:row>
    <x:row r="68" ht="32" customHeight="1">
      <x:c r="A68" s="8" t="str">
        <x:v>drop:FC1:F1:fan:-1:F236</x:v>
      </x:c>
      <x:c r="B68" s="8" t="n">
        <x:v>6</x:v>
      </x:c>
      <x:c r="C68" s="11" t="n">
        <x:v>31.175</x:v>
      </x:c>
      <x:c r="D68" s="11" t="n">
        <x:v>8.68</x:v>
      </x:c>
      <x:c r="E68" s="11" t="n">
        <x:v>-3.6</x:v>
      </x:c>
      <x:c r="F68" s="11" t="n">
        <x:f>SQRT((C68-C67)^2+(D68-D67)^2+(E68-E67)^2)</x:f>
        <x:v>0.17499999999999982</x:v>
      </x:c>
      <x:c r="G68" s="8" t="str">
        <x:v>Current</x:v>
      </x:c>
    </x:row>
    <x:row r="69" ht="32" customHeight="1">
      <x:c r="A69" s="8" t="str">
        <x:v>drop:FC1:F1:fan:-1:F236</x:v>
      </x:c>
      <x:c r="B69" s="8" t="n">
        <x:v>7</x:v>
      </x:c>
      <x:c r="C69" s="11" t="n">
        <x:v>30.225</x:v>
      </x:c>
      <x:c r="D69" s="11" t="n">
        <x:v>8.68</x:v>
      </x:c>
      <x:c r="E69" s="11" t="n">
        <x:v>-3.6</x:v>
      </x:c>
      <x:c r="F69" s="11" t="n">
        <x:f>SQRT((C69-C68)^2+(D69-D68)^2+(E69-E68)^2)</x:f>
        <x:v>0.9499999999999993</x:v>
      </x:c>
      <x:c r="G69" s="8" t="str">
        <x:v>Current</x:v>
      </x:c>
    </x:row>
    <x:row r="70" ht="32" customHeight="1">
      <x:c r="A70" s="8" t="str">
        <x:v>drop:FC1:F1:fan:-1:F236</x:v>
      </x:c>
      <x:c r="B70" s="8" t="n">
        <x:v>8</x:v>
      </x:c>
      <x:c r="C70" s="11" t="n">
        <x:v>30.225</x:v>
      </x:c>
      <x:c r="D70" s="11" t="n">
        <x:v>4.2</x:v>
      </x:c>
      <x:c r="E70" s="11" t="n">
        <x:v>-3.6</x:v>
      </x:c>
      <x:c r="F70" s="11" t="n">
        <x:f>SQRT((C70-C69)^2+(D70-D69)^2+(E70-E69)^2)</x:f>
        <x:v>4.4799999999999995</x:v>
      </x:c>
      <x:c r="G70" s="8" t="str">
        <x:v>Current</x:v>
      </x:c>
    </x:row>
    <x:row r="71" ht="32" customHeight="1">
      <x:c r="A71" s="8" t="str">
        <x:v>drop:FC1:F1:fan:-1:F238</x:v>
      </x:c>
      <x:c r="B71" s="8" t="n">
        <x:v>1</x:v>
      </x:c>
      <x:c r="C71" s="11" t="n">
        <x:v>36.02</x:v>
      </x:c>
      <x:c r="D71" s="11" t="n">
        <x:v>6.0040000000000004</x:v>
      </x:c>
      <x:c r="E71" s="11" t="n">
        <x:v>-7.36</x:v>
      </x:c>
      <x:c r="F71" s="11" t="n">
        <x:f>0</x:f>
        <x:v>0</x:v>
      </x:c>
      <x:c r="G71" s="8" t="str">
        <x:v>Current</x:v>
      </x:c>
    </x:row>
    <x:row r="72" ht="32" customHeight="1">
      <x:c r="A72" s="8" t="str">
        <x:v>drop:FC1:F1:fan:-1:F238</x:v>
      </x:c>
      <x:c r="B72" s="8" t="n">
        <x:v>2</x:v>
      </x:c>
      <x:c r="C72" s="11" t="n">
        <x:v>36.02</x:v>
      </x:c>
      <x:c r="D72" s="11" t="n">
        <x:v>7.04</x:v>
      </x:c>
      <x:c r="E72" s="11" t="n">
        <x:v>-7.36</x:v>
      </x:c>
      <x:c r="F72" s="11" t="n">
        <x:f>SQRT((C72-C71)^2+(D72-D71)^2+(E72-E71)^2)</x:f>
        <x:v>1.0359999999999996</x:v>
      </x:c>
      <x:c r="G72" s="8" t="str">
        <x:v>Current</x:v>
      </x:c>
    </x:row>
    <x:row r="73" ht="32" customHeight="1">
      <x:c r="A73" s="8" t="str">
        <x:v>drop:FC1:F1:fan:-1:F238</x:v>
      </x:c>
      <x:c r="B73" s="8" t="n">
        <x:v>3</x:v>
      </x:c>
      <x:c r="C73" s="11" t="n">
        <x:v>35.675000000000004</x:v>
      </x:c>
      <x:c r="D73" s="11" t="n">
        <x:v>7.04</x:v>
      </x:c>
      <x:c r="E73" s="11" t="n">
        <x:v>-7.36</x:v>
      </x:c>
      <x:c r="F73" s="11" t="n">
        <x:f>SQRT((C73-C72)^2+(D73-D72)^2+(E73-E72)^2)</x:f>
        <x:v>0.34499999999999886</x:v>
      </x:c>
      <x:c r="G73" s="8" t="str">
        <x:v>Current</x:v>
      </x:c>
    </x:row>
    <x:row r="74" ht="32" customHeight="1">
      <x:c r="A74" s="8" t="str">
        <x:v>drop:FC1:F1:fan:-1:F238</x:v>
      </x:c>
      <x:c r="B74" s="8" t="n">
        <x:v>4</x:v>
      </x:c>
      <x:c r="C74" s="11" t="n">
        <x:v>35.675000000000004</x:v>
      </x:c>
      <x:c r="D74" s="11" t="n">
        <x:v>9.642047554347826</x:v>
      </x:c>
      <x:c r="E74" s="11" t="n">
        <x:v>-3.775</x:v>
      </x:c>
      <x:c r="F74" s="11" t="n">
        <x:f>SQRT((C74-C73)^2+(D74-D73)^2+(E74-E73)^2)</x:f>
        <x:v>4.429771605296091</x:v>
      </x:c>
      <x:c r="G74" s="8" t="str">
        <x:v>Current</x:v>
      </x:c>
    </x:row>
    <x:row r="75" ht="32" customHeight="1">
      <x:c r="A75" s="8" t="str">
        <x:v>drop:FC1:F1:fan:-1:F238</x:v>
      </x:c>
      <x:c r="B75" s="8" t="n">
        <x:v>5</x:v>
      </x:c>
      <x:c r="C75" s="11" t="n">
        <x:v>35.675000000000004</x:v>
      </x:c>
      <x:c r="D75" s="11" t="n">
        <x:v>8.68</x:v>
      </x:c>
      <x:c r="E75" s="11" t="n">
        <x:v>-3.775</x:v>
      </x:c>
      <x:c r="F75" s="11" t="n">
        <x:f>SQRT((C75-C74)^2+(D75-D74)^2+(E75-E74)^2)</x:f>
        <x:v>0.9620475543478264</x:v>
      </x:c>
      <x:c r="G75" s="8" t="str">
        <x:v>Current</x:v>
      </x:c>
    </x:row>
    <x:row r="76" ht="32" customHeight="1">
      <x:c r="A76" s="8" t="str">
        <x:v>drop:FC1:F1:fan:-1:F238</x:v>
      </x:c>
      <x:c r="B76" s="8" t="n">
        <x:v>6</x:v>
      </x:c>
      <x:c r="C76" s="11" t="n">
        <x:v>35.675000000000004</x:v>
      </x:c>
      <x:c r="D76" s="11" t="n">
        <x:v>8.68</x:v>
      </x:c>
      <x:c r="E76" s="11" t="n">
        <x:v>-3.6</x:v>
      </x:c>
      <x:c r="F76" s="11" t="n">
        <x:f>SQRT((C76-C75)^2+(D76-D75)^2+(E76-E75)^2)</x:f>
        <x:v>0.17499999999999982</x:v>
      </x:c>
      <x:c r="G76" s="8" t="str">
        <x:v>Current</x:v>
      </x:c>
    </x:row>
    <x:row r="77" ht="32" customHeight="1">
      <x:c r="A77" s="8" t="str">
        <x:v>drop:FC1:F1:fan:-1:F238</x:v>
      </x:c>
      <x:c r="B77" s="8" t="n">
        <x:v>7</x:v>
      </x:c>
      <x:c r="C77" s="11" t="n">
        <x:v>34.725</x:v>
      </x:c>
      <x:c r="D77" s="11" t="n">
        <x:v>8.68</x:v>
      </x:c>
      <x:c r="E77" s="11" t="n">
        <x:v>-3.6</x:v>
      </x:c>
      <x:c r="F77" s="11" t="n">
        <x:f>SQRT((C77-C76)^2+(D77-D76)^2+(E77-E76)^2)</x:f>
        <x:v>0.9500000000000028</x:v>
      </x:c>
      <x:c r="G77" s="8" t="str">
        <x:v>Current</x:v>
      </x:c>
    </x:row>
    <x:row r="78" ht="32" customHeight="1">
      <x:c r="A78" s="8" t="str">
        <x:v>drop:FC1:F1:fan:-1:F238</x:v>
      </x:c>
      <x:c r="B78" s="8" t="n">
        <x:v>8</x:v>
      </x:c>
      <x:c r="C78" s="11" t="n">
        <x:v>34.725</x:v>
      </x:c>
      <x:c r="D78" s="11" t="n">
        <x:v>4.2</x:v>
      </x:c>
      <x:c r="E78" s="11" t="n">
        <x:v>-3.6</x:v>
      </x:c>
      <x:c r="F78" s="11" t="n">
        <x:f>SQRT((C78-C77)^2+(D78-D77)^2+(E78-E77)^2)</x:f>
        <x:v>4.4799999999999995</x:v>
      </x:c>
      <x:c r="G78" s="8" t="str">
        <x:v>Current</x:v>
      </x:c>
    </x:row>
    <x:row r="79" ht="32" customHeight="1">
      <x:c r="A79" s="8" t="str">
        <x:v>trunk:FC1:F1:fan:1</x:v>
      </x:c>
      <x:c r="B79" s="8" t="n">
        <x:v>1</x:v>
      </x:c>
      <x:c r="C79" s="11" t="n">
        <x:v>48.895</x:v>
      </x:c>
      <x:c r="D79" s="11" t="n">
        <x:v>1.95</x:v>
      </x:c>
      <x:c r="E79" s="11" t="n">
        <x:v>0.4</x:v>
      </x:c>
      <x:c r="F79" s="11" t="n">
        <x:f>0</x:f>
        <x:v>0</x:v>
      </x:c>
      <x:c r="G79" s="8" t="str">
        <x:v>Current</x:v>
      </x:c>
    </x:row>
    <x:row r="80" ht="32" customHeight="1">
      <x:c r="A80" s="8" t="str">
        <x:v>trunk:FC1:F1:fan:1</x:v>
      </x:c>
      <x:c r="B80" s="8" t="n">
        <x:v>2</x:v>
      </x:c>
      <x:c r="C80" s="11" t="n">
        <x:v>48.735</x:v>
      </x:c>
      <x:c r="D80" s="11" t="n">
        <x:v>1.95</x:v>
      </x:c>
      <x:c r="E80" s="11" t="n">
        <x:v>0.4</x:v>
      </x:c>
      <x:c r="F80" s="11" t="n">
        <x:f>SQRT((C80-C79)^2+(D80-D79)^2+(E80-E79)^2)</x:f>
        <x:v>0.1600000000000037</x:v>
      </x:c>
      <x:c r="G80" s="8" t="str">
        <x:v>Current</x:v>
      </x:c>
    </x:row>
    <x:row r="81" ht="32" customHeight="1">
      <x:c r="A81" s="8" t="str">
        <x:v>trunk:FC1:F1:fan:1</x:v>
      </x:c>
      <x:c r="B81" s="8" t="n">
        <x:v>3</x:v>
      </x:c>
      <x:c r="C81" s="11" t="n">
        <x:v>48.735</x:v>
      </x:c>
      <x:c r="D81" s="11" t="n">
        <x:v>1.95</x:v>
      </x:c>
      <x:c r="E81" s="11" t="n">
        <x:v>-2.24</x:v>
      </x:c>
      <x:c r="F81" s="11" t="n">
        <x:f>SQRT((C81-C80)^2+(D81-D80)^2+(E81-E80)^2)</x:f>
        <x:v>2.64</x:v>
      </x:c>
      <x:c r="G81" s="8" t="str">
        <x:v>Current</x:v>
      </x:c>
    </x:row>
    <x:row r="82" ht="32" customHeight="1">
      <x:c r="A82" s="8" t="str">
        <x:v>trunk:FC1:F1:fan:1</x:v>
      </x:c>
      <x:c r="B82" s="8" t="n">
        <x:v>4</x:v>
      </x:c>
      <x:c r="C82" s="11" t="n">
        <x:v>48.735</x:v>
      </x:c>
      <x:c r="D82" s="11" t="n">
        <x:v>4.33</x:v>
      </x:c>
      <x:c r="E82" s="11" t="n">
        <x:v>-2.24</x:v>
      </x:c>
      <x:c r="F82" s="11" t="n">
        <x:f>SQRT((C82-C81)^2+(D82-D81)^2+(E82-E81)^2)</x:f>
        <x:v>2.38</x:v>
      </x:c>
      <x:c r="G82" s="8" t="str">
        <x:v>Current</x:v>
      </x:c>
    </x:row>
    <x:row r="83" ht="32" customHeight="1">
      <x:c r="A83" s="8" t="str">
        <x:v>trunk:FC1:F1:fan:1</x:v>
      </x:c>
      <x:c r="B83" s="8" t="n">
        <x:v>5</x:v>
      </x:c>
      <x:c r="C83" s="11" t="n">
        <x:v>48.735</x:v>
      </x:c>
      <x:c r="D83" s="11" t="n">
        <x:v>4.33</x:v>
      </x:c>
      <x:c r="E83" s="11" t="n">
        <x:v>-3.3</x:v>
      </x:c>
      <x:c r="F83" s="11" t="n">
        <x:f>SQRT((C83-C82)^2+(D83-D82)^2+(E83-E82)^2)</x:f>
        <x:v>1.0599999999999996</x:v>
      </x:c>
      <x:c r="G83" s="8" t="str">
        <x:v>Current</x:v>
      </x:c>
    </x:row>
    <x:row r="84" ht="32" customHeight="1">
      <x:c r="A84" s="8" t="str">
        <x:v>trunk:FC1:F1:fan:1</x:v>
      </x:c>
      <x:c r="B84" s="8" t="n">
        <x:v>6</x:v>
      </x:c>
      <x:c r="C84" s="11" t="n">
        <x:v>53.016</x:v>
      </x:c>
      <x:c r="D84" s="11" t="n">
        <x:v>4.33</x:v>
      </x:c>
      <x:c r="E84" s="11" t="n">
        <x:v>-3.3</x:v>
      </x:c>
      <x:c r="F84" s="11" t="n">
        <x:f>SQRT((C84-C83)^2+(D84-D83)^2+(E84-E83)^2)</x:f>
        <x:v>4.280999999999999</x:v>
      </x:c>
      <x:c r="G84" s="8" t="str">
        <x:v>Current</x:v>
      </x:c>
    </x:row>
    <x:row r="85" ht="32" customHeight="1">
      <x:c r="A85" s="8" t="str">
        <x:v>trunk:FC1:F1:fan:1</x:v>
      </x:c>
      <x:c r="B85" s="8" t="n">
        <x:v>7</x:v>
      </x:c>
      <x:c r="C85" s="11" t="n">
        <x:v>53.016</x:v>
      </x:c>
      <x:c r="D85" s="11" t="n">
        <x:v>6.0040000000000004</x:v>
      </x:c>
      <x:c r="E85" s="11" t="n">
        <x:v>-3.3</x:v>
      </x:c>
      <x:c r="F85" s="11" t="n">
        <x:f>SQRT((C85-C84)^2+(D85-D84)^2+(E85-E84)^2)</x:f>
        <x:v>1.6740000000000004</x:v>
      </x:c>
      <x:c r="G85" s="8" t="str">
        <x:v>Current</x:v>
      </x:c>
    </x:row>
    <x:row r="86" ht="32" customHeight="1">
      <x:c r="A86" s="8" t="str">
        <x:v>trunk:FC1:F1:fan:1</x:v>
      </x:c>
      <x:c r="B86" s="8" t="n">
        <x:v>8</x:v>
      </x:c>
      <x:c r="C86" s="11" t="n">
        <x:v>53.016</x:v>
      </x:c>
      <x:c r="D86" s="11" t="n">
        <x:v>6.0040000000000004</x:v>
      </x:c>
      <x:c r="E86" s="11" t="n">
        <x:v>7.36</x:v>
      </x:c>
      <x:c r="F86" s="11" t="n">
        <x:f>SQRT((C86-C85)^2+(D86-D85)^2+(E86-E85)^2)</x:f>
        <x:v>10.66</x:v>
      </x:c>
      <x:c r="G86" s="8" t="str">
        <x:v>Current</x:v>
      </x:c>
    </x:row>
    <x:row r="87" ht="32" customHeight="1">
      <x:c r="A87" s="8" t="str">
        <x:v>trunk:FC1:F1:fan:1</x:v>
      </x:c>
      <x:c r="B87" s="8" t="n">
        <x:v>9</x:v>
      </x:c>
      <x:c r="C87" s="11" t="n">
        <x:v>44.175</x:v>
      </x:c>
      <x:c r="D87" s="11" t="n">
        <x:v>6.0040000000000004</x:v>
      </x:c>
      <x:c r="E87" s="11" t="n">
        <x:v>7.36</x:v>
      </x:c>
      <x:c r="F87" s="11" t="n">
        <x:f>SQRT((C87-C86)^2+(D87-D86)^2+(E87-E86)^2)</x:f>
        <x:v>8.841000000000001</x:v>
      </x:c>
      <x:c r="G87" s="8" t="str">
        <x:v>Current</x:v>
      </x:c>
    </x:row>
    <x:row r="88" ht="32" customHeight="1">
      <x:c r="A88" s="8" t="str">
        <x:v>trunk:FC1:F1:fan:1</x:v>
      </x:c>
      <x:c r="B88" s="8" t="n">
        <x:v>10</x:v>
      </x:c>
      <x:c r="C88" s="11" t="n">
        <x:v>44.175</x:v>
      </x:c>
      <x:c r="D88" s="11" t="n">
        <x:v>7.04</x:v>
      </x:c>
      <x:c r="E88" s="11" t="n">
        <x:v>7.36</x:v>
      </x:c>
      <x:c r="F88" s="11" t="n">
        <x:f>SQRT((C88-C87)^2+(D88-D87)^2+(E88-E87)^2)</x:f>
        <x:v>1.0359999999999996</x:v>
      </x:c>
      <x:c r="G88" s="8" t="str">
        <x:v>Current</x:v>
      </x:c>
    </x:row>
    <x:row r="89" ht="32" customHeight="1">
      <x:c r="A89" s="8" t="str">
        <x:v>trunk:FC1:F1:fan:1</x:v>
      </x:c>
      <x:c r="B89" s="8" t="n">
        <x:v>11</x:v>
      </x:c>
      <x:c r="C89" s="11" t="n">
        <x:v>43.535</x:v>
      </x:c>
      <x:c r="D89" s="11" t="n">
        <x:v>7.04</x:v>
      </x:c>
      <x:c r="E89" s="11" t="n">
        <x:v>7.36</x:v>
      </x:c>
      <x:c r="F89" s="11" t="n">
        <x:f>SQRT((C89-C88)^2+(D89-D88)^2+(E89-E88)^2)</x:f>
        <x:v>0.6400000000000006</x:v>
      </x:c>
      <x:c r="G89" s="8" t="str">
        <x:v>Current</x:v>
      </x:c>
    </x:row>
    <x:row r="90" ht="32" customHeight="1">
      <x:c r="A90" s="8" t="str">
        <x:v>trunk:FC1:F1:fan:1</x:v>
      </x:c>
      <x:c r="B90" s="8" t="n">
        <x:v>12</x:v>
      </x:c>
      <x:c r="C90" s="11" t="n">
        <x:v>43.455</x:v>
      </x:c>
      <x:c r="D90" s="11" t="n">
        <x:v>6.950412371134024</x:v>
      </x:c>
      <x:c r="E90" s="11" t="n">
        <x:v>7.36</x:v>
      </x:c>
      <x:c r="F90" s="11" t="n">
        <x:f>SQRT((C90-C89)^2+(D90-D89)^2+(E90-E89)^2)</x:f>
        <x:v>0.12010804821421249</x:v>
      </x:c>
      <x:c r="G90" s="8" t="str">
        <x:v>Current</x:v>
      </x:c>
    </x:row>
    <x:row r="91" ht="32" customHeight="1">
      <x:c r="A91" s="8" t="str">
        <x:v>trunk:FC1:F1:fan:1</x:v>
      </x:c>
      <x:c r="B91" s="8" t="n">
        <x:v>13</x:v>
      </x:c>
      <x:c r="C91" s="11" t="n">
        <x:v>40.574999999999996</x:v>
      </x:c>
      <x:c r="D91" s="11" t="n">
        <x:v>9.269999999999994</x:v>
      </x:c>
      <x:c r="E91" s="11" t="n">
        <x:v>7.36</x:v>
      </x:c>
      <x:c r="F91" s="11" t="n">
        <x:f>SQRT((C91-C90)^2+(D91-D90)^2+(E91-E90)^2)</x:f>
        <x:v>3.6979571073753776</x:v>
      </x:c>
      <x:c r="G91" s="8" t="str">
        <x:v>Current</x:v>
      </x:c>
    </x:row>
    <x:row r="92" ht="32" customHeight="1">
      <x:c r="A92" s="8" t="str">
        <x:v>trunk:FC1:F1:fan:1</x:v>
      </x:c>
      <x:c r="B92" s="8" t="n">
        <x:v>14</x:v>
      </x:c>
      <x:c r="C92" s="11" t="n">
        <x:v>37.695</x:v>
      </x:c>
      <x:c r="D92" s="11" t="n">
        <x:v>6.950412371134018</x:v>
      </x:c>
      <x:c r="E92" s="11" t="n">
        <x:v>7.36</x:v>
      </x:c>
      <x:c r="F92" s="11" t="n">
        <x:f>SQRT((C92-C91)^2+(D92-D91)^2+(E92-E91)^2)</x:f>
        <x:v>3.697957107375376</x:v>
      </x:c>
      <x:c r="G92" s="8" t="str">
        <x:v>Current</x:v>
      </x:c>
    </x:row>
    <x:row r="93" ht="32" customHeight="1">
      <x:c r="A93" s="8" t="str">
        <x:v>trunk:FC1:F1:fan:1</x:v>
      </x:c>
      <x:c r="B93" s="8" t="n">
        <x:v>15</x:v>
      </x:c>
      <x:c r="C93" s="11" t="n">
        <x:v>37.615</x:v>
      </x:c>
      <x:c r="D93" s="11" t="n">
        <x:v>7.04</x:v>
      </x:c>
      <x:c r="E93" s="11" t="n">
        <x:v>7.36</x:v>
      </x:c>
      <x:c r="F93" s="11" t="n">
        <x:f>SQRT((C93-C92)^2+(D93-D92)^2+(E93-E92)^2)</x:f>
        <x:v>0.12010804821421713</x:v>
      </x:c>
      <x:c r="G93" s="8" t="str">
        <x:v>Current</x:v>
      </x:c>
    </x:row>
    <x:row r="94" ht="32" customHeight="1">
      <x:c r="A94" s="8" t="str">
        <x:v>trunk:FC1:F1:fan:1</x:v>
      </x:c>
      <x:c r="B94" s="8" t="n">
        <x:v>16</x:v>
      </x:c>
      <x:c r="C94" s="11" t="n">
        <x:v>36.975</x:v>
      </x:c>
      <x:c r="D94" s="11" t="n">
        <x:v>7.04</x:v>
      </x:c>
      <x:c r="E94" s="11" t="n">
        <x:v>7.36</x:v>
      </x:c>
      <x:c r="F94" s="11" t="n">
        <x:f>SQRT((C94-C93)^2+(D94-D93)^2+(E94-E93)^2)</x:f>
        <x:v>0.6400000000000006</x:v>
      </x:c>
      <x:c r="G94" s="8" t="str">
        <x:v>Current</x:v>
      </x:c>
    </x:row>
    <x:row r="95" ht="32" customHeight="1">
      <x:c r="A95" s="8" t="str">
        <x:v>trunk:FC1:F1:fan:1</x:v>
      </x:c>
      <x:c r="B95" s="8" t="n">
        <x:v>17</x:v>
      </x:c>
      <x:c r="C95" s="11" t="n">
        <x:v>36.975</x:v>
      </x:c>
      <x:c r="D95" s="11" t="n">
        <x:v>6.0040000000000004</x:v>
      </x:c>
      <x:c r="E95" s="11" t="n">
        <x:v>7.36</x:v>
      </x:c>
      <x:c r="F95" s="11" t="n">
        <x:f>SQRT((C95-C94)^2+(D95-D94)^2+(E95-E94)^2)</x:f>
        <x:v>1.0359999999999996</x:v>
      </x:c>
      <x:c r="G95" s="8" t="str">
        <x:v>Current</x:v>
      </x:c>
    </x:row>
    <x:row r="96" ht="32" customHeight="1">
      <x:c r="A96" s="8" t="str">
        <x:v>trunk:FC1:F1:fan:1</x:v>
      </x:c>
      <x:c r="B96" s="8" t="n">
        <x:v>18</x:v>
      </x:c>
      <x:c r="C96" s="11" t="n">
        <x:v>9.030000000000001</x:v>
      </x:c>
      <x:c r="D96" s="11" t="n">
        <x:v>6.0040000000000004</x:v>
      </x:c>
      <x:c r="E96" s="11" t="n">
        <x:v>7.36</x:v>
      </x:c>
      <x:c r="F96" s="11" t="n">
        <x:f>SQRT((C96-C95)^2+(D96-D95)^2+(E96-E95)^2)</x:f>
        <x:v>27.945</x:v>
      </x:c>
      <x:c r="G96" s="8" t="str">
        <x:v>Current</x:v>
      </x:c>
    </x:row>
    <x:row r="97" ht="32" customHeight="1">
      <x:c r="A97" s="8" t="str">
        <x:v>drop:FC1:F1:fan:1:F227</x:v>
      </x:c>
      <x:c r="B97" s="8" t="n">
        <x:v>1</x:v>
      </x:c>
      <x:c r="C97" s="11" t="n">
        <x:v>9.030000000000001</x:v>
      </x:c>
      <x:c r="D97" s="11" t="n">
        <x:v>6.0040000000000004</x:v>
      </x:c>
      <x:c r="E97" s="11" t="n">
        <x:v>7.36</x:v>
      </x:c>
      <x:c r="F97" s="11" t="n">
        <x:f>0</x:f>
        <x:v>0</x:v>
      </x:c>
      <x:c r="G97" s="8" t="str">
        <x:v>Current</x:v>
      </x:c>
    </x:row>
    <x:row r="98" ht="32" customHeight="1">
      <x:c r="A98" s="8" t="str">
        <x:v>drop:FC1:F1:fan:1:F227</x:v>
      </x:c>
      <x:c r="B98" s="8" t="n">
        <x:v>2</x:v>
      </x:c>
      <x:c r="C98" s="11" t="n">
        <x:v>9.030000000000001</x:v>
      </x:c>
      <x:c r="D98" s="11" t="n">
        <x:v>7.04</x:v>
      </x:c>
      <x:c r="E98" s="11" t="n">
        <x:v>7.36</x:v>
      </x:c>
      <x:c r="F98" s="11" t="n">
        <x:f>SQRT((C98-C97)^2+(D98-D97)^2+(E98-E97)^2)</x:f>
        <x:v>1.0359999999999996</x:v>
      </x:c>
      <x:c r="G98" s="8" t="str">
        <x:v>Current</x:v>
      </x:c>
    </x:row>
    <x:row r="99" ht="32" customHeight="1">
      <x:c r="A99" s="8" t="str">
        <x:v>drop:FC1:F1:fan:1:F227</x:v>
      </x:c>
      <x:c r="B99" s="8" t="n">
        <x:v>3</x:v>
      </x:c>
      <x:c r="C99" s="11" t="n">
        <x:v>7.725</x:v>
      </x:c>
      <x:c r="D99" s="11" t="n">
        <x:v>7.04</x:v>
      </x:c>
      <x:c r="E99" s="11" t="n">
        <x:v>7.36</x:v>
      </x:c>
      <x:c r="F99" s="11" t="n">
        <x:f>SQRT((C99-C98)^2+(D99-D98)^2+(E99-E98)^2)</x:f>
        <x:v>1.3050000000000015</x:v>
      </x:c>
      <x:c r="G99" s="8" t="str">
        <x:v>Current</x:v>
      </x:c>
    </x:row>
    <x:row r="100" ht="32" customHeight="1">
      <x:c r="A100" s="8" t="str">
        <x:v>drop:FC1:F1:fan:1:F227</x:v>
      </x:c>
      <x:c r="B100" s="8" t="n">
        <x:v>4</x:v>
      </x:c>
      <x:c r="C100" s="11" t="n">
        <x:v>7.725</x:v>
      </x:c>
      <x:c r="D100" s="11" t="n">
        <x:v>9.18841304347826</x:v>
      </x:c>
      <x:c r="E100" s="11" t="n">
        <x:v>4.4</x:v>
      </x:c>
      <x:c r="F100" s="11" t="n">
        <x:f>SQRT((C100-C99)^2+(D100-D99)^2+(E100-E99)^2)</x:f>
        <x:v>3.6574962208302444</x:v>
      </x:c>
      <x:c r="G100" s="8" t="str">
        <x:v>Current</x:v>
      </x:c>
    </x:row>
    <x:row r="101" ht="32" customHeight="1">
      <x:c r="A101" s="8" t="str">
        <x:v>drop:FC1:F1:fan:1:F227</x:v>
      </x:c>
      <x:c r="B101" s="8" t="n">
        <x:v>5</x:v>
      </x:c>
      <x:c r="C101" s="11" t="n">
        <x:v>7.725</x:v>
      </x:c>
      <x:c r="D101" s="11" t="n">
        <x:v>9.028413043478261</x:v>
      </x:c>
      <x:c r="E101" s="11" t="n">
        <x:v>4.4</x:v>
      </x:c>
      <x:c r="F101" s="11" t="n">
        <x:f>SQRT((C101-C100)^2+(D101-D100)^2+(E101-E100)^2)</x:f>
        <x:v>0.15999999999999837</x:v>
      </x:c>
      <x:c r="G101" s="8" t="str">
        <x:v>Current</x:v>
      </x:c>
    </x:row>
    <x:row r="102" ht="32" customHeight="1">
      <x:c r="A102" s="8" t="str">
        <x:v>drop:FC1:F1:fan:1:F227</x:v>
      </x:c>
      <x:c r="B102" s="8" t="n">
        <x:v>6</x:v>
      </x:c>
      <x:c r="C102" s="11" t="n">
        <x:v>7.725</x:v>
      </x:c>
      <x:c r="D102" s="11" t="n">
        <x:v>4.2</x:v>
      </x:c>
      <x:c r="E102" s="11" t="n">
        <x:v>4.4</x:v>
      </x:c>
      <x:c r="F102" s="11" t="n">
        <x:f>SQRT((C102-C101)^2+(D102-D101)^2+(E102-E101)^2)</x:f>
        <x:v>4.828413043478261</x:v>
      </x:c>
      <x:c r="G102" s="8" t="str">
        <x:v>Current</x:v>
      </x:c>
    </x:row>
    <x:row r="103" ht="32" customHeight="1">
      <x:c r="A103" s="8" t="str">
        <x:v>drop:FC1:F1:fan:1:F229</x:v>
      </x:c>
      <x:c r="B103" s="8" t="n">
        <x:v>1</x:v>
      </x:c>
      <x:c r="C103" s="11" t="n">
        <x:v>13.530000000000001</x:v>
      </x:c>
      <x:c r="D103" s="11" t="n">
        <x:v>6.0040000000000004</x:v>
      </x:c>
      <x:c r="E103" s="11" t="n">
        <x:v>7.36</x:v>
      </x:c>
      <x:c r="F103" s="11" t="n">
        <x:f>0</x:f>
        <x:v>0</x:v>
      </x:c>
      <x:c r="G103" s="8" t="str">
        <x:v>Current</x:v>
      </x:c>
    </x:row>
    <x:row r="104" ht="32" customHeight="1">
      <x:c r="A104" s="8" t="str">
        <x:v>drop:FC1:F1:fan:1:F229</x:v>
      </x:c>
      <x:c r="B104" s="8" t="n">
        <x:v>2</x:v>
      </x:c>
      <x:c r="C104" s="11" t="n">
        <x:v>13.530000000000001</x:v>
      </x:c>
      <x:c r="D104" s="11" t="n">
        <x:v>7.04</x:v>
      </x:c>
      <x:c r="E104" s="11" t="n">
        <x:v>7.36</x:v>
      </x:c>
      <x:c r="F104" s="11" t="n">
        <x:f>SQRT((C104-C103)^2+(D104-D103)^2+(E104-E103)^2)</x:f>
        <x:v>1.0359999999999996</x:v>
      </x:c>
      <x:c r="G104" s="8" t="str">
        <x:v>Current</x:v>
      </x:c>
    </x:row>
    <x:row r="105" ht="32" customHeight="1">
      <x:c r="A105" s="8" t="str">
        <x:v>drop:FC1:F1:fan:1:F229</x:v>
      </x:c>
      <x:c r="B105" s="8" t="n">
        <x:v>3</x:v>
      </x:c>
      <x:c r="C105" s="11" t="n">
        <x:v>13.174999999999999</x:v>
      </x:c>
      <x:c r="D105" s="11" t="n">
        <x:v>7.04</x:v>
      </x:c>
      <x:c r="E105" s="11" t="n">
        <x:v>7.36</x:v>
      </x:c>
      <x:c r="F105" s="11" t="n">
        <x:f>SQRT((C105-C104)^2+(D105-D104)^2+(E105-E104)^2)</x:f>
        <x:v>0.3550000000000022</x:v>
      </x:c>
      <x:c r="G105" s="8" t="str">
        <x:v>Current</x:v>
      </x:c>
    </x:row>
    <x:row r="106" ht="32" customHeight="1">
      <x:c r="A106" s="8" t="str">
        <x:v>drop:FC1:F1:fan:1:F229</x:v>
      </x:c>
      <x:c r="B106" s="8" t="n">
        <x:v>4</x:v>
      </x:c>
      <x:c r="C106" s="11" t="n">
        <x:v>13.174999999999999</x:v>
      </x:c>
      <x:c r="D106" s="11" t="n">
        <x:v>9.642047554347826</x:v>
      </x:c>
      <x:c r="E106" s="11" t="n">
        <x:v>3.775</x:v>
      </x:c>
      <x:c r="F106" s="11" t="n">
        <x:f>SQRT((C106-C105)^2+(D106-D105)^2+(E106-E105)^2)</x:f>
        <x:v>4.429771605296091</x:v>
      </x:c>
      <x:c r="G106" s="8" t="str">
        <x:v>Current</x:v>
      </x:c>
    </x:row>
    <x:row r="107" ht="32" customHeight="1">
      <x:c r="A107" s="8" t="str">
        <x:v>drop:FC1:F1:fan:1:F229</x:v>
      </x:c>
      <x:c r="B107" s="8" t="n">
        <x:v>5</x:v>
      </x:c>
      <x:c r="C107" s="11" t="n">
        <x:v>13.174999999999999</x:v>
      </x:c>
      <x:c r="D107" s="11" t="n">
        <x:v>8.68</x:v>
      </x:c>
      <x:c r="E107" s="11" t="n">
        <x:v>3.775</x:v>
      </x:c>
      <x:c r="F107" s="11" t="n">
        <x:f>SQRT((C107-C106)^2+(D107-D106)^2+(E107-E106)^2)</x:f>
        <x:v>0.9620475543478264</x:v>
      </x:c>
      <x:c r="G107" s="8" t="str">
        <x:v>Current</x:v>
      </x:c>
    </x:row>
    <x:row r="108" ht="32" customHeight="1">
      <x:c r="A108" s="8" t="str">
        <x:v>drop:FC1:F1:fan:1:F229</x:v>
      </x:c>
      <x:c r="B108" s="8" t="n">
        <x:v>6</x:v>
      </x:c>
      <x:c r="C108" s="11" t="n">
        <x:v>13.174999999999999</x:v>
      </x:c>
      <x:c r="D108" s="11" t="n">
        <x:v>8.68</x:v>
      </x:c>
      <x:c r="E108" s="11" t="n">
        <x:v>3.6</x:v>
      </x:c>
      <x:c r="F108" s="11" t="n">
        <x:f>SQRT((C108-C107)^2+(D108-D107)^2+(E108-E107)^2)</x:f>
        <x:v>0.17499999999999982</x:v>
      </x:c>
      <x:c r="G108" s="8" t="str">
        <x:v>Current</x:v>
      </x:c>
    </x:row>
    <x:row r="109" ht="32" customHeight="1">
      <x:c r="A109" s="8" t="str">
        <x:v>drop:FC1:F1:fan:1:F229</x:v>
      </x:c>
      <x:c r="B109" s="8" t="n">
        <x:v>7</x:v>
      </x:c>
      <x:c r="C109" s="11" t="n">
        <x:v>12.225</x:v>
      </x:c>
      <x:c r="D109" s="11" t="n">
        <x:v>8.68</x:v>
      </x:c>
      <x:c r="E109" s="11" t="n">
        <x:v>3.6</x:v>
      </x:c>
      <x:c r="F109" s="11" t="n">
        <x:f>SQRT((C109-C108)^2+(D109-D108)^2+(E109-E108)^2)</x:f>
        <x:v>0.9499999999999993</x:v>
      </x:c>
      <x:c r="G109" s="8" t="str">
        <x:v>Current</x:v>
      </x:c>
    </x:row>
    <x:row r="110" ht="32" customHeight="1">
      <x:c r="A110" s="8" t="str">
        <x:v>drop:FC1:F1:fan:1:F229</x:v>
      </x:c>
      <x:c r="B110" s="8" t="n">
        <x:v>8</x:v>
      </x:c>
      <x:c r="C110" s="11" t="n">
        <x:v>12.225</x:v>
      </x:c>
      <x:c r="D110" s="11" t="n">
        <x:v>4.2</x:v>
      </x:c>
      <x:c r="E110" s="11" t="n">
        <x:v>3.6</x:v>
      </x:c>
      <x:c r="F110" s="11" t="n">
        <x:f>SQRT((C110-C109)^2+(D110-D109)^2+(E110-E109)^2)</x:f>
        <x:v>4.4799999999999995</x:v>
      </x:c>
      <x:c r="G110" s="8" t="str">
        <x:v>Current</x:v>
      </x:c>
    </x:row>
    <x:row r="111" ht="32" customHeight="1">
      <x:c r="A111" s="8" t="str">
        <x:v>drop:FC1:F1:fan:1:F231</x:v>
      </x:c>
      <x:c r="B111" s="8" t="n">
        <x:v>1</x:v>
      </x:c>
      <x:c r="C111" s="11" t="n">
        <x:v>18.02</x:v>
      </x:c>
      <x:c r="D111" s="11" t="n">
        <x:v>6.0040000000000004</x:v>
      </x:c>
      <x:c r="E111" s="11" t="n">
        <x:v>7.36</x:v>
      </x:c>
      <x:c r="F111" s="11" t="n">
        <x:f>0</x:f>
        <x:v>0</x:v>
      </x:c>
      <x:c r="G111" s="8" t="str">
        <x:v>Current</x:v>
      </x:c>
    </x:row>
    <x:row r="112" ht="32" customHeight="1">
      <x:c r="A112" s="8" t="str">
        <x:v>drop:FC1:F1:fan:1:F231</x:v>
      </x:c>
      <x:c r="B112" s="8" t="n">
        <x:v>2</x:v>
      </x:c>
      <x:c r="C112" s="11" t="n">
        <x:v>18.02</x:v>
      </x:c>
      <x:c r="D112" s="11" t="n">
        <x:v>7.04</x:v>
      </x:c>
      <x:c r="E112" s="11" t="n">
        <x:v>7.36</x:v>
      </x:c>
      <x:c r="F112" s="11" t="n">
        <x:f>SQRT((C112-C111)^2+(D112-D111)^2+(E112-E111)^2)</x:f>
        <x:v>1.0359999999999996</x:v>
      </x:c>
      <x:c r="G112" s="8" t="str">
        <x:v>Current</x:v>
      </x:c>
    </x:row>
    <x:row r="113" ht="32" customHeight="1">
      <x:c r="A113" s="8" t="str">
        <x:v>drop:FC1:F1:fan:1:F231</x:v>
      </x:c>
      <x:c r="B113" s="8" t="n">
        <x:v>3</x:v>
      </x:c>
      <x:c r="C113" s="11" t="n">
        <x:v>17.675</x:v>
      </x:c>
      <x:c r="D113" s="11" t="n">
        <x:v>7.04</x:v>
      </x:c>
      <x:c r="E113" s="11" t="n">
        <x:v>7.36</x:v>
      </x:c>
      <x:c r="F113" s="11" t="n">
        <x:f>SQRT((C113-C112)^2+(D113-D112)^2+(E113-E112)^2)</x:f>
        <x:v>0.34499999999999886</x:v>
      </x:c>
      <x:c r="G113" s="8" t="str">
        <x:v>Current</x:v>
      </x:c>
    </x:row>
    <x:row r="114" ht="32" customHeight="1">
      <x:c r="A114" s="8" t="str">
        <x:v>drop:FC1:F1:fan:1:F231</x:v>
      </x:c>
      <x:c r="B114" s="8" t="n">
        <x:v>4</x:v>
      </x:c>
      <x:c r="C114" s="11" t="n">
        <x:v>17.675</x:v>
      </x:c>
      <x:c r="D114" s="11" t="n">
        <x:v>9.642047554347826</x:v>
      </x:c>
      <x:c r="E114" s="11" t="n">
        <x:v>3.775</x:v>
      </x:c>
      <x:c r="F114" s="11" t="n">
        <x:f>SQRT((C114-C113)^2+(D114-D113)^2+(E114-E113)^2)</x:f>
        <x:v>4.429771605296091</x:v>
      </x:c>
      <x:c r="G114" s="8" t="str">
        <x:v>Current</x:v>
      </x:c>
    </x:row>
    <x:row r="115" ht="32" customHeight="1">
      <x:c r="A115" s="8" t="str">
        <x:v>drop:FC1:F1:fan:1:F231</x:v>
      </x:c>
      <x:c r="B115" s="8" t="n">
        <x:v>5</x:v>
      </x:c>
      <x:c r="C115" s="11" t="n">
        <x:v>17.675</x:v>
      </x:c>
      <x:c r="D115" s="11" t="n">
        <x:v>8.68</x:v>
      </x:c>
      <x:c r="E115" s="11" t="n">
        <x:v>3.775</x:v>
      </x:c>
      <x:c r="F115" s="11" t="n">
        <x:f>SQRT((C115-C114)^2+(D115-D114)^2+(E115-E114)^2)</x:f>
        <x:v>0.9620475543478264</x:v>
      </x:c>
      <x:c r="G115" s="8" t="str">
        <x:v>Current</x:v>
      </x:c>
    </x:row>
    <x:row r="116" ht="32" customHeight="1">
      <x:c r="A116" s="8" t="str">
        <x:v>drop:FC1:F1:fan:1:F231</x:v>
      </x:c>
      <x:c r="B116" s="8" t="n">
        <x:v>6</x:v>
      </x:c>
      <x:c r="C116" s="11" t="n">
        <x:v>17.675</x:v>
      </x:c>
      <x:c r="D116" s="11" t="n">
        <x:v>8.68</x:v>
      </x:c>
      <x:c r="E116" s="11" t="n">
        <x:v>3.6</x:v>
      </x:c>
      <x:c r="F116" s="11" t="n">
        <x:f>SQRT((C116-C115)^2+(D116-D115)^2+(E116-E115)^2)</x:f>
        <x:v>0.17499999999999982</x:v>
      </x:c>
      <x:c r="G116" s="8" t="str">
        <x:v>Current</x:v>
      </x:c>
    </x:row>
    <x:row r="117" ht="32" customHeight="1">
      <x:c r="A117" s="8" t="str">
        <x:v>drop:FC1:F1:fan:1:F231</x:v>
      </x:c>
      <x:c r="B117" s="8" t="n">
        <x:v>7</x:v>
      </x:c>
      <x:c r="C117" s="11" t="n">
        <x:v>16.725</x:v>
      </x:c>
      <x:c r="D117" s="11" t="n">
        <x:v>8.68</x:v>
      </x:c>
      <x:c r="E117" s="11" t="n">
        <x:v>3.6</x:v>
      </x:c>
      <x:c r="F117" s="11" t="n">
        <x:f>SQRT((C117-C116)^2+(D117-D116)^2+(E117-E116)^2)</x:f>
        <x:v>0.9499999999999993</x:v>
      </x:c>
      <x:c r="G117" s="8" t="str">
        <x:v>Current</x:v>
      </x:c>
    </x:row>
    <x:row r="118" ht="32" customHeight="1">
      <x:c r="A118" s="8" t="str">
        <x:v>drop:FC1:F1:fan:1:F231</x:v>
      </x:c>
      <x:c r="B118" s="8" t="n">
        <x:v>8</x:v>
      </x:c>
      <x:c r="C118" s="11" t="n">
        <x:v>16.725</x:v>
      </x:c>
      <x:c r="D118" s="11" t="n">
        <x:v>4.2</x:v>
      </x:c>
      <x:c r="E118" s="11" t="n">
        <x:v>3.6</x:v>
      </x:c>
      <x:c r="F118" s="11" t="n">
        <x:f>SQRT((C118-C117)^2+(D118-D117)^2+(E118-E117)^2)</x:f>
        <x:v>4.4799999999999995</x:v>
      </x:c>
      <x:c r="G118" s="8" t="str">
        <x:v>Current</x:v>
      </x:c>
    </x:row>
    <x:row r="119" ht="32" customHeight="1">
      <x:c r="A119" s="8" t="str">
        <x:v>drop:FC1:F1:fan:1:F233</x:v>
      </x:c>
      <x:c r="B119" s="8" t="n">
        <x:v>1</x:v>
      </x:c>
      <x:c r="C119" s="11" t="n">
        <x:v>22.53</x:v>
      </x:c>
      <x:c r="D119" s="11" t="n">
        <x:v>6.0040000000000004</x:v>
      </x:c>
      <x:c r="E119" s="11" t="n">
        <x:v>7.36</x:v>
      </x:c>
      <x:c r="F119" s="11" t="n">
        <x:f>0</x:f>
        <x:v>0</x:v>
      </x:c>
      <x:c r="G119" s="8" t="str">
        <x:v>Current</x:v>
      </x:c>
    </x:row>
    <x:row r="120" ht="32" customHeight="1">
      <x:c r="A120" s="8" t="str">
        <x:v>drop:FC1:F1:fan:1:F233</x:v>
      </x:c>
      <x:c r="B120" s="8" t="n">
        <x:v>2</x:v>
      </x:c>
      <x:c r="C120" s="11" t="n">
        <x:v>22.53</x:v>
      </x:c>
      <x:c r="D120" s="11" t="n">
        <x:v>7.04</x:v>
      </x:c>
      <x:c r="E120" s="11" t="n">
        <x:v>7.36</x:v>
      </x:c>
      <x:c r="F120" s="11" t="n">
        <x:f>SQRT((C120-C119)^2+(D120-D119)^2+(E120-E119)^2)</x:f>
        <x:v>1.0359999999999996</x:v>
      </x:c>
      <x:c r="G120" s="8" t="str">
        <x:v>Current</x:v>
      </x:c>
    </x:row>
    <x:row r="121" ht="32" customHeight="1">
      <x:c r="A121" s="8" t="str">
        <x:v>drop:FC1:F1:fan:1:F233</x:v>
      </x:c>
      <x:c r="B121" s="8" t="n">
        <x:v>3</x:v>
      </x:c>
      <x:c r="C121" s="11" t="n">
        <x:v>22.175</x:v>
      </x:c>
      <x:c r="D121" s="11" t="n">
        <x:v>7.04</x:v>
      </x:c>
      <x:c r="E121" s="11" t="n">
        <x:v>7.36</x:v>
      </x:c>
      <x:c r="F121" s="11" t="n">
        <x:f>SQRT((C121-C120)^2+(D121-D120)^2+(E121-E120)^2)</x:f>
        <x:v>0.3550000000000004</x:v>
      </x:c>
      <x:c r="G121" s="8" t="str">
        <x:v>Current</x:v>
      </x:c>
    </x:row>
    <x:row r="122" ht="32" customHeight="1">
      <x:c r="A122" s="8" t="str">
        <x:v>drop:FC1:F1:fan:1:F233</x:v>
      </x:c>
      <x:c r="B122" s="8" t="n">
        <x:v>4</x:v>
      </x:c>
      <x:c r="C122" s="11" t="n">
        <x:v>22.175</x:v>
      </x:c>
      <x:c r="D122" s="11" t="n">
        <x:v>9.642047554347826</x:v>
      </x:c>
      <x:c r="E122" s="11" t="n">
        <x:v>3.775</x:v>
      </x:c>
      <x:c r="F122" s="11" t="n">
        <x:f>SQRT((C122-C121)^2+(D122-D121)^2+(E122-E121)^2)</x:f>
        <x:v>4.429771605296091</x:v>
      </x:c>
      <x:c r="G122" s="8" t="str">
        <x:v>Current</x:v>
      </x:c>
    </x:row>
    <x:row r="123" ht="32" customHeight="1">
      <x:c r="A123" s="8" t="str">
        <x:v>drop:FC1:F1:fan:1:F233</x:v>
      </x:c>
      <x:c r="B123" s="8" t="n">
        <x:v>5</x:v>
      </x:c>
      <x:c r="C123" s="11" t="n">
        <x:v>22.175</x:v>
      </x:c>
      <x:c r="D123" s="11" t="n">
        <x:v>8.68</x:v>
      </x:c>
      <x:c r="E123" s="11" t="n">
        <x:v>3.775</x:v>
      </x:c>
      <x:c r="F123" s="11" t="n">
        <x:f>SQRT((C123-C122)^2+(D123-D122)^2+(E123-E122)^2)</x:f>
        <x:v>0.9620475543478264</x:v>
      </x:c>
      <x:c r="G123" s="8" t="str">
        <x:v>Current</x:v>
      </x:c>
    </x:row>
    <x:row r="124" ht="32" customHeight="1">
      <x:c r="A124" s="8" t="str">
        <x:v>drop:FC1:F1:fan:1:F233</x:v>
      </x:c>
      <x:c r="B124" s="8" t="n">
        <x:v>6</x:v>
      </x:c>
      <x:c r="C124" s="11" t="n">
        <x:v>22.175</x:v>
      </x:c>
      <x:c r="D124" s="11" t="n">
        <x:v>8.68</x:v>
      </x:c>
      <x:c r="E124" s="11" t="n">
        <x:v>3.6</x:v>
      </x:c>
      <x:c r="F124" s="11" t="n">
        <x:f>SQRT((C124-C123)^2+(D124-D123)^2+(E124-E123)^2)</x:f>
        <x:v>0.17499999999999982</x:v>
      </x:c>
      <x:c r="G124" s="8" t="str">
        <x:v>Current</x:v>
      </x:c>
    </x:row>
    <x:row r="125" ht="32" customHeight="1">
      <x:c r="A125" s="8" t="str">
        <x:v>drop:FC1:F1:fan:1:F233</x:v>
      </x:c>
      <x:c r="B125" s="8" t="n">
        <x:v>7</x:v>
      </x:c>
      <x:c r="C125" s="11" t="n">
        <x:v>21.225</x:v>
      </x:c>
      <x:c r="D125" s="11" t="n">
        <x:v>8.68</x:v>
      </x:c>
      <x:c r="E125" s="11" t="n">
        <x:v>3.6</x:v>
      </x:c>
      <x:c r="F125" s="11" t="n">
        <x:f>SQRT((C125-C124)^2+(D125-D124)^2+(E125-E124)^2)</x:f>
        <x:v>0.9499999999999993</x:v>
      </x:c>
      <x:c r="G125" s="8" t="str">
        <x:v>Current</x:v>
      </x:c>
    </x:row>
    <x:row r="126" ht="32" customHeight="1">
      <x:c r="A126" s="8" t="str">
        <x:v>drop:FC1:F1:fan:1:F233</x:v>
      </x:c>
      <x:c r="B126" s="8" t="n">
        <x:v>8</x:v>
      </x:c>
      <x:c r="C126" s="11" t="n">
        <x:v>21.225</x:v>
      </x:c>
      <x:c r="D126" s="11" t="n">
        <x:v>4.2</x:v>
      </x:c>
      <x:c r="E126" s="11" t="n">
        <x:v>3.6</x:v>
      </x:c>
      <x:c r="F126" s="11" t="n">
        <x:f>SQRT((C126-C125)^2+(D126-D125)^2+(E126-E125)^2)</x:f>
        <x:v>4.4799999999999995</x:v>
      </x:c>
      <x:c r="G126" s="8" t="str">
        <x:v>Current</x:v>
      </x:c>
    </x:row>
    <x:row r="127" ht="32" customHeight="1">
      <x:c r="A127" s="8" t="str">
        <x:v>drop:FC1:F1:fan:1:F235</x:v>
      </x:c>
      <x:c r="B127" s="8" t="n">
        <x:v>1</x:v>
      </x:c>
      <x:c r="C127" s="11" t="n">
        <x:v>27.03</x:v>
      </x:c>
      <x:c r="D127" s="11" t="n">
        <x:v>6.0040000000000004</x:v>
      </x:c>
      <x:c r="E127" s="11" t="n">
        <x:v>7.36</x:v>
      </x:c>
      <x:c r="F127" s="11" t="n">
        <x:f>0</x:f>
        <x:v>0</x:v>
      </x:c>
      <x:c r="G127" s="8" t="str">
        <x:v>Current</x:v>
      </x:c>
    </x:row>
    <x:row r="128" ht="32" customHeight="1">
      <x:c r="A128" s="8" t="str">
        <x:v>drop:FC1:F1:fan:1:F235</x:v>
      </x:c>
      <x:c r="B128" s="8" t="n">
        <x:v>2</x:v>
      </x:c>
      <x:c r="C128" s="11" t="n">
        <x:v>27.03</x:v>
      </x:c>
      <x:c r="D128" s="11" t="n">
        <x:v>7.04</x:v>
      </x:c>
      <x:c r="E128" s="11" t="n">
        <x:v>7.36</x:v>
      </x:c>
      <x:c r="F128" s="11" t="n">
        <x:f>SQRT((C128-C127)^2+(D128-D127)^2+(E128-E127)^2)</x:f>
        <x:v>1.0359999999999996</x:v>
      </x:c>
      <x:c r="G128" s="8" t="str">
        <x:v>Current</x:v>
      </x:c>
    </x:row>
    <x:row r="129" ht="32" customHeight="1">
      <x:c r="A129" s="8" t="str">
        <x:v>drop:FC1:F1:fan:1:F235</x:v>
      </x:c>
      <x:c r="B129" s="8" t="n">
        <x:v>3</x:v>
      </x:c>
      <x:c r="C129" s="11" t="n">
        <x:v>26.675</x:v>
      </x:c>
      <x:c r="D129" s="11" t="n">
        <x:v>7.04</x:v>
      </x:c>
      <x:c r="E129" s="11" t="n">
        <x:v>7.36</x:v>
      </x:c>
      <x:c r="F129" s="11" t="n">
        <x:f>SQRT((C129-C128)^2+(D129-D128)^2+(E129-E128)^2)</x:f>
        <x:v>0.3550000000000004</x:v>
      </x:c>
      <x:c r="G129" s="8" t="str">
        <x:v>Current</x:v>
      </x:c>
    </x:row>
    <x:row r="130" ht="32" customHeight="1">
      <x:c r="A130" s="8" t="str">
        <x:v>drop:FC1:F1:fan:1:F235</x:v>
      </x:c>
      <x:c r="B130" s="8" t="n">
        <x:v>4</x:v>
      </x:c>
      <x:c r="C130" s="11" t="n">
        <x:v>26.675</x:v>
      </x:c>
      <x:c r="D130" s="11" t="n">
        <x:v>9.642047554347826</x:v>
      </x:c>
      <x:c r="E130" s="11" t="n">
        <x:v>3.775</x:v>
      </x:c>
      <x:c r="F130" s="11" t="n">
        <x:f>SQRT((C130-C129)^2+(D130-D129)^2+(E130-E129)^2)</x:f>
        <x:v>4.429771605296091</x:v>
      </x:c>
      <x:c r="G130" s="8" t="str">
        <x:v>Current</x:v>
      </x:c>
    </x:row>
    <x:row r="131" ht="32" customHeight="1">
      <x:c r="A131" s="8" t="str">
        <x:v>drop:FC1:F1:fan:1:F235</x:v>
      </x:c>
      <x:c r="B131" s="8" t="n">
        <x:v>5</x:v>
      </x:c>
      <x:c r="C131" s="11" t="n">
        <x:v>26.675</x:v>
      </x:c>
      <x:c r="D131" s="11" t="n">
        <x:v>8.68</x:v>
      </x:c>
      <x:c r="E131" s="11" t="n">
        <x:v>3.775</x:v>
      </x:c>
      <x:c r="F131" s="11" t="n">
        <x:f>SQRT((C131-C130)^2+(D131-D130)^2+(E131-E130)^2)</x:f>
        <x:v>0.9620475543478264</x:v>
      </x:c>
      <x:c r="G131" s="8" t="str">
        <x:v>Current</x:v>
      </x:c>
    </x:row>
    <x:row r="132" ht="32" customHeight="1">
      <x:c r="A132" s="8" t="str">
        <x:v>drop:FC1:F1:fan:1:F235</x:v>
      </x:c>
      <x:c r="B132" s="8" t="n">
        <x:v>6</x:v>
      </x:c>
      <x:c r="C132" s="11" t="n">
        <x:v>26.675</x:v>
      </x:c>
      <x:c r="D132" s="11" t="n">
        <x:v>8.68</x:v>
      </x:c>
      <x:c r="E132" s="11" t="n">
        <x:v>3.6</x:v>
      </x:c>
      <x:c r="F132" s="11" t="n">
        <x:f>SQRT((C132-C131)^2+(D132-D131)^2+(E132-E131)^2)</x:f>
        <x:v>0.17499999999999982</x:v>
      </x:c>
      <x:c r="G132" s="8" t="str">
        <x:v>Current</x:v>
      </x:c>
    </x:row>
    <x:row r="133" ht="32" customHeight="1">
      <x:c r="A133" s="8" t="str">
        <x:v>drop:FC1:F1:fan:1:F235</x:v>
      </x:c>
      <x:c r="B133" s="8" t="n">
        <x:v>7</x:v>
      </x:c>
      <x:c r="C133" s="11" t="n">
        <x:v>25.725</x:v>
      </x:c>
      <x:c r="D133" s="11" t="n">
        <x:v>8.68</x:v>
      </x:c>
      <x:c r="E133" s="11" t="n">
        <x:v>3.6</x:v>
      </x:c>
      <x:c r="F133" s="11" t="n">
        <x:f>SQRT((C133-C132)^2+(D133-D132)^2+(E133-E132)^2)</x:f>
        <x:v>0.9499999999999993</x:v>
      </x:c>
      <x:c r="G133" s="8" t="str">
        <x:v>Current</x:v>
      </x:c>
    </x:row>
    <x:row r="134" ht="32" customHeight="1">
      <x:c r="A134" s="8" t="str">
        <x:v>drop:FC1:F1:fan:1:F235</x:v>
      </x:c>
      <x:c r="B134" s="8" t="n">
        <x:v>8</x:v>
      </x:c>
      <x:c r="C134" s="11" t="n">
        <x:v>25.725</x:v>
      </x:c>
      <x:c r="D134" s="11" t="n">
        <x:v>4.2</x:v>
      </x:c>
      <x:c r="E134" s="11" t="n">
        <x:v>3.6</x:v>
      </x:c>
      <x:c r="F134" s="11" t="n">
        <x:f>SQRT((C134-C133)^2+(D134-D133)^2+(E134-E133)^2)</x:f>
        <x:v>4.4799999999999995</x:v>
      </x:c>
      <x:c r="G134" s="8" t="str">
        <x:v>Current</x:v>
      </x:c>
    </x:row>
    <x:row r="135" ht="32" customHeight="1">
      <x:c r="A135" s="8" t="str">
        <x:v>drop:FC1:F1:fan:1:F237</x:v>
      </x:c>
      <x:c r="B135" s="8" t="n">
        <x:v>1</x:v>
      </x:c>
      <x:c r="C135" s="11" t="n">
        <x:v>31.53</x:v>
      </x:c>
      <x:c r="D135" s="11" t="n">
        <x:v>6.0040000000000004</x:v>
      </x:c>
      <x:c r="E135" s="11" t="n">
        <x:v>7.36</x:v>
      </x:c>
      <x:c r="F135" s="11" t="n">
        <x:f>0</x:f>
        <x:v>0</x:v>
      </x:c>
      <x:c r="G135" s="8" t="str">
        <x:v>Current</x:v>
      </x:c>
    </x:row>
    <x:row r="136" ht="32" customHeight="1">
      <x:c r="A136" s="8" t="str">
        <x:v>drop:FC1:F1:fan:1:F237</x:v>
      </x:c>
      <x:c r="B136" s="8" t="n">
        <x:v>2</x:v>
      </x:c>
      <x:c r="C136" s="11" t="n">
        <x:v>31.53</x:v>
      </x:c>
      <x:c r="D136" s="11" t="n">
        <x:v>7.04</x:v>
      </x:c>
      <x:c r="E136" s="11" t="n">
        <x:v>7.36</x:v>
      </x:c>
      <x:c r="F136" s="11" t="n">
        <x:f>SQRT((C136-C135)^2+(D136-D135)^2+(E136-E135)^2)</x:f>
        <x:v>1.0359999999999996</x:v>
      </x:c>
      <x:c r="G136" s="8" t="str">
        <x:v>Current</x:v>
      </x:c>
    </x:row>
    <x:row r="137" ht="32" customHeight="1">
      <x:c r="A137" s="8" t="str">
        <x:v>drop:FC1:F1:fan:1:F237</x:v>
      </x:c>
      <x:c r="B137" s="8" t="n">
        <x:v>3</x:v>
      </x:c>
      <x:c r="C137" s="11" t="n">
        <x:v>31.175</x:v>
      </x:c>
      <x:c r="D137" s="11" t="n">
        <x:v>7.04</x:v>
      </x:c>
      <x:c r="E137" s="11" t="n">
        <x:v>7.36</x:v>
      </x:c>
      <x:c r="F137" s="11" t="n">
        <x:f>SQRT((C137-C136)^2+(D137-D136)^2+(E137-E136)^2)</x:f>
        <x:v>0.3550000000000004</x:v>
      </x:c>
      <x:c r="G137" s="8" t="str">
        <x:v>Current</x:v>
      </x:c>
    </x:row>
    <x:row r="138" ht="32" customHeight="1">
      <x:c r="A138" s="8" t="str">
        <x:v>drop:FC1:F1:fan:1:F237</x:v>
      </x:c>
      <x:c r="B138" s="8" t="n">
        <x:v>4</x:v>
      </x:c>
      <x:c r="C138" s="11" t="n">
        <x:v>31.175</x:v>
      </x:c>
      <x:c r="D138" s="11" t="n">
        <x:v>9.642047554347826</x:v>
      </x:c>
      <x:c r="E138" s="11" t="n">
        <x:v>3.775</x:v>
      </x:c>
      <x:c r="F138" s="11" t="n">
        <x:f>SQRT((C138-C137)^2+(D138-D137)^2+(E138-E137)^2)</x:f>
        <x:v>4.429771605296091</x:v>
      </x:c>
      <x:c r="G138" s="8" t="str">
        <x:v>Current</x:v>
      </x:c>
    </x:row>
    <x:row r="139" ht="32" customHeight="1">
      <x:c r="A139" s="8" t="str">
        <x:v>drop:FC1:F1:fan:1:F237</x:v>
      </x:c>
      <x:c r="B139" s="8" t="n">
        <x:v>5</x:v>
      </x:c>
      <x:c r="C139" s="11" t="n">
        <x:v>31.175</x:v>
      </x:c>
      <x:c r="D139" s="11" t="n">
        <x:v>8.68</x:v>
      </x:c>
      <x:c r="E139" s="11" t="n">
        <x:v>3.775</x:v>
      </x:c>
      <x:c r="F139" s="11" t="n">
        <x:f>SQRT((C139-C138)^2+(D139-D138)^2+(E139-E138)^2)</x:f>
        <x:v>0.9620475543478264</x:v>
      </x:c>
      <x:c r="G139" s="8" t="str">
        <x:v>Current</x:v>
      </x:c>
    </x:row>
    <x:row r="140" ht="32" customHeight="1">
      <x:c r="A140" s="8" t="str">
        <x:v>drop:FC1:F1:fan:1:F237</x:v>
      </x:c>
      <x:c r="B140" s="8" t="n">
        <x:v>6</x:v>
      </x:c>
      <x:c r="C140" s="11" t="n">
        <x:v>31.175</x:v>
      </x:c>
      <x:c r="D140" s="11" t="n">
        <x:v>8.68</x:v>
      </x:c>
      <x:c r="E140" s="11" t="n">
        <x:v>3.6</x:v>
      </x:c>
      <x:c r="F140" s="11" t="n">
        <x:f>SQRT((C140-C139)^2+(D140-D139)^2+(E140-E139)^2)</x:f>
        <x:v>0.17499999999999982</x:v>
      </x:c>
      <x:c r="G140" s="8" t="str">
        <x:v>Current</x:v>
      </x:c>
    </x:row>
    <x:row r="141" ht="32" customHeight="1">
      <x:c r="A141" s="8" t="str">
        <x:v>drop:FC1:F1:fan:1:F237</x:v>
      </x:c>
      <x:c r="B141" s="8" t="n">
        <x:v>7</x:v>
      </x:c>
      <x:c r="C141" s="11" t="n">
        <x:v>30.225</x:v>
      </x:c>
      <x:c r="D141" s="11" t="n">
        <x:v>8.68</x:v>
      </x:c>
      <x:c r="E141" s="11" t="n">
        <x:v>3.6</x:v>
      </x:c>
      <x:c r="F141" s="11" t="n">
        <x:f>SQRT((C141-C140)^2+(D141-D140)^2+(E141-E140)^2)</x:f>
        <x:v>0.9499999999999993</x:v>
      </x:c>
      <x:c r="G141" s="8" t="str">
        <x:v>Current</x:v>
      </x:c>
    </x:row>
    <x:row r="142" ht="32" customHeight="1">
      <x:c r="A142" s="8" t="str">
        <x:v>drop:FC1:F1:fan:1:F237</x:v>
      </x:c>
      <x:c r="B142" s="8" t="n">
        <x:v>8</x:v>
      </x:c>
      <x:c r="C142" s="11" t="n">
        <x:v>30.225</x:v>
      </x:c>
      <x:c r="D142" s="11" t="n">
        <x:v>4.2</x:v>
      </x:c>
      <x:c r="E142" s="11" t="n">
        <x:v>3.6</x:v>
      </x:c>
      <x:c r="F142" s="11" t="n">
        <x:f>SQRT((C142-C141)^2+(D142-D141)^2+(E142-E141)^2)</x:f>
        <x:v>4.4799999999999995</x:v>
      </x:c>
      <x:c r="G142" s="8" t="str">
        <x:v>Current</x:v>
      </x:c>
    </x:row>
    <x:row r="143" ht="32" customHeight="1">
      <x:c r="A143" s="8" t="str">
        <x:v>drop:FC1:F1:fan:1:F239</x:v>
      </x:c>
      <x:c r="B143" s="8" t="n">
        <x:v>1</x:v>
      </x:c>
      <x:c r="C143" s="11" t="n">
        <x:v>36.02</x:v>
      </x:c>
      <x:c r="D143" s="11" t="n">
        <x:v>6.0040000000000004</x:v>
      </x:c>
      <x:c r="E143" s="11" t="n">
        <x:v>7.36</x:v>
      </x:c>
      <x:c r="F143" s="11" t="n">
        <x:f>0</x:f>
        <x:v>0</x:v>
      </x:c>
      <x:c r="G143" s="8" t="str">
        <x:v>Current</x:v>
      </x:c>
    </x:row>
    <x:row r="144" ht="32" customHeight="1">
      <x:c r="A144" s="8" t="str">
        <x:v>drop:FC1:F1:fan:1:F239</x:v>
      </x:c>
      <x:c r="B144" s="8" t="n">
        <x:v>2</x:v>
      </x:c>
      <x:c r="C144" s="11" t="n">
        <x:v>36.02</x:v>
      </x:c>
      <x:c r="D144" s="11" t="n">
        <x:v>7.04</x:v>
      </x:c>
      <x:c r="E144" s="11" t="n">
        <x:v>7.36</x:v>
      </x:c>
      <x:c r="F144" s="11" t="n">
        <x:f>SQRT((C144-C143)^2+(D144-D143)^2+(E144-E143)^2)</x:f>
        <x:v>1.0359999999999996</x:v>
      </x:c>
      <x:c r="G144" s="8" t="str">
        <x:v>Current</x:v>
      </x:c>
    </x:row>
    <x:row r="145" ht="32" customHeight="1">
      <x:c r="A145" s="8" t="str">
        <x:v>drop:FC1:F1:fan:1:F239</x:v>
      </x:c>
      <x:c r="B145" s="8" t="n">
        <x:v>3</x:v>
      </x:c>
      <x:c r="C145" s="11" t="n">
        <x:v>35.675000000000004</x:v>
      </x:c>
      <x:c r="D145" s="11" t="n">
        <x:v>7.04</x:v>
      </x:c>
      <x:c r="E145" s="11" t="n">
        <x:v>7.36</x:v>
      </x:c>
      <x:c r="F145" s="11" t="n">
        <x:f>SQRT((C145-C144)^2+(D145-D144)^2+(E145-E144)^2)</x:f>
        <x:v>0.34499999999999886</x:v>
      </x:c>
      <x:c r="G145" s="8" t="str">
        <x:v>Current</x:v>
      </x:c>
    </x:row>
    <x:row r="146" ht="32" customHeight="1">
      <x:c r="A146" s="8" t="str">
        <x:v>drop:FC1:F1:fan:1:F239</x:v>
      </x:c>
      <x:c r="B146" s="8" t="n">
        <x:v>4</x:v>
      </x:c>
      <x:c r="C146" s="11" t="n">
        <x:v>35.675000000000004</x:v>
      </x:c>
      <x:c r="D146" s="11" t="n">
        <x:v>9.642047554347826</x:v>
      </x:c>
      <x:c r="E146" s="11" t="n">
        <x:v>3.775</x:v>
      </x:c>
      <x:c r="F146" s="11" t="n">
        <x:f>SQRT((C146-C145)^2+(D146-D145)^2+(E146-E145)^2)</x:f>
        <x:v>4.429771605296091</x:v>
      </x:c>
      <x:c r="G146" s="8" t="str">
        <x:v>Current</x:v>
      </x:c>
    </x:row>
    <x:row r="147" ht="32" customHeight="1">
      <x:c r="A147" s="8" t="str">
        <x:v>drop:FC1:F1:fan:1:F239</x:v>
      </x:c>
      <x:c r="B147" s="8" t="n">
        <x:v>5</x:v>
      </x:c>
      <x:c r="C147" s="11" t="n">
        <x:v>35.675000000000004</x:v>
      </x:c>
      <x:c r="D147" s="11" t="n">
        <x:v>8.68</x:v>
      </x:c>
      <x:c r="E147" s="11" t="n">
        <x:v>3.775</x:v>
      </x:c>
      <x:c r="F147" s="11" t="n">
        <x:f>SQRT((C147-C146)^2+(D147-D146)^2+(E147-E146)^2)</x:f>
        <x:v>0.9620475543478264</x:v>
      </x:c>
      <x:c r="G147" s="8" t="str">
        <x:v>Current</x:v>
      </x:c>
    </x:row>
    <x:row r="148" ht="32" customHeight="1">
      <x:c r="A148" s="8" t="str">
        <x:v>drop:FC1:F1:fan:1:F239</x:v>
      </x:c>
      <x:c r="B148" s="8" t="n">
        <x:v>6</x:v>
      </x:c>
      <x:c r="C148" s="11" t="n">
        <x:v>35.675000000000004</x:v>
      </x:c>
      <x:c r="D148" s="11" t="n">
        <x:v>8.68</x:v>
      </x:c>
      <x:c r="E148" s="11" t="n">
        <x:v>3.6</x:v>
      </x:c>
      <x:c r="F148" s="11" t="n">
        <x:f>SQRT((C148-C147)^2+(D148-D147)^2+(E148-E147)^2)</x:f>
        <x:v>0.17499999999999982</x:v>
      </x:c>
      <x:c r="G148" s="8" t="str">
        <x:v>Current</x:v>
      </x:c>
    </x:row>
    <x:row r="149" ht="32" customHeight="1">
      <x:c r="A149" s="8" t="str">
        <x:v>drop:FC1:F1:fan:1:F239</x:v>
      </x:c>
      <x:c r="B149" s="8" t="n">
        <x:v>7</x:v>
      </x:c>
      <x:c r="C149" s="11" t="n">
        <x:v>34.725</x:v>
      </x:c>
      <x:c r="D149" s="11" t="n">
        <x:v>8.68</x:v>
      </x:c>
      <x:c r="E149" s="11" t="n">
        <x:v>3.6</x:v>
      </x:c>
      <x:c r="F149" s="11" t="n">
        <x:f>SQRT((C149-C148)^2+(D149-D148)^2+(E149-E148)^2)</x:f>
        <x:v>0.9500000000000028</x:v>
      </x:c>
      <x:c r="G149" s="8" t="str">
        <x:v>Current</x:v>
      </x:c>
    </x:row>
    <x:row r="150" ht="32" customHeight="1">
      <x:c r="A150" s="8" t="str">
        <x:v>drop:FC1:F1:fan:1:F239</x:v>
      </x:c>
      <x:c r="B150" s="8" t="n">
        <x:v>8</x:v>
      </x:c>
      <x:c r="C150" s="11" t="n">
        <x:v>34.725</x:v>
      </x:c>
      <x:c r="D150" s="11" t="n">
        <x:v>4.2</x:v>
      </x:c>
      <x:c r="E150" s="11" t="n">
        <x:v>3.6</x:v>
      </x:c>
      <x:c r="F150" s="11" t="n">
        <x:f>SQRT((C150-C149)^2+(D150-D149)^2+(E150-E149)^2)</x:f>
        <x:v>4.4799999999999995</x:v>
      </x:c>
      <x:c r="G150" s="8" t="str">
        <x:v>Current</x:v>
      </x:c>
    </x:row>
    <x:row r="151" ht="32" customHeight="1">
      <x:c r="A151" s="8" t="str">
        <x:v>trunk:FC1:F5:fan:-1</x:v>
      </x:c>
      <x:c r="B151" s="8" t="n">
        <x:v>1</x:v>
      </x:c>
      <x:c r="C151" s="11" t="n">
        <x:v>48.895</x:v>
      </x:c>
      <x:c r="D151" s="11" t="n">
        <x:v>1.95</x:v>
      </x:c>
      <x:c r="E151" s="11" t="n">
        <x:v>0.4</x:v>
      </x:c>
      <x:c r="F151" s="11" t="n">
        <x:f>0</x:f>
        <x:v>0</x:v>
      </x:c>
      <x:c r="G151" s="8" t="str">
        <x:v>Current</x:v>
      </x:c>
    </x:row>
    <x:row r="152" ht="32" customHeight="1">
      <x:c r="A152" s="8" t="str">
        <x:v>trunk:FC1:F5:fan:-1</x:v>
      </x:c>
      <x:c r="B152" s="8" t="n">
        <x:v>2</x:v>
      </x:c>
      <x:c r="C152" s="11" t="n">
        <x:v>48.735</x:v>
      </x:c>
      <x:c r="D152" s="11" t="n">
        <x:v>1.95</x:v>
      </x:c>
      <x:c r="E152" s="11" t="n">
        <x:v>0.4</x:v>
      </x:c>
      <x:c r="F152" s="11" t="n">
        <x:f>SQRT((C152-C151)^2+(D152-D151)^2+(E152-E151)^2)</x:f>
        <x:v>0.1600000000000037</x:v>
      </x:c>
      <x:c r="G152" s="8" t="str">
        <x:v>Current</x:v>
      </x:c>
    </x:row>
    <x:row r="153" ht="32" customHeight="1">
      <x:c r="A153" s="8" t="str">
        <x:v>trunk:FC1:F5:fan:-1</x:v>
      </x:c>
      <x:c r="B153" s="8" t="n">
        <x:v>3</x:v>
      </x:c>
      <x:c r="C153" s="11" t="n">
        <x:v>48.735</x:v>
      </x:c>
      <x:c r="D153" s="11" t="n">
        <x:v>1.95</x:v>
      </x:c>
      <x:c r="E153" s="11" t="n">
        <x:v>-2.24</x:v>
      </x:c>
      <x:c r="F153" s="11" t="n">
        <x:f>SQRT((C153-C152)^2+(D153-D152)^2+(E153-E152)^2)</x:f>
        <x:v>2.64</x:v>
      </x:c>
      <x:c r="G153" s="8" t="str">
        <x:v>Current</x:v>
      </x:c>
    </x:row>
    <x:row r="154" ht="32" customHeight="1">
      <x:c r="A154" s="8" t="str">
        <x:v>trunk:FC1:F5:fan:-1</x:v>
      </x:c>
      <x:c r="B154" s="8" t="n">
        <x:v>4</x:v>
      </x:c>
      <x:c r="C154" s="11" t="n">
        <x:v>48.735</x:v>
      </x:c>
      <x:c r="D154" s="11" t="n">
        <x:v>4.33</x:v>
      </x:c>
      <x:c r="E154" s="11" t="n">
        <x:v>-2.24</x:v>
      </x:c>
      <x:c r="F154" s="11" t="n">
        <x:f>SQRT((C154-C153)^2+(D154-D153)^2+(E154-E153)^2)</x:f>
        <x:v>2.38</x:v>
      </x:c>
      <x:c r="G154" s="8" t="str">
        <x:v>Current</x:v>
      </x:c>
    </x:row>
    <x:row r="155" ht="32" customHeight="1">
      <x:c r="A155" s="8" t="str">
        <x:v>trunk:FC1:F5:fan:-1</x:v>
      </x:c>
      <x:c r="B155" s="8" t="n">
        <x:v>5</x:v>
      </x:c>
      <x:c r="C155" s="11" t="n">
        <x:v>48.735</x:v>
      </x:c>
      <x:c r="D155" s="11" t="n">
        <x:v>4.33</x:v>
      </x:c>
      <x:c r="E155" s="11" t="n">
        <x:v>-3.3</x:v>
      </x:c>
      <x:c r="F155" s="11" t="n">
        <x:f>SQRT((C155-C154)^2+(D155-D154)^2+(E155-E154)^2)</x:f>
        <x:v>1.0599999999999996</x:v>
      </x:c>
      <x:c r="G155" s="8" t="str">
        <x:v>Current</x:v>
      </x:c>
    </x:row>
    <x:row r="156" ht="32" customHeight="1">
      <x:c r="A156" s="8" t="str">
        <x:v>trunk:FC1:F5:fan:-1</x:v>
      </x:c>
      <x:c r="B156" s="8" t="n">
        <x:v>6</x:v>
      </x:c>
      <x:c r="C156" s="11" t="n">
        <x:v>53.016</x:v>
      </x:c>
      <x:c r="D156" s="11" t="n">
        <x:v>4.33</x:v>
      </x:c>
      <x:c r="E156" s="11" t="n">
        <x:v>-3.3</x:v>
      </x:c>
      <x:c r="F156" s="11" t="n">
        <x:f>SQRT((C156-C155)^2+(D156-D155)^2+(E156-E155)^2)</x:f>
        <x:v>4.280999999999999</x:v>
      </x:c>
      <x:c r="G156" s="8" t="str">
        <x:v>Current</x:v>
      </x:c>
    </x:row>
    <x:row r="157" ht="32" customHeight="1">
      <x:c r="A157" s="8" t="str">
        <x:v>trunk:FC1:F5:fan:-1</x:v>
      </x:c>
      <x:c r="B157" s="8" t="n">
        <x:v>7</x:v>
      </x:c>
      <x:c r="C157" s="11" t="n">
        <x:v>53.016</x:v>
      </x:c>
      <x:c r="D157" s="11" t="n">
        <x:v>6.1000000000000005</x:v>
      </x:c>
      <x:c r="E157" s="11" t="n">
        <x:v>-3.3</x:v>
      </x:c>
      <x:c r="F157" s="11" t="n">
        <x:f>SQRT((C157-C156)^2+(D157-D156)^2+(E157-E156)^2)</x:f>
        <x:v>1.7700000000000005</x:v>
      </x:c>
      <x:c r="G157" s="8" t="str">
        <x:v>Current</x:v>
      </x:c>
    </x:row>
    <x:row r="158" ht="32" customHeight="1">
      <x:c r="A158" s="8" t="str">
        <x:v>trunk:FC1:F5:fan:-1</x:v>
      </x:c>
      <x:c r="B158" s="8" t="n">
        <x:v>8</x:v>
      </x:c>
      <x:c r="C158" s="11" t="n">
        <x:v>53.016</x:v>
      </x:c>
      <x:c r="D158" s="11" t="n">
        <x:v>6.1000000000000005</x:v>
      </x:c>
      <x:c r="E158" s="11" t="n">
        <x:v>-7.36</x:v>
      </x:c>
      <x:c r="F158" s="11" t="n">
        <x:f>SQRT((C158-C157)^2+(D158-D157)^2+(E158-E157)^2)</x:f>
        <x:v>4.0600000000000005</x:v>
      </x:c>
      <x:c r="G158" s="8" t="str">
        <x:v>Current</x:v>
      </x:c>
    </x:row>
    <x:row r="159" ht="32" customHeight="1">
      <x:c r="A159" s="8" t="str">
        <x:v>trunk:FC1:F5:fan:-1</x:v>
      </x:c>
      <x:c r="B159" s="8" t="n">
        <x:v>9</x:v>
      </x:c>
      <x:c r="C159" s="11" t="n">
        <x:v>44.175</x:v>
      </x:c>
      <x:c r="D159" s="11" t="n">
        <x:v>6.1000000000000005</x:v>
      </x:c>
      <x:c r="E159" s="11" t="n">
        <x:v>-7.36</x:v>
      </x:c>
      <x:c r="F159" s="11" t="n">
        <x:f>SQRT((C159-C158)^2+(D159-D158)^2+(E159-E158)^2)</x:f>
        <x:v>8.841000000000001</x:v>
      </x:c>
      <x:c r="G159" s="8" t="str">
        <x:v>Current</x:v>
      </x:c>
    </x:row>
    <x:row r="160" ht="32" customHeight="1">
      <x:c r="A160" s="8" t="str">
        <x:v>trunk:FC1:F5:fan:-1</x:v>
      </x:c>
      <x:c r="B160" s="8" t="n">
        <x:v>10</x:v>
      </x:c>
      <x:c r="C160" s="11" t="n">
        <x:v>44.175</x:v>
      </x:c>
      <x:c r="D160" s="11" t="n">
        <x:v>7.04</x:v>
      </x:c>
      <x:c r="E160" s="11" t="n">
        <x:v>-7.36</x:v>
      </x:c>
      <x:c r="F160" s="11" t="n">
        <x:f>SQRT((C160-C159)^2+(D160-D159)^2+(E160-E159)^2)</x:f>
        <x:v>0.9399999999999995</x:v>
      </x:c>
      <x:c r="G160" s="8" t="str">
        <x:v>Current</x:v>
      </x:c>
    </x:row>
    <x:row r="161" ht="32" customHeight="1">
      <x:c r="A161" s="8" t="str">
        <x:v>trunk:FC1:F5:fan:-1</x:v>
      </x:c>
      <x:c r="B161" s="8" t="n">
        <x:v>11</x:v>
      </x:c>
      <x:c r="C161" s="11" t="n">
        <x:v>43.535</x:v>
      </x:c>
      <x:c r="D161" s="11" t="n">
        <x:v>7.04</x:v>
      </x:c>
      <x:c r="E161" s="11" t="n">
        <x:v>-7.36</x:v>
      </x:c>
      <x:c r="F161" s="11" t="n">
        <x:f>SQRT((C161-C160)^2+(D161-D160)^2+(E161-E160)^2)</x:f>
        <x:v>0.6400000000000006</x:v>
      </x:c>
      <x:c r="G161" s="8" t="str">
        <x:v>Current</x:v>
      </x:c>
    </x:row>
    <x:row r="162" ht="32" customHeight="1">
      <x:c r="A162" s="8" t="str">
        <x:v>trunk:FC1:F5:fan:-1</x:v>
      </x:c>
      <x:c r="B162" s="8" t="n">
        <x:v>12</x:v>
      </x:c>
      <x:c r="C162" s="11" t="n">
        <x:v>43.455</x:v>
      </x:c>
      <x:c r="D162" s="11" t="n">
        <x:v>6.950412371134024</x:v>
      </x:c>
      <x:c r="E162" s="11" t="n">
        <x:v>-7.36</x:v>
      </x:c>
      <x:c r="F162" s="11" t="n">
        <x:f>SQRT((C162-C161)^2+(D162-D161)^2+(E162-E161)^2)</x:f>
        <x:v>0.12010804821421249</x:v>
      </x:c>
      <x:c r="G162" s="8" t="str">
        <x:v>Current</x:v>
      </x:c>
    </x:row>
    <x:row r="163" ht="32" customHeight="1">
      <x:c r="A163" s="8" t="str">
        <x:v>trunk:FC1:F5:fan:-1</x:v>
      </x:c>
      <x:c r="B163" s="8" t="n">
        <x:v>13</x:v>
      </x:c>
      <x:c r="C163" s="11" t="n">
        <x:v>40.574999999999996</x:v>
      </x:c>
      <x:c r="D163" s="11" t="n">
        <x:v>9.269999999999994</x:v>
      </x:c>
      <x:c r="E163" s="11" t="n">
        <x:v>-7.36</x:v>
      </x:c>
      <x:c r="F163" s="11" t="n">
        <x:f>SQRT((C163-C162)^2+(D163-D162)^2+(E163-E162)^2)</x:f>
        <x:v>3.6979571073753776</x:v>
      </x:c>
      <x:c r="G163" s="8" t="str">
        <x:v>Current</x:v>
      </x:c>
    </x:row>
    <x:row r="164" ht="32" customHeight="1">
      <x:c r="A164" s="8" t="str">
        <x:v>trunk:FC1:F5:fan:-1</x:v>
      </x:c>
      <x:c r="B164" s="8" t="n">
        <x:v>14</x:v>
      </x:c>
      <x:c r="C164" s="11" t="n">
        <x:v>38.05</x:v>
      </x:c>
      <x:c r="D164" s="11" t="n">
        <x:v>7.236333762886593</x:v>
      </x:c>
      <x:c r="E164" s="11" t="n">
        <x:v>-7.36</x:v>
      </x:c>
      <x:c r="F164" s="11" t="n">
        <x:f>SQRT((C164-C163)^2+(D164-D163)^2+(E164-E163)^2)</x:f>
        <x:v>3.2421325333759836</x:v>
      </x:c>
      <x:c r="G164" s="8" t="str">
        <x:v>Current</x:v>
      </x:c>
    </x:row>
    <x:row r="165" ht="32" customHeight="1">
      <x:c r="A165" s="8" t="str">
        <x:v>drop:FC1:F5:fan:-1:F240</x:v>
      </x:c>
      <x:c r="B165" s="8" t="n">
        <x:v>1</x:v>
      </x:c>
      <x:c r="C165" s="11" t="n">
        <x:v>38.05</x:v>
      </x:c>
      <x:c r="D165" s="11" t="n">
        <x:v>7.236333762886593</x:v>
      </x:c>
      <x:c r="E165" s="11" t="n">
        <x:v>-7.36</x:v>
      </x:c>
      <x:c r="F165" s="11" t="n">
        <x:f>0</x:f>
        <x:v>0</x:v>
      </x:c>
      <x:c r="G165" s="8" t="str">
        <x:v>Current</x:v>
      </x:c>
    </x:row>
    <x:row r="166" ht="32" customHeight="1">
      <x:c r="A166" s="8" t="str">
        <x:v>drop:FC1:F5:fan:-1:F240</x:v>
      </x:c>
      <x:c r="B166" s="8" t="n">
        <x:v>2</x:v>
      </x:c>
      <x:c r="C166" s="11" t="n">
        <x:v>38.05</x:v>
      </x:c>
      <x:c r="D166" s="11" t="n">
        <x:v>7.236333762886593</x:v>
      </x:c>
      <x:c r="E166" s="11" t="n">
        <x:v>-13.249</x:v>
      </x:c>
      <x:c r="F166" s="11" t="n">
        <x:f>SQRT((C166-C165)^2+(D166-D165)^2+(E166-E165)^2)</x:f>
        <x:v>5.889</x:v>
      </x:c>
      <x:c r="G166" s="8" t="str">
        <x:v>Current</x:v>
      </x:c>
    </x:row>
    <x:row r="167" ht="32" customHeight="1">
      <x:c r="A167" s="8" t="str">
        <x:v>drop:FC1:F5:fan:-1:F240</x:v>
      </x:c>
      <x:c r="B167" s="8" t="n">
        <x:v>3</x:v>
      </x:c>
      <x:c r="C167" s="11" t="n">
        <x:v>38.05</x:v>
      </x:c>
      <x:c r="D167" s="11" t="n">
        <x:v>4.05</x:v>
      </x:c>
      <x:c r="E167" s="11" t="n">
        <x:v>-13.249</x:v>
      </x:c>
      <x:c r="F167" s="11" t="n">
        <x:f>SQRT((C167-C166)^2+(D167-D166)^2+(E167-E166)^2)</x:f>
        <x:v>3.1863337628865933</x:v>
      </x:c>
      <x:c r="G167" s="8" t="str">
        <x:v>Current</x:v>
      </x:c>
    </x:row>
    <x:row r="168" ht="32" customHeight="1">
      <x:c r="A168" s="8" t="str">
        <x:v>drop:FC1:F5:fan:-1:F240</x:v>
      </x:c>
      <x:c r="B168" s="8" t="n">
        <x:v>4</x:v>
      </x:c>
      <x:c r="C168" s="11" t="n">
        <x:v>38.05</x:v>
      </x:c>
      <x:c r="D168" s="11" t="n">
        <x:v>4.05</x:v>
      </x:c>
      <x:c r="E168" s="11" t="n">
        <x:v>-13.06</x:v>
      </x:c>
      <x:c r="F168" s="11" t="n">
        <x:f>SQRT((C168-C167)^2+(D168-D167)^2+(E168-E167)^2)</x:f>
        <x:v>0.18900000000000006</x:v>
      </x:c>
      <x:c r="G168" s="8" t="str">
        <x:v>Current</x:v>
      </x:c>
    </x:row>
    <x:row r="169" ht="32" customHeight="1">
      <x:c r="A169" s="8" t="str">
        <x:v>drop:FC1:F5:fan:-1:F241</x:v>
      </x:c>
      <x:c r="B169" s="8" t="n">
        <x:v>1</x:v>
      </x:c>
      <x:c r="C169" s="11" t="n">
        <x:v>43.1</x:v>
      </x:c>
      <x:c r="D169" s="11" t="n">
        <x:v>7.236333762886598</x:v>
      </x:c>
      <x:c r="E169" s="11" t="n">
        <x:v>-7.36</x:v>
      </x:c>
      <x:c r="F169" s="11" t="n">
        <x:f>0</x:f>
        <x:v>0</x:v>
      </x:c>
      <x:c r="G169" s="8" t="str">
        <x:v>Current</x:v>
      </x:c>
    </x:row>
    <x:row r="170" ht="32" customHeight="1">
      <x:c r="A170" s="8" t="str">
        <x:v>drop:FC1:F5:fan:-1:F241</x:v>
      </x:c>
      <x:c r="B170" s="8" t="n">
        <x:v>2</x:v>
      </x:c>
      <x:c r="C170" s="11" t="n">
        <x:v>43.1</x:v>
      </x:c>
      <x:c r="D170" s="11" t="n">
        <x:v>7.2363337628865985</x:v>
      </x:c>
      <x:c r="E170" s="11" t="n">
        <x:v>-13.249</x:v>
      </x:c>
      <x:c r="F170" s="11" t="n">
        <x:f>SQRT((C170-C169)^2+(D170-D169)^2+(E170-E169)^2)</x:f>
        <x:v>5.889</x:v>
      </x:c>
      <x:c r="G170" s="8" t="str">
        <x:v>Current</x:v>
      </x:c>
    </x:row>
    <x:row r="171" ht="32" customHeight="1">
      <x:c r="A171" s="8" t="str">
        <x:v>drop:FC1:F5:fan:-1:F241</x:v>
      </x:c>
      <x:c r="B171" s="8" t="n">
        <x:v>3</x:v>
      </x:c>
      <x:c r="C171" s="11" t="n">
        <x:v>43.1</x:v>
      </x:c>
      <x:c r="D171" s="11" t="n">
        <x:v>4.05</x:v>
      </x:c>
      <x:c r="E171" s="11" t="n">
        <x:v>-13.249</x:v>
      </x:c>
      <x:c r="F171" s="11" t="n">
        <x:f>SQRT((C171-C170)^2+(D171-D170)^2+(E171-E170)^2)</x:f>
        <x:v>3.1863337628865986</x:v>
      </x:c>
      <x:c r="G171" s="8" t="str">
        <x:v>Current</x:v>
      </x:c>
    </x:row>
    <x:row r="172" ht="32" customHeight="1">
      <x:c r="A172" s="8" t="str">
        <x:v>drop:FC1:F5:fan:-1:F241</x:v>
      </x:c>
      <x:c r="B172" s="8" t="n">
        <x:v>4</x:v>
      </x:c>
      <x:c r="C172" s="11" t="n">
        <x:v>43.1</x:v>
      </x:c>
      <x:c r="D172" s="11" t="n">
        <x:v>4.05</x:v>
      </x:c>
      <x:c r="E172" s="11" t="n">
        <x:v>-13.06</x:v>
      </x:c>
      <x:c r="F172" s="11" t="n">
        <x:f>SQRT((C172-C171)^2+(D172-D171)^2+(E172-E171)^2)</x:f>
        <x:v>0.18900000000000006</x:v>
      </x:c>
      <x:c r="G172" s="8" t="str">
        <x:v>Current</x:v>
      </x:c>
    </x:row>
    <x:row r="173" ht="32" customHeight="1">
      <x:c r="A173" s="8" t="str">
        <x:v>trunk:FC1:F5:fan:1</x:v>
      </x:c>
      <x:c r="B173" s="8" t="n">
        <x:v>1</x:v>
      </x:c>
      <x:c r="C173" s="11" t="n">
        <x:v>48.895</x:v>
      </x:c>
      <x:c r="D173" s="11" t="n">
        <x:v>1.95</x:v>
      </x:c>
      <x:c r="E173" s="11" t="n">
        <x:v>0.4</x:v>
      </x:c>
      <x:c r="F173" s="11" t="n">
        <x:f>0</x:f>
        <x:v>0</x:v>
      </x:c>
      <x:c r="G173" s="8" t="str">
        <x:v>Current</x:v>
      </x:c>
    </x:row>
    <x:row r="174" ht="32" customHeight="1">
      <x:c r="A174" s="8" t="str">
        <x:v>trunk:FC1:F5:fan:1</x:v>
      </x:c>
      <x:c r="B174" s="8" t="n">
        <x:v>2</x:v>
      </x:c>
      <x:c r="C174" s="11" t="n">
        <x:v>48.735</x:v>
      </x:c>
      <x:c r="D174" s="11" t="n">
        <x:v>1.95</x:v>
      </x:c>
      <x:c r="E174" s="11" t="n">
        <x:v>0.4</x:v>
      </x:c>
      <x:c r="F174" s="11" t="n">
        <x:f>SQRT((C174-C173)^2+(D174-D173)^2+(E174-E173)^2)</x:f>
        <x:v>0.1600000000000037</x:v>
      </x:c>
      <x:c r="G174" s="8" t="str">
        <x:v>Current</x:v>
      </x:c>
    </x:row>
    <x:row r="175" ht="32" customHeight="1">
      <x:c r="A175" s="8" t="str">
        <x:v>trunk:FC1:F5:fan:1</x:v>
      </x:c>
      <x:c r="B175" s="8" t="n">
        <x:v>3</x:v>
      </x:c>
      <x:c r="C175" s="11" t="n">
        <x:v>48.735</x:v>
      </x:c>
      <x:c r="D175" s="11" t="n">
        <x:v>1.95</x:v>
      </x:c>
      <x:c r="E175" s="11" t="n">
        <x:v>-2.24</x:v>
      </x:c>
      <x:c r="F175" s="11" t="n">
        <x:f>SQRT((C175-C174)^2+(D175-D174)^2+(E175-E174)^2)</x:f>
        <x:v>2.64</x:v>
      </x:c>
      <x:c r="G175" s="8" t="str">
        <x:v>Current</x:v>
      </x:c>
    </x:row>
    <x:row r="176" ht="32" customHeight="1">
      <x:c r="A176" s="8" t="str">
        <x:v>trunk:FC1:F5:fan:1</x:v>
      </x:c>
      <x:c r="B176" s="8" t="n">
        <x:v>4</x:v>
      </x:c>
      <x:c r="C176" s="11" t="n">
        <x:v>48.735</x:v>
      </x:c>
      <x:c r="D176" s="11" t="n">
        <x:v>4.33</x:v>
      </x:c>
      <x:c r="E176" s="11" t="n">
        <x:v>-2.24</x:v>
      </x:c>
      <x:c r="F176" s="11" t="n">
        <x:f>SQRT((C176-C175)^2+(D176-D175)^2+(E176-E175)^2)</x:f>
        <x:v>2.38</x:v>
      </x:c>
      <x:c r="G176" s="8" t="str">
        <x:v>Current</x:v>
      </x:c>
    </x:row>
    <x:row r="177" ht="32" customHeight="1">
      <x:c r="A177" s="8" t="str">
        <x:v>trunk:FC1:F5:fan:1</x:v>
      </x:c>
      <x:c r="B177" s="8" t="n">
        <x:v>5</x:v>
      </x:c>
      <x:c r="C177" s="11" t="n">
        <x:v>48.735</x:v>
      </x:c>
      <x:c r="D177" s="11" t="n">
        <x:v>4.33</x:v>
      </x:c>
      <x:c r="E177" s="11" t="n">
        <x:v>-3.3</x:v>
      </x:c>
      <x:c r="F177" s="11" t="n">
        <x:f>SQRT((C177-C176)^2+(D177-D176)^2+(E177-E176)^2)</x:f>
        <x:v>1.0599999999999996</x:v>
      </x:c>
      <x:c r="G177" s="8" t="str">
        <x:v>Current</x:v>
      </x:c>
    </x:row>
    <x:row r="178" ht="32" customHeight="1">
      <x:c r="A178" s="8" t="str">
        <x:v>trunk:FC1:F5:fan:1</x:v>
      </x:c>
      <x:c r="B178" s="8" t="n">
        <x:v>6</x:v>
      </x:c>
      <x:c r="C178" s="11" t="n">
        <x:v>53.016</x:v>
      </x:c>
      <x:c r="D178" s="11" t="n">
        <x:v>4.33</x:v>
      </x:c>
      <x:c r="E178" s="11" t="n">
        <x:v>-3.3</x:v>
      </x:c>
      <x:c r="F178" s="11" t="n">
        <x:f>SQRT((C178-C177)^2+(D178-D177)^2+(E178-E177)^2)</x:f>
        <x:v>4.280999999999999</x:v>
      </x:c>
      <x:c r="G178" s="8" t="str">
        <x:v>Current</x:v>
      </x:c>
    </x:row>
    <x:row r="179" ht="32" customHeight="1">
      <x:c r="A179" s="8" t="str">
        <x:v>trunk:FC1:F5:fan:1</x:v>
      </x:c>
      <x:c r="B179" s="8" t="n">
        <x:v>7</x:v>
      </x:c>
      <x:c r="C179" s="11" t="n">
        <x:v>53.016</x:v>
      </x:c>
      <x:c r="D179" s="11" t="n">
        <x:v>6.1000000000000005</x:v>
      </x:c>
      <x:c r="E179" s="11" t="n">
        <x:v>-3.3</x:v>
      </x:c>
      <x:c r="F179" s="11" t="n">
        <x:f>SQRT((C179-C178)^2+(D179-D178)^2+(E179-E178)^2)</x:f>
        <x:v>1.7700000000000005</x:v>
      </x:c>
      <x:c r="G179" s="8" t="str">
        <x:v>Current</x:v>
      </x:c>
    </x:row>
    <x:row r="180" ht="32" customHeight="1">
      <x:c r="A180" s="8" t="str">
        <x:v>trunk:FC1:F5:fan:1</x:v>
      </x:c>
      <x:c r="B180" s="8" t="n">
        <x:v>8</x:v>
      </x:c>
      <x:c r="C180" s="11" t="n">
        <x:v>53.016</x:v>
      </x:c>
      <x:c r="D180" s="11" t="n">
        <x:v>6.1000000000000005</x:v>
      </x:c>
      <x:c r="E180" s="11" t="n">
        <x:v>7.36</x:v>
      </x:c>
      <x:c r="F180" s="11" t="n">
        <x:f>SQRT((C180-C179)^2+(D180-D179)^2+(E180-E179)^2)</x:f>
        <x:v>10.66</x:v>
      </x:c>
      <x:c r="G180" s="8" t="str">
        <x:v>Current</x:v>
      </x:c>
    </x:row>
    <x:row r="181" ht="32" customHeight="1">
      <x:c r="A181" s="8" t="str">
        <x:v>trunk:FC1:F5:fan:1</x:v>
      </x:c>
      <x:c r="B181" s="8" t="n">
        <x:v>9</x:v>
      </x:c>
      <x:c r="C181" s="11" t="n">
        <x:v>44.175</x:v>
      </x:c>
      <x:c r="D181" s="11" t="n">
        <x:v>6.1000000000000005</x:v>
      </x:c>
      <x:c r="E181" s="11" t="n">
        <x:v>7.36</x:v>
      </x:c>
      <x:c r="F181" s="11" t="n">
        <x:f>SQRT((C181-C180)^2+(D181-D180)^2+(E181-E180)^2)</x:f>
        <x:v>8.841000000000001</x:v>
      </x:c>
      <x:c r="G181" s="8" t="str">
        <x:v>Current</x:v>
      </x:c>
    </x:row>
    <x:row r="182" ht="32" customHeight="1">
      <x:c r="A182" s="8" t="str">
        <x:v>trunk:FC1:F5:fan:1</x:v>
      </x:c>
      <x:c r="B182" s="8" t="n">
        <x:v>10</x:v>
      </x:c>
      <x:c r="C182" s="11" t="n">
        <x:v>44.175</x:v>
      </x:c>
      <x:c r="D182" s="11" t="n">
        <x:v>7.04</x:v>
      </x:c>
      <x:c r="E182" s="11" t="n">
        <x:v>7.36</x:v>
      </x:c>
      <x:c r="F182" s="11" t="n">
        <x:f>SQRT((C182-C181)^2+(D182-D181)^2+(E182-E181)^2)</x:f>
        <x:v>0.9399999999999995</x:v>
      </x:c>
      <x:c r="G182" s="8" t="str">
        <x:v>Current</x:v>
      </x:c>
    </x:row>
    <x:row r="183" ht="32" customHeight="1">
      <x:c r="A183" s="8" t="str">
        <x:v>trunk:FC1:F5:fan:1</x:v>
      </x:c>
      <x:c r="B183" s="8" t="n">
        <x:v>11</x:v>
      </x:c>
      <x:c r="C183" s="11" t="n">
        <x:v>43.535</x:v>
      </x:c>
      <x:c r="D183" s="11" t="n">
        <x:v>7.04</x:v>
      </x:c>
      <x:c r="E183" s="11" t="n">
        <x:v>7.36</x:v>
      </x:c>
      <x:c r="F183" s="11" t="n">
        <x:f>SQRT((C183-C182)^2+(D183-D182)^2+(E183-E182)^2)</x:f>
        <x:v>0.6400000000000006</x:v>
      </x:c>
      <x:c r="G183" s="8" t="str">
        <x:v>Current</x:v>
      </x:c>
    </x:row>
    <x:row r="184" ht="32" customHeight="1">
      <x:c r="A184" s="8" t="str">
        <x:v>trunk:FC1:F5:fan:1</x:v>
      </x:c>
      <x:c r="B184" s="8" t="n">
        <x:v>12</x:v>
      </x:c>
      <x:c r="C184" s="11" t="n">
        <x:v>43.455</x:v>
      </x:c>
      <x:c r="D184" s="11" t="n">
        <x:v>6.950412371134024</x:v>
      </x:c>
      <x:c r="E184" s="11" t="n">
        <x:v>7.36</x:v>
      </x:c>
      <x:c r="F184" s="11" t="n">
        <x:f>SQRT((C184-C183)^2+(D184-D183)^2+(E184-E183)^2)</x:f>
        <x:v>0.12010804821421249</x:v>
      </x:c>
      <x:c r="G184" s="8" t="str">
        <x:v>Current</x:v>
      </x:c>
    </x:row>
    <x:row r="185" ht="32" customHeight="1">
      <x:c r="A185" s="8" t="str">
        <x:v>trunk:FC1:F5:fan:1</x:v>
      </x:c>
      <x:c r="B185" s="8" t="n">
        <x:v>13</x:v>
      </x:c>
      <x:c r="C185" s="11" t="n">
        <x:v>40.574999999999996</x:v>
      </x:c>
      <x:c r="D185" s="11" t="n">
        <x:v>9.269999999999994</x:v>
      </x:c>
      <x:c r="E185" s="11" t="n">
        <x:v>7.36</x:v>
      </x:c>
      <x:c r="F185" s="11" t="n">
        <x:f>SQRT((C185-C184)^2+(D185-D184)^2+(E185-E184)^2)</x:f>
        <x:v>3.6979571073753776</x:v>
      </x:c>
      <x:c r="G185" s="8" t="str">
        <x:v>Current</x:v>
      </x:c>
    </x:row>
    <x:row r="186" ht="32" customHeight="1">
      <x:c r="A186" s="8" t="str">
        <x:v>trunk:FC1:F5:fan:1</x:v>
      </x:c>
      <x:c r="B186" s="8" t="n">
        <x:v>14</x:v>
      </x:c>
      <x:c r="C186" s="11" t="n">
        <x:v>38.05</x:v>
      </x:c>
      <x:c r="D186" s="11" t="n">
        <x:v>7.236333762886593</x:v>
      </x:c>
      <x:c r="E186" s="11" t="n">
        <x:v>7.36</x:v>
      </x:c>
      <x:c r="F186" s="11" t="n">
        <x:f>SQRT((C186-C185)^2+(D186-D185)^2+(E186-E185)^2)</x:f>
        <x:v>3.2421325333759836</x:v>
      </x:c>
      <x:c r="G186" s="8" t="str">
        <x:v>Current</x:v>
      </x:c>
    </x:row>
    <x:row r="187" ht="32" customHeight="1">
      <x:c r="A187" s="8" t="str">
        <x:v>drop:FC1:F5:fan:1:F242</x:v>
      </x:c>
      <x:c r="B187" s="8" t="n">
        <x:v>1</x:v>
      </x:c>
      <x:c r="C187" s="11" t="n">
        <x:v>38.05</x:v>
      </x:c>
      <x:c r="D187" s="11" t="n">
        <x:v>7.236333762886593</x:v>
      </x:c>
      <x:c r="E187" s="11" t="n">
        <x:v>7.36</x:v>
      </x:c>
      <x:c r="F187" s="11" t="n">
        <x:f>0</x:f>
        <x:v>0</x:v>
      </x:c>
      <x:c r="G187" s="8" t="str">
        <x:v>Current</x:v>
      </x:c>
    </x:row>
    <x:row r="188" ht="32" customHeight="1">
      <x:c r="A188" s="8" t="str">
        <x:v>drop:FC1:F5:fan:1:F242</x:v>
      </x:c>
      <x:c r="B188" s="8" t="n">
        <x:v>2</x:v>
      </x:c>
      <x:c r="C188" s="11" t="n">
        <x:v>38.05</x:v>
      </x:c>
      <x:c r="D188" s="11" t="n">
        <x:v>7.236333762886593</x:v>
      </x:c>
      <x:c r="E188" s="11" t="n">
        <x:v>13.249</x:v>
      </x:c>
      <x:c r="F188" s="11" t="n">
        <x:f>SQRT((C188-C187)^2+(D188-D187)^2+(E188-E187)^2)</x:f>
        <x:v>5.889</x:v>
      </x:c>
      <x:c r="G188" s="8" t="str">
        <x:v>Current</x:v>
      </x:c>
    </x:row>
    <x:row r="189" ht="32" customHeight="1">
      <x:c r="A189" s="8" t="str">
        <x:v>drop:FC1:F5:fan:1:F242</x:v>
      </x:c>
      <x:c r="B189" s="8" t="n">
        <x:v>3</x:v>
      </x:c>
      <x:c r="C189" s="11" t="n">
        <x:v>38.05</x:v>
      </x:c>
      <x:c r="D189" s="11" t="n">
        <x:v>4.05</x:v>
      </x:c>
      <x:c r="E189" s="11" t="n">
        <x:v>13.249</x:v>
      </x:c>
      <x:c r="F189" s="11" t="n">
        <x:f>SQRT((C189-C188)^2+(D189-D188)^2+(E189-E188)^2)</x:f>
        <x:v>3.1863337628865933</x:v>
      </x:c>
      <x:c r="G189" s="8" t="str">
        <x:v>Current</x:v>
      </x:c>
    </x:row>
    <x:row r="190" ht="32" customHeight="1">
      <x:c r="A190" s="8" t="str">
        <x:v>drop:FC1:F5:fan:1:F242</x:v>
      </x:c>
      <x:c r="B190" s="8" t="n">
        <x:v>4</x:v>
      </x:c>
      <x:c r="C190" s="11" t="n">
        <x:v>38.05</x:v>
      </x:c>
      <x:c r="D190" s="11" t="n">
        <x:v>4.05</x:v>
      </x:c>
      <x:c r="E190" s="11" t="n">
        <x:v>13.06</x:v>
      </x:c>
      <x:c r="F190" s="11" t="n">
        <x:f>SQRT((C190-C189)^2+(D190-D189)^2+(E190-E189)^2)</x:f>
        <x:v>0.18900000000000006</x:v>
      </x:c>
      <x:c r="G190" s="8" t="str">
        <x:v>Current</x:v>
      </x:c>
    </x:row>
    <x:row r="191" ht="32" customHeight="1">
      <x:c r="A191" s="8" t="str">
        <x:v>drop:FC1:F5:fan:1:F243</x:v>
      </x:c>
      <x:c r="B191" s="8" t="n">
        <x:v>1</x:v>
      </x:c>
      <x:c r="C191" s="11" t="n">
        <x:v>43.1</x:v>
      </x:c>
      <x:c r="D191" s="11" t="n">
        <x:v>7.236333762886598</x:v>
      </x:c>
      <x:c r="E191" s="11" t="n">
        <x:v>7.36</x:v>
      </x:c>
      <x:c r="F191" s="11" t="n">
        <x:f>0</x:f>
        <x:v>0</x:v>
      </x:c>
      <x:c r="G191" s="8" t="str">
        <x:v>Current</x:v>
      </x:c>
    </x:row>
    <x:row r="192" ht="32" customHeight="1">
      <x:c r="A192" s="8" t="str">
        <x:v>drop:FC1:F5:fan:1:F243</x:v>
      </x:c>
      <x:c r="B192" s="8" t="n">
        <x:v>2</x:v>
      </x:c>
      <x:c r="C192" s="11" t="n">
        <x:v>43.1</x:v>
      </x:c>
      <x:c r="D192" s="11" t="n">
        <x:v>7.2363337628865985</x:v>
      </x:c>
      <x:c r="E192" s="11" t="n">
        <x:v>13.249</x:v>
      </x:c>
      <x:c r="F192" s="11" t="n">
        <x:f>SQRT((C192-C191)^2+(D192-D191)^2+(E192-E191)^2)</x:f>
        <x:v>5.889</x:v>
      </x:c>
      <x:c r="G192" s="8" t="str">
        <x:v>Current</x:v>
      </x:c>
    </x:row>
    <x:row r="193" ht="32" customHeight="1">
      <x:c r="A193" s="8" t="str">
        <x:v>drop:FC1:F5:fan:1:F243</x:v>
      </x:c>
      <x:c r="B193" s="8" t="n">
        <x:v>3</x:v>
      </x:c>
      <x:c r="C193" s="11" t="n">
        <x:v>43.1</x:v>
      </x:c>
      <x:c r="D193" s="11" t="n">
        <x:v>4.05</x:v>
      </x:c>
      <x:c r="E193" s="11" t="n">
        <x:v>13.249</x:v>
      </x:c>
      <x:c r="F193" s="11" t="n">
        <x:f>SQRT((C193-C192)^2+(D193-D192)^2+(E193-E192)^2)</x:f>
        <x:v>3.1863337628865986</x:v>
      </x:c>
      <x:c r="G193" s="8" t="str">
        <x:v>Current</x:v>
      </x:c>
    </x:row>
    <x:row r="194" ht="32" customHeight="1">
      <x:c r="A194" s="8" t="str">
        <x:v>drop:FC1:F5:fan:1:F243</x:v>
      </x:c>
      <x:c r="B194" s="8" t="n">
        <x:v>4</x:v>
      </x:c>
      <x:c r="C194" s="11" t="n">
        <x:v>43.1</x:v>
      </x:c>
      <x:c r="D194" s="11" t="n">
        <x:v>4.05</x:v>
      </x:c>
      <x:c r="E194" s="11" t="n">
        <x:v>13.06</x:v>
      </x:c>
      <x:c r="F194" s="11" t="n">
        <x:f>SQRT((C194-C193)^2+(D194-D193)^2+(E194-E193)^2)</x:f>
        <x:v>0.18900000000000006</x:v>
      </x:c>
      <x:c r="G194" s="8" t="str">
        <x:v>Current</x:v>
      </x:c>
    </x:row>
    <x:row r="195" ht="32" customHeight="1">
      <x:c r="A195" s="8" t="str">
        <x:v>trunk:FC1:F2:fan:-1</x:v>
      </x:c>
      <x:c r="B195" s="8" t="n">
        <x:v>1</x:v>
      </x:c>
      <x:c r="C195" s="11" t="n">
        <x:v>48.895</x:v>
      </x:c>
      <x:c r="D195" s="11" t="n">
        <x:v>1.95</x:v>
      </x:c>
      <x:c r="E195" s="11" t="n">
        <x:v>0.4</x:v>
      </x:c>
      <x:c r="F195" s="11" t="n">
        <x:f>0</x:f>
        <x:v>0</x:v>
      </x:c>
      <x:c r="G195" s="8" t="str">
        <x:v>Current</x:v>
      </x:c>
    </x:row>
    <x:row r="196" ht="32" customHeight="1">
      <x:c r="A196" s="8" t="str">
        <x:v>trunk:FC1:F2:fan:-1</x:v>
      </x:c>
      <x:c r="B196" s="8" t="n">
        <x:v>2</x:v>
      </x:c>
      <x:c r="C196" s="11" t="n">
        <x:v>48.735</x:v>
      </x:c>
      <x:c r="D196" s="11" t="n">
        <x:v>1.95</x:v>
      </x:c>
      <x:c r="E196" s="11" t="n">
        <x:v>0.4</x:v>
      </x:c>
      <x:c r="F196" s="11" t="n">
        <x:f>SQRT((C196-C195)^2+(D196-D195)^2+(E196-E195)^2)</x:f>
        <x:v>0.1600000000000037</x:v>
      </x:c>
      <x:c r="G196" s="8" t="str">
        <x:v>Current</x:v>
      </x:c>
    </x:row>
    <x:row r="197" ht="32" customHeight="1">
      <x:c r="A197" s="8" t="str">
        <x:v>trunk:FC1:F2:fan:-1</x:v>
      </x:c>
      <x:c r="B197" s="8" t="n">
        <x:v>3</x:v>
      </x:c>
      <x:c r="C197" s="11" t="n">
        <x:v>48.735</x:v>
      </x:c>
      <x:c r="D197" s="11" t="n">
        <x:v>1.95</x:v>
      </x:c>
      <x:c r="E197" s="11" t="n">
        <x:v>-2.24</x:v>
      </x:c>
      <x:c r="F197" s="11" t="n">
        <x:f>SQRT((C197-C196)^2+(D197-D196)^2+(E197-E196)^2)</x:f>
        <x:v>2.64</x:v>
      </x:c>
      <x:c r="G197" s="8" t="str">
        <x:v>Current</x:v>
      </x:c>
    </x:row>
    <x:row r="198" ht="32" customHeight="1">
      <x:c r="A198" s="8" t="str">
        <x:v>trunk:FC1:F2:fan:-1</x:v>
      </x:c>
      <x:c r="B198" s="8" t="n">
        <x:v>4</x:v>
      </x:c>
      <x:c r="C198" s="11" t="n">
        <x:v>48.735</x:v>
      </x:c>
      <x:c r="D198" s="11" t="n">
        <x:v>4.33</x:v>
      </x:c>
      <x:c r="E198" s="11" t="n">
        <x:v>-2.24</x:v>
      </x:c>
      <x:c r="F198" s="11" t="n">
        <x:f>SQRT((C198-C197)^2+(D198-D197)^2+(E198-E197)^2)</x:f>
        <x:v>2.38</x:v>
      </x:c>
      <x:c r="G198" s="8" t="str">
        <x:v>Current</x:v>
      </x:c>
    </x:row>
    <x:row r="199" ht="32" customHeight="1">
      <x:c r="A199" s="8" t="str">
        <x:v>trunk:FC1:F2:fan:-1</x:v>
      </x:c>
      <x:c r="B199" s="8" t="n">
        <x:v>5</x:v>
      </x:c>
      <x:c r="C199" s="11" t="n">
        <x:v>48.735</x:v>
      </x:c>
      <x:c r="D199" s="11" t="n">
        <x:v>4.33</x:v>
      </x:c>
      <x:c r="E199" s="11" t="n">
        <x:v>-3.3</x:v>
      </x:c>
      <x:c r="F199" s="11" t="n">
        <x:f>SQRT((C199-C198)^2+(D199-D198)^2+(E199-E198)^2)</x:f>
        <x:v>1.0599999999999996</x:v>
      </x:c>
      <x:c r="G199" s="8" t="str">
        <x:v>Current</x:v>
      </x:c>
    </x:row>
    <x:row r="200" ht="32" customHeight="1">
      <x:c r="A200" s="8" t="str">
        <x:v>trunk:FC1:F2:fan:-1</x:v>
      </x:c>
      <x:c r="B200" s="8" t="n">
        <x:v>6</x:v>
      </x:c>
      <x:c r="C200" s="11" t="n">
        <x:v>53.016</x:v>
      </x:c>
      <x:c r="D200" s="11" t="n">
        <x:v>4.33</x:v>
      </x:c>
      <x:c r="E200" s="11" t="n">
        <x:v>-3.3</x:v>
      </x:c>
      <x:c r="F200" s="11" t="n">
        <x:f>SQRT((C200-C199)^2+(D200-D199)^2+(E200-E199)^2)</x:f>
        <x:v>4.280999999999999</x:v>
      </x:c>
      <x:c r="G200" s="8" t="str">
        <x:v>Current</x:v>
      </x:c>
    </x:row>
    <x:row r="201" ht="32" customHeight="1">
      <x:c r="A201" s="8" t="str">
        <x:v>trunk:FC1:F2:fan:-1</x:v>
      </x:c>
      <x:c r="B201" s="8" t="n">
        <x:v>7</x:v>
      </x:c>
      <x:c r="C201" s="11" t="n">
        <x:v>53.016</x:v>
      </x:c>
      <x:c r="D201" s="11" t="n">
        <x:v>6.0120000000000005</x:v>
      </x:c>
      <x:c r="E201" s="11" t="n">
        <x:v>-3.3</x:v>
      </x:c>
      <x:c r="F201" s="11" t="n">
        <x:f>SQRT((C201-C200)^2+(D201-D200)^2+(E201-E200)^2)</x:f>
        <x:v>1.6820000000000004</x:v>
      </x:c>
      <x:c r="G201" s="8" t="str">
        <x:v>Current</x:v>
      </x:c>
    </x:row>
    <x:row r="202" ht="32" customHeight="1">
      <x:c r="A202" s="8" t="str">
        <x:v>trunk:FC1:F2:fan:-1</x:v>
      </x:c>
      <x:c r="B202" s="8" t="n">
        <x:v>8</x:v>
      </x:c>
      <x:c r="C202" s="11" t="n">
        <x:v>53.016</x:v>
      </x:c>
      <x:c r="D202" s="11" t="n">
        <x:v>6.0120000000000005</x:v>
      </x:c>
      <x:c r="E202" s="11" t="n">
        <x:v>-7.36</x:v>
      </x:c>
      <x:c r="F202" s="11" t="n">
        <x:f>SQRT((C202-C201)^2+(D202-D201)^2+(E202-E201)^2)</x:f>
        <x:v>4.0600000000000005</x:v>
      </x:c>
      <x:c r="G202" s="8" t="str">
        <x:v>Current</x:v>
      </x:c>
    </x:row>
    <x:row r="203" ht="32" customHeight="1">
      <x:c r="A203" s="8" t="str">
        <x:v>trunk:FC1:F2:fan:-1</x:v>
      </x:c>
      <x:c r="B203" s="8" t="n">
        <x:v>9</x:v>
      </x:c>
      <x:c r="C203" s="11" t="n">
        <x:v>44.175</x:v>
      </x:c>
      <x:c r="D203" s="11" t="n">
        <x:v>6.0120000000000005</x:v>
      </x:c>
      <x:c r="E203" s="11" t="n">
        <x:v>-7.36</x:v>
      </x:c>
      <x:c r="F203" s="11" t="n">
        <x:f>SQRT((C203-C202)^2+(D203-D202)^2+(E203-E202)^2)</x:f>
        <x:v>8.841000000000001</x:v>
      </x:c>
      <x:c r="G203" s="8" t="str">
        <x:v>Current</x:v>
      </x:c>
    </x:row>
    <x:row r="204" ht="32" customHeight="1">
      <x:c r="A204" s="8" t="str">
        <x:v>trunk:FC1:F2:fan:-1</x:v>
      </x:c>
      <x:c r="B204" s="8" t="n">
        <x:v>10</x:v>
      </x:c>
      <x:c r="C204" s="11" t="n">
        <x:v>44.175</x:v>
      </x:c>
      <x:c r="D204" s="11" t="n">
        <x:v>7.04</x:v>
      </x:c>
      <x:c r="E204" s="11" t="n">
        <x:v>-7.36</x:v>
      </x:c>
      <x:c r="F204" s="11" t="n">
        <x:f>SQRT((C204-C203)^2+(D204-D203)^2+(E204-E203)^2)</x:f>
        <x:v>1.0279999999999996</x:v>
      </x:c>
      <x:c r="G204" s="8" t="str">
        <x:v>Current</x:v>
      </x:c>
    </x:row>
    <x:row r="205" ht="32" customHeight="1">
      <x:c r="A205" s="8" t="str">
        <x:v>trunk:FC1:F2:fan:-1</x:v>
      </x:c>
      <x:c r="B205" s="8" t="n">
        <x:v>11</x:v>
      </x:c>
      <x:c r="C205" s="11" t="n">
        <x:v>43.535</x:v>
      </x:c>
      <x:c r="D205" s="11" t="n">
        <x:v>7.04</x:v>
      </x:c>
      <x:c r="E205" s="11" t="n">
        <x:v>-7.36</x:v>
      </x:c>
      <x:c r="F205" s="11" t="n">
        <x:f>SQRT((C205-C204)^2+(D205-D204)^2+(E205-E204)^2)</x:f>
        <x:v>0.6400000000000006</x:v>
      </x:c>
      <x:c r="G205" s="8" t="str">
        <x:v>Current</x:v>
      </x:c>
    </x:row>
    <x:row r="206" ht="32" customHeight="1">
      <x:c r="A206" s="8" t="str">
        <x:v>trunk:FC1:F2:fan:-1</x:v>
      </x:c>
      <x:c r="B206" s="8" t="n">
        <x:v>12</x:v>
      </x:c>
      <x:c r="C206" s="11" t="n">
        <x:v>43.455</x:v>
      </x:c>
      <x:c r="D206" s="11" t="n">
        <x:v>6.950412371134024</x:v>
      </x:c>
      <x:c r="E206" s="11" t="n">
        <x:v>-7.36</x:v>
      </x:c>
      <x:c r="F206" s="11" t="n">
        <x:f>SQRT((C206-C205)^2+(D206-D205)^2+(E206-E205)^2)</x:f>
        <x:v>0.12010804821421249</x:v>
      </x:c>
      <x:c r="G206" s="8" t="str">
        <x:v>Current</x:v>
      </x:c>
    </x:row>
    <x:row r="207" ht="32" customHeight="1">
      <x:c r="A207" s="8" t="str">
        <x:v>trunk:FC1:F2:fan:-1</x:v>
      </x:c>
      <x:c r="B207" s="8" t="n">
        <x:v>13</x:v>
      </x:c>
      <x:c r="C207" s="11" t="n">
        <x:v>40.574999999999996</x:v>
      </x:c>
      <x:c r="D207" s="11" t="n">
        <x:v>9.269999999999994</x:v>
      </x:c>
      <x:c r="E207" s="11" t="n">
        <x:v>-7.36</x:v>
      </x:c>
      <x:c r="F207" s="11" t="n">
        <x:f>SQRT((C207-C206)^2+(D207-D206)^2+(E207-E206)^2)</x:f>
        <x:v>3.6979571073753776</x:v>
      </x:c>
      <x:c r="G207" s="8" t="str">
        <x:v>Current</x:v>
      </x:c>
    </x:row>
    <x:row r="208" ht="32" customHeight="1">
      <x:c r="A208" s="8" t="str">
        <x:v>trunk:FC1:F2:fan:-1</x:v>
      </x:c>
      <x:c r="B208" s="8" t="n">
        <x:v>14</x:v>
      </x:c>
      <x:c r="C208" s="11" t="n">
        <x:v>37.695</x:v>
      </x:c>
      <x:c r="D208" s="11" t="n">
        <x:v>6.950412371134018</x:v>
      </x:c>
      <x:c r="E208" s="11" t="n">
        <x:v>-7.36</x:v>
      </x:c>
      <x:c r="F208" s="11" t="n">
        <x:f>SQRT((C208-C207)^2+(D208-D207)^2+(E208-E207)^2)</x:f>
        <x:v>3.697957107375376</x:v>
      </x:c>
      <x:c r="G208" s="8" t="str">
        <x:v>Current</x:v>
      </x:c>
    </x:row>
    <x:row r="209" ht="32" customHeight="1">
      <x:c r="A209" s="8" t="str">
        <x:v>trunk:FC1:F2:fan:-1</x:v>
      </x:c>
      <x:c r="B209" s="8" t="n">
        <x:v>15</x:v>
      </x:c>
      <x:c r="C209" s="11" t="n">
        <x:v>37.615</x:v>
      </x:c>
      <x:c r="D209" s="11" t="n">
        <x:v>7.04</x:v>
      </x:c>
      <x:c r="E209" s="11" t="n">
        <x:v>-7.36</x:v>
      </x:c>
      <x:c r="F209" s="11" t="n">
        <x:f>SQRT((C209-C208)^2+(D209-D208)^2+(E209-E208)^2)</x:f>
        <x:v>0.12010804821421713</x:v>
      </x:c>
      <x:c r="G209" s="8" t="str">
        <x:v>Current</x:v>
      </x:c>
    </x:row>
    <x:row r="210" ht="32" customHeight="1">
      <x:c r="A210" s="8" t="str">
        <x:v>trunk:FC1:F2:fan:-1</x:v>
      </x:c>
      <x:c r="B210" s="8" t="n">
        <x:v>16</x:v>
      </x:c>
      <x:c r="C210" s="11" t="n">
        <x:v>36.975</x:v>
      </x:c>
      <x:c r="D210" s="11" t="n">
        <x:v>7.04</x:v>
      </x:c>
      <x:c r="E210" s="11" t="n">
        <x:v>-7.36</x:v>
      </x:c>
      <x:c r="F210" s="11" t="n">
        <x:f>SQRT((C210-C209)^2+(D210-D209)^2+(E210-E209)^2)</x:f>
        <x:v>0.6400000000000006</x:v>
      </x:c>
      <x:c r="G210" s="8" t="str">
        <x:v>Current</x:v>
      </x:c>
    </x:row>
    <x:row r="211" ht="32" customHeight="1">
      <x:c r="A211" s="8" t="str">
        <x:v>trunk:FC1:F2:fan:-1</x:v>
      </x:c>
      <x:c r="B211" s="8" t="n">
        <x:v>17</x:v>
      </x:c>
      <x:c r="C211" s="11" t="n">
        <x:v>36.975</x:v>
      </x:c>
      <x:c r="D211" s="11" t="n">
        <x:v>6.0120000000000005</x:v>
      </x:c>
      <x:c r="E211" s="11" t="n">
        <x:v>-7.36</x:v>
      </x:c>
      <x:c r="F211" s="11" t="n">
        <x:f>SQRT((C211-C210)^2+(D211-D210)^2+(E211-E210)^2)</x:f>
        <x:v>1.0279999999999996</x:v>
      </x:c>
      <x:c r="G211" s="8" t="str">
        <x:v>Current</x:v>
      </x:c>
    </x:row>
    <x:row r="212" ht="32" customHeight="1">
      <x:c r="A212" s="8" t="str">
        <x:v>trunk:FC1:F2:fan:-1</x:v>
      </x:c>
      <x:c r="B212" s="8" t="n">
        <x:v>18</x:v>
      </x:c>
      <x:c r="C212" s="11" t="n">
        <x:v>5.475000000000001</x:v>
      </x:c>
      <x:c r="D212" s="11" t="n">
        <x:v>6.0120000000000005</x:v>
      </x:c>
      <x:c r="E212" s="11" t="n">
        <x:v>-7.36</x:v>
      </x:c>
      <x:c r="F212" s="11" t="n">
        <x:f>SQRT((C212-C211)^2+(D212-D211)^2+(E212-E211)^2)</x:f>
        <x:v>31.5</x:v>
      </x:c>
      <x:c r="G212" s="8" t="str">
        <x:v>Current</x:v>
      </x:c>
    </x:row>
    <x:row r="213" ht="32" customHeight="1">
      <x:c r="A213" s="8" t="str">
        <x:v>drop:FC1:F2:fan:-1:F244</x:v>
      </x:c>
      <x:c r="B213" s="8" t="n">
        <x:v>1</x:v>
      </x:c>
      <x:c r="C213" s="11" t="n">
        <x:v>14.475000000000001</x:v>
      </x:c>
      <x:c r="D213" s="11" t="n">
        <x:v>6.0120000000000005</x:v>
      </x:c>
      <x:c r="E213" s="11" t="n">
        <x:v>-7.36</x:v>
      </x:c>
      <x:c r="F213" s="11" t="n">
        <x:f>0</x:f>
        <x:v>0</x:v>
      </x:c>
      <x:c r="G213" s="8" t="str">
        <x:v>Current</x:v>
      </x:c>
    </x:row>
    <x:row r="214" ht="32" customHeight="1">
      <x:c r="A214" s="8" t="str">
        <x:v>drop:FC1:F2:fan:-1:F244</x:v>
      </x:c>
      <x:c r="B214" s="8" t="n">
        <x:v>2</x:v>
      </x:c>
      <x:c r="C214" s="11" t="n">
        <x:v>14.475000000000001</x:v>
      </x:c>
      <x:c r="D214" s="11" t="n">
        <x:v>5.55</x:v>
      </x:c>
      <x:c r="E214" s="11" t="n">
        <x:v>-7.36</x:v>
      </x:c>
      <x:c r="F214" s="11" t="n">
        <x:f>SQRT((C214-C213)^2+(D214-D213)^2+(E214-E213)^2)</x:f>
        <x:v>0.46200000000000063</x:v>
      </x:c>
      <x:c r="G214" s="8" t="str">
        <x:v>Current</x:v>
      </x:c>
    </x:row>
    <x:row r="215" ht="32" customHeight="1">
      <x:c r="A215" s="8" t="str">
        <x:v>drop:FC1:F2:fan:-1:F244</x:v>
      </x:c>
      <x:c r="B215" s="8" t="n">
        <x:v>3</x:v>
      </x:c>
      <x:c r="C215" s="11" t="n">
        <x:v>14.475</x:v>
      </x:c>
      <x:c r="D215" s="11" t="n">
        <x:v>5.55</x:v>
      </x:c>
      <x:c r="E215" s="11" t="n">
        <x:v>-7.07</x:v>
      </x:c>
      <x:c r="F215" s="11" t="n">
        <x:f>SQRT((C215-C214)^2+(D215-D214)^2+(E215-E214)^2)</x:f>
        <x:v>0.29000000000000004</x:v>
      </x:c>
      <x:c r="G215" s="8" t="str">
        <x:v>Current</x:v>
      </x:c>
    </x:row>
    <x:row r="216" ht="32" customHeight="1">
      <x:c r="A216" s="8" t="str">
        <x:v>drop:FC1:F2:fan:-1:F246</x:v>
      </x:c>
      <x:c r="B216" s="8" t="n">
        <x:v>1</x:v>
      </x:c>
      <x:c r="C216" s="11" t="n">
        <x:v>23.475</x:v>
      </x:c>
      <x:c r="D216" s="11" t="n">
        <x:v>6.0120000000000005</x:v>
      </x:c>
      <x:c r="E216" s="11" t="n">
        <x:v>-7.36</x:v>
      </x:c>
      <x:c r="F216" s="11" t="n">
        <x:f>0</x:f>
        <x:v>0</x:v>
      </x:c>
      <x:c r="G216" s="8" t="str">
        <x:v>Current</x:v>
      </x:c>
    </x:row>
    <x:row r="217" ht="32" customHeight="1">
      <x:c r="A217" s="8" t="str">
        <x:v>drop:FC1:F2:fan:-1:F246</x:v>
      </x:c>
      <x:c r="B217" s="8" t="n">
        <x:v>2</x:v>
      </x:c>
      <x:c r="C217" s="11" t="n">
        <x:v>23.475</x:v>
      </x:c>
      <x:c r="D217" s="11" t="n">
        <x:v>5.55</x:v>
      </x:c>
      <x:c r="E217" s="11" t="n">
        <x:v>-7.36</x:v>
      </x:c>
      <x:c r="F217" s="11" t="n">
        <x:f>SQRT((C217-C216)^2+(D217-D216)^2+(E217-E216)^2)</x:f>
        <x:v>0.46200000000000063</x:v>
      </x:c>
      <x:c r="G217" s="8" t="str">
        <x:v>Current</x:v>
      </x:c>
    </x:row>
    <x:row r="218" ht="32" customHeight="1">
      <x:c r="A218" s="8" t="str">
        <x:v>drop:FC1:F2:fan:-1:F246</x:v>
      </x:c>
      <x:c r="B218" s="8" t="n">
        <x:v>3</x:v>
      </x:c>
      <x:c r="C218" s="11" t="n">
        <x:v>23.475</x:v>
      </x:c>
      <x:c r="D218" s="11" t="n">
        <x:v>5.55</x:v>
      </x:c>
      <x:c r="E218" s="11" t="n">
        <x:v>-7.07</x:v>
      </x:c>
      <x:c r="F218" s="11" t="n">
        <x:f>SQRT((C218-C217)^2+(D218-D217)^2+(E218-E217)^2)</x:f>
        <x:v>0.29000000000000004</x:v>
      </x:c>
      <x:c r="G218" s="8" t="str">
        <x:v>Current</x:v>
      </x:c>
    </x:row>
    <x:row r="219" ht="32" customHeight="1">
      <x:c r="A219" s="8" t="str">
        <x:v>drop:FC1:F2:fan:-1:F248</x:v>
      </x:c>
      <x:c r="B219" s="8" t="n">
        <x:v>1</x:v>
      </x:c>
      <x:c r="C219" s="11" t="n">
        <x:v>32.475</x:v>
      </x:c>
      <x:c r="D219" s="11" t="n">
        <x:v>6.0120000000000005</x:v>
      </x:c>
      <x:c r="E219" s="11" t="n">
        <x:v>-7.36</x:v>
      </x:c>
      <x:c r="F219" s="11" t="n">
        <x:f>0</x:f>
        <x:v>0</x:v>
      </x:c>
      <x:c r="G219" s="8" t="str">
        <x:v>Current</x:v>
      </x:c>
    </x:row>
    <x:row r="220" ht="32" customHeight="1">
      <x:c r="A220" s="8" t="str">
        <x:v>drop:FC1:F2:fan:-1:F248</x:v>
      </x:c>
      <x:c r="B220" s="8" t="n">
        <x:v>2</x:v>
      </x:c>
      <x:c r="C220" s="11" t="n">
        <x:v>32.475</x:v>
      </x:c>
      <x:c r="D220" s="11" t="n">
        <x:v>5.55</x:v>
      </x:c>
      <x:c r="E220" s="11" t="n">
        <x:v>-7.36</x:v>
      </x:c>
      <x:c r="F220" s="11" t="n">
        <x:f>SQRT((C220-C219)^2+(D220-D219)^2+(E220-E219)^2)</x:f>
        <x:v>0.46200000000000063</x:v>
      </x:c>
      <x:c r="G220" s="8" t="str">
        <x:v>Current</x:v>
      </x:c>
    </x:row>
    <x:row r="221" ht="32" customHeight="1">
      <x:c r="A221" s="8" t="str">
        <x:v>drop:FC1:F2:fan:-1:F248</x:v>
      </x:c>
      <x:c r="B221" s="8" t="n">
        <x:v>3</x:v>
      </x:c>
      <x:c r="C221" s="11" t="n">
        <x:v>32.475</x:v>
      </x:c>
      <x:c r="D221" s="11" t="n">
        <x:v>5.55</x:v>
      </x:c>
      <x:c r="E221" s="11" t="n">
        <x:v>-7.07</x:v>
      </x:c>
      <x:c r="F221" s="11" t="n">
        <x:f>SQRT((C221-C220)^2+(D221-D220)^2+(E221-E220)^2)</x:f>
        <x:v>0.29000000000000004</x:v>
      </x:c>
      <x:c r="G221" s="8" t="str">
        <x:v>Current</x:v>
      </x:c>
    </x:row>
    <x:row r="222" ht="32" customHeight="1">
      <x:c r="A222" s="8" t="str">
        <x:v>drop:FC1:F2:fan:-1:F-NAVE-B-2P</x:v>
      </x:c>
      <x:c r="B222" s="8" t="n">
        <x:v>1</x:v>
      </x:c>
      <x:c r="C222" s="11" t="n">
        <x:v>5.475000000000001</x:v>
      </x:c>
      <x:c r="D222" s="11" t="n">
        <x:v>6.0120000000000005</x:v>
      </x:c>
      <x:c r="E222" s="11" t="n">
        <x:v>-7.36</x:v>
      </x:c>
      <x:c r="F222" s="11" t="n">
        <x:f>0</x:f>
        <x:v>0</x:v>
      </x:c>
      <x:c r="G222" s="8" t="str">
        <x:v>Current</x:v>
      </x:c>
    </x:row>
    <x:row r="223" ht="32" customHeight="1">
      <x:c r="A223" s="8" t="str">
        <x:v>drop:FC1:F2:fan:-1:F-NAVE-B-2P</x:v>
      </x:c>
      <x:c r="B223" s="8" t="n">
        <x:v>2</x:v>
      </x:c>
      <x:c r="C223" s="11" t="n">
        <x:v>5.475000000000001</x:v>
      </x:c>
      <x:c r="D223" s="11" t="n">
        <x:v>5.55</x:v>
      </x:c>
      <x:c r="E223" s="11" t="n">
        <x:v>-7.36</x:v>
      </x:c>
      <x:c r="F223" s="11" t="n">
        <x:f>SQRT((C223-C222)^2+(D223-D222)^2+(E223-E222)^2)</x:f>
        <x:v>0.46200000000000063</x:v>
      </x:c>
      <x:c r="G223" s="8" t="str">
        <x:v>Current</x:v>
      </x:c>
    </x:row>
    <x:row r="224" ht="32" customHeight="1">
      <x:c r="A224" s="8" t="str">
        <x:v>drop:FC1:F2:fan:-1:F-NAVE-B-2P</x:v>
      </x:c>
      <x:c r="B224" s="8" t="n">
        <x:v>3</x:v>
      </x:c>
      <x:c r="C224" s="11" t="n">
        <x:v>5.475</x:v>
      </x:c>
      <x:c r="D224" s="11" t="n">
        <x:v>5.55</x:v>
      </x:c>
      <x:c r="E224" s="11" t="n">
        <x:v>-7.07</x:v>
      </x:c>
      <x:c r="F224" s="11" t="n">
        <x:f>SQRT((C224-C223)^2+(D224-D223)^2+(E224-E223)^2)</x:f>
        <x:v>0.29000000000000004</x:v>
      </x:c>
      <x:c r="G224" s="8" t="str">
        <x:v>Current</x:v>
      </x:c>
    </x:row>
    <x:row r="225" ht="32" customHeight="1">
      <x:c r="A225" s="8" t="str">
        <x:v>drop:FC1:F2:fan:-1:F-NAVE-B-3</x:v>
      </x:c>
      <x:c r="B225" s="8" t="n">
        <x:v>1</x:v>
      </x:c>
      <x:c r="C225" s="11" t="n">
        <x:v>9.975000000000001</x:v>
      </x:c>
      <x:c r="D225" s="11" t="n">
        <x:v>6.0120000000000005</x:v>
      </x:c>
      <x:c r="E225" s="11" t="n">
        <x:v>-7.36</x:v>
      </x:c>
      <x:c r="F225" s="11" t="n">
        <x:f>0</x:f>
        <x:v>0</x:v>
      </x:c>
      <x:c r="G225" s="8" t="str">
        <x:v>Current</x:v>
      </x:c>
    </x:row>
    <x:row r="226" ht="32" customHeight="1">
      <x:c r="A226" s="8" t="str">
        <x:v>drop:FC1:F2:fan:-1:F-NAVE-B-3</x:v>
      </x:c>
      <x:c r="B226" s="8" t="n">
        <x:v>2</x:v>
      </x:c>
      <x:c r="C226" s="11" t="n">
        <x:v>9.975000000000001</x:v>
      </x:c>
      <x:c r="D226" s="11" t="n">
        <x:v>5.55</x:v>
      </x:c>
      <x:c r="E226" s="11" t="n">
        <x:v>-7.36</x:v>
      </x:c>
      <x:c r="F226" s="11" t="n">
        <x:f>SQRT((C226-C225)^2+(D226-D225)^2+(E226-E225)^2)</x:f>
        <x:v>0.46200000000000063</x:v>
      </x:c>
      <x:c r="G226" s="8" t="str">
        <x:v>Current</x:v>
      </x:c>
    </x:row>
    <x:row r="227" ht="32" customHeight="1">
      <x:c r="A227" s="8" t="str">
        <x:v>drop:FC1:F2:fan:-1:F-NAVE-B-3</x:v>
      </x:c>
      <x:c r="B227" s="8" t="n">
        <x:v>3</x:v>
      </x:c>
      <x:c r="C227" s="11" t="n">
        <x:v>9.975</x:v>
      </x:c>
      <x:c r="D227" s="11" t="n">
        <x:v>5.55</x:v>
      </x:c>
      <x:c r="E227" s="11" t="n">
        <x:v>-7.07</x:v>
      </x:c>
      <x:c r="F227" s="11" t="n">
        <x:f>SQRT((C227-C226)^2+(D227-D226)^2+(E227-E226)^2)</x:f>
        <x:v>0.29000000000000004</x:v>
      </x:c>
      <x:c r="G227" s="8" t="str">
        <x:v>Current</x:v>
      </x:c>
    </x:row>
    <x:row r="228" ht="32" customHeight="1">
      <x:c r="A228" s="8" t="str">
        <x:v>drop:FC1:F2:fan:-1:F-NAVE-B-5</x:v>
      </x:c>
      <x:c r="B228" s="8" t="n">
        <x:v>1</x:v>
      </x:c>
      <x:c r="C228" s="11" t="n">
        <x:v>18.975</x:v>
      </x:c>
      <x:c r="D228" s="11" t="n">
        <x:v>6.0120000000000005</x:v>
      </x:c>
      <x:c r="E228" s="11" t="n">
        <x:v>-7.36</x:v>
      </x:c>
      <x:c r="F228" s="11" t="n">
        <x:f>0</x:f>
        <x:v>0</x:v>
      </x:c>
      <x:c r="G228" s="8" t="str">
        <x:v>Current</x:v>
      </x:c>
    </x:row>
    <x:row r="229" ht="32" customHeight="1">
      <x:c r="A229" s="8" t="str">
        <x:v>drop:FC1:F2:fan:-1:F-NAVE-B-5</x:v>
      </x:c>
      <x:c r="B229" s="8" t="n">
        <x:v>2</x:v>
      </x:c>
      <x:c r="C229" s="11" t="n">
        <x:v>18.975</x:v>
      </x:c>
      <x:c r="D229" s="11" t="n">
        <x:v>5.55</x:v>
      </x:c>
      <x:c r="E229" s="11" t="n">
        <x:v>-7.36</x:v>
      </x:c>
      <x:c r="F229" s="11" t="n">
        <x:f>SQRT((C229-C228)^2+(D229-D228)^2+(E229-E228)^2)</x:f>
        <x:v>0.46200000000000063</x:v>
      </x:c>
      <x:c r="G229" s="8" t="str">
        <x:v>Current</x:v>
      </x:c>
    </x:row>
    <x:row r="230" ht="32" customHeight="1">
      <x:c r="A230" s="8" t="str">
        <x:v>drop:FC1:F2:fan:-1:F-NAVE-B-5</x:v>
      </x:c>
      <x:c r="B230" s="8" t="n">
        <x:v>3</x:v>
      </x:c>
      <x:c r="C230" s="11" t="n">
        <x:v>18.975</x:v>
      </x:c>
      <x:c r="D230" s="11" t="n">
        <x:v>5.55</x:v>
      </x:c>
      <x:c r="E230" s="11" t="n">
        <x:v>-7.07</x:v>
      </x:c>
      <x:c r="F230" s="11" t="n">
        <x:f>SQRT((C230-C229)^2+(D230-D229)^2+(E230-E229)^2)</x:f>
        <x:v>0.29000000000000004</x:v>
      </x:c>
      <x:c r="G230" s="8" t="str">
        <x:v>Current</x:v>
      </x:c>
    </x:row>
    <x:row r="231" ht="32" customHeight="1">
      <x:c r="A231" s="8" t="str">
        <x:v>drop:FC1:F2:fan:-1:F-NAVE-B-7</x:v>
      </x:c>
      <x:c r="B231" s="8" t="n">
        <x:v>1</x:v>
      </x:c>
      <x:c r="C231" s="11" t="n">
        <x:v>27.975</x:v>
      </x:c>
      <x:c r="D231" s="11" t="n">
        <x:v>6.0120000000000005</x:v>
      </x:c>
      <x:c r="E231" s="11" t="n">
        <x:v>-7.36</x:v>
      </x:c>
      <x:c r="F231" s="11" t="n">
        <x:f>0</x:f>
        <x:v>0</x:v>
      </x:c>
      <x:c r="G231" s="8" t="str">
        <x:v>Current</x:v>
      </x:c>
    </x:row>
    <x:row r="232" ht="32" customHeight="1">
      <x:c r="A232" s="8" t="str">
        <x:v>drop:FC1:F2:fan:-1:F-NAVE-B-7</x:v>
      </x:c>
      <x:c r="B232" s="8" t="n">
        <x:v>2</x:v>
      </x:c>
      <x:c r="C232" s="11" t="n">
        <x:v>27.975</x:v>
      </x:c>
      <x:c r="D232" s="11" t="n">
        <x:v>5.55</x:v>
      </x:c>
      <x:c r="E232" s="11" t="n">
        <x:v>-7.36</x:v>
      </x:c>
      <x:c r="F232" s="11" t="n">
        <x:f>SQRT((C232-C231)^2+(D232-D231)^2+(E232-E231)^2)</x:f>
        <x:v>0.46200000000000063</x:v>
      </x:c>
      <x:c r="G232" s="8" t="str">
        <x:v>Current</x:v>
      </x:c>
    </x:row>
    <x:row r="233" ht="32" customHeight="1">
      <x:c r="A233" s="8" t="str">
        <x:v>drop:FC1:F2:fan:-1:F-NAVE-B-7</x:v>
      </x:c>
      <x:c r="B233" s="8" t="n">
        <x:v>3</x:v>
      </x:c>
      <x:c r="C233" s="11" t="n">
        <x:v>27.975</x:v>
      </x:c>
      <x:c r="D233" s="11" t="n">
        <x:v>5.55</x:v>
      </x:c>
      <x:c r="E233" s="11" t="n">
        <x:v>-7.07</x:v>
      </x:c>
      <x:c r="F233" s="11" t="n">
        <x:f>SQRT((C233-C232)^2+(D233-D232)^2+(E233-E232)^2)</x:f>
        <x:v>0.29000000000000004</x:v>
      </x:c>
      <x:c r="G233" s="8" t="str">
        <x:v>Current</x:v>
      </x:c>
    </x:row>
    <x:row r="234" ht="32" customHeight="1">
      <x:c r="A234" s="8" t="str">
        <x:v>drop:FC1:F2:fan:-1:F-NAVE-B-9</x:v>
      </x:c>
      <x:c r="B234" s="8" t="n">
        <x:v>1</x:v>
      </x:c>
      <x:c r="C234" s="11" t="n">
        <x:v>36.975</x:v>
      </x:c>
      <x:c r="D234" s="11" t="n">
        <x:v>6.0120000000000005</x:v>
      </x:c>
      <x:c r="E234" s="11" t="n">
        <x:v>-7.36</x:v>
      </x:c>
      <x:c r="F234" s="11" t="n">
        <x:f>0</x:f>
        <x:v>0</x:v>
      </x:c>
      <x:c r="G234" s="8" t="str">
        <x:v>Current</x:v>
      </x:c>
    </x:row>
    <x:row r="235" ht="32" customHeight="1">
      <x:c r="A235" s="8" t="str">
        <x:v>drop:FC1:F2:fan:-1:F-NAVE-B-9</x:v>
      </x:c>
      <x:c r="B235" s="8" t="n">
        <x:v>2</x:v>
      </x:c>
      <x:c r="C235" s="11" t="n">
        <x:v>36.975</x:v>
      </x:c>
      <x:c r="D235" s="11" t="n">
        <x:v>5.55</x:v>
      </x:c>
      <x:c r="E235" s="11" t="n">
        <x:v>-7.36</x:v>
      </x:c>
      <x:c r="F235" s="11" t="n">
        <x:f>SQRT((C235-C234)^2+(D235-D234)^2+(E235-E234)^2)</x:f>
        <x:v>0.46200000000000063</x:v>
      </x:c>
      <x:c r="G235" s="8" t="str">
        <x:v>Current</x:v>
      </x:c>
    </x:row>
    <x:row r="236" ht="32" customHeight="1">
      <x:c r="A236" s="8" t="str">
        <x:v>drop:FC1:F2:fan:-1:F-NAVE-B-9</x:v>
      </x:c>
      <x:c r="B236" s="8" t="n">
        <x:v>3</x:v>
      </x:c>
      <x:c r="C236" s="11" t="n">
        <x:v>36.975</x:v>
      </x:c>
      <x:c r="D236" s="11" t="n">
        <x:v>5.55</x:v>
      </x:c>
      <x:c r="E236" s="11" t="n">
        <x:v>-7.07</x:v>
      </x:c>
      <x:c r="F236" s="11" t="n">
        <x:f>SQRT((C236-C235)^2+(D236-D235)^2+(E236-E235)^2)</x:f>
        <x:v>0.29000000000000004</x:v>
      </x:c>
      <x:c r="G236" s="8" t="str">
        <x:v>Current</x:v>
      </x:c>
    </x:row>
    <x:row r="237" ht="32" customHeight="1">
      <x:c r="A237" s="8" t="str">
        <x:v>trunk:FC1:F2:fan:1</x:v>
      </x:c>
      <x:c r="B237" s="8" t="n">
        <x:v>1</x:v>
      </x:c>
      <x:c r="C237" s="11" t="n">
        <x:v>48.895</x:v>
      </x:c>
      <x:c r="D237" s="11" t="n">
        <x:v>1.95</x:v>
      </x:c>
      <x:c r="E237" s="11" t="n">
        <x:v>0.4</x:v>
      </x:c>
      <x:c r="F237" s="11" t="n">
        <x:f>0</x:f>
        <x:v>0</x:v>
      </x:c>
      <x:c r="G237" s="8" t="str">
        <x:v>Current</x:v>
      </x:c>
    </x:row>
    <x:row r="238" ht="32" customHeight="1">
      <x:c r="A238" s="8" t="str">
        <x:v>trunk:FC1:F2:fan:1</x:v>
      </x:c>
      <x:c r="B238" s="8" t="n">
        <x:v>2</x:v>
      </x:c>
      <x:c r="C238" s="11" t="n">
        <x:v>48.735</x:v>
      </x:c>
      <x:c r="D238" s="11" t="n">
        <x:v>1.95</x:v>
      </x:c>
      <x:c r="E238" s="11" t="n">
        <x:v>0.4</x:v>
      </x:c>
      <x:c r="F238" s="11" t="n">
        <x:f>SQRT((C238-C237)^2+(D238-D237)^2+(E238-E237)^2)</x:f>
        <x:v>0.1600000000000037</x:v>
      </x:c>
      <x:c r="G238" s="8" t="str">
        <x:v>Current</x:v>
      </x:c>
    </x:row>
    <x:row r="239" ht="32" customHeight="1">
      <x:c r="A239" s="8" t="str">
        <x:v>trunk:FC1:F2:fan:1</x:v>
      </x:c>
      <x:c r="B239" s="8" t="n">
        <x:v>3</x:v>
      </x:c>
      <x:c r="C239" s="11" t="n">
        <x:v>48.735</x:v>
      </x:c>
      <x:c r="D239" s="11" t="n">
        <x:v>1.95</x:v>
      </x:c>
      <x:c r="E239" s="11" t="n">
        <x:v>-2.24</x:v>
      </x:c>
      <x:c r="F239" s="11" t="n">
        <x:f>SQRT((C239-C238)^2+(D239-D238)^2+(E239-E238)^2)</x:f>
        <x:v>2.64</x:v>
      </x:c>
      <x:c r="G239" s="8" t="str">
        <x:v>Current</x:v>
      </x:c>
    </x:row>
    <x:row r="240" ht="32" customHeight="1">
      <x:c r="A240" s="8" t="str">
        <x:v>trunk:FC1:F2:fan:1</x:v>
      </x:c>
      <x:c r="B240" s="8" t="n">
        <x:v>4</x:v>
      </x:c>
      <x:c r="C240" s="11" t="n">
        <x:v>48.735</x:v>
      </x:c>
      <x:c r="D240" s="11" t="n">
        <x:v>4.33</x:v>
      </x:c>
      <x:c r="E240" s="11" t="n">
        <x:v>-2.24</x:v>
      </x:c>
      <x:c r="F240" s="11" t="n">
        <x:f>SQRT((C240-C239)^2+(D240-D239)^2+(E240-E239)^2)</x:f>
        <x:v>2.38</x:v>
      </x:c>
      <x:c r="G240" s="8" t="str">
        <x:v>Current</x:v>
      </x:c>
    </x:row>
    <x:row r="241" ht="32" customHeight="1">
      <x:c r="A241" s="8" t="str">
        <x:v>trunk:FC1:F2:fan:1</x:v>
      </x:c>
      <x:c r="B241" s="8" t="n">
        <x:v>5</x:v>
      </x:c>
      <x:c r="C241" s="11" t="n">
        <x:v>48.735</x:v>
      </x:c>
      <x:c r="D241" s="11" t="n">
        <x:v>4.33</x:v>
      </x:c>
      <x:c r="E241" s="11" t="n">
        <x:v>-3.3</x:v>
      </x:c>
      <x:c r="F241" s="11" t="n">
        <x:f>SQRT((C241-C240)^2+(D241-D240)^2+(E241-E240)^2)</x:f>
        <x:v>1.0599999999999996</x:v>
      </x:c>
      <x:c r="G241" s="8" t="str">
        <x:v>Current</x:v>
      </x:c>
    </x:row>
    <x:row r="242" ht="32" customHeight="1">
      <x:c r="A242" s="8" t="str">
        <x:v>trunk:FC1:F2:fan:1</x:v>
      </x:c>
      <x:c r="B242" s="8" t="n">
        <x:v>6</x:v>
      </x:c>
      <x:c r="C242" s="11" t="n">
        <x:v>53.016</x:v>
      </x:c>
      <x:c r="D242" s="11" t="n">
        <x:v>4.33</x:v>
      </x:c>
      <x:c r="E242" s="11" t="n">
        <x:v>-3.3</x:v>
      </x:c>
      <x:c r="F242" s="11" t="n">
        <x:f>SQRT((C242-C241)^2+(D242-D241)^2+(E242-E241)^2)</x:f>
        <x:v>4.280999999999999</x:v>
      </x:c>
      <x:c r="G242" s="8" t="str">
        <x:v>Current</x:v>
      </x:c>
    </x:row>
    <x:row r="243" ht="32" customHeight="1">
      <x:c r="A243" s="8" t="str">
        <x:v>trunk:FC1:F2:fan:1</x:v>
      </x:c>
      <x:c r="B243" s="8" t="n">
        <x:v>7</x:v>
      </x:c>
      <x:c r="C243" s="11" t="n">
        <x:v>53.016</x:v>
      </x:c>
      <x:c r="D243" s="11" t="n">
        <x:v>6.0120000000000005</x:v>
      </x:c>
      <x:c r="E243" s="11" t="n">
        <x:v>-3.3</x:v>
      </x:c>
      <x:c r="F243" s="11" t="n">
        <x:f>SQRT((C243-C242)^2+(D243-D242)^2+(E243-E242)^2)</x:f>
        <x:v>1.6820000000000004</x:v>
      </x:c>
      <x:c r="G243" s="8" t="str">
        <x:v>Current</x:v>
      </x:c>
    </x:row>
    <x:row r="244" ht="32" customHeight="1">
      <x:c r="A244" s="8" t="str">
        <x:v>trunk:FC1:F2:fan:1</x:v>
      </x:c>
      <x:c r="B244" s="8" t="n">
        <x:v>8</x:v>
      </x:c>
      <x:c r="C244" s="11" t="n">
        <x:v>53.016</x:v>
      </x:c>
      <x:c r="D244" s="11" t="n">
        <x:v>6.0120000000000005</x:v>
      </x:c>
      <x:c r="E244" s="11" t="n">
        <x:v>7.36</x:v>
      </x:c>
      <x:c r="F244" s="11" t="n">
        <x:f>SQRT((C244-C243)^2+(D244-D243)^2+(E244-E243)^2)</x:f>
        <x:v>10.66</x:v>
      </x:c>
      <x:c r="G244" s="8" t="str">
        <x:v>Current</x:v>
      </x:c>
    </x:row>
    <x:row r="245" ht="32" customHeight="1">
      <x:c r="A245" s="8" t="str">
        <x:v>trunk:FC1:F2:fan:1</x:v>
      </x:c>
      <x:c r="B245" s="8" t="n">
        <x:v>9</x:v>
      </x:c>
      <x:c r="C245" s="11" t="n">
        <x:v>44.175</x:v>
      </x:c>
      <x:c r="D245" s="11" t="n">
        <x:v>6.0120000000000005</x:v>
      </x:c>
      <x:c r="E245" s="11" t="n">
        <x:v>7.36</x:v>
      </x:c>
      <x:c r="F245" s="11" t="n">
        <x:f>SQRT((C245-C244)^2+(D245-D244)^2+(E245-E244)^2)</x:f>
        <x:v>8.841000000000001</x:v>
      </x:c>
      <x:c r="G245" s="8" t="str">
        <x:v>Current</x:v>
      </x:c>
    </x:row>
    <x:row r="246" ht="32" customHeight="1">
      <x:c r="A246" s="8" t="str">
        <x:v>trunk:FC1:F2:fan:1</x:v>
      </x:c>
      <x:c r="B246" s="8" t="n">
        <x:v>10</x:v>
      </x:c>
      <x:c r="C246" s="11" t="n">
        <x:v>44.175</x:v>
      </x:c>
      <x:c r="D246" s="11" t="n">
        <x:v>7.04</x:v>
      </x:c>
      <x:c r="E246" s="11" t="n">
        <x:v>7.36</x:v>
      </x:c>
      <x:c r="F246" s="11" t="n">
        <x:f>SQRT((C246-C245)^2+(D246-D245)^2+(E246-E245)^2)</x:f>
        <x:v>1.0279999999999996</x:v>
      </x:c>
      <x:c r="G246" s="8" t="str">
        <x:v>Current</x:v>
      </x:c>
    </x:row>
    <x:row r="247" ht="32" customHeight="1">
      <x:c r="A247" s="8" t="str">
        <x:v>trunk:FC1:F2:fan:1</x:v>
      </x:c>
      <x:c r="B247" s="8" t="n">
        <x:v>11</x:v>
      </x:c>
      <x:c r="C247" s="11" t="n">
        <x:v>43.535</x:v>
      </x:c>
      <x:c r="D247" s="11" t="n">
        <x:v>7.04</x:v>
      </x:c>
      <x:c r="E247" s="11" t="n">
        <x:v>7.36</x:v>
      </x:c>
      <x:c r="F247" s="11" t="n">
        <x:f>SQRT((C247-C246)^2+(D247-D246)^2+(E247-E246)^2)</x:f>
        <x:v>0.6400000000000006</x:v>
      </x:c>
      <x:c r="G247" s="8" t="str">
        <x:v>Current</x:v>
      </x:c>
    </x:row>
    <x:row r="248" ht="32" customHeight="1">
      <x:c r="A248" s="8" t="str">
        <x:v>trunk:FC1:F2:fan:1</x:v>
      </x:c>
      <x:c r="B248" s="8" t="n">
        <x:v>12</x:v>
      </x:c>
      <x:c r="C248" s="11" t="n">
        <x:v>43.455</x:v>
      </x:c>
      <x:c r="D248" s="11" t="n">
        <x:v>6.950412371134024</x:v>
      </x:c>
      <x:c r="E248" s="11" t="n">
        <x:v>7.36</x:v>
      </x:c>
      <x:c r="F248" s="11" t="n">
        <x:f>SQRT((C248-C247)^2+(D248-D247)^2+(E248-E247)^2)</x:f>
        <x:v>0.12010804821421249</x:v>
      </x:c>
      <x:c r="G248" s="8" t="str">
        <x:v>Current</x:v>
      </x:c>
    </x:row>
    <x:row r="249" ht="32" customHeight="1">
      <x:c r="A249" s="8" t="str">
        <x:v>trunk:FC1:F2:fan:1</x:v>
      </x:c>
      <x:c r="B249" s="8" t="n">
        <x:v>13</x:v>
      </x:c>
      <x:c r="C249" s="11" t="n">
        <x:v>40.574999999999996</x:v>
      </x:c>
      <x:c r="D249" s="11" t="n">
        <x:v>9.269999999999994</x:v>
      </x:c>
      <x:c r="E249" s="11" t="n">
        <x:v>7.36</x:v>
      </x:c>
      <x:c r="F249" s="11" t="n">
        <x:f>SQRT((C249-C248)^2+(D249-D248)^2+(E249-E248)^2)</x:f>
        <x:v>3.6979571073753776</x:v>
      </x:c>
      <x:c r="G249" s="8" t="str">
        <x:v>Current</x:v>
      </x:c>
    </x:row>
    <x:row r="250" ht="32" customHeight="1">
      <x:c r="A250" s="8" t="str">
        <x:v>trunk:FC1:F2:fan:1</x:v>
      </x:c>
      <x:c r="B250" s="8" t="n">
        <x:v>14</x:v>
      </x:c>
      <x:c r="C250" s="11" t="n">
        <x:v>37.695</x:v>
      </x:c>
      <x:c r="D250" s="11" t="n">
        <x:v>6.950412371134018</x:v>
      </x:c>
      <x:c r="E250" s="11" t="n">
        <x:v>7.36</x:v>
      </x:c>
      <x:c r="F250" s="11" t="n">
        <x:f>SQRT((C250-C249)^2+(D250-D249)^2+(E250-E249)^2)</x:f>
        <x:v>3.697957107375376</x:v>
      </x:c>
      <x:c r="G250" s="8" t="str">
        <x:v>Current</x:v>
      </x:c>
    </x:row>
    <x:row r="251" ht="32" customHeight="1">
      <x:c r="A251" s="8" t="str">
        <x:v>trunk:FC1:F2:fan:1</x:v>
      </x:c>
      <x:c r="B251" s="8" t="n">
        <x:v>15</x:v>
      </x:c>
      <x:c r="C251" s="11" t="n">
        <x:v>37.615</x:v>
      </x:c>
      <x:c r="D251" s="11" t="n">
        <x:v>7.04</x:v>
      </x:c>
      <x:c r="E251" s="11" t="n">
        <x:v>7.36</x:v>
      </x:c>
      <x:c r="F251" s="11" t="n">
        <x:f>SQRT((C251-C250)^2+(D251-D250)^2+(E251-E250)^2)</x:f>
        <x:v>0.12010804821421713</x:v>
      </x:c>
      <x:c r="G251" s="8" t="str">
        <x:v>Current</x:v>
      </x:c>
    </x:row>
    <x:row r="252" ht="32" customHeight="1">
      <x:c r="A252" s="8" t="str">
        <x:v>trunk:FC1:F2:fan:1</x:v>
      </x:c>
      <x:c r="B252" s="8" t="n">
        <x:v>16</x:v>
      </x:c>
      <x:c r="C252" s="11" t="n">
        <x:v>36.975</x:v>
      </x:c>
      <x:c r="D252" s="11" t="n">
        <x:v>7.04</x:v>
      </x:c>
      <x:c r="E252" s="11" t="n">
        <x:v>7.36</x:v>
      </x:c>
      <x:c r="F252" s="11" t="n">
        <x:f>SQRT((C252-C251)^2+(D252-D251)^2+(E252-E251)^2)</x:f>
        <x:v>0.6400000000000006</x:v>
      </x:c>
      <x:c r="G252" s="8" t="str">
        <x:v>Current</x:v>
      </x:c>
    </x:row>
    <x:row r="253" ht="32" customHeight="1">
      <x:c r="A253" s="8" t="str">
        <x:v>trunk:FC1:F2:fan:1</x:v>
      </x:c>
      <x:c r="B253" s="8" t="n">
        <x:v>17</x:v>
      </x:c>
      <x:c r="C253" s="11" t="n">
        <x:v>36.975</x:v>
      </x:c>
      <x:c r="D253" s="11" t="n">
        <x:v>6.0120000000000005</x:v>
      </x:c>
      <x:c r="E253" s="11" t="n">
        <x:v>7.36</x:v>
      </x:c>
      <x:c r="F253" s="11" t="n">
        <x:f>SQRT((C253-C252)^2+(D253-D252)^2+(E253-E252)^2)</x:f>
        <x:v>1.0279999999999996</x:v>
      </x:c>
      <x:c r="G253" s="8" t="str">
        <x:v>Current</x:v>
      </x:c>
    </x:row>
    <x:row r="254" ht="32" customHeight="1">
      <x:c r="A254" s="8" t="str">
        <x:v>trunk:FC1:F2:fan:1</x:v>
      </x:c>
      <x:c r="B254" s="8" t="n">
        <x:v>18</x:v>
      </x:c>
      <x:c r="C254" s="11" t="n">
        <x:v>5.475000000000001</x:v>
      </x:c>
      <x:c r="D254" s="11" t="n">
        <x:v>6.0120000000000005</x:v>
      </x:c>
      <x:c r="E254" s="11" t="n">
        <x:v>7.36</x:v>
      </x:c>
      <x:c r="F254" s="11" t="n">
        <x:f>SQRT((C254-C253)^2+(D254-D253)^2+(E254-E253)^2)</x:f>
        <x:v>31.5</x:v>
      </x:c>
      <x:c r="G254" s="8" t="str">
        <x:v>Current</x:v>
      </x:c>
    </x:row>
    <x:row r="255" ht="32" customHeight="1">
      <x:c r="A255" s="8" t="str">
        <x:v>drop:FC1:F2:fan:1:F245</x:v>
      </x:c>
      <x:c r="B255" s="8" t="n">
        <x:v>1</x:v>
      </x:c>
      <x:c r="C255" s="11" t="n">
        <x:v>14.475000000000001</x:v>
      </x:c>
      <x:c r="D255" s="11" t="n">
        <x:v>6.0120000000000005</x:v>
      </x:c>
      <x:c r="E255" s="11" t="n">
        <x:v>7.36</x:v>
      </x:c>
      <x:c r="F255" s="11" t="n">
        <x:f>0</x:f>
        <x:v>0</x:v>
      </x:c>
      <x:c r="G255" s="8" t="str">
        <x:v>Current</x:v>
      </x:c>
    </x:row>
    <x:row r="256" ht="32" customHeight="1">
      <x:c r="A256" s="8" t="str">
        <x:v>drop:FC1:F2:fan:1:F245</x:v>
      </x:c>
      <x:c r="B256" s="8" t="n">
        <x:v>2</x:v>
      </x:c>
      <x:c r="C256" s="11" t="n">
        <x:v>14.475000000000001</x:v>
      </x:c>
      <x:c r="D256" s="11" t="n">
        <x:v>5.55</x:v>
      </x:c>
      <x:c r="E256" s="11" t="n">
        <x:v>7.36</x:v>
      </x:c>
      <x:c r="F256" s="11" t="n">
        <x:f>SQRT((C256-C255)^2+(D256-D255)^2+(E256-E255)^2)</x:f>
        <x:v>0.46200000000000063</x:v>
      </x:c>
      <x:c r="G256" s="8" t="str">
        <x:v>Current</x:v>
      </x:c>
    </x:row>
    <x:row r="257" ht="32" customHeight="1">
      <x:c r="A257" s="8" t="str">
        <x:v>drop:FC1:F2:fan:1:F245</x:v>
      </x:c>
      <x:c r="B257" s="8" t="n">
        <x:v>3</x:v>
      </x:c>
      <x:c r="C257" s="11" t="n">
        <x:v>14.475</x:v>
      </x:c>
      <x:c r="D257" s="11" t="n">
        <x:v>5.55</x:v>
      </x:c>
      <x:c r="E257" s="11" t="n">
        <x:v>7.07</x:v>
      </x:c>
      <x:c r="F257" s="11" t="n">
        <x:f>SQRT((C257-C256)^2+(D257-D256)^2+(E257-E256)^2)</x:f>
        <x:v>0.29000000000000004</x:v>
      </x:c>
      <x:c r="G257" s="8" t="str">
        <x:v>Current</x:v>
      </x:c>
    </x:row>
    <x:row r="258" ht="32" customHeight="1">
      <x:c r="A258" s="8" t="str">
        <x:v>drop:FC1:F2:fan:1:F247</x:v>
      </x:c>
      <x:c r="B258" s="8" t="n">
        <x:v>1</x:v>
      </x:c>
      <x:c r="C258" s="11" t="n">
        <x:v>23.475</x:v>
      </x:c>
      <x:c r="D258" s="11" t="n">
        <x:v>6.0120000000000005</x:v>
      </x:c>
      <x:c r="E258" s="11" t="n">
        <x:v>7.36</x:v>
      </x:c>
      <x:c r="F258" s="11" t="n">
        <x:f>0</x:f>
        <x:v>0</x:v>
      </x:c>
      <x:c r="G258" s="8" t="str">
        <x:v>Current</x:v>
      </x:c>
    </x:row>
    <x:row r="259" ht="32" customHeight="1">
      <x:c r="A259" s="8" t="str">
        <x:v>drop:FC1:F2:fan:1:F247</x:v>
      </x:c>
      <x:c r="B259" s="8" t="n">
        <x:v>2</x:v>
      </x:c>
      <x:c r="C259" s="11" t="n">
        <x:v>23.475</x:v>
      </x:c>
      <x:c r="D259" s="11" t="n">
        <x:v>5.55</x:v>
      </x:c>
      <x:c r="E259" s="11" t="n">
        <x:v>7.36</x:v>
      </x:c>
      <x:c r="F259" s="11" t="n">
        <x:f>SQRT((C259-C258)^2+(D259-D258)^2+(E259-E258)^2)</x:f>
        <x:v>0.46200000000000063</x:v>
      </x:c>
      <x:c r="G259" s="8" t="str">
        <x:v>Current</x:v>
      </x:c>
    </x:row>
    <x:row r="260" ht="32" customHeight="1">
      <x:c r="A260" s="8" t="str">
        <x:v>drop:FC1:F2:fan:1:F247</x:v>
      </x:c>
      <x:c r="B260" s="8" t="n">
        <x:v>3</x:v>
      </x:c>
      <x:c r="C260" s="11" t="n">
        <x:v>23.475</x:v>
      </x:c>
      <x:c r="D260" s="11" t="n">
        <x:v>5.55</x:v>
      </x:c>
      <x:c r="E260" s="11" t="n">
        <x:v>7.07</x:v>
      </x:c>
      <x:c r="F260" s="11" t="n">
        <x:f>SQRT((C260-C259)^2+(D260-D259)^2+(E260-E259)^2)</x:f>
        <x:v>0.29000000000000004</x:v>
      </x:c>
      <x:c r="G260" s="8" t="str">
        <x:v>Current</x:v>
      </x:c>
    </x:row>
    <x:row r="261" ht="32" customHeight="1">
      <x:c r="A261" s="8" t="str">
        <x:v>drop:FC1:F2:fan:1:F249</x:v>
      </x:c>
      <x:c r="B261" s="8" t="n">
        <x:v>1</x:v>
      </x:c>
      <x:c r="C261" s="11" t="n">
        <x:v>32.475</x:v>
      </x:c>
      <x:c r="D261" s="11" t="n">
        <x:v>6.0120000000000005</x:v>
      </x:c>
      <x:c r="E261" s="11" t="n">
        <x:v>7.36</x:v>
      </x:c>
      <x:c r="F261" s="11" t="n">
        <x:f>0</x:f>
        <x:v>0</x:v>
      </x:c>
      <x:c r="G261" s="8" t="str">
        <x:v>Current</x:v>
      </x:c>
    </x:row>
    <x:row r="262" ht="32" customHeight="1">
      <x:c r="A262" s="8" t="str">
        <x:v>drop:FC1:F2:fan:1:F249</x:v>
      </x:c>
      <x:c r="B262" s="8" t="n">
        <x:v>2</x:v>
      </x:c>
      <x:c r="C262" s="11" t="n">
        <x:v>32.475</x:v>
      </x:c>
      <x:c r="D262" s="11" t="n">
        <x:v>5.55</x:v>
      </x:c>
      <x:c r="E262" s="11" t="n">
        <x:v>7.36</x:v>
      </x:c>
      <x:c r="F262" s="11" t="n">
        <x:f>SQRT((C262-C261)^2+(D262-D261)^2+(E262-E261)^2)</x:f>
        <x:v>0.46200000000000063</x:v>
      </x:c>
      <x:c r="G262" s="8" t="str">
        <x:v>Current</x:v>
      </x:c>
    </x:row>
    <x:row r="263" ht="32" customHeight="1">
      <x:c r="A263" s="8" t="str">
        <x:v>drop:FC1:F2:fan:1:F249</x:v>
      </x:c>
      <x:c r="B263" s="8" t="n">
        <x:v>3</x:v>
      </x:c>
      <x:c r="C263" s="11" t="n">
        <x:v>32.475</x:v>
      </x:c>
      <x:c r="D263" s="11" t="n">
        <x:v>5.55</x:v>
      </x:c>
      <x:c r="E263" s="11" t="n">
        <x:v>7.07</x:v>
      </x:c>
      <x:c r="F263" s="11" t="n">
        <x:f>SQRT((C263-C262)^2+(D263-D262)^2+(E263-E262)^2)</x:f>
        <x:v>0.29000000000000004</x:v>
      </x:c>
      <x:c r="G263" s="8" t="str">
        <x:v>Current</x:v>
      </x:c>
    </x:row>
    <x:row r="264" ht="32" customHeight="1">
      <x:c r="A264" s="8" t="str">
        <x:v>drop:FC1:F2:fan:1:F-NAVE-H-2P</x:v>
      </x:c>
      <x:c r="B264" s="8" t="n">
        <x:v>1</x:v>
      </x:c>
      <x:c r="C264" s="11" t="n">
        <x:v>5.475000000000001</x:v>
      </x:c>
      <x:c r="D264" s="11" t="n">
        <x:v>6.0120000000000005</x:v>
      </x:c>
      <x:c r="E264" s="11" t="n">
        <x:v>7.36</x:v>
      </x:c>
      <x:c r="F264" s="11" t="n">
        <x:f>0</x:f>
        <x:v>0</x:v>
      </x:c>
      <x:c r="G264" s="8" t="str">
        <x:v>Current</x:v>
      </x:c>
    </x:row>
    <x:row r="265" ht="32" customHeight="1">
      <x:c r="A265" s="8" t="str">
        <x:v>drop:FC1:F2:fan:1:F-NAVE-H-2P</x:v>
      </x:c>
      <x:c r="B265" s="8" t="n">
        <x:v>2</x:v>
      </x:c>
      <x:c r="C265" s="11" t="n">
        <x:v>5.475000000000001</x:v>
      </x:c>
      <x:c r="D265" s="11" t="n">
        <x:v>5.55</x:v>
      </x:c>
      <x:c r="E265" s="11" t="n">
        <x:v>7.36</x:v>
      </x:c>
      <x:c r="F265" s="11" t="n">
        <x:f>SQRT((C265-C264)^2+(D265-D264)^2+(E265-E264)^2)</x:f>
        <x:v>0.46200000000000063</x:v>
      </x:c>
      <x:c r="G265" s="8" t="str">
        <x:v>Current</x:v>
      </x:c>
    </x:row>
    <x:row r="266" ht="32" customHeight="1">
      <x:c r="A266" s="8" t="str">
        <x:v>drop:FC1:F2:fan:1:F-NAVE-H-2P</x:v>
      </x:c>
      <x:c r="B266" s="8" t="n">
        <x:v>3</x:v>
      </x:c>
      <x:c r="C266" s="11" t="n">
        <x:v>5.475</x:v>
      </x:c>
      <x:c r="D266" s="11" t="n">
        <x:v>5.55</x:v>
      </x:c>
      <x:c r="E266" s="11" t="n">
        <x:v>7.07</x:v>
      </x:c>
      <x:c r="F266" s="11" t="n">
        <x:f>SQRT((C266-C265)^2+(D266-D265)^2+(E266-E265)^2)</x:f>
        <x:v>0.29000000000000004</x:v>
      </x:c>
      <x:c r="G266" s="8" t="str">
        <x:v>Current</x:v>
      </x:c>
    </x:row>
    <x:row r="267" ht="32" customHeight="1">
      <x:c r="A267" s="8" t="str">
        <x:v>drop:FC1:F2:fan:1:F-NAVE-H-3</x:v>
      </x:c>
      <x:c r="B267" s="8" t="n">
        <x:v>1</x:v>
      </x:c>
      <x:c r="C267" s="11" t="n">
        <x:v>9.975000000000001</x:v>
      </x:c>
      <x:c r="D267" s="11" t="n">
        <x:v>6.0120000000000005</x:v>
      </x:c>
      <x:c r="E267" s="11" t="n">
        <x:v>7.36</x:v>
      </x:c>
      <x:c r="F267" s="11" t="n">
        <x:f>0</x:f>
        <x:v>0</x:v>
      </x:c>
      <x:c r="G267" s="8" t="str">
        <x:v>Current</x:v>
      </x:c>
    </x:row>
    <x:row r="268" ht="32" customHeight="1">
      <x:c r="A268" s="8" t="str">
        <x:v>drop:FC1:F2:fan:1:F-NAVE-H-3</x:v>
      </x:c>
      <x:c r="B268" s="8" t="n">
        <x:v>2</x:v>
      </x:c>
      <x:c r="C268" s="11" t="n">
        <x:v>9.975000000000001</x:v>
      </x:c>
      <x:c r="D268" s="11" t="n">
        <x:v>5.55</x:v>
      </x:c>
      <x:c r="E268" s="11" t="n">
        <x:v>7.36</x:v>
      </x:c>
      <x:c r="F268" s="11" t="n">
        <x:f>SQRT((C268-C267)^2+(D268-D267)^2+(E268-E267)^2)</x:f>
        <x:v>0.46200000000000063</x:v>
      </x:c>
      <x:c r="G268" s="8" t="str">
        <x:v>Current</x:v>
      </x:c>
    </x:row>
    <x:row r="269" ht="32" customHeight="1">
      <x:c r="A269" s="8" t="str">
        <x:v>drop:FC1:F2:fan:1:F-NAVE-H-3</x:v>
      </x:c>
      <x:c r="B269" s="8" t="n">
        <x:v>3</x:v>
      </x:c>
      <x:c r="C269" s="11" t="n">
        <x:v>9.975</x:v>
      </x:c>
      <x:c r="D269" s="11" t="n">
        <x:v>5.55</x:v>
      </x:c>
      <x:c r="E269" s="11" t="n">
        <x:v>7.07</x:v>
      </x:c>
      <x:c r="F269" s="11" t="n">
        <x:f>SQRT((C269-C268)^2+(D269-D268)^2+(E269-E268)^2)</x:f>
        <x:v>0.29000000000000004</x:v>
      </x:c>
      <x:c r="G269" s="8" t="str">
        <x:v>Current</x:v>
      </x:c>
    </x:row>
    <x:row r="270" ht="32" customHeight="1">
      <x:c r="A270" s="8" t="str">
        <x:v>drop:FC1:F2:fan:1:F-NAVE-H-5</x:v>
      </x:c>
      <x:c r="B270" s="8" t="n">
        <x:v>1</x:v>
      </x:c>
      <x:c r="C270" s="11" t="n">
        <x:v>18.975</x:v>
      </x:c>
      <x:c r="D270" s="11" t="n">
        <x:v>6.0120000000000005</x:v>
      </x:c>
      <x:c r="E270" s="11" t="n">
        <x:v>7.36</x:v>
      </x:c>
      <x:c r="F270" s="11" t="n">
        <x:f>0</x:f>
        <x:v>0</x:v>
      </x:c>
      <x:c r="G270" s="8" t="str">
        <x:v>Current</x:v>
      </x:c>
    </x:row>
    <x:row r="271" ht="32" customHeight="1">
      <x:c r="A271" s="8" t="str">
        <x:v>drop:FC1:F2:fan:1:F-NAVE-H-5</x:v>
      </x:c>
      <x:c r="B271" s="8" t="n">
        <x:v>2</x:v>
      </x:c>
      <x:c r="C271" s="11" t="n">
        <x:v>18.975</x:v>
      </x:c>
      <x:c r="D271" s="11" t="n">
        <x:v>5.55</x:v>
      </x:c>
      <x:c r="E271" s="11" t="n">
        <x:v>7.36</x:v>
      </x:c>
      <x:c r="F271" s="11" t="n">
        <x:f>SQRT((C271-C270)^2+(D271-D270)^2+(E271-E270)^2)</x:f>
        <x:v>0.46200000000000063</x:v>
      </x:c>
      <x:c r="G271" s="8" t="str">
        <x:v>Current</x:v>
      </x:c>
    </x:row>
    <x:row r="272" ht="32" customHeight="1">
      <x:c r="A272" s="8" t="str">
        <x:v>drop:FC1:F2:fan:1:F-NAVE-H-5</x:v>
      </x:c>
      <x:c r="B272" s="8" t="n">
        <x:v>3</x:v>
      </x:c>
      <x:c r="C272" s="11" t="n">
        <x:v>18.975</x:v>
      </x:c>
      <x:c r="D272" s="11" t="n">
        <x:v>5.55</x:v>
      </x:c>
      <x:c r="E272" s="11" t="n">
        <x:v>7.07</x:v>
      </x:c>
      <x:c r="F272" s="11" t="n">
        <x:f>SQRT((C272-C271)^2+(D272-D271)^2+(E272-E271)^2)</x:f>
        <x:v>0.29000000000000004</x:v>
      </x:c>
      <x:c r="G272" s="8" t="str">
        <x:v>Current</x:v>
      </x:c>
    </x:row>
    <x:row r="273" ht="32" customHeight="1">
      <x:c r="A273" s="8" t="str">
        <x:v>drop:FC1:F2:fan:1:F-NAVE-H-7</x:v>
      </x:c>
      <x:c r="B273" s="8" t="n">
        <x:v>1</x:v>
      </x:c>
      <x:c r="C273" s="11" t="n">
        <x:v>27.975</x:v>
      </x:c>
      <x:c r="D273" s="11" t="n">
        <x:v>6.0120000000000005</x:v>
      </x:c>
      <x:c r="E273" s="11" t="n">
        <x:v>7.36</x:v>
      </x:c>
      <x:c r="F273" s="11" t="n">
        <x:f>0</x:f>
        <x:v>0</x:v>
      </x:c>
      <x:c r="G273" s="8" t="str">
        <x:v>Current</x:v>
      </x:c>
    </x:row>
    <x:row r="274" ht="32" customHeight="1">
      <x:c r="A274" s="8" t="str">
        <x:v>drop:FC1:F2:fan:1:F-NAVE-H-7</x:v>
      </x:c>
      <x:c r="B274" s="8" t="n">
        <x:v>2</x:v>
      </x:c>
      <x:c r="C274" s="11" t="n">
        <x:v>27.975</x:v>
      </x:c>
      <x:c r="D274" s="11" t="n">
        <x:v>5.55</x:v>
      </x:c>
      <x:c r="E274" s="11" t="n">
        <x:v>7.36</x:v>
      </x:c>
      <x:c r="F274" s="11" t="n">
        <x:f>SQRT((C274-C273)^2+(D274-D273)^2+(E274-E273)^2)</x:f>
        <x:v>0.46200000000000063</x:v>
      </x:c>
      <x:c r="G274" s="8" t="str">
        <x:v>Current</x:v>
      </x:c>
    </x:row>
    <x:row r="275" ht="32" customHeight="1">
      <x:c r="A275" s="8" t="str">
        <x:v>drop:FC1:F2:fan:1:F-NAVE-H-7</x:v>
      </x:c>
      <x:c r="B275" s="8" t="n">
        <x:v>3</x:v>
      </x:c>
      <x:c r="C275" s="11" t="n">
        <x:v>27.975</x:v>
      </x:c>
      <x:c r="D275" s="11" t="n">
        <x:v>5.55</x:v>
      </x:c>
      <x:c r="E275" s="11" t="n">
        <x:v>7.07</x:v>
      </x:c>
      <x:c r="F275" s="11" t="n">
        <x:f>SQRT((C275-C274)^2+(D275-D274)^2+(E275-E274)^2)</x:f>
        <x:v>0.29000000000000004</x:v>
      </x:c>
      <x:c r="G275" s="8" t="str">
        <x:v>Current</x:v>
      </x:c>
    </x:row>
    <x:row r="276" ht="32" customHeight="1">
      <x:c r="A276" s="8" t="str">
        <x:v>drop:FC1:F2:fan:1:F-NAVE-H-9</x:v>
      </x:c>
      <x:c r="B276" s="8" t="n">
        <x:v>1</x:v>
      </x:c>
      <x:c r="C276" s="11" t="n">
        <x:v>36.975</x:v>
      </x:c>
      <x:c r="D276" s="11" t="n">
        <x:v>6.0120000000000005</x:v>
      </x:c>
      <x:c r="E276" s="11" t="n">
        <x:v>7.36</x:v>
      </x:c>
      <x:c r="F276" s="11" t="n">
        <x:f>0</x:f>
        <x:v>0</x:v>
      </x:c>
      <x:c r="G276" s="8" t="str">
        <x:v>Current</x:v>
      </x:c>
    </x:row>
    <x:row r="277" ht="32" customHeight="1">
      <x:c r="A277" s="8" t="str">
        <x:v>drop:FC1:F2:fan:1:F-NAVE-H-9</x:v>
      </x:c>
      <x:c r="B277" s="8" t="n">
        <x:v>2</x:v>
      </x:c>
      <x:c r="C277" s="11" t="n">
        <x:v>36.975</x:v>
      </x:c>
      <x:c r="D277" s="11" t="n">
        <x:v>5.55</x:v>
      </x:c>
      <x:c r="E277" s="11" t="n">
        <x:v>7.36</x:v>
      </x:c>
      <x:c r="F277" s="11" t="n">
        <x:f>SQRT((C277-C276)^2+(D277-D276)^2+(E277-E276)^2)</x:f>
        <x:v>0.46200000000000063</x:v>
      </x:c>
      <x:c r="G277" s="8" t="str">
        <x:v>Current</x:v>
      </x:c>
    </x:row>
    <x:row r="278" ht="32" customHeight="1">
      <x:c r="A278" s="8" t="str">
        <x:v>drop:FC1:F2:fan:1:F-NAVE-H-9</x:v>
      </x:c>
      <x:c r="B278" s="8" t="n">
        <x:v>3</x:v>
      </x:c>
      <x:c r="C278" s="11" t="n">
        <x:v>36.975</x:v>
      </x:c>
      <x:c r="D278" s="11" t="n">
        <x:v>5.55</x:v>
      </x:c>
      <x:c r="E278" s="11" t="n">
        <x:v>7.07</x:v>
      </x:c>
      <x:c r="F278" s="11" t="n">
        <x:f>SQRT((C278-C277)^2+(D278-D277)^2+(E278-E277)^2)</x:f>
        <x:v>0.29000000000000004</x:v>
      </x:c>
      <x:c r="G278" s="8" t="str">
        <x:v>Current</x:v>
      </x:c>
    </x:row>
    <x:row r="279" ht="32" customHeight="1">
      <x:c r="A279" s="8" t="str">
        <x:v>trunk:DB2:F4:fan:-1</x:v>
      </x:c>
      <x:c r="B279" s="8" t="n">
        <x:v>1</x:v>
      </x:c>
      <x:c r="C279" s="11" t="n">
        <x:v>2.73</x:v>
      </x:c>
      <x:c r="D279" s="11" t="n">
        <x:v>1.5</x:v>
      </x:c>
      <x:c r="E279" s="11" t="n">
        <x:v>-3.3</x:v>
      </x:c>
      <x:c r="F279" s="11" t="n">
        <x:f>0</x:f>
        <x:v>0</x:v>
      </x:c>
      <x:c r="G279" s="8" t="str">
        <x:v>Current</x:v>
      </x:c>
    </x:row>
    <x:row r="280" ht="32" customHeight="1">
      <x:c r="A280" s="8" t="str">
        <x:v>trunk:DB2:F4:fan:-1</x:v>
      </x:c>
      <x:c r="B280" s="8" t="n">
        <x:v>2</x:v>
      </x:c>
      <x:c r="C280" s="11" t="n">
        <x:v>2.35</x:v>
      </x:c>
      <x:c r="D280" s="11" t="n">
        <x:v>1.5</x:v>
      </x:c>
      <x:c r="E280" s="11" t="n">
        <x:v>-3.3</x:v>
      </x:c>
      <x:c r="F280" s="11" t="n">
        <x:f>SQRT((C280-C279)^2+(D280-D279)^2+(E280-E279)^2)</x:f>
        <x:v>0.3799999999999999</x:v>
      </x:c>
      <x:c r="G280" s="8" t="str">
        <x:v>Current</x:v>
      </x:c>
    </x:row>
    <x:row r="281" ht="32" customHeight="1">
      <x:c r="A281" s="8" t="str">
        <x:v>trunk:DB2:F4:fan:-1</x:v>
      </x:c>
      <x:c r="B281" s="8" t="n">
        <x:v>3</x:v>
      </x:c>
      <x:c r="C281" s="11" t="n">
        <x:v>2.35</x:v>
      </x:c>
      <x:c r="D281" s="11" t="n">
        <x:v>7.65</x:v>
      </x:c>
      <x:c r="E281" s="11" t="n">
        <x:v>-3.3</x:v>
      </x:c>
      <x:c r="F281" s="11" t="n">
        <x:f>SQRT((C281-C280)^2+(D281-D280)^2+(E281-E280)^2)</x:f>
        <x:v>6.15</x:v>
      </x:c>
      <x:c r="G281" s="8" t="str">
        <x:v>Current</x:v>
      </x:c>
    </x:row>
    <x:row r="282" ht="32" customHeight="1">
      <x:c r="A282" s="8" t="str">
        <x:v>trunk:DB2:F4:fan:-1</x:v>
      </x:c>
      <x:c r="B282" s="8" t="n">
        <x:v>4</x:v>
      </x:c>
      <x:c r="C282" s="11" t="n">
        <x:v>2.35</x:v>
      </x:c>
      <x:c r="D282" s="11" t="n">
        <x:v>7.65</x:v>
      </x:c>
      <x:c r="E282" s="11" t="n">
        <x:v>-7.36</x:v>
      </x:c>
      <x:c r="F282" s="11" t="n">
        <x:f>SQRT((C282-C281)^2+(D282-D281)^2+(E282-E281)^2)</x:f>
        <x:v>4.0600000000000005</x:v>
      </x:c>
      <x:c r="G282" s="8" t="str">
        <x:v>Current</x:v>
      </x:c>
    </x:row>
    <x:row r="283" ht="32" customHeight="1">
      <x:c r="A283" s="8" t="str">
        <x:v>trunk:DB2:F4:fan:-1</x:v>
      </x:c>
      <x:c r="B283" s="8" t="n">
        <x:v>5</x:v>
      </x:c>
      <x:c r="C283" s="11" t="n">
        <x:v>2.35</x:v>
      </x:c>
      <x:c r="D283" s="11" t="n">
        <x:v>6.0280000000000005</x:v>
      </x:c>
      <x:c r="E283" s="11" t="n">
        <x:v>-7.36</x:v>
      </x:c>
      <x:c r="F283" s="11" t="n">
        <x:f>SQRT((C283-C282)^2+(D283-D282)^2+(E283-E282)^2)</x:f>
        <x:v>1.6219999999999999</x:v>
      </x:c>
      <x:c r="G283" s="8" t="str">
        <x:v>Current</x:v>
      </x:c>
    </x:row>
    <x:row r="284" ht="32" customHeight="1">
      <x:c r="A284" s="8" t="str">
        <x:v>trunk:DB2:F4:fan:-1</x:v>
      </x:c>
      <x:c r="B284" s="8" t="n">
        <x:v>6</x:v>
      </x:c>
      <x:c r="C284" s="11" t="n">
        <x:v>2.655</x:v>
      </x:c>
      <x:c r="D284" s="11" t="n">
        <x:v>6.0280000000000005</x:v>
      </x:c>
      <x:c r="E284" s="11" t="n">
        <x:v>-7.36</x:v>
      </x:c>
      <x:c r="F284" s="11" t="n">
        <x:f>SQRT((C284-C283)^2+(D284-D283)^2+(E284-E283)^2)</x:f>
        <x:v>0.3049999999999997</x:v>
      </x:c>
      <x:c r="G284" s="8" t="str">
        <x:v>Current</x:v>
      </x:c>
    </x:row>
    <x:row r="285" ht="32" customHeight="1">
      <x:c r="A285" s="8" t="str">
        <x:v>drop:DB2:F4:fan:-1:F250</x:v>
      </x:c>
      <x:c r="B285" s="8" t="n">
        <x:v>1</x:v>
      </x:c>
      <x:c r="C285" s="11" t="n">
        <x:v>2.655</x:v>
      </x:c>
      <x:c r="D285" s="11" t="n">
        <x:v>6.0280000000000005</x:v>
      </x:c>
      <x:c r="E285" s="11" t="n">
        <x:v>-7.36</x:v>
      </x:c>
      <x:c r="F285" s="11" t="n">
        <x:f>0</x:f>
        <x:v>0</x:v>
      </x:c>
      <x:c r="G285" s="8" t="str">
        <x:v>Current</x:v>
      </x:c>
    </x:row>
    <x:row r="286" ht="32" customHeight="1">
      <x:c r="A286" s="8" t="str">
        <x:v>drop:DB2:F4:fan:-1:F250</x:v>
      </x:c>
      <x:c r="B286" s="8" t="n">
        <x:v>2</x:v>
      </x:c>
      <x:c r="C286" s="11" t="n">
        <x:v>2.35</x:v>
      </x:c>
      <x:c r="D286" s="11" t="n">
        <x:v>7.65</x:v>
      </x:c>
      <x:c r="E286" s="11" t="n">
        <x:v>-7.36</x:v>
      </x:c>
      <x:c r="F286" s="11" t="n">
        <x:f>SQRT((C286-C285)^2+(D286-D285)^2+(E286-E285)^2)</x:f>
        <x:v>1.6504269144678898</x:v>
      </x:c>
      <x:c r="G286" s="8" t="str">
        <x:v>Current</x:v>
      </x:c>
    </x:row>
    <x:row r="287" ht="32" customHeight="1">
      <x:c r="A287" s="8" t="str">
        <x:v>drop:DB2:F4:fan:-1:F250</x:v>
      </x:c>
      <x:c r="B287" s="8" t="n">
        <x:v>3</x:v>
      </x:c>
      <x:c r="C287" s="11" t="n">
        <x:v>2.35</x:v>
      </x:c>
      <x:c r="D287" s="11" t="n">
        <x:v>7.65</x:v>
      </x:c>
      <x:c r="E287" s="11" t="n">
        <x:v>-3.05</x:v>
      </x:c>
      <x:c r="F287" s="11" t="n">
        <x:f>SQRT((C287-C286)^2+(D287-D286)^2+(E287-E286)^2)</x:f>
        <x:v>4.3100000000000005</x:v>
      </x:c>
      <x:c r="G287" s="8" t="str">
        <x:v>Current</x:v>
      </x:c>
    </x:row>
    <x:row r="288" ht="32" customHeight="1">
      <x:c r="A288" s="8" t="str">
        <x:v>drop:DB2:F4:fan:-1:F250</x:v>
      </x:c>
      <x:c r="B288" s="8" t="n">
        <x:v>4</x:v>
      </x:c>
      <x:c r="C288" s="11" t="n">
        <x:v>2.35</x:v>
      </x:c>
      <x:c r="D288" s="11" t="n">
        <x:v>6</x:v>
      </x:c>
      <x:c r="E288" s="11" t="n">
        <x:v>-3.05</x:v>
      </x:c>
      <x:c r="F288" s="11" t="n">
        <x:f>SQRT((C288-C287)^2+(D288-D287)^2+(E288-E287)^2)</x:f>
        <x:v>1.6500000000000004</x:v>
      </x:c>
      <x:c r="G288" s="8" t="str">
        <x:v>Current</x:v>
      </x:c>
    </x:row>
    <x:row r="289" ht="32" customHeight="1">
      <x:c r="A289" s="8" t="str">
        <x:v>drop:DB2:F4:fan:-1:F250</x:v>
      </x:c>
      <x:c r="B289" s="8" t="n">
        <x:v>5</x:v>
      </x:c>
      <x:c r="C289" s="11" t="n">
        <x:v>2.655</x:v>
      </x:c>
      <x:c r="D289" s="11" t="n">
        <x:v>6</x:v>
      </x:c>
      <x:c r="E289" s="11" t="n">
        <x:v>-3.05</x:v>
      </x:c>
      <x:c r="F289" s="11" t="n">
        <x:f>SQRT((C289-C288)^2+(D289-D288)^2+(E289-E288)^2)</x:f>
        <x:v>0.3049999999999997</x:v>
      </x:c>
      <x:c r="G289" s="8" t="str">
        <x:v>Current</x:v>
      </x:c>
    </x:row>
    <x:row r="290" ht="32" customHeight="1">
      <x:c r="A290" s="8" t="str">
        <x:v>trunk:DB2:F4:fan:1</x:v>
      </x:c>
      <x:c r="B290" s="8" t="n">
        <x:v>1</x:v>
      </x:c>
      <x:c r="C290" s="11" t="n">
        <x:v>2.73</x:v>
      </x:c>
      <x:c r="D290" s="11" t="n">
        <x:v>1.5</x:v>
      </x:c>
      <x:c r="E290" s="11" t="n">
        <x:v>-3.3</x:v>
      </x:c>
      <x:c r="F290" s="11" t="n">
        <x:f>0</x:f>
        <x:v>0</x:v>
      </x:c>
      <x:c r="G290" s="8" t="str">
        <x:v>Current</x:v>
      </x:c>
    </x:row>
    <x:row r="291" ht="32" customHeight="1">
      <x:c r="A291" s="8" t="str">
        <x:v>trunk:DB2:F4:fan:1</x:v>
      </x:c>
      <x:c r="B291" s="8" t="n">
        <x:v>2</x:v>
      </x:c>
      <x:c r="C291" s="11" t="n">
        <x:v>2.35</x:v>
      </x:c>
      <x:c r="D291" s="11" t="n">
        <x:v>1.5</x:v>
      </x:c>
      <x:c r="E291" s="11" t="n">
        <x:v>-3.3</x:v>
      </x:c>
      <x:c r="F291" s="11" t="n">
        <x:f>SQRT((C291-C290)^2+(D291-D290)^2+(E291-E290)^2)</x:f>
        <x:v>0.3799999999999999</x:v>
      </x:c>
      <x:c r="G291" s="8" t="str">
        <x:v>Current</x:v>
      </x:c>
    </x:row>
    <x:row r="292" ht="32" customHeight="1">
      <x:c r="A292" s="8" t="str">
        <x:v>trunk:DB2:F4:fan:1</x:v>
      </x:c>
      <x:c r="B292" s="8" t="n">
        <x:v>3</x:v>
      </x:c>
      <x:c r="C292" s="11" t="n">
        <x:v>2.35</x:v>
      </x:c>
      <x:c r="D292" s="11" t="n">
        <x:v>7.65</x:v>
      </x:c>
      <x:c r="E292" s="11" t="n">
        <x:v>-3.3</x:v>
      </x:c>
      <x:c r="F292" s="11" t="n">
        <x:f>SQRT((C292-C291)^2+(D292-D291)^2+(E292-E291)^2)</x:f>
        <x:v>6.15</x:v>
      </x:c>
      <x:c r="G292" s="8" t="str">
        <x:v>Current</x:v>
      </x:c>
    </x:row>
    <x:row r="293" ht="32" customHeight="1">
      <x:c r="A293" s="8" t="str">
        <x:v>trunk:DB2:F4:fan:1</x:v>
      </x:c>
      <x:c r="B293" s="8" t="n">
        <x:v>4</x:v>
      </x:c>
      <x:c r="C293" s="11" t="n">
        <x:v>2.35</x:v>
      </x:c>
      <x:c r="D293" s="11" t="n">
        <x:v>7.65</x:v>
      </x:c>
      <x:c r="E293" s="11" t="n">
        <x:v>7.36</x:v>
      </x:c>
      <x:c r="F293" s="11" t="n">
        <x:f>SQRT((C293-C292)^2+(D293-D292)^2+(E293-E292)^2)</x:f>
        <x:v>10.66</x:v>
      </x:c>
      <x:c r="G293" s="8" t="str">
        <x:v>Current</x:v>
      </x:c>
    </x:row>
    <x:row r="294" ht="32" customHeight="1">
      <x:c r="A294" s="8" t="str">
        <x:v>trunk:DB2:F4:fan:1</x:v>
      </x:c>
      <x:c r="B294" s="8" t="n">
        <x:v>5</x:v>
      </x:c>
      <x:c r="C294" s="11" t="n">
        <x:v>2.35</x:v>
      </x:c>
      <x:c r="D294" s="11" t="n">
        <x:v>6.0280000000000005</x:v>
      </x:c>
      <x:c r="E294" s="11" t="n">
        <x:v>7.36</x:v>
      </x:c>
      <x:c r="F294" s="11" t="n">
        <x:f>SQRT((C294-C293)^2+(D294-D293)^2+(E294-E293)^2)</x:f>
        <x:v>1.6219999999999999</x:v>
      </x:c>
      <x:c r="G294" s="8" t="str">
        <x:v>Current</x:v>
      </x:c>
    </x:row>
    <x:row r="295" ht="32" customHeight="1">
      <x:c r="A295" s="8" t="str">
        <x:v>trunk:DB2:F4:fan:1</x:v>
      </x:c>
      <x:c r="B295" s="8" t="n">
        <x:v>6</x:v>
      </x:c>
      <x:c r="C295" s="11" t="n">
        <x:v>2.655</x:v>
      </x:c>
      <x:c r="D295" s="11" t="n">
        <x:v>6.0280000000000005</x:v>
      </x:c>
      <x:c r="E295" s="11" t="n">
        <x:v>7.36</x:v>
      </x:c>
      <x:c r="F295" s="11" t="n">
        <x:f>SQRT((C295-C294)^2+(D295-D294)^2+(E295-E294)^2)</x:f>
        <x:v>0.3049999999999997</x:v>
      </x:c>
      <x:c r="G295" s="8" t="str">
        <x:v>Current</x:v>
      </x:c>
    </x:row>
    <x:row r="296" ht="32" customHeight="1">
      <x:c r="A296" s="8" t="str">
        <x:v>drop:DB2:F4:fan:1:F251</x:v>
      </x:c>
      <x:c r="B296" s="8" t="n">
        <x:v>1</x:v>
      </x:c>
      <x:c r="C296" s="11" t="n">
        <x:v>2.655</x:v>
      </x:c>
      <x:c r="D296" s="11" t="n">
        <x:v>6.0280000000000005</x:v>
      </x:c>
      <x:c r="E296" s="11" t="n">
        <x:v>7.36</x:v>
      </x:c>
      <x:c r="F296" s="11" t="n">
        <x:f>0</x:f>
        <x:v>0</x:v>
      </x:c>
      <x:c r="G296" s="8" t="str">
        <x:v>Current</x:v>
      </x:c>
    </x:row>
    <x:row r="297" ht="32" customHeight="1">
      <x:c r="A297" s="8" t="str">
        <x:v>drop:DB2:F4:fan:1:F251</x:v>
      </x:c>
      <x:c r="B297" s="8" t="n">
        <x:v>2</x:v>
      </x:c>
      <x:c r="C297" s="11" t="n">
        <x:v>2.35</x:v>
      </x:c>
      <x:c r="D297" s="11" t="n">
        <x:v>7.65</x:v>
      </x:c>
      <x:c r="E297" s="11" t="n">
        <x:v>7.36</x:v>
      </x:c>
      <x:c r="F297" s="11" t="n">
        <x:f>SQRT((C297-C296)^2+(D297-D296)^2+(E297-E296)^2)</x:f>
        <x:v>1.6504269144678898</x:v>
      </x:c>
      <x:c r="G297" s="8" t="str">
        <x:v>Current</x:v>
      </x:c>
    </x:row>
    <x:row r="298" ht="32" customHeight="1">
      <x:c r="A298" s="8" t="str">
        <x:v>drop:DB2:F4:fan:1:F251</x:v>
      </x:c>
      <x:c r="B298" s="8" t="n">
        <x:v>3</x:v>
      </x:c>
      <x:c r="C298" s="11" t="n">
        <x:v>2.35</x:v>
      </x:c>
      <x:c r="D298" s="11" t="n">
        <x:v>7.65</x:v>
      </x:c>
      <x:c r="E298" s="11" t="n">
        <x:v>3.05</x:v>
      </x:c>
      <x:c r="F298" s="11" t="n">
        <x:f>SQRT((C298-C297)^2+(D298-D297)^2+(E298-E297)^2)</x:f>
        <x:v>4.3100000000000005</x:v>
      </x:c>
      <x:c r="G298" s="8" t="str">
        <x:v>Current</x:v>
      </x:c>
    </x:row>
    <x:row r="299" ht="32" customHeight="1">
      <x:c r="A299" s="8" t="str">
        <x:v>drop:DB2:F4:fan:1:F251</x:v>
      </x:c>
      <x:c r="B299" s="8" t="n">
        <x:v>4</x:v>
      </x:c>
      <x:c r="C299" s="11" t="n">
        <x:v>2.35</x:v>
      </x:c>
      <x:c r="D299" s="11" t="n">
        <x:v>6</x:v>
      </x:c>
      <x:c r="E299" s="11" t="n">
        <x:v>3.05</x:v>
      </x:c>
      <x:c r="F299" s="11" t="n">
        <x:f>SQRT((C299-C298)^2+(D299-D298)^2+(E299-E298)^2)</x:f>
        <x:v>1.6500000000000004</x:v>
      </x:c>
      <x:c r="G299" s="8" t="str">
        <x:v>Current</x:v>
      </x:c>
    </x:row>
    <x:row r="300" ht="32" customHeight="1">
      <x:c r="A300" s="8" t="str">
        <x:v>drop:DB2:F4:fan:1:F251</x:v>
      </x:c>
      <x:c r="B300" s="8" t="n">
        <x:v>5</x:v>
      </x:c>
      <x:c r="C300" s="11" t="n">
        <x:v>2.655</x:v>
      </x:c>
      <x:c r="D300" s="11" t="n">
        <x:v>6</x:v>
      </x:c>
      <x:c r="E300" s="11" t="n">
        <x:v>3.05</x:v>
      </x:c>
      <x:c r="F300" s="11" t="n">
        <x:f>SQRT((C300-C299)^2+(D300-D299)^2+(E300-E299)^2)</x:f>
        <x:v>0.3049999999999997</x:v>
      </x:c>
      <x:c r="G300" s="8" t="str">
        <x:v>Current</x:v>
      </x:c>
    </x:row>
    <x:row r="301" ht="32" customHeight="1">
      <x:c r="A301" s="8" t="str">
        <x:v>trunk:FC1:V1:fan:-1</x:v>
      </x:c>
      <x:c r="B301" s="8" t="n">
        <x:v>1</x:v>
      </x:c>
      <x:c r="C301" s="11" t="n">
        <x:v>48.895</x:v>
      </x:c>
      <x:c r="D301" s="11" t="n">
        <x:v>1.95</x:v>
      </x:c>
      <x:c r="E301" s="11" t="n">
        <x:v>0.4</x:v>
      </x:c>
      <x:c r="F301" s="11" t="n">
        <x:f>0</x:f>
        <x:v>0</x:v>
      </x:c>
      <x:c r="G301" s="8" t="str">
        <x:v>Current</x:v>
      </x:c>
    </x:row>
    <x:row r="302" ht="32" customHeight="1">
      <x:c r="A302" s="8" t="str">
        <x:v>trunk:FC1:V1:fan:-1</x:v>
      </x:c>
      <x:c r="B302" s="8" t="n">
        <x:v>2</x:v>
      </x:c>
      <x:c r="C302" s="11" t="n">
        <x:v>48.735</x:v>
      </x:c>
      <x:c r="D302" s="11" t="n">
        <x:v>1.95</x:v>
      </x:c>
      <x:c r="E302" s="11" t="n">
        <x:v>0.4</x:v>
      </x:c>
      <x:c r="F302" s="11" t="n">
        <x:f>SQRT((C302-C301)^2+(D302-D301)^2+(E302-E301)^2)</x:f>
        <x:v>0.1600000000000037</x:v>
      </x:c>
      <x:c r="G302" s="8" t="str">
        <x:v>Current</x:v>
      </x:c>
    </x:row>
    <x:row r="303" ht="32" customHeight="1">
      <x:c r="A303" s="8" t="str">
        <x:v>trunk:FC1:V1:fan:-1</x:v>
      </x:c>
      <x:c r="B303" s="8" t="n">
        <x:v>3</x:v>
      </x:c>
      <x:c r="C303" s="11" t="n">
        <x:v>48.735</x:v>
      </x:c>
      <x:c r="D303" s="11" t="n">
        <x:v>1.95</x:v>
      </x:c>
      <x:c r="E303" s="11" t="n">
        <x:v>-2.24</x:v>
      </x:c>
      <x:c r="F303" s="11" t="n">
        <x:f>SQRT((C303-C302)^2+(D303-D302)^2+(E303-E302)^2)</x:f>
        <x:v>2.64</x:v>
      </x:c>
      <x:c r="G303" s="8" t="str">
        <x:v>Current</x:v>
      </x:c>
    </x:row>
    <x:row r="304" ht="32" customHeight="1">
      <x:c r="A304" s="8" t="str">
        <x:v>trunk:FC1:V1:fan:-1</x:v>
      </x:c>
      <x:c r="B304" s="8" t="n">
        <x:v>4</x:v>
      </x:c>
      <x:c r="C304" s="11" t="n">
        <x:v>48.735</x:v>
      </x:c>
      <x:c r="D304" s="11" t="n">
        <x:v>4.33</x:v>
      </x:c>
      <x:c r="E304" s="11" t="n">
        <x:v>-2.24</x:v>
      </x:c>
      <x:c r="F304" s="11" t="n">
        <x:f>SQRT((C304-C303)^2+(D304-D303)^2+(E304-E303)^2)</x:f>
        <x:v>2.38</x:v>
      </x:c>
      <x:c r="G304" s="8" t="str">
        <x:v>Current</x:v>
      </x:c>
    </x:row>
    <x:row r="305" ht="32" customHeight="1">
      <x:c r="A305" s="8" t="str">
        <x:v>trunk:FC1:V1:fan:-1</x:v>
      </x:c>
      <x:c r="B305" s="8" t="n">
        <x:v>5</x:v>
      </x:c>
      <x:c r="C305" s="11" t="n">
        <x:v>48.735</x:v>
      </x:c>
      <x:c r="D305" s="11" t="n">
        <x:v>4.33</x:v>
      </x:c>
      <x:c r="E305" s="11" t="n">
        <x:v>-3.3</x:v>
      </x:c>
      <x:c r="F305" s="11" t="n">
        <x:f>SQRT((C305-C304)^2+(D305-D304)^2+(E305-E304)^2)</x:f>
        <x:v>1.0599999999999996</x:v>
      </x:c>
      <x:c r="G305" s="8" t="str">
        <x:v>Current</x:v>
      </x:c>
    </x:row>
    <x:row r="306" ht="32" customHeight="1">
      <x:c r="A306" s="8" t="str">
        <x:v>trunk:FC1:V1:fan:-1</x:v>
      </x:c>
      <x:c r="B306" s="8" t="n">
        <x:v>6</x:v>
      </x:c>
      <x:c r="C306" s="11" t="n">
        <x:v>53.016</x:v>
      </x:c>
      <x:c r="D306" s="11" t="n">
        <x:v>4.33</x:v>
      </x:c>
      <x:c r="E306" s="11" t="n">
        <x:v>-3.3</x:v>
      </x:c>
      <x:c r="F306" s="11" t="n">
        <x:f>SQRT((C306-C305)^2+(D306-D305)^2+(E306-E305)^2)</x:f>
        <x:v>4.280999999999999</x:v>
      </x:c>
      <x:c r="G306" s="8" t="str">
        <x:v>Current</x:v>
      </x:c>
    </x:row>
    <x:row r="307" ht="32" customHeight="1">
      <x:c r="A307" s="8" t="str">
        <x:v>trunk:FC1:V1:fan:-1</x:v>
      </x:c>
      <x:c r="B307" s="8" t="n">
        <x:v>7</x:v>
      </x:c>
      <x:c r="C307" s="11" t="n">
        <x:v>53.016</x:v>
      </x:c>
      <x:c r="D307" s="11" t="n">
        <x:v>6.0360000000000005</x:v>
      </x:c>
      <x:c r="E307" s="11" t="n">
        <x:v>-3.3</x:v>
      </x:c>
      <x:c r="F307" s="11" t="n">
        <x:f>SQRT((C307-C306)^2+(D307-D306)^2+(E307-E306)^2)</x:f>
        <x:v>1.7060000000000004</x:v>
      </x:c>
      <x:c r="G307" s="8" t="str">
        <x:v>Current</x:v>
      </x:c>
    </x:row>
    <x:row r="308" ht="32" customHeight="1">
      <x:c r="A308" s="8" t="str">
        <x:v>trunk:FC1:V1:fan:-1</x:v>
      </x:c>
      <x:c r="B308" s="8" t="n">
        <x:v>8</x:v>
      </x:c>
      <x:c r="C308" s="11" t="n">
        <x:v>53.016</x:v>
      </x:c>
      <x:c r="D308" s="11" t="n">
        <x:v>6.0360000000000005</x:v>
      </x:c>
      <x:c r="E308" s="11" t="n">
        <x:v>-7.36</x:v>
      </x:c>
      <x:c r="F308" s="11" t="n">
        <x:f>SQRT((C308-C307)^2+(D308-D307)^2+(E308-E307)^2)</x:f>
        <x:v>4.0600000000000005</x:v>
      </x:c>
      <x:c r="G308" s="8" t="str">
        <x:v>Current</x:v>
      </x:c>
    </x:row>
    <x:row r="309" ht="32" customHeight="1">
      <x:c r="A309" s="8" t="str">
        <x:v>trunk:FC1:V1:fan:-1</x:v>
      </x:c>
      <x:c r="B309" s="8" t="n">
        <x:v>9</x:v>
      </x:c>
      <x:c r="C309" s="11" t="n">
        <x:v>44.175</x:v>
      </x:c>
      <x:c r="D309" s="11" t="n">
        <x:v>6.0360000000000005</x:v>
      </x:c>
      <x:c r="E309" s="11" t="n">
        <x:v>-7.36</x:v>
      </x:c>
      <x:c r="F309" s="11" t="n">
        <x:f>SQRT((C309-C308)^2+(D309-D308)^2+(E309-E308)^2)</x:f>
        <x:v>8.841000000000001</x:v>
      </x:c>
      <x:c r="G309" s="8" t="str">
        <x:v>Current</x:v>
      </x:c>
    </x:row>
    <x:row r="310" ht="32" customHeight="1">
      <x:c r="A310" s="8" t="str">
        <x:v>trunk:FC1:V1:fan:-1</x:v>
      </x:c>
      <x:c r="B310" s="8" t="n">
        <x:v>10</x:v>
      </x:c>
      <x:c r="C310" s="11" t="n">
        <x:v>44.175</x:v>
      </x:c>
      <x:c r="D310" s="11" t="n">
        <x:v>7.04</x:v>
      </x:c>
      <x:c r="E310" s="11" t="n">
        <x:v>-7.36</x:v>
      </x:c>
      <x:c r="F310" s="11" t="n">
        <x:f>SQRT((C310-C309)^2+(D310-D309)^2+(E310-E309)^2)</x:f>
        <x:v>1.0039999999999996</x:v>
      </x:c>
      <x:c r="G310" s="8" t="str">
        <x:v>Current</x:v>
      </x:c>
    </x:row>
    <x:row r="311" ht="32" customHeight="1">
      <x:c r="A311" s="8" t="str">
        <x:v>trunk:FC1:V1:fan:-1</x:v>
      </x:c>
      <x:c r="B311" s="8" t="n">
        <x:v>11</x:v>
      </x:c>
      <x:c r="C311" s="11" t="n">
        <x:v>43.535</x:v>
      </x:c>
      <x:c r="D311" s="11" t="n">
        <x:v>7.04</x:v>
      </x:c>
      <x:c r="E311" s="11" t="n">
        <x:v>-7.36</x:v>
      </x:c>
      <x:c r="F311" s="11" t="n">
        <x:f>SQRT((C311-C310)^2+(D311-D310)^2+(E311-E310)^2)</x:f>
        <x:v>0.6400000000000006</x:v>
      </x:c>
      <x:c r="G311" s="8" t="str">
        <x:v>Current</x:v>
      </x:c>
    </x:row>
    <x:row r="312" ht="32" customHeight="1">
      <x:c r="A312" s="8" t="str">
        <x:v>trunk:FC1:V1:fan:-1</x:v>
      </x:c>
      <x:c r="B312" s="8" t="n">
        <x:v>12</x:v>
      </x:c>
      <x:c r="C312" s="11" t="n">
        <x:v>43.455</x:v>
      </x:c>
      <x:c r="D312" s="11" t="n">
        <x:v>6.950412371134024</x:v>
      </x:c>
      <x:c r="E312" s="11" t="n">
        <x:v>-7.36</x:v>
      </x:c>
      <x:c r="F312" s="11" t="n">
        <x:f>SQRT((C312-C311)^2+(D312-D311)^2+(E312-E311)^2)</x:f>
        <x:v>0.12010804821421249</x:v>
      </x:c>
      <x:c r="G312" s="8" t="str">
        <x:v>Current</x:v>
      </x:c>
    </x:row>
    <x:row r="313" ht="32" customHeight="1">
      <x:c r="A313" s="8" t="str">
        <x:v>trunk:FC1:V1:fan:-1</x:v>
      </x:c>
      <x:c r="B313" s="8" t="n">
        <x:v>13</x:v>
      </x:c>
      <x:c r="C313" s="11" t="n">
        <x:v>40.574999999999996</x:v>
      </x:c>
      <x:c r="D313" s="11" t="n">
        <x:v>9.269999999999994</x:v>
      </x:c>
      <x:c r="E313" s="11" t="n">
        <x:v>-7.36</x:v>
      </x:c>
      <x:c r="F313" s="11" t="n">
        <x:f>SQRT((C313-C312)^2+(D313-D312)^2+(E313-E312)^2)</x:f>
        <x:v>3.6979571073753776</x:v>
      </x:c>
      <x:c r="G313" s="8" t="str">
        <x:v>Current</x:v>
      </x:c>
    </x:row>
    <x:row r="314" ht="32" customHeight="1">
      <x:c r="A314" s="8" t="str">
        <x:v>trunk:FC1:V1:fan:-1</x:v>
      </x:c>
      <x:c r="B314" s="8" t="n">
        <x:v>14</x:v>
      </x:c>
      <x:c r="C314" s="11" t="n">
        <x:v>37.695</x:v>
      </x:c>
      <x:c r="D314" s="11" t="n">
        <x:v>6.950412371134018</x:v>
      </x:c>
      <x:c r="E314" s="11" t="n">
        <x:v>-7.36</x:v>
      </x:c>
      <x:c r="F314" s="11" t="n">
        <x:f>SQRT((C314-C313)^2+(D314-D313)^2+(E314-E313)^2)</x:f>
        <x:v>3.697957107375376</x:v>
      </x:c>
      <x:c r="G314" s="8" t="str">
        <x:v>Current</x:v>
      </x:c>
    </x:row>
    <x:row r="315" ht="32" customHeight="1">
      <x:c r="A315" s="8" t="str">
        <x:v>trunk:FC1:V1:fan:-1</x:v>
      </x:c>
      <x:c r="B315" s="8" t="n">
        <x:v>15</x:v>
      </x:c>
      <x:c r="C315" s="11" t="n">
        <x:v>37.615</x:v>
      </x:c>
      <x:c r="D315" s="11" t="n">
        <x:v>7.04</x:v>
      </x:c>
      <x:c r="E315" s="11" t="n">
        <x:v>-7.36</x:v>
      </x:c>
      <x:c r="F315" s="11" t="n">
        <x:f>SQRT((C315-C314)^2+(D315-D314)^2+(E315-E314)^2)</x:f>
        <x:v>0.12010804821421713</x:v>
      </x:c>
      <x:c r="G315" s="8" t="str">
        <x:v>Current</x:v>
      </x:c>
    </x:row>
    <x:row r="316" ht="32" customHeight="1">
      <x:c r="A316" s="8" t="str">
        <x:v>trunk:FC1:V1:fan:-1</x:v>
      </x:c>
      <x:c r="B316" s="8" t="n">
        <x:v>16</x:v>
      </x:c>
      <x:c r="C316" s="11" t="n">
        <x:v>36.975</x:v>
      </x:c>
      <x:c r="D316" s="11" t="n">
        <x:v>7.04</x:v>
      </x:c>
      <x:c r="E316" s="11" t="n">
        <x:v>-7.36</x:v>
      </x:c>
      <x:c r="F316" s="11" t="n">
        <x:f>SQRT((C316-C315)^2+(D316-D315)^2+(E316-E315)^2)</x:f>
        <x:v>0.6400000000000006</x:v>
      </x:c>
      <x:c r="G316" s="8" t="str">
        <x:v>Current</x:v>
      </x:c>
    </x:row>
    <x:row r="317" ht="32" customHeight="1">
      <x:c r="A317" s="8" t="str">
        <x:v>trunk:FC1:V1:fan:-1</x:v>
      </x:c>
      <x:c r="B317" s="8" t="n">
        <x:v>17</x:v>
      </x:c>
      <x:c r="C317" s="11" t="n">
        <x:v>36.975</x:v>
      </x:c>
      <x:c r="D317" s="11" t="n">
        <x:v>6.0360000000000005</x:v>
      </x:c>
      <x:c r="E317" s="11" t="n">
        <x:v>-7.36</x:v>
      </x:c>
      <x:c r="F317" s="11" t="n">
        <x:f>SQRT((C317-C316)^2+(D317-D316)^2+(E317-E316)^2)</x:f>
        <x:v>1.0039999999999996</x:v>
      </x:c>
      <x:c r="G317" s="8" t="str">
        <x:v>Current</x:v>
      </x:c>
    </x:row>
    <x:row r="318" ht="32" customHeight="1">
      <x:c r="A318" s="8" t="str">
        <x:v>trunk:FC1:V1:fan:-1</x:v>
      </x:c>
      <x:c r="B318" s="8" t="n">
        <x:v>18</x:v>
      </x:c>
      <x:c r="C318" s="11" t="n">
        <x:v>5.48</x:v>
      </x:c>
      <x:c r="D318" s="11" t="n">
        <x:v>6.0360000000000005</x:v>
      </x:c>
      <x:c r="E318" s="11" t="n">
        <x:v>-7.36</x:v>
      </x:c>
      <x:c r="F318" s="11" t="n">
        <x:f>SQRT((C318-C317)^2+(D318-D317)^2+(E318-E317)^2)</x:f>
        <x:v>31.495</x:v>
      </x:c>
      <x:c r="G318" s="8" t="str">
        <x:v>Current</x:v>
      </x:c>
    </x:row>
    <x:row r="319" ht="32" customHeight="1">
      <x:c r="A319" s="8" t="str">
        <x:v>drop:FC1:V1:fan:-1:F252</x:v>
      </x:c>
      <x:c r="B319" s="8" t="n">
        <x:v>1</x:v>
      </x:c>
      <x:c r="C319" s="11" t="n">
        <x:v>5.48</x:v>
      </x:c>
      <x:c r="D319" s="11" t="n">
        <x:v>6.0360000000000005</x:v>
      </x:c>
      <x:c r="E319" s="11" t="n">
        <x:v>-7.36</x:v>
      </x:c>
      <x:c r="F319" s="11" t="n">
        <x:f>0</x:f>
        <x:v>0</x:v>
      </x:c>
      <x:c r="G319" s="8" t="str">
        <x:v>Current</x:v>
      </x:c>
    </x:row>
    <x:row r="320" ht="32" customHeight="1">
      <x:c r="A320" s="8" t="str">
        <x:v>drop:FC1:V1:fan:-1:F252</x:v>
      </x:c>
      <x:c r="B320" s="8" t="n">
        <x:v>2</x:v>
      </x:c>
      <x:c r="C320" s="11" t="n">
        <x:v>5.48</x:v>
      </x:c>
      <x:c r="D320" s="11" t="n">
        <x:v>7.04</x:v>
      </x:c>
      <x:c r="E320" s="11" t="n">
        <x:v>-7.36</x:v>
      </x:c>
      <x:c r="F320" s="11" t="n">
        <x:f>SQRT((C320-C319)^2+(D320-D319)^2+(E320-E319)^2)</x:f>
        <x:v>1.0039999999999996</x:v>
      </x:c>
      <x:c r="G320" s="8" t="str">
        <x:v>Current</x:v>
      </x:c>
    </x:row>
    <x:row r="321" ht="32" customHeight="1">
      <x:c r="A321" s="8" t="str">
        <x:v>drop:FC1:V1:fan:-1:F252</x:v>
      </x:c>
      <x:c r="B321" s="8" t="n">
        <x:v>3</x:v>
      </x:c>
      <x:c r="C321" s="11" t="n">
        <x:v>5.32</x:v>
      </x:c>
      <x:c r="D321" s="11" t="n">
        <x:v>7.04</x:v>
      </x:c>
      <x:c r="E321" s="11" t="n">
        <x:v>-7.36</x:v>
      </x:c>
      <x:c r="F321" s="11" t="n">
        <x:f>SQRT((C321-C320)^2+(D321-D320)^2+(E321-E320)^2)</x:f>
        <x:v>0.16000000000000014</x:v>
      </x:c>
      <x:c r="G321" s="8" t="str">
        <x:v>Current</x:v>
      </x:c>
    </x:row>
    <x:row r="322" ht="32" customHeight="1">
      <x:c r="A322" s="8" t="str">
        <x:v>drop:FC1:V1:fan:-1:F252</x:v>
      </x:c>
      <x:c r="B322" s="8" t="n">
        <x:v>4</x:v>
      </x:c>
      <x:c r="C322" s="11" t="n">
        <x:v>5.32</x:v>
      </x:c>
      <x:c r="D322" s="11" t="n">
        <x:v>10.64004347826087</x:v>
      </x:c>
      <x:c r="E322" s="11" t="n">
        <x:v>-2.3999999999999995</x:v>
      </x:c>
      <x:c r="F322" s="11" t="n">
        <x:f>SQRT((C322-C321)^2+(D322-D321)^2+(E322-E321)^2)</x:f>
        <x:v>6.128777451120952</x:v>
      </x:c>
      <x:c r="G322" s="8" t="str">
        <x:v>Current</x:v>
      </x:c>
    </x:row>
    <x:row r="323" ht="32" customHeight="1">
      <x:c r="A323" s="8" t="str">
        <x:v>drop:FC1:V1:fan:-1:F252</x:v>
      </x:c>
      <x:c r="B323" s="8" t="n">
        <x:v>5</x:v>
      </x:c>
      <x:c r="C323" s="11" t="n">
        <x:v>5.32</x:v>
      </x:c>
      <x:c r="D323" s="11" t="n">
        <x:v>9.4</x:v>
      </x:c>
      <x:c r="E323" s="11" t="n">
        <x:v>-2.4</x:v>
      </x:c>
      <x:c r="F323" s="11" t="n">
        <x:f>SQRT((C323-C322)^2+(D323-D322)^2+(E323-E322)^2)</x:f>
        <x:v>1.2400434782608691</x:v>
      </x:c>
      <x:c r="G323" s="8" t="str">
        <x:v>Current</x:v>
      </x:c>
    </x:row>
    <x:row r="324" ht="32" customHeight="1">
      <x:c r="A324" s="8" t="str">
        <x:v>drop:FC1:V1:fan:-1:F252</x:v>
      </x:c>
      <x:c r="B324" s="8" t="n">
        <x:v>6</x:v>
      </x:c>
      <x:c r="C324" s="11" t="n">
        <x:v>5.48</x:v>
      </x:c>
      <x:c r="D324" s="11" t="n">
        <x:v>9.4</x:v>
      </x:c>
      <x:c r="E324" s="11" t="n">
        <x:v>-2.4</x:v>
      </x:c>
      <x:c r="F324" s="11" t="n">
        <x:f>SQRT((C324-C323)^2+(D324-D323)^2+(E324-E323)^2)</x:f>
        <x:v>0.16000000000000014</x:v>
      </x:c>
      <x:c r="G324" s="8" t="str">
        <x:v>Current</x:v>
      </x:c>
    </x:row>
    <x:row r="325" ht="32" customHeight="1">
      <x:c r="A325" s="8" t="str">
        <x:v>drop:FC1:V1:fan:-1:F253</x:v>
      </x:c>
      <x:c r="B325" s="8" t="n">
        <x:v>1</x:v>
      </x:c>
      <x:c r="C325" s="11" t="n">
        <x:v>5.48</x:v>
      </x:c>
      <x:c r="D325" s="11" t="n">
        <x:v>6.0360000000000005</x:v>
      </x:c>
      <x:c r="E325" s="11" t="n">
        <x:v>-7.36</x:v>
      </x:c>
      <x:c r="F325" s="11" t="n">
        <x:f>0</x:f>
        <x:v>0</x:v>
      </x:c>
      <x:c r="G325" s="8" t="str">
        <x:v>Current</x:v>
      </x:c>
    </x:row>
    <x:row r="326" ht="32" customHeight="1">
      <x:c r="A326" s="8" t="str">
        <x:v>drop:FC1:V1:fan:-1:F253</x:v>
      </x:c>
      <x:c r="B326" s="8" t="n">
        <x:v>2</x:v>
      </x:c>
      <x:c r="C326" s="11" t="n">
        <x:v>5.48</x:v>
      </x:c>
      <x:c r="D326" s="11" t="n">
        <x:v>7.04</x:v>
      </x:c>
      <x:c r="E326" s="11" t="n">
        <x:v>-7.36</x:v>
      </x:c>
      <x:c r="F326" s="11" t="n">
        <x:f>SQRT((C326-C325)^2+(D326-D325)^2+(E326-E325)^2)</x:f>
        <x:v>1.0039999999999996</x:v>
      </x:c>
      <x:c r="G326" s="8" t="str">
        <x:v>Current</x:v>
      </x:c>
    </x:row>
    <x:row r="327" ht="32" customHeight="1">
      <x:c r="A327" s="8" t="str">
        <x:v>drop:FC1:V1:fan:-1:F253</x:v>
      </x:c>
      <x:c r="B327" s="8" t="n">
        <x:v>3</x:v>
      </x:c>
      <x:c r="C327" s="11" t="n">
        <x:v>5.32</x:v>
      </x:c>
      <x:c r="D327" s="11" t="n">
        <x:v>7.04</x:v>
      </x:c>
      <x:c r="E327" s="11" t="n">
        <x:v>-7.36</x:v>
      </x:c>
      <x:c r="F327" s="11" t="n">
        <x:f>SQRT((C327-C326)^2+(D327-D326)^2+(E327-E326)^2)</x:f>
        <x:v>0.16000000000000014</x:v>
      </x:c>
      <x:c r="G327" s="8" t="str">
        <x:v>Current</x:v>
      </x:c>
    </x:row>
    <x:row r="328" ht="32" customHeight="1">
      <x:c r="A328" s="8" t="str">
        <x:v>drop:FC1:V1:fan:-1:F253</x:v>
      </x:c>
      <x:c r="B328" s="8" t="n">
        <x:v>4</x:v>
      </x:c>
      <x:c r="C328" s="11" t="n">
        <x:v>5.32</x:v>
      </x:c>
      <x:c r="D328" s="11" t="n">
        <x:v>11.801347826086957</x:v>
      </x:c>
      <x:c r="E328" s="11" t="n">
        <x:v>-0.7999999999999998</x:v>
      </x:c>
      <x:c r="F328" s="11" t="n">
        <x:f>SQRT((C328-C327)^2+(D328-D327)^2+(E328-E327)^2)</x:f>
        <x:v>8.105802435353516</x:v>
      </x:c>
      <x:c r="G328" s="8" t="str">
        <x:v>Current</x:v>
      </x:c>
    </x:row>
    <x:row r="329" ht="32" customHeight="1">
      <x:c r="A329" s="8" t="str">
        <x:v>drop:FC1:V1:fan:-1:F253</x:v>
      </x:c>
      <x:c r="B329" s="8" t="n">
        <x:v>5</x:v>
      </x:c>
      <x:c r="C329" s="11" t="n">
        <x:v>5.32</x:v>
      </x:c>
      <x:c r="D329" s="11" t="n">
        <x:v>9.4</x:v>
      </x:c>
      <x:c r="E329" s="11" t="n">
        <x:v>-0.8</x:v>
      </x:c>
      <x:c r="F329" s="11" t="n">
        <x:f>SQRT((C329-C328)^2+(D329-D328)^2+(E329-E328)^2)</x:f>
        <x:v>2.4013478260869565</x:v>
      </x:c>
      <x:c r="G329" s="8" t="str">
        <x:v>Current</x:v>
      </x:c>
    </x:row>
    <x:row r="330" ht="32" customHeight="1">
      <x:c r="A330" s="8" t="str">
        <x:v>drop:FC1:V1:fan:-1:F253</x:v>
      </x:c>
      <x:c r="B330" s="8" t="n">
        <x:v>6</x:v>
      </x:c>
      <x:c r="C330" s="11" t="n">
        <x:v>5.48</x:v>
      </x:c>
      <x:c r="D330" s="11" t="n">
        <x:v>9.4</x:v>
      </x:c>
      <x:c r="E330" s="11" t="n">
        <x:v>-0.8</x:v>
      </x:c>
      <x:c r="F330" s="11" t="n">
        <x:f>SQRT((C330-C329)^2+(D330-D329)^2+(E330-E329)^2)</x:f>
        <x:v>0.16000000000000014</x:v>
      </x:c>
      <x:c r="G330" s="8" t="str">
        <x:v>Current</x:v>
      </x:c>
    </x:row>
    <x:row r="331" ht="32" customHeight="1">
      <x:c r="A331" s="8" t="str">
        <x:v>trunk:FC1:V1:fan:1</x:v>
      </x:c>
      <x:c r="B331" s="8" t="n">
        <x:v>1</x:v>
      </x:c>
      <x:c r="C331" s="11" t="n">
        <x:v>48.895</x:v>
      </x:c>
      <x:c r="D331" s="11" t="n">
        <x:v>1.95</x:v>
      </x:c>
      <x:c r="E331" s="11" t="n">
        <x:v>0.4</x:v>
      </x:c>
      <x:c r="F331" s="11" t="n">
        <x:f>0</x:f>
        <x:v>0</x:v>
      </x:c>
      <x:c r="G331" s="8" t="str">
        <x:v>Current</x:v>
      </x:c>
    </x:row>
    <x:row r="332" ht="32" customHeight="1">
      <x:c r="A332" s="8" t="str">
        <x:v>trunk:FC1:V1:fan:1</x:v>
      </x:c>
      <x:c r="B332" s="8" t="n">
        <x:v>2</x:v>
      </x:c>
      <x:c r="C332" s="11" t="n">
        <x:v>48.735</x:v>
      </x:c>
      <x:c r="D332" s="11" t="n">
        <x:v>1.95</x:v>
      </x:c>
      <x:c r="E332" s="11" t="n">
        <x:v>0.4</x:v>
      </x:c>
      <x:c r="F332" s="11" t="n">
        <x:f>SQRT((C332-C331)^2+(D332-D331)^2+(E332-E331)^2)</x:f>
        <x:v>0.1600000000000037</x:v>
      </x:c>
      <x:c r="G332" s="8" t="str">
        <x:v>Current</x:v>
      </x:c>
    </x:row>
    <x:row r="333" ht="32" customHeight="1">
      <x:c r="A333" s="8" t="str">
        <x:v>trunk:FC1:V1:fan:1</x:v>
      </x:c>
      <x:c r="B333" s="8" t="n">
        <x:v>3</x:v>
      </x:c>
      <x:c r="C333" s="11" t="n">
        <x:v>48.735</x:v>
      </x:c>
      <x:c r="D333" s="11" t="n">
        <x:v>1.95</x:v>
      </x:c>
      <x:c r="E333" s="11" t="n">
        <x:v>-2.24</x:v>
      </x:c>
      <x:c r="F333" s="11" t="n">
        <x:f>SQRT((C333-C332)^2+(D333-D332)^2+(E333-E332)^2)</x:f>
        <x:v>2.64</x:v>
      </x:c>
      <x:c r="G333" s="8" t="str">
        <x:v>Current</x:v>
      </x:c>
    </x:row>
    <x:row r="334" ht="32" customHeight="1">
      <x:c r="A334" s="8" t="str">
        <x:v>trunk:FC1:V1:fan:1</x:v>
      </x:c>
      <x:c r="B334" s="8" t="n">
        <x:v>4</x:v>
      </x:c>
      <x:c r="C334" s="11" t="n">
        <x:v>48.735</x:v>
      </x:c>
      <x:c r="D334" s="11" t="n">
        <x:v>4.33</x:v>
      </x:c>
      <x:c r="E334" s="11" t="n">
        <x:v>-2.24</x:v>
      </x:c>
      <x:c r="F334" s="11" t="n">
        <x:f>SQRT((C334-C333)^2+(D334-D333)^2+(E334-E333)^2)</x:f>
        <x:v>2.38</x:v>
      </x:c>
      <x:c r="G334" s="8" t="str">
        <x:v>Current</x:v>
      </x:c>
    </x:row>
    <x:row r="335" ht="32" customHeight="1">
      <x:c r="A335" s="8" t="str">
        <x:v>trunk:FC1:V1:fan:1</x:v>
      </x:c>
      <x:c r="B335" s="8" t="n">
        <x:v>5</x:v>
      </x:c>
      <x:c r="C335" s="11" t="n">
        <x:v>48.735</x:v>
      </x:c>
      <x:c r="D335" s="11" t="n">
        <x:v>4.33</x:v>
      </x:c>
      <x:c r="E335" s="11" t="n">
        <x:v>-3.3</x:v>
      </x:c>
      <x:c r="F335" s="11" t="n">
        <x:f>SQRT((C335-C334)^2+(D335-D334)^2+(E335-E334)^2)</x:f>
        <x:v>1.0599999999999996</x:v>
      </x:c>
      <x:c r="G335" s="8" t="str">
        <x:v>Current</x:v>
      </x:c>
    </x:row>
    <x:row r="336" ht="32" customHeight="1">
      <x:c r="A336" s="8" t="str">
        <x:v>trunk:FC1:V1:fan:1</x:v>
      </x:c>
      <x:c r="B336" s="8" t="n">
        <x:v>6</x:v>
      </x:c>
      <x:c r="C336" s="11" t="n">
        <x:v>53.016</x:v>
      </x:c>
      <x:c r="D336" s="11" t="n">
        <x:v>4.33</x:v>
      </x:c>
      <x:c r="E336" s="11" t="n">
        <x:v>-3.3</x:v>
      </x:c>
      <x:c r="F336" s="11" t="n">
        <x:f>SQRT((C336-C335)^2+(D336-D335)^2+(E336-E335)^2)</x:f>
        <x:v>4.280999999999999</x:v>
      </x:c>
      <x:c r="G336" s="8" t="str">
        <x:v>Current</x:v>
      </x:c>
    </x:row>
    <x:row r="337" ht="32" customHeight="1">
      <x:c r="A337" s="8" t="str">
        <x:v>trunk:FC1:V1:fan:1</x:v>
      </x:c>
      <x:c r="B337" s="8" t="n">
        <x:v>7</x:v>
      </x:c>
      <x:c r="C337" s="11" t="n">
        <x:v>53.016</x:v>
      </x:c>
      <x:c r="D337" s="11" t="n">
        <x:v>6.0360000000000005</x:v>
      </x:c>
      <x:c r="E337" s="11" t="n">
        <x:v>-3.3</x:v>
      </x:c>
      <x:c r="F337" s="11" t="n">
        <x:f>SQRT((C337-C336)^2+(D337-D336)^2+(E337-E336)^2)</x:f>
        <x:v>1.7060000000000004</x:v>
      </x:c>
      <x:c r="G337" s="8" t="str">
        <x:v>Current</x:v>
      </x:c>
    </x:row>
    <x:row r="338" ht="32" customHeight="1">
      <x:c r="A338" s="8" t="str">
        <x:v>trunk:FC1:V1:fan:1</x:v>
      </x:c>
      <x:c r="B338" s="8" t="n">
        <x:v>8</x:v>
      </x:c>
      <x:c r="C338" s="11" t="n">
        <x:v>53.016</x:v>
      </x:c>
      <x:c r="D338" s="11" t="n">
        <x:v>6.0360000000000005</x:v>
      </x:c>
      <x:c r="E338" s="11" t="n">
        <x:v>7.36</x:v>
      </x:c>
      <x:c r="F338" s="11" t="n">
        <x:f>SQRT((C338-C337)^2+(D338-D337)^2+(E338-E337)^2)</x:f>
        <x:v>10.66</x:v>
      </x:c>
      <x:c r="G338" s="8" t="str">
        <x:v>Current</x:v>
      </x:c>
    </x:row>
    <x:row r="339" ht="32" customHeight="1">
      <x:c r="A339" s="8" t="str">
        <x:v>trunk:FC1:V1:fan:1</x:v>
      </x:c>
      <x:c r="B339" s="8" t="n">
        <x:v>9</x:v>
      </x:c>
      <x:c r="C339" s="11" t="n">
        <x:v>44.175</x:v>
      </x:c>
      <x:c r="D339" s="11" t="n">
        <x:v>6.0360000000000005</x:v>
      </x:c>
      <x:c r="E339" s="11" t="n">
        <x:v>7.36</x:v>
      </x:c>
      <x:c r="F339" s="11" t="n">
        <x:f>SQRT((C339-C338)^2+(D339-D338)^2+(E339-E338)^2)</x:f>
        <x:v>8.841000000000001</x:v>
      </x:c>
      <x:c r="G339" s="8" t="str">
        <x:v>Current</x:v>
      </x:c>
    </x:row>
    <x:row r="340" ht="32" customHeight="1">
      <x:c r="A340" s="8" t="str">
        <x:v>trunk:FC1:V1:fan:1</x:v>
      </x:c>
      <x:c r="B340" s="8" t="n">
        <x:v>10</x:v>
      </x:c>
      <x:c r="C340" s="11" t="n">
        <x:v>44.175</x:v>
      </x:c>
      <x:c r="D340" s="11" t="n">
        <x:v>7.04</x:v>
      </x:c>
      <x:c r="E340" s="11" t="n">
        <x:v>7.36</x:v>
      </x:c>
      <x:c r="F340" s="11" t="n">
        <x:f>SQRT((C340-C339)^2+(D340-D339)^2+(E340-E339)^2)</x:f>
        <x:v>1.0039999999999996</x:v>
      </x:c>
      <x:c r="G340" s="8" t="str">
        <x:v>Current</x:v>
      </x:c>
    </x:row>
    <x:row r="341" ht="32" customHeight="1">
      <x:c r="A341" s="8" t="str">
        <x:v>trunk:FC1:V1:fan:1</x:v>
      </x:c>
      <x:c r="B341" s="8" t="n">
        <x:v>11</x:v>
      </x:c>
      <x:c r="C341" s="11" t="n">
        <x:v>43.535</x:v>
      </x:c>
      <x:c r="D341" s="11" t="n">
        <x:v>7.04</x:v>
      </x:c>
      <x:c r="E341" s="11" t="n">
        <x:v>7.36</x:v>
      </x:c>
      <x:c r="F341" s="11" t="n">
        <x:f>SQRT((C341-C340)^2+(D341-D340)^2+(E341-E340)^2)</x:f>
        <x:v>0.6400000000000006</x:v>
      </x:c>
      <x:c r="G341" s="8" t="str">
        <x:v>Current</x:v>
      </x:c>
    </x:row>
    <x:row r="342" ht="32" customHeight="1">
      <x:c r="A342" s="8" t="str">
        <x:v>trunk:FC1:V1:fan:1</x:v>
      </x:c>
      <x:c r="B342" s="8" t="n">
        <x:v>12</x:v>
      </x:c>
      <x:c r="C342" s="11" t="n">
        <x:v>43.455</x:v>
      </x:c>
      <x:c r="D342" s="11" t="n">
        <x:v>6.950412371134024</x:v>
      </x:c>
      <x:c r="E342" s="11" t="n">
        <x:v>7.36</x:v>
      </x:c>
      <x:c r="F342" s="11" t="n">
        <x:f>SQRT((C342-C341)^2+(D342-D341)^2+(E342-E341)^2)</x:f>
        <x:v>0.12010804821421249</x:v>
      </x:c>
      <x:c r="G342" s="8" t="str">
        <x:v>Current</x:v>
      </x:c>
    </x:row>
    <x:row r="343" ht="32" customHeight="1">
      <x:c r="A343" s="8" t="str">
        <x:v>trunk:FC1:V1:fan:1</x:v>
      </x:c>
      <x:c r="B343" s="8" t="n">
        <x:v>13</x:v>
      </x:c>
      <x:c r="C343" s="11" t="n">
        <x:v>40.574999999999996</x:v>
      </x:c>
      <x:c r="D343" s="11" t="n">
        <x:v>9.269999999999994</x:v>
      </x:c>
      <x:c r="E343" s="11" t="n">
        <x:v>7.36</x:v>
      </x:c>
      <x:c r="F343" s="11" t="n">
        <x:f>SQRT((C343-C342)^2+(D343-D342)^2+(E343-E342)^2)</x:f>
        <x:v>3.6979571073753776</x:v>
      </x:c>
      <x:c r="G343" s="8" t="str">
        <x:v>Current</x:v>
      </x:c>
    </x:row>
    <x:row r="344" ht="32" customHeight="1">
      <x:c r="A344" s="8" t="str">
        <x:v>trunk:FC1:V1:fan:1</x:v>
      </x:c>
      <x:c r="B344" s="8" t="n">
        <x:v>14</x:v>
      </x:c>
      <x:c r="C344" s="11" t="n">
        <x:v>37.695</x:v>
      </x:c>
      <x:c r="D344" s="11" t="n">
        <x:v>6.950412371134018</x:v>
      </x:c>
      <x:c r="E344" s="11" t="n">
        <x:v>7.36</x:v>
      </x:c>
      <x:c r="F344" s="11" t="n">
        <x:f>SQRT((C344-C343)^2+(D344-D343)^2+(E344-E343)^2)</x:f>
        <x:v>3.697957107375376</x:v>
      </x:c>
      <x:c r="G344" s="8" t="str">
        <x:v>Current</x:v>
      </x:c>
    </x:row>
    <x:row r="345" ht="32" customHeight="1">
      <x:c r="A345" s="8" t="str">
        <x:v>trunk:FC1:V1:fan:1</x:v>
      </x:c>
      <x:c r="B345" s="8" t="n">
        <x:v>15</x:v>
      </x:c>
      <x:c r="C345" s="11" t="n">
        <x:v>37.615</x:v>
      </x:c>
      <x:c r="D345" s="11" t="n">
        <x:v>7.04</x:v>
      </x:c>
      <x:c r="E345" s="11" t="n">
        <x:v>7.36</x:v>
      </x:c>
      <x:c r="F345" s="11" t="n">
        <x:f>SQRT((C345-C344)^2+(D345-D344)^2+(E345-E344)^2)</x:f>
        <x:v>0.12010804821421713</x:v>
      </x:c>
      <x:c r="G345" s="8" t="str">
        <x:v>Current</x:v>
      </x:c>
    </x:row>
    <x:row r="346" ht="32" customHeight="1">
      <x:c r="A346" s="8" t="str">
        <x:v>trunk:FC1:V1:fan:1</x:v>
      </x:c>
      <x:c r="B346" s="8" t="n">
        <x:v>16</x:v>
      </x:c>
      <x:c r="C346" s="11" t="n">
        <x:v>36.975</x:v>
      </x:c>
      <x:c r="D346" s="11" t="n">
        <x:v>7.04</x:v>
      </x:c>
      <x:c r="E346" s="11" t="n">
        <x:v>7.36</x:v>
      </x:c>
      <x:c r="F346" s="11" t="n">
        <x:f>SQRT((C346-C345)^2+(D346-D345)^2+(E346-E345)^2)</x:f>
        <x:v>0.6400000000000006</x:v>
      </x:c>
      <x:c r="G346" s="8" t="str">
        <x:v>Current</x:v>
      </x:c>
    </x:row>
    <x:row r="347" ht="32" customHeight="1">
      <x:c r="A347" s="8" t="str">
        <x:v>trunk:FC1:V1:fan:1</x:v>
      </x:c>
      <x:c r="B347" s="8" t="n">
        <x:v>17</x:v>
      </x:c>
      <x:c r="C347" s="11" t="n">
        <x:v>36.975</x:v>
      </x:c>
      <x:c r="D347" s="11" t="n">
        <x:v>6.0360000000000005</x:v>
      </x:c>
      <x:c r="E347" s="11" t="n">
        <x:v>7.36</x:v>
      </x:c>
      <x:c r="F347" s="11" t="n">
        <x:f>SQRT((C347-C346)^2+(D347-D346)^2+(E347-E346)^2)</x:f>
        <x:v>1.0039999999999996</x:v>
      </x:c>
      <x:c r="G347" s="8" t="str">
        <x:v>Current</x:v>
      </x:c>
    </x:row>
    <x:row r="348" ht="32" customHeight="1">
      <x:c r="A348" s="8" t="str">
        <x:v>trunk:FC1:V1:fan:1</x:v>
      </x:c>
      <x:c r="B348" s="8" t="n">
        <x:v>18</x:v>
      </x:c>
      <x:c r="C348" s="11" t="n">
        <x:v>5.48</x:v>
      </x:c>
      <x:c r="D348" s="11" t="n">
        <x:v>6.0360000000000005</x:v>
      </x:c>
      <x:c r="E348" s="11" t="n">
        <x:v>7.36</x:v>
      </x:c>
      <x:c r="F348" s="11" t="n">
        <x:f>SQRT((C348-C347)^2+(D348-D347)^2+(E348-E347)^2)</x:f>
        <x:v>31.495</x:v>
      </x:c>
      <x:c r="G348" s="8" t="str">
        <x:v>Current</x:v>
      </x:c>
    </x:row>
    <x:row r="349" ht="32" customHeight="1">
      <x:c r="A349" s="8" t="str">
        <x:v>drop:FC1:V1:fan:1:F254</x:v>
      </x:c>
      <x:c r="B349" s="8" t="n">
        <x:v>1</x:v>
      </x:c>
      <x:c r="C349" s="11" t="n">
        <x:v>5.48</x:v>
      </x:c>
      <x:c r="D349" s="11" t="n">
        <x:v>6.0360000000000005</x:v>
      </x:c>
      <x:c r="E349" s="11" t="n">
        <x:v>7.36</x:v>
      </x:c>
      <x:c r="F349" s="11" t="n">
        <x:f>0</x:f>
        <x:v>0</x:v>
      </x:c>
      <x:c r="G349" s="8" t="str">
        <x:v>Current</x:v>
      </x:c>
    </x:row>
    <x:row r="350" ht="32" customHeight="1">
      <x:c r="A350" s="8" t="str">
        <x:v>drop:FC1:V1:fan:1:F254</x:v>
      </x:c>
      <x:c r="B350" s="8" t="n">
        <x:v>2</x:v>
      </x:c>
      <x:c r="C350" s="11" t="n">
        <x:v>5.48</x:v>
      </x:c>
      <x:c r="D350" s="11" t="n">
        <x:v>7.04</x:v>
      </x:c>
      <x:c r="E350" s="11" t="n">
        <x:v>7.36</x:v>
      </x:c>
      <x:c r="F350" s="11" t="n">
        <x:f>SQRT((C350-C349)^2+(D350-D349)^2+(E350-E349)^2)</x:f>
        <x:v>1.0039999999999996</x:v>
      </x:c>
      <x:c r="G350" s="8" t="str">
        <x:v>Current</x:v>
      </x:c>
    </x:row>
    <x:row r="351" ht="32" customHeight="1">
      <x:c r="A351" s="8" t="str">
        <x:v>drop:FC1:V1:fan:1:F254</x:v>
      </x:c>
      <x:c r="B351" s="8" t="n">
        <x:v>3</x:v>
      </x:c>
      <x:c r="C351" s="11" t="n">
        <x:v>5.32</x:v>
      </x:c>
      <x:c r="D351" s="11" t="n">
        <x:v>7.04</x:v>
      </x:c>
      <x:c r="E351" s="11" t="n">
        <x:v>7.36</x:v>
      </x:c>
      <x:c r="F351" s="11" t="n">
        <x:f>SQRT((C351-C350)^2+(D351-D350)^2+(E351-E350)^2)</x:f>
        <x:v>0.16000000000000014</x:v>
      </x:c>
      <x:c r="G351" s="8" t="str">
        <x:v>Current</x:v>
      </x:c>
    </x:row>
    <x:row r="352" ht="32" customHeight="1">
      <x:c r="A352" s="8" t="str">
        <x:v>drop:FC1:V1:fan:1:F254</x:v>
      </x:c>
      <x:c r="B352" s="8" t="n">
        <x:v>4</x:v>
      </x:c>
      <x:c r="C352" s="11" t="n">
        <x:v>5.32</x:v>
      </x:c>
      <x:c r="D352" s="11" t="n">
        <x:v>11.801347826086957</x:v>
      </x:c>
      <x:c r="E352" s="11" t="n">
        <x:v>0.7999999999999998</x:v>
      </x:c>
      <x:c r="F352" s="11" t="n">
        <x:f>SQRT((C352-C351)^2+(D352-D351)^2+(E352-E351)^2)</x:f>
        <x:v>8.105802435353516</x:v>
      </x:c>
      <x:c r="G352" s="8" t="str">
        <x:v>Current</x:v>
      </x:c>
    </x:row>
    <x:row r="353" ht="32" customHeight="1">
      <x:c r="A353" s="8" t="str">
        <x:v>drop:FC1:V1:fan:1:F254</x:v>
      </x:c>
      <x:c r="B353" s="8" t="n">
        <x:v>5</x:v>
      </x:c>
      <x:c r="C353" s="11" t="n">
        <x:v>5.32</x:v>
      </x:c>
      <x:c r="D353" s="11" t="n">
        <x:v>9.4</x:v>
      </x:c>
      <x:c r="E353" s="11" t="n">
        <x:v>0.8</x:v>
      </x:c>
      <x:c r="F353" s="11" t="n">
        <x:f>SQRT((C353-C352)^2+(D353-D352)^2+(E353-E352)^2)</x:f>
        <x:v>2.4013478260869565</x:v>
      </x:c>
      <x:c r="G353" s="8" t="str">
        <x:v>Current</x:v>
      </x:c>
    </x:row>
    <x:row r="354" ht="32" customHeight="1">
      <x:c r="A354" s="8" t="str">
        <x:v>drop:FC1:V1:fan:1:F254</x:v>
      </x:c>
      <x:c r="B354" s="8" t="n">
        <x:v>6</x:v>
      </x:c>
      <x:c r="C354" s="11" t="n">
        <x:v>5.48</x:v>
      </x:c>
      <x:c r="D354" s="11" t="n">
        <x:v>9.4</x:v>
      </x:c>
      <x:c r="E354" s="11" t="n">
        <x:v>0.8</x:v>
      </x:c>
      <x:c r="F354" s="11" t="n">
        <x:f>SQRT((C354-C353)^2+(D354-D353)^2+(E354-E353)^2)</x:f>
        <x:v>0.16000000000000014</x:v>
      </x:c>
      <x:c r="G354" s="8" t="str">
        <x:v>Current</x:v>
      </x:c>
    </x:row>
    <x:row r="355" ht="32" customHeight="1">
      <x:c r="A355" s="8" t="str">
        <x:v>drop:FC1:V1:fan:1:F255</x:v>
      </x:c>
      <x:c r="B355" s="8" t="n">
        <x:v>1</x:v>
      </x:c>
      <x:c r="C355" s="11" t="n">
        <x:v>5.48</x:v>
      </x:c>
      <x:c r="D355" s="11" t="n">
        <x:v>6.0360000000000005</x:v>
      </x:c>
      <x:c r="E355" s="11" t="n">
        <x:v>7.36</x:v>
      </x:c>
      <x:c r="F355" s="11" t="n">
        <x:f>0</x:f>
        <x:v>0</x:v>
      </x:c>
      <x:c r="G355" s="8" t="str">
        <x:v>Current</x:v>
      </x:c>
    </x:row>
    <x:row r="356" ht="32" customHeight="1">
      <x:c r="A356" s="8" t="str">
        <x:v>drop:FC1:V1:fan:1:F255</x:v>
      </x:c>
      <x:c r="B356" s="8" t="n">
        <x:v>2</x:v>
      </x:c>
      <x:c r="C356" s="11" t="n">
        <x:v>5.48</x:v>
      </x:c>
      <x:c r="D356" s="11" t="n">
        <x:v>7.04</x:v>
      </x:c>
      <x:c r="E356" s="11" t="n">
        <x:v>7.36</x:v>
      </x:c>
      <x:c r="F356" s="11" t="n">
        <x:f>SQRT((C356-C355)^2+(D356-D355)^2+(E356-E355)^2)</x:f>
        <x:v>1.0039999999999996</x:v>
      </x:c>
      <x:c r="G356" s="8" t="str">
        <x:v>Current</x:v>
      </x:c>
    </x:row>
    <x:row r="357" ht="32" customHeight="1">
      <x:c r="A357" s="8" t="str">
        <x:v>drop:FC1:V1:fan:1:F255</x:v>
      </x:c>
      <x:c r="B357" s="8" t="n">
        <x:v>3</x:v>
      </x:c>
      <x:c r="C357" s="11" t="n">
        <x:v>5.32</x:v>
      </x:c>
      <x:c r="D357" s="11" t="n">
        <x:v>7.04</x:v>
      </x:c>
      <x:c r="E357" s="11" t="n">
        <x:v>7.36</x:v>
      </x:c>
      <x:c r="F357" s="11" t="n">
        <x:f>SQRT((C357-C356)^2+(D357-D356)^2+(E357-E356)^2)</x:f>
        <x:v>0.16000000000000014</x:v>
      </x:c>
      <x:c r="G357" s="8" t="str">
        <x:v>Current</x:v>
      </x:c>
    </x:row>
    <x:row r="358" ht="32" customHeight="1">
      <x:c r="A358" s="8" t="str">
        <x:v>drop:FC1:V1:fan:1:F255</x:v>
      </x:c>
      <x:c r="B358" s="8" t="n">
        <x:v>4</x:v>
      </x:c>
      <x:c r="C358" s="11" t="n">
        <x:v>5.32</x:v>
      </x:c>
      <x:c r="D358" s="11" t="n">
        <x:v>10.64004347826087</x:v>
      </x:c>
      <x:c r="E358" s="11" t="n">
        <x:v>2.3999999999999995</x:v>
      </x:c>
      <x:c r="F358" s="11" t="n">
        <x:f>SQRT((C358-C357)^2+(D358-D357)^2+(E358-E357)^2)</x:f>
        <x:v>6.128777451120952</x:v>
      </x:c>
      <x:c r="G358" s="8" t="str">
        <x:v>Current</x:v>
      </x:c>
    </x:row>
    <x:row r="359" ht="32" customHeight="1">
      <x:c r="A359" s="8" t="str">
        <x:v>drop:FC1:V1:fan:1:F255</x:v>
      </x:c>
      <x:c r="B359" s="8" t="n">
        <x:v>5</x:v>
      </x:c>
      <x:c r="C359" s="11" t="n">
        <x:v>5.32</x:v>
      </x:c>
      <x:c r="D359" s="11" t="n">
        <x:v>9.4</x:v>
      </x:c>
      <x:c r="E359" s="11" t="n">
        <x:v>2.4</x:v>
      </x:c>
      <x:c r="F359" s="11" t="n">
        <x:f>SQRT((C359-C358)^2+(D359-D358)^2+(E359-E358)^2)</x:f>
        <x:v>1.2400434782608691</x:v>
      </x:c>
      <x:c r="G359" s="8" t="str">
        <x:v>Current</x:v>
      </x:c>
    </x:row>
    <x:row r="360" ht="32" customHeight="1">
      <x:c r="A360" s="8" t="str">
        <x:v>drop:FC1:V1:fan:1:F255</x:v>
      </x:c>
      <x:c r="B360" s="8" t="n">
        <x:v>6</x:v>
      </x:c>
      <x:c r="C360" s="11" t="n">
        <x:v>5.48</x:v>
      </x:c>
      <x:c r="D360" s="11" t="n">
        <x:v>9.4</x:v>
      </x:c>
      <x:c r="E360" s="11" t="n">
        <x:v>2.4</x:v>
      </x:c>
      <x:c r="F360" s="11" t="n">
        <x:f>SQRT((C360-C359)^2+(D360-D359)^2+(E360-E359)^2)</x:f>
        <x:v>0.16000000000000014</x:v>
      </x:c>
      <x:c r="G360" s="8" t="str">
        <x:v>Current</x:v>
      </x:c>
    </x:row>
    <x:row r="361" ht="32" customHeight="1">
      <x:c r="A361" s="8" t="str">
        <x:v>trunk:FC1:V2:fan:-1</x:v>
      </x:c>
      <x:c r="B361" s="8" t="n">
        <x:v>1</x:v>
      </x:c>
      <x:c r="C361" s="11" t="n">
        <x:v>48.895</x:v>
      </x:c>
      <x:c r="D361" s="11" t="n">
        <x:v>1.95</x:v>
      </x:c>
      <x:c r="E361" s="11" t="n">
        <x:v>0.4</x:v>
      </x:c>
      <x:c r="F361" s="11" t="n">
        <x:f>0</x:f>
        <x:v>0</x:v>
      </x:c>
      <x:c r="G361" s="8" t="str">
        <x:v>Current</x:v>
      </x:c>
    </x:row>
    <x:row r="362" ht="32" customHeight="1">
      <x:c r="A362" s="8" t="str">
        <x:v>trunk:FC1:V2:fan:-1</x:v>
      </x:c>
      <x:c r="B362" s="8" t="n">
        <x:v>2</x:v>
      </x:c>
      <x:c r="C362" s="11" t="n">
        <x:v>48.735</x:v>
      </x:c>
      <x:c r="D362" s="11" t="n">
        <x:v>1.95</x:v>
      </x:c>
      <x:c r="E362" s="11" t="n">
        <x:v>0.4</x:v>
      </x:c>
      <x:c r="F362" s="11" t="n">
        <x:f>SQRT((C362-C361)^2+(D362-D361)^2+(E362-E361)^2)</x:f>
        <x:v>0.1600000000000037</x:v>
      </x:c>
      <x:c r="G362" s="8" t="str">
        <x:v>Current</x:v>
      </x:c>
    </x:row>
    <x:row r="363" ht="32" customHeight="1">
      <x:c r="A363" s="8" t="str">
        <x:v>trunk:FC1:V2:fan:-1</x:v>
      </x:c>
      <x:c r="B363" s="8" t="n">
        <x:v>3</x:v>
      </x:c>
      <x:c r="C363" s="11" t="n">
        <x:v>48.735</x:v>
      </x:c>
      <x:c r="D363" s="11" t="n">
        <x:v>1.95</x:v>
      </x:c>
      <x:c r="E363" s="11" t="n">
        <x:v>-2.24</x:v>
      </x:c>
      <x:c r="F363" s="11" t="n">
        <x:f>SQRT((C363-C362)^2+(D363-D362)^2+(E363-E362)^2)</x:f>
        <x:v>2.64</x:v>
      </x:c>
      <x:c r="G363" s="8" t="str">
        <x:v>Current</x:v>
      </x:c>
    </x:row>
    <x:row r="364" ht="32" customHeight="1">
      <x:c r="A364" s="8" t="str">
        <x:v>trunk:FC1:V2:fan:-1</x:v>
      </x:c>
      <x:c r="B364" s="8" t="n">
        <x:v>4</x:v>
      </x:c>
      <x:c r="C364" s="11" t="n">
        <x:v>48.735</x:v>
      </x:c>
      <x:c r="D364" s="11" t="n">
        <x:v>4.33</x:v>
      </x:c>
      <x:c r="E364" s="11" t="n">
        <x:v>-2.24</x:v>
      </x:c>
      <x:c r="F364" s="11" t="n">
        <x:f>SQRT((C364-C363)^2+(D364-D363)^2+(E364-E363)^2)</x:f>
        <x:v>2.38</x:v>
      </x:c>
      <x:c r="G364" s="8" t="str">
        <x:v>Current</x:v>
      </x:c>
    </x:row>
    <x:row r="365" ht="32" customHeight="1">
      <x:c r="A365" s="8" t="str">
        <x:v>trunk:FC1:V2:fan:-1</x:v>
      </x:c>
      <x:c r="B365" s="8" t="n">
        <x:v>5</x:v>
      </x:c>
      <x:c r="C365" s="11" t="n">
        <x:v>48.735</x:v>
      </x:c>
      <x:c r="D365" s="11" t="n">
        <x:v>4.33</x:v>
      </x:c>
      <x:c r="E365" s="11" t="n">
        <x:v>-3.3</x:v>
      </x:c>
      <x:c r="F365" s="11" t="n">
        <x:f>SQRT((C365-C364)^2+(D365-D364)^2+(E365-E364)^2)</x:f>
        <x:v>1.0599999999999996</x:v>
      </x:c>
      <x:c r="G365" s="8" t="str">
        <x:v>Current</x:v>
      </x:c>
    </x:row>
    <x:row r="366" ht="32" customHeight="1">
      <x:c r="A366" s="8" t="str">
        <x:v>trunk:FC1:V2:fan:-1</x:v>
      </x:c>
      <x:c r="B366" s="8" t="n">
        <x:v>6</x:v>
      </x:c>
      <x:c r="C366" s="11" t="n">
        <x:v>53.016</x:v>
      </x:c>
      <x:c r="D366" s="11" t="n">
        <x:v>4.33</x:v>
      </x:c>
      <x:c r="E366" s="11" t="n">
        <x:v>-3.3</x:v>
      </x:c>
      <x:c r="F366" s="11" t="n">
        <x:f>SQRT((C366-C365)^2+(D366-D365)^2+(E366-E365)^2)</x:f>
        <x:v>4.280999999999999</x:v>
      </x:c>
      <x:c r="G366" s="8" t="str">
        <x:v>Current</x:v>
      </x:c>
    </x:row>
    <x:row r="367" ht="32" customHeight="1">
      <x:c r="A367" s="8" t="str">
        <x:v>trunk:FC1:V2:fan:-1</x:v>
      </x:c>
      <x:c r="B367" s="8" t="n">
        <x:v>7</x:v>
      </x:c>
      <x:c r="C367" s="11" t="n">
        <x:v>53.016</x:v>
      </x:c>
      <x:c r="D367" s="11" t="n">
        <x:v>6.148000000000001</x:v>
      </x:c>
      <x:c r="E367" s="11" t="n">
        <x:v>-3.3</x:v>
      </x:c>
      <x:c r="F367" s="11" t="n">
        <x:f>SQRT((C367-C366)^2+(D367-D366)^2+(E367-E366)^2)</x:f>
        <x:v>1.8180000000000005</x:v>
      </x:c>
      <x:c r="G367" s="8" t="str">
        <x:v>Current</x:v>
      </x:c>
    </x:row>
    <x:row r="368" ht="32" customHeight="1">
      <x:c r="A368" s="8" t="str">
        <x:v>trunk:FC1:V2:fan:-1</x:v>
      </x:c>
      <x:c r="B368" s="8" t="n">
        <x:v>8</x:v>
      </x:c>
      <x:c r="C368" s="11" t="n">
        <x:v>53.016</x:v>
      </x:c>
      <x:c r="D368" s="11" t="n">
        <x:v>6.148000000000001</x:v>
      </x:c>
      <x:c r="E368" s="11" t="n">
        <x:v>-7.36</x:v>
      </x:c>
      <x:c r="F368" s="11" t="n">
        <x:f>SQRT((C368-C367)^2+(D368-D367)^2+(E368-E367)^2)</x:f>
        <x:v>4.0600000000000005</x:v>
      </x:c>
      <x:c r="G368" s="8" t="str">
        <x:v>Current</x:v>
      </x:c>
    </x:row>
    <x:row r="369" ht="32" customHeight="1">
      <x:c r="A369" s="8" t="str">
        <x:v>trunk:FC1:V2:fan:-1</x:v>
      </x:c>
      <x:c r="B369" s="8" t="n">
        <x:v>9</x:v>
      </x:c>
      <x:c r="C369" s="11" t="n">
        <x:v>44.175</x:v>
      </x:c>
      <x:c r="D369" s="11" t="n">
        <x:v>6.148000000000001</x:v>
      </x:c>
      <x:c r="E369" s="11" t="n">
        <x:v>-7.36</x:v>
      </x:c>
      <x:c r="F369" s="11" t="n">
        <x:f>SQRT((C369-C368)^2+(D369-D368)^2+(E369-E368)^2)</x:f>
        <x:v>8.841000000000001</x:v>
      </x:c>
      <x:c r="G369" s="8" t="str">
        <x:v>Current</x:v>
      </x:c>
    </x:row>
    <x:row r="370" ht="32" customHeight="1">
      <x:c r="A370" s="8" t="str">
        <x:v>trunk:FC1:V2:fan:-1</x:v>
      </x:c>
      <x:c r="B370" s="8" t="n">
        <x:v>10</x:v>
      </x:c>
      <x:c r="C370" s="11" t="n">
        <x:v>44.175</x:v>
      </x:c>
      <x:c r="D370" s="11" t="n">
        <x:v>7.04</x:v>
      </x:c>
      <x:c r="E370" s="11" t="n">
        <x:v>-7.36</x:v>
      </x:c>
      <x:c r="F370" s="11" t="n">
        <x:f>SQRT((C370-C369)^2+(D370-D369)^2+(E370-E369)^2)</x:f>
        <x:v>0.8919999999999995</x:v>
      </x:c>
      <x:c r="G370" s="8" t="str">
        <x:v>Current</x:v>
      </x:c>
    </x:row>
    <x:row r="371" ht="32" customHeight="1">
      <x:c r="A371" s="8" t="str">
        <x:v>trunk:FC1:V2:fan:-1</x:v>
      </x:c>
      <x:c r="B371" s="8" t="n">
        <x:v>11</x:v>
      </x:c>
      <x:c r="C371" s="11" t="n">
        <x:v>43.535</x:v>
      </x:c>
      <x:c r="D371" s="11" t="n">
        <x:v>7.04</x:v>
      </x:c>
      <x:c r="E371" s="11" t="n">
        <x:v>-7.36</x:v>
      </x:c>
      <x:c r="F371" s="11" t="n">
        <x:f>SQRT((C371-C370)^2+(D371-D370)^2+(E371-E370)^2)</x:f>
        <x:v>0.6400000000000006</x:v>
      </x:c>
      <x:c r="G371" s="8" t="str">
        <x:v>Current</x:v>
      </x:c>
    </x:row>
    <x:row r="372" ht="32" customHeight="1">
      <x:c r="A372" s="8" t="str">
        <x:v>trunk:FC1:V2:fan:-1</x:v>
      </x:c>
      <x:c r="B372" s="8" t="n">
        <x:v>12</x:v>
      </x:c>
      <x:c r="C372" s="11" t="n">
        <x:v>43.455</x:v>
      </x:c>
      <x:c r="D372" s="11" t="n">
        <x:v>6.950412371134024</x:v>
      </x:c>
      <x:c r="E372" s="11" t="n">
        <x:v>-7.36</x:v>
      </x:c>
      <x:c r="F372" s="11" t="n">
        <x:f>SQRT((C372-C371)^2+(D372-D371)^2+(E372-E371)^2)</x:f>
        <x:v>0.12010804821421249</x:v>
      </x:c>
      <x:c r="G372" s="8" t="str">
        <x:v>Current</x:v>
      </x:c>
    </x:row>
    <x:row r="373" ht="32" customHeight="1">
      <x:c r="A373" s="8" t="str">
        <x:v>trunk:FC1:V2:fan:-1</x:v>
      </x:c>
      <x:c r="B373" s="8" t="n">
        <x:v>13</x:v>
      </x:c>
      <x:c r="C373" s="11" t="n">
        <x:v>40.574999999999996</x:v>
      </x:c>
      <x:c r="D373" s="11" t="n">
        <x:v>9.269999999999994</x:v>
      </x:c>
      <x:c r="E373" s="11" t="n">
        <x:v>-7.36</x:v>
      </x:c>
      <x:c r="F373" s="11" t="n">
        <x:f>SQRT((C373-C372)^2+(D373-D372)^2+(E373-E372)^2)</x:f>
        <x:v>3.6979571073753776</x:v>
      </x:c>
      <x:c r="G373" s="8" t="str">
        <x:v>Current</x:v>
      </x:c>
    </x:row>
    <x:row r="374" ht="32" customHeight="1">
      <x:c r="A374" s="8" t="str">
        <x:v>trunk:FC1:V2:fan:-1</x:v>
      </x:c>
      <x:c r="B374" s="8" t="n">
        <x:v>14</x:v>
      </x:c>
      <x:c r="C374" s="11" t="n">
        <x:v>39.7</x:v>
      </x:c>
      <x:c r="D374" s="11" t="n">
        <x:v>8.565264175257731</x:v>
      </x:c>
      <x:c r="E374" s="11" t="n">
        <x:v>-7.36</x:v>
      </x:c>
      <x:c r="F374" s="11" t="n">
        <x:f>SQRT((C374-C373)^2+(D374-D373)^2+(E374-E373)^2)</x:f>
        <x:v>1.1235112739421647</x:v>
      </x:c>
      <x:c r="G374" s="8" t="str">
        <x:v>Current</x:v>
      </x:c>
    </x:row>
    <x:row r="375" ht="32" customHeight="1">
      <x:c r="A375" s="8" t="str">
        <x:v>drop:FC1:V2:fan:-1:F256</x:v>
      </x:c>
      <x:c r="B375" s="8" t="n">
        <x:v>1</x:v>
      </x:c>
      <x:c r="C375" s="11" t="n">
        <x:v>39.7</x:v>
      </x:c>
      <x:c r="D375" s="11" t="n">
        <x:v>8.565264175257731</x:v>
      </x:c>
      <x:c r="E375" s="11" t="n">
        <x:v>-7.36</x:v>
      </x:c>
      <x:c r="F375" s="11" t="n">
        <x:f>0</x:f>
        <x:v>0</x:v>
      </x:c>
      <x:c r="G375" s="8" t="str">
        <x:v>Current</x:v>
      </x:c>
    </x:row>
    <x:row r="376" ht="32" customHeight="1">
      <x:c r="A376" s="8" t="str">
        <x:v>drop:FC1:V2:fan:-1:F256</x:v>
      </x:c>
      <x:c r="B376" s="8" t="n">
        <x:v>2</x:v>
      </x:c>
      <x:c r="C376" s="11" t="n">
        <x:v>39.7</x:v>
      </x:c>
      <x:c r="D376" s="11" t="n">
        <x:v>8.565264175257731</x:v>
      </x:c>
      <x:c r="E376" s="11" t="n">
        <x:v>-13.249</x:v>
      </x:c>
      <x:c r="F376" s="11" t="n">
        <x:f>SQRT((C376-C375)^2+(D376-D375)^2+(E376-E375)^2)</x:f>
        <x:v>5.889</x:v>
      </x:c>
      <x:c r="G376" s="8" t="str">
        <x:v>Current</x:v>
      </x:c>
    </x:row>
    <x:row r="377" ht="32" customHeight="1">
      <x:c r="A377" s="8" t="str">
        <x:v>drop:FC1:V2:fan:-1:F256</x:v>
      </x:c>
      <x:c r="B377" s="8" t="n">
        <x:v>3</x:v>
      </x:c>
      <x:c r="C377" s="11" t="n">
        <x:v>39.7</x:v>
      </x:c>
      <x:c r="D377" s="11" t="n">
        <x:v>7.6</x:v>
      </x:c>
      <x:c r="E377" s="11" t="n">
        <x:v>-13.249</x:v>
      </x:c>
      <x:c r="F377" s="11" t="n">
        <x:f>SQRT((C377-C376)^2+(D377-D376)^2+(E377-E376)^2)</x:f>
        <x:v>0.9652641752577313</x:v>
      </x:c>
      <x:c r="G377" s="8" t="str">
        <x:v>Current</x:v>
      </x:c>
    </x:row>
    <x:row r="378" ht="32" customHeight="1">
      <x:c r="A378" s="8" t="str">
        <x:v>drop:FC1:V2:fan:-1:F256</x:v>
      </x:c>
      <x:c r="B378" s="8" t="n">
        <x:v>4</x:v>
      </x:c>
      <x:c r="C378" s="11" t="n">
        <x:v>39.7</x:v>
      </x:c>
      <x:c r="D378" s="11" t="n">
        <x:v>7.6</x:v>
      </x:c>
      <x:c r="E378" s="11" t="n">
        <x:v>-13.13</x:v>
      </x:c>
      <x:c r="F378" s="11" t="n">
        <x:f>SQRT((C378-C377)^2+(D378-D377)^2+(E378-E377)^2)</x:f>
        <x:v>0.11899999999999977</x:v>
      </x:c>
      <x:c r="G378" s="8" t="str">
        <x:v>Current</x:v>
      </x:c>
    </x:row>
    <x:row r="379" ht="32" customHeight="1">
      <x:c r="A379" s="8" t="str">
        <x:v>drop:FC1:V2:fan:-1:F257</x:v>
      </x:c>
      <x:c r="B379" s="8" t="n">
        <x:v>1</x:v>
      </x:c>
      <x:c r="C379" s="11" t="n">
        <x:v>41.45</x:v>
      </x:c>
      <x:c r="D379" s="11" t="n">
        <x:v>8.565264175257724</x:v>
      </x:c>
      <x:c r="E379" s="11" t="n">
        <x:v>-7.36</x:v>
      </x:c>
      <x:c r="F379" s="11" t="n">
        <x:f>0</x:f>
        <x:v>0</x:v>
      </x:c>
      <x:c r="G379" s="8" t="str">
        <x:v>Current</x:v>
      </x:c>
    </x:row>
    <x:row r="380" ht="32" customHeight="1">
      <x:c r="A380" s="8" t="str">
        <x:v>drop:FC1:V2:fan:-1:F257</x:v>
      </x:c>
      <x:c r="B380" s="8" t="n">
        <x:v>2</x:v>
      </x:c>
      <x:c r="C380" s="11" t="n">
        <x:v>41.45</x:v>
      </x:c>
      <x:c r="D380" s="11" t="n">
        <x:v>8.565264175257731</x:v>
      </x:c>
      <x:c r="E380" s="11" t="n">
        <x:v>-13.249</x:v>
      </x:c>
      <x:c r="F380" s="11" t="n">
        <x:f>SQRT((C380-C379)^2+(D380-D379)^2+(E380-E379)^2)</x:f>
        <x:v>5.889</x:v>
      </x:c>
      <x:c r="G380" s="8" t="str">
        <x:v>Current</x:v>
      </x:c>
    </x:row>
    <x:row r="381" ht="32" customHeight="1">
      <x:c r="A381" s="8" t="str">
        <x:v>drop:FC1:V2:fan:-1:F257</x:v>
      </x:c>
      <x:c r="B381" s="8" t="n">
        <x:v>3</x:v>
      </x:c>
      <x:c r="C381" s="11" t="n">
        <x:v>41.45</x:v>
      </x:c>
      <x:c r="D381" s="11" t="n">
        <x:v>7.6</x:v>
      </x:c>
      <x:c r="E381" s="11" t="n">
        <x:v>-13.249</x:v>
      </x:c>
      <x:c r="F381" s="11" t="n">
        <x:f>SQRT((C381-C380)^2+(D381-D380)^2+(E381-E380)^2)</x:f>
        <x:v>0.9652641752577313</x:v>
      </x:c>
      <x:c r="G381" s="8" t="str">
        <x:v>Current</x:v>
      </x:c>
    </x:row>
    <x:row r="382" ht="32" customHeight="1">
      <x:c r="A382" s="8" t="str">
        <x:v>drop:FC1:V2:fan:-1:F257</x:v>
      </x:c>
      <x:c r="B382" s="8" t="n">
        <x:v>4</x:v>
      </x:c>
      <x:c r="C382" s="11" t="n">
        <x:v>41.45</x:v>
      </x:c>
      <x:c r="D382" s="11" t="n">
        <x:v>7.6</x:v>
      </x:c>
      <x:c r="E382" s="11" t="n">
        <x:v>-13.13</x:v>
      </x:c>
      <x:c r="F382" s="11" t="n">
        <x:f>SQRT((C382-C381)^2+(D382-D381)^2+(E382-E381)^2)</x:f>
        <x:v>0.11899999999999977</x:v>
      </x:c>
      <x:c r="G382" s="8" t="str">
        <x:v>Current</x:v>
      </x:c>
    </x:row>
    <x:row r="383" ht="32" customHeight="1">
      <x:c r="A383" s="8" t="str">
        <x:v>trunk:FC1:V2:fan:1</x:v>
      </x:c>
      <x:c r="B383" s="8" t="n">
        <x:v>1</x:v>
      </x:c>
      <x:c r="C383" s="11" t="n">
        <x:v>48.895</x:v>
      </x:c>
      <x:c r="D383" s="11" t="n">
        <x:v>1.95</x:v>
      </x:c>
      <x:c r="E383" s="11" t="n">
        <x:v>0.4</x:v>
      </x:c>
      <x:c r="F383" s="11" t="n">
        <x:f>0</x:f>
        <x:v>0</x:v>
      </x:c>
      <x:c r="G383" s="8" t="str">
        <x:v>Current</x:v>
      </x:c>
    </x:row>
    <x:row r="384" ht="32" customHeight="1">
      <x:c r="A384" s="8" t="str">
        <x:v>trunk:FC1:V2:fan:1</x:v>
      </x:c>
      <x:c r="B384" s="8" t="n">
        <x:v>2</x:v>
      </x:c>
      <x:c r="C384" s="11" t="n">
        <x:v>48.735</x:v>
      </x:c>
      <x:c r="D384" s="11" t="n">
        <x:v>1.95</x:v>
      </x:c>
      <x:c r="E384" s="11" t="n">
        <x:v>0.4</x:v>
      </x:c>
      <x:c r="F384" s="11" t="n">
        <x:f>SQRT((C384-C383)^2+(D384-D383)^2+(E384-E383)^2)</x:f>
        <x:v>0.1600000000000037</x:v>
      </x:c>
      <x:c r="G384" s="8" t="str">
        <x:v>Current</x:v>
      </x:c>
    </x:row>
    <x:row r="385" ht="32" customHeight="1">
      <x:c r="A385" s="8" t="str">
        <x:v>trunk:FC1:V2:fan:1</x:v>
      </x:c>
      <x:c r="B385" s="8" t="n">
        <x:v>3</x:v>
      </x:c>
      <x:c r="C385" s="11" t="n">
        <x:v>48.735</x:v>
      </x:c>
      <x:c r="D385" s="11" t="n">
        <x:v>1.95</x:v>
      </x:c>
      <x:c r="E385" s="11" t="n">
        <x:v>-2.24</x:v>
      </x:c>
      <x:c r="F385" s="11" t="n">
        <x:f>SQRT((C385-C384)^2+(D385-D384)^2+(E385-E384)^2)</x:f>
        <x:v>2.64</x:v>
      </x:c>
      <x:c r="G385" s="8" t="str">
        <x:v>Current</x:v>
      </x:c>
    </x:row>
    <x:row r="386" ht="32" customHeight="1">
      <x:c r="A386" s="8" t="str">
        <x:v>trunk:FC1:V2:fan:1</x:v>
      </x:c>
      <x:c r="B386" s="8" t="n">
        <x:v>4</x:v>
      </x:c>
      <x:c r="C386" s="11" t="n">
        <x:v>48.735</x:v>
      </x:c>
      <x:c r="D386" s="11" t="n">
        <x:v>4.33</x:v>
      </x:c>
      <x:c r="E386" s="11" t="n">
        <x:v>-2.24</x:v>
      </x:c>
      <x:c r="F386" s="11" t="n">
        <x:f>SQRT((C386-C385)^2+(D386-D385)^2+(E386-E385)^2)</x:f>
        <x:v>2.38</x:v>
      </x:c>
      <x:c r="G386" s="8" t="str">
        <x:v>Current</x:v>
      </x:c>
    </x:row>
    <x:row r="387" ht="32" customHeight="1">
      <x:c r="A387" s="8" t="str">
        <x:v>trunk:FC1:V2:fan:1</x:v>
      </x:c>
      <x:c r="B387" s="8" t="n">
        <x:v>5</x:v>
      </x:c>
      <x:c r="C387" s="11" t="n">
        <x:v>48.735</x:v>
      </x:c>
      <x:c r="D387" s="11" t="n">
        <x:v>4.33</x:v>
      </x:c>
      <x:c r="E387" s="11" t="n">
        <x:v>-3.3</x:v>
      </x:c>
      <x:c r="F387" s="11" t="n">
        <x:f>SQRT((C387-C386)^2+(D387-D386)^2+(E387-E386)^2)</x:f>
        <x:v>1.0599999999999996</x:v>
      </x:c>
      <x:c r="G387" s="8" t="str">
        <x:v>Current</x:v>
      </x:c>
    </x:row>
    <x:row r="388" ht="32" customHeight="1">
      <x:c r="A388" s="8" t="str">
        <x:v>trunk:FC1:V2:fan:1</x:v>
      </x:c>
      <x:c r="B388" s="8" t="n">
        <x:v>6</x:v>
      </x:c>
      <x:c r="C388" s="11" t="n">
        <x:v>53.016</x:v>
      </x:c>
      <x:c r="D388" s="11" t="n">
        <x:v>4.33</x:v>
      </x:c>
      <x:c r="E388" s="11" t="n">
        <x:v>-3.3</x:v>
      </x:c>
      <x:c r="F388" s="11" t="n">
        <x:f>SQRT((C388-C387)^2+(D388-D387)^2+(E388-E387)^2)</x:f>
        <x:v>4.280999999999999</x:v>
      </x:c>
      <x:c r="G388" s="8" t="str">
        <x:v>Current</x:v>
      </x:c>
    </x:row>
    <x:row r="389" ht="32" customHeight="1">
      <x:c r="A389" s="8" t="str">
        <x:v>trunk:FC1:V2:fan:1</x:v>
      </x:c>
      <x:c r="B389" s="8" t="n">
        <x:v>7</x:v>
      </x:c>
      <x:c r="C389" s="11" t="n">
        <x:v>53.016</x:v>
      </x:c>
      <x:c r="D389" s="11" t="n">
        <x:v>6.148000000000001</x:v>
      </x:c>
      <x:c r="E389" s="11" t="n">
        <x:v>-3.3</x:v>
      </x:c>
      <x:c r="F389" s="11" t="n">
        <x:f>SQRT((C389-C388)^2+(D389-D388)^2+(E389-E388)^2)</x:f>
        <x:v>1.8180000000000005</x:v>
      </x:c>
      <x:c r="G389" s="8" t="str">
        <x:v>Current</x:v>
      </x:c>
    </x:row>
    <x:row r="390" ht="32" customHeight="1">
      <x:c r="A390" s="8" t="str">
        <x:v>trunk:FC1:V2:fan:1</x:v>
      </x:c>
      <x:c r="B390" s="8" t="n">
        <x:v>8</x:v>
      </x:c>
      <x:c r="C390" s="11" t="n">
        <x:v>53.016</x:v>
      </x:c>
      <x:c r="D390" s="11" t="n">
        <x:v>6.148000000000001</x:v>
      </x:c>
      <x:c r="E390" s="11" t="n">
        <x:v>7.36</x:v>
      </x:c>
      <x:c r="F390" s="11" t="n">
        <x:f>SQRT((C390-C389)^2+(D390-D389)^2+(E390-E389)^2)</x:f>
        <x:v>10.66</x:v>
      </x:c>
      <x:c r="G390" s="8" t="str">
        <x:v>Current</x:v>
      </x:c>
    </x:row>
    <x:row r="391" ht="32" customHeight="1">
      <x:c r="A391" s="8" t="str">
        <x:v>trunk:FC1:V2:fan:1</x:v>
      </x:c>
      <x:c r="B391" s="8" t="n">
        <x:v>9</x:v>
      </x:c>
      <x:c r="C391" s="11" t="n">
        <x:v>44.175</x:v>
      </x:c>
      <x:c r="D391" s="11" t="n">
        <x:v>6.148000000000001</x:v>
      </x:c>
      <x:c r="E391" s="11" t="n">
        <x:v>7.36</x:v>
      </x:c>
      <x:c r="F391" s="11" t="n">
        <x:f>SQRT((C391-C390)^2+(D391-D390)^2+(E391-E390)^2)</x:f>
        <x:v>8.841000000000001</x:v>
      </x:c>
      <x:c r="G391" s="8" t="str">
        <x:v>Current</x:v>
      </x:c>
    </x:row>
    <x:row r="392" ht="32" customHeight="1">
      <x:c r="A392" s="8" t="str">
        <x:v>trunk:FC1:V2:fan:1</x:v>
      </x:c>
      <x:c r="B392" s="8" t="n">
        <x:v>10</x:v>
      </x:c>
      <x:c r="C392" s="11" t="n">
        <x:v>44.175</x:v>
      </x:c>
      <x:c r="D392" s="11" t="n">
        <x:v>7.04</x:v>
      </x:c>
      <x:c r="E392" s="11" t="n">
        <x:v>7.36</x:v>
      </x:c>
      <x:c r="F392" s="11" t="n">
        <x:f>SQRT((C392-C391)^2+(D392-D391)^2+(E392-E391)^2)</x:f>
        <x:v>0.8919999999999995</x:v>
      </x:c>
      <x:c r="G392" s="8" t="str">
        <x:v>Current</x:v>
      </x:c>
    </x:row>
    <x:row r="393" ht="32" customHeight="1">
      <x:c r="A393" s="8" t="str">
        <x:v>trunk:FC1:V2:fan:1</x:v>
      </x:c>
      <x:c r="B393" s="8" t="n">
        <x:v>11</x:v>
      </x:c>
      <x:c r="C393" s="11" t="n">
        <x:v>43.535</x:v>
      </x:c>
      <x:c r="D393" s="11" t="n">
        <x:v>7.04</x:v>
      </x:c>
      <x:c r="E393" s="11" t="n">
        <x:v>7.36</x:v>
      </x:c>
      <x:c r="F393" s="11" t="n">
        <x:f>SQRT((C393-C392)^2+(D393-D392)^2+(E393-E392)^2)</x:f>
        <x:v>0.6400000000000006</x:v>
      </x:c>
      <x:c r="G393" s="8" t="str">
        <x:v>Current</x:v>
      </x:c>
    </x:row>
    <x:row r="394" ht="32" customHeight="1">
      <x:c r="A394" s="8" t="str">
        <x:v>trunk:FC1:V2:fan:1</x:v>
      </x:c>
      <x:c r="B394" s="8" t="n">
        <x:v>12</x:v>
      </x:c>
      <x:c r="C394" s="11" t="n">
        <x:v>43.455</x:v>
      </x:c>
      <x:c r="D394" s="11" t="n">
        <x:v>6.950412371134024</x:v>
      </x:c>
      <x:c r="E394" s="11" t="n">
        <x:v>7.36</x:v>
      </x:c>
      <x:c r="F394" s="11" t="n">
        <x:f>SQRT((C394-C393)^2+(D394-D393)^2+(E394-E393)^2)</x:f>
        <x:v>0.12010804821421249</x:v>
      </x:c>
      <x:c r="G394" s="8" t="str">
        <x:v>Current</x:v>
      </x:c>
    </x:row>
    <x:row r="395" ht="32" customHeight="1">
      <x:c r="A395" s="8" t="str">
        <x:v>trunk:FC1:V2:fan:1</x:v>
      </x:c>
      <x:c r="B395" s="8" t="n">
        <x:v>13</x:v>
      </x:c>
      <x:c r="C395" s="11" t="n">
        <x:v>40.574999999999996</x:v>
      </x:c>
      <x:c r="D395" s="11" t="n">
        <x:v>9.269999999999994</x:v>
      </x:c>
      <x:c r="E395" s="11" t="n">
        <x:v>7.36</x:v>
      </x:c>
      <x:c r="F395" s="11" t="n">
        <x:f>SQRT((C395-C394)^2+(D395-D394)^2+(E395-E394)^2)</x:f>
        <x:v>3.6979571073753776</x:v>
      </x:c>
      <x:c r="G395" s="8" t="str">
        <x:v>Current</x:v>
      </x:c>
    </x:row>
    <x:row r="396" ht="32" customHeight="1">
      <x:c r="A396" s="8" t="str">
        <x:v>trunk:FC1:V2:fan:1</x:v>
      </x:c>
      <x:c r="B396" s="8" t="n">
        <x:v>14</x:v>
      </x:c>
      <x:c r="C396" s="11" t="n">
        <x:v>39.7</x:v>
      </x:c>
      <x:c r="D396" s="11" t="n">
        <x:v>8.565264175257731</x:v>
      </x:c>
      <x:c r="E396" s="11" t="n">
        <x:v>7.36</x:v>
      </x:c>
      <x:c r="F396" s="11" t="n">
        <x:f>SQRT((C396-C395)^2+(D396-D395)^2+(E396-E395)^2)</x:f>
        <x:v>1.1235112739421647</x:v>
      </x:c>
      <x:c r="G396" s="8" t="str">
        <x:v>Current</x:v>
      </x:c>
    </x:row>
    <x:row r="397" ht="32" customHeight="1">
      <x:c r="A397" s="8" t="str">
        <x:v>drop:FC1:V2:fan:1:F258</x:v>
      </x:c>
      <x:c r="B397" s="8" t="n">
        <x:v>1</x:v>
      </x:c>
      <x:c r="C397" s="11" t="n">
        <x:v>39.7</x:v>
      </x:c>
      <x:c r="D397" s="11" t="n">
        <x:v>8.565264175257731</x:v>
      </x:c>
      <x:c r="E397" s="11" t="n">
        <x:v>7.36</x:v>
      </x:c>
      <x:c r="F397" s="11" t="n">
        <x:f>0</x:f>
        <x:v>0</x:v>
      </x:c>
      <x:c r="G397" s="8" t="str">
        <x:v>Current</x:v>
      </x:c>
    </x:row>
    <x:row r="398" ht="32" customHeight="1">
      <x:c r="A398" s="8" t="str">
        <x:v>drop:FC1:V2:fan:1:F258</x:v>
      </x:c>
      <x:c r="B398" s="8" t="n">
        <x:v>2</x:v>
      </x:c>
      <x:c r="C398" s="11" t="n">
        <x:v>39.7</x:v>
      </x:c>
      <x:c r="D398" s="11" t="n">
        <x:v>8.565264175257731</x:v>
      </x:c>
      <x:c r="E398" s="11" t="n">
        <x:v>13.249</x:v>
      </x:c>
      <x:c r="F398" s="11" t="n">
        <x:f>SQRT((C398-C397)^2+(D398-D397)^2+(E398-E397)^2)</x:f>
        <x:v>5.889</x:v>
      </x:c>
      <x:c r="G398" s="8" t="str">
        <x:v>Current</x:v>
      </x:c>
    </x:row>
    <x:row r="399" ht="32" customHeight="1">
      <x:c r="A399" s="8" t="str">
        <x:v>drop:FC1:V2:fan:1:F258</x:v>
      </x:c>
      <x:c r="B399" s="8" t="n">
        <x:v>3</x:v>
      </x:c>
      <x:c r="C399" s="11" t="n">
        <x:v>39.7</x:v>
      </x:c>
      <x:c r="D399" s="11" t="n">
        <x:v>7.6</x:v>
      </x:c>
      <x:c r="E399" s="11" t="n">
        <x:v>13.249</x:v>
      </x:c>
      <x:c r="F399" s="11" t="n">
        <x:f>SQRT((C399-C398)^2+(D399-D398)^2+(E399-E398)^2)</x:f>
        <x:v>0.9652641752577313</x:v>
      </x:c>
      <x:c r="G399" s="8" t="str">
        <x:v>Current</x:v>
      </x:c>
    </x:row>
    <x:row r="400" ht="32" customHeight="1">
      <x:c r="A400" s="8" t="str">
        <x:v>drop:FC1:V2:fan:1:F258</x:v>
      </x:c>
      <x:c r="B400" s="8" t="n">
        <x:v>4</x:v>
      </x:c>
      <x:c r="C400" s="11" t="n">
        <x:v>39.7</x:v>
      </x:c>
      <x:c r="D400" s="11" t="n">
        <x:v>7.6</x:v>
      </x:c>
      <x:c r="E400" s="11" t="n">
        <x:v>13.13</x:v>
      </x:c>
      <x:c r="F400" s="11" t="n">
        <x:f>SQRT((C400-C399)^2+(D400-D399)^2+(E400-E399)^2)</x:f>
        <x:v>0.11899999999999977</x:v>
      </x:c>
      <x:c r="G400" s="8" t="str">
        <x:v>Current</x:v>
      </x:c>
    </x:row>
    <x:row r="401" ht="32" customHeight="1">
      <x:c r="A401" s="8" t="str">
        <x:v>drop:FC1:V2:fan:1:F259</x:v>
      </x:c>
      <x:c r="B401" s="8" t="n">
        <x:v>1</x:v>
      </x:c>
      <x:c r="C401" s="11" t="n">
        <x:v>41.45</x:v>
      </x:c>
      <x:c r="D401" s="11" t="n">
        <x:v>8.565264175257724</x:v>
      </x:c>
      <x:c r="E401" s="11" t="n">
        <x:v>7.36</x:v>
      </x:c>
      <x:c r="F401" s="11" t="n">
        <x:f>0</x:f>
        <x:v>0</x:v>
      </x:c>
      <x:c r="G401" s="8" t="str">
        <x:v>Current</x:v>
      </x:c>
    </x:row>
    <x:row r="402" ht="32" customHeight="1">
      <x:c r="A402" s="8" t="str">
        <x:v>drop:FC1:V2:fan:1:F259</x:v>
      </x:c>
      <x:c r="B402" s="8" t="n">
        <x:v>2</x:v>
      </x:c>
      <x:c r="C402" s="11" t="n">
        <x:v>41.45</x:v>
      </x:c>
      <x:c r="D402" s="11" t="n">
        <x:v>8.565264175257731</x:v>
      </x:c>
      <x:c r="E402" s="11" t="n">
        <x:v>13.249</x:v>
      </x:c>
      <x:c r="F402" s="11" t="n">
        <x:f>SQRT((C402-C401)^2+(D402-D401)^2+(E402-E401)^2)</x:f>
        <x:v>5.889</x:v>
      </x:c>
      <x:c r="G402" s="8" t="str">
        <x:v>Current</x:v>
      </x:c>
    </x:row>
    <x:row r="403" ht="32" customHeight="1">
      <x:c r="A403" s="8" t="str">
        <x:v>drop:FC1:V2:fan:1:F259</x:v>
      </x:c>
      <x:c r="B403" s="8" t="n">
        <x:v>3</x:v>
      </x:c>
      <x:c r="C403" s="11" t="n">
        <x:v>41.45</x:v>
      </x:c>
      <x:c r="D403" s="11" t="n">
        <x:v>7.6</x:v>
      </x:c>
      <x:c r="E403" s="11" t="n">
        <x:v>13.249</x:v>
      </x:c>
      <x:c r="F403" s="11" t="n">
        <x:f>SQRT((C403-C402)^2+(D403-D402)^2+(E403-E402)^2)</x:f>
        <x:v>0.9652641752577313</x:v>
      </x:c>
      <x:c r="G403" s="8" t="str">
        <x:v>Current</x:v>
      </x:c>
    </x:row>
    <x:row r="404" ht="32" customHeight="1">
      <x:c r="A404" s="8" t="str">
        <x:v>drop:FC1:V2:fan:1:F259</x:v>
      </x:c>
      <x:c r="B404" s="8" t="n">
        <x:v>4</x:v>
      </x:c>
      <x:c r="C404" s="11" t="n">
        <x:v>41.45</x:v>
      </x:c>
      <x:c r="D404" s="11" t="n">
        <x:v>7.6</x:v>
      </x:c>
      <x:c r="E404" s="11" t="n">
        <x:v>13.13</x:v>
      </x:c>
      <x:c r="F404" s="11" t="n">
        <x:f>SQRT((C404-C403)^2+(D404-D403)^2+(E404-E403)^2)</x:f>
        <x:v>0.11899999999999977</x:v>
      </x:c>
      <x:c r="G404" s="8" t="str">
        <x:v>Current</x:v>
      </x:c>
    </x:row>
    <x:row r="405" ht="32" customHeight="1">
      <x:c r="A405" s="8" t="str">
        <x:v>trunk:FC1:V3:fan:-1</x:v>
      </x:c>
      <x:c r="B405" s="8" t="n">
        <x:v>1</x:v>
      </x:c>
      <x:c r="C405" s="11" t="n">
        <x:v>48.895</x:v>
      </x:c>
      <x:c r="D405" s="11" t="n">
        <x:v>1.95</x:v>
      </x:c>
      <x:c r="E405" s="11" t="n">
        <x:v>0.4</x:v>
      </x:c>
      <x:c r="F405" s="11" t="n">
        <x:f>0</x:f>
        <x:v>0</x:v>
      </x:c>
      <x:c r="G405" s="8" t="str">
        <x:v>Current</x:v>
      </x:c>
    </x:row>
    <x:row r="406" ht="32" customHeight="1">
      <x:c r="A406" s="8" t="str">
        <x:v>trunk:FC1:V3:fan:-1</x:v>
      </x:c>
      <x:c r="B406" s="8" t="n">
        <x:v>2</x:v>
      </x:c>
      <x:c r="C406" s="11" t="n">
        <x:v>48.735</x:v>
      </x:c>
      <x:c r="D406" s="11" t="n">
        <x:v>1.95</x:v>
      </x:c>
      <x:c r="E406" s="11" t="n">
        <x:v>0.4</x:v>
      </x:c>
      <x:c r="F406" s="11" t="n">
        <x:f>SQRT((C406-C405)^2+(D406-D405)^2+(E406-E405)^2)</x:f>
        <x:v>0.1600000000000037</x:v>
      </x:c>
      <x:c r="G406" s="8" t="str">
        <x:v>Current</x:v>
      </x:c>
    </x:row>
    <x:row r="407" ht="32" customHeight="1">
      <x:c r="A407" s="8" t="str">
        <x:v>trunk:FC1:V3:fan:-1</x:v>
      </x:c>
      <x:c r="B407" s="8" t="n">
        <x:v>3</x:v>
      </x:c>
      <x:c r="C407" s="11" t="n">
        <x:v>48.735</x:v>
      </x:c>
      <x:c r="D407" s="11" t="n">
        <x:v>1.95</x:v>
      </x:c>
      <x:c r="E407" s="11" t="n">
        <x:v>-2.24</x:v>
      </x:c>
      <x:c r="F407" s="11" t="n">
        <x:f>SQRT((C407-C406)^2+(D407-D406)^2+(E407-E406)^2)</x:f>
        <x:v>2.64</x:v>
      </x:c>
      <x:c r="G407" s="8" t="str">
        <x:v>Current</x:v>
      </x:c>
    </x:row>
    <x:row r="408" ht="32" customHeight="1">
      <x:c r="A408" s="8" t="str">
        <x:v>trunk:FC1:V3:fan:-1</x:v>
      </x:c>
      <x:c r="B408" s="8" t="n">
        <x:v>4</x:v>
      </x:c>
      <x:c r="C408" s="11" t="n">
        <x:v>48.735</x:v>
      </x:c>
      <x:c r="D408" s="11" t="n">
        <x:v>4.33</x:v>
      </x:c>
      <x:c r="E408" s="11" t="n">
        <x:v>-2.24</x:v>
      </x:c>
      <x:c r="F408" s="11" t="n">
        <x:f>SQRT((C408-C407)^2+(D408-D407)^2+(E408-E407)^2)</x:f>
        <x:v>2.38</x:v>
      </x:c>
      <x:c r="G408" s="8" t="str">
        <x:v>Current</x:v>
      </x:c>
    </x:row>
    <x:row r="409" ht="32" customHeight="1">
      <x:c r="A409" s="8" t="str">
        <x:v>trunk:FC1:V3:fan:-1</x:v>
      </x:c>
      <x:c r="B409" s="8" t="n">
        <x:v>5</x:v>
      </x:c>
      <x:c r="C409" s="11" t="n">
        <x:v>48.735</x:v>
      </x:c>
      <x:c r="D409" s="11" t="n">
        <x:v>4.33</x:v>
      </x:c>
      <x:c r="E409" s="11" t="n">
        <x:v>-3.3</x:v>
      </x:c>
      <x:c r="F409" s="11" t="n">
        <x:f>SQRT((C409-C408)^2+(D409-D408)^2+(E409-E408)^2)</x:f>
        <x:v>1.0599999999999996</x:v>
      </x:c>
      <x:c r="G409" s="8" t="str">
        <x:v>Current</x:v>
      </x:c>
    </x:row>
    <x:row r="410" ht="32" customHeight="1">
      <x:c r="A410" s="8" t="str">
        <x:v>trunk:FC1:V3:fan:-1</x:v>
      </x:c>
      <x:c r="B410" s="8" t="n">
        <x:v>6</x:v>
      </x:c>
      <x:c r="C410" s="11" t="n">
        <x:v>53.016</x:v>
      </x:c>
      <x:c r="D410" s="11" t="n">
        <x:v>4.33</x:v>
      </x:c>
      <x:c r="E410" s="11" t="n">
        <x:v>-3.3</x:v>
      </x:c>
      <x:c r="F410" s="11" t="n">
        <x:f>SQRT((C410-C409)^2+(D410-D409)^2+(E410-E409)^2)</x:f>
        <x:v>4.280999999999999</x:v>
      </x:c>
      <x:c r="G410" s="8" t="str">
        <x:v>Current</x:v>
      </x:c>
    </x:row>
    <x:row r="411" ht="32" customHeight="1">
      <x:c r="A411" s="8" t="str">
        <x:v>trunk:FC1:V3:fan:-1</x:v>
      </x:c>
      <x:c r="B411" s="8" t="n">
        <x:v>7</x:v>
      </x:c>
      <x:c r="C411" s="11" t="n">
        <x:v>53.016</x:v>
      </x:c>
      <x:c r="D411" s="11" t="n">
        <x:v>6.156000000000001</x:v>
      </x:c>
      <x:c r="E411" s="11" t="n">
        <x:v>-3.3</x:v>
      </x:c>
      <x:c r="F411" s="11" t="n">
        <x:f>SQRT((C411-C410)^2+(D411-D410)^2+(E411-E410)^2)</x:f>
        <x:v>1.8260000000000005</x:v>
      </x:c>
      <x:c r="G411" s="8" t="str">
        <x:v>Current</x:v>
      </x:c>
    </x:row>
    <x:row r="412" ht="32" customHeight="1">
      <x:c r="A412" s="8" t="str">
        <x:v>trunk:FC1:V3:fan:-1</x:v>
      </x:c>
      <x:c r="B412" s="8" t="n">
        <x:v>8</x:v>
      </x:c>
      <x:c r="C412" s="11" t="n">
        <x:v>53.016</x:v>
      </x:c>
      <x:c r="D412" s="11" t="n">
        <x:v>6.156000000000001</x:v>
      </x:c>
      <x:c r="E412" s="11" t="n">
        <x:v>-7.36</x:v>
      </x:c>
      <x:c r="F412" s="11" t="n">
        <x:f>SQRT((C412-C411)^2+(D412-D411)^2+(E412-E411)^2)</x:f>
        <x:v>4.0600000000000005</x:v>
      </x:c>
      <x:c r="G412" s="8" t="str">
        <x:v>Current</x:v>
      </x:c>
    </x:row>
    <x:row r="413" ht="32" customHeight="1">
      <x:c r="A413" s="8" t="str">
        <x:v>drop:FC1:V3:fan:-1:F260</x:v>
      </x:c>
      <x:c r="B413" s="8" t="n">
        <x:v>1</x:v>
      </x:c>
      <x:c r="C413" s="11" t="n">
        <x:v>53.016</x:v>
      </x:c>
      <x:c r="D413" s="11" t="n">
        <x:v>6.156000000000001</x:v>
      </x:c>
      <x:c r="E413" s="11" t="n">
        <x:v>-7.36</x:v>
      </x:c>
      <x:c r="F413" s="11" t="n">
        <x:f>0</x:f>
        <x:v>0</x:v>
      </x:c>
      <x:c r="G413" s="8" t="str">
        <x:v>Current</x:v>
      </x:c>
    </x:row>
    <x:row r="414" ht="32" customHeight="1">
      <x:c r="A414" s="8" t="str">
        <x:v>drop:FC1:V3:fan:-1:F260</x:v>
      </x:c>
      <x:c r="B414" s="8" t="n">
        <x:v>2</x:v>
      </x:c>
      <x:c r="C414" s="11" t="n">
        <x:v>53.016</x:v>
      </x:c>
      <x:c r="D414" s="11" t="n">
        <x:v>6.156000000000001</x:v>
      </x:c>
      <x:c r="E414" s="11" t="n">
        <x:v>0</x:v>
      </x:c>
      <x:c r="F414" s="11" t="n">
        <x:f>SQRT((C414-C413)^2+(D414-D413)^2+(E414-E413)^2)</x:f>
        <x:v>7.36</x:v>
      </x:c>
      <x:c r="G414" s="8" t="str">
        <x:v>Current</x:v>
      </x:c>
    </x:row>
    <x:row r="415" ht="32" customHeight="1">
      <x:c r="A415" s="8" t="str">
        <x:v>drop:FC1:V3:fan:-1:F260</x:v>
      </x:c>
      <x:c r="B415" s="8" t="n">
        <x:v>3</x:v>
      </x:c>
      <x:c r="C415" s="11" t="n">
        <x:v>53.016</x:v>
      </x:c>
      <x:c r="D415" s="11" t="n">
        <x:v>3.3</x:v>
      </x:c>
      <x:c r="E415" s="11" t="n">
        <x:v>0</x:v>
      </x:c>
      <x:c r="F415" s="11" t="n">
        <x:f>SQRT((C415-C414)^2+(D415-D414)^2+(E415-E414)^2)</x:f>
        <x:v>2.8560000000000008</x:v>
      </x:c>
      <x:c r="G415" s="8" t="str">
        <x:v>Current</x:v>
      </x:c>
    </x:row>
    <x:row r="416" ht="32" customHeight="1">
      <x:c r="A416" s="8" t="str">
        <x:v>drop:FC1:V3:fan:-1:F260</x:v>
      </x:c>
      <x:c r="B416" s="8" t="n">
        <x:v>4</x:v>
      </x:c>
      <x:c r="C416" s="11" t="n">
        <x:v>53.12</x:v>
      </x:c>
      <x:c r="D416" s="11" t="n">
        <x:v>3.3</x:v>
      </x:c>
      <x:c r="E416" s="11" t="n">
        <x:v>0</x:v>
      </x:c>
      <x:c r="F416" s="11" t="n">
        <x:f>SQRT((C416-C415)^2+(D416-D415)^2+(E416-E415)^2)</x:f>
        <x:v>0.1039999999999992</x:v>
      </x:c>
      <x:c r="G416" s="8" t="str">
        <x:v>Current</x:v>
      </x:c>
    </x:row>
    <x:row r="417" ht="32" customHeight="1">
      <x:c r="A417" s="8" t="str">
        <x:v>drop:FC1:V1:fan:-1:F256</x:v>
      </x:c>
      <x:c r="B417" s="8" t="n">
        <x:v>1</x:v>
      </x:c>
      <x:c r="C417" s="11" t="n">
        <x:v>39.7</x:v>
      </x:c>
      <x:c r="D417" s="11" t="n">
        <x:v>8.565264175257731</x:v>
      </x:c>
      <x:c r="E417" s="11" t="n">
        <x:v>-7.36</x:v>
      </x:c>
      <x:c r="F417" s="11" t="n">
        <x:f>0</x:f>
        <x:v>0</x:v>
      </x:c>
      <x:c r="G417" s="8" t="str">
        <x:v>Retired</x:v>
      </x:c>
    </x:row>
    <x:row r="418" ht="32" customHeight="1">
      <x:c r="A418" s="8" t="str">
        <x:v>drop:FC1:V1:fan:-1:F256</x:v>
      </x:c>
      <x:c r="B418" s="8" t="n">
        <x:v>2</x:v>
      </x:c>
      <x:c r="C418" s="11" t="n">
        <x:v>39.7</x:v>
      </x:c>
      <x:c r="D418" s="11" t="n">
        <x:v>8.565264175257731</x:v>
      </x:c>
      <x:c r="E418" s="11" t="n">
        <x:v>-13.249</x:v>
      </x:c>
      <x:c r="F418" s="11" t="n">
        <x:f>SQRT((C418-C417)^2+(D418-D417)^2+(E418-E417)^2)</x:f>
        <x:v>5.889</x:v>
      </x:c>
      <x:c r="G418" s="8" t="str">
        <x:v>Retired</x:v>
      </x:c>
    </x:row>
    <x:row r="419" ht="32" customHeight="1">
      <x:c r="A419" s="8" t="str">
        <x:v>drop:FC1:V1:fan:-1:F256</x:v>
      </x:c>
      <x:c r="B419" s="8" t="n">
        <x:v>3</x:v>
      </x:c>
      <x:c r="C419" s="11" t="n">
        <x:v>39.7</x:v>
      </x:c>
      <x:c r="D419" s="11" t="n">
        <x:v>7.6</x:v>
      </x:c>
      <x:c r="E419" s="11" t="n">
        <x:v>-13.249</x:v>
      </x:c>
      <x:c r="F419" s="11" t="n">
        <x:f>SQRT((C419-C418)^2+(D419-D418)^2+(E419-E418)^2)</x:f>
        <x:v>0.9652641752577313</x:v>
      </x:c>
      <x:c r="G419" s="8" t="str">
        <x:v>Retired</x:v>
      </x:c>
    </x:row>
    <x:row r="420" ht="32" customHeight="1">
      <x:c r="A420" s="8" t="str">
        <x:v>drop:FC1:V1:fan:-1:F256</x:v>
      </x:c>
      <x:c r="B420" s="8" t="n">
        <x:v>4</x:v>
      </x:c>
      <x:c r="C420" s="11" t="n">
        <x:v>39.7</x:v>
      </x:c>
      <x:c r="D420" s="11" t="n">
        <x:v>7.6</x:v>
      </x:c>
      <x:c r="E420" s="11" t="n">
        <x:v>-13.13</x:v>
      </x:c>
      <x:c r="F420" s="11" t="n">
        <x:f>SQRT((C420-C419)^2+(D420-D419)^2+(E420-E419)^2)</x:f>
        <x:v>0.11899999999999977</x:v>
      </x:c>
      <x:c r="G420" s="8" t="str">
        <x:v>Retired</x:v>
      </x:c>
    </x:row>
    <x:row r="421" ht="32" customHeight="1">
      <x:c r="A421" s="8" t="str">
        <x:v>drop:FC1:V1:fan:-1:F257</x:v>
      </x:c>
      <x:c r="B421" s="8" t="n">
        <x:v>1</x:v>
      </x:c>
      <x:c r="C421" s="11" t="n">
        <x:v>41.45</x:v>
      </x:c>
      <x:c r="D421" s="11" t="n">
        <x:v>8.565264175257724</x:v>
      </x:c>
      <x:c r="E421" s="11" t="n">
        <x:v>-7.36</x:v>
      </x:c>
      <x:c r="F421" s="11" t="n">
        <x:f>0</x:f>
        <x:v>0</x:v>
      </x:c>
      <x:c r="G421" s="8" t="str">
        <x:v>Retired</x:v>
      </x:c>
    </x:row>
    <x:row r="422" ht="32" customHeight="1">
      <x:c r="A422" s="8" t="str">
        <x:v>drop:FC1:V1:fan:-1:F257</x:v>
      </x:c>
      <x:c r="B422" s="8" t="n">
        <x:v>2</x:v>
      </x:c>
      <x:c r="C422" s="11" t="n">
        <x:v>41.45</x:v>
      </x:c>
      <x:c r="D422" s="11" t="n">
        <x:v>8.565264175257731</x:v>
      </x:c>
      <x:c r="E422" s="11" t="n">
        <x:v>-13.249</x:v>
      </x:c>
      <x:c r="F422" s="11" t="n">
        <x:f>SQRT((C422-C421)^2+(D422-D421)^2+(E422-E421)^2)</x:f>
        <x:v>5.889</x:v>
      </x:c>
      <x:c r="G422" s="8" t="str">
        <x:v>Retired</x:v>
      </x:c>
    </x:row>
    <x:row r="423" ht="32" customHeight="1">
      <x:c r="A423" s="8" t="str">
        <x:v>drop:FC1:V1:fan:-1:F257</x:v>
      </x:c>
      <x:c r="B423" s="8" t="n">
        <x:v>3</x:v>
      </x:c>
      <x:c r="C423" s="11" t="n">
        <x:v>41.45</x:v>
      </x:c>
      <x:c r="D423" s="11" t="n">
        <x:v>7.6</x:v>
      </x:c>
      <x:c r="E423" s="11" t="n">
        <x:v>-13.249</x:v>
      </x:c>
      <x:c r="F423" s="11" t="n">
        <x:f>SQRT((C423-C422)^2+(D423-D422)^2+(E423-E422)^2)</x:f>
        <x:v>0.9652641752577313</x:v>
      </x:c>
      <x:c r="G423" s="8" t="str">
        <x:v>Retired</x:v>
      </x:c>
    </x:row>
    <x:row r="424" ht="32" customHeight="1">
      <x:c r="A424" s="8" t="str">
        <x:v>drop:FC1:V1:fan:-1:F257</x:v>
      </x:c>
      <x:c r="B424" s="8" t="n">
        <x:v>4</x:v>
      </x:c>
      <x:c r="C424" s="11" t="n">
        <x:v>41.45</x:v>
      </x:c>
      <x:c r="D424" s="11" t="n">
        <x:v>7.6</x:v>
      </x:c>
      <x:c r="E424" s="11" t="n">
        <x:v>-13.13</x:v>
      </x:c>
      <x:c r="F424" s="11" t="n">
        <x:f>SQRT((C424-C423)^2+(D424-D423)^2+(E424-E423)^2)</x:f>
        <x:v>0.11899999999999977</x:v>
      </x:c>
      <x:c r="G424" s="8" t="str">
        <x:v>Retired</x:v>
      </x:c>
    </x:row>
    <x:row r="425" ht="32" customHeight="1">
      <x:c r="A425" s="8" t="str">
        <x:v>drop:FC1:V1:fan:-1:F260</x:v>
      </x:c>
      <x:c r="B425" s="8" t="n">
        <x:v>1</x:v>
      </x:c>
      <x:c r="C425" s="11" t="n">
        <x:v>53.016</x:v>
      </x:c>
      <x:c r="D425" s="11" t="n">
        <x:v>6.0360000000000005</x:v>
      </x:c>
      <x:c r="E425" s="11" t="n">
        <x:v>-7.36</x:v>
      </x:c>
      <x:c r="F425" s="11" t="n">
        <x:f>0</x:f>
        <x:v>0</x:v>
      </x:c>
      <x:c r="G425" s="8" t="str">
        <x:v>Retired</x:v>
      </x:c>
    </x:row>
    <x:row r="426" ht="32" customHeight="1">
      <x:c r="A426" s="8" t="str">
        <x:v>drop:FC1:V1:fan:-1:F260</x:v>
      </x:c>
      <x:c r="B426" s="8" t="n">
        <x:v>2</x:v>
      </x:c>
      <x:c r="C426" s="11" t="n">
        <x:v>53.016</x:v>
      </x:c>
      <x:c r="D426" s="11" t="n">
        <x:v>6.0360000000000005</x:v>
      </x:c>
      <x:c r="E426" s="11" t="n">
        <x:v>0</x:v>
      </x:c>
      <x:c r="F426" s="11" t="n">
        <x:f>SQRT((C426-C425)^2+(D426-D425)^2+(E426-E425)^2)</x:f>
        <x:v>7.36</x:v>
      </x:c>
      <x:c r="G426" s="8" t="str">
        <x:v>Retired</x:v>
      </x:c>
    </x:row>
    <x:row r="427" ht="32" customHeight="1">
      <x:c r="A427" s="8" t="str">
        <x:v>drop:FC1:V1:fan:-1:F260</x:v>
      </x:c>
      <x:c r="B427" s="8" t="n">
        <x:v>3</x:v>
      </x:c>
      <x:c r="C427" s="11" t="n">
        <x:v>53.016</x:v>
      </x:c>
      <x:c r="D427" s="11" t="n">
        <x:v>3.3</x:v>
      </x:c>
      <x:c r="E427" s="11" t="n">
        <x:v>0</x:v>
      </x:c>
      <x:c r="F427" s="11" t="n">
        <x:f>SQRT((C427-C426)^2+(D427-D426)^2+(E427-E426)^2)</x:f>
        <x:v>2.7360000000000007</x:v>
      </x:c>
      <x:c r="G427" s="8" t="str">
        <x:v>Retired</x:v>
      </x:c>
    </x:row>
    <x:row r="428" ht="32" customHeight="1">
      <x:c r="A428" s="8" t="str">
        <x:v>drop:FC1:V1:fan:-1:F260</x:v>
      </x:c>
      <x:c r="B428" s="8" t="n">
        <x:v>4</x:v>
      </x:c>
      <x:c r="C428" s="11" t="n">
        <x:v>53.12</x:v>
      </x:c>
      <x:c r="D428" s="11" t="n">
        <x:v>3.3</x:v>
      </x:c>
      <x:c r="E428" s="11" t="n">
        <x:v>0</x:v>
      </x:c>
      <x:c r="F428" s="11" t="n">
        <x:f>SQRT((C428-C427)^2+(D428-D427)^2+(E428-E427)^2)</x:f>
        <x:v>0.1039999999999992</x:v>
      </x:c>
      <x:c r="G428" s="8" t="str">
        <x:v>Retired</x:v>
      </x:c>
    </x:row>
    <x:row r="429" ht="32" customHeight="1">
      <x:c r="A429" s="8" t="str">
        <x:v>drop:FC1:V1:fan:1:F258</x:v>
      </x:c>
      <x:c r="B429" s="8" t="n">
        <x:v>1</x:v>
      </x:c>
      <x:c r="C429" s="11" t="n">
        <x:v>39.7</x:v>
      </x:c>
      <x:c r="D429" s="11" t="n">
        <x:v>8.565264175257731</x:v>
      </x:c>
      <x:c r="E429" s="11" t="n">
        <x:v>7.36</x:v>
      </x:c>
      <x:c r="F429" s="11" t="n">
        <x:f>0</x:f>
        <x:v>0</x:v>
      </x:c>
      <x:c r="G429" s="8" t="str">
        <x:v>Retired</x:v>
      </x:c>
    </x:row>
    <x:row r="430" ht="32" customHeight="1">
      <x:c r="A430" s="8" t="str">
        <x:v>drop:FC1:V1:fan:1:F258</x:v>
      </x:c>
      <x:c r="B430" s="8" t="n">
        <x:v>2</x:v>
      </x:c>
      <x:c r="C430" s="11" t="n">
        <x:v>39.7</x:v>
      </x:c>
      <x:c r="D430" s="11" t="n">
        <x:v>8.565264175257731</x:v>
      </x:c>
      <x:c r="E430" s="11" t="n">
        <x:v>13.249</x:v>
      </x:c>
      <x:c r="F430" s="11" t="n">
        <x:f>SQRT((C430-C429)^2+(D430-D429)^2+(E430-E429)^2)</x:f>
        <x:v>5.889</x:v>
      </x:c>
      <x:c r="G430" s="8" t="str">
        <x:v>Retired</x:v>
      </x:c>
    </x:row>
    <x:row r="431" ht="32" customHeight="1">
      <x:c r="A431" s="8" t="str">
        <x:v>drop:FC1:V1:fan:1:F258</x:v>
      </x:c>
      <x:c r="B431" s="8" t="n">
        <x:v>3</x:v>
      </x:c>
      <x:c r="C431" s="11" t="n">
        <x:v>39.7</x:v>
      </x:c>
      <x:c r="D431" s="11" t="n">
        <x:v>7.6</x:v>
      </x:c>
      <x:c r="E431" s="11" t="n">
        <x:v>13.249</x:v>
      </x:c>
      <x:c r="F431" s="11" t="n">
        <x:f>SQRT((C431-C430)^2+(D431-D430)^2+(E431-E430)^2)</x:f>
        <x:v>0.9652641752577313</x:v>
      </x:c>
      <x:c r="G431" s="8" t="str">
        <x:v>Retired</x:v>
      </x:c>
    </x:row>
    <x:row r="432" ht="32" customHeight="1">
      <x:c r="A432" s="8" t="str">
        <x:v>drop:FC1:V1:fan:1:F258</x:v>
      </x:c>
      <x:c r="B432" s="8" t="n">
        <x:v>4</x:v>
      </x:c>
      <x:c r="C432" s="11" t="n">
        <x:v>39.7</x:v>
      </x:c>
      <x:c r="D432" s="11" t="n">
        <x:v>7.6</x:v>
      </x:c>
      <x:c r="E432" s="11" t="n">
        <x:v>13.13</x:v>
      </x:c>
      <x:c r="F432" s="11" t="n">
        <x:f>SQRT((C432-C431)^2+(D432-D431)^2+(E432-E431)^2)</x:f>
        <x:v>0.11899999999999977</x:v>
      </x:c>
      <x:c r="G432" s="8" t="str">
        <x:v>Retired</x:v>
      </x:c>
    </x:row>
    <x:row r="433" ht="32" customHeight="1">
      <x:c r="A433" s="8" t="str">
        <x:v>drop:FC1:V1:fan:1:F259</x:v>
      </x:c>
      <x:c r="B433" s="8" t="n">
        <x:v>1</x:v>
      </x:c>
      <x:c r="C433" s="11" t="n">
        <x:v>41.45</x:v>
      </x:c>
      <x:c r="D433" s="11" t="n">
        <x:v>8.565264175257724</x:v>
      </x:c>
      <x:c r="E433" s="11" t="n">
        <x:v>7.36</x:v>
      </x:c>
      <x:c r="F433" s="11" t="n">
        <x:f>0</x:f>
        <x:v>0</x:v>
      </x:c>
      <x:c r="G433" s="8" t="str">
        <x:v>Retired</x:v>
      </x:c>
    </x:row>
    <x:row r="434" ht="32" customHeight="1">
      <x:c r="A434" s="8" t="str">
        <x:v>drop:FC1:V1:fan:1:F259</x:v>
      </x:c>
      <x:c r="B434" s="8" t="n">
        <x:v>2</x:v>
      </x:c>
      <x:c r="C434" s="11" t="n">
        <x:v>41.45</x:v>
      </x:c>
      <x:c r="D434" s="11" t="n">
        <x:v>8.565264175257731</x:v>
      </x:c>
      <x:c r="E434" s="11" t="n">
        <x:v>13.249</x:v>
      </x:c>
      <x:c r="F434" s="11" t="n">
        <x:f>SQRT((C434-C433)^2+(D434-D433)^2+(E434-E433)^2)</x:f>
        <x:v>5.889</x:v>
      </x:c>
      <x:c r="G434" s="8" t="str">
        <x:v>Retired</x:v>
      </x:c>
    </x:row>
    <x:row r="435" ht="32" customHeight="1">
      <x:c r="A435" s="8" t="str">
        <x:v>drop:FC1:V1:fan:1:F259</x:v>
      </x:c>
      <x:c r="B435" s="8" t="n">
        <x:v>3</x:v>
      </x:c>
      <x:c r="C435" s="11" t="n">
        <x:v>41.45</x:v>
      </x:c>
      <x:c r="D435" s="11" t="n">
        <x:v>7.6</x:v>
      </x:c>
      <x:c r="E435" s="11" t="n">
        <x:v>13.249</x:v>
      </x:c>
      <x:c r="F435" s="11" t="n">
        <x:f>SQRT((C435-C434)^2+(D435-D434)^2+(E435-E434)^2)</x:f>
        <x:v>0.9652641752577313</x:v>
      </x:c>
      <x:c r="G435" s="8" t="str">
        <x:v>Retired</x:v>
      </x:c>
    </x:row>
    <x:row r="436" ht="32" customHeight="1">
      <x:c r="A436" s="8" t="str">
        <x:v>drop:FC1:V1:fan:1:F259</x:v>
      </x:c>
      <x:c r="B436" s="8" t="n">
        <x:v>4</x:v>
      </x:c>
      <x:c r="C436" s="11" t="n">
        <x:v>41.45</x:v>
      </x:c>
      <x:c r="D436" s="11" t="n">
        <x:v>7.6</x:v>
      </x:c>
      <x:c r="E436" s="11" t="n">
        <x:v>13.13</x:v>
      </x:c>
      <x:c r="F436" s="11" t="n">
        <x:f>SQRT((C436-C435)^2+(D436-D435)^2+(E436-E435)^2)</x:f>
        <x:v>0.11899999999999977</x:v>
      </x:c>
      <x:c r="G436" s="8" t="str">
        <x:v>Retired</x:v>
      </x:c>
    </x:row>
    <x:row r="437" ht="32" customHeight="1">
      <x:c r="A437" s="8" t="str">
        <x:v>drop:FC1:F5:fan:-1:F-WING-B-3</x:v>
      </x:c>
      <x:c r="B437" s="8" t="n">
        <x:v>1</x:v>
      </x:c>
      <x:c r="C437" s="11" t="n">
        <x:v>41.2</x:v>
      </x:c>
      <x:c r="D437" s="11" t="n">
        <x:v>8.766617268041228</x:v>
      </x:c>
      <x:c r="E437" s="11" t="n">
        <x:v>-7.36</x:v>
      </x:c>
      <x:c r="F437" s="11" t="n">
        <x:f>0</x:f>
        <x:v>0</x:v>
      </x:c>
      <x:c r="G437" s="8" t="str">
        <x:v>Retired</x:v>
      </x:c>
    </x:row>
    <x:row r="438" ht="32" customHeight="1">
      <x:c r="A438" s="8" t="str">
        <x:v>drop:FC1:F5:fan:-1:F-WING-B-3</x:v>
      </x:c>
      <x:c r="B438" s="8" t="n">
        <x:v>2</x:v>
      </x:c>
      <x:c r="C438" s="11" t="n">
        <x:v>41.2</x:v>
      </x:c>
      <x:c r="D438" s="11" t="n">
        <x:v>8.766617268041237</x:v>
      </x:c>
      <x:c r="E438" s="11" t="n">
        <x:v>-13.249</x:v>
      </x:c>
      <x:c r="F438" s="11" t="n">
        <x:f>SQRT((C438-C437)^2+(D438-D437)^2+(E438-E437)^2)</x:f>
        <x:v>5.889</x:v>
      </x:c>
      <x:c r="G438" s="8" t="str">
        <x:v>Retired</x:v>
      </x:c>
    </x:row>
    <x:row r="439" ht="32" customHeight="1">
      <x:c r="A439" s="8" t="str">
        <x:v>drop:FC1:F5:fan:-1:F-WING-B-3</x:v>
      </x:c>
      <x:c r="B439" s="8" t="n">
        <x:v>3</x:v>
      </x:c>
      <x:c r="C439" s="11" t="n">
        <x:v>41.2</x:v>
      </x:c>
      <x:c r="D439" s="11" t="n">
        <x:v>2.7</x:v>
      </x:c>
      <x:c r="E439" s="11" t="n">
        <x:v>-13.249</x:v>
      </x:c>
      <x:c r="F439" s="11" t="n">
        <x:f>SQRT((C439-C438)^2+(D439-D438)^2+(E439-E438)^2)</x:f>
        <x:v>6.066617268041237</x:v>
      </x:c>
      <x:c r="G439" s="8" t="str">
        <x:v>Retired</x:v>
      </x:c>
    </x:row>
    <x:row r="440" ht="32" customHeight="1">
      <x:c r="A440" s="8" t="str">
        <x:v>drop:FC1:F5:fan:-1:F-WING-B-3</x:v>
      </x:c>
      <x:c r="B440" s="8" t="n">
        <x:v>4</x:v>
      </x:c>
      <x:c r="C440" s="11" t="n">
        <x:v>41.2</x:v>
      </x:c>
      <x:c r="D440" s="11" t="n">
        <x:v>2.7</x:v>
      </x:c>
      <x:c r="E440" s="11" t="n">
        <x:v>-13.06</x:v>
      </x:c>
      <x:c r="F440" s="11" t="n">
        <x:f>SQRT((C440-C439)^2+(D440-D439)^2+(E440-E439)^2)</x:f>
        <x:v>0.18900000000000006</x:v>
      </x:c>
      <x:c r="G440" s="8" t="str">
        <x:v>Retired</x:v>
      </x:c>
    </x:row>
    <x:row r="441" ht="32" customHeight="1">
      <x:c r="A441" s="8" t="str">
        <x:v>drop:FC1:F5:fan:-1:F-WING-B-4</x:v>
      </x:c>
      <x:c r="B441" s="8" t="n">
        <x:v>1</x:v>
      </x:c>
      <x:c r="C441" s="11" t="n">
        <x:v>42</x:v>
      </x:c>
      <x:c r="D441" s="11" t="n">
        <x:v>8.122287371134018</x:v>
      </x:c>
      <x:c r="E441" s="11" t="n">
        <x:v>-7.36</x:v>
      </x:c>
      <x:c r="F441" s="11" t="n">
        <x:f>0</x:f>
        <x:v>0</x:v>
      </x:c>
      <x:c r="G441" s="8" t="str">
        <x:v>Retired</x:v>
      </x:c>
    </x:row>
    <x:row r="442" ht="32" customHeight="1">
      <x:c r="A442" s="8" t="str">
        <x:v>drop:FC1:F5:fan:-1:F-WING-B-4</x:v>
      </x:c>
      <x:c r="B442" s="8" t="n">
        <x:v>2</x:v>
      </x:c>
      <x:c r="C442" s="11" t="n">
        <x:v>42</x:v>
      </x:c>
      <x:c r="D442" s="11" t="n">
        <x:v>8.122287371134023</x:v>
      </x:c>
      <x:c r="E442" s="11" t="n">
        <x:v>-13.249</x:v>
      </x:c>
      <x:c r="F442" s="11" t="n">
        <x:f>SQRT((C442-C441)^2+(D442-D441)^2+(E442-E441)^2)</x:f>
        <x:v>5.889</x:v>
      </x:c>
      <x:c r="G442" s="8" t="str">
        <x:v>Retired</x:v>
      </x:c>
    </x:row>
    <x:row r="443" ht="32" customHeight="1">
      <x:c r="A443" s="8" t="str">
        <x:v>drop:FC1:F5:fan:-1:F-WING-B-4</x:v>
      </x:c>
      <x:c r="B443" s="8" t="n">
        <x:v>3</x:v>
      </x:c>
      <x:c r="C443" s="11" t="n">
        <x:v>42</x:v>
      </x:c>
      <x:c r="D443" s="11" t="n">
        <x:v>3.5</x:v>
      </x:c>
      <x:c r="E443" s="11" t="n">
        <x:v>-13.249</x:v>
      </x:c>
      <x:c r="F443" s="11" t="n">
        <x:f>SQRT((C443-C442)^2+(D443-D442)^2+(E443-E442)^2)</x:f>
        <x:v>4.622287371134023</x:v>
      </x:c>
      <x:c r="G443" s="8" t="str">
        <x:v>Retired</x:v>
      </x:c>
    </x:row>
    <x:row r="444" ht="32" customHeight="1">
      <x:c r="A444" s="8" t="str">
        <x:v>drop:FC1:F5:fan:-1:F-WING-B-4</x:v>
      </x:c>
      <x:c r="B444" s="8" t="n">
        <x:v>4</x:v>
      </x:c>
      <x:c r="C444" s="11" t="n">
        <x:v>42</x:v>
      </x:c>
      <x:c r="D444" s="11" t="n">
        <x:v>3.5</x:v>
      </x:c>
      <x:c r="E444" s="11" t="n">
        <x:v>-13.06</x:v>
      </x:c>
      <x:c r="F444" s="11" t="n">
        <x:f>SQRT((C444-C443)^2+(D444-D443)^2+(E444-E443)^2)</x:f>
        <x:v>0.18900000000000006</x:v>
      </x:c>
      <x:c r="G444" s="8" t="str">
        <x:v>Retired</x:v>
      </x:c>
    </x:row>
    <x:row r="445" ht="32" customHeight="1">
      <x:c r="A445" s="8" t="str">
        <x:v>drop:FC1:F5:fan:1:F-WING-H-3</x:v>
      </x:c>
      <x:c r="B445" s="8" t="n">
        <x:v>1</x:v>
      </x:c>
      <x:c r="C445" s="11" t="n">
        <x:v>41.2</x:v>
      </x:c>
      <x:c r="D445" s="11" t="n">
        <x:v>8.766617268041228</x:v>
      </x:c>
      <x:c r="E445" s="11" t="n">
        <x:v>7.36</x:v>
      </x:c>
      <x:c r="F445" s="11" t="n">
        <x:f>0</x:f>
        <x:v>0</x:v>
      </x:c>
      <x:c r="G445" s="8" t="str">
        <x:v>Retired</x:v>
      </x:c>
    </x:row>
    <x:row r="446" ht="32" customHeight="1">
      <x:c r="A446" s="8" t="str">
        <x:v>drop:FC1:F5:fan:1:F-WING-H-3</x:v>
      </x:c>
      <x:c r="B446" s="8" t="n">
        <x:v>2</x:v>
      </x:c>
      <x:c r="C446" s="11" t="n">
        <x:v>41.2</x:v>
      </x:c>
      <x:c r="D446" s="11" t="n">
        <x:v>8.766617268041237</x:v>
      </x:c>
      <x:c r="E446" s="11" t="n">
        <x:v>13.249</x:v>
      </x:c>
      <x:c r="F446" s="11" t="n">
        <x:f>SQRT((C446-C445)^2+(D446-D445)^2+(E446-E445)^2)</x:f>
        <x:v>5.889</x:v>
      </x:c>
      <x:c r="G446" s="8" t="str">
        <x:v>Retired</x:v>
      </x:c>
    </x:row>
    <x:row r="447" ht="32" customHeight="1">
      <x:c r="A447" s="8" t="str">
        <x:v>drop:FC1:F5:fan:1:F-WING-H-3</x:v>
      </x:c>
      <x:c r="B447" s="8" t="n">
        <x:v>3</x:v>
      </x:c>
      <x:c r="C447" s="11" t="n">
        <x:v>41.2</x:v>
      </x:c>
      <x:c r="D447" s="11" t="n">
        <x:v>2.7</x:v>
      </x:c>
      <x:c r="E447" s="11" t="n">
        <x:v>13.249</x:v>
      </x:c>
      <x:c r="F447" s="11" t="n">
        <x:f>SQRT((C447-C446)^2+(D447-D446)^2+(E447-E446)^2)</x:f>
        <x:v>6.066617268041237</x:v>
      </x:c>
      <x:c r="G447" s="8" t="str">
        <x:v>Retired</x:v>
      </x:c>
    </x:row>
    <x:row r="448" ht="32" customHeight="1">
      <x:c r="A448" s="8" t="str">
        <x:v>drop:FC1:F5:fan:1:F-WING-H-3</x:v>
      </x:c>
      <x:c r="B448" s="8" t="n">
        <x:v>4</x:v>
      </x:c>
      <x:c r="C448" s="11" t="n">
        <x:v>41.2</x:v>
      </x:c>
      <x:c r="D448" s="11" t="n">
        <x:v>2.7</x:v>
      </x:c>
      <x:c r="E448" s="11" t="n">
        <x:v>13.06</x:v>
      </x:c>
      <x:c r="F448" s="11" t="n">
        <x:f>SQRT((C448-C447)^2+(D448-D447)^2+(E448-E447)^2)</x:f>
        <x:v>0.18900000000000006</x:v>
      </x:c>
      <x:c r="G448" s="8" t="str">
        <x:v>Retired</x:v>
      </x:c>
    </x:row>
    <x:row r="449" ht="32" customHeight="1">
      <x:c r="A449" s="8" t="str">
        <x:v>drop:FC1:F5:fan:1:F-WING-H-4</x:v>
      </x:c>
      <x:c r="B449" s="8" t="n">
        <x:v>1</x:v>
      </x:c>
      <x:c r="C449" s="11" t="n">
        <x:v>42</x:v>
      </x:c>
      <x:c r="D449" s="11" t="n">
        <x:v>8.122287371134018</x:v>
      </x:c>
      <x:c r="E449" s="11" t="n">
        <x:v>7.36</x:v>
      </x:c>
      <x:c r="F449" s="11" t="n">
        <x:f>0</x:f>
        <x:v>0</x:v>
      </x:c>
      <x:c r="G449" s="8" t="str">
        <x:v>Retired</x:v>
      </x:c>
    </x:row>
    <x:row r="450" ht="32" customHeight="1">
      <x:c r="A450" s="8" t="str">
        <x:v>drop:FC1:F5:fan:1:F-WING-H-4</x:v>
      </x:c>
      <x:c r="B450" s="8" t="n">
        <x:v>2</x:v>
      </x:c>
      <x:c r="C450" s="11" t="n">
        <x:v>42</x:v>
      </x:c>
      <x:c r="D450" s="11" t="n">
        <x:v>8.122287371134023</x:v>
      </x:c>
      <x:c r="E450" s="11" t="n">
        <x:v>13.249</x:v>
      </x:c>
      <x:c r="F450" s="11" t="n">
        <x:f>SQRT((C450-C449)^2+(D450-D449)^2+(E450-E449)^2)</x:f>
        <x:v>5.889</x:v>
      </x:c>
      <x:c r="G450" s="8" t="str">
        <x:v>Retired</x:v>
      </x:c>
    </x:row>
    <x:row r="451" ht="32" customHeight="1">
      <x:c r="A451" s="8" t="str">
        <x:v>drop:FC1:F5:fan:1:F-WING-H-4</x:v>
      </x:c>
      <x:c r="B451" s="8" t="n">
        <x:v>3</x:v>
      </x:c>
      <x:c r="C451" s="11" t="n">
        <x:v>42</x:v>
      </x:c>
      <x:c r="D451" s="11" t="n">
        <x:v>3.5</x:v>
      </x:c>
      <x:c r="E451" s="11" t="n">
        <x:v>13.249</x:v>
      </x:c>
      <x:c r="F451" s="11" t="n">
        <x:f>SQRT((C451-C450)^2+(D451-D450)^2+(E451-E450)^2)</x:f>
        <x:v>4.622287371134023</x:v>
      </x:c>
      <x:c r="G451" s="8" t="str">
        <x:v>Retired</x:v>
      </x:c>
    </x:row>
    <x:row r="452" ht="32" customHeight="1">
      <x:c r="A452" s="8" t="str">
        <x:v>drop:FC1:F5:fan:1:F-WING-H-4</x:v>
      </x:c>
      <x:c r="B452" s="8" t="n">
        <x:v>4</x:v>
      </x:c>
      <x:c r="C452" s="11" t="n">
        <x:v>42</x:v>
      </x:c>
      <x:c r="D452" s="11" t="n">
        <x:v>3.5</x:v>
      </x:c>
      <x:c r="E452" s="11" t="n">
        <x:v>13.06</x:v>
      </x:c>
      <x:c r="F452" s="11" t="n">
        <x:f>SQRT((C452-C451)^2+(D452-D451)^2+(E452-E451)^2)</x:f>
        <x:v>0.18900000000000006</x:v>
      </x:c>
      <x:c r="G452" s="8" t="str">
        <x:v>Retired</x:v>
      </x:c>
    </x:row>
    <x:row r="453" ht="32" customHeight="1">
      <x:c r="A453" s="8" t="str">
        <x:v>drop:FC1:F1:fan:-1:F240</x:v>
      </x:c>
      <x:c r="B453" s="8" t="n">
        <x:v>1</x:v>
      </x:c>
      <x:c r="C453" s="11" t="n">
        <x:v>39.3</x:v>
      </x:c>
      <x:c r="D453" s="11" t="n">
        <x:v>8.24309922680412</x:v>
      </x:c>
      <x:c r="E453" s="11" t="n">
        <x:v>-7.36</x:v>
      </x:c>
      <x:c r="F453" s="11" t="n">
        <x:f>0</x:f>
        <x:v>0</x:v>
      </x:c>
      <x:c r="G453" s="8" t="str">
        <x:v>Retired</x:v>
      </x:c>
    </x:row>
    <x:row r="454" ht="32" customHeight="1">
      <x:c r="A454" s="8" t="str">
        <x:v>drop:FC1:F1:fan:-1:F240</x:v>
      </x:c>
      <x:c r="B454" s="8" t="n">
        <x:v>2</x:v>
      </x:c>
      <x:c r="C454" s="11" t="n">
        <x:v>39.3</x:v>
      </x:c>
      <x:c r="D454" s="11" t="n">
        <x:v>8.24309922680412</x:v>
      </x:c>
      <x:c r="E454" s="11" t="n">
        <x:v>-10.15</x:v>
      </x:c>
      <x:c r="F454" s="11" t="n">
        <x:f>SQRT((C454-C453)^2+(D454-D453)^2+(E454-E453)^2)</x:f>
        <x:v>2.79</x:v>
      </x:c>
      <x:c r="G454" s="8" t="str">
        <x:v>Retired</x:v>
      </x:c>
    </x:row>
    <x:row r="455" ht="32" customHeight="1">
      <x:c r="A455" s="8" t="str">
        <x:v>drop:FC1:F1:fan:-1:F240</x:v>
      </x:c>
      <x:c r="B455" s="8" t="n">
        <x:v>3</x:v>
      </x:c>
      <x:c r="C455" s="11" t="n">
        <x:v>39.3</x:v>
      </x:c>
      <x:c r="D455" s="11" t="n">
        <x:v>3.3</x:v>
      </x:c>
      <x:c r="E455" s="11" t="n">
        <x:v>-10.15</x:v>
      </x:c>
      <x:c r="F455" s="11" t="n">
        <x:f>SQRT((C455-C454)^2+(D455-D454)^2+(E455-E454)^2)</x:f>
        <x:v>4.94309922680412</x:v>
      </x:c>
      <x:c r="G455" s="8" t="str">
        <x:v>Retired</x:v>
      </x:c>
    </x:row>
    <x:row r="456" ht="32" customHeight="1">
      <x:c r="A456" s="8" t="str">
        <x:v>drop:FC1:F1:fan:-1:F241</x:v>
      </x:c>
      <x:c r="B456" s="8" t="n">
        <x:v>1</x:v>
      </x:c>
      <x:c r="C456" s="11" t="n">
        <x:v>41.85</x:v>
      </x:c>
      <x:c r="D456" s="11" t="n">
        <x:v>8.243099226804118</x:v>
      </x:c>
      <x:c r="E456" s="11" t="n">
        <x:v>-7.36</x:v>
      </x:c>
      <x:c r="F456" s="11" t="n">
        <x:f>0</x:f>
        <x:v>0</x:v>
      </x:c>
      <x:c r="G456" s="8" t="str">
        <x:v>Retired</x:v>
      </x:c>
    </x:row>
    <x:row r="457" ht="32" customHeight="1">
      <x:c r="A457" s="8" t="str">
        <x:v>drop:FC1:F1:fan:-1:F241</x:v>
      </x:c>
      <x:c r="B457" s="8" t="n">
        <x:v>2</x:v>
      </x:c>
      <x:c r="C457" s="11" t="n">
        <x:v>41.85</x:v>
      </x:c>
      <x:c r="D457" s="11" t="n">
        <x:v>8.243099226804125</x:v>
      </x:c>
      <x:c r="E457" s="11" t="n">
        <x:v>-10.15</x:v>
      </x:c>
      <x:c r="F457" s="11" t="n">
        <x:f>SQRT((C457-C456)^2+(D457-D456)^2+(E457-E456)^2)</x:f>
        <x:v>2.79</x:v>
      </x:c>
      <x:c r="G457" s="8" t="str">
        <x:v>Retired</x:v>
      </x:c>
    </x:row>
    <x:row r="458" ht="32" customHeight="1">
      <x:c r="A458" s="8" t="str">
        <x:v>drop:FC1:F1:fan:-1:F241</x:v>
      </x:c>
      <x:c r="B458" s="8" t="n">
        <x:v>3</x:v>
      </x:c>
      <x:c r="C458" s="11" t="n">
        <x:v>41.85</x:v>
      </x:c>
      <x:c r="D458" s="11" t="n">
        <x:v>3.3</x:v>
      </x:c>
      <x:c r="E458" s="11" t="n">
        <x:v>-10.15</x:v>
      </x:c>
      <x:c r="F458" s="11" t="n">
        <x:f>SQRT((C458-C457)^2+(D458-D457)^2+(E458-E457)^2)</x:f>
        <x:v>4.943099226804125</x:v>
      </x:c>
      <x:c r="G458" s="8" t="str">
        <x:v>Retired</x:v>
      </x:c>
    </x:row>
    <x:row r="459" ht="32" customHeight="1">
      <x:c r="A459" s="8" t="str">
        <x:v>drop:FC1:F1:fan:1:F242</x:v>
      </x:c>
      <x:c r="B459" s="8" t="n">
        <x:v>1</x:v>
      </x:c>
      <x:c r="C459" s="11" t="n">
        <x:v>39.3</x:v>
      </x:c>
      <x:c r="D459" s="11" t="n">
        <x:v>8.24309922680412</x:v>
      </x:c>
      <x:c r="E459" s="11" t="n">
        <x:v>7.36</x:v>
      </x:c>
      <x:c r="F459" s="11" t="n">
        <x:f>0</x:f>
        <x:v>0</x:v>
      </x:c>
      <x:c r="G459" s="8" t="str">
        <x:v>Retired</x:v>
      </x:c>
    </x:row>
    <x:row r="460" ht="32" customHeight="1">
      <x:c r="A460" s="8" t="str">
        <x:v>drop:FC1:F1:fan:1:F242</x:v>
      </x:c>
      <x:c r="B460" s="8" t="n">
        <x:v>2</x:v>
      </x:c>
      <x:c r="C460" s="11" t="n">
        <x:v>39.3</x:v>
      </x:c>
      <x:c r="D460" s="11" t="n">
        <x:v>8.24309922680412</x:v>
      </x:c>
      <x:c r="E460" s="11" t="n">
        <x:v>10.15</x:v>
      </x:c>
      <x:c r="F460" s="11" t="n">
        <x:f>SQRT((C460-C459)^2+(D460-D459)^2+(E460-E459)^2)</x:f>
        <x:v>2.79</x:v>
      </x:c>
      <x:c r="G460" s="8" t="str">
        <x:v>Retired</x:v>
      </x:c>
    </x:row>
    <x:row r="461" ht="32" customHeight="1">
      <x:c r="A461" s="8" t="str">
        <x:v>drop:FC1:F1:fan:1:F242</x:v>
      </x:c>
      <x:c r="B461" s="8" t="n">
        <x:v>3</x:v>
      </x:c>
      <x:c r="C461" s="11" t="n">
        <x:v>39.3</x:v>
      </x:c>
      <x:c r="D461" s="11" t="n">
        <x:v>3.3</x:v>
      </x:c>
      <x:c r="E461" s="11" t="n">
        <x:v>10.15</x:v>
      </x:c>
      <x:c r="F461" s="11" t="n">
        <x:f>SQRT((C461-C460)^2+(D461-D460)^2+(E461-E460)^2)</x:f>
        <x:v>4.94309922680412</x:v>
      </x:c>
      <x:c r="G461" s="8" t="str">
        <x:v>Retired</x:v>
      </x:c>
    </x:row>
    <x:row r="462" ht="32" customHeight="1">
      <x:c r="A462" s="8" t="str">
        <x:v>drop:FC1:F1:fan:1:F243</x:v>
      </x:c>
      <x:c r="B462" s="8" t="n">
        <x:v>1</x:v>
      </x:c>
      <x:c r="C462" s="11" t="n">
        <x:v>41.85</x:v>
      </x:c>
      <x:c r="D462" s="11" t="n">
        <x:v>8.243099226804118</x:v>
      </x:c>
      <x:c r="E462" s="11" t="n">
        <x:v>7.36</x:v>
      </x:c>
      <x:c r="F462" s="11" t="n">
        <x:f>0</x:f>
        <x:v>0</x:v>
      </x:c>
      <x:c r="G462" s="8" t="str">
        <x:v>Retired</x:v>
      </x:c>
    </x:row>
    <x:row r="463" ht="32" customHeight="1">
      <x:c r="A463" s="8" t="str">
        <x:v>drop:FC1:F1:fan:1:F243</x:v>
      </x:c>
      <x:c r="B463" s="8" t="n">
        <x:v>2</x:v>
      </x:c>
      <x:c r="C463" s="11" t="n">
        <x:v>41.85</x:v>
      </x:c>
      <x:c r="D463" s="11" t="n">
        <x:v>8.243099226804125</x:v>
      </x:c>
      <x:c r="E463" s="11" t="n">
        <x:v>10.15</x:v>
      </x:c>
      <x:c r="F463" s="11" t="n">
        <x:f>SQRT((C463-C462)^2+(D463-D462)^2+(E463-E462)^2)</x:f>
        <x:v>2.79</x:v>
      </x:c>
      <x:c r="G463" s="8" t="str">
        <x:v>Retired</x:v>
      </x:c>
    </x:row>
    <x:row r="464" ht="32" customHeight="1">
      <x:c r="A464" s="8" t="str">
        <x:v>drop:FC1:F1:fan:1:F243</x:v>
      </x:c>
      <x:c r="B464" s="8" t="n">
        <x:v>3</x:v>
      </x:c>
      <x:c r="C464" s="11" t="n">
        <x:v>41.85</x:v>
      </x:c>
      <x:c r="D464" s="11" t="n">
        <x:v>3.3</x:v>
      </x:c>
      <x:c r="E464" s="11" t="n">
        <x:v>10.15</x:v>
      </x:c>
      <x:c r="F464" s="11" t="n">
        <x:f>SQRT((C464-C463)^2+(D464-D463)^2+(E464-E463)^2)</x:f>
        <x:v>4.943099226804125</x:v>
      </x:c>
      <x:c r="G464" s="8" t="str">
        <x:v>Retired</x:v>
      </x:c>
    </x:row>
  </x:sheetData>
  <x:conditionalFormatting sqref="G7:G464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1a31eaa0cdeb46b5"/>
  </x:tableParts>
</x:worksheet>
</file>