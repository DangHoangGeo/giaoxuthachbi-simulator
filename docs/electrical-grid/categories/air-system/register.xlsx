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2d61798c6540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cf2e96442ff4527"/>
    <x:sheet xmlns:r="http://schemas.openxmlformats.org/officeDocument/2006/relationships" name="Equipment" sheetId="2" r:id="R3f0090f1fcc24023"/>
    <x:sheet xmlns:r="http://schemas.openxmlformats.org/officeDocument/2006/relationships" name="Electrical Lines" sheetId="3" r:id="R628374fe465843cf"/>
    <x:sheet xmlns:r="http://schemas.openxmlformats.org/officeDocument/2006/relationships" name="Route Points" sheetId="4" r:id="Rcc8ab1d9fbbc4d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4730dc8357477c" /><Relationship Type="http://schemas.openxmlformats.org/officeDocument/2006/relationships/theme" Target="/xl/theme/theme1.xml" Id="R752f276daa814e37" /><Relationship Type="http://schemas.openxmlformats.org/officeDocument/2006/relationships/sharedStrings" Target="/xl/sharedStrings.xml" Id="Rf9e344bcf6b945c5" /><Relationship Type="http://schemas.openxmlformats.org/officeDocument/2006/relationships/worksheet" Target="/xl/worksheets/sheet1.xml" Id="R3cf2e96442ff4527" /><Relationship Type="http://schemas.openxmlformats.org/officeDocument/2006/relationships/worksheet" Target="/xl/worksheets/sheet2.xml" Id="R3f0090f1fcc24023" /><Relationship Type="http://schemas.openxmlformats.org/officeDocument/2006/relationships/worksheet" Target="/xl/worksheets/sheet3.xml" Id="R628374fe465843cf" /><Relationship Type="http://schemas.openxmlformats.org/officeDocument/2006/relationships/worksheet" Target="/xl/worksheets/sheet4.xml" Id="Rcc8ab1d9fbbc4d6b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7da132423194fd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e77e97b8c71426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7236972b87c4ae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2026-11-01T00:50:08.502Z.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b59c831ec1c00c49183c1e83c86ee8d801e0152690935057f3be6f551a8b788b</x:v>
      </x:c>
    </x:row>
    <x:row r="15" ht="44" customHeight="1">
      <x:c r="A15" s="20" t="str">
        <x:v>Source systems SHA-256</x:v>
      </x:c>
      <x:c r="B15" s="16" t="str">
        <x:v>2a343075b78e07a39b50033e252aeaec71194df376aa048789dba03e95d6e972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4.1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4.1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4.1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4.1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4.1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4.1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5.4799999999999995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5.4799999999999995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4.1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4.1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4.1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4.1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4.1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4.1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4.1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4.1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4.1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4.1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7da132423194fd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2.202000000000001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2.202000000000001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2.202000000000001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2.202000000000001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2.202000000000001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2.202000000000001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2.202000000000001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2.202000000000001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2.202000000000001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2.202000000000001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2.202000000000001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2.202000000000001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2.202000000000001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2.202000000000001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2.202000000000001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2.202000000000001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29.622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17.218000000000004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Proposed underfloor return; this location needs a concealed local riser / connection design.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14.902000000000001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17.218000000000004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Proposed underfloor return; this location needs a concealed local riser / connection design.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77e97b8c71426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4.1</x:v>
      </x:c>
      <x:c r="E214" s="11" t="n">
        <x:v>-7.36</x:v>
      </x:c>
      <x:c r="F214" s="11" t="n">
        <x:f>SQRT((C214-C213)^2+(D214-D213)^2+(E214-E213)^2)</x:f>
        <x:v>1.9120000000000008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4.1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4.1</x:v>
      </x:c>
      <x:c r="E217" s="11" t="n">
        <x:v>-7.36</x:v>
      </x:c>
      <x:c r="F217" s="11" t="n">
        <x:f>SQRT((C217-C216)^2+(D217-D216)^2+(E217-E216)^2)</x:f>
        <x:v>1.9120000000000008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4.1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4.1</x:v>
      </x:c>
      <x:c r="E220" s="11" t="n">
        <x:v>-7.36</x:v>
      </x:c>
      <x:c r="F220" s="11" t="n">
        <x:f>SQRT((C220-C219)^2+(D220-D219)^2+(E220-E219)^2)</x:f>
        <x:v>1.9120000000000008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4.1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4.1</x:v>
      </x:c>
      <x:c r="E223" s="11" t="n">
        <x:v>-7.36</x:v>
      </x:c>
      <x:c r="F223" s="11" t="n">
        <x:f>SQRT((C223-C222)^2+(D223-D222)^2+(E223-E222)^2)</x:f>
        <x:v>1.9120000000000008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4.1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4.1</x:v>
      </x:c>
      <x:c r="E226" s="11" t="n">
        <x:v>-7.36</x:v>
      </x:c>
      <x:c r="F226" s="11" t="n">
        <x:f>SQRT((C226-C225)^2+(D226-D225)^2+(E226-E225)^2)</x:f>
        <x:v>1.9120000000000008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4.1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4.1</x:v>
      </x:c>
      <x:c r="E229" s="11" t="n">
        <x:v>-7.36</x:v>
      </x:c>
      <x:c r="F229" s="11" t="n">
        <x:f>SQRT((C229-C228)^2+(D229-D228)^2+(E229-E228)^2)</x:f>
        <x:v>1.9120000000000008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4.1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4.1</x:v>
      </x:c>
      <x:c r="E232" s="11" t="n">
        <x:v>-7.36</x:v>
      </x:c>
      <x:c r="F232" s="11" t="n">
        <x:f>SQRT((C232-C231)^2+(D232-D231)^2+(E232-E231)^2)</x:f>
        <x:v>1.9120000000000008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4.1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4.1</x:v>
      </x:c>
      <x:c r="E235" s="11" t="n">
        <x:v>-7.36</x:v>
      </x:c>
      <x:c r="F235" s="11" t="n">
        <x:f>SQRT((C235-C234)^2+(D235-D234)^2+(E235-E234)^2)</x:f>
        <x:v>1.9120000000000008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4.1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4.1</x:v>
      </x:c>
      <x:c r="E256" s="11" t="n">
        <x:v>7.36</x:v>
      </x:c>
      <x:c r="F256" s="11" t="n">
        <x:f>SQRT((C256-C255)^2+(D256-D255)^2+(E256-E255)^2)</x:f>
        <x:v>1.9120000000000008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4.1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4.1</x:v>
      </x:c>
      <x:c r="E259" s="11" t="n">
        <x:v>7.36</x:v>
      </x:c>
      <x:c r="F259" s="11" t="n">
        <x:f>SQRT((C259-C258)^2+(D259-D258)^2+(E259-E258)^2)</x:f>
        <x:v>1.9120000000000008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4.1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4.1</x:v>
      </x:c>
      <x:c r="E262" s="11" t="n">
        <x:v>7.36</x:v>
      </x:c>
      <x:c r="F262" s="11" t="n">
        <x:f>SQRT((C262-C261)^2+(D262-D261)^2+(E262-E261)^2)</x:f>
        <x:v>1.9120000000000008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4.1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4.1</x:v>
      </x:c>
      <x:c r="E265" s="11" t="n">
        <x:v>7.36</x:v>
      </x:c>
      <x:c r="F265" s="11" t="n">
        <x:f>SQRT((C265-C264)^2+(D265-D264)^2+(E265-E264)^2)</x:f>
        <x:v>1.9120000000000008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4.1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4.1</x:v>
      </x:c>
      <x:c r="E268" s="11" t="n">
        <x:v>7.36</x:v>
      </x:c>
      <x:c r="F268" s="11" t="n">
        <x:f>SQRT((C268-C267)^2+(D268-D267)^2+(E268-E267)^2)</x:f>
        <x:v>1.9120000000000008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4.1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4.1</x:v>
      </x:c>
      <x:c r="E271" s="11" t="n">
        <x:v>7.36</x:v>
      </x:c>
      <x:c r="F271" s="11" t="n">
        <x:f>SQRT((C271-C270)^2+(D271-D270)^2+(E271-E270)^2)</x:f>
        <x:v>1.9120000000000008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4.1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4.1</x:v>
      </x:c>
      <x:c r="E274" s="11" t="n">
        <x:v>7.36</x:v>
      </x:c>
      <x:c r="F274" s="11" t="n">
        <x:f>SQRT((C274-C273)^2+(D274-D273)^2+(E274-E273)^2)</x:f>
        <x:v>1.9120000000000008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4.1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4.1</x:v>
      </x:c>
      <x:c r="E277" s="11" t="n">
        <x:v>7.36</x:v>
      </x:c>
      <x:c r="F277" s="11" t="n">
        <x:f>SQRT((C277-C276)^2+(D277-D276)^2+(E277-E276)^2)</x:f>
        <x:v>1.9120000000000008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4.1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0.24</x:v>
      </x:c>
      <x:c r="D279" s="11" t="n">
        <x:v>1.5</x:v>
      </x:c>
      <x:c r="E279" s="11" t="n">
        <x:v>9.25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9.25</x:v>
      </x:c>
      <x:c r="F280" s="11" t="n">
        <x:f>SQRT((C280-C279)^2+(D280-D279)^2+(E280-E279)^2)</x:f>
        <x:v>2.1100000000000003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9.25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16.61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5.475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3.1249999999999996</x:v>
      </x:c>
      <x:c r="G284" s="8" t="str">
        <x:v>Current</x:v>
      </x:c>
    </x:row>
    <x:row r="285" ht="32" customHeight="1">
      <x:c r="A285" s="8" t="str">
        <x:v>trunk:DB2:F4:fan:-1</x:v>
      </x:c>
      <x:c r="B285" s="8" t="n">
        <x:v>7</x:v>
      </x:c>
      <x:c r="C285" s="11" t="n">
        <x:v>5.4799999999999995</x:v>
      </x:c>
      <x:c r="D285" s="11" t="n">
        <x:v>6.0280000000000005</x:v>
      </x:c>
      <x:c r="E285" s="11" t="n">
        <x:v>-7.36</x:v>
      </x:c>
      <x:c r="F285" s="11" t="n">
        <x:f>SQRT((C285-C284)^2+(D285-D284)^2+(E285-E284)^2)</x:f>
        <x:v>0.004999999999999893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1</x:v>
      </x:c>
      <x:c r="C286" s="11" t="n">
        <x:v>5.4799999999999995</x:v>
      </x:c>
      <x:c r="D286" s="11" t="n">
        <x:v>6.0280000000000005</x:v>
      </x:c>
      <x:c r="E286" s="11" t="n">
        <x:v>-7.36</x:v>
      </x:c>
      <x:c r="F286" s="11" t="n">
        <x:f>0</x:f>
        <x:v>0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2</x:v>
      </x:c>
      <x:c r="C287" s="11" t="n">
        <x:v>5.4799999999999995</x:v>
      </x:c>
      <x:c r="D287" s="11" t="n">
        <x:v>-0.44</x:v>
      </x:c>
      <x:c r="E287" s="11" t="n">
        <x:v>-7.36</x:v>
      </x:c>
      <x:c r="F287" s="11" t="n">
        <x:f>SQRT((C287-C286)^2+(D287-D286)^2+(E287-E286)^2)</x:f>
        <x:v>6.468000000000001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3</x:v>
      </x:c>
      <x:c r="C288" s="11" t="n">
        <x:v>5.4799999999999995</x:v>
      </x:c>
      <x:c r="D288" s="11" t="n">
        <x:v>-0.44</x:v>
      </x:c>
      <x:c r="E288" s="11" t="n">
        <x:v>-3.05</x:v>
      </x:c>
      <x:c r="F288" s="11" t="n">
        <x:f>SQRT((C288-C287)^2+(D288-D287)^2+(E288-E287)^2)</x:f>
        <x:v>4.3100000000000005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4</x:v>
      </x:c>
      <x:c r="C289" s="11" t="n">
        <x:v>5.4799999999999995</x:v>
      </x:c>
      <x:c r="D289" s="11" t="n">
        <x:v>6</x:v>
      </x:c>
      <x:c r="E289" s="11" t="n">
        <x:v>-3.05</x:v>
      </x:c>
      <x:c r="F289" s="11" t="n">
        <x:f>SQRT((C289-C288)^2+(D289-D288)^2+(E289-E288)^2)</x:f>
        <x:v>6.44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0.24</x:v>
      </x:c>
      <x:c r="D290" s="11" t="n">
        <x:v>1.5</x:v>
      </x:c>
      <x:c r="E290" s="11" t="n">
        <x:v>9.25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9.25</x:v>
      </x:c>
      <x:c r="F291" s="11" t="n">
        <x:f>SQRT((C291-C290)^2+(D291-D290)^2+(E291-E290)^2)</x:f>
        <x:v>2.1100000000000003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9.25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1.8899999999999997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5.475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3.1249999999999996</x:v>
      </x:c>
      <x:c r="G295" s="8" t="str">
        <x:v>Current</x:v>
      </x:c>
    </x:row>
    <x:row r="296" ht="32" customHeight="1">
      <x:c r="A296" s="8" t="str">
        <x:v>trunk:DB2:F4:fan:1</x:v>
      </x:c>
      <x:c r="B296" s="8" t="n">
        <x:v>7</x:v>
      </x:c>
      <x:c r="C296" s="11" t="n">
        <x:v>5.4799999999999995</x:v>
      </x:c>
      <x:c r="D296" s="11" t="n">
        <x:v>6.0280000000000005</x:v>
      </x:c>
      <x:c r="E296" s="11" t="n">
        <x:v>7.36</x:v>
      </x:c>
      <x:c r="F296" s="11" t="n">
        <x:f>SQRT((C296-C295)^2+(D296-D295)^2+(E296-E295)^2)</x:f>
        <x:v>0.004999999999999893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1</x:v>
      </x:c>
      <x:c r="C297" s="11" t="n">
        <x:v>5.4799999999999995</x:v>
      </x:c>
      <x:c r="D297" s="11" t="n">
        <x:v>6.0280000000000005</x:v>
      </x:c>
      <x:c r="E297" s="11" t="n">
        <x:v>7.36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2</x:v>
      </x:c>
      <x:c r="C298" s="11" t="n">
        <x:v>5.4799999999999995</x:v>
      </x:c>
      <x:c r="D298" s="11" t="n">
        <x:v>-0.44</x:v>
      </x:c>
      <x:c r="E298" s="11" t="n">
        <x:v>7.36</x:v>
      </x:c>
      <x:c r="F298" s="11" t="n">
        <x:f>SQRT((C298-C297)^2+(D298-D297)^2+(E298-E297)^2)</x:f>
        <x:v>6.468000000000001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3</x:v>
      </x:c>
      <x:c r="C299" s="11" t="n">
        <x:v>5.4799999999999995</x:v>
      </x:c>
      <x:c r="D299" s="11" t="n">
        <x:v>-0.44</x:v>
      </x:c>
      <x:c r="E299" s="11" t="n">
        <x:v>3.05</x:v>
      </x:c>
      <x:c r="F299" s="11" t="n">
        <x:f>SQRT((C299-C298)^2+(D299-D298)^2+(E299-E298)^2)</x:f>
        <x:v>4.3100000000000005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4</x:v>
      </x:c>
      <x:c r="C300" s="11" t="n">
        <x:v>5.4799999999999995</x:v>
      </x:c>
      <x:c r="D300" s="11" t="n">
        <x:v>6</x:v>
      </x:c>
      <x:c r="E300" s="11" t="n">
        <x:v>3.05</x:v>
      </x:c>
      <x:c r="F300" s="11" t="n">
        <x:f>SQRT((C300-C299)^2+(D300-D299)^2+(E300-E299)^2)</x:f>
        <x:v>6.44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77236972b87c4aec"/>
  </x:tableParts>
</x:worksheet>
</file>