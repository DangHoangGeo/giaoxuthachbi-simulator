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08ed7e284045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af61b3448834429b"/>
    <x:sheet xmlns:r="http://schemas.openxmlformats.org/officeDocument/2006/relationships" name="Equipment" sheetId="2" r:id="R0fe162bbbc2e4524"/>
    <x:sheet xmlns:r="http://schemas.openxmlformats.org/officeDocument/2006/relationships" name="Electrical Lines" sheetId="3" r:id="R2e8d650c5c004be2"/>
    <x:sheet xmlns:r="http://schemas.openxmlformats.org/officeDocument/2006/relationships" name="Route Points" sheetId="4" r:id="R7412326e0e9747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6152a8886642ea" /><Relationship Type="http://schemas.openxmlformats.org/officeDocument/2006/relationships/theme" Target="/xl/theme/theme1.xml" Id="Ra46b5c31dce2489a" /><Relationship Type="http://schemas.openxmlformats.org/officeDocument/2006/relationships/sharedStrings" Target="/xl/sharedStrings.xml" Id="R0add79588b204387" /><Relationship Type="http://schemas.openxmlformats.org/officeDocument/2006/relationships/worksheet" Target="/xl/worksheets/sheet1.xml" Id="Raf61b3448834429b" /><Relationship Type="http://schemas.openxmlformats.org/officeDocument/2006/relationships/worksheet" Target="/xl/worksheets/sheet2.xml" Id="R0fe162bbbc2e4524" /><Relationship Type="http://schemas.openxmlformats.org/officeDocument/2006/relationships/worksheet" Target="/xl/worksheets/sheet3.xml" Id="R2e8d650c5c004be2" /><Relationship Type="http://schemas.openxmlformats.org/officeDocument/2006/relationships/worksheet" Target="/xl/worksheets/sheet4.xml" Id="R7412326e0e974738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69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8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42b3964590c4e6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b36d42326234c6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bf46bcb5dfa48b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2026-10-09T03:17:36.119Z.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Lines'!$Y$7:$Y$69,"Current")</x:f>
        <x:v>55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Lines'!$Y$7:$Y$69,"Retired")</x:f>
        <x:v>12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f58ecb8c7e66db5f5a9c359a0501f9a7ff3253b9cb9664b76918bdc2f036e05a</x:v>
      </x:c>
    </x:row>
    <x:row r="15" ht="44" customHeight="1">
      <x:c r="A15" s="20" t="str">
        <x:v>Source systems SHA-256</x:v>
      </x:c>
      <x:c r="B15" s="16" t="str">
        <x:v>1646f19d4f8b80070625f5fb407f54d11abbea5d7ecb7c88a4a2534f18542306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3.9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3.9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3.9</x:v>
      </x:c>
      <x:c r="H9" s="11" t="n">
        <x:v>-4.4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{"dim":1,"speed":2,"anchorY":9.028413043478261,"note":"Long downrod from a purlin bracket with an anti-sway restraint;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3.9</x:v>
      </x:c>
      <x:c r="H10" s="11" t="n">
        <x:v>4.4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{"dim":1,"speed":2,"anchorY":9.028413043478261,"note":"Long downrod from a purlin bracket with an anti-sway restraint;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3.9</x:v>
      </x:c>
      <x:c r="H11" s="11" t="n">
        <x:v>-4.4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{"dim":1,"speed":2,"anchorY":9.028413043478261,"note":"Long downrod from a purlin bracket with an anti-sway restraint;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3.9</x:v>
      </x:c>
      <x:c r="H12" s="11" t="n">
        <x:v>4.4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{"dim":1,"speed":2,"anchorY":9.028413043478261,"note":"Long downrod from a purlin bracket with an anti-sway restraint;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3.9</x:v>
      </x:c>
      <x:c r="H13" s="11" t="n">
        <x:v>-4.4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{"dim":1,"speed":2,"anchorY":9.028413043478261,"note":"Long downrod from a purlin bracket with an anti-sway restraint;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3.9</x:v>
      </x:c>
      <x:c r="H14" s="11" t="n">
        <x:v>4.4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{"dim":1,"speed":2,"anchorY":9.028413043478261,"note":"Long downrod from a purlin bracket with an anti-sway restraint;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3.9</x:v>
      </x:c>
      <x:c r="H15" s="11" t="n">
        <x:v>-4.4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{"dim":1,"speed":2,"anchorY":9.028413043478261,"note":"Long downrod from a purlin bracket with an anti-sway restraint;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3.9</x:v>
      </x:c>
      <x:c r="H16" s="11" t="n">
        <x:v>4.4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{"dim":1,"speed":2,"anchorY":9.028413043478261,"note":"Long downrod from a purlin bracket with an anti-sway restraint;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3.9</x:v>
      </x:c>
      <x:c r="H17" s="11" t="n">
        <x:v>-4.4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{"dim":1,"speed":2,"anchorY":9.028413043478261,"note":"Long downrod from a purlin bracket with an anti-sway restraint;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3.9</x:v>
      </x:c>
      <x:c r="H18" s="11" t="n">
        <x:v>4.4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{"dim":1,"speed":2,"anchorY":9.028413043478261,"note":"Long downrod from a purlin bracket with an anti-sway restraint;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3.9</x:v>
      </x:c>
      <x:c r="H19" s="11" t="n">
        <x:v>-4.4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{"dim":1,"speed":2,"anchorY":9.028413043478261,"note":"Long downrod from a purlin bracket with an anti-sway restraint;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3.9</x:v>
      </x:c>
      <x:c r="H20" s="11" t="n">
        <x:v>4.4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{"dim":1,"speed":2,"anchorY":9.028413043478261,"note":"Long downrod from a purlin bracket with an anti-sway restraint;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5.55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5.55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5.55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5.55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5.55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5.55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V1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drop:FC1:V1:fan:-1:F256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V1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drop:FC1:V1:fan:-1:F257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V1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drop:FC1:V1:fan:1:F258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V1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drop:FC1:V1:fan:1:F259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V1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drop:FC1:V1:fan:-1:F260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5.55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5.55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5.55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5.55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5.55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5.55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5.55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5.55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5.55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5.55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42b3964590c4e6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Points'!$A$7:$A$384,A7,'Route Points'!$F$7:$F$384)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Points'!$A$7:$A$384,A8,'Route Points'!$F$7:$F$384)</x:f>
        <x:v>11.286909264308505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Points'!$A$7:$A$384,A9,'Route Points'!$F$7:$F$384)</x:f>
        <x:v>11.286909264308505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 / covered soffit route at wings and verandas; cable continues inside the existing pendant stem. Roof build-up, supports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Points'!$A$7:$A$384,A10,'Route Points'!$F$7:$F$384)</x:f>
        <x:v>11.276909264308502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 / covered soffit route at wings and verandas; cable continues inside the existing pendant stem. Roof build-up, supports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Points'!$A$7:$A$384,A11,'Route Points'!$F$7:$F$384)</x:f>
        <x:v>11.286909264308504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 / covered soffit route at wings and verandas; cable continues inside the existing pendant stem. Roof build-up, supports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Points'!$A$7:$A$384,A12,'Route Points'!$F$7:$F$384)</x:f>
        <x:v>11.286909264308504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 / covered soffit route at wings and verandas; cable continues inside the existing pendant stem. Roof build-up, supports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Points'!$A$7:$A$384,A13,'Route Points'!$F$7:$F$384)</x:f>
        <x:v>11.286909264308504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 / covered soffit route at wings and verandas; cable continues inside the existing pendant stem. Roof build-up, supports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Points'!$A$7:$A$384,A14,'Route Points'!$F$7:$F$384)</x:f>
        <x:v>11.276909264308506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 / covered soffit route at wings and verandas; cable continues inside the existing pendant stem. Roof build-up, supports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Points'!$A$7:$A$384,A15,'Route Points'!$F$7:$F$384)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Points'!$A$7:$A$384,A16,'Route Points'!$F$7:$F$384)</x:f>
        <x:v>11.286909264308505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Points'!$A$7:$A$384,A17,'Route Points'!$F$7:$F$384)</x:f>
        <x:v>11.286909264308505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 / covered soffit route at wings and verandas; cable continues inside the existing pendant stem. Roof build-up, supports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Points'!$A$7:$A$384,A18,'Route Points'!$F$7:$F$384)</x:f>
        <x:v>11.276909264308502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 / covered soffit route at wings and verandas; cable continues inside the existing pendant stem. Roof build-up, supports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Points'!$A$7:$A$384,A19,'Route Points'!$F$7:$F$384)</x:f>
        <x:v>11.286909264308504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 / covered soffit route at wings and verandas; cable continues inside the existing pendant stem. Roof build-up, supports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Points'!$A$7:$A$384,A20,'Route Points'!$F$7:$F$384)</x:f>
        <x:v>11.286909264308504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 / covered soffit route at wings and verandas; cable continues inside the existing pendant stem. Roof build-up, supports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Points'!$A$7:$A$384,A21,'Route Points'!$F$7:$F$384)</x:f>
        <x:v>11.286909264308504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 / covered soffit route at wings and verandas; cable continues inside the existing pendant stem. Roof build-up, supports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Points'!$A$7:$A$384,A22,'Route Points'!$F$7:$F$384)</x:f>
        <x:v>11.276909264308506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 / covered soffit route at wings and verandas; cable continues inside the existing pendant stem. Roof build-up, supports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Points'!$A$7:$A$384,A23,'Route Points'!$F$7:$F$384)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Points'!$A$7:$A$384,A24,'Route Points'!$F$7:$F$384)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Points'!$A$7:$A$384,A25,'Route Points'!$F$7:$F$384)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Points'!$A$7:$A$384,A26,'Route Points'!$F$7:$F$384)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Points'!$A$7:$A$384,A27,'Route Points'!$F$7:$F$384)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Points'!$A$7:$A$384,A28,'Route Points'!$F$7:$F$384)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Points'!$A$7:$A$384,A29,'Route Points'!$F$7:$F$384)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Points'!$A$7:$A$384,A30,'Route Points'!$F$7:$F$384)</x:f>
        <x:v>0.7520000000000007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Points'!$A$7:$A$384,A31,'Route Points'!$F$7:$F$384)</x:f>
        <x:v>0.7520000000000007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Points'!$A$7:$A$384,A32,'Route Points'!$F$7:$F$384)</x:f>
        <x:v>0.7520000000000007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Points'!$A$7:$A$384,A33,'Route Points'!$F$7:$F$384)</x:f>
        <x:v>0.7520000000000007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Points'!$A$7:$A$384,A34,'Route Points'!$F$7:$F$384)</x:f>
        <x:v>0.7520000000000007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Points'!$A$7:$A$384,A35,'Route Points'!$F$7:$F$384)</x:f>
        <x:v>0.7520000000000007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Points'!$A$7:$A$384,A36,'Route Points'!$F$7:$F$384)</x:f>
        <x:v>0.7520000000000007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Points'!$A$7:$A$384,A37,'Route Points'!$F$7:$F$384)</x:f>
        <x:v>0.7520000000000007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Points'!$A$7:$A$384,A38,'Route Points'!$F$7:$F$384)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Points'!$A$7:$A$384,A39,'Route Points'!$F$7:$F$384)</x:f>
        <x:v>0.7520000000000007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Points'!$A$7:$A$384,A40,'Route Points'!$F$7:$F$384)</x:f>
        <x:v>0.7520000000000007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Points'!$A$7:$A$384,A41,'Route Points'!$F$7:$F$384)</x:f>
        <x:v>0.7520000000000007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Points'!$A$7:$A$384,A42,'Route Points'!$F$7:$F$384)</x:f>
        <x:v>0.7520000000000007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Points'!$A$7:$A$384,A43,'Route Points'!$F$7:$F$384)</x:f>
        <x:v>0.7520000000000007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Points'!$A$7:$A$384,A44,'Route Points'!$F$7:$F$384)</x:f>
        <x:v>0.7520000000000007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Points'!$A$7:$A$384,A45,'Route Points'!$F$7:$F$384)</x:f>
        <x:v>0.7520000000000007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Points'!$A$7:$A$384,A46,'Route Points'!$F$7:$F$384)</x:f>
        <x:v>0.7520000000000007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Points'!$A$7:$A$384,A47,'Route Points'!$F$7:$F$384)</x:f>
        <x:v>12.517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Points'!$A$7:$A$384,A48,'Route Points'!$F$7:$F$384)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Points'!$A$7:$A$384,A49,'Route Points'!$F$7:$F$384)</x:f>
        <x:v>19.117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Points'!$A$7:$A$384,A50,'Route Points'!$F$7:$F$384)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
F256
F257
F260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Points'!$A$7:$A$384,A51,'Route Points'!$F$7:$F$384)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Points'!$A$7:$A$384,A52,'Route Points'!$F$7:$F$384)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Points'!$A$7:$A$384,A53,'Route Points'!$F$7:$F$384)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drop:FC1:V1:fan:-1:F256</x:v>
      </x:c>
      <x:c r="B54" s="8" t="str">
        <x:v>V1 → Exhaust fan · wing gable B · front</x:v>
      </x:c>
      <x:c r="C54" s="8" t="str">
        <x:v>FC1</x:v>
      </x:c>
      <x:c r="D54" s="8" t="str">
        <x:v>F256</x:v>
      </x:c>
      <x:c r="E54" s="8" t="str">
        <x:v>DB1</x:v>
      </x:c>
      <x:c r="F54" s="8" t="str">
        <x:v>V1</x:v>
      </x:c>
      <x:c r="G54" s="8" t="str">
        <x:v>fan</x:v>
      </x:c>
      <x:c r="H54" s="8" t="str">
        <x:v>drop</x:v>
      </x:c>
      <x:c r="I54" s="11" t="n">
        <x:f>SUMIF('Route Points'!$A$7:$A$384,A54,'Route Points'!$F$7:$F$384)</x:f>
        <x:v>6.973264175257731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Covered roof-soffit crossing into outer arcade / wing-gable wall, then concealed pier drop. No exposed crossing at equipment height.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trunk:FC1:V1:fan:-1</x:v>
      </x:c>
    </x:row>
    <x:row r="55" ht="90" customHeight="1">
      <x:c r="A55" s="8" t="str">
        <x:v>drop:FC1:V1:fan:-1:F257</x:v>
      </x:c>
      <x:c r="B55" s="8" t="str">
        <x:v>V1 → Exhaust fan · wing gable B · rear</x:v>
      </x:c>
      <x:c r="C55" s="8" t="str">
        <x:v>FC1</x:v>
      </x:c>
      <x:c r="D55" s="8" t="str">
        <x:v>F257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Points'!$A$7:$A$384,A55,'Route Points'!$F$7:$F$384)</x:f>
        <x:v>6.973264175257731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Covered roof-soffit crossing into outer arcade / wing-gable wall, then concealed pier drop. No exposed crossing at equipment height.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trunk:FC1:V1:fan:-1</x:v>
      </x:c>
    </x:row>
    <x:row r="56" ht="90" customHeight="1">
      <x:c r="A56" s="8" t="str">
        <x:v>drop:FC1:V1:fan:-1:F260</x:v>
      </x:c>
      <x:c r="B56" s="8" t="str">
        <x:v>V1 → Exhaust fan · service room</x:v>
      </x:c>
      <x:c r="C56" s="8" t="str">
        <x:v>FC1</x:v>
      </x:c>
      <x:c r="D56" s="8" t="str">
        <x:v>F260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Points'!$A$7:$A$384,A56,'Route Points'!$F$7:$F$384)</x:f>
        <x:v>10.2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Rear-wall band and local termination; gable / weatherproof entry details pending.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trunk:FC1:V1:fan:-1</x:v>
      </x:c>
    </x:row>
    <x:row r="57" ht="90" customHeight="1">
      <x:c r="A57" s="8" t="str">
        <x:v>trunk:FC1:V1:fan:1</x:v>
      </x:c>
      <x:c r="B57" s="8" t="str">
        <x:v>V1 · H · circuit trunk</x:v>
      </x:c>
      <x:c r="C57" s="8" t="str">
        <x:v>FC1</x:v>
      </x:c>
      <x:c r="D57" s="8" t="str">
        <x:v>F254
F255
F258
F259</x:v>
      </x:c>
      <x:c r="E57" s="8" t="str">
        <x:v>DB1</x:v>
      </x:c>
      <x:c r="F57" s="8" t="str">
        <x:v>V1</x:v>
      </x:c>
      <x:c r="G57" s="8" t="str">
        <x:v>fan</x:v>
      </x:c>
      <x:c r="H57" s="8" t="str">
        <x:v>trunk</x:v>
      </x:c>
      <x:c r="I57" s="11" t="n">
        <x:f>SUMIF('Route Points'!$A$7:$A$384,A57,'Route Points'!$F$7:$F$384)</x:f>
        <x:v>74.14713031117918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drop:FC1:V1:fan:1:F254</x:v>
      </x:c>
      <x:c r="B58" s="8" t="str">
        <x:v>V1 → Exhaust fan · front gable · H inner</x:v>
      </x:c>
      <x:c r="C58" s="8" t="str">
        <x:v>FC1</x:v>
      </x:c>
      <x:c r="D58" s="8" t="str">
        <x:v>F254</x:v>
      </x:c>
      <x:c r="E58" s="8" t="str">
        <x:v>DB1</x:v>
      </x:c>
      <x:c r="F58" s="8" t="str">
        <x:v>V1</x:v>
      </x:c>
      <x:c r="G58" s="8" t="str">
        <x:v>fan</x:v>
      </x:c>
      <x:c r="H58" s="8" t="str">
        <x:v>drop</x:v>
      </x:c>
      <x:c r="I58" s="11" t="n">
        <x:f>SUMIF('Route Points'!$A$7:$A$384,A58,'Route Points'!$F$7:$F$384)</x:f>
        <x:v>11.831150261440472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Above roof lining to solid front gable above terrace; local fan connection.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trunk:FC1:V1:fan:1</x:v>
      </x:c>
    </x:row>
    <x:row r="59" ht="90" customHeight="1">
      <x:c r="A59" s="8" t="str">
        <x:v>drop:FC1:V1:fan:1:F255</x:v>
      </x:c>
      <x:c r="B59" s="8" t="str">
        <x:v>V1 → Exhaust fan · front gable · H outer</x:v>
      </x:c>
      <x:c r="C59" s="8" t="str">
        <x:v>FC1</x:v>
      </x:c>
      <x:c r="D59" s="8" t="str">
        <x:v>F255</x:v>
      </x:c>
      <x:c r="E59" s="8" t="str">
        <x:v>DB1</x:v>
      </x:c>
      <x:c r="F59" s="8" t="str">
        <x:v>V1</x:v>
      </x:c>
      <x:c r="G59" s="8" t="str">
        <x:v>fan</x:v>
      </x:c>
      <x:c r="H59" s="8" t="str">
        <x:v>drop</x:v>
      </x:c>
      <x:c r="I59" s="11" t="n">
        <x:f>SUMIF('Route Points'!$A$7:$A$384,A59,'Route Points'!$F$7:$F$384)</x:f>
        <x:v>8.69282092938182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roof lining to solid front gable above terrace; local fan connection.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trunk:FC1:V1:fan:1</x:v>
      </x:c>
    </x:row>
    <x:row r="60" ht="90" customHeight="1">
      <x:c r="A60" s="8" t="str">
        <x:v>drop:FC1:V1:fan:1:F258</x:v>
      </x:c>
      <x:c r="B60" s="8" t="str">
        <x:v>V1 → Exhaust fan · wing gable H · front</x:v>
      </x:c>
      <x:c r="C60" s="8" t="str">
        <x:v>FC1</x:v>
      </x:c>
      <x:c r="D60" s="8" t="str">
        <x:v>F258</x:v>
      </x:c>
      <x:c r="E60" s="8" t="str">
        <x:v>DB1</x:v>
      </x:c>
      <x:c r="F60" s="8" t="str">
        <x:v>V1</x:v>
      </x:c>
      <x:c r="G60" s="8" t="str">
        <x:v>fan</x:v>
      </x:c>
      <x:c r="H60" s="8" t="str">
        <x:v>drop</x:v>
      </x:c>
      <x:c r="I60" s="11" t="n">
        <x:f>SUMIF('Route Points'!$A$7:$A$384,A60,'Route Points'!$F$7:$F$384)</x:f>
        <x:v>6.973264175257731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Covered roof-soffit crossing into outer arcade / wing-gable wall, then concealed pier drop. No exposed crossing at equipment height.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trunk:FC1:V1:fan:1</x:v>
      </x:c>
    </x:row>
    <x:row r="61" ht="90" customHeight="1">
      <x:c r="A61" s="8" t="str">
        <x:v>drop:FC1:V1:fan:1:F259</x:v>
      </x:c>
      <x:c r="B61" s="8" t="str">
        <x:v>V1 → Exhaust fan · wing gable H · rear</x:v>
      </x:c>
      <x:c r="C61" s="8" t="str">
        <x:v>FC1</x:v>
      </x:c>
      <x:c r="D61" s="8" t="str">
        <x:v>F259</x:v>
      </x:c>
      <x:c r="E61" s="8" t="str">
        <x:v>DB1</x:v>
      </x:c>
      <x:c r="F61" s="8" t="str">
        <x:v>V1</x:v>
      </x:c>
      <x:c r="G61" s="8" t="str">
        <x:v>fan</x:v>
      </x:c>
      <x:c r="H61" s="8" t="str">
        <x:v>drop</x:v>
      </x:c>
      <x:c r="I61" s="11" t="n">
        <x:f>SUMIF('Route Points'!$A$7:$A$384,A61,'Route Points'!$F$7:$F$384)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trunk:FC1:V1:fan:1</x:v>
      </x:c>
    </x:row>
    <x:row r="62" ht="90" customHeight="1">
      <x:c r="A62" s="8" t="str">
        <x:v>drop:FC1:F5:fan:-1:F-WING-B-3</x:v>
      </x:c>
      <x:c r="B62" s="8" t="str">
        <x:v>F5 → Wall fan · wing B · 3 · held review</x:v>
      </x:c>
      <x:c r="C62" s="8" t="str">
        <x:v>FC1</x:v>
      </x:c>
      <x:c r="D62" s="8" t="str">
        <x:v>F-WING-B-3</x:v>
      </x:c>
      <x:c r="E62" s="8" t="str">
        <x:v>DB1</x:v>
      </x:c>
      <x:c r="F62" s="8" t="str">
        <x:v>F5</x:v>
      </x:c>
      <x:c r="G62" s="8" t="str">
        <x:v>fan</x:v>
      </x:c>
      <x:c r="H62" s="8" t="str">
        <x:v>drop</x:v>
      </x:c>
      <x:c r="I62" s="11" t="n">
        <x:f>SUMIF('Route Points'!$A$7:$A$384,A62,'Route Points'!$F$7:$F$384)</x:f>
        <x:v>12.144617268041237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Retired</x:v>
      </x:c>
      <x:c r="Z62" s="8" t="str">
        <x:v>trunk:FC1:F5:fan:-1</x:v>
      </x:c>
    </x:row>
    <x:row r="63" ht="90" customHeight="1">
      <x:c r="A63" s="8" t="str">
        <x:v>drop:FC1:F5:fan:-1:F-WING-B-4</x:v>
      </x:c>
      <x:c r="B63" s="8" t="str">
        <x:v>F5 → Wall fan · wing B · 4 · held review</x:v>
      </x:c>
      <x:c r="C63" s="8" t="str">
        <x:v>FC1</x:v>
      </x:c>
      <x:c r="D63" s="8" t="str">
        <x:v>F-WING-B-4</x:v>
      </x:c>
      <x:c r="E63" s="8" t="str">
        <x:v>DB1</x:v>
      </x:c>
      <x:c r="F63" s="8" t="str">
        <x:v>F5</x:v>
      </x:c>
      <x:c r="G63" s="8" t="str">
        <x:v>fan</x:v>
      </x:c>
      <x:c r="H63" s="8" t="str">
        <x:v>drop</x:v>
      </x:c>
      <x:c r="I63" s="11" t="n">
        <x:f>SUMIF('Route Points'!$A$7:$A$384,A63,'Route Points'!$F$7:$F$384)</x:f>
        <x:v>10.700287371134024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Covered roof-soffit crossing into outer arcade / wing-gable wall, then concealed pier drop. No exposed crossing at equipment height.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Retired</x:v>
      </x:c>
      <x:c r="Z63" s="8" t="str">
        <x:v>trunk:FC1:F5:fan:-1</x:v>
      </x:c>
    </x:row>
    <x:row r="64" ht="90" customHeight="1">
      <x:c r="A64" s="8" t="str">
        <x:v>drop:FC1:F5:fan:1:F-WING-H-3</x:v>
      </x:c>
      <x:c r="B64" s="8" t="str">
        <x:v>F5 → Wall fan · wing H · 3 · held review</x:v>
      </x:c>
      <x:c r="C64" s="8" t="str">
        <x:v>FC1</x:v>
      </x:c>
      <x:c r="D64" s="8" t="str">
        <x:v>F-WING-H-3</x:v>
      </x:c>
      <x:c r="E64" s="8" t="str">
        <x:v>DB1</x:v>
      </x:c>
      <x:c r="F64" s="8" t="str">
        <x:v>F5</x:v>
      </x:c>
      <x:c r="G64" s="8" t="str">
        <x:v>fan</x:v>
      </x:c>
      <x:c r="H64" s="8" t="str">
        <x:v>drop</x:v>
      </x:c>
      <x:c r="I64" s="11" t="n">
        <x:f>SUMIF('Route Points'!$A$7:$A$384,A64,'Route Points'!$F$7:$F$384)</x:f>
        <x:v>12.144617268041237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Covered roof-soffit crossing into outer arcade / wing-gable wall, then concealed pier drop. No exposed crossing at equipment height.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Retired</x:v>
      </x:c>
      <x:c r="Z64" s="8" t="str">
        <x:v>trunk:FC1:F5:fan:1</x:v>
      </x:c>
    </x:row>
    <x:row r="65" ht="90" customHeight="1">
      <x:c r="A65" s="8" t="str">
        <x:v>drop:FC1:F5:fan:1:F-WING-H-4</x:v>
      </x:c>
      <x:c r="B65" s="8" t="str">
        <x:v>F5 → Wall fan · wing H · 4 · held review</x:v>
      </x:c>
      <x:c r="C65" s="8" t="str">
        <x:v>FC1</x:v>
      </x:c>
      <x:c r="D65" s="8" t="str">
        <x:v>F-WING-H-4</x:v>
      </x:c>
      <x:c r="E65" s="8" t="str">
        <x:v>DB1</x:v>
      </x:c>
      <x:c r="F65" s="8" t="str">
        <x:v>F5</x:v>
      </x:c>
      <x:c r="G65" s="8" t="str">
        <x:v>fan</x:v>
      </x:c>
      <x:c r="H65" s="8" t="str">
        <x:v>drop</x:v>
      </x:c>
      <x:c r="I65" s="11" t="n">
        <x:f>SUMIF('Route Points'!$A$7:$A$384,A65,'Route Points'!$F$7:$F$384)</x:f>
        <x:v>10.700287371134024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trunk:FC1:F5:fan:1</x:v>
      </x:c>
    </x:row>
    <x:row r="66" ht="90" customHeight="1">
      <x:c r="A66" s="8" t="str">
        <x:v>drop:FC1:F1:fan:-1:F240</x:v>
      </x:c>
      <x:c r="B66" s="8" t="str">
        <x:v>F1 → Ceiling fan · wing B · front</x:v>
      </x:c>
      <x:c r="C66" s="8" t="str">
        <x:v>FC1</x:v>
      </x:c>
      <x:c r="D66" s="8" t="str">
        <x:v>F240</x:v>
      </x:c>
      <x:c r="E66" s="8" t="str">
        <x:v>DB1</x:v>
      </x:c>
      <x:c r="F66" s="8" t="str">
        <x:v>F1</x:v>
      </x:c>
      <x:c r="G66" s="8" t="str">
        <x:v>fan</x:v>
      </x:c>
      <x:c r="H66" s="8" t="str">
        <x:v>drop</x:v>
      </x:c>
      <x:c r="I66" s="11" t="n">
        <x:f>SUMIF('Route Points'!$A$7:$A$384,A66,'Route Points'!$F$7:$F$384)</x:f>
        <x:v>7.73309922680412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nave lining / covered soffit route at wings and verandas; cable continues inside the existing pendant stem. Roof build-up, supports and access pending.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trunk:FC1:F1:fan:-1</x:v>
      </x:c>
    </x:row>
    <x:row r="67" ht="90" customHeight="1">
      <x:c r="A67" s="8" t="str">
        <x:v>drop:FC1:F1:fan:-1:F241</x:v>
      </x:c>
      <x:c r="B67" s="8" t="str">
        <x:v>F1 → Ceiling fan · wing B · rear</x:v>
      </x:c>
      <x:c r="C67" s="8" t="str">
        <x:v>FC1</x:v>
      </x:c>
      <x:c r="D67" s="8" t="str">
        <x:v>F241</x:v>
      </x:c>
      <x:c r="E67" s="8" t="str">
        <x:v>DB1</x:v>
      </x:c>
      <x:c r="F67" s="8" t="str">
        <x:v>F1</x:v>
      </x:c>
      <x:c r="G67" s="8" t="str">
        <x:v>fan</x:v>
      </x:c>
      <x:c r="H67" s="8" t="str">
        <x:v>drop</x:v>
      </x:c>
      <x:c r="I67" s="11" t="n">
        <x:f>SUMIF('Route Points'!$A$7:$A$384,A67,'Route Points'!$F$7:$F$384)</x:f>
        <x:v>7.733099226804125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nave lining / covered soffit route at wings and verandas; cable continues inside the existing pendant stem. Roof build-up, supports and access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trunk:FC1:F1:fan:-1</x:v>
      </x:c>
    </x:row>
    <x:row r="68" ht="90" customHeight="1">
      <x:c r="A68" s="8" t="str">
        <x:v>drop:FC1:F1:fan:1:F242</x:v>
      </x:c>
      <x:c r="B68" s="8" t="str">
        <x:v>F1 → Ceiling fan · wing H · front</x:v>
      </x:c>
      <x:c r="C68" s="8" t="str">
        <x:v>FC1</x:v>
      </x:c>
      <x:c r="D68" s="8" t="str">
        <x:v>F242</x:v>
      </x:c>
      <x:c r="E68" s="8" t="str">
        <x:v>DB1</x:v>
      </x:c>
      <x:c r="F68" s="8" t="str">
        <x:v>F1</x:v>
      </x:c>
      <x:c r="G68" s="8" t="str">
        <x:v>fan</x:v>
      </x:c>
      <x:c r="H68" s="8" t="str">
        <x:v>drop</x:v>
      </x:c>
      <x:c r="I68" s="11" t="n">
        <x:f>SUMIF('Route Points'!$A$7:$A$384,A68,'Route Points'!$F$7:$F$384)</x:f>
        <x:v>7.73309922680412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nave lining / covered soffit route at wings and verandas; cable continues inside the existing pendant stem. Roof build-up, supports and access pending.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trunk:FC1:F1:fan:1</x:v>
      </x:c>
    </x:row>
    <x:row r="69" ht="90" customHeight="1">
      <x:c r="A69" s="8" t="str">
        <x:v>drop:FC1:F1:fan:1:F243</x:v>
      </x:c>
      <x:c r="B69" s="8" t="str">
        <x:v>F1 → Ceiling fan · wing H · rear</x:v>
      </x:c>
      <x:c r="C69" s="8" t="str">
        <x:v>FC1</x:v>
      </x:c>
      <x:c r="D69" s="8" t="str">
        <x:v>F243</x:v>
      </x:c>
      <x:c r="E69" s="8" t="str">
        <x:v>DB1</x:v>
      </x:c>
      <x:c r="F69" s="8" t="str">
        <x:v>F1</x:v>
      </x:c>
      <x:c r="G69" s="8" t="str">
        <x:v>fan</x:v>
      </x:c>
      <x:c r="H69" s="8" t="str">
        <x:v>drop</x:v>
      </x:c>
      <x:c r="I69" s="11" t="n">
        <x:f>SUMIF('Route Points'!$A$7:$A$384,A69,'Route Points'!$F$7:$F$384)</x:f>
        <x:v>7.733099226804125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nave lining / covered soffit route at wings and verandas; cable continues inside the existing pendant stem. Roof build-up, supports and access pending.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trunk:FC1:F1:fan:1</x:v>
      </x:c>
    </x:row>
  </x:sheetData>
  <x:conditionalFormatting sqref="Y7:Y69">
    <x:cfRule type="containsText" dxfId="1" priority="1" operator="containsText" text="Retired"/>
  </x:conditionalFormatting>
  <x:dataValidations count="3">
    <x:dataValidation type="decimal" operator="greaterThanOrEqual" sqref="M7:M69">
      <x:formula1>0</x:formula1>
    </x:dataValidation>
    <x:dataValidation type="decimal" operator="greaterThanOrEqual" sqref="R7:R69">
      <x:formula1>0</x:formula1>
    </x:dataValidation>
    <x:dataValidation type="decimal" operator="greaterThanOrEqual" sqref="S7:S69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36d42326234c6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3.9</x:v>
      </x:c>
      <x:c r="E30" s="11" t="n">
        <x:v>-4.4</x:v>
      </x:c>
      <x:c r="F30" s="11" t="n">
        <x:f>SQRT((C30-C29)^2+(D30-D29)^2+(E30-E29)^2)</x:f>
        <x:v>5.128413043478261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12.225</x:v>
      </x:c>
      <x:c r="D33" s="11" t="n">
        <x:v>7.04</x:v>
      </x:c>
      <x:c r="E33" s="11" t="n">
        <x:v>-7.36</x:v>
      </x:c>
      <x:c r="F33" s="11" t="n">
        <x:f>SQRT((C33-C32)^2+(D33-D32)^2+(E33-E32)^2)</x:f>
        <x:v>1.3050000000000015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12.225</x:v>
      </x:c>
      <x:c r="D34" s="11" t="n">
        <x:v>9.18841304347826</x:v>
      </x:c>
      <x:c r="E34" s="11" t="n">
        <x:v>-4.4</x:v>
      </x:c>
      <x:c r="F34" s="11" t="n">
        <x:f>SQRT((C34-C33)^2+(D34-D33)^2+(E34-E33)^2)</x:f>
        <x:v>3.6574962208302444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12.225</x:v>
      </x:c>
      <x:c r="D35" s="11" t="n">
        <x:v>9.028413043478261</x:v>
      </x:c>
      <x:c r="E35" s="11" t="n">
        <x:v>-4.4</x:v>
      </x:c>
      <x:c r="F35" s="11" t="n">
        <x:f>SQRT((C35-C34)^2+(D35-D34)^2+(E35-E34)^2)</x:f>
        <x:v>0.15999999999999837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12.225</x:v>
      </x:c>
      <x:c r="D36" s="11" t="n">
        <x:v>3.9</x:v>
      </x:c>
      <x:c r="E36" s="11" t="n">
        <x:v>-4.4</x:v>
      </x:c>
      <x:c r="F36" s="11" t="n">
        <x:f>SQRT((C36-C35)^2+(D36-D35)^2+(E36-E35)^2)</x:f>
        <x:v>5.128413043478261</x:v>
      </x:c>
      <x:c r="G36" s="8" t="str">
        <x:v>Current</x:v>
      </x:c>
    </x:row>
    <x:row r="37" ht="32" customHeight="1">
      <x:c r="A37" s="8" t="str">
        <x:v>drop:FC1:F1:fan:-1:F230</x:v>
      </x:c>
      <x:c r="B37" s="8" t="n">
        <x:v>1</x:v>
      </x:c>
      <x:c r="C37" s="11" t="n">
        <x:v>18.02</x:v>
      </x:c>
      <x:c r="D37" s="11" t="n">
        <x:v>6.0040000000000004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drop:FC1:F1:fan:-1:F230</x:v>
      </x:c>
      <x:c r="B38" s="8" t="n">
        <x:v>2</x:v>
      </x:c>
      <x:c r="C38" s="11" t="n">
        <x:v>18.02</x:v>
      </x:c>
      <x:c r="D38" s="11" t="n">
        <x:v>7.04</x:v>
      </x:c>
      <x:c r="E38" s="11" t="n">
        <x:v>-7.36</x:v>
      </x:c>
      <x:c r="F38" s="11" t="n">
        <x:f>SQRT((C38-C37)^2+(D38-D37)^2+(E38-E37)^2)</x:f>
        <x:v>1.0359999999999996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3</x:v>
      </x:c>
      <x:c r="C39" s="11" t="n">
        <x:v>16.725</x:v>
      </x:c>
      <x:c r="D39" s="11" t="n">
        <x:v>7.04</x:v>
      </x:c>
      <x:c r="E39" s="11" t="n">
        <x:v>-7.36</x:v>
      </x:c>
      <x:c r="F39" s="11" t="n">
        <x:f>SQRT((C39-C38)^2+(D39-D38)^2+(E39-E38)^2)</x:f>
        <x:v>1.2949999999999982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4</x:v>
      </x:c>
      <x:c r="C40" s="11" t="n">
        <x:v>16.725</x:v>
      </x:c>
      <x:c r="D40" s="11" t="n">
        <x:v>9.18841304347826</x:v>
      </x:c>
      <x:c r="E40" s="11" t="n">
        <x:v>-4.4</x:v>
      </x:c>
      <x:c r="F40" s="11" t="n">
        <x:f>SQRT((C40-C39)^2+(D40-D39)^2+(E40-E39)^2)</x:f>
        <x:v>3.6574962208302444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5</x:v>
      </x:c>
      <x:c r="C41" s="11" t="n">
        <x:v>16.725</x:v>
      </x:c>
      <x:c r="D41" s="11" t="n">
        <x:v>9.028413043478261</x:v>
      </x:c>
      <x:c r="E41" s="11" t="n">
        <x:v>-4.4</x:v>
      </x:c>
      <x:c r="F41" s="11" t="n">
        <x:f>SQRT((C41-C40)^2+(D41-D40)^2+(E41-E40)^2)</x:f>
        <x:v>0.15999999999999837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6</x:v>
      </x:c>
      <x:c r="C42" s="11" t="n">
        <x:v>16.725</x:v>
      </x:c>
      <x:c r="D42" s="11" t="n">
        <x:v>3.9</x:v>
      </x:c>
      <x:c r="E42" s="11" t="n">
        <x:v>-4.4</x:v>
      </x:c>
      <x:c r="F42" s="11" t="n">
        <x:f>SQRT((C42-C41)^2+(D42-D41)^2+(E42-E41)^2)</x:f>
        <x:v>5.128413043478261</x:v>
      </x:c>
      <x:c r="G42" s="8" t="str">
        <x:v>Current</x:v>
      </x:c>
    </x:row>
    <x:row r="43" ht="32" customHeight="1">
      <x:c r="A43" s="8" t="str">
        <x:v>drop:FC1:F1:fan:-1:F232</x:v>
      </x:c>
      <x:c r="B43" s="8" t="n">
        <x:v>1</x:v>
      </x:c>
      <x:c r="C43" s="11" t="n">
        <x:v>22.53</x:v>
      </x:c>
      <x:c r="D43" s="11" t="n">
        <x:v>6.0040000000000004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drop:FC1:F1:fan:-1:F232</x:v>
      </x:c>
      <x:c r="B44" s="8" t="n">
        <x:v>2</x:v>
      </x:c>
      <x:c r="C44" s="11" t="n">
        <x:v>22.53</x:v>
      </x:c>
      <x:c r="D44" s="11" t="n">
        <x:v>7.04</x:v>
      </x:c>
      <x:c r="E44" s="11" t="n">
        <x:v>-7.36</x:v>
      </x:c>
      <x:c r="F44" s="11" t="n">
        <x:f>SQRT((C44-C43)^2+(D44-D43)^2+(E44-E43)^2)</x:f>
        <x:v>1.0359999999999996</x:v>
      </x:c>
      <x:c r="G44" s="8" t="str">
        <x:v>Current</x:v>
      </x:c>
    </x:row>
    <x:row r="45" ht="32" customHeight="1">
      <x:c r="A45" s="8" t="str">
        <x:v>drop:FC1:F1:fan:-1:F232</x:v>
      </x:c>
      <x:c r="B45" s="8" t="n">
        <x:v>3</x:v>
      </x:c>
      <x:c r="C45" s="11" t="n">
        <x:v>21.225</x:v>
      </x:c>
      <x:c r="D45" s="11" t="n">
        <x:v>7.04</x:v>
      </x:c>
      <x:c r="E45" s="11" t="n">
        <x:v>-7.36</x:v>
      </x:c>
      <x:c r="F45" s="11" t="n">
        <x:f>SQRT((C45-C44)^2+(D45-D44)^2+(E45-E44)^2)</x:f>
        <x:v>1.3049999999999997</x:v>
      </x:c>
      <x:c r="G45" s="8" t="str">
        <x:v>Current</x:v>
      </x:c>
    </x:row>
    <x:row r="46" ht="32" customHeight="1">
      <x:c r="A46" s="8" t="str">
        <x:v>drop:FC1:F1:fan:-1:F232</x:v>
      </x:c>
      <x:c r="B46" s="8" t="n">
        <x:v>4</x:v>
      </x:c>
      <x:c r="C46" s="11" t="n">
        <x:v>21.225</x:v>
      </x:c>
      <x:c r="D46" s="11" t="n">
        <x:v>9.18841304347826</x:v>
      </x:c>
      <x:c r="E46" s="11" t="n">
        <x:v>-4.4</x:v>
      </x:c>
      <x:c r="F46" s="11" t="n">
        <x:f>SQRT((C46-C45)^2+(D46-D45)^2+(E46-E45)^2)</x:f>
        <x:v>3.6574962208302444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5</x:v>
      </x:c>
      <x:c r="C47" s="11" t="n">
        <x:v>21.225</x:v>
      </x:c>
      <x:c r="D47" s="11" t="n">
        <x:v>9.028413043478261</x:v>
      </x:c>
      <x:c r="E47" s="11" t="n">
        <x:v>-4.4</x:v>
      </x:c>
      <x:c r="F47" s="11" t="n">
        <x:f>SQRT((C47-C46)^2+(D47-D46)^2+(E47-E46)^2)</x:f>
        <x:v>0.15999999999999837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6</x:v>
      </x:c>
      <x:c r="C48" s="11" t="n">
        <x:v>21.225</x:v>
      </x:c>
      <x:c r="D48" s="11" t="n">
        <x:v>3.9</x:v>
      </x:c>
      <x:c r="E48" s="11" t="n">
        <x:v>-4.4</x:v>
      </x:c>
      <x:c r="F48" s="11" t="n">
        <x:f>SQRT((C48-C47)^2+(D48-D47)^2+(E48-E47)^2)</x:f>
        <x:v>5.128413043478261</x:v>
      </x:c>
      <x:c r="G48" s="8" t="str">
        <x:v>Current</x:v>
      </x:c>
    </x:row>
    <x:row r="49" ht="32" customHeight="1">
      <x:c r="A49" s="8" t="str">
        <x:v>drop:FC1:F1:fan:-1:F234</x:v>
      </x:c>
      <x:c r="B49" s="8" t="n">
        <x:v>1</x:v>
      </x:c>
      <x:c r="C49" s="11" t="n">
        <x:v>27.03</x:v>
      </x:c>
      <x:c r="D49" s="11" t="n">
        <x:v>6.0040000000000004</x:v>
      </x:c>
      <x:c r="E49" s="11" t="n">
        <x:v>-7.36</x:v>
      </x:c>
      <x:c r="F49" s="11" t="n">
        <x:f>0</x:f>
        <x:v>0</x:v>
      </x:c>
      <x:c r="G49" s="8" t="str">
        <x:v>Current</x:v>
      </x:c>
    </x:row>
    <x:row r="50" ht="32" customHeight="1">
      <x:c r="A50" s="8" t="str">
        <x:v>drop:FC1:F1:fan:-1:F234</x:v>
      </x:c>
      <x:c r="B50" s="8" t="n">
        <x:v>2</x:v>
      </x:c>
      <x:c r="C50" s="11" t="n">
        <x:v>27.03</x:v>
      </x:c>
      <x:c r="D50" s="11" t="n">
        <x:v>7.04</x:v>
      </x:c>
      <x:c r="E50" s="11" t="n">
        <x:v>-7.36</x:v>
      </x:c>
      <x:c r="F50" s="11" t="n">
        <x:f>SQRT((C50-C49)^2+(D50-D49)^2+(E50-E49)^2)</x:f>
        <x:v>1.0359999999999996</x:v>
      </x:c>
      <x:c r="G50" s="8" t="str">
        <x:v>Current</x:v>
      </x:c>
    </x:row>
    <x:row r="51" ht="32" customHeight="1">
      <x:c r="A51" s="8" t="str">
        <x:v>drop:FC1:F1:fan:-1:F234</x:v>
      </x:c>
      <x:c r="B51" s="8" t="n">
        <x:v>3</x:v>
      </x:c>
      <x:c r="C51" s="11" t="n">
        <x:v>25.725</x:v>
      </x:c>
      <x:c r="D51" s="11" t="n">
        <x:v>7.04</x:v>
      </x:c>
      <x:c r="E51" s="11" t="n">
        <x:v>-7.36</x:v>
      </x:c>
      <x:c r="F51" s="11" t="n">
        <x:f>SQRT((C51-C50)^2+(D51-D50)^2+(E51-E50)^2)</x:f>
        <x:v>1.3049999999999997</x:v>
      </x:c>
      <x:c r="G51" s="8" t="str">
        <x:v>Current</x:v>
      </x:c>
    </x:row>
    <x:row r="52" ht="32" customHeight="1">
      <x:c r="A52" s="8" t="str">
        <x:v>drop:FC1:F1:fan:-1:F234</x:v>
      </x:c>
      <x:c r="B52" s="8" t="n">
        <x:v>4</x:v>
      </x:c>
      <x:c r="C52" s="11" t="n">
        <x:v>25.725</x:v>
      </x:c>
      <x:c r="D52" s="11" t="n">
        <x:v>9.18841304347826</x:v>
      </x:c>
      <x:c r="E52" s="11" t="n">
        <x:v>-4.4</x:v>
      </x:c>
      <x:c r="F52" s="11" t="n">
        <x:f>SQRT((C52-C51)^2+(D52-D51)^2+(E52-E51)^2)</x:f>
        <x:v>3.6574962208302444</x:v>
      </x:c>
      <x:c r="G52" s="8" t="str">
        <x:v>Current</x:v>
      </x:c>
    </x:row>
    <x:row r="53" ht="32" customHeight="1">
      <x:c r="A53" s="8" t="str">
        <x:v>drop:FC1:F1:fan:-1:F234</x:v>
      </x:c>
      <x:c r="B53" s="8" t="n">
        <x:v>5</x:v>
      </x:c>
      <x:c r="C53" s="11" t="n">
        <x:v>25.725</x:v>
      </x:c>
      <x:c r="D53" s="11" t="n">
        <x:v>9.028413043478261</x:v>
      </x:c>
      <x:c r="E53" s="11" t="n">
        <x:v>-4.4</x:v>
      </x:c>
      <x:c r="F53" s="11" t="n">
        <x:f>SQRT((C53-C52)^2+(D53-D52)^2+(E53-E52)^2)</x:f>
        <x:v>0.15999999999999837</x:v>
      </x:c>
      <x:c r="G53" s="8" t="str">
        <x:v>Current</x:v>
      </x:c>
    </x:row>
    <x:row r="54" ht="32" customHeight="1">
      <x:c r="A54" s="8" t="str">
        <x:v>drop:FC1:F1:fan:-1:F234</x:v>
      </x:c>
      <x:c r="B54" s="8" t="n">
        <x:v>6</x:v>
      </x:c>
      <x:c r="C54" s="11" t="n">
        <x:v>25.725</x:v>
      </x:c>
      <x:c r="D54" s="11" t="n">
        <x:v>3.9</x:v>
      </x:c>
      <x:c r="E54" s="11" t="n">
        <x:v>-4.4</x:v>
      </x:c>
      <x:c r="F54" s="11" t="n">
        <x:f>SQRT((C54-C53)^2+(D54-D53)^2+(E54-E53)^2)</x:f>
        <x:v>5.128413043478261</x:v>
      </x:c>
      <x:c r="G54" s="8" t="str">
        <x:v>Current</x:v>
      </x:c>
    </x:row>
    <x:row r="55" ht="32" customHeight="1">
      <x:c r="A55" s="8" t="str">
        <x:v>drop:FC1:F1:fan:-1:F236</x:v>
      </x:c>
      <x:c r="B55" s="8" t="n">
        <x:v>1</x:v>
      </x:c>
      <x:c r="C55" s="11" t="n">
        <x:v>31.53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drop:FC1:F1:fan:-1:F236</x:v>
      </x:c>
      <x:c r="B56" s="8" t="n">
        <x:v>2</x:v>
      </x:c>
      <x:c r="C56" s="11" t="n">
        <x:v>31.53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drop:FC1:F1:fan:-1:F236</x:v>
      </x:c>
      <x:c r="B57" s="8" t="n">
        <x:v>3</x:v>
      </x:c>
      <x:c r="C57" s="11" t="n">
        <x:v>30.225</x:v>
      </x:c>
      <x:c r="D57" s="11" t="n">
        <x:v>7.04</x:v>
      </x:c>
      <x:c r="E57" s="11" t="n">
        <x:v>-7.36</x:v>
      </x:c>
      <x:c r="F57" s="11" t="n">
        <x:f>SQRT((C57-C56)^2+(D57-D56)^2+(E57-E56)^2)</x:f>
        <x:v>1.3049999999999997</x:v>
      </x:c>
      <x:c r="G57" s="8" t="str">
        <x:v>Current</x:v>
      </x:c>
    </x:row>
    <x:row r="58" ht="32" customHeight="1">
      <x:c r="A58" s="8" t="str">
        <x:v>drop:FC1:F1:fan:-1:F236</x:v>
      </x:c>
      <x:c r="B58" s="8" t="n">
        <x:v>4</x:v>
      </x:c>
      <x:c r="C58" s="11" t="n">
        <x:v>30.225</x:v>
      </x:c>
      <x:c r="D58" s="11" t="n">
        <x:v>9.18841304347826</x:v>
      </x:c>
      <x:c r="E58" s="11" t="n">
        <x:v>-4.4</x:v>
      </x:c>
      <x:c r="F58" s="11" t="n">
        <x:f>SQRT((C58-C57)^2+(D58-D57)^2+(E58-E57)^2)</x:f>
        <x:v>3.6574962208302444</x:v>
      </x:c>
      <x:c r="G58" s="8" t="str">
        <x:v>Current</x:v>
      </x:c>
    </x:row>
    <x:row r="59" ht="32" customHeight="1">
      <x:c r="A59" s="8" t="str">
        <x:v>drop:FC1:F1:fan:-1:F236</x:v>
      </x:c>
      <x:c r="B59" s="8" t="n">
        <x:v>5</x:v>
      </x:c>
      <x:c r="C59" s="11" t="n">
        <x:v>30.225</x:v>
      </x:c>
      <x:c r="D59" s="11" t="n">
        <x:v>9.028413043478261</x:v>
      </x:c>
      <x:c r="E59" s="11" t="n">
        <x:v>-4.4</x:v>
      </x:c>
      <x:c r="F59" s="11" t="n">
        <x:f>SQRT((C59-C58)^2+(D59-D58)^2+(E59-E58)^2)</x:f>
        <x:v>0.15999999999999837</x:v>
      </x:c>
      <x:c r="G59" s="8" t="str">
        <x:v>Current</x:v>
      </x:c>
    </x:row>
    <x:row r="60" ht="32" customHeight="1">
      <x:c r="A60" s="8" t="str">
        <x:v>drop:FC1:F1:fan:-1:F236</x:v>
      </x:c>
      <x:c r="B60" s="8" t="n">
        <x:v>6</x:v>
      </x:c>
      <x:c r="C60" s="11" t="n">
        <x:v>30.225</x:v>
      </x:c>
      <x:c r="D60" s="11" t="n">
        <x:v>3.9</x:v>
      </x:c>
      <x:c r="E60" s="11" t="n">
        <x:v>-4.4</x:v>
      </x:c>
      <x:c r="F60" s="11" t="n">
        <x:f>SQRT((C60-C59)^2+(D60-D59)^2+(E60-E59)^2)</x:f>
        <x:v>5.128413043478261</x:v>
      </x:c>
      <x:c r="G60" s="8" t="str">
        <x:v>Current</x:v>
      </x:c>
    </x:row>
    <x:row r="61" ht="32" customHeight="1">
      <x:c r="A61" s="8" t="str">
        <x:v>drop:FC1:F1:fan:-1:F238</x:v>
      </x:c>
      <x:c r="B61" s="8" t="n">
        <x:v>1</x:v>
      </x:c>
      <x:c r="C61" s="11" t="n">
        <x:v>36.02</x:v>
      </x:c>
      <x:c r="D61" s="11" t="n">
        <x:v>6.0040000000000004</x:v>
      </x:c>
      <x:c r="E61" s="11" t="n">
        <x:v>-7.36</x:v>
      </x:c>
      <x:c r="F61" s="11" t="n">
        <x:f>0</x:f>
        <x:v>0</x:v>
      </x:c>
      <x:c r="G61" s="8" t="str">
        <x:v>Current</x:v>
      </x:c>
    </x:row>
    <x:row r="62" ht="32" customHeight="1">
      <x:c r="A62" s="8" t="str">
        <x:v>drop:FC1:F1:fan:-1:F238</x:v>
      </x:c>
      <x:c r="B62" s="8" t="n">
        <x:v>2</x:v>
      </x:c>
      <x:c r="C62" s="11" t="n">
        <x:v>36.02</x:v>
      </x:c>
      <x:c r="D62" s="11" t="n">
        <x:v>7.04</x:v>
      </x:c>
      <x:c r="E62" s="11" t="n">
        <x:v>-7.36</x:v>
      </x:c>
      <x:c r="F62" s="11" t="n">
        <x:f>SQRT((C62-C61)^2+(D62-D61)^2+(E62-E61)^2)</x:f>
        <x:v>1.0359999999999996</x:v>
      </x:c>
      <x:c r="G62" s="8" t="str">
        <x:v>Current</x:v>
      </x:c>
    </x:row>
    <x:row r="63" ht="32" customHeight="1">
      <x:c r="A63" s="8" t="str">
        <x:v>drop:FC1:F1:fan:-1:F238</x:v>
      </x:c>
      <x:c r="B63" s="8" t="n">
        <x:v>3</x:v>
      </x:c>
      <x:c r="C63" s="11" t="n">
        <x:v>34.725</x:v>
      </x:c>
      <x:c r="D63" s="11" t="n">
        <x:v>7.04</x:v>
      </x:c>
      <x:c r="E63" s="11" t="n">
        <x:v>-7.36</x:v>
      </x:c>
      <x:c r="F63" s="11" t="n">
        <x:f>SQRT((C63-C62)^2+(D63-D62)^2+(E63-E62)^2)</x:f>
        <x:v>1.2950000000000017</x:v>
      </x:c>
      <x:c r="G63" s="8" t="str">
        <x:v>Current</x:v>
      </x:c>
    </x:row>
    <x:row r="64" ht="32" customHeight="1">
      <x:c r="A64" s="8" t="str">
        <x:v>drop:FC1:F1:fan:-1:F238</x:v>
      </x:c>
      <x:c r="B64" s="8" t="n">
        <x:v>4</x:v>
      </x:c>
      <x:c r="C64" s="11" t="n">
        <x:v>34.725</x:v>
      </x:c>
      <x:c r="D64" s="11" t="n">
        <x:v>9.18841304347826</x:v>
      </x:c>
      <x:c r="E64" s="11" t="n">
        <x:v>-4.4</x:v>
      </x:c>
      <x:c r="F64" s="11" t="n">
        <x:f>SQRT((C64-C63)^2+(D64-D63)^2+(E64-E63)^2)</x:f>
        <x:v>3.6574962208302444</x:v>
      </x:c>
      <x:c r="G64" s="8" t="str">
        <x:v>Current</x:v>
      </x:c>
    </x:row>
    <x:row r="65" ht="32" customHeight="1">
      <x:c r="A65" s="8" t="str">
        <x:v>drop:FC1:F1:fan:-1:F238</x:v>
      </x:c>
      <x:c r="B65" s="8" t="n">
        <x:v>5</x:v>
      </x:c>
      <x:c r="C65" s="11" t="n">
        <x:v>34.725</x:v>
      </x:c>
      <x:c r="D65" s="11" t="n">
        <x:v>9.028413043478261</x:v>
      </x:c>
      <x:c r="E65" s="11" t="n">
        <x:v>-4.4</x:v>
      </x:c>
      <x:c r="F65" s="11" t="n">
        <x:f>SQRT((C65-C64)^2+(D65-D64)^2+(E65-E64)^2)</x:f>
        <x:v>0.15999999999999837</x:v>
      </x:c>
      <x:c r="G65" s="8" t="str">
        <x:v>Current</x:v>
      </x:c>
    </x:row>
    <x:row r="66" ht="32" customHeight="1">
      <x:c r="A66" s="8" t="str">
        <x:v>drop:FC1:F1:fan:-1:F238</x:v>
      </x:c>
      <x:c r="B66" s="8" t="n">
        <x:v>6</x:v>
      </x:c>
      <x:c r="C66" s="11" t="n">
        <x:v>34.725</x:v>
      </x:c>
      <x:c r="D66" s="11" t="n">
        <x:v>3.9</x:v>
      </x:c>
      <x:c r="E66" s="11" t="n">
        <x:v>-4.4</x:v>
      </x:c>
      <x:c r="F66" s="11" t="n">
        <x:f>SQRT((C66-C65)^2+(D66-D65)^2+(E66-E65)^2)</x:f>
        <x:v>5.128413043478261</x:v>
      </x:c>
      <x:c r="G66" s="8" t="str">
        <x:v>Current</x:v>
      </x:c>
    </x:row>
    <x:row r="67" ht="32" customHeight="1">
      <x:c r="A67" s="8" t="str">
        <x:v>trunk:FC1:F1:fan:1</x:v>
      </x:c>
      <x:c r="B67" s="8" t="n">
        <x:v>1</x:v>
      </x:c>
      <x:c r="C67" s="11" t="n">
        <x:v>48.895</x:v>
      </x:c>
      <x:c r="D67" s="11" t="n">
        <x:v>1.95</x:v>
      </x:c>
      <x:c r="E67" s="11" t="n">
        <x:v>0.4</x:v>
      </x:c>
      <x:c r="F67" s="11" t="n">
        <x:f>0</x:f>
        <x:v>0</x:v>
      </x:c>
      <x:c r="G67" s="8" t="str">
        <x:v>Current</x:v>
      </x:c>
    </x:row>
    <x:row r="68" ht="32" customHeight="1">
      <x:c r="A68" s="8" t="str">
        <x:v>trunk:FC1:F1:fan:1</x:v>
      </x:c>
      <x:c r="B68" s="8" t="n">
        <x:v>2</x:v>
      </x:c>
      <x:c r="C68" s="11" t="n">
        <x:v>48.735</x:v>
      </x:c>
      <x:c r="D68" s="11" t="n">
        <x:v>1.95</x:v>
      </x:c>
      <x:c r="E68" s="11" t="n">
        <x:v>0.4</x:v>
      </x:c>
      <x:c r="F68" s="11" t="n">
        <x:f>SQRT((C68-C67)^2+(D68-D67)^2+(E68-E67)^2)</x:f>
        <x:v>0.1600000000000037</x:v>
      </x:c>
      <x:c r="G68" s="8" t="str">
        <x:v>Current</x:v>
      </x:c>
    </x:row>
    <x:row r="69" ht="32" customHeight="1">
      <x:c r="A69" s="8" t="str">
        <x:v>trunk:FC1:F1:fan:1</x:v>
      </x:c>
      <x:c r="B69" s="8" t="n">
        <x:v>3</x:v>
      </x:c>
      <x:c r="C69" s="11" t="n">
        <x:v>48.735</x:v>
      </x:c>
      <x:c r="D69" s="11" t="n">
        <x:v>1.95</x:v>
      </x:c>
      <x:c r="E69" s="11" t="n">
        <x:v>-2.24</x:v>
      </x:c>
      <x:c r="F69" s="11" t="n">
        <x:f>SQRT((C69-C68)^2+(D69-D68)^2+(E69-E68)^2)</x:f>
        <x:v>2.64</x:v>
      </x:c>
      <x:c r="G69" s="8" t="str">
        <x:v>Current</x:v>
      </x:c>
    </x:row>
    <x:row r="70" ht="32" customHeight="1">
      <x:c r="A70" s="8" t="str">
        <x:v>trunk:FC1:F1:fan:1</x:v>
      </x:c>
      <x:c r="B70" s="8" t="n">
        <x:v>4</x:v>
      </x:c>
      <x:c r="C70" s="11" t="n">
        <x:v>48.735</x:v>
      </x:c>
      <x:c r="D70" s="11" t="n">
        <x:v>4.33</x:v>
      </x:c>
      <x:c r="E70" s="11" t="n">
        <x:v>-2.24</x:v>
      </x:c>
      <x:c r="F70" s="11" t="n">
        <x:f>SQRT((C70-C69)^2+(D70-D69)^2+(E70-E69)^2)</x:f>
        <x:v>2.38</x:v>
      </x:c>
      <x:c r="G70" s="8" t="str">
        <x:v>Current</x:v>
      </x:c>
    </x:row>
    <x:row r="71" ht="32" customHeight="1">
      <x:c r="A71" s="8" t="str">
        <x:v>trunk:FC1:F1:fan:1</x:v>
      </x:c>
      <x:c r="B71" s="8" t="n">
        <x:v>5</x:v>
      </x:c>
      <x:c r="C71" s="11" t="n">
        <x:v>48.735</x:v>
      </x:c>
      <x:c r="D71" s="11" t="n">
        <x:v>4.33</x:v>
      </x:c>
      <x:c r="E71" s="11" t="n">
        <x:v>-3.3</x:v>
      </x:c>
      <x:c r="F71" s="11" t="n">
        <x:f>SQRT((C71-C70)^2+(D71-D70)^2+(E71-E70)^2)</x:f>
        <x:v>1.0599999999999996</x:v>
      </x:c>
      <x:c r="G71" s="8" t="str">
        <x:v>Current</x:v>
      </x:c>
    </x:row>
    <x:row r="72" ht="32" customHeight="1">
      <x:c r="A72" s="8" t="str">
        <x:v>trunk:FC1:F1:fan:1</x:v>
      </x:c>
      <x:c r="B72" s="8" t="n">
        <x:v>6</x:v>
      </x:c>
      <x:c r="C72" s="11" t="n">
        <x:v>53.016</x:v>
      </x:c>
      <x:c r="D72" s="11" t="n">
        <x:v>4.33</x:v>
      </x:c>
      <x:c r="E72" s="11" t="n">
        <x:v>-3.3</x:v>
      </x:c>
      <x:c r="F72" s="11" t="n">
        <x:f>SQRT((C72-C71)^2+(D72-D71)^2+(E72-E71)^2)</x:f>
        <x:v>4.280999999999999</x:v>
      </x:c>
      <x:c r="G72" s="8" t="str">
        <x:v>Current</x:v>
      </x:c>
    </x:row>
    <x:row r="73" ht="32" customHeight="1">
      <x:c r="A73" s="8" t="str">
        <x:v>trunk:FC1:F1:fan:1</x:v>
      </x:c>
      <x:c r="B73" s="8" t="n">
        <x:v>7</x:v>
      </x:c>
      <x:c r="C73" s="11" t="n">
        <x:v>53.016</x:v>
      </x:c>
      <x:c r="D73" s="11" t="n">
        <x:v>6.0040000000000004</x:v>
      </x:c>
      <x:c r="E73" s="11" t="n">
        <x:v>-3.3</x:v>
      </x:c>
      <x:c r="F73" s="11" t="n">
        <x:f>SQRT((C73-C72)^2+(D73-D72)^2+(E73-E72)^2)</x:f>
        <x:v>1.6740000000000004</x:v>
      </x:c>
      <x:c r="G73" s="8" t="str">
        <x:v>Current</x:v>
      </x:c>
    </x:row>
    <x:row r="74" ht="32" customHeight="1">
      <x:c r="A74" s="8" t="str">
        <x:v>trunk:FC1:F1:fan:1</x:v>
      </x:c>
      <x:c r="B74" s="8" t="n">
        <x:v>8</x:v>
      </x:c>
      <x:c r="C74" s="11" t="n">
        <x:v>53.016</x:v>
      </x:c>
      <x:c r="D74" s="11" t="n">
        <x:v>6.0040000000000004</x:v>
      </x:c>
      <x:c r="E74" s="11" t="n">
        <x:v>7.36</x:v>
      </x:c>
      <x:c r="F74" s="11" t="n">
        <x:f>SQRT((C74-C73)^2+(D74-D73)^2+(E74-E73)^2)</x:f>
        <x:v>10.66</x:v>
      </x:c>
      <x:c r="G74" s="8" t="str">
        <x:v>Current</x:v>
      </x:c>
    </x:row>
    <x:row r="75" ht="32" customHeight="1">
      <x:c r="A75" s="8" t="str">
        <x:v>trunk:FC1:F1:fan:1</x:v>
      </x:c>
      <x:c r="B75" s="8" t="n">
        <x:v>9</x:v>
      </x:c>
      <x:c r="C75" s="11" t="n">
        <x:v>44.175</x:v>
      </x:c>
      <x:c r="D75" s="11" t="n">
        <x:v>6.0040000000000004</x:v>
      </x:c>
      <x:c r="E75" s="11" t="n">
        <x:v>7.36</x:v>
      </x:c>
      <x:c r="F75" s="11" t="n">
        <x:f>SQRT((C75-C74)^2+(D75-D74)^2+(E75-E74)^2)</x:f>
        <x:v>8.841000000000001</x:v>
      </x:c>
      <x:c r="G75" s="8" t="str">
        <x:v>Current</x:v>
      </x:c>
    </x:row>
    <x:row r="76" ht="32" customHeight="1">
      <x:c r="A76" s="8" t="str">
        <x:v>trunk:FC1:F1:fan:1</x:v>
      </x:c>
      <x:c r="B76" s="8" t="n">
        <x:v>10</x:v>
      </x:c>
      <x:c r="C76" s="11" t="n">
        <x:v>44.175</x:v>
      </x:c>
      <x:c r="D76" s="11" t="n">
        <x:v>7.04</x:v>
      </x:c>
      <x:c r="E76" s="11" t="n">
        <x:v>7.36</x:v>
      </x:c>
      <x:c r="F76" s="11" t="n">
        <x:f>SQRT((C76-C75)^2+(D76-D75)^2+(E76-E75)^2)</x:f>
        <x:v>1.0359999999999996</x:v>
      </x:c>
      <x:c r="G76" s="8" t="str">
        <x:v>Current</x:v>
      </x:c>
    </x:row>
    <x:row r="77" ht="32" customHeight="1">
      <x:c r="A77" s="8" t="str">
        <x:v>trunk:FC1:F1:fan:1</x:v>
      </x:c>
      <x:c r="B77" s="8" t="n">
        <x:v>11</x:v>
      </x:c>
      <x:c r="C77" s="11" t="n">
        <x:v>43.535</x:v>
      </x:c>
      <x:c r="D77" s="11" t="n">
        <x:v>7.04</x:v>
      </x:c>
      <x:c r="E77" s="11" t="n">
        <x:v>7.36</x:v>
      </x:c>
      <x:c r="F77" s="11" t="n">
        <x:f>SQRT((C77-C76)^2+(D77-D76)^2+(E77-E76)^2)</x:f>
        <x:v>0.6400000000000006</x:v>
      </x:c>
      <x:c r="G77" s="8" t="str">
        <x:v>Current</x:v>
      </x:c>
    </x:row>
    <x:row r="78" ht="32" customHeight="1">
      <x:c r="A78" s="8" t="str">
        <x:v>trunk:FC1:F1:fan:1</x:v>
      </x:c>
      <x:c r="B78" s="8" t="n">
        <x:v>12</x:v>
      </x:c>
      <x:c r="C78" s="11" t="n">
        <x:v>43.455</x:v>
      </x:c>
      <x:c r="D78" s="11" t="n">
        <x:v>6.950412371134024</x:v>
      </x:c>
      <x:c r="E78" s="11" t="n">
        <x:v>7.36</x:v>
      </x:c>
      <x:c r="F78" s="11" t="n">
        <x:f>SQRT((C78-C77)^2+(D78-D77)^2+(E78-E77)^2)</x:f>
        <x:v>0.12010804821421249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13</x:v>
      </x:c>
      <x:c r="C79" s="11" t="n">
        <x:v>40.574999999999996</x:v>
      </x:c>
      <x:c r="D79" s="11" t="n">
        <x:v>9.269999999999994</x:v>
      </x:c>
      <x:c r="E79" s="11" t="n">
        <x:v>7.36</x:v>
      </x:c>
      <x:c r="F79" s="11" t="n">
        <x:f>SQRT((C79-C78)^2+(D79-D78)^2+(E79-E78)^2)</x:f>
        <x:v>3.6979571073753776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14</x:v>
      </x:c>
      <x:c r="C80" s="11" t="n">
        <x:v>37.695</x:v>
      </x:c>
      <x:c r="D80" s="11" t="n">
        <x:v>6.950412371134018</x:v>
      </x:c>
      <x:c r="E80" s="11" t="n">
        <x:v>7.36</x:v>
      </x:c>
      <x:c r="F80" s="11" t="n">
        <x:f>SQRT((C80-C79)^2+(D80-D79)^2+(E80-E79)^2)</x:f>
        <x:v>3.697957107375376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15</x:v>
      </x:c>
      <x:c r="C81" s="11" t="n">
        <x:v>37.615</x:v>
      </x:c>
      <x:c r="D81" s="11" t="n">
        <x:v>7.04</x:v>
      </x:c>
      <x:c r="E81" s="11" t="n">
        <x:v>7.36</x:v>
      </x:c>
      <x:c r="F81" s="11" t="n">
        <x:f>SQRT((C81-C80)^2+(D81-D80)^2+(E81-E80)^2)</x:f>
        <x:v>0.12010804821421713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16</x:v>
      </x:c>
      <x:c r="C82" s="11" t="n">
        <x:v>36.975</x:v>
      </x:c>
      <x:c r="D82" s="11" t="n">
        <x:v>7.04</x:v>
      </x:c>
      <x:c r="E82" s="11" t="n">
        <x:v>7.36</x:v>
      </x:c>
      <x:c r="F82" s="11" t="n">
        <x:f>SQRT((C82-C81)^2+(D82-D81)^2+(E82-E81)^2)</x:f>
        <x:v>0.6400000000000006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17</x:v>
      </x:c>
      <x:c r="C83" s="11" t="n">
        <x:v>36.975</x:v>
      </x:c>
      <x:c r="D83" s="11" t="n">
        <x:v>6.0040000000000004</x:v>
      </x:c>
      <x:c r="E83" s="11" t="n">
        <x:v>7.36</x:v>
      </x:c>
      <x:c r="F83" s="11" t="n">
        <x:f>SQRT((C83-C82)^2+(D83-D82)^2+(E83-E82)^2)</x:f>
        <x:v>1.0359999999999996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18</x:v>
      </x:c>
      <x:c r="C84" s="11" t="n">
        <x:v>9.030000000000001</x:v>
      </x:c>
      <x:c r="D84" s="11" t="n">
        <x:v>6.0040000000000004</x:v>
      </x:c>
      <x:c r="E84" s="11" t="n">
        <x:v>7.36</x:v>
      </x:c>
      <x:c r="F84" s="11" t="n">
        <x:f>SQRT((C84-C83)^2+(D84-D83)^2+(E84-E83)^2)</x:f>
        <x:v>27.945</x:v>
      </x:c>
      <x:c r="G84" s="8" t="str">
        <x:v>Current</x:v>
      </x:c>
    </x:row>
    <x:row r="85" ht="32" customHeight="1">
      <x:c r="A85" s="8" t="str">
        <x:v>drop:FC1:F1:fan:1:F227</x:v>
      </x:c>
      <x:c r="B85" s="8" t="n">
        <x:v>1</x:v>
      </x:c>
      <x:c r="C85" s="11" t="n">
        <x:v>9.030000000000001</x:v>
      </x:c>
      <x:c r="D85" s="11" t="n">
        <x:v>6.0040000000000004</x:v>
      </x:c>
      <x:c r="E85" s="11" t="n">
        <x:v>7.36</x:v>
      </x:c>
      <x:c r="F85" s="11" t="n">
        <x:f>0</x:f>
        <x:v>0</x:v>
      </x:c>
      <x:c r="G85" s="8" t="str">
        <x:v>Current</x:v>
      </x:c>
    </x:row>
    <x:row r="86" ht="32" customHeight="1">
      <x:c r="A86" s="8" t="str">
        <x:v>drop:FC1:F1:fan:1:F227</x:v>
      </x:c>
      <x:c r="B86" s="8" t="n">
        <x:v>2</x:v>
      </x:c>
      <x:c r="C86" s="11" t="n">
        <x:v>9.030000000000001</x:v>
      </x:c>
      <x:c r="D86" s="11" t="n">
        <x:v>7.04</x:v>
      </x:c>
      <x:c r="E86" s="11" t="n">
        <x:v>7.36</x:v>
      </x:c>
      <x:c r="F86" s="11" t="n">
        <x:f>SQRT((C86-C85)^2+(D86-D85)^2+(E86-E85)^2)</x:f>
        <x:v>1.0359999999999996</x:v>
      </x:c>
      <x:c r="G86" s="8" t="str">
        <x:v>Current</x:v>
      </x:c>
    </x:row>
    <x:row r="87" ht="32" customHeight="1">
      <x:c r="A87" s="8" t="str">
        <x:v>drop:FC1:F1:fan:1:F227</x:v>
      </x:c>
      <x:c r="B87" s="8" t="n">
        <x:v>3</x:v>
      </x:c>
      <x:c r="C87" s="11" t="n">
        <x:v>7.725</x:v>
      </x:c>
      <x:c r="D87" s="11" t="n">
        <x:v>7.04</x:v>
      </x:c>
      <x:c r="E87" s="11" t="n">
        <x:v>7.36</x:v>
      </x:c>
      <x:c r="F87" s="11" t="n">
        <x:f>SQRT((C87-C86)^2+(D87-D86)^2+(E87-E86)^2)</x:f>
        <x:v>1.3050000000000015</x:v>
      </x:c>
      <x:c r="G87" s="8" t="str">
        <x:v>Current</x:v>
      </x:c>
    </x:row>
    <x:row r="88" ht="32" customHeight="1">
      <x:c r="A88" s="8" t="str">
        <x:v>drop:FC1:F1:fan:1:F227</x:v>
      </x:c>
      <x:c r="B88" s="8" t="n">
        <x:v>4</x:v>
      </x:c>
      <x:c r="C88" s="11" t="n">
        <x:v>7.725</x:v>
      </x:c>
      <x:c r="D88" s="11" t="n">
        <x:v>9.18841304347826</x:v>
      </x:c>
      <x:c r="E88" s="11" t="n">
        <x:v>4.4</x:v>
      </x:c>
      <x:c r="F88" s="11" t="n">
        <x:f>SQRT((C88-C87)^2+(D88-D87)^2+(E88-E87)^2)</x:f>
        <x:v>3.6574962208302444</x:v>
      </x:c>
      <x:c r="G88" s="8" t="str">
        <x:v>Current</x:v>
      </x:c>
    </x:row>
    <x:row r="89" ht="32" customHeight="1">
      <x:c r="A89" s="8" t="str">
        <x:v>drop:FC1:F1:fan:1:F227</x:v>
      </x:c>
      <x:c r="B89" s="8" t="n">
        <x:v>5</x:v>
      </x:c>
      <x:c r="C89" s="11" t="n">
        <x:v>7.725</x:v>
      </x:c>
      <x:c r="D89" s="11" t="n">
        <x:v>9.028413043478261</x:v>
      </x:c>
      <x:c r="E89" s="11" t="n">
        <x:v>4.4</x:v>
      </x:c>
      <x:c r="F89" s="11" t="n">
        <x:f>SQRT((C89-C88)^2+(D89-D88)^2+(E89-E88)^2)</x:f>
        <x:v>0.15999999999999837</x:v>
      </x:c>
      <x:c r="G89" s="8" t="str">
        <x:v>Current</x:v>
      </x:c>
    </x:row>
    <x:row r="90" ht="32" customHeight="1">
      <x:c r="A90" s="8" t="str">
        <x:v>drop:FC1:F1:fan:1:F227</x:v>
      </x:c>
      <x:c r="B90" s="8" t="n">
        <x:v>6</x:v>
      </x:c>
      <x:c r="C90" s="11" t="n">
        <x:v>7.725</x:v>
      </x:c>
      <x:c r="D90" s="11" t="n">
        <x:v>3.9</x:v>
      </x:c>
      <x:c r="E90" s="11" t="n">
        <x:v>4.4</x:v>
      </x:c>
      <x:c r="F90" s="11" t="n">
        <x:f>SQRT((C90-C89)^2+(D90-D89)^2+(E90-E89)^2)</x:f>
        <x:v>5.128413043478261</x:v>
      </x:c>
      <x:c r="G90" s="8" t="str">
        <x:v>Current</x:v>
      </x:c>
    </x:row>
    <x:row r="91" ht="32" customHeight="1">
      <x:c r="A91" s="8" t="str">
        <x:v>drop:FC1:F1:fan:1:F229</x:v>
      </x:c>
      <x:c r="B91" s="8" t="n">
        <x:v>1</x:v>
      </x:c>
      <x:c r="C91" s="11" t="n">
        <x:v>13.530000000000001</x:v>
      </x:c>
      <x:c r="D91" s="11" t="n">
        <x:v>6.0040000000000004</x:v>
      </x:c>
      <x:c r="E91" s="11" t="n">
        <x:v>7.36</x:v>
      </x:c>
      <x:c r="F91" s="11" t="n">
        <x:f>0</x:f>
        <x:v>0</x:v>
      </x:c>
      <x:c r="G91" s="8" t="str">
        <x:v>Current</x:v>
      </x:c>
    </x:row>
    <x:row r="92" ht="32" customHeight="1">
      <x:c r="A92" s="8" t="str">
        <x:v>drop:FC1:F1:fan:1:F229</x:v>
      </x:c>
      <x:c r="B92" s="8" t="n">
        <x:v>2</x:v>
      </x:c>
      <x:c r="C92" s="11" t="n">
        <x:v>13.530000000000001</x:v>
      </x:c>
      <x:c r="D92" s="11" t="n">
        <x:v>7.04</x:v>
      </x:c>
      <x:c r="E92" s="11" t="n">
        <x:v>7.36</x:v>
      </x:c>
      <x:c r="F92" s="11" t="n">
        <x:f>SQRT((C92-C91)^2+(D92-D91)^2+(E92-E91)^2)</x:f>
        <x:v>1.0359999999999996</x:v>
      </x:c>
      <x:c r="G92" s="8" t="str">
        <x:v>Current</x:v>
      </x:c>
    </x:row>
    <x:row r="93" ht="32" customHeight="1">
      <x:c r="A93" s="8" t="str">
        <x:v>drop:FC1:F1:fan:1:F229</x:v>
      </x:c>
      <x:c r="B93" s="8" t="n">
        <x:v>3</x:v>
      </x:c>
      <x:c r="C93" s="11" t="n">
        <x:v>12.225</x:v>
      </x:c>
      <x:c r="D93" s="11" t="n">
        <x:v>7.04</x:v>
      </x:c>
      <x:c r="E93" s="11" t="n">
        <x:v>7.36</x:v>
      </x:c>
      <x:c r="F93" s="11" t="n">
        <x:f>SQRT((C93-C92)^2+(D93-D92)^2+(E93-E92)^2)</x:f>
        <x:v>1.3050000000000015</x:v>
      </x:c>
      <x:c r="G93" s="8" t="str">
        <x:v>Current</x:v>
      </x:c>
    </x:row>
    <x:row r="94" ht="32" customHeight="1">
      <x:c r="A94" s="8" t="str">
        <x:v>drop:FC1:F1:fan:1:F229</x:v>
      </x:c>
      <x:c r="B94" s="8" t="n">
        <x:v>4</x:v>
      </x:c>
      <x:c r="C94" s="11" t="n">
        <x:v>12.225</x:v>
      </x:c>
      <x:c r="D94" s="11" t="n">
        <x:v>9.18841304347826</x:v>
      </x:c>
      <x:c r="E94" s="11" t="n">
        <x:v>4.4</x:v>
      </x:c>
      <x:c r="F94" s="11" t="n">
        <x:f>SQRT((C94-C93)^2+(D94-D93)^2+(E94-E93)^2)</x:f>
        <x:v>3.6574962208302444</x:v>
      </x:c>
      <x:c r="G94" s="8" t="str">
        <x:v>Current</x:v>
      </x:c>
    </x:row>
    <x:row r="95" ht="32" customHeight="1">
      <x:c r="A95" s="8" t="str">
        <x:v>drop:FC1:F1:fan:1:F229</x:v>
      </x:c>
      <x:c r="B95" s="8" t="n">
        <x:v>5</x:v>
      </x:c>
      <x:c r="C95" s="11" t="n">
        <x:v>12.225</x:v>
      </x:c>
      <x:c r="D95" s="11" t="n">
        <x:v>9.028413043478261</x:v>
      </x:c>
      <x:c r="E95" s="11" t="n">
        <x:v>4.4</x:v>
      </x:c>
      <x:c r="F95" s="11" t="n">
        <x:f>SQRT((C95-C94)^2+(D95-D94)^2+(E95-E94)^2)</x:f>
        <x:v>0.15999999999999837</x:v>
      </x:c>
      <x:c r="G95" s="8" t="str">
        <x:v>Current</x:v>
      </x:c>
    </x:row>
    <x:row r="96" ht="32" customHeight="1">
      <x:c r="A96" s="8" t="str">
        <x:v>drop:FC1:F1:fan:1:F229</x:v>
      </x:c>
      <x:c r="B96" s="8" t="n">
        <x:v>6</x:v>
      </x:c>
      <x:c r="C96" s="11" t="n">
        <x:v>12.225</x:v>
      </x:c>
      <x:c r="D96" s="11" t="n">
        <x:v>3.9</x:v>
      </x:c>
      <x:c r="E96" s="11" t="n">
        <x:v>4.4</x:v>
      </x:c>
      <x:c r="F96" s="11" t="n">
        <x:f>SQRT((C96-C95)^2+(D96-D95)^2+(E96-E95)^2)</x:f>
        <x:v>5.128413043478261</x:v>
      </x:c>
      <x:c r="G96" s="8" t="str">
        <x:v>Current</x:v>
      </x:c>
    </x:row>
    <x:row r="97" ht="32" customHeight="1">
      <x:c r="A97" s="8" t="str">
        <x:v>drop:FC1:F1:fan:1:F231</x:v>
      </x:c>
      <x:c r="B97" s="8" t="n">
        <x:v>1</x:v>
      </x:c>
      <x:c r="C97" s="11" t="n">
        <x:v>18.02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drop:FC1:F1:fan:1:F231</x:v>
      </x:c>
      <x:c r="B98" s="8" t="n">
        <x:v>2</x:v>
      </x:c>
      <x:c r="C98" s="11" t="n">
        <x:v>18.02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drop:FC1:F1:fan:1:F231</x:v>
      </x:c>
      <x:c r="B99" s="8" t="n">
        <x:v>3</x:v>
      </x:c>
      <x:c r="C99" s="11" t="n">
        <x:v>16.725</x:v>
      </x:c>
      <x:c r="D99" s="11" t="n">
        <x:v>7.04</x:v>
      </x:c>
      <x:c r="E99" s="11" t="n">
        <x:v>7.36</x:v>
      </x:c>
      <x:c r="F99" s="11" t="n">
        <x:f>SQRT((C99-C98)^2+(D99-D98)^2+(E99-E98)^2)</x:f>
        <x:v>1.2949999999999982</x:v>
      </x:c>
      <x:c r="G99" s="8" t="str">
        <x:v>Current</x:v>
      </x:c>
    </x:row>
    <x:row r="100" ht="32" customHeight="1">
      <x:c r="A100" s="8" t="str">
        <x:v>drop:FC1:F1:fan:1:F231</x:v>
      </x:c>
      <x:c r="B100" s="8" t="n">
        <x:v>4</x:v>
      </x:c>
      <x:c r="C100" s="11" t="n">
        <x:v>16.725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drop:FC1:F1:fan:1:F231</x:v>
      </x:c>
      <x:c r="B101" s="8" t="n">
        <x:v>5</x:v>
      </x:c>
      <x:c r="C101" s="11" t="n">
        <x:v>16.725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drop:FC1:F1:fan:1:F231</x:v>
      </x:c>
      <x:c r="B102" s="8" t="n">
        <x:v>6</x:v>
      </x:c>
      <x:c r="C102" s="11" t="n">
        <x:v>16.725</x:v>
      </x:c>
      <x:c r="D102" s="11" t="n">
        <x:v>3.9</x:v>
      </x:c>
      <x:c r="E102" s="11" t="n">
        <x:v>4.4</x:v>
      </x:c>
      <x:c r="F102" s="11" t="n">
        <x:f>SQRT((C102-C101)^2+(D102-D101)^2+(E102-E101)^2)</x:f>
        <x:v>5.128413043478261</x:v>
      </x:c>
      <x:c r="G102" s="8" t="str">
        <x:v>Current</x:v>
      </x:c>
    </x:row>
    <x:row r="103" ht="32" customHeight="1">
      <x:c r="A103" s="8" t="str">
        <x:v>drop:FC1:F1:fan:1:F233</x:v>
      </x:c>
      <x:c r="B103" s="8" t="n">
        <x:v>1</x:v>
      </x:c>
      <x:c r="C103" s="11" t="n">
        <x:v>22.53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drop:FC1:F1:fan:1:F233</x:v>
      </x:c>
      <x:c r="B104" s="8" t="n">
        <x:v>2</x:v>
      </x:c>
      <x:c r="C104" s="11" t="n">
        <x:v>22.53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drop:FC1:F1:fan:1:F233</x:v>
      </x:c>
      <x:c r="B105" s="8" t="n">
        <x:v>3</x:v>
      </x:c>
      <x:c r="C105" s="11" t="n">
        <x:v>21.225</x:v>
      </x:c>
      <x:c r="D105" s="11" t="n">
        <x:v>7.04</x:v>
      </x:c>
      <x:c r="E105" s="11" t="n">
        <x:v>7.36</x:v>
      </x:c>
      <x:c r="F105" s="11" t="n">
        <x:f>SQRT((C105-C104)^2+(D105-D104)^2+(E105-E104)^2)</x:f>
        <x:v>1.3049999999999997</x:v>
      </x:c>
      <x:c r="G105" s="8" t="str">
        <x:v>Current</x:v>
      </x:c>
    </x:row>
    <x:row r="106" ht="32" customHeight="1">
      <x:c r="A106" s="8" t="str">
        <x:v>drop:FC1:F1:fan:1:F233</x:v>
      </x:c>
      <x:c r="B106" s="8" t="n">
        <x:v>4</x:v>
      </x:c>
      <x:c r="C106" s="11" t="n">
        <x:v>21.225</x:v>
      </x:c>
      <x:c r="D106" s="11" t="n">
        <x:v>9.18841304347826</x:v>
      </x:c>
      <x:c r="E106" s="11" t="n">
        <x:v>4.4</x:v>
      </x:c>
      <x:c r="F106" s="11" t="n">
        <x:f>SQRT((C106-C105)^2+(D106-D105)^2+(E106-E105)^2)</x:f>
        <x:v>3.6574962208302444</x:v>
      </x:c>
      <x:c r="G106" s="8" t="str">
        <x:v>Current</x:v>
      </x:c>
    </x:row>
    <x:row r="107" ht="32" customHeight="1">
      <x:c r="A107" s="8" t="str">
        <x:v>drop:FC1:F1:fan:1:F233</x:v>
      </x:c>
      <x:c r="B107" s="8" t="n">
        <x:v>5</x:v>
      </x:c>
      <x:c r="C107" s="11" t="n">
        <x:v>21.225</x:v>
      </x:c>
      <x:c r="D107" s="11" t="n">
        <x:v>9.028413043478261</x:v>
      </x:c>
      <x:c r="E107" s="11" t="n">
        <x:v>4.4</x:v>
      </x:c>
      <x:c r="F107" s="11" t="n">
        <x:f>SQRT((C107-C106)^2+(D107-D106)^2+(E107-E106)^2)</x:f>
        <x:v>0.15999999999999837</x:v>
      </x:c>
      <x:c r="G107" s="8" t="str">
        <x:v>Current</x:v>
      </x:c>
    </x:row>
    <x:row r="108" ht="32" customHeight="1">
      <x:c r="A108" s="8" t="str">
        <x:v>drop:FC1:F1:fan:1:F233</x:v>
      </x:c>
      <x:c r="B108" s="8" t="n">
        <x:v>6</x:v>
      </x:c>
      <x:c r="C108" s="11" t="n">
        <x:v>21.225</x:v>
      </x:c>
      <x:c r="D108" s="11" t="n">
        <x:v>3.9</x:v>
      </x:c>
      <x:c r="E108" s="11" t="n">
        <x:v>4.4</x:v>
      </x:c>
      <x:c r="F108" s="11" t="n">
        <x:f>SQRT((C108-C107)^2+(D108-D107)^2+(E108-E107)^2)</x:f>
        <x:v>5.128413043478261</x:v>
      </x:c>
      <x:c r="G108" s="8" t="str">
        <x:v>Current</x:v>
      </x:c>
    </x:row>
    <x:row r="109" ht="32" customHeight="1">
      <x:c r="A109" s="8" t="str">
        <x:v>drop:FC1:F1:fan:1:F235</x:v>
      </x:c>
      <x:c r="B109" s="8" t="n">
        <x:v>1</x:v>
      </x:c>
      <x:c r="C109" s="11" t="n">
        <x:v>27.03</x:v>
      </x:c>
      <x:c r="D109" s="11" t="n">
        <x:v>6.0040000000000004</x:v>
      </x:c>
      <x:c r="E109" s="11" t="n">
        <x:v>7.36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drop:FC1:F1:fan:1:F235</x:v>
      </x:c>
      <x:c r="B110" s="8" t="n">
        <x:v>2</x:v>
      </x:c>
      <x:c r="C110" s="11" t="n">
        <x:v>27.03</x:v>
      </x:c>
      <x:c r="D110" s="11" t="n">
        <x:v>7.04</x:v>
      </x:c>
      <x:c r="E110" s="11" t="n">
        <x:v>7.36</x:v>
      </x:c>
      <x:c r="F110" s="11" t="n">
        <x:f>SQRT((C110-C109)^2+(D110-D109)^2+(E110-E109)^2)</x:f>
        <x:v>1.0359999999999996</x:v>
      </x:c>
      <x:c r="G110" s="8" t="str">
        <x:v>Current</x:v>
      </x:c>
    </x:row>
    <x:row r="111" ht="32" customHeight="1">
      <x:c r="A111" s="8" t="str">
        <x:v>drop:FC1:F1:fan:1:F235</x:v>
      </x:c>
      <x:c r="B111" s="8" t="n">
        <x:v>3</x:v>
      </x:c>
      <x:c r="C111" s="11" t="n">
        <x:v>25.725</x:v>
      </x:c>
      <x:c r="D111" s="11" t="n">
        <x:v>7.04</x:v>
      </x:c>
      <x:c r="E111" s="11" t="n">
        <x:v>7.36</x:v>
      </x:c>
      <x:c r="F111" s="11" t="n">
        <x:f>SQRT((C111-C110)^2+(D111-D110)^2+(E111-E110)^2)</x:f>
        <x:v>1.3049999999999997</x:v>
      </x:c>
      <x:c r="G111" s="8" t="str">
        <x:v>Current</x:v>
      </x:c>
    </x:row>
    <x:row r="112" ht="32" customHeight="1">
      <x:c r="A112" s="8" t="str">
        <x:v>drop:FC1:F1:fan:1:F235</x:v>
      </x:c>
      <x:c r="B112" s="8" t="n">
        <x:v>4</x:v>
      </x:c>
      <x:c r="C112" s="11" t="n">
        <x:v>25.725</x:v>
      </x:c>
      <x:c r="D112" s="11" t="n">
        <x:v>9.18841304347826</x:v>
      </x:c>
      <x:c r="E112" s="11" t="n">
        <x:v>4.4</x:v>
      </x:c>
      <x:c r="F112" s="11" t="n">
        <x:f>SQRT((C112-C111)^2+(D112-D111)^2+(E112-E111)^2)</x:f>
        <x:v>3.6574962208302444</x:v>
      </x:c>
      <x:c r="G112" s="8" t="str">
        <x:v>Current</x:v>
      </x:c>
    </x:row>
    <x:row r="113" ht="32" customHeight="1">
      <x:c r="A113" s="8" t="str">
        <x:v>drop:FC1:F1:fan:1:F235</x:v>
      </x:c>
      <x:c r="B113" s="8" t="n">
        <x:v>5</x:v>
      </x:c>
      <x:c r="C113" s="11" t="n">
        <x:v>25.725</x:v>
      </x:c>
      <x:c r="D113" s="11" t="n">
        <x:v>9.028413043478261</x:v>
      </x:c>
      <x:c r="E113" s="11" t="n">
        <x:v>4.4</x:v>
      </x:c>
      <x:c r="F113" s="11" t="n">
        <x:f>SQRT((C113-C112)^2+(D113-D112)^2+(E113-E112)^2)</x:f>
        <x:v>0.15999999999999837</x:v>
      </x:c>
      <x:c r="G113" s="8" t="str">
        <x:v>Current</x:v>
      </x:c>
    </x:row>
    <x:row r="114" ht="32" customHeight="1">
      <x:c r="A114" s="8" t="str">
        <x:v>drop:FC1:F1:fan:1:F235</x:v>
      </x:c>
      <x:c r="B114" s="8" t="n">
        <x:v>6</x:v>
      </x:c>
      <x:c r="C114" s="11" t="n">
        <x:v>25.725</x:v>
      </x:c>
      <x:c r="D114" s="11" t="n">
        <x:v>3.9</x:v>
      </x:c>
      <x:c r="E114" s="11" t="n">
        <x:v>4.4</x:v>
      </x:c>
      <x:c r="F114" s="11" t="n">
        <x:f>SQRT((C114-C113)^2+(D114-D113)^2+(E114-E113)^2)</x:f>
        <x:v>5.128413043478261</x:v>
      </x:c>
      <x:c r="G114" s="8" t="str">
        <x:v>Current</x:v>
      </x:c>
    </x:row>
    <x:row r="115" ht="32" customHeight="1">
      <x:c r="A115" s="8" t="str">
        <x:v>drop:FC1:F1:fan:1:F237</x:v>
      </x:c>
      <x:c r="B115" s="8" t="n">
        <x:v>1</x:v>
      </x:c>
      <x:c r="C115" s="11" t="n">
        <x:v>31.53</x:v>
      </x:c>
      <x:c r="D115" s="11" t="n">
        <x:v>6.0040000000000004</x:v>
      </x:c>
      <x:c r="E115" s="11" t="n">
        <x:v>7.36</x:v>
      </x:c>
      <x:c r="F115" s="11" t="n">
        <x:f>0</x:f>
        <x:v>0</x:v>
      </x:c>
      <x:c r="G115" s="8" t="str">
        <x:v>Current</x:v>
      </x:c>
    </x:row>
    <x:row r="116" ht="32" customHeight="1">
      <x:c r="A116" s="8" t="str">
        <x:v>drop:FC1:F1:fan:1:F237</x:v>
      </x:c>
      <x:c r="B116" s="8" t="n">
        <x:v>2</x:v>
      </x:c>
      <x:c r="C116" s="11" t="n">
        <x:v>31.53</x:v>
      </x:c>
      <x:c r="D116" s="11" t="n">
        <x:v>7.04</x:v>
      </x:c>
      <x:c r="E116" s="11" t="n">
        <x:v>7.36</x:v>
      </x:c>
      <x:c r="F116" s="11" t="n">
        <x:f>SQRT((C116-C115)^2+(D116-D115)^2+(E116-E115)^2)</x:f>
        <x:v>1.0359999999999996</x:v>
      </x:c>
      <x:c r="G116" s="8" t="str">
        <x:v>Current</x:v>
      </x:c>
    </x:row>
    <x:row r="117" ht="32" customHeight="1">
      <x:c r="A117" s="8" t="str">
        <x:v>drop:FC1:F1:fan:1:F237</x:v>
      </x:c>
      <x:c r="B117" s="8" t="n">
        <x:v>3</x:v>
      </x:c>
      <x:c r="C117" s="11" t="n">
        <x:v>30.225</x:v>
      </x:c>
      <x:c r="D117" s="11" t="n">
        <x:v>7.04</x:v>
      </x:c>
      <x:c r="E117" s="11" t="n">
        <x:v>7.36</x:v>
      </x:c>
      <x:c r="F117" s="11" t="n">
        <x:f>SQRT((C117-C116)^2+(D117-D116)^2+(E117-E116)^2)</x:f>
        <x:v>1.3049999999999997</x:v>
      </x:c>
      <x:c r="G117" s="8" t="str">
        <x:v>Current</x:v>
      </x:c>
    </x:row>
    <x:row r="118" ht="32" customHeight="1">
      <x:c r="A118" s="8" t="str">
        <x:v>drop:FC1:F1:fan:1:F237</x:v>
      </x:c>
      <x:c r="B118" s="8" t="n">
        <x:v>4</x:v>
      </x:c>
      <x:c r="C118" s="11" t="n">
        <x:v>30.225</x:v>
      </x:c>
      <x:c r="D118" s="11" t="n">
        <x:v>9.18841304347826</x:v>
      </x:c>
      <x:c r="E118" s="11" t="n">
        <x:v>4.4</x:v>
      </x:c>
      <x:c r="F118" s="11" t="n">
        <x:f>SQRT((C118-C117)^2+(D118-D117)^2+(E118-E117)^2)</x:f>
        <x:v>3.6574962208302444</x:v>
      </x:c>
      <x:c r="G118" s="8" t="str">
        <x:v>Current</x:v>
      </x:c>
    </x:row>
    <x:row r="119" ht="32" customHeight="1">
      <x:c r="A119" s="8" t="str">
        <x:v>drop:FC1:F1:fan:1:F237</x:v>
      </x:c>
      <x:c r="B119" s="8" t="n">
        <x:v>5</x:v>
      </x:c>
      <x:c r="C119" s="11" t="n">
        <x:v>30.225</x:v>
      </x:c>
      <x:c r="D119" s="11" t="n">
        <x:v>9.028413043478261</x:v>
      </x:c>
      <x:c r="E119" s="11" t="n">
        <x:v>4.4</x:v>
      </x:c>
      <x:c r="F119" s="11" t="n">
        <x:f>SQRT((C119-C118)^2+(D119-D118)^2+(E119-E118)^2)</x:f>
        <x:v>0.15999999999999837</x:v>
      </x:c>
      <x:c r="G119" s="8" t="str">
        <x:v>Current</x:v>
      </x:c>
    </x:row>
    <x:row r="120" ht="32" customHeight="1">
      <x:c r="A120" s="8" t="str">
        <x:v>drop:FC1:F1:fan:1:F237</x:v>
      </x:c>
      <x:c r="B120" s="8" t="n">
        <x:v>6</x:v>
      </x:c>
      <x:c r="C120" s="11" t="n">
        <x:v>30.225</x:v>
      </x:c>
      <x:c r="D120" s="11" t="n">
        <x:v>3.9</x:v>
      </x:c>
      <x:c r="E120" s="11" t="n">
        <x:v>4.4</x:v>
      </x:c>
      <x:c r="F120" s="11" t="n">
        <x:f>SQRT((C120-C119)^2+(D120-D119)^2+(E120-E119)^2)</x:f>
        <x:v>5.128413043478261</x:v>
      </x:c>
      <x:c r="G120" s="8" t="str">
        <x:v>Current</x:v>
      </x:c>
    </x:row>
    <x:row r="121" ht="32" customHeight="1">
      <x:c r="A121" s="8" t="str">
        <x:v>drop:FC1:F1:fan:1:F239</x:v>
      </x:c>
      <x:c r="B121" s="8" t="n">
        <x:v>1</x:v>
      </x:c>
      <x:c r="C121" s="11" t="n">
        <x:v>36.02</x:v>
      </x:c>
      <x:c r="D121" s="11" t="n">
        <x:v>6.0040000000000004</x:v>
      </x:c>
      <x:c r="E121" s="11" t="n">
        <x:v>7.36</x:v>
      </x:c>
      <x:c r="F121" s="11" t="n">
        <x:f>0</x:f>
        <x:v>0</x:v>
      </x:c>
      <x:c r="G121" s="8" t="str">
        <x:v>Current</x:v>
      </x:c>
    </x:row>
    <x:row r="122" ht="32" customHeight="1">
      <x:c r="A122" s="8" t="str">
        <x:v>drop:FC1:F1:fan:1:F239</x:v>
      </x:c>
      <x:c r="B122" s="8" t="n">
        <x:v>2</x:v>
      </x:c>
      <x:c r="C122" s="11" t="n">
        <x:v>36.02</x:v>
      </x:c>
      <x:c r="D122" s="11" t="n">
        <x:v>7.04</x:v>
      </x:c>
      <x:c r="E122" s="11" t="n">
        <x:v>7.36</x:v>
      </x:c>
      <x:c r="F122" s="11" t="n">
        <x:f>SQRT((C122-C121)^2+(D122-D121)^2+(E122-E121)^2)</x:f>
        <x:v>1.0359999999999996</x:v>
      </x:c>
      <x:c r="G122" s="8" t="str">
        <x:v>Current</x:v>
      </x:c>
    </x:row>
    <x:row r="123" ht="32" customHeight="1">
      <x:c r="A123" s="8" t="str">
        <x:v>drop:FC1:F1:fan:1:F239</x:v>
      </x:c>
      <x:c r="B123" s="8" t="n">
        <x:v>3</x:v>
      </x:c>
      <x:c r="C123" s="11" t="n">
        <x:v>34.725</x:v>
      </x:c>
      <x:c r="D123" s="11" t="n">
        <x:v>7.04</x:v>
      </x:c>
      <x:c r="E123" s="11" t="n">
        <x:v>7.36</x:v>
      </x:c>
      <x:c r="F123" s="11" t="n">
        <x:f>SQRT((C123-C122)^2+(D123-D122)^2+(E123-E122)^2)</x:f>
        <x:v>1.2950000000000017</x:v>
      </x:c>
      <x:c r="G123" s="8" t="str">
        <x:v>Current</x:v>
      </x:c>
    </x:row>
    <x:row r="124" ht="32" customHeight="1">
      <x:c r="A124" s="8" t="str">
        <x:v>drop:FC1:F1:fan:1:F239</x:v>
      </x:c>
      <x:c r="B124" s="8" t="n">
        <x:v>4</x:v>
      </x:c>
      <x:c r="C124" s="11" t="n">
        <x:v>34.725</x:v>
      </x:c>
      <x:c r="D124" s="11" t="n">
        <x:v>9.18841304347826</x:v>
      </x:c>
      <x:c r="E124" s="11" t="n">
        <x:v>4.4</x:v>
      </x:c>
      <x:c r="F124" s="11" t="n">
        <x:f>SQRT((C124-C123)^2+(D124-D123)^2+(E124-E123)^2)</x:f>
        <x:v>3.6574962208302444</x:v>
      </x:c>
      <x:c r="G124" s="8" t="str">
        <x:v>Current</x:v>
      </x:c>
    </x:row>
    <x:row r="125" ht="32" customHeight="1">
      <x:c r="A125" s="8" t="str">
        <x:v>drop:FC1:F1:fan:1:F239</x:v>
      </x:c>
      <x:c r="B125" s="8" t="n">
        <x:v>5</x:v>
      </x:c>
      <x:c r="C125" s="11" t="n">
        <x:v>34.725</x:v>
      </x:c>
      <x:c r="D125" s="11" t="n">
        <x:v>9.028413043478261</x:v>
      </x:c>
      <x:c r="E125" s="11" t="n">
        <x:v>4.4</x:v>
      </x:c>
      <x:c r="F125" s="11" t="n">
        <x:f>SQRT((C125-C124)^2+(D125-D124)^2+(E125-E124)^2)</x:f>
        <x:v>0.15999999999999837</x:v>
      </x:c>
      <x:c r="G125" s="8" t="str">
        <x:v>Current</x:v>
      </x:c>
    </x:row>
    <x:row r="126" ht="32" customHeight="1">
      <x:c r="A126" s="8" t="str">
        <x:v>drop:FC1:F1:fan:1:F239</x:v>
      </x:c>
      <x:c r="B126" s="8" t="n">
        <x:v>6</x:v>
      </x:c>
      <x:c r="C126" s="11" t="n">
        <x:v>34.725</x:v>
      </x:c>
      <x:c r="D126" s="11" t="n">
        <x:v>3.9</x:v>
      </x:c>
      <x:c r="E126" s="11" t="n">
        <x:v>4.4</x:v>
      </x:c>
      <x:c r="F126" s="11" t="n">
        <x:f>SQRT((C126-C125)^2+(D126-D125)^2+(E126-E125)^2)</x:f>
        <x:v>5.128413043478261</x:v>
      </x:c>
      <x:c r="G126" s="8" t="str">
        <x:v>Current</x:v>
      </x:c>
    </x:row>
    <x:row r="127" ht="32" customHeight="1">
      <x:c r="A127" s="8" t="str">
        <x:v>trunk:FC1:F5:fan:-1</x:v>
      </x:c>
      <x:c r="B127" s="8" t="n">
        <x:v>1</x:v>
      </x:c>
      <x:c r="C127" s="11" t="n">
        <x:v>48.895</x:v>
      </x:c>
      <x:c r="D127" s="11" t="n">
        <x:v>1.95</x:v>
      </x:c>
      <x:c r="E127" s="11" t="n">
        <x:v>0.4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trunk:FC1:F5:fan:-1</x:v>
      </x:c>
      <x:c r="B128" s="8" t="n">
        <x:v>2</x:v>
      </x:c>
      <x:c r="C128" s="11" t="n">
        <x:v>48.735</x:v>
      </x:c>
      <x:c r="D128" s="11" t="n">
        <x:v>1.95</x:v>
      </x:c>
      <x:c r="E128" s="11" t="n">
        <x:v>0.4</x:v>
      </x:c>
      <x:c r="F128" s="11" t="n">
        <x:f>SQRT((C128-C127)^2+(D128-D127)^2+(E128-E127)^2)</x:f>
        <x:v>0.1600000000000037</x:v>
      </x:c>
      <x:c r="G128" s="8" t="str">
        <x:v>Current</x:v>
      </x:c>
    </x:row>
    <x:row r="129" ht="32" customHeight="1">
      <x:c r="A129" s="8" t="str">
        <x:v>trunk:FC1:F5:fan:-1</x:v>
      </x:c>
      <x:c r="B129" s="8" t="n">
        <x:v>3</x:v>
      </x:c>
      <x:c r="C129" s="11" t="n">
        <x:v>48.735</x:v>
      </x:c>
      <x:c r="D129" s="11" t="n">
        <x:v>1.95</x:v>
      </x:c>
      <x:c r="E129" s="11" t="n">
        <x:v>-2.24</x:v>
      </x:c>
      <x:c r="F129" s="11" t="n">
        <x:f>SQRT((C129-C128)^2+(D129-D128)^2+(E129-E128)^2)</x:f>
        <x:v>2.64</x:v>
      </x:c>
      <x:c r="G129" s="8" t="str">
        <x:v>Current</x:v>
      </x:c>
    </x:row>
    <x:row r="130" ht="32" customHeight="1">
      <x:c r="A130" s="8" t="str">
        <x:v>trunk:FC1:F5:fan:-1</x:v>
      </x:c>
      <x:c r="B130" s="8" t="n">
        <x:v>4</x:v>
      </x:c>
      <x:c r="C130" s="11" t="n">
        <x:v>48.735</x:v>
      </x:c>
      <x:c r="D130" s="11" t="n">
        <x:v>4.33</x:v>
      </x:c>
      <x:c r="E130" s="11" t="n">
        <x:v>-2.24</x:v>
      </x:c>
      <x:c r="F130" s="11" t="n">
        <x:f>SQRT((C130-C129)^2+(D130-D129)^2+(E130-E129)^2)</x:f>
        <x:v>2.38</x:v>
      </x:c>
      <x:c r="G130" s="8" t="str">
        <x:v>Current</x:v>
      </x:c>
    </x:row>
    <x:row r="131" ht="32" customHeight="1">
      <x:c r="A131" s="8" t="str">
        <x:v>trunk:FC1:F5:fan:-1</x:v>
      </x:c>
      <x:c r="B131" s="8" t="n">
        <x:v>5</x:v>
      </x:c>
      <x:c r="C131" s="11" t="n">
        <x:v>48.735</x:v>
      </x:c>
      <x:c r="D131" s="11" t="n">
        <x:v>4.33</x:v>
      </x:c>
      <x:c r="E131" s="11" t="n">
        <x:v>-3.3</x:v>
      </x:c>
      <x:c r="F131" s="11" t="n">
        <x:f>SQRT((C131-C130)^2+(D131-D130)^2+(E131-E130)^2)</x:f>
        <x:v>1.0599999999999996</x:v>
      </x:c>
      <x:c r="G131" s="8" t="str">
        <x:v>Current</x:v>
      </x:c>
    </x:row>
    <x:row r="132" ht="32" customHeight="1">
      <x:c r="A132" s="8" t="str">
        <x:v>trunk:FC1:F5:fan:-1</x:v>
      </x:c>
      <x:c r="B132" s="8" t="n">
        <x:v>6</x:v>
      </x:c>
      <x:c r="C132" s="11" t="n">
        <x:v>53.016</x:v>
      </x:c>
      <x:c r="D132" s="11" t="n">
        <x:v>4.33</x:v>
      </x:c>
      <x:c r="E132" s="11" t="n">
        <x:v>-3.3</x:v>
      </x:c>
      <x:c r="F132" s="11" t="n">
        <x:f>SQRT((C132-C131)^2+(D132-D131)^2+(E132-E131)^2)</x:f>
        <x:v>4.280999999999999</x:v>
      </x:c>
      <x:c r="G132" s="8" t="str">
        <x:v>Current</x:v>
      </x:c>
    </x:row>
    <x:row r="133" ht="32" customHeight="1">
      <x:c r="A133" s="8" t="str">
        <x:v>trunk:FC1:F5:fan:-1</x:v>
      </x:c>
      <x:c r="B133" s="8" t="n">
        <x:v>7</x:v>
      </x:c>
      <x:c r="C133" s="11" t="n">
        <x:v>53.016</x:v>
      </x:c>
      <x:c r="D133" s="11" t="n">
        <x:v>6.1000000000000005</x:v>
      </x:c>
      <x:c r="E133" s="11" t="n">
        <x:v>-3.3</x:v>
      </x:c>
      <x:c r="F133" s="11" t="n">
        <x:f>SQRT((C133-C132)^2+(D133-D132)^2+(E133-E132)^2)</x:f>
        <x:v>1.7700000000000005</x:v>
      </x:c>
      <x:c r="G133" s="8" t="str">
        <x:v>Current</x:v>
      </x:c>
    </x:row>
    <x:row r="134" ht="32" customHeight="1">
      <x:c r="A134" s="8" t="str">
        <x:v>trunk:FC1:F5:fan:-1</x:v>
      </x:c>
      <x:c r="B134" s="8" t="n">
        <x:v>8</x:v>
      </x:c>
      <x:c r="C134" s="11" t="n">
        <x:v>53.016</x:v>
      </x:c>
      <x:c r="D134" s="11" t="n">
        <x:v>6.1000000000000005</x:v>
      </x:c>
      <x:c r="E134" s="11" t="n">
        <x:v>-7.36</x:v>
      </x:c>
      <x:c r="F134" s="11" t="n">
        <x:f>SQRT((C134-C133)^2+(D134-D133)^2+(E134-E133)^2)</x:f>
        <x:v>4.0600000000000005</x:v>
      </x:c>
      <x:c r="G134" s="8" t="str">
        <x:v>Current</x:v>
      </x:c>
    </x:row>
    <x:row r="135" ht="32" customHeight="1">
      <x:c r="A135" s="8" t="str">
        <x:v>trunk:FC1:F5:fan:-1</x:v>
      </x:c>
      <x:c r="B135" s="8" t="n">
        <x:v>9</x:v>
      </x:c>
      <x:c r="C135" s="11" t="n">
        <x:v>44.175</x:v>
      </x:c>
      <x:c r="D135" s="11" t="n">
        <x:v>6.1000000000000005</x:v>
      </x:c>
      <x:c r="E135" s="11" t="n">
        <x:v>-7.36</x:v>
      </x:c>
      <x:c r="F135" s="11" t="n">
        <x:f>SQRT((C135-C134)^2+(D135-D134)^2+(E135-E134)^2)</x:f>
        <x:v>8.841000000000001</x:v>
      </x:c>
      <x:c r="G135" s="8" t="str">
        <x:v>Current</x:v>
      </x:c>
    </x:row>
    <x:row r="136" ht="32" customHeight="1">
      <x:c r="A136" s="8" t="str">
        <x:v>trunk:FC1:F5:fan:-1</x:v>
      </x:c>
      <x:c r="B136" s="8" t="n">
        <x:v>10</x:v>
      </x:c>
      <x:c r="C136" s="11" t="n">
        <x:v>44.175</x:v>
      </x:c>
      <x:c r="D136" s="11" t="n">
        <x:v>7.04</x:v>
      </x:c>
      <x:c r="E136" s="11" t="n">
        <x:v>-7.36</x:v>
      </x:c>
      <x:c r="F136" s="11" t="n">
        <x:f>SQRT((C136-C135)^2+(D136-D135)^2+(E136-E135)^2)</x:f>
        <x:v>0.9399999999999995</x:v>
      </x:c>
      <x:c r="G136" s="8" t="str">
        <x:v>Current</x:v>
      </x:c>
    </x:row>
    <x:row r="137" ht="32" customHeight="1">
      <x:c r="A137" s="8" t="str">
        <x:v>trunk:FC1:F5:fan:-1</x:v>
      </x:c>
      <x:c r="B137" s="8" t="n">
        <x:v>11</x:v>
      </x:c>
      <x:c r="C137" s="11" t="n">
        <x:v>43.535</x:v>
      </x:c>
      <x:c r="D137" s="11" t="n">
        <x:v>7.04</x:v>
      </x:c>
      <x:c r="E137" s="11" t="n">
        <x:v>-7.36</x:v>
      </x:c>
      <x:c r="F137" s="11" t="n">
        <x:f>SQRT((C137-C136)^2+(D137-D136)^2+(E137-E136)^2)</x:f>
        <x:v>0.6400000000000006</x:v>
      </x:c>
      <x:c r="G137" s="8" t="str">
        <x:v>Current</x:v>
      </x:c>
    </x:row>
    <x:row r="138" ht="32" customHeight="1">
      <x:c r="A138" s="8" t="str">
        <x:v>trunk:FC1:F5:fan:-1</x:v>
      </x:c>
      <x:c r="B138" s="8" t="n">
        <x:v>12</x:v>
      </x:c>
      <x:c r="C138" s="11" t="n">
        <x:v>43.455</x:v>
      </x:c>
      <x:c r="D138" s="11" t="n">
        <x:v>6.950412371134024</x:v>
      </x:c>
      <x:c r="E138" s="11" t="n">
        <x:v>-7.36</x:v>
      </x:c>
      <x:c r="F138" s="11" t="n">
        <x:f>SQRT((C138-C137)^2+(D138-D137)^2+(E138-E137)^2)</x:f>
        <x:v>0.12010804821421249</x:v>
      </x:c>
      <x:c r="G138" s="8" t="str">
        <x:v>Current</x:v>
      </x:c>
    </x:row>
    <x:row r="139" ht="32" customHeight="1">
      <x:c r="A139" s="8" t="str">
        <x:v>trunk:FC1:F5:fan:-1</x:v>
      </x:c>
      <x:c r="B139" s="8" t="n">
        <x:v>13</x:v>
      </x:c>
      <x:c r="C139" s="11" t="n">
        <x:v>40.574999999999996</x:v>
      </x:c>
      <x:c r="D139" s="11" t="n">
        <x:v>9.269999999999994</x:v>
      </x:c>
      <x:c r="E139" s="11" t="n">
        <x:v>-7.36</x:v>
      </x:c>
      <x:c r="F139" s="11" t="n">
        <x:f>SQRT((C139-C138)^2+(D139-D138)^2+(E139-E138)^2)</x:f>
        <x:v>3.6979571073753776</x:v>
      </x:c>
      <x:c r="G139" s="8" t="str">
        <x:v>Current</x:v>
      </x:c>
    </x:row>
    <x:row r="140" ht="32" customHeight="1">
      <x:c r="A140" s="8" t="str">
        <x:v>trunk:FC1:F5:fan:-1</x:v>
      </x:c>
      <x:c r="B140" s="8" t="n">
        <x:v>14</x:v>
      </x:c>
      <x:c r="C140" s="11" t="n">
        <x:v>38.05</x:v>
      </x:c>
      <x:c r="D140" s="11" t="n">
        <x:v>7.236333762886593</x:v>
      </x:c>
      <x:c r="E140" s="11" t="n">
        <x:v>-7.36</x:v>
      </x:c>
      <x:c r="F140" s="11" t="n">
        <x:f>SQRT((C140-C139)^2+(D140-D139)^2+(E140-E139)^2)</x:f>
        <x:v>3.2421325333759836</x:v>
      </x:c>
      <x:c r="G140" s="8" t="str">
        <x:v>Current</x:v>
      </x:c>
    </x:row>
    <x:row r="141" ht="32" customHeight="1">
      <x:c r="A141" s="8" t="str">
        <x:v>drop:FC1:F5:fan:-1:F240</x:v>
      </x:c>
      <x:c r="B141" s="8" t="n">
        <x:v>1</x:v>
      </x:c>
      <x:c r="C141" s="11" t="n">
        <x:v>38.05</x:v>
      </x:c>
      <x:c r="D141" s="11" t="n">
        <x:v>7.236333762886593</x:v>
      </x:c>
      <x:c r="E141" s="11" t="n">
        <x:v>-7.36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drop:FC1:F5:fan:-1:F240</x:v>
      </x:c>
      <x:c r="B142" s="8" t="n">
        <x:v>2</x:v>
      </x:c>
      <x:c r="C142" s="11" t="n">
        <x:v>38.05</x:v>
      </x:c>
      <x:c r="D142" s="11" t="n">
        <x:v>7.236333762886593</x:v>
      </x:c>
      <x:c r="E142" s="11" t="n">
        <x:v>-13.249</x:v>
      </x:c>
      <x:c r="F142" s="11" t="n">
        <x:f>SQRT((C142-C141)^2+(D142-D141)^2+(E142-E141)^2)</x:f>
        <x:v>5.889</x:v>
      </x:c>
      <x:c r="G142" s="8" t="str">
        <x:v>Current</x:v>
      </x:c>
    </x:row>
    <x:row r="143" ht="32" customHeight="1">
      <x:c r="A143" s="8" t="str">
        <x:v>drop:FC1:F5:fan:-1:F240</x:v>
      </x:c>
      <x:c r="B143" s="8" t="n">
        <x:v>3</x:v>
      </x:c>
      <x:c r="C143" s="11" t="n">
        <x:v>38.05</x:v>
      </x:c>
      <x:c r="D143" s="11" t="n">
        <x:v>4.05</x:v>
      </x:c>
      <x:c r="E143" s="11" t="n">
        <x:v>-13.249</x:v>
      </x:c>
      <x:c r="F143" s="11" t="n">
        <x:f>SQRT((C143-C142)^2+(D143-D142)^2+(E143-E142)^2)</x:f>
        <x:v>3.1863337628865933</x:v>
      </x:c>
      <x:c r="G143" s="8" t="str">
        <x:v>Current</x:v>
      </x:c>
    </x:row>
    <x:row r="144" ht="32" customHeight="1">
      <x:c r="A144" s="8" t="str">
        <x:v>drop:FC1:F5:fan:-1:F240</x:v>
      </x:c>
      <x:c r="B144" s="8" t="n">
        <x:v>4</x:v>
      </x:c>
      <x:c r="C144" s="11" t="n">
        <x:v>38.05</x:v>
      </x:c>
      <x:c r="D144" s="11" t="n">
        <x:v>4.05</x:v>
      </x:c>
      <x:c r="E144" s="11" t="n">
        <x:v>-13.06</x:v>
      </x:c>
      <x:c r="F144" s="11" t="n">
        <x:f>SQRT((C144-C143)^2+(D144-D143)^2+(E144-E143)^2)</x:f>
        <x:v>0.18900000000000006</x:v>
      </x:c>
      <x:c r="G144" s="8" t="str">
        <x:v>Current</x:v>
      </x:c>
    </x:row>
    <x:row r="145" ht="32" customHeight="1">
      <x:c r="A145" s="8" t="str">
        <x:v>drop:FC1:F5:fan:-1:F241</x:v>
      </x:c>
      <x:c r="B145" s="8" t="n">
        <x:v>1</x:v>
      </x:c>
      <x:c r="C145" s="11" t="n">
        <x:v>43.1</x:v>
      </x:c>
      <x:c r="D145" s="11" t="n">
        <x:v>7.236333762886598</x:v>
      </x:c>
      <x:c r="E145" s="11" t="n">
        <x:v>-7.36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drop:FC1:F5:fan:-1:F241</x:v>
      </x:c>
      <x:c r="B146" s="8" t="n">
        <x:v>2</x:v>
      </x:c>
      <x:c r="C146" s="11" t="n">
        <x:v>43.1</x:v>
      </x:c>
      <x:c r="D146" s="11" t="n">
        <x:v>7.2363337628865985</x:v>
      </x:c>
      <x:c r="E146" s="11" t="n">
        <x:v>-13.249</x:v>
      </x:c>
      <x:c r="F146" s="11" t="n">
        <x:f>SQRT((C146-C145)^2+(D146-D145)^2+(E146-E145)^2)</x:f>
        <x:v>5.889</x:v>
      </x:c>
      <x:c r="G146" s="8" t="str">
        <x:v>Current</x:v>
      </x:c>
    </x:row>
    <x:row r="147" ht="32" customHeight="1">
      <x:c r="A147" s="8" t="str">
        <x:v>drop:FC1:F5:fan:-1:F241</x:v>
      </x:c>
      <x:c r="B147" s="8" t="n">
        <x:v>3</x:v>
      </x:c>
      <x:c r="C147" s="11" t="n">
        <x:v>43.1</x:v>
      </x:c>
      <x:c r="D147" s="11" t="n">
        <x:v>4.05</x:v>
      </x:c>
      <x:c r="E147" s="11" t="n">
        <x:v>-13.249</x:v>
      </x:c>
      <x:c r="F147" s="11" t="n">
        <x:f>SQRT((C147-C146)^2+(D147-D146)^2+(E147-E146)^2)</x:f>
        <x:v>3.1863337628865986</x:v>
      </x:c>
      <x:c r="G147" s="8" t="str">
        <x:v>Current</x:v>
      </x:c>
    </x:row>
    <x:row r="148" ht="32" customHeight="1">
      <x:c r="A148" s="8" t="str">
        <x:v>drop:FC1:F5:fan:-1:F241</x:v>
      </x:c>
      <x:c r="B148" s="8" t="n">
        <x:v>4</x:v>
      </x:c>
      <x:c r="C148" s="11" t="n">
        <x:v>43.1</x:v>
      </x:c>
      <x:c r="D148" s="11" t="n">
        <x:v>4.05</x:v>
      </x:c>
      <x:c r="E148" s="11" t="n">
        <x:v>-13.06</x:v>
      </x:c>
      <x:c r="F148" s="11" t="n">
        <x:f>SQRT((C148-C147)^2+(D148-D147)^2+(E148-E147)^2)</x:f>
        <x:v>0.18900000000000006</x:v>
      </x:c>
      <x:c r="G148" s="8" t="str">
        <x:v>Current</x:v>
      </x:c>
    </x:row>
    <x:row r="149" ht="32" customHeight="1">
      <x:c r="A149" s="8" t="str">
        <x:v>trunk:FC1:F5:fan:1</x:v>
      </x:c>
      <x:c r="B149" s="8" t="n">
        <x:v>1</x:v>
      </x:c>
      <x:c r="C149" s="11" t="n">
        <x:v>48.895</x:v>
      </x:c>
      <x:c r="D149" s="11" t="n">
        <x:v>1.95</x:v>
      </x:c>
      <x:c r="E149" s="11" t="n">
        <x:v>0.4</x:v>
      </x:c>
      <x:c r="F149" s="11" t="n">
        <x:f>0</x:f>
        <x:v>0</x:v>
      </x:c>
      <x:c r="G149" s="8" t="str">
        <x:v>Current</x:v>
      </x:c>
    </x:row>
    <x:row r="150" ht="32" customHeight="1">
      <x:c r="A150" s="8" t="str">
        <x:v>trunk:FC1:F5:fan:1</x:v>
      </x:c>
      <x:c r="B150" s="8" t="n">
        <x:v>2</x:v>
      </x:c>
      <x:c r="C150" s="11" t="n">
        <x:v>48.735</x:v>
      </x:c>
      <x:c r="D150" s="11" t="n">
        <x:v>1.95</x:v>
      </x:c>
      <x:c r="E150" s="11" t="n">
        <x:v>0.4</x:v>
      </x:c>
      <x:c r="F150" s="11" t="n">
        <x:f>SQRT((C150-C149)^2+(D150-D149)^2+(E150-E149)^2)</x:f>
        <x:v>0.1600000000000037</x:v>
      </x:c>
      <x:c r="G150" s="8" t="str">
        <x:v>Current</x:v>
      </x:c>
    </x:row>
    <x:row r="151" ht="32" customHeight="1">
      <x:c r="A151" s="8" t="str">
        <x:v>trunk:FC1:F5:fan:1</x:v>
      </x:c>
      <x:c r="B151" s="8" t="n">
        <x:v>3</x:v>
      </x:c>
      <x:c r="C151" s="11" t="n">
        <x:v>48.735</x:v>
      </x:c>
      <x:c r="D151" s="11" t="n">
        <x:v>1.95</x:v>
      </x:c>
      <x:c r="E151" s="11" t="n">
        <x:v>-2.24</x:v>
      </x:c>
      <x:c r="F151" s="11" t="n">
        <x:f>SQRT((C151-C150)^2+(D151-D150)^2+(E151-E150)^2)</x:f>
        <x:v>2.64</x:v>
      </x:c>
      <x:c r="G151" s="8" t="str">
        <x:v>Current</x:v>
      </x:c>
    </x:row>
    <x:row r="152" ht="32" customHeight="1">
      <x:c r="A152" s="8" t="str">
        <x:v>trunk:FC1:F5:fan:1</x:v>
      </x:c>
      <x:c r="B152" s="8" t="n">
        <x:v>4</x:v>
      </x:c>
      <x:c r="C152" s="11" t="n">
        <x:v>48.735</x:v>
      </x:c>
      <x:c r="D152" s="11" t="n">
        <x:v>4.33</x:v>
      </x:c>
      <x:c r="E152" s="11" t="n">
        <x:v>-2.24</x:v>
      </x:c>
      <x:c r="F152" s="11" t="n">
        <x:f>SQRT((C152-C151)^2+(D152-D151)^2+(E152-E151)^2)</x:f>
        <x:v>2.38</x:v>
      </x:c>
      <x:c r="G152" s="8" t="str">
        <x:v>Current</x:v>
      </x:c>
    </x:row>
    <x:row r="153" ht="32" customHeight="1">
      <x:c r="A153" s="8" t="str">
        <x:v>trunk:FC1:F5:fan:1</x:v>
      </x:c>
      <x:c r="B153" s="8" t="n">
        <x:v>5</x:v>
      </x:c>
      <x:c r="C153" s="11" t="n">
        <x:v>48.735</x:v>
      </x:c>
      <x:c r="D153" s="11" t="n">
        <x:v>4.33</x:v>
      </x:c>
      <x:c r="E153" s="11" t="n">
        <x:v>-3.3</x:v>
      </x:c>
      <x:c r="F153" s="11" t="n">
        <x:f>SQRT((C153-C152)^2+(D153-D152)^2+(E153-E152)^2)</x:f>
        <x:v>1.0599999999999996</x:v>
      </x:c>
      <x:c r="G153" s="8" t="str">
        <x:v>Current</x:v>
      </x:c>
    </x:row>
    <x:row r="154" ht="32" customHeight="1">
      <x:c r="A154" s="8" t="str">
        <x:v>trunk:FC1:F5:fan:1</x:v>
      </x:c>
      <x:c r="B154" s="8" t="n">
        <x:v>6</x:v>
      </x:c>
      <x:c r="C154" s="11" t="n">
        <x:v>53.016</x:v>
      </x:c>
      <x:c r="D154" s="11" t="n">
        <x:v>4.33</x:v>
      </x:c>
      <x:c r="E154" s="11" t="n">
        <x:v>-3.3</x:v>
      </x:c>
      <x:c r="F154" s="11" t="n">
        <x:f>SQRT((C154-C153)^2+(D154-D153)^2+(E154-E153)^2)</x:f>
        <x:v>4.280999999999999</x:v>
      </x:c>
      <x:c r="G154" s="8" t="str">
        <x:v>Current</x:v>
      </x:c>
    </x:row>
    <x:row r="155" ht="32" customHeight="1">
      <x:c r="A155" s="8" t="str">
        <x:v>trunk:FC1:F5:fan:1</x:v>
      </x:c>
      <x:c r="B155" s="8" t="n">
        <x:v>7</x:v>
      </x:c>
      <x:c r="C155" s="11" t="n">
        <x:v>53.016</x:v>
      </x:c>
      <x:c r="D155" s="11" t="n">
        <x:v>6.1000000000000005</x:v>
      </x:c>
      <x:c r="E155" s="11" t="n">
        <x:v>-3.3</x:v>
      </x:c>
      <x:c r="F155" s="11" t="n">
        <x:f>SQRT((C155-C154)^2+(D155-D154)^2+(E155-E154)^2)</x:f>
        <x:v>1.7700000000000005</x:v>
      </x:c>
      <x:c r="G155" s="8" t="str">
        <x:v>Current</x:v>
      </x:c>
    </x:row>
    <x:row r="156" ht="32" customHeight="1">
      <x:c r="A156" s="8" t="str">
        <x:v>trunk:FC1:F5:fan:1</x:v>
      </x:c>
      <x:c r="B156" s="8" t="n">
        <x:v>8</x:v>
      </x:c>
      <x:c r="C156" s="11" t="n">
        <x:v>53.016</x:v>
      </x:c>
      <x:c r="D156" s="11" t="n">
        <x:v>6.1000000000000005</x:v>
      </x:c>
      <x:c r="E156" s="11" t="n">
        <x:v>7.36</x:v>
      </x:c>
      <x:c r="F156" s="11" t="n">
        <x:f>SQRT((C156-C155)^2+(D156-D155)^2+(E156-E155)^2)</x:f>
        <x:v>10.66</x:v>
      </x:c>
      <x:c r="G156" s="8" t="str">
        <x:v>Current</x:v>
      </x:c>
    </x:row>
    <x:row r="157" ht="32" customHeight="1">
      <x:c r="A157" s="8" t="str">
        <x:v>trunk:FC1:F5:fan:1</x:v>
      </x:c>
      <x:c r="B157" s="8" t="n">
        <x:v>9</x:v>
      </x:c>
      <x:c r="C157" s="11" t="n">
        <x:v>44.175</x:v>
      </x:c>
      <x:c r="D157" s="11" t="n">
        <x:v>6.1000000000000005</x:v>
      </x:c>
      <x:c r="E157" s="11" t="n">
        <x:v>7.36</x:v>
      </x:c>
      <x:c r="F157" s="11" t="n">
        <x:f>SQRT((C157-C156)^2+(D157-D156)^2+(E157-E156)^2)</x:f>
        <x:v>8.841000000000001</x:v>
      </x:c>
      <x:c r="G157" s="8" t="str">
        <x:v>Current</x:v>
      </x:c>
    </x:row>
    <x:row r="158" ht="32" customHeight="1">
      <x:c r="A158" s="8" t="str">
        <x:v>trunk:FC1:F5:fan:1</x:v>
      </x:c>
      <x:c r="B158" s="8" t="n">
        <x:v>10</x:v>
      </x:c>
      <x:c r="C158" s="11" t="n">
        <x:v>44.175</x:v>
      </x:c>
      <x:c r="D158" s="11" t="n">
        <x:v>7.04</x:v>
      </x:c>
      <x:c r="E158" s="11" t="n">
        <x:v>7.36</x:v>
      </x:c>
      <x:c r="F158" s="11" t="n">
        <x:f>SQRT((C158-C157)^2+(D158-D157)^2+(E158-E157)^2)</x:f>
        <x:v>0.9399999999999995</x:v>
      </x:c>
      <x:c r="G158" s="8" t="str">
        <x:v>Current</x:v>
      </x:c>
    </x:row>
    <x:row r="159" ht="32" customHeight="1">
      <x:c r="A159" s="8" t="str">
        <x:v>trunk:FC1:F5:fan:1</x:v>
      </x:c>
      <x:c r="B159" s="8" t="n">
        <x:v>11</x:v>
      </x:c>
      <x:c r="C159" s="11" t="n">
        <x:v>43.535</x:v>
      </x:c>
      <x:c r="D159" s="11" t="n">
        <x:v>7.04</x:v>
      </x:c>
      <x:c r="E159" s="11" t="n">
        <x:v>7.36</x:v>
      </x:c>
      <x:c r="F159" s="11" t="n">
        <x:f>SQRT((C159-C158)^2+(D159-D158)^2+(E159-E158)^2)</x:f>
        <x:v>0.6400000000000006</x:v>
      </x:c>
      <x:c r="G159" s="8" t="str">
        <x:v>Current</x:v>
      </x:c>
    </x:row>
    <x:row r="160" ht="32" customHeight="1">
      <x:c r="A160" s="8" t="str">
        <x:v>trunk:FC1:F5:fan:1</x:v>
      </x:c>
      <x:c r="B160" s="8" t="n">
        <x:v>12</x:v>
      </x:c>
      <x:c r="C160" s="11" t="n">
        <x:v>43.455</x:v>
      </x:c>
      <x:c r="D160" s="11" t="n">
        <x:v>6.950412371134024</x:v>
      </x:c>
      <x:c r="E160" s="11" t="n">
        <x:v>7.36</x:v>
      </x:c>
      <x:c r="F160" s="11" t="n">
        <x:f>SQRT((C160-C159)^2+(D160-D159)^2+(E160-E159)^2)</x:f>
        <x:v>0.12010804821421249</x:v>
      </x:c>
      <x:c r="G160" s="8" t="str">
        <x:v>Current</x:v>
      </x:c>
    </x:row>
    <x:row r="161" ht="32" customHeight="1">
      <x:c r="A161" s="8" t="str">
        <x:v>trunk:FC1:F5:fan:1</x:v>
      </x:c>
      <x:c r="B161" s="8" t="n">
        <x:v>13</x:v>
      </x:c>
      <x:c r="C161" s="11" t="n">
        <x:v>40.574999999999996</x:v>
      </x:c>
      <x:c r="D161" s="11" t="n">
        <x:v>9.269999999999994</x:v>
      </x:c>
      <x:c r="E161" s="11" t="n">
        <x:v>7.36</x:v>
      </x:c>
      <x:c r="F161" s="11" t="n">
        <x:f>SQRT((C161-C160)^2+(D161-D160)^2+(E161-E160)^2)</x:f>
        <x:v>3.6979571073753776</x:v>
      </x:c>
      <x:c r="G161" s="8" t="str">
        <x:v>Current</x:v>
      </x:c>
    </x:row>
    <x:row r="162" ht="32" customHeight="1">
      <x:c r="A162" s="8" t="str">
        <x:v>trunk:FC1:F5:fan:1</x:v>
      </x:c>
      <x:c r="B162" s="8" t="n">
        <x:v>14</x:v>
      </x:c>
      <x:c r="C162" s="11" t="n">
        <x:v>38.05</x:v>
      </x:c>
      <x:c r="D162" s="11" t="n">
        <x:v>7.236333762886593</x:v>
      </x:c>
      <x:c r="E162" s="11" t="n">
        <x:v>7.36</x:v>
      </x:c>
      <x:c r="F162" s="11" t="n">
        <x:f>SQRT((C162-C161)^2+(D162-D161)^2+(E162-E161)^2)</x:f>
        <x:v>3.2421325333759836</x:v>
      </x:c>
      <x:c r="G162" s="8" t="str">
        <x:v>Current</x:v>
      </x:c>
    </x:row>
    <x:row r="163" ht="32" customHeight="1">
      <x:c r="A163" s="8" t="str">
        <x:v>drop:FC1:F5:fan:1:F242</x:v>
      </x:c>
      <x:c r="B163" s="8" t="n">
        <x:v>1</x:v>
      </x:c>
      <x:c r="C163" s="11" t="n">
        <x:v>38.05</x:v>
      </x:c>
      <x:c r="D163" s="11" t="n">
        <x:v>7.236333762886593</x:v>
      </x:c>
      <x:c r="E163" s="11" t="n">
        <x:v>7.36</x:v>
      </x:c>
      <x:c r="F163" s="11" t="n">
        <x:f>0</x:f>
        <x:v>0</x:v>
      </x:c>
      <x:c r="G163" s="8" t="str">
        <x:v>Current</x:v>
      </x:c>
    </x:row>
    <x:row r="164" ht="32" customHeight="1">
      <x:c r="A164" s="8" t="str">
        <x:v>drop:FC1:F5:fan:1:F242</x:v>
      </x:c>
      <x:c r="B164" s="8" t="n">
        <x:v>2</x:v>
      </x:c>
      <x:c r="C164" s="11" t="n">
        <x:v>38.05</x:v>
      </x:c>
      <x:c r="D164" s="11" t="n">
        <x:v>7.236333762886593</x:v>
      </x:c>
      <x:c r="E164" s="11" t="n">
        <x:v>13.249</x:v>
      </x:c>
      <x:c r="F164" s="11" t="n">
        <x:f>SQRT((C164-C163)^2+(D164-D163)^2+(E164-E163)^2)</x:f>
        <x:v>5.889</x:v>
      </x:c>
      <x:c r="G164" s="8" t="str">
        <x:v>Current</x:v>
      </x:c>
    </x:row>
    <x:row r="165" ht="32" customHeight="1">
      <x:c r="A165" s="8" t="str">
        <x:v>drop:FC1:F5:fan:1:F242</x:v>
      </x:c>
      <x:c r="B165" s="8" t="n">
        <x:v>3</x:v>
      </x:c>
      <x:c r="C165" s="11" t="n">
        <x:v>38.05</x:v>
      </x:c>
      <x:c r="D165" s="11" t="n">
        <x:v>4.05</x:v>
      </x:c>
      <x:c r="E165" s="11" t="n">
        <x:v>13.249</x:v>
      </x:c>
      <x:c r="F165" s="11" t="n">
        <x:f>SQRT((C165-C164)^2+(D165-D164)^2+(E165-E164)^2)</x:f>
        <x:v>3.1863337628865933</x:v>
      </x:c>
      <x:c r="G165" s="8" t="str">
        <x:v>Current</x:v>
      </x:c>
    </x:row>
    <x:row r="166" ht="32" customHeight="1">
      <x:c r="A166" s="8" t="str">
        <x:v>drop:FC1:F5:fan:1:F242</x:v>
      </x:c>
      <x:c r="B166" s="8" t="n">
        <x:v>4</x:v>
      </x:c>
      <x:c r="C166" s="11" t="n">
        <x:v>38.05</x:v>
      </x:c>
      <x:c r="D166" s="11" t="n">
        <x:v>4.05</x:v>
      </x:c>
      <x:c r="E166" s="11" t="n">
        <x:v>13.06</x:v>
      </x:c>
      <x:c r="F166" s="11" t="n">
        <x:f>SQRT((C166-C165)^2+(D166-D165)^2+(E166-E165)^2)</x:f>
        <x:v>0.18900000000000006</x:v>
      </x:c>
      <x:c r="G166" s="8" t="str">
        <x:v>Current</x:v>
      </x:c>
    </x:row>
    <x:row r="167" ht="32" customHeight="1">
      <x:c r="A167" s="8" t="str">
        <x:v>drop:FC1:F5:fan:1:F243</x:v>
      </x:c>
      <x:c r="B167" s="8" t="n">
        <x:v>1</x:v>
      </x:c>
      <x:c r="C167" s="11" t="n">
        <x:v>43.1</x:v>
      </x:c>
      <x:c r="D167" s="11" t="n">
        <x:v>7.236333762886598</x:v>
      </x:c>
      <x:c r="E167" s="11" t="n">
        <x:v>7.36</x:v>
      </x:c>
      <x:c r="F167" s="11" t="n">
        <x:f>0</x:f>
        <x:v>0</x:v>
      </x:c>
      <x:c r="G167" s="8" t="str">
        <x:v>Current</x:v>
      </x:c>
    </x:row>
    <x:row r="168" ht="32" customHeight="1">
      <x:c r="A168" s="8" t="str">
        <x:v>drop:FC1:F5:fan:1:F243</x:v>
      </x:c>
      <x:c r="B168" s="8" t="n">
        <x:v>2</x:v>
      </x:c>
      <x:c r="C168" s="11" t="n">
        <x:v>43.1</x:v>
      </x:c>
      <x:c r="D168" s="11" t="n">
        <x:v>7.2363337628865985</x:v>
      </x:c>
      <x:c r="E168" s="11" t="n">
        <x:v>13.249</x:v>
      </x:c>
      <x:c r="F168" s="11" t="n">
        <x:f>SQRT((C168-C167)^2+(D168-D167)^2+(E168-E167)^2)</x:f>
        <x:v>5.889</x:v>
      </x:c>
      <x:c r="G168" s="8" t="str">
        <x:v>Current</x:v>
      </x:c>
    </x:row>
    <x:row r="169" ht="32" customHeight="1">
      <x:c r="A169" s="8" t="str">
        <x:v>drop:FC1:F5:fan:1:F243</x:v>
      </x:c>
      <x:c r="B169" s="8" t="n">
        <x:v>3</x:v>
      </x:c>
      <x:c r="C169" s="11" t="n">
        <x:v>43.1</x:v>
      </x:c>
      <x:c r="D169" s="11" t="n">
        <x:v>4.05</x:v>
      </x:c>
      <x:c r="E169" s="11" t="n">
        <x:v>13.249</x:v>
      </x:c>
      <x:c r="F169" s="11" t="n">
        <x:f>SQRT((C169-C168)^2+(D169-D168)^2+(E169-E168)^2)</x:f>
        <x:v>3.1863337628865986</x:v>
      </x:c>
      <x:c r="G169" s="8" t="str">
        <x:v>Current</x:v>
      </x:c>
    </x:row>
    <x:row r="170" ht="32" customHeight="1">
      <x:c r="A170" s="8" t="str">
        <x:v>drop:FC1:F5:fan:1:F243</x:v>
      </x:c>
      <x:c r="B170" s="8" t="n">
        <x:v>4</x:v>
      </x:c>
      <x:c r="C170" s="11" t="n">
        <x:v>43.1</x:v>
      </x:c>
      <x:c r="D170" s="11" t="n">
        <x:v>4.05</x:v>
      </x:c>
      <x:c r="E170" s="11" t="n">
        <x:v>13.06</x:v>
      </x:c>
      <x:c r="F170" s="11" t="n">
        <x:f>SQRT((C170-C169)^2+(D170-D169)^2+(E170-E169)^2)</x:f>
        <x:v>0.18900000000000006</x:v>
      </x:c>
      <x:c r="G170" s="8" t="str">
        <x:v>Current</x:v>
      </x:c>
    </x:row>
    <x:row r="171" ht="32" customHeight="1">
      <x:c r="A171" s="8" t="str">
        <x:v>trunk:FC1:F2:fan:-1</x:v>
      </x:c>
      <x:c r="B171" s="8" t="n">
        <x:v>1</x:v>
      </x:c>
      <x:c r="C171" s="11" t="n">
        <x:v>48.895</x:v>
      </x:c>
      <x:c r="D171" s="11" t="n">
        <x:v>1.95</x:v>
      </x:c>
      <x:c r="E171" s="11" t="n">
        <x:v>0.4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trunk:FC1:F2:fan:-1</x:v>
      </x:c>
      <x:c r="B172" s="8" t="n">
        <x:v>2</x:v>
      </x:c>
      <x:c r="C172" s="11" t="n">
        <x:v>48.735</x:v>
      </x:c>
      <x:c r="D172" s="11" t="n">
        <x:v>1.95</x:v>
      </x:c>
      <x:c r="E172" s="11" t="n">
        <x:v>0.4</x:v>
      </x:c>
      <x:c r="F172" s="11" t="n">
        <x:f>SQRT((C172-C171)^2+(D172-D171)^2+(E172-E171)^2)</x:f>
        <x:v>0.1600000000000037</x:v>
      </x:c>
      <x:c r="G172" s="8" t="str">
        <x:v>Current</x:v>
      </x:c>
    </x:row>
    <x:row r="173" ht="32" customHeight="1">
      <x:c r="A173" s="8" t="str">
        <x:v>trunk:FC1:F2:fan:-1</x:v>
      </x:c>
      <x:c r="B173" s="8" t="n">
        <x:v>3</x:v>
      </x:c>
      <x:c r="C173" s="11" t="n">
        <x:v>48.735</x:v>
      </x:c>
      <x:c r="D173" s="11" t="n">
        <x:v>1.95</x:v>
      </x:c>
      <x:c r="E173" s="11" t="n">
        <x:v>-2.24</x:v>
      </x:c>
      <x:c r="F173" s="11" t="n">
        <x:f>SQRT((C173-C172)^2+(D173-D172)^2+(E173-E172)^2)</x:f>
        <x:v>2.64</x:v>
      </x:c>
      <x:c r="G173" s="8" t="str">
        <x:v>Current</x:v>
      </x:c>
    </x:row>
    <x:row r="174" ht="32" customHeight="1">
      <x:c r="A174" s="8" t="str">
        <x:v>trunk:FC1:F2:fan:-1</x:v>
      </x:c>
      <x:c r="B174" s="8" t="n">
        <x:v>4</x:v>
      </x:c>
      <x:c r="C174" s="11" t="n">
        <x:v>48.735</x:v>
      </x:c>
      <x:c r="D174" s="11" t="n">
        <x:v>4.33</x:v>
      </x:c>
      <x:c r="E174" s="11" t="n">
        <x:v>-2.24</x:v>
      </x:c>
      <x:c r="F174" s="11" t="n">
        <x:f>SQRT((C174-C173)^2+(D174-D173)^2+(E174-E173)^2)</x:f>
        <x:v>2.38</x:v>
      </x:c>
      <x:c r="G174" s="8" t="str">
        <x:v>Current</x:v>
      </x:c>
    </x:row>
    <x:row r="175" ht="32" customHeight="1">
      <x:c r="A175" s="8" t="str">
        <x:v>trunk:FC1:F2:fan:-1</x:v>
      </x:c>
      <x:c r="B175" s="8" t="n">
        <x:v>5</x:v>
      </x:c>
      <x:c r="C175" s="11" t="n">
        <x:v>48.735</x:v>
      </x:c>
      <x:c r="D175" s="11" t="n">
        <x:v>4.33</x:v>
      </x:c>
      <x:c r="E175" s="11" t="n">
        <x:v>-3.3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trunk:FC1:F2:fan:-1</x:v>
      </x:c>
      <x:c r="B176" s="8" t="n">
        <x:v>6</x:v>
      </x:c>
      <x:c r="C176" s="11" t="n">
        <x:v>53.016</x:v>
      </x:c>
      <x:c r="D176" s="11" t="n">
        <x:v>4.33</x:v>
      </x:c>
      <x:c r="E176" s="11" t="n">
        <x:v>-3.3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trunk:FC1:F2:fan:-1</x:v>
      </x:c>
      <x:c r="B177" s="8" t="n">
        <x:v>7</x:v>
      </x:c>
      <x:c r="C177" s="11" t="n">
        <x:v>53.016</x:v>
      </x:c>
      <x:c r="D177" s="11" t="n">
        <x:v>6.0120000000000005</x:v>
      </x:c>
      <x:c r="E177" s="11" t="n">
        <x:v>-3.3</x:v>
      </x:c>
      <x:c r="F177" s="11" t="n">
        <x:f>SQRT((C177-C176)^2+(D177-D176)^2+(E177-E176)^2)</x:f>
        <x:v>1.6820000000000004</x:v>
      </x:c>
      <x:c r="G177" s="8" t="str">
        <x:v>Current</x:v>
      </x:c>
    </x:row>
    <x:row r="178" ht="32" customHeight="1">
      <x:c r="A178" s="8" t="str">
        <x:v>trunk:FC1:F2:fan:-1</x:v>
      </x:c>
      <x:c r="B178" s="8" t="n">
        <x:v>8</x:v>
      </x:c>
      <x:c r="C178" s="11" t="n">
        <x:v>53.016</x:v>
      </x:c>
      <x:c r="D178" s="11" t="n">
        <x:v>6.0120000000000005</x:v>
      </x:c>
      <x:c r="E178" s="11" t="n">
        <x:v>-7.36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trunk:FC1:F2:fan:-1</x:v>
      </x:c>
      <x:c r="B179" s="8" t="n">
        <x:v>9</x:v>
      </x:c>
      <x:c r="C179" s="11" t="n">
        <x:v>44.175</x:v>
      </x:c>
      <x:c r="D179" s="11" t="n">
        <x:v>6.0120000000000005</x:v>
      </x:c>
      <x:c r="E179" s="11" t="n">
        <x:v>-7.36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trunk:FC1:F2:fan:-1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-7.36</x:v>
      </x:c>
      <x:c r="F180" s="11" t="n">
        <x:f>SQRT((C180-C179)^2+(D180-D179)^2+(E180-E179)^2)</x:f>
        <x:v>1.0279999999999996</x:v>
      </x:c>
      <x:c r="G180" s="8" t="str">
        <x:v>Current</x:v>
      </x:c>
    </x:row>
    <x:row r="181" ht="32" customHeight="1">
      <x:c r="A181" s="8" t="str">
        <x:v>trunk:FC1:F2:fan:-1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-7.36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trunk:FC1:F2:fan:-1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-7.36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trunk:FC1:F2:fan:-1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-7.36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trunk:FC1:F2:fan:-1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-7.36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trunk:FC1:F2:fan:-1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-7.36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trunk:FC1:F2:fan:-1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-7.36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trunk:FC1:F2:fan:-1</x:v>
      </x:c>
      <x:c r="B187" s="8" t="n">
        <x:v>17</x:v>
      </x:c>
      <x:c r="C187" s="11" t="n">
        <x:v>36.975</x:v>
      </x:c>
      <x:c r="D187" s="11" t="n">
        <x:v>6.0120000000000005</x:v>
      </x:c>
      <x:c r="E187" s="11" t="n">
        <x:v>-7.36</x:v>
      </x:c>
      <x:c r="F187" s="11" t="n">
        <x:f>SQRT((C187-C186)^2+(D187-D186)^2+(E187-E186)^2)</x:f>
        <x:v>1.0279999999999996</x:v>
      </x:c>
      <x:c r="G187" s="8" t="str">
        <x:v>Current</x:v>
      </x:c>
    </x:row>
    <x:row r="188" ht="32" customHeight="1">
      <x:c r="A188" s="8" t="str">
        <x:v>trunk:FC1:F2:fan:-1</x:v>
      </x:c>
      <x:c r="B188" s="8" t="n">
        <x:v>18</x:v>
      </x:c>
      <x:c r="C188" s="11" t="n">
        <x:v>5.475000000000001</x:v>
      </x:c>
      <x:c r="D188" s="11" t="n">
        <x:v>6.0120000000000005</x:v>
      </x:c>
      <x:c r="E188" s="11" t="n">
        <x:v>-7.36</x:v>
      </x:c>
      <x:c r="F188" s="11" t="n">
        <x:f>SQRT((C188-C187)^2+(D188-D187)^2+(E188-E187)^2)</x:f>
        <x:v>31.5</x:v>
      </x:c>
      <x:c r="G188" s="8" t="str">
        <x:v>Current</x:v>
      </x:c>
    </x:row>
    <x:row r="189" ht="32" customHeight="1">
      <x:c r="A189" s="8" t="str">
        <x:v>drop:FC1:F2:fan:-1:F244</x:v>
      </x:c>
      <x:c r="B189" s="8" t="n">
        <x:v>1</x:v>
      </x:c>
      <x:c r="C189" s="11" t="n">
        <x:v>14.475000000000001</x:v>
      </x:c>
      <x:c r="D189" s="11" t="n">
        <x:v>6.0120000000000005</x:v>
      </x:c>
      <x:c r="E189" s="11" t="n">
        <x:v>-7.36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drop:FC1:F2:fan:-1:F244</x:v>
      </x:c>
      <x:c r="B190" s="8" t="n">
        <x:v>2</x:v>
      </x:c>
      <x:c r="C190" s="11" t="n">
        <x:v>14.475000000000001</x:v>
      </x:c>
      <x:c r="D190" s="11" t="n">
        <x:v>5.55</x:v>
      </x:c>
      <x:c r="E190" s="11" t="n">
        <x:v>-7.36</x:v>
      </x:c>
      <x:c r="F190" s="11" t="n">
        <x:f>SQRT((C190-C189)^2+(D190-D189)^2+(E190-E189)^2)</x:f>
        <x:v>0.46200000000000063</x:v>
      </x:c>
      <x:c r="G190" s="8" t="str">
        <x:v>Current</x:v>
      </x:c>
    </x:row>
    <x:row r="191" ht="32" customHeight="1">
      <x:c r="A191" s="8" t="str">
        <x:v>drop:FC1:F2:fan:-1:F244</x:v>
      </x:c>
      <x:c r="B191" s="8" t="n">
        <x:v>3</x:v>
      </x:c>
      <x:c r="C191" s="11" t="n">
        <x:v>14.475</x:v>
      </x:c>
      <x:c r="D191" s="11" t="n">
        <x:v>5.55</x:v>
      </x:c>
      <x:c r="E191" s="11" t="n">
        <x:v>-7.07</x:v>
      </x:c>
      <x:c r="F191" s="11" t="n">
        <x:f>SQRT((C191-C190)^2+(D191-D190)^2+(E191-E190)^2)</x:f>
        <x:v>0.29000000000000004</x:v>
      </x:c>
      <x:c r="G191" s="8" t="str">
        <x:v>Current</x:v>
      </x:c>
    </x:row>
    <x:row r="192" ht="32" customHeight="1">
      <x:c r="A192" s="8" t="str">
        <x:v>drop:FC1:F2:fan:-1:F246</x:v>
      </x:c>
      <x:c r="B192" s="8" t="n">
        <x:v>1</x:v>
      </x:c>
      <x:c r="C192" s="11" t="n">
        <x:v>23.475</x:v>
      </x:c>
      <x:c r="D192" s="11" t="n">
        <x:v>6.0120000000000005</x:v>
      </x:c>
      <x:c r="E192" s="11" t="n">
        <x:v>-7.36</x:v>
      </x:c>
      <x:c r="F192" s="11" t="n">
        <x:f>0</x:f>
        <x:v>0</x:v>
      </x:c>
      <x:c r="G192" s="8" t="str">
        <x:v>Current</x:v>
      </x:c>
    </x:row>
    <x:row r="193" ht="32" customHeight="1">
      <x:c r="A193" s="8" t="str">
        <x:v>drop:FC1:F2:fan:-1:F246</x:v>
      </x:c>
      <x:c r="B193" s="8" t="n">
        <x:v>2</x:v>
      </x:c>
      <x:c r="C193" s="11" t="n">
        <x:v>23.475</x:v>
      </x:c>
      <x:c r="D193" s="11" t="n">
        <x:v>5.55</x:v>
      </x:c>
      <x:c r="E193" s="11" t="n">
        <x:v>-7.36</x:v>
      </x:c>
      <x:c r="F193" s="11" t="n">
        <x:f>SQRT((C193-C192)^2+(D193-D192)^2+(E193-E192)^2)</x:f>
        <x:v>0.46200000000000063</x:v>
      </x:c>
      <x:c r="G193" s="8" t="str">
        <x:v>Current</x:v>
      </x:c>
    </x:row>
    <x:row r="194" ht="32" customHeight="1">
      <x:c r="A194" s="8" t="str">
        <x:v>drop:FC1:F2:fan:-1:F246</x:v>
      </x:c>
      <x:c r="B194" s="8" t="n">
        <x:v>3</x:v>
      </x:c>
      <x:c r="C194" s="11" t="n">
        <x:v>23.475</x:v>
      </x:c>
      <x:c r="D194" s="11" t="n">
        <x:v>5.55</x:v>
      </x:c>
      <x:c r="E194" s="11" t="n">
        <x:v>-7.07</x:v>
      </x:c>
      <x:c r="F194" s="11" t="n">
        <x:f>SQRT((C194-C193)^2+(D194-D193)^2+(E194-E193)^2)</x:f>
        <x:v>0.29000000000000004</x:v>
      </x:c>
      <x:c r="G194" s="8" t="str">
        <x:v>Current</x:v>
      </x:c>
    </x:row>
    <x:row r="195" ht="32" customHeight="1">
      <x:c r="A195" s="8" t="str">
        <x:v>drop:FC1:F2:fan:-1:F248</x:v>
      </x:c>
      <x:c r="B195" s="8" t="n">
        <x:v>1</x:v>
      </x:c>
      <x:c r="C195" s="11" t="n">
        <x:v>32.475</x:v>
      </x:c>
      <x:c r="D195" s="11" t="n">
        <x:v>6.0120000000000005</x:v>
      </x:c>
      <x:c r="E195" s="11" t="n">
        <x:v>-7.36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drop:FC1:F2:fan:-1:F248</x:v>
      </x:c>
      <x:c r="B196" s="8" t="n">
        <x:v>2</x:v>
      </x:c>
      <x:c r="C196" s="11" t="n">
        <x:v>32.475</x:v>
      </x:c>
      <x:c r="D196" s="11" t="n">
        <x:v>5.55</x:v>
      </x:c>
      <x:c r="E196" s="11" t="n">
        <x:v>-7.36</x:v>
      </x:c>
      <x:c r="F196" s="11" t="n">
        <x:f>SQRT((C196-C195)^2+(D196-D195)^2+(E196-E195)^2)</x:f>
        <x:v>0.46200000000000063</x:v>
      </x:c>
      <x:c r="G196" s="8" t="str">
        <x:v>Current</x:v>
      </x:c>
    </x:row>
    <x:row r="197" ht="32" customHeight="1">
      <x:c r="A197" s="8" t="str">
        <x:v>drop:FC1:F2:fan:-1:F248</x:v>
      </x:c>
      <x:c r="B197" s="8" t="n">
        <x:v>3</x:v>
      </x:c>
      <x:c r="C197" s="11" t="n">
        <x:v>32.475</x:v>
      </x:c>
      <x:c r="D197" s="11" t="n">
        <x:v>5.55</x:v>
      </x:c>
      <x:c r="E197" s="11" t="n">
        <x:v>-7.07</x:v>
      </x:c>
      <x:c r="F197" s="11" t="n">
        <x:f>SQRT((C197-C196)^2+(D197-D196)^2+(E197-E196)^2)</x:f>
        <x:v>0.29000000000000004</x:v>
      </x:c>
      <x:c r="G197" s="8" t="str">
        <x:v>Current</x:v>
      </x:c>
    </x:row>
    <x:row r="198" ht="32" customHeight="1">
      <x:c r="A198" s="8" t="str">
        <x:v>drop:FC1:F2:fan:-1:F-NAVE-B-2P</x:v>
      </x:c>
      <x:c r="B198" s="8" t="n">
        <x:v>1</x:v>
      </x:c>
      <x:c r="C198" s="11" t="n">
        <x:v>5.475000000000001</x:v>
      </x:c>
      <x:c r="D198" s="11" t="n">
        <x:v>6.0120000000000005</x:v>
      </x:c>
      <x:c r="E198" s="11" t="n">
        <x:v>-7.36</x:v>
      </x:c>
      <x:c r="F198" s="11" t="n">
        <x:f>0</x:f>
        <x:v>0</x:v>
      </x:c>
      <x:c r="G198" s="8" t="str">
        <x:v>Current</x:v>
      </x:c>
    </x:row>
    <x:row r="199" ht="32" customHeight="1">
      <x:c r="A199" s="8" t="str">
        <x:v>drop:FC1:F2:fan:-1:F-NAVE-B-2P</x:v>
      </x:c>
      <x:c r="B199" s="8" t="n">
        <x:v>2</x:v>
      </x:c>
      <x:c r="C199" s="11" t="n">
        <x:v>5.475000000000001</x:v>
      </x:c>
      <x:c r="D199" s="11" t="n">
        <x:v>5.55</x:v>
      </x:c>
      <x:c r="E199" s="11" t="n">
        <x:v>-7.36</x:v>
      </x:c>
      <x:c r="F199" s="11" t="n">
        <x:f>SQRT((C199-C198)^2+(D199-D198)^2+(E199-E198)^2)</x:f>
        <x:v>0.46200000000000063</x:v>
      </x:c>
      <x:c r="G199" s="8" t="str">
        <x:v>Current</x:v>
      </x:c>
    </x:row>
    <x:row r="200" ht="32" customHeight="1">
      <x:c r="A200" s="8" t="str">
        <x:v>drop:FC1:F2:fan:-1:F-NAVE-B-2P</x:v>
      </x:c>
      <x:c r="B200" s="8" t="n">
        <x:v>3</x:v>
      </x:c>
      <x:c r="C200" s="11" t="n">
        <x:v>5.475</x:v>
      </x:c>
      <x:c r="D200" s="11" t="n">
        <x:v>5.55</x:v>
      </x:c>
      <x:c r="E200" s="11" t="n">
        <x:v>-7.07</x:v>
      </x:c>
      <x:c r="F200" s="11" t="n">
        <x:f>SQRT((C200-C199)^2+(D200-D199)^2+(E200-E199)^2)</x:f>
        <x:v>0.29000000000000004</x:v>
      </x:c>
      <x:c r="G200" s="8" t="str">
        <x:v>Current</x:v>
      </x:c>
    </x:row>
    <x:row r="201" ht="32" customHeight="1">
      <x:c r="A201" s="8" t="str">
        <x:v>drop:FC1:F2:fan:-1:F-NAVE-B-3</x:v>
      </x:c>
      <x:c r="B201" s="8" t="n">
        <x:v>1</x:v>
      </x:c>
      <x:c r="C201" s="11" t="n">
        <x:v>9.975000000000001</x:v>
      </x:c>
      <x:c r="D201" s="11" t="n">
        <x:v>6.0120000000000005</x:v>
      </x:c>
      <x:c r="E201" s="11" t="n">
        <x:v>-7.36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drop:FC1:F2:fan:-1:F-NAVE-B-3</x:v>
      </x:c>
      <x:c r="B202" s="8" t="n">
        <x:v>2</x:v>
      </x:c>
      <x:c r="C202" s="11" t="n">
        <x:v>9.975000000000001</x:v>
      </x:c>
      <x:c r="D202" s="11" t="n">
        <x:v>5.55</x:v>
      </x:c>
      <x:c r="E202" s="11" t="n">
        <x:v>-7.36</x:v>
      </x:c>
      <x:c r="F202" s="11" t="n">
        <x:f>SQRT((C202-C201)^2+(D202-D201)^2+(E202-E201)^2)</x:f>
        <x:v>0.46200000000000063</x:v>
      </x:c>
      <x:c r="G202" s="8" t="str">
        <x:v>Current</x:v>
      </x:c>
    </x:row>
    <x:row r="203" ht="32" customHeight="1">
      <x:c r="A203" s="8" t="str">
        <x:v>drop:FC1:F2:fan:-1:F-NAVE-B-3</x:v>
      </x:c>
      <x:c r="B203" s="8" t="n">
        <x:v>3</x:v>
      </x:c>
      <x:c r="C203" s="11" t="n">
        <x:v>9.975</x:v>
      </x:c>
      <x:c r="D203" s="11" t="n">
        <x:v>5.55</x:v>
      </x:c>
      <x:c r="E203" s="11" t="n">
        <x:v>-7.07</x:v>
      </x:c>
      <x:c r="F203" s="11" t="n">
        <x:f>SQRT((C203-C202)^2+(D203-D202)^2+(E203-E202)^2)</x:f>
        <x:v>0.29000000000000004</x:v>
      </x:c>
      <x:c r="G203" s="8" t="str">
        <x:v>Current</x:v>
      </x:c>
    </x:row>
    <x:row r="204" ht="32" customHeight="1">
      <x:c r="A204" s="8" t="str">
        <x:v>drop:FC1:F2:fan:-1:F-NAVE-B-5</x:v>
      </x:c>
      <x:c r="B204" s="8" t="n">
        <x:v>1</x:v>
      </x:c>
      <x:c r="C204" s="11" t="n">
        <x:v>18.975</x:v>
      </x:c>
      <x:c r="D204" s="11" t="n">
        <x:v>6.0120000000000005</x:v>
      </x:c>
      <x:c r="E204" s="11" t="n">
        <x:v>-7.36</x:v>
      </x:c>
      <x:c r="F204" s="11" t="n">
        <x:f>0</x:f>
        <x:v>0</x:v>
      </x:c>
      <x:c r="G204" s="8" t="str">
        <x:v>Current</x:v>
      </x:c>
    </x:row>
    <x:row r="205" ht="32" customHeight="1">
      <x:c r="A205" s="8" t="str">
        <x:v>drop:FC1:F2:fan:-1:F-NAVE-B-5</x:v>
      </x:c>
      <x:c r="B205" s="8" t="n">
        <x:v>2</x:v>
      </x:c>
      <x:c r="C205" s="11" t="n">
        <x:v>18.975</x:v>
      </x:c>
      <x:c r="D205" s="11" t="n">
        <x:v>5.55</x:v>
      </x:c>
      <x:c r="E205" s="11" t="n">
        <x:v>-7.36</x:v>
      </x:c>
      <x:c r="F205" s="11" t="n">
        <x:f>SQRT((C205-C204)^2+(D205-D204)^2+(E205-E204)^2)</x:f>
        <x:v>0.46200000000000063</x:v>
      </x:c>
      <x:c r="G205" s="8" t="str">
        <x:v>Current</x:v>
      </x:c>
    </x:row>
    <x:row r="206" ht="32" customHeight="1">
      <x:c r="A206" s="8" t="str">
        <x:v>drop:FC1:F2:fan:-1:F-NAVE-B-5</x:v>
      </x:c>
      <x:c r="B206" s="8" t="n">
        <x:v>3</x:v>
      </x:c>
      <x:c r="C206" s="11" t="n">
        <x:v>18.975</x:v>
      </x:c>
      <x:c r="D206" s="11" t="n">
        <x:v>5.55</x:v>
      </x:c>
      <x:c r="E206" s="11" t="n">
        <x:v>-7.07</x:v>
      </x:c>
      <x:c r="F206" s="11" t="n">
        <x:f>SQRT((C206-C205)^2+(D206-D205)^2+(E206-E205)^2)</x:f>
        <x:v>0.29000000000000004</x:v>
      </x:c>
      <x:c r="G206" s="8" t="str">
        <x:v>Current</x:v>
      </x:c>
    </x:row>
    <x:row r="207" ht="32" customHeight="1">
      <x:c r="A207" s="8" t="str">
        <x:v>drop:FC1:F2:fan:-1:F-NAVE-B-7</x:v>
      </x:c>
      <x:c r="B207" s="8" t="n">
        <x:v>1</x:v>
      </x:c>
      <x:c r="C207" s="11" t="n">
        <x:v>27.975</x:v>
      </x:c>
      <x:c r="D207" s="11" t="n">
        <x:v>6.0120000000000005</x:v>
      </x:c>
      <x:c r="E207" s="11" t="n">
        <x:v>-7.36</x:v>
      </x:c>
      <x:c r="F207" s="11" t="n">
        <x:f>0</x:f>
        <x:v>0</x:v>
      </x:c>
      <x:c r="G207" s="8" t="str">
        <x:v>Current</x:v>
      </x:c>
    </x:row>
    <x:row r="208" ht="32" customHeight="1">
      <x:c r="A208" s="8" t="str">
        <x:v>drop:FC1:F2:fan:-1:F-NAVE-B-7</x:v>
      </x:c>
      <x:c r="B208" s="8" t="n">
        <x:v>2</x:v>
      </x:c>
      <x:c r="C208" s="11" t="n">
        <x:v>27.975</x:v>
      </x:c>
      <x:c r="D208" s="11" t="n">
        <x:v>5.55</x:v>
      </x:c>
      <x:c r="E208" s="11" t="n">
        <x:v>-7.36</x:v>
      </x:c>
      <x:c r="F208" s="11" t="n">
        <x:f>SQRT((C208-C207)^2+(D208-D207)^2+(E208-E207)^2)</x:f>
        <x:v>0.46200000000000063</x:v>
      </x:c>
      <x:c r="G208" s="8" t="str">
        <x:v>Current</x:v>
      </x:c>
    </x:row>
    <x:row r="209" ht="32" customHeight="1">
      <x:c r="A209" s="8" t="str">
        <x:v>drop:FC1:F2:fan:-1:F-NAVE-B-7</x:v>
      </x:c>
      <x:c r="B209" s="8" t="n">
        <x:v>3</x:v>
      </x:c>
      <x:c r="C209" s="11" t="n">
        <x:v>27.975</x:v>
      </x:c>
      <x:c r="D209" s="11" t="n">
        <x:v>5.55</x:v>
      </x:c>
      <x:c r="E209" s="11" t="n">
        <x:v>-7.07</x:v>
      </x:c>
      <x:c r="F209" s="11" t="n">
        <x:f>SQRT((C209-C208)^2+(D209-D208)^2+(E209-E208)^2)</x:f>
        <x:v>0.29000000000000004</x:v>
      </x:c>
      <x:c r="G209" s="8" t="str">
        <x:v>Current</x:v>
      </x:c>
    </x:row>
    <x:row r="210" ht="32" customHeight="1">
      <x:c r="A210" s="8" t="str">
        <x:v>drop:FC1:F2:fan:-1:F-NAVE-B-9</x:v>
      </x:c>
      <x:c r="B210" s="8" t="n">
        <x:v>1</x:v>
      </x:c>
      <x:c r="C210" s="11" t="n">
        <x:v>36.975</x:v>
      </x:c>
      <x:c r="D210" s="11" t="n">
        <x:v>6.0120000000000005</x:v>
      </x:c>
      <x:c r="E210" s="11" t="n">
        <x:v>-7.36</x:v>
      </x:c>
      <x:c r="F210" s="11" t="n">
        <x:f>0</x:f>
        <x:v>0</x:v>
      </x:c>
      <x:c r="G210" s="8" t="str">
        <x:v>Current</x:v>
      </x:c>
    </x:row>
    <x:row r="211" ht="32" customHeight="1">
      <x:c r="A211" s="8" t="str">
        <x:v>drop:FC1:F2:fan:-1:F-NAVE-B-9</x:v>
      </x:c>
      <x:c r="B211" s="8" t="n">
        <x:v>2</x:v>
      </x:c>
      <x:c r="C211" s="11" t="n">
        <x:v>36.975</x:v>
      </x:c>
      <x:c r="D211" s="11" t="n">
        <x:v>5.55</x:v>
      </x:c>
      <x:c r="E211" s="11" t="n">
        <x:v>-7.36</x:v>
      </x:c>
      <x:c r="F211" s="11" t="n">
        <x:f>SQRT((C211-C210)^2+(D211-D210)^2+(E211-E210)^2)</x:f>
        <x:v>0.46200000000000063</x:v>
      </x:c>
      <x:c r="G211" s="8" t="str">
        <x:v>Current</x:v>
      </x:c>
    </x:row>
    <x:row r="212" ht="32" customHeight="1">
      <x:c r="A212" s="8" t="str">
        <x:v>drop:FC1:F2:fan:-1:F-NAVE-B-9</x:v>
      </x:c>
      <x:c r="B212" s="8" t="n">
        <x:v>3</x:v>
      </x:c>
      <x:c r="C212" s="11" t="n">
        <x:v>36.975</x:v>
      </x:c>
      <x:c r="D212" s="11" t="n">
        <x:v>5.55</x:v>
      </x:c>
      <x:c r="E212" s="11" t="n">
        <x:v>-7.07</x:v>
      </x:c>
      <x:c r="F212" s="11" t="n">
        <x:f>SQRT((C212-C211)^2+(D212-D211)^2+(E212-E211)^2)</x:f>
        <x:v>0.29000000000000004</x:v>
      </x:c>
      <x:c r="G212" s="8" t="str">
        <x:v>Current</x:v>
      </x:c>
    </x:row>
    <x:row r="213" ht="32" customHeight="1">
      <x:c r="A213" s="8" t="str">
        <x:v>trunk:FC1:F2:fan:1</x:v>
      </x:c>
      <x:c r="B213" s="8" t="n">
        <x:v>1</x:v>
      </x:c>
      <x:c r="C213" s="11" t="n">
        <x:v>48.895</x:v>
      </x:c>
      <x:c r="D213" s="11" t="n">
        <x:v>1.95</x:v>
      </x:c>
      <x:c r="E213" s="11" t="n">
        <x:v>0.4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trunk:FC1:F2:fan:1</x:v>
      </x:c>
      <x:c r="B214" s="8" t="n">
        <x:v>2</x:v>
      </x:c>
      <x:c r="C214" s="11" t="n">
        <x:v>48.735</x:v>
      </x:c>
      <x:c r="D214" s="11" t="n">
        <x:v>1.95</x:v>
      </x:c>
      <x:c r="E214" s="11" t="n">
        <x:v>0.4</x:v>
      </x:c>
      <x:c r="F214" s="11" t="n">
        <x:f>SQRT((C214-C213)^2+(D214-D213)^2+(E214-E213)^2)</x:f>
        <x:v>0.1600000000000037</x:v>
      </x:c>
      <x:c r="G214" s="8" t="str">
        <x:v>Current</x:v>
      </x:c>
    </x:row>
    <x:row r="215" ht="32" customHeight="1">
      <x:c r="A215" s="8" t="str">
        <x:v>trunk:FC1:F2:fan:1</x:v>
      </x:c>
      <x:c r="B215" s="8" t="n">
        <x:v>3</x:v>
      </x:c>
      <x:c r="C215" s="11" t="n">
        <x:v>48.735</x:v>
      </x:c>
      <x:c r="D215" s="11" t="n">
        <x:v>1.95</x:v>
      </x:c>
      <x:c r="E215" s="11" t="n">
        <x:v>-2.24</x:v>
      </x:c>
      <x:c r="F215" s="11" t="n">
        <x:f>SQRT((C215-C214)^2+(D215-D214)^2+(E215-E214)^2)</x:f>
        <x:v>2.64</x:v>
      </x:c>
      <x:c r="G215" s="8" t="str">
        <x:v>Current</x:v>
      </x:c>
    </x:row>
    <x:row r="216" ht="32" customHeight="1">
      <x:c r="A216" s="8" t="str">
        <x:v>trunk:FC1:F2:fan:1</x:v>
      </x:c>
      <x:c r="B216" s="8" t="n">
        <x:v>4</x:v>
      </x:c>
      <x:c r="C216" s="11" t="n">
        <x:v>48.735</x:v>
      </x:c>
      <x:c r="D216" s="11" t="n">
        <x:v>4.33</x:v>
      </x:c>
      <x:c r="E216" s="11" t="n">
        <x:v>-2.24</x:v>
      </x:c>
      <x:c r="F216" s="11" t="n">
        <x:f>SQRT((C216-C215)^2+(D216-D215)^2+(E216-E215)^2)</x:f>
        <x:v>2.38</x:v>
      </x:c>
      <x:c r="G216" s="8" t="str">
        <x:v>Current</x:v>
      </x:c>
    </x:row>
    <x:row r="217" ht="32" customHeight="1">
      <x:c r="A217" s="8" t="str">
        <x:v>trunk:FC1:F2:fan:1</x:v>
      </x:c>
      <x:c r="B217" s="8" t="n">
        <x:v>5</x:v>
      </x:c>
      <x:c r="C217" s="11" t="n">
        <x:v>48.735</x:v>
      </x:c>
      <x:c r="D217" s="11" t="n">
        <x:v>4.33</x:v>
      </x:c>
      <x:c r="E217" s="11" t="n">
        <x:v>-3.3</x:v>
      </x:c>
      <x:c r="F217" s="11" t="n">
        <x:f>SQRT((C217-C216)^2+(D217-D216)^2+(E217-E216)^2)</x:f>
        <x:v>1.0599999999999996</x:v>
      </x:c>
      <x:c r="G217" s="8" t="str">
        <x:v>Current</x:v>
      </x:c>
    </x:row>
    <x:row r="218" ht="32" customHeight="1">
      <x:c r="A218" s="8" t="str">
        <x:v>trunk:FC1:F2:fan:1</x:v>
      </x:c>
      <x:c r="B218" s="8" t="n">
        <x:v>6</x:v>
      </x:c>
      <x:c r="C218" s="11" t="n">
        <x:v>53.016</x:v>
      </x:c>
      <x:c r="D218" s="11" t="n">
        <x:v>4.33</x:v>
      </x:c>
      <x:c r="E218" s="11" t="n">
        <x:v>-3.3</x:v>
      </x:c>
      <x:c r="F218" s="11" t="n">
        <x:f>SQRT((C218-C217)^2+(D218-D217)^2+(E218-E217)^2)</x:f>
        <x:v>4.280999999999999</x:v>
      </x:c>
      <x:c r="G218" s="8" t="str">
        <x:v>Current</x:v>
      </x:c>
    </x:row>
    <x:row r="219" ht="32" customHeight="1">
      <x:c r="A219" s="8" t="str">
        <x:v>trunk:FC1:F2:fan:1</x:v>
      </x:c>
      <x:c r="B219" s="8" t="n">
        <x:v>7</x:v>
      </x:c>
      <x:c r="C219" s="11" t="n">
        <x:v>53.016</x:v>
      </x:c>
      <x:c r="D219" s="11" t="n">
        <x:v>6.0120000000000005</x:v>
      </x:c>
      <x:c r="E219" s="11" t="n">
        <x:v>-3.3</x:v>
      </x:c>
      <x:c r="F219" s="11" t="n">
        <x:f>SQRT((C219-C218)^2+(D219-D218)^2+(E219-E218)^2)</x:f>
        <x:v>1.6820000000000004</x:v>
      </x:c>
      <x:c r="G219" s="8" t="str">
        <x:v>Current</x:v>
      </x:c>
    </x:row>
    <x:row r="220" ht="32" customHeight="1">
      <x:c r="A220" s="8" t="str">
        <x:v>trunk:FC1:F2:fan:1</x:v>
      </x:c>
      <x:c r="B220" s="8" t="n">
        <x:v>8</x:v>
      </x:c>
      <x:c r="C220" s="11" t="n">
        <x:v>53.016</x:v>
      </x:c>
      <x:c r="D220" s="11" t="n">
        <x:v>6.0120000000000005</x:v>
      </x:c>
      <x:c r="E220" s="11" t="n">
        <x:v>7.36</x:v>
      </x:c>
      <x:c r="F220" s="11" t="n">
        <x:f>SQRT((C220-C219)^2+(D220-D219)^2+(E220-E219)^2)</x:f>
        <x:v>10.66</x:v>
      </x:c>
      <x:c r="G220" s="8" t="str">
        <x:v>Current</x:v>
      </x:c>
    </x:row>
    <x:row r="221" ht="32" customHeight="1">
      <x:c r="A221" s="8" t="str">
        <x:v>trunk:FC1:F2:fan:1</x:v>
      </x:c>
      <x:c r="B221" s="8" t="n">
        <x:v>9</x:v>
      </x:c>
      <x:c r="C221" s="11" t="n">
        <x:v>44.175</x:v>
      </x:c>
      <x:c r="D221" s="11" t="n">
        <x:v>6.0120000000000005</x:v>
      </x:c>
      <x:c r="E221" s="11" t="n">
        <x:v>7.36</x:v>
      </x:c>
      <x:c r="F221" s="11" t="n">
        <x:f>SQRT((C221-C220)^2+(D221-D220)^2+(E221-E220)^2)</x:f>
        <x:v>8.841000000000001</x:v>
      </x:c>
      <x:c r="G221" s="8" t="str">
        <x:v>Current</x:v>
      </x:c>
    </x:row>
    <x:row r="222" ht="32" customHeight="1">
      <x:c r="A222" s="8" t="str">
        <x:v>trunk:FC1:F2:fan:1</x:v>
      </x:c>
      <x:c r="B222" s="8" t="n">
        <x:v>10</x:v>
      </x:c>
      <x:c r="C222" s="11" t="n">
        <x:v>44.175</x:v>
      </x:c>
      <x:c r="D222" s="11" t="n">
        <x:v>7.04</x:v>
      </x:c>
      <x:c r="E222" s="11" t="n">
        <x:v>7.36</x:v>
      </x:c>
      <x:c r="F222" s="11" t="n">
        <x:f>SQRT((C222-C221)^2+(D222-D221)^2+(E222-E221)^2)</x:f>
        <x:v>1.0279999999999996</x:v>
      </x:c>
      <x:c r="G222" s="8" t="str">
        <x:v>Current</x:v>
      </x:c>
    </x:row>
    <x:row r="223" ht="32" customHeight="1">
      <x:c r="A223" s="8" t="str">
        <x:v>trunk:FC1:F2:fan:1</x:v>
      </x:c>
      <x:c r="B223" s="8" t="n">
        <x:v>11</x:v>
      </x:c>
      <x:c r="C223" s="11" t="n">
        <x:v>43.535</x:v>
      </x:c>
      <x:c r="D223" s="11" t="n">
        <x:v>7.04</x:v>
      </x:c>
      <x:c r="E223" s="11" t="n">
        <x:v>7.36</x:v>
      </x:c>
      <x:c r="F223" s="11" t="n">
        <x:f>SQRT((C223-C222)^2+(D223-D222)^2+(E223-E222)^2)</x:f>
        <x:v>0.6400000000000006</x:v>
      </x:c>
      <x:c r="G223" s="8" t="str">
        <x:v>Current</x:v>
      </x:c>
    </x:row>
    <x:row r="224" ht="32" customHeight="1">
      <x:c r="A224" s="8" t="str">
        <x:v>trunk:FC1:F2:fan:1</x:v>
      </x:c>
      <x:c r="B224" s="8" t="n">
        <x:v>12</x:v>
      </x:c>
      <x:c r="C224" s="11" t="n">
        <x:v>43.455</x:v>
      </x:c>
      <x:c r="D224" s="11" t="n">
        <x:v>6.950412371134024</x:v>
      </x:c>
      <x:c r="E224" s="11" t="n">
        <x:v>7.36</x:v>
      </x:c>
      <x:c r="F224" s="11" t="n">
        <x:f>SQRT((C224-C223)^2+(D224-D223)^2+(E224-E223)^2)</x:f>
        <x:v>0.12010804821421249</x:v>
      </x:c>
      <x:c r="G224" s="8" t="str">
        <x:v>Current</x:v>
      </x:c>
    </x:row>
    <x:row r="225" ht="32" customHeight="1">
      <x:c r="A225" s="8" t="str">
        <x:v>trunk:FC1:F2:fan:1</x:v>
      </x:c>
      <x:c r="B225" s="8" t="n">
        <x:v>13</x:v>
      </x:c>
      <x:c r="C225" s="11" t="n">
        <x:v>40.574999999999996</x:v>
      </x:c>
      <x:c r="D225" s="11" t="n">
        <x:v>9.269999999999994</x:v>
      </x:c>
      <x:c r="E225" s="11" t="n">
        <x:v>7.36</x:v>
      </x:c>
      <x:c r="F225" s="11" t="n">
        <x:f>SQRT((C225-C224)^2+(D225-D224)^2+(E225-E224)^2)</x:f>
        <x:v>3.6979571073753776</x:v>
      </x:c>
      <x:c r="G225" s="8" t="str">
        <x:v>Current</x:v>
      </x:c>
    </x:row>
    <x:row r="226" ht="32" customHeight="1">
      <x:c r="A226" s="8" t="str">
        <x:v>trunk:FC1:F2:fan:1</x:v>
      </x:c>
      <x:c r="B226" s="8" t="n">
        <x:v>14</x:v>
      </x:c>
      <x:c r="C226" s="11" t="n">
        <x:v>37.695</x:v>
      </x:c>
      <x:c r="D226" s="11" t="n">
        <x:v>6.950412371134018</x:v>
      </x:c>
      <x:c r="E226" s="11" t="n">
        <x:v>7.36</x:v>
      </x:c>
      <x:c r="F226" s="11" t="n">
        <x:f>SQRT((C226-C225)^2+(D226-D225)^2+(E226-E225)^2)</x:f>
        <x:v>3.697957107375376</x:v>
      </x:c>
      <x:c r="G226" s="8" t="str">
        <x:v>Current</x:v>
      </x:c>
    </x:row>
    <x:row r="227" ht="32" customHeight="1">
      <x:c r="A227" s="8" t="str">
        <x:v>trunk:FC1:F2:fan:1</x:v>
      </x:c>
      <x:c r="B227" s="8" t="n">
        <x:v>15</x:v>
      </x:c>
      <x:c r="C227" s="11" t="n">
        <x:v>37.615</x:v>
      </x:c>
      <x:c r="D227" s="11" t="n">
        <x:v>7.04</x:v>
      </x:c>
      <x:c r="E227" s="11" t="n">
        <x:v>7.36</x:v>
      </x:c>
      <x:c r="F227" s="11" t="n">
        <x:f>SQRT((C227-C226)^2+(D227-D226)^2+(E227-E226)^2)</x:f>
        <x:v>0.12010804821421713</x:v>
      </x:c>
      <x:c r="G227" s="8" t="str">
        <x:v>Current</x:v>
      </x:c>
    </x:row>
    <x:row r="228" ht="32" customHeight="1">
      <x:c r="A228" s="8" t="str">
        <x:v>trunk:FC1:F2:fan:1</x:v>
      </x:c>
      <x:c r="B228" s="8" t="n">
        <x:v>16</x:v>
      </x:c>
      <x:c r="C228" s="11" t="n">
        <x:v>36.975</x:v>
      </x:c>
      <x:c r="D228" s="11" t="n">
        <x:v>7.04</x:v>
      </x:c>
      <x:c r="E228" s="11" t="n">
        <x:v>7.36</x:v>
      </x:c>
      <x:c r="F228" s="11" t="n">
        <x:f>SQRT((C228-C227)^2+(D228-D227)^2+(E228-E227)^2)</x:f>
        <x:v>0.6400000000000006</x:v>
      </x:c>
      <x:c r="G228" s="8" t="str">
        <x:v>Current</x:v>
      </x:c>
    </x:row>
    <x:row r="229" ht="32" customHeight="1">
      <x:c r="A229" s="8" t="str">
        <x:v>trunk:FC1:F2:fan:1</x:v>
      </x:c>
      <x:c r="B229" s="8" t="n">
        <x:v>17</x:v>
      </x:c>
      <x:c r="C229" s="11" t="n">
        <x:v>36.975</x:v>
      </x:c>
      <x:c r="D229" s="11" t="n">
        <x:v>6.0120000000000005</x:v>
      </x:c>
      <x:c r="E229" s="11" t="n">
        <x:v>7.36</x:v>
      </x:c>
      <x:c r="F229" s="11" t="n">
        <x:f>SQRT((C229-C228)^2+(D229-D228)^2+(E229-E228)^2)</x:f>
        <x:v>1.0279999999999996</x:v>
      </x:c>
      <x:c r="G229" s="8" t="str">
        <x:v>Current</x:v>
      </x:c>
    </x:row>
    <x:row r="230" ht="32" customHeight="1">
      <x:c r="A230" s="8" t="str">
        <x:v>trunk:FC1:F2:fan:1</x:v>
      </x:c>
      <x:c r="B230" s="8" t="n">
        <x:v>18</x:v>
      </x:c>
      <x:c r="C230" s="11" t="n">
        <x:v>5.475000000000001</x:v>
      </x:c>
      <x:c r="D230" s="11" t="n">
        <x:v>6.0120000000000005</x:v>
      </x:c>
      <x:c r="E230" s="11" t="n">
        <x:v>7.36</x:v>
      </x:c>
      <x:c r="F230" s="11" t="n">
        <x:f>SQRT((C230-C229)^2+(D230-D229)^2+(E230-E229)^2)</x:f>
        <x:v>31.5</x:v>
      </x:c>
      <x:c r="G230" s="8" t="str">
        <x:v>Current</x:v>
      </x:c>
    </x:row>
    <x:row r="231" ht="32" customHeight="1">
      <x:c r="A231" s="8" t="str">
        <x:v>drop:FC1:F2:fan:1:F245</x:v>
      </x:c>
      <x:c r="B231" s="8" t="n">
        <x:v>1</x:v>
      </x:c>
      <x:c r="C231" s="11" t="n">
        <x:v>14.475000000000001</x:v>
      </x:c>
      <x:c r="D231" s="11" t="n">
        <x:v>6.0120000000000005</x:v>
      </x:c>
      <x:c r="E231" s="11" t="n">
        <x:v>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drop:FC1:F2:fan:1:F245</x:v>
      </x:c>
      <x:c r="B232" s="8" t="n">
        <x:v>2</x:v>
      </x:c>
      <x:c r="C232" s="11" t="n">
        <x:v>14.475000000000001</x:v>
      </x:c>
      <x:c r="D232" s="11" t="n">
        <x:v>5.55</x:v>
      </x:c>
      <x:c r="E232" s="11" t="n">
        <x:v>7.36</x:v>
      </x:c>
      <x:c r="F232" s="11" t="n">
        <x:f>SQRT((C232-C231)^2+(D232-D231)^2+(E232-E231)^2)</x:f>
        <x:v>0.46200000000000063</x:v>
      </x:c>
      <x:c r="G232" s="8" t="str">
        <x:v>Current</x:v>
      </x:c>
    </x:row>
    <x:row r="233" ht="32" customHeight="1">
      <x:c r="A233" s="8" t="str">
        <x:v>drop:FC1:F2:fan:1:F245</x:v>
      </x:c>
      <x:c r="B233" s="8" t="n">
        <x:v>3</x:v>
      </x:c>
      <x:c r="C233" s="11" t="n">
        <x:v>14.475</x:v>
      </x:c>
      <x:c r="D233" s="11" t="n">
        <x:v>5.55</x:v>
      </x:c>
      <x:c r="E233" s="11" t="n">
        <x:v>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drop:FC1:F2:fan:1:F247</x:v>
      </x:c>
      <x:c r="B234" s="8" t="n">
        <x:v>1</x:v>
      </x:c>
      <x:c r="C234" s="11" t="n">
        <x:v>23.475</x:v>
      </x:c>
      <x:c r="D234" s="11" t="n">
        <x:v>6.0120000000000005</x:v>
      </x:c>
      <x:c r="E234" s="11" t="n">
        <x:v>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drop:FC1:F2:fan:1:F247</x:v>
      </x:c>
      <x:c r="B235" s="8" t="n">
        <x:v>2</x:v>
      </x:c>
      <x:c r="C235" s="11" t="n">
        <x:v>23.475</x:v>
      </x:c>
      <x:c r="D235" s="11" t="n">
        <x:v>5.55</x:v>
      </x:c>
      <x:c r="E235" s="11" t="n">
        <x:v>7.36</x:v>
      </x:c>
      <x:c r="F235" s="11" t="n">
        <x:f>SQRT((C235-C234)^2+(D235-D234)^2+(E235-E234)^2)</x:f>
        <x:v>0.46200000000000063</x:v>
      </x:c>
      <x:c r="G235" s="8" t="str">
        <x:v>Current</x:v>
      </x:c>
    </x:row>
    <x:row r="236" ht="32" customHeight="1">
      <x:c r="A236" s="8" t="str">
        <x:v>drop:FC1:F2:fan:1:F247</x:v>
      </x:c>
      <x:c r="B236" s="8" t="n">
        <x:v>3</x:v>
      </x:c>
      <x:c r="C236" s="11" t="n">
        <x:v>23.475</x:v>
      </x:c>
      <x:c r="D236" s="11" t="n">
        <x:v>5.55</x:v>
      </x:c>
      <x:c r="E236" s="11" t="n">
        <x:v>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drop:FC1:F2:fan:1:F249</x:v>
      </x:c>
      <x:c r="B237" s="8" t="n">
        <x:v>1</x:v>
      </x:c>
      <x:c r="C237" s="11" t="n">
        <x:v>32.475</x:v>
      </x:c>
      <x:c r="D237" s="11" t="n">
        <x:v>6.0120000000000005</x:v>
      </x:c>
      <x:c r="E237" s="11" t="n">
        <x:v>7.36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drop:FC1:F2:fan:1:F249</x:v>
      </x:c>
      <x:c r="B238" s="8" t="n">
        <x:v>2</x:v>
      </x:c>
      <x:c r="C238" s="11" t="n">
        <x:v>32.475</x:v>
      </x:c>
      <x:c r="D238" s="11" t="n">
        <x:v>5.55</x:v>
      </x:c>
      <x:c r="E238" s="11" t="n">
        <x:v>7.36</x:v>
      </x:c>
      <x:c r="F238" s="11" t="n">
        <x:f>SQRT((C238-C237)^2+(D238-D237)^2+(E238-E237)^2)</x:f>
        <x:v>0.46200000000000063</x:v>
      </x:c>
      <x:c r="G238" s="8" t="str">
        <x:v>Current</x:v>
      </x:c>
    </x:row>
    <x:row r="239" ht="32" customHeight="1">
      <x:c r="A239" s="8" t="str">
        <x:v>drop:FC1:F2:fan:1:F249</x:v>
      </x:c>
      <x:c r="B239" s="8" t="n">
        <x:v>3</x:v>
      </x:c>
      <x:c r="C239" s="11" t="n">
        <x:v>32.475</x:v>
      </x:c>
      <x:c r="D239" s="11" t="n">
        <x:v>5.55</x:v>
      </x:c>
      <x:c r="E239" s="11" t="n">
        <x:v>7.07</x:v>
      </x:c>
      <x:c r="F239" s="11" t="n">
        <x:f>SQRT((C239-C238)^2+(D239-D238)^2+(E239-E238)^2)</x:f>
        <x:v>0.29000000000000004</x:v>
      </x:c>
      <x:c r="G239" s="8" t="str">
        <x:v>Current</x:v>
      </x:c>
    </x:row>
    <x:row r="240" ht="32" customHeight="1">
      <x:c r="A240" s="8" t="str">
        <x:v>drop:FC1:F2:fan:1:F-NAVE-H-2P</x:v>
      </x:c>
      <x:c r="B240" s="8" t="n">
        <x:v>1</x:v>
      </x:c>
      <x:c r="C240" s="11" t="n">
        <x:v>5.475000000000001</x:v>
      </x:c>
      <x:c r="D240" s="11" t="n">
        <x:v>6.0120000000000005</x:v>
      </x:c>
      <x:c r="E240" s="11" t="n">
        <x:v>7.36</x:v>
      </x:c>
      <x:c r="F240" s="11" t="n">
        <x:f>0</x:f>
        <x:v>0</x:v>
      </x:c>
      <x:c r="G240" s="8" t="str">
        <x:v>Current</x:v>
      </x:c>
    </x:row>
    <x:row r="241" ht="32" customHeight="1">
      <x:c r="A241" s="8" t="str">
        <x:v>drop:FC1:F2:fan:1:F-NAVE-H-2P</x:v>
      </x:c>
      <x:c r="B241" s="8" t="n">
        <x:v>2</x:v>
      </x:c>
      <x:c r="C241" s="11" t="n">
        <x:v>5.475000000000001</x:v>
      </x:c>
      <x:c r="D241" s="11" t="n">
        <x:v>5.55</x:v>
      </x:c>
      <x:c r="E241" s="11" t="n">
        <x:v>7.36</x:v>
      </x:c>
      <x:c r="F241" s="11" t="n">
        <x:f>SQRT((C241-C240)^2+(D241-D240)^2+(E241-E240)^2)</x:f>
        <x:v>0.46200000000000063</x:v>
      </x:c>
      <x:c r="G241" s="8" t="str">
        <x:v>Current</x:v>
      </x:c>
    </x:row>
    <x:row r="242" ht="32" customHeight="1">
      <x:c r="A242" s="8" t="str">
        <x:v>drop:FC1:F2:fan:1:F-NAVE-H-2P</x:v>
      </x:c>
      <x:c r="B242" s="8" t="n">
        <x:v>3</x:v>
      </x:c>
      <x:c r="C242" s="11" t="n">
        <x:v>5.475</x:v>
      </x:c>
      <x:c r="D242" s="11" t="n">
        <x:v>5.55</x:v>
      </x:c>
      <x:c r="E242" s="11" t="n">
        <x:v>7.07</x:v>
      </x:c>
      <x:c r="F242" s="11" t="n">
        <x:f>SQRT((C242-C241)^2+(D242-D241)^2+(E242-E241)^2)</x:f>
        <x:v>0.29000000000000004</x:v>
      </x:c>
      <x:c r="G242" s="8" t="str">
        <x:v>Current</x:v>
      </x:c>
    </x:row>
    <x:row r="243" ht="32" customHeight="1">
      <x:c r="A243" s="8" t="str">
        <x:v>drop:FC1:F2:fan:1:F-NAVE-H-3</x:v>
      </x:c>
      <x:c r="B243" s="8" t="n">
        <x:v>1</x:v>
      </x:c>
      <x:c r="C243" s="11" t="n">
        <x:v>9.975000000000001</x:v>
      </x:c>
      <x:c r="D243" s="11" t="n">
        <x:v>6.0120000000000005</x:v>
      </x:c>
      <x:c r="E243" s="11" t="n">
        <x:v>7.36</x:v>
      </x:c>
      <x:c r="F243" s="11" t="n">
        <x:f>0</x:f>
        <x:v>0</x:v>
      </x:c>
      <x:c r="G243" s="8" t="str">
        <x:v>Current</x:v>
      </x:c>
    </x:row>
    <x:row r="244" ht="32" customHeight="1">
      <x:c r="A244" s="8" t="str">
        <x:v>drop:FC1:F2:fan:1:F-NAVE-H-3</x:v>
      </x:c>
      <x:c r="B244" s="8" t="n">
        <x:v>2</x:v>
      </x:c>
      <x:c r="C244" s="11" t="n">
        <x:v>9.975000000000001</x:v>
      </x:c>
      <x:c r="D244" s="11" t="n">
        <x:v>5.55</x:v>
      </x:c>
      <x:c r="E244" s="11" t="n">
        <x:v>7.36</x:v>
      </x:c>
      <x:c r="F244" s="11" t="n">
        <x:f>SQRT((C244-C243)^2+(D244-D243)^2+(E244-E243)^2)</x:f>
        <x:v>0.46200000000000063</x:v>
      </x:c>
      <x:c r="G244" s="8" t="str">
        <x:v>Current</x:v>
      </x:c>
    </x:row>
    <x:row r="245" ht="32" customHeight="1">
      <x:c r="A245" s="8" t="str">
        <x:v>drop:FC1:F2:fan:1:F-NAVE-H-3</x:v>
      </x:c>
      <x:c r="B245" s="8" t="n">
        <x:v>3</x:v>
      </x:c>
      <x:c r="C245" s="11" t="n">
        <x:v>9.975</x:v>
      </x:c>
      <x:c r="D245" s="11" t="n">
        <x:v>5.55</x:v>
      </x:c>
      <x:c r="E245" s="11" t="n">
        <x:v>7.07</x:v>
      </x:c>
      <x:c r="F245" s="11" t="n">
        <x:f>SQRT((C245-C244)^2+(D245-D244)^2+(E245-E244)^2)</x:f>
        <x:v>0.29000000000000004</x:v>
      </x:c>
      <x:c r="G245" s="8" t="str">
        <x:v>Current</x:v>
      </x:c>
    </x:row>
    <x:row r="246" ht="32" customHeight="1">
      <x:c r="A246" s="8" t="str">
        <x:v>drop:FC1:F2:fan:1:F-NAVE-H-5</x:v>
      </x:c>
      <x:c r="B246" s="8" t="n">
        <x:v>1</x:v>
      </x:c>
      <x:c r="C246" s="11" t="n">
        <x:v>18.975</x:v>
      </x:c>
      <x:c r="D246" s="11" t="n">
        <x:v>6.0120000000000005</x:v>
      </x:c>
      <x:c r="E246" s="11" t="n">
        <x:v>7.36</x:v>
      </x:c>
      <x:c r="F246" s="11" t="n">
        <x:f>0</x:f>
        <x:v>0</x:v>
      </x:c>
      <x:c r="G246" s="8" t="str">
        <x:v>Current</x:v>
      </x:c>
    </x:row>
    <x:row r="247" ht="32" customHeight="1">
      <x:c r="A247" s="8" t="str">
        <x:v>drop:FC1:F2:fan:1:F-NAVE-H-5</x:v>
      </x:c>
      <x:c r="B247" s="8" t="n">
        <x:v>2</x:v>
      </x:c>
      <x:c r="C247" s="11" t="n">
        <x:v>18.975</x:v>
      </x:c>
      <x:c r="D247" s="11" t="n">
        <x:v>5.55</x:v>
      </x:c>
      <x:c r="E247" s="11" t="n">
        <x:v>7.36</x:v>
      </x:c>
      <x:c r="F247" s="11" t="n">
        <x:f>SQRT((C247-C246)^2+(D247-D246)^2+(E247-E246)^2)</x:f>
        <x:v>0.46200000000000063</x:v>
      </x:c>
      <x:c r="G247" s="8" t="str">
        <x:v>Current</x:v>
      </x:c>
    </x:row>
    <x:row r="248" ht="32" customHeight="1">
      <x:c r="A248" s="8" t="str">
        <x:v>drop:FC1:F2:fan:1:F-NAVE-H-5</x:v>
      </x:c>
      <x:c r="B248" s="8" t="n">
        <x:v>3</x:v>
      </x:c>
      <x:c r="C248" s="11" t="n">
        <x:v>18.975</x:v>
      </x:c>
      <x:c r="D248" s="11" t="n">
        <x:v>5.55</x:v>
      </x:c>
      <x:c r="E248" s="11" t="n">
        <x:v>7.07</x:v>
      </x:c>
      <x:c r="F248" s="11" t="n">
        <x:f>SQRT((C248-C247)^2+(D248-D247)^2+(E248-E247)^2)</x:f>
        <x:v>0.29000000000000004</x:v>
      </x:c>
      <x:c r="G248" s="8" t="str">
        <x:v>Current</x:v>
      </x:c>
    </x:row>
    <x:row r="249" ht="32" customHeight="1">
      <x:c r="A249" s="8" t="str">
        <x:v>drop:FC1:F2:fan:1:F-NAVE-H-7</x:v>
      </x:c>
      <x:c r="B249" s="8" t="n">
        <x:v>1</x:v>
      </x:c>
      <x:c r="C249" s="11" t="n">
        <x:v>27.975</x:v>
      </x:c>
      <x:c r="D249" s="11" t="n">
        <x:v>6.0120000000000005</x:v>
      </x:c>
      <x:c r="E249" s="11" t="n">
        <x:v>7.36</x:v>
      </x:c>
      <x:c r="F249" s="11" t="n">
        <x:f>0</x:f>
        <x:v>0</x:v>
      </x:c>
      <x:c r="G249" s="8" t="str">
        <x:v>Current</x:v>
      </x:c>
    </x:row>
    <x:row r="250" ht="32" customHeight="1">
      <x:c r="A250" s="8" t="str">
        <x:v>drop:FC1:F2:fan:1:F-NAVE-H-7</x:v>
      </x:c>
      <x:c r="B250" s="8" t="n">
        <x:v>2</x:v>
      </x:c>
      <x:c r="C250" s="11" t="n">
        <x:v>27.975</x:v>
      </x:c>
      <x:c r="D250" s="11" t="n">
        <x:v>5.55</x:v>
      </x:c>
      <x:c r="E250" s="11" t="n">
        <x:v>7.36</x:v>
      </x:c>
      <x:c r="F250" s="11" t="n">
        <x:f>SQRT((C250-C249)^2+(D250-D249)^2+(E250-E249)^2)</x:f>
        <x:v>0.46200000000000063</x:v>
      </x:c>
      <x:c r="G250" s="8" t="str">
        <x:v>Current</x:v>
      </x:c>
    </x:row>
    <x:row r="251" ht="32" customHeight="1">
      <x:c r="A251" s="8" t="str">
        <x:v>drop:FC1:F2:fan:1:F-NAVE-H-7</x:v>
      </x:c>
      <x:c r="B251" s="8" t="n">
        <x:v>3</x:v>
      </x:c>
      <x:c r="C251" s="11" t="n">
        <x:v>27.975</x:v>
      </x:c>
      <x:c r="D251" s="11" t="n">
        <x:v>5.55</x:v>
      </x:c>
      <x:c r="E251" s="11" t="n">
        <x:v>7.07</x:v>
      </x:c>
      <x:c r="F251" s="11" t="n">
        <x:f>SQRT((C251-C250)^2+(D251-D250)^2+(E251-E250)^2)</x:f>
        <x:v>0.29000000000000004</x:v>
      </x:c>
      <x:c r="G251" s="8" t="str">
        <x:v>Current</x:v>
      </x:c>
    </x:row>
    <x:row r="252" ht="32" customHeight="1">
      <x:c r="A252" s="8" t="str">
        <x:v>drop:FC1:F2:fan:1:F-NAVE-H-9</x:v>
      </x:c>
      <x:c r="B252" s="8" t="n">
        <x:v>1</x:v>
      </x:c>
      <x:c r="C252" s="11" t="n">
        <x:v>36.975</x:v>
      </x:c>
      <x:c r="D252" s="11" t="n">
        <x:v>6.0120000000000005</x:v>
      </x:c>
      <x:c r="E252" s="11" t="n">
        <x:v>7.36</x:v>
      </x:c>
      <x:c r="F252" s="11" t="n">
        <x:f>0</x:f>
        <x:v>0</x:v>
      </x:c>
      <x:c r="G252" s="8" t="str">
        <x:v>Current</x:v>
      </x:c>
    </x:row>
    <x:row r="253" ht="32" customHeight="1">
      <x:c r="A253" s="8" t="str">
        <x:v>drop:FC1:F2:fan:1:F-NAVE-H-9</x:v>
      </x:c>
      <x:c r="B253" s="8" t="n">
        <x:v>2</x:v>
      </x:c>
      <x:c r="C253" s="11" t="n">
        <x:v>36.975</x:v>
      </x:c>
      <x:c r="D253" s="11" t="n">
        <x:v>5.55</x:v>
      </x:c>
      <x:c r="E253" s="11" t="n">
        <x:v>7.36</x:v>
      </x:c>
      <x:c r="F253" s="11" t="n">
        <x:f>SQRT((C253-C252)^2+(D253-D252)^2+(E253-E252)^2)</x:f>
        <x:v>0.46200000000000063</x:v>
      </x:c>
      <x:c r="G253" s="8" t="str">
        <x:v>Current</x:v>
      </x:c>
    </x:row>
    <x:row r="254" ht="32" customHeight="1">
      <x:c r="A254" s="8" t="str">
        <x:v>drop:FC1:F2:fan:1:F-NAVE-H-9</x:v>
      </x:c>
      <x:c r="B254" s="8" t="n">
        <x:v>3</x:v>
      </x:c>
      <x:c r="C254" s="11" t="n">
        <x:v>36.975</x:v>
      </x:c>
      <x:c r="D254" s="11" t="n">
        <x:v>5.55</x:v>
      </x:c>
      <x:c r="E254" s="11" t="n">
        <x:v>7.07</x:v>
      </x:c>
      <x:c r="F254" s="11" t="n">
        <x:f>SQRT((C254-C253)^2+(D254-D253)^2+(E254-E253)^2)</x:f>
        <x:v>0.29000000000000004</x:v>
      </x:c>
      <x:c r="G254" s="8" t="str">
        <x:v>Current</x:v>
      </x:c>
    </x:row>
    <x:row r="255" ht="32" customHeight="1">
      <x:c r="A255" s="8" t="str">
        <x:v>trunk:DB2:F4:fan:-1</x:v>
      </x:c>
      <x:c r="B255" s="8" t="n">
        <x:v>1</x:v>
      </x:c>
      <x:c r="C255" s="11" t="n">
        <x:v>2.73</x:v>
      </x:c>
      <x:c r="D255" s="11" t="n">
        <x:v>1.5</x:v>
      </x:c>
      <x:c r="E255" s="11" t="n">
        <x:v>-3.3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trunk:DB2:F4:fan:-1</x:v>
      </x:c>
      <x:c r="B256" s="8" t="n">
        <x:v>2</x:v>
      </x:c>
      <x:c r="C256" s="11" t="n">
        <x:v>2.35</x:v>
      </x:c>
      <x:c r="D256" s="11" t="n">
        <x:v>1.5</x:v>
      </x:c>
      <x:c r="E256" s="11" t="n">
        <x:v>-3.3</x:v>
      </x:c>
      <x:c r="F256" s="11" t="n">
        <x:f>SQRT((C256-C255)^2+(D256-D255)^2+(E256-E255)^2)</x:f>
        <x:v>0.3799999999999999</x:v>
      </x:c>
      <x:c r="G256" s="8" t="str">
        <x:v>Current</x:v>
      </x:c>
    </x:row>
    <x:row r="257" ht="32" customHeight="1">
      <x:c r="A257" s="8" t="str">
        <x:v>trunk:DB2:F4:fan:-1</x:v>
      </x:c>
      <x:c r="B257" s="8" t="n">
        <x:v>3</x:v>
      </x:c>
      <x:c r="C257" s="11" t="n">
        <x:v>2.35</x:v>
      </x:c>
      <x:c r="D257" s="11" t="n">
        <x:v>7.65</x:v>
      </x:c>
      <x:c r="E257" s="11" t="n">
        <x:v>-3.3</x:v>
      </x:c>
      <x:c r="F257" s="11" t="n">
        <x:f>SQRT((C257-C256)^2+(D257-D256)^2+(E257-E256)^2)</x:f>
        <x:v>6.15</x:v>
      </x:c>
      <x:c r="G257" s="8" t="str">
        <x:v>Current</x:v>
      </x:c>
    </x:row>
    <x:row r="258" ht="32" customHeight="1">
      <x:c r="A258" s="8" t="str">
        <x:v>trunk:DB2:F4:fan:-1</x:v>
      </x:c>
      <x:c r="B258" s="8" t="n">
        <x:v>4</x:v>
      </x:c>
      <x:c r="C258" s="11" t="n">
        <x:v>2.35</x:v>
      </x:c>
      <x:c r="D258" s="11" t="n">
        <x:v>7.65</x:v>
      </x:c>
      <x:c r="E258" s="11" t="n">
        <x:v>-7.36</x:v>
      </x:c>
      <x:c r="F258" s="11" t="n">
        <x:f>SQRT((C258-C257)^2+(D258-D257)^2+(E258-E257)^2)</x:f>
        <x:v>4.0600000000000005</x:v>
      </x:c>
      <x:c r="G258" s="8" t="str">
        <x:v>Current</x:v>
      </x:c>
    </x:row>
    <x:row r="259" ht="32" customHeight="1">
      <x:c r="A259" s="8" t="str">
        <x:v>trunk:DB2:F4:fan:-1</x:v>
      </x:c>
      <x:c r="B259" s="8" t="n">
        <x:v>5</x:v>
      </x:c>
      <x:c r="C259" s="11" t="n">
        <x:v>2.35</x:v>
      </x:c>
      <x:c r="D259" s="11" t="n">
        <x:v>6.0280000000000005</x:v>
      </x:c>
      <x:c r="E259" s="11" t="n">
        <x:v>-7.36</x:v>
      </x:c>
      <x:c r="F259" s="11" t="n">
        <x:f>SQRT((C259-C258)^2+(D259-D258)^2+(E259-E258)^2)</x:f>
        <x:v>1.6219999999999999</x:v>
      </x:c>
      <x:c r="G259" s="8" t="str">
        <x:v>Current</x:v>
      </x:c>
    </x:row>
    <x:row r="260" ht="32" customHeight="1">
      <x:c r="A260" s="8" t="str">
        <x:v>trunk:DB2:F4:fan:-1</x:v>
      </x:c>
      <x:c r="B260" s="8" t="n">
        <x:v>6</x:v>
      </x:c>
      <x:c r="C260" s="11" t="n">
        <x:v>2.655</x:v>
      </x:c>
      <x:c r="D260" s="11" t="n">
        <x:v>6.0280000000000005</x:v>
      </x:c>
      <x:c r="E260" s="11" t="n">
        <x:v>-7.36</x:v>
      </x:c>
      <x:c r="F260" s="11" t="n">
        <x:f>SQRT((C260-C259)^2+(D260-D259)^2+(E260-E259)^2)</x:f>
        <x:v>0.3049999999999997</x:v>
      </x:c>
      <x:c r="G260" s="8" t="str">
        <x:v>Current</x:v>
      </x:c>
    </x:row>
    <x:row r="261" ht="32" customHeight="1">
      <x:c r="A261" s="8" t="str">
        <x:v>drop:DB2:F4:fan:-1:F250</x:v>
      </x:c>
      <x:c r="B261" s="8" t="n">
        <x:v>1</x:v>
      </x:c>
      <x:c r="C261" s="11" t="n">
        <x:v>2.655</x:v>
      </x:c>
      <x:c r="D261" s="11" t="n">
        <x:v>6.0280000000000005</x:v>
      </x:c>
      <x:c r="E261" s="11" t="n">
        <x:v>-7.36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drop:DB2:F4:fan:-1:F250</x:v>
      </x:c>
      <x:c r="B262" s="8" t="n">
        <x:v>2</x:v>
      </x:c>
      <x:c r="C262" s="11" t="n">
        <x:v>2.35</x:v>
      </x:c>
      <x:c r="D262" s="11" t="n">
        <x:v>7.65</x:v>
      </x:c>
      <x:c r="E262" s="11" t="n">
        <x:v>-7.36</x:v>
      </x:c>
      <x:c r="F262" s="11" t="n">
        <x:f>SQRT((C262-C261)^2+(D262-D261)^2+(E262-E261)^2)</x:f>
        <x:v>1.6504269144678898</x:v>
      </x:c>
      <x:c r="G262" s="8" t="str">
        <x:v>Current</x:v>
      </x:c>
    </x:row>
    <x:row r="263" ht="32" customHeight="1">
      <x:c r="A263" s="8" t="str">
        <x:v>drop:DB2:F4:fan:-1:F250</x:v>
      </x:c>
      <x:c r="B263" s="8" t="n">
        <x:v>3</x:v>
      </x:c>
      <x:c r="C263" s="11" t="n">
        <x:v>2.35</x:v>
      </x:c>
      <x:c r="D263" s="11" t="n">
        <x:v>7.65</x:v>
      </x:c>
      <x:c r="E263" s="11" t="n">
        <x:v>-3.05</x:v>
      </x:c>
      <x:c r="F263" s="11" t="n">
        <x:f>SQRT((C263-C262)^2+(D263-D262)^2+(E263-E262)^2)</x:f>
        <x:v>4.3100000000000005</x:v>
      </x:c>
      <x:c r="G263" s="8" t="str">
        <x:v>Current</x:v>
      </x:c>
    </x:row>
    <x:row r="264" ht="32" customHeight="1">
      <x:c r="A264" s="8" t="str">
        <x:v>drop:DB2:F4:fan:-1:F250</x:v>
      </x:c>
      <x:c r="B264" s="8" t="n">
        <x:v>4</x:v>
      </x:c>
      <x:c r="C264" s="11" t="n">
        <x:v>2.35</x:v>
      </x:c>
      <x:c r="D264" s="11" t="n">
        <x:v>6</x:v>
      </x:c>
      <x:c r="E264" s="11" t="n">
        <x:v>-3.05</x:v>
      </x:c>
      <x:c r="F264" s="11" t="n">
        <x:f>SQRT((C264-C263)^2+(D264-D263)^2+(E264-E263)^2)</x:f>
        <x:v>1.6500000000000004</x:v>
      </x:c>
      <x:c r="G264" s="8" t="str">
        <x:v>Current</x:v>
      </x:c>
    </x:row>
    <x:row r="265" ht="32" customHeight="1">
      <x:c r="A265" s="8" t="str">
        <x:v>drop:DB2:F4:fan:-1:F250</x:v>
      </x:c>
      <x:c r="B265" s="8" t="n">
        <x:v>5</x:v>
      </x:c>
      <x:c r="C265" s="11" t="n">
        <x:v>2.655</x:v>
      </x:c>
      <x:c r="D265" s="11" t="n">
        <x:v>6</x:v>
      </x:c>
      <x:c r="E265" s="11" t="n">
        <x:v>-3.05</x:v>
      </x:c>
      <x:c r="F265" s="11" t="n">
        <x:f>SQRT((C265-C264)^2+(D265-D264)^2+(E265-E264)^2)</x:f>
        <x:v>0.3049999999999997</x:v>
      </x:c>
      <x:c r="G265" s="8" t="str">
        <x:v>Current</x:v>
      </x:c>
    </x:row>
    <x:row r="266" ht="32" customHeight="1">
      <x:c r="A266" s="8" t="str">
        <x:v>trunk:DB2:F4:fan:1</x:v>
      </x:c>
      <x:c r="B266" s="8" t="n">
        <x:v>1</x:v>
      </x:c>
      <x:c r="C266" s="11" t="n">
        <x:v>2.73</x:v>
      </x:c>
      <x:c r="D266" s="11" t="n">
        <x:v>1.5</x:v>
      </x:c>
      <x:c r="E266" s="11" t="n">
        <x:v>-3.3</x:v>
      </x:c>
      <x:c r="F266" s="11" t="n">
        <x:f>0</x:f>
        <x:v>0</x:v>
      </x:c>
      <x:c r="G266" s="8" t="str">
        <x:v>Current</x:v>
      </x:c>
    </x:row>
    <x:row r="267" ht="32" customHeight="1">
      <x:c r="A267" s="8" t="str">
        <x:v>trunk:DB2:F4:fan:1</x:v>
      </x:c>
      <x:c r="B267" s="8" t="n">
        <x:v>2</x:v>
      </x:c>
      <x:c r="C267" s="11" t="n">
        <x:v>2.35</x:v>
      </x:c>
      <x:c r="D267" s="11" t="n">
        <x:v>1.5</x:v>
      </x:c>
      <x:c r="E267" s="11" t="n">
        <x:v>-3.3</x:v>
      </x:c>
      <x:c r="F267" s="11" t="n">
        <x:f>SQRT((C267-C266)^2+(D267-D266)^2+(E267-E266)^2)</x:f>
        <x:v>0.3799999999999999</x:v>
      </x:c>
      <x:c r="G267" s="8" t="str">
        <x:v>Current</x:v>
      </x:c>
    </x:row>
    <x:row r="268" ht="32" customHeight="1">
      <x:c r="A268" s="8" t="str">
        <x:v>trunk:DB2:F4:fan:1</x:v>
      </x:c>
      <x:c r="B268" s="8" t="n">
        <x:v>3</x:v>
      </x:c>
      <x:c r="C268" s="11" t="n">
        <x:v>2.35</x:v>
      </x:c>
      <x:c r="D268" s="11" t="n">
        <x:v>7.65</x:v>
      </x:c>
      <x:c r="E268" s="11" t="n">
        <x:v>-3.3</x:v>
      </x:c>
      <x:c r="F268" s="11" t="n">
        <x:f>SQRT((C268-C267)^2+(D268-D267)^2+(E268-E267)^2)</x:f>
        <x:v>6.15</x:v>
      </x:c>
      <x:c r="G268" s="8" t="str">
        <x:v>Current</x:v>
      </x:c>
    </x:row>
    <x:row r="269" ht="32" customHeight="1">
      <x:c r="A269" s="8" t="str">
        <x:v>trunk:DB2:F4:fan:1</x:v>
      </x:c>
      <x:c r="B269" s="8" t="n">
        <x:v>4</x:v>
      </x:c>
      <x:c r="C269" s="11" t="n">
        <x:v>2.35</x:v>
      </x:c>
      <x:c r="D269" s="11" t="n">
        <x:v>7.65</x:v>
      </x:c>
      <x:c r="E269" s="11" t="n">
        <x:v>7.36</x:v>
      </x:c>
      <x:c r="F269" s="11" t="n">
        <x:f>SQRT((C269-C268)^2+(D269-D268)^2+(E269-E268)^2)</x:f>
        <x:v>10.66</x:v>
      </x:c>
      <x:c r="G269" s="8" t="str">
        <x:v>Current</x:v>
      </x:c>
    </x:row>
    <x:row r="270" ht="32" customHeight="1">
      <x:c r="A270" s="8" t="str">
        <x:v>trunk:DB2:F4:fan:1</x:v>
      </x:c>
      <x:c r="B270" s="8" t="n">
        <x:v>5</x:v>
      </x:c>
      <x:c r="C270" s="11" t="n">
        <x:v>2.35</x:v>
      </x:c>
      <x:c r="D270" s="11" t="n">
        <x:v>6.0280000000000005</x:v>
      </x:c>
      <x:c r="E270" s="11" t="n">
        <x:v>7.36</x:v>
      </x:c>
      <x:c r="F270" s="11" t="n">
        <x:f>SQRT((C270-C269)^2+(D270-D269)^2+(E270-E269)^2)</x:f>
        <x:v>1.6219999999999999</x:v>
      </x:c>
      <x:c r="G270" s="8" t="str">
        <x:v>Current</x:v>
      </x:c>
    </x:row>
    <x:row r="271" ht="32" customHeight="1">
      <x:c r="A271" s="8" t="str">
        <x:v>trunk:DB2:F4:fan:1</x:v>
      </x:c>
      <x:c r="B271" s="8" t="n">
        <x:v>6</x:v>
      </x:c>
      <x:c r="C271" s="11" t="n">
        <x:v>2.655</x:v>
      </x:c>
      <x:c r="D271" s="11" t="n">
        <x:v>6.0280000000000005</x:v>
      </x:c>
      <x:c r="E271" s="11" t="n">
        <x:v>7.36</x:v>
      </x:c>
      <x:c r="F271" s="11" t="n">
        <x:f>SQRT((C271-C270)^2+(D271-D270)^2+(E271-E270)^2)</x:f>
        <x:v>0.3049999999999997</x:v>
      </x:c>
      <x:c r="G271" s="8" t="str">
        <x:v>Current</x:v>
      </x:c>
    </x:row>
    <x:row r="272" ht="32" customHeight="1">
      <x:c r="A272" s="8" t="str">
        <x:v>drop:DB2:F4:fan:1:F251</x:v>
      </x:c>
      <x:c r="B272" s="8" t="n">
        <x:v>1</x:v>
      </x:c>
      <x:c r="C272" s="11" t="n">
        <x:v>2.655</x:v>
      </x:c>
      <x:c r="D272" s="11" t="n">
        <x:v>6.0280000000000005</x:v>
      </x:c>
      <x:c r="E272" s="11" t="n">
        <x:v>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drop:DB2:F4:fan:1:F251</x:v>
      </x:c>
      <x:c r="B273" s="8" t="n">
        <x:v>2</x:v>
      </x:c>
      <x:c r="C273" s="11" t="n">
        <x:v>2.35</x:v>
      </x:c>
      <x:c r="D273" s="11" t="n">
        <x:v>7.65</x:v>
      </x:c>
      <x:c r="E273" s="11" t="n">
        <x:v>7.36</x:v>
      </x:c>
      <x:c r="F273" s="11" t="n">
        <x:f>SQRT((C273-C272)^2+(D273-D272)^2+(E273-E272)^2)</x:f>
        <x:v>1.6504269144678898</x:v>
      </x:c>
      <x:c r="G273" s="8" t="str">
        <x:v>Current</x:v>
      </x:c>
    </x:row>
    <x:row r="274" ht="32" customHeight="1">
      <x:c r="A274" s="8" t="str">
        <x:v>drop:DB2:F4:fan:1:F251</x:v>
      </x:c>
      <x:c r="B274" s="8" t="n">
        <x:v>3</x:v>
      </x:c>
      <x:c r="C274" s="11" t="n">
        <x:v>2.35</x:v>
      </x:c>
      <x:c r="D274" s="11" t="n">
        <x:v>7.65</x:v>
      </x:c>
      <x:c r="E274" s="11" t="n">
        <x:v>3.05</x:v>
      </x:c>
      <x:c r="F274" s="11" t="n">
        <x:f>SQRT((C274-C273)^2+(D274-D273)^2+(E274-E273)^2)</x:f>
        <x:v>4.3100000000000005</x:v>
      </x:c>
      <x:c r="G274" s="8" t="str">
        <x:v>Current</x:v>
      </x:c>
    </x:row>
    <x:row r="275" ht="32" customHeight="1">
      <x:c r="A275" s="8" t="str">
        <x:v>drop:DB2:F4:fan:1:F251</x:v>
      </x:c>
      <x:c r="B275" s="8" t="n">
        <x:v>4</x:v>
      </x:c>
      <x:c r="C275" s="11" t="n">
        <x:v>2.35</x:v>
      </x:c>
      <x:c r="D275" s="11" t="n">
        <x:v>6</x:v>
      </x:c>
      <x:c r="E275" s="11" t="n">
        <x:v>3.05</x:v>
      </x:c>
      <x:c r="F275" s="11" t="n">
        <x:f>SQRT((C275-C274)^2+(D275-D274)^2+(E275-E274)^2)</x:f>
        <x:v>1.6500000000000004</x:v>
      </x:c>
      <x:c r="G275" s="8" t="str">
        <x:v>Current</x:v>
      </x:c>
    </x:row>
    <x:row r="276" ht="32" customHeight="1">
      <x:c r="A276" s="8" t="str">
        <x:v>drop:DB2:F4:fan:1:F251</x:v>
      </x:c>
      <x:c r="B276" s="8" t="n">
        <x:v>5</x:v>
      </x:c>
      <x:c r="C276" s="11" t="n">
        <x:v>2.655</x:v>
      </x:c>
      <x:c r="D276" s="11" t="n">
        <x:v>6</x:v>
      </x:c>
      <x:c r="E276" s="11" t="n">
        <x:v>3.05</x:v>
      </x:c>
      <x:c r="F276" s="11" t="n">
        <x:f>SQRT((C276-C275)^2+(D276-D275)^2+(E276-E275)^2)</x:f>
        <x:v>0.3049999999999997</x:v>
      </x:c>
      <x:c r="G276" s="8" t="str">
        <x:v>Current</x:v>
      </x:c>
    </x:row>
    <x:row r="277" ht="32" customHeight="1">
      <x:c r="A277" s="8" t="str">
        <x:v>trunk:FC1:V1:fan:-1</x:v>
      </x:c>
      <x:c r="B277" s="8" t="n">
        <x:v>1</x:v>
      </x:c>
      <x:c r="C277" s="11" t="n">
        <x:v>48.895</x:v>
      </x:c>
      <x:c r="D277" s="11" t="n">
        <x:v>1.95</x:v>
      </x:c>
      <x:c r="E277" s="11" t="n">
        <x:v>0.4</x:v>
      </x:c>
      <x:c r="F277" s="11" t="n">
        <x:f>0</x:f>
        <x:v>0</x:v>
      </x:c>
      <x:c r="G277" s="8" t="str">
        <x:v>Current</x:v>
      </x:c>
    </x:row>
    <x:row r="278" ht="32" customHeight="1">
      <x:c r="A278" s="8" t="str">
        <x:v>trunk:FC1:V1:fan:-1</x:v>
      </x:c>
      <x:c r="B278" s="8" t="n">
        <x:v>2</x:v>
      </x:c>
      <x:c r="C278" s="11" t="n">
        <x:v>48.735</x:v>
      </x:c>
      <x:c r="D278" s="11" t="n">
        <x:v>1.95</x:v>
      </x:c>
      <x:c r="E278" s="11" t="n">
        <x:v>0.4</x:v>
      </x:c>
      <x:c r="F278" s="11" t="n">
        <x:f>SQRT((C278-C277)^2+(D278-D277)^2+(E278-E277)^2)</x:f>
        <x:v>0.1600000000000037</x:v>
      </x:c>
      <x:c r="G278" s="8" t="str">
        <x:v>Current</x:v>
      </x:c>
    </x:row>
    <x:row r="279" ht="32" customHeight="1">
      <x:c r="A279" s="8" t="str">
        <x:v>trunk:FC1:V1:fan:-1</x:v>
      </x:c>
      <x:c r="B279" s="8" t="n">
        <x:v>3</x:v>
      </x:c>
      <x:c r="C279" s="11" t="n">
        <x:v>48.735</x:v>
      </x:c>
      <x:c r="D279" s="11" t="n">
        <x:v>1.95</x:v>
      </x:c>
      <x:c r="E279" s="11" t="n">
        <x:v>-2.24</x:v>
      </x:c>
      <x:c r="F279" s="11" t="n">
        <x:f>SQRT((C279-C278)^2+(D279-D278)^2+(E279-E278)^2)</x:f>
        <x:v>2.64</x:v>
      </x:c>
      <x:c r="G279" s="8" t="str">
        <x:v>Current</x:v>
      </x:c>
    </x:row>
    <x:row r="280" ht="32" customHeight="1">
      <x:c r="A280" s="8" t="str">
        <x:v>trunk:FC1:V1:fan:-1</x:v>
      </x:c>
      <x:c r="B280" s="8" t="n">
        <x:v>4</x:v>
      </x:c>
      <x:c r="C280" s="11" t="n">
        <x:v>48.735</x:v>
      </x:c>
      <x:c r="D280" s="11" t="n">
        <x:v>4.33</x:v>
      </x:c>
      <x:c r="E280" s="11" t="n">
        <x:v>-2.24</x:v>
      </x:c>
      <x:c r="F280" s="11" t="n">
        <x:f>SQRT((C280-C279)^2+(D280-D279)^2+(E280-E279)^2)</x:f>
        <x:v>2.38</x:v>
      </x:c>
      <x:c r="G280" s="8" t="str">
        <x:v>Current</x:v>
      </x:c>
    </x:row>
    <x:row r="281" ht="32" customHeight="1">
      <x:c r="A281" s="8" t="str">
        <x:v>trunk:FC1:V1:fan:-1</x:v>
      </x:c>
      <x:c r="B281" s="8" t="n">
        <x:v>5</x:v>
      </x:c>
      <x:c r="C281" s="11" t="n">
        <x:v>48.735</x:v>
      </x:c>
      <x:c r="D281" s="11" t="n">
        <x:v>4.33</x:v>
      </x:c>
      <x:c r="E281" s="11" t="n">
        <x:v>-3.3</x:v>
      </x:c>
      <x:c r="F281" s="11" t="n">
        <x:f>SQRT((C281-C280)^2+(D281-D280)^2+(E281-E280)^2)</x:f>
        <x:v>1.0599999999999996</x:v>
      </x:c>
      <x:c r="G281" s="8" t="str">
        <x:v>Current</x:v>
      </x:c>
    </x:row>
    <x:row r="282" ht="32" customHeight="1">
      <x:c r="A282" s="8" t="str">
        <x:v>trunk:FC1:V1:fan:-1</x:v>
      </x:c>
      <x:c r="B282" s="8" t="n">
        <x:v>6</x:v>
      </x:c>
      <x:c r="C282" s="11" t="n">
        <x:v>53.016</x:v>
      </x:c>
      <x:c r="D282" s="11" t="n">
        <x:v>4.33</x:v>
      </x:c>
      <x:c r="E282" s="11" t="n">
        <x:v>-3.3</x:v>
      </x:c>
      <x:c r="F282" s="11" t="n">
        <x:f>SQRT((C282-C281)^2+(D282-D281)^2+(E282-E281)^2)</x:f>
        <x:v>4.280999999999999</x:v>
      </x:c>
      <x:c r="G282" s="8" t="str">
        <x:v>Current</x:v>
      </x:c>
    </x:row>
    <x:row r="283" ht="32" customHeight="1">
      <x:c r="A283" s="8" t="str">
        <x:v>trunk:FC1:V1:fan:-1</x:v>
      </x:c>
      <x:c r="B283" s="8" t="n">
        <x:v>7</x:v>
      </x:c>
      <x:c r="C283" s="11" t="n">
        <x:v>53.016</x:v>
      </x:c>
      <x:c r="D283" s="11" t="n">
        <x:v>6.0360000000000005</x:v>
      </x:c>
      <x:c r="E283" s="11" t="n">
        <x:v>-3.3</x:v>
      </x:c>
      <x:c r="F283" s="11" t="n">
        <x:f>SQRT((C283-C282)^2+(D283-D282)^2+(E283-E282)^2)</x:f>
        <x:v>1.7060000000000004</x:v>
      </x:c>
      <x:c r="G283" s="8" t="str">
        <x:v>Current</x:v>
      </x:c>
    </x:row>
    <x:row r="284" ht="32" customHeight="1">
      <x:c r="A284" s="8" t="str">
        <x:v>trunk:FC1:V1:fan:-1</x:v>
      </x:c>
      <x:c r="B284" s="8" t="n">
        <x:v>8</x:v>
      </x:c>
      <x:c r="C284" s="11" t="n">
        <x:v>53.016</x:v>
      </x:c>
      <x:c r="D284" s="11" t="n">
        <x:v>6.0360000000000005</x:v>
      </x:c>
      <x:c r="E284" s="11" t="n">
        <x:v>-7.36</x:v>
      </x:c>
      <x:c r="F284" s="11" t="n">
        <x:f>SQRT((C284-C283)^2+(D284-D283)^2+(E284-E283)^2)</x:f>
        <x:v>4.0600000000000005</x:v>
      </x:c>
      <x:c r="G284" s="8" t="str">
        <x:v>Current</x:v>
      </x:c>
    </x:row>
    <x:row r="285" ht="32" customHeight="1">
      <x:c r="A285" s="8" t="str">
        <x:v>trunk:FC1:V1:fan:-1</x:v>
      </x:c>
      <x:c r="B285" s="8" t="n">
        <x:v>9</x:v>
      </x:c>
      <x:c r="C285" s="11" t="n">
        <x:v>44.175</x:v>
      </x:c>
      <x:c r="D285" s="11" t="n">
        <x:v>6.0360000000000005</x:v>
      </x:c>
      <x:c r="E285" s="11" t="n">
        <x:v>-7.36</x:v>
      </x:c>
      <x:c r="F285" s="11" t="n">
        <x:f>SQRT((C285-C284)^2+(D285-D284)^2+(E285-E284)^2)</x:f>
        <x:v>8.841000000000001</x:v>
      </x:c>
      <x:c r="G285" s="8" t="str">
        <x:v>Current</x:v>
      </x:c>
    </x:row>
    <x:row r="286" ht="32" customHeight="1">
      <x:c r="A286" s="8" t="str">
        <x:v>trunk:FC1:V1:fan:-1</x:v>
      </x:c>
      <x:c r="B286" s="8" t="n">
        <x:v>10</x:v>
      </x:c>
      <x:c r="C286" s="11" t="n">
        <x:v>44.175</x:v>
      </x:c>
      <x:c r="D286" s="11" t="n">
        <x:v>7.04</x:v>
      </x:c>
      <x:c r="E286" s="11" t="n">
        <x:v>-7.36</x:v>
      </x:c>
      <x:c r="F286" s="11" t="n">
        <x:f>SQRT((C286-C285)^2+(D286-D285)^2+(E286-E285)^2)</x:f>
        <x:v>1.0039999999999996</x:v>
      </x:c>
      <x:c r="G286" s="8" t="str">
        <x:v>Current</x:v>
      </x:c>
    </x:row>
    <x:row r="287" ht="32" customHeight="1">
      <x:c r="A287" s="8" t="str">
        <x:v>trunk:FC1:V1:fan:-1</x:v>
      </x:c>
      <x:c r="B287" s="8" t="n">
        <x:v>11</x:v>
      </x:c>
      <x:c r="C287" s="11" t="n">
        <x:v>43.535</x:v>
      </x:c>
      <x:c r="D287" s="11" t="n">
        <x:v>7.04</x:v>
      </x:c>
      <x:c r="E287" s="11" t="n">
        <x:v>-7.36</x:v>
      </x:c>
      <x:c r="F287" s="11" t="n">
        <x:f>SQRT((C287-C286)^2+(D287-D286)^2+(E287-E286)^2)</x:f>
        <x:v>0.6400000000000006</x:v>
      </x:c>
      <x:c r="G287" s="8" t="str">
        <x:v>Current</x:v>
      </x:c>
    </x:row>
    <x:row r="288" ht="32" customHeight="1">
      <x:c r="A288" s="8" t="str">
        <x:v>trunk:FC1:V1:fan:-1</x:v>
      </x:c>
      <x:c r="B288" s="8" t="n">
        <x:v>12</x:v>
      </x:c>
      <x:c r="C288" s="11" t="n">
        <x:v>43.455</x:v>
      </x:c>
      <x:c r="D288" s="11" t="n">
        <x:v>6.950412371134024</x:v>
      </x:c>
      <x:c r="E288" s="11" t="n">
        <x:v>-7.36</x:v>
      </x:c>
      <x:c r="F288" s="11" t="n">
        <x:f>SQRT((C288-C287)^2+(D288-D287)^2+(E288-E287)^2)</x:f>
        <x:v>0.12010804821421249</x:v>
      </x:c>
      <x:c r="G288" s="8" t="str">
        <x:v>Current</x:v>
      </x:c>
    </x:row>
    <x:row r="289" ht="32" customHeight="1">
      <x:c r="A289" s="8" t="str">
        <x:v>trunk:FC1:V1:fan:-1</x:v>
      </x:c>
      <x:c r="B289" s="8" t="n">
        <x:v>13</x:v>
      </x:c>
      <x:c r="C289" s="11" t="n">
        <x:v>40.574999999999996</x:v>
      </x:c>
      <x:c r="D289" s="11" t="n">
        <x:v>9.269999999999994</x:v>
      </x:c>
      <x:c r="E289" s="11" t="n">
        <x:v>-7.36</x:v>
      </x:c>
      <x:c r="F289" s="11" t="n">
        <x:f>SQRT((C289-C288)^2+(D289-D288)^2+(E289-E288)^2)</x:f>
        <x:v>3.6979571073753776</x:v>
      </x:c>
      <x:c r="G289" s="8" t="str">
        <x:v>Current</x:v>
      </x:c>
    </x:row>
    <x:row r="290" ht="32" customHeight="1">
      <x:c r="A290" s="8" t="str">
        <x:v>trunk:FC1:V1:fan:-1</x:v>
      </x:c>
      <x:c r="B290" s="8" t="n">
        <x:v>14</x:v>
      </x:c>
      <x:c r="C290" s="11" t="n">
        <x:v>37.695</x:v>
      </x:c>
      <x:c r="D290" s="11" t="n">
        <x:v>6.950412371134018</x:v>
      </x:c>
      <x:c r="E290" s="11" t="n">
        <x:v>-7.36</x:v>
      </x:c>
      <x:c r="F290" s="11" t="n">
        <x:f>SQRT((C290-C289)^2+(D290-D289)^2+(E290-E289)^2)</x:f>
        <x:v>3.697957107375376</x:v>
      </x:c>
      <x:c r="G290" s="8" t="str">
        <x:v>Current</x:v>
      </x:c>
    </x:row>
    <x:row r="291" ht="32" customHeight="1">
      <x:c r="A291" s="8" t="str">
        <x:v>trunk:FC1:V1:fan:-1</x:v>
      </x:c>
      <x:c r="B291" s="8" t="n">
        <x:v>15</x:v>
      </x:c>
      <x:c r="C291" s="11" t="n">
        <x:v>37.615</x:v>
      </x:c>
      <x:c r="D291" s="11" t="n">
        <x:v>7.04</x:v>
      </x:c>
      <x:c r="E291" s="11" t="n">
        <x:v>-7.36</x:v>
      </x:c>
      <x:c r="F291" s="11" t="n">
        <x:f>SQRT((C291-C290)^2+(D291-D290)^2+(E291-E290)^2)</x:f>
        <x:v>0.12010804821421713</x:v>
      </x:c>
      <x:c r="G291" s="8" t="str">
        <x:v>Current</x:v>
      </x:c>
    </x:row>
    <x:row r="292" ht="32" customHeight="1">
      <x:c r="A292" s="8" t="str">
        <x:v>trunk:FC1:V1:fan:-1</x:v>
      </x:c>
      <x:c r="B292" s="8" t="n">
        <x:v>16</x:v>
      </x:c>
      <x:c r="C292" s="11" t="n">
        <x:v>36.975</x:v>
      </x:c>
      <x:c r="D292" s="11" t="n">
        <x:v>7.04</x:v>
      </x:c>
      <x:c r="E292" s="11" t="n">
        <x:v>-7.36</x:v>
      </x:c>
      <x:c r="F292" s="11" t="n">
        <x:f>SQRT((C292-C291)^2+(D292-D291)^2+(E292-E291)^2)</x:f>
        <x:v>0.6400000000000006</x:v>
      </x:c>
      <x:c r="G292" s="8" t="str">
        <x:v>Current</x:v>
      </x:c>
    </x:row>
    <x:row r="293" ht="32" customHeight="1">
      <x:c r="A293" s="8" t="str">
        <x:v>trunk:FC1:V1:fan:-1</x:v>
      </x:c>
      <x:c r="B293" s="8" t="n">
        <x:v>17</x:v>
      </x:c>
      <x:c r="C293" s="11" t="n">
        <x:v>36.975</x:v>
      </x:c>
      <x:c r="D293" s="11" t="n">
        <x:v>6.0360000000000005</x:v>
      </x:c>
      <x:c r="E293" s="11" t="n">
        <x:v>-7.36</x:v>
      </x:c>
      <x:c r="F293" s="11" t="n">
        <x:f>SQRT((C293-C292)^2+(D293-D292)^2+(E293-E292)^2)</x:f>
        <x:v>1.0039999999999996</x:v>
      </x:c>
      <x:c r="G293" s="8" t="str">
        <x:v>Current</x:v>
      </x:c>
    </x:row>
    <x:row r="294" ht="32" customHeight="1">
      <x:c r="A294" s="8" t="str">
        <x:v>trunk:FC1:V1:fan:-1</x:v>
      </x:c>
      <x:c r="B294" s="8" t="n">
        <x:v>18</x:v>
      </x:c>
      <x:c r="C294" s="11" t="n">
        <x:v>5.48</x:v>
      </x:c>
      <x:c r="D294" s="11" t="n">
        <x:v>6.0360000000000005</x:v>
      </x:c>
      <x:c r="E294" s="11" t="n">
        <x:v>-7.36</x:v>
      </x:c>
      <x:c r="F294" s="11" t="n">
        <x:f>SQRT((C294-C293)^2+(D294-D293)^2+(E294-E293)^2)</x:f>
        <x:v>31.495</x:v>
      </x:c>
      <x:c r="G294" s="8" t="str">
        <x:v>Current</x:v>
      </x:c>
    </x:row>
    <x:row r="295" ht="32" customHeight="1">
      <x:c r="A295" s="8" t="str">
        <x:v>drop:FC1:V1:fan:-1:F252</x:v>
      </x:c>
      <x:c r="B295" s="8" t="n">
        <x:v>1</x:v>
      </x:c>
      <x:c r="C295" s="11" t="n">
        <x:v>5.48</x:v>
      </x:c>
      <x:c r="D295" s="11" t="n">
        <x:v>6.0360000000000005</x:v>
      </x:c>
      <x:c r="E295" s="11" t="n">
        <x:v>-7.36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drop:FC1:V1:fan:-1:F252</x:v>
      </x:c>
      <x:c r="B296" s="8" t="n">
        <x:v>2</x:v>
      </x:c>
      <x:c r="C296" s="11" t="n">
        <x:v>5.48</x:v>
      </x:c>
      <x:c r="D296" s="11" t="n">
        <x:v>7.04</x:v>
      </x:c>
      <x:c r="E296" s="11" t="n">
        <x:v>-7.36</x:v>
      </x:c>
      <x:c r="F296" s="11" t="n">
        <x:f>SQRT((C296-C295)^2+(D296-D295)^2+(E296-E295)^2)</x:f>
        <x:v>1.0039999999999996</x:v>
      </x:c>
      <x:c r="G296" s="8" t="str">
        <x:v>Current</x:v>
      </x:c>
    </x:row>
    <x:row r="297" ht="32" customHeight="1">
      <x:c r="A297" s="8" t="str">
        <x:v>drop:FC1:V1:fan:-1:F252</x:v>
      </x:c>
      <x:c r="B297" s="8" t="n">
        <x:v>3</x:v>
      </x:c>
      <x:c r="C297" s="11" t="n">
        <x:v>5.32</x:v>
      </x:c>
      <x:c r="D297" s="11" t="n">
        <x:v>7.04</x:v>
      </x:c>
      <x:c r="E297" s="11" t="n">
        <x:v>-7.36</x:v>
      </x:c>
      <x:c r="F297" s="11" t="n">
        <x:f>SQRT((C297-C296)^2+(D297-D296)^2+(E297-E296)^2)</x:f>
        <x:v>0.16000000000000014</x:v>
      </x:c>
      <x:c r="G297" s="8" t="str">
        <x:v>Current</x:v>
      </x:c>
    </x:row>
    <x:row r="298" ht="32" customHeight="1">
      <x:c r="A298" s="8" t="str">
        <x:v>drop:FC1:V1:fan:-1:F252</x:v>
      </x:c>
      <x:c r="B298" s="8" t="n">
        <x:v>4</x:v>
      </x:c>
      <x:c r="C298" s="11" t="n">
        <x:v>5.32</x:v>
      </x:c>
      <x:c r="D298" s="11" t="n">
        <x:v>10.64004347826087</x:v>
      </x:c>
      <x:c r="E298" s="11" t="n">
        <x:v>-2.3999999999999995</x:v>
      </x:c>
      <x:c r="F298" s="11" t="n">
        <x:f>SQRT((C298-C297)^2+(D298-D297)^2+(E298-E297)^2)</x:f>
        <x:v>6.128777451120952</x:v>
      </x:c>
      <x:c r="G298" s="8" t="str">
        <x:v>Current</x:v>
      </x:c>
    </x:row>
    <x:row r="299" ht="32" customHeight="1">
      <x:c r="A299" s="8" t="str">
        <x:v>drop:FC1:V1:fan:-1:F252</x:v>
      </x:c>
      <x:c r="B299" s="8" t="n">
        <x:v>5</x:v>
      </x:c>
      <x:c r="C299" s="11" t="n">
        <x:v>5.32</x:v>
      </x:c>
      <x:c r="D299" s="11" t="n">
        <x:v>9.4</x:v>
      </x:c>
      <x:c r="E299" s="11" t="n">
        <x:v>-2.4</x:v>
      </x:c>
      <x:c r="F299" s="11" t="n">
        <x:f>SQRT((C299-C298)^2+(D299-D298)^2+(E299-E298)^2)</x:f>
        <x:v>1.2400434782608691</x:v>
      </x:c>
      <x:c r="G299" s="8" t="str">
        <x:v>Current</x:v>
      </x:c>
    </x:row>
    <x:row r="300" ht="32" customHeight="1">
      <x:c r="A300" s="8" t="str">
        <x:v>drop:FC1:V1:fan:-1:F252</x:v>
      </x:c>
      <x:c r="B300" s="8" t="n">
        <x:v>6</x:v>
      </x:c>
      <x:c r="C300" s="11" t="n">
        <x:v>5.48</x:v>
      </x:c>
      <x:c r="D300" s="11" t="n">
        <x:v>9.4</x:v>
      </x:c>
      <x:c r="E300" s="11" t="n">
        <x:v>-2.4</x:v>
      </x:c>
      <x:c r="F300" s="11" t="n">
        <x:f>SQRT((C300-C299)^2+(D300-D299)^2+(E300-E299)^2)</x:f>
        <x:v>0.16000000000000014</x:v>
      </x:c>
      <x:c r="G300" s="8" t="str">
        <x:v>Current</x:v>
      </x:c>
    </x:row>
    <x:row r="301" ht="32" customHeight="1">
      <x:c r="A301" s="8" t="str">
        <x:v>drop:FC1:V1:fan:-1:F253</x:v>
      </x:c>
      <x:c r="B301" s="8" t="n">
        <x:v>1</x:v>
      </x:c>
      <x:c r="C301" s="11" t="n">
        <x:v>5.48</x:v>
      </x:c>
      <x:c r="D301" s="11" t="n">
        <x:v>6.0360000000000005</x:v>
      </x:c>
      <x:c r="E301" s="11" t="n">
        <x:v>-7.36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drop:FC1:V1:fan:-1:F253</x:v>
      </x:c>
      <x:c r="B302" s="8" t="n">
        <x:v>2</x:v>
      </x:c>
      <x:c r="C302" s="11" t="n">
        <x:v>5.48</x:v>
      </x:c>
      <x:c r="D302" s="11" t="n">
        <x:v>7.04</x:v>
      </x:c>
      <x:c r="E302" s="11" t="n">
        <x:v>-7.36</x:v>
      </x:c>
      <x:c r="F302" s="11" t="n">
        <x:f>SQRT((C302-C301)^2+(D302-D301)^2+(E302-E301)^2)</x:f>
        <x:v>1.0039999999999996</x:v>
      </x:c>
      <x:c r="G302" s="8" t="str">
        <x:v>Current</x:v>
      </x:c>
    </x:row>
    <x:row r="303" ht="32" customHeight="1">
      <x:c r="A303" s="8" t="str">
        <x:v>drop:FC1:V1:fan:-1:F253</x:v>
      </x:c>
      <x:c r="B303" s="8" t="n">
        <x:v>3</x:v>
      </x:c>
      <x:c r="C303" s="11" t="n">
        <x:v>5.32</x:v>
      </x:c>
      <x:c r="D303" s="11" t="n">
        <x:v>7.04</x:v>
      </x:c>
      <x:c r="E303" s="11" t="n">
        <x:v>-7.36</x:v>
      </x:c>
      <x:c r="F303" s="11" t="n">
        <x:f>SQRT((C303-C302)^2+(D303-D302)^2+(E303-E302)^2)</x:f>
        <x:v>0.16000000000000014</x:v>
      </x:c>
      <x:c r="G303" s="8" t="str">
        <x:v>Current</x:v>
      </x:c>
    </x:row>
    <x:row r="304" ht="32" customHeight="1">
      <x:c r="A304" s="8" t="str">
        <x:v>drop:FC1:V1:fan:-1:F253</x:v>
      </x:c>
      <x:c r="B304" s="8" t="n">
        <x:v>4</x:v>
      </x:c>
      <x:c r="C304" s="11" t="n">
        <x:v>5.32</x:v>
      </x:c>
      <x:c r="D304" s="11" t="n">
        <x:v>11.801347826086957</x:v>
      </x:c>
      <x:c r="E304" s="11" t="n">
        <x:v>-0.7999999999999998</x:v>
      </x:c>
      <x:c r="F304" s="11" t="n">
        <x:f>SQRT((C304-C303)^2+(D304-D303)^2+(E304-E303)^2)</x:f>
        <x:v>8.105802435353516</x:v>
      </x:c>
      <x:c r="G304" s="8" t="str">
        <x:v>Current</x:v>
      </x:c>
    </x:row>
    <x:row r="305" ht="32" customHeight="1">
      <x:c r="A305" s="8" t="str">
        <x:v>drop:FC1:V1:fan:-1:F253</x:v>
      </x:c>
      <x:c r="B305" s="8" t="n">
        <x:v>5</x:v>
      </x:c>
      <x:c r="C305" s="11" t="n">
        <x:v>5.32</x:v>
      </x:c>
      <x:c r="D305" s="11" t="n">
        <x:v>9.4</x:v>
      </x:c>
      <x:c r="E305" s="11" t="n">
        <x:v>-0.8</x:v>
      </x:c>
      <x:c r="F305" s="11" t="n">
        <x:f>SQRT((C305-C304)^2+(D305-D304)^2+(E305-E304)^2)</x:f>
        <x:v>2.4013478260869565</x:v>
      </x:c>
      <x:c r="G305" s="8" t="str">
        <x:v>Current</x:v>
      </x:c>
    </x:row>
    <x:row r="306" ht="32" customHeight="1">
      <x:c r="A306" s="8" t="str">
        <x:v>drop:FC1:V1:fan:-1:F253</x:v>
      </x:c>
      <x:c r="B306" s="8" t="n">
        <x:v>6</x:v>
      </x:c>
      <x:c r="C306" s="11" t="n">
        <x:v>5.48</x:v>
      </x:c>
      <x:c r="D306" s="11" t="n">
        <x:v>9.4</x:v>
      </x:c>
      <x:c r="E306" s="11" t="n">
        <x:v>-0.8</x:v>
      </x:c>
      <x:c r="F306" s="11" t="n">
        <x:f>SQRT((C306-C305)^2+(D306-D305)^2+(E306-E305)^2)</x:f>
        <x:v>0.16000000000000014</x:v>
      </x:c>
      <x:c r="G306" s="8" t="str">
        <x:v>Current</x:v>
      </x:c>
    </x:row>
    <x:row r="307" ht="32" customHeight="1">
      <x:c r="A307" s="8" t="str">
        <x:v>drop:FC1:V1:fan:-1:F256</x:v>
      </x:c>
      <x:c r="B307" s="8" t="n">
        <x:v>1</x:v>
      </x:c>
      <x:c r="C307" s="11" t="n">
        <x:v>39.7</x:v>
      </x:c>
      <x:c r="D307" s="11" t="n">
        <x:v>8.565264175257731</x:v>
      </x:c>
      <x:c r="E307" s="11" t="n">
        <x:v>-7.36</x:v>
      </x:c>
      <x:c r="F307" s="11" t="n">
        <x:f>0</x:f>
        <x:v>0</x:v>
      </x:c>
      <x:c r="G307" s="8" t="str">
        <x:v>Current</x:v>
      </x:c>
    </x:row>
    <x:row r="308" ht="32" customHeight="1">
      <x:c r="A308" s="8" t="str">
        <x:v>drop:FC1:V1:fan:-1:F256</x:v>
      </x:c>
      <x:c r="B308" s="8" t="n">
        <x:v>2</x:v>
      </x:c>
      <x:c r="C308" s="11" t="n">
        <x:v>39.7</x:v>
      </x:c>
      <x:c r="D308" s="11" t="n">
        <x:v>8.565264175257731</x:v>
      </x:c>
      <x:c r="E308" s="11" t="n">
        <x:v>-13.249</x:v>
      </x:c>
      <x:c r="F308" s="11" t="n">
        <x:f>SQRT((C308-C307)^2+(D308-D307)^2+(E308-E307)^2)</x:f>
        <x:v>5.889</x:v>
      </x:c>
      <x:c r="G308" s="8" t="str">
        <x:v>Current</x:v>
      </x:c>
    </x:row>
    <x:row r="309" ht="32" customHeight="1">
      <x:c r="A309" s="8" t="str">
        <x:v>drop:FC1:V1:fan:-1:F256</x:v>
      </x:c>
      <x:c r="B309" s="8" t="n">
        <x:v>3</x:v>
      </x:c>
      <x:c r="C309" s="11" t="n">
        <x:v>39.7</x:v>
      </x:c>
      <x:c r="D309" s="11" t="n">
        <x:v>7.6</x:v>
      </x:c>
      <x:c r="E309" s="11" t="n">
        <x:v>-13.249</x:v>
      </x:c>
      <x:c r="F309" s="11" t="n">
        <x:f>SQRT((C309-C308)^2+(D309-D308)^2+(E309-E308)^2)</x:f>
        <x:v>0.9652641752577313</x:v>
      </x:c>
      <x:c r="G309" s="8" t="str">
        <x:v>Current</x:v>
      </x:c>
    </x:row>
    <x:row r="310" ht="32" customHeight="1">
      <x:c r="A310" s="8" t="str">
        <x:v>drop:FC1:V1:fan:-1:F256</x:v>
      </x:c>
      <x:c r="B310" s="8" t="n">
        <x:v>4</x:v>
      </x:c>
      <x:c r="C310" s="11" t="n">
        <x:v>39.7</x:v>
      </x:c>
      <x:c r="D310" s="11" t="n">
        <x:v>7.6</x:v>
      </x:c>
      <x:c r="E310" s="11" t="n">
        <x:v>-13.13</x:v>
      </x:c>
      <x:c r="F310" s="11" t="n">
        <x:f>SQRT((C310-C309)^2+(D310-D309)^2+(E310-E309)^2)</x:f>
        <x:v>0.11899999999999977</x:v>
      </x:c>
      <x:c r="G310" s="8" t="str">
        <x:v>Current</x:v>
      </x:c>
    </x:row>
    <x:row r="311" ht="32" customHeight="1">
      <x:c r="A311" s="8" t="str">
        <x:v>drop:FC1:V1:fan:-1:F257</x:v>
      </x:c>
      <x:c r="B311" s="8" t="n">
        <x:v>1</x:v>
      </x:c>
      <x:c r="C311" s="11" t="n">
        <x:v>41.45</x:v>
      </x:c>
      <x:c r="D311" s="11" t="n">
        <x:v>8.565264175257724</x:v>
      </x:c>
      <x:c r="E311" s="11" t="n">
        <x:v>-7.36</x:v>
      </x:c>
      <x:c r="F311" s="11" t="n">
        <x:f>0</x:f>
        <x:v>0</x:v>
      </x:c>
      <x:c r="G311" s="8" t="str">
        <x:v>Current</x:v>
      </x:c>
    </x:row>
    <x:row r="312" ht="32" customHeight="1">
      <x:c r="A312" s="8" t="str">
        <x:v>drop:FC1:V1:fan:-1:F257</x:v>
      </x:c>
      <x:c r="B312" s="8" t="n">
        <x:v>2</x:v>
      </x:c>
      <x:c r="C312" s="11" t="n">
        <x:v>41.45</x:v>
      </x:c>
      <x:c r="D312" s="11" t="n">
        <x:v>8.565264175257731</x:v>
      </x:c>
      <x:c r="E312" s="11" t="n">
        <x:v>-13.249</x:v>
      </x:c>
      <x:c r="F312" s="11" t="n">
        <x:f>SQRT((C312-C311)^2+(D312-D311)^2+(E312-E311)^2)</x:f>
        <x:v>5.889</x:v>
      </x:c>
      <x:c r="G312" s="8" t="str">
        <x:v>Current</x:v>
      </x:c>
    </x:row>
    <x:row r="313" ht="32" customHeight="1">
      <x:c r="A313" s="8" t="str">
        <x:v>drop:FC1:V1:fan:-1:F257</x:v>
      </x:c>
      <x:c r="B313" s="8" t="n">
        <x:v>3</x:v>
      </x:c>
      <x:c r="C313" s="11" t="n">
        <x:v>41.45</x:v>
      </x:c>
      <x:c r="D313" s="11" t="n">
        <x:v>7.6</x:v>
      </x:c>
      <x:c r="E313" s="11" t="n">
        <x:v>-13.249</x:v>
      </x:c>
      <x:c r="F313" s="11" t="n">
        <x:f>SQRT((C313-C312)^2+(D313-D312)^2+(E313-E312)^2)</x:f>
        <x:v>0.9652641752577313</x:v>
      </x:c>
      <x:c r="G313" s="8" t="str">
        <x:v>Current</x:v>
      </x:c>
    </x:row>
    <x:row r="314" ht="32" customHeight="1">
      <x:c r="A314" s="8" t="str">
        <x:v>drop:FC1:V1:fan:-1:F257</x:v>
      </x:c>
      <x:c r="B314" s="8" t="n">
        <x:v>4</x:v>
      </x:c>
      <x:c r="C314" s="11" t="n">
        <x:v>41.45</x:v>
      </x:c>
      <x:c r="D314" s="11" t="n">
        <x:v>7.6</x:v>
      </x:c>
      <x:c r="E314" s="11" t="n">
        <x:v>-13.13</x:v>
      </x:c>
      <x:c r="F314" s="11" t="n">
        <x:f>SQRT((C314-C313)^2+(D314-D313)^2+(E314-E313)^2)</x:f>
        <x:v>0.11899999999999977</x:v>
      </x:c>
      <x:c r="G314" s="8" t="str">
        <x:v>Current</x:v>
      </x:c>
    </x:row>
    <x:row r="315" ht="32" customHeight="1">
      <x:c r="A315" s="8" t="str">
        <x:v>drop:FC1:V1:fan:-1:F260</x:v>
      </x:c>
      <x:c r="B315" s="8" t="n">
        <x:v>1</x:v>
      </x:c>
      <x:c r="C315" s="11" t="n">
        <x:v>53.016</x:v>
      </x:c>
      <x:c r="D315" s="11" t="n">
        <x:v>6.0360000000000005</x:v>
      </x:c>
      <x:c r="E315" s="11" t="n">
        <x:v>-7.36</x:v>
      </x:c>
      <x:c r="F315" s="11" t="n">
        <x:f>0</x:f>
        <x:v>0</x:v>
      </x:c>
      <x:c r="G315" s="8" t="str">
        <x:v>Current</x:v>
      </x:c>
    </x:row>
    <x:row r="316" ht="32" customHeight="1">
      <x:c r="A316" s="8" t="str">
        <x:v>drop:FC1:V1:fan:-1:F260</x:v>
      </x:c>
      <x:c r="B316" s="8" t="n">
        <x:v>2</x:v>
      </x:c>
      <x:c r="C316" s="11" t="n">
        <x:v>53.016</x:v>
      </x:c>
      <x:c r="D316" s="11" t="n">
        <x:v>6.0360000000000005</x:v>
      </x:c>
      <x:c r="E316" s="11" t="n">
        <x:v>0</x:v>
      </x:c>
      <x:c r="F316" s="11" t="n">
        <x:f>SQRT((C316-C315)^2+(D316-D315)^2+(E316-E315)^2)</x:f>
        <x:v>7.36</x:v>
      </x:c>
      <x:c r="G316" s="8" t="str">
        <x:v>Current</x:v>
      </x:c>
    </x:row>
    <x:row r="317" ht="32" customHeight="1">
      <x:c r="A317" s="8" t="str">
        <x:v>drop:FC1:V1:fan:-1:F260</x:v>
      </x:c>
      <x:c r="B317" s="8" t="n">
        <x:v>3</x:v>
      </x:c>
      <x:c r="C317" s="11" t="n">
        <x:v>53.016</x:v>
      </x:c>
      <x:c r="D317" s="11" t="n">
        <x:v>3.3</x:v>
      </x:c>
      <x:c r="E317" s="11" t="n">
        <x:v>0</x:v>
      </x:c>
      <x:c r="F317" s="11" t="n">
        <x:f>SQRT((C317-C316)^2+(D317-D316)^2+(E317-E316)^2)</x:f>
        <x:v>2.7360000000000007</x:v>
      </x:c>
      <x:c r="G317" s="8" t="str">
        <x:v>Current</x:v>
      </x:c>
    </x:row>
    <x:row r="318" ht="32" customHeight="1">
      <x:c r="A318" s="8" t="str">
        <x:v>drop:FC1:V1:fan:-1:F260</x:v>
      </x:c>
      <x:c r="B318" s="8" t="n">
        <x:v>4</x:v>
      </x:c>
      <x:c r="C318" s="11" t="n">
        <x:v>53.12</x:v>
      </x:c>
      <x:c r="D318" s="11" t="n">
        <x:v>3.3</x:v>
      </x:c>
      <x:c r="E318" s="11" t="n">
        <x:v>0</x:v>
      </x:c>
      <x:c r="F318" s="11" t="n">
        <x:f>SQRT((C318-C317)^2+(D318-D317)^2+(E318-E317)^2)</x:f>
        <x:v>0.1039999999999992</x:v>
      </x:c>
      <x:c r="G318" s="8" t="str">
        <x:v>Current</x:v>
      </x:c>
    </x:row>
    <x:row r="319" ht="32" customHeight="1">
      <x:c r="A319" s="8" t="str">
        <x:v>trunk:FC1:V1:fan:1</x:v>
      </x:c>
      <x:c r="B319" s="8" t="n">
        <x:v>1</x:v>
      </x:c>
      <x:c r="C319" s="11" t="n">
        <x:v>48.895</x:v>
      </x:c>
      <x:c r="D319" s="11" t="n">
        <x:v>1.95</x:v>
      </x:c>
      <x:c r="E319" s="11" t="n">
        <x:v>0.4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trunk:FC1:V1:fan:1</x:v>
      </x:c>
      <x:c r="B320" s="8" t="n">
        <x:v>2</x:v>
      </x:c>
      <x:c r="C320" s="11" t="n">
        <x:v>48.735</x:v>
      </x:c>
      <x:c r="D320" s="11" t="n">
        <x:v>1.95</x:v>
      </x:c>
      <x:c r="E320" s="11" t="n">
        <x:v>0.4</x:v>
      </x:c>
      <x:c r="F320" s="11" t="n">
        <x:f>SQRT((C320-C319)^2+(D320-D319)^2+(E320-E319)^2)</x:f>
        <x:v>0.1600000000000037</x:v>
      </x:c>
      <x:c r="G320" s="8" t="str">
        <x:v>Current</x:v>
      </x:c>
    </x:row>
    <x:row r="321" ht="32" customHeight="1">
      <x:c r="A321" s="8" t="str">
        <x:v>trunk:FC1:V1:fan:1</x:v>
      </x:c>
      <x:c r="B321" s="8" t="n">
        <x:v>3</x:v>
      </x:c>
      <x:c r="C321" s="11" t="n">
        <x:v>48.735</x:v>
      </x:c>
      <x:c r="D321" s="11" t="n">
        <x:v>1.95</x:v>
      </x:c>
      <x:c r="E321" s="11" t="n">
        <x:v>-2.24</x:v>
      </x:c>
      <x:c r="F321" s="11" t="n">
        <x:f>SQRT((C321-C320)^2+(D321-D320)^2+(E321-E320)^2)</x:f>
        <x:v>2.64</x:v>
      </x:c>
      <x:c r="G321" s="8" t="str">
        <x:v>Current</x:v>
      </x:c>
    </x:row>
    <x:row r="322" ht="32" customHeight="1">
      <x:c r="A322" s="8" t="str">
        <x:v>trunk:FC1:V1:fan:1</x:v>
      </x:c>
      <x:c r="B322" s="8" t="n">
        <x:v>4</x:v>
      </x:c>
      <x:c r="C322" s="11" t="n">
        <x:v>48.735</x:v>
      </x:c>
      <x:c r="D322" s="11" t="n">
        <x:v>4.33</x:v>
      </x:c>
      <x:c r="E322" s="11" t="n">
        <x:v>-2.24</x:v>
      </x:c>
      <x:c r="F322" s="11" t="n">
        <x:f>SQRT((C322-C321)^2+(D322-D321)^2+(E322-E321)^2)</x:f>
        <x:v>2.38</x:v>
      </x:c>
      <x:c r="G322" s="8" t="str">
        <x:v>Current</x:v>
      </x:c>
    </x:row>
    <x:row r="323" ht="32" customHeight="1">
      <x:c r="A323" s="8" t="str">
        <x:v>trunk:FC1:V1:fan:1</x:v>
      </x:c>
      <x:c r="B323" s="8" t="n">
        <x:v>5</x:v>
      </x:c>
      <x:c r="C323" s="11" t="n">
        <x:v>48.735</x:v>
      </x:c>
      <x:c r="D323" s="11" t="n">
        <x:v>4.33</x:v>
      </x:c>
      <x:c r="E323" s="11" t="n">
        <x:v>-3.3</x:v>
      </x:c>
      <x:c r="F323" s="11" t="n">
        <x:f>SQRT((C323-C322)^2+(D323-D322)^2+(E323-E322)^2)</x:f>
        <x:v>1.0599999999999996</x:v>
      </x:c>
      <x:c r="G323" s="8" t="str">
        <x:v>Current</x:v>
      </x:c>
    </x:row>
    <x:row r="324" ht="32" customHeight="1">
      <x:c r="A324" s="8" t="str">
        <x:v>trunk:FC1:V1:fan:1</x:v>
      </x:c>
      <x:c r="B324" s="8" t="n">
        <x:v>6</x:v>
      </x:c>
      <x:c r="C324" s="11" t="n">
        <x:v>53.016</x:v>
      </x:c>
      <x:c r="D324" s="11" t="n">
        <x:v>4.33</x:v>
      </x:c>
      <x:c r="E324" s="11" t="n">
        <x:v>-3.3</x:v>
      </x:c>
      <x:c r="F324" s="11" t="n">
        <x:f>SQRT((C324-C323)^2+(D324-D323)^2+(E324-E323)^2)</x:f>
        <x:v>4.280999999999999</x:v>
      </x:c>
      <x:c r="G324" s="8" t="str">
        <x:v>Current</x:v>
      </x:c>
    </x:row>
    <x:row r="325" ht="32" customHeight="1">
      <x:c r="A325" s="8" t="str">
        <x:v>trunk:FC1:V1:fan:1</x:v>
      </x:c>
      <x:c r="B325" s="8" t="n">
        <x:v>7</x:v>
      </x:c>
      <x:c r="C325" s="11" t="n">
        <x:v>53.016</x:v>
      </x:c>
      <x:c r="D325" s="11" t="n">
        <x:v>6.0360000000000005</x:v>
      </x:c>
      <x:c r="E325" s="11" t="n">
        <x:v>-3.3</x:v>
      </x:c>
      <x:c r="F325" s="11" t="n">
        <x:f>SQRT((C325-C324)^2+(D325-D324)^2+(E325-E324)^2)</x:f>
        <x:v>1.7060000000000004</x:v>
      </x:c>
      <x:c r="G325" s="8" t="str">
        <x:v>Current</x:v>
      </x:c>
    </x:row>
    <x:row r="326" ht="32" customHeight="1">
      <x:c r="A326" s="8" t="str">
        <x:v>trunk:FC1:V1:fan:1</x:v>
      </x:c>
      <x:c r="B326" s="8" t="n">
        <x:v>8</x:v>
      </x:c>
      <x:c r="C326" s="11" t="n">
        <x:v>53.016</x:v>
      </x:c>
      <x:c r="D326" s="11" t="n">
        <x:v>6.0360000000000005</x:v>
      </x:c>
      <x:c r="E326" s="11" t="n">
        <x:v>7.36</x:v>
      </x:c>
      <x:c r="F326" s="11" t="n">
        <x:f>SQRT((C326-C325)^2+(D326-D325)^2+(E326-E325)^2)</x:f>
        <x:v>10.66</x:v>
      </x:c>
      <x:c r="G326" s="8" t="str">
        <x:v>Current</x:v>
      </x:c>
    </x:row>
    <x:row r="327" ht="32" customHeight="1">
      <x:c r="A327" s="8" t="str">
        <x:v>trunk:FC1:V1:fan:1</x:v>
      </x:c>
      <x:c r="B327" s="8" t="n">
        <x:v>9</x:v>
      </x:c>
      <x:c r="C327" s="11" t="n">
        <x:v>44.175</x:v>
      </x:c>
      <x:c r="D327" s="11" t="n">
        <x:v>6.0360000000000005</x:v>
      </x:c>
      <x:c r="E327" s="11" t="n">
        <x:v>7.36</x:v>
      </x:c>
      <x:c r="F327" s="11" t="n">
        <x:f>SQRT((C327-C326)^2+(D327-D326)^2+(E327-E326)^2)</x:f>
        <x:v>8.841000000000001</x:v>
      </x:c>
      <x:c r="G327" s="8" t="str">
        <x:v>Current</x:v>
      </x:c>
    </x:row>
    <x:row r="328" ht="32" customHeight="1">
      <x:c r="A328" s="8" t="str">
        <x:v>trunk:FC1:V1:fan:1</x:v>
      </x:c>
      <x:c r="B328" s="8" t="n">
        <x:v>10</x:v>
      </x:c>
      <x:c r="C328" s="11" t="n">
        <x:v>44.175</x:v>
      </x:c>
      <x:c r="D328" s="11" t="n">
        <x:v>7.04</x:v>
      </x:c>
      <x:c r="E328" s="11" t="n">
        <x:v>7.36</x:v>
      </x:c>
      <x:c r="F328" s="11" t="n">
        <x:f>SQRT((C328-C327)^2+(D328-D327)^2+(E328-E327)^2)</x:f>
        <x:v>1.0039999999999996</x:v>
      </x:c>
      <x:c r="G328" s="8" t="str">
        <x:v>Current</x:v>
      </x:c>
    </x:row>
    <x:row r="329" ht="32" customHeight="1">
      <x:c r="A329" s="8" t="str">
        <x:v>trunk:FC1:V1:fan:1</x:v>
      </x:c>
      <x:c r="B329" s="8" t="n">
        <x:v>11</x:v>
      </x:c>
      <x:c r="C329" s="11" t="n">
        <x:v>43.535</x:v>
      </x:c>
      <x:c r="D329" s="11" t="n">
        <x:v>7.04</x:v>
      </x:c>
      <x:c r="E329" s="11" t="n">
        <x:v>7.36</x:v>
      </x:c>
      <x:c r="F329" s="11" t="n">
        <x:f>SQRT((C329-C328)^2+(D329-D328)^2+(E329-E328)^2)</x:f>
        <x:v>0.6400000000000006</x:v>
      </x:c>
      <x:c r="G329" s="8" t="str">
        <x:v>Current</x:v>
      </x:c>
    </x:row>
    <x:row r="330" ht="32" customHeight="1">
      <x:c r="A330" s="8" t="str">
        <x:v>trunk:FC1:V1:fan:1</x:v>
      </x:c>
      <x:c r="B330" s="8" t="n">
        <x:v>12</x:v>
      </x:c>
      <x:c r="C330" s="11" t="n">
        <x:v>43.455</x:v>
      </x:c>
      <x:c r="D330" s="11" t="n">
        <x:v>6.950412371134024</x:v>
      </x:c>
      <x:c r="E330" s="11" t="n">
        <x:v>7.36</x:v>
      </x:c>
      <x:c r="F330" s="11" t="n">
        <x:f>SQRT((C330-C329)^2+(D330-D329)^2+(E330-E329)^2)</x:f>
        <x:v>0.12010804821421249</x:v>
      </x:c>
      <x:c r="G330" s="8" t="str">
        <x:v>Current</x:v>
      </x:c>
    </x:row>
    <x:row r="331" ht="32" customHeight="1">
      <x:c r="A331" s="8" t="str">
        <x:v>trunk:FC1:V1:fan:1</x:v>
      </x:c>
      <x:c r="B331" s="8" t="n">
        <x:v>13</x:v>
      </x:c>
      <x:c r="C331" s="11" t="n">
        <x:v>40.574999999999996</x:v>
      </x:c>
      <x:c r="D331" s="11" t="n">
        <x:v>9.269999999999994</x:v>
      </x:c>
      <x:c r="E331" s="11" t="n">
        <x:v>7.36</x:v>
      </x:c>
      <x:c r="F331" s="11" t="n">
        <x:f>SQRT((C331-C330)^2+(D331-D330)^2+(E331-E330)^2)</x:f>
        <x:v>3.6979571073753776</x:v>
      </x:c>
      <x:c r="G331" s="8" t="str">
        <x:v>Current</x:v>
      </x:c>
    </x:row>
    <x:row r="332" ht="32" customHeight="1">
      <x:c r="A332" s="8" t="str">
        <x:v>trunk:FC1:V1:fan:1</x:v>
      </x:c>
      <x:c r="B332" s="8" t="n">
        <x:v>14</x:v>
      </x:c>
      <x:c r="C332" s="11" t="n">
        <x:v>37.695</x:v>
      </x:c>
      <x:c r="D332" s="11" t="n">
        <x:v>6.950412371134018</x:v>
      </x:c>
      <x:c r="E332" s="11" t="n">
        <x:v>7.36</x:v>
      </x:c>
      <x:c r="F332" s="11" t="n">
        <x:f>SQRT((C332-C331)^2+(D332-D331)^2+(E332-E331)^2)</x:f>
        <x:v>3.697957107375376</x:v>
      </x:c>
      <x:c r="G332" s="8" t="str">
        <x:v>Current</x:v>
      </x:c>
    </x:row>
    <x:row r="333" ht="32" customHeight="1">
      <x:c r="A333" s="8" t="str">
        <x:v>trunk:FC1:V1:fan:1</x:v>
      </x:c>
      <x:c r="B333" s="8" t="n">
        <x:v>15</x:v>
      </x:c>
      <x:c r="C333" s="11" t="n">
        <x:v>37.615</x:v>
      </x:c>
      <x:c r="D333" s="11" t="n">
        <x:v>7.04</x:v>
      </x:c>
      <x:c r="E333" s="11" t="n">
        <x:v>7.36</x:v>
      </x:c>
      <x:c r="F333" s="11" t="n">
        <x:f>SQRT((C333-C332)^2+(D333-D332)^2+(E333-E332)^2)</x:f>
        <x:v>0.12010804821421713</x:v>
      </x:c>
      <x:c r="G333" s="8" t="str">
        <x:v>Current</x:v>
      </x:c>
    </x:row>
    <x:row r="334" ht="32" customHeight="1">
      <x:c r="A334" s="8" t="str">
        <x:v>trunk:FC1:V1:fan:1</x:v>
      </x:c>
      <x:c r="B334" s="8" t="n">
        <x:v>16</x:v>
      </x:c>
      <x:c r="C334" s="11" t="n">
        <x:v>36.975</x:v>
      </x:c>
      <x:c r="D334" s="11" t="n">
        <x:v>7.04</x:v>
      </x:c>
      <x:c r="E334" s="11" t="n">
        <x:v>7.36</x:v>
      </x:c>
      <x:c r="F334" s="11" t="n">
        <x:f>SQRT((C334-C333)^2+(D334-D333)^2+(E334-E333)^2)</x:f>
        <x:v>0.6400000000000006</x:v>
      </x:c>
      <x:c r="G334" s="8" t="str">
        <x:v>Current</x:v>
      </x:c>
    </x:row>
    <x:row r="335" ht="32" customHeight="1">
      <x:c r="A335" s="8" t="str">
        <x:v>trunk:FC1:V1:fan:1</x:v>
      </x:c>
      <x:c r="B335" s="8" t="n">
        <x:v>17</x:v>
      </x:c>
      <x:c r="C335" s="11" t="n">
        <x:v>36.975</x:v>
      </x:c>
      <x:c r="D335" s="11" t="n">
        <x:v>6.0360000000000005</x:v>
      </x:c>
      <x:c r="E335" s="11" t="n">
        <x:v>7.36</x:v>
      </x:c>
      <x:c r="F335" s="11" t="n">
        <x:f>SQRT((C335-C334)^2+(D335-D334)^2+(E335-E334)^2)</x:f>
        <x:v>1.0039999999999996</x:v>
      </x:c>
      <x:c r="G335" s="8" t="str">
        <x:v>Current</x:v>
      </x:c>
    </x:row>
    <x:row r="336" ht="32" customHeight="1">
      <x:c r="A336" s="8" t="str">
        <x:v>trunk:FC1:V1:fan:1</x:v>
      </x:c>
      <x:c r="B336" s="8" t="n">
        <x:v>18</x:v>
      </x:c>
      <x:c r="C336" s="11" t="n">
        <x:v>5.48</x:v>
      </x:c>
      <x:c r="D336" s="11" t="n">
        <x:v>6.0360000000000005</x:v>
      </x:c>
      <x:c r="E336" s="11" t="n">
        <x:v>7.36</x:v>
      </x:c>
      <x:c r="F336" s="11" t="n">
        <x:f>SQRT((C336-C335)^2+(D336-D335)^2+(E336-E335)^2)</x:f>
        <x:v>31.495</x:v>
      </x:c>
      <x:c r="G336" s="8" t="str">
        <x:v>Current</x:v>
      </x:c>
    </x:row>
    <x:row r="337" ht="32" customHeight="1">
      <x:c r="A337" s="8" t="str">
        <x:v>drop:FC1:V1:fan:1:F254</x:v>
      </x:c>
      <x:c r="B337" s="8" t="n">
        <x:v>1</x:v>
      </x:c>
      <x:c r="C337" s="11" t="n">
        <x:v>5.48</x:v>
      </x:c>
      <x:c r="D337" s="11" t="n">
        <x:v>6.0360000000000005</x:v>
      </x:c>
      <x:c r="E337" s="11" t="n">
        <x:v>7.36</x:v>
      </x:c>
      <x:c r="F337" s="11" t="n">
        <x:f>0</x:f>
        <x:v>0</x:v>
      </x:c>
      <x:c r="G337" s="8" t="str">
        <x:v>Current</x:v>
      </x:c>
    </x:row>
    <x:row r="338" ht="32" customHeight="1">
      <x:c r="A338" s="8" t="str">
        <x:v>drop:FC1:V1:fan:1:F254</x:v>
      </x:c>
      <x:c r="B338" s="8" t="n">
        <x:v>2</x:v>
      </x:c>
      <x:c r="C338" s="11" t="n">
        <x:v>5.48</x:v>
      </x:c>
      <x:c r="D338" s="11" t="n">
        <x:v>7.04</x:v>
      </x:c>
      <x:c r="E338" s="11" t="n">
        <x:v>7.36</x:v>
      </x:c>
      <x:c r="F338" s="11" t="n">
        <x:f>SQRT((C338-C337)^2+(D338-D337)^2+(E338-E337)^2)</x:f>
        <x:v>1.0039999999999996</x:v>
      </x:c>
      <x:c r="G338" s="8" t="str">
        <x:v>Current</x:v>
      </x:c>
    </x:row>
    <x:row r="339" ht="32" customHeight="1">
      <x:c r="A339" s="8" t="str">
        <x:v>drop:FC1:V1:fan:1:F254</x:v>
      </x:c>
      <x:c r="B339" s="8" t="n">
        <x:v>3</x:v>
      </x:c>
      <x:c r="C339" s="11" t="n">
        <x:v>5.32</x:v>
      </x:c>
      <x:c r="D339" s="11" t="n">
        <x:v>7.04</x:v>
      </x:c>
      <x:c r="E339" s="11" t="n">
        <x:v>7.36</x:v>
      </x:c>
      <x:c r="F339" s="11" t="n">
        <x:f>SQRT((C339-C338)^2+(D339-D338)^2+(E339-E338)^2)</x:f>
        <x:v>0.16000000000000014</x:v>
      </x:c>
      <x:c r="G339" s="8" t="str">
        <x:v>Current</x:v>
      </x:c>
    </x:row>
    <x:row r="340" ht="32" customHeight="1">
      <x:c r="A340" s="8" t="str">
        <x:v>drop:FC1:V1:fan:1:F254</x:v>
      </x:c>
      <x:c r="B340" s="8" t="n">
        <x:v>4</x:v>
      </x:c>
      <x:c r="C340" s="11" t="n">
        <x:v>5.32</x:v>
      </x:c>
      <x:c r="D340" s="11" t="n">
        <x:v>11.801347826086957</x:v>
      </x:c>
      <x:c r="E340" s="11" t="n">
        <x:v>0.7999999999999998</x:v>
      </x:c>
      <x:c r="F340" s="11" t="n">
        <x:f>SQRT((C340-C339)^2+(D340-D339)^2+(E340-E339)^2)</x:f>
        <x:v>8.105802435353516</x:v>
      </x:c>
      <x:c r="G340" s="8" t="str">
        <x:v>Current</x:v>
      </x:c>
    </x:row>
    <x:row r="341" ht="32" customHeight="1">
      <x:c r="A341" s="8" t="str">
        <x:v>drop:FC1:V1:fan:1:F254</x:v>
      </x:c>
      <x:c r="B341" s="8" t="n">
        <x:v>5</x:v>
      </x:c>
      <x:c r="C341" s="11" t="n">
        <x:v>5.32</x:v>
      </x:c>
      <x:c r="D341" s="11" t="n">
        <x:v>9.4</x:v>
      </x:c>
      <x:c r="E341" s="11" t="n">
        <x:v>0.8</x:v>
      </x:c>
      <x:c r="F341" s="11" t="n">
        <x:f>SQRT((C341-C340)^2+(D341-D340)^2+(E341-E340)^2)</x:f>
        <x:v>2.4013478260869565</x:v>
      </x:c>
      <x:c r="G341" s="8" t="str">
        <x:v>Current</x:v>
      </x:c>
    </x:row>
    <x:row r="342" ht="32" customHeight="1">
      <x:c r="A342" s="8" t="str">
        <x:v>drop:FC1:V1:fan:1:F254</x:v>
      </x:c>
      <x:c r="B342" s="8" t="n">
        <x:v>6</x:v>
      </x:c>
      <x:c r="C342" s="11" t="n">
        <x:v>5.48</x:v>
      </x:c>
      <x:c r="D342" s="11" t="n">
        <x:v>9.4</x:v>
      </x:c>
      <x:c r="E342" s="11" t="n">
        <x:v>0.8</x:v>
      </x:c>
      <x:c r="F342" s="11" t="n">
        <x:f>SQRT((C342-C341)^2+(D342-D341)^2+(E342-E341)^2)</x:f>
        <x:v>0.16000000000000014</x:v>
      </x:c>
      <x:c r="G342" s="8" t="str">
        <x:v>Current</x:v>
      </x:c>
    </x:row>
    <x:row r="343" ht="32" customHeight="1">
      <x:c r="A343" s="8" t="str">
        <x:v>drop:FC1:V1:fan:1:F255</x:v>
      </x:c>
      <x:c r="B343" s="8" t="n">
        <x:v>1</x:v>
      </x:c>
      <x:c r="C343" s="11" t="n">
        <x:v>5.48</x:v>
      </x:c>
      <x:c r="D343" s="11" t="n">
        <x:v>6.0360000000000005</x:v>
      </x:c>
      <x:c r="E343" s="11" t="n">
        <x:v>7.36</x:v>
      </x:c>
      <x:c r="F343" s="11" t="n">
        <x:f>0</x:f>
        <x:v>0</x:v>
      </x:c>
      <x:c r="G343" s="8" t="str">
        <x:v>Current</x:v>
      </x:c>
    </x:row>
    <x:row r="344" ht="32" customHeight="1">
      <x:c r="A344" s="8" t="str">
        <x:v>drop:FC1:V1:fan:1:F255</x:v>
      </x:c>
      <x:c r="B344" s="8" t="n">
        <x:v>2</x:v>
      </x:c>
      <x:c r="C344" s="11" t="n">
        <x:v>5.48</x:v>
      </x:c>
      <x:c r="D344" s="11" t="n">
        <x:v>7.04</x:v>
      </x:c>
      <x:c r="E344" s="11" t="n">
        <x:v>7.36</x:v>
      </x:c>
      <x:c r="F344" s="11" t="n">
        <x:f>SQRT((C344-C343)^2+(D344-D343)^2+(E344-E343)^2)</x:f>
        <x:v>1.0039999999999996</x:v>
      </x:c>
      <x:c r="G344" s="8" t="str">
        <x:v>Current</x:v>
      </x:c>
    </x:row>
    <x:row r="345" ht="32" customHeight="1">
      <x:c r="A345" s="8" t="str">
        <x:v>drop:FC1:V1:fan:1:F255</x:v>
      </x:c>
      <x:c r="B345" s="8" t="n">
        <x:v>3</x:v>
      </x:c>
      <x:c r="C345" s="11" t="n">
        <x:v>5.32</x:v>
      </x:c>
      <x:c r="D345" s="11" t="n">
        <x:v>7.04</x:v>
      </x:c>
      <x:c r="E345" s="11" t="n">
        <x:v>7.36</x:v>
      </x:c>
      <x:c r="F345" s="11" t="n">
        <x:f>SQRT((C345-C344)^2+(D345-D344)^2+(E345-E344)^2)</x:f>
        <x:v>0.16000000000000014</x:v>
      </x:c>
      <x:c r="G345" s="8" t="str">
        <x:v>Current</x:v>
      </x:c>
    </x:row>
    <x:row r="346" ht="32" customHeight="1">
      <x:c r="A346" s="8" t="str">
        <x:v>drop:FC1:V1:fan:1:F255</x:v>
      </x:c>
      <x:c r="B346" s="8" t="n">
        <x:v>4</x:v>
      </x:c>
      <x:c r="C346" s="11" t="n">
        <x:v>5.32</x:v>
      </x:c>
      <x:c r="D346" s="11" t="n">
        <x:v>10.64004347826087</x:v>
      </x:c>
      <x:c r="E346" s="11" t="n">
        <x:v>2.3999999999999995</x:v>
      </x:c>
      <x:c r="F346" s="11" t="n">
        <x:f>SQRT((C346-C345)^2+(D346-D345)^2+(E346-E345)^2)</x:f>
        <x:v>6.128777451120952</x:v>
      </x:c>
      <x:c r="G346" s="8" t="str">
        <x:v>Current</x:v>
      </x:c>
    </x:row>
    <x:row r="347" ht="32" customHeight="1">
      <x:c r="A347" s="8" t="str">
        <x:v>drop:FC1:V1:fan:1:F255</x:v>
      </x:c>
      <x:c r="B347" s="8" t="n">
        <x:v>5</x:v>
      </x:c>
      <x:c r="C347" s="11" t="n">
        <x:v>5.32</x:v>
      </x:c>
      <x:c r="D347" s="11" t="n">
        <x:v>9.4</x:v>
      </x:c>
      <x:c r="E347" s="11" t="n">
        <x:v>2.4</x:v>
      </x:c>
      <x:c r="F347" s="11" t="n">
        <x:f>SQRT((C347-C346)^2+(D347-D346)^2+(E347-E346)^2)</x:f>
        <x:v>1.2400434782608691</x:v>
      </x:c>
      <x:c r="G347" s="8" t="str">
        <x:v>Current</x:v>
      </x:c>
    </x:row>
    <x:row r="348" ht="32" customHeight="1">
      <x:c r="A348" s="8" t="str">
        <x:v>drop:FC1:V1:fan:1:F255</x:v>
      </x:c>
      <x:c r="B348" s="8" t="n">
        <x:v>6</x:v>
      </x:c>
      <x:c r="C348" s="11" t="n">
        <x:v>5.48</x:v>
      </x:c>
      <x:c r="D348" s="11" t="n">
        <x:v>9.4</x:v>
      </x:c>
      <x:c r="E348" s="11" t="n">
        <x:v>2.4</x:v>
      </x:c>
      <x:c r="F348" s="11" t="n">
        <x:f>SQRT((C348-C347)^2+(D348-D347)^2+(E348-E347)^2)</x:f>
        <x:v>0.16000000000000014</x:v>
      </x:c>
      <x:c r="G348" s="8" t="str">
        <x:v>Current</x:v>
      </x:c>
    </x:row>
    <x:row r="349" ht="32" customHeight="1">
      <x:c r="A349" s="8" t="str">
        <x:v>drop:FC1:V1:fan:1:F258</x:v>
      </x:c>
      <x:c r="B349" s="8" t="n">
        <x:v>1</x:v>
      </x:c>
      <x:c r="C349" s="11" t="n">
        <x:v>39.7</x:v>
      </x:c>
      <x:c r="D349" s="11" t="n">
        <x:v>8.565264175257731</x:v>
      </x:c>
      <x:c r="E349" s="11" t="n">
        <x:v>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drop:FC1:V1:fan:1:F258</x:v>
      </x:c>
      <x:c r="B350" s="8" t="n">
        <x:v>2</x:v>
      </x:c>
      <x:c r="C350" s="11" t="n">
        <x:v>39.7</x:v>
      </x:c>
      <x:c r="D350" s="11" t="n">
        <x:v>8.565264175257731</x:v>
      </x:c>
      <x:c r="E350" s="11" t="n">
        <x:v>13.249</x:v>
      </x:c>
      <x:c r="F350" s="11" t="n">
        <x:f>SQRT((C350-C349)^2+(D350-D349)^2+(E350-E349)^2)</x:f>
        <x:v>5.889</x:v>
      </x:c>
      <x:c r="G350" s="8" t="str">
        <x:v>Current</x:v>
      </x:c>
    </x:row>
    <x:row r="351" ht="32" customHeight="1">
      <x:c r="A351" s="8" t="str">
        <x:v>drop:FC1:V1:fan:1:F258</x:v>
      </x:c>
      <x:c r="B351" s="8" t="n">
        <x:v>3</x:v>
      </x:c>
      <x:c r="C351" s="11" t="n">
        <x:v>39.7</x:v>
      </x:c>
      <x:c r="D351" s="11" t="n">
        <x:v>7.6</x:v>
      </x:c>
      <x:c r="E351" s="11" t="n">
        <x:v>13.249</x:v>
      </x:c>
      <x:c r="F351" s="11" t="n">
        <x:f>SQRT((C351-C350)^2+(D351-D350)^2+(E351-E350)^2)</x:f>
        <x:v>0.9652641752577313</x:v>
      </x:c>
      <x:c r="G351" s="8" t="str">
        <x:v>Current</x:v>
      </x:c>
    </x:row>
    <x:row r="352" ht="32" customHeight="1">
      <x:c r="A352" s="8" t="str">
        <x:v>drop:FC1:V1:fan:1:F258</x:v>
      </x:c>
      <x:c r="B352" s="8" t="n">
        <x:v>4</x:v>
      </x:c>
      <x:c r="C352" s="11" t="n">
        <x:v>39.7</x:v>
      </x:c>
      <x:c r="D352" s="11" t="n">
        <x:v>7.6</x:v>
      </x:c>
      <x:c r="E352" s="11" t="n">
        <x:v>13.13</x:v>
      </x:c>
      <x:c r="F352" s="11" t="n">
        <x:f>SQRT((C352-C351)^2+(D352-D351)^2+(E352-E351)^2)</x:f>
        <x:v>0.11899999999999977</x:v>
      </x:c>
      <x:c r="G352" s="8" t="str">
        <x:v>Current</x:v>
      </x:c>
    </x:row>
    <x:row r="353" ht="32" customHeight="1">
      <x:c r="A353" s="8" t="str">
        <x:v>drop:FC1:V1:fan:1:F259</x:v>
      </x:c>
      <x:c r="B353" s="8" t="n">
        <x:v>1</x:v>
      </x:c>
      <x:c r="C353" s="11" t="n">
        <x:v>41.45</x:v>
      </x:c>
      <x:c r="D353" s="11" t="n">
        <x:v>8.565264175257724</x:v>
      </x:c>
      <x:c r="E353" s="11" t="n">
        <x:v>7.36</x:v>
      </x:c>
      <x:c r="F353" s="11" t="n">
        <x:f>0</x:f>
        <x:v>0</x:v>
      </x:c>
      <x:c r="G353" s="8" t="str">
        <x:v>Current</x:v>
      </x:c>
    </x:row>
    <x:row r="354" ht="32" customHeight="1">
      <x:c r="A354" s="8" t="str">
        <x:v>drop:FC1:V1:fan:1:F259</x:v>
      </x:c>
      <x:c r="B354" s="8" t="n">
        <x:v>2</x:v>
      </x:c>
      <x:c r="C354" s="11" t="n">
        <x:v>41.45</x:v>
      </x:c>
      <x:c r="D354" s="11" t="n">
        <x:v>8.565264175257731</x:v>
      </x:c>
      <x:c r="E354" s="11" t="n">
        <x:v>13.249</x:v>
      </x:c>
      <x:c r="F354" s="11" t="n">
        <x:f>SQRT((C354-C353)^2+(D354-D353)^2+(E354-E353)^2)</x:f>
        <x:v>5.889</x:v>
      </x:c>
      <x:c r="G354" s="8" t="str">
        <x:v>Current</x:v>
      </x:c>
    </x:row>
    <x:row r="355" ht="32" customHeight="1">
      <x:c r="A355" s="8" t="str">
        <x:v>drop:FC1:V1:fan:1:F259</x:v>
      </x:c>
      <x:c r="B355" s="8" t="n">
        <x:v>3</x:v>
      </x:c>
      <x:c r="C355" s="11" t="n">
        <x:v>41.45</x:v>
      </x:c>
      <x:c r="D355" s="11" t="n">
        <x:v>7.6</x:v>
      </x:c>
      <x:c r="E355" s="11" t="n">
        <x:v>13.249</x:v>
      </x:c>
      <x:c r="F355" s="11" t="n">
        <x:f>SQRT((C355-C354)^2+(D355-D354)^2+(E355-E354)^2)</x:f>
        <x:v>0.9652641752577313</x:v>
      </x:c>
      <x:c r="G355" s="8" t="str">
        <x:v>Current</x:v>
      </x:c>
    </x:row>
    <x:row r="356" ht="32" customHeight="1">
      <x:c r="A356" s="8" t="str">
        <x:v>drop:FC1:V1:fan:1:F259</x:v>
      </x:c>
      <x:c r="B356" s="8" t="n">
        <x:v>4</x:v>
      </x:c>
      <x:c r="C356" s="11" t="n">
        <x:v>41.45</x:v>
      </x:c>
      <x:c r="D356" s="11" t="n">
        <x:v>7.6</x:v>
      </x:c>
      <x:c r="E356" s="11" t="n">
        <x:v>13.13</x:v>
      </x:c>
      <x:c r="F356" s="11" t="n">
        <x:f>SQRT((C356-C355)^2+(D356-D355)^2+(E356-E355)^2)</x:f>
        <x:v>0.11899999999999977</x:v>
      </x:c>
      <x:c r="G356" s="8" t="str">
        <x:v>Current</x:v>
      </x:c>
    </x:row>
    <x:row r="357" ht="32" customHeight="1">
      <x:c r="A357" s="8" t="str">
        <x:v>drop:FC1:F5:fan:-1:F-WING-B-3</x:v>
      </x:c>
      <x:c r="B357" s="8" t="n">
        <x:v>1</x:v>
      </x:c>
      <x:c r="C357" s="11" t="n">
        <x:v>41.2</x:v>
      </x:c>
      <x:c r="D357" s="11" t="n">
        <x:v>8.766617268041228</x:v>
      </x:c>
      <x:c r="E357" s="11" t="n">
        <x:v>-7.36</x:v>
      </x:c>
      <x:c r="F357" s="11" t="n">
        <x:f>0</x:f>
        <x:v>0</x:v>
      </x:c>
      <x:c r="G357" s="8" t="str">
        <x:v>Retired</x:v>
      </x:c>
    </x:row>
    <x:row r="358" ht="32" customHeight="1">
      <x:c r="A358" s="8" t="str">
        <x:v>drop:FC1:F5:fan:-1:F-WING-B-3</x:v>
      </x:c>
      <x:c r="B358" s="8" t="n">
        <x:v>2</x:v>
      </x:c>
      <x:c r="C358" s="11" t="n">
        <x:v>41.2</x:v>
      </x:c>
      <x:c r="D358" s="11" t="n">
        <x:v>8.766617268041237</x:v>
      </x:c>
      <x:c r="E358" s="11" t="n">
        <x:v>-13.249</x:v>
      </x:c>
      <x:c r="F358" s="11" t="n">
        <x:f>SQRT((C358-C357)^2+(D358-D357)^2+(E358-E357)^2)</x:f>
        <x:v>5.889</x:v>
      </x:c>
      <x:c r="G358" s="8" t="str">
        <x:v>Retired</x:v>
      </x:c>
    </x:row>
    <x:row r="359" ht="32" customHeight="1">
      <x:c r="A359" s="8" t="str">
        <x:v>drop:FC1:F5:fan:-1:F-WING-B-3</x:v>
      </x:c>
      <x:c r="B359" s="8" t="n">
        <x:v>3</x:v>
      </x:c>
      <x:c r="C359" s="11" t="n">
        <x:v>41.2</x:v>
      </x:c>
      <x:c r="D359" s="11" t="n">
        <x:v>2.7</x:v>
      </x:c>
      <x:c r="E359" s="11" t="n">
        <x:v>-13.249</x:v>
      </x:c>
      <x:c r="F359" s="11" t="n">
        <x:f>SQRT((C359-C358)^2+(D359-D358)^2+(E359-E358)^2)</x:f>
        <x:v>6.066617268041237</x:v>
      </x:c>
      <x:c r="G359" s="8" t="str">
        <x:v>Retired</x:v>
      </x:c>
    </x:row>
    <x:row r="360" ht="32" customHeight="1">
      <x:c r="A360" s="8" t="str">
        <x:v>drop:FC1:F5:fan:-1:F-WING-B-3</x:v>
      </x:c>
      <x:c r="B360" s="8" t="n">
        <x:v>4</x:v>
      </x:c>
      <x:c r="C360" s="11" t="n">
        <x:v>41.2</x:v>
      </x:c>
      <x:c r="D360" s="11" t="n">
        <x:v>2.7</x:v>
      </x:c>
      <x:c r="E360" s="11" t="n">
        <x:v>-13.06</x:v>
      </x:c>
      <x:c r="F360" s="11" t="n">
        <x:f>SQRT((C360-C359)^2+(D360-D359)^2+(E360-E359)^2)</x:f>
        <x:v>0.18900000000000006</x:v>
      </x:c>
      <x:c r="G360" s="8" t="str">
        <x:v>Retired</x:v>
      </x:c>
    </x:row>
    <x:row r="361" ht="32" customHeight="1">
      <x:c r="A361" s="8" t="str">
        <x:v>drop:FC1:F5:fan:-1:F-WING-B-4</x:v>
      </x:c>
      <x:c r="B361" s="8" t="n">
        <x:v>1</x:v>
      </x:c>
      <x:c r="C361" s="11" t="n">
        <x:v>42</x:v>
      </x:c>
      <x:c r="D361" s="11" t="n">
        <x:v>8.122287371134018</x:v>
      </x:c>
      <x:c r="E361" s="11" t="n">
        <x:v>-7.36</x:v>
      </x:c>
      <x:c r="F361" s="11" t="n">
        <x:f>0</x:f>
        <x:v>0</x:v>
      </x:c>
      <x:c r="G361" s="8" t="str">
        <x:v>Retired</x:v>
      </x:c>
    </x:row>
    <x:row r="362" ht="32" customHeight="1">
      <x:c r="A362" s="8" t="str">
        <x:v>drop:FC1:F5:fan:-1:F-WING-B-4</x:v>
      </x:c>
      <x:c r="B362" s="8" t="n">
        <x:v>2</x:v>
      </x:c>
      <x:c r="C362" s="11" t="n">
        <x:v>42</x:v>
      </x:c>
      <x:c r="D362" s="11" t="n">
        <x:v>8.122287371134023</x:v>
      </x:c>
      <x:c r="E362" s="11" t="n">
        <x:v>-13.249</x:v>
      </x:c>
      <x:c r="F362" s="11" t="n">
        <x:f>SQRT((C362-C361)^2+(D362-D361)^2+(E362-E361)^2)</x:f>
        <x:v>5.889</x:v>
      </x:c>
      <x:c r="G362" s="8" t="str">
        <x:v>Retired</x:v>
      </x:c>
    </x:row>
    <x:row r="363" ht="32" customHeight="1">
      <x:c r="A363" s="8" t="str">
        <x:v>drop:FC1:F5:fan:-1:F-WING-B-4</x:v>
      </x:c>
      <x:c r="B363" s="8" t="n">
        <x:v>3</x:v>
      </x:c>
      <x:c r="C363" s="11" t="n">
        <x:v>42</x:v>
      </x:c>
      <x:c r="D363" s="11" t="n">
        <x:v>3.5</x:v>
      </x:c>
      <x:c r="E363" s="11" t="n">
        <x:v>-13.249</x:v>
      </x:c>
      <x:c r="F363" s="11" t="n">
        <x:f>SQRT((C363-C362)^2+(D363-D362)^2+(E363-E362)^2)</x:f>
        <x:v>4.622287371134023</x:v>
      </x:c>
      <x:c r="G363" s="8" t="str">
        <x:v>Retired</x:v>
      </x:c>
    </x:row>
    <x:row r="364" ht="32" customHeight="1">
      <x:c r="A364" s="8" t="str">
        <x:v>drop:FC1:F5:fan:-1:F-WING-B-4</x:v>
      </x:c>
      <x:c r="B364" s="8" t="n">
        <x:v>4</x:v>
      </x:c>
      <x:c r="C364" s="11" t="n">
        <x:v>42</x:v>
      </x:c>
      <x:c r="D364" s="11" t="n">
        <x:v>3.5</x:v>
      </x:c>
      <x:c r="E364" s="11" t="n">
        <x:v>-13.06</x:v>
      </x:c>
      <x:c r="F364" s="11" t="n">
        <x:f>SQRT((C364-C363)^2+(D364-D363)^2+(E364-E363)^2)</x:f>
        <x:v>0.18900000000000006</x:v>
      </x:c>
      <x:c r="G364" s="8" t="str">
        <x:v>Retired</x:v>
      </x:c>
    </x:row>
    <x:row r="365" ht="32" customHeight="1">
      <x:c r="A365" s="8" t="str">
        <x:v>drop:FC1:F5:fan:1:F-WING-H-3</x:v>
      </x:c>
      <x:c r="B365" s="8" t="n">
        <x:v>1</x:v>
      </x:c>
      <x:c r="C365" s="11" t="n">
        <x:v>41.2</x:v>
      </x:c>
      <x:c r="D365" s="11" t="n">
        <x:v>8.766617268041228</x:v>
      </x:c>
      <x:c r="E365" s="11" t="n">
        <x:v>7.36</x:v>
      </x:c>
      <x:c r="F365" s="11" t="n">
        <x:f>0</x:f>
        <x:v>0</x:v>
      </x:c>
      <x:c r="G365" s="8" t="str">
        <x:v>Retired</x:v>
      </x:c>
    </x:row>
    <x:row r="366" ht="32" customHeight="1">
      <x:c r="A366" s="8" t="str">
        <x:v>drop:FC1:F5:fan:1:F-WING-H-3</x:v>
      </x:c>
      <x:c r="B366" s="8" t="n">
        <x:v>2</x:v>
      </x:c>
      <x:c r="C366" s="11" t="n">
        <x:v>41.2</x:v>
      </x:c>
      <x:c r="D366" s="11" t="n">
        <x:v>8.766617268041237</x:v>
      </x:c>
      <x:c r="E366" s="11" t="n">
        <x:v>13.249</x:v>
      </x:c>
      <x:c r="F366" s="11" t="n">
        <x:f>SQRT((C366-C365)^2+(D366-D365)^2+(E366-E365)^2)</x:f>
        <x:v>5.889</x:v>
      </x:c>
      <x:c r="G366" s="8" t="str">
        <x:v>Retired</x:v>
      </x:c>
    </x:row>
    <x:row r="367" ht="32" customHeight="1">
      <x:c r="A367" s="8" t="str">
        <x:v>drop:FC1:F5:fan:1:F-WING-H-3</x:v>
      </x:c>
      <x:c r="B367" s="8" t="n">
        <x:v>3</x:v>
      </x:c>
      <x:c r="C367" s="11" t="n">
        <x:v>41.2</x:v>
      </x:c>
      <x:c r="D367" s="11" t="n">
        <x:v>2.7</x:v>
      </x:c>
      <x:c r="E367" s="11" t="n">
        <x:v>13.249</x:v>
      </x:c>
      <x:c r="F367" s="11" t="n">
        <x:f>SQRT((C367-C366)^2+(D367-D366)^2+(E367-E366)^2)</x:f>
        <x:v>6.066617268041237</x:v>
      </x:c>
      <x:c r="G367" s="8" t="str">
        <x:v>Retired</x:v>
      </x:c>
    </x:row>
    <x:row r="368" ht="32" customHeight="1">
      <x:c r="A368" s="8" t="str">
        <x:v>drop:FC1:F5:fan:1:F-WING-H-3</x:v>
      </x:c>
      <x:c r="B368" s="8" t="n">
        <x:v>4</x:v>
      </x:c>
      <x:c r="C368" s="11" t="n">
        <x:v>41.2</x:v>
      </x:c>
      <x:c r="D368" s="11" t="n">
        <x:v>2.7</x:v>
      </x:c>
      <x:c r="E368" s="11" t="n">
        <x:v>13.06</x:v>
      </x:c>
      <x:c r="F368" s="11" t="n">
        <x:f>SQRT((C368-C367)^2+(D368-D367)^2+(E368-E367)^2)</x:f>
        <x:v>0.18900000000000006</x:v>
      </x:c>
      <x:c r="G368" s="8" t="str">
        <x:v>Retired</x:v>
      </x:c>
    </x:row>
    <x:row r="369" ht="32" customHeight="1">
      <x:c r="A369" s="8" t="str">
        <x:v>drop:FC1:F5:fan:1:F-WING-H-4</x:v>
      </x:c>
      <x:c r="B369" s="8" t="n">
        <x:v>1</x:v>
      </x:c>
      <x:c r="C369" s="11" t="n">
        <x:v>42</x:v>
      </x:c>
      <x:c r="D369" s="11" t="n">
        <x:v>8.122287371134018</x:v>
      </x:c>
      <x:c r="E369" s="11" t="n">
        <x:v>7.36</x:v>
      </x:c>
      <x:c r="F369" s="11" t="n">
        <x:f>0</x:f>
        <x:v>0</x:v>
      </x:c>
      <x:c r="G369" s="8" t="str">
        <x:v>Retired</x:v>
      </x:c>
    </x:row>
    <x:row r="370" ht="32" customHeight="1">
      <x:c r="A370" s="8" t="str">
        <x:v>drop:FC1:F5:fan:1:F-WING-H-4</x:v>
      </x:c>
      <x:c r="B370" s="8" t="n">
        <x:v>2</x:v>
      </x:c>
      <x:c r="C370" s="11" t="n">
        <x:v>42</x:v>
      </x:c>
      <x:c r="D370" s="11" t="n">
        <x:v>8.122287371134023</x:v>
      </x:c>
      <x:c r="E370" s="11" t="n">
        <x:v>13.249</x:v>
      </x:c>
      <x:c r="F370" s="11" t="n">
        <x:f>SQRT((C370-C369)^2+(D370-D369)^2+(E370-E369)^2)</x:f>
        <x:v>5.889</x:v>
      </x:c>
      <x:c r="G370" s="8" t="str">
        <x:v>Retired</x:v>
      </x:c>
    </x:row>
    <x:row r="371" ht="32" customHeight="1">
      <x:c r="A371" s="8" t="str">
        <x:v>drop:FC1:F5:fan:1:F-WING-H-4</x:v>
      </x:c>
      <x:c r="B371" s="8" t="n">
        <x:v>3</x:v>
      </x:c>
      <x:c r="C371" s="11" t="n">
        <x:v>42</x:v>
      </x:c>
      <x:c r="D371" s="11" t="n">
        <x:v>3.5</x:v>
      </x:c>
      <x:c r="E371" s="11" t="n">
        <x:v>13.249</x:v>
      </x:c>
      <x:c r="F371" s="11" t="n">
        <x:f>SQRT((C371-C370)^2+(D371-D370)^2+(E371-E370)^2)</x:f>
        <x:v>4.622287371134023</x:v>
      </x:c>
      <x:c r="G371" s="8" t="str">
        <x:v>Retired</x:v>
      </x:c>
    </x:row>
    <x:row r="372" ht="32" customHeight="1">
      <x:c r="A372" s="8" t="str">
        <x:v>drop:FC1:F5:fan:1:F-WING-H-4</x:v>
      </x:c>
      <x:c r="B372" s="8" t="n">
        <x:v>4</x:v>
      </x:c>
      <x:c r="C372" s="11" t="n">
        <x:v>42</x:v>
      </x:c>
      <x:c r="D372" s="11" t="n">
        <x:v>3.5</x:v>
      </x:c>
      <x:c r="E372" s="11" t="n">
        <x:v>13.06</x:v>
      </x:c>
      <x:c r="F372" s="11" t="n">
        <x:f>SQRT((C372-C371)^2+(D372-D371)^2+(E372-E371)^2)</x:f>
        <x:v>0.18900000000000006</x:v>
      </x:c>
      <x:c r="G372" s="8" t="str">
        <x:v>Retired</x:v>
      </x:c>
    </x:row>
    <x:row r="373" ht="32" customHeight="1">
      <x:c r="A373" s="8" t="str">
        <x:v>drop:FC1:F1:fan:-1:F240</x:v>
      </x:c>
      <x:c r="B373" s="8" t="n">
        <x:v>1</x:v>
      </x:c>
      <x:c r="C373" s="11" t="n">
        <x:v>39.3</x:v>
      </x:c>
      <x:c r="D373" s="11" t="n">
        <x:v>8.24309922680412</x:v>
      </x:c>
      <x:c r="E373" s="11" t="n">
        <x:v>-7.36</x:v>
      </x:c>
      <x:c r="F373" s="11" t="n">
        <x:f>0</x:f>
        <x:v>0</x:v>
      </x:c>
      <x:c r="G373" s="8" t="str">
        <x:v>Retired</x:v>
      </x:c>
    </x:row>
    <x:row r="374" ht="32" customHeight="1">
      <x:c r="A374" s="8" t="str">
        <x:v>drop:FC1:F1:fan:-1:F240</x:v>
      </x:c>
      <x:c r="B374" s="8" t="n">
        <x:v>2</x:v>
      </x:c>
      <x:c r="C374" s="11" t="n">
        <x:v>39.3</x:v>
      </x:c>
      <x:c r="D374" s="11" t="n">
        <x:v>8.24309922680412</x:v>
      </x:c>
      <x:c r="E374" s="11" t="n">
        <x:v>-10.15</x:v>
      </x:c>
      <x:c r="F374" s="11" t="n">
        <x:f>SQRT((C374-C373)^2+(D374-D373)^2+(E374-E373)^2)</x:f>
        <x:v>2.79</x:v>
      </x:c>
      <x:c r="G374" s="8" t="str">
        <x:v>Retired</x:v>
      </x:c>
    </x:row>
    <x:row r="375" ht="32" customHeight="1">
      <x:c r="A375" s="8" t="str">
        <x:v>drop:FC1:F1:fan:-1:F240</x:v>
      </x:c>
      <x:c r="B375" s="8" t="n">
        <x:v>3</x:v>
      </x:c>
      <x:c r="C375" s="11" t="n">
        <x:v>39.3</x:v>
      </x:c>
      <x:c r="D375" s="11" t="n">
        <x:v>3.3</x:v>
      </x:c>
      <x:c r="E375" s="11" t="n">
        <x:v>-10.15</x:v>
      </x:c>
      <x:c r="F375" s="11" t="n">
        <x:f>SQRT((C375-C374)^2+(D375-D374)^2+(E375-E374)^2)</x:f>
        <x:v>4.94309922680412</x:v>
      </x:c>
      <x:c r="G375" s="8" t="str">
        <x:v>Retired</x:v>
      </x:c>
    </x:row>
    <x:row r="376" ht="32" customHeight="1">
      <x:c r="A376" s="8" t="str">
        <x:v>drop:FC1:F1:fan:-1:F241</x:v>
      </x:c>
      <x:c r="B376" s="8" t="n">
        <x:v>1</x:v>
      </x:c>
      <x:c r="C376" s="11" t="n">
        <x:v>41.85</x:v>
      </x:c>
      <x:c r="D376" s="11" t="n">
        <x:v>8.243099226804118</x:v>
      </x:c>
      <x:c r="E376" s="11" t="n">
        <x:v>-7.36</x:v>
      </x:c>
      <x:c r="F376" s="11" t="n">
        <x:f>0</x:f>
        <x:v>0</x:v>
      </x:c>
      <x:c r="G376" s="8" t="str">
        <x:v>Retired</x:v>
      </x:c>
    </x:row>
    <x:row r="377" ht="32" customHeight="1">
      <x:c r="A377" s="8" t="str">
        <x:v>drop:FC1:F1:fan:-1:F241</x:v>
      </x:c>
      <x:c r="B377" s="8" t="n">
        <x:v>2</x:v>
      </x:c>
      <x:c r="C377" s="11" t="n">
        <x:v>41.85</x:v>
      </x:c>
      <x:c r="D377" s="11" t="n">
        <x:v>8.243099226804125</x:v>
      </x:c>
      <x:c r="E377" s="11" t="n">
        <x:v>-10.15</x:v>
      </x:c>
      <x:c r="F377" s="11" t="n">
        <x:f>SQRT((C377-C376)^2+(D377-D376)^2+(E377-E376)^2)</x:f>
        <x:v>2.79</x:v>
      </x:c>
      <x:c r="G377" s="8" t="str">
        <x:v>Retired</x:v>
      </x:c>
    </x:row>
    <x:row r="378" ht="32" customHeight="1">
      <x:c r="A378" s="8" t="str">
        <x:v>drop:FC1:F1:fan:-1:F241</x:v>
      </x:c>
      <x:c r="B378" s="8" t="n">
        <x:v>3</x:v>
      </x:c>
      <x:c r="C378" s="11" t="n">
        <x:v>41.85</x:v>
      </x:c>
      <x:c r="D378" s="11" t="n">
        <x:v>3.3</x:v>
      </x:c>
      <x:c r="E378" s="11" t="n">
        <x:v>-10.15</x:v>
      </x:c>
      <x:c r="F378" s="11" t="n">
        <x:f>SQRT((C378-C377)^2+(D378-D377)^2+(E378-E377)^2)</x:f>
        <x:v>4.943099226804125</x:v>
      </x:c>
      <x:c r="G378" s="8" t="str">
        <x:v>Retired</x:v>
      </x:c>
    </x:row>
    <x:row r="379" ht="32" customHeight="1">
      <x:c r="A379" s="8" t="str">
        <x:v>drop:FC1:F1:fan:1:F242</x:v>
      </x:c>
      <x:c r="B379" s="8" t="n">
        <x:v>1</x:v>
      </x:c>
      <x:c r="C379" s="11" t="n">
        <x:v>39.3</x:v>
      </x:c>
      <x:c r="D379" s="11" t="n">
        <x:v>8.24309922680412</x:v>
      </x:c>
      <x:c r="E379" s="11" t="n">
        <x:v>7.36</x:v>
      </x:c>
      <x:c r="F379" s="11" t="n">
        <x:f>0</x:f>
        <x:v>0</x:v>
      </x:c>
      <x:c r="G379" s="8" t="str">
        <x:v>Retired</x:v>
      </x:c>
    </x:row>
    <x:row r="380" ht="32" customHeight="1">
      <x:c r="A380" s="8" t="str">
        <x:v>drop:FC1:F1:fan:1:F242</x:v>
      </x:c>
      <x:c r="B380" s="8" t="n">
        <x:v>2</x:v>
      </x:c>
      <x:c r="C380" s="11" t="n">
        <x:v>39.3</x:v>
      </x:c>
      <x:c r="D380" s="11" t="n">
        <x:v>8.24309922680412</x:v>
      </x:c>
      <x:c r="E380" s="11" t="n">
        <x:v>10.15</x:v>
      </x:c>
      <x:c r="F380" s="11" t="n">
        <x:f>SQRT((C380-C379)^2+(D380-D379)^2+(E380-E379)^2)</x:f>
        <x:v>2.79</x:v>
      </x:c>
      <x:c r="G380" s="8" t="str">
        <x:v>Retired</x:v>
      </x:c>
    </x:row>
    <x:row r="381" ht="32" customHeight="1">
      <x:c r="A381" s="8" t="str">
        <x:v>drop:FC1:F1:fan:1:F242</x:v>
      </x:c>
      <x:c r="B381" s="8" t="n">
        <x:v>3</x:v>
      </x:c>
      <x:c r="C381" s="11" t="n">
        <x:v>39.3</x:v>
      </x:c>
      <x:c r="D381" s="11" t="n">
        <x:v>3.3</x:v>
      </x:c>
      <x:c r="E381" s="11" t="n">
        <x:v>10.15</x:v>
      </x:c>
      <x:c r="F381" s="11" t="n">
        <x:f>SQRT((C381-C380)^2+(D381-D380)^2+(E381-E380)^2)</x:f>
        <x:v>4.94309922680412</x:v>
      </x:c>
      <x:c r="G381" s="8" t="str">
        <x:v>Retired</x:v>
      </x:c>
    </x:row>
    <x:row r="382" ht="32" customHeight="1">
      <x:c r="A382" s="8" t="str">
        <x:v>drop:FC1:F1:fan:1:F243</x:v>
      </x:c>
      <x:c r="B382" s="8" t="n">
        <x:v>1</x:v>
      </x:c>
      <x:c r="C382" s="11" t="n">
        <x:v>41.85</x:v>
      </x:c>
      <x:c r="D382" s="11" t="n">
        <x:v>8.243099226804118</x:v>
      </x:c>
      <x:c r="E382" s="11" t="n">
        <x:v>7.36</x:v>
      </x:c>
      <x:c r="F382" s="11" t="n">
        <x:f>0</x:f>
        <x:v>0</x:v>
      </x:c>
      <x:c r="G382" s="8" t="str">
        <x:v>Retired</x:v>
      </x:c>
    </x:row>
    <x:row r="383" ht="32" customHeight="1">
      <x:c r="A383" s="8" t="str">
        <x:v>drop:FC1:F1:fan:1:F243</x:v>
      </x:c>
      <x:c r="B383" s="8" t="n">
        <x:v>2</x:v>
      </x:c>
      <x:c r="C383" s="11" t="n">
        <x:v>41.85</x:v>
      </x:c>
      <x:c r="D383" s="11" t="n">
        <x:v>8.243099226804125</x:v>
      </x:c>
      <x:c r="E383" s="11" t="n">
        <x:v>10.15</x:v>
      </x:c>
      <x:c r="F383" s="11" t="n">
        <x:f>SQRT((C383-C382)^2+(D383-D382)^2+(E383-E382)^2)</x:f>
        <x:v>2.79</x:v>
      </x:c>
      <x:c r="G383" s="8" t="str">
        <x:v>Retired</x:v>
      </x:c>
    </x:row>
    <x:row r="384" ht="32" customHeight="1">
      <x:c r="A384" s="8" t="str">
        <x:v>drop:FC1:F1:fan:1:F243</x:v>
      </x:c>
      <x:c r="B384" s="8" t="n">
        <x:v>3</x:v>
      </x:c>
      <x:c r="C384" s="11" t="n">
        <x:v>41.85</x:v>
      </x:c>
      <x:c r="D384" s="11" t="n">
        <x:v>3.3</x:v>
      </x:c>
      <x:c r="E384" s="11" t="n">
        <x:v>10.15</x:v>
      </x:c>
      <x:c r="F384" s="11" t="n">
        <x:f>SQRT((C384-C383)^2+(D384-D383)^2+(E384-E383)^2)</x:f>
        <x:v>4.943099226804125</x:v>
      </x:c>
      <x:c r="G384" s="8" t="str">
        <x:v>Retired</x:v>
      </x:c>
    </x:row>
  </x:sheetData>
  <x:conditionalFormatting sqref="G7:G38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bbf46bcb5dfa48b9"/>
  </x:tableParts>
</x:worksheet>
</file>