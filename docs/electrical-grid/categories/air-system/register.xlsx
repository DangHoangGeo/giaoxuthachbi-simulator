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13c83d7fff49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aaad7373ef546e9"/>
    <x:sheet xmlns:r="http://schemas.openxmlformats.org/officeDocument/2006/relationships" name="Equipment" sheetId="2" r:id="Rf8ff3002f9e84001"/>
    <x:sheet xmlns:r="http://schemas.openxmlformats.org/officeDocument/2006/relationships" name="Electrical Lines" sheetId="3" r:id="Ra82da19164b944e8"/>
    <x:sheet xmlns:r="http://schemas.openxmlformats.org/officeDocument/2006/relationships" name="Route Points" sheetId="4" r:id="R03adced094b744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fac11e19164b6e" /><Relationship Type="http://schemas.openxmlformats.org/officeDocument/2006/relationships/theme" Target="/xl/theme/theme1.xml" Id="R98e228cac0614888" /><Relationship Type="http://schemas.openxmlformats.org/officeDocument/2006/relationships/sharedStrings" Target="/xl/sharedStrings.xml" Id="R6c49604b345e47f6" /><Relationship Type="http://schemas.openxmlformats.org/officeDocument/2006/relationships/worksheet" Target="/xl/worksheets/sheet1.xml" Id="R4aaad7373ef546e9" /><Relationship Type="http://schemas.openxmlformats.org/officeDocument/2006/relationships/worksheet" Target="/xl/worksheets/sheet2.xml" Id="Rf8ff3002f9e84001" /><Relationship Type="http://schemas.openxmlformats.org/officeDocument/2006/relationships/worksheet" Target="/xl/worksheets/sheet3.xml" Id="Ra82da19164b944e8" /><Relationship Type="http://schemas.openxmlformats.org/officeDocument/2006/relationships/worksheet" Target="/xl/worksheets/sheet4.xml" Id="R03adced094b7448f" /></Relationships>
</file>

<file path=xl/tables/table1.xml><?xml version="1.0" encoding="utf-8"?>
<x:table xmlns:x="http://schemas.openxmlformats.org/spreadsheetml/2006/main" id="1" name="EquipmentRegister" displayName="EquipmentRegister" ref="A6:AC4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59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5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5f81bb8e8a44b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64461c60b77468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8137232965843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2026-10-08T22:16:25.645Z.</x:v>
      </x:c>
    </x:row>
    <x:row r="5" ht="34" customHeight="1">
      <x:c r="A5" s="20" t="str">
        <x:v>Current equipment</x:v>
      </x:c>
      <x:c r="B5" s="16" t="n">
        <x:f>COUNTIFS(Equipment!$AA$7:$AA$45,"Current")</x:f>
        <x:v>39</x:v>
      </x:c>
    </x:row>
    <x:row r="6" ht="34" customHeight="1">
      <x:c r="A6" s="20" t="str">
        <x:v>Current routes</x:v>
      </x:c>
      <x:c r="B6" s="16" t="n">
        <x:f>COUNTIFS('Electrical Lines'!$Y$7:$Y$59,"Current")</x:f>
        <x:v>49</x:v>
      </x:c>
    </x:row>
    <x:row r="7" ht="34" customHeight="1">
      <x:c r="A7" s="20" t="str">
        <x:v>Retired equipment / routes</x:v>
      </x:c>
      <x:c r="B7" s="16" t="n">
        <x:f>COUNTIFS(Equipment!$AA$7:$AA$45,"Retired")+COUNTIFS('Electrical Lines'!$Y$7:$Y$59,"Retired")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53ff13ffefd2679cbf8d12a1e21bde566f40af08275ae4f0ff95823f70ea1b77</x:v>
      </x:c>
    </x:row>
    <x:row r="15" ht="44" customHeight="1">
      <x:c r="A15" s="20" t="str">
        <x:v>Source systems SHA-256</x:v>
      </x:c>
      <x:c r="B15" s="16" t="str">
        <x:v>c883a38876b1d2b04788046ec5e1d87651113aa8dbfeb0f5415ba0b829f004ab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39.15</x:v>
      </x:c>
      <x:c r="G21" s="11" t="n">
        <x:v>3.5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460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97.66680426181422</x:v>
      </x:c>
      <x:c r="P21" s="11" t="n">
        <x:v>-63.94867424281879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4 per wing at low speed cover 68/80 seats; noise and speech criteria fail. Gable anchors, concealment, sweep clearance and maintenance unapproved."}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39.95</x:v>
      </x:c>
      <x:c r="G22" s="11" t="n">
        <x:v>2.7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460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103.96981360840223</x:v>
      </x:c>
      <x:c r="P22" s="11" t="n">
        <x:v>-30.04635493627147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4 per wing at low speed cover 68/80 seats; noise and speech criteria fail. Gable anchors, concealment, sweep clearance and maintenance unapproved."}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39.15</x:v>
      </x:c>
      <x:c r="G23" s="11" t="n">
        <x:v>3.5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460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-97.66680426181422</x:v>
      </x:c>
      <x:c r="P23" s="11" t="n">
        <x:v>-63.94867424281879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4 per wing at low speed cover 68/80 seats; noise and speech criteria fail. Gable anchors, concealment, sweep clearance and maintenance unapproved."}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39.95</x:v>
      </x:c>
      <x:c r="G24" s="11" t="n">
        <x:v>2.7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460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-103.96981360840223</x:v>
      </x:c>
      <x:c r="P24" s="11" t="n">
        <x:v>-30.04635493627147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4 per wing at low speed cover 68/80 seats; noise and speech criteria fail. Gable anchors, concealment, sweep clearance and maintenance unapproved."}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460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460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460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460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460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460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  <x:row r="42" ht="96" customHeight="1">
      <x:c r="A42" s="8" t="str">
        <x:v>F-WING-B-3</x:v>
      </x:c>
      <x:c r="B42" s="8" t="str">
        <x:v>Wall fan · wing B · 3 · held review</x:v>
      </x:c>
      <x:c r="C42" s="8" t="str">
        <x:v>fan</x:v>
      </x:c>
      <x:c r="D42" s="8" t="str">
        <x:v>DB1</x:v>
      </x:c>
      <x:c r="E42" s="8" t="str">
        <x:v>F5</x:v>
      </x:c>
      <x:c r="F42" s="11" t="n">
        <x:v>41.2</x:v>
      </x:c>
      <x:c r="G42" s="11" t="n">
        <x:v>2.7</x:v>
      </x:c>
      <x:c r="H42" s="11" t="n">
        <x:v>-13.06</x:v>
      </x:c>
      <x:c r="I42" s="8" t="str">
        <x:v>wall</x:v>
      </x:c>
      <x:c r="J42" s="8" t="str">
        <x:v>Shown</x:v>
      </x:c>
      <x:c r="K42" s="8" t="str">
        <x:v>On</x:v>
      </x:c>
      <x:c r="L42" s="8" t="str">
        <x:v>460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75.89736516026656</x:v>
      </x:c>
      <x:c r="P42" s="11" t="n">
        <x:v>-30.031965296126412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drop:FC1:F5:fan:-1:F-WING-B-3</x:v>
      </x:c>
      <x:c r="AC42" s="8" t="str">
        <x:v>{"dim":1,"speed":1,"note":"ENGINEERING HOLD: 4 per wing at low speed cover 68/80 seats; noise and speech criteria fail. Gable anchors, concealment, sweep clearance and maintenance unapproved."}</x:v>
      </x:c>
    </x:row>
    <x:row r="43" ht="96" customHeight="1">
      <x:c r="A43" s="8" t="str">
        <x:v>F-WING-B-4</x:v>
      </x:c>
      <x:c r="B43" s="8" t="str">
        <x:v>Wall fan · wing B · 4 · held review</x:v>
      </x:c>
      <x:c r="C43" s="8" t="str">
        <x:v>fan</x:v>
      </x:c>
      <x:c r="D43" s="8" t="str">
        <x:v>DB1</x:v>
      </x:c>
      <x:c r="E43" s="8" t="str">
        <x:v>F5</x:v>
      </x:c>
      <x:c r="F43" s="11" t="n">
        <x:v>42</x:v>
      </x:c>
      <x:c r="G43" s="11" t="n">
        <x:v>3.5</x:v>
      </x:c>
      <x:c r="H43" s="11" t="n">
        <x:v>-13.06</x:v>
      </x:c>
      <x:c r="I43" s="8" t="str">
        <x:v>wall</x:v>
      </x:c>
      <x:c r="J43" s="8" t="str">
        <x:v>Shown</x:v>
      </x:c>
      <x:c r="K43" s="8" t="str">
        <x:v>On</x:v>
      </x:c>
      <x:c r="L43" s="8" t="str">
        <x:v>460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81.9727624895681</x:v>
      </x:c>
      <x:c r="P43" s="11" t="n">
        <x:v>-63.92906953677533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drop:FC1:F5:fan:-1:F-WING-B-4</x:v>
      </x:c>
      <x:c r="AC43" s="8" t="str">
        <x:v>{"dim":1,"speed":1,"note":"ENGINEERING HOLD: 4 per wing at low speed cover 68/80 seats; noise and speech criteria fail. Gable anchors, concealment, sweep clearance and maintenance unapproved."}</x:v>
      </x:c>
    </x:row>
    <x:row r="44" ht="96" customHeight="1">
      <x:c r="A44" s="8" t="str">
        <x:v>F-WING-H-3</x:v>
      </x:c>
      <x:c r="B44" s="8" t="str">
        <x:v>Wall fan · wing H · 3 · held review</x:v>
      </x:c>
      <x:c r="C44" s="8" t="str">
        <x:v>fan</x:v>
      </x:c>
      <x:c r="D44" s="8" t="str">
        <x:v>DB1</x:v>
      </x:c>
      <x:c r="E44" s="8" t="str">
        <x:v>F5</x:v>
      </x:c>
      <x:c r="F44" s="11" t="n">
        <x:v>41.2</x:v>
      </x:c>
      <x:c r="G44" s="11" t="n">
        <x:v>2.7</x:v>
      </x:c>
      <x:c r="H44" s="11" t="n">
        <x:v>13.06</x:v>
      </x:c>
      <x:c r="I44" s="8" t="str">
        <x:v>wall</x:v>
      </x:c>
      <x:c r="J44" s="8" t="str">
        <x:v>Shown</x:v>
      </x:c>
      <x:c r="K44" s="8" t="str">
        <x:v>On</x:v>
      </x:c>
      <x:c r="L44" s="8" t="str">
        <x:v>460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-75.89736516026656</x:v>
      </x:c>
      <x:c r="P44" s="11" t="n">
        <x:v>-30.031965296126412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drop:FC1:F5:fan:1:F-WING-H-3</x:v>
      </x:c>
      <x:c r="AC44" s="8" t="str">
        <x:v>{"dim":1,"speed":1,"note":"ENGINEERING HOLD: 4 per wing at low speed cover 68/80 seats; noise and speech criteria fail. Gable anchors, concealment, sweep clearance and maintenance unapproved."}</x:v>
      </x:c>
    </x:row>
    <x:row r="45" ht="96" customHeight="1">
      <x:c r="A45" s="8" t="str">
        <x:v>F-WING-H-4</x:v>
      </x:c>
      <x:c r="B45" s="8" t="str">
        <x:v>Wall fan · wing H · 4 · held review</x:v>
      </x:c>
      <x:c r="C45" s="8" t="str">
        <x:v>fan</x:v>
      </x:c>
      <x:c r="D45" s="8" t="str">
        <x:v>DB1</x:v>
      </x:c>
      <x:c r="E45" s="8" t="str">
        <x:v>F5</x:v>
      </x:c>
      <x:c r="F45" s="11" t="n">
        <x:v>42</x:v>
      </x:c>
      <x:c r="G45" s="11" t="n">
        <x:v>3.5</x:v>
      </x:c>
      <x:c r="H45" s="11" t="n">
        <x:v>13.06</x:v>
      </x:c>
      <x:c r="I45" s="8" t="str">
        <x:v>wall</x:v>
      </x:c>
      <x:c r="J45" s="8" t="str">
        <x:v>Shown</x:v>
      </x:c>
      <x:c r="K45" s="8" t="str">
        <x:v>On</x:v>
      </x:c>
      <x:c r="L45" s="8" t="str">
        <x:v>460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-81.9727624895681</x:v>
      </x:c>
      <x:c r="P45" s="11" t="n">
        <x:v>-63.92906953677533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drop:FC1:F5:fan:1:F-WING-H-4</x:v>
      </x:c>
      <x:c r="AC4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45">
    <x:cfRule type="containsText" dxfId="0" priority="1" operator="containsText" text="Retired"/>
  </x:conditionalFormatting>
  <x:dataValidations count="3">
    <x:dataValidation type="decimal" operator="between" sqref="W7:W45">
      <x:formula1>-1000</x:formula1>
      <x:formula2>1000</x:formula2>
    </x:dataValidation>
    <x:dataValidation type="decimal" operator="between" sqref="X7:X45">
      <x:formula1>-1000</x:formula1>
      <x:formula2>1000</x:formula2>
    </x:dataValidation>
    <x:dataValidation type="decimal" operator="between" sqref="Y7:Y4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5f81bb8e8a44bc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Points'!$A$7:$A$354,A7,'Route Points'!$F$7:$F$354)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Points'!$A$7:$A$354,A8,'Route Points'!$F$7:$F$354)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Points'!$A$7:$A$354,A9,'Route Points'!$F$7:$F$354)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Points'!$A$7:$A$354,A10,'Route Points'!$F$7:$F$354)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Points'!$A$7:$A$354,A11,'Route Points'!$F$7:$F$354)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Points'!$A$7:$A$354,A12,'Route Points'!$F$7:$F$354)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Points'!$A$7:$A$354,A13,'Route Points'!$F$7:$F$354)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Points'!$A$7:$A$354,A14,'Route Points'!$F$7:$F$354)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Points'!$A$7:$A$354,A15,'Route Points'!$F$7:$F$354)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Points'!$A$7:$A$354,A16,'Route Points'!$F$7:$F$354)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Points'!$A$7:$A$354,A17,'Route Points'!$F$7:$F$354)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Points'!$A$7:$A$354,A18,'Route Points'!$F$7:$F$354)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Points'!$A$7:$A$354,A19,'Route Points'!$F$7:$F$354)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Points'!$A$7:$A$354,A20,'Route Points'!$F$7:$F$354)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Points'!$A$7:$A$354,A21,'Route Points'!$F$7:$F$354)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Points'!$A$7:$A$354,A22,'Route Points'!$F$7:$F$354)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
F-WING-B-3
F-WING-B-4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Points'!$A$7:$A$354,A23,'Route Points'!$F$7:$F$354)</x:f>
        <x:v>32.419783516009694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Points'!$A$7:$A$354,A24,'Route Points'!$F$7:$F$354)</x:f>
        <x:v>10.700287371134017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Points'!$A$7:$A$354,A25,'Route Points'!$F$7:$F$354)</x:f>
        <x:v>12.144617268041237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drop:FC1:F5:fan:-1:F-WING-B-3</x:v>
      </x:c>
      <x:c r="B26" s="8" t="str">
        <x:v>F5 → Wall fan · wing B · 3 · held review</x:v>
      </x:c>
      <x:c r="C26" s="8" t="str">
        <x:v>FC1</x:v>
      </x:c>
      <x:c r="D26" s="8" t="str">
        <x:v>F-WING-B-3</x:v>
      </x:c>
      <x:c r="E26" s="8" t="str">
        <x:v>DB1</x:v>
      </x:c>
      <x:c r="F26" s="8" t="str">
        <x:v>F5</x:v>
      </x:c>
      <x:c r="G26" s="8" t="str">
        <x:v>fan</x:v>
      </x:c>
      <x:c r="H26" s="8" t="str">
        <x:v>drop</x:v>
      </x:c>
      <x:c r="I26" s="11" t="n">
        <x:f>SUMIF('Route Points'!$A$7:$A$354,A26,'Route Points'!$F$7:$F$354)</x:f>
        <x:v>12.144617268041237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Covered roof-soffit crossing into outer arcade / wing-gable wall, then concealed pier drop. No exposed crossing at equipment height.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trunk:FC1:F5:fan:-1</x:v>
      </x:c>
    </x:row>
    <x:row r="27" ht="90" customHeight="1">
      <x:c r="A27" s="8" t="str">
        <x:v>drop:FC1:F5:fan:-1:F-WING-B-4</x:v>
      </x:c>
      <x:c r="B27" s="8" t="str">
        <x:v>F5 → Wall fan · wing B · 4 · held review</x:v>
      </x:c>
      <x:c r="C27" s="8" t="str">
        <x:v>FC1</x:v>
      </x:c>
      <x:c r="D27" s="8" t="str">
        <x:v>F-WING-B-4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Points'!$A$7:$A$354,A27,'Route Points'!$F$7:$F$354)</x:f>
        <x:v>10.700287371134024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trunk:FC1:F5:fan:-1</x:v>
      </x:c>
    </x:row>
    <x:row r="28" ht="90" customHeight="1">
      <x:c r="A28" s="8" t="str">
        <x:v>trunk:FC1:F5:fan:1</x:v>
      </x:c>
      <x:c r="B28" s="8" t="str">
        <x:v>F5 · H · circuit trunk</x:v>
      </x:c>
      <x:c r="C28" s="8" t="str">
        <x:v>FC1</x:v>
      </x:c>
      <x:c r="D28" s="8" t="str">
        <x:v>F242
F243
F-WING-H-3
F-WING-H-4</x:v>
      </x:c>
      <x:c r="E28" s="8" t="str">
        <x:v>DB1</x:v>
      </x:c>
      <x:c r="F28" s="8" t="str">
        <x:v>F5</x:v>
      </x:c>
      <x:c r="G28" s="8" t="str">
        <x:v>fan</x:v>
      </x:c>
      <x:c r="H28" s="8" t="str">
        <x:v>trunk</x:v>
      </x:c>
      <x:c r="I28" s="11" t="n">
        <x:f>SUMIF('Route Points'!$A$7:$A$354,A28,'Route Points'!$F$7:$F$354)</x:f>
        <x:v>39.0197835160097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Wall bands above openings; concealed finish-matched soffit crossing over the 9–10 wing opening.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/>
    </x:row>
    <x:row r="29" ht="90" customHeight="1">
      <x:c r="A29" s="8" t="str">
        <x:v>drop:FC1:F5:fan:1:F242</x:v>
      </x:c>
      <x:c r="B29" s="8" t="str">
        <x:v>F5 → Wall fan · wing H · 1 · held review</x:v>
      </x:c>
      <x:c r="C29" s="8" t="str">
        <x:v>FC1</x:v>
      </x:c>
      <x:c r="D29" s="8" t="str">
        <x:v>F242</x:v>
      </x:c>
      <x:c r="E29" s="8" t="str">
        <x:v>DB1</x:v>
      </x:c>
      <x:c r="F29" s="8" t="str">
        <x:v>F5</x:v>
      </x:c>
      <x:c r="G29" s="8" t="str">
        <x:v>fan</x:v>
      </x:c>
      <x:c r="H29" s="8" t="str">
        <x:v>drop</x:v>
      </x:c>
      <x:c r="I29" s="11" t="n">
        <x:f>SUMIF('Route Points'!$A$7:$A$354,A29,'Route Points'!$F$7:$F$354)</x:f>
        <x:v>10.700287371134017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Covered roof-soffit crossing into outer arcade / wing-gable wall, then concealed pier drop. No exposed crossing at equipment height.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trunk:FC1:F5:fan:1</x:v>
      </x:c>
    </x:row>
    <x:row r="30" ht="90" customHeight="1">
      <x:c r="A30" s="8" t="str">
        <x:v>drop:FC1:F5:fan:1:F243</x:v>
      </x:c>
      <x:c r="B30" s="8" t="str">
        <x:v>F5 → Wall fan · wing H · 2 · held review</x:v>
      </x:c>
      <x:c r="C30" s="8" t="str">
        <x:v>FC1</x:v>
      </x:c>
      <x:c r="D30" s="8" t="str">
        <x:v>F243</x:v>
      </x:c>
      <x:c r="E30" s="8" t="str">
        <x:v>DB1</x:v>
      </x:c>
      <x:c r="F30" s="8" t="str">
        <x:v>F5</x:v>
      </x:c>
      <x:c r="G30" s="8" t="str">
        <x:v>fan</x:v>
      </x:c>
      <x:c r="H30" s="8" t="str">
        <x:v>drop</x:v>
      </x:c>
      <x:c r="I30" s="11" t="n">
        <x:f>SUMIF('Route Points'!$A$7:$A$354,A30,'Route Points'!$F$7:$F$354)</x:f>
        <x:v>12.144617268041237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Covered roof-soffit crossing into outer arcade / wing-gable wall, then concealed pier drop. No exposed crossing at equipment height.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trunk:FC1:F5:fan:1</x:v>
      </x:c>
    </x:row>
    <x:row r="31" ht="90" customHeight="1">
      <x:c r="A31" s="8" t="str">
        <x:v>drop:FC1:F5:fan:1:F-WING-H-3</x:v>
      </x:c>
      <x:c r="B31" s="8" t="str">
        <x:v>F5 → Wall fan · wing H · 3 · held review</x:v>
      </x:c>
      <x:c r="C31" s="8" t="str">
        <x:v>FC1</x:v>
      </x:c>
      <x:c r="D31" s="8" t="str">
        <x:v>F-WING-H-3</x:v>
      </x:c>
      <x:c r="E31" s="8" t="str">
        <x:v>DB1</x:v>
      </x:c>
      <x:c r="F31" s="8" t="str">
        <x:v>F5</x:v>
      </x:c>
      <x:c r="G31" s="8" t="str">
        <x:v>fan</x:v>
      </x:c>
      <x:c r="H31" s="8" t="str">
        <x:v>drop</x:v>
      </x:c>
      <x:c r="I31" s="11" t="n">
        <x:f>SUMIF('Route Points'!$A$7:$A$354,A31,'Route Points'!$F$7:$F$354)</x:f>
        <x:v>12.144617268041237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Covered roof-soffit crossing into outer arcade / wing-gable wall, then concealed pier drop. No exposed crossing at equipment height.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trunk:FC1:F5:fan:1</x:v>
      </x:c>
    </x:row>
    <x:row r="32" ht="90" customHeight="1">
      <x:c r="A32" s="8" t="str">
        <x:v>drop:FC1:F5:fan:1:F-WING-H-4</x:v>
      </x:c>
      <x:c r="B32" s="8" t="str">
        <x:v>F5 → Wall fan · wing H · 4 · held review</x:v>
      </x:c>
      <x:c r="C32" s="8" t="str">
        <x:v>FC1</x:v>
      </x:c>
      <x:c r="D32" s="8" t="str">
        <x:v>F-WING-H-4</x:v>
      </x:c>
      <x:c r="E32" s="8" t="str">
        <x:v>DB1</x:v>
      </x:c>
      <x:c r="F32" s="8" t="str">
        <x:v>F5</x:v>
      </x:c>
      <x:c r="G32" s="8" t="str">
        <x:v>fan</x:v>
      </x:c>
      <x:c r="H32" s="8" t="str">
        <x:v>drop</x:v>
      </x:c>
      <x:c r="I32" s="11" t="n">
        <x:f>SUMIF('Route Points'!$A$7:$A$354,A32,'Route Points'!$F$7:$F$354)</x:f>
        <x:v>10.700287371134024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Covered roof-soffit crossing into outer arcade / wing-gable wall, then concealed pier drop. No exposed crossing at equipment height.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trunk:FC1:F5:fan:1</x:v>
      </x:c>
    </x:row>
    <x:row r="33" ht="90" customHeight="1">
      <x:c r="A33" s="8" t="str">
        <x:v>trunk:FC1:F2:fan:-1</x:v>
      </x:c>
      <x:c r="B33" s="8" t="str">
        <x:v>F2 · B · circuit trunk</x:v>
      </x:c>
      <x:c r="C33" s="8" t="str">
        <x:v>FC1</x:v>
      </x:c>
      <x:c r="D33" s="8" t="str">
        <x:v>F244
F246
F248</x:v>
      </x:c>
      <x:c r="E33" s="8" t="str">
        <x:v>DB1</x:v>
      </x:c>
      <x:c r="F33" s="8" t="str">
        <x:v>F2</x:v>
      </x:c>
      <x:c r="G33" s="8" t="str">
        <x:v>fan</x:v>
      </x:c>
      <x:c r="H33" s="8" t="str">
        <x:v>trunk</x:v>
      </x:c>
      <x:c r="I33" s="11" t="n">
        <x:f>SUMIF('Route Points'!$A$7:$A$354,A33,'Route Points'!$F$7:$F$354)</x:f>
        <x:v>58.576130311179185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drop:FC1:F2:fan:-1:F244</x:v>
      </x:c>
      <x:c r="B34" s="8" t="str">
        <x:v>F2 → Wall fan · axis 4 · B</x:v>
      </x:c>
      <x:c r="C34" s="8" t="str">
        <x:v>FC1</x:v>
      </x:c>
      <x:c r="D34" s="8" t="str">
        <x:v>F244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Points'!$A$7:$A$354,A34,'Route Points'!$F$7:$F$354)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drop:FC1:F2:fan:-1:F246</x:v>
      </x:c>
      <x:c r="B35" s="8" t="str">
        <x:v>F2 → Wall fan · axis 6 · B</x:v>
      </x:c>
      <x:c r="C35" s="8" t="str">
        <x:v>FC1</x:v>
      </x:c>
      <x:c r="D35" s="8" t="str">
        <x:v>F246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Points'!$A$7:$A$354,A35,'Route Points'!$F$7:$F$354)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drop:FC1:F2:fan:-1:F248</x:v>
      </x:c>
      <x:c r="B36" s="8" t="str">
        <x:v>F2 → Wall fan · axis 8 · B</x:v>
      </x:c>
      <x:c r="C36" s="8" t="str">
        <x:v>FC1</x:v>
      </x:c>
      <x:c r="D36" s="8" t="str">
        <x:v>F248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Points'!$A$7:$A$354,A36,'Route Points'!$F$7:$F$354)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trunk:FC1:F2:fan:1</x:v>
      </x:c>
      <x:c r="B37" s="8" t="str">
        <x:v>F2 · H · circuit trunk</x:v>
      </x:c>
      <x:c r="C37" s="8" t="str">
        <x:v>FC1</x:v>
      </x:c>
      <x:c r="D37" s="8" t="str">
        <x:v>F245
F247
F249</x:v>
      </x:c>
      <x:c r="E37" s="8" t="str">
        <x:v>DB1</x:v>
      </x:c>
      <x:c r="F37" s="8" t="str">
        <x:v>F2</x:v>
      </x:c>
      <x:c r="G37" s="8" t="str">
        <x:v>fan</x:v>
      </x:c>
      <x:c r="H37" s="8" t="str">
        <x:v>trunk</x:v>
      </x:c>
      <x:c r="I37" s="11" t="n">
        <x:f>SUMIF('Route Points'!$A$7:$A$354,A37,'Route Points'!$F$7:$F$354)</x:f>
        <x:v>65.17613031117918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drop:FC1:F2:fan:1:F245</x:v>
      </x:c>
      <x:c r="B38" s="8" t="str">
        <x:v>F2 → Wall fan · axis 4 · H</x:v>
      </x:c>
      <x:c r="C38" s="8" t="str">
        <x:v>FC1</x:v>
      </x:c>
      <x:c r="D38" s="8" t="str">
        <x:v>F245</x:v>
      </x:c>
      <x:c r="E38" s="8" t="str">
        <x:v>DB1</x:v>
      </x:c>
      <x:c r="F38" s="8" t="str">
        <x:v>F2</x:v>
      </x:c>
      <x:c r="G38" s="8" t="str">
        <x:v>fan</x:v>
      </x:c>
      <x:c r="H38" s="8" t="str">
        <x:v>drop</x:v>
      </x:c>
      <x:c r="I38" s="11" t="n">
        <x:f>SUMIF('Route Points'!$A$7:$A$354,A38,'Route Points'!$F$7:$F$354)</x:f>
        <x:v>0.7520000000000007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solid-pier / wall drop and local termination.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trunk:FC1:F2:fan:1</x:v>
      </x:c>
    </x:row>
    <x:row r="39" ht="90" customHeight="1">
      <x:c r="A39" s="8" t="str">
        <x:v>drop:FC1:F2:fan:1:F247</x:v>
      </x:c>
      <x:c r="B39" s="8" t="str">
        <x:v>F2 → Wall fan · axis 6 · H</x:v>
      </x:c>
      <x:c r="C39" s="8" t="str">
        <x:v>FC1</x:v>
      </x:c>
      <x:c r="D39" s="8" t="str">
        <x:v>F247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Points'!$A$7:$A$354,A39,'Route Points'!$F$7:$F$354)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drop:FC1:F2:fan:1:F249</x:v>
      </x:c>
      <x:c r="B40" s="8" t="str">
        <x:v>F2 → Wall fan · axis 8 · H</x:v>
      </x:c>
      <x:c r="C40" s="8" t="str">
        <x:v>FC1</x:v>
      </x:c>
      <x:c r="D40" s="8" t="str">
        <x:v>F249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Points'!$A$7:$A$354,A40,'Route Points'!$F$7:$F$354)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trunk:DB2:F4:fan:-1</x:v>
      </x:c>
      <x:c r="B41" s="8" t="str">
        <x:v>F4 · B · circuit trunk</x:v>
      </x:c>
      <x:c r="C41" s="8" t="str">
        <x:v>DB2</x:v>
      </x:c>
      <x:c r="D41" s="8" t="str">
        <x:v>F250</x:v>
      </x:c>
      <x:c r="E41" s="8" t="str">
        <x:v>DB2</x:v>
      </x:c>
      <x:c r="F41" s="8" t="str">
        <x:v>F4</x:v>
      </x:c>
      <x:c r="G41" s="8" t="str">
        <x:v>fan</x:v>
      </x:c>
      <x:c r="H41" s="8" t="str">
        <x:v>trunk</x:v>
      </x:c>
      <x:c r="I41" s="11" t="n">
        <x:f>SUMIF('Route Points'!$A$7:$A$354,A41,'Route Points'!$F$7:$F$354)</x:f>
        <x:v>12.517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Wall bands above openings; concealed finish-matched soffit crossing over the 9–10 wing opening.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/>
    </x:row>
    <x:row r="42" ht="90" customHeight="1">
      <x:c r="A42" s="8" t="str">
        <x:v>drop:DB2:F4:fan:-1:F250</x:v>
      </x:c>
      <x:c r="B42" s="8" t="str">
        <x:v>F4 → Entrance circulator · B</x:v>
      </x:c>
      <x:c r="C42" s="8" t="str">
        <x:v>DB2</x:v>
      </x:c>
      <x:c r="D42" s="8" t="str">
        <x:v>F250</x:v>
      </x:c>
      <x:c r="E42" s="8" t="str">
        <x:v>DB2</x:v>
      </x:c>
      <x:c r="F42" s="8" t="str">
        <x:v>F4</x:v>
      </x:c>
      <x:c r="G42" s="8" t="str">
        <x:v>fan</x:v>
      </x:c>
      <x:c r="H42" s="8" t="str">
        <x:v>drop</x:v>
      </x:c>
      <x:c r="I42" s="11" t="n">
        <x:f>SUMIF('Route Points'!$A$7:$A$354,A42,'Route Points'!$F$7:$F$354)</x:f>
        <x:v>7.91542691446789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trunk:DB2:F4:fan:-1</x:v>
      </x:c>
    </x:row>
    <x:row r="43" ht="90" customHeight="1">
      <x:c r="A43" s="8" t="str">
        <x:v>trunk:DB2:F4:fan:1</x:v>
      </x:c>
      <x:c r="B43" s="8" t="str">
        <x:v>F4 · H · circuit trunk</x:v>
      </x:c>
      <x:c r="C43" s="8" t="str">
        <x:v>DB2</x:v>
      </x:c>
      <x:c r="D43" s="8" t="str">
        <x:v>F251</x:v>
      </x:c>
      <x:c r="E43" s="8" t="str">
        <x:v>DB2</x:v>
      </x:c>
      <x:c r="F43" s="8" t="str">
        <x:v>F4</x:v>
      </x:c>
      <x:c r="G43" s="8" t="str">
        <x:v>fan</x:v>
      </x:c>
      <x:c r="H43" s="8" t="str">
        <x:v>trunk</x:v>
      </x:c>
      <x:c r="I43" s="11" t="n">
        <x:f>SUMIF('Route Points'!$A$7:$A$354,A43,'Route Points'!$F$7:$F$354)</x:f>
        <x:v>19.117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drop:DB2:F4:fan:1:F251</x:v>
      </x:c>
      <x:c r="B44" s="8" t="str">
        <x:v>F4 → Entrance circulator · H</x:v>
      </x:c>
      <x:c r="C44" s="8" t="str">
        <x:v>DB2</x:v>
      </x:c>
      <x:c r="D44" s="8" t="str">
        <x:v>F251</x:v>
      </x:c>
      <x:c r="E44" s="8" t="str">
        <x:v>DB2</x:v>
      </x:c>
      <x:c r="F44" s="8" t="str">
        <x:v>F4</x:v>
      </x:c>
      <x:c r="G44" s="8" t="str">
        <x:v>fan</x:v>
      </x:c>
      <x:c r="H44" s="8" t="str">
        <x:v>drop</x:v>
      </x:c>
      <x:c r="I44" s="11" t="n">
        <x:f>SUMIF('Route Points'!$A$7:$A$354,A44,'Route Points'!$F$7:$F$354)</x:f>
        <x:v>7.91542691446789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entrance wall band, solid pier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trunk:DB2:F4:fan:1</x:v>
      </x:c>
    </x:row>
    <x:row r="45" ht="90" customHeight="1">
      <x:c r="A45" s="8" t="str">
        <x:v>trunk:FC1:V1:fan:-1</x:v>
      </x:c>
      <x:c r="B45" s="8" t="str">
        <x:v>V1 · B · circuit trunk</x:v>
      </x:c>
      <x:c r="C45" s="8" t="str">
        <x:v>FC1</x:v>
      </x:c>
      <x:c r="D45" s="8" t="str">
        <x:v>F252
F253
F256
F257
F260</x:v>
      </x:c>
      <x:c r="E45" s="8" t="str">
        <x:v>DB1</x:v>
      </x:c>
      <x:c r="F45" s="8" t="str">
        <x:v>V1</x:v>
      </x:c>
      <x:c r="G45" s="8" t="str">
        <x:v>fan</x:v>
      </x:c>
      <x:c r="H45" s="8" t="str">
        <x:v>trunk</x:v>
      </x:c>
      <x:c r="I45" s="11" t="n">
        <x:f>SUMIF('Route Points'!$A$7:$A$354,A45,'Route Points'!$F$7:$F$354)</x:f>
        <x:v>67.54713031117919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Wall bands above openings; concealed finish-matched soffit crossing over the 9–10 wing opening.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drop:FC1:V1:fan:-1:F252</x:v>
      </x:c>
      <x:c r="B46" s="8" t="str">
        <x:v>V1 → Exhaust fan · front gable · B outer</x:v>
      </x:c>
      <x:c r="C46" s="8" t="str">
        <x:v>FC1</x:v>
      </x:c>
      <x:c r="D46" s="8" t="str">
        <x:v>F252</x:v>
      </x:c>
      <x:c r="E46" s="8" t="str">
        <x:v>DB1</x:v>
      </x:c>
      <x:c r="F46" s="8" t="str">
        <x:v>V1</x:v>
      </x:c>
      <x:c r="G46" s="8" t="str">
        <x:v>fan</x:v>
      </x:c>
      <x:c r="H46" s="8" t="str">
        <x:v>drop</x:v>
      </x:c>
      <x:c r="I46" s="11" t="n">
        <x:f>SUMIF('Route Points'!$A$7:$A$354,A46,'Route Points'!$F$7:$F$354)</x:f>
        <x:v>8.69282092938182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roof lining to solid front gable above terrace; local fan connection.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trunk:FC1:V1:fan:-1</x:v>
      </x:c>
    </x:row>
    <x:row r="47" ht="90" customHeight="1">
      <x:c r="A47" s="8" t="str">
        <x:v>drop:FC1:V1:fan:-1:F253</x:v>
      </x:c>
      <x:c r="B47" s="8" t="str">
        <x:v>V1 → Exhaust fan · front gable · B inner</x:v>
      </x:c>
      <x:c r="C47" s="8" t="str">
        <x:v>FC1</x:v>
      </x:c>
      <x:c r="D47" s="8" t="str">
        <x:v>F253</x:v>
      </x:c>
      <x:c r="E47" s="8" t="str">
        <x:v>DB1</x:v>
      </x:c>
      <x:c r="F47" s="8" t="str">
        <x:v>V1</x:v>
      </x:c>
      <x:c r="G47" s="8" t="str">
        <x:v>fan</x:v>
      </x:c>
      <x:c r="H47" s="8" t="str">
        <x:v>drop</x:v>
      </x:c>
      <x:c r="I47" s="11" t="n">
        <x:f>SUMIF('Route Points'!$A$7:$A$354,A47,'Route Points'!$F$7:$F$354)</x:f>
        <x:v>11.831150261440472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roof lining to solid front gable above terrace; local fan connection.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trunk:FC1:V1:fan:-1</x:v>
      </x:c>
    </x:row>
    <x:row r="48" ht="90" customHeight="1">
      <x:c r="A48" s="8" t="str">
        <x:v>drop:FC1:V1:fan:-1:F256</x:v>
      </x:c>
      <x:c r="B48" s="8" t="str">
        <x:v>V1 → Exhaust fan · wing gable B · front</x:v>
      </x:c>
      <x:c r="C48" s="8" t="str">
        <x:v>FC1</x:v>
      </x:c>
      <x:c r="D48" s="8" t="str">
        <x:v>F256</x:v>
      </x:c>
      <x:c r="E48" s="8" t="str">
        <x:v>DB1</x:v>
      </x:c>
      <x:c r="F48" s="8" t="str">
        <x:v>V1</x:v>
      </x:c>
      <x:c r="G48" s="8" t="str">
        <x:v>fan</x:v>
      </x:c>
      <x:c r="H48" s="8" t="str">
        <x:v>drop</x:v>
      </x:c>
      <x:c r="I48" s="11" t="n">
        <x:f>SUMIF('Route Points'!$A$7:$A$354,A48,'Route Points'!$F$7:$F$354)</x:f>
        <x:v>6.973264175257731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Covered roof-soffit crossing into outer arcade / wing-gable wall, then concealed pier drop. No exposed crossing at equipment height.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trunk:FC1:V1:fan:-1</x:v>
      </x:c>
    </x:row>
    <x:row r="49" ht="90" customHeight="1">
      <x:c r="A49" s="8" t="str">
        <x:v>drop:FC1:V1:fan:-1:F257</x:v>
      </x:c>
      <x:c r="B49" s="8" t="str">
        <x:v>V1 → Exhaust fan · wing gable B · rear</x:v>
      </x:c>
      <x:c r="C49" s="8" t="str">
        <x:v>FC1</x:v>
      </x:c>
      <x:c r="D49" s="8" t="str">
        <x:v>F257</x:v>
      </x:c>
      <x:c r="E49" s="8" t="str">
        <x:v>DB1</x:v>
      </x:c>
      <x:c r="F49" s="8" t="str">
        <x:v>V1</x:v>
      </x:c>
      <x:c r="G49" s="8" t="str">
        <x:v>fan</x:v>
      </x:c>
      <x:c r="H49" s="8" t="str">
        <x:v>drop</x:v>
      </x:c>
      <x:c r="I49" s="11" t="n">
        <x:f>SUMIF('Route Points'!$A$7:$A$354,A49,'Route Points'!$F$7:$F$354)</x:f>
        <x:v>6.973264175257731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Covered roof-soffit crossing into outer arcade / wing-gable wall, then concealed pier drop. No exposed crossing at equipment height.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trunk:FC1:V1:fan:-1</x:v>
      </x:c>
    </x:row>
    <x:row r="50" ht="90" customHeight="1">
      <x:c r="A50" s="8" t="str">
        <x:v>drop:FC1:V1:fan:-1:F260</x:v>
      </x:c>
      <x:c r="B50" s="8" t="str">
        <x:v>V1 → Exhaust fan · service room</x:v>
      </x:c>
      <x:c r="C50" s="8" t="str">
        <x:v>FC1</x:v>
      </x:c>
      <x:c r="D50" s="8" t="str">
        <x:v>F260</x:v>
      </x:c>
      <x:c r="E50" s="8" t="str">
        <x:v>DB1</x:v>
      </x:c>
      <x:c r="F50" s="8" t="str">
        <x:v>V1</x:v>
      </x:c>
      <x:c r="G50" s="8" t="str">
        <x:v>fan</x:v>
      </x:c>
      <x:c r="H50" s="8" t="str">
        <x:v>drop</x:v>
      </x:c>
      <x:c r="I50" s="11" t="n">
        <x:f>SUMIF('Route Points'!$A$7:$A$354,A50,'Route Points'!$F$7:$F$354)</x:f>
        <x:v>10.2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Rear-wall band and local termination; gable / weatherproof entry details pending.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trunk:FC1:V1:fan:-1</x:v>
      </x:c>
    </x:row>
    <x:row r="51" ht="90" customHeight="1">
      <x:c r="A51" s="8" t="str">
        <x:v>trunk:FC1:V1:fan:1</x:v>
      </x:c>
      <x:c r="B51" s="8" t="str">
        <x:v>V1 · H · circuit trunk</x:v>
      </x:c>
      <x:c r="C51" s="8" t="str">
        <x:v>FC1</x:v>
      </x:c>
      <x:c r="D51" s="8" t="str">
        <x:v>F254
F255
F258
F259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Points'!$A$7:$A$354,A51,'Route Points'!$F$7:$F$354)</x:f>
        <x:v>74.14713031117918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drop:FC1:V1:fan:1:F254</x:v>
      </x:c>
      <x:c r="B52" s="8" t="str">
        <x:v>V1 → Exhaust fan · front gable · H inner</x:v>
      </x:c>
      <x:c r="C52" s="8" t="str">
        <x:v>FC1</x:v>
      </x:c>
      <x:c r="D52" s="8" t="str">
        <x:v>F254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Points'!$A$7:$A$354,A52,'Route Points'!$F$7:$F$354)</x:f>
        <x:v>11.831150261440472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trunk:FC1:V1:fan:1</x:v>
      </x:c>
    </x:row>
    <x:row r="53" ht="90" customHeight="1">
      <x:c r="A53" s="8" t="str">
        <x:v>drop:FC1:V1:fan:1:F255</x:v>
      </x:c>
      <x:c r="B53" s="8" t="str">
        <x:v>V1 → Exhaust fan · front gable · H outer</x:v>
      </x:c>
      <x:c r="C53" s="8" t="str">
        <x:v>FC1</x:v>
      </x:c>
      <x:c r="D53" s="8" t="str">
        <x:v>F255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Points'!$A$7:$A$354,A53,'Route Points'!$F$7:$F$354)</x:f>
        <x:v>8.69282092938182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trunk:FC1:V1:fan:1</x:v>
      </x:c>
    </x:row>
    <x:row r="54" ht="90" customHeight="1">
      <x:c r="A54" s="8" t="str">
        <x:v>drop:FC1:V1:fan:1:F258</x:v>
      </x:c>
      <x:c r="B54" s="8" t="str">
        <x:v>V1 → Exhaust fan · wing gable H · front</x:v>
      </x:c>
      <x:c r="C54" s="8" t="str">
        <x:v>FC1</x:v>
      </x:c>
      <x:c r="D54" s="8" t="str">
        <x:v>F258</x:v>
      </x:c>
      <x:c r="E54" s="8" t="str">
        <x:v>DB1</x:v>
      </x:c>
      <x:c r="F54" s="8" t="str">
        <x:v>V1</x:v>
      </x:c>
      <x:c r="G54" s="8" t="str">
        <x:v>fan</x:v>
      </x:c>
      <x:c r="H54" s="8" t="str">
        <x:v>drop</x:v>
      </x:c>
      <x:c r="I54" s="11" t="n">
        <x:f>SUMIF('Route Points'!$A$7:$A$354,A54,'Route Points'!$F$7:$F$354)</x:f>
        <x:v>6.973264175257731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Covered roof-soffit crossing into outer arcade / wing-gable wall, then concealed pier drop. No exposed crossing at equipment height.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trunk:FC1:V1:fan:1</x:v>
      </x:c>
    </x:row>
    <x:row r="55" ht="90" customHeight="1">
      <x:c r="A55" s="8" t="str">
        <x:v>drop:FC1:V1:fan:1:F259</x:v>
      </x:c>
      <x:c r="B55" s="8" t="str">
        <x:v>V1 → Exhaust fan · wing gable H · rear</x:v>
      </x:c>
      <x:c r="C55" s="8" t="str">
        <x:v>FC1</x:v>
      </x:c>
      <x:c r="D55" s="8" t="str">
        <x:v>F259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Points'!$A$7:$A$354,A55,'Route Points'!$F$7:$F$354)</x:f>
        <x:v>6.973264175257731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drop:FC1:F1:fan:-1:F240</x:v>
      </x:c>
      <x:c r="B56" s="8" t="str">
        <x:v>F1 → Ceiling fan · wing B · front</x:v>
      </x:c>
      <x:c r="C56" s="8" t="str">
        <x:v>FC1</x:v>
      </x:c>
      <x:c r="D56" s="8" t="str">
        <x:v>F240</x:v>
      </x:c>
      <x:c r="E56" s="8" t="str">
        <x:v>DB1</x:v>
      </x:c>
      <x:c r="F56" s="8" t="str">
        <x:v>F1</x:v>
      </x:c>
      <x:c r="G56" s="8" t="str">
        <x:v>fan</x:v>
      </x:c>
      <x:c r="H56" s="8" t="str">
        <x:v>drop</x:v>
      </x:c>
      <x:c r="I56" s="11" t="n">
        <x:f>SUMIF('Route Points'!$A$7:$A$354,A56,'Route Points'!$F$7:$F$354)</x:f>
        <x:v>7.73309922680412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nave lining / covered soffit route at wings and verandas; cable continues inside the existing pendant stem. Roof build-up, supports and access pending.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Retired</x:v>
      </x:c>
      <x:c r="Z56" s="8" t="str">
        <x:v>trunk:FC1:F1:fan:-1</x:v>
      </x:c>
    </x:row>
    <x:row r="57" ht="90" customHeight="1">
      <x:c r="A57" s="8" t="str">
        <x:v>drop:FC1:F1:fan:-1:F241</x:v>
      </x:c>
      <x:c r="B57" s="8" t="str">
        <x:v>F1 → Ceiling fan · wing B · rear</x:v>
      </x:c>
      <x:c r="C57" s="8" t="str">
        <x:v>FC1</x:v>
      </x:c>
      <x:c r="D57" s="8" t="str">
        <x:v>F241</x:v>
      </x:c>
      <x:c r="E57" s="8" t="str">
        <x:v>DB1</x:v>
      </x:c>
      <x:c r="F57" s="8" t="str">
        <x:v>F1</x:v>
      </x:c>
      <x:c r="G57" s="8" t="str">
        <x:v>fan</x:v>
      </x:c>
      <x:c r="H57" s="8" t="str">
        <x:v>drop</x:v>
      </x:c>
      <x:c r="I57" s="11" t="n">
        <x:f>SUMIF('Route Points'!$A$7:$A$354,A57,'Route Points'!$F$7:$F$354)</x:f>
        <x:v>7.733099226804125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nave lining / covered soffit route at wings and verandas; cable continues inside the existing pendant stem. Roof build-up, supports and access pending.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Retired</x:v>
      </x:c>
      <x:c r="Z57" s="8" t="str">
        <x:v>trunk:FC1:F1:fan:-1</x:v>
      </x:c>
    </x:row>
    <x:row r="58" ht="90" customHeight="1">
      <x:c r="A58" s="8" t="str">
        <x:v>drop:FC1:F1:fan:1:F242</x:v>
      </x:c>
      <x:c r="B58" s="8" t="str">
        <x:v>F1 → Ceiling fan · wing H · front</x:v>
      </x:c>
      <x:c r="C58" s="8" t="str">
        <x:v>FC1</x:v>
      </x:c>
      <x:c r="D58" s="8" t="str">
        <x:v>F242</x:v>
      </x:c>
      <x:c r="E58" s="8" t="str">
        <x:v>DB1</x:v>
      </x:c>
      <x:c r="F58" s="8" t="str">
        <x:v>F1</x:v>
      </x:c>
      <x:c r="G58" s="8" t="str">
        <x:v>fan</x:v>
      </x:c>
      <x:c r="H58" s="8" t="str">
        <x:v>drop</x:v>
      </x:c>
      <x:c r="I58" s="11" t="n">
        <x:f>SUMIF('Route Points'!$A$7:$A$354,A58,'Route Points'!$F$7:$F$354)</x:f>
        <x:v>7.73309922680412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Above nave lining / covered soffit route at wings and verandas; cable continues inside the existing pendant stem. Roof build-up, supports and access pending.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Retired</x:v>
      </x:c>
      <x:c r="Z58" s="8" t="str">
        <x:v>trunk:FC1:F1:fan:1</x:v>
      </x:c>
    </x:row>
    <x:row r="59" ht="90" customHeight="1">
      <x:c r="A59" s="8" t="str">
        <x:v>drop:FC1:F1:fan:1:F243</x:v>
      </x:c>
      <x:c r="B59" s="8" t="str">
        <x:v>F1 → Ceiling fan · wing H · rear</x:v>
      </x:c>
      <x:c r="C59" s="8" t="str">
        <x:v>FC1</x:v>
      </x:c>
      <x:c r="D59" s="8" t="str">
        <x:v>F243</x:v>
      </x:c>
      <x:c r="E59" s="8" t="str">
        <x:v>DB1</x:v>
      </x:c>
      <x:c r="F59" s="8" t="str">
        <x:v>F1</x:v>
      </x:c>
      <x:c r="G59" s="8" t="str">
        <x:v>fan</x:v>
      </x:c>
      <x:c r="H59" s="8" t="str">
        <x:v>drop</x:v>
      </x:c>
      <x:c r="I59" s="11" t="n">
        <x:f>SUMIF('Route Points'!$A$7:$A$354,A59,'Route Points'!$F$7:$F$354)</x:f>
        <x:v>7.733099226804125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nave lining / covered soffit route at wings and verandas; cable continues inside the existing pendant stem. Roof build-up, supports and access pending.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Retired</x:v>
      </x:c>
      <x:c r="Z59" s="8" t="str">
        <x:v>trunk:FC1:F1:fan:1</x:v>
      </x:c>
    </x:row>
  </x:sheetData>
  <x:conditionalFormatting sqref="Y7:Y59">
    <x:cfRule type="containsText" dxfId="1" priority="1" operator="containsText" text="Retired"/>
  </x:conditionalFormatting>
  <x:dataValidations count="3">
    <x:dataValidation type="decimal" operator="greaterThanOrEqual" sqref="M7:M59">
      <x:formula1>0</x:formula1>
    </x:dataValidation>
    <x:dataValidation type="decimal" operator="greaterThanOrEqual" sqref="R7:R59">
      <x:formula1>0</x:formula1>
    </x:dataValidation>
    <x:dataValidation type="decimal" operator="greaterThanOrEqual" sqref="S7:S5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4461c60b77468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39.15</x:v>
      </x:c>
      <x:c r="D140" s="11" t="n">
        <x:v>8.122287371134018</x:v>
      </x:c>
      <x:c r="E140" s="11" t="n">
        <x:v>-7.36</x:v>
      </x:c>
      <x:c r="F140" s="11" t="n">
        <x:f>SQRT((C140-C139)^2+(D140-D139)^2+(E140-E139)^2)</x:f>
        <x:v>1.8297183604201064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39.15</x:v>
      </x:c>
      <x:c r="D141" s="11" t="n">
        <x:v>8.122287371134018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39.15</x:v>
      </x:c>
      <x:c r="D142" s="11" t="n">
        <x:v>8.122287371134016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39.15</x:v>
      </x:c>
      <x:c r="D143" s="11" t="n">
        <x:v>3.5</x:v>
      </x:c>
      <x:c r="E143" s="11" t="n">
        <x:v>-13.249</x:v>
      </x:c>
      <x:c r="F143" s="11" t="n">
        <x:f>SQRT((C143-C142)^2+(D143-D142)^2+(E143-E142)^2)</x:f>
        <x:v>4.622287371134016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39.15</x:v>
      </x:c>
      <x:c r="D144" s="11" t="n">
        <x:v>3.5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39.95</x:v>
      </x:c>
      <x:c r="D145" s="11" t="n">
        <x:v>8.766617268041237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39.95</x:v>
      </x:c>
      <x:c r="D146" s="11" t="n">
        <x:v>8.766617268041237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39.95</x:v>
      </x:c>
      <x:c r="D147" s="11" t="n">
        <x:v>2.7</x:v>
      </x:c>
      <x:c r="E147" s="11" t="n">
        <x:v>-13.249</x:v>
      </x:c>
      <x:c r="F147" s="11" t="n">
        <x:f>SQRT((C147-C146)^2+(D147-D146)^2+(E147-E146)^2)</x:f>
        <x:v>6.066617268041237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39.95</x:v>
      </x:c>
      <x:c r="D148" s="11" t="n">
        <x:v>2.7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drop:FC1:F5:fan:-1:F-WING-B-3</x:v>
      </x:c>
      <x:c r="B149" s="8" t="n">
        <x:v>1</x:v>
      </x:c>
      <x:c r="C149" s="11" t="n">
        <x:v>41.2</x:v>
      </x:c>
      <x:c r="D149" s="11" t="n">
        <x:v>8.766617268041228</x:v>
      </x:c>
      <x:c r="E149" s="11" t="n">
        <x:v>-7.36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drop:FC1:F5:fan:-1:F-WING-B-3</x:v>
      </x:c>
      <x:c r="B150" s="8" t="n">
        <x:v>2</x:v>
      </x:c>
      <x:c r="C150" s="11" t="n">
        <x:v>41.2</x:v>
      </x:c>
      <x:c r="D150" s="11" t="n">
        <x:v>8.766617268041237</x:v>
      </x:c>
      <x:c r="E150" s="11" t="n">
        <x:v>-13.249</x:v>
      </x:c>
      <x:c r="F150" s="11" t="n">
        <x:f>SQRT((C150-C149)^2+(D150-D149)^2+(E150-E149)^2)</x:f>
        <x:v>5.889</x:v>
      </x:c>
      <x:c r="G150" s="8" t="str">
        <x:v>Current</x:v>
      </x:c>
    </x:row>
    <x:row r="151" ht="32" customHeight="1">
      <x:c r="A151" s="8" t="str">
        <x:v>drop:FC1:F5:fan:-1:F-WING-B-3</x:v>
      </x:c>
      <x:c r="B151" s="8" t="n">
        <x:v>3</x:v>
      </x:c>
      <x:c r="C151" s="11" t="n">
        <x:v>41.2</x:v>
      </x:c>
      <x:c r="D151" s="11" t="n">
        <x:v>2.7</x:v>
      </x:c>
      <x:c r="E151" s="11" t="n">
        <x:v>-13.249</x:v>
      </x:c>
      <x:c r="F151" s="11" t="n">
        <x:f>SQRT((C151-C150)^2+(D151-D150)^2+(E151-E150)^2)</x:f>
        <x:v>6.066617268041237</x:v>
      </x:c>
      <x:c r="G151" s="8" t="str">
        <x:v>Current</x:v>
      </x:c>
    </x:row>
    <x:row r="152" ht="32" customHeight="1">
      <x:c r="A152" s="8" t="str">
        <x:v>drop:FC1:F5:fan:-1:F-WING-B-3</x:v>
      </x:c>
      <x:c r="B152" s="8" t="n">
        <x:v>4</x:v>
      </x:c>
      <x:c r="C152" s="11" t="n">
        <x:v>41.2</x:v>
      </x:c>
      <x:c r="D152" s="11" t="n">
        <x:v>2.7</x:v>
      </x:c>
      <x:c r="E152" s="11" t="n">
        <x:v>-13.06</x:v>
      </x:c>
      <x:c r="F152" s="11" t="n">
        <x:f>SQRT((C152-C151)^2+(D152-D151)^2+(E152-E151)^2)</x:f>
        <x:v>0.18900000000000006</x:v>
      </x:c>
      <x:c r="G152" s="8" t="str">
        <x:v>Current</x:v>
      </x:c>
    </x:row>
    <x:row r="153" ht="32" customHeight="1">
      <x:c r="A153" s="8" t="str">
        <x:v>drop:FC1:F5:fan:-1:F-WING-B-4</x:v>
      </x:c>
      <x:c r="B153" s="8" t="n">
        <x:v>1</x:v>
      </x:c>
      <x:c r="C153" s="11" t="n">
        <x:v>42</x:v>
      </x:c>
      <x:c r="D153" s="11" t="n">
        <x:v>8.122287371134018</x:v>
      </x:c>
      <x:c r="E153" s="11" t="n">
        <x:v>-7.36</x:v>
      </x:c>
      <x:c r="F153" s="11" t="n">
        <x:f>0</x:f>
        <x:v>0</x:v>
      </x:c>
      <x:c r="G153" s="8" t="str">
        <x:v>Current</x:v>
      </x:c>
    </x:row>
    <x:row r="154" ht="32" customHeight="1">
      <x:c r="A154" s="8" t="str">
        <x:v>drop:FC1:F5:fan:-1:F-WING-B-4</x:v>
      </x:c>
      <x:c r="B154" s="8" t="n">
        <x:v>2</x:v>
      </x:c>
      <x:c r="C154" s="11" t="n">
        <x:v>42</x:v>
      </x:c>
      <x:c r="D154" s="11" t="n">
        <x:v>8.122287371134023</x:v>
      </x:c>
      <x:c r="E154" s="11" t="n">
        <x:v>-13.249</x:v>
      </x:c>
      <x:c r="F154" s="11" t="n">
        <x:f>SQRT((C154-C153)^2+(D154-D153)^2+(E154-E153)^2)</x:f>
        <x:v>5.889</x:v>
      </x:c>
      <x:c r="G154" s="8" t="str">
        <x:v>Current</x:v>
      </x:c>
    </x:row>
    <x:row r="155" ht="32" customHeight="1">
      <x:c r="A155" s="8" t="str">
        <x:v>drop:FC1:F5:fan:-1:F-WING-B-4</x:v>
      </x:c>
      <x:c r="B155" s="8" t="n">
        <x:v>3</x:v>
      </x:c>
      <x:c r="C155" s="11" t="n">
        <x:v>42</x:v>
      </x:c>
      <x:c r="D155" s="11" t="n">
        <x:v>3.5</x:v>
      </x:c>
      <x:c r="E155" s="11" t="n">
        <x:v>-13.249</x:v>
      </x:c>
      <x:c r="F155" s="11" t="n">
        <x:f>SQRT((C155-C154)^2+(D155-D154)^2+(E155-E154)^2)</x:f>
        <x:v>4.622287371134023</x:v>
      </x:c>
      <x:c r="G155" s="8" t="str">
        <x:v>Current</x:v>
      </x:c>
    </x:row>
    <x:row r="156" ht="32" customHeight="1">
      <x:c r="A156" s="8" t="str">
        <x:v>drop:FC1:F5:fan:-1:F-WING-B-4</x:v>
      </x:c>
      <x:c r="B156" s="8" t="n">
        <x:v>4</x:v>
      </x:c>
      <x:c r="C156" s="11" t="n">
        <x:v>42</x:v>
      </x:c>
      <x:c r="D156" s="11" t="n">
        <x:v>3.5</x:v>
      </x:c>
      <x:c r="E156" s="11" t="n">
        <x:v>-13.06</x:v>
      </x:c>
      <x:c r="F156" s="11" t="n">
        <x:f>SQRT((C156-C155)^2+(D156-D155)^2+(E156-E155)^2)</x:f>
        <x:v>0.18900000000000006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1</x:v>
      </x:c>
      <x:c r="C157" s="11" t="n">
        <x:v>48.895</x:v>
      </x:c>
      <x:c r="D157" s="11" t="n">
        <x:v>1.95</x:v>
      </x:c>
      <x:c r="E157" s="11" t="n">
        <x:v>0.4</x:v>
      </x:c>
      <x:c r="F157" s="11" t="n">
        <x:f>0</x:f>
        <x:v>0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2</x:v>
      </x:c>
      <x:c r="C158" s="11" t="n">
        <x:v>48.735</x:v>
      </x:c>
      <x:c r="D158" s="11" t="n">
        <x:v>1.95</x:v>
      </x:c>
      <x:c r="E158" s="11" t="n">
        <x:v>0.4</x:v>
      </x:c>
      <x:c r="F158" s="11" t="n">
        <x:f>SQRT((C158-C157)^2+(D158-D157)^2+(E158-E157)^2)</x:f>
        <x:v>0.1600000000000037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3</x:v>
      </x:c>
      <x:c r="C159" s="11" t="n">
        <x:v>48.735</x:v>
      </x:c>
      <x:c r="D159" s="11" t="n">
        <x:v>1.95</x:v>
      </x:c>
      <x:c r="E159" s="11" t="n">
        <x:v>-2.24</x:v>
      </x:c>
      <x:c r="F159" s="11" t="n">
        <x:f>SQRT((C159-C158)^2+(D159-D158)^2+(E159-E158)^2)</x:f>
        <x:v>2.64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4</x:v>
      </x:c>
      <x:c r="C160" s="11" t="n">
        <x:v>48.735</x:v>
      </x:c>
      <x:c r="D160" s="11" t="n">
        <x:v>4.33</x:v>
      </x:c>
      <x:c r="E160" s="11" t="n">
        <x:v>-2.24</x:v>
      </x:c>
      <x:c r="F160" s="11" t="n">
        <x:f>SQRT((C160-C159)^2+(D160-D159)^2+(E160-E159)^2)</x:f>
        <x:v>2.38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5</x:v>
      </x:c>
      <x:c r="C161" s="11" t="n">
        <x:v>48.735</x:v>
      </x:c>
      <x:c r="D161" s="11" t="n">
        <x:v>4.33</x:v>
      </x:c>
      <x:c r="E161" s="11" t="n">
        <x:v>-3.3</x:v>
      </x:c>
      <x:c r="F161" s="11" t="n">
        <x:f>SQRT((C161-C160)^2+(D161-D160)^2+(E161-E160)^2)</x:f>
        <x:v>1.0599999999999996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6</x:v>
      </x:c>
      <x:c r="C162" s="11" t="n">
        <x:v>53.016</x:v>
      </x:c>
      <x:c r="D162" s="11" t="n">
        <x:v>4.33</x:v>
      </x:c>
      <x:c r="E162" s="11" t="n">
        <x:v>-3.3</x:v>
      </x:c>
      <x:c r="F162" s="11" t="n">
        <x:f>SQRT((C162-C161)^2+(D162-D161)^2+(E162-E161)^2)</x:f>
        <x:v>4.280999999999999</x:v>
      </x:c>
      <x:c r="G162" s="8" t="str">
        <x:v>Current</x:v>
      </x:c>
    </x:row>
    <x:row r="163" ht="32" customHeight="1">
      <x:c r="A163" s="8" t="str">
        <x:v>trunk:FC1:F5:fan:1</x:v>
      </x:c>
      <x:c r="B163" s="8" t="n">
        <x:v>7</x:v>
      </x:c>
      <x:c r="C163" s="11" t="n">
        <x:v>53.016</x:v>
      </x:c>
      <x:c r="D163" s="11" t="n">
        <x:v>6.1000000000000005</x:v>
      </x:c>
      <x:c r="E163" s="11" t="n">
        <x:v>-3.3</x:v>
      </x:c>
      <x:c r="F163" s="11" t="n">
        <x:f>SQRT((C163-C162)^2+(D163-D162)^2+(E163-E162)^2)</x:f>
        <x:v>1.7700000000000005</x:v>
      </x:c>
      <x:c r="G163" s="8" t="str">
        <x:v>Current</x:v>
      </x:c>
    </x:row>
    <x:row r="164" ht="32" customHeight="1">
      <x:c r="A164" s="8" t="str">
        <x:v>trunk:FC1:F5:fan:1</x:v>
      </x:c>
      <x:c r="B164" s="8" t="n">
        <x:v>8</x:v>
      </x:c>
      <x:c r="C164" s="11" t="n">
        <x:v>53.016</x:v>
      </x:c>
      <x:c r="D164" s="11" t="n">
        <x:v>6.1000000000000005</x:v>
      </x:c>
      <x:c r="E164" s="11" t="n">
        <x:v>7.36</x:v>
      </x:c>
      <x:c r="F164" s="11" t="n">
        <x:f>SQRT((C164-C163)^2+(D164-D163)^2+(E164-E163)^2)</x:f>
        <x:v>10.66</x:v>
      </x:c>
      <x:c r="G164" s="8" t="str">
        <x:v>Current</x:v>
      </x:c>
    </x:row>
    <x:row r="165" ht="32" customHeight="1">
      <x:c r="A165" s="8" t="str">
        <x:v>trunk:FC1:F5:fan:1</x:v>
      </x:c>
      <x:c r="B165" s="8" t="n">
        <x:v>9</x:v>
      </x:c>
      <x:c r="C165" s="11" t="n">
        <x:v>44.175</x:v>
      </x:c>
      <x:c r="D165" s="11" t="n">
        <x:v>6.1000000000000005</x:v>
      </x:c>
      <x:c r="E165" s="11" t="n">
        <x:v>7.36</x:v>
      </x:c>
      <x:c r="F165" s="11" t="n">
        <x:f>SQRT((C165-C164)^2+(D165-D164)^2+(E165-E164)^2)</x:f>
        <x:v>8.841000000000001</x:v>
      </x:c>
      <x:c r="G165" s="8" t="str">
        <x:v>Current</x:v>
      </x:c>
    </x:row>
    <x:row r="166" ht="32" customHeight="1">
      <x:c r="A166" s="8" t="str">
        <x:v>trunk:FC1:F5:fan:1</x:v>
      </x:c>
      <x:c r="B166" s="8" t="n">
        <x:v>10</x:v>
      </x:c>
      <x:c r="C166" s="11" t="n">
        <x:v>44.175</x:v>
      </x:c>
      <x:c r="D166" s="11" t="n">
        <x:v>7.04</x:v>
      </x:c>
      <x:c r="E166" s="11" t="n">
        <x:v>7.36</x:v>
      </x:c>
      <x:c r="F166" s="11" t="n">
        <x:f>SQRT((C166-C165)^2+(D166-D165)^2+(E166-E165)^2)</x:f>
        <x:v>0.9399999999999995</x:v>
      </x:c>
      <x:c r="G166" s="8" t="str">
        <x:v>Current</x:v>
      </x:c>
    </x:row>
    <x:row r="167" ht="32" customHeight="1">
      <x:c r="A167" s="8" t="str">
        <x:v>trunk:FC1:F5:fan:1</x:v>
      </x:c>
      <x:c r="B167" s="8" t="n">
        <x:v>11</x:v>
      </x:c>
      <x:c r="C167" s="11" t="n">
        <x:v>43.535</x:v>
      </x:c>
      <x:c r="D167" s="11" t="n">
        <x:v>7.04</x:v>
      </x:c>
      <x:c r="E167" s="11" t="n">
        <x:v>7.36</x:v>
      </x:c>
      <x:c r="F167" s="11" t="n">
        <x:f>SQRT((C167-C166)^2+(D167-D166)^2+(E167-E166)^2)</x:f>
        <x:v>0.6400000000000006</x:v>
      </x:c>
      <x:c r="G167" s="8" t="str">
        <x:v>Current</x:v>
      </x:c>
    </x:row>
    <x:row r="168" ht="32" customHeight="1">
      <x:c r="A168" s="8" t="str">
        <x:v>trunk:FC1:F5:fan:1</x:v>
      </x:c>
      <x:c r="B168" s="8" t="n">
        <x:v>12</x:v>
      </x:c>
      <x:c r="C168" s="11" t="n">
        <x:v>43.455</x:v>
      </x:c>
      <x:c r="D168" s="11" t="n">
        <x:v>6.950412371134024</x:v>
      </x:c>
      <x:c r="E168" s="11" t="n">
        <x:v>7.36</x:v>
      </x:c>
      <x:c r="F168" s="11" t="n">
        <x:f>SQRT((C168-C167)^2+(D168-D167)^2+(E168-E167)^2)</x:f>
        <x:v>0.12010804821421249</x:v>
      </x:c>
      <x:c r="G168" s="8" t="str">
        <x:v>Current</x:v>
      </x:c>
    </x:row>
    <x:row r="169" ht="32" customHeight="1">
      <x:c r="A169" s="8" t="str">
        <x:v>trunk:FC1:F5:fan:1</x:v>
      </x:c>
      <x:c r="B169" s="8" t="n">
        <x:v>13</x:v>
      </x:c>
      <x:c r="C169" s="11" t="n">
        <x:v>40.574999999999996</x:v>
      </x:c>
      <x:c r="D169" s="11" t="n">
        <x:v>9.269999999999994</x:v>
      </x:c>
      <x:c r="E169" s="11" t="n">
        <x:v>7.36</x:v>
      </x:c>
      <x:c r="F169" s="11" t="n">
        <x:f>SQRT((C169-C168)^2+(D169-D168)^2+(E169-E168)^2)</x:f>
        <x:v>3.6979571073753776</x:v>
      </x:c>
      <x:c r="G169" s="8" t="str">
        <x:v>Current</x:v>
      </x:c>
    </x:row>
    <x:row r="170" ht="32" customHeight="1">
      <x:c r="A170" s="8" t="str">
        <x:v>trunk:FC1:F5:fan:1</x:v>
      </x:c>
      <x:c r="B170" s="8" t="n">
        <x:v>14</x:v>
      </x:c>
      <x:c r="C170" s="11" t="n">
        <x:v>39.15</x:v>
      </x:c>
      <x:c r="D170" s="11" t="n">
        <x:v>8.122287371134018</x:v>
      </x:c>
      <x:c r="E170" s="11" t="n">
        <x:v>7.36</x:v>
      </x:c>
      <x:c r="F170" s="11" t="n">
        <x:f>SQRT((C170-C169)^2+(D170-D169)^2+(E170-E169)^2)</x:f>
        <x:v>1.8297183604201064</x:v>
      </x:c>
      <x:c r="G170" s="8" t="str">
        <x:v>Current</x:v>
      </x:c>
    </x:row>
    <x:row r="171" ht="32" customHeight="1">
      <x:c r="A171" s="8" t="str">
        <x:v>drop:FC1:F5:fan:1:F242</x:v>
      </x:c>
      <x:c r="B171" s="8" t="n">
        <x:v>1</x:v>
      </x:c>
      <x:c r="C171" s="11" t="n">
        <x:v>39.15</x:v>
      </x:c>
      <x:c r="D171" s="11" t="n">
        <x:v>8.122287371134018</x:v>
      </x:c>
      <x:c r="E171" s="11" t="n">
        <x:v>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drop:FC1:F5:fan:1:F242</x:v>
      </x:c>
      <x:c r="B172" s="8" t="n">
        <x:v>2</x:v>
      </x:c>
      <x:c r="C172" s="11" t="n">
        <x:v>39.15</x:v>
      </x:c>
      <x:c r="D172" s="11" t="n">
        <x:v>8.122287371134016</x:v>
      </x:c>
      <x:c r="E172" s="11" t="n">
        <x:v>13.249</x:v>
      </x:c>
      <x:c r="F172" s="11" t="n">
        <x:f>SQRT((C172-C171)^2+(D172-D171)^2+(E172-E171)^2)</x:f>
        <x:v>5.889</x:v>
      </x:c>
      <x:c r="G172" s="8" t="str">
        <x:v>Current</x:v>
      </x:c>
    </x:row>
    <x:row r="173" ht="32" customHeight="1">
      <x:c r="A173" s="8" t="str">
        <x:v>drop:FC1:F5:fan:1:F242</x:v>
      </x:c>
      <x:c r="B173" s="8" t="n">
        <x:v>3</x:v>
      </x:c>
      <x:c r="C173" s="11" t="n">
        <x:v>39.15</x:v>
      </x:c>
      <x:c r="D173" s="11" t="n">
        <x:v>3.5</x:v>
      </x:c>
      <x:c r="E173" s="11" t="n">
        <x:v>13.249</x:v>
      </x:c>
      <x:c r="F173" s="11" t="n">
        <x:f>SQRT((C173-C172)^2+(D173-D172)^2+(E173-E172)^2)</x:f>
        <x:v>4.622287371134016</x:v>
      </x:c>
      <x:c r="G173" s="8" t="str">
        <x:v>Current</x:v>
      </x:c>
    </x:row>
    <x:row r="174" ht="32" customHeight="1">
      <x:c r="A174" s="8" t="str">
        <x:v>drop:FC1:F5:fan:1:F242</x:v>
      </x:c>
      <x:c r="B174" s="8" t="n">
        <x:v>4</x:v>
      </x:c>
      <x:c r="C174" s="11" t="n">
        <x:v>39.15</x:v>
      </x:c>
      <x:c r="D174" s="11" t="n">
        <x:v>3.5</x:v>
      </x:c>
      <x:c r="E174" s="11" t="n">
        <x:v>13.06</x:v>
      </x:c>
      <x:c r="F174" s="11" t="n">
        <x:f>SQRT((C174-C173)^2+(D174-D173)^2+(E174-E173)^2)</x:f>
        <x:v>0.18900000000000006</x:v>
      </x:c>
      <x:c r="G174" s="8" t="str">
        <x:v>Current</x:v>
      </x:c>
    </x:row>
    <x:row r="175" ht="32" customHeight="1">
      <x:c r="A175" s="8" t="str">
        <x:v>drop:FC1:F5:fan:1:F243</x:v>
      </x:c>
      <x:c r="B175" s="8" t="n">
        <x:v>1</x:v>
      </x:c>
      <x:c r="C175" s="11" t="n">
        <x:v>39.95</x:v>
      </x:c>
      <x:c r="D175" s="11" t="n">
        <x:v>8.766617268041237</x:v>
      </x:c>
      <x:c r="E175" s="11" t="n">
        <x:v>7.36</x:v>
      </x:c>
      <x:c r="F175" s="11" t="n">
        <x:f>0</x:f>
        <x:v>0</x:v>
      </x:c>
      <x:c r="G175" s="8" t="str">
        <x:v>Current</x:v>
      </x:c>
    </x:row>
    <x:row r="176" ht="32" customHeight="1">
      <x:c r="A176" s="8" t="str">
        <x:v>drop:FC1:F5:fan:1:F243</x:v>
      </x:c>
      <x:c r="B176" s="8" t="n">
        <x:v>2</x:v>
      </x:c>
      <x:c r="C176" s="11" t="n">
        <x:v>39.95</x:v>
      </x:c>
      <x:c r="D176" s="11" t="n">
        <x:v>8.766617268041237</x:v>
      </x:c>
      <x:c r="E176" s="11" t="n">
        <x:v>13.249</x:v>
      </x:c>
      <x:c r="F176" s="11" t="n">
        <x:f>SQRT((C176-C175)^2+(D176-D175)^2+(E176-E175)^2)</x:f>
        <x:v>5.889</x:v>
      </x:c>
      <x:c r="G176" s="8" t="str">
        <x:v>Current</x:v>
      </x:c>
    </x:row>
    <x:row r="177" ht="32" customHeight="1">
      <x:c r="A177" s="8" t="str">
        <x:v>drop:FC1:F5:fan:1:F243</x:v>
      </x:c>
      <x:c r="B177" s="8" t="n">
        <x:v>3</x:v>
      </x:c>
      <x:c r="C177" s="11" t="n">
        <x:v>39.95</x:v>
      </x:c>
      <x:c r="D177" s="11" t="n">
        <x:v>2.7</x:v>
      </x:c>
      <x:c r="E177" s="11" t="n">
        <x:v>13.249</x:v>
      </x:c>
      <x:c r="F177" s="11" t="n">
        <x:f>SQRT((C177-C176)^2+(D177-D176)^2+(E177-E176)^2)</x:f>
        <x:v>6.066617268041237</x:v>
      </x:c>
      <x:c r="G177" s="8" t="str">
        <x:v>Current</x:v>
      </x:c>
    </x:row>
    <x:row r="178" ht="32" customHeight="1">
      <x:c r="A178" s="8" t="str">
        <x:v>drop:FC1:F5:fan:1:F243</x:v>
      </x:c>
      <x:c r="B178" s="8" t="n">
        <x:v>4</x:v>
      </x:c>
      <x:c r="C178" s="11" t="n">
        <x:v>39.95</x:v>
      </x:c>
      <x:c r="D178" s="11" t="n">
        <x:v>2.7</x:v>
      </x:c>
      <x:c r="E178" s="11" t="n">
        <x:v>13.06</x:v>
      </x:c>
      <x:c r="F178" s="11" t="n">
        <x:f>SQRT((C178-C177)^2+(D178-D177)^2+(E178-E177)^2)</x:f>
        <x:v>0.18900000000000006</x:v>
      </x:c>
      <x:c r="G178" s="8" t="str">
        <x:v>Current</x:v>
      </x:c>
    </x:row>
    <x:row r="179" ht="32" customHeight="1">
      <x:c r="A179" s="8" t="str">
        <x:v>drop:FC1:F5:fan:1:F-WING-H-3</x:v>
      </x:c>
      <x:c r="B179" s="8" t="n">
        <x:v>1</x:v>
      </x:c>
      <x:c r="C179" s="11" t="n">
        <x:v>41.2</x:v>
      </x:c>
      <x:c r="D179" s="11" t="n">
        <x:v>8.766617268041228</x:v>
      </x:c>
      <x:c r="E179" s="11" t="n">
        <x:v>7.36</x:v>
      </x:c>
      <x:c r="F179" s="11" t="n">
        <x:f>0</x:f>
        <x:v>0</x:v>
      </x:c>
      <x:c r="G179" s="8" t="str">
        <x:v>Current</x:v>
      </x:c>
    </x:row>
    <x:row r="180" ht="32" customHeight="1">
      <x:c r="A180" s="8" t="str">
        <x:v>drop:FC1:F5:fan:1:F-WING-H-3</x:v>
      </x:c>
      <x:c r="B180" s="8" t="n">
        <x:v>2</x:v>
      </x:c>
      <x:c r="C180" s="11" t="n">
        <x:v>41.2</x:v>
      </x:c>
      <x:c r="D180" s="11" t="n">
        <x:v>8.766617268041237</x:v>
      </x:c>
      <x:c r="E180" s="11" t="n">
        <x:v>13.249</x:v>
      </x:c>
      <x:c r="F180" s="11" t="n">
        <x:f>SQRT((C180-C179)^2+(D180-D179)^2+(E180-E179)^2)</x:f>
        <x:v>5.889</x:v>
      </x:c>
      <x:c r="G180" s="8" t="str">
        <x:v>Current</x:v>
      </x:c>
    </x:row>
    <x:row r="181" ht="32" customHeight="1">
      <x:c r="A181" s="8" t="str">
        <x:v>drop:FC1:F5:fan:1:F-WING-H-3</x:v>
      </x:c>
      <x:c r="B181" s="8" t="n">
        <x:v>3</x:v>
      </x:c>
      <x:c r="C181" s="11" t="n">
        <x:v>41.2</x:v>
      </x:c>
      <x:c r="D181" s="11" t="n">
        <x:v>2.7</x:v>
      </x:c>
      <x:c r="E181" s="11" t="n">
        <x:v>13.249</x:v>
      </x:c>
      <x:c r="F181" s="11" t="n">
        <x:f>SQRT((C181-C180)^2+(D181-D180)^2+(E181-E180)^2)</x:f>
        <x:v>6.066617268041237</x:v>
      </x:c>
      <x:c r="G181" s="8" t="str">
        <x:v>Current</x:v>
      </x:c>
    </x:row>
    <x:row r="182" ht="32" customHeight="1">
      <x:c r="A182" s="8" t="str">
        <x:v>drop:FC1:F5:fan:1:F-WING-H-3</x:v>
      </x:c>
      <x:c r="B182" s="8" t="n">
        <x:v>4</x:v>
      </x:c>
      <x:c r="C182" s="11" t="n">
        <x:v>41.2</x:v>
      </x:c>
      <x:c r="D182" s="11" t="n">
        <x:v>2.7</x:v>
      </x:c>
      <x:c r="E182" s="11" t="n">
        <x:v>13.06</x:v>
      </x:c>
      <x:c r="F182" s="11" t="n">
        <x:f>SQRT((C182-C181)^2+(D182-D181)^2+(E182-E181)^2)</x:f>
        <x:v>0.18900000000000006</x:v>
      </x:c>
      <x:c r="G182" s="8" t="str">
        <x:v>Current</x:v>
      </x:c>
    </x:row>
    <x:row r="183" ht="32" customHeight="1">
      <x:c r="A183" s="8" t="str">
        <x:v>drop:FC1:F5:fan:1:F-WING-H-4</x:v>
      </x:c>
      <x:c r="B183" s="8" t="n">
        <x:v>1</x:v>
      </x:c>
      <x:c r="C183" s="11" t="n">
        <x:v>42</x:v>
      </x:c>
      <x:c r="D183" s="11" t="n">
        <x:v>8.122287371134018</x:v>
      </x:c>
      <x:c r="E183" s="11" t="n">
        <x:v>7.36</x:v>
      </x:c>
      <x:c r="F183" s="11" t="n">
        <x:f>0</x:f>
        <x:v>0</x:v>
      </x:c>
      <x:c r="G183" s="8" t="str">
        <x:v>Current</x:v>
      </x:c>
    </x:row>
    <x:row r="184" ht="32" customHeight="1">
      <x:c r="A184" s="8" t="str">
        <x:v>drop:FC1:F5:fan:1:F-WING-H-4</x:v>
      </x:c>
      <x:c r="B184" s="8" t="n">
        <x:v>2</x:v>
      </x:c>
      <x:c r="C184" s="11" t="n">
        <x:v>42</x:v>
      </x:c>
      <x:c r="D184" s="11" t="n">
        <x:v>8.122287371134023</x:v>
      </x:c>
      <x:c r="E184" s="11" t="n">
        <x:v>13.249</x:v>
      </x:c>
      <x:c r="F184" s="11" t="n">
        <x:f>SQRT((C184-C183)^2+(D184-D183)^2+(E184-E183)^2)</x:f>
        <x:v>5.889</x:v>
      </x:c>
      <x:c r="G184" s="8" t="str">
        <x:v>Current</x:v>
      </x:c>
    </x:row>
    <x:row r="185" ht="32" customHeight="1">
      <x:c r="A185" s="8" t="str">
        <x:v>drop:FC1:F5:fan:1:F-WING-H-4</x:v>
      </x:c>
      <x:c r="B185" s="8" t="n">
        <x:v>3</x:v>
      </x:c>
      <x:c r="C185" s="11" t="n">
        <x:v>42</x:v>
      </x:c>
      <x:c r="D185" s="11" t="n">
        <x:v>3.5</x:v>
      </x:c>
      <x:c r="E185" s="11" t="n">
        <x:v>13.249</x:v>
      </x:c>
      <x:c r="F185" s="11" t="n">
        <x:f>SQRT((C185-C184)^2+(D185-D184)^2+(E185-E184)^2)</x:f>
        <x:v>4.622287371134023</x:v>
      </x:c>
      <x:c r="G185" s="8" t="str">
        <x:v>Current</x:v>
      </x:c>
    </x:row>
    <x:row r="186" ht="32" customHeight="1">
      <x:c r="A186" s="8" t="str">
        <x:v>drop:FC1:F5:fan:1:F-WING-H-4</x:v>
      </x:c>
      <x:c r="B186" s="8" t="n">
        <x:v>4</x:v>
      </x:c>
      <x:c r="C186" s="11" t="n">
        <x:v>42</x:v>
      </x:c>
      <x:c r="D186" s="11" t="n">
        <x:v>3.5</x:v>
      </x:c>
      <x:c r="E186" s="11" t="n">
        <x:v>13.06</x:v>
      </x:c>
      <x:c r="F186" s="11" t="n">
        <x:f>SQRT((C186-C185)^2+(D186-D185)^2+(E186-E185)^2)</x:f>
        <x:v>0.18900000000000006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</x:v>
      </x:c>
      <x:c r="C187" s="11" t="n">
        <x:v>48.895</x:v>
      </x:c>
      <x:c r="D187" s="11" t="n">
        <x:v>1.95</x:v>
      </x:c>
      <x:c r="E187" s="11" t="n">
        <x:v>0.4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2</x:v>
      </x:c>
      <x:c r="C188" s="11" t="n">
        <x:v>48.735</x:v>
      </x:c>
      <x:c r="D188" s="11" t="n">
        <x:v>1.95</x:v>
      </x:c>
      <x:c r="E188" s="11" t="n">
        <x:v>0.4</x:v>
      </x:c>
      <x:c r="F188" s="11" t="n">
        <x:f>SQRT((C188-C187)^2+(D188-D187)^2+(E188-E187)^2)</x:f>
        <x:v>0.1600000000000037</x:v>
      </x:c>
      <x:c r="G188" s="8" t="str">
        <x:v>Current</x:v>
      </x:c>
    </x:row>
    <x:row r="189" ht="32" customHeight="1">
      <x:c r="A189" s="8" t="str">
        <x:v>trunk:FC1:F2:fan:-1</x:v>
      </x:c>
      <x:c r="B189" s="8" t="n">
        <x:v>3</x:v>
      </x:c>
      <x:c r="C189" s="11" t="n">
        <x:v>48.735</x:v>
      </x:c>
      <x:c r="D189" s="11" t="n">
        <x:v>1.95</x:v>
      </x:c>
      <x:c r="E189" s="11" t="n">
        <x:v>-2.24</x:v>
      </x:c>
      <x:c r="F189" s="11" t="n">
        <x:f>SQRT((C189-C188)^2+(D189-D188)^2+(E189-E188)^2)</x:f>
        <x:v>2.64</x:v>
      </x:c>
      <x:c r="G189" s="8" t="str">
        <x:v>Current</x:v>
      </x:c>
    </x:row>
    <x:row r="190" ht="32" customHeight="1">
      <x:c r="A190" s="8" t="str">
        <x:v>trunk:FC1:F2:fan:-1</x:v>
      </x:c>
      <x:c r="B190" s="8" t="n">
        <x:v>4</x:v>
      </x:c>
      <x:c r="C190" s="11" t="n">
        <x:v>48.735</x:v>
      </x:c>
      <x:c r="D190" s="11" t="n">
        <x:v>4.33</x:v>
      </x:c>
      <x:c r="E190" s="11" t="n">
        <x:v>-2.24</x:v>
      </x:c>
      <x:c r="F190" s="11" t="n">
        <x:f>SQRT((C190-C189)^2+(D190-D189)^2+(E190-E189)^2)</x:f>
        <x:v>2.38</x:v>
      </x:c>
      <x:c r="G190" s="8" t="str">
        <x:v>Current</x:v>
      </x:c>
    </x:row>
    <x:row r="191" ht="32" customHeight="1">
      <x:c r="A191" s="8" t="str">
        <x:v>trunk:FC1:F2:fan:-1</x:v>
      </x:c>
      <x:c r="B191" s="8" t="n">
        <x:v>5</x:v>
      </x:c>
      <x:c r="C191" s="11" t="n">
        <x:v>48.735</x:v>
      </x:c>
      <x:c r="D191" s="11" t="n">
        <x:v>4.33</x:v>
      </x:c>
      <x:c r="E191" s="11" t="n">
        <x:v>-3.3</x:v>
      </x:c>
      <x:c r="F191" s="11" t="n">
        <x:f>SQRT((C191-C190)^2+(D191-D190)^2+(E191-E190)^2)</x:f>
        <x:v>1.0599999999999996</x:v>
      </x:c>
      <x:c r="G191" s="8" t="str">
        <x:v>Current</x:v>
      </x:c>
    </x:row>
    <x:row r="192" ht="32" customHeight="1">
      <x:c r="A192" s="8" t="str">
        <x:v>trunk:FC1:F2:fan:-1</x:v>
      </x:c>
      <x:c r="B192" s="8" t="n">
        <x:v>6</x:v>
      </x:c>
      <x:c r="C192" s="11" t="n">
        <x:v>53.016</x:v>
      </x:c>
      <x:c r="D192" s="11" t="n">
        <x:v>4.33</x:v>
      </x:c>
      <x:c r="E192" s="11" t="n">
        <x:v>-3.3</x:v>
      </x:c>
      <x:c r="F192" s="11" t="n">
        <x:f>SQRT((C192-C191)^2+(D192-D191)^2+(E192-E191)^2)</x:f>
        <x:v>4.280999999999999</x:v>
      </x:c>
      <x:c r="G192" s="8" t="str">
        <x:v>Current</x:v>
      </x:c>
    </x:row>
    <x:row r="193" ht="32" customHeight="1">
      <x:c r="A193" s="8" t="str">
        <x:v>trunk:FC1:F2:fan:-1</x:v>
      </x:c>
      <x:c r="B193" s="8" t="n">
        <x:v>7</x:v>
      </x:c>
      <x:c r="C193" s="11" t="n">
        <x:v>53.016</x:v>
      </x:c>
      <x:c r="D193" s="11" t="n">
        <x:v>6.0120000000000005</x:v>
      </x:c>
      <x:c r="E193" s="11" t="n">
        <x:v>-3.3</x:v>
      </x:c>
      <x:c r="F193" s="11" t="n">
        <x:f>SQRT((C193-C192)^2+(D193-D192)^2+(E193-E192)^2)</x:f>
        <x:v>1.6820000000000004</x:v>
      </x:c>
      <x:c r="G193" s="8" t="str">
        <x:v>Current</x:v>
      </x:c>
    </x:row>
    <x:row r="194" ht="32" customHeight="1">
      <x:c r="A194" s="8" t="str">
        <x:v>trunk:FC1:F2:fan:-1</x:v>
      </x:c>
      <x:c r="B194" s="8" t="n">
        <x:v>8</x:v>
      </x:c>
      <x:c r="C194" s="11" t="n">
        <x:v>53.016</x:v>
      </x:c>
      <x:c r="D194" s="11" t="n">
        <x:v>6.0120000000000005</x:v>
      </x:c>
      <x:c r="E194" s="11" t="n">
        <x:v>-7.36</x:v>
      </x:c>
      <x:c r="F194" s="11" t="n">
        <x:f>SQRT((C194-C193)^2+(D194-D193)^2+(E194-E193)^2)</x:f>
        <x:v>4.0600000000000005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9</x:v>
      </x:c>
      <x:c r="C195" s="11" t="n">
        <x:v>44.175</x:v>
      </x:c>
      <x:c r="D195" s="11" t="n">
        <x:v>6.0120000000000005</x:v>
      </x:c>
      <x:c r="E195" s="11" t="n">
        <x:v>-7.36</x:v>
      </x:c>
      <x:c r="F195" s="11" t="n">
        <x:f>SQRT((C195-C194)^2+(D195-D194)^2+(E195-E194)^2)</x:f>
        <x:v>8.841000000000001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10</x:v>
      </x:c>
      <x:c r="C196" s="11" t="n">
        <x:v>44.175</x:v>
      </x:c>
      <x:c r="D196" s="11" t="n">
        <x:v>7.04</x:v>
      </x:c>
      <x:c r="E196" s="11" t="n">
        <x:v>-7.36</x:v>
      </x:c>
      <x:c r="F196" s="11" t="n">
        <x:f>SQRT((C196-C195)^2+(D196-D195)^2+(E196-E195)^2)</x:f>
        <x:v>1.0279999999999996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11</x:v>
      </x:c>
      <x:c r="C197" s="11" t="n">
        <x:v>43.535</x:v>
      </x:c>
      <x:c r="D197" s="11" t="n">
        <x:v>7.04</x:v>
      </x:c>
      <x:c r="E197" s="11" t="n">
        <x:v>-7.36</x:v>
      </x:c>
      <x:c r="F197" s="11" t="n">
        <x:f>SQRT((C197-C196)^2+(D197-D196)^2+(E197-E196)^2)</x:f>
        <x:v>0.6400000000000006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12</x:v>
      </x:c>
      <x:c r="C198" s="11" t="n">
        <x:v>43.455</x:v>
      </x:c>
      <x:c r="D198" s="11" t="n">
        <x:v>6.950412371134024</x:v>
      </x:c>
      <x:c r="E198" s="11" t="n">
        <x:v>-7.36</x:v>
      </x:c>
      <x:c r="F198" s="11" t="n">
        <x:f>SQRT((C198-C197)^2+(D198-D197)^2+(E198-E197)^2)</x:f>
        <x:v>0.12010804821421249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13</x:v>
      </x:c>
      <x:c r="C199" s="11" t="n">
        <x:v>40.574999999999996</x:v>
      </x:c>
      <x:c r="D199" s="11" t="n">
        <x:v>9.269999999999994</x:v>
      </x:c>
      <x:c r="E199" s="11" t="n">
        <x:v>-7.36</x:v>
      </x:c>
      <x:c r="F199" s="11" t="n">
        <x:f>SQRT((C199-C198)^2+(D199-D198)^2+(E199-E198)^2)</x:f>
        <x:v>3.6979571073753776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14</x:v>
      </x:c>
      <x:c r="C200" s="11" t="n">
        <x:v>37.695</x:v>
      </x:c>
      <x:c r="D200" s="11" t="n">
        <x:v>6.950412371134018</x:v>
      </x:c>
      <x:c r="E200" s="11" t="n">
        <x:v>-7.36</x:v>
      </x:c>
      <x:c r="F200" s="11" t="n">
        <x:f>SQRT((C200-C199)^2+(D200-D199)^2+(E200-E199)^2)</x:f>
        <x:v>3.697957107375376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15</x:v>
      </x:c>
      <x:c r="C201" s="11" t="n">
        <x:v>37.615</x:v>
      </x:c>
      <x:c r="D201" s="11" t="n">
        <x:v>7.04</x:v>
      </x:c>
      <x:c r="E201" s="11" t="n">
        <x:v>-7.36</x:v>
      </x:c>
      <x:c r="F201" s="11" t="n">
        <x:f>SQRT((C201-C200)^2+(D201-D200)^2+(E201-E200)^2)</x:f>
        <x:v>0.12010804821421713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16</x:v>
      </x:c>
      <x:c r="C202" s="11" t="n">
        <x:v>36.975</x:v>
      </x:c>
      <x:c r="D202" s="11" t="n">
        <x:v>7.04</x:v>
      </x:c>
      <x:c r="E202" s="11" t="n">
        <x:v>-7.36</x:v>
      </x:c>
      <x:c r="F202" s="11" t="n">
        <x:f>SQRT((C202-C201)^2+(D202-D201)^2+(E202-E201)^2)</x:f>
        <x:v>0.6400000000000006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17</x:v>
      </x:c>
      <x:c r="C203" s="11" t="n">
        <x:v>36.975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1.0279999999999996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18</x:v>
      </x:c>
      <x:c r="C204" s="11" t="n">
        <x:v>14.475000000000001</x:v>
      </x:c>
      <x:c r="D204" s="11" t="n">
        <x:v>6.0120000000000005</x:v>
      </x:c>
      <x:c r="E204" s="11" t="n">
        <x:v>-7.36</x:v>
      </x:c>
      <x:c r="F204" s="11" t="n">
        <x:f>SQRT((C204-C203)^2+(D204-D203)^2+(E204-E203)^2)</x:f>
        <x:v>22.5</x:v>
      </x:c>
      <x:c r="G204" s="8" t="str">
        <x:v>Current</x:v>
      </x:c>
    </x:row>
    <x:row r="205" ht="32" customHeight="1">
      <x:c r="A205" s="8" t="str">
        <x:v>drop:FC1:F2:fan:-1:F244</x:v>
      </x:c>
      <x:c r="B205" s="8" t="n">
        <x:v>1</x:v>
      </x:c>
      <x:c r="C205" s="11" t="n">
        <x:v>14.475000000000001</x:v>
      </x:c>
      <x:c r="D205" s="11" t="n">
        <x:v>6.0120000000000005</x:v>
      </x:c>
      <x:c r="E205" s="11" t="n">
        <x:v>-7.36</x:v>
      </x:c>
      <x:c r="F205" s="11" t="n">
        <x:f>0</x:f>
        <x:v>0</x:v>
      </x:c>
      <x:c r="G205" s="8" t="str">
        <x:v>Current</x:v>
      </x:c>
    </x:row>
    <x:row r="206" ht="32" customHeight="1">
      <x:c r="A206" s="8" t="str">
        <x:v>drop:FC1:F2:fan:-1:F244</x:v>
      </x:c>
      <x:c r="B206" s="8" t="n">
        <x:v>2</x:v>
      </x:c>
      <x:c r="C206" s="11" t="n">
        <x:v>14.475000000000001</x:v>
      </x:c>
      <x:c r="D206" s="11" t="n">
        <x:v>5.55</x:v>
      </x:c>
      <x:c r="E206" s="11" t="n">
        <x:v>-7.36</x:v>
      </x:c>
      <x:c r="F206" s="11" t="n">
        <x:f>SQRT((C206-C205)^2+(D206-D205)^2+(E206-E205)^2)</x:f>
        <x:v>0.46200000000000063</x:v>
      </x:c>
      <x:c r="G206" s="8" t="str">
        <x:v>Current</x:v>
      </x:c>
    </x:row>
    <x:row r="207" ht="32" customHeight="1">
      <x:c r="A207" s="8" t="str">
        <x:v>drop:FC1:F2:fan:-1:F244</x:v>
      </x:c>
      <x:c r="B207" s="8" t="n">
        <x:v>3</x:v>
      </x:c>
      <x:c r="C207" s="11" t="n">
        <x:v>14.475</x:v>
      </x:c>
      <x:c r="D207" s="11" t="n">
        <x:v>5.55</x:v>
      </x:c>
      <x:c r="E207" s="11" t="n">
        <x:v>-7.07</x:v>
      </x:c>
      <x:c r="F207" s="11" t="n">
        <x:f>SQRT((C207-C206)^2+(D207-D206)^2+(E207-E206)^2)</x:f>
        <x:v>0.29000000000000004</x:v>
      </x:c>
      <x:c r="G207" s="8" t="str">
        <x:v>Current</x:v>
      </x:c>
    </x:row>
    <x:row r="208" ht="32" customHeight="1">
      <x:c r="A208" s="8" t="str">
        <x:v>drop:FC1:F2:fan:-1:F246</x:v>
      </x:c>
      <x:c r="B208" s="8" t="n">
        <x:v>1</x:v>
      </x:c>
      <x:c r="C208" s="11" t="n">
        <x:v>23.475</x:v>
      </x:c>
      <x:c r="D208" s="11" t="n">
        <x:v>6.0120000000000005</x:v>
      </x:c>
      <x:c r="E208" s="11" t="n">
        <x:v>-7.36</x:v>
      </x:c>
      <x:c r="F208" s="11" t="n">
        <x:f>0</x:f>
        <x:v>0</x:v>
      </x:c>
      <x:c r="G208" s="8" t="str">
        <x:v>Current</x:v>
      </x:c>
    </x:row>
    <x:row r="209" ht="32" customHeight="1">
      <x:c r="A209" s="8" t="str">
        <x:v>drop:FC1:F2:fan:-1:F246</x:v>
      </x:c>
      <x:c r="B209" s="8" t="n">
        <x:v>2</x:v>
      </x:c>
      <x:c r="C209" s="11" t="n">
        <x:v>23.475</x:v>
      </x:c>
      <x:c r="D209" s="11" t="n">
        <x:v>5.55</x:v>
      </x:c>
      <x:c r="E209" s="11" t="n">
        <x:v>-7.36</x:v>
      </x:c>
      <x:c r="F209" s="11" t="n">
        <x:f>SQRT((C209-C208)^2+(D209-D208)^2+(E209-E208)^2)</x:f>
        <x:v>0.46200000000000063</x:v>
      </x:c>
      <x:c r="G209" s="8" t="str">
        <x:v>Current</x:v>
      </x:c>
    </x:row>
    <x:row r="210" ht="32" customHeight="1">
      <x:c r="A210" s="8" t="str">
        <x:v>drop:FC1:F2:fan:-1:F246</x:v>
      </x:c>
      <x:c r="B210" s="8" t="n">
        <x:v>3</x:v>
      </x:c>
      <x:c r="C210" s="11" t="n">
        <x:v>23.475</x:v>
      </x:c>
      <x:c r="D210" s="11" t="n">
        <x:v>5.55</x:v>
      </x:c>
      <x:c r="E210" s="11" t="n">
        <x:v>-7.07</x:v>
      </x:c>
      <x:c r="F210" s="11" t="n">
        <x:f>SQRT((C210-C209)^2+(D210-D209)^2+(E210-E209)^2)</x:f>
        <x:v>0.29000000000000004</x:v>
      </x:c>
      <x:c r="G210" s="8" t="str">
        <x:v>Current</x:v>
      </x:c>
    </x:row>
    <x:row r="211" ht="32" customHeight="1">
      <x:c r="A211" s="8" t="str">
        <x:v>drop:FC1:F2:fan:-1:F248</x:v>
      </x:c>
      <x:c r="B211" s="8" t="n">
        <x:v>1</x:v>
      </x:c>
      <x:c r="C211" s="11" t="n">
        <x:v>32.475</x:v>
      </x:c>
      <x:c r="D211" s="11" t="n">
        <x:v>6.0120000000000005</x:v>
      </x:c>
      <x:c r="E211" s="11" t="n">
        <x:v>-7.36</x:v>
      </x:c>
      <x:c r="F211" s="11" t="n">
        <x:f>0</x:f>
        <x:v>0</x:v>
      </x:c>
      <x:c r="G211" s="8" t="str">
        <x:v>Current</x:v>
      </x:c>
    </x:row>
    <x:row r="212" ht="32" customHeight="1">
      <x:c r="A212" s="8" t="str">
        <x:v>drop:FC1:F2:fan:-1:F248</x:v>
      </x:c>
      <x:c r="B212" s="8" t="n">
        <x:v>2</x:v>
      </x:c>
      <x:c r="C212" s="11" t="n">
        <x:v>32.475</x:v>
      </x:c>
      <x:c r="D212" s="11" t="n">
        <x:v>5.55</x:v>
      </x:c>
      <x:c r="E212" s="11" t="n">
        <x:v>-7.36</x:v>
      </x:c>
      <x:c r="F212" s="11" t="n">
        <x:f>SQRT((C212-C211)^2+(D212-D211)^2+(E212-E211)^2)</x:f>
        <x:v>0.46200000000000063</x:v>
      </x:c>
      <x:c r="G212" s="8" t="str">
        <x:v>Current</x:v>
      </x:c>
    </x:row>
    <x:row r="213" ht="32" customHeight="1">
      <x:c r="A213" s="8" t="str">
        <x:v>drop:FC1:F2:fan:-1:F248</x:v>
      </x:c>
      <x:c r="B213" s="8" t="n">
        <x:v>3</x:v>
      </x:c>
      <x:c r="C213" s="11" t="n">
        <x:v>32.475</x:v>
      </x:c>
      <x:c r="D213" s="11" t="n">
        <x:v>5.55</x:v>
      </x:c>
      <x:c r="E213" s="11" t="n">
        <x:v>-7.07</x:v>
      </x:c>
      <x:c r="F213" s="11" t="n">
        <x:f>SQRT((C213-C212)^2+(D213-D212)^2+(E213-E212)^2)</x:f>
        <x:v>0.29000000000000004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1</x:v>
      </x:c>
      <x:c r="C214" s="11" t="n">
        <x:v>48.895</x:v>
      </x:c>
      <x:c r="D214" s="11" t="n">
        <x:v>1.95</x:v>
      </x:c>
      <x:c r="E214" s="11" t="n">
        <x:v>0.4</x:v>
      </x:c>
      <x:c r="F214" s="11" t="n">
        <x:f>0</x:f>
        <x:v>0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2</x:v>
      </x:c>
      <x:c r="C215" s="11" t="n">
        <x:v>48.735</x:v>
      </x:c>
      <x:c r="D215" s="11" t="n">
        <x:v>1.95</x:v>
      </x:c>
      <x:c r="E215" s="11" t="n">
        <x:v>0.4</x:v>
      </x:c>
      <x:c r="F215" s="11" t="n">
        <x:f>SQRT((C215-C214)^2+(D215-D214)^2+(E215-E214)^2)</x:f>
        <x:v>0.1600000000000037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3</x:v>
      </x:c>
      <x:c r="C216" s="11" t="n">
        <x:v>48.735</x:v>
      </x:c>
      <x:c r="D216" s="11" t="n">
        <x:v>1.95</x:v>
      </x:c>
      <x:c r="E216" s="11" t="n">
        <x:v>-2.24</x:v>
      </x:c>
      <x:c r="F216" s="11" t="n">
        <x:f>SQRT((C216-C215)^2+(D216-D215)^2+(E216-E215)^2)</x:f>
        <x:v>2.64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4</x:v>
      </x:c>
      <x:c r="C217" s="11" t="n">
        <x:v>48.735</x:v>
      </x:c>
      <x:c r="D217" s="11" t="n">
        <x:v>4.33</x:v>
      </x:c>
      <x:c r="E217" s="11" t="n">
        <x:v>-2.24</x:v>
      </x:c>
      <x:c r="F217" s="11" t="n">
        <x:f>SQRT((C217-C216)^2+(D217-D216)^2+(E217-E216)^2)</x:f>
        <x:v>2.38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5</x:v>
      </x:c>
      <x:c r="C218" s="11" t="n">
        <x:v>48.735</x:v>
      </x:c>
      <x:c r="D218" s="11" t="n">
        <x:v>4.33</x:v>
      </x:c>
      <x:c r="E218" s="11" t="n">
        <x:v>-3.3</x:v>
      </x:c>
      <x:c r="F218" s="11" t="n">
        <x:f>SQRT((C218-C217)^2+(D218-D217)^2+(E218-E217)^2)</x:f>
        <x:v>1.0599999999999996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6</x:v>
      </x:c>
      <x:c r="C219" s="11" t="n">
        <x:v>53.016</x:v>
      </x:c>
      <x:c r="D219" s="11" t="n">
        <x:v>4.33</x:v>
      </x:c>
      <x:c r="E219" s="11" t="n">
        <x:v>-3.3</x:v>
      </x:c>
      <x:c r="F219" s="11" t="n">
        <x:f>SQRT((C219-C218)^2+(D219-D218)^2+(E219-E218)^2)</x:f>
        <x:v>4.280999999999999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7</x:v>
      </x:c>
      <x:c r="C220" s="11" t="n">
        <x:v>53.016</x:v>
      </x:c>
      <x:c r="D220" s="11" t="n">
        <x:v>6.0120000000000005</x:v>
      </x:c>
      <x:c r="E220" s="11" t="n">
        <x:v>-3.3</x:v>
      </x:c>
      <x:c r="F220" s="11" t="n">
        <x:f>SQRT((C220-C219)^2+(D220-D219)^2+(E220-E219)^2)</x:f>
        <x:v>1.6820000000000004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8</x:v>
      </x:c>
      <x:c r="C221" s="11" t="n">
        <x:v>53.016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10.66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9</x:v>
      </x:c>
      <x:c r="C222" s="11" t="n">
        <x:v>44.175</x:v>
      </x:c>
      <x:c r="D222" s="11" t="n">
        <x:v>6.0120000000000005</x:v>
      </x:c>
      <x:c r="E222" s="11" t="n">
        <x:v>7.36</x:v>
      </x:c>
      <x:c r="F222" s="11" t="n">
        <x:f>SQRT((C222-C221)^2+(D222-D221)^2+(E222-E221)^2)</x:f>
        <x:v>8.841000000000001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10</x:v>
      </x:c>
      <x:c r="C223" s="11" t="n">
        <x:v>44.175</x:v>
      </x:c>
      <x:c r="D223" s="11" t="n">
        <x:v>7.04</x:v>
      </x:c>
      <x:c r="E223" s="11" t="n">
        <x:v>7.36</x:v>
      </x:c>
      <x:c r="F223" s="11" t="n">
        <x:f>SQRT((C223-C222)^2+(D223-D222)^2+(E223-E222)^2)</x:f>
        <x:v>1.0279999999999996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11</x:v>
      </x:c>
      <x:c r="C224" s="11" t="n">
        <x:v>43.535</x:v>
      </x:c>
      <x:c r="D224" s="11" t="n">
        <x:v>7.04</x:v>
      </x:c>
      <x:c r="E224" s="11" t="n">
        <x:v>7.36</x:v>
      </x:c>
      <x:c r="F224" s="11" t="n">
        <x:f>SQRT((C224-C223)^2+(D224-D223)^2+(E224-E223)^2)</x:f>
        <x:v>0.6400000000000006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12</x:v>
      </x:c>
      <x:c r="C225" s="11" t="n">
        <x:v>43.455</x:v>
      </x:c>
      <x:c r="D225" s="11" t="n">
        <x:v>6.950412371134024</x:v>
      </x:c>
      <x:c r="E225" s="11" t="n">
        <x:v>7.36</x:v>
      </x:c>
      <x:c r="F225" s="11" t="n">
        <x:f>SQRT((C225-C224)^2+(D225-D224)^2+(E225-E224)^2)</x:f>
        <x:v>0.12010804821421249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13</x:v>
      </x:c>
      <x:c r="C226" s="11" t="n">
        <x:v>40.574999999999996</x:v>
      </x:c>
      <x:c r="D226" s="11" t="n">
        <x:v>9.269999999999994</x:v>
      </x:c>
      <x:c r="E226" s="11" t="n">
        <x:v>7.36</x:v>
      </x:c>
      <x:c r="F226" s="11" t="n">
        <x:f>SQRT((C226-C225)^2+(D226-D225)^2+(E226-E225)^2)</x:f>
        <x:v>3.6979571073753776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14</x:v>
      </x:c>
      <x:c r="C227" s="11" t="n">
        <x:v>37.695</x:v>
      </x:c>
      <x:c r="D227" s="11" t="n">
        <x:v>6.950412371134018</x:v>
      </x:c>
      <x:c r="E227" s="11" t="n">
        <x:v>7.36</x:v>
      </x:c>
      <x:c r="F227" s="11" t="n">
        <x:f>SQRT((C227-C226)^2+(D227-D226)^2+(E227-E226)^2)</x:f>
        <x:v>3.697957107375376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15</x:v>
      </x:c>
      <x:c r="C228" s="11" t="n">
        <x:v>37.615</x:v>
      </x:c>
      <x:c r="D228" s="11" t="n">
        <x:v>7.04</x:v>
      </x:c>
      <x:c r="E228" s="11" t="n">
        <x:v>7.36</x:v>
      </x:c>
      <x:c r="F228" s="11" t="n">
        <x:f>SQRT((C228-C227)^2+(D228-D227)^2+(E228-E227)^2)</x:f>
        <x:v>0.12010804821421713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16</x:v>
      </x:c>
      <x:c r="C229" s="11" t="n">
        <x:v>36.975</x:v>
      </x:c>
      <x:c r="D229" s="11" t="n">
        <x:v>7.04</x:v>
      </x:c>
      <x:c r="E229" s="11" t="n">
        <x:v>7.36</x:v>
      </x:c>
      <x:c r="F229" s="11" t="n">
        <x:f>SQRT((C229-C228)^2+(D229-D228)^2+(E229-E228)^2)</x:f>
        <x:v>0.6400000000000006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17</x:v>
      </x:c>
      <x:c r="C230" s="11" t="n">
        <x:v>36.975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1.0279999999999996</x:v>
      </x:c>
      <x:c r="G230" s="8" t="str">
        <x:v>Current</x:v>
      </x:c>
    </x:row>
    <x:row r="231" ht="32" customHeight="1">
      <x:c r="A231" s="8" t="str">
        <x:v>trunk:FC1:F2:fan:1</x:v>
      </x:c>
      <x:c r="B231" s="8" t="n">
        <x:v>18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SQRT((C231-C230)^2+(D231-D230)^2+(E231-E230)^2)</x:f>
        <x:v>22.5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1</x:v>
      </x:c>
      <x:c r="C232" s="11" t="n">
        <x:v>14.475000000000001</x:v>
      </x:c>
      <x:c r="D232" s="11" t="n">
        <x:v>6.0120000000000005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2</x:v>
      </x:c>
      <x:c r="C233" s="11" t="n">
        <x:v>14.475000000000001</x:v>
      </x:c>
      <x:c r="D233" s="11" t="n">
        <x:v>5.55</x:v>
      </x:c>
      <x:c r="E233" s="11" t="n">
        <x:v>7.36</x:v>
      </x:c>
      <x:c r="F233" s="11" t="n">
        <x:f>SQRT((C233-C232)^2+(D233-D232)^2+(E233-E232)^2)</x:f>
        <x:v>0.46200000000000063</x:v>
      </x:c>
      <x:c r="G233" s="8" t="str">
        <x:v>Current</x:v>
      </x:c>
    </x:row>
    <x:row r="234" ht="32" customHeight="1">
      <x:c r="A234" s="8" t="str">
        <x:v>drop:FC1:F2:fan:1:F245</x:v>
      </x:c>
      <x:c r="B234" s="8" t="n">
        <x:v>3</x:v>
      </x:c>
      <x:c r="C234" s="11" t="n">
        <x:v>14.475</x:v>
      </x:c>
      <x:c r="D234" s="11" t="n">
        <x:v>5.55</x:v>
      </x:c>
      <x:c r="E234" s="11" t="n">
        <x:v>7.07</x:v>
      </x:c>
      <x:c r="F234" s="11" t="n">
        <x:f>SQRT((C234-C233)^2+(D234-D233)^2+(E234-E233)^2)</x:f>
        <x:v>0.29000000000000004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1</x:v>
      </x:c>
      <x:c r="C235" s="11" t="n">
        <x:v>23.475</x:v>
      </x:c>
      <x:c r="D235" s="11" t="n">
        <x:v>6.0120000000000005</x:v>
      </x:c>
      <x:c r="E235" s="11" t="n">
        <x:v>7.36</x:v>
      </x:c>
      <x:c r="F235" s="11" t="n">
        <x:f>0</x:f>
        <x:v>0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2</x:v>
      </x:c>
      <x:c r="C236" s="11" t="n">
        <x:v>23.475</x:v>
      </x:c>
      <x:c r="D236" s="11" t="n">
        <x:v>5.55</x:v>
      </x:c>
      <x:c r="E236" s="11" t="n">
        <x:v>7.36</x:v>
      </x:c>
      <x:c r="F236" s="11" t="n">
        <x:f>SQRT((C236-C235)^2+(D236-D235)^2+(E236-E235)^2)</x:f>
        <x:v>0.46200000000000063</x:v>
      </x:c>
      <x:c r="G236" s="8" t="str">
        <x:v>Current</x:v>
      </x:c>
    </x:row>
    <x:row r="237" ht="32" customHeight="1">
      <x:c r="A237" s="8" t="str">
        <x:v>drop:FC1:F2:fan:1:F247</x:v>
      </x:c>
      <x:c r="B237" s="8" t="n">
        <x:v>3</x:v>
      </x:c>
      <x:c r="C237" s="11" t="n">
        <x:v>23.475</x:v>
      </x:c>
      <x:c r="D237" s="11" t="n">
        <x:v>5.55</x:v>
      </x:c>
      <x:c r="E237" s="11" t="n">
        <x:v>7.07</x:v>
      </x:c>
      <x:c r="F237" s="11" t="n">
        <x:f>SQRT((C237-C236)^2+(D237-D236)^2+(E237-E236)^2)</x:f>
        <x:v>0.29000000000000004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1</x:v>
      </x:c>
      <x:c r="C238" s="11" t="n">
        <x:v>32.475</x:v>
      </x:c>
      <x:c r="D238" s="11" t="n">
        <x:v>6.0120000000000005</x:v>
      </x:c>
      <x:c r="E238" s="11" t="n">
        <x:v>7.36</x:v>
      </x:c>
      <x:c r="F238" s="11" t="n">
        <x:f>0</x:f>
        <x:v>0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2</x:v>
      </x:c>
      <x:c r="C239" s="11" t="n">
        <x:v>32.475</x:v>
      </x:c>
      <x:c r="D239" s="11" t="n">
        <x:v>5.55</x:v>
      </x:c>
      <x:c r="E239" s="11" t="n">
        <x:v>7.36</x:v>
      </x:c>
      <x:c r="F239" s="11" t="n">
        <x:f>SQRT((C239-C238)^2+(D239-D238)^2+(E239-E238)^2)</x:f>
        <x:v>0.46200000000000063</x:v>
      </x:c>
      <x:c r="G239" s="8" t="str">
        <x:v>Current</x:v>
      </x:c>
    </x:row>
    <x:row r="240" ht="32" customHeight="1">
      <x:c r="A240" s="8" t="str">
        <x:v>drop:FC1:F2:fan:1:F249</x:v>
      </x:c>
      <x:c r="B240" s="8" t="n">
        <x:v>3</x:v>
      </x:c>
      <x:c r="C240" s="11" t="n">
        <x:v>32.475</x:v>
      </x:c>
      <x:c r="D240" s="11" t="n">
        <x:v>5.55</x:v>
      </x:c>
      <x:c r="E240" s="11" t="n">
        <x:v>7.07</x:v>
      </x:c>
      <x:c r="F240" s="11" t="n">
        <x:f>SQRT((C240-C239)^2+(D240-D239)^2+(E240-E239)^2)</x:f>
        <x:v>0.29000000000000004</x:v>
      </x:c>
      <x:c r="G240" s="8" t="str">
        <x:v>Current</x:v>
      </x:c>
    </x:row>
    <x:row r="241" ht="32" customHeight="1">
      <x:c r="A241" s="8" t="str">
        <x:v>trunk:DB2:F4:fan:-1</x:v>
      </x:c>
      <x:c r="B241" s="8" t="n">
        <x:v>1</x:v>
      </x:c>
      <x:c r="C241" s="11" t="n">
        <x:v>2.73</x:v>
      </x:c>
      <x:c r="D241" s="11" t="n">
        <x:v>1.5</x:v>
      </x:c>
      <x:c r="E241" s="11" t="n">
        <x:v>-3.3</x:v>
      </x:c>
      <x:c r="F241" s="11" t="n">
        <x:f>0</x:f>
        <x:v>0</x:v>
      </x:c>
      <x:c r="G241" s="8" t="str">
        <x:v>Current</x:v>
      </x:c>
    </x:row>
    <x:row r="242" ht="32" customHeight="1">
      <x:c r="A242" s="8" t="str">
        <x:v>trunk:DB2:F4:fan:-1</x:v>
      </x:c>
      <x:c r="B242" s="8" t="n">
        <x:v>2</x:v>
      </x:c>
      <x:c r="C242" s="11" t="n">
        <x:v>2.35</x:v>
      </x:c>
      <x:c r="D242" s="11" t="n">
        <x:v>1.5</x:v>
      </x:c>
      <x:c r="E242" s="11" t="n">
        <x:v>-3.3</x:v>
      </x:c>
      <x:c r="F242" s="11" t="n">
        <x:f>SQRT((C242-C241)^2+(D242-D241)^2+(E242-E241)^2)</x:f>
        <x:v>0.3799999999999999</x:v>
      </x:c>
      <x:c r="G242" s="8" t="str">
        <x:v>Current</x:v>
      </x:c>
    </x:row>
    <x:row r="243" ht="32" customHeight="1">
      <x:c r="A243" s="8" t="str">
        <x:v>trunk:DB2:F4:fan:-1</x:v>
      </x:c>
      <x:c r="B243" s="8" t="n">
        <x:v>3</x:v>
      </x:c>
      <x:c r="C243" s="11" t="n">
        <x:v>2.35</x:v>
      </x:c>
      <x:c r="D243" s="11" t="n">
        <x:v>7.65</x:v>
      </x:c>
      <x:c r="E243" s="11" t="n">
        <x:v>-3.3</x:v>
      </x:c>
      <x:c r="F243" s="11" t="n">
        <x:f>SQRT((C243-C242)^2+(D243-D242)^2+(E243-E242)^2)</x:f>
        <x:v>6.15</x:v>
      </x:c>
      <x:c r="G243" s="8" t="str">
        <x:v>Current</x:v>
      </x:c>
    </x:row>
    <x:row r="244" ht="32" customHeight="1">
      <x:c r="A244" s="8" t="str">
        <x:v>trunk:DB2:F4:fan:-1</x:v>
      </x:c>
      <x:c r="B244" s="8" t="n">
        <x:v>4</x:v>
      </x:c>
      <x:c r="C244" s="11" t="n">
        <x:v>2.35</x:v>
      </x:c>
      <x:c r="D244" s="11" t="n">
        <x:v>7.65</x:v>
      </x:c>
      <x:c r="E244" s="11" t="n">
        <x:v>-7.36</x:v>
      </x:c>
      <x:c r="F244" s="11" t="n">
        <x:f>SQRT((C244-C243)^2+(D244-D243)^2+(E244-E243)^2)</x:f>
        <x:v>4.0600000000000005</x:v>
      </x:c>
      <x:c r="G244" s="8" t="str">
        <x:v>Current</x:v>
      </x:c>
    </x:row>
    <x:row r="245" ht="32" customHeight="1">
      <x:c r="A245" s="8" t="str">
        <x:v>trunk:DB2:F4:fan:-1</x:v>
      </x:c>
      <x:c r="B245" s="8" t="n">
        <x:v>5</x:v>
      </x:c>
      <x:c r="C245" s="11" t="n">
        <x:v>2.35</x:v>
      </x:c>
      <x:c r="D245" s="11" t="n">
        <x:v>6.0280000000000005</x:v>
      </x:c>
      <x:c r="E245" s="11" t="n">
        <x:v>-7.36</x:v>
      </x:c>
      <x:c r="F245" s="11" t="n">
        <x:f>SQRT((C245-C244)^2+(D245-D244)^2+(E245-E244)^2)</x:f>
        <x:v>1.6219999999999999</x:v>
      </x:c>
      <x:c r="G245" s="8" t="str">
        <x:v>Current</x:v>
      </x:c>
    </x:row>
    <x:row r="246" ht="32" customHeight="1">
      <x:c r="A246" s="8" t="str">
        <x:v>trunk:DB2:F4:fan:-1</x:v>
      </x:c>
      <x:c r="B246" s="8" t="n">
        <x:v>6</x:v>
      </x:c>
      <x:c r="C246" s="11" t="n">
        <x:v>2.655</x:v>
      </x:c>
      <x:c r="D246" s="11" t="n">
        <x:v>6.0280000000000005</x:v>
      </x:c>
      <x:c r="E246" s="11" t="n">
        <x:v>-7.36</x:v>
      </x:c>
      <x:c r="F246" s="11" t="n">
        <x:f>SQRT((C246-C245)^2+(D246-D245)^2+(E246-E245)^2)</x:f>
        <x:v>0.3049999999999997</x:v>
      </x:c>
      <x:c r="G246" s="8" t="str">
        <x:v>Current</x:v>
      </x:c>
    </x:row>
    <x:row r="247" ht="32" customHeight="1">
      <x:c r="A247" s="8" t="str">
        <x:v>drop:DB2:F4:fan:-1:F250</x:v>
      </x:c>
      <x:c r="B247" s="8" t="n">
        <x:v>1</x:v>
      </x:c>
      <x:c r="C247" s="11" t="n">
        <x:v>2.655</x:v>
      </x:c>
      <x:c r="D247" s="11" t="n">
        <x:v>6.0280000000000005</x:v>
      </x:c>
      <x:c r="E247" s="11" t="n">
        <x:v>-7.36</x:v>
      </x:c>
      <x:c r="F247" s="11" t="n">
        <x:f>0</x:f>
        <x:v>0</x:v>
      </x:c>
      <x:c r="G247" s="8" t="str">
        <x:v>Current</x:v>
      </x:c>
    </x:row>
    <x:row r="248" ht="32" customHeight="1">
      <x:c r="A248" s="8" t="str">
        <x:v>drop:DB2:F4:fan:-1:F250</x:v>
      </x:c>
      <x:c r="B248" s="8" t="n">
        <x:v>2</x:v>
      </x:c>
      <x:c r="C248" s="11" t="n">
        <x:v>2.35</x:v>
      </x:c>
      <x:c r="D248" s="11" t="n">
        <x:v>7.65</x:v>
      </x:c>
      <x:c r="E248" s="11" t="n">
        <x:v>-7.36</x:v>
      </x:c>
      <x:c r="F248" s="11" t="n">
        <x:f>SQRT((C248-C247)^2+(D248-D247)^2+(E248-E247)^2)</x:f>
        <x:v>1.6504269144678898</x:v>
      </x:c>
      <x:c r="G248" s="8" t="str">
        <x:v>Current</x:v>
      </x:c>
    </x:row>
    <x:row r="249" ht="32" customHeight="1">
      <x:c r="A249" s="8" t="str">
        <x:v>drop:DB2:F4:fan:-1:F250</x:v>
      </x:c>
      <x:c r="B249" s="8" t="n">
        <x:v>3</x:v>
      </x:c>
      <x:c r="C249" s="11" t="n">
        <x:v>2.35</x:v>
      </x:c>
      <x:c r="D249" s="11" t="n">
        <x:v>7.65</x:v>
      </x:c>
      <x:c r="E249" s="11" t="n">
        <x:v>-3.05</x:v>
      </x:c>
      <x:c r="F249" s="11" t="n">
        <x:f>SQRT((C249-C248)^2+(D249-D248)^2+(E249-E248)^2)</x:f>
        <x:v>4.3100000000000005</x:v>
      </x:c>
      <x:c r="G249" s="8" t="str">
        <x:v>Current</x:v>
      </x:c>
    </x:row>
    <x:row r="250" ht="32" customHeight="1">
      <x:c r="A250" s="8" t="str">
        <x:v>drop:DB2:F4:fan:-1:F250</x:v>
      </x:c>
      <x:c r="B250" s="8" t="n">
        <x:v>4</x:v>
      </x:c>
      <x:c r="C250" s="11" t="n">
        <x:v>2.35</x:v>
      </x:c>
      <x:c r="D250" s="11" t="n">
        <x:v>6</x:v>
      </x:c>
      <x:c r="E250" s="11" t="n">
        <x:v>-3.05</x:v>
      </x:c>
      <x:c r="F250" s="11" t="n">
        <x:f>SQRT((C250-C249)^2+(D250-D249)^2+(E250-E249)^2)</x:f>
        <x:v>1.6500000000000004</x:v>
      </x:c>
      <x:c r="G250" s="8" t="str">
        <x:v>Current</x:v>
      </x:c>
    </x:row>
    <x:row r="251" ht="32" customHeight="1">
      <x:c r="A251" s="8" t="str">
        <x:v>drop:DB2:F4:fan:-1:F250</x:v>
      </x:c>
      <x:c r="B251" s="8" t="n">
        <x:v>5</x:v>
      </x:c>
      <x:c r="C251" s="11" t="n">
        <x:v>2.655</x:v>
      </x:c>
      <x:c r="D251" s="11" t="n">
        <x:v>6</x:v>
      </x:c>
      <x:c r="E251" s="11" t="n">
        <x:v>-3.05</x:v>
      </x:c>
      <x:c r="F251" s="11" t="n">
        <x:f>SQRT((C251-C250)^2+(D251-D250)^2+(E251-E250)^2)</x:f>
        <x:v>0.3049999999999997</x:v>
      </x:c>
      <x:c r="G251" s="8" t="str">
        <x:v>Current</x:v>
      </x:c>
    </x:row>
    <x:row r="252" ht="32" customHeight="1">
      <x:c r="A252" s="8" t="str">
        <x:v>trunk:DB2:F4:fan:1</x:v>
      </x:c>
      <x:c r="B252" s="8" t="n">
        <x:v>1</x:v>
      </x:c>
      <x:c r="C252" s="11" t="n">
        <x:v>2.73</x:v>
      </x:c>
      <x:c r="D252" s="11" t="n">
        <x:v>1.5</x:v>
      </x:c>
      <x:c r="E252" s="11" t="n">
        <x:v>-3.3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trunk:DB2:F4:fan:1</x:v>
      </x:c>
      <x:c r="B253" s="8" t="n">
        <x:v>2</x:v>
      </x:c>
      <x:c r="C253" s="11" t="n">
        <x:v>2.35</x:v>
      </x:c>
      <x:c r="D253" s="11" t="n">
        <x:v>1.5</x:v>
      </x:c>
      <x:c r="E253" s="11" t="n">
        <x:v>-3.3</x:v>
      </x:c>
      <x:c r="F253" s="11" t="n">
        <x:f>SQRT((C253-C252)^2+(D253-D252)^2+(E253-E252)^2)</x:f>
        <x:v>0.3799999999999999</x:v>
      </x:c>
      <x:c r="G253" s="8" t="str">
        <x:v>Current</x:v>
      </x:c>
    </x:row>
    <x:row r="254" ht="32" customHeight="1">
      <x:c r="A254" s="8" t="str">
        <x:v>trunk:DB2:F4:fan:1</x:v>
      </x:c>
      <x:c r="B254" s="8" t="n">
        <x:v>3</x:v>
      </x:c>
      <x:c r="C254" s="11" t="n">
        <x:v>2.35</x:v>
      </x:c>
      <x:c r="D254" s="11" t="n">
        <x:v>7.65</x:v>
      </x:c>
      <x:c r="E254" s="11" t="n">
        <x:v>-3.3</x:v>
      </x:c>
      <x:c r="F254" s="11" t="n">
        <x:f>SQRT((C254-C253)^2+(D254-D253)^2+(E254-E253)^2)</x:f>
        <x:v>6.15</x:v>
      </x:c>
      <x:c r="G254" s="8" t="str">
        <x:v>Current</x:v>
      </x:c>
    </x:row>
    <x:row r="255" ht="32" customHeight="1">
      <x:c r="A255" s="8" t="str">
        <x:v>trunk:DB2:F4:fan:1</x:v>
      </x:c>
      <x:c r="B255" s="8" t="n">
        <x:v>4</x:v>
      </x:c>
      <x:c r="C255" s="11" t="n">
        <x:v>2.35</x:v>
      </x:c>
      <x:c r="D255" s="11" t="n">
        <x:v>7.65</x:v>
      </x:c>
      <x:c r="E255" s="11" t="n">
        <x:v>7.36</x:v>
      </x:c>
      <x:c r="F255" s="11" t="n">
        <x:f>SQRT((C255-C254)^2+(D255-D254)^2+(E255-E254)^2)</x:f>
        <x:v>10.66</x:v>
      </x:c>
      <x:c r="G255" s="8" t="str">
        <x:v>Current</x:v>
      </x:c>
    </x:row>
    <x:row r="256" ht="32" customHeight="1">
      <x:c r="A256" s="8" t="str">
        <x:v>trunk:DB2:F4:fan:1</x:v>
      </x:c>
      <x:c r="B256" s="8" t="n">
        <x:v>5</x:v>
      </x:c>
      <x:c r="C256" s="11" t="n">
        <x:v>2.35</x:v>
      </x:c>
      <x:c r="D256" s="11" t="n">
        <x:v>6.0280000000000005</x:v>
      </x:c>
      <x:c r="E256" s="11" t="n">
        <x:v>7.36</x:v>
      </x:c>
      <x:c r="F256" s="11" t="n">
        <x:f>SQRT((C256-C255)^2+(D256-D255)^2+(E256-E255)^2)</x:f>
        <x:v>1.6219999999999999</x:v>
      </x:c>
      <x:c r="G256" s="8" t="str">
        <x:v>Current</x:v>
      </x:c>
    </x:row>
    <x:row r="257" ht="32" customHeight="1">
      <x:c r="A257" s="8" t="str">
        <x:v>trunk:DB2:F4:fan:1</x:v>
      </x:c>
      <x:c r="B257" s="8" t="n">
        <x:v>6</x:v>
      </x:c>
      <x:c r="C257" s="11" t="n">
        <x:v>2.655</x:v>
      </x:c>
      <x:c r="D257" s="11" t="n">
        <x:v>6.0280000000000005</x:v>
      </x:c>
      <x:c r="E257" s="11" t="n">
        <x:v>7.36</x:v>
      </x:c>
      <x:c r="F257" s="11" t="n">
        <x:f>SQRT((C257-C256)^2+(D257-D256)^2+(E257-E256)^2)</x:f>
        <x:v>0.3049999999999997</x:v>
      </x:c>
      <x:c r="G257" s="8" t="str">
        <x:v>Current</x:v>
      </x:c>
    </x:row>
    <x:row r="258" ht="32" customHeight="1">
      <x:c r="A258" s="8" t="str">
        <x:v>drop:DB2:F4:fan:1:F251</x:v>
      </x:c>
      <x:c r="B258" s="8" t="n">
        <x:v>1</x:v>
      </x:c>
      <x:c r="C258" s="11" t="n">
        <x:v>2.655</x:v>
      </x:c>
      <x:c r="D258" s="11" t="n">
        <x:v>6.0280000000000005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drop:DB2:F4:fan:1:F251</x:v>
      </x:c>
      <x:c r="B259" s="8" t="n">
        <x:v>2</x:v>
      </x:c>
      <x:c r="C259" s="11" t="n">
        <x:v>2.35</x:v>
      </x:c>
      <x:c r="D259" s="11" t="n">
        <x:v>7.65</x:v>
      </x:c>
      <x:c r="E259" s="11" t="n">
        <x:v>7.36</x:v>
      </x:c>
      <x:c r="F259" s="11" t="n">
        <x:f>SQRT((C259-C258)^2+(D259-D258)^2+(E259-E258)^2)</x:f>
        <x:v>1.6504269144678898</x:v>
      </x:c>
      <x:c r="G259" s="8" t="str">
        <x:v>Current</x:v>
      </x:c>
    </x:row>
    <x:row r="260" ht="32" customHeight="1">
      <x:c r="A260" s="8" t="str">
        <x:v>drop:DB2:F4:fan:1:F251</x:v>
      </x:c>
      <x:c r="B260" s="8" t="n">
        <x:v>3</x:v>
      </x:c>
      <x:c r="C260" s="11" t="n">
        <x:v>2.35</x:v>
      </x:c>
      <x:c r="D260" s="11" t="n">
        <x:v>7.65</x:v>
      </x:c>
      <x:c r="E260" s="11" t="n">
        <x:v>3.05</x:v>
      </x:c>
      <x:c r="F260" s="11" t="n">
        <x:f>SQRT((C260-C259)^2+(D260-D259)^2+(E260-E259)^2)</x:f>
        <x:v>4.3100000000000005</x:v>
      </x:c>
      <x:c r="G260" s="8" t="str">
        <x:v>Current</x:v>
      </x:c>
    </x:row>
    <x:row r="261" ht="32" customHeight="1">
      <x:c r="A261" s="8" t="str">
        <x:v>drop:DB2:F4:fan:1:F251</x:v>
      </x:c>
      <x:c r="B261" s="8" t="n">
        <x:v>4</x:v>
      </x:c>
      <x:c r="C261" s="11" t="n">
        <x:v>2.35</x:v>
      </x:c>
      <x:c r="D261" s="11" t="n">
        <x:v>6</x:v>
      </x:c>
      <x:c r="E261" s="11" t="n">
        <x:v>3.05</x:v>
      </x:c>
      <x:c r="F261" s="11" t="n">
        <x:f>SQRT((C261-C260)^2+(D261-D260)^2+(E261-E260)^2)</x:f>
        <x:v>1.6500000000000004</x:v>
      </x:c>
      <x:c r="G261" s="8" t="str">
        <x:v>Current</x:v>
      </x:c>
    </x:row>
    <x:row r="262" ht="32" customHeight="1">
      <x:c r="A262" s="8" t="str">
        <x:v>drop:DB2:F4:fan:1:F251</x:v>
      </x:c>
      <x:c r="B262" s="8" t="n">
        <x:v>5</x:v>
      </x:c>
      <x:c r="C262" s="11" t="n">
        <x:v>2.655</x:v>
      </x:c>
      <x:c r="D262" s="11" t="n">
        <x:v>6</x:v>
      </x:c>
      <x:c r="E262" s="11" t="n">
        <x:v>3.05</x:v>
      </x:c>
      <x:c r="F262" s="11" t="n">
        <x:f>SQRT((C262-C261)^2+(D262-D261)^2+(E262-E261)^2)</x:f>
        <x:v>0.3049999999999997</x:v>
      </x:c>
      <x:c r="G262" s="8" t="str">
        <x:v>Current</x:v>
      </x:c>
    </x:row>
    <x:row r="263" ht="32" customHeight="1">
      <x:c r="A263" s="8" t="str">
        <x:v>trunk:FC1:V1:fan:-1</x:v>
      </x:c>
      <x:c r="B263" s="8" t="n">
        <x:v>1</x:v>
      </x:c>
      <x:c r="C263" s="11" t="n">
        <x:v>48.895</x:v>
      </x:c>
      <x:c r="D263" s="11" t="n">
        <x:v>1.95</x:v>
      </x:c>
      <x:c r="E263" s="11" t="n">
        <x:v>0.4</x:v>
      </x:c>
      <x:c r="F263" s="11" t="n">
        <x:f>0</x:f>
        <x:v>0</x:v>
      </x:c>
      <x:c r="G263" s="8" t="str">
        <x:v>Current</x:v>
      </x:c>
    </x:row>
    <x:row r="264" ht="32" customHeight="1">
      <x:c r="A264" s="8" t="str">
        <x:v>trunk:FC1:V1:fan:-1</x:v>
      </x:c>
      <x:c r="B264" s="8" t="n">
        <x:v>2</x:v>
      </x:c>
      <x:c r="C264" s="11" t="n">
        <x:v>48.735</x:v>
      </x:c>
      <x:c r="D264" s="11" t="n">
        <x:v>1.95</x:v>
      </x:c>
      <x:c r="E264" s="11" t="n">
        <x:v>0.4</x:v>
      </x:c>
      <x:c r="F264" s="11" t="n">
        <x:f>SQRT((C264-C263)^2+(D264-D263)^2+(E264-E263)^2)</x:f>
        <x:v>0.1600000000000037</x:v>
      </x:c>
      <x:c r="G264" s="8" t="str">
        <x:v>Current</x:v>
      </x:c>
    </x:row>
    <x:row r="265" ht="32" customHeight="1">
      <x:c r="A265" s="8" t="str">
        <x:v>trunk:FC1:V1:fan:-1</x:v>
      </x:c>
      <x:c r="B265" s="8" t="n">
        <x:v>3</x:v>
      </x:c>
      <x:c r="C265" s="11" t="n">
        <x:v>48.735</x:v>
      </x:c>
      <x:c r="D265" s="11" t="n">
        <x:v>1.95</x:v>
      </x:c>
      <x:c r="E265" s="11" t="n">
        <x:v>-2.24</x:v>
      </x:c>
      <x:c r="F265" s="11" t="n">
        <x:f>SQRT((C265-C264)^2+(D265-D264)^2+(E265-E264)^2)</x:f>
        <x:v>2.64</x:v>
      </x:c>
      <x:c r="G265" s="8" t="str">
        <x:v>Current</x:v>
      </x:c>
    </x:row>
    <x:row r="266" ht="32" customHeight="1">
      <x:c r="A266" s="8" t="str">
        <x:v>trunk:FC1:V1:fan:-1</x:v>
      </x:c>
      <x:c r="B266" s="8" t="n">
        <x:v>4</x:v>
      </x:c>
      <x:c r="C266" s="11" t="n">
        <x:v>48.735</x:v>
      </x:c>
      <x:c r="D266" s="11" t="n">
        <x:v>4.33</x:v>
      </x:c>
      <x:c r="E266" s="11" t="n">
        <x:v>-2.24</x:v>
      </x:c>
      <x:c r="F266" s="11" t="n">
        <x:f>SQRT((C266-C265)^2+(D266-D265)^2+(E266-E265)^2)</x:f>
        <x:v>2.38</x:v>
      </x:c>
      <x:c r="G266" s="8" t="str">
        <x:v>Current</x:v>
      </x:c>
    </x:row>
    <x:row r="267" ht="32" customHeight="1">
      <x:c r="A267" s="8" t="str">
        <x:v>trunk:FC1:V1:fan:-1</x:v>
      </x:c>
      <x:c r="B267" s="8" t="n">
        <x:v>5</x:v>
      </x:c>
      <x:c r="C267" s="11" t="n">
        <x:v>48.735</x:v>
      </x:c>
      <x:c r="D267" s="11" t="n">
        <x:v>4.33</x:v>
      </x:c>
      <x:c r="E267" s="11" t="n">
        <x:v>-3.3</x:v>
      </x:c>
      <x:c r="F267" s="11" t="n">
        <x:f>SQRT((C267-C266)^2+(D267-D266)^2+(E267-E266)^2)</x:f>
        <x:v>1.0599999999999996</x:v>
      </x:c>
      <x:c r="G267" s="8" t="str">
        <x:v>Current</x:v>
      </x:c>
    </x:row>
    <x:row r="268" ht="32" customHeight="1">
      <x:c r="A268" s="8" t="str">
        <x:v>trunk:FC1:V1:fan:-1</x:v>
      </x:c>
      <x:c r="B268" s="8" t="n">
        <x:v>6</x:v>
      </x:c>
      <x:c r="C268" s="11" t="n">
        <x:v>53.016</x:v>
      </x:c>
      <x:c r="D268" s="11" t="n">
        <x:v>4.33</x:v>
      </x:c>
      <x:c r="E268" s="11" t="n">
        <x:v>-3.3</x:v>
      </x:c>
      <x:c r="F268" s="11" t="n">
        <x:f>SQRT((C268-C267)^2+(D268-D267)^2+(E268-E267)^2)</x:f>
        <x:v>4.280999999999999</x:v>
      </x:c>
      <x:c r="G268" s="8" t="str">
        <x:v>Current</x:v>
      </x:c>
    </x:row>
    <x:row r="269" ht="32" customHeight="1">
      <x:c r="A269" s="8" t="str">
        <x:v>trunk:FC1:V1:fan:-1</x:v>
      </x:c>
      <x:c r="B269" s="8" t="n">
        <x:v>7</x:v>
      </x:c>
      <x:c r="C269" s="11" t="n">
        <x:v>53.016</x:v>
      </x:c>
      <x:c r="D269" s="11" t="n">
        <x:v>6.0360000000000005</x:v>
      </x:c>
      <x:c r="E269" s="11" t="n">
        <x:v>-3.3</x:v>
      </x:c>
      <x:c r="F269" s="11" t="n">
        <x:f>SQRT((C269-C268)^2+(D269-D268)^2+(E269-E268)^2)</x:f>
        <x:v>1.7060000000000004</x:v>
      </x:c>
      <x:c r="G269" s="8" t="str">
        <x:v>Current</x:v>
      </x:c>
    </x:row>
    <x:row r="270" ht="32" customHeight="1">
      <x:c r="A270" s="8" t="str">
        <x:v>trunk:FC1:V1:fan:-1</x:v>
      </x:c>
      <x:c r="B270" s="8" t="n">
        <x:v>8</x:v>
      </x:c>
      <x:c r="C270" s="11" t="n">
        <x:v>53.016</x:v>
      </x:c>
      <x:c r="D270" s="11" t="n">
        <x:v>6.0360000000000005</x:v>
      </x:c>
      <x:c r="E270" s="11" t="n">
        <x:v>-7.36</x:v>
      </x:c>
      <x:c r="F270" s="11" t="n">
        <x:f>SQRT((C270-C269)^2+(D270-D269)^2+(E270-E269)^2)</x:f>
        <x:v>4.0600000000000005</x:v>
      </x:c>
      <x:c r="G270" s="8" t="str">
        <x:v>Current</x:v>
      </x:c>
    </x:row>
    <x:row r="271" ht="32" customHeight="1">
      <x:c r="A271" s="8" t="str">
        <x:v>trunk:FC1:V1:fan:-1</x:v>
      </x:c>
      <x:c r="B271" s="8" t="n">
        <x:v>9</x:v>
      </x:c>
      <x:c r="C271" s="11" t="n">
        <x:v>44.175</x:v>
      </x:c>
      <x:c r="D271" s="11" t="n">
        <x:v>6.0360000000000005</x:v>
      </x:c>
      <x:c r="E271" s="11" t="n">
        <x:v>-7.36</x:v>
      </x:c>
      <x:c r="F271" s="11" t="n">
        <x:f>SQRT((C271-C270)^2+(D271-D270)^2+(E271-E270)^2)</x:f>
        <x:v>8.841000000000001</x:v>
      </x:c>
      <x:c r="G271" s="8" t="str">
        <x:v>Current</x:v>
      </x:c>
    </x:row>
    <x:row r="272" ht="32" customHeight="1">
      <x:c r="A272" s="8" t="str">
        <x:v>trunk:FC1:V1:fan:-1</x:v>
      </x:c>
      <x:c r="B272" s="8" t="n">
        <x:v>10</x:v>
      </x:c>
      <x:c r="C272" s="11" t="n">
        <x:v>44.175</x:v>
      </x:c>
      <x:c r="D272" s="11" t="n">
        <x:v>7.04</x:v>
      </x:c>
      <x:c r="E272" s="11" t="n">
        <x:v>-7.36</x:v>
      </x:c>
      <x:c r="F272" s="11" t="n">
        <x:f>SQRT((C272-C271)^2+(D272-D271)^2+(E272-E271)^2)</x:f>
        <x:v>1.0039999999999996</x:v>
      </x:c>
      <x:c r="G272" s="8" t="str">
        <x:v>Current</x:v>
      </x:c>
    </x:row>
    <x:row r="273" ht="32" customHeight="1">
      <x:c r="A273" s="8" t="str">
        <x:v>trunk:FC1:V1:fan:-1</x:v>
      </x:c>
      <x:c r="B273" s="8" t="n">
        <x:v>11</x:v>
      </x:c>
      <x:c r="C273" s="11" t="n">
        <x:v>43.535</x:v>
      </x:c>
      <x:c r="D273" s="11" t="n">
        <x:v>7.04</x:v>
      </x:c>
      <x:c r="E273" s="11" t="n">
        <x:v>-7.36</x:v>
      </x:c>
      <x:c r="F273" s="11" t="n">
        <x:f>SQRT((C273-C272)^2+(D273-D272)^2+(E273-E272)^2)</x:f>
        <x:v>0.6400000000000006</x:v>
      </x:c>
      <x:c r="G273" s="8" t="str">
        <x:v>Current</x:v>
      </x:c>
    </x:row>
    <x:row r="274" ht="32" customHeight="1">
      <x:c r="A274" s="8" t="str">
        <x:v>trunk:FC1:V1:fan:-1</x:v>
      </x:c>
      <x:c r="B274" s="8" t="n">
        <x:v>12</x:v>
      </x:c>
      <x:c r="C274" s="11" t="n">
        <x:v>43.455</x:v>
      </x:c>
      <x:c r="D274" s="11" t="n">
        <x:v>6.950412371134024</x:v>
      </x:c>
      <x:c r="E274" s="11" t="n">
        <x:v>-7.36</x:v>
      </x:c>
      <x:c r="F274" s="11" t="n">
        <x:f>SQRT((C274-C273)^2+(D274-D273)^2+(E274-E273)^2)</x:f>
        <x:v>0.12010804821421249</x:v>
      </x:c>
      <x:c r="G274" s="8" t="str">
        <x:v>Current</x:v>
      </x:c>
    </x:row>
    <x:row r="275" ht="32" customHeight="1">
      <x:c r="A275" s="8" t="str">
        <x:v>trunk:FC1:V1:fan:-1</x:v>
      </x:c>
      <x:c r="B275" s="8" t="n">
        <x:v>13</x:v>
      </x:c>
      <x:c r="C275" s="11" t="n">
        <x:v>40.574999999999996</x:v>
      </x:c>
      <x:c r="D275" s="11" t="n">
        <x:v>9.269999999999994</x:v>
      </x:c>
      <x:c r="E275" s="11" t="n">
        <x:v>-7.36</x:v>
      </x:c>
      <x:c r="F275" s="11" t="n">
        <x:f>SQRT((C275-C274)^2+(D275-D274)^2+(E275-E274)^2)</x:f>
        <x:v>3.6979571073753776</x:v>
      </x:c>
      <x:c r="G275" s="8" t="str">
        <x:v>Current</x:v>
      </x:c>
    </x:row>
    <x:row r="276" ht="32" customHeight="1">
      <x:c r="A276" s="8" t="str">
        <x:v>trunk:FC1:V1:fan:-1</x:v>
      </x:c>
      <x:c r="B276" s="8" t="n">
        <x:v>14</x:v>
      </x:c>
      <x:c r="C276" s="11" t="n">
        <x:v>37.695</x:v>
      </x:c>
      <x:c r="D276" s="11" t="n">
        <x:v>6.950412371134018</x:v>
      </x:c>
      <x:c r="E276" s="11" t="n">
        <x:v>-7.36</x:v>
      </x:c>
      <x:c r="F276" s="11" t="n">
        <x:f>SQRT((C276-C275)^2+(D276-D275)^2+(E276-E275)^2)</x:f>
        <x:v>3.697957107375376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15</x:v>
      </x:c>
      <x:c r="C277" s="11" t="n">
        <x:v>37.615</x:v>
      </x:c>
      <x:c r="D277" s="11" t="n">
        <x:v>7.04</x:v>
      </x:c>
      <x:c r="E277" s="11" t="n">
        <x:v>-7.36</x:v>
      </x:c>
      <x:c r="F277" s="11" t="n">
        <x:f>SQRT((C277-C276)^2+(D277-D276)^2+(E277-E276)^2)</x:f>
        <x:v>0.12010804821421713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16</x:v>
      </x:c>
      <x:c r="C278" s="11" t="n">
        <x:v>36.975</x:v>
      </x:c>
      <x:c r="D278" s="11" t="n">
        <x:v>7.04</x:v>
      </x:c>
      <x:c r="E278" s="11" t="n">
        <x:v>-7.36</x:v>
      </x:c>
      <x:c r="F278" s="11" t="n">
        <x:f>SQRT((C278-C277)^2+(D278-D277)^2+(E278-E277)^2)</x:f>
        <x:v>0.6400000000000006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17</x:v>
      </x:c>
      <x:c r="C279" s="11" t="n">
        <x:v>36.975</x:v>
      </x:c>
      <x:c r="D279" s="11" t="n">
        <x:v>6.0360000000000005</x:v>
      </x:c>
      <x:c r="E279" s="11" t="n">
        <x:v>-7.36</x:v>
      </x:c>
      <x:c r="F279" s="11" t="n">
        <x:f>SQRT((C279-C278)^2+(D279-D278)^2+(E279-E278)^2)</x:f>
        <x:v>1.0039999999999996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18</x:v>
      </x:c>
      <x:c r="C280" s="11" t="n">
        <x:v>5.48</x:v>
      </x:c>
      <x:c r="D280" s="11" t="n">
        <x:v>6.0360000000000005</x:v>
      </x:c>
      <x:c r="E280" s="11" t="n">
        <x:v>-7.36</x:v>
      </x:c>
      <x:c r="F280" s="11" t="n">
        <x:f>SQRT((C280-C279)^2+(D280-D279)^2+(E280-E279)^2)</x:f>
        <x:v>31.495</x:v>
      </x:c>
      <x:c r="G280" s="8" t="str">
        <x:v>Current</x:v>
      </x:c>
    </x:row>
    <x:row r="281" ht="32" customHeight="1">
      <x:c r="A281" s="8" t="str">
        <x:v>drop:FC1:V1:fan:-1:F252</x:v>
      </x:c>
      <x:c r="B281" s="8" t="n">
        <x:v>1</x:v>
      </x:c>
      <x:c r="C281" s="11" t="n">
        <x:v>5.48</x:v>
      </x:c>
      <x:c r="D281" s="11" t="n">
        <x:v>6.0360000000000005</x:v>
      </x:c>
      <x:c r="E281" s="11" t="n">
        <x:v>-7.36</x:v>
      </x:c>
      <x:c r="F281" s="11" t="n">
        <x:f>0</x:f>
        <x:v>0</x:v>
      </x:c>
      <x:c r="G281" s="8" t="str">
        <x:v>Current</x:v>
      </x:c>
    </x:row>
    <x:row r="282" ht="32" customHeight="1">
      <x:c r="A282" s="8" t="str">
        <x:v>drop:FC1:V1:fan:-1:F252</x:v>
      </x:c>
      <x:c r="B282" s="8" t="n">
        <x:v>2</x:v>
      </x:c>
      <x:c r="C282" s="11" t="n">
        <x:v>5.48</x:v>
      </x:c>
      <x:c r="D282" s="11" t="n">
        <x:v>7.04</x:v>
      </x:c>
      <x:c r="E282" s="11" t="n">
        <x:v>-7.36</x:v>
      </x:c>
      <x:c r="F282" s="11" t="n">
        <x:f>SQRT((C282-C281)^2+(D282-D281)^2+(E282-E281)^2)</x:f>
        <x:v>1.0039999999999996</x:v>
      </x:c>
      <x:c r="G282" s="8" t="str">
        <x:v>Current</x:v>
      </x:c>
    </x:row>
    <x:row r="283" ht="32" customHeight="1">
      <x:c r="A283" s="8" t="str">
        <x:v>drop:FC1:V1:fan:-1:F252</x:v>
      </x:c>
      <x:c r="B283" s="8" t="n">
        <x:v>3</x:v>
      </x:c>
      <x:c r="C283" s="11" t="n">
        <x:v>5.32</x:v>
      </x:c>
      <x:c r="D283" s="11" t="n">
        <x:v>7.04</x:v>
      </x:c>
      <x:c r="E283" s="11" t="n">
        <x:v>-7.36</x:v>
      </x:c>
      <x:c r="F283" s="11" t="n">
        <x:f>SQRT((C283-C282)^2+(D283-D282)^2+(E283-E282)^2)</x:f>
        <x:v>0.16000000000000014</x:v>
      </x:c>
      <x:c r="G283" s="8" t="str">
        <x:v>Current</x:v>
      </x:c>
    </x:row>
    <x:row r="284" ht="32" customHeight="1">
      <x:c r="A284" s="8" t="str">
        <x:v>drop:FC1:V1:fan:-1:F252</x:v>
      </x:c>
      <x:c r="B284" s="8" t="n">
        <x:v>4</x:v>
      </x:c>
      <x:c r="C284" s="11" t="n">
        <x:v>5.32</x:v>
      </x:c>
      <x:c r="D284" s="11" t="n">
        <x:v>10.64004347826087</x:v>
      </x:c>
      <x:c r="E284" s="11" t="n">
        <x:v>-2.3999999999999995</x:v>
      </x:c>
      <x:c r="F284" s="11" t="n">
        <x:f>SQRT((C284-C283)^2+(D284-D283)^2+(E284-E283)^2)</x:f>
        <x:v>6.128777451120952</x:v>
      </x:c>
      <x:c r="G284" s="8" t="str">
        <x:v>Current</x:v>
      </x:c>
    </x:row>
    <x:row r="285" ht="32" customHeight="1">
      <x:c r="A285" s="8" t="str">
        <x:v>drop:FC1:V1:fan:-1:F252</x:v>
      </x:c>
      <x:c r="B285" s="8" t="n">
        <x:v>5</x:v>
      </x:c>
      <x:c r="C285" s="11" t="n">
        <x:v>5.32</x:v>
      </x:c>
      <x:c r="D285" s="11" t="n">
        <x:v>9.4</x:v>
      </x:c>
      <x:c r="E285" s="11" t="n">
        <x:v>-2.4</x:v>
      </x:c>
      <x:c r="F285" s="11" t="n">
        <x:f>SQRT((C285-C284)^2+(D285-D284)^2+(E285-E284)^2)</x:f>
        <x:v>1.2400434782608691</x:v>
      </x:c>
      <x:c r="G285" s="8" t="str">
        <x:v>Current</x:v>
      </x:c>
    </x:row>
    <x:row r="286" ht="32" customHeight="1">
      <x:c r="A286" s="8" t="str">
        <x:v>drop:FC1:V1:fan:-1:F252</x:v>
      </x:c>
      <x:c r="B286" s="8" t="n">
        <x:v>6</x:v>
      </x:c>
      <x:c r="C286" s="11" t="n">
        <x:v>5.48</x:v>
      </x:c>
      <x:c r="D286" s="11" t="n">
        <x:v>9.4</x:v>
      </x:c>
      <x:c r="E286" s="11" t="n">
        <x:v>-2.4</x:v>
      </x:c>
      <x:c r="F286" s="11" t="n">
        <x:f>SQRT((C286-C285)^2+(D286-D285)^2+(E286-E285)^2)</x:f>
        <x:v>0.16000000000000014</x:v>
      </x:c>
      <x:c r="G286" s="8" t="str">
        <x:v>Current</x:v>
      </x:c>
    </x:row>
    <x:row r="287" ht="32" customHeight="1">
      <x:c r="A287" s="8" t="str">
        <x:v>drop:FC1:V1:fan:-1:F253</x:v>
      </x:c>
      <x:c r="B287" s="8" t="n">
        <x:v>1</x:v>
      </x:c>
      <x:c r="C287" s="11" t="n">
        <x:v>5.48</x:v>
      </x:c>
      <x:c r="D287" s="11" t="n">
        <x:v>6.0360000000000005</x:v>
      </x:c>
      <x:c r="E287" s="11" t="n">
        <x:v>-7.36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drop:FC1:V1:fan:-1:F253</x:v>
      </x:c>
      <x:c r="B288" s="8" t="n">
        <x:v>2</x:v>
      </x:c>
      <x:c r="C288" s="11" t="n">
        <x:v>5.48</x:v>
      </x:c>
      <x:c r="D288" s="11" t="n">
        <x:v>7.04</x:v>
      </x:c>
      <x:c r="E288" s="11" t="n">
        <x:v>-7.36</x:v>
      </x:c>
      <x:c r="F288" s="11" t="n">
        <x:f>SQRT((C288-C287)^2+(D288-D287)^2+(E288-E287)^2)</x:f>
        <x:v>1.0039999999999996</x:v>
      </x:c>
      <x:c r="G288" s="8" t="str">
        <x:v>Current</x:v>
      </x:c>
    </x:row>
    <x:row r="289" ht="32" customHeight="1">
      <x:c r="A289" s="8" t="str">
        <x:v>drop:FC1:V1:fan:-1:F253</x:v>
      </x:c>
      <x:c r="B289" s="8" t="n">
        <x:v>3</x:v>
      </x:c>
      <x:c r="C289" s="11" t="n">
        <x:v>5.32</x:v>
      </x:c>
      <x:c r="D289" s="11" t="n">
        <x:v>7.04</x:v>
      </x:c>
      <x:c r="E289" s="11" t="n">
        <x:v>-7.36</x:v>
      </x:c>
      <x:c r="F289" s="11" t="n">
        <x:f>SQRT((C289-C288)^2+(D289-D288)^2+(E289-E288)^2)</x:f>
        <x:v>0.16000000000000014</x:v>
      </x:c>
      <x:c r="G289" s="8" t="str">
        <x:v>Current</x:v>
      </x:c>
    </x:row>
    <x:row r="290" ht="32" customHeight="1">
      <x:c r="A290" s="8" t="str">
        <x:v>drop:FC1:V1:fan:-1:F253</x:v>
      </x:c>
      <x:c r="B290" s="8" t="n">
        <x:v>4</x:v>
      </x:c>
      <x:c r="C290" s="11" t="n">
        <x:v>5.32</x:v>
      </x:c>
      <x:c r="D290" s="11" t="n">
        <x:v>11.801347826086957</x:v>
      </x:c>
      <x:c r="E290" s="11" t="n">
        <x:v>-0.7999999999999998</x:v>
      </x:c>
      <x:c r="F290" s="11" t="n">
        <x:f>SQRT((C290-C289)^2+(D290-D289)^2+(E290-E289)^2)</x:f>
        <x:v>8.105802435353516</x:v>
      </x:c>
      <x:c r="G290" s="8" t="str">
        <x:v>Current</x:v>
      </x:c>
    </x:row>
    <x:row r="291" ht="32" customHeight="1">
      <x:c r="A291" s="8" t="str">
        <x:v>drop:FC1:V1:fan:-1:F253</x:v>
      </x:c>
      <x:c r="B291" s="8" t="n">
        <x:v>5</x:v>
      </x:c>
      <x:c r="C291" s="11" t="n">
        <x:v>5.32</x:v>
      </x:c>
      <x:c r="D291" s="11" t="n">
        <x:v>9.4</x:v>
      </x:c>
      <x:c r="E291" s="11" t="n">
        <x:v>-0.8</x:v>
      </x:c>
      <x:c r="F291" s="11" t="n">
        <x:f>SQRT((C291-C290)^2+(D291-D290)^2+(E291-E290)^2)</x:f>
        <x:v>2.4013478260869565</x:v>
      </x:c>
      <x:c r="G291" s="8" t="str">
        <x:v>Current</x:v>
      </x:c>
    </x:row>
    <x:row r="292" ht="32" customHeight="1">
      <x:c r="A292" s="8" t="str">
        <x:v>drop:FC1:V1:fan:-1:F253</x:v>
      </x:c>
      <x:c r="B292" s="8" t="n">
        <x:v>6</x:v>
      </x:c>
      <x:c r="C292" s="11" t="n">
        <x:v>5.48</x:v>
      </x:c>
      <x:c r="D292" s="11" t="n">
        <x:v>9.4</x:v>
      </x:c>
      <x:c r="E292" s="11" t="n">
        <x:v>-0.8</x:v>
      </x:c>
      <x:c r="F292" s="11" t="n">
        <x:f>SQRT((C292-C291)^2+(D292-D291)^2+(E292-E291)^2)</x:f>
        <x:v>0.16000000000000014</x:v>
      </x:c>
      <x:c r="G292" s="8" t="str">
        <x:v>Current</x:v>
      </x:c>
    </x:row>
    <x:row r="293" ht="32" customHeight="1">
      <x:c r="A293" s="8" t="str">
        <x:v>drop:FC1:V1:fan:-1:F256</x:v>
      </x:c>
      <x:c r="B293" s="8" t="n">
        <x:v>1</x:v>
      </x:c>
      <x:c r="C293" s="11" t="n">
        <x:v>39.7</x:v>
      </x:c>
      <x:c r="D293" s="11" t="n">
        <x:v>8.565264175257731</x:v>
      </x:c>
      <x:c r="E293" s="11" t="n">
        <x:v>-7.36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drop:FC1:V1:fan:-1:F256</x:v>
      </x:c>
      <x:c r="B294" s="8" t="n">
        <x:v>2</x:v>
      </x:c>
      <x:c r="C294" s="11" t="n">
        <x:v>39.7</x:v>
      </x:c>
      <x:c r="D294" s="11" t="n">
        <x:v>8.565264175257731</x:v>
      </x:c>
      <x:c r="E294" s="11" t="n">
        <x:v>-13.249</x:v>
      </x:c>
      <x:c r="F294" s="11" t="n">
        <x:f>SQRT((C294-C293)^2+(D294-D293)^2+(E294-E293)^2)</x:f>
        <x:v>5.889</x:v>
      </x:c>
      <x:c r="G294" s="8" t="str">
        <x:v>Current</x:v>
      </x:c>
    </x:row>
    <x:row r="295" ht="32" customHeight="1">
      <x:c r="A295" s="8" t="str">
        <x:v>drop:FC1:V1:fan:-1:F256</x:v>
      </x:c>
      <x:c r="B295" s="8" t="n">
        <x:v>3</x:v>
      </x:c>
      <x:c r="C295" s="11" t="n">
        <x:v>39.7</x:v>
      </x:c>
      <x:c r="D295" s="11" t="n">
        <x:v>7.6</x:v>
      </x:c>
      <x:c r="E295" s="11" t="n">
        <x:v>-13.249</x:v>
      </x:c>
      <x:c r="F295" s="11" t="n">
        <x:f>SQRT((C295-C294)^2+(D295-D294)^2+(E295-E294)^2)</x:f>
        <x:v>0.9652641752577313</x:v>
      </x:c>
      <x:c r="G295" s="8" t="str">
        <x:v>Current</x:v>
      </x:c>
    </x:row>
    <x:row r="296" ht="32" customHeight="1">
      <x:c r="A296" s="8" t="str">
        <x:v>drop:FC1:V1:fan:-1:F256</x:v>
      </x:c>
      <x:c r="B296" s="8" t="n">
        <x:v>4</x:v>
      </x:c>
      <x:c r="C296" s="11" t="n">
        <x:v>39.7</x:v>
      </x:c>
      <x:c r="D296" s="11" t="n">
        <x:v>7.6</x:v>
      </x:c>
      <x:c r="E296" s="11" t="n">
        <x:v>-13.13</x:v>
      </x:c>
      <x:c r="F296" s="11" t="n">
        <x:f>SQRT((C296-C295)^2+(D296-D295)^2+(E296-E295)^2)</x:f>
        <x:v>0.11899999999999977</x:v>
      </x:c>
      <x:c r="G296" s="8" t="str">
        <x:v>Current</x:v>
      </x:c>
    </x:row>
    <x:row r="297" ht="32" customHeight="1">
      <x:c r="A297" s="8" t="str">
        <x:v>drop:FC1:V1:fan:-1:F257</x:v>
      </x:c>
      <x:c r="B297" s="8" t="n">
        <x:v>1</x:v>
      </x:c>
      <x:c r="C297" s="11" t="n">
        <x:v>41.45</x:v>
      </x:c>
      <x:c r="D297" s="11" t="n">
        <x:v>8.565264175257724</x:v>
      </x:c>
      <x:c r="E297" s="11" t="n">
        <x:v>-7.36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drop:FC1:V1:fan:-1:F257</x:v>
      </x:c>
      <x:c r="B298" s="8" t="n">
        <x:v>2</x:v>
      </x:c>
      <x:c r="C298" s="11" t="n">
        <x:v>41.45</x:v>
      </x:c>
      <x:c r="D298" s="11" t="n">
        <x:v>8.565264175257731</x:v>
      </x:c>
      <x:c r="E298" s="11" t="n">
        <x:v>-13.249</x:v>
      </x:c>
      <x:c r="F298" s="11" t="n">
        <x:f>SQRT((C298-C297)^2+(D298-D297)^2+(E298-E297)^2)</x:f>
        <x:v>5.889</x:v>
      </x:c>
      <x:c r="G298" s="8" t="str">
        <x:v>Current</x:v>
      </x:c>
    </x:row>
    <x:row r="299" ht="32" customHeight="1">
      <x:c r="A299" s="8" t="str">
        <x:v>drop:FC1:V1:fan:-1:F257</x:v>
      </x:c>
      <x:c r="B299" s="8" t="n">
        <x:v>3</x:v>
      </x:c>
      <x:c r="C299" s="11" t="n">
        <x:v>41.45</x:v>
      </x:c>
      <x:c r="D299" s="11" t="n">
        <x:v>7.6</x:v>
      </x:c>
      <x:c r="E299" s="11" t="n">
        <x:v>-13.249</x:v>
      </x:c>
      <x:c r="F299" s="11" t="n">
        <x:f>SQRT((C299-C298)^2+(D299-D298)^2+(E299-E298)^2)</x:f>
        <x:v>0.9652641752577313</x:v>
      </x:c>
      <x:c r="G299" s="8" t="str">
        <x:v>Current</x:v>
      </x:c>
    </x:row>
    <x:row r="300" ht="32" customHeight="1">
      <x:c r="A300" s="8" t="str">
        <x:v>drop:FC1:V1:fan:-1:F257</x:v>
      </x:c>
      <x:c r="B300" s="8" t="n">
        <x:v>4</x:v>
      </x:c>
      <x:c r="C300" s="11" t="n">
        <x:v>41.45</x:v>
      </x:c>
      <x:c r="D300" s="11" t="n">
        <x:v>7.6</x:v>
      </x:c>
      <x:c r="E300" s="11" t="n">
        <x:v>-13.13</x:v>
      </x:c>
      <x:c r="F300" s="11" t="n">
        <x:f>SQRT((C300-C299)^2+(D300-D299)^2+(E300-E299)^2)</x:f>
        <x:v>0.11899999999999977</x:v>
      </x:c>
      <x:c r="G300" s="8" t="str">
        <x:v>Current</x:v>
      </x:c>
    </x:row>
    <x:row r="301" ht="32" customHeight="1">
      <x:c r="A301" s="8" t="str">
        <x:v>drop:FC1:V1:fan:-1:F260</x:v>
      </x:c>
      <x:c r="B301" s="8" t="n">
        <x:v>1</x:v>
      </x:c>
      <x:c r="C301" s="11" t="n">
        <x:v>53.016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drop:FC1:V1:fan:-1:F260</x:v>
      </x:c>
      <x:c r="B302" s="8" t="n">
        <x:v>2</x:v>
      </x:c>
      <x:c r="C302" s="11" t="n">
        <x:v>53.016</x:v>
      </x:c>
      <x:c r="D302" s="11" t="n">
        <x:v>6.0360000000000005</x:v>
      </x:c>
      <x:c r="E302" s="11" t="n">
        <x:v>0</x:v>
      </x:c>
      <x:c r="F302" s="11" t="n">
        <x:f>SQRT((C302-C301)^2+(D302-D301)^2+(E302-E301)^2)</x:f>
        <x:v>7.36</x:v>
      </x:c>
      <x:c r="G302" s="8" t="str">
        <x:v>Current</x:v>
      </x:c>
    </x:row>
    <x:row r="303" ht="32" customHeight="1">
      <x:c r="A303" s="8" t="str">
        <x:v>drop:FC1:V1:fan:-1:F260</x:v>
      </x:c>
      <x:c r="B303" s="8" t="n">
        <x:v>3</x:v>
      </x:c>
      <x:c r="C303" s="11" t="n">
        <x:v>53.016</x:v>
      </x:c>
      <x:c r="D303" s="11" t="n">
        <x:v>3.3</x:v>
      </x:c>
      <x:c r="E303" s="11" t="n">
        <x:v>0</x:v>
      </x:c>
      <x:c r="F303" s="11" t="n">
        <x:f>SQRT((C303-C302)^2+(D303-D302)^2+(E303-E302)^2)</x:f>
        <x:v>2.7360000000000007</x:v>
      </x:c>
      <x:c r="G303" s="8" t="str">
        <x:v>Current</x:v>
      </x:c>
    </x:row>
    <x:row r="304" ht="32" customHeight="1">
      <x:c r="A304" s="8" t="str">
        <x:v>drop:FC1:V1:fan:-1:F260</x:v>
      </x:c>
      <x:c r="B304" s="8" t="n">
        <x:v>4</x:v>
      </x:c>
      <x:c r="C304" s="11" t="n">
        <x:v>53.12</x:v>
      </x:c>
      <x:c r="D304" s="11" t="n">
        <x:v>3.3</x:v>
      </x:c>
      <x:c r="E304" s="11" t="n">
        <x:v>0</x:v>
      </x:c>
      <x:c r="F304" s="11" t="n">
        <x:f>SQRT((C304-C303)^2+(D304-D303)^2+(E304-E303)^2)</x:f>
        <x:v>0.1039999999999992</x:v>
      </x:c>
      <x:c r="G304" s="8" t="str">
        <x:v>Current</x:v>
      </x:c>
    </x:row>
    <x:row r="305" ht="32" customHeight="1">
      <x:c r="A305" s="8" t="str">
        <x:v>trunk:FC1:V1:fan:1</x:v>
      </x:c>
      <x:c r="B305" s="8" t="n">
        <x:v>1</x:v>
      </x:c>
      <x:c r="C305" s="11" t="n">
        <x:v>48.895</x:v>
      </x:c>
      <x:c r="D305" s="11" t="n">
        <x:v>1.95</x:v>
      </x:c>
      <x:c r="E305" s="11" t="n">
        <x:v>0.4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trunk:FC1:V1:fan:1</x:v>
      </x:c>
      <x:c r="B306" s="8" t="n">
        <x:v>2</x:v>
      </x:c>
      <x:c r="C306" s="11" t="n">
        <x:v>48.735</x:v>
      </x:c>
      <x:c r="D306" s="11" t="n">
        <x:v>1.95</x:v>
      </x:c>
      <x:c r="E306" s="11" t="n">
        <x:v>0.4</x:v>
      </x:c>
      <x:c r="F306" s="11" t="n">
        <x:f>SQRT((C306-C305)^2+(D306-D305)^2+(E306-E305)^2)</x:f>
        <x:v>0.1600000000000037</x:v>
      </x:c>
      <x:c r="G306" s="8" t="str">
        <x:v>Current</x:v>
      </x:c>
    </x:row>
    <x:row r="307" ht="32" customHeight="1">
      <x:c r="A307" s="8" t="str">
        <x:v>trunk:FC1:V1:fan:1</x:v>
      </x:c>
      <x:c r="B307" s="8" t="n">
        <x:v>3</x:v>
      </x:c>
      <x:c r="C307" s="11" t="n">
        <x:v>48.735</x:v>
      </x:c>
      <x:c r="D307" s="11" t="n">
        <x:v>1.95</x:v>
      </x:c>
      <x:c r="E307" s="11" t="n">
        <x:v>-2.24</x:v>
      </x:c>
      <x:c r="F307" s="11" t="n">
        <x:f>SQRT((C307-C306)^2+(D307-D306)^2+(E307-E306)^2)</x:f>
        <x:v>2.64</x:v>
      </x:c>
      <x:c r="G307" s="8" t="str">
        <x:v>Current</x:v>
      </x:c>
    </x:row>
    <x:row r="308" ht="32" customHeight="1">
      <x:c r="A308" s="8" t="str">
        <x:v>trunk:FC1:V1:fan:1</x:v>
      </x:c>
      <x:c r="B308" s="8" t="n">
        <x:v>4</x:v>
      </x:c>
      <x:c r="C308" s="11" t="n">
        <x:v>48.735</x:v>
      </x:c>
      <x:c r="D308" s="11" t="n">
        <x:v>4.33</x:v>
      </x:c>
      <x:c r="E308" s="11" t="n">
        <x:v>-2.24</x:v>
      </x:c>
      <x:c r="F308" s="11" t="n">
        <x:f>SQRT((C308-C307)^2+(D308-D307)^2+(E308-E307)^2)</x:f>
        <x:v>2.38</x:v>
      </x:c>
      <x:c r="G308" s="8" t="str">
        <x:v>Current</x:v>
      </x:c>
    </x:row>
    <x:row r="309" ht="32" customHeight="1">
      <x:c r="A309" s="8" t="str">
        <x:v>trunk:FC1:V1:fan:1</x:v>
      </x:c>
      <x:c r="B309" s="8" t="n">
        <x:v>5</x:v>
      </x:c>
      <x:c r="C309" s="11" t="n">
        <x:v>48.735</x:v>
      </x:c>
      <x:c r="D309" s="11" t="n">
        <x:v>4.33</x:v>
      </x:c>
      <x:c r="E309" s="11" t="n">
        <x:v>-3.3</x:v>
      </x:c>
      <x:c r="F309" s="11" t="n">
        <x:f>SQRT((C309-C308)^2+(D309-D308)^2+(E309-E308)^2)</x:f>
        <x:v>1.0599999999999996</x:v>
      </x:c>
      <x:c r="G309" s="8" t="str">
        <x:v>Current</x:v>
      </x:c>
    </x:row>
    <x:row r="310" ht="32" customHeight="1">
      <x:c r="A310" s="8" t="str">
        <x:v>trunk:FC1:V1:fan:1</x:v>
      </x:c>
      <x:c r="B310" s="8" t="n">
        <x:v>6</x:v>
      </x:c>
      <x:c r="C310" s="11" t="n">
        <x:v>53.016</x:v>
      </x:c>
      <x:c r="D310" s="11" t="n">
        <x:v>4.33</x:v>
      </x:c>
      <x:c r="E310" s="11" t="n">
        <x:v>-3.3</x:v>
      </x:c>
      <x:c r="F310" s="11" t="n">
        <x:f>SQRT((C310-C309)^2+(D310-D309)^2+(E310-E309)^2)</x:f>
        <x:v>4.280999999999999</x:v>
      </x:c>
      <x:c r="G310" s="8" t="str">
        <x:v>Current</x:v>
      </x:c>
    </x:row>
    <x:row r="311" ht="32" customHeight="1">
      <x:c r="A311" s="8" t="str">
        <x:v>trunk:FC1:V1:fan:1</x:v>
      </x:c>
      <x:c r="B311" s="8" t="n">
        <x:v>7</x:v>
      </x:c>
      <x:c r="C311" s="11" t="n">
        <x:v>53.016</x:v>
      </x:c>
      <x:c r="D311" s="11" t="n">
        <x:v>6.0360000000000005</x:v>
      </x:c>
      <x:c r="E311" s="11" t="n">
        <x:v>-3.3</x:v>
      </x:c>
      <x:c r="F311" s="11" t="n">
        <x:f>SQRT((C311-C310)^2+(D311-D310)^2+(E311-E310)^2)</x:f>
        <x:v>1.7060000000000004</x:v>
      </x:c>
      <x:c r="G311" s="8" t="str">
        <x:v>Current</x:v>
      </x:c>
    </x:row>
    <x:row r="312" ht="32" customHeight="1">
      <x:c r="A312" s="8" t="str">
        <x:v>trunk:FC1:V1:fan:1</x:v>
      </x:c>
      <x:c r="B312" s="8" t="n">
        <x:v>8</x:v>
      </x:c>
      <x:c r="C312" s="11" t="n">
        <x:v>53.016</x:v>
      </x:c>
      <x:c r="D312" s="11" t="n">
        <x:v>6.0360000000000005</x:v>
      </x:c>
      <x:c r="E312" s="11" t="n">
        <x:v>7.36</x:v>
      </x:c>
      <x:c r="F312" s="11" t="n">
        <x:f>SQRT((C312-C311)^2+(D312-D311)^2+(E312-E311)^2)</x:f>
        <x:v>10.66</x:v>
      </x:c>
      <x:c r="G312" s="8" t="str">
        <x:v>Current</x:v>
      </x:c>
    </x:row>
    <x:row r="313" ht="32" customHeight="1">
      <x:c r="A313" s="8" t="str">
        <x:v>trunk:FC1:V1:fan:1</x:v>
      </x:c>
      <x:c r="B313" s="8" t="n">
        <x:v>9</x:v>
      </x:c>
      <x:c r="C313" s="11" t="n">
        <x:v>44.175</x:v>
      </x:c>
      <x:c r="D313" s="11" t="n">
        <x:v>6.0360000000000005</x:v>
      </x:c>
      <x:c r="E313" s="11" t="n">
        <x:v>7.36</x:v>
      </x:c>
      <x:c r="F313" s="11" t="n">
        <x:f>SQRT((C313-C312)^2+(D313-D312)^2+(E313-E312)^2)</x:f>
        <x:v>8.841000000000001</x:v>
      </x:c>
      <x:c r="G313" s="8" t="str">
        <x:v>Current</x:v>
      </x:c>
    </x:row>
    <x:row r="314" ht="32" customHeight="1">
      <x:c r="A314" s="8" t="str">
        <x:v>trunk:FC1:V1:fan:1</x:v>
      </x:c>
      <x:c r="B314" s="8" t="n">
        <x:v>10</x:v>
      </x:c>
      <x:c r="C314" s="11" t="n">
        <x:v>44.175</x:v>
      </x:c>
      <x:c r="D314" s="11" t="n">
        <x:v>7.04</x:v>
      </x:c>
      <x:c r="E314" s="11" t="n">
        <x:v>7.36</x:v>
      </x:c>
      <x:c r="F314" s="11" t="n">
        <x:f>SQRT((C314-C313)^2+(D314-D313)^2+(E314-E313)^2)</x:f>
        <x:v>1.0039999999999996</x:v>
      </x:c>
      <x:c r="G314" s="8" t="str">
        <x:v>Current</x:v>
      </x:c>
    </x:row>
    <x:row r="315" ht="32" customHeight="1">
      <x:c r="A315" s="8" t="str">
        <x:v>trunk:FC1:V1:fan:1</x:v>
      </x:c>
      <x:c r="B315" s="8" t="n">
        <x:v>11</x:v>
      </x:c>
      <x:c r="C315" s="11" t="n">
        <x:v>43.535</x:v>
      </x:c>
      <x:c r="D315" s="11" t="n">
        <x:v>7.04</x:v>
      </x:c>
      <x:c r="E315" s="11" t="n">
        <x:v>7.36</x:v>
      </x:c>
      <x:c r="F315" s="11" t="n">
        <x:f>SQRT((C315-C314)^2+(D315-D314)^2+(E315-E314)^2)</x:f>
        <x:v>0.6400000000000006</x:v>
      </x:c>
      <x:c r="G315" s="8" t="str">
        <x:v>Current</x:v>
      </x:c>
    </x:row>
    <x:row r="316" ht="32" customHeight="1">
      <x:c r="A316" s="8" t="str">
        <x:v>trunk:FC1:V1:fan:1</x:v>
      </x:c>
      <x:c r="B316" s="8" t="n">
        <x:v>12</x:v>
      </x:c>
      <x:c r="C316" s="11" t="n">
        <x:v>43.455</x:v>
      </x:c>
      <x:c r="D316" s="11" t="n">
        <x:v>6.950412371134024</x:v>
      </x:c>
      <x:c r="E316" s="11" t="n">
        <x:v>7.36</x:v>
      </x:c>
      <x:c r="F316" s="11" t="n">
        <x:f>SQRT((C316-C315)^2+(D316-D315)^2+(E316-E315)^2)</x:f>
        <x:v>0.12010804821421249</x:v>
      </x:c>
      <x:c r="G316" s="8" t="str">
        <x:v>Current</x:v>
      </x:c>
    </x:row>
    <x:row r="317" ht="32" customHeight="1">
      <x:c r="A317" s="8" t="str">
        <x:v>trunk:FC1:V1:fan:1</x:v>
      </x:c>
      <x:c r="B317" s="8" t="n">
        <x:v>13</x:v>
      </x:c>
      <x:c r="C317" s="11" t="n">
        <x:v>40.574999999999996</x:v>
      </x:c>
      <x:c r="D317" s="11" t="n">
        <x:v>9.269999999999994</x:v>
      </x:c>
      <x:c r="E317" s="11" t="n">
        <x:v>7.36</x:v>
      </x:c>
      <x:c r="F317" s="11" t="n">
        <x:f>SQRT((C317-C316)^2+(D317-D316)^2+(E317-E316)^2)</x:f>
        <x:v>3.6979571073753776</x:v>
      </x:c>
      <x:c r="G317" s="8" t="str">
        <x:v>Current</x:v>
      </x:c>
    </x:row>
    <x:row r="318" ht="32" customHeight="1">
      <x:c r="A318" s="8" t="str">
        <x:v>trunk:FC1:V1:fan:1</x:v>
      </x:c>
      <x:c r="B318" s="8" t="n">
        <x:v>14</x:v>
      </x:c>
      <x:c r="C318" s="11" t="n">
        <x:v>37.695</x:v>
      </x:c>
      <x:c r="D318" s="11" t="n">
        <x:v>6.950412371134018</x:v>
      </x:c>
      <x:c r="E318" s="11" t="n">
        <x:v>7.36</x:v>
      </x:c>
      <x:c r="F318" s="11" t="n">
        <x:f>SQRT((C318-C317)^2+(D318-D317)^2+(E318-E317)^2)</x:f>
        <x:v>3.697957107375376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15</x:v>
      </x:c>
      <x:c r="C319" s="11" t="n">
        <x:v>37.615</x:v>
      </x:c>
      <x:c r="D319" s="11" t="n">
        <x:v>7.04</x:v>
      </x:c>
      <x:c r="E319" s="11" t="n">
        <x:v>7.36</x:v>
      </x:c>
      <x:c r="F319" s="11" t="n">
        <x:f>SQRT((C319-C318)^2+(D319-D318)^2+(E319-E318)^2)</x:f>
        <x:v>0.12010804821421713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16</x:v>
      </x:c>
      <x:c r="C320" s="11" t="n">
        <x:v>36.975</x:v>
      </x:c>
      <x:c r="D320" s="11" t="n">
        <x:v>7.04</x:v>
      </x:c>
      <x:c r="E320" s="11" t="n">
        <x:v>7.36</x:v>
      </x:c>
      <x:c r="F320" s="11" t="n">
        <x:f>SQRT((C320-C319)^2+(D320-D319)^2+(E320-E319)^2)</x:f>
        <x:v>0.6400000000000006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17</x:v>
      </x:c>
      <x:c r="C321" s="11" t="n">
        <x:v>36.975</x:v>
      </x:c>
      <x:c r="D321" s="11" t="n">
        <x:v>6.0360000000000005</x:v>
      </x:c>
      <x:c r="E321" s="11" t="n">
        <x:v>7.36</x:v>
      </x:c>
      <x:c r="F321" s="11" t="n">
        <x:f>SQRT((C321-C320)^2+(D321-D320)^2+(E321-E320)^2)</x:f>
        <x:v>1.0039999999999996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18</x:v>
      </x:c>
      <x:c r="C322" s="11" t="n">
        <x:v>5.48</x:v>
      </x:c>
      <x:c r="D322" s="11" t="n">
        <x:v>6.0360000000000005</x:v>
      </x:c>
      <x:c r="E322" s="11" t="n">
        <x:v>7.36</x:v>
      </x:c>
      <x:c r="F322" s="11" t="n">
        <x:f>SQRT((C322-C321)^2+(D322-D321)^2+(E322-E321)^2)</x:f>
        <x:v>31.495</x:v>
      </x:c>
      <x:c r="G322" s="8" t="str">
        <x:v>Current</x:v>
      </x:c>
    </x:row>
    <x:row r="323" ht="32" customHeight="1">
      <x:c r="A323" s="8" t="str">
        <x:v>drop:FC1:V1:fan:1:F254</x:v>
      </x:c>
      <x:c r="B323" s="8" t="n">
        <x:v>1</x:v>
      </x:c>
      <x:c r="C323" s="11" t="n">
        <x:v>5.48</x:v>
      </x:c>
      <x:c r="D323" s="11" t="n">
        <x:v>6.0360000000000005</x:v>
      </x:c>
      <x:c r="E323" s="11" t="n">
        <x:v>7.36</x:v>
      </x:c>
      <x:c r="F323" s="11" t="n">
        <x:f>0</x:f>
        <x:v>0</x:v>
      </x:c>
      <x:c r="G323" s="8" t="str">
        <x:v>Current</x:v>
      </x:c>
    </x:row>
    <x:row r="324" ht="32" customHeight="1">
      <x:c r="A324" s="8" t="str">
        <x:v>drop:FC1:V1:fan:1:F254</x:v>
      </x:c>
      <x:c r="B324" s="8" t="n">
        <x:v>2</x:v>
      </x:c>
      <x:c r="C324" s="11" t="n">
        <x:v>5.48</x:v>
      </x:c>
      <x:c r="D324" s="11" t="n">
        <x:v>7.04</x:v>
      </x:c>
      <x:c r="E324" s="11" t="n">
        <x:v>7.36</x:v>
      </x:c>
      <x:c r="F324" s="11" t="n">
        <x:f>SQRT((C324-C323)^2+(D324-D323)^2+(E324-E323)^2)</x:f>
        <x:v>1.0039999999999996</x:v>
      </x:c>
      <x:c r="G324" s="8" t="str">
        <x:v>Current</x:v>
      </x:c>
    </x:row>
    <x:row r="325" ht="32" customHeight="1">
      <x:c r="A325" s="8" t="str">
        <x:v>drop:FC1:V1:fan:1:F254</x:v>
      </x:c>
      <x:c r="B325" s="8" t="n">
        <x:v>3</x:v>
      </x:c>
      <x:c r="C325" s="11" t="n">
        <x:v>5.32</x:v>
      </x:c>
      <x:c r="D325" s="11" t="n">
        <x:v>7.04</x:v>
      </x:c>
      <x:c r="E325" s="11" t="n">
        <x:v>7.36</x:v>
      </x:c>
      <x:c r="F325" s="11" t="n">
        <x:f>SQRT((C325-C324)^2+(D325-D324)^2+(E325-E324)^2)</x:f>
        <x:v>0.16000000000000014</x:v>
      </x:c>
      <x:c r="G325" s="8" t="str">
        <x:v>Current</x:v>
      </x:c>
    </x:row>
    <x:row r="326" ht="32" customHeight="1">
      <x:c r="A326" s="8" t="str">
        <x:v>drop:FC1:V1:fan:1:F254</x:v>
      </x:c>
      <x:c r="B326" s="8" t="n">
        <x:v>4</x:v>
      </x:c>
      <x:c r="C326" s="11" t="n">
        <x:v>5.32</x:v>
      </x:c>
      <x:c r="D326" s="11" t="n">
        <x:v>11.801347826086957</x:v>
      </x:c>
      <x:c r="E326" s="11" t="n">
        <x:v>0.7999999999999998</x:v>
      </x:c>
      <x:c r="F326" s="11" t="n">
        <x:f>SQRT((C326-C325)^2+(D326-D325)^2+(E326-E325)^2)</x:f>
        <x:v>8.105802435353516</x:v>
      </x:c>
      <x:c r="G326" s="8" t="str">
        <x:v>Current</x:v>
      </x:c>
    </x:row>
    <x:row r="327" ht="32" customHeight="1">
      <x:c r="A327" s="8" t="str">
        <x:v>drop:FC1:V1:fan:1:F254</x:v>
      </x:c>
      <x:c r="B327" s="8" t="n">
        <x:v>5</x:v>
      </x:c>
      <x:c r="C327" s="11" t="n">
        <x:v>5.32</x:v>
      </x:c>
      <x:c r="D327" s="11" t="n">
        <x:v>9.4</x:v>
      </x:c>
      <x:c r="E327" s="11" t="n">
        <x:v>0.8</x:v>
      </x:c>
      <x:c r="F327" s="11" t="n">
        <x:f>SQRT((C327-C326)^2+(D327-D326)^2+(E327-E326)^2)</x:f>
        <x:v>2.4013478260869565</x:v>
      </x:c>
      <x:c r="G327" s="8" t="str">
        <x:v>Current</x:v>
      </x:c>
    </x:row>
    <x:row r="328" ht="32" customHeight="1">
      <x:c r="A328" s="8" t="str">
        <x:v>drop:FC1:V1:fan:1:F254</x:v>
      </x:c>
      <x:c r="B328" s="8" t="n">
        <x:v>6</x:v>
      </x:c>
      <x:c r="C328" s="11" t="n">
        <x:v>5.48</x:v>
      </x:c>
      <x:c r="D328" s="11" t="n">
        <x:v>9.4</x:v>
      </x:c>
      <x:c r="E328" s="11" t="n">
        <x:v>0.8</x:v>
      </x:c>
      <x:c r="F328" s="11" t="n">
        <x:f>SQRT((C328-C327)^2+(D328-D327)^2+(E328-E327)^2)</x:f>
        <x:v>0.16000000000000014</x:v>
      </x:c>
      <x:c r="G328" s="8" t="str">
        <x:v>Current</x:v>
      </x:c>
    </x:row>
    <x:row r="329" ht="32" customHeight="1">
      <x:c r="A329" s="8" t="str">
        <x:v>drop:FC1:V1:fan:1:F255</x:v>
      </x:c>
      <x:c r="B329" s="8" t="n">
        <x:v>1</x:v>
      </x:c>
      <x:c r="C329" s="11" t="n">
        <x:v>5.48</x:v>
      </x:c>
      <x:c r="D329" s="11" t="n">
        <x:v>6.0360000000000005</x:v>
      </x:c>
      <x:c r="E329" s="11" t="n">
        <x:v>7.36</x:v>
      </x:c>
      <x:c r="F329" s="11" t="n">
        <x:f>0</x:f>
        <x:v>0</x:v>
      </x:c>
      <x:c r="G329" s="8" t="str">
        <x:v>Current</x:v>
      </x:c>
    </x:row>
    <x:row r="330" ht="32" customHeight="1">
      <x:c r="A330" s="8" t="str">
        <x:v>drop:FC1:V1:fan:1:F255</x:v>
      </x:c>
      <x:c r="B330" s="8" t="n">
        <x:v>2</x:v>
      </x:c>
      <x:c r="C330" s="11" t="n">
        <x:v>5.48</x:v>
      </x:c>
      <x:c r="D330" s="11" t="n">
        <x:v>7.04</x:v>
      </x:c>
      <x:c r="E330" s="11" t="n">
        <x:v>7.36</x:v>
      </x:c>
      <x:c r="F330" s="11" t="n">
        <x:f>SQRT((C330-C329)^2+(D330-D329)^2+(E330-E329)^2)</x:f>
        <x:v>1.0039999999999996</x:v>
      </x:c>
      <x:c r="G330" s="8" t="str">
        <x:v>Current</x:v>
      </x:c>
    </x:row>
    <x:row r="331" ht="32" customHeight="1">
      <x:c r="A331" s="8" t="str">
        <x:v>drop:FC1:V1:fan:1:F255</x:v>
      </x:c>
      <x:c r="B331" s="8" t="n">
        <x:v>3</x:v>
      </x:c>
      <x:c r="C331" s="11" t="n">
        <x:v>5.32</x:v>
      </x:c>
      <x:c r="D331" s="11" t="n">
        <x:v>7.04</x:v>
      </x:c>
      <x:c r="E331" s="11" t="n">
        <x:v>7.36</x:v>
      </x:c>
      <x:c r="F331" s="11" t="n">
        <x:f>SQRT((C331-C330)^2+(D331-D330)^2+(E331-E330)^2)</x:f>
        <x:v>0.16000000000000014</x:v>
      </x:c>
      <x:c r="G331" s="8" t="str">
        <x:v>Current</x:v>
      </x:c>
    </x:row>
    <x:row r="332" ht="32" customHeight="1">
      <x:c r="A332" s="8" t="str">
        <x:v>drop:FC1:V1:fan:1:F255</x:v>
      </x:c>
      <x:c r="B332" s="8" t="n">
        <x:v>4</x:v>
      </x:c>
      <x:c r="C332" s="11" t="n">
        <x:v>5.32</x:v>
      </x:c>
      <x:c r="D332" s="11" t="n">
        <x:v>10.64004347826087</x:v>
      </x:c>
      <x:c r="E332" s="11" t="n">
        <x:v>2.3999999999999995</x:v>
      </x:c>
      <x:c r="F332" s="11" t="n">
        <x:f>SQRT((C332-C331)^2+(D332-D331)^2+(E332-E331)^2)</x:f>
        <x:v>6.128777451120952</x:v>
      </x:c>
      <x:c r="G332" s="8" t="str">
        <x:v>Current</x:v>
      </x:c>
    </x:row>
    <x:row r="333" ht="32" customHeight="1">
      <x:c r="A333" s="8" t="str">
        <x:v>drop:FC1:V1:fan:1:F255</x:v>
      </x:c>
      <x:c r="B333" s="8" t="n">
        <x:v>5</x:v>
      </x:c>
      <x:c r="C333" s="11" t="n">
        <x:v>5.32</x:v>
      </x:c>
      <x:c r="D333" s="11" t="n">
        <x:v>9.4</x:v>
      </x:c>
      <x:c r="E333" s="11" t="n">
        <x:v>2.4</x:v>
      </x:c>
      <x:c r="F333" s="11" t="n">
        <x:f>SQRT((C333-C332)^2+(D333-D332)^2+(E333-E332)^2)</x:f>
        <x:v>1.2400434782608691</x:v>
      </x:c>
      <x:c r="G333" s="8" t="str">
        <x:v>Current</x:v>
      </x:c>
    </x:row>
    <x:row r="334" ht="32" customHeight="1">
      <x:c r="A334" s="8" t="str">
        <x:v>drop:FC1:V1:fan:1:F255</x:v>
      </x:c>
      <x:c r="B334" s="8" t="n">
        <x:v>6</x:v>
      </x:c>
      <x:c r="C334" s="11" t="n">
        <x:v>5.48</x:v>
      </x:c>
      <x:c r="D334" s="11" t="n">
        <x:v>9.4</x:v>
      </x:c>
      <x:c r="E334" s="11" t="n">
        <x:v>2.4</x:v>
      </x:c>
      <x:c r="F334" s="11" t="n">
        <x:f>SQRT((C334-C333)^2+(D334-D333)^2+(E334-E333)^2)</x:f>
        <x:v>0.16000000000000014</x:v>
      </x:c>
      <x:c r="G334" s="8" t="str">
        <x:v>Current</x:v>
      </x:c>
    </x:row>
    <x:row r="335" ht="32" customHeight="1">
      <x:c r="A335" s="8" t="str">
        <x:v>drop:FC1:V1:fan:1:F258</x:v>
      </x:c>
      <x:c r="B335" s="8" t="n">
        <x:v>1</x:v>
      </x:c>
      <x:c r="C335" s="11" t="n">
        <x:v>39.7</x:v>
      </x:c>
      <x:c r="D335" s="11" t="n">
        <x:v>8.565264175257731</x:v>
      </x:c>
      <x:c r="E335" s="11" t="n">
        <x:v>7.36</x:v>
      </x:c>
      <x:c r="F335" s="11" t="n">
        <x:f>0</x:f>
        <x:v>0</x:v>
      </x:c>
      <x:c r="G335" s="8" t="str">
        <x:v>Current</x:v>
      </x:c>
    </x:row>
    <x:row r="336" ht="32" customHeight="1">
      <x:c r="A336" s="8" t="str">
        <x:v>drop:FC1:V1:fan:1:F258</x:v>
      </x:c>
      <x:c r="B336" s="8" t="n">
        <x:v>2</x:v>
      </x:c>
      <x:c r="C336" s="11" t="n">
        <x:v>39.7</x:v>
      </x:c>
      <x:c r="D336" s="11" t="n">
        <x:v>8.565264175257731</x:v>
      </x:c>
      <x:c r="E336" s="11" t="n">
        <x:v>13.249</x:v>
      </x:c>
      <x:c r="F336" s="11" t="n">
        <x:f>SQRT((C336-C335)^2+(D336-D335)^2+(E336-E335)^2)</x:f>
        <x:v>5.889</x:v>
      </x:c>
      <x:c r="G336" s="8" t="str">
        <x:v>Current</x:v>
      </x:c>
    </x:row>
    <x:row r="337" ht="32" customHeight="1">
      <x:c r="A337" s="8" t="str">
        <x:v>drop:FC1:V1:fan:1:F258</x:v>
      </x:c>
      <x:c r="B337" s="8" t="n">
        <x:v>3</x:v>
      </x:c>
      <x:c r="C337" s="11" t="n">
        <x:v>39.7</x:v>
      </x:c>
      <x:c r="D337" s="11" t="n">
        <x:v>7.6</x:v>
      </x:c>
      <x:c r="E337" s="11" t="n">
        <x:v>13.249</x:v>
      </x:c>
      <x:c r="F337" s="11" t="n">
        <x:f>SQRT((C337-C336)^2+(D337-D336)^2+(E337-E336)^2)</x:f>
        <x:v>0.9652641752577313</x:v>
      </x:c>
      <x:c r="G337" s="8" t="str">
        <x:v>Current</x:v>
      </x:c>
    </x:row>
    <x:row r="338" ht="32" customHeight="1">
      <x:c r="A338" s="8" t="str">
        <x:v>drop:FC1:V1:fan:1:F258</x:v>
      </x:c>
      <x:c r="B338" s="8" t="n">
        <x:v>4</x:v>
      </x:c>
      <x:c r="C338" s="11" t="n">
        <x:v>39.7</x:v>
      </x:c>
      <x:c r="D338" s="11" t="n">
        <x:v>7.6</x:v>
      </x:c>
      <x:c r="E338" s="11" t="n">
        <x:v>13.13</x:v>
      </x:c>
      <x:c r="F338" s="11" t="n">
        <x:f>SQRT((C338-C337)^2+(D338-D337)^2+(E338-E337)^2)</x:f>
        <x:v>0.11899999999999977</x:v>
      </x:c>
      <x:c r="G338" s="8" t="str">
        <x:v>Current</x:v>
      </x:c>
    </x:row>
    <x:row r="339" ht="32" customHeight="1">
      <x:c r="A339" s="8" t="str">
        <x:v>drop:FC1:V1:fan:1:F259</x:v>
      </x:c>
      <x:c r="B339" s="8" t="n">
        <x:v>1</x:v>
      </x:c>
      <x:c r="C339" s="11" t="n">
        <x:v>41.45</x:v>
      </x:c>
      <x:c r="D339" s="11" t="n">
        <x:v>8.565264175257724</x:v>
      </x:c>
      <x:c r="E339" s="11" t="n">
        <x:v>7.36</x:v>
      </x:c>
      <x:c r="F339" s="11" t="n">
        <x:f>0</x:f>
        <x:v>0</x:v>
      </x:c>
      <x:c r="G339" s="8" t="str">
        <x:v>Current</x:v>
      </x:c>
    </x:row>
    <x:row r="340" ht="32" customHeight="1">
      <x:c r="A340" s="8" t="str">
        <x:v>drop:FC1:V1:fan:1:F259</x:v>
      </x:c>
      <x:c r="B340" s="8" t="n">
        <x:v>2</x:v>
      </x:c>
      <x:c r="C340" s="11" t="n">
        <x:v>41.45</x:v>
      </x:c>
      <x:c r="D340" s="11" t="n">
        <x:v>8.565264175257731</x:v>
      </x:c>
      <x:c r="E340" s="11" t="n">
        <x:v>13.249</x:v>
      </x:c>
      <x:c r="F340" s="11" t="n">
        <x:f>SQRT((C340-C339)^2+(D340-D339)^2+(E340-E339)^2)</x:f>
        <x:v>5.889</x:v>
      </x:c>
      <x:c r="G340" s="8" t="str">
        <x:v>Current</x:v>
      </x:c>
    </x:row>
    <x:row r="341" ht="32" customHeight="1">
      <x:c r="A341" s="8" t="str">
        <x:v>drop:FC1:V1:fan:1:F259</x:v>
      </x:c>
      <x:c r="B341" s="8" t="n">
        <x:v>3</x:v>
      </x:c>
      <x:c r="C341" s="11" t="n">
        <x:v>41.45</x:v>
      </x:c>
      <x:c r="D341" s="11" t="n">
        <x:v>7.6</x:v>
      </x:c>
      <x:c r="E341" s="11" t="n">
        <x:v>13.249</x:v>
      </x:c>
      <x:c r="F341" s="11" t="n">
        <x:f>SQRT((C341-C340)^2+(D341-D340)^2+(E341-E340)^2)</x:f>
        <x:v>0.9652641752577313</x:v>
      </x:c>
      <x:c r="G341" s="8" t="str">
        <x:v>Current</x:v>
      </x:c>
    </x:row>
    <x:row r="342" ht="32" customHeight="1">
      <x:c r="A342" s="8" t="str">
        <x:v>drop:FC1:V1:fan:1:F259</x:v>
      </x:c>
      <x:c r="B342" s="8" t="n">
        <x:v>4</x:v>
      </x:c>
      <x:c r="C342" s="11" t="n">
        <x:v>41.45</x:v>
      </x:c>
      <x:c r="D342" s="11" t="n">
        <x:v>7.6</x:v>
      </x:c>
      <x:c r="E342" s="11" t="n">
        <x:v>13.13</x:v>
      </x:c>
      <x:c r="F342" s="11" t="n">
        <x:f>SQRT((C342-C341)^2+(D342-D341)^2+(E342-E341)^2)</x:f>
        <x:v>0.11899999999999977</x:v>
      </x:c>
      <x:c r="G342" s="8" t="str">
        <x:v>Current</x:v>
      </x:c>
    </x:row>
    <x:row r="343" ht="32" customHeight="1">
      <x:c r="A343" s="8" t="str">
        <x:v>drop:FC1:F1:fan:-1:F240</x:v>
      </x:c>
      <x:c r="B343" s="8" t="n">
        <x:v>1</x:v>
      </x:c>
      <x:c r="C343" s="11" t="n">
        <x:v>39.3</x:v>
      </x:c>
      <x:c r="D343" s="11" t="n">
        <x:v>8.24309922680412</x:v>
      </x:c>
      <x:c r="E343" s="11" t="n">
        <x:v>-7.36</x:v>
      </x:c>
      <x:c r="F343" s="11" t="n">
        <x:f>0</x:f>
        <x:v>0</x:v>
      </x:c>
      <x:c r="G343" s="8" t="str">
        <x:v>Retired</x:v>
      </x:c>
    </x:row>
    <x:row r="344" ht="32" customHeight="1">
      <x:c r="A344" s="8" t="str">
        <x:v>drop:FC1:F1:fan:-1:F240</x:v>
      </x:c>
      <x:c r="B344" s="8" t="n">
        <x:v>2</x:v>
      </x:c>
      <x:c r="C344" s="11" t="n">
        <x:v>39.3</x:v>
      </x:c>
      <x:c r="D344" s="11" t="n">
        <x:v>8.24309922680412</x:v>
      </x:c>
      <x:c r="E344" s="11" t="n">
        <x:v>-10.15</x:v>
      </x:c>
      <x:c r="F344" s="11" t="n">
        <x:f>SQRT((C344-C343)^2+(D344-D343)^2+(E344-E343)^2)</x:f>
        <x:v>2.79</x:v>
      </x:c>
      <x:c r="G344" s="8" t="str">
        <x:v>Retired</x:v>
      </x:c>
    </x:row>
    <x:row r="345" ht="32" customHeight="1">
      <x:c r="A345" s="8" t="str">
        <x:v>drop:FC1:F1:fan:-1:F240</x:v>
      </x:c>
      <x:c r="B345" s="8" t="n">
        <x:v>3</x:v>
      </x:c>
      <x:c r="C345" s="11" t="n">
        <x:v>39.3</x:v>
      </x:c>
      <x:c r="D345" s="11" t="n">
        <x:v>3.3</x:v>
      </x:c>
      <x:c r="E345" s="11" t="n">
        <x:v>-10.15</x:v>
      </x:c>
      <x:c r="F345" s="11" t="n">
        <x:f>SQRT((C345-C344)^2+(D345-D344)^2+(E345-E344)^2)</x:f>
        <x:v>4.94309922680412</x:v>
      </x:c>
      <x:c r="G345" s="8" t="str">
        <x:v>Retired</x:v>
      </x:c>
    </x:row>
    <x:row r="346" ht="32" customHeight="1">
      <x:c r="A346" s="8" t="str">
        <x:v>drop:FC1:F1:fan:-1:F241</x:v>
      </x:c>
      <x:c r="B346" s="8" t="n">
        <x:v>1</x:v>
      </x:c>
      <x:c r="C346" s="11" t="n">
        <x:v>41.85</x:v>
      </x:c>
      <x:c r="D346" s="11" t="n">
        <x:v>8.243099226804118</x:v>
      </x:c>
      <x:c r="E346" s="11" t="n">
        <x:v>-7.36</x:v>
      </x:c>
      <x:c r="F346" s="11" t="n">
        <x:f>0</x:f>
        <x:v>0</x:v>
      </x:c>
      <x:c r="G346" s="8" t="str">
        <x:v>Retired</x:v>
      </x:c>
    </x:row>
    <x:row r="347" ht="32" customHeight="1">
      <x:c r="A347" s="8" t="str">
        <x:v>drop:FC1:F1:fan:-1:F241</x:v>
      </x:c>
      <x:c r="B347" s="8" t="n">
        <x:v>2</x:v>
      </x:c>
      <x:c r="C347" s="11" t="n">
        <x:v>41.85</x:v>
      </x:c>
      <x:c r="D347" s="11" t="n">
        <x:v>8.243099226804125</x:v>
      </x:c>
      <x:c r="E347" s="11" t="n">
        <x:v>-10.15</x:v>
      </x:c>
      <x:c r="F347" s="11" t="n">
        <x:f>SQRT((C347-C346)^2+(D347-D346)^2+(E347-E346)^2)</x:f>
        <x:v>2.79</x:v>
      </x:c>
      <x:c r="G347" s="8" t="str">
        <x:v>Retired</x:v>
      </x:c>
    </x:row>
    <x:row r="348" ht="32" customHeight="1">
      <x:c r="A348" s="8" t="str">
        <x:v>drop:FC1:F1:fan:-1:F241</x:v>
      </x:c>
      <x:c r="B348" s="8" t="n">
        <x:v>3</x:v>
      </x:c>
      <x:c r="C348" s="11" t="n">
        <x:v>41.85</x:v>
      </x:c>
      <x:c r="D348" s="11" t="n">
        <x:v>3.3</x:v>
      </x:c>
      <x:c r="E348" s="11" t="n">
        <x:v>-10.15</x:v>
      </x:c>
      <x:c r="F348" s="11" t="n">
        <x:f>SQRT((C348-C347)^2+(D348-D347)^2+(E348-E347)^2)</x:f>
        <x:v>4.943099226804125</x:v>
      </x:c>
      <x:c r="G348" s="8" t="str">
        <x:v>Retired</x:v>
      </x:c>
    </x:row>
    <x:row r="349" ht="32" customHeight="1">
      <x:c r="A349" s="8" t="str">
        <x:v>drop:FC1:F1:fan:1:F242</x:v>
      </x:c>
      <x:c r="B349" s="8" t="n">
        <x:v>1</x:v>
      </x:c>
      <x:c r="C349" s="11" t="n">
        <x:v>39.3</x:v>
      </x:c>
      <x:c r="D349" s="11" t="n">
        <x:v>8.24309922680412</x:v>
      </x:c>
      <x:c r="E349" s="11" t="n">
        <x:v>7.36</x:v>
      </x:c>
      <x:c r="F349" s="11" t="n">
        <x:f>0</x:f>
        <x:v>0</x:v>
      </x:c>
      <x:c r="G349" s="8" t="str">
        <x:v>Retired</x:v>
      </x:c>
    </x:row>
    <x:row r="350" ht="32" customHeight="1">
      <x:c r="A350" s="8" t="str">
        <x:v>drop:FC1:F1:fan:1:F242</x:v>
      </x:c>
      <x:c r="B350" s="8" t="n">
        <x:v>2</x:v>
      </x:c>
      <x:c r="C350" s="11" t="n">
        <x:v>39.3</x:v>
      </x:c>
      <x:c r="D350" s="11" t="n">
        <x:v>8.24309922680412</x:v>
      </x:c>
      <x:c r="E350" s="11" t="n">
        <x:v>10.15</x:v>
      </x:c>
      <x:c r="F350" s="11" t="n">
        <x:f>SQRT((C350-C349)^2+(D350-D349)^2+(E350-E349)^2)</x:f>
        <x:v>2.79</x:v>
      </x:c>
      <x:c r="G350" s="8" t="str">
        <x:v>Retired</x:v>
      </x:c>
    </x:row>
    <x:row r="351" ht="32" customHeight="1">
      <x:c r="A351" s="8" t="str">
        <x:v>drop:FC1:F1:fan:1:F242</x:v>
      </x:c>
      <x:c r="B351" s="8" t="n">
        <x:v>3</x:v>
      </x:c>
      <x:c r="C351" s="11" t="n">
        <x:v>39.3</x:v>
      </x:c>
      <x:c r="D351" s="11" t="n">
        <x:v>3.3</x:v>
      </x:c>
      <x:c r="E351" s="11" t="n">
        <x:v>10.15</x:v>
      </x:c>
      <x:c r="F351" s="11" t="n">
        <x:f>SQRT((C351-C350)^2+(D351-D350)^2+(E351-E350)^2)</x:f>
        <x:v>4.94309922680412</x:v>
      </x:c>
      <x:c r="G351" s="8" t="str">
        <x:v>Retired</x:v>
      </x:c>
    </x:row>
    <x:row r="352" ht="32" customHeight="1">
      <x:c r="A352" s="8" t="str">
        <x:v>drop:FC1:F1:fan:1:F243</x:v>
      </x:c>
      <x:c r="B352" s="8" t="n">
        <x:v>1</x:v>
      </x:c>
      <x:c r="C352" s="11" t="n">
        <x:v>41.85</x:v>
      </x:c>
      <x:c r="D352" s="11" t="n">
        <x:v>8.243099226804118</x:v>
      </x:c>
      <x:c r="E352" s="11" t="n">
        <x:v>7.36</x:v>
      </x:c>
      <x:c r="F352" s="11" t="n">
        <x:f>0</x:f>
        <x:v>0</x:v>
      </x:c>
      <x:c r="G352" s="8" t="str">
        <x:v>Retired</x:v>
      </x:c>
    </x:row>
    <x:row r="353" ht="32" customHeight="1">
      <x:c r="A353" s="8" t="str">
        <x:v>drop:FC1:F1:fan:1:F243</x:v>
      </x:c>
      <x:c r="B353" s="8" t="n">
        <x:v>2</x:v>
      </x:c>
      <x:c r="C353" s="11" t="n">
        <x:v>41.85</x:v>
      </x:c>
      <x:c r="D353" s="11" t="n">
        <x:v>8.243099226804125</x:v>
      </x:c>
      <x:c r="E353" s="11" t="n">
        <x:v>10.15</x:v>
      </x:c>
      <x:c r="F353" s="11" t="n">
        <x:f>SQRT((C353-C352)^2+(D353-D352)^2+(E353-E352)^2)</x:f>
        <x:v>2.79</x:v>
      </x:c>
      <x:c r="G353" s="8" t="str">
        <x:v>Retired</x:v>
      </x:c>
    </x:row>
    <x:row r="354" ht="32" customHeight="1">
      <x:c r="A354" s="8" t="str">
        <x:v>drop:FC1:F1:fan:1:F243</x:v>
      </x:c>
      <x:c r="B354" s="8" t="n">
        <x:v>3</x:v>
      </x:c>
      <x:c r="C354" s="11" t="n">
        <x:v>41.85</x:v>
      </x:c>
      <x:c r="D354" s="11" t="n">
        <x:v>3.3</x:v>
      </x:c>
      <x:c r="E354" s="11" t="n">
        <x:v>10.15</x:v>
      </x:c>
      <x:c r="F354" s="11" t="n">
        <x:f>SQRT((C354-C353)^2+(D354-D353)^2+(E354-E353)^2)</x:f>
        <x:v>4.943099226804125</x:v>
      </x:c>
      <x:c r="G354" s="8" t="str">
        <x:v>Retired</x:v>
      </x:c>
    </x:row>
  </x:sheetData>
  <x:conditionalFormatting sqref="G7:G35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681372329658430c"/>
  </x:tableParts>
</x:worksheet>
</file>