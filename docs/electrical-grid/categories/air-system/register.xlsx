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56211795a541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3b0736505764436"/>
    <x:sheet xmlns:r="http://schemas.openxmlformats.org/officeDocument/2006/relationships" name="Equipment" sheetId="2" r:id="Rf70ceaec0af64720"/>
    <x:sheet xmlns:r="http://schemas.openxmlformats.org/officeDocument/2006/relationships" name="Electrical Lines" sheetId="3" r:id="R9bb0772940044295"/>
    <x:sheet xmlns:r="http://schemas.openxmlformats.org/officeDocument/2006/relationships" name="Route Points" sheetId="4" r:id="Rad4721993fb548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47ad6666a14e21" /><Relationship Type="http://schemas.openxmlformats.org/officeDocument/2006/relationships/theme" Target="/xl/theme/theme1.xml" Id="Rd85b8036520b4485" /><Relationship Type="http://schemas.openxmlformats.org/officeDocument/2006/relationships/sharedStrings" Target="/xl/sharedStrings.xml" Id="R32fafe497f8f411f" /><Relationship Type="http://schemas.openxmlformats.org/officeDocument/2006/relationships/worksheet" Target="/xl/worksheets/sheet1.xml" Id="Rb3b0736505764436" /><Relationship Type="http://schemas.openxmlformats.org/officeDocument/2006/relationships/worksheet" Target="/xl/worksheets/sheet2.xml" Id="Rf70ceaec0af64720" /><Relationship Type="http://schemas.openxmlformats.org/officeDocument/2006/relationships/worksheet" Target="/xl/worksheets/sheet3.xml" Id="R9bb0772940044295" /><Relationship Type="http://schemas.openxmlformats.org/officeDocument/2006/relationships/worksheet" Target="/xl/worksheets/sheet4.xml" Id="Rad4721993fb548c1" /></Relationships>
</file>

<file path=xl/tables/table1.xml><?xml version="1.0" encoding="utf-8"?>
<x:table xmlns:x="http://schemas.openxmlformats.org/spreadsheetml/2006/main" id="1" name="EquipmentRegister" displayName="EquipmentRegister" ref="A6:AC4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59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5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1ba3d8c79e149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28d14df99545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ac1135357bd4fb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2026-10-09T01:06:21.478Z.</x:v>
      </x:c>
    </x:row>
    <x:row r="5" ht="34" customHeight="1">
      <x:c r="A5" s="20" t="str">
        <x:v>Current equipment</x:v>
      </x:c>
      <x:c r="B5" s="16" t="n">
        <x:f>COUNTIFS(Equipment!$AA$7:$AA$45,"Current")</x:f>
        <x:v>35</x:v>
      </x:c>
    </x:row>
    <x:row r="6" ht="34" customHeight="1">
      <x:c r="A6" s="20" t="str">
        <x:v>Current routes</x:v>
      </x:c>
      <x:c r="B6" s="16" t="n">
        <x:f>COUNTIFS('Electrical Lines'!$Y$7:$Y$59,"Current")</x:f>
        <x:v>45</x:v>
      </x:c>
    </x:row>
    <x:row r="7" ht="34" customHeight="1">
      <x:c r="A7" s="20" t="str">
        <x:v>Retired equipment / routes</x:v>
      </x:c>
      <x:c r="B7" s="16" t="n">
        <x:f>COUNTIFS(Equipment!$AA$7:$AA$45,"Retired")+COUNTIFS('Electrical Lines'!$Y$7:$Y$59,"Retired")</x:f>
        <x:v>12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d4067e8bb027f3bb435cc6fee67c0fc1d0e462a2d8802a6ada0bb37df793ab52</x:v>
      </x:c>
    </x:row>
    <x:row r="15" ht="44" customHeight="1">
      <x:c r="A15" s="20" t="str">
        <x:v>Source systems SHA-256</x:v>
      </x:c>
      <x:c r="B15" s="16" t="str">
        <x:v>e2130aeffb518d934149fa35c32d858856db06e804d9cb98aac4f1896cd3b761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460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460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460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460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460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460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  <x:row r="42" ht="96" customHeight="1">
      <x:c r="A42" s="8" t="str">
        <x:v>F-WING-B-3</x:v>
      </x:c>
      <x:c r="B42" s="8" t="str">
        <x:v>Wall fan · wing B · 3 · held review</x:v>
      </x:c>
      <x:c r="C42" s="8" t="str">
        <x:v>fan</x:v>
      </x:c>
      <x:c r="D42" s="8" t="str">
        <x:v>DB1</x:v>
      </x:c>
      <x:c r="E42" s="8" t="str">
        <x:v>F5</x:v>
      </x:c>
      <x:c r="F42" s="11" t="n">
        <x:v>41.2</x:v>
      </x:c>
      <x:c r="G42" s="11" t="n">
        <x:v>2.7</x:v>
      </x:c>
      <x:c r="H42" s="11" t="n">
        <x:v>-13.06</x:v>
      </x:c>
      <x:c r="I42" s="8" t="str">
        <x:v>wall</x:v>
      </x:c>
      <x:c r="J42" s="8" t="str">
        <x:v>Shown</x:v>
      </x:c>
      <x:c r="K42" s="8" t="str">
        <x:v>On</x:v>
      </x:c>
      <x:c r="L42" s="8" t="str">
        <x:v>460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75.89736516026656</x:v>
      </x:c>
      <x:c r="P42" s="11" t="n">
        <x:v>-30.031965296126412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Retired</x:v>
      </x:c>
      <x:c r="AB42" s="8" t="str">
        <x:v>drop:FC1:F5:fan:-1:F-WING-B-3</x:v>
      </x:c>
      <x:c r="AC42" s="8" t="str">
        <x:v>{"dim":1,"speed":1,"note":"ENGINEERING HOLD: 4 per wing at low speed cover 68/80 seats; noise and speech criteria fail. Gable anchors, concealment, sweep clearance and maintenance unapproved."}</x:v>
      </x:c>
    </x:row>
    <x:row r="43" ht="96" customHeight="1">
      <x:c r="A43" s="8" t="str">
        <x:v>F-WING-B-4</x:v>
      </x:c>
      <x:c r="B43" s="8" t="str">
        <x:v>Wall fan · wing B · 4 · held review</x:v>
      </x:c>
      <x:c r="C43" s="8" t="str">
        <x:v>fan</x:v>
      </x:c>
      <x:c r="D43" s="8" t="str">
        <x:v>DB1</x:v>
      </x:c>
      <x:c r="E43" s="8" t="str">
        <x:v>F5</x:v>
      </x:c>
      <x:c r="F43" s="11" t="n">
        <x:v>42</x:v>
      </x:c>
      <x:c r="G43" s="11" t="n">
        <x:v>3.5</x:v>
      </x:c>
      <x:c r="H43" s="11" t="n">
        <x:v>-13.06</x:v>
      </x:c>
      <x:c r="I43" s="8" t="str">
        <x:v>wall</x:v>
      </x:c>
      <x:c r="J43" s="8" t="str">
        <x:v>Shown</x:v>
      </x:c>
      <x:c r="K43" s="8" t="str">
        <x:v>On</x:v>
      </x:c>
      <x:c r="L43" s="8" t="str">
        <x:v>460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81.9727624895681</x:v>
      </x:c>
      <x:c r="P43" s="11" t="n">
        <x:v>-63.92906953677533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Retired</x:v>
      </x:c>
      <x:c r="AB43" s="8" t="str">
        <x:v>drop:FC1:F5:fan:-1:F-WING-B-4</x:v>
      </x:c>
      <x:c r="AC43" s="8" t="str">
        <x:v>{"dim":1,"speed":1,"note":"ENGINEERING HOLD: 4 per wing at low speed cover 68/80 seats; noise and speech criteria fail. Gable anchors, concealment, sweep clearance and maintenance unapproved."}</x:v>
      </x:c>
    </x:row>
    <x:row r="44" ht="96" customHeight="1">
      <x:c r="A44" s="8" t="str">
        <x:v>F-WING-H-3</x:v>
      </x:c>
      <x:c r="B44" s="8" t="str">
        <x:v>Wall fan · wing H · 3 · held review</x:v>
      </x:c>
      <x:c r="C44" s="8" t="str">
        <x:v>fan</x:v>
      </x:c>
      <x:c r="D44" s="8" t="str">
        <x:v>DB1</x:v>
      </x:c>
      <x:c r="E44" s="8" t="str">
        <x:v>F5</x:v>
      </x:c>
      <x:c r="F44" s="11" t="n">
        <x:v>41.2</x:v>
      </x:c>
      <x:c r="G44" s="11" t="n">
        <x:v>2.7</x:v>
      </x:c>
      <x:c r="H44" s="11" t="n">
        <x:v>13.06</x:v>
      </x:c>
      <x:c r="I44" s="8" t="str">
        <x:v>wall</x:v>
      </x:c>
      <x:c r="J44" s="8" t="str">
        <x:v>Shown</x:v>
      </x:c>
      <x:c r="K44" s="8" t="str">
        <x:v>On</x:v>
      </x:c>
      <x:c r="L44" s="8" t="str">
        <x:v>460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-75.89736516026656</x:v>
      </x:c>
      <x:c r="P44" s="11" t="n">
        <x:v>-30.031965296126412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Retired</x:v>
      </x:c>
      <x:c r="AB44" s="8" t="str">
        <x:v>drop:FC1:F5:fan:1:F-WING-H-3</x:v>
      </x:c>
      <x:c r="AC44" s="8" t="str">
        <x:v>{"dim":1,"speed":1,"note":"ENGINEERING HOLD: 4 per wing at low speed cover 68/80 seats; noise and speech criteria fail. Gable anchors, concealment, sweep clearance and maintenance unapproved."}</x:v>
      </x:c>
    </x:row>
    <x:row r="45" ht="96" customHeight="1">
      <x:c r="A45" s="8" t="str">
        <x:v>F-WING-H-4</x:v>
      </x:c>
      <x:c r="B45" s="8" t="str">
        <x:v>Wall fan · wing H · 4 · held review</x:v>
      </x:c>
      <x:c r="C45" s="8" t="str">
        <x:v>fan</x:v>
      </x:c>
      <x:c r="D45" s="8" t="str">
        <x:v>DB1</x:v>
      </x:c>
      <x:c r="E45" s="8" t="str">
        <x:v>F5</x:v>
      </x:c>
      <x:c r="F45" s="11" t="n">
        <x:v>42</x:v>
      </x:c>
      <x:c r="G45" s="11" t="n">
        <x:v>3.5</x:v>
      </x:c>
      <x:c r="H45" s="11" t="n">
        <x:v>13.06</x:v>
      </x:c>
      <x:c r="I45" s="8" t="str">
        <x:v>wall</x:v>
      </x:c>
      <x:c r="J45" s="8" t="str">
        <x:v>Shown</x:v>
      </x:c>
      <x:c r="K45" s="8" t="str">
        <x:v>On</x:v>
      </x:c>
      <x:c r="L45" s="8" t="str">
        <x:v>460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-81.9727624895681</x:v>
      </x:c>
      <x:c r="P45" s="11" t="n">
        <x:v>-63.92906953677533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Retired</x:v>
      </x:c>
      <x:c r="AB45" s="8" t="str">
        <x:v>drop:FC1:F5:fan:1:F-WING-H-4</x:v>
      </x:c>
      <x:c r="AC4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45">
    <x:cfRule type="containsText" dxfId="0" priority="1" operator="containsText" text="Retired"/>
  </x:conditionalFormatting>
  <x:dataValidations count="3">
    <x:dataValidation type="decimal" operator="between" sqref="W7:W45">
      <x:formula1>-1000</x:formula1>
      <x:formula2>1000</x:formula2>
    </x:dataValidation>
    <x:dataValidation type="decimal" operator="between" sqref="X7:X45">
      <x:formula1>-1000</x:formula1>
      <x:formula2>1000</x:formula2>
    </x:dataValidation>
    <x:dataValidation type="decimal" operator="between" sqref="Y7:Y4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1ba3d8c79e149d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Points'!$A$7:$A$354,A7,'Route Points'!$F$7:$F$354)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Points'!$A$7:$A$354,A8,'Route Points'!$F$7:$F$354)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Points'!$A$7:$A$354,A9,'Route Points'!$F$7:$F$354)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Points'!$A$7:$A$354,A10,'Route Points'!$F$7:$F$354)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Points'!$A$7:$A$354,A11,'Route Points'!$F$7:$F$354)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Points'!$A$7:$A$354,A12,'Route Points'!$F$7:$F$354)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Points'!$A$7:$A$354,A13,'Route Points'!$F$7:$F$354)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Points'!$A$7:$A$354,A14,'Route Points'!$F$7:$F$354)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Points'!$A$7:$A$354,A15,'Route Points'!$F$7:$F$354)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Points'!$A$7:$A$354,A16,'Route Points'!$F$7:$F$354)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Points'!$A$7:$A$354,A17,'Route Points'!$F$7:$F$354)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Points'!$A$7:$A$354,A18,'Route Points'!$F$7:$F$354)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Points'!$A$7:$A$354,A19,'Route Points'!$F$7:$F$354)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Points'!$A$7:$A$354,A20,'Route Points'!$F$7:$F$354)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Points'!$A$7:$A$354,A21,'Route Points'!$F$7:$F$354)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Points'!$A$7:$A$354,A22,'Route Points'!$F$7:$F$354)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Points'!$A$7:$A$354,A23,'Route Points'!$F$7:$F$354)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Points'!$A$7:$A$354,A24,'Route Points'!$F$7:$F$354)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Points'!$A$7:$A$354,A25,'Route Points'!$F$7:$F$354)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Points'!$A$7:$A$354,A26,'Route Points'!$F$7:$F$354)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Points'!$A$7:$A$354,A27,'Route Points'!$F$7:$F$354)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Points'!$A$7:$A$354,A28,'Route Points'!$F$7:$F$354)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90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Points'!$A$7:$A$354,A29,'Route Points'!$F$7:$F$354)</x:f>
        <x:v>58.576130311179185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Points'!$A$7:$A$354,A30,'Route Points'!$F$7:$F$354)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Points'!$A$7:$A$354,A31,'Route Points'!$F$7:$F$354)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Points'!$A$7:$A$354,A32,'Route Points'!$F$7:$F$354)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trunk:FC1:F2:fan:1</x:v>
      </x:c>
      <x:c r="B33" s="8" t="str">
        <x:v>F2 · H · circuit trunk</x:v>
      </x:c>
      <x:c r="C33" s="8" t="str">
        <x:v>FC1</x:v>
      </x:c>
      <x:c r="D33" s="8" t="str">
        <x:v>F245
F247
F249</x:v>
      </x:c>
      <x:c r="E33" s="8" t="str">
        <x:v>DB1</x:v>
      </x:c>
      <x:c r="F33" s="8" t="str">
        <x:v>F2</x:v>
      </x:c>
      <x:c r="G33" s="8" t="str">
        <x:v>fan</x:v>
      </x:c>
      <x:c r="H33" s="8" t="str">
        <x:v>trunk</x:v>
      </x:c>
      <x:c r="I33" s="11" t="n">
        <x:f>SUMIF('Route Points'!$A$7:$A$354,A33,'Route Points'!$F$7:$F$354)</x:f>
        <x:v>65.17613031117918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drop:FC1:F2:fan:1:F245</x:v>
      </x:c>
      <x:c r="B34" s="8" t="str">
        <x:v>F2 → Wall fan · axis 4 · H</x:v>
      </x:c>
      <x:c r="C34" s="8" t="str">
        <x:v>FC1</x:v>
      </x:c>
      <x:c r="D34" s="8" t="str">
        <x:v>F245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Points'!$A$7:$A$354,A34,'Route Points'!$F$7:$F$354)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trunk:FC1:F2:fan:1</x:v>
      </x:c>
    </x:row>
    <x:row r="35" ht="90" customHeight="1">
      <x:c r="A35" s="8" t="str">
        <x:v>drop:FC1:F2:fan:1:F247</x:v>
      </x:c>
      <x:c r="B35" s="8" t="str">
        <x:v>F2 → Wall fan · axis 6 · H</x:v>
      </x:c>
      <x:c r="C35" s="8" t="str">
        <x:v>FC1</x:v>
      </x:c>
      <x:c r="D35" s="8" t="str">
        <x:v>F247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Points'!$A$7:$A$354,A35,'Route Points'!$F$7:$F$354)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trunk:FC1:F2:fan:1</x:v>
      </x:c>
    </x:row>
    <x:row r="36" ht="90" customHeight="1">
      <x:c r="A36" s="8" t="str">
        <x:v>drop:FC1:F2:fan:1:F249</x:v>
      </x:c>
      <x:c r="B36" s="8" t="str">
        <x:v>F2 → Wall fan · axis 8 · H</x:v>
      </x:c>
      <x:c r="C36" s="8" t="str">
        <x:v>FC1</x:v>
      </x:c>
      <x:c r="D36" s="8" t="str">
        <x:v>F249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Points'!$A$7:$A$354,A36,'Route Points'!$F$7:$F$354)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trunk:FC1:F2:fan:1</x:v>
      </x:c>
    </x:row>
    <x:row r="37" ht="90" customHeight="1">
      <x:c r="A37" s="8" t="str">
        <x:v>trunk:DB2:F4:fan:-1</x:v>
      </x:c>
      <x:c r="B37" s="8" t="str">
        <x:v>F4 · B · circuit trunk</x:v>
      </x:c>
      <x:c r="C37" s="8" t="str">
        <x:v>DB2</x:v>
      </x:c>
      <x:c r="D37" s="8" t="str">
        <x:v>F250</x:v>
      </x:c>
      <x:c r="E37" s="8" t="str">
        <x:v>DB2</x:v>
      </x:c>
      <x:c r="F37" s="8" t="str">
        <x:v>F4</x:v>
      </x:c>
      <x:c r="G37" s="8" t="str">
        <x:v>fan</x:v>
      </x:c>
      <x:c r="H37" s="8" t="str">
        <x:v>trunk</x:v>
      </x:c>
      <x:c r="I37" s="11" t="n">
        <x:f>SUMIF('Route Points'!$A$7:$A$354,A37,'Route Points'!$F$7:$F$354)</x:f>
        <x:v>12.517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drop:DB2:F4:fan:-1:F250</x:v>
      </x:c>
      <x:c r="B38" s="8" t="str">
        <x:v>F4 → Entrance circulator · B</x:v>
      </x:c>
      <x:c r="C38" s="8" t="str">
        <x:v>DB2</x:v>
      </x:c>
      <x:c r="D38" s="8" t="str">
        <x:v>F250</x:v>
      </x:c>
      <x:c r="E38" s="8" t="str">
        <x:v>DB2</x:v>
      </x:c>
      <x:c r="F38" s="8" t="str">
        <x:v>F4</x:v>
      </x:c>
      <x:c r="G38" s="8" t="str">
        <x:v>fan</x:v>
      </x:c>
      <x:c r="H38" s="8" t="str">
        <x:v>drop</x:v>
      </x:c>
      <x:c r="I38" s="11" t="n">
        <x:f>SUMIF('Route Points'!$A$7:$A$354,A38,'Route Points'!$F$7:$F$354)</x:f>
        <x:v>7.91542691446789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entrance wall band, solid pier and local termination.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trunk:DB2:F4:fan:-1</x:v>
      </x:c>
    </x:row>
    <x:row r="39" ht="90" customHeight="1">
      <x:c r="A39" s="8" t="str">
        <x:v>trunk:DB2:F4:fan:1</x:v>
      </x:c>
      <x:c r="B39" s="8" t="str">
        <x:v>F4 · H · circuit trunk</x:v>
      </x:c>
      <x:c r="C39" s="8" t="str">
        <x:v>DB2</x:v>
      </x:c>
      <x:c r="D39" s="8" t="str">
        <x:v>F251</x:v>
      </x:c>
      <x:c r="E39" s="8" t="str">
        <x:v>DB2</x:v>
      </x:c>
      <x:c r="F39" s="8" t="str">
        <x:v>F4</x:v>
      </x:c>
      <x:c r="G39" s="8" t="str">
        <x:v>fan</x:v>
      </x:c>
      <x:c r="H39" s="8" t="str">
        <x:v>trunk</x:v>
      </x:c>
      <x:c r="I39" s="11" t="n">
        <x:f>SUMIF('Route Points'!$A$7:$A$354,A39,'Route Points'!$F$7:$F$354)</x:f>
        <x:v>19.117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Wall bands above openings; concealed finish-matched soffit crossing over the 9–10 wing opening.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/>
    </x:row>
    <x:row r="40" ht="90" customHeight="1">
      <x:c r="A40" s="8" t="str">
        <x:v>drop:DB2:F4:fan:1:F251</x:v>
      </x:c>
      <x:c r="B40" s="8" t="str">
        <x:v>F4 → Entrance circulator · H</x:v>
      </x:c>
      <x:c r="C40" s="8" t="str">
        <x:v>DB2</x:v>
      </x:c>
      <x:c r="D40" s="8" t="str">
        <x:v>F251</x:v>
      </x:c>
      <x:c r="E40" s="8" t="str">
        <x:v>DB2</x:v>
      </x:c>
      <x:c r="F40" s="8" t="str">
        <x:v>F4</x:v>
      </x:c>
      <x:c r="G40" s="8" t="str">
        <x:v>fan</x:v>
      </x:c>
      <x:c r="H40" s="8" t="str">
        <x:v>drop</x:v>
      </x:c>
      <x:c r="I40" s="11" t="n">
        <x:f>SUMIF('Route Points'!$A$7:$A$354,A40,'Route Points'!$F$7:$F$354)</x:f>
        <x:v>7.91542691446789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entrance wall band, solid pier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trunk:DB2:F4:fan:1</x:v>
      </x:c>
    </x:row>
    <x:row r="41" ht="90" customHeight="1">
      <x:c r="A41" s="8" t="str">
        <x:v>trunk:FC1:V1:fan:-1</x:v>
      </x:c>
      <x:c r="B41" s="8" t="str">
        <x:v>V1 · B · circuit trunk</x:v>
      </x:c>
      <x:c r="C41" s="8" t="str">
        <x:v>FC1</x:v>
      </x:c>
      <x:c r="D41" s="8" t="str">
        <x:v>F252
F253
F256
F257
F260</x:v>
      </x:c>
      <x:c r="E41" s="8" t="str">
        <x:v>DB1</x:v>
      </x:c>
      <x:c r="F41" s="8" t="str">
        <x:v>V1</x:v>
      </x:c>
      <x:c r="G41" s="8" t="str">
        <x:v>fan</x:v>
      </x:c>
      <x:c r="H41" s="8" t="str">
        <x:v>trunk</x:v>
      </x:c>
      <x:c r="I41" s="11" t="n">
        <x:f>SUMIF('Route Points'!$A$7:$A$354,A41,'Route Points'!$F$7:$F$354)</x:f>
        <x:v>67.54713031117919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Wall bands above openings; concealed finish-matched soffit crossing over the 9–10 wing opening.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/>
    </x:row>
    <x:row r="42" ht="90" customHeight="1">
      <x:c r="A42" s="8" t="str">
        <x:v>drop:FC1:V1:fan:-1:F252</x:v>
      </x:c>
      <x:c r="B42" s="8" t="str">
        <x:v>V1 → Exhaust fan · front gable · B outer</x:v>
      </x:c>
      <x:c r="C42" s="8" t="str">
        <x:v>FC1</x:v>
      </x:c>
      <x:c r="D42" s="8" t="str">
        <x:v>F252</x:v>
      </x:c>
      <x:c r="E42" s="8" t="str">
        <x:v>DB1</x:v>
      </x:c>
      <x:c r="F42" s="8" t="str">
        <x:v>V1</x:v>
      </x:c>
      <x:c r="G42" s="8" t="str">
        <x:v>fan</x:v>
      </x:c>
      <x:c r="H42" s="8" t="str">
        <x:v>drop</x:v>
      </x:c>
      <x:c r="I42" s="11" t="n">
        <x:f>SUMIF('Route Points'!$A$7:$A$354,A42,'Route Points'!$F$7:$F$354)</x:f>
        <x:v>8.69282092938182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Above roof lining to solid front gable above terrace; local fan connection.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trunk:FC1:V1:fan:-1</x:v>
      </x:c>
    </x:row>
    <x:row r="43" ht="90" customHeight="1">
      <x:c r="A43" s="8" t="str">
        <x:v>drop:FC1:V1:fan:-1:F253</x:v>
      </x:c>
      <x:c r="B43" s="8" t="str">
        <x:v>V1 → Exhaust fan · front gable · B inner</x:v>
      </x:c>
      <x:c r="C43" s="8" t="str">
        <x:v>FC1</x:v>
      </x:c>
      <x:c r="D43" s="8" t="str">
        <x:v>F253</x:v>
      </x:c>
      <x:c r="E43" s="8" t="str">
        <x:v>DB1</x:v>
      </x:c>
      <x:c r="F43" s="8" t="str">
        <x:v>V1</x:v>
      </x:c>
      <x:c r="G43" s="8" t="str">
        <x:v>fan</x:v>
      </x:c>
      <x:c r="H43" s="8" t="str">
        <x:v>drop</x:v>
      </x:c>
      <x:c r="I43" s="11" t="n">
        <x:f>SUMIF('Route Points'!$A$7:$A$354,A43,'Route Points'!$F$7:$F$354)</x:f>
        <x:v>11.831150261440472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Above roof lining to solid front gable above terrace; local fan connection.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trunk:FC1:V1:fan:-1</x:v>
      </x:c>
    </x:row>
    <x:row r="44" ht="90" customHeight="1">
      <x:c r="A44" s="8" t="str">
        <x:v>drop:FC1:V1:fan:-1:F256</x:v>
      </x:c>
      <x:c r="B44" s="8" t="str">
        <x:v>V1 → Exhaust fan · wing gable B · front</x:v>
      </x:c>
      <x:c r="C44" s="8" t="str">
        <x:v>FC1</x:v>
      </x:c>
      <x:c r="D44" s="8" t="str">
        <x:v>F256</x:v>
      </x:c>
      <x:c r="E44" s="8" t="str">
        <x:v>DB1</x:v>
      </x:c>
      <x:c r="F44" s="8" t="str">
        <x:v>V1</x:v>
      </x:c>
      <x:c r="G44" s="8" t="str">
        <x:v>fan</x:v>
      </x:c>
      <x:c r="H44" s="8" t="str">
        <x:v>drop</x:v>
      </x:c>
      <x:c r="I44" s="11" t="n">
        <x:f>SUMIF('Route Points'!$A$7:$A$354,A44,'Route Points'!$F$7:$F$354)</x:f>
        <x:v>6.973264175257731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Covered roof-soffit crossing into outer arcade / wing-gable wall, then concealed pier drop. No exposed crossing at equipment height.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trunk:FC1:V1:fan:-1</x:v>
      </x:c>
    </x:row>
    <x:row r="45" ht="90" customHeight="1">
      <x:c r="A45" s="8" t="str">
        <x:v>drop:FC1:V1:fan:-1:F257</x:v>
      </x:c>
      <x:c r="B45" s="8" t="str">
        <x:v>V1 → Exhaust fan · wing gable B · rear</x:v>
      </x:c>
      <x:c r="C45" s="8" t="str">
        <x:v>FC1</x:v>
      </x:c>
      <x:c r="D45" s="8" t="str">
        <x:v>F257</x:v>
      </x:c>
      <x:c r="E45" s="8" t="str">
        <x:v>DB1</x:v>
      </x:c>
      <x:c r="F45" s="8" t="str">
        <x:v>V1</x:v>
      </x:c>
      <x:c r="G45" s="8" t="str">
        <x:v>fan</x:v>
      </x:c>
      <x:c r="H45" s="8" t="str">
        <x:v>drop</x:v>
      </x:c>
      <x:c r="I45" s="11" t="n">
        <x:f>SUMIF('Route Points'!$A$7:$A$354,A45,'Route Points'!$F$7:$F$354)</x:f>
        <x:v>6.973264175257731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Covered roof-soffit crossing into outer arcade / wing-gable wall, then concealed pier drop. No exposed crossing at equipment height.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trunk:FC1:V1:fan:-1</x:v>
      </x:c>
    </x:row>
    <x:row r="46" ht="90" customHeight="1">
      <x:c r="A46" s="8" t="str">
        <x:v>drop:FC1:V1:fan:-1:F260</x:v>
      </x:c>
      <x:c r="B46" s="8" t="str">
        <x:v>V1 → Exhaust fan · service room</x:v>
      </x:c>
      <x:c r="C46" s="8" t="str">
        <x:v>FC1</x:v>
      </x:c>
      <x:c r="D46" s="8" t="str">
        <x:v>F260</x:v>
      </x:c>
      <x:c r="E46" s="8" t="str">
        <x:v>DB1</x:v>
      </x:c>
      <x:c r="F46" s="8" t="str">
        <x:v>V1</x:v>
      </x:c>
      <x:c r="G46" s="8" t="str">
        <x:v>fan</x:v>
      </x:c>
      <x:c r="H46" s="8" t="str">
        <x:v>drop</x:v>
      </x:c>
      <x:c r="I46" s="11" t="n">
        <x:f>SUMIF('Route Points'!$A$7:$A$354,A46,'Route Points'!$F$7:$F$354)</x:f>
        <x:v>10.2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Rear-wall band and local termination; gable / weatherproof entry details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trunk:FC1:V1:fan:-1</x:v>
      </x:c>
    </x:row>
    <x:row r="47" ht="90" customHeight="1">
      <x:c r="A47" s="8" t="str">
        <x:v>trunk:FC1:V1:fan:1</x:v>
      </x:c>
      <x:c r="B47" s="8" t="str">
        <x:v>V1 · H · circuit trunk</x:v>
      </x:c>
      <x:c r="C47" s="8" t="str">
        <x:v>FC1</x:v>
      </x:c>
      <x:c r="D47" s="8" t="str">
        <x:v>F254
F255
F258
F259</x:v>
      </x:c>
      <x:c r="E47" s="8" t="str">
        <x:v>DB1</x:v>
      </x:c>
      <x:c r="F47" s="8" t="str">
        <x:v>V1</x:v>
      </x:c>
      <x:c r="G47" s="8" t="str">
        <x:v>fan</x:v>
      </x:c>
      <x:c r="H47" s="8" t="str">
        <x:v>trunk</x:v>
      </x:c>
      <x:c r="I47" s="11" t="n">
        <x:f>SUMIF('Route Points'!$A$7:$A$354,A47,'Route Points'!$F$7:$F$354)</x:f>
        <x:v>74.14713031117918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drop:FC1:V1:fan:1:F254</x:v>
      </x:c>
      <x:c r="B48" s="8" t="str">
        <x:v>V1 → Exhaust fan · front gable · H inner</x:v>
      </x:c>
      <x:c r="C48" s="8" t="str">
        <x:v>FC1</x:v>
      </x:c>
      <x:c r="D48" s="8" t="str">
        <x:v>F254</x:v>
      </x:c>
      <x:c r="E48" s="8" t="str">
        <x:v>DB1</x:v>
      </x:c>
      <x:c r="F48" s="8" t="str">
        <x:v>V1</x:v>
      </x:c>
      <x:c r="G48" s="8" t="str">
        <x:v>fan</x:v>
      </x:c>
      <x:c r="H48" s="8" t="str">
        <x:v>drop</x:v>
      </x:c>
      <x:c r="I48" s="11" t="n">
        <x:f>SUMIF('Route Points'!$A$7:$A$354,A48,'Route Points'!$F$7:$F$354)</x:f>
        <x:v>11.831150261440472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roof lining to solid front gable above terrace; local fan connection.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trunk:FC1:V1:fan:1</x:v>
      </x:c>
    </x:row>
    <x:row r="49" ht="90" customHeight="1">
      <x:c r="A49" s="8" t="str">
        <x:v>drop:FC1:V1:fan:1:F255</x:v>
      </x:c>
      <x:c r="B49" s="8" t="str">
        <x:v>V1 → Exhaust fan · front gable · H outer</x:v>
      </x:c>
      <x:c r="C49" s="8" t="str">
        <x:v>FC1</x:v>
      </x:c>
      <x:c r="D49" s="8" t="str">
        <x:v>F255</x:v>
      </x:c>
      <x:c r="E49" s="8" t="str">
        <x:v>DB1</x:v>
      </x:c>
      <x:c r="F49" s="8" t="str">
        <x:v>V1</x:v>
      </x:c>
      <x:c r="G49" s="8" t="str">
        <x:v>fan</x:v>
      </x:c>
      <x:c r="H49" s="8" t="str">
        <x:v>drop</x:v>
      </x:c>
      <x:c r="I49" s="11" t="n">
        <x:f>SUMIF('Route Points'!$A$7:$A$354,A49,'Route Points'!$F$7:$F$354)</x:f>
        <x:v>8.69282092938182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roof lining to solid front gable above terrace; local fan connection.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trunk:FC1:V1:fan:1</x:v>
      </x:c>
    </x:row>
    <x:row r="50" ht="90" customHeight="1">
      <x:c r="A50" s="8" t="str">
        <x:v>drop:FC1:V1:fan:1:F258</x:v>
      </x:c>
      <x:c r="B50" s="8" t="str">
        <x:v>V1 → Exhaust fan · wing gable H · front</x:v>
      </x:c>
      <x:c r="C50" s="8" t="str">
        <x:v>FC1</x:v>
      </x:c>
      <x:c r="D50" s="8" t="str">
        <x:v>F258</x:v>
      </x:c>
      <x:c r="E50" s="8" t="str">
        <x:v>DB1</x:v>
      </x:c>
      <x:c r="F50" s="8" t="str">
        <x:v>V1</x:v>
      </x:c>
      <x:c r="G50" s="8" t="str">
        <x:v>fan</x:v>
      </x:c>
      <x:c r="H50" s="8" t="str">
        <x:v>drop</x:v>
      </x:c>
      <x:c r="I50" s="11" t="n">
        <x:f>SUMIF('Route Points'!$A$7:$A$354,A50,'Route Points'!$F$7:$F$354)</x:f>
        <x:v>6.973264175257731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Covered roof-soffit crossing into outer arcade / wing-gable wall, then concealed pier drop. No exposed crossing at equipment height.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trunk:FC1:V1:fan:1</x:v>
      </x:c>
    </x:row>
    <x:row r="51" ht="90" customHeight="1">
      <x:c r="A51" s="8" t="str">
        <x:v>drop:FC1:V1:fan:1:F259</x:v>
      </x:c>
      <x:c r="B51" s="8" t="str">
        <x:v>V1 → Exhaust fan · wing gable H · rear</x:v>
      </x:c>
      <x:c r="C51" s="8" t="str">
        <x:v>FC1</x:v>
      </x:c>
      <x:c r="D51" s="8" t="str">
        <x:v>F259</x:v>
      </x:c>
      <x:c r="E51" s="8" t="str">
        <x:v>DB1</x:v>
      </x:c>
      <x:c r="F51" s="8" t="str">
        <x:v>V1</x:v>
      </x:c>
      <x:c r="G51" s="8" t="str">
        <x:v>fan</x:v>
      </x:c>
      <x:c r="H51" s="8" t="str">
        <x:v>drop</x:v>
      </x:c>
      <x:c r="I51" s="11" t="n">
        <x:f>SUMIF('Route Points'!$A$7:$A$354,A51,'Route Points'!$F$7:$F$354)</x:f>
        <x:v>6.973264175257731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Covered roof-soffit crossing into outer arcade / wing-gable wall, then concealed pier drop. No exposed crossing at equipment height.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trunk:FC1:V1:fan:1</x:v>
      </x:c>
    </x:row>
    <x:row r="52" ht="90" customHeight="1">
      <x:c r="A52" s="8" t="str">
        <x:v>drop:FC1:F5:fan:-1:F-WING-B-3</x:v>
      </x:c>
      <x:c r="B52" s="8" t="str">
        <x:v>F5 → Wall fan · wing B · 3 · held review</x:v>
      </x:c>
      <x:c r="C52" s="8" t="str">
        <x:v>FC1</x:v>
      </x:c>
      <x:c r="D52" s="8" t="str">
        <x:v>F-WING-B-3</x:v>
      </x:c>
      <x:c r="E52" s="8" t="str">
        <x:v>DB1</x:v>
      </x:c>
      <x:c r="F52" s="8" t="str">
        <x:v>F5</x:v>
      </x:c>
      <x:c r="G52" s="8" t="str">
        <x:v>fan</x:v>
      </x:c>
      <x:c r="H52" s="8" t="str">
        <x:v>drop</x:v>
      </x:c>
      <x:c r="I52" s="11" t="n">
        <x:f>SUMIF('Route Points'!$A$7:$A$354,A52,'Route Points'!$F$7:$F$354)</x:f>
        <x:v>12.144617268041237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Covered roof-soffit crossing into outer arcade / wing-gable wall, then concealed pier drop. No exposed crossing at equipment height.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Retired</x:v>
      </x:c>
      <x:c r="Z52" s="8" t="str">
        <x:v>trunk:FC1:F5:fan:-1</x:v>
      </x:c>
    </x:row>
    <x:row r="53" ht="90" customHeight="1">
      <x:c r="A53" s="8" t="str">
        <x:v>drop:FC1:F5:fan:-1:F-WING-B-4</x:v>
      </x:c>
      <x:c r="B53" s="8" t="str">
        <x:v>F5 → Wall fan · wing B · 4 · held review</x:v>
      </x:c>
      <x:c r="C53" s="8" t="str">
        <x:v>FC1</x:v>
      </x:c>
      <x:c r="D53" s="8" t="str">
        <x:v>F-WING-B-4</x:v>
      </x:c>
      <x:c r="E53" s="8" t="str">
        <x:v>DB1</x:v>
      </x:c>
      <x:c r="F53" s="8" t="str">
        <x:v>F5</x:v>
      </x:c>
      <x:c r="G53" s="8" t="str">
        <x:v>fan</x:v>
      </x:c>
      <x:c r="H53" s="8" t="str">
        <x:v>drop</x:v>
      </x:c>
      <x:c r="I53" s="11" t="n">
        <x:f>SUMIF('Route Points'!$A$7:$A$354,A53,'Route Points'!$F$7:$F$354)</x:f>
        <x:v>10.700287371134024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Covered roof-soffit crossing into outer arcade / wing-gable wall, then concealed pier drop. No exposed crossing at equipment height.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Retired</x:v>
      </x:c>
      <x:c r="Z53" s="8" t="str">
        <x:v>trunk:FC1:F5:fan:-1</x:v>
      </x:c>
    </x:row>
    <x:row r="54" ht="90" customHeight="1">
      <x:c r="A54" s="8" t="str">
        <x:v>drop:FC1:F5:fan:1:F-WING-H-3</x:v>
      </x:c>
      <x:c r="B54" s="8" t="str">
        <x:v>F5 → Wall fan · wing H · 3 · held review</x:v>
      </x:c>
      <x:c r="C54" s="8" t="str">
        <x:v>FC1</x:v>
      </x:c>
      <x:c r="D54" s="8" t="str">
        <x:v>F-WING-H-3</x:v>
      </x:c>
      <x:c r="E54" s="8" t="str">
        <x:v>DB1</x:v>
      </x:c>
      <x:c r="F54" s="8" t="str">
        <x:v>F5</x:v>
      </x:c>
      <x:c r="G54" s="8" t="str">
        <x:v>fan</x:v>
      </x:c>
      <x:c r="H54" s="8" t="str">
        <x:v>drop</x:v>
      </x:c>
      <x:c r="I54" s="11" t="n">
        <x:f>SUMIF('Route Points'!$A$7:$A$354,A54,'Route Points'!$F$7:$F$354)</x:f>
        <x:v>12.144617268041237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Covered roof-soffit crossing into outer arcade / wing-gable wall, then concealed pier drop. No exposed crossing at equipment height.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Retired</x:v>
      </x:c>
      <x:c r="Z54" s="8" t="str">
        <x:v>trunk:FC1:F5:fan:1</x:v>
      </x:c>
    </x:row>
    <x:row r="55" ht="90" customHeight="1">
      <x:c r="A55" s="8" t="str">
        <x:v>drop:FC1:F5:fan:1:F-WING-H-4</x:v>
      </x:c>
      <x:c r="B55" s="8" t="str">
        <x:v>F5 → Wall fan · wing H · 4 · held review</x:v>
      </x:c>
      <x:c r="C55" s="8" t="str">
        <x:v>FC1</x:v>
      </x:c>
      <x:c r="D55" s="8" t="str">
        <x:v>F-WING-H-4</x:v>
      </x:c>
      <x:c r="E55" s="8" t="str">
        <x:v>DB1</x:v>
      </x:c>
      <x:c r="F55" s="8" t="str">
        <x:v>F5</x:v>
      </x:c>
      <x:c r="G55" s="8" t="str">
        <x:v>fan</x:v>
      </x:c>
      <x:c r="H55" s="8" t="str">
        <x:v>drop</x:v>
      </x:c>
      <x:c r="I55" s="11" t="n">
        <x:f>SUMIF('Route Points'!$A$7:$A$354,A55,'Route Points'!$F$7:$F$354)</x:f>
        <x:v>10.700287371134024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Retired</x:v>
      </x:c>
      <x:c r="Z55" s="8" t="str">
        <x:v>trunk:FC1:F5:fan:1</x:v>
      </x:c>
    </x:row>
    <x:row r="56" ht="90" customHeight="1">
      <x:c r="A56" s="8" t="str">
        <x:v>drop:FC1:F1:fan:-1:F240</x:v>
      </x:c>
      <x:c r="B56" s="8" t="str">
        <x:v>F1 → Ceiling fan · wing B · front</x:v>
      </x:c>
      <x:c r="C56" s="8" t="str">
        <x:v>FC1</x:v>
      </x:c>
      <x:c r="D56" s="8" t="str">
        <x:v>F240</x:v>
      </x:c>
      <x:c r="E56" s="8" t="str">
        <x:v>DB1</x:v>
      </x:c>
      <x:c r="F56" s="8" t="str">
        <x:v>F1</x:v>
      </x:c>
      <x:c r="G56" s="8" t="str">
        <x:v>fan</x:v>
      </x:c>
      <x:c r="H56" s="8" t="str">
        <x:v>drop</x:v>
      </x:c>
      <x:c r="I56" s="11" t="n">
        <x:f>SUMIF('Route Points'!$A$7:$A$354,A56,'Route Points'!$F$7:$F$354)</x:f>
        <x:v>7.73309922680412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nave lining / covered soffit route at wings and verandas; cable continues inside the existing pendant stem. Roof build-up, supports and access pending.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Retired</x:v>
      </x:c>
      <x:c r="Z56" s="8" t="str">
        <x:v>trunk:FC1:F1:fan:-1</x:v>
      </x:c>
    </x:row>
    <x:row r="57" ht="90" customHeight="1">
      <x:c r="A57" s="8" t="str">
        <x:v>drop:FC1:F1:fan:-1:F241</x:v>
      </x:c>
      <x:c r="B57" s="8" t="str">
        <x:v>F1 → Ceiling fan · wing B · rear</x:v>
      </x:c>
      <x:c r="C57" s="8" t="str">
        <x:v>FC1</x:v>
      </x:c>
      <x:c r="D57" s="8" t="str">
        <x:v>F241</x:v>
      </x:c>
      <x:c r="E57" s="8" t="str">
        <x:v>DB1</x:v>
      </x:c>
      <x:c r="F57" s="8" t="str">
        <x:v>F1</x:v>
      </x:c>
      <x:c r="G57" s="8" t="str">
        <x:v>fan</x:v>
      </x:c>
      <x:c r="H57" s="8" t="str">
        <x:v>drop</x:v>
      </x:c>
      <x:c r="I57" s="11" t="n">
        <x:f>SUMIF('Route Points'!$A$7:$A$354,A57,'Route Points'!$F$7:$F$354)</x:f>
        <x:v>7.733099226804125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nave lining / covered soffit route at wings and verandas; cable continues inside the existing pendant stem. Roof build-up, supports and access pending.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Retired</x:v>
      </x:c>
      <x:c r="Z57" s="8" t="str">
        <x:v>trunk:FC1:F1:fan:-1</x:v>
      </x:c>
    </x:row>
    <x:row r="58" ht="90" customHeight="1">
      <x:c r="A58" s="8" t="str">
        <x:v>drop:FC1:F1:fan:1:F242</x:v>
      </x:c>
      <x:c r="B58" s="8" t="str">
        <x:v>F1 → Ceiling fan · wing H · front</x:v>
      </x:c>
      <x:c r="C58" s="8" t="str">
        <x:v>FC1</x:v>
      </x:c>
      <x:c r="D58" s="8" t="str">
        <x:v>F242</x:v>
      </x:c>
      <x:c r="E58" s="8" t="str">
        <x:v>DB1</x:v>
      </x:c>
      <x:c r="F58" s="8" t="str">
        <x:v>F1</x:v>
      </x:c>
      <x:c r="G58" s="8" t="str">
        <x:v>fan</x:v>
      </x:c>
      <x:c r="H58" s="8" t="str">
        <x:v>drop</x:v>
      </x:c>
      <x:c r="I58" s="11" t="n">
        <x:f>SUMIF('Route Points'!$A$7:$A$354,A58,'Route Points'!$F$7:$F$354)</x:f>
        <x:v>7.73309922680412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Above nave lining / covered soffit route at wings and verandas; cable continues inside the existing pendant stem. Roof build-up, supports and access pending.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Retired</x:v>
      </x:c>
      <x:c r="Z58" s="8" t="str">
        <x:v>trunk:FC1:F1:fan:1</x:v>
      </x:c>
    </x:row>
    <x:row r="59" ht="90" customHeight="1">
      <x:c r="A59" s="8" t="str">
        <x:v>drop:FC1:F1:fan:1:F243</x:v>
      </x:c>
      <x:c r="B59" s="8" t="str">
        <x:v>F1 → Ceiling fan · wing H · rear</x:v>
      </x:c>
      <x:c r="C59" s="8" t="str">
        <x:v>FC1</x:v>
      </x:c>
      <x:c r="D59" s="8" t="str">
        <x:v>F243</x:v>
      </x:c>
      <x:c r="E59" s="8" t="str">
        <x:v>DB1</x:v>
      </x:c>
      <x:c r="F59" s="8" t="str">
        <x:v>F1</x:v>
      </x:c>
      <x:c r="G59" s="8" t="str">
        <x:v>fan</x:v>
      </x:c>
      <x:c r="H59" s="8" t="str">
        <x:v>drop</x:v>
      </x:c>
      <x:c r="I59" s="11" t="n">
        <x:f>SUMIF('Route Points'!$A$7:$A$354,A59,'Route Points'!$F$7:$F$354)</x:f>
        <x:v>7.733099226804125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nave lining / covered soffit route at wings and verandas; cable continues inside the existing pendant stem. Roof build-up, supports and access pending.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Retired</x:v>
      </x:c>
      <x:c r="Z59" s="8" t="str">
        <x:v>trunk:FC1:F1:fan:1</x:v>
      </x:c>
    </x:row>
  </x:sheetData>
  <x:conditionalFormatting sqref="Y7:Y59">
    <x:cfRule type="containsText" dxfId="1" priority="1" operator="containsText" text="Retired"/>
  </x:conditionalFormatting>
  <x:dataValidations count="3">
    <x:dataValidation type="decimal" operator="greaterThanOrEqual" sqref="M7:M59">
      <x:formula1>0</x:formula1>
    </x:dataValidation>
    <x:dataValidation type="decimal" operator="greaterThanOrEqual" sqref="R7:R59">
      <x:formula1>0</x:formula1>
    </x:dataValidation>
    <x:dataValidation type="decimal" operator="greaterThanOrEqual" sqref="S7:S5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28d14df995457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14.475000000000001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22.5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trunk:FC1:F2:fan:1</x:v>
      </x:c>
      <x:c r="B198" s="8" t="n">
        <x:v>1</x:v>
      </x:c>
      <x:c r="C198" s="11" t="n">
        <x:v>48.895</x:v>
      </x:c>
      <x:c r="D198" s="11" t="n">
        <x:v>1.95</x:v>
      </x:c>
      <x:c r="E198" s="11" t="n">
        <x:v>0.4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trunk:FC1:F2:fan:1</x:v>
      </x:c>
      <x:c r="B199" s="8" t="n">
        <x:v>2</x:v>
      </x:c>
      <x:c r="C199" s="11" t="n">
        <x:v>48.735</x:v>
      </x:c>
      <x:c r="D199" s="11" t="n">
        <x:v>1.95</x:v>
      </x:c>
      <x:c r="E199" s="11" t="n">
        <x:v>0.4</x:v>
      </x:c>
      <x:c r="F199" s="11" t="n">
        <x:f>SQRT((C199-C198)^2+(D199-D198)^2+(E199-E198)^2)</x:f>
        <x:v>0.1600000000000037</x:v>
      </x:c>
      <x:c r="G199" s="8" t="str">
        <x:v>Current</x:v>
      </x:c>
    </x:row>
    <x:row r="200" ht="32" customHeight="1">
      <x:c r="A200" s="8" t="str">
        <x:v>trunk:FC1:F2:fan:1</x:v>
      </x:c>
      <x:c r="B200" s="8" t="n">
        <x:v>3</x:v>
      </x:c>
      <x:c r="C200" s="11" t="n">
        <x:v>48.735</x:v>
      </x:c>
      <x:c r="D200" s="11" t="n">
        <x:v>1.95</x:v>
      </x:c>
      <x:c r="E200" s="11" t="n">
        <x:v>-2.24</x:v>
      </x:c>
      <x:c r="F200" s="11" t="n">
        <x:f>SQRT((C200-C199)^2+(D200-D199)^2+(E200-E199)^2)</x:f>
        <x:v>2.64</x:v>
      </x:c>
      <x:c r="G200" s="8" t="str">
        <x:v>Current</x:v>
      </x:c>
    </x:row>
    <x:row r="201" ht="32" customHeight="1">
      <x:c r="A201" s="8" t="str">
        <x:v>trunk:FC1:F2:fan:1</x:v>
      </x:c>
      <x:c r="B201" s="8" t="n">
        <x:v>4</x:v>
      </x:c>
      <x:c r="C201" s="11" t="n">
        <x:v>48.735</x:v>
      </x:c>
      <x:c r="D201" s="11" t="n">
        <x:v>4.33</x:v>
      </x:c>
      <x:c r="E201" s="11" t="n">
        <x:v>-2.24</x:v>
      </x:c>
      <x:c r="F201" s="11" t="n">
        <x:f>SQRT((C201-C200)^2+(D201-D200)^2+(E201-E200)^2)</x:f>
        <x:v>2.38</x:v>
      </x:c>
      <x:c r="G201" s="8" t="str">
        <x:v>Current</x:v>
      </x:c>
    </x:row>
    <x:row r="202" ht="32" customHeight="1">
      <x:c r="A202" s="8" t="str">
        <x:v>trunk:FC1:F2:fan:1</x:v>
      </x:c>
      <x:c r="B202" s="8" t="n">
        <x:v>5</x:v>
      </x:c>
      <x:c r="C202" s="11" t="n">
        <x:v>48.735</x:v>
      </x:c>
      <x:c r="D202" s="11" t="n">
        <x:v>4.33</x:v>
      </x:c>
      <x:c r="E202" s="11" t="n">
        <x:v>-3.3</x:v>
      </x:c>
      <x:c r="F202" s="11" t="n">
        <x:f>SQRT((C202-C201)^2+(D202-D201)^2+(E202-E201)^2)</x:f>
        <x:v>1.0599999999999996</x:v>
      </x:c>
      <x:c r="G202" s="8" t="str">
        <x:v>Current</x:v>
      </x:c>
    </x:row>
    <x:row r="203" ht="32" customHeight="1">
      <x:c r="A203" s="8" t="str">
        <x:v>trunk:FC1:F2:fan:1</x:v>
      </x:c>
      <x:c r="B203" s="8" t="n">
        <x:v>6</x:v>
      </x:c>
      <x:c r="C203" s="11" t="n">
        <x:v>53.016</x:v>
      </x:c>
      <x:c r="D203" s="11" t="n">
        <x:v>4.33</x:v>
      </x:c>
      <x:c r="E203" s="11" t="n">
        <x:v>-3.3</x:v>
      </x:c>
      <x:c r="F203" s="11" t="n">
        <x:f>SQRT((C203-C202)^2+(D203-D202)^2+(E203-E202)^2)</x:f>
        <x:v>4.280999999999999</x:v>
      </x:c>
      <x:c r="G203" s="8" t="str">
        <x:v>Current</x:v>
      </x:c>
    </x:row>
    <x:row r="204" ht="32" customHeight="1">
      <x:c r="A204" s="8" t="str">
        <x:v>trunk:FC1:F2:fan:1</x:v>
      </x:c>
      <x:c r="B204" s="8" t="n">
        <x:v>7</x:v>
      </x:c>
      <x:c r="C204" s="11" t="n">
        <x:v>53.016</x:v>
      </x:c>
      <x:c r="D204" s="11" t="n">
        <x:v>6.0120000000000005</x:v>
      </x:c>
      <x:c r="E204" s="11" t="n">
        <x:v>-3.3</x:v>
      </x:c>
      <x:c r="F204" s="11" t="n">
        <x:f>SQRT((C204-C203)^2+(D204-D203)^2+(E204-E203)^2)</x:f>
        <x:v>1.6820000000000004</x:v>
      </x:c>
      <x:c r="G204" s="8" t="str">
        <x:v>Current</x:v>
      </x:c>
    </x:row>
    <x:row r="205" ht="32" customHeight="1">
      <x:c r="A205" s="8" t="str">
        <x:v>trunk:FC1:F2:fan:1</x:v>
      </x:c>
      <x:c r="B205" s="8" t="n">
        <x:v>8</x:v>
      </x:c>
      <x:c r="C205" s="11" t="n">
        <x:v>53.016</x:v>
      </x:c>
      <x:c r="D205" s="11" t="n">
        <x:v>6.0120000000000005</x:v>
      </x:c>
      <x:c r="E205" s="11" t="n">
        <x:v>7.36</x:v>
      </x:c>
      <x:c r="F205" s="11" t="n">
        <x:f>SQRT((C205-C204)^2+(D205-D204)^2+(E205-E204)^2)</x:f>
        <x:v>10.66</x:v>
      </x:c>
      <x:c r="G205" s="8" t="str">
        <x:v>Current</x:v>
      </x:c>
    </x:row>
    <x:row r="206" ht="32" customHeight="1">
      <x:c r="A206" s="8" t="str">
        <x:v>trunk:FC1:F2:fan:1</x:v>
      </x:c>
      <x:c r="B206" s="8" t="n">
        <x:v>9</x:v>
      </x:c>
      <x:c r="C206" s="11" t="n">
        <x:v>44.175</x:v>
      </x:c>
      <x:c r="D206" s="11" t="n">
        <x:v>6.0120000000000005</x:v>
      </x:c>
      <x:c r="E206" s="11" t="n">
        <x:v>7.36</x:v>
      </x:c>
      <x:c r="F206" s="11" t="n">
        <x:f>SQRT((C206-C205)^2+(D206-D205)^2+(E206-E205)^2)</x:f>
        <x:v>8.841000000000001</x:v>
      </x:c>
      <x:c r="G206" s="8" t="str">
        <x:v>Current</x:v>
      </x:c>
    </x:row>
    <x:row r="207" ht="32" customHeight="1">
      <x:c r="A207" s="8" t="str">
        <x:v>trunk:FC1:F2:fan:1</x:v>
      </x:c>
      <x:c r="B207" s="8" t="n">
        <x:v>10</x:v>
      </x:c>
      <x:c r="C207" s="11" t="n">
        <x:v>44.175</x:v>
      </x:c>
      <x:c r="D207" s="11" t="n">
        <x:v>7.04</x:v>
      </x:c>
      <x:c r="E207" s="11" t="n">
        <x:v>7.36</x:v>
      </x:c>
      <x:c r="F207" s="11" t="n">
        <x:f>SQRT((C207-C206)^2+(D207-D206)^2+(E207-E206)^2)</x:f>
        <x:v>1.0279999999999996</x:v>
      </x:c>
      <x:c r="G207" s="8" t="str">
        <x:v>Current</x:v>
      </x:c>
    </x:row>
    <x:row r="208" ht="32" customHeight="1">
      <x:c r="A208" s="8" t="str">
        <x:v>trunk:FC1:F2:fan:1</x:v>
      </x:c>
      <x:c r="B208" s="8" t="n">
        <x:v>11</x:v>
      </x:c>
      <x:c r="C208" s="11" t="n">
        <x:v>43.535</x:v>
      </x:c>
      <x:c r="D208" s="11" t="n">
        <x:v>7.04</x:v>
      </x:c>
      <x:c r="E208" s="11" t="n">
        <x:v>7.36</x:v>
      </x:c>
      <x:c r="F208" s="11" t="n">
        <x:f>SQRT((C208-C207)^2+(D208-D207)^2+(E208-E207)^2)</x:f>
        <x:v>0.6400000000000006</x:v>
      </x:c>
      <x:c r="G208" s="8" t="str">
        <x:v>Current</x:v>
      </x:c>
    </x:row>
    <x:row r="209" ht="32" customHeight="1">
      <x:c r="A209" s="8" t="str">
        <x:v>trunk:FC1:F2:fan:1</x:v>
      </x:c>
      <x:c r="B209" s="8" t="n">
        <x:v>12</x:v>
      </x:c>
      <x:c r="C209" s="11" t="n">
        <x:v>43.455</x:v>
      </x:c>
      <x:c r="D209" s="11" t="n">
        <x:v>6.950412371134024</x:v>
      </x:c>
      <x:c r="E209" s="11" t="n">
        <x:v>7.36</x:v>
      </x:c>
      <x:c r="F209" s="11" t="n">
        <x:f>SQRT((C209-C208)^2+(D209-D208)^2+(E209-E208)^2)</x:f>
        <x:v>0.12010804821421249</x:v>
      </x:c>
      <x:c r="G209" s="8" t="str">
        <x:v>Current</x:v>
      </x:c>
    </x:row>
    <x:row r="210" ht="32" customHeight="1">
      <x:c r="A210" s="8" t="str">
        <x:v>trunk:FC1:F2:fan:1</x:v>
      </x:c>
      <x:c r="B210" s="8" t="n">
        <x:v>13</x:v>
      </x:c>
      <x:c r="C210" s="11" t="n">
        <x:v>40.574999999999996</x:v>
      </x:c>
      <x:c r="D210" s="11" t="n">
        <x:v>9.269999999999994</x:v>
      </x:c>
      <x:c r="E210" s="11" t="n">
        <x:v>7.36</x:v>
      </x:c>
      <x:c r="F210" s="11" t="n">
        <x:f>SQRT((C210-C209)^2+(D210-D209)^2+(E210-E209)^2)</x:f>
        <x:v>3.6979571073753776</x:v>
      </x:c>
      <x:c r="G210" s="8" t="str">
        <x:v>Current</x:v>
      </x:c>
    </x:row>
    <x:row r="211" ht="32" customHeight="1">
      <x:c r="A211" s="8" t="str">
        <x:v>trunk:FC1:F2:fan:1</x:v>
      </x:c>
      <x:c r="B211" s="8" t="n">
        <x:v>14</x:v>
      </x:c>
      <x:c r="C211" s="11" t="n">
        <x:v>37.695</x:v>
      </x:c>
      <x:c r="D211" s="11" t="n">
        <x:v>6.950412371134018</x:v>
      </x:c>
      <x:c r="E211" s="11" t="n">
        <x:v>7.36</x:v>
      </x:c>
      <x:c r="F211" s="11" t="n">
        <x:f>SQRT((C211-C210)^2+(D211-D210)^2+(E211-E210)^2)</x:f>
        <x:v>3.697957107375376</x:v>
      </x:c>
      <x:c r="G211" s="8" t="str">
        <x:v>Current</x:v>
      </x:c>
    </x:row>
    <x:row r="212" ht="32" customHeight="1">
      <x:c r="A212" s="8" t="str">
        <x:v>trunk:FC1:F2:fan:1</x:v>
      </x:c>
      <x:c r="B212" s="8" t="n">
        <x:v>15</x:v>
      </x:c>
      <x:c r="C212" s="11" t="n">
        <x:v>37.615</x:v>
      </x:c>
      <x:c r="D212" s="11" t="n">
        <x:v>7.04</x:v>
      </x:c>
      <x:c r="E212" s="11" t="n">
        <x:v>7.36</x:v>
      </x:c>
      <x:c r="F212" s="11" t="n">
        <x:f>SQRT((C212-C211)^2+(D212-D211)^2+(E212-E211)^2)</x:f>
        <x:v>0.12010804821421713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16</x:v>
      </x:c>
      <x:c r="C213" s="11" t="n">
        <x:v>36.975</x:v>
      </x:c>
      <x:c r="D213" s="11" t="n">
        <x:v>7.04</x:v>
      </x:c>
      <x:c r="E213" s="11" t="n">
        <x:v>7.36</x:v>
      </x:c>
      <x:c r="F213" s="11" t="n">
        <x:f>SQRT((C213-C212)^2+(D213-D212)^2+(E213-E212)^2)</x:f>
        <x:v>0.6400000000000006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17</x:v>
      </x:c>
      <x:c r="C214" s="11" t="n">
        <x:v>36.975</x:v>
      </x:c>
      <x:c r="D214" s="11" t="n">
        <x:v>6.0120000000000005</x:v>
      </x:c>
      <x:c r="E214" s="11" t="n">
        <x:v>7.36</x:v>
      </x:c>
      <x:c r="F214" s="11" t="n">
        <x:f>SQRT((C214-C213)^2+(D214-D213)^2+(E214-E213)^2)</x:f>
        <x:v>1.0279999999999996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18</x:v>
      </x:c>
      <x:c r="C215" s="11" t="n">
        <x:v>14.475000000000001</x:v>
      </x:c>
      <x:c r="D215" s="11" t="n">
        <x:v>6.0120000000000005</x:v>
      </x:c>
      <x:c r="E215" s="11" t="n">
        <x:v>7.36</x:v>
      </x:c>
      <x:c r="F215" s="11" t="n">
        <x:f>SQRT((C215-C214)^2+(D215-D214)^2+(E215-E214)^2)</x:f>
        <x:v>22.5</x:v>
      </x:c>
      <x:c r="G215" s="8" t="str">
        <x:v>Current</x:v>
      </x:c>
    </x:row>
    <x:row r="216" ht="32" customHeight="1">
      <x:c r="A216" s="8" t="str">
        <x:v>drop:FC1:F2:fan:1:F245</x:v>
      </x:c>
      <x:c r="B216" s="8" t="n">
        <x:v>1</x:v>
      </x:c>
      <x:c r="C216" s="11" t="n">
        <x:v>14.475000000000001</x:v>
      </x:c>
      <x:c r="D216" s="11" t="n">
        <x:v>6.0120000000000005</x:v>
      </x:c>
      <x:c r="E216" s="11" t="n">
        <x:v>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drop:FC1:F2:fan:1:F245</x:v>
      </x:c>
      <x:c r="B217" s="8" t="n">
        <x:v>2</x:v>
      </x:c>
      <x:c r="C217" s="11" t="n">
        <x:v>14.475000000000001</x:v>
      </x:c>
      <x:c r="D217" s="11" t="n">
        <x:v>5.55</x:v>
      </x:c>
      <x:c r="E217" s="11" t="n">
        <x:v>7.36</x:v>
      </x:c>
      <x:c r="F217" s="11" t="n">
        <x:f>SQRT((C217-C216)^2+(D217-D216)^2+(E217-E216)^2)</x:f>
        <x:v>0.46200000000000063</x:v>
      </x:c>
      <x:c r="G217" s="8" t="str">
        <x:v>Current</x:v>
      </x:c>
    </x:row>
    <x:row r="218" ht="32" customHeight="1">
      <x:c r="A218" s="8" t="str">
        <x:v>drop:FC1:F2:fan:1:F245</x:v>
      </x:c>
      <x:c r="B218" s="8" t="n">
        <x:v>3</x:v>
      </x:c>
      <x:c r="C218" s="11" t="n">
        <x:v>14.475</x:v>
      </x:c>
      <x:c r="D218" s="11" t="n">
        <x:v>5.55</x:v>
      </x:c>
      <x:c r="E218" s="11" t="n">
        <x:v>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drop:FC1:F2:fan:1:F247</x:v>
      </x:c>
      <x:c r="B219" s="8" t="n">
        <x:v>1</x:v>
      </x:c>
      <x:c r="C219" s="11" t="n">
        <x:v>23.475</x:v>
      </x:c>
      <x:c r="D219" s="11" t="n">
        <x:v>6.0120000000000005</x:v>
      </x:c>
      <x:c r="E219" s="11" t="n">
        <x:v>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drop:FC1:F2:fan:1:F247</x:v>
      </x:c>
      <x:c r="B220" s="8" t="n">
        <x:v>2</x:v>
      </x:c>
      <x:c r="C220" s="11" t="n">
        <x:v>23.475</x:v>
      </x:c>
      <x:c r="D220" s="11" t="n">
        <x:v>5.55</x:v>
      </x:c>
      <x:c r="E220" s="11" t="n">
        <x:v>7.36</x:v>
      </x:c>
      <x:c r="F220" s="11" t="n">
        <x:f>SQRT((C220-C219)^2+(D220-D219)^2+(E220-E219)^2)</x:f>
        <x:v>0.46200000000000063</x:v>
      </x:c>
      <x:c r="G220" s="8" t="str">
        <x:v>Current</x:v>
      </x:c>
    </x:row>
    <x:row r="221" ht="32" customHeight="1">
      <x:c r="A221" s="8" t="str">
        <x:v>drop:FC1:F2:fan:1:F247</x:v>
      </x:c>
      <x:c r="B221" s="8" t="n">
        <x:v>3</x:v>
      </x:c>
      <x:c r="C221" s="11" t="n">
        <x:v>23.475</x:v>
      </x:c>
      <x:c r="D221" s="11" t="n">
        <x:v>5.55</x:v>
      </x:c>
      <x:c r="E221" s="11" t="n">
        <x:v>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drop:FC1:F2:fan:1:F249</x:v>
      </x:c>
      <x:c r="B222" s="8" t="n">
        <x:v>1</x:v>
      </x:c>
      <x:c r="C222" s="11" t="n">
        <x:v>32.475</x:v>
      </x:c>
      <x:c r="D222" s="11" t="n">
        <x:v>6.0120000000000005</x:v>
      </x:c>
      <x:c r="E222" s="11" t="n">
        <x:v>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drop:FC1:F2:fan:1:F249</x:v>
      </x:c>
      <x:c r="B223" s="8" t="n">
        <x:v>2</x:v>
      </x:c>
      <x:c r="C223" s="11" t="n">
        <x:v>32.475</x:v>
      </x:c>
      <x:c r="D223" s="11" t="n">
        <x:v>5.55</x:v>
      </x:c>
      <x:c r="E223" s="11" t="n">
        <x:v>7.36</x:v>
      </x:c>
      <x:c r="F223" s="11" t="n">
        <x:f>SQRT((C223-C222)^2+(D223-D222)^2+(E223-E222)^2)</x:f>
        <x:v>0.46200000000000063</x:v>
      </x:c>
      <x:c r="G223" s="8" t="str">
        <x:v>Current</x:v>
      </x:c>
    </x:row>
    <x:row r="224" ht="32" customHeight="1">
      <x:c r="A224" s="8" t="str">
        <x:v>drop:FC1:F2:fan:1:F249</x:v>
      </x:c>
      <x:c r="B224" s="8" t="n">
        <x:v>3</x:v>
      </x:c>
      <x:c r="C224" s="11" t="n">
        <x:v>32.475</x:v>
      </x:c>
      <x:c r="D224" s="11" t="n">
        <x:v>5.55</x:v>
      </x:c>
      <x:c r="E224" s="11" t="n">
        <x:v>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trunk:DB2:F4:fan:-1</x:v>
      </x:c>
      <x:c r="B225" s="8" t="n">
        <x:v>1</x:v>
      </x:c>
      <x:c r="C225" s="11" t="n">
        <x:v>2.73</x:v>
      </x:c>
      <x:c r="D225" s="11" t="n">
        <x:v>1.5</x:v>
      </x:c>
      <x:c r="E225" s="11" t="n">
        <x:v>-3.3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trunk:DB2:F4:fan:-1</x:v>
      </x:c>
      <x:c r="B226" s="8" t="n">
        <x:v>2</x:v>
      </x:c>
      <x:c r="C226" s="11" t="n">
        <x:v>2.35</x:v>
      </x:c>
      <x:c r="D226" s="11" t="n">
        <x:v>1.5</x:v>
      </x:c>
      <x:c r="E226" s="11" t="n">
        <x:v>-3.3</x:v>
      </x:c>
      <x:c r="F226" s="11" t="n">
        <x:f>SQRT((C226-C225)^2+(D226-D225)^2+(E226-E225)^2)</x:f>
        <x:v>0.3799999999999999</x:v>
      </x:c>
      <x:c r="G226" s="8" t="str">
        <x:v>Current</x:v>
      </x:c>
    </x:row>
    <x:row r="227" ht="32" customHeight="1">
      <x:c r="A227" s="8" t="str">
        <x:v>trunk:DB2:F4:fan:-1</x:v>
      </x:c>
      <x:c r="B227" s="8" t="n">
        <x:v>3</x:v>
      </x:c>
      <x:c r="C227" s="11" t="n">
        <x:v>2.35</x:v>
      </x:c>
      <x:c r="D227" s="11" t="n">
        <x:v>7.65</x:v>
      </x:c>
      <x:c r="E227" s="11" t="n">
        <x:v>-3.3</x:v>
      </x:c>
      <x:c r="F227" s="11" t="n">
        <x:f>SQRT((C227-C226)^2+(D227-D226)^2+(E227-E226)^2)</x:f>
        <x:v>6.15</x:v>
      </x:c>
      <x:c r="G227" s="8" t="str">
        <x:v>Current</x:v>
      </x:c>
    </x:row>
    <x:row r="228" ht="32" customHeight="1">
      <x:c r="A228" s="8" t="str">
        <x:v>trunk:DB2:F4:fan:-1</x:v>
      </x:c>
      <x:c r="B228" s="8" t="n">
        <x:v>4</x:v>
      </x:c>
      <x:c r="C228" s="11" t="n">
        <x:v>2.35</x:v>
      </x:c>
      <x:c r="D228" s="11" t="n">
        <x:v>7.65</x:v>
      </x:c>
      <x:c r="E228" s="11" t="n">
        <x:v>-7.36</x:v>
      </x:c>
      <x:c r="F228" s="11" t="n">
        <x:f>SQRT((C228-C227)^2+(D228-D227)^2+(E228-E227)^2)</x:f>
        <x:v>4.0600000000000005</x:v>
      </x:c>
      <x:c r="G228" s="8" t="str">
        <x:v>Current</x:v>
      </x:c>
    </x:row>
    <x:row r="229" ht="32" customHeight="1">
      <x:c r="A229" s="8" t="str">
        <x:v>trunk:DB2:F4:fan:-1</x:v>
      </x:c>
      <x:c r="B229" s="8" t="n">
        <x:v>5</x:v>
      </x:c>
      <x:c r="C229" s="11" t="n">
        <x:v>2.35</x:v>
      </x:c>
      <x:c r="D229" s="11" t="n">
        <x:v>6.0280000000000005</x:v>
      </x:c>
      <x:c r="E229" s="11" t="n">
        <x:v>-7.36</x:v>
      </x:c>
      <x:c r="F229" s="11" t="n">
        <x:f>SQRT((C229-C228)^2+(D229-D228)^2+(E229-E228)^2)</x:f>
        <x:v>1.6219999999999999</x:v>
      </x:c>
      <x:c r="G229" s="8" t="str">
        <x:v>Current</x:v>
      </x:c>
    </x:row>
    <x:row r="230" ht="32" customHeight="1">
      <x:c r="A230" s="8" t="str">
        <x:v>trunk:DB2:F4:fan:-1</x:v>
      </x:c>
      <x:c r="B230" s="8" t="n">
        <x:v>6</x:v>
      </x:c>
      <x:c r="C230" s="11" t="n">
        <x:v>2.655</x:v>
      </x:c>
      <x:c r="D230" s="11" t="n">
        <x:v>6.0280000000000005</x:v>
      </x:c>
      <x:c r="E230" s="11" t="n">
        <x:v>-7.36</x:v>
      </x:c>
      <x:c r="F230" s="11" t="n">
        <x:f>SQRT((C230-C229)^2+(D230-D229)^2+(E230-E229)^2)</x:f>
        <x:v>0.3049999999999997</x:v>
      </x:c>
      <x:c r="G230" s="8" t="str">
        <x:v>Current</x:v>
      </x:c>
    </x:row>
    <x:row r="231" ht="32" customHeight="1">
      <x:c r="A231" s="8" t="str">
        <x:v>drop:DB2:F4:fan:-1:F250</x:v>
      </x:c>
      <x:c r="B231" s="8" t="n">
        <x:v>1</x:v>
      </x:c>
      <x:c r="C231" s="11" t="n">
        <x:v>2.655</x:v>
      </x:c>
      <x:c r="D231" s="11" t="n">
        <x:v>6.0280000000000005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drop:DB2:F4:fan:-1:F250</x:v>
      </x:c>
      <x:c r="B232" s="8" t="n">
        <x:v>2</x:v>
      </x:c>
      <x:c r="C232" s="11" t="n">
        <x:v>2.35</x:v>
      </x:c>
      <x:c r="D232" s="11" t="n">
        <x:v>7.65</x:v>
      </x:c>
      <x:c r="E232" s="11" t="n">
        <x:v>-7.36</x:v>
      </x:c>
      <x:c r="F232" s="11" t="n">
        <x:f>SQRT((C232-C231)^2+(D232-D231)^2+(E232-E231)^2)</x:f>
        <x:v>1.6504269144678898</x:v>
      </x:c>
      <x:c r="G232" s="8" t="str">
        <x:v>Current</x:v>
      </x:c>
    </x:row>
    <x:row r="233" ht="32" customHeight="1">
      <x:c r="A233" s="8" t="str">
        <x:v>drop:DB2:F4:fan:-1:F250</x:v>
      </x:c>
      <x:c r="B233" s="8" t="n">
        <x:v>3</x:v>
      </x:c>
      <x:c r="C233" s="11" t="n">
        <x:v>2.35</x:v>
      </x:c>
      <x:c r="D233" s="11" t="n">
        <x:v>7.65</x:v>
      </x:c>
      <x:c r="E233" s="11" t="n">
        <x:v>-3.05</x:v>
      </x:c>
      <x:c r="F233" s="11" t="n">
        <x:f>SQRT((C233-C232)^2+(D233-D232)^2+(E233-E232)^2)</x:f>
        <x:v>4.3100000000000005</x:v>
      </x:c>
      <x:c r="G233" s="8" t="str">
        <x:v>Current</x:v>
      </x:c>
    </x:row>
    <x:row r="234" ht="32" customHeight="1">
      <x:c r="A234" s="8" t="str">
        <x:v>drop:DB2:F4:fan:-1:F250</x:v>
      </x:c>
      <x:c r="B234" s="8" t="n">
        <x:v>4</x:v>
      </x:c>
      <x:c r="C234" s="11" t="n">
        <x:v>2.35</x:v>
      </x:c>
      <x:c r="D234" s="11" t="n">
        <x:v>6</x:v>
      </x:c>
      <x:c r="E234" s="11" t="n">
        <x:v>-3.05</x:v>
      </x:c>
      <x:c r="F234" s="11" t="n">
        <x:f>SQRT((C234-C233)^2+(D234-D233)^2+(E234-E233)^2)</x:f>
        <x:v>1.6500000000000004</x:v>
      </x:c>
      <x:c r="G234" s="8" t="str">
        <x:v>Current</x:v>
      </x:c>
    </x:row>
    <x:row r="235" ht="32" customHeight="1">
      <x:c r="A235" s="8" t="str">
        <x:v>drop:DB2:F4:fan:-1:F250</x:v>
      </x:c>
      <x:c r="B235" s="8" t="n">
        <x:v>5</x:v>
      </x:c>
      <x:c r="C235" s="11" t="n">
        <x:v>2.655</x:v>
      </x:c>
      <x:c r="D235" s="11" t="n">
        <x:v>6</x:v>
      </x:c>
      <x:c r="E235" s="11" t="n">
        <x:v>-3.05</x:v>
      </x:c>
      <x:c r="F235" s="11" t="n">
        <x:f>SQRT((C235-C234)^2+(D235-D234)^2+(E235-E234)^2)</x:f>
        <x:v>0.3049999999999997</x:v>
      </x:c>
      <x:c r="G235" s="8" t="str">
        <x:v>Current</x:v>
      </x:c>
    </x:row>
    <x:row r="236" ht="32" customHeight="1">
      <x:c r="A236" s="8" t="str">
        <x:v>trunk:DB2:F4:fan:1</x:v>
      </x:c>
      <x:c r="B236" s="8" t="n">
        <x:v>1</x:v>
      </x:c>
      <x:c r="C236" s="11" t="n">
        <x:v>2.73</x:v>
      </x:c>
      <x:c r="D236" s="11" t="n">
        <x:v>1.5</x:v>
      </x:c>
      <x:c r="E236" s="11" t="n">
        <x:v>-3.3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trunk:DB2:F4:fan:1</x:v>
      </x:c>
      <x:c r="B237" s="8" t="n">
        <x:v>2</x:v>
      </x:c>
      <x:c r="C237" s="11" t="n">
        <x:v>2.35</x:v>
      </x:c>
      <x:c r="D237" s="11" t="n">
        <x:v>1.5</x:v>
      </x:c>
      <x:c r="E237" s="11" t="n">
        <x:v>-3.3</x:v>
      </x:c>
      <x:c r="F237" s="11" t="n">
        <x:f>SQRT((C237-C236)^2+(D237-D236)^2+(E237-E236)^2)</x:f>
        <x:v>0.3799999999999999</x:v>
      </x:c>
      <x:c r="G237" s="8" t="str">
        <x:v>Current</x:v>
      </x:c>
    </x:row>
    <x:row r="238" ht="32" customHeight="1">
      <x:c r="A238" s="8" t="str">
        <x:v>trunk:DB2:F4:fan:1</x:v>
      </x:c>
      <x:c r="B238" s="8" t="n">
        <x:v>3</x:v>
      </x:c>
      <x:c r="C238" s="11" t="n">
        <x:v>2.35</x:v>
      </x:c>
      <x:c r="D238" s="11" t="n">
        <x:v>7.65</x:v>
      </x:c>
      <x:c r="E238" s="11" t="n">
        <x:v>-3.3</x:v>
      </x:c>
      <x:c r="F238" s="11" t="n">
        <x:f>SQRT((C238-C237)^2+(D238-D237)^2+(E238-E237)^2)</x:f>
        <x:v>6.15</x:v>
      </x:c>
      <x:c r="G238" s="8" t="str">
        <x:v>Current</x:v>
      </x:c>
    </x:row>
    <x:row r="239" ht="32" customHeight="1">
      <x:c r="A239" s="8" t="str">
        <x:v>trunk:DB2:F4:fan:1</x:v>
      </x:c>
      <x:c r="B239" s="8" t="n">
        <x:v>4</x:v>
      </x:c>
      <x:c r="C239" s="11" t="n">
        <x:v>2.35</x:v>
      </x:c>
      <x:c r="D239" s="11" t="n">
        <x:v>7.65</x:v>
      </x:c>
      <x:c r="E239" s="11" t="n">
        <x:v>7.36</x:v>
      </x:c>
      <x:c r="F239" s="11" t="n">
        <x:f>SQRT((C239-C238)^2+(D239-D238)^2+(E239-E238)^2)</x:f>
        <x:v>10.66</x:v>
      </x:c>
      <x:c r="G239" s="8" t="str">
        <x:v>Current</x:v>
      </x:c>
    </x:row>
    <x:row r="240" ht="32" customHeight="1">
      <x:c r="A240" s="8" t="str">
        <x:v>trunk:DB2:F4:fan:1</x:v>
      </x:c>
      <x:c r="B240" s="8" t="n">
        <x:v>5</x:v>
      </x:c>
      <x:c r="C240" s="11" t="n">
        <x:v>2.35</x:v>
      </x:c>
      <x:c r="D240" s="11" t="n">
        <x:v>6.0280000000000005</x:v>
      </x:c>
      <x:c r="E240" s="11" t="n">
        <x:v>7.36</x:v>
      </x:c>
      <x:c r="F240" s="11" t="n">
        <x:f>SQRT((C240-C239)^2+(D240-D239)^2+(E240-E239)^2)</x:f>
        <x:v>1.6219999999999999</x:v>
      </x:c>
      <x:c r="G240" s="8" t="str">
        <x:v>Current</x:v>
      </x:c>
    </x:row>
    <x:row r="241" ht="32" customHeight="1">
      <x:c r="A241" s="8" t="str">
        <x:v>trunk:DB2:F4:fan:1</x:v>
      </x:c>
      <x:c r="B241" s="8" t="n">
        <x:v>6</x:v>
      </x:c>
      <x:c r="C241" s="11" t="n">
        <x:v>2.655</x:v>
      </x:c>
      <x:c r="D241" s="11" t="n">
        <x:v>6.0280000000000005</x:v>
      </x:c>
      <x:c r="E241" s="11" t="n">
        <x:v>7.36</x:v>
      </x:c>
      <x:c r="F241" s="11" t="n">
        <x:f>SQRT((C241-C240)^2+(D241-D240)^2+(E241-E240)^2)</x:f>
        <x:v>0.3049999999999997</x:v>
      </x:c>
      <x:c r="G241" s="8" t="str">
        <x:v>Current</x:v>
      </x:c>
    </x:row>
    <x:row r="242" ht="32" customHeight="1">
      <x:c r="A242" s="8" t="str">
        <x:v>drop:DB2:F4:fan:1:F251</x:v>
      </x:c>
      <x:c r="B242" s="8" t="n">
        <x:v>1</x:v>
      </x:c>
      <x:c r="C242" s="11" t="n">
        <x:v>2.655</x:v>
      </x:c>
      <x:c r="D242" s="11" t="n">
        <x:v>6.0280000000000005</x:v>
      </x:c>
      <x:c r="E242" s="11" t="n">
        <x:v>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drop:DB2:F4:fan:1:F251</x:v>
      </x:c>
      <x:c r="B243" s="8" t="n">
        <x:v>2</x:v>
      </x:c>
      <x:c r="C243" s="11" t="n">
        <x:v>2.35</x:v>
      </x:c>
      <x:c r="D243" s="11" t="n">
        <x:v>7.65</x:v>
      </x:c>
      <x:c r="E243" s="11" t="n">
        <x:v>7.36</x:v>
      </x:c>
      <x:c r="F243" s="11" t="n">
        <x:f>SQRT((C243-C242)^2+(D243-D242)^2+(E243-E242)^2)</x:f>
        <x:v>1.6504269144678898</x:v>
      </x:c>
      <x:c r="G243" s="8" t="str">
        <x:v>Current</x:v>
      </x:c>
    </x:row>
    <x:row r="244" ht="32" customHeight="1">
      <x:c r="A244" s="8" t="str">
        <x:v>drop:DB2:F4:fan:1:F251</x:v>
      </x:c>
      <x:c r="B244" s="8" t="n">
        <x:v>3</x:v>
      </x:c>
      <x:c r="C244" s="11" t="n">
        <x:v>2.35</x:v>
      </x:c>
      <x:c r="D244" s="11" t="n">
        <x:v>7.65</x:v>
      </x:c>
      <x:c r="E244" s="11" t="n">
        <x:v>3.05</x:v>
      </x:c>
      <x:c r="F244" s="11" t="n">
        <x:f>SQRT((C244-C243)^2+(D244-D243)^2+(E244-E243)^2)</x:f>
        <x:v>4.3100000000000005</x:v>
      </x:c>
      <x:c r="G244" s="8" t="str">
        <x:v>Current</x:v>
      </x:c>
    </x:row>
    <x:row r="245" ht="32" customHeight="1">
      <x:c r="A245" s="8" t="str">
        <x:v>drop:DB2:F4:fan:1:F251</x:v>
      </x:c>
      <x:c r="B245" s="8" t="n">
        <x:v>4</x:v>
      </x:c>
      <x:c r="C245" s="11" t="n">
        <x:v>2.35</x:v>
      </x:c>
      <x:c r="D245" s="11" t="n">
        <x:v>6</x:v>
      </x:c>
      <x:c r="E245" s="11" t="n">
        <x:v>3.05</x:v>
      </x:c>
      <x:c r="F245" s="11" t="n">
        <x:f>SQRT((C245-C244)^2+(D245-D244)^2+(E245-E244)^2)</x:f>
        <x:v>1.6500000000000004</x:v>
      </x:c>
      <x:c r="G245" s="8" t="str">
        <x:v>Current</x:v>
      </x:c>
    </x:row>
    <x:row r="246" ht="32" customHeight="1">
      <x:c r="A246" s="8" t="str">
        <x:v>drop:DB2:F4:fan:1:F251</x:v>
      </x:c>
      <x:c r="B246" s="8" t="n">
        <x:v>5</x:v>
      </x:c>
      <x:c r="C246" s="11" t="n">
        <x:v>2.655</x:v>
      </x:c>
      <x:c r="D246" s="11" t="n">
        <x:v>6</x:v>
      </x:c>
      <x:c r="E246" s="11" t="n">
        <x:v>3.05</x:v>
      </x:c>
      <x:c r="F246" s="11" t="n">
        <x:f>SQRT((C246-C245)^2+(D246-D245)^2+(E246-E245)^2)</x:f>
        <x:v>0.3049999999999997</x:v>
      </x:c>
      <x:c r="G246" s="8" t="str">
        <x:v>Current</x:v>
      </x:c>
    </x:row>
    <x:row r="247" ht="32" customHeight="1">
      <x:c r="A247" s="8" t="str">
        <x:v>trunk:FC1:V1:fan:-1</x:v>
      </x:c>
      <x:c r="B247" s="8" t="n">
        <x:v>1</x:v>
      </x:c>
      <x:c r="C247" s="11" t="n">
        <x:v>48.895</x:v>
      </x:c>
      <x:c r="D247" s="11" t="n">
        <x:v>1.95</x:v>
      </x:c>
      <x:c r="E247" s="11" t="n">
        <x:v>0.4</x:v>
      </x:c>
      <x:c r="F247" s="11" t="n">
        <x:f>0</x:f>
        <x:v>0</x:v>
      </x:c>
      <x:c r="G247" s="8" t="str">
        <x:v>Current</x:v>
      </x:c>
    </x:row>
    <x:row r="248" ht="32" customHeight="1">
      <x:c r="A248" s="8" t="str">
        <x:v>trunk:FC1:V1:fan:-1</x:v>
      </x:c>
      <x:c r="B248" s="8" t="n">
        <x:v>2</x:v>
      </x:c>
      <x:c r="C248" s="11" t="n">
        <x:v>48.735</x:v>
      </x:c>
      <x:c r="D248" s="11" t="n">
        <x:v>1.95</x:v>
      </x:c>
      <x:c r="E248" s="11" t="n">
        <x:v>0.4</x:v>
      </x:c>
      <x:c r="F248" s="11" t="n">
        <x:f>SQRT((C248-C247)^2+(D248-D247)^2+(E248-E247)^2)</x:f>
        <x:v>0.1600000000000037</x:v>
      </x:c>
      <x:c r="G248" s="8" t="str">
        <x:v>Current</x:v>
      </x:c>
    </x:row>
    <x:row r="249" ht="32" customHeight="1">
      <x:c r="A249" s="8" t="str">
        <x:v>trunk:FC1:V1:fan:-1</x:v>
      </x:c>
      <x:c r="B249" s="8" t="n">
        <x:v>3</x:v>
      </x:c>
      <x:c r="C249" s="11" t="n">
        <x:v>48.735</x:v>
      </x:c>
      <x:c r="D249" s="11" t="n">
        <x:v>1.95</x:v>
      </x:c>
      <x:c r="E249" s="11" t="n">
        <x:v>-2.24</x:v>
      </x:c>
      <x:c r="F249" s="11" t="n">
        <x:f>SQRT((C249-C248)^2+(D249-D248)^2+(E249-E248)^2)</x:f>
        <x:v>2.64</x:v>
      </x:c>
      <x:c r="G249" s="8" t="str">
        <x:v>Current</x:v>
      </x:c>
    </x:row>
    <x:row r="250" ht="32" customHeight="1">
      <x:c r="A250" s="8" t="str">
        <x:v>trunk:FC1:V1:fan:-1</x:v>
      </x:c>
      <x:c r="B250" s="8" t="n">
        <x:v>4</x:v>
      </x:c>
      <x:c r="C250" s="11" t="n">
        <x:v>48.735</x:v>
      </x:c>
      <x:c r="D250" s="11" t="n">
        <x:v>4.33</x:v>
      </x:c>
      <x:c r="E250" s="11" t="n">
        <x:v>-2.24</x:v>
      </x:c>
      <x:c r="F250" s="11" t="n">
        <x:f>SQRT((C250-C249)^2+(D250-D249)^2+(E250-E249)^2)</x:f>
        <x:v>2.38</x:v>
      </x:c>
      <x:c r="G250" s="8" t="str">
        <x:v>Current</x:v>
      </x:c>
    </x:row>
    <x:row r="251" ht="32" customHeight="1">
      <x:c r="A251" s="8" t="str">
        <x:v>trunk:FC1:V1:fan:-1</x:v>
      </x:c>
      <x:c r="B251" s="8" t="n">
        <x:v>5</x:v>
      </x:c>
      <x:c r="C251" s="11" t="n">
        <x:v>48.735</x:v>
      </x:c>
      <x:c r="D251" s="11" t="n">
        <x:v>4.33</x:v>
      </x:c>
      <x:c r="E251" s="11" t="n">
        <x:v>-3.3</x:v>
      </x:c>
      <x:c r="F251" s="11" t="n">
        <x:f>SQRT((C251-C250)^2+(D251-D250)^2+(E251-E250)^2)</x:f>
        <x:v>1.0599999999999996</x:v>
      </x:c>
      <x:c r="G251" s="8" t="str">
        <x:v>Current</x:v>
      </x:c>
    </x:row>
    <x:row r="252" ht="32" customHeight="1">
      <x:c r="A252" s="8" t="str">
        <x:v>trunk:FC1:V1:fan:-1</x:v>
      </x:c>
      <x:c r="B252" s="8" t="n">
        <x:v>6</x:v>
      </x:c>
      <x:c r="C252" s="11" t="n">
        <x:v>53.016</x:v>
      </x:c>
      <x:c r="D252" s="11" t="n">
        <x:v>4.33</x:v>
      </x:c>
      <x:c r="E252" s="11" t="n">
        <x:v>-3.3</x:v>
      </x:c>
      <x:c r="F252" s="11" t="n">
        <x:f>SQRT((C252-C251)^2+(D252-D251)^2+(E252-E251)^2)</x:f>
        <x:v>4.280999999999999</x:v>
      </x:c>
      <x:c r="G252" s="8" t="str">
        <x:v>Current</x:v>
      </x:c>
    </x:row>
    <x:row r="253" ht="32" customHeight="1">
      <x:c r="A253" s="8" t="str">
        <x:v>trunk:FC1:V1:fan:-1</x:v>
      </x:c>
      <x:c r="B253" s="8" t="n">
        <x:v>7</x:v>
      </x:c>
      <x:c r="C253" s="11" t="n">
        <x:v>53.016</x:v>
      </x:c>
      <x:c r="D253" s="11" t="n">
        <x:v>6.0360000000000005</x:v>
      </x:c>
      <x:c r="E253" s="11" t="n">
        <x:v>-3.3</x:v>
      </x:c>
      <x:c r="F253" s="11" t="n">
        <x:f>SQRT((C253-C252)^2+(D253-D252)^2+(E253-E252)^2)</x:f>
        <x:v>1.7060000000000004</x:v>
      </x:c>
      <x:c r="G253" s="8" t="str">
        <x:v>Current</x:v>
      </x:c>
    </x:row>
    <x:row r="254" ht="32" customHeight="1">
      <x:c r="A254" s="8" t="str">
        <x:v>trunk:FC1:V1:fan:-1</x:v>
      </x:c>
      <x:c r="B254" s="8" t="n">
        <x:v>8</x:v>
      </x:c>
      <x:c r="C254" s="11" t="n">
        <x:v>53.016</x:v>
      </x:c>
      <x:c r="D254" s="11" t="n">
        <x:v>6.0360000000000005</x:v>
      </x:c>
      <x:c r="E254" s="11" t="n">
        <x:v>-7.36</x:v>
      </x:c>
      <x:c r="F254" s="11" t="n">
        <x:f>SQRT((C254-C253)^2+(D254-D253)^2+(E254-E253)^2)</x:f>
        <x:v>4.0600000000000005</x:v>
      </x:c>
      <x:c r="G254" s="8" t="str">
        <x:v>Current</x:v>
      </x:c>
    </x:row>
    <x:row r="255" ht="32" customHeight="1">
      <x:c r="A255" s="8" t="str">
        <x:v>trunk:FC1:V1:fan:-1</x:v>
      </x:c>
      <x:c r="B255" s="8" t="n">
        <x:v>9</x:v>
      </x:c>
      <x:c r="C255" s="11" t="n">
        <x:v>44.175</x:v>
      </x:c>
      <x:c r="D255" s="11" t="n">
        <x:v>6.0360000000000005</x:v>
      </x:c>
      <x:c r="E255" s="11" t="n">
        <x:v>-7.36</x:v>
      </x:c>
      <x:c r="F255" s="11" t="n">
        <x:f>SQRT((C255-C254)^2+(D255-D254)^2+(E255-E254)^2)</x:f>
        <x:v>8.841000000000001</x:v>
      </x:c>
      <x:c r="G255" s="8" t="str">
        <x:v>Current</x:v>
      </x:c>
    </x:row>
    <x:row r="256" ht="32" customHeight="1">
      <x:c r="A256" s="8" t="str">
        <x:v>trunk:FC1:V1:fan:-1</x:v>
      </x:c>
      <x:c r="B256" s="8" t="n">
        <x:v>10</x:v>
      </x:c>
      <x:c r="C256" s="11" t="n">
        <x:v>44.175</x:v>
      </x:c>
      <x:c r="D256" s="11" t="n">
        <x:v>7.04</x:v>
      </x:c>
      <x:c r="E256" s="11" t="n">
        <x:v>-7.36</x:v>
      </x:c>
      <x:c r="F256" s="11" t="n">
        <x:f>SQRT((C256-C255)^2+(D256-D255)^2+(E256-E255)^2)</x:f>
        <x:v>1.0039999999999996</x:v>
      </x:c>
      <x:c r="G256" s="8" t="str">
        <x:v>Current</x:v>
      </x:c>
    </x:row>
    <x:row r="257" ht="32" customHeight="1">
      <x:c r="A257" s="8" t="str">
        <x:v>trunk:FC1:V1:fan:-1</x:v>
      </x:c>
      <x:c r="B257" s="8" t="n">
        <x:v>11</x:v>
      </x:c>
      <x:c r="C257" s="11" t="n">
        <x:v>43.535</x:v>
      </x:c>
      <x:c r="D257" s="11" t="n">
        <x:v>7.04</x:v>
      </x:c>
      <x:c r="E257" s="11" t="n">
        <x:v>-7.36</x:v>
      </x:c>
      <x:c r="F257" s="11" t="n">
        <x:f>SQRT((C257-C256)^2+(D257-D256)^2+(E257-E256)^2)</x:f>
        <x:v>0.6400000000000006</x:v>
      </x:c>
      <x:c r="G257" s="8" t="str">
        <x:v>Current</x:v>
      </x:c>
    </x:row>
    <x:row r="258" ht="32" customHeight="1">
      <x:c r="A258" s="8" t="str">
        <x:v>trunk:FC1:V1:fan:-1</x:v>
      </x:c>
      <x:c r="B258" s="8" t="n">
        <x:v>12</x:v>
      </x:c>
      <x:c r="C258" s="11" t="n">
        <x:v>43.455</x:v>
      </x:c>
      <x:c r="D258" s="11" t="n">
        <x:v>6.950412371134024</x:v>
      </x:c>
      <x:c r="E258" s="11" t="n">
        <x:v>-7.36</x:v>
      </x:c>
      <x:c r="F258" s="11" t="n">
        <x:f>SQRT((C258-C257)^2+(D258-D257)^2+(E258-E257)^2)</x:f>
        <x:v>0.12010804821421249</x:v>
      </x:c>
      <x:c r="G258" s="8" t="str">
        <x:v>Current</x:v>
      </x:c>
    </x:row>
    <x:row r="259" ht="32" customHeight="1">
      <x:c r="A259" s="8" t="str">
        <x:v>trunk:FC1:V1:fan:-1</x:v>
      </x:c>
      <x:c r="B259" s="8" t="n">
        <x:v>13</x:v>
      </x:c>
      <x:c r="C259" s="11" t="n">
        <x:v>40.574999999999996</x:v>
      </x:c>
      <x:c r="D259" s="11" t="n">
        <x:v>9.269999999999994</x:v>
      </x:c>
      <x:c r="E259" s="11" t="n">
        <x:v>-7.36</x:v>
      </x:c>
      <x:c r="F259" s="11" t="n">
        <x:f>SQRT((C259-C258)^2+(D259-D258)^2+(E259-E258)^2)</x:f>
        <x:v>3.6979571073753776</x:v>
      </x:c>
      <x:c r="G259" s="8" t="str">
        <x:v>Current</x:v>
      </x:c>
    </x:row>
    <x:row r="260" ht="32" customHeight="1">
      <x:c r="A260" s="8" t="str">
        <x:v>trunk:FC1:V1:fan:-1</x:v>
      </x:c>
      <x:c r="B260" s="8" t="n">
        <x:v>14</x:v>
      </x:c>
      <x:c r="C260" s="11" t="n">
        <x:v>37.695</x:v>
      </x:c>
      <x:c r="D260" s="11" t="n">
        <x:v>6.950412371134018</x:v>
      </x:c>
      <x:c r="E260" s="11" t="n">
        <x:v>-7.36</x:v>
      </x:c>
      <x:c r="F260" s="11" t="n">
        <x:f>SQRT((C260-C259)^2+(D260-D259)^2+(E260-E259)^2)</x:f>
        <x:v>3.697957107375376</x:v>
      </x:c>
      <x:c r="G260" s="8" t="str">
        <x:v>Current</x:v>
      </x:c>
    </x:row>
    <x:row r="261" ht="32" customHeight="1">
      <x:c r="A261" s="8" t="str">
        <x:v>trunk:FC1:V1:fan:-1</x:v>
      </x:c>
      <x:c r="B261" s="8" t="n">
        <x:v>15</x:v>
      </x:c>
      <x:c r="C261" s="11" t="n">
        <x:v>37.615</x:v>
      </x:c>
      <x:c r="D261" s="11" t="n">
        <x:v>7.04</x:v>
      </x:c>
      <x:c r="E261" s="11" t="n">
        <x:v>-7.36</x:v>
      </x:c>
      <x:c r="F261" s="11" t="n">
        <x:f>SQRT((C261-C260)^2+(D261-D260)^2+(E261-E260)^2)</x:f>
        <x:v>0.12010804821421713</x:v>
      </x:c>
      <x:c r="G261" s="8" t="str">
        <x:v>Current</x:v>
      </x:c>
    </x:row>
    <x:row r="262" ht="32" customHeight="1">
      <x:c r="A262" s="8" t="str">
        <x:v>trunk:FC1:V1:fan:-1</x:v>
      </x:c>
      <x:c r="B262" s="8" t="n">
        <x:v>16</x:v>
      </x:c>
      <x:c r="C262" s="11" t="n">
        <x:v>36.975</x:v>
      </x:c>
      <x:c r="D262" s="11" t="n">
        <x:v>7.04</x:v>
      </x:c>
      <x:c r="E262" s="11" t="n">
        <x:v>-7.36</x:v>
      </x:c>
      <x:c r="F262" s="11" t="n">
        <x:f>SQRT((C262-C261)^2+(D262-D261)^2+(E262-E261)^2)</x:f>
        <x:v>0.6400000000000006</x:v>
      </x:c>
      <x:c r="G262" s="8" t="str">
        <x:v>Current</x:v>
      </x:c>
    </x:row>
    <x:row r="263" ht="32" customHeight="1">
      <x:c r="A263" s="8" t="str">
        <x:v>trunk:FC1:V1:fan:-1</x:v>
      </x:c>
      <x:c r="B263" s="8" t="n">
        <x:v>17</x:v>
      </x:c>
      <x:c r="C263" s="11" t="n">
        <x:v>36.975</x:v>
      </x:c>
      <x:c r="D263" s="11" t="n">
        <x:v>6.0360000000000005</x:v>
      </x:c>
      <x:c r="E263" s="11" t="n">
        <x:v>-7.36</x:v>
      </x:c>
      <x:c r="F263" s="11" t="n">
        <x:f>SQRT((C263-C262)^2+(D263-D262)^2+(E263-E262)^2)</x:f>
        <x:v>1.0039999999999996</x:v>
      </x:c>
      <x:c r="G263" s="8" t="str">
        <x:v>Current</x:v>
      </x:c>
    </x:row>
    <x:row r="264" ht="32" customHeight="1">
      <x:c r="A264" s="8" t="str">
        <x:v>trunk:FC1:V1:fan:-1</x:v>
      </x:c>
      <x:c r="B264" s="8" t="n">
        <x:v>18</x:v>
      </x:c>
      <x:c r="C264" s="11" t="n">
        <x:v>5.48</x:v>
      </x:c>
      <x:c r="D264" s="11" t="n">
        <x:v>6.0360000000000005</x:v>
      </x:c>
      <x:c r="E264" s="11" t="n">
        <x:v>-7.36</x:v>
      </x:c>
      <x:c r="F264" s="11" t="n">
        <x:f>SQRT((C264-C263)^2+(D264-D263)^2+(E264-E263)^2)</x:f>
        <x:v>31.495</x:v>
      </x:c>
      <x:c r="G264" s="8" t="str">
        <x:v>Current</x:v>
      </x:c>
    </x:row>
    <x:row r="265" ht="32" customHeight="1">
      <x:c r="A265" s="8" t="str">
        <x:v>drop:FC1:V1:fan:-1:F252</x:v>
      </x:c>
      <x:c r="B265" s="8" t="n">
        <x:v>1</x:v>
      </x:c>
      <x:c r="C265" s="11" t="n">
        <x:v>5.48</x:v>
      </x:c>
      <x:c r="D265" s="11" t="n">
        <x:v>6.0360000000000005</x:v>
      </x:c>
      <x:c r="E265" s="11" t="n">
        <x:v>-7.36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drop:FC1:V1:fan:-1:F252</x:v>
      </x:c>
      <x:c r="B266" s="8" t="n">
        <x:v>2</x:v>
      </x:c>
      <x:c r="C266" s="11" t="n">
        <x:v>5.48</x:v>
      </x:c>
      <x:c r="D266" s="11" t="n">
        <x:v>7.04</x:v>
      </x:c>
      <x:c r="E266" s="11" t="n">
        <x:v>-7.36</x:v>
      </x:c>
      <x:c r="F266" s="11" t="n">
        <x:f>SQRT((C266-C265)^2+(D266-D265)^2+(E266-E265)^2)</x:f>
        <x:v>1.0039999999999996</x:v>
      </x:c>
      <x:c r="G266" s="8" t="str">
        <x:v>Current</x:v>
      </x:c>
    </x:row>
    <x:row r="267" ht="32" customHeight="1">
      <x:c r="A267" s="8" t="str">
        <x:v>drop:FC1:V1:fan:-1:F252</x:v>
      </x:c>
      <x:c r="B267" s="8" t="n">
        <x:v>3</x:v>
      </x:c>
      <x:c r="C267" s="11" t="n">
        <x:v>5.32</x:v>
      </x:c>
      <x:c r="D267" s="11" t="n">
        <x:v>7.04</x:v>
      </x:c>
      <x:c r="E267" s="11" t="n">
        <x:v>-7.36</x:v>
      </x:c>
      <x:c r="F267" s="11" t="n">
        <x:f>SQRT((C267-C266)^2+(D267-D266)^2+(E267-E266)^2)</x:f>
        <x:v>0.16000000000000014</x:v>
      </x:c>
      <x:c r="G267" s="8" t="str">
        <x:v>Current</x:v>
      </x:c>
    </x:row>
    <x:row r="268" ht="32" customHeight="1">
      <x:c r="A268" s="8" t="str">
        <x:v>drop:FC1:V1:fan:-1:F252</x:v>
      </x:c>
      <x:c r="B268" s="8" t="n">
        <x:v>4</x:v>
      </x:c>
      <x:c r="C268" s="11" t="n">
        <x:v>5.32</x:v>
      </x:c>
      <x:c r="D268" s="11" t="n">
        <x:v>10.64004347826087</x:v>
      </x:c>
      <x:c r="E268" s="11" t="n">
        <x:v>-2.3999999999999995</x:v>
      </x:c>
      <x:c r="F268" s="11" t="n">
        <x:f>SQRT((C268-C267)^2+(D268-D267)^2+(E268-E267)^2)</x:f>
        <x:v>6.128777451120952</x:v>
      </x:c>
      <x:c r="G268" s="8" t="str">
        <x:v>Current</x:v>
      </x:c>
    </x:row>
    <x:row r="269" ht="32" customHeight="1">
      <x:c r="A269" s="8" t="str">
        <x:v>drop:FC1:V1:fan:-1:F252</x:v>
      </x:c>
      <x:c r="B269" s="8" t="n">
        <x:v>5</x:v>
      </x:c>
      <x:c r="C269" s="11" t="n">
        <x:v>5.32</x:v>
      </x:c>
      <x:c r="D269" s="11" t="n">
        <x:v>9.4</x:v>
      </x:c>
      <x:c r="E269" s="11" t="n">
        <x:v>-2.4</x:v>
      </x:c>
      <x:c r="F269" s="11" t="n">
        <x:f>SQRT((C269-C268)^2+(D269-D268)^2+(E269-E268)^2)</x:f>
        <x:v>1.2400434782608691</x:v>
      </x:c>
      <x:c r="G269" s="8" t="str">
        <x:v>Current</x:v>
      </x:c>
    </x:row>
    <x:row r="270" ht="32" customHeight="1">
      <x:c r="A270" s="8" t="str">
        <x:v>drop:FC1:V1:fan:-1:F252</x:v>
      </x:c>
      <x:c r="B270" s="8" t="n">
        <x:v>6</x:v>
      </x:c>
      <x:c r="C270" s="11" t="n">
        <x:v>5.48</x:v>
      </x:c>
      <x:c r="D270" s="11" t="n">
        <x:v>9.4</x:v>
      </x:c>
      <x:c r="E270" s="11" t="n">
        <x:v>-2.4</x:v>
      </x:c>
      <x:c r="F270" s="11" t="n">
        <x:f>SQRT((C270-C269)^2+(D270-D269)^2+(E270-E269)^2)</x:f>
        <x:v>0.16000000000000014</x:v>
      </x:c>
      <x:c r="G270" s="8" t="str">
        <x:v>Current</x:v>
      </x:c>
    </x:row>
    <x:row r="271" ht="32" customHeight="1">
      <x:c r="A271" s="8" t="str">
        <x:v>drop:FC1:V1:fan:-1:F253</x:v>
      </x:c>
      <x:c r="B271" s="8" t="n">
        <x:v>1</x:v>
      </x:c>
      <x:c r="C271" s="11" t="n">
        <x:v>5.48</x:v>
      </x:c>
      <x:c r="D271" s="11" t="n">
        <x:v>6.0360000000000005</x:v>
      </x:c>
      <x:c r="E271" s="11" t="n">
        <x:v>-7.36</x:v>
      </x:c>
      <x:c r="F271" s="11" t="n">
        <x:f>0</x:f>
        <x:v>0</x:v>
      </x:c>
      <x:c r="G271" s="8" t="str">
        <x:v>Current</x:v>
      </x:c>
    </x:row>
    <x:row r="272" ht="32" customHeight="1">
      <x:c r="A272" s="8" t="str">
        <x:v>drop:FC1:V1:fan:-1:F253</x:v>
      </x:c>
      <x:c r="B272" s="8" t="n">
        <x:v>2</x:v>
      </x:c>
      <x:c r="C272" s="11" t="n">
        <x:v>5.48</x:v>
      </x:c>
      <x:c r="D272" s="11" t="n">
        <x:v>7.04</x:v>
      </x:c>
      <x:c r="E272" s="11" t="n">
        <x:v>-7.36</x:v>
      </x:c>
      <x:c r="F272" s="11" t="n">
        <x:f>SQRT((C272-C271)^2+(D272-D271)^2+(E272-E271)^2)</x:f>
        <x:v>1.0039999999999996</x:v>
      </x:c>
      <x:c r="G272" s="8" t="str">
        <x:v>Current</x:v>
      </x:c>
    </x:row>
    <x:row r="273" ht="32" customHeight="1">
      <x:c r="A273" s="8" t="str">
        <x:v>drop:FC1:V1:fan:-1:F253</x:v>
      </x:c>
      <x:c r="B273" s="8" t="n">
        <x:v>3</x:v>
      </x:c>
      <x:c r="C273" s="11" t="n">
        <x:v>5.32</x:v>
      </x:c>
      <x:c r="D273" s="11" t="n">
        <x:v>7.04</x:v>
      </x:c>
      <x:c r="E273" s="11" t="n">
        <x:v>-7.36</x:v>
      </x:c>
      <x:c r="F273" s="11" t="n">
        <x:f>SQRT((C273-C272)^2+(D273-D272)^2+(E273-E272)^2)</x:f>
        <x:v>0.16000000000000014</x:v>
      </x:c>
      <x:c r="G273" s="8" t="str">
        <x:v>Current</x:v>
      </x:c>
    </x:row>
    <x:row r="274" ht="32" customHeight="1">
      <x:c r="A274" s="8" t="str">
        <x:v>drop:FC1:V1:fan:-1:F253</x:v>
      </x:c>
      <x:c r="B274" s="8" t="n">
        <x:v>4</x:v>
      </x:c>
      <x:c r="C274" s="11" t="n">
        <x:v>5.32</x:v>
      </x:c>
      <x:c r="D274" s="11" t="n">
        <x:v>11.801347826086957</x:v>
      </x:c>
      <x:c r="E274" s="11" t="n">
        <x:v>-0.7999999999999998</x:v>
      </x:c>
      <x:c r="F274" s="11" t="n">
        <x:f>SQRT((C274-C273)^2+(D274-D273)^2+(E274-E273)^2)</x:f>
        <x:v>8.105802435353516</x:v>
      </x:c>
      <x:c r="G274" s="8" t="str">
        <x:v>Current</x:v>
      </x:c>
    </x:row>
    <x:row r="275" ht="32" customHeight="1">
      <x:c r="A275" s="8" t="str">
        <x:v>drop:FC1:V1:fan:-1:F253</x:v>
      </x:c>
      <x:c r="B275" s="8" t="n">
        <x:v>5</x:v>
      </x:c>
      <x:c r="C275" s="11" t="n">
        <x:v>5.32</x:v>
      </x:c>
      <x:c r="D275" s="11" t="n">
        <x:v>9.4</x:v>
      </x:c>
      <x:c r="E275" s="11" t="n">
        <x:v>-0.8</x:v>
      </x:c>
      <x:c r="F275" s="11" t="n">
        <x:f>SQRT((C275-C274)^2+(D275-D274)^2+(E275-E274)^2)</x:f>
        <x:v>2.4013478260869565</x:v>
      </x:c>
      <x:c r="G275" s="8" t="str">
        <x:v>Current</x:v>
      </x:c>
    </x:row>
    <x:row r="276" ht="32" customHeight="1">
      <x:c r="A276" s="8" t="str">
        <x:v>drop:FC1:V1:fan:-1:F253</x:v>
      </x:c>
      <x:c r="B276" s="8" t="n">
        <x:v>6</x:v>
      </x:c>
      <x:c r="C276" s="11" t="n">
        <x:v>5.48</x:v>
      </x:c>
      <x:c r="D276" s="11" t="n">
        <x:v>9.4</x:v>
      </x:c>
      <x:c r="E276" s="11" t="n">
        <x:v>-0.8</x:v>
      </x:c>
      <x:c r="F276" s="11" t="n">
        <x:f>SQRT((C276-C275)^2+(D276-D275)^2+(E276-E275)^2)</x:f>
        <x:v>0.16000000000000014</x:v>
      </x:c>
      <x:c r="G276" s="8" t="str">
        <x:v>Current</x:v>
      </x:c>
    </x:row>
    <x:row r="277" ht="32" customHeight="1">
      <x:c r="A277" s="8" t="str">
        <x:v>drop:FC1:V1:fan:-1:F256</x:v>
      </x:c>
      <x:c r="B277" s="8" t="n">
        <x:v>1</x:v>
      </x:c>
      <x:c r="C277" s="11" t="n">
        <x:v>39.7</x:v>
      </x:c>
      <x:c r="D277" s="11" t="n">
        <x:v>8.565264175257731</x:v>
      </x:c>
      <x:c r="E277" s="11" t="n">
        <x:v>-7.36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drop:FC1:V1:fan:-1:F256</x:v>
      </x:c>
      <x:c r="B278" s="8" t="n">
        <x:v>2</x:v>
      </x:c>
      <x:c r="C278" s="11" t="n">
        <x:v>39.7</x:v>
      </x:c>
      <x:c r="D278" s="11" t="n">
        <x:v>8.565264175257731</x:v>
      </x:c>
      <x:c r="E278" s="11" t="n">
        <x:v>-13.249</x:v>
      </x:c>
      <x:c r="F278" s="11" t="n">
        <x:f>SQRT((C278-C277)^2+(D278-D277)^2+(E278-E277)^2)</x:f>
        <x:v>5.889</x:v>
      </x:c>
      <x:c r="G278" s="8" t="str">
        <x:v>Current</x:v>
      </x:c>
    </x:row>
    <x:row r="279" ht="32" customHeight="1">
      <x:c r="A279" s="8" t="str">
        <x:v>drop:FC1:V1:fan:-1:F256</x:v>
      </x:c>
      <x:c r="B279" s="8" t="n">
        <x:v>3</x:v>
      </x:c>
      <x:c r="C279" s="11" t="n">
        <x:v>39.7</x:v>
      </x:c>
      <x:c r="D279" s="11" t="n">
        <x:v>7.6</x:v>
      </x:c>
      <x:c r="E279" s="11" t="n">
        <x:v>-13.249</x:v>
      </x:c>
      <x:c r="F279" s="11" t="n">
        <x:f>SQRT((C279-C278)^2+(D279-D278)^2+(E279-E278)^2)</x:f>
        <x:v>0.9652641752577313</x:v>
      </x:c>
      <x:c r="G279" s="8" t="str">
        <x:v>Current</x:v>
      </x:c>
    </x:row>
    <x:row r="280" ht="32" customHeight="1">
      <x:c r="A280" s="8" t="str">
        <x:v>drop:FC1:V1:fan:-1:F256</x:v>
      </x:c>
      <x:c r="B280" s="8" t="n">
        <x:v>4</x:v>
      </x:c>
      <x:c r="C280" s="11" t="n">
        <x:v>39.7</x:v>
      </x:c>
      <x:c r="D280" s="11" t="n">
        <x:v>7.6</x:v>
      </x:c>
      <x:c r="E280" s="11" t="n">
        <x:v>-13.13</x:v>
      </x:c>
      <x:c r="F280" s="11" t="n">
        <x:f>SQRT((C280-C279)^2+(D280-D279)^2+(E280-E279)^2)</x:f>
        <x:v>0.11899999999999977</x:v>
      </x:c>
      <x:c r="G280" s="8" t="str">
        <x:v>Current</x:v>
      </x:c>
    </x:row>
    <x:row r="281" ht="32" customHeight="1">
      <x:c r="A281" s="8" t="str">
        <x:v>drop:FC1:V1:fan:-1:F257</x:v>
      </x:c>
      <x:c r="B281" s="8" t="n">
        <x:v>1</x:v>
      </x:c>
      <x:c r="C281" s="11" t="n">
        <x:v>41.45</x:v>
      </x:c>
      <x:c r="D281" s="11" t="n">
        <x:v>8.565264175257724</x:v>
      </x:c>
      <x:c r="E281" s="11" t="n">
        <x:v>-7.36</x:v>
      </x:c>
      <x:c r="F281" s="11" t="n">
        <x:f>0</x:f>
        <x:v>0</x:v>
      </x:c>
      <x:c r="G281" s="8" t="str">
        <x:v>Current</x:v>
      </x:c>
    </x:row>
    <x:row r="282" ht="32" customHeight="1">
      <x:c r="A282" s="8" t="str">
        <x:v>drop:FC1:V1:fan:-1:F257</x:v>
      </x:c>
      <x:c r="B282" s="8" t="n">
        <x:v>2</x:v>
      </x:c>
      <x:c r="C282" s="11" t="n">
        <x:v>41.45</x:v>
      </x:c>
      <x:c r="D282" s="11" t="n">
        <x:v>8.565264175257731</x:v>
      </x:c>
      <x:c r="E282" s="11" t="n">
        <x:v>-13.249</x:v>
      </x:c>
      <x:c r="F282" s="11" t="n">
        <x:f>SQRT((C282-C281)^2+(D282-D281)^2+(E282-E281)^2)</x:f>
        <x:v>5.889</x:v>
      </x:c>
      <x:c r="G282" s="8" t="str">
        <x:v>Current</x:v>
      </x:c>
    </x:row>
    <x:row r="283" ht="32" customHeight="1">
      <x:c r="A283" s="8" t="str">
        <x:v>drop:FC1:V1:fan:-1:F257</x:v>
      </x:c>
      <x:c r="B283" s="8" t="n">
        <x:v>3</x:v>
      </x:c>
      <x:c r="C283" s="11" t="n">
        <x:v>41.45</x:v>
      </x:c>
      <x:c r="D283" s="11" t="n">
        <x:v>7.6</x:v>
      </x:c>
      <x:c r="E283" s="11" t="n">
        <x:v>-13.249</x:v>
      </x:c>
      <x:c r="F283" s="11" t="n">
        <x:f>SQRT((C283-C282)^2+(D283-D282)^2+(E283-E282)^2)</x:f>
        <x:v>0.9652641752577313</x:v>
      </x:c>
      <x:c r="G283" s="8" t="str">
        <x:v>Current</x:v>
      </x:c>
    </x:row>
    <x:row r="284" ht="32" customHeight="1">
      <x:c r="A284" s="8" t="str">
        <x:v>drop:FC1:V1:fan:-1:F257</x:v>
      </x:c>
      <x:c r="B284" s="8" t="n">
        <x:v>4</x:v>
      </x:c>
      <x:c r="C284" s="11" t="n">
        <x:v>41.45</x:v>
      </x:c>
      <x:c r="D284" s="11" t="n">
        <x:v>7.6</x:v>
      </x:c>
      <x:c r="E284" s="11" t="n">
        <x:v>-13.13</x:v>
      </x:c>
      <x:c r="F284" s="11" t="n">
        <x:f>SQRT((C284-C283)^2+(D284-D283)^2+(E284-E283)^2)</x:f>
        <x:v>0.11899999999999977</x:v>
      </x:c>
      <x:c r="G284" s="8" t="str">
        <x:v>Current</x:v>
      </x:c>
    </x:row>
    <x:row r="285" ht="32" customHeight="1">
      <x:c r="A285" s="8" t="str">
        <x:v>drop:FC1:V1:fan:-1:F260</x:v>
      </x:c>
      <x:c r="B285" s="8" t="n">
        <x:v>1</x:v>
      </x:c>
      <x:c r="C285" s="11" t="n">
        <x:v>53.016</x:v>
      </x:c>
      <x:c r="D285" s="11" t="n">
        <x:v>6.0360000000000005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drop:FC1:V1:fan:-1:F260</x:v>
      </x:c>
      <x:c r="B286" s="8" t="n">
        <x:v>2</x:v>
      </x:c>
      <x:c r="C286" s="11" t="n">
        <x:v>53.016</x:v>
      </x:c>
      <x:c r="D286" s="11" t="n">
        <x:v>6.0360000000000005</x:v>
      </x:c>
      <x:c r="E286" s="11" t="n">
        <x:v>0</x:v>
      </x:c>
      <x:c r="F286" s="11" t="n">
        <x:f>SQRT((C286-C285)^2+(D286-D285)^2+(E286-E285)^2)</x:f>
        <x:v>7.36</x:v>
      </x:c>
      <x:c r="G286" s="8" t="str">
        <x:v>Current</x:v>
      </x:c>
    </x:row>
    <x:row r="287" ht="32" customHeight="1">
      <x:c r="A287" s="8" t="str">
        <x:v>drop:FC1:V1:fan:-1:F260</x:v>
      </x:c>
      <x:c r="B287" s="8" t="n">
        <x:v>3</x:v>
      </x:c>
      <x:c r="C287" s="11" t="n">
        <x:v>53.016</x:v>
      </x:c>
      <x:c r="D287" s="11" t="n">
        <x:v>3.3</x:v>
      </x:c>
      <x:c r="E287" s="11" t="n">
        <x:v>0</x:v>
      </x:c>
      <x:c r="F287" s="11" t="n">
        <x:f>SQRT((C287-C286)^2+(D287-D286)^2+(E287-E286)^2)</x:f>
        <x:v>2.7360000000000007</x:v>
      </x:c>
      <x:c r="G287" s="8" t="str">
        <x:v>Current</x:v>
      </x:c>
    </x:row>
    <x:row r="288" ht="32" customHeight="1">
      <x:c r="A288" s="8" t="str">
        <x:v>drop:FC1:V1:fan:-1:F260</x:v>
      </x:c>
      <x:c r="B288" s="8" t="n">
        <x:v>4</x:v>
      </x:c>
      <x:c r="C288" s="11" t="n">
        <x:v>53.12</x:v>
      </x:c>
      <x:c r="D288" s="11" t="n">
        <x:v>3.3</x:v>
      </x:c>
      <x:c r="E288" s="11" t="n">
        <x:v>0</x:v>
      </x:c>
      <x:c r="F288" s="11" t="n">
        <x:f>SQRT((C288-C287)^2+(D288-D287)^2+(E288-E287)^2)</x:f>
        <x:v>0.1039999999999992</x:v>
      </x:c>
      <x:c r="G288" s="8" t="str">
        <x:v>Current</x:v>
      </x:c>
    </x:row>
    <x:row r="289" ht="32" customHeight="1">
      <x:c r="A289" s="8" t="str">
        <x:v>trunk:FC1:V1:fan:1</x:v>
      </x:c>
      <x:c r="B289" s="8" t="n">
        <x:v>1</x:v>
      </x:c>
      <x:c r="C289" s="11" t="n">
        <x:v>48.895</x:v>
      </x:c>
      <x:c r="D289" s="11" t="n">
        <x:v>1.95</x:v>
      </x:c>
      <x:c r="E289" s="11" t="n">
        <x:v>0.4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trunk:FC1:V1:fan:1</x:v>
      </x:c>
      <x:c r="B290" s="8" t="n">
        <x:v>2</x:v>
      </x:c>
      <x:c r="C290" s="11" t="n">
        <x:v>48.735</x:v>
      </x:c>
      <x:c r="D290" s="11" t="n">
        <x:v>1.95</x:v>
      </x:c>
      <x:c r="E290" s="11" t="n">
        <x:v>0.4</x:v>
      </x:c>
      <x:c r="F290" s="11" t="n">
        <x:f>SQRT((C290-C289)^2+(D290-D289)^2+(E290-E289)^2)</x:f>
        <x:v>0.1600000000000037</x:v>
      </x:c>
      <x:c r="G290" s="8" t="str">
        <x:v>Current</x:v>
      </x:c>
    </x:row>
    <x:row r="291" ht="32" customHeight="1">
      <x:c r="A291" s="8" t="str">
        <x:v>trunk:FC1:V1:fan:1</x:v>
      </x:c>
      <x:c r="B291" s="8" t="n">
        <x:v>3</x:v>
      </x:c>
      <x:c r="C291" s="11" t="n">
        <x:v>48.735</x:v>
      </x:c>
      <x:c r="D291" s="11" t="n">
        <x:v>1.95</x:v>
      </x:c>
      <x:c r="E291" s="11" t="n">
        <x:v>-2.24</x:v>
      </x:c>
      <x:c r="F291" s="11" t="n">
        <x:f>SQRT((C291-C290)^2+(D291-D290)^2+(E291-E290)^2)</x:f>
        <x:v>2.64</x:v>
      </x:c>
      <x:c r="G291" s="8" t="str">
        <x:v>Current</x:v>
      </x:c>
    </x:row>
    <x:row r="292" ht="32" customHeight="1">
      <x:c r="A292" s="8" t="str">
        <x:v>trunk:FC1:V1:fan:1</x:v>
      </x:c>
      <x:c r="B292" s="8" t="n">
        <x:v>4</x:v>
      </x:c>
      <x:c r="C292" s="11" t="n">
        <x:v>48.735</x:v>
      </x:c>
      <x:c r="D292" s="11" t="n">
        <x:v>4.33</x:v>
      </x:c>
      <x:c r="E292" s="11" t="n">
        <x:v>-2.24</x:v>
      </x:c>
      <x:c r="F292" s="11" t="n">
        <x:f>SQRT((C292-C291)^2+(D292-D291)^2+(E292-E291)^2)</x:f>
        <x:v>2.38</x:v>
      </x:c>
      <x:c r="G292" s="8" t="str">
        <x:v>Current</x:v>
      </x:c>
    </x:row>
    <x:row r="293" ht="32" customHeight="1">
      <x:c r="A293" s="8" t="str">
        <x:v>trunk:FC1:V1:fan:1</x:v>
      </x:c>
      <x:c r="B293" s="8" t="n">
        <x:v>5</x:v>
      </x:c>
      <x:c r="C293" s="11" t="n">
        <x:v>48.735</x:v>
      </x:c>
      <x:c r="D293" s="11" t="n">
        <x:v>4.33</x:v>
      </x:c>
      <x:c r="E293" s="11" t="n">
        <x:v>-3.3</x:v>
      </x:c>
      <x:c r="F293" s="11" t="n">
        <x:f>SQRT((C293-C292)^2+(D293-D292)^2+(E293-E292)^2)</x:f>
        <x:v>1.0599999999999996</x:v>
      </x:c>
      <x:c r="G293" s="8" t="str">
        <x:v>Current</x:v>
      </x:c>
    </x:row>
    <x:row r="294" ht="32" customHeight="1">
      <x:c r="A294" s="8" t="str">
        <x:v>trunk:FC1:V1:fan:1</x:v>
      </x:c>
      <x:c r="B294" s="8" t="n">
        <x:v>6</x:v>
      </x:c>
      <x:c r="C294" s="11" t="n">
        <x:v>53.016</x:v>
      </x:c>
      <x:c r="D294" s="11" t="n">
        <x:v>4.33</x:v>
      </x:c>
      <x:c r="E294" s="11" t="n">
        <x:v>-3.3</x:v>
      </x:c>
      <x:c r="F294" s="11" t="n">
        <x:f>SQRT((C294-C293)^2+(D294-D293)^2+(E294-E293)^2)</x:f>
        <x:v>4.280999999999999</x:v>
      </x:c>
      <x:c r="G294" s="8" t="str">
        <x:v>Current</x:v>
      </x:c>
    </x:row>
    <x:row r="295" ht="32" customHeight="1">
      <x:c r="A295" s="8" t="str">
        <x:v>trunk:FC1:V1:fan:1</x:v>
      </x:c>
      <x:c r="B295" s="8" t="n">
        <x:v>7</x:v>
      </x:c>
      <x:c r="C295" s="11" t="n">
        <x:v>53.016</x:v>
      </x:c>
      <x:c r="D295" s="11" t="n">
        <x:v>6.0360000000000005</x:v>
      </x:c>
      <x:c r="E295" s="11" t="n">
        <x:v>-3.3</x:v>
      </x:c>
      <x:c r="F295" s="11" t="n">
        <x:f>SQRT((C295-C294)^2+(D295-D294)^2+(E295-E294)^2)</x:f>
        <x:v>1.7060000000000004</x:v>
      </x:c>
      <x:c r="G295" s="8" t="str">
        <x:v>Current</x:v>
      </x:c>
    </x:row>
    <x:row r="296" ht="32" customHeight="1">
      <x:c r="A296" s="8" t="str">
        <x:v>trunk:FC1:V1:fan:1</x:v>
      </x:c>
      <x:c r="B296" s="8" t="n">
        <x:v>8</x:v>
      </x:c>
      <x:c r="C296" s="11" t="n">
        <x:v>53.016</x:v>
      </x:c>
      <x:c r="D296" s="11" t="n">
        <x:v>6.0360000000000005</x:v>
      </x:c>
      <x:c r="E296" s="11" t="n">
        <x:v>7.36</x:v>
      </x:c>
      <x:c r="F296" s="11" t="n">
        <x:f>SQRT((C296-C295)^2+(D296-D295)^2+(E296-E295)^2)</x:f>
        <x:v>10.66</x:v>
      </x:c>
      <x:c r="G296" s="8" t="str">
        <x:v>Current</x:v>
      </x:c>
    </x:row>
    <x:row r="297" ht="32" customHeight="1">
      <x:c r="A297" s="8" t="str">
        <x:v>trunk:FC1:V1:fan:1</x:v>
      </x:c>
      <x:c r="B297" s="8" t="n">
        <x:v>9</x:v>
      </x:c>
      <x:c r="C297" s="11" t="n">
        <x:v>44.175</x:v>
      </x:c>
      <x:c r="D297" s="11" t="n">
        <x:v>6.0360000000000005</x:v>
      </x:c>
      <x:c r="E297" s="11" t="n">
        <x:v>7.36</x:v>
      </x:c>
      <x:c r="F297" s="11" t="n">
        <x:f>SQRT((C297-C296)^2+(D297-D296)^2+(E297-E296)^2)</x:f>
        <x:v>8.841000000000001</x:v>
      </x:c>
      <x:c r="G297" s="8" t="str">
        <x:v>Current</x:v>
      </x:c>
    </x:row>
    <x:row r="298" ht="32" customHeight="1">
      <x:c r="A298" s="8" t="str">
        <x:v>trunk:FC1:V1:fan:1</x:v>
      </x:c>
      <x:c r="B298" s="8" t="n">
        <x:v>10</x:v>
      </x:c>
      <x:c r="C298" s="11" t="n">
        <x:v>44.175</x:v>
      </x:c>
      <x:c r="D298" s="11" t="n">
        <x:v>7.04</x:v>
      </x:c>
      <x:c r="E298" s="11" t="n">
        <x:v>7.36</x:v>
      </x:c>
      <x:c r="F298" s="11" t="n">
        <x:f>SQRT((C298-C297)^2+(D298-D297)^2+(E298-E297)^2)</x:f>
        <x:v>1.0039999999999996</x:v>
      </x:c>
      <x:c r="G298" s="8" t="str">
        <x:v>Current</x:v>
      </x:c>
    </x:row>
    <x:row r="299" ht="32" customHeight="1">
      <x:c r="A299" s="8" t="str">
        <x:v>trunk:FC1:V1:fan:1</x:v>
      </x:c>
      <x:c r="B299" s="8" t="n">
        <x:v>11</x:v>
      </x:c>
      <x:c r="C299" s="11" t="n">
        <x:v>43.535</x:v>
      </x:c>
      <x:c r="D299" s="11" t="n">
        <x:v>7.04</x:v>
      </x:c>
      <x:c r="E299" s="11" t="n">
        <x:v>7.36</x:v>
      </x:c>
      <x:c r="F299" s="11" t="n">
        <x:f>SQRT((C299-C298)^2+(D299-D298)^2+(E299-E298)^2)</x:f>
        <x:v>0.6400000000000006</x:v>
      </x:c>
      <x:c r="G299" s="8" t="str">
        <x:v>Current</x:v>
      </x:c>
    </x:row>
    <x:row r="300" ht="32" customHeight="1">
      <x:c r="A300" s="8" t="str">
        <x:v>trunk:FC1:V1:fan:1</x:v>
      </x:c>
      <x:c r="B300" s="8" t="n">
        <x:v>12</x:v>
      </x:c>
      <x:c r="C300" s="11" t="n">
        <x:v>43.455</x:v>
      </x:c>
      <x:c r="D300" s="11" t="n">
        <x:v>6.950412371134024</x:v>
      </x:c>
      <x:c r="E300" s="11" t="n">
        <x:v>7.36</x:v>
      </x:c>
      <x:c r="F300" s="11" t="n">
        <x:f>SQRT((C300-C299)^2+(D300-D299)^2+(E300-E299)^2)</x:f>
        <x:v>0.12010804821421249</x:v>
      </x:c>
      <x:c r="G300" s="8" t="str">
        <x:v>Current</x:v>
      </x:c>
    </x:row>
    <x:row r="301" ht="32" customHeight="1">
      <x:c r="A301" s="8" t="str">
        <x:v>trunk:FC1:V1:fan:1</x:v>
      </x:c>
      <x:c r="B301" s="8" t="n">
        <x:v>13</x:v>
      </x:c>
      <x:c r="C301" s="11" t="n">
        <x:v>40.574999999999996</x:v>
      </x:c>
      <x:c r="D301" s="11" t="n">
        <x:v>9.269999999999994</x:v>
      </x:c>
      <x:c r="E301" s="11" t="n">
        <x:v>7.36</x:v>
      </x:c>
      <x:c r="F301" s="11" t="n">
        <x:f>SQRT((C301-C300)^2+(D301-D300)^2+(E301-E300)^2)</x:f>
        <x:v>3.6979571073753776</x:v>
      </x:c>
      <x:c r="G301" s="8" t="str">
        <x:v>Current</x:v>
      </x:c>
    </x:row>
    <x:row r="302" ht="32" customHeight="1">
      <x:c r="A302" s="8" t="str">
        <x:v>trunk:FC1:V1:fan:1</x:v>
      </x:c>
      <x:c r="B302" s="8" t="n">
        <x:v>14</x:v>
      </x:c>
      <x:c r="C302" s="11" t="n">
        <x:v>37.695</x:v>
      </x:c>
      <x:c r="D302" s="11" t="n">
        <x:v>6.950412371134018</x:v>
      </x:c>
      <x:c r="E302" s="11" t="n">
        <x:v>7.36</x:v>
      </x:c>
      <x:c r="F302" s="11" t="n">
        <x:f>SQRT((C302-C301)^2+(D302-D301)^2+(E302-E301)^2)</x:f>
        <x:v>3.697957107375376</x:v>
      </x:c>
      <x:c r="G302" s="8" t="str">
        <x:v>Current</x:v>
      </x:c>
    </x:row>
    <x:row r="303" ht="32" customHeight="1">
      <x:c r="A303" s="8" t="str">
        <x:v>trunk:FC1:V1:fan:1</x:v>
      </x:c>
      <x:c r="B303" s="8" t="n">
        <x:v>15</x:v>
      </x:c>
      <x:c r="C303" s="11" t="n">
        <x:v>37.615</x:v>
      </x:c>
      <x:c r="D303" s="11" t="n">
        <x:v>7.04</x:v>
      </x:c>
      <x:c r="E303" s="11" t="n">
        <x:v>7.36</x:v>
      </x:c>
      <x:c r="F303" s="11" t="n">
        <x:f>SQRT((C303-C302)^2+(D303-D302)^2+(E303-E302)^2)</x:f>
        <x:v>0.12010804821421713</x:v>
      </x:c>
      <x:c r="G303" s="8" t="str">
        <x:v>Current</x:v>
      </x:c>
    </x:row>
    <x:row r="304" ht="32" customHeight="1">
      <x:c r="A304" s="8" t="str">
        <x:v>trunk:FC1:V1:fan:1</x:v>
      </x:c>
      <x:c r="B304" s="8" t="n">
        <x:v>16</x:v>
      </x:c>
      <x:c r="C304" s="11" t="n">
        <x:v>36.975</x:v>
      </x:c>
      <x:c r="D304" s="11" t="n">
        <x:v>7.04</x:v>
      </x:c>
      <x:c r="E304" s="11" t="n">
        <x:v>7.36</x:v>
      </x:c>
      <x:c r="F304" s="11" t="n">
        <x:f>SQRT((C304-C303)^2+(D304-D303)^2+(E304-E303)^2)</x:f>
        <x:v>0.6400000000000006</x:v>
      </x:c>
      <x:c r="G304" s="8" t="str">
        <x:v>Current</x:v>
      </x:c>
    </x:row>
    <x:row r="305" ht="32" customHeight="1">
      <x:c r="A305" s="8" t="str">
        <x:v>trunk:FC1:V1:fan:1</x:v>
      </x:c>
      <x:c r="B305" s="8" t="n">
        <x:v>17</x:v>
      </x:c>
      <x:c r="C305" s="11" t="n">
        <x:v>36.975</x:v>
      </x:c>
      <x:c r="D305" s="11" t="n">
        <x:v>6.0360000000000005</x:v>
      </x:c>
      <x:c r="E305" s="11" t="n">
        <x:v>7.36</x:v>
      </x:c>
      <x:c r="F305" s="11" t="n">
        <x:f>SQRT((C305-C304)^2+(D305-D304)^2+(E305-E304)^2)</x:f>
        <x:v>1.0039999999999996</x:v>
      </x:c>
      <x:c r="G305" s="8" t="str">
        <x:v>Current</x:v>
      </x:c>
    </x:row>
    <x:row r="306" ht="32" customHeight="1">
      <x:c r="A306" s="8" t="str">
        <x:v>trunk:FC1:V1:fan:1</x:v>
      </x:c>
      <x:c r="B306" s="8" t="n">
        <x:v>18</x:v>
      </x:c>
      <x:c r="C306" s="11" t="n">
        <x:v>5.48</x:v>
      </x:c>
      <x:c r="D306" s="11" t="n">
        <x:v>6.0360000000000005</x:v>
      </x:c>
      <x:c r="E306" s="11" t="n">
        <x:v>7.36</x:v>
      </x:c>
      <x:c r="F306" s="11" t="n">
        <x:f>SQRT((C306-C305)^2+(D306-D305)^2+(E306-E305)^2)</x:f>
        <x:v>31.495</x:v>
      </x:c>
      <x:c r="G306" s="8" t="str">
        <x:v>Current</x:v>
      </x:c>
    </x:row>
    <x:row r="307" ht="32" customHeight="1">
      <x:c r="A307" s="8" t="str">
        <x:v>drop:FC1:V1:fan:1:F254</x:v>
      </x:c>
      <x:c r="B307" s="8" t="n">
        <x:v>1</x:v>
      </x:c>
      <x:c r="C307" s="11" t="n">
        <x:v>5.48</x:v>
      </x:c>
      <x:c r="D307" s="11" t="n">
        <x:v>6.0360000000000005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drop:FC1:V1:fan:1:F254</x:v>
      </x:c>
      <x:c r="B308" s="8" t="n">
        <x:v>2</x:v>
      </x:c>
      <x:c r="C308" s="11" t="n">
        <x:v>5.48</x:v>
      </x:c>
      <x:c r="D308" s="11" t="n">
        <x:v>7.04</x:v>
      </x:c>
      <x:c r="E308" s="11" t="n">
        <x:v>7.36</x:v>
      </x:c>
      <x:c r="F308" s="11" t="n">
        <x:f>SQRT((C308-C307)^2+(D308-D307)^2+(E308-E307)^2)</x:f>
        <x:v>1.0039999999999996</x:v>
      </x:c>
      <x:c r="G308" s="8" t="str">
        <x:v>Current</x:v>
      </x:c>
    </x:row>
    <x:row r="309" ht="32" customHeight="1">
      <x:c r="A309" s="8" t="str">
        <x:v>drop:FC1:V1:fan:1:F254</x:v>
      </x:c>
      <x:c r="B309" s="8" t="n">
        <x:v>3</x:v>
      </x:c>
      <x:c r="C309" s="11" t="n">
        <x:v>5.32</x:v>
      </x:c>
      <x:c r="D309" s="11" t="n">
        <x:v>7.04</x:v>
      </x:c>
      <x:c r="E309" s="11" t="n">
        <x:v>7.36</x:v>
      </x:c>
      <x:c r="F309" s="11" t="n">
        <x:f>SQRT((C309-C308)^2+(D309-D308)^2+(E309-E308)^2)</x:f>
        <x:v>0.16000000000000014</x:v>
      </x:c>
      <x:c r="G309" s="8" t="str">
        <x:v>Current</x:v>
      </x:c>
    </x:row>
    <x:row r="310" ht="32" customHeight="1">
      <x:c r="A310" s="8" t="str">
        <x:v>drop:FC1:V1:fan:1:F254</x:v>
      </x:c>
      <x:c r="B310" s="8" t="n">
        <x:v>4</x:v>
      </x:c>
      <x:c r="C310" s="11" t="n">
        <x:v>5.32</x:v>
      </x:c>
      <x:c r="D310" s="11" t="n">
        <x:v>11.801347826086957</x:v>
      </x:c>
      <x:c r="E310" s="11" t="n">
        <x:v>0.7999999999999998</x:v>
      </x:c>
      <x:c r="F310" s="11" t="n">
        <x:f>SQRT((C310-C309)^2+(D310-D309)^2+(E310-E309)^2)</x:f>
        <x:v>8.105802435353516</x:v>
      </x:c>
      <x:c r="G310" s="8" t="str">
        <x:v>Current</x:v>
      </x:c>
    </x:row>
    <x:row r="311" ht="32" customHeight="1">
      <x:c r="A311" s="8" t="str">
        <x:v>drop:FC1:V1:fan:1:F254</x:v>
      </x:c>
      <x:c r="B311" s="8" t="n">
        <x:v>5</x:v>
      </x:c>
      <x:c r="C311" s="11" t="n">
        <x:v>5.32</x:v>
      </x:c>
      <x:c r="D311" s="11" t="n">
        <x:v>9.4</x:v>
      </x:c>
      <x:c r="E311" s="11" t="n">
        <x:v>0.8</x:v>
      </x:c>
      <x:c r="F311" s="11" t="n">
        <x:f>SQRT((C311-C310)^2+(D311-D310)^2+(E311-E310)^2)</x:f>
        <x:v>2.4013478260869565</x:v>
      </x:c>
      <x:c r="G311" s="8" t="str">
        <x:v>Current</x:v>
      </x:c>
    </x:row>
    <x:row r="312" ht="32" customHeight="1">
      <x:c r="A312" s="8" t="str">
        <x:v>drop:FC1:V1:fan:1:F254</x:v>
      </x:c>
      <x:c r="B312" s="8" t="n">
        <x:v>6</x:v>
      </x:c>
      <x:c r="C312" s="11" t="n">
        <x:v>5.48</x:v>
      </x:c>
      <x:c r="D312" s="11" t="n">
        <x:v>9.4</x:v>
      </x:c>
      <x:c r="E312" s="11" t="n">
        <x:v>0.8</x:v>
      </x:c>
      <x:c r="F312" s="11" t="n">
        <x:f>SQRT((C312-C311)^2+(D312-D311)^2+(E312-E311)^2)</x:f>
        <x:v>0.16000000000000014</x:v>
      </x:c>
      <x:c r="G312" s="8" t="str">
        <x:v>Current</x:v>
      </x:c>
    </x:row>
    <x:row r="313" ht="32" customHeight="1">
      <x:c r="A313" s="8" t="str">
        <x:v>drop:FC1:V1:fan:1:F255</x:v>
      </x:c>
      <x:c r="B313" s="8" t="n">
        <x:v>1</x:v>
      </x:c>
      <x:c r="C313" s="11" t="n">
        <x:v>5.48</x:v>
      </x:c>
      <x:c r="D313" s="11" t="n">
        <x:v>6.0360000000000005</x:v>
      </x:c>
      <x:c r="E313" s="11" t="n">
        <x:v>7.36</x:v>
      </x:c>
      <x:c r="F313" s="11" t="n">
        <x:f>0</x:f>
        <x:v>0</x:v>
      </x:c>
      <x:c r="G313" s="8" t="str">
        <x:v>Current</x:v>
      </x:c>
    </x:row>
    <x:row r="314" ht="32" customHeight="1">
      <x:c r="A314" s="8" t="str">
        <x:v>drop:FC1:V1:fan:1:F255</x:v>
      </x:c>
      <x:c r="B314" s="8" t="n">
        <x:v>2</x:v>
      </x:c>
      <x:c r="C314" s="11" t="n">
        <x:v>5.48</x:v>
      </x:c>
      <x:c r="D314" s="11" t="n">
        <x:v>7.04</x:v>
      </x:c>
      <x:c r="E314" s="11" t="n">
        <x:v>7.36</x:v>
      </x:c>
      <x:c r="F314" s="11" t="n">
        <x:f>SQRT((C314-C313)^2+(D314-D313)^2+(E314-E313)^2)</x:f>
        <x:v>1.0039999999999996</x:v>
      </x:c>
      <x:c r="G314" s="8" t="str">
        <x:v>Current</x:v>
      </x:c>
    </x:row>
    <x:row r="315" ht="32" customHeight="1">
      <x:c r="A315" s="8" t="str">
        <x:v>drop:FC1:V1:fan:1:F255</x:v>
      </x:c>
      <x:c r="B315" s="8" t="n">
        <x:v>3</x:v>
      </x:c>
      <x:c r="C315" s="11" t="n">
        <x:v>5.32</x:v>
      </x:c>
      <x:c r="D315" s="11" t="n">
        <x:v>7.04</x:v>
      </x:c>
      <x:c r="E315" s="11" t="n">
        <x:v>7.36</x:v>
      </x:c>
      <x:c r="F315" s="11" t="n">
        <x:f>SQRT((C315-C314)^2+(D315-D314)^2+(E315-E314)^2)</x:f>
        <x:v>0.16000000000000014</x:v>
      </x:c>
      <x:c r="G315" s="8" t="str">
        <x:v>Current</x:v>
      </x:c>
    </x:row>
    <x:row r="316" ht="32" customHeight="1">
      <x:c r="A316" s="8" t="str">
        <x:v>drop:FC1:V1:fan:1:F255</x:v>
      </x:c>
      <x:c r="B316" s="8" t="n">
        <x:v>4</x:v>
      </x:c>
      <x:c r="C316" s="11" t="n">
        <x:v>5.32</x:v>
      </x:c>
      <x:c r="D316" s="11" t="n">
        <x:v>10.64004347826087</x:v>
      </x:c>
      <x:c r="E316" s="11" t="n">
        <x:v>2.3999999999999995</x:v>
      </x:c>
      <x:c r="F316" s="11" t="n">
        <x:f>SQRT((C316-C315)^2+(D316-D315)^2+(E316-E315)^2)</x:f>
        <x:v>6.128777451120952</x:v>
      </x:c>
      <x:c r="G316" s="8" t="str">
        <x:v>Current</x:v>
      </x:c>
    </x:row>
    <x:row r="317" ht="32" customHeight="1">
      <x:c r="A317" s="8" t="str">
        <x:v>drop:FC1:V1:fan:1:F255</x:v>
      </x:c>
      <x:c r="B317" s="8" t="n">
        <x:v>5</x:v>
      </x:c>
      <x:c r="C317" s="11" t="n">
        <x:v>5.32</x:v>
      </x:c>
      <x:c r="D317" s="11" t="n">
        <x:v>9.4</x:v>
      </x:c>
      <x:c r="E317" s="11" t="n">
        <x:v>2.4</x:v>
      </x:c>
      <x:c r="F317" s="11" t="n">
        <x:f>SQRT((C317-C316)^2+(D317-D316)^2+(E317-E316)^2)</x:f>
        <x:v>1.2400434782608691</x:v>
      </x:c>
      <x:c r="G317" s="8" t="str">
        <x:v>Current</x:v>
      </x:c>
    </x:row>
    <x:row r="318" ht="32" customHeight="1">
      <x:c r="A318" s="8" t="str">
        <x:v>drop:FC1:V1:fan:1:F255</x:v>
      </x:c>
      <x:c r="B318" s="8" t="n">
        <x:v>6</x:v>
      </x:c>
      <x:c r="C318" s="11" t="n">
        <x:v>5.48</x:v>
      </x:c>
      <x:c r="D318" s="11" t="n">
        <x:v>9.4</x:v>
      </x:c>
      <x:c r="E318" s="11" t="n">
        <x:v>2.4</x:v>
      </x:c>
      <x:c r="F318" s="11" t="n">
        <x:f>SQRT((C318-C317)^2+(D318-D317)^2+(E318-E317)^2)</x:f>
        <x:v>0.16000000000000014</x:v>
      </x:c>
      <x:c r="G318" s="8" t="str">
        <x:v>Current</x:v>
      </x:c>
    </x:row>
    <x:row r="319" ht="32" customHeight="1">
      <x:c r="A319" s="8" t="str">
        <x:v>drop:FC1:V1:fan:1:F258</x:v>
      </x:c>
      <x:c r="B319" s="8" t="n">
        <x:v>1</x:v>
      </x:c>
      <x:c r="C319" s="11" t="n">
        <x:v>39.7</x:v>
      </x:c>
      <x:c r="D319" s="11" t="n">
        <x:v>8.565264175257731</x:v>
      </x:c>
      <x:c r="E319" s="11" t="n">
        <x:v>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drop:FC1:V1:fan:1:F258</x:v>
      </x:c>
      <x:c r="B320" s="8" t="n">
        <x:v>2</x:v>
      </x:c>
      <x:c r="C320" s="11" t="n">
        <x:v>39.7</x:v>
      </x:c>
      <x:c r="D320" s="11" t="n">
        <x:v>8.565264175257731</x:v>
      </x:c>
      <x:c r="E320" s="11" t="n">
        <x:v>13.249</x:v>
      </x:c>
      <x:c r="F320" s="11" t="n">
        <x:f>SQRT((C320-C319)^2+(D320-D319)^2+(E320-E319)^2)</x:f>
        <x:v>5.889</x:v>
      </x:c>
      <x:c r="G320" s="8" t="str">
        <x:v>Current</x:v>
      </x:c>
    </x:row>
    <x:row r="321" ht="32" customHeight="1">
      <x:c r="A321" s="8" t="str">
        <x:v>drop:FC1:V1:fan:1:F258</x:v>
      </x:c>
      <x:c r="B321" s="8" t="n">
        <x:v>3</x:v>
      </x:c>
      <x:c r="C321" s="11" t="n">
        <x:v>39.7</x:v>
      </x:c>
      <x:c r="D321" s="11" t="n">
        <x:v>7.6</x:v>
      </x:c>
      <x:c r="E321" s="11" t="n">
        <x:v>13.249</x:v>
      </x:c>
      <x:c r="F321" s="11" t="n">
        <x:f>SQRT((C321-C320)^2+(D321-D320)^2+(E321-E320)^2)</x:f>
        <x:v>0.9652641752577313</x:v>
      </x:c>
      <x:c r="G321" s="8" t="str">
        <x:v>Current</x:v>
      </x:c>
    </x:row>
    <x:row r="322" ht="32" customHeight="1">
      <x:c r="A322" s="8" t="str">
        <x:v>drop:FC1:V1:fan:1:F258</x:v>
      </x:c>
      <x:c r="B322" s="8" t="n">
        <x:v>4</x:v>
      </x:c>
      <x:c r="C322" s="11" t="n">
        <x:v>39.7</x:v>
      </x:c>
      <x:c r="D322" s="11" t="n">
        <x:v>7.6</x:v>
      </x:c>
      <x:c r="E322" s="11" t="n">
        <x:v>13.13</x:v>
      </x:c>
      <x:c r="F322" s="11" t="n">
        <x:f>SQRT((C322-C321)^2+(D322-D321)^2+(E322-E321)^2)</x:f>
        <x:v>0.11899999999999977</x:v>
      </x:c>
      <x:c r="G322" s="8" t="str">
        <x:v>Current</x:v>
      </x:c>
    </x:row>
    <x:row r="323" ht="32" customHeight="1">
      <x:c r="A323" s="8" t="str">
        <x:v>drop:FC1:V1:fan:1:F259</x:v>
      </x:c>
      <x:c r="B323" s="8" t="n">
        <x:v>1</x:v>
      </x:c>
      <x:c r="C323" s="11" t="n">
        <x:v>41.45</x:v>
      </x:c>
      <x:c r="D323" s="11" t="n">
        <x:v>8.565264175257724</x:v>
      </x:c>
      <x:c r="E323" s="11" t="n">
        <x:v>7.36</x:v>
      </x:c>
      <x:c r="F323" s="11" t="n">
        <x:f>0</x:f>
        <x:v>0</x:v>
      </x:c>
      <x:c r="G323" s="8" t="str">
        <x:v>Current</x:v>
      </x:c>
    </x:row>
    <x:row r="324" ht="32" customHeight="1">
      <x:c r="A324" s="8" t="str">
        <x:v>drop:FC1:V1:fan:1:F259</x:v>
      </x:c>
      <x:c r="B324" s="8" t="n">
        <x:v>2</x:v>
      </x:c>
      <x:c r="C324" s="11" t="n">
        <x:v>41.45</x:v>
      </x:c>
      <x:c r="D324" s="11" t="n">
        <x:v>8.565264175257731</x:v>
      </x:c>
      <x:c r="E324" s="11" t="n">
        <x:v>13.249</x:v>
      </x:c>
      <x:c r="F324" s="11" t="n">
        <x:f>SQRT((C324-C323)^2+(D324-D323)^2+(E324-E323)^2)</x:f>
        <x:v>5.889</x:v>
      </x:c>
      <x:c r="G324" s="8" t="str">
        <x:v>Current</x:v>
      </x:c>
    </x:row>
    <x:row r="325" ht="32" customHeight="1">
      <x:c r="A325" s="8" t="str">
        <x:v>drop:FC1:V1:fan:1:F259</x:v>
      </x:c>
      <x:c r="B325" s="8" t="n">
        <x:v>3</x:v>
      </x:c>
      <x:c r="C325" s="11" t="n">
        <x:v>41.45</x:v>
      </x:c>
      <x:c r="D325" s="11" t="n">
        <x:v>7.6</x:v>
      </x:c>
      <x:c r="E325" s="11" t="n">
        <x:v>13.249</x:v>
      </x:c>
      <x:c r="F325" s="11" t="n">
        <x:f>SQRT((C325-C324)^2+(D325-D324)^2+(E325-E324)^2)</x:f>
        <x:v>0.9652641752577313</x:v>
      </x:c>
      <x:c r="G325" s="8" t="str">
        <x:v>Current</x:v>
      </x:c>
    </x:row>
    <x:row r="326" ht="32" customHeight="1">
      <x:c r="A326" s="8" t="str">
        <x:v>drop:FC1:V1:fan:1:F259</x:v>
      </x:c>
      <x:c r="B326" s="8" t="n">
        <x:v>4</x:v>
      </x:c>
      <x:c r="C326" s="11" t="n">
        <x:v>41.45</x:v>
      </x:c>
      <x:c r="D326" s="11" t="n">
        <x:v>7.6</x:v>
      </x:c>
      <x:c r="E326" s="11" t="n">
        <x:v>13.13</x:v>
      </x:c>
      <x:c r="F326" s="11" t="n">
        <x:f>SQRT((C326-C325)^2+(D326-D325)^2+(E326-E325)^2)</x:f>
        <x:v>0.11899999999999977</x:v>
      </x:c>
      <x:c r="G326" s="8" t="str">
        <x:v>Current</x:v>
      </x:c>
    </x:row>
    <x:row r="327" ht="32" customHeight="1">
      <x:c r="A327" s="8" t="str">
        <x:v>drop:FC1:F5:fan:-1:F-WING-B-3</x:v>
      </x:c>
      <x:c r="B327" s="8" t="n">
        <x:v>1</x:v>
      </x:c>
      <x:c r="C327" s="11" t="n">
        <x:v>41.2</x:v>
      </x:c>
      <x:c r="D327" s="11" t="n">
        <x:v>8.766617268041228</x:v>
      </x:c>
      <x:c r="E327" s="11" t="n">
        <x:v>-7.36</x:v>
      </x:c>
      <x:c r="F327" s="11" t="n">
        <x:f>0</x:f>
        <x:v>0</x:v>
      </x:c>
      <x:c r="G327" s="8" t="str">
        <x:v>Retired</x:v>
      </x:c>
    </x:row>
    <x:row r="328" ht="32" customHeight="1">
      <x:c r="A328" s="8" t="str">
        <x:v>drop:FC1:F5:fan:-1:F-WING-B-3</x:v>
      </x:c>
      <x:c r="B328" s="8" t="n">
        <x:v>2</x:v>
      </x:c>
      <x:c r="C328" s="11" t="n">
        <x:v>41.2</x:v>
      </x:c>
      <x:c r="D328" s="11" t="n">
        <x:v>8.766617268041237</x:v>
      </x:c>
      <x:c r="E328" s="11" t="n">
        <x:v>-13.249</x:v>
      </x:c>
      <x:c r="F328" s="11" t="n">
        <x:f>SQRT((C328-C327)^2+(D328-D327)^2+(E328-E327)^2)</x:f>
        <x:v>5.889</x:v>
      </x:c>
      <x:c r="G328" s="8" t="str">
        <x:v>Retired</x:v>
      </x:c>
    </x:row>
    <x:row r="329" ht="32" customHeight="1">
      <x:c r="A329" s="8" t="str">
        <x:v>drop:FC1:F5:fan:-1:F-WING-B-3</x:v>
      </x:c>
      <x:c r="B329" s="8" t="n">
        <x:v>3</x:v>
      </x:c>
      <x:c r="C329" s="11" t="n">
        <x:v>41.2</x:v>
      </x:c>
      <x:c r="D329" s="11" t="n">
        <x:v>2.7</x:v>
      </x:c>
      <x:c r="E329" s="11" t="n">
        <x:v>-13.249</x:v>
      </x:c>
      <x:c r="F329" s="11" t="n">
        <x:f>SQRT((C329-C328)^2+(D329-D328)^2+(E329-E328)^2)</x:f>
        <x:v>6.066617268041237</x:v>
      </x:c>
      <x:c r="G329" s="8" t="str">
        <x:v>Retired</x:v>
      </x:c>
    </x:row>
    <x:row r="330" ht="32" customHeight="1">
      <x:c r="A330" s="8" t="str">
        <x:v>drop:FC1:F5:fan:-1:F-WING-B-3</x:v>
      </x:c>
      <x:c r="B330" s="8" t="n">
        <x:v>4</x:v>
      </x:c>
      <x:c r="C330" s="11" t="n">
        <x:v>41.2</x:v>
      </x:c>
      <x:c r="D330" s="11" t="n">
        <x:v>2.7</x:v>
      </x:c>
      <x:c r="E330" s="11" t="n">
        <x:v>-13.06</x:v>
      </x:c>
      <x:c r="F330" s="11" t="n">
        <x:f>SQRT((C330-C329)^2+(D330-D329)^2+(E330-E329)^2)</x:f>
        <x:v>0.18900000000000006</x:v>
      </x:c>
      <x:c r="G330" s="8" t="str">
        <x:v>Retired</x:v>
      </x:c>
    </x:row>
    <x:row r="331" ht="32" customHeight="1">
      <x:c r="A331" s="8" t="str">
        <x:v>drop:FC1:F5:fan:-1:F-WING-B-4</x:v>
      </x:c>
      <x:c r="B331" s="8" t="n">
        <x:v>1</x:v>
      </x:c>
      <x:c r="C331" s="11" t="n">
        <x:v>42</x:v>
      </x:c>
      <x:c r="D331" s="11" t="n">
        <x:v>8.122287371134018</x:v>
      </x:c>
      <x:c r="E331" s="11" t="n">
        <x:v>-7.36</x:v>
      </x:c>
      <x:c r="F331" s="11" t="n">
        <x:f>0</x:f>
        <x:v>0</x:v>
      </x:c>
      <x:c r="G331" s="8" t="str">
        <x:v>Retired</x:v>
      </x:c>
    </x:row>
    <x:row r="332" ht="32" customHeight="1">
      <x:c r="A332" s="8" t="str">
        <x:v>drop:FC1:F5:fan:-1:F-WING-B-4</x:v>
      </x:c>
      <x:c r="B332" s="8" t="n">
        <x:v>2</x:v>
      </x:c>
      <x:c r="C332" s="11" t="n">
        <x:v>42</x:v>
      </x:c>
      <x:c r="D332" s="11" t="n">
        <x:v>8.122287371134023</x:v>
      </x:c>
      <x:c r="E332" s="11" t="n">
        <x:v>-13.249</x:v>
      </x:c>
      <x:c r="F332" s="11" t="n">
        <x:f>SQRT((C332-C331)^2+(D332-D331)^2+(E332-E331)^2)</x:f>
        <x:v>5.889</x:v>
      </x:c>
      <x:c r="G332" s="8" t="str">
        <x:v>Retired</x:v>
      </x:c>
    </x:row>
    <x:row r="333" ht="32" customHeight="1">
      <x:c r="A333" s="8" t="str">
        <x:v>drop:FC1:F5:fan:-1:F-WING-B-4</x:v>
      </x:c>
      <x:c r="B333" s="8" t="n">
        <x:v>3</x:v>
      </x:c>
      <x:c r="C333" s="11" t="n">
        <x:v>42</x:v>
      </x:c>
      <x:c r="D333" s="11" t="n">
        <x:v>3.5</x:v>
      </x:c>
      <x:c r="E333" s="11" t="n">
        <x:v>-13.249</x:v>
      </x:c>
      <x:c r="F333" s="11" t="n">
        <x:f>SQRT((C333-C332)^2+(D333-D332)^2+(E333-E332)^2)</x:f>
        <x:v>4.622287371134023</x:v>
      </x:c>
      <x:c r="G333" s="8" t="str">
        <x:v>Retired</x:v>
      </x:c>
    </x:row>
    <x:row r="334" ht="32" customHeight="1">
      <x:c r="A334" s="8" t="str">
        <x:v>drop:FC1:F5:fan:-1:F-WING-B-4</x:v>
      </x:c>
      <x:c r="B334" s="8" t="n">
        <x:v>4</x:v>
      </x:c>
      <x:c r="C334" s="11" t="n">
        <x:v>42</x:v>
      </x:c>
      <x:c r="D334" s="11" t="n">
        <x:v>3.5</x:v>
      </x:c>
      <x:c r="E334" s="11" t="n">
        <x:v>-13.06</x:v>
      </x:c>
      <x:c r="F334" s="11" t="n">
        <x:f>SQRT((C334-C333)^2+(D334-D333)^2+(E334-E333)^2)</x:f>
        <x:v>0.18900000000000006</x:v>
      </x:c>
      <x:c r="G334" s="8" t="str">
        <x:v>Retired</x:v>
      </x:c>
    </x:row>
    <x:row r="335" ht="32" customHeight="1">
      <x:c r="A335" s="8" t="str">
        <x:v>drop:FC1:F5:fan:1:F-WING-H-3</x:v>
      </x:c>
      <x:c r="B335" s="8" t="n">
        <x:v>1</x:v>
      </x:c>
      <x:c r="C335" s="11" t="n">
        <x:v>41.2</x:v>
      </x:c>
      <x:c r="D335" s="11" t="n">
        <x:v>8.766617268041228</x:v>
      </x:c>
      <x:c r="E335" s="11" t="n">
        <x:v>7.36</x:v>
      </x:c>
      <x:c r="F335" s="11" t="n">
        <x:f>0</x:f>
        <x:v>0</x:v>
      </x:c>
      <x:c r="G335" s="8" t="str">
        <x:v>Retired</x:v>
      </x:c>
    </x:row>
    <x:row r="336" ht="32" customHeight="1">
      <x:c r="A336" s="8" t="str">
        <x:v>drop:FC1:F5:fan:1:F-WING-H-3</x:v>
      </x:c>
      <x:c r="B336" s="8" t="n">
        <x:v>2</x:v>
      </x:c>
      <x:c r="C336" s="11" t="n">
        <x:v>41.2</x:v>
      </x:c>
      <x:c r="D336" s="11" t="n">
        <x:v>8.766617268041237</x:v>
      </x:c>
      <x:c r="E336" s="11" t="n">
        <x:v>13.249</x:v>
      </x:c>
      <x:c r="F336" s="11" t="n">
        <x:f>SQRT((C336-C335)^2+(D336-D335)^2+(E336-E335)^2)</x:f>
        <x:v>5.889</x:v>
      </x:c>
      <x:c r="G336" s="8" t="str">
        <x:v>Retired</x:v>
      </x:c>
    </x:row>
    <x:row r="337" ht="32" customHeight="1">
      <x:c r="A337" s="8" t="str">
        <x:v>drop:FC1:F5:fan:1:F-WING-H-3</x:v>
      </x:c>
      <x:c r="B337" s="8" t="n">
        <x:v>3</x:v>
      </x:c>
      <x:c r="C337" s="11" t="n">
        <x:v>41.2</x:v>
      </x:c>
      <x:c r="D337" s="11" t="n">
        <x:v>2.7</x:v>
      </x:c>
      <x:c r="E337" s="11" t="n">
        <x:v>13.249</x:v>
      </x:c>
      <x:c r="F337" s="11" t="n">
        <x:f>SQRT((C337-C336)^2+(D337-D336)^2+(E337-E336)^2)</x:f>
        <x:v>6.066617268041237</x:v>
      </x:c>
      <x:c r="G337" s="8" t="str">
        <x:v>Retired</x:v>
      </x:c>
    </x:row>
    <x:row r="338" ht="32" customHeight="1">
      <x:c r="A338" s="8" t="str">
        <x:v>drop:FC1:F5:fan:1:F-WING-H-3</x:v>
      </x:c>
      <x:c r="B338" s="8" t="n">
        <x:v>4</x:v>
      </x:c>
      <x:c r="C338" s="11" t="n">
        <x:v>41.2</x:v>
      </x:c>
      <x:c r="D338" s="11" t="n">
        <x:v>2.7</x:v>
      </x:c>
      <x:c r="E338" s="11" t="n">
        <x:v>13.06</x:v>
      </x:c>
      <x:c r="F338" s="11" t="n">
        <x:f>SQRT((C338-C337)^2+(D338-D337)^2+(E338-E337)^2)</x:f>
        <x:v>0.18900000000000006</x:v>
      </x:c>
      <x:c r="G338" s="8" t="str">
        <x:v>Retired</x:v>
      </x:c>
    </x:row>
    <x:row r="339" ht="32" customHeight="1">
      <x:c r="A339" s="8" t="str">
        <x:v>drop:FC1:F5:fan:1:F-WING-H-4</x:v>
      </x:c>
      <x:c r="B339" s="8" t="n">
        <x:v>1</x:v>
      </x:c>
      <x:c r="C339" s="11" t="n">
        <x:v>42</x:v>
      </x:c>
      <x:c r="D339" s="11" t="n">
        <x:v>8.122287371134018</x:v>
      </x:c>
      <x:c r="E339" s="11" t="n">
        <x:v>7.36</x:v>
      </x:c>
      <x:c r="F339" s="11" t="n">
        <x:f>0</x:f>
        <x:v>0</x:v>
      </x:c>
      <x:c r="G339" s="8" t="str">
        <x:v>Retired</x:v>
      </x:c>
    </x:row>
    <x:row r="340" ht="32" customHeight="1">
      <x:c r="A340" s="8" t="str">
        <x:v>drop:FC1:F5:fan:1:F-WING-H-4</x:v>
      </x:c>
      <x:c r="B340" s="8" t="n">
        <x:v>2</x:v>
      </x:c>
      <x:c r="C340" s="11" t="n">
        <x:v>42</x:v>
      </x:c>
      <x:c r="D340" s="11" t="n">
        <x:v>8.122287371134023</x:v>
      </x:c>
      <x:c r="E340" s="11" t="n">
        <x:v>13.249</x:v>
      </x:c>
      <x:c r="F340" s="11" t="n">
        <x:f>SQRT((C340-C339)^2+(D340-D339)^2+(E340-E339)^2)</x:f>
        <x:v>5.889</x:v>
      </x:c>
      <x:c r="G340" s="8" t="str">
        <x:v>Retired</x:v>
      </x:c>
    </x:row>
    <x:row r="341" ht="32" customHeight="1">
      <x:c r="A341" s="8" t="str">
        <x:v>drop:FC1:F5:fan:1:F-WING-H-4</x:v>
      </x:c>
      <x:c r="B341" s="8" t="n">
        <x:v>3</x:v>
      </x:c>
      <x:c r="C341" s="11" t="n">
        <x:v>42</x:v>
      </x:c>
      <x:c r="D341" s="11" t="n">
        <x:v>3.5</x:v>
      </x:c>
      <x:c r="E341" s="11" t="n">
        <x:v>13.249</x:v>
      </x:c>
      <x:c r="F341" s="11" t="n">
        <x:f>SQRT((C341-C340)^2+(D341-D340)^2+(E341-E340)^2)</x:f>
        <x:v>4.622287371134023</x:v>
      </x:c>
      <x:c r="G341" s="8" t="str">
        <x:v>Retired</x:v>
      </x:c>
    </x:row>
    <x:row r="342" ht="32" customHeight="1">
      <x:c r="A342" s="8" t="str">
        <x:v>drop:FC1:F5:fan:1:F-WING-H-4</x:v>
      </x:c>
      <x:c r="B342" s="8" t="n">
        <x:v>4</x:v>
      </x:c>
      <x:c r="C342" s="11" t="n">
        <x:v>42</x:v>
      </x:c>
      <x:c r="D342" s="11" t="n">
        <x:v>3.5</x:v>
      </x:c>
      <x:c r="E342" s="11" t="n">
        <x:v>13.06</x:v>
      </x:c>
      <x:c r="F342" s="11" t="n">
        <x:f>SQRT((C342-C341)^2+(D342-D341)^2+(E342-E341)^2)</x:f>
        <x:v>0.18900000000000006</x:v>
      </x:c>
      <x:c r="G342" s="8" t="str">
        <x:v>Retired</x:v>
      </x:c>
    </x:row>
    <x:row r="343" ht="32" customHeight="1">
      <x:c r="A343" s="8" t="str">
        <x:v>drop:FC1:F1:fan:-1:F240</x:v>
      </x:c>
      <x:c r="B343" s="8" t="n">
        <x:v>1</x:v>
      </x:c>
      <x:c r="C343" s="11" t="n">
        <x:v>39.3</x:v>
      </x:c>
      <x:c r="D343" s="11" t="n">
        <x:v>8.24309922680412</x:v>
      </x:c>
      <x:c r="E343" s="11" t="n">
        <x:v>-7.36</x:v>
      </x:c>
      <x:c r="F343" s="11" t="n">
        <x:f>0</x:f>
        <x:v>0</x:v>
      </x:c>
      <x:c r="G343" s="8" t="str">
        <x:v>Retired</x:v>
      </x:c>
    </x:row>
    <x:row r="344" ht="32" customHeight="1">
      <x:c r="A344" s="8" t="str">
        <x:v>drop:FC1:F1:fan:-1:F240</x:v>
      </x:c>
      <x:c r="B344" s="8" t="n">
        <x:v>2</x:v>
      </x:c>
      <x:c r="C344" s="11" t="n">
        <x:v>39.3</x:v>
      </x:c>
      <x:c r="D344" s="11" t="n">
        <x:v>8.24309922680412</x:v>
      </x:c>
      <x:c r="E344" s="11" t="n">
        <x:v>-10.15</x:v>
      </x:c>
      <x:c r="F344" s="11" t="n">
        <x:f>SQRT((C344-C343)^2+(D344-D343)^2+(E344-E343)^2)</x:f>
        <x:v>2.79</x:v>
      </x:c>
      <x:c r="G344" s="8" t="str">
        <x:v>Retired</x:v>
      </x:c>
    </x:row>
    <x:row r="345" ht="32" customHeight="1">
      <x:c r="A345" s="8" t="str">
        <x:v>drop:FC1:F1:fan:-1:F240</x:v>
      </x:c>
      <x:c r="B345" s="8" t="n">
        <x:v>3</x:v>
      </x:c>
      <x:c r="C345" s="11" t="n">
        <x:v>39.3</x:v>
      </x:c>
      <x:c r="D345" s="11" t="n">
        <x:v>3.3</x:v>
      </x:c>
      <x:c r="E345" s="11" t="n">
        <x:v>-10.15</x:v>
      </x:c>
      <x:c r="F345" s="11" t="n">
        <x:f>SQRT((C345-C344)^2+(D345-D344)^2+(E345-E344)^2)</x:f>
        <x:v>4.94309922680412</x:v>
      </x:c>
      <x:c r="G345" s="8" t="str">
        <x:v>Retired</x:v>
      </x:c>
    </x:row>
    <x:row r="346" ht="32" customHeight="1">
      <x:c r="A346" s="8" t="str">
        <x:v>drop:FC1:F1:fan:-1:F241</x:v>
      </x:c>
      <x:c r="B346" s="8" t="n">
        <x:v>1</x:v>
      </x:c>
      <x:c r="C346" s="11" t="n">
        <x:v>41.85</x:v>
      </x:c>
      <x:c r="D346" s="11" t="n">
        <x:v>8.243099226804118</x:v>
      </x:c>
      <x:c r="E346" s="11" t="n">
        <x:v>-7.36</x:v>
      </x:c>
      <x:c r="F346" s="11" t="n">
        <x:f>0</x:f>
        <x:v>0</x:v>
      </x:c>
      <x:c r="G346" s="8" t="str">
        <x:v>Retired</x:v>
      </x:c>
    </x:row>
    <x:row r="347" ht="32" customHeight="1">
      <x:c r="A347" s="8" t="str">
        <x:v>drop:FC1:F1:fan:-1:F241</x:v>
      </x:c>
      <x:c r="B347" s="8" t="n">
        <x:v>2</x:v>
      </x:c>
      <x:c r="C347" s="11" t="n">
        <x:v>41.85</x:v>
      </x:c>
      <x:c r="D347" s="11" t="n">
        <x:v>8.243099226804125</x:v>
      </x:c>
      <x:c r="E347" s="11" t="n">
        <x:v>-10.15</x:v>
      </x:c>
      <x:c r="F347" s="11" t="n">
        <x:f>SQRT((C347-C346)^2+(D347-D346)^2+(E347-E346)^2)</x:f>
        <x:v>2.79</x:v>
      </x:c>
      <x:c r="G347" s="8" t="str">
        <x:v>Retired</x:v>
      </x:c>
    </x:row>
    <x:row r="348" ht="32" customHeight="1">
      <x:c r="A348" s="8" t="str">
        <x:v>drop:FC1:F1:fan:-1:F241</x:v>
      </x:c>
      <x:c r="B348" s="8" t="n">
        <x:v>3</x:v>
      </x:c>
      <x:c r="C348" s="11" t="n">
        <x:v>41.85</x:v>
      </x:c>
      <x:c r="D348" s="11" t="n">
        <x:v>3.3</x:v>
      </x:c>
      <x:c r="E348" s="11" t="n">
        <x:v>-10.15</x:v>
      </x:c>
      <x:c r="F348" s="11" t="n">
        <x:f>SQRT((C348-C347)^2+(D348-D347)^2+(E348-E347)^2)</x:f>
        <x:v>4.943099226804125</x:v>
      </x:c>
      <x:c r="G348" s="8" t="str">
        <x:v>Retired</x:v>
      </x:c>
    </x:row>
    <x:row r="349" ht="32" customHeight="1">
      <x:c r="A349" s="8" t="str">
        <x:v>drop:FC1:F1:fan:1:F242</x:v>
      </x:c>
      <x:c r="B349" s="8" t="n">
        <x:v>1</x:v>
      </x:c>
      <x:c r="C349" s="11" t="n">
        <x:v>39.3</x:v>
      </x:c>
      <x:c r="D349" s="11" t="n">
        <x:v>8.24309922680412</x:v>
      </x:c>
      <x:c r="E349" s="11" t="n">
        <x:v>7.36</x:v>
      </x:c>
      <x:c r="F349" s="11" t="n">
        <x:f>0</x:f>
        <x:v>0</x:v>
      </x:c>
      <x:c r="G349" s="8" t="str">
        <x:v>Retired</x:v>
      </x:c>
    </x:row>
    <x:row r="350" ht="32" customHeight="1">
      <x:c r="A350" s="8" t="str">
        <x:v>drop:FC1:F1:fan:1:F242</x:v>
      </x:c>
      <x:c r="B350" s="8" t="n">
        <x:v>2</x:v>
      </x:c>
      <x:c r="C350" s="11" t="n">
        <x:v>39.3</x:v>
      </x:c>
      <x:c r="D350" s="11" t="n">
        <x:v>8.24309922680412</x:v>
      </x:c>
      <x:c r="E350" s="11" t="n">
        <x:v>10.15</x:v>
      </x:c>
      <x:c r="F350" s="11" t="n">
        <x:f>SQRT((C350-C349)^2+(D350-D349)^2+(E350-E349)^2)</x:f>
        <x:v>2.79</x:v>
      </x:c>
      <x:c r="G350" s="8" t="str">
        <x:v>Retired</x:v>
      </x:c>
    </x:row>
    <x:row r="351" ht="32" customHeight="1">
      <x:c r="A351" s="8" t="str">
        <x:v>drop:FC1:F1:fan:1:F242</x:v>
      </x:c>
      <x:c r="B351" s="8" t="n">
        <x:v>3</x:v>
      </x:c>
      <x:c r="C351" s="11" t="n">
        <x:v>39.3</x:v>
      </x:c>
      <x:c r="D351" s="11" t="n">
        <x:v>3.3</x:v>
      </x:c>
      <x:c r="E351" s="11" t="n">
        <x:v>10.15</x:v>
      </x:c>
      <x:c r="F351" s="11" t="n">
        <x:f>SQRT((C351-C350)^2+(D351-D350)^2+(E351-E350)^2)</x:f>
        <x:v>4.94309922680412</x:v>
      </x:c>
      <x:c r="G351" s="8" t="str">
        <x:v>Retired</x:v>
      </x:c>
    </x:row>
    <x:row r="352" ht="32" customHeight="1">
      <x:c r="A352" s="8" t="str">
        <x:v>drop:FC1:F1:fan:1:F243</x:v>
      </x:c>
      <x:c r="B352" s="8" t="n">
        <x:v>1</x:v>
      </x:c>
      <x:c r="C352" s="11" t="n">
        <x:v>41.85</x:v>
      </x:c>
      <x:c r="D352" s="11" t="n">
        <x:v>8.243099226804118</x:v>
      </x:c>
      <x:c r="E352" s="11" t="n">
        <x:v>7.36</x:v>
      </x:c>
      <x:c r="F352" s="11" t="n">
        <x:f>0</x:f>
        <x:v>0</x:v>
      </x:c>
      <x:c r="G352" s="8" t="str">
        <x:v>Retired</x:v>
      </x:c>
    </x:row>
    <x:row r="353" ht="32" customHeight="1">
      <x:c r="A353" s="8" t="str">
        <x:v>drop:FC1:F1:fan:1:F243</x:v>
      </x:c>
      <x:c r="B353" s="8" t="n">
        <x:v>2</x:v>
      </x:c>
      <x:c r="C353" s="11" t="n">
        <x:v>41.85</x:v>
      </x:c>
      <x:c r="D353" s="11" t="n">
        <x:v>8.243099226804125</x:v>
      </x:c>
      <x:c r="E353" s="11" t="n">
        <x:v>10.15</x:v>
      </x:c>
      <x:c r="F353" s="11" t="n">
        <x:f>SQRT((C353-C352)^2+(D353-D352)^2+(E353-E352)^2)</x:f>
        <x:v>2.79</x:v>
      </x:c>
      <x:c r="G353" s="8" t="str">
        <x:v>Retired</x:v>
      </x:c>
    </x:row>
    <x:row r="354" ht="32" customHeight="1">
      <x:c r="A354" s="8" t="str">
        <x:v>drop:FC1:F1:fan:1:F243</x:v>
      </x:c>
      <x:c r="B354" s="8" t="n">
        <x:v>3</x:v>
      </x:c>
      <x:c r="C354" s="11" t="n">
        <x:v>41.85</x:v>
      </x:c>
      <x:c r="D354" s="11" t="n">
        <x:v>3.3</x:v>
      </x:c>
      <x:c r="E354" s="11" t="n">
        <x:v>10.15</x:v>
      </x:c>
      <x:c r="F354" s="11" t="n">
        <x:f>SQRT((C354-C353)^2+(D354-D353)^2+(E354-E353)^2)</x:f>
        <x:v>4.943099226804125</x:v>
      </x:c>
      <x:c r="G354" s="8" t="str">
        <x:v>Retired</x:v>
      </x:c>
    </x:row>
  </x:sheetData>
  <x:conditionalFormatting sqref="G7:G35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ac1135357bd4fb8"/>
  </x:tableParts>
</x:worksheet>
</file>