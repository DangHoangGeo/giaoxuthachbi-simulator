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dcceebe5494b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4526b72fdf94aac"/>
    <x:sheet xmlns:r="http://schemas.openxmlformats.org/officeDocument/2006/relationships" name="Equipment" sheetId="2" r:id="Ra03ebc26e4f842e3"/>
    <x:sheet xmlns:r="http://schemas.openxmlformats.org/officeDocument/2006/relationships" name="Electrical Lines" sheetId="3" r:id="R206732953606436b"/>
    <x:sheet xmlns:r="http://schemas.openxmlformats.org/officeDocument/2006/relationships" name="Route Points" sheetId="4" r:id="R4c9b1bbd34ef47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1d99741503431e" /><Relationship Type="http://schemas.openxmlformats.org/officeDocument/2006/relationships/theme" Target="/xl/theme/theme1.xml" Id="R42c246316c0345c2" /><Relationship Type="http://schemas.openxmlformats.org/officeDocument/2006/relationships/sharedStrings" Target="/xl/sharedStrings.xml" Id="R4513f257b9f04170" /><Relationship Type="http://schemas.openxmlformats.org/officeDocument/2006/relationships/worksheet" Target="/xl/worksheets/sheet1.xml" Id="Rc4526b72fdf94aac" /><Relationship Type="http://schemas.openxmlformats.org/officeDocument/2006/relationships/worksheet" Target="/xl/worksheets/sheet2.xml" Id="Ra03ebc26e4f842e3" /><Relationship Type="http://schemas.openxmlformats.org/officeDocument/2006/relationships/worksheet" Target="/xl/worksheets/sheet3.xml" Id="R206732953606436b" /><Relationship Type="http://schemas.openxmlformats.org/officeDocument/2006/relationships/worksheet" Target="/xl/worksheets/sheet4.xml" Id="R4c9b1bbd34ef473d" /></Relationships>
</file>

<file path=xl/tables/table1.xml><?xml version="1.0" encoding="utf-8"?>
<x:table xmlns:x="http://schemas.openxmlformats.org/spreadsheetml/2006/main" id="1" name="EquipmentRegister" displayName="EquipmentRegister" ref="A6:AC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1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3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bee93c2adad49e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d94463f8bf649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401a13229a4d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2026-10-07T08:19:57.914Z.</x:v>
      </x:c>
    </x:row>
    <x:row r="5" ht="34" customHeight="1">
      <x:c r="A5" s="20" t="str">
        <x:v>Current equipment</x:v>
      </x:c>
      <x:c r="B5" s="16" t="n">
        <x:f>COUNTIFS(Equipment!$AA$7:$AA$41,"Current")</x:f>
        <x:v>35</x:v>
      </x:c>
    </x:row>
    <x:row r="6" ht="34" customHeight="1">
      <x:c r="A6" s="20" t="str">
        <x:v>Current routes</x:v>
      </x:c>
      <x:c r="B6" s="16" t="n">
        <x:f>COUNTIFS('Electrical Lines'!$Y$7:$Y$41,"Current")</x:f>
        <x:v>35</x:v>
      </x:c>
    </x:row>
    <x:row r="7" ht="34" customHeight="1">
      <x:c r="A7" s="20" t="str">
        <x:v>Retired equipment / routes</x:v>
      </x:c>
      <x:c r="B7" s="16" t="n">
        <x:f>COUNTIFS(Equipment!$AA$7:$AA$41,"Retired")+COUNTIFS('Electrical Lines'!$Y$7:$Y$41,"Retired")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682cddfb34b9ba0867e0152518ab5a1ad129de7bbb8828a58f64d23cf072cc71</x:v>
      </x:c>
    </x:row>
    <x:row r="15" ht="44" customHeight="1">
      <x:c r="A15" s="20" t="str">
        <x:v>Source systems SHA-256</x:v>
      </x:c>
      <x:c r="B15" s="16" t="str">
        <x:v>4139f272a1dd534c1fd927881b22bba0c4b16ce3b4162f405c44d3aab380f491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Ceiling fan · wing B · front</x:v>
      </x:c>
      <x:c r="C21" s="8" t="str">
        <x:v>fan</x:v>
      </x:c>
      <x:c r="D21" s="8" t="str">
        <x:v>DB1</x:v>
      </x:c>
      <x:c r="E21" s="8" t="str">
        <x:v>F1</x:v>
      </x:c>
      <x:c r="F21" s="11" t="n">
        <x:v>39.3</x:v>
      </x:c>
      <x:c r="G21" s="11" t="n">
        <x:v>3.3</x:v>
      </x:c>
      <x:c r="H21" s="11" t="n">
        <x:v>-10.15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1323 × 255 × 1391</x:v>
      </x:c>
      <x:c r="M21" s="8" t="str">
        <x:v>1.42 m diameter · 60 W at maximum speed. Speed steps: 1: 1.3 m3/s, 18 W, 32 dBA, 110 rpm; 2: 2 m3/s, 34 W, 38 dBA, 170 rpm; 3: 2.8 m3/s, 60 W, 45 dBA, 240 rpm</x:v>
      </x:c>
      <x:c r="N21" s="11" t="n">
        <x:v>60</x:v>
      </x:c>
      <x:c r="O21" s="11" t="n">
        <x:v>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drop:FC1:F1:fan:-1:F240</x:v>
      </x:c>
      <x:c r="AC21" s="8" t="str">
        <x:v>{"dim":1,"speed":2,"anchorY":8.398379999999996}</x:v>
      </x:c>
    </x:row>
    <x:row r="22" ht="96" customHeight="1">
      <x:c r="A22" s="8" t="str">
        <x:v>F241</x:v>
      </x:c>
      <x:c r="B22" s="8" t="str">
        <x:v>Ceiling fan · wing B · rear</x:v>
      </x:c>
      <x:c r="C22" s="8" t="str">
        <x:v>fan</x:v>
      </x:c>
      <x:c r="D22" s="8" t="str">
        <x:v>DB1</x:v>
      </x:c>
      <x:c r="E22" s="8" t="str">
        <x:v>F1</x:v>
      </x:c>
      <x:c r="F22" s="11" t="n">
        <x:v>41.85</x:v>
      </x:c>
      <x:c r="G22" s="11" t="n">
        <x:v>3.3</x:v>
      </x:c>
      <x:c r="H22" s="11" t="n">
        <x:v>-10.15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1323 × 255 × 1391</x:v>
      </x:c>
      <x:c r="M22" s="8" t="str">
        <x:v>1.42 m diameter · 60 W at maximum speed. Speed steps: 1: 1.3 m3/s, 18 W, 32 dBA, 110 rpm; 2: 2 m3/s, 34 W, 38 dBA, 170 rpm; 3: 2.8 m3/s, 60 W, 45 dBA, 240 rpm</x:v>
      </x:c>
      <x:c r="N22" s="11" t="n">
        <x:v>60</x:v>
      </x:c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drop:FC1:F1:fan:-1:F241</x:v>
      </x:c>
      <x:c r="AC22" s="8" t="str">
        <x:v>{"dim":1,"speed":2,"anchorY":8.374770000000002}</x:v>
      </x:c>
    </x:row>
    <x:row r="23" ht="96" customHeight="1">
      <x:c r="A23" s="8" t="str">
        <x:v>F242</x:v>
      </x:c>
      <x:c r="B23" s="8" t="str">
        <x:v>Ceiling fan · wing H · front</x:v>
      </x:c>
      <x:c r="C23" s="8" t="str">
        <x:v>fan</x:v>
      </x:c>
      <x:c r="D23" s="8" t="str">
        <x:v>DB1</x:v>
      </x:c>
      <x:c r="E23" s="8" t="str">
        <x:v>F1</x:v>
      </x:c>
      <x:c r="F23" s="11" t="n">
        <x:v>39.3</x:v>
      </x:c>
      <x:c r="G23" s="11" t="n">
        <x:v>3.3</x:v>
      </x:c>
      <x:c r="H23" s="11" t="n">
        <x:v>10.15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1323 × 255 × 1391</x:v>
      </x:c>
      <x:c r="M23" s="8" t="str">
        <x:v>1.42 m diameter · 60 W at maximum speed. Speed steps: 1: 1.3 m3/s, 18 W, 32 dBA, 110 rpm; 2: 2 m3/s, 34 W, 38 dBA, 170 rpm; 3: 2.8 m3/s, 60 W, 45 dBA, 240 rpm</x:v>
      </x:c>
      <x:c r="N23" s="11" t="n">
        <x:v>60</x:v>
      </x:c>
      <x:c r="O23" s="11" t="n">
        <x:v>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drop:FC1:F1:fan:1:F242</x:v>
      </x:c>
      <x:c r="AC23" s="8" t="str">
        <x:v>{"dim":1,"speed":2,"anchorY":8.398379999999996}</x:v>
      </x:c>
    </x:row>
    <x:row r="24" ht="96" customHeight="1">
      <x:c r="A24" s="8" t="str">
        <x:v>F243</x:v>
      </x:c>
      <x:c r="B24" s="8" t="str">
        <x:v>Ceiling fan · wing H · rear</x:v>
      </x:c>
      <x:c r="C24" s="8" t="str">
        <x:v>fan</x:v>
      </x:c>
      <x:c r="D24" s="8" t="str">
        <x:v>DB1</x:v>
      </x:c>
      <x:c r="E24" s="8" t="str">
        <x:v>F1</x:v>
      </x:c>
      <x:c r="F24" s="11" t="n">
        <x:v>41.85</x:v>
      </x:c>
      <x:c r="G24" s="11" t="n">
        <x:v>3.3</x:v>
      </x:c>
      <x:c r="H24" s="11" t="n">
        <x:v>10.15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1323 × 255 × 1391</x:v>
      </x:c>
      <x:c r="M24" s="8" t="str">
        <x:v>1.42 m diameter · 60 W at maximum speed. Speed steps: 1: 1.3 m3/s, 18 W, 32 dBA, 110 rpm; 2: 2 m3/s, 34 W, 38 dBA, 170 rpm; 3: 2.8 m3/s, 60 W, 45 dBA, 240 rpm</x:v>
      </x:c>
      <x:c r="N24" s="11" t="n">
        <x:v>60</x:v>
      </x:c>
      <x:c r="O24" s="11" t="n">
        <x:v>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drop:FC1:F1:fan:1:F243</x:v>
      </x:c>
      <x:c r="AC24" s="8" t="str">
        <x:v>{"dim":1,"speed":2,"anchorY":8.374770000000002}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Hidden alternative</x:v>
      </x:c>
      <x:c r="K25" s="8" t="str">
        <x:v>On</x:v>
      </x:c>
      <x:c r="L25" s="8" t="str">
        <x:v>460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0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{"dim":1,"speed":2}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Hidden alternative</x:v>
      </x:c>
      <x:c r="K26" s="8" t="str">
        <x:v>On</x:v>
      </x:c>
      <x:c r="L26" s="8" t="str">
        <x:v>460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0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{"dim":1,"speed":2}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Hidden alternative</x:v>
      </x:c>
      <x:c r="K27" s="8" t="str">
        <x:v>On</x:v>
      </x:c>
      <x:c r="L27" s="8" t="str">
        <x:v>460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0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{"dim":1,"speed":2}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Hidden alternative</x:v>
      </x:c>
      <x:c r="K28" s="8" t="str">
        <x:v>On</x:v>
      </x:c>
      <x:c r="L28" s="8" t="str">
        <x:v>460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0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{"dim":1,"speed":2}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Hidden alternative</x:v>
      </x:c>
      <x:c r="K29" s="8" t="str">
        <x:v>On</x:v>
      </x:c>
      <x:c r="L29" s="8" t="str">
        <x:v>460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0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{"dim":1,"speed":2}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Hidden alternative</x:v>
      </x:c>
      <x:c r="K30" s="8" t="str">
        <x:v>On</x:v>
      </x:c>
      <x:c r="L30" s="8" t="str">
        <x:v>460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0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{"dim":1,"speed":2}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</x:sheetData>
  <x:conditionalFormatting sqref="AA7:AA41">
    <x:cfRule type="containsText" dxfId="0" priority="1" operator="containsText" text="Retired"/>
  </x:conditionalFormatting>
  <x:dataValidations count="3">
    <x:dataValidation type="decimal" operator="between" sqref="W7:W41">
      <x:formula1>-1000</x:formula1>
      <x:formula2>1000</x:formula2>
    </x:dataValidation>
    <x:dataValidation type="decimal" operator="between" sqref="X7:X41">
      <x:formula1>-1000</x:formula1>
      <x:formula2>1000</x:formula2>
    </x:dataValidation>
    <x:dataValidation type="decimal" operator="between" sqref="Y7:Y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bee93c2adad49e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29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
F240
F241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Points'!$A$7:$A$230,A7,'Route Points'!$F$7:$F$230)</x:f>
        <x:v>72.597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Concealed wall band above openings; ceiling containment at wing returns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Points'!$A$7:$A$230,A8,'Route Points'!$F$7:$F$230)</x:f>
        <x:v>10.549110166147116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/ beam or roof containment, then pendant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Points'!$A$7:$A$230,A9,'Route Points'!$F$7:$F$230)</x:f>
        <x:v>10.549110166147116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/ beam or roof containment, then pendant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Points'!$A$7:$A$230,A10,'Route Points'!$F$7:$F$230)</x:f>
        <x:v>10.539110166147115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/ beam or roof containment, then pendant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Points'!$A$7:$A$230,A11,'Route Points'!$F$7:$F$230)</x:f>
        <x:v>10.549110166147116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/ beam or roof containment, then pendant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Points'!$A$7:$A$230,A12,'Route Points'!$F$7:$F$230)</x:f>
        <x:v>10.549110166147116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/ beam or roof containment, then pendant connection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Points'!$A$7:$A$230,A13,'Route Points'!$F$7:$F$230)</x:f>
        <x:v>10.549110166147116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/ beam or roof containment, then pendant connection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Points'!$A$7:$A$230,A14,'Route Points'!$F$7:$F$230)</x:f>
        <x:v>10.539110166147118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/ beam or roof containment, then pendant connection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90" customHeight="1">
      <x:c r="A15" s="8" t="str">
        <x:v>drop:FC1:F1:fan:-1:F240</x:v>
      </x:c>
      <x:c r="B15" s="8" t="str">
        <x:v>F1 → Ceiling fan · wing B · front</x:v>
      </x:c>
      <x:c r="C15" s="8" t="str">
        <x:v>FC1</x:v>
      </x:c>
      <x:c r="D15" s="8" t="str">
        <x:v>F240</x:v>
      </x:c>
      <x:c r="E15" s="8" t="str">
        <x:v>DB1</x:v>
      </x:c>
      <x:c r="F15" s="8" t="str">
        <x:v>F1</x:v>
      </x:c>
      <x:c r="G15" s="8" t="str">
        <x:v>fan</x:v>
      </x:c>
      <x:c r="H15" s="8" t="str">
        <x:v>drop</x:v>
      </x:c>
      <x:c r="I15" s="11" t="n">
        <x:f>SUMIF('Route Points'!$A$7:$A$230,A15,'Route Points'!$F$7:$F$230)</x:f>
        <x:v>10.054759999999991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/ beam or roof containment, then pendant connection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trunk:FC1:F1:fan:-1</x:v>
      </x:c>
    </x:row>
    <x:row r="16" ht="90" customHeight="1">
      <x:c r="A16" s="8" t="str">
        <x:v>drop:FC1:F1:fan:-1:F241</x:v>
      </x:c>
      <x:c r="B16" s="8" t="str">
        <x:v>F1 → Ceiling fan · wing B · rear</x:v>
      </x:c>
      <x:c r="C16" s="8" t="str">
        <x:v>FC1</x:v>
      </x:c>
      <x:c r="D16" s="8" t="str">
        <x:v>F241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Points'!$A$7:$A$230,A16,'Route Points'!$F$7:$F$230)</x:f>
        <x:v>10.007540000000002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/ beam or roof containment, then pendant connection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trunk:FC1:F1:fan:-1</x:v>
      </x:c>
    </x:row>
    <x:row r="17" ht="129" customHeight="1">
      <x:c r="A17" s="8" t="str">
        <x:v>trunk:FC1:F1:fan:1</x:v>
      </x:c>
      <x:c r="B17" s="8" t="str">
        <x:v>F1 · H · circuit trunk</x:v>
      </x:c>
      <x:c r="C17" s="8" t="str">
        <x:v>FC1</x:v>
      </x:c>
      <x:c r="D17" s="8" t="str">
        <x:v>F227
F229
F231
F233
F235
F237
F239
F242
F243</x:v>
      </x:c>
      <x:c r="E17" s="8" t="str">
        <x:v>DB1</x:v>
      </x:c>
      <x:c r="F17" s="8" t="str">
        <x:v>F1</x:v>
      </x:c>
      <x:c r="G17" s="8" t="str">
        <x:v>fan</x:v>
      </x:c>
      <x:c r="H17" s="8" t="str">
        <x:v>trunk</x:v>
      </x:c>
      <x:c r="I17" s="11" t="n">
        <x:f>SUMIF('Route Points'!$A$7:$A$230,A17,'Route Points'!$F$7:$F$230)</x:f>
        <x:v>79.797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wall band above openings; ceiling containment at wing returns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drop:FC1:F1:fan:1:F227</x:v>
      </x:c>
      <x:c r="B18" s="8" t="str">
        <x:v>F1 → Ceiling fan · bay 2′–3 · H aisle</x:v>
      </x:c>
      <x:c r="C18" s="8" t="str">
        <x:v>FC1</x:v>
      </x:c>
      <x:c r="D18" s="8" t="str">
        <x:v>F227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Points'!$A$7:$A$230,A18,'Route Points'!$F$7:$F$230)</x:f>
        <x:v>10.549110166147116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/ beam or roof containment, then pendant connection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drop:FC1:F1:fan:1:F229</x:v>
      </x:c>
      <x:c r="B19" s="8" t="str">
        <x:v>F1 → Ceiling fan · bay 3–4 · H aisle</x:v>
      </x:c>
      <x:c r="C19" s="8" t="str">
        <x:v>FC1</x:v>
      </x:c>
      <x:c r="D19" s="8" t="str">
        <x:v>F229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Points'!$A$7:$A$230,A19,'Route Points'!$F$7:$F$230)</x:f>
        <x:v>10.549110166147116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Wall / beam or roof containment, then pendant connection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drop:FC1:F1:fan:1:F231</x:v>
      </x:c>
      <x:c r="B20" s="8" t="str">
        <x:v>F1 → Ceiling fan · bay 4–5 · H aisle</x:v>
      </x:c>
      <x:c r="C20" s="8" t="str">
        <x:v>FC1</x:v>
      </x:c>
      <x:c r="D20" s="8" t="str">
        <x:v>F231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Points'!$A$7:$A$230,A20,'Route Points'!$F$7:$F$230)</x:f>
        <x:v>10.539110166147115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Wall / beam or roof containment, then pendant connection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drop:FC1:F1:fan:1:F233</x:v>
      </x:c>
      <x:c r="B21" s="8" t="str">
        <x:v>F1 → Ceiling fan · bay 5–6 · H aisle</x:v>
      </x:c>
      <x:c r="C21" s="8" t="str">
        <x:v>FC1</x:v>
      </x:c>
      <x:c r="D21" s="8" t="str">
        <x:v>F233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Points'!$A$7:$A$230,A21,'Route Points'!$F$7:$F$230)</x:f>
        <x:v>10.549110166147116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Wall / beam or roof containment, then pendant connection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drop:FC1:F1:fan:1:F235</x:v>
      </x:c>
      <x:c r="B22" s="8" t="str">
        <x:v>F1 → Ceiling fan · bay 6–7 · H aisle</x:v>
      </x:c>
      <x:c r="C22" s="8" t="str">
        <x:v>FC1</x:v>
      </x:c>
      <x:c r="D22" s="8" t="str">
        <x:v>F235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Points'!$A$7:$A$230,A22,'Route Points'!$F$7:$F$230)</x:f>
        <x:v>10.549110166147116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Wall / beam or roof containment, then pendant connection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drop:FC1:F1:fan:1:F237</x:v>
      </x:c>
      <x:c r="B23" s="8" t="str">
        <x:v>F1 → Ceiling fan · bay 7–8 · H aisle</x:v>
      </x:c>
      <x:c r="C23" s="8" t="str">
        <x:v>FC1</x:v>
      </x:c>
      <x:c r="D23" s="8" t="str">
        <x:v>F237</x:v>
      </x:c>
      <x:c r="E23" s="8" t="str">
        <x:v>DB1</x:v>
      </x:c>
      <x:c r="F23" s="8" t="str">
        <x:v>F1</x:v>
      </x:c>
      <x:c r="G23" s="8" t="str">
        <x:v>fan</x:v>
      </x:c>
      <x:c r="H23" s="8" t="str">
        <x:v>drop</x:v>
      </x:c>
      <x:c r="I23" s="11" t="n">
        <x:f>SUMIF('Route Points'!$A$7:$A$230,A23,'Route Points'!$F$7:$F$230)</x:f>
        <x:v>10.549110166147116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/ beam or roof containment, then pendant connection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trunk:FC1:F1:fan:1</x:v>
      </x:c>
    </x:row>
    <x:row r="24" ht="90" customHeight="1">
      <x:c r="A24" s="8" t="str">
        <x:v>drop:FC1:F1:fan:1:F239</x:v>
      </x:c>
      <x:c r="B24" s="8" t="str">
        <x:v>F1 → Ceiling fan · bay 8–9 · H aisle</x:v>
      </x:c>
      <x:c r="C24" s="8" t="str">
        <x:v>FC1</x:v>
      </x:c>
      <x:c r="D24" s="8" t="str">
        <x:v>F239</x:v>
      </x:c>
      <x:c r="E24" s="8" t="str">
        <x:v>DB1</x:v>
      </x:c>
      <x:c r="F24" s="8" t="str">
        <x:v>F1</x:v>
      </x:c>
      <x:c r="G24" s="8" t="str">
        <x:v>fan</x:v>
      </x:c>
      <x:c r="H24" s="8" t="str">
        <x:v>drop</x:v>
      </x:c>
      <x:c r="I24" s="11" t="n">
        <x:f>SUMIF('Route Points'!$A$7:$A$230,A24,'Route Points'!$F$7:$F$230)</x:f>
        <x:v>10.539110166147118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Wall / beam or roof containment, then pendant connection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trunk:FC1:F1:fan:1</x:v>
      </x:c>
    </x:row>
    <x:row r="25" ht="90" customHeight="1">
      <x:c r="A25" s="8" t="str">
        <x:v>drop:FC1:F1:fan:1:F242</x:v>
      </x:c>
      <x:c r="B25" s="8" t="str">
        <x:v>F1 → Ceiling fan · wing H · front</x:v>
      </x:c>
      <x:c r="C25" s="8" t="str">
        <x:v>FC1</x:v>
      </x:c>
      <x:c r="D25" s="8" t="str">
        <x:v>F242</x:v>
      </x:c>
      <x:c r="E25" s="8" t="str">
        <x:v>DB1</x:v>
      </x:c>
      <x:c r="F25" s="8" t="str">
        <x:v>F1</x:v>
      </x:c>
      <x:c r="G25" s="8" t="str">
        <x:v>fan</x:v>
      </x:c>
      <x:c r="H25" s="8" t="str">
        <x:v>drop</x:v>
      </x:c>
      <x:c r="I25" s="11" t="n">
        <x:f>SUMIF('Route Points'!$A$7:$A$230,A25,'Route Points'!$F$7:$F$230)</x:f>
        <x:v>10.054759999999991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/ beam or roof containment, then pendant connection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trunk:FC1:F1:fan:1</x:v>
      </x:c>
    </x:row>
    <x:row r="26" ht="90" customHeight="1">
      <x:c r="A26" s="8" t="str">
        <x:v>drop:FC1:F1:fan:1:F243</x:v>
      </x:c>
      <x:c r="B26" s="8" t="str">
        <x:v>F1 → Ceiling fan · wing H · rear</x:v>
      </x:c>
      <x:c r="C26" s="8" t="str">
        <x:v>FC1</x:v>
      </x:c>
      <x:c r="D26" s="8" t="str">
        <x:v>F243</x:v>
      </x:c>
      <x:c r="E26" s="8" t="str">
        <x:v>DB1</x:v>
      </x:c>
      <x:c r="F26" s="8" t="str">
        <x:v>F1</x:v>
      </x:c>
      <x:c r="G26" s="8" t="str">
        <x:v>fan</x:v>
      </x:c>
      <x:c r="H26" s="8" t="str">
        <x:v>drop</x:v>
      </x:c>
      <x:c r="I26" s="11" t="n">
        <x:f>SUMIF('Route Points'!$A$7:$A$230,A26,'Route Points'!$F$7:$F$230)</x:f>
        <x:v>10.007540000000002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/ beam or roof containment, then pendant connection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trunk:FC1:F1:fan:1</x:v>
      </x:c>
    </x:row>
    <x:row r="27" ht="90" customHeight="1">
      <x:c r="A27" s="8" t="str">
        <x:v>trunk:DB2:F4:fan:-1</x:v>
      </x:c>
      <x:c r="B27" s="8" t="str">
        <x:v>F4 · B · circuit trunk</x:v>
      </x:c>
      <x:c r="C27" s="8" t="str">
        <x:v>DB2</x:v>
      </x:c>
      <x:c r="D27" s="8" t="str">
        <x:v>F250</x:v>
      </x:c>
      <x:c r="E27" s="8" t="str">
        <x:v>DB2</x:v>
      </x:c>
      <x:c r="F27" s="8" t="str">
        <x:v>F4</x:v>
      </x:c>
      <x:c r="G27" s="8" t="str">
        <x:v>fan</x:v>
      </x:c>
      <x:c r="H27" s="8" t="str">
        <x:v>trunk</x:v>
      </x:c>
      <x:c r="I27" s="11" t="n">
        <x:f>SUMIF('Route Points'!$A$7:$A$230,A27,'Route Points'!$F$7:$F$230)</x:f>
        <x:v>11.971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Concealed wall band above openings; ceiling containment at wing returns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drop:DB2:F4:fan:-1:F250</x:v>
      </x:c>
      <x:c r="B28" s="8" t="str">
        <x:v>F4 → Entrance circulator · B</x:v>
      </x:c>
      <x:c r="C28" s="8" t="str">
        <x:v>DB2</x:v>
      </x:c>
      <x:c r="D28" s="8" t="str">
        <x:v>F250</x:v>
      </x:c>
      <x:c r="E28" s="8" t="str">
        <x:v>DB2</x:v>
      </x:c>
      <x:c r="F28" s="8" t="str">
        <x:v>F4</x:v>
      </x:c>
      <x:c r="G28" s="8" t="str">
        <x:v>fan</x:v>
      </x:c>
      <x:c r="H28" s="8" t="str">
        <x:v>drop</x:v>
      </x:c>
      <x:c r="I28" s="11" t="n">
        <x:f>SUMIF('Route Points'!$A$7:$A$230,A28,'Route Points'!$F$7:$F$230)</x:f>
        <x:v>7.3833921494717325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pier / wall drop, local termination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trunk:DB2:F4:fan:-1</x:v>
      </x:c>
    </x:row>
    <x:row r="29" ht="90" customHeight="1">
      <x:c r="A29" s="8" t="str">
        <x:v>trunk:DB2:F4:fan:1</x:v>
      </x:c>
      <x:c r="B29" s="8" t="str">
        <x:v>F4 · H · circuit trunk</x:v>
      </x:c>
      <x:c r="C29" s="8" t="str">
        <x:v>DB2</x:v>
      </x:c>
      <x:c r="D29" s="8" t="str">
        <x:v>F251</x:v>
      </x:c>
      <x:c r="E29" s="8" t="str">
        <x:v>DB2</x:v>
      </x:c>
      <x:c r="F29" s="8" t="str">
        <x:v>F4</x:v>
      </x:c>
      <x:c r="G29" s="8" t="str">
        <x:v>fan</x:v>
      </x:c>
      <x:c r="H29" s="8" t="str">
        <x:v>trunk</x:v>
      </x:c>
      <x:c r="I29" s="11" t="n">
        <x:f>SUMIF('Route Points'!$A$7:$A$230,A29,'Route Points'!$F$7:$F$230)</x:f>
        <x:v>18.571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wall band above openings; ceiling containment at wing returns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drop:DB2:F4:fan:1:F251</x:v>
      </x:c>
      <x:c r="B30" s="8" t="str">
        <x:v>F4 → Entrance circulator · H</x:v>
      </x:c>
      <x:c r="C30" s="8" t="str">
        <x:v>DB2</x:v>
      </x:c>
      <x:c r="D30" s="8" t="str">
        <x:v>F251</x:v>
      </x:c>
      <x:c r="E30" s="8" t="str">
        <x:v>DB2</x:v>
      </x:c>
      <x:c r="F30" s="8" t="str">
        <x:v>F4</x:v>
      </x:c>
      <x:c r="G30" s="8" t="str">
        <x:v>fan</x:v>
      </x:c>
      <x:c r="H30" s="8" t="str">
        <x:v>drop</x:v>
      </x:c>
      <x:c r="I30" s="11" t="n">
        <x:f>SUMIF('Route Points'!$A$7:$A$230,A30,'Route Points'!$F$7:$F$230)</x:f>
        <x:v>7.3833921494717325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pier / wall drop, local termination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trunk:DB2:F4:fan:1</x:v>
      </x:c>
    </x:row>
    <x:row r="31" ht="90" customHeight="1">
      <x:c r="A31" s="8" t="str">
        <x:v>trunk:FC1:V1:fan:-1</x:v>
      </x:c>
      <x:c r="B31" s="8" t="str">
        <x:v>V1 · B · circuit trunk</x:v>
      </x:c>
      <x:c r="C31" s="8" t="str">
        <x:v>FC1</x:v>
      </x:c>
      <x:c r="D31" s="8" t="str">
        <x:v>F252
F253
F256
F257
F260</x:v>
      </x:c>
      <x:c r="E31" s="8" t="str">
        <x:v>DB1</x:v>
      </x:c>
      <x:c r="F31" s="8" t="str">
        <x:v>V1</x:v>
      </x:c>
      <x:c r="G31" s="8" t="str">
        <x:v>fan</x:v>
      </x:c>
      <x:c r="H31" s="8" t="str">
        <x:v>trunk</x:v>
      </x:c>
      <x:c r="I31" s="11" t="n">
        <x:f>SUMIF('Route Points'!$A$7:$A$230,A31,'Route Points'!$F$7:$F$230)</x:f>
        <x:v>76.203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wall band above openings; ceiling containment at wing returns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/>
    </x:row>
    <x:row r="32" ht="90" customHeight="1">
      <x:c r="A32" s="8" t="str">
        <x:v>drop:FC1:V1:fan:-1:F252</x:v>
      </x:c>
      <x:c r="B32" s="8" t="str">
        <x:v>V1 → Exhaust fan · front gable · B outer</x:v>
      </x:c>
      <x:c r="C32" s="8" t="str">
        <x:v>FC1</x:v>
      </x:c>
      <x:c r="D32" s="8" t="str">
        <x:v>F252</x:v>
      </x:c>
      <x:c r="E32" s="8" t="str">
        <x:v>DB1</x:v>
      </x:c>
      <x:c r="F32" s="8" t="str">
        <x:v>V1</x:v>
      </x:c>
      <x:c r="G32" s="8" t="str">
        <x:v>fan</x:v>
      </x:c>
      <x:c r="H32" s="8" t="str">
        <x:v>drop</x:v>
      </x:c>
      <x:c r="I32" s="11" t="n">
        <x:f>SUMIF('Route Points'!$A$7:$A$230,A32,'Route Points'!$F$7:$F$230)</x:f>
        <x:v>7.782000000000003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pier / wall drop, local termination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trunk:FC1:V1:fan:-1</x:v>
      </x:c>
    </x:row>
    <x:row r="33" ht="90" customHeight="1">
      <x:c r="A33" s="8" t="str">
        <x:v>drop:FC1:V1:fan:-1:F253</x:v>
      </x:c>
      <x:c r="B33" s="8" t="str">
        <x:v>V1 → Exhaust fan · front gable · B inner</x:v>
      </x:c>
      <x:c r="C33" s="8" t="str">
        <x:v>FC1</x:v>
      </x:c>
      <x:c r="D33" s="8" t="str">
        <x:v>F253</x:v>
      </x:c>
      <x:c r="E33" s="8" t="str">
        <x:v>DB1</x:v>
      </x:c>
      <x:c r="F33" s="8" t="str">
        <x:v>V1</x:v>
      </x:c>
      <x:c r="G33" s="8" t="str">
        <x:v>fan</x:v>
      </x:c>
      <x:c r="H33" s="8" t="str">
        <x:v>drop</x:v>
      </x:c>
      <x:c r="I33" s="11" t="n">
        <x:f>SUMIF('Route Points'!$A$7:$A$230,A33,'Route Points'!$F$7:$F$230)</x:f>
        <x:v>9.382000000000003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pier / wall drop, local termination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trunk:FC1:V1:fan:-1</x:v>
      </x:c>
    </x:row>
    <x:row r="34" ht="90" customHeight="1">
      <x:c r="A34" s="8" t="str">
        <x:v>drop:FC1:V1:fan:-1:F256</x:v>
      </x:c>
      <x:c r="B34" s="8" t="str">
        <x:v>V1 → Exhaust fan · wing gable B · front</x:v>
      </x:c>
      <x:c r="C34" s="8" t="str">
        <x:v>FC1</x:v>
      </x:c>
      <x:c r="D34" s="8" t="str">
        <x:v>F256</x:v>
      </x:c>
      <x:c r="E34" s="8" t="str">
        <x:v>DB1</x:v>
      </x:c>
      <x:c r="F34" s="8" t="str">
        <x:v>V1</x:v>
      </x:c>
      <x:c r="G34" s="8" t="str">
        <x:v>fan</x:v>
      </x:c>
      <x:c r="H34" s="8" t="str">
        <x:v>drop</x:v>
      </x:c>
      <x:c r="I34" s="11" t="n">
        <x:f>SUMIF('Route Points'!$A$7:$A$230,A34,'Route Points'!$F$7:$F$230)</x:f>
        <x:v>1.121999999999999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pier / wall drop, local termination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trunk:FC1:V1:fan:-1</x:v>
      </x:c>
    </x:row>
    <x:row r="35" ht="90" customHeight="1">
      <x:c r="A35" s="8" t="str">
        <x:v>drop:FC1:V1:fan:-1:F257</x:v>
      </x:c>
      <x:c r="B35" s="8" t="str">
        <x:v>V1 → Exhaust fan · wing gable B · rear</x:v>
      </x:c>
      <x:c r="C35" s="8" t="str">
        <x:v>FC1</x:v>
      </x:c>
      <x:c r="D35" s="8" t="str">
        <x:v>F257</x:v>
      </x:c>
      <x:c r="E35" s="8" t="str">
        <x:v>DB1</x:v>
      </x:c>
      <x:c r="F35" s="8" t="str">
        <x:v>V1</x:v>
      </x:c>
      <x:c r="G35" s="8" t="str">
        <x:v>fan</x:v>
      </x:c>
      <x:c r="H35" s="8" t="str">
        <x:v>drop</x:v>
      </x:c>
      <x:c r="I35" s="11" t="n">
        <x:f>SUMIF('Route Points'!$A$7:$A$230,A35,'Route Points'!$F$7:$F$230)</x:f>
        <x:v>1.121999999999999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pier / wall drop, local termination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trunk:FC1:V1:fan:-1</x:v>
      </x:c>
    </x:row>
    <x:row r="36" ht="90" customHeight="1">
      <x:c r="A36" s="8" t="str">
        <x:v>drop:FC1:V1:fan:-1:F260</x:v>
      </x:c>
      <x:c r="B36" s="8" t="str">
        <x:v>V1 → Exhaust fan · service room</x:v>
      </x:c>
      <x:c r="C36" s="8" t="str">
        <x:v>FC1</x:v>
      </x:c>
      <x:c r="D36" s="8" t="str">
        <x:v>F260</x:v>
      </x:c>
      <x:c r="E36" s="8" t="str">
        <x:v>DB1</x:v>
      </x:c>
      <x:c r="F36" s="8" t="str">
        <x:v>V1</x:v>
      </x:c>
      <x:c r="G36" s="8" t="str">
        <x:v>fan</x:v>
      </x:c>
      <x:c r="H36" s="8" t="str">
        <x:v>drop</x:v>
      </x:c>
      <x:c r="I36" s="11" t="n">
        <x:f>SUMIF('Route Points'!$A$7:$A$230,A36,'Route Points'!$F$7:$F$230)</x:f>
        <x:v>10.718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pier / wall drop, local termination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trunk:FC1:V1:fan:-1</x:v>
      </x:c>
    </x:row>
    <x:row r="37" ht="90" customHeight="1">
      <x:c r="A37" s="8" t="str">
        <x:v>trunk:FC1:V1:fan:1</x:v>
      </x:c>
      <x:c r="B37" s="8" t="str">
        <x:v>V1 · H · circuit trunk</x:v>
      </x:c>
      <x:c r="C37" s="8" t="str">
        <x:v>FC1</x:v>
      </x:c>
      <x:c r="D37" s="8" t="str">
        <x:v>F254
F255
F258
F259</x:v>
      </x:c>
      <x:c r="E37" s="8" t="str">
        <x:v>DB1</x:v>
      </x:c>
      <x:c r="F37" s="8" t="str">
        <x:v>V1</x:v>
      </x:c>
      <x:c r="G37" s="8" t="str">
        <x:v>fan</x:v>
      </x:c>
      <x:c r="H37" s="8" t="str">
        <x:v>trunk</x:v>
      </x:c>
      <x:c r="I37" s="11" t="n">
        <x:f>SUMIF('Route Points'!$A$7:$A$230,A37,'Route Points'!$F$7:$F$230)</x:f>
        <x:v>83.403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wall band above openings; ceiling containment at wing returns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drop:FC1:V1:fan:1:F254</x:v>
      </x:c>
      <x:c r="B38" s="8" t="str">
        <x:v>V1 → Exhaust fan · front gable · H inner</x:v>
      </x:c>
      <x:c r="C38" s="8" t="str">
        <x:v>FC1</x:v>
      </x:c>
      <x:c r="D38" s="8" t="str">
        <x:v>F254</x:v>
      </x:c>
      <x:c r="E38" s="8" t="str">
        <x:v>DB1</x:v>
      </x:c>
      <x:c r="F38" s="8" t="str">
        <x:v>V1</x:v>
      </x:c>
      <x:c r="G38" s="8" t="str">
        <x:v>fan</x:v>
      </x:c>
      <x:c r="H38" s="8" t="str">
        <x:v>drop</x:v>
      </x:c>
      <x:c r="I38" s="11" t="n">
        <x:f>SUMIF('Route Points'!$A$7:$A$230,A38,'Route Points'!$F$7:$F$230)</x:f>
        <x:v>9.382000000000003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pier / wall drop, local termination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trunk:FC1:V1:fan:1</x:v>
      </x:c>
    </x:row>
    <x:row r="39" ht="90" customHeight="1">
      <x:c r="A39" s="8" t="str">
        <x:v>drop:FC1:V1:fan:1:F255</x:v>
      </x:c>
      <x:c r="B39" s="8" t="str">
        <x:v>V1 → Exhaust fan · front gable · H outer</x:v>
      </x:c>
      <x:c r="C39" s="8" t="str">
        <x:v>FC1</x:v>
      </x:c>
      <x:c r="D39" s="8" t="str">
        <x:v>F255</x:v>
      </x:c>
      <x:c r="E39" s="8" t="str">
        <x:v>DB1</x:v>
      </x:c>
      <x:c r="F39" s="8" t="str">
        <x:v>V1</x:v>
      </x:c>
      <x:c r="G39" s="8" t="str">
        <x:v>fan</x:v>
      </x:c>
      <x:c r="H39" s="8" t="str">
        <x:v>drop</x:v>
      </x:c>
      <x:c r="I39" s="11" t="n">
        <x:f>SUMIF('Route Points'!$A$7:$A$230,A39,'Route Points'!$F$7:$F$230)</x:f>
        <x:v>7.782000000000003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pier / wall drop, local termination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trunk:FC1:V1:fan:1</x:v>
      </x:c>
    </x:row>
    <x:row r="40" ht="90" customHeight="1">
      <x:c r="A40" s="8" t="str">
        <x:v>drop:FC1:V1:fan:1:F258</x:v>
      </x:c>
      <x:c r="B40" s="8" t="str">
        <x:v>V1 → Exhaust fan · wing gable H · front</x:v>
      </x:c>
      <x:c r="C40" s="8" t="str">
        <x:v>FC1</x:v>
      </x:c>
      <x:c r="D40" s="8" t="str">
        <x:v>F258</x:v>
      </x:c>
      <x:c r="E40" s="8" t="str">
        <x:v>DB1</x:v>
      </x:c>
      <x:c r="F40" s="8" t="str">
        <x:v>V1</x:v>
      </x:c>
      <x:c r="G40" s="8" t="str">
        <x:v>fan</x:v>
      </x:c>
      <x:c r="H40" s="8" t="str">
        <x:v>drop</x:v>
      </x:c>
      <x:c r="I40" s="11" t="n">
        <x:f>SUMIF('Route Points'!$A$7:$A$230,A40,'Route Points'!$F$7:$F$230)</x:f>
        <x:v>1.121999999999999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pier / wall drop, local termination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trunk:FC1:V1:fan:1</x:v>
      </x:c>
    </x:row>
    <x:row r="41" ht="90" customHeight="1">
      <x:c r="A41" s="8" t="str">
        <x:v>drop:FC1:V1:fan:1:F259</x:v>
      </x:c>
      <x:c r="B41" s="8" t="str">
        <x:v>V1 → Exhaust fan · wing gable H · rear</x:v>
      </x:c>
      <x:c r="C41" s="8" t="str">
        <x:v>FC1</x:v>
      </x:c>
      <x:c r="D41" s="8" t="str">
        <x:v>F259</x:v>
      </x:c>
      <x:c r="E41" s="8" t="str">
        <x:v>DB1</x:v>
      </x:c>
      <x:c r="F41" s="8" t="str">
        <x:v>V1</x:v>
      </x:c>
      <x:c r="G41" s="8" t="str">
        <x:v>fan</x:v>
      </x:c>
      <x:c r="H41" s="8" t="str">
        <x:v>drop</x:v>
      </x:c>
      <x:c r="I41" s="11" t="n">
        <x:f>SUMIF('Route Points'!$A$7:$A$230,A41,'Route Points'!$F$7:$F$230)</x:f>
        <x:v>1.121999999999999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pier / wall drop, local termination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trunk:FC1:V1:fan:1</x:v>
      </x:c>
    </x:row>
  </x:sheetData>
  <x:conditionalFormatting sqref="Y7:Y41">
    <x:cfRule type="containsText" dxfId="1" priority="1" operator="containsText" text="Retired"/>
  </x:conditionalFormatting>
  <x:dataValidations count="3">
    <x:dataValidation type="decimal" operator="greaterThanOrEqual" sqref="M7:M41">
      <x:formula1>0</x:formula1>
    </x:dataValidation>
    <x:dataValidation type="decimal" operator="greaterThanOrEqual" sqref="R7:R41">
      <x:formula1>0</x:formula1>
    </x:dataValidation>
    <x:dataValidation type="decimal" operator="greaterThanOrEqual" sqref="S7:S4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94463f8bf6492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2.0699999999999994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4.02</x:v>
      </x:c>
      <x:c r="E11" s="11" t="n">
        <x:v>-3.6</x:v>
      </x:c>
      <x:c r="F11" s="11" t="n">
        <x:f>SQRT((C11-C10)^2+(D11-D10)^2+(E11-E10)^2)</x:f>
        <x:v>1.3599999999999999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53.05</x:v>
      </x:c>
      <x:c r="D12" s="11" t="n">
        <x:v>4.02</x:v>
      </x:c>
      <x:c r="E12" s="11" t="n">
        <x:v>-3.6</x:v>
      </x:c>
      <x:c r="F12" s="11" t="n">
        <x:f>SQRT((C12-C11)^2+(D12-D11)^2+(E12-E11)^2)</x:f>
        <x:v>4.314999999999998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53.05</x:v>
      </x:c>
      <x:c r="D13" s="11" t="n">
        <x:v>6.532</x:v>
      </x:c>
      <x:c r="E13" s="11" t="n">
        <x:v>-3.6</x:v>
      </x:c>
      <x:c r="F13" s="11" t="n">
        <x:f>SQRT((C13-C12)^2+(D13-D12)^2+(E13-E12)^2)</x:f>
        <x:v>2.5120000000000005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53.05</x:v>
      </x:c>
      <x:c r="D14" s="11" t="n">
        <x:v>6.532</x:v>
      </x:c>
      <x:c r="E14" s="11" t="n">
        <x:v>-7.36</x:v>
      </x:c>
      <x:c r="F14" s="11" t="n">
        <x:f>SQRT((C14-C13)^2+(D14-D13)^2+(E14-E13)^2)</x:f>
        <x:v>3.7600000000000002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6.532</x:v>
      </x:c>
      <x:c r="E15" s="11" t="n">
        <x:v>-7.36</x:v>
      </x:c>
      <x:c r="F15" s="11" t="n">
        <x:f>SQRT((C15-C14)^2+(D15-D14)^2+(E15-E14)^2)</x:f>
        <x:v>8.875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6.532</x:v>
      </x:c>
      <x:c r="E16" s="11" t="n">
        <x:v>-13.24</x:v>
      </x:c>
      <x:c r="F16" s="11" t="n">
        <x:f>SQRT((C16-C15)^2+(D16-D15)^2+(E16-E15)^2)</x:f>
        <x:v>5.88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36.975</x:v>
      </x:c>
      <x:c r="D17" s="11" t="n">
        <x:v>6.532</x:v>
      </x:c>
      <x:c r="E17" s="11" t="n">
        <x:v>-13.24</x:v>
      </x:c>
      <x:c r="F17" s="11" t="n">
        <x:f>SQRT((C17-C16)^2+(D17-D16)^2+(E17-E16)^2)</x:f>
        <x:v>7.199999999999996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36.975</x:v>
      </x:c>
      <x:c r="D18" s="11" t="n">
        <x:v>6.532</x:v>
      </x:c>
      <x:c r="E18" s="11" t="n">
        <x:v>-7.36</x:v>
      </x:c>
      <x:c r="F18" s="11" t="n">
        <x:f>SQRT((C18-C17)^2+(D18-D17)^2+(E18-E17)^2)</x:f>
        <x:v>5.88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9.03</x:v>
      </x:c>
      <x:c r="D19" s="11" t="n">
        <x:v>6.532</x:v>
      </x:c>
      <x:c r="E19" s="11" t="n">
        <x:v>-7.36</x:v>
      </x:c>
      <x:c r="F19" s="11" t="n">
        <x:f>SQRT((C19-C18)^2+(D19-D18)^2+(E19-E18)^2)</x:f>
        <x:v>27.945</x:v>
      </x:c>
      <x:c r="G19" s="8" t="str">
        <x:v>Current</x:v>
      </x:c>
    </x:row>
    <x:row r="20" ht="32" customHeight="1">
      <x:c r="A20" s="8" t="str">
        <x:v>drop:FC1:F1:fan:-1:F226</x:v>
      </x:c>
      <x:c r="B20" s="8" t="n">
        <x:v>1</x:v>
      </x:c>
      <x:c r="C20" s="11" t="n">
        <x:v>9.03</x:v>
      </x:c>
      <x:c r="D20" s="11" t="n">
        <x:v>6.532</x:v>
      </x:c>
      <x:c r="E20" s="11" t="n">
        <x:v>-7.36</x:v>
      </x:c>
      <x:c r="F20" s="11" t="n">
        <x:f>0</x:f>
        <x:v>0</x:v>
      </x:c>
      <x:c r="G20" s="8" t="str">
        <x:v>Current</x:v>
      </x:c>
    </x:row>
    <x:row r="21" ht="32" customHeight="1">
      <x:c r="A21" s="8" t="str">
        <x:v>drop:FC1:F1:fan:-1:F226</x:v>
      </x:c>
      <x:c r="B21" s="8" t="n">
        <x:v>2</x:v>
      </x:c>
      <x:c r="C21" s="11" t="n">
        <x:v>9.03</x:v>
      </x:c>
      <x:c r="D21" s="11" t="n">
        <x:v>7.02</x:v>
      </x:c>
      <x:c r="E21" s="11" t="n">
        <x:v>-7.36</x:v>
      </x:c>
      <x:c r="F21" s="11" t="n">
        <x:f>SQRT((C21-C20)^2+(D21-D20)^2+(E21-E20)^2)</x:f>
        <x:v>0.48799999999999955</x:v>
      </x:c>
      <x:c r="G21" s="8" t="str">
        <x:v>Current</x:v>
      </x:c>
    </x:row>
    <x:row r="22" ht="32" customHeight="1">
      <x:c r="A22" s="8" t="str">
        <x:v>drop:FC1:F1:fan:-1:F226</x:v>
      </x:c>
      <x:c r="B22" s="8" t="n">
        <x:v>3</x:v>
      </x:c>
      <x:c r="C22" s="11" t="n">
        <x:v>9.03</x:v>
      </x:c>
      <x:c r="D22" s="11" t="n">
        <x:v>7.065002717391305</x:v>
      </x:c>
      <x:c r="E22" s="11" t="n">
        <x:v>-7.05</x:v>
      </x:c>
      <x:c r="F22" s="11" t="n">
        <x:f>SQRT((C22-C21)^2+(D22-D21)^2+(E22-E21)^2)</x:f>
        <x:v>0.3132494925336704</x:v>
      </x:c>
      <x:c r="G22" s="8" t="str">
        <x:v>Current</x:v>
      </x:c>
    </x:row>
    <x:row r="23" ht="32" customHeight="1">
      <x:c r="A23" s="8" t="str">
        <x:v>drop:FC1:F1:fan:-1:F226</x:v>
      </x:c>
      <x:c r="B23" s="8" t="n">
        <x:v>4</x:v>
      </x:c>
      <x:c r="C23" s="11" t="n">
        <x:v>7.725</x:v>
      </x:c>
      <x:c r="D23" s="11" t="n">
        <x:v>7.065002717391305</x:v>
      </x:c>
      <x:c r="E23" s="11" t="n">
        <x:v>-7.05</x:v>
      </x:c>
      <x:c r="F23" s="11" t="n">
        <x:f>SQRT((C23-C22)^2+(D23-D22)^2+(E23-E22)^2)</x:f>
        <x:v>1.3049999999999997</x:v>
      </x:c>
      <x:c r="G23" s="8" t="str">
        <x:v>Current</x:v>
      </x:c>
    </x:row>
    <x:row r="24" ht="32" customHeight="1">
      <x:c r="A24" s="8" t="str">
        <x:v>drop:FC1:F1:fan:-1:F226</x:v>
      </x:c>
      <x:c r="B24" s="8" t="n">
        <x:v>5</x:v>
      </x:c>
      <x:c r="C24" s="11" t="n">
        <x:v>7.725</x:v>
      </x:c>
      <x:c r="D24" s="11" t="n">
        <x:v>8.988413043478262</x:v>
      </x:c>
      <x:c r="E24" s="11" t="n">
        <x:v>-4.4</x:v>
      </x:c>
      <x:c r="F24" s="11" t="n">
        <x:f>SQRT((C24-C23)^2+(D24-D23)^2+(E24-E23)^2)</x:f>
        <x:v>3.2744476301351852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6</x:v>
      </x:c>
      <x:c r="C25" s="11" t="n">
        <x:v>7.725</x:v>
      </x:c>
      <x:c r="D25" s="11" t="n">
        <x:v>9.028413043478261</x:v>
      </x:c>
      <x:c r="E25" s="11" t="n">
        <x:v>-4.4</x:v>
      </x:c>
      <x:c r="F25" s="11" t="n">
        <x:f>SQRT((C25-C24)^2+(D25-D24)^2+(E25-E24)^2)</x:f>
        <x:v>0.03999999999999915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7</x:v>
      </x:c>
      <x:c r="C26" s="11" t="n">
        <x:v>7.725</x:v>
      </x:c>
      <x:c r="D26" s="11" t="n">
        <x:v>3.9</x:v>
      </x:c>
      <x:c r="E26" s="11" t="n">
        <x:v>-4.4</x:v>
      </x:c>
      <x:c r="F26" s="11" t="n">
        <x:f>SQRT((C26-C25)^2+(D26-D25)^2+(E26-E25)^2)</x:f>
        <x:v>5.128413043478261</x:v>
      </x:c>
      <x:c r="G26" s="8" t="str">
        <x:v>Current</x:v>
      </x:c>
    </x:row>
    <x:row r="27" ht="32" customHeight="1">
      <x:c r="A27" s="8" t="str">
        <x:v>drop:FC1:F1:fan:-1:F228</x:v>
      </x:c>
      <x:c r="B27" s="8" t="n">
        <x:v>1</x:v>
      </x:c>
      <x:c r="C27" s="11" t="n">
        <x:v>13.53</x:v>
      </x:c>
      <x:c r="D27" s="11" t="n">
        <x:v>6.532</x:v>
      </x:c>
      <x:c r="E27" s="11" t="n">
        <x:v>-7.36</x:v>
      </x:c>
      <x:c r="F27" s="11" t="n">
        <x:f>0</x:f>
        <x:v>0</x:v>
      </x:c>
      <x:c r="G27" s="8" t="str">
        <x:v>Current</x:v>
      </x:c>
    </x:row>
    <x:row r="28" ht="32" customHeight="1">
      <x:c r="A28" s="8" t="str">
        <x:v>drop:FC1:F1:fan:-1:F228</x:v>
      </x:c>
      <x:c r="B28" s="8" t="n">
        <x:v>2</x:v>
      </x:c>
      <x:c r="C28" s="11" t="n">
        <x:v>13.53</x:v>
      </x:c>
      <x:c r="D28" s="11" t="n">
        <x:v>7.02</x:v>
      </x:c>
      <x:c r="E28" s="11" t="n">
        <x:v>-7.36</x:v>
      </x:c>
      <x:c r="F28" s="11" t="n">
        <x:f>SQRT((C28-C27)^2+(D28-D27)^2+(E28-E27)^2)</x:f>
        <x:v>0.48799999999999955</x:v>
      </x:c>
      <x:c r="G28" s="8" t="str">
        <x:v>Current</x:v>
      </x:c>
    </x:row>
    <x:row r="29" ht="32" customHeight="1">
      <x:c r="A29" s="8" t="str">
        <x:v>drop:FC1:F1:fan:-1:F228</x:v>
      </x:c>
      <x:c r="B29" s="8" t="n">
        <x:v>3</x:v>
      </x:c>
      <x:c r="C29" s="11" t="n">
        <x:v>13.53</x:v>
      </x:c>
      <x:c r="D29" s="11" t="n">
        <x:v>7.065002717391305</x:v>
      </x:c>
      <x:c r="E29" s="11" t="n">
        <x:v>-7.05</x:v>
      </x:c>
      <x:c r="F29" s="11" t="n">
        <x:f>SQRT((C29-C28)^2+(D29-D28)^2+(E29-E28)^2)</x:f>
        <x:v>0.3132494925336704</x:v>
      </x:c>
      <x:c r="G29" s="8" t="str">
        <x:v>Current</x:v>
      </x:c>
    </x:row>
    <x:row r="30" ht="32" customHeight="1">
      <x:c r="A30" s="8" t="str">
        <x:v>drop:FC1:F1:fan:-1:F228</x:v>
      </x:c>
      <x:c r="B30" s="8" t="n">
        <x:v>4</x:v>
      </x:c>
      <x:c r="C30" s="11" t="n">
        <x:v>12.225</x:v>
      </x:c>
      <x:c r="D30" s="11" t="n">
        <x:v>7.065002717391305</x:v>
      </x:c>
      <x:c r="E30" s="11" t="n">
        <x:v>-7.05</x:v>
      </x:c>
      <x:c r="F30" s="11" t="n">
        <x:f>SQRT((C30-C29)^2+(D30-D29)^2+(E30-E29)^2)</x:f>
        <x:v>1.3049999999999997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5</x:v>
      </x:c>
      <x:c r="C31" s="11" t="n">
        <x:v>12.225</x:v>
      </x:c>
      <x:c r="D31" s="11" t="n">
        <x:v>8.988413043478262</x:v>
      </x:c>
      <x:c r="E31" s="11" t="n">
        <x:v>-4.4</x:v>
      </x:c>
      <x:c r="F31" s="11" t="n">
        <x:f>SQRT((C31-C30)^2+(D31-D30)^2+(E31-E30)^2)</x:f>
        <x:v>3.2744476301351852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6</x:v>
      </x:c>
      <x:c r="C32" s="11" t="n">
        <x:v>12.225</x:v>
      </x:c>
      <x:c r="D32" s="11" t="n">
        <x:v>9.028413043478261</x:v>
      </x:c>
      <x:c r="E32" s="11" t="n">
        <x:v>-4.4</x:v>
      </x:c>
      <x:c r="F32" s="11" t="n">
        <x:f>SQRT((C32-C31)^2+(D32-D31)^2+(E32-E31)^2)</x:f>
        <x:v>0.03999999999999915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7</x:v>
      </x:c>
      <x:c r="C33" s="11" t="n">
        <x:v>12.225</x:v>
      </x:c>
      <x:c r="D33" s="11" t="n">
        <x:v>3.9</x:v>
      </x:c>
      <x:c r="E33" s="11" t="n">
        <x:v>-4.4</x:v>
      </x:c>
      <x:c r="F33" s="11" t="n">
        <x:f>SQRT((C33-C32)^2+(D33-D32)^2+(E33-E32)^2)</x:f>
        <x:v>5.128413043478261</x:v>
      </x:c>
      <x:c r="G33" s="8" t="str">
        <x:v>Current</x:v>
      </x:c>
    </x:row>
    <x:row r="34" ht="32" customHeight="1">
      <x:c r="A34" s="8" t="str">
        <x:v>drop:FC1:F1:fan:-1:F230</x:v>
      </x:c>
      <x:c r="B34" s="8" t="n">
        <x:v>1</x:v>
      </x:c>
      <x:c r="C34" s="11" t="n">
        <x:v>18.02</x:v>
      </x:c>
      <x:c r="D34" s="11" t="n">
        <x:v>6.532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drop:FC1:F1:fan:-1:F230</x:v>
      </x:c>
      <x:c r="B35" s="8" t="n">
        <x:v>2</x:v>
      </x:c>
      <x:c r="C35" s="11" t="n">
        <x:v>18.02</x:v>
      </x:c>
      <x:c r="D35" s="11" t="n">
        <x:v>7.02</x:v>
      </x:c>
      <x:c r="E35" s="11" t="n">
        <x:v>-7.36</x:v>
      </x:c>
      <x:c r="F35" s="11" t="n">
        <x:f>SQRT((C35-C34)^2+(D35-D34)^2+(E35-E34)^2)</x:f>
        <x:v>0.48799999999999955</x:v>
      </x:c>
      <x:c r="G35" s="8" t="str">
        <x:v>Current</x:v>
      </x:c>
    </x:row>
    <x:row r="36" ht="32" customHeight="1">
      <x:c r="A36" s="8" t="str">
        <x:v>drop:FC1:F1:fan:-1:F230</x:v>
      </x:c>
      <x:c r="B36" s="8" t="n">
        <x:v>3</x:v>
      </x:c>
      <x:c r="C36" s="11" t="n">
        <x:v>18.02</x:v>
      </x:c>
      <x:c r="D36" s="11" t="n">
        <x:v>7.065002717391305</x:v>
      </x:c>
      <x:c r="E36" s="11" t="n">
        <x:v>-7.05</x:v>
      </x:c>
      <x:c r="F36" s="11" t="n">
        <x:f>SQRT((C36-C35)^2+(D36-D35)^2+(E36-E35)^2)</x:f>
        <x:v>0.3132494925336704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4</x:v>
      </x:c>
      <x:c r="C37" s="11" t="n">
        <x:v>16.725</x:v>
      </x:c>
      <x:c r="D37" s="11" t="n">
        <x:v>7.065002717391305</x:v>
      </x:c>
      <x:c r="E37" s="11" t="n">
        <x:v>-7.05</x:v>
      </x:c>
      <x:c r="F37" s="11" t="n">
        <x:f>SQRT((C37-C36)^2+(D37-D36)^2+(E37-E36)^2)</x:f>
        <x:v>1.2949999999999982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5</x:v>
      </x:c>
      <x:c r="C38" s="11" t="n">
        <x:v>16.725</x:v>
      </x:c>
      <x:c r="D38" s="11" t="n">
        <x:v>8.988413043478262</x:v>
      </x:c>
      <x:c r="E38" s="11" t="n">
        <x:v>-4.4</x:v>
      </x:c>
      <x:c r="F38" s="11" t="n">
        <x:f>SQRT((C38-C37)^2+(D38-D37)^2+(E38-E37)^2)</x:f>
        <x:v>3.2744476301351852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6</x:v>
      </x:c>
      <x:c r="C39" s="11" t="n">
        <x:v>16.725</x:v>
      </x:c>
      <x:c r="D39" s="11" t="n">
        <x:v>9.028413043478261</x:v>
      </x:c>
      <x:c r="E39" s="11" t="n">
        <x:v>-4.4</x:v>
      </x:c>
      <x:c r="F39" s="11" t="n">
        <x:f>SQRT((C39-C38)^2+(D39-D38)^2+(E39-E38)^2)</x:f>
        <x:v>0.03999999999999915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7</x:v>
      </x:c>
      <x:c r="C40" s="11" t="n">
        <x:v>16.725</x:v>
      </x:c>
      <x:c r="D40" s="11" t="n">
        <x:v>3.9</x:v>
      </x:c>
      <x:c r="E40" s="11" t="n">
        <x:v>-4.4</x:v>
      </x:c>
      <x:c r="F40" s="11" t="n">
        <x:f>SQRT((C40-C39)^2+(D40-D39)^2+(E40-E39)^2)</x:f>
        <x:v>5.128413043478261</x:v>
      </x:c>
      <x:c r="G40" s="8" t="str">
        <x:v>Current</x:v>
      </x:c>
    </x:row>
    <x:row r="41" ht="32" customHeight="1">
      <x:c r="A41" s="8" t="str">
        <x:v>drop:FC1:F1:fan:-1:F232</x:v>
      </x:c>
      <x:c r="B41" s="8" t="n">
        <x:v>1</x:v>
      </x:c>
      <x:c r="C41" s="11" t="n">
        <x:v>22.53</x:v>
      </x:c>
      <x:c r="D41" s="11" t="n">
        <x:v>6.532</x:v>
      </x:c>
      <x:c r="E41" s="11" t="n">
        <x:v>-7.36</x:v>
      </x:c>
      <x:c r="F41" s="11" t="n">
        <x:f>0</x:f>
        <x:v>0</x:v>
      </x:c>
      <x:c r="G41" s="8" t="str">
        <x:v>Current</x:v>
      </x:c>
    </x:row>
    <x:row r="42" ht="32" customHeight="1">
      <x:c r="A42" s="8" t="str">
        <x:v>drop:FC1:F1:fan:-1:F232</x:v>
      </x:c>
      <x:c r="B42" s="8" t="n">
        <x:v>2</x:v>
      </x:c>
      <x:c r="C42" s="11" t="n">
        <x:v>22.53</x:v>
      </x:c>
      <x:c r="D42" s="11" t="n">
        <x:v>7.02</x:v>
      </x:c>
      <x:c r="E42" s="11" t="n">
        <x:v>-7.36</x:v>
      </x:c>
      <x:c r="F42" s="11" t="n">
        <x:f>SQRT((C42-C41)^2+(D42-D41)^2+(E42-E41)^2)</x:f>
        <x:v>0.48799999999999955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3</x:v>
      </x:c>
      <x:c r="C43" s="11" t="n">
        <x:v>22.53</x:v>
      </x:c>
      <x:c r="D43" s="11" t="n">
        <x:v>7.065002717391305</x:v>
      </x:c>
      <x:c r="E43" s="11" t="n">
        <x:v>-7.05</x:v>
      </x:c>
      <x:c r="F43" s="11" t="n">
        <x:f>SQRT((C43-C42)^2+(D43-D42)^2+(E43-E42)^2)</x:f>
        <x:v>0.3132494925336704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4</x:v>
      </x:c>
      <x:c r="C44" s="11" t="n">
        <x:v>21.225</x:v>
      </x:c>
      <x:c r="D44" s="11" t="n">
        <x:v>7.065002717391305</x:v>
      </x:c>
      <x:c r="E44" s="11" t="n">
        <x:v>-7.05</x:v>
      </x:c>
      <x:c r="F44" s="11" t="n">
        <x:f>SQRT((C44-C43)^2+(D44-D43)^2+(E44-E43)^2)</x:f>
        <x:v>1.3049999999999997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5</x:v>
      </x:c>
      <x:c r="C45" s="11" t="n">
        <x:v>21.225</x:v>
      </x:c>
      <x:c r="D45" s="11" t="n">
        <x:v>8.988413043478262</x:v>
      </x:c>
      <x:c r="E45" s="11" t="n">
        <x:v>-4.4</x:v>
      </x:c>
      <x:c r="F45" s="11" t="n">
        <x:f>SQRT((C45-C44)^2+(D45-D44)^2+(E45-E44)^2)</x:f>
        <x:v>3.2744476301351852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6</x:v>
      </x:c>
      <x:c r="C46" s="11" t="n">
        <x:v>21.225</x:v>
      </x:c>
      <x:c r="D46" s="11" t="n">
        <x:v>9.028413043478261</x:v>
      </x:c>
      <x:c r="E46" s="11" t="n">
        <x:v>-4.4</x:v>
      </x:c>
      <x:c r="F46" s="11" t="n">
        <x:f>SQRT((C46-C45)^2+(D46-D45)^2+(E46-E45)^2)</x:f>
        <x:v>0.03999999999999915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7</x:v>
      </x:c>
      <x:c r="C47" s="11" t="n">
        <x:v>21.225</x:v>
      </x:c>
      <x:c r="D47" s="11" t="n">
        <x:v>3.9</x:v>
      </x:c>
      <x:c r="E47" s="11" t="n">
        <x:v>-4.4</x:v>
      </x:c>
      <x:c r="F47" s="11" t="n">
        <x:f>SQRT((C47-C46)^2+(D47-D46)^2+(E47-E46)^2)</x:f>
        <x:v>5.128413043478261</x:v>
      </x:c>
      <x:c r="G47" s="8" t="str">
        <x:v>Current</x:v>
      </x:c>
    </x:row>
    <x:row r="48" ht="32" customHeight="1">
      <x:c r="A48" s="8" t="str">
        <x:v>drop:FC1:F1:fan:-1:F234</x:v>
      </x:c>
      <x:c r="B48" s="8" t="n">
        <x:v>1</x:v>
      </x:c>
      <x:c r="C48" s="11" t="n">
        <x:v>27.03</x:v>
      </x:c>
      <x:c r="D48" s="11" t="n">
        <x:v>6.532</x:v>
      </x:c>
      <x:c r="E48" s="11" t="n">
        <x:v>-7.36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2</x:v>
      </x:c>
      <x:c r="C49" s="11" t="n">
        <x:v>27.03</x:v>
      </x:c>
      <x:c r="D49" s="11" t="n">
        <x:v>7.02</x:v>
      </x:c>
      <x:c r="E49" s="11" t="n">
        <x:v>-7.36</x:v>
      </x:c>
      <x:c r="F49" s="11" t="n">
        <x:f>SQRT((C49-C48)^2+(D49-D48)^2+(E49-E48)^2)</x:f>
        <x:v>0.48799999999999955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3</x:v>
      </x:c>
      <x:c r="C50" s="11" t="n">
        <x:v>27.03</x:v>
      </x:c>
      <x:c r="D50" s="11" t="n">
        <x:v>7.065002717391305</x:v>
      </x:c>
      <x:c r="E50" s="11" t="n">
        <x:v>-7.05</x:v>
      </x:c>
      <x:c r="F50" s="11" t="n">
        <x:f>SQRT((C50-C49)^2+(D50-D49)^2+(E50-E49)^2)</x:f>
        <x:v>0.3132494925336704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4</x:v>
      </x:c>
      <x:c r="C51" s="11" t="n">
        <x:v>25.725</x:v>
      </x:c>
      <x:c r="D51" s="11" t="n">
        <x:v>7.065002717391305</x:v>
      </x:c>
      <x:c r="E51" s="11" t="n">
        <x:v>-7.05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5</x:v>
      </x:c>
      <x:c r="C52" s="11" t="n">
        <x:v>25.725</x:v>
      </x:c>
      <x:c r="D52" s="11" t="n">
        <x:v>8.988413043478262</x:v>
      </x:c>
      <x:c r="E52" s="11" t="n">
        <x:v>-4.4</x:v>
      </x:c>
      <x:c r="F52" s="11" t="n">
        <x:f>SQRT((C52-C51)^2+(D52-D51)^2+(E52-E51)^2)</x:f>
        <x:v>3.2744476301351852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6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0.03999999999999915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7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6.532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7.02</x:v>
      </x:c>
      <x:c r="E56" s="11" t="n">
        <x:v>-7.36</x:v>
      </x:c>
      <x:c r="F56" s="11" t="n">
        <x:f>SQRT((C56-C55)^2+(D56-D55)^2+(E56-E55)^2)</x:f>
        <x:v>0.48799999999999955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31.53</x:v>
      </x:c>
      <x:c r="D57" s="11" t="n">
        <x:v>7.065002717391305</x:v>
      </x:c>
      <x:c r="E57" s="11" t="n">
        <x:v>-7.05</x:v>
      </x:c>
      <x:c r="F57" s="11" t="n">
        <x:f>SQRT((C57-C56)^2+(D57-D56)^2+(E57-E56)^2)</x:f>
        <x:v>0.3132494925336704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7.065002717391305</x:v>
      </x:c>
      <x:c r="E58" s="11" t="n">
        <x:v>-7.05</x:v>
      </x:c>
      <x:c r="F58" s="11" t="n">
        <x:f>SQRT((C58-C57)^2+(D58-D57)^2+(E58-E57)^2)</x:f>
        <x:v>1.3049999999999997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8.988413043478262</x:v>
      </x:c>
      <x:c r="E59" s="11" t="n">
        <x:v>-4.4</x:v>
      </x:c>
      <x:c r="F59" s="11" t="n">
        <x:f>SQRT((C59-C58)^2+(D59-D58)^2+(E59-E58)^2)</x:f>
        <x:v>3.2744476301351852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9.028413043478261</x:v>
      </x:c>
      <x:c r="E60" s="11" t="n">
        <x:v>-4.4</x:v>
      </x:c>
      <x:c r="F60" s="11" t="n">
        <x:f>SQRT((C60-C59)^2+(D60-D59)^2+(E60-E59)^2)</x:f>
        <x:v>0.03999999999999915</x:v>
      </x:c>
      <x:c r="G60" s="8" t="str">
        <x:v>Current</x:v>
      </x:c>
    </x:row>
    <x:row r="61" ht="32" customHeight="1">
      <x:c r="A61" s="8" t="str">
        <x:v>drop:FC1:F1:fan:-1:F236</x:v>
      </x:c>
      <x:c r="B61" s="8" t="n">
        <x:v>7</x:v>
      </x:c>
      <x:c r="C61" s="11" t="n">
        <x:v>30.225</x:v>
      </x:c>
      <x:c r="D61" s="11" t="n">
        <x:v>3.9</x:v>
      </x:c>
      <x:c r="E61" s="11" t="n">
        <x:v>-4.4</x:v>
      </x:c>
      <x:c r="F61" s="11" t="n">
        <x:f>SQRT((C61-C60)^2+(D61-D60)^2+(E61-E60)^2)</x:f>
        <x:v>5.128413043478261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1</x:v>
      </x:c>
      <x:c r="C62" s="11" t="n">
        <x:v>36.02</x:v>
      </x:c>
      <x:c r="D62" s="11" t="n">
        <x:v>6.532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2</x:v>
      </x:c>
      <x:c r="C63" s="11" t="n">
        <x:v>36.02</x:v>
      </x:c>
      <x:c r="D63" s="11" t="n">
        <x:v>7.02</x:v>
      </x:c>
      <x:c r="E63" s="11" t="n">
        <x:v>-7.36</x:v>
      </x:c>
      <x:c r="F63" s="11" t="n">
        <x:f>SQRT((C63-C62)^2+(D63-D62)^2+(E63-E62)^2)</x:f>
        <x:v>0.48799999999999955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3</x:v>
      </x:c>
      <x:c r="C64" s="11" t="n">
        <x:v>36.02</x:v>
      </x:c>
      <x:c r="D64" s="11" t="n">
        <x:v>7.065002717391305</x:v>
      </x:c>
      <x:c r="E64" s="11" t="n">
        <x:v>-7.05</x:v>
      </x:c>
      <x:c r="F64" s="11" t="n">
        <x:f>SQRT((C64-C63)^2+(D64-D63)^2+(E64-E63)^2)</x:f>
        <x:v>0.3132494925336704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4</x:v>
      </x:c>
      <x:c r="C65" s="11" t="n">
        <x:v>34.725</x:v>
      </x:c>
      <x:c r="D65" s="11" t="n">
        <x:v>7.065002717391305</x:v>
      </x:c>
      <x:c r="E65" s="11" t="n">
        <x:v>-7.05</x:v>
      </x:c>
      <x:c r="F65" s="11" t="n">
        <x:f>SQRT((C65-C64)^2+(D65-D64)^2+(E65-E64)^2)</x:f>
        <x:v>1.2950000000000017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5</x:v>
      </x:c>
      <x:c r="C66" s="11" t="n">
        <x:v>34.725</x:v>
      </x:c>
      <x:c r="D66" s="11" t="n">
        <x:v>8.988413043478262</x:v>
      </x:c>
      <x:c r="E66" s="11" t="n">
        <x:v>-4.4</x:v>
      </x:c>
      <x:c r="F66" s="11" t="n">
        <x:f>SQRT((C66-C65)^2+(D66-D65)^2+(E66-E65)^2)</x:f>
        <x:v>3.2744476301351852</x:v>
      </x:c>
      <x:c r="G66" s="8" t="str">
        <x:v>Current</x:v>
      </x:c>
    </x:row>
    <x:row r="67" ht="32" customHeight="1">
      <x:c r="A67" s="8" t="str">
        <x:v>drop:FC1:F1:fan:-1:F238</x:v>
      </x:c>
      <x:c r="B67" s="8" t="n">
        <x:v>6</x:v>
      </x:c>
      <x:c r="C67" s="11" t="n">
        <x:v>34.725</x:v>
      </x:c>
      <x:c r="D67" s="11" t="n">
        <x:v>9.028413043478261</x:v>
      </x:c>
      <x:c r="E67" s="11" t="n">
        <x:v>-4.4</x:v>
      </x:c>
      <x:c r="F67" s="11" t="n">
        <x:f>SQRT((C67-C66)^2+(D67-D66)^2+(E67-E66)^2)</x:f>
        <x:v>0.03999999999999915</x:v>
      </x:c>
      <x:c r="G67" s="8" t="str">
        <x:v>Current</x:v>
      </x:c>
    </x:row>
    <x:row r="68" ht="32" customHeight="1">
      <x:c r="A68" s="8" t="str">
        <x:v>drop:FC1:F1:fan:-1:F238</x:v>
      </x:c>
      <x:c r="B68" s="8" t="n">
        <x:v>7</x:v>
      </x:c>
      <x:c r="C68" s="11" t="n">
        <x:v>34.725</x:v>
      </x:c>
      <x:c r="D68" s="11" t="n">
        <x:v>3.9</x:v>
      </x:c>
      <x:c r="E68" s="11" t="n">
        <x:v>-4.4</x:v>
      </x:c>
      <x:c r="F68" s="11" t="n">
        <x:f>SQRT((C68-C67)^2+(D68-D67)^2+(E68-E67)^2)</x:f>
        <x:v>5.128413043478261</x:v>
      </x:c>
      <x:c r="G68" s="8" t="str">
        <x:v>Current</x:v>
      </x:c>
    </x:row>
    <x:row r="69" ht="32" customHeight="1">
      <x:c r="A69" s="8" t="str">
        <x:v>drop:FC1:F1:fan:-1:F240</x:v>
      </x:c>
      <x:c r="B69" s="8" t="n">
        <x:v>1</x:v>
      </x:c>
      <x:c r="C69" s="11" t="n">
        <x:v>39.3</x:v>
      </x:c>
      <x:c r="D69" s="11" t="n">
        <x:v>6.532</x:v>
      </x:c>
      <x:c r="E69" s="11" t="n">
        <x:v>-13.24</x:v>
      </x:c>
      <x:c r="F69" s="11" t="n">
        <x:f>0</x:f>
        <x:v>0</x:v>
      </x:c>
      <x:c r="G69" s="8" t="str">
        <x:v>Current</x:v>
      </x:c>
    </x:row>
    <x:row r="70" ht="32" customHeight="1">
      <x:c r="A70" s="8" t="str">
        <x:v>drop:FC1:F1:fan:-1:F240</x:v>
      </x:c>
      <x:c r="B70" s="8" t="n">
        <x:v>2</x:v>
      </x:c>
      <x:c r="C70" s="11" t="n">
        <x:v>39.3</x:v>
      </x:c>
      <x:c r="D70" s="11" t="n">
        <x:v>6.532</x:v>
      </x:c>
      <x:c r="E70" s="11" t="n">
        <x:v>-10.15</x:v>
      </x:c>
      <x:c r="F70" s="11" t="n">
        <x:f>SQRT((C70-C69)^2+(D70-D69)^2+(E70-E69)^2)</x:f>
        <x:v>3.09</x:v>
      </x:c>
      <x:c r="G70" s="8" t="str">
        <x:v>Current</x:v>
      </x:c>
    </x:row>
    <x:row r="71" ht="32" customHeight="1">
      <x:c r="A71" s="8" t="str">
        <x:v>drop:FC1:F1:fan:-1:F240</x:v>
      </x:c>
      <x:c r="B71" s="8" t="n">
        <x:v>3</x:v>
      </x:c>
      <x:c r="C71" s="11" t="n">
        <x:v>39.3</x:v>
      </x:c>
      <x:c r="D71" s="11" t="n">
        <x:v>8.398379999999996</x:v>
      </x:c>
      <x:c r="E71" s="11" t="n">
        <x:v>-10.15</x:v>
      </x:c>
      <x:c r="F71" s="11" t="n">
        <x:f>SQRT((C71-C70)^2+(D71-D70)^2+(E71-E70)^2)</x:f>
        <x:v>1.866379999999996</x:v>
      </x:c>
      <x:c r="G71" s="8" t="str">
        <x:v>Current</x:v>
      </x:c>
    </x:row>
    <x:row r="72" ht="32" customHeight="1">
      <x:c r="A72" s="8" t="str">
        <x:v>drop:FC1:F1:fan:-1:F240</x:v>
      </x:c>
      <x:c r="B72" s="8" t="n">
        <x:v>4</x:v>
      </x:c>
      <x:c r="C72" s="11" t="n">
        <x:v>39.3</x:v>
      </x:c>
      <x:c r="D72" s="11" t="n">
        <x:v>3.3</x:v>
      </x:c>
      <x:c r="E72" s="11" t="n">
        <x:v>-10.15</x:v>
      </x:c>
      <x:c r="F72" s="11" t="n">
        <x:f>SQRT((C72-C71)^2+(D72-D71)^2+(E72-E71)^2)</x:f>
        <x:v>5.098379999999996</x:v>
      </x:c>
      <x:c r="G72" s="8" t="str">
        <x:v>Current</x:v>
      </x:c>
    </x:row>
    <x:row r="73" ht="32" customHeight="1">
      <x:c r="A73" s="8" t="str">
        <x:v>drop:FC1:F1:fan:-1:F241</x:v>
      </x:c>
      <x:c r="B73" s="8" t="n">
        <x:v>1</x:v>
      </x:c>
      <x:c r="C73" s="11" t="n">
        <x:v>41.85</x:v>
      </x:c>
      <x:c r="D73" s="11" t="n">
        <x:v>6.532</x:v>
      </x:c>
      <x:c r="E73" s="11" t="n">
        <x:v>-13.24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drop:FC1:F1:fan:-1:F241</x:v>
      </x:c>
      <x:c r="B74" s="8" t="n">
        <x:v>2</x:v>
      </x:c>
      <x:c r="C74" s="11" t="n">
        <x:v>41.85</x:v>
      </x:c>
      <x:c r="D74" s="11" t="n">
        <x:v>6.532</x:v>
      </x:c>
      <x:c r="E74" s="11" t="n">
        <x:v>-10.15</x:v>
      </x:c>
      <x:c r="F74" s="11" t="n">
        <x:f>SQRT((C74-C73)^2+(D74-D73)^2+(E74-E73)^2)</x:f>
        <x:v>3.09</x:v>
      </x:c>
      <x:c r="G74" s="8" t="str">
        <x:v>Current</x:v>
      </x:c>
    </x:row>
    <x:row r="75" ht="32" customHeight="1">
      <x:c r="A75" s="8" t="str">
        <x:v>drop:FC1:F1:fan:-1:F241</x:v>
      </x:c>
      <x:c r="B75" s="8" t="n">
        <x:v>3</x:v>
      </x:c>
      <x:c r="C75" s="11" t="n">
        <x:v>41.85</x:v>
      </x:c>
      <x:c r="D75" s="11" t="n">
        <x:v>8.374770000000002</x:v>
      </x:c>
      <x:c r="E75" s="11" t="n">
        <x:v>-10.15</x:v>
      </x:c>
      <x:c r="F75" s="11" t="n">
        <x:f>SQRT((C75-C74)^2+(D75-D74)^2+(E75-E74)^2)</x:f>
        <x:v>1.8427700000000016</x:v>
      </x:c>
      <x:c r="G75" s="8" t="str">
        <x:v>Current</x:v>
      </x:c>
    </x:row>
    <x:row r="76" ht="32" customHeight="1">
      <x:c r="A76" s="8" t="str">
        <x:v>drop:FC1:F1:fan:-1:F241</x:v>
      </x:c>
      <x:c r="B76" s="8" t="n">
        <x:v>4</x:v>
      </x:c>
      <x:c r="C76" s="11" t="n">
        <x:v>41.85</x:v>
      </x:c>
      <x:c r="D76" s="11" t="n">
        <x:v>3.3</x:v>
      </x:c>
      <x:c r="E76" s="11" t="n">
        <x:v>-10.15</x:v>
      </x:c>
      <x:c r="F76" s="11" t="n">
        <x:f>SQRT((C76-C75)^2+(D76-D75)^2+(E76-E75)^2)</x:f>
        <x:v>5.074770000000002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</x:v>
      </x:c>
      <x:c r="C77" s="11" t="n">
        <x:v>48.895</x:v>
      </x:c>
      <x:c r="D77" s="11" t="n">
        <x:v>1.95</x:v>
      </x:c>
      <x:c r="E77" s="11" t="n">
        <x:v>0.4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2</x:v>
      </x:c>
      <x:c r="C78" s="11" t="n">
        <x:v>48.735</x:v>
      </x:c>
      <x:c r="D78" s="11" t="n">
        <x:v>1.95</x:v>
      </x:c>
      <x:c r="E78" s="11" t="n">
        <x:v>0.4</x:v>
      </x:c>
      <x:c r="F78" s="11" t="n">
        <x:f>SQRT((C78-C77)^2+(D78-D77)^2+(E78-E77)^2)</x:f>
        <x:v>0.1600000000000037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3</x:v>
      </x:c>
      <x:c r="C79" s="11" t="n">
        <x:v>48.735</x:v>
      </x:c>
      <x:c r="D79" s="11" t="n">
        <x:v>1.95</x:v>
      </x:c>
      <x:c r="E79" s="11" t="n">
        <x:v>-2.24</x:v>
      </x:c>
      <x:c r="F79" s="11" t="n">
        <x:f>SQRT((C79-C78)^2+(D79-D78)^2+(E79-E78)^2)</x:f>
        <x:v>2.64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4</x:v>
      </x:c>
      <x:c r="C80" s="11" t="n">
        <x:v>48.735</x:v>
      </x:c>
      <x:c r="D80" s="11" t="n">
        <x:v>4.02</x:v>
      </x:c>
      <x:c r="E80" s="11" t="n">
        <x:v>-2.24</x:v>
      </x:c>
      <x:c r="F80" s="11" t="n">
        <x:f>SQRT((C80-C79)^2+(D80-D79)^2+(E80-E79)^2)</x:f>
        <x:v>2.0699999999999994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5</x:v>
      </x:c>
      <x:c r="C81" s="11" t="n">
        <x:v>48.735</x:v>
      </x:c>
      <x:c r="D81" s="11" t="n">
        <x:v>4.02</x:v>
      </x:c>
      <x:c r="E81" s="11" t="n">
        <x:v>-3.6</x:v>
      </x:c>
      <x:c r="F81" s="11" t="n">
        <x:f>SQRT((C81-C80)^2+(D81-D80)^2+(E81-E80)^2)</x:f>
        <x:v>1.3599999999999999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6</x:v>
      </x:c>
      <x:c r="C82" s="11" t="n">
        <x:v>53.05</x:v>
      </x:c>
      <x:c r="D82" s="11" t="n">
        <x:v>4.02</x:v>
      </x:c>
      <x:c r="E82" s="11" t="n">
        <x:v>-3.6</x:v>
      </x:c>
      <x:c r="F82" s="11" t="n">
        <x:f>SQRT((C82-C81)^2+(D82-D81)^2+(E82-E81)^2)</x:f>
        <x:v>4.314999999999998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7</x:v>
      </x:c>
      <x:c r="C83" s="11" t="n">
        <x:v>53.05</x:v>
      </x:c>
      <x:c r="D83" s="11" t="n">
        <x:v>6.532</x:v>
      </x:c>
      <x:c r="E83" s="11" t="n">
        <x:v>-3.6</x:v>
      </x:c>
      <x:c r="F83" s="11" t="n">
        <x:f>SQRT((C83-C82)^2+(D83-D82)^2+(E83-E82)^2)</x:f>
        <x:v>2.5120000000000005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8</x:v>
      </x:c>
      <x:c r="C84" s="11" t="n">
        <x:v>53.05</x:v>
      </x:c>
      <x:c r="D84" s="11" t="n">
        <x:v>6.532</x:v>
      </x:c>
      <x:c r="E84" s="11" t="n">
        <x:v>7.36</x:v>
      </x:c>
      <x:c r="F84" s="11" t="n">
        <x:f>SQRT((C84-C83)^2+(D84-D83)^2+(E84-E83)^2)</x:f>
        <x:v>10.96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9</x:v>
      </x:c>
      <x:c r="C85" s="11" t="n">
        <x:v>44.175</x:v>
      </x:c>
      <x:c r="D85" s="11" t="n">
        <x:v>6.532</x:v>
      </x:c>
      <x:c r="E85" s="11" t="n">
        <x:v>7.36</x:v>
      </x:c>
      <x:c r="F85" s="11" t="n">
        <x:f>SQRT((C85-C84)^2+(D85-D84)^2+(E85-E84)^2)</x:f>
        <x:v>8.875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10</x:v>
      </x:c>
      <x:c r="C86" s="11" t="n">
        <x:v>44.175</x:v>
      </x:c>
      <x:c r="D86" s="11" t="n">
        <x:v>6.532</x:v>
      </x:c>
      <x:c r="E86" s="11" t="n">
        <x:v>13.24</x:v>
      </x:c>
      <x:c r="F86" s="11" t="n">
        <x:f>SQRT((C86-C85)^2+(D86-D85)^2+(E86-E85)^2)</x:f>
        <x:v>5.88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11</x:v>
      </x:c>
      <x:c r="C87" s="11" t="n">
        <x:v>36.975</x:v>
      </x:c>
      <x:c r="D87" s="11" t="n">
        <x:v>6.532</x:v>
      </x:c>
      <x:c r="E87" s="11" t="n">
        <x:v>13.24</x:v>
      </x:c>
      <x:c r="F87" s="11" t="n">
        <x:f>SQRT((C87-C86)^2+(D87-D86)^2+(E87-E86)^2)</x:f>
        <x:v>7.199999999999996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12</x:v>
      </x:c>
      <x:c r="C88" s="11" t="n">
        <x:v>36.975</x:v>
      </x:c>
      <x:c r="D88" s="11" t="n">
        <x:v>6.532</x:v>
      </x:c>
      <x:c r="E88" s="11" t="n">
        <x:v>7.36</x:v>
      </x:c>
      <x:c r="F88" s="11" t="n">
        <x:f>SQRT((C88-C87)^2+(D88-D87)^2+(E88-E87)^2)</x:f>
        <x:v>5.88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13</x:v>
      </x:c>
      <x:c r="C89" s="11" t="n">
        <x:v>9.03</x:v>
      </x:c>
      <x:c r="D89" s="11" t="n">
        <x:v>6.532</x:v>
      </x:c>
      <x:c r="E89" s="11" t="n">
        <x:v>7.36</x:v>
      </x:c>
      <x:c r="F89" s="11" t="n">
        <x:f>SQRT((C89-C88)^2+(D89-D88)^2+(E89-E88)^2)</x:f>
        <x:v>27.945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1</x:v>
      </x:c>
      <x:c r="C90" s="11" t="n">
        <x:v>9.03</x:v>
      </x:c>
      <x:c r="D90" s="11" t="n">
        <x:v>6.532</x:v>
      </x:c>
      <x:c r="E90" s="11" t="n">
        <x:v>7.36</x:v>
      </x:c>
      <x:c r="F90" s="11" t="n">
        <x:f>0</x:f>
        <x:v>0</x:v>
      </x:c>
      <x:c r="G90" s="8" t="str">
        <x:v>Current</x:v>
      </x:c>
    </x:row>
    <x:row r="91" ht="32" customHeight="1">
      <x:c r="A91" s="8" t="str">
        <x:v>drop:FC1:F1:fan:1:F227</x:v>
      </x:c>
      <x:c r="B91" s="8" t="n">
        <x:v>2</x:v>
      </x:c>
      <x:c r="C91" s="11" t="n">
        <x:v>9.03</x:v>
      </x:c>
      <x:c r="D91" s="11" t="n">
        <x:v>7.02</x:v>
      </x:c>
      <x:c r="E91" s="11" t="n">
        <x:v>7.36</x:v>
      </x:c>
      <x:c r="F91" s="11" t="n">
        <x:f>SQRT((C91-C90)^2+(D91-D90)^2+(E91-E90)^2)</x:f>
        <x:v>0.48799999999999955</x:v>
      </x:c>
      <x:c r="G91" s="8" t="str">
        <x:v>Current</x:v>
      </x:c>
    </x:row>
    <x:row r="92" ht="32" customHeight="1">
      <x:c r="A92" s="8" t="str">
        <x:v>drop:FC1:F1:fan:1:F227</x:v>
      </x:c>
      <x:c r="B92" s="8" t="n">
        <x:v>3</x:v>
      </x:c>
      <x:c r="C92" s="11" t="n">
        <x:v>9.03</x:v>
      </x:c>
      <x:c r="D92" s="11" t="n">
        <x:v>7.065002717391305</x:v>
      </x:c>
      <x:c r="E92" s="11" t="n">
        <x:v>7.05</x:v>
      </x:c>
      <x:c r="F92" s="11" t="n">
        <x:f>SQRT((C92-C91)^2+(D92-D91)^2+(E92-E91)^2)</x:f>
        <x:v>0.3132494925336704</x:v>
      </x:c>
      <x:c r="G92" s="8" t="str">
        <x:v>Current</x:v>
      </x:c>
    </x:row>
    <x:row r="93" ht="32" customHeight="1">
      <x:c r="A93" s="8" t="str">
        <x:v>drop:FC1:F1:fan:1:F227</x:v>
      </x:c>
      <x:c r="B93" s="8" t="n">
        <x:v>4</x:v>
      </x:c>
      <x:c r="C93" s="11" t="n">
        <x:v>7.725</x:v>
      </x:c>
      <x:c r="D93" s="11" t="n">
        <x:v>7.065002717391305</x:v>
      </x:c>
      <x:c r="E93" s="11" t="n">
        <x:v>7.05</x:v>
      </x:c>
      <x:c r="F93" s="11" t="n">
        <x:f>SQRT((C93-C92)^2+(D93-D92)^2+(E93-E92)^2)</x:f>
        <x:v>1.3049999999999997</x:v>
      </x:c>
      <x:c r="G93" s="8" t="str">
        <x:v>Current</x:v>
      </x:c>
    </x:row>
    <x:row r="94" ht="32" customHeight="1">
      <x:c r="A94" s="8" t="str">
        <x:v>drop:FC1:F1:fan:1:F227</x:v>
      </x:c>
      <x:c r="B94" s="8" t="n">
        <x:v>5</x:v>
      </x:c>
      <x:c r="C94" s="11" t="n">
        <x:v>7.725</x:v>
      </x:c>
      <x:c r="D94" s="11" t="n">
        <x:v>8.988413043478262</x:v>
      </x:c>
      <x:c r="E94" s="11" t="n">
        <x:v>4.4</x:v>
      </x:c>
      <x:c r="F94" s="11" t="n">
        <x:f>SQRT((C94-C93)^2+(D94-D93)^2+(E94-E93)^2)</x:f>
        <x:v>3.2744476301351852</x:v>
      </x:c>
      <x:c r="G94" s="8" t="str">
        <x:v>Current</x:v>
      </x:c>
    </x:row>
    <x:row r="95" ht="32" customHeight="1">
      <x:c r="A95" s="8" t="str">
        <x:v>drop:FC1:F1:fan:1:F227</x:v>
      </x:c>
      <x:c r="B95" s="8" t="n">
        <x:v>6</x:v>
      </x:c>
      <x:c r="C95" s="11" t="n">
        <x:v>7.725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0.03999999999999915</x:v>
      </x:c>
      <x:c r="G95" s="8" t="str">
        <x:v>Current</x:v>
      </x:c>
    </x:row>
    <x:row r="96" ht="32" customHeight="1">
      <x:c r="A96" s="8" t="str">
        <x:v>drop:FC1:F1:fan:1:F227</x:v>
      </x:c>
      <x:c r="B96" s="8" t="n">
        <x:v>7</x:v>
      </x:c>
      <x:c r="C96" s="11" t="n">
        <x:v>7.725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drop:FC1:F1:fan:1:F229</x:v>
      </x:c>
      <x:c r="B97" s="8" t="n">
        <x:v>1</x:v>
      </x:c>
      <x:c r="C97" s="11" t="n">
        <x:v>13.53</x:v>
      </x:c>
      <x:c r="D97" s="11" t="n">
        <x:v>6.532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drop:FC1:F1:fan:1:F229</x:v>
      </x:c>
      <x:c r="B98" s="8" t="n">
        <x:v>2</x:v>
      </x:c>
      <x:c r="C98" s="11" t="n">
        <x:v>13.53</x:v>
      </x:c>
      <x:c r="D98" s="11" t="n">
        <x:v>7.02</x:v>
      </x:c>
      <x:c r="E98" s="11" t="n">
        <x:v>7.36</x:v>
      </x:c>
      <x:c r="F98" s="11" t="n">
        <x:f>SQRT((C98-C97)^2+(D98-D97)^2+(E98-E97)^2)</x:f>
        <x:v>0.48799999999999955</x:v>
      </x:c>
      <x:c r="G98" s="8" t="str">
        <x:v>Current</x:v>
      </x:c>
    </x:row>
    <x:row r="99" ht="32" customHeight="1">
      <x:c r="A99" s="8" t="str">
        <x:v>drop:FC1:F1:fan:1:F229</x:v>
      </x:c>
      <x:c r="B99" s="8" t="n">
        <x:v>3</x:v>
      </x:c>
      <x:c r="C99" s="11" t="n">
        <x:v>13.53</x:v>
      </x:c>
      <x:c r="D99" s="11" t="n">
        <x:v>7.065002717391305</x:v>
      </x:c>
      <x:c r="E99" s="11" t="n">
        <x:v>7.05</x:v>
      </x:c>
      <x:c r="F99" s="11" t="n">
        <x:f>SQRT((C99-C98)^2+(D99-D98)^2+(E99-E98)^2)</x:f>
        <x:v>0.3132494925336704</x:v>
      </x:c>
      <x:c r="G99" s="8" t="str">
        <x:v>Current</x:v>
      </x:c>
    </x:row>
    <x:row r="100" ht="32" customHeight="1">
      <x:c r="A100" s="8" t="str">
        <x:v>drop:FC1:F1:fan:1:F229</x:v>
      </x:c>
      <x:c r="B100" s="8" t="n">
        <x:v>4</x:v>
      </x:c>
      <x:c r="C100" s="11" t="n">
        <x:v>12.225</x:v>
      </x:c>
      <x:c r="D100" s="11" t="n">
        <x:v>7.065002717391305</x:v>
      </x:c>
      <x:c r="E100" s="11" t="n">
        <x:v>7.05</x:v>
      </x:c>
      <x:c r="F100" s="11" t="n">
        <x:f>SQRT((C100-C99)^2+(D100-D99)^2+(E100-E99)^2)</x:f>
        <x:v>1.3049999999999997</x:v>
      </x:c>
      <x:c r="G100" s="8" t="str">
        <x:v>Current</x:v>
      </x:c>
    </x:row>
    <x:row r="101" ht="32" customHeight="1">
      <x:c r="A101" s="8" t="str">
        <x:v>drop:FC1:F1:fan:1:F229</x:v>
      </x:c>
      <x:c r="B101" s="8" t="n">
        <x:v>5</x:v>
      </x:c>
      <x:c r="C101" s="11" t="n">
        <x:v>12.225</x:v>
      </x:c>
      <x:c r="D101" s="11" t="n">
        <x:v>8.988413043478262</x:v>
      </x:c>
      <x:c r="E101" s="11" t="n">
        <x:v>4.4</x:v>
      </x:c>
      <x:c r="F101" s="11" t="n">
        <x:f>SQRT((C101-C100)^2+(D101-D100)^2+(E101-E100)^2)</x:f>
        <x:v>3.2744476301351852</x:v>
      </x:c>
      <x:c r="G101" s="8" t="str">
        <x:v>Current</x:v>
      </x:c>
    </x:row>
    <x:row r="102" ht="32" customHeight="1">
      <x:c r="A102" s="8" t="str">
        <x:v>drop:FC1:F1:fan:1:F229</x:v>
      </x:c>
      <x:c r="B102" s="8" t="n">
        <x:v>6</x:v>
      </x:c>
      <x:c r="C102" s="11" t="n">
        <x:v>12.225</x:v>
      </x:c>
      <x:c r="D102" s="11" t="n">
        <x:v>9.028413043478261</x:v>
      </x:c>
      <x:c r="E102" s="11" t="n">
        <x:v>4.4</x:v>
      </x:c>
      <x:c r="F102" s="11" t="n">
        <x:f>SQRT((C102-C101)^2+(D102-D101)^2+(E102-E101)^2)</x:f>
        <x:v>0.03999999999999915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7</x:v>
      </x:c>
      <x:c r="C103" s="11" t="n">
        <x:v>12.225</x:v>
      </x:c>
      <x:c r="D103" s="11" t="n">
        <x:v>3.9</x:v>
      </x:c>
      <x:c r="E103" s="11" t="n">
        <x:v>4.4</x:v>
      </x:c>
      <x:c r="F103" s="11" t="n">
        <x:f>SQRT((C103-C102)^2+(D103-D102)^2+(E103-E102)^2)</x:f>
        <x:v>5.128413043478261</x:v>
      </x:c>
      <x:c r="G103" s="8" t="str">
        <x:v>Current</x:v>
      </x:c>
    </x:row>
    <x:row r="104" ht="32" customHeight="1">
      <x:c r="A104" s="8" t="str">
        <x:v>drop:FC1:F1:fan:1:F231</x:v>
      </x:c>
      <x:c r="B104" s="8" t="n">
        <x:v>1</x:v>
      </x:c>
      <x:c r="C104" s="11" t="n">
        <x:v>18.02</x:v>
      </x:c>
      <x:c r="D104" s="11" t="n">
        <x:v>6.532</x:v>
      </x:c>
      <x:c r="E104" s="11" t="n">
        <x:v>7.36</x:v>
      </x:c>
      <x:c r="F104" s="11" t="n">
        <x:f>0</x:f>
        <x:v>0</x:v>
      </x:c>
      <x:c r="G104" s="8" t="str">
        <x:v>Current</x:v>
      </x:c>
    </x:row>
    <x:row r="105" ht="32" customHeight="1">
      <x:c r="A105" s="8" t="str">
        <x:v>drop:FC1:F1:fan:1:F231</x:v>
      </x:c>
      <x:c r="B105" s="8" t="n">
        <x:v>2</x:v>
      </x:c>
      <x:c r="C105" s="11" t="n">
        <x:v>18.02</x:v>
      </x:c>
      <x:c r="D105" s="11" t="n">
        <x:v>7.02</x:v>
      </x:c>
      <x:c r="E105" s="11" t="n">
        <x:v>7.36</x:v>
      </x:c>
      <x:c r="F105" s="11" t="n">
        <x:f>SQRT((C105-C104)^2+(D105-D104)^2+(E105-E104)^2)</x:f>
        <x:v>0.48799999999999955</x:v>
      </x:c>
      <x:c r="G105" s="8" t="str">
        <x:v>Current</x:v>
      </x:c>
    </x:row>
    <x:row r="106" ht="32" customHeight="1">
      <x:c r="A106" s="8" t="str">
        <x:v>drop:FC1:F1:fan:1:F231</x:v>
      </x:c>
      <x:c r="B106" s="8" t="n">
        <x:v>3</x:v>
      </x:c>
      <x:c r="C106" s="11" t="n">
        <x:v>18.02</x:v>
      </x:c>
      <x:c r="D106" s="11" t="n">
        <x:v>7.065002717391305</x:v>
      </x:c>
      <x:c r="E106" s="11" t="n">
        <x:v>7.05</x:v>
      </x:c>
      <x:c r="F106" s="11" t="n">
        <x:f>SQRT((C106-C105)^2+(D106-D105)^2+(E106-E105)^2)</x:f>
        <x:v>0.3132494925336704</x:v>
      </x:c>
      <x:c r="G106" s="8" t="str">
        <x:v>Current</x:v>
      </x:c>
    </x:row>
    <x:row r="107" ht="32" customHeight="1">
      <x:c r="A107" s="8" t="str">
        <x:v>drop:FC1:F1:fan:1:F231</x:v>
      </x:c>
      <x:c r="B107" s="8" t="n">
        <x:v>4</x:v>
      </x:c>
      <x:c r="C107" s="11" t="n">
        <x:v>16.725</x:v>
      </x:c>
      <x:c r="D107" s="11" t="n">
        <x:v>7.065002717391305</x:v>
      </x:c>
      <x:c r="E107" s="11" t="n">
        <x:v>7.05</x:v>
      </x:c>
      <x:c r="F107" s="11" t="n">
        <x:f>SQRT((C107-C106)^2+(D107-D106)^2+(E107-E106)^2)</x:f>
        <x:v>1.2949999999999982</x:v>
      </x:c>
      <x:c r="G107" s="8" t="str">
        <x:v>Current</x:v>
      </x:c>
    </x:row>
    <x:row r="108" ht="32" customHeight="1">
      <x:c r="A108" s="8" t="str">
        <x:v>drop:FC1:F1:fan:1:F231</x:v>
      </x:c>
      <x:c r="B108" s="8" t="n">
        <x:v>5</x:v>
      </x:c>
      <x:c r="C108" s="11" t="n">
        <x:v>16.725</x:v>
      </x:c>
      <x:c r="D108" s="11" t="n">
        <x:v>8.988413043478262</x:v>
      </x:c>
      <x:c r="E108" s="11" t="n">
        <x:v>4.4</x:v>
      </x:c>
      <x:c r="F108" s="11" t="n">
        <x:f>SQRT((C108-C107)^2+(D108-D107)^2+(E108-E107)^2)</x:f>
        <x:v>3.2744476301351852</x:v>
      </x:c>
      <x:c r="G108" s="8" t="str">
        <x:v>Current</x:v>
      </x:c>
    </x:row>
    <x:row r="109" ht="32" customHeight="1">
      <x:c r="A109" s="8" t="str">
        <x:v>drop:FC1:F1:fan:1:F231</x:v>
      </x:c>
      <x:c r="B109" s="8" t="n">
        <x:v>6</x:v>
      </x:c>
      <x:c r="C109" s="11" t="n">
        <x:v>16.725</x:v>
      </x:c>
      <x:c r="D109" s="11" t="n">
        <x:v>9.028413043478261</x:v>
      </x:c>
      <x:c r="E109" s="11" t="n">
        <x:v>4.4</x:v>
      </x:c>
      <x:c r="F109" s="11" t="n">
        <x:f>SQRT((C109-C108)^2+(D109-D108)^2+(E109-E108)^2)</x:f>
        <x:v>0.03999999999999915</x:v>
      </x:c>
      <x:c r="G109" s="8" t="str">
        <x:v>Current</x:v>
      </x:c>
    </x:row>
    <x:row r="110" ht="32" customHeight="1">
      <x:c r="A110" s="8" t="str">
        <x:v>drop:FC1:F1:fan:1:F231</x:v>
      </x:c>
      <x:c r="B110" s="8" t="n">
        <x:v>7</x:v>
      </x:c>
      <x:c r="C110" s="11" t="n">
        <x:v>16.725</x:v>
      </x:c>
      <x:c r="D110" s="11" t="n">
        <x:v>3.9</x:v>
      </x:c>
      <x:c r="E110" s="11" t="n">
        <x:v>4.4</x:v>
      </x:c>
      <x:c r="F110" s="11" t="n">
        <x:f>SQRT((C110-C109)^2+(D110-D109)^2+(E110-E109)^2)</x:f>
        <x:v>5.128413043478261</x:v>
      </x:c>
      <x:c r="G110" s="8" t="str">
        <x:v>Current</x:v>
      </x:c>
    </x:row>
    <x:row r="111" ht="32" customHeight="1">
      <x:c r="A111" s="8" t="str">
        <x:v>drop:FC1:F1:fan:1:F233</x:v>
      </x:c>
      <x:c r="B111" s="8" t="n">
        <x:v>1</x:v>
      </x:c>
      <x:c r="C111" s="11" t="n">
        <x:v>22.53</x:v>
      </x:c>
      <x:c r="D111" s="11" t="n">
        <x:v>6.532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drop:FC1:F1:fan:1:F233</x:v>
      </x:c>
      <x:c r="B112" s="8" t="n">
        <x:v>2</x:v>
      </x:c>
      <x:c r="C112" s="11" t="n">
        <x:v>22.53</x:v>
      </x:c>
      <x:c r="D112" s="11" t="n">
        <x:v>7.02</x:v>
      </x:c>
      <x:c r="E112" s="11" t="n">
        <x:v>7.36</x:v>
      </x:c>
      <x:c r="F112" s="11" t="n">
        <x:f>SQRT((C112-C111)^2+(D112-D111)^2+(E112-E111)^2)</x:f>
        <x:v>0.48799999999999955</x:v>
      </x:c>
      <x:c r="G112" s="8" t="str">
        <x:v>Current</x:v>
      </x:c>
    </x:row>
    <x:row r="113" ht="32" customHeight="1">
      <x:c r="A113" s="8" t="str">
        <x:v>drop:FC1:F1:fan:1:F233</x:v>
      </x:c>
      <x:c r="B113" s="8" t="n">
        <x:v>3</x:v>
      </x:c>
      <x:c r="C113" s="11" t="n">
        <x:v>22.53</x:v>
      </x:c>
      <x:c r="D113" s="11" t="n">
        <x:v>7.065002717391305</x:v>
      </x:c>
      <x:c r="E113" s="11" t="n">
        <x:v>7.05</x:v>
      </x:c>
      <x:c r="F113" s="11" t="n">
        <x:f>SQRT((C113-C112)^2+(D113-D112)^2+(E113-E112)^2)</x:f>
        <x:v>0.3132494925336704</x:v>
      </x:c>
      <x:c r="G113" s="8" t="str">
        <x:v>Current</x:v>
      </x:c>
    </x:row>
    <x:row r="114" ht="32" customHeight="1">
      <x:c r="A114" s="8" t="str">
        <x:v>drop:FC1:F1:fan:1:F233</x:v>
      </x:c>
      <x:c r="B114" s="8" t="n">
        <x:v>4</x:v>
      </x:c>
      <x:c r="C114" s="11" t="n">
        <x:v>21.225</x:v>
      </x:c>
      <x:c r="D114" s="11" t="n">
        <x:v>7.065002717391305</x:v>
      </x:c>
      <x:c r="E114" s="11" t="n">
        <x:v>7.05</x:v>
      </x:c>
      <x:c r="F114" s="11" t="n">
        <x:f>SQRT((C114-C113)^2+(D114-D113)^2+(E114-E113)^2)</x:f>
        <x:v>1.3049999999999997</x:v>
      </x:c>
      <x:c r="G114" s="8" t="str">
        <x:v>Current</x:v>
      </x:c>
    </x:row>
    <x:row r="115" ht="32" customHeight="1">
      <x:c r="A115" s="8" t="str">
        <x:v>drop:FC1:F1:fan:1:F233</x:v>
      </x:c>
      <x:c r="B115" s="8" t="n">
        <x:v>5</x:v>
      </x:c>
      <x:c r="C115" s="11" t="n">
        <x:v>21.225</x:v>
      </x:c>
      <x:c r="D115" s="11" t="n">
        <x:v>8.988413043478262</x:v>
      </x:c>
      <x:c r="E115" s="11" t="n">
        <x:v>4.4</x:v>
      </x:c>
      <x:c r="F115" s="11" t="n">
        <x:f>SQRT((C115-C114)^2+(D115-D114)^2+(E115-E114)^2)</x:f>
        <x:v>3.2744476301351852</x:v>
      </x:c>
      <x:c r="G115" s="8" t="str">
        <x:v>Current</x:v>
      </x:c>
    </x:row>
    <x:row r="116" ht="32" customHeight="1">
      <x:c r="A116" s="8" t="str">
        <x:v>drop:FC1:F1:fan:1:F233</x:v>
      </x:c>
      <x:c r="B116" s="8" t="n">
        <x:v>6</x:v>
      </x:c>
      <x:c r="C116" s="11" t="n">
        <x:v>21.225</x:v>
      </x:c>
      <x:c r="D116" s="11" t="n">
        <x:v>9.028413043478261</x:v>
      </x:c>
      <x:c r="E116" s="11" t="n">
        <x:v>4.4</x:v>
      </x:c>
      <x:c r="F116" s="11" t="n">
        <x:f>SQRT((C116-C115)^2+(D116-D115)^2+(E116-E115)^2)</x:f>
        <x:v>0.03999999999999915</x:v>
      </x:c>
      <x:c r="G116" s="8" t="str">
        <x:v>Current</x:v>
      </x:c>
    </x:row>
    <x:row r="117" ht="32" customHeight="1">
      <x:c r="A117" s="8" t="str">
        <x:v>drop:FC1:F1:fan:1:F233</x:v>
      </x:c>
      <x:c r="B117" s="8" t="n">
        <x:v>7</x:v>
      </x:c>
      <x:c r="C117" s="11" t="n">
        <x:v>21.225</x:v>
      </x:c>
      <x:c r="D117" s="11" t="n">
        <x:v>3.9</x:v>
      </x:c>
      <x:c r="E117" s="11" t="n">
        <x:v>4.4</x:v>
      </x:c>
      <x:c r="F117" s="11" t="n">
        <x:f>SQRT((C117-C116)^2+(D117-D116)^2+(E117-E116)^2)</x:f>
        <x:v>5.128413043478261</x:v>
      </x:c>
      <x:c r="G117" s="8" t="str">
        <x:v>Current</x:v>
      </x:c>
    </x:row>
    <x:row r="118" ht="32" customHeight="1">
      <x:c r="A118" s="8" t="str">
        <x:v>drop:FC1:F1:fan:1:F235</x:v>
      </x:c>
      <x:c r="B118" s="8" t="n">
        <x:v>1</x:v>
      </x:c>
      <x:c r="C118" s="11" t="n">
        <x:v>27.03</x:v>
      </x:c>
      <x:c r="D118" s="11" t="n">
        <x:v>6.532</x:v>
      </x:c>
      <x:c r="E118" s="11" t="n">
        <x:v>7.36</x:v>
      </x:c>
      <x:c r="F118" s="11" t="n">
        <x:f>0</x:f>
        <x:v>0</x:v>
      </x:c>
      <x:c r="G118" s="8" t="str">
        <x:v>Current</x:v>
      </x:c>
    </x:row>
    <x:row r="119" ht="32" customHeight="1">
      <x:c r="A119" s="8" t="str">
        <x:v>drop:FC1:F1:fan:1:F235</x:v>
      </x:c>
      <x:c r="B119" s="8" t="n">
        <x:v>2</x:v>
      </x:c>
      <x:c r="C119" s="11" t="n">
        <x:v>27.03</x:v>
      </x:c>
      <x:c r="D119" s="11" t="n">
        <x:v>7.02</x:v>
      </x:c>
      <x:c r="E119" s="11" t="n">
        <x:v>7.36</x:v>
      </x:c>
      <x:c r="F119" s="11" t="n">
        <x:f>SQRT((C119-C118)^2+(D119-D118)^2+(E119-E118)^2)</x:f>
        <x:v>0.48799999999999955</x:v>
      </x:c>
      <x:c r="G119" s="8" t="str">
        <x:v>Current</x:v>
      </x:c>
    </x:row>
    <x:row r="120" ht="32" customHeight="1">
      <x:c r="A120" s="8" t="str">
        <x:v>drop:FC1:F1:fan:1:F235</x:v>
      </x:c>
      <x:c r="B120" s="8" t="n">
        <x:v>3</x:v>
      </x:c>
      <x:c r="C120" s="11" t="n">
        <x:v>27.03</x:v>
      </x:c>
      <x:c r="D120" s="11" t="n">
        <x:v>7.065002717391305</x:v>
      </x:c>
      <x:c r="E120" s="11" t="n">
        <x:v>7.05</x:v>
      </x:c>
      <x:c r="F120" s="11" t="n">
        <x:f>SQRT((C120-C119)^2+(D120-D119)^2+(E120-E119)^2)</x:f>
        <x:v>0.3132494925336704</x:v>
      </x:c>
      <x:c r="G120" s="8" t="str">
        <x:v>Current</x:v>
      </x:c>
    </x:row>
    <x:row r="121" ht="32" customHeight="1">
      <x:c r="A121" s="8" t="str">
        <x:v>drop:FC1:F1:fan:1:F235</x:v>
      </x:c>
      <x:c r="B121" s="8" t="n">
        <x:v>4</x:v>
      </x:c>
      <x:c r="C121" s="11" t="n">
        <x:v>25.725</x:v>
      </x:c>
      <x:c r="D121" s="11" t="n">
        <x:v>7.065002717391305</x:v>
      </x:c>
      <x:c r="E121" s="11" t="n">
        <x:v>7.05</x:v>
      </x:c>
      <x:c r="F121" s="11" t="n">
        <x:f>SQRT((C121-C120)^2+(D121-D120)^2+(E121-E120)^2)</x:f>
        <x:v>1.3049999999999997</x:v>
      </x:c>
      <x:c r="G121" s="8" t="str">
        <x:v>Current</x:v>
      </x:c>
    </x:row>
    <x:row r="122" ht="32" customHeight="1">
      <x:c r="A122" s="8" t="str">
        <x:v>drop:FC1:F1:fan:1:F235</x:v>
      </x:c>
      <x:c r="B122" s="8" t="n">
        <x:v>5</x:v>
      </x:c>
      <x:c r="C122" s="11" t="n">
        <x:v>25.725</x:v>
      </x:c>
      <x:c r="D122" s="11" t="n">
        <x:v>8.988413043478262</x:v>
      </x:c>
      <x:c r="E122" s="11" t="n">
        <x:v>4.4</x:v>
      </x:c>
      <x:c r="F122" s="11" t="n">
        <x:f>SQRT((C122-C121)^2+(D122-D121)^2+(E122-E121)^2)</x:f>
        <x:v>3.2744476301351852</x:v>
      </x:c>
      <x:c r="G122" s="8" t="str">
        <x:v>Current</x:v>
      </x:c>
    </x:row>
    <x:row r="123" ht="32" customHeight="1">
      <x:c r="A123" s="8" t="str">
        <x:v>drop:FC1:F1:fan:1:F235</x:v>
      </x:c>
      <x:c r="B123" s="8" t="n">
        <x:v>6</x:v>
      </x:c>
      <x:c r="C123" s="11" t="n">
        <x:v>25.725</x:v>
      </x:c>
      <x:c r="D123" s="11" t="n">
        <x:v>9.028413043478261</x:v>
      </x:c>
      <x:c r="E123" s="11" t="n">
        <x:v>4.4</x:v>
      </x:c>
      <x:c r="F123" s="11" t="n">
        <x:f>SQRT((C123-C122)^2+(D123-D122)^2+(E123-E122)^2)</x:f>
        <x:v>0.03999999999999915</x:v>
      </x:c>
      <x:c r="G123" s="8" t="str">
        <x:v>Current</x:v>
      </x:c>
    </x:row>
    <x:row r="124" ht="32" customHeight="1">
      <x:c r="A124" s="8" t="str">
        <x:v>drop:FC1:F1:fan:1:F235</x:v>
      </x:c>
      <x:c r="B124" s="8" t="n">
        <x:v>7</x:v>
      </x:c>
      <x:c r="C124" s="11" t="n">
        <x:v>25.725</x:v>
      </x:c>
      <x:c r="D124" s="11" t="n">
        <x:v>3.9</x:v>
      </x:c>
      <x:c r="E124" s="11" t="n">
        <x:v>4.4</x:v>
      </x:c>
      <x:c r="F124" s="11" t="n">
        <x:f>SQRT((C124-C123)^2+(D124-D123)^2+(E124-E123)^2)</x:f>
        <x:v>5.128413043478261</x:v>
      </x:c>
      <x:c r="G124" s="8" t="str">
        <x:v>Current</x:v>
      </x:c>
    </x:row>
    <x:row r="125" ht="32" customHeight="1">
      <x:c r="A125" s="8" t="str">
        <x:v>drop:FC1:F1:fan:1:F237</x:v>
      </x:c>
      <x:c r="B125" s="8" t="n">
        <x:v>1</x:v>
      </x:c>
      <x:c r="C125" s="11" t="n">
        <x:v>31.53</x:v>
      </x:c>
      <x:c r="D125" s="11" t="n">
        <x:v>6.532</x:v>
      </x:c>
      <x:c r="E125" s="11" t="n">
        <x:v>7.36</x:v>
      </x:c>
      <x:c r="F125" s="11" t="n">
        <x:f>0</x:f>
        <x:v>0</x:v>
      </x:c>
      <x:c r="G125" s="8" t="str">
        <x:v>Current</x:v>
      </x:c>
    </x:row>
    <x:row r="126" ht="32" customHeight="1">
      <x:c r="A126" s="8" t="str">
        <x:v>drop:FC1:F1:fan:1:F237</x:v>
      </x:c>
      <x:c r="B126" s="8" t="n">
        <x:v>2</x:v>
      </x:c>
      <x:c r="C126" s="11" t="n">
        <x:v>31.53</x:v>
      </x:c>
      <x:c r="D126" s="11" t="n">
        <x:v>7.02</x:v>
      </x:c>
      <x:c r="E126" s="11" t="n">
        <x:v>7.36</x:v>
      </x:c>
      <x:c r="F126" s="11" t="n">
        <x:f>SQRT((C126-C125)^2+(D126-D125)^2+(E126-E125)^2)</x:f>
        <x:v>0.48799999999999955</x:v>
      </x:c>
      <x:c r="G126" s="8" t="str">
        <x:v>Current</x:v>
      </x:c>
    </x:row>
    <x:row r="127" ht="32" customHeight="1">
      <x:c r="A127" s="8" t="str">
        <x:v>drop:FC1:F1:fan:1:F237</x:v>
      </x:c>
      <x:c r="B127" s="8" t="n">
        <x:v>3</x:v>
      </x:c>
      <x:c r="C127" s="11" t="n">
        <x:v>31.53</x:v>
      </x:c>
      <x:c r="D127" s="11" t="n">
        <x:v>7.065002717391305</x:v>
      </x:c>
      <x:c r="E127" s="11" t="n">
        <x:v>7.05</x:v>
      </x:c>
      <x:c r="F127" s="11" t="n">
        <x:f>SQRT((C127-C126)^2+(D127-D126)^2+(E127-E126)^2)</x:f>
        <x:v>0.3132494925336704</x:v>
      </x:c>
      <x:c r="G127" s="8" t="str">
        <x:v>Current</x:v>
      </x:c>
    </x:row>
    <x:row r="128" ht="32" customHeight="1">
      <x:c r="A128" s="8" t="str">
        <x:v>drop:FC1:F1:fan:1:F237</x:v>
      </x:c>
      <x:c r="B128" s="8" t="n">
        <x:v>4</x:v>
      </x:c>
      <x:c r="C128" s="11" t="n">
        <x:v>30.225</x:v>
      </x:c>
      <x:c r="D128" s="11" t="n">
        <x:v>7.065002717391305</x:v>
      </x:c>
      <x:c r="E128" s="11" t="n">
        <x:v>7.05</x:v>
      </x:c>
      <x:c r="F128" s="11" t="n">
        <x:f>SQRT((C128-C127)^2+(D128-D127)^2+(E128-E127)^2)</x:f>
        <x:v>1.3049999999999997</x:v>
      </x:c>
      <x:c r="G128" s="8" t="str">
        <x:v>Current</x:v>
      </x:c>
    </x:row>
    <x:row r="129" ht="32" customHeight="1">
      <x:c r="A129" s="8" t="str">
        <x:v>drop:FC1:F1:fan:1:F237</x:v>
      </x:c>
      <x:c r="B129" s="8" t="n">
        <x:v>5</x:v>
      </x:c>
      <x:c r="C129" s="11" t="n">
        <x:v>30.225</x:v>
      </x:c>
      <x:c r="D129" s="11" t="n">
        <x:v>8.988413043478262</x:v>
      </x:c>
      <x:c r="E129" s="11" t="n">
        <x:v>4.4</x:v>
      </x:c>
      <x:c r="F129" s="11" t="n">
        <x:f>SQRT((C129-C128)^2+(D129-D128)^2+(E129-E128)^2)</x:f>
        <x:v>3.2744476301351852</x:v>
      </x:c>
      <x:c r="G129" s="8" t="str">
        <x:v>Current</x:v>
      </x:c>
    </x:row>
    <x:row r="130" ht="32" customHeight="1">
      <x:c r="A130" s="8" t="str">
        <x:v>drop:FC1:F1:fan:1:F237</x:v>
      </x:c>
      <x:c r="B130" s="8" t="n">
        <x:v>6</x:v>
      </x:c>
      <x:c r="C130" s="11" t="n">
        <x:v>30.225</x:v>
      </x:c>
      <x:c r="D130" s="11" t="n">
        <x:v>9.028413043478261</x:v>
      </x:c>
      <x:c r="E130" s="11" t="n">
        <x:v>4.4</x:v>
      </x:c>
      <x:c r="F130" s="11" t="n">
        <x:f>SQRT((C130-C129)^2+(D130-D129)^2+(E130-E129)^2)</x:f>
        <x:v>0.03999999999999915</x:v>
      </x:c>
      <x:c r="G130" s="8" t="str">
        <x:v>Current</x:v>
      </x:c>
    </x:row>
    <x:row r="131" ht="32" customHeight="1">
      <x:c r="A131" s="8" t="str">
        <x:v>drop:FC1:F1:fan:1:F237</x:v>
      </x:c>
      <x:c r="B131" s="8" t="n">
        <x:v>7</x:v>
      </x:c>
      <x:c r="C131" s="11" t="n">
        <x:v>30.225</x:v>
      </x:c>
      <x:c r="D131" s="11" t="n">
        <x:v>3.9</x:v>
      </x:c>
      <x:c r="E131" s="11" t="n">
        <x:v>4.4</x:v>
      </x:c>
      <x:c r="F131" s="11" t="n">
        <x:f>SQRT((C131-C130)^2+(D131-D130)^2+(E131-E130)^2)</x:f>
        <x:v>5.128413043478261</x:v>
      </x:c>
      <x:c r="G131" s="8" t="str">
        <x:v>Current</x:v>
      </x:c>
    </x:row>
    <x:row r="132" ht="32" customHeight="1">
      <x:c r="A132" s="8" t="str">
        <x:v>drop:FC1:F1:fan:1:F239</x:v>
      </x:c>
      <x:c r="B132" s="8" t="n">
        <x:v>1</x:v>
      </x:c>
      <x:c r="C132" s="11" t="n">
        <x:v>36.02</x:v>
      </x:c>
      <x:c r="D132" s="11" t="n">
        <x:v>6.532</x:v>
      </x:c>
      <x:c r="E132" s="11" t="n">
        <x:v>7.36</x:v>
      </x:c>
      <x:c r="F132" s="11" t="n">
        <x:f>0</x:f>
        <x:v>0</x:v>
      </x:c>
      <x:c r="G132" s="8" t="str">
        <x:v>Current</x:v>
      </x:c>
    </x:row>
    <x:row r="133" ht="32" customHeight="1">
      <x:c r="A133" s="8" t="str">
        <x:v>drop:FC1:F1:fan:1:F239</x:v>
      </x:c>
      <x:c r="B133" s="8" t="n">
        <x:v>2</x:v>
      </x:c>
      <x:c r="C133" s="11" t="n">
        <x:v>36.02</x:v>
      </x:c>
      <x:c r="D133" s="11" t="n">
        <x:v>7.02</x:v>
      </x:c>
      <x:c r="E133" s="11" t="n">
        <x:v>7.36</x:v>
      </x:c>
      <x:c r="F133" s="11" t="n">
        <x:f>SQRT((C133-C132)^2+(D133-D132)^2+(E133-E132)^2)</x:f>
        <x:v>0.48799999999999955</x:v>
      </x:c>
      <x:c r="G133" s="8" t="str">
        <x:v>Current</x:v>
      </x:c>
    </x:row>
    <x:row r="134" ht="32" customHeight="1">
      <x:c r="A134" s="8" t="str">
        <x:v>drop:FC1:F1:fan:1:F239</x:v>
      </x:c>
      <x:c r="B134" s="8" t="n">
        <x:v>3</x:v>
      </x:c>
      <x:c r="C134" s="11" t="n">
        <x:v>36.02</x:v>
      </x:c>
      <x:c r="D134" s="11" t="n">
        <x:v>7.065002717391305</x:v>
      </x:c>
      <x:c r="E134" s="11" t="n">
        <x:v>7.05</x:v>
      </x:c>
      <x:c r="F134" s="11" t="n">
        <x:f>SQRT((C134-C133)^2+(D134-D133)^2+(E134-E133)^2)</x:f>
        <x:v>0.3132494925336704</x:v>
      </x:c>
      <x:c r="G134" s="8" t="str">
        <x:v>Current</x:v>
      </x:c>
    </x:row>
    <x:row r="135" ht="32" customHeight="1">
      <x:c r="A135" s="8" t="str">
        <x:v>drop:FC1:F1:fan:1:F239</x:v>
      </x:c>
      <x:c r="B135" s="8" t="n">
        <x:v>4</x:v>
      </x:c>
      <x:c r="C135" s="11" t="n">
        <x:v>34.725</x:v>
      </x:c>
      <x:c r="D135" s="11" t="n">
        <x:v>7.065002717391305</x:v>
      </x:c>
      <x:c r="E135" s="11" t="n">
        <x:v>7.05</x:v>
      </x:c>
      <x:c r="F135" s="11" t="n">
        <x:f>SQRT((C135-C134)^2+(D135-D134)^2+(E135-E134)^2)</x:f>
        <x:v>1.2950000000000017</x:v>
      </x:c>
      <x:c r="G135" s="8" t="str">
        <x:v>Current</x:v>
      </x:c>
    </x:row>
    <x:row r="136" ht="32" customHeight="1">
      <x:c r="A136" s="8" t="str">
        <x:v>drop:FC1:F1:fan:1:F239</x:v>
      </x:c>
      <x:c r="B136" s="8" t="n">
        <x:v>5</x:v>
      </x:c>
      <x:c r="C136" s="11" t="n">
        <x:v>34.725</x:v>
      </x:c>
      <x:c r="D136" s="11" t="n">
        <x:v>8.988413043478262</x:v>
      </x:c>
      <x:c r="E136" s="11" t="n">
        <x:v>4.4</x:v>
      </x:c>
      <x:c r="F136" s="11" t="n">
        <x:f>SQRT((C136-C135)^2+(D136-D135)^2+(E136-E135)^2)</x:f>
        <x:v>3.2744476301351852</x:v>
      </x:c>
      <x:c r="G136" s="8" t="str">
        <x:v>Current</x:v>
      </x:c>
    </x:row>
    <x:row r="137" ht="32" customHeight="1">
      <x:c r="A137" s="8" t="str">
        <x:v>drop:FC1:F1:fan:1:F239</x:v>
      </x:c>
      <x:c r="B137" s="8" t="n">
        <x:v>6</x:v>
      </x:c>
      <x:c r="C137" s="11" t="n">
        <x:v>34.725</x:v>
      </x:c>
      <x:c r="D137" s="11" t="n">
        <x:v>9.028413043478261</x:v>
      </x:c>
      <x:c r="E137" s="11" t="n">
        <x:v>4.4</x:v>
      </x:c>
      <x:c r="F137" s="11" t="n">
        <x:f>SQRT((C137-C136)^2+(D137-D136)^2+(E137-E136)^2)</x:f>
        <x:v>0.03999999999999915</x:v>
      </x:c>
      <x:c r="G137" s="8" t="str">
        <x:v>Current</x:v>
      </x:c>
    </x:row>
    <x:row r="138" ht="32" customHeight="1">
      <x:c r="A138" s="8" t="str">
        <x:v>drop:FC1:F1:fan:1:F239</x:v>
      </x:c>
      <x:c r="B138" s="8" t="n">
        <x:v>7</x:v>
      </x:c>
      <x:c r="C138" s="11" t="n">
        <x:v>34.725</x:v>
      </x:c>
      <x:c r="D138" s="11" t="n">
        <x:v>3.9</x:v>
      </x:c>
      <x:c r="E138" s="11" t="n">
        <x:v>4.4</x:v>
      </x:c>
      <x:c r="F138" s="11" t="n">
        <x:f>SQRT((C138-C137)^2+(D138-D137)^2+(E138-E137)^2)</x:f>
        <x:v>5.128413043478261</x:v>
      </x:c>
      <x:c r="G138" s="8" t="str">
        <x:v>Current</x:v>
      </x:c>
    </x:row>
    <x:row r="139" ht="32" customHeight="1">
      <x:c r="A139" s="8" t="str">
        <x:v>drop:FC1:F1:fan:1:F242</x:v>
      </x:c>
      <x:c r="B139" s="8" t="n">
        <x:v>1</x:v>
      </x:c>
      <x:c r="C139" s="11" t="n">
        <x:v>39.3</x:v>
      </x:c>
      <x:c r="D139" s="11" t="n">
        <x:v>6.532</x:v>
      </x:c>
      <x:c r="E139" s="11" t="n">
        <x:v>13.24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drop:FC1:F1:fan:1:F242</x:v>
      </x:c>
      <x:c r="B140" s="8" t="n">
        <x:v>2</x:v>
      </x:c>
      <x:c r="C140" s="11" t="n">
        <x:v>39.3</x:v>
      </x:c>
      <x:c r="D140" s="11" t="n">
        <x:v>6.532</x:v>
      </x:c>
      <x:c r="E140" s="11" t="n">
        <x:v>10.15</x:v>
      </x:c>
      <x:c r="F140" s="11" t="n">
        <x:f>SQRT((C140-C139)^2+(D140-D139)^2+(E140-E139)^2)</x:f>
        <x:v>3.09</x:v>
      </x:c>
      <x:c r="G140" s="8" t="str">
        <x:v>Current</x:v>
      </x:c>
    </x:row>
    <x:row r="141" ht="32" customHeight="1">
      <x:c r="A141" s="8" t="str">
        <x:v>drop:FC1:F1:fan:1:F242</x:v>
      </x:c>
      <x:c r="B141" s="8" t="n">
        <x:v>3</x:v>
      </x:c>
      <x:c r="C141" s="11" t="n">
        <x:v>39.3</x:v>
      </x:c>
      <x:c r="D141" s="11" t="n">
        <x:v>8.398379999999996</x:v>
      </x:c>
      <x:c r="E141" s="11" t="n">
        <x:v>10.15</x:v>
      </x:c>
      <x:c r="F141" s="11" t="n">
        <x:f>SQRT((C141-C140)^2+(D141-D140)^2+(E141-E140)^2)</x:f>
        <x:v>1.866379999999996</x:v>
      </x:c>
      <x:c r="G141" s="8" t="str">
        <x:v>Current</x:v>
      </x:c>
    </x:row>
    <x:row r="142" ht="32" customHeight="1">
      <x:c r="A142" s="8" t="str">
        <x:v>drop:FC1:F1:fan:1:F242</x:v>
      </x:c>
      <x:c r="B142" s="8" t="n">
        <x:v>4</x:v>
      </x:c>
      <x:c r="C142" s="11" t="n">
        <x:v>39.3</x:v>
      </x:c>
      <x:c r="D142" s="11" t="n">
        <x:v>3.3</x:v>
      </x:c>
      <x:c r="E142" s="11" t="n">
        <x:v>10.15</x:v>
      </x:c>
      <x:c r="F142" s="11" t="n">
        <x:f>SQRT((C142-C141)^2+(D142-D141)^2+(E142-E141)^2)</x:f>
        <x:v>5.098379999999996</x:v>
      </x:c>
      <x:c r="G142" s="8" t="str">
        <x:v>Current</x:v>
      </x:c>
    </x:row>
    <x:row r="143" ht="32" customHeight="1">
      <x:c r="A143" s="8" t="str">
        <x:v>drop:FC1:F1:fan:1:F243</x:v>
      </x:c>
      <x:c r="B143" s="8" t="n">
        <x:v>1</x:v>
      </x:c>
      <x:c r="C143" s="11" t="n">
        <x:v>41.85</x:v>
      </x:c>
      <x:c r="D143" s="11" t="n">
        <x:v>6.532</x:v>
      </x:c>
      <x:c r="E143" s="11" t="n">
        <x:v>13.24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drop:FC1:F1:fan:1:F243</x:v>
      </x:c>
      <x:c r="B144" s="8" t="n">
        <x:v>2</x:v>
      </x:c>
      <x:c r="C144" s="11" t="n">
        <x:v>41.85</x:v>
      </x:c>
      <x:c r="D144" s="11" t="n">
        <x:v>6.532</x:v>
      </x:c>
      <x:c r="E144" s="11" t="n">
        <x:v>10.15</x:v>
      </x:c>
      <x:c r="F144" s="11" t="n">
        <x:f>SQRT((C144-C143)^2+(D144-D143)^2+(E144-E143)^2)</x:f>
        <x:v>3.09</x:v>
      </x:c>
      <x:c r="G144" s="8" t="str">
        <x:v>Current</x:v>
      </x:c>
    </x:row>
    <x:row r="145" ht="32" customHeight="1">
      <x:c r="A145" s="8" t="str">
        <x:v>drop:FC1:F1:fan:1:F243</x:v>
      </x:c>
      <x:c r="B145" s="8" t="n">
        <x:v>3</x:v>
      </x:c>
      <x:c r="C145" s="11" t="n">
        <x:v>41.85</x:v>
      </x:c>
      <x:c r="D145" s="11" t="n">
        <x:v>8.374770000000002</x:v>
      </x:c>
      <x:c r="E145" s="11" t="n">
        <x:v>10.15</x:v>
      </x:c>
      <x:c r="F145" s="11" t="n">
        <x:f>SQRT((C145-C144)^2+(D145-D144)^2+(E145-E144)^2)</x:f>
        <x:v>1.8427700000000016</x:v>
      </x:c>
      <x:c r="G145" s="8" t="str">
        <x:v>Current</x:v>
      </x:c>
    </x:row>
    <x:row r="146" ht="32" customHeight="1">
      <x:c r="A146" s="8" t="str">
        <x:v>drop:FC1:F1:fan:1:F243</x:v>
      </x:c>
      <x:c r="B146" s="8" t="n">
        <x:v>4</x:v>
      </x:c>
      <x:c r="C146" s="11" t="n">
        <x:v>41.85</x:v>
      </x:c>
      <x:c r="D146" s="11" t="n">
        <x:v>3.3</x:v>
      </x:c>
      <x:c r="E146" s="11" t="n">
        <x:v>10.15</x:v>
      </x:c>
      <x:c r="F146" s="11" t="n">
        <x:f>SQRT((C146-C145)^2+(D146-D145)^2+(E146-E145)^2)</x:f>
        <x:v>5.074770000000002</x:v>
      </x:c>
      <x:c r="G146" s="8" t="str">
        <x:v>Current</x:v>
      </x:c>
    </x:row>
    <x:row r="147" ht="32" customHeight="1">
      <x:c r="A147" s="8" t="str">
        <x:v>trunk:DB2:F4:fan:-1</x:v>
      </x:c>
      <x:c r="B147" s="8" t="n">
        <x:v>1</x:v>
      </x:c>
      <x:c r="C147" s="11" t="n">
        <x:v>2.73</x:v>
      </x:c>
      <x:c r="D147" s="11" t="n">
        <x:v>1.5</x:v>
      </x:c>
      <x:c r="E147" s="11" t="n">
        <x:v>-3.3</x:v>
      </x:c>
      <x:c r="F147" s="11" t="n">
        <x:f>0</x:f>
        <x:v>0</x:v>
      </x:c>
      <x:c r="G147" s="8" t="str">
        <x:v>Current</x:v>
      </x:c>
    </x:row>
    <x:row r="148" ht="32" customHeight="1">
      <x:c r="A148" s="8" t="str">
        <x:v>trunk:DB2:F4:fan:-1</x:v>
      </x:c>
      <x:c r="B148" s="8" t="n">
        <x:v>2</x:v>
      </x:c>
      <x:c r="C148" s="11" t="n">
        <x:v>2.35</x:v>
      </x:c>
      <x:c r="D148" s="11" t="n">
        <x:v>1.5</x:v>
      </x:c>
      <x:c r="E148" s="11" t="n">
        <x:v>-3.3</x:v>
      </x:c>
      <x:c r="F148" s="11" t="n">
        <x:f>SQRT((C148-C147)^2+(D148-D147)^2+(E148-E147)^2)</x:f>
        <x:v>0.3799999999999999</x:v>
      </x:c>
      <x:c r="G148" s="8" t="str">
        <x:v>Current</x:v>
      </x:c>
    </x:row>
    <x:row r="149" ht="32" customHeight="1">
      <x:c r="A149" s="8" t="str">
        <x:v>trunk:DB2:F4:fan:-1</x:v>
      </x:c>
      <x:c r="B149" s="8" t="n">
        <x:v>3</x:v>
      </x:c>
      <x:c r="C149" s="11" t="n">
        <x:v>2.35</x:v>
      </x:c>
      <x:c r="D149" s="11" t="n">
        <x:v>7.65</x:v>
      </x:c>
      <x:c r="E149" s="11" t="n">
        <x:v>-3.3</x:v>
      </x:c>
      <x:c r="F149" s="11" t="n">
        <x:f>SQRT((C149-C148)^2+(D149-D148)^2+(E149-E148)^2)</x:f>
        <x:v>6.15</x:v>
      </x:c>
      <x:c r="G149" s="8" t="str">
        <x:v>Current</x:v>
      </x:c>
    </x:row>
    <x:row r="150" ht="32" customHeight="1">
      <x:c r="A150" s="8" t="str">
        <x:v>trunk:DB2:F4:fan:-1</x:v>
      </x:c>
      <x:c r="B150" s="8" t="n">
        <x:v>4</x:v>
      </x:c>
      <x:c r="C150" s="11" t="n">
        <x:v>2.35</x:v>
      </x:c>
      <x:c r="D150" s="11" t="n">
        <x:v>7.65</x:v>
      </x:c>
      <x:c r="E150" s="11" t="n">
        <x:v>-7.36</x:v>
      </x:c>
      <x:c r="F150" s="11" t="n">
        <x:f>SQRT((C150-C149)^2+(D150-D149)^2+(E150-E149)^2)</x:f>
        <x:v>4.0600000000000005</x:v>
      </x:c>
      <x:c r="G150" s="8" t="str">
        <x:v>Current</x:v>
      </x:c>
    </x:row>
    <x:row r="151" ht="32" customHeight="1">
      <x:c r="A151" s="8" t="str">
        <x:v>trunk:DB2:F4:fan:-1</x:v>
      </x:c>
      <x:c r="B151" s="8" t="n">
        <x:v>5</x:v>
      </x:c>
      <x:c r="C151" s="11" t="n">
        <x:v>2.35</x:v>
      </x:c>
      <x:c r="D151" s="11" t="n">
        <x:v>6.574</x:v>
      </x:c>
      <x:c r="E151" s="11" t="n">
        <x:v>-7.36</x:v>
      </x:c>
      <x:c r="F151" s="11" t="n">
        <x:f>SQRT((C151-C150)^2+(D151-D150)^2+(E151-E150)^2)</x:f>
        <x:v>1.0760000000000005</x:v>
      </x:c>
      <x:c r="G151" s="8" t="str">
        <x:v>Current</x:v>
      </x:c>
    </x:row>
    <x:row r="152" ht="32" customHeight="1">
      <x:c r="A152" s="8" t="str">
        <x:v>trunk:DB2:F4:fan:-1</x:v>
      </x:c>
      <x:c r="B152" s="8" t="n">
        <x:v>6</x:v>
      </x:c>
      <x:c r="C152" s="11" t="n">
        <x:v>2.655</x:v>
      </x:c>
      <x:c r="D152" s="11" t="n">
        <x:v>6.574</x:v>
      </x:c>
      <x:c r="E152" s="11" t="n">
        <x:v>-7.36</x:v>
      </x:c>
      <x:c r="F152" s="11" t="n">
        <x:f>SQRT((C152-C151)^2+(D152-D151)^2+(E152-E151)^2)</x:f>
        <x:v>0.3049999999999997</x:v>
      </x:c>
      <x:c r="G152" s="8" t="str">
        <x:v>Current</x:v>
      </x:c>
    </x:row>
    <x:row r="153" ht="32" customHeight="1">
      <x:c r="A153" s="8" t="str">
        <x:v>drop:DB2:F4:fan:-1:F250</x:v>
      </x:c>
      <x:c r="B153" s="8" t="n">
        <x:v>1</x:v>
      </x:c>
      <x:c r="C153" s="11" t="n">
        <x:v>2.655</x:v>
      </x:c>
      <x:c r="D153" s="11" t="n">
        <x:v>6.574</x:v>
      </x:c>
      <x:c r="E153" s="11" t="n">
        <x:v>-7.36</x:v>
      </x:c>
      <x:c r="F153" s="11" t="n">
        <x:f>0</x:f>
        <x:v>0</x:v>
      </x:c>
      <x:c r="G153" s="8" t="str">
        <x:v>Current</x:v>
      </x:c>
    </x:row>
    <x:row r="154" ht="32" customHeight="1">
      <x:c r="A154" s="8" t="str">
        <x:v>drop:DB2:F4:fan:-1:F250</x:v>
      </x:c>
      <x:c r="B154" s="8" t="n">
        <x:v>2</x:v>
      </x:c>
      <x:c r="C154" s="11" t="n">
        <x:v>2.35</x:v>
      </x:c>
      <x:c r="D154" s="11" t="n">
        <x:v>7.65</x:v>
      </x:c>
      <x:c r="E154" s="11" t="n">
        <x:v>-7.36</x:v>
      </x:c>
      <x:c r="F154" s="11" t="n">
        <x:f>SQRT((C154-C153)^2+(D154-D153)^2+(E154-E153)^2)</x:f>
        <x:v>1.118392149471732</x:v>
      </x:c>
      <x:c r="G154" s="8" t="str">
        <x:v>Current</x:v>
      </x:c>
    </x:row>
    <x:row r="155" ht="32" customHeight="1">
      <x:c r="A155" s="8" t="str">
        <x:v>drop:DB2:F4:fan:-1:F250</x:v>
      </x:c>
      <x:c r="B155" s="8" t="n">
        <x:v>3</x:v>
      </x:c>
      <x:c r="C155" s="11" t="n">
        <x:v>2.35</x:v>
      </x:c>
      <x:c r="D155" s="11" t="n">
        <x:v>7.65</x:v>
      </x:c>
      <x:c r="E155" s="11" t="n">
        <x:v>-3.05</x:v>
      </x:c>
      <x:c r="F155" s="11" t="n">
        <x:f>SQRT((C155-C154)^2+(D155-D154)^2+(E155-E154)^2)</x:f>
        <x:v>4.3100000000000005</x:v>
      </x:c>
      <x:c r="G155" s="8" t="str">
        <x:v>Current</x:v>
      </x:c>
    </x:row>
    <x:row r="156" ht="32" customHeight="1">
      <x:c r="A156" s="8" t="str">
        <x:v>drop:DB2:F4:fan:-1:F250</x:v>
      </x:c>
      <x:c r="B156" s="8" t="n">
        <x:v>4</x:v>
      </x:c>
      <x:c r="C156" s="11" t="n">
        <x:v>2.35</x:v>
      </x:c>
      <x:c r="D156" s="11" t="n">
        <x:v>6</x:v>
      </x:c>
      <x:c r="E156" s="11" t="n">
        <x:v>-3.05</x:v>
      </x:c>
      <x:c r="F156" s="11" t="n">
        <x:f>SQRT((C156-C155)^2+(D156-D155)^2+(E156-E155)^2)</x:f>
        <x:v>1.6500000000000004</x:v>
      </x:c>
      <x:c r="G156" s="8" t="str">
        <x:v>Current</x:v>
      </x:c>
    </x:row>
    <x:row r="157" ht="32" customHeight="1">
      <x:c r="A157" s="8" t="str">
        <x:v>drop:DB2:F4:fan:-1:F250</x:v>
      </x:c>
      <x:c r="B157" s="8" t="n">
        <x:v>5</x:v>
      </x:c>
      <x:c r="C157" s="11" t="n">
        <x:v>2.655</x:v>
      </x:c>
      <x:c r="D157" s="11" t="n">
        <x:v>6</x:v>
      </x:c>
      <x:c r="E157" s="11" t="n">
        <x:v>-3.05</x:v>
      </x:c>
      <x:c r="F157" s="11" t="n">
        <x:f>SQRT((C157-C156)^2+(D157-D156)^2+(E157-E156)^2)</x:f>
        <x:v>0.3049999999999997</x:v>
      </x:c>
      <x:c r="G157" s="8" t="str">
        <x:v>Current</x:v>
      </x:c>
    </x:row>
    <x:row r="158" ht="32" customHeight="1">
      <x:c r="A158" s="8" t="str">
        <x:v>trunk:DB2:F4:fan:1</x:v>
      </x:c>
      <x:c r="B158" s="8" t="n">
        <x:v>1</x:v>
      </x:c>
      <x:c r="C158" s="11" t="n">
        <x:v>2.73</x:v>
      </x:c>
      <x:c r="D158" s="11" t="n">
        <x:v>1.5</x:v>
      </x:c>
      <x:c r="E158" s="11" t="n">
        <x:v>-3.3</x:v>
      </x:c>
      <x:c r="F158" s="11" t="n">
        <x:f>0</x:f>
        <x:v>0</x:v>
      </x:c>
      <x:c r="G158" s="8" t="str">
        <x:v>Current</x:v>
      </x:c>
    </x:row>
    <x:row r="159" ht="32" customHeight="1">
      <x:c r="A159" s="8" t="str">
        <x:v>trunk:DB2:F4:fan:1</x:v>
      </x:c>
      <x:c r="B159" s="8" t="n">
        <x:v>2</x:v>
      </x:c>
      <x:c r="C159" s="11" t="n">
        <x:v>2.35</x:v>
      </x:c>
      <x:c r="D159" s="11" t="n">
        <x:v>1.5</x:v>
      </x:c>
      <x:c r="E159" s="11" t="n">
        <x:v>-3.3</x:v>
      </x:c>
      <x:c r="F159" s="11" t="n">
        <x:f>SQRT((C159-C158)^2+(D159-D158)^2+(E159-E158)^2)</x:f>
        <x:v>0.3799999999999999</x:v>
      </x:c>
      <x:c r="G159" s="8" t="str">
        <x:v>Current</x:v>
      </x:c>
    </x:row>
    <x:row r="160" ht="32" customHeight="1">
      <x:c r="A160" s="8" t="str">
        <x:v>trunk:DB2:F4:fan:1</x:v>
      </x:c>
      <x:c r="B160" s="8" t="n">
        <x:v>3</x:v>
      </x:c>
      <x:c r="C160" s="11" t="n">
        <x:v>2.35</x:v>
      </x:c>
      <x:c r="D160" s="11" t="n">
        <x:v>7.65</x:v>
      </x:c>
      <x:c r="E160" s="11" t="n">
        <x:v>-3.3</x:v>
      </x:c>
      <x:c r="F160" s="11" t="n">
        <x:f>SQRT((C160-C159)^2+(D160-D159)^2+(E160-E159)^2)</x:f>
        <x:v>6.15</x:v>
      </x:c>
      <x:c r="G160" s="8" t="str">
        <x:v>Current</x:v>
      </x:c>
    </x:row>
    <x:row r="161" ht="32" customHeight="1">
      <x:c r="A161" s="8" t="str">
        <x:v>trunk:DB2:F4:fan:1</x:v>
      </x:c>
      <x:c r="B161" s="8" t="n">
        <x:v>4</x:v>
      </x:c>
      <x:c r="C161" s="11" t="n">
        <x:v>2.35</x:v>
      </x:c>
      <x:c r="D161" s="11" t="n">
        <x:v>7.65</x:v>
      </x:c>
      <x:c r="E161" s="11" t="n">
        <x:v>7.36</x:v>
      </x:c>
      <x:c r="F161" s="11" t="n">
        <x:f>SQRT((C161-C160)^2+(D161-D160)^2+(E161-E160)^2)</x:f>
        <x:v>10.66</x:v>
      </x:c>
      <x:c r="G161" s="8" t="str">
        <x:v>Current</x:v>
      </x:c>
    </x:row>
    <x:row r="162" ht="32" customHeight="1">
      <x:c r="A162" s="8" t="str">
        <x:v>trunk:DB2:F4:fan:1</x:v>
      </x:c>
      <x:c r="B162" s="8" t="n">
        <x:v>5</x:v>
      </x:c>
      <x:c r="C162" s="11" t="n">
        <x:v>2.35</x:v>
      </x:c>
      <x:c r="D162" s="11" t="n">
        <x:v>6.574</x:v>
      </x:c>
      <x:c r="E162" s="11" t="n">
        <x:v>7.36</x:v>
      </x:c>
      <x:c r="F162" s="11" t="n">
        <x:f>SQRT((C162-C161)^2+(D162-D161)^2+(E162-E161)^2)</x:f>
        <x:v>1.0760000000000005</x:v>
      </x:c>
      <x:c r="G162" s="8" t="str">
        <x:v>Current</x:v>
      </x:c>
    </x:row>
    <x:row r="163" ht="32" customHeight="1">
      <x:c r="A163" s="8" t="str">
        <x:v>trunk:DB2:F4:fan:1</x:v>
      </x:c>
      <x:c r="B163" s="8" t="n">
        <x:v>6</x:v>
      </x:c>
      <x:c r="C163" s="11" t="n">
        <x:v>2.655</x:v>
      </x:c>
      <x:c r="D163" s="11" t="n">
        <x:v>6.574</x:v>
      </x:c>
      <x:c r="E163" s="11" t="n">
        <x:v>7.36</x:v>
      </x:c>
      <x:c r="F163" s="11" t="n">
        <x:f>SQRT((C163-C162)^2+(D163-D162)^2+(E163-E162)^2)</x:f>
        <x:v>0.3049999999999997</x:v>
      </x:c>
      <x:c r="G163" s="8" t="str">
        <x:v>Current</x:v>
      </x:c>
    </x:row>
    <x:row r="164" ht="32" customHeight="1">
      <x:c r="A164" s="8" t="str">
        <x:v>drop:DB2:F4:fan:1:F251</x:v>
      </x:c>
      <x:c r="B164" s="8" t="n">
        <x:v>1</x:v>
      </x:c>
      <x:c r="C164" s="11" t="n">
        <x:v>2.655</x:v>
      </x:c>
      <x:c r="D164" s="11" t="n">
        <x:v>6.574</x:v>
      </x:c>
      <x:c r="E164" s="11" t="n">
        <x:v>7.36</x:v>
      </x:c>
      <x:c r="F164" s="11" t="n">
        <x:f>0</x:f>
        <x:v>0</x:v>
      </x:c>
      <x:c r="G164" s="8" t="str">
        <x:v>Current</x:v>
      </x:c>
    </x:row>
    <x:row r="165" ht="32" customHeight="1">
      <x:c r="A165" s="8" t="str">
        <x:v>drop:DB2:F4:fan:1:F251</x:v>
      </x:c>
      <x:c r="B165" s="8" t="n">
        <x:v>2</x:v>
      </x:c>
      <x:c r="C165" s="11" t="n">
        <x:v>2.35</x:v>
      </x:c>
      <x:c r="D165" s="11" t="n">
        <x:v>7.65</x:v>
      </x:c>
      <x:c r="E165" s="11" t="n">
        <x:v>7.36</x:v>
      </x:c>
      <x:c r="F165" s="11" t="n">
        <x:f>SQRT((C165-C164)^2+(D165-D164)^2+(E165-E164)^2)</x:f>
        <x:v>1.118392149471732</x:v>
      </x:c>
      <x:c r="G165" s="8" t="str">
        <x:v>Current</x:v>
      </x:c>
    </x:row>
    <x:row r="166" ht="32" customHeight="1">
      <x:c r="A166" s="8" t="str">
        <x:v>drop:DB2:F4:fan:1:F251</x:v>
      </x:c>
      <x:c r="B166" s="8" t="n">
        <x:v>3</x:v>
      </x:c>
      <x:c r="C166" s="11" t="n">
        <x:v>2.35</x:v>
      </x:c>
      <x:c r="D166" s="11" t="n">
        <x:v>7.65</x:v>
      </x:c>
      <x:c r="E166" s="11" t="n">
        <x:v>3.05</x:v>
      </x:c>
      <x:c r="F166" s="11" t="n">
        <x:f>SQRT((C166-C165)^2+(D166-D165)^2+(E166-E165)^2)</x:f>
        <x:v>4.3100000000000005</x:v>
      </x:c>
      <x:c r="G166" s="8" t="str">
        <x:v>Current</x:v>
      </x:c>
    </x:row>
    <x:row r="167" ht="32" customHeight="1">
      <x:c r="A167" s="8" t="str">
        <x:v>drop:DB2:F4:fan:1:F251</x:v>
      </x:c>
      <x:c r="B167" s="8" t="n">
        <x:v>4</x:v>
      </x:c>
      <x:c r="C167" s="11" t="n">
        <x:v>2.35</x:v>
      </x:c>
      <x:c r="D167" s="11" t="n">
        <x:v>6</x:v>
      </x:c>
      <x:c r="E167" s="11" t="n">
        <x:v>3.05</x:v>
      </x:c>
      <x:c r="F167" s="11" t="n">
        <x:f>SQRT((C167-C166)^2+(D167-D166)^2+(E167-E166)^2)</x:f>
        <x:v>1.6500000000000004</x:v>
      </x:c>
      <x:c r="G167" s="8" t="str">
        <x:v>Current</x:v>
      </x:c>
    </x:row>
    <x:row r="168" ht="32" customHeight="1">
      <x:c r="A168" s="8" t="str">
        <x:v>drop:DB2:F4:fan:1:F251</x:v>
      </x:c>
      <x:c r="B168" s="8" t="n">
        <x:v>5</x:v>
      </x:c>
      <x:c r="C168" s="11" t="n">
        <x:v>2.655</x:v>
      </x:c>
      <x:c r="D168" s="11" t="n">
        <x:v>6</x:v>
      </x:c>
      <x:c r="E168" s="11" t="n">
        <x:v>3.05</x:v>
      </x:c>
      <x:c r="F168" s="11" t="n">
        <x:f>SQRT((C168-C167)^2+(D168-D167)^2+(E168-E167)^2)</x:f>
        <x:v>0.3049999999999997</x:v>
      </x:c>
      <x:c r="G168" s="8" t="str">
        <x:v>Current</x:v>
      </x:c>
    </x:row>
    <x:row r="169" ht="32" customHeight="1">
      <x:c r="A169" s="8" t="str">
        <x:v>trunk:FC1:V1:fan:-1</x:v>
      </x:c>
      <x:c r="B169" s="8" t="n">
        <x:v>1</x:v>
      </x:c>
      <x:c r="C169" s="11" t="n">
        <x:v>48.895</x:v>
      </x:c>
      <x:c r="D169" s="11" t="n">
        <x:v>1.95</x:v>
      </x:c>
      <x:c r="E169" s="11" t="n">
        <x:v>0.4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trunk:FC1:V1:fan:-1</x:v>
      </x:c>
      <x:c r="B170" s="8" t="n">
        <x:v>2</x:v>
      </x:c>
      <x:c r="C170" s="11" t="n">
        <x:v>48.735</x:v>
      </x:c>
      <x:c r="D170" s="11" t="n">
        <x:v>1.95</x:v>
      </x:c>
      <x:c r="E170" s="11" t="n">
        <x:v>0.4</x:v>
      </x:c>
      <x:c r="F170" s="11" t="n">
        <x:f>SQRT((C170-C169)^2+(D170-D169)^2+(E170-E169)^2)</x:f>
        <x:v>0.1600000000000037</x:v>
      </x:c>
      <x:c r="G170" s="8" t="str">
        <x:v>Current</x:v>
      </x:c>
    </x:row>
    <x:row r="171" ht="32" customHeight="1">
      <x:c r="A171" s="8" t="str">
        <x:v>trunk:FC1:V1:fan:-1</x:v>
      </x:c>
      <x:c r="B171" s="8" t="n">
        <x:v>3</x:v>
      </x:c>
      <x:c r="C171" s="11" t="n">
        <x:v>48.735</x:v>
      </x:c>
      <x:c r="D171" s="11" t="n">
        <x:v>1.95</x:v>
      </x:c>
      <x:c r="E171" s="11" t="n">
        <x:v>-2.24</x:v>
      </x:c>
      <x:c r="F171" s="11" t="n">
        <x:f>SQRT((C171-C170)^2+(D171-D170)^2+(E171-E170)^2)</x:f>
        <x:v>2.64</x:v>
      </x:c>
      <x:c r="G171" s="8" t="str">
        <x:v>Current</x:v>
      </x:c>
    </x:row>
    <x:row r="172" ht="32" customHeight="1">
      <x:c r="A172" s="8" t="str">
        <x:v>trunk:FC1:V1:fan:-1</x:v>
      </x:c>
      <x:c r="B172" s="8" t="n">
        <x:v>4</x:v>
      </x:c>
      <x:c r="C172" s="11" t="n">
        <x:v>48.735</x:v>
      </x:c>
      <x:c r="D172" s="11" t="n">
        <x:v>4.02</x:v>
      </x:c>
      <x:c r="E172" s="11" t="n">
        <x:v>-2.24</x:v>
      </x:c>
      <x:c r="F172" s="11" t="n">
        <x:f>SQRT((C172-C171)^2+(D172-D171)^2+(E172-E171)^2)</x:f>
        <x:v>2.0699999999999994</x:v>
      </x:c>
      <x:c r="G172" s="8" t="str">
        <x:v>Current</x:v>
      </x:c>
    </x:row>
    <x:row r="173" ht="32" customHeight="1">
      <x:c r="A173" s="8" t="str">
        <x:v>trunk:FC1:V1:fan:-1</x:v>
      </x:c>
      <x:c r="B173" s="8" t="n">
        <x:v>5</x:v>
      </x:c>
      <x:c r="C173" s="11" t="n">
        <x:v>48.735</x:v>
      </x:c>
      <x:c r="D173" s="11" t="n">
        <x:v>4.02</x:v>
      </x:c>
      <x:c r="E173" s="11" t="n">
        <x:v>-3.6</x:v>
      </x:c>
      <x:c r="F173" s="11" t="n">
        <x:f>SQRT((C173-C172)^2+(D173-D172)^2+(E173-E172)^2)</x:f>
        <x:v>1.3599999999999999</x:v>
      </x:c>
      <x:c r="G173" s="8" t="str">
        <x:v>Current</x:v>
      </x:c>
    </x:row>
    <x:row r="174" ht="32" customHeight="1">
      <x:c r="A174" s="8" t="str">
        <x:v>trunk:FC1:V1:fan:-1</x:v>
      </x:c>
      <x:c r="B174" s="8" t="n">
        <x:v>6</x:v>
      </x:c>
      <x:c r="C174" s="11" t="n">
        <x:v>53.05</x:v>
      </x:c>
      <x:c r="D174" s="11" t="n">
        <x:v>4.02</x:v>
      </x:c>
      <x:c r="E174" s="11" t="n">
        <x:v>-3.6</x:v>
      </x:c>
      <x:c r="F174" s="11" t="n">
        <x:f>SQRT((C174-C173)^2+(D174-D173)^2+(E174-E173)^2)</x:f>
        <x:v>4.314999999999998</x:v>
      </x:c>
      <x:c r="G174" s="8" t="str">
        <x:v>Current</x:v>
      </x:c>
    </x:row>
    <x:row r="175" ht="32" customHeight="1">
      <x:c r="A175" s="8" t="str">
        <x:v>trunk:FC1:V1:fan:-1</x:v>
      </x:c>
      <x:c r="B175" s="8" t="n">
        <x:v>7</x:v>
      </x:c>
      <x:c r="C175" s="11" t="n">
        <x:v>53.05</x:v>
      </x:c>
      <x:c r="D175" s="11" t="n">
        <x:v>6.588</x:v>
      </x:c>
      <x:c r="E175" s="11" t="n">
        <x:v>-3.6</x:v>
      </x:c>
      <x:c r="F175" s="11" t="n">
        <x:f>SQRT((C175-C174)^2+(D175-D174)^2+(E175-E174)^2)</x:f>
        <x:v>2.5680000000000005</x:v>
      </x:c>
      <x:c r="G175" s="8" t="str">
        <x:v>Current</x:v>
      </x:c>
    </x:row>
    <x:row r="176" ht="32" customHeight="1">
      <x:c r="A176" s="8" t="str">
        <x:v>trunk:FC1:V1:fan:-1</x:v>
      </x:c>
      <x:c r="B176" s="8" t="n">
        <x:v>8</x:v>
      </x:c>
      <x:c r="C176" s="11" t="n">
        <x:v>53.05</x:v>
      </x:c>
      <x:c r="D176" s="11" t="n">
        <x:v>6.588</x:v>
      </x:c>
      <x:c r="E176" s="11" t="n">
        <x:v>-7.36</x:v>
      </x:c>
      <x:c r="F176" s="11" t="n">
        <x:f>SQRT((C176-C175)^2+(D176-D175)^2+(E176-E175)^2)</x:f>
        <x:v>3.7600000000000002</x:v>
      </x:c>
      <x:c r="G176" s="8" t="str">
        <x:v>Current</x:v>
      </x:c>
    </x:row>
    <x:row r="177" ht="32" customHeight="1">
      <x:c r="A177" s="8" t="str">
        <x:v>trunk:FC1:V1:fan:-1</x:v>
      </x:c>
      <x:c r="B177" s="8" t="n">
        <x:v>9</x:v>
      </x:c>
      <x:c r="C177" s="11" t="n">
        <x:v>44.175</x:v>
      </x:c>
      <x:c r="D177" s="11" t="n">
        <x:v>6.588</x:v>
      </x:c>
      <x:c r="E177" s="11" t="n">
        <x:v>-7.36</x:v>
      </x:c>
      <x:c r="F177" s="11" t="n">
        <x:f>SQRT((C177-C176)^2+(D177-D176)^2+(E177-E176)^2)</x:f>
        <x:v>8.875</x:v>
      </x:c>
      <x:c r="G177" s="8" t="str">
        <x:v>Current</x:v>
      </x:c>
    </x:row>
    <x:row r="178" ht="32" customHeight="1">
      <x:c r="A178" s="8" t="str">
        <x:v>trunk:FC1:V1:fan:-1</x:v>
      </x:c>
      <x:c r="B178" s="8" t="n">
        <x:v>10</x:v>
      </x:c>
      <x:c r="C178" s="11" t="n">
        <x:v>44.175</x:v>
      </x:c>
      <x:c r="D178" s="11" t="n">
        <x:v>6.588</x:v>
      </x:c>
      <x:c r="E178" s="11" t="n">
        <x:v>-13.24</x:v>
      </x:c>
      <x:c r="F178" s="11" t="n">
        <x:f>SQRT((C178-C177)^2+(D178-D177)^2+(E178-E177)^2)</x:f>
        <x:v>5.88</x:v>
      </x:c>
      <x:c r="G178" s="8" t="str">
        <x:v>Current</x:v>
      </x:c>
    </x:row>
    <x:row r="179" ht="32" customHeight="1">
      <x:c r="A179" s="8" t="str">
        <x:v>trunk:FC1:V1:fan:-1</x:v>
      </x:c>
      <x:c r="B179" s="8" t="n">
        <x:v>11</x:v>
      </x:c>
      <x:c r="C179" s="11" t="n">
        <x:v>36.975</x:v>
      </x:c>
      <x:c r="D179" s="11" t="n">
        <x:v>6.588</x:v>
      </x:c>
      <x:c r="E179" s="11" t="n">
        <x:v>-13.24</x:v>
      </x:c>
      <x:c r="F179" s="11" t="n">
        <x:f>SQRT((C179-C178)^2+(D179-D178)^2+(E179-E178)^2)</x:f>
        <x:v>7.199999999999996</x:v>
      </x:c>
      <x:c r="G179" s="8" t="str">
        <x:v>Current</x:v>
      </x:c>
    </x:row>
    <x:row r="180" ht="32" customHeight="1">
      <x:c r="A180" s="8" t="str">
        <x:v>trunk:FC1:V1:fan:-1</x:v>
      </x:c>
      <x:c r="B180" s="8" t="n">
        <x:v>12</x:v>
      </x:c>
      <x:c r="C180" s="11" t="n">
        <x:v>36.975</x:v>
      </x:c>
      <x:c r="D180" s="11" t="n">
        <x:v>6.588</x:v>
      </x:c>
      <x:c r="E180" s="11" t="n">
        <x:v>-7.36</x:v>
      </x:c>
      <x:c r="F180" s="11" t="n">
        <x:f>SQRT((C180-C179)^2+(D180-D179)^2+(E180-E179)^2)</x:f>
        <x:v>5.88</x:v>
      </x:c>
      <x:c r="G180" s="8" t="str">
        <x:v>Current</x:v>
      </x:c>
    </x:row>
    <x:row r="181" ht="32" customHeight="1">
      <x:c r="A181" s="8" t="str">
        <x:v>trunk:FC1:V1:fan:-1</x:v>
      </x:c>
      <x:c r="B181" s="8" t="n">
        <x:v>13</x:v>
      </x:c>
      <x:c r="C181" s="11" t="n">
        <x:v>5.48</x:v>
      </x:c>
      <x:c r="D181" s="11" t="n">
        <x:v>6.588</x:v>
      </x:c>
      <x:c r="E181" s="11" t="n">
        <x:v>-7.36</x:v>
      </x:c>
      <x:c r="F181" s="11" t="n">
        <x:f>SQRT((C181-C180)^2+(D181-D180)^2+(E181-E180)^2)</x:f>
        <x:v>31.495</x:v>
      </x:c>
      <x:c r="G181" s="8" t="str">
        <x:v>Current</x:v>
      </x:c>
    </x:row>
    <x:row r="182" ht="32" customHeight="1">
      <x:c r="A182" s="8" t="str">
        <x:v>drop:FC1:V1:fan:-1:F252</x:v>
      </x:c>
      <x:c r="B182" s="8" t="n">
        <x:v>1</x:v>
      </x:c>
      <x:c r="C182" s="11" t="n">
        <x:v>5.48</x:v>
      </x:c>
      <x:c r="D182" s="11" t="n">
        <x:v>6.588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drop:FC1:V1:fan:-1:F252</x:v>
      </x:c>
      <x:c r="B183" s="8" t="n">
        <x:v>2</x:v>
      </x:c>
      <x:c r="C183" s="11" t="n">
        <x:v>5.475</x:v>
      </x:c>
      <x:c r="D183" s="11" t="n">
        <x:v>6.588</x:v>
      </x:c>
      <x:c r="E183" s="11" t="n">
        <x:v>-7.36</x:v>
      </x:c>
      <x:c r="F183" s="11" t="n">
        <x:f>SQRT((C183-C182)^2+(D183-D182)^2+(E183-E182)^2)</x:f>
        <x:v>0.005000000000000782</x:v>
      </x:c>
      <x:c r="G183" s="8" t="str">
        <x:v>Current</x:v>
      </x:c>
    </x:row>
    <x:row r="184" ht="32" customHeight="1">
      <x:c r="A184" s="8" t="str">
        <x:v>drop:FC1:V1:fan:-1:F252</x:v>
      </x:c>
      <x:c r="B184" s="8" t="n">
        <x:v>3</x:v>
      </x:c>
      <x:c r="C184" s="11" t="n">
        <x:v>5.475</x:v>
      </x:c>
      <x:c r="D184" s="11" t="n">
        <x:v>6.588</x:v>
      </x:c>
      <x:c r="E184" s="11" t="n">
        <x:v>-2.4</x:v>
      </x:c>
      <x:c r="F184" s="11" t="n">
        <x:f>SQRT((C184-C183)^2+(D184-D183)^2+(E184-E183)^2)</x:f>
        <x:v>4.960000000000001</x:v>
      </x:c>
      <x:c r="G184" s="8" t="str">
        <x:v>Current</x:v>
      </x:c>
    </x:row>
    <x:row r="185" ht="32" customHeight="1">
      <x:c r="A185" s="8" t="str">
        <x:v>drop:FC1:V1:fan:-1:F252</x:v>
      </x:c>
      <x:c r="B185" s="8" t="n">
        <x:v>4</x:v>
      </x:c>
      <x:c r="C185" s="11" t="n">
        <x:v>5.475</x:v>
      </x:c>
      <x:c r="D185" s="11" t="n">
        <x:v>9.4</x:v>
      </x:c>
      <x:c r="E185" s="11" t="n">
        <x:v>-2.4</x:v>
      </x:c>
      <x:c r="F185" s="11" t="n">
        <x:f>SQRT((C185-C184)^2+(D185-D184)^2+(E185-E184)^2)</x:f>
        <x:v>2.8120000000000003</x:v>
      </x:c>
      <x:c r="G185" s="8" t="str">
        <x:v>Current</x:v>
      </x:c>
    </x:row>
    <x:row r="186" ht="32" customHeight="1">
      <x:c r="A186" s="8" t="str">
        <x:v>drop:FC1:V1:fan:-1:F252</x:v>
      </x:c>
      <x:c r="B186" s="8" t="n">
        <x:v>5</x:v>
      </x:c>
      <x:c r="C186" s="11" t="n">
        <x:v>5.48</x:v>
      </x:c>
      <x:c r="D186" s="11" t="n">
        <x:v>9.4</x:v>
      </x:c>
      <x:c r="E186" s="11" t="n">
        <x:v>-2.4</x:v>
      </x:c>
      <x:c r="F186" s="11" t="n">
        <x:f>SQRT((C186-C185)^2+(D186-D185)^2+(E186-E185)^2)</x:f>
        <x:v>0.005000000000000782</x:v>
      </x:c>
      <x:c r="G186" s="8" t="str">
        <x:v>Current</x:v>
      </x:c>
    </x:row>
    <x:row r="187" ht="32" customHeight="1">
      <x:c r="A187" s="8" t="str">
        <x:v>drop:FC1:V1:fan:-1:F253</x:v>
      </x:c>
      <x:c r="B187" s="8" t="n">
        <x:v>1</x:v>
      </x:c>
      <x:c r="C187" s="11" t="n">
        <x:v>5.48</x:v>
      </x:c>
      <x:c r="D187" s="11" t="n">
        <x:v>6.588</x:v>
      </x:c>
      <x:c r="E187" s="11" t="n">
        <x:v>-7.36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drop:FC1:V1:fan:-1:F253</x:v>
      </x:c>
      <x:c r="B188" s="8" t="n">
        <x:v>2</x:v>
      </x:c>
      <x:c r="C188" s="11" t="n">
        <x:v>5.475</x:v>
      </x:c>
      <x:c r="D188" s="11" t="n">
        <x:v>6.588</x:v>
      </x:c>
      <x:c r="E188" s="11" t="n">
        <x:v>-7.36</x:v>
      </x:c>
      <x:c r="F188" s="11" t="n">
        <x:f>SQRT((C188-C187)^2+(D188-D187)^2+(E188-E187)^2)</x:f>
        <x:v>0.005000000000000782</x:v>
      </x:c>
      <x:c r="G188" s="8" t="str">
        <x:v>Current</x:v>
      </x:c>
    </x:row>
    <x:row r="189" ht="32" customHeight="1">
      <x:c r="A189" s="8" t="str">
        <x:v>drop:FC1:V1:fan:-1:F253</x:v>
      </x:c>
      <x:c r="B189" s="8" t="n">
        <x:v>3</x:v>
      </x:c>
      <x:c r="C189" s="11" t="n">
        <x:v>5.475</x:v>
      </x:c>
      <x:c r="D189" s="11" t="n">
        <x:v>6.588</x:v>
      </x:c>
      <x:c r="E189" s="11" t="n">
        <x:v>-0.8</x:v>
      </x:c>
      <x:c r="F189" s="11" t="n">
        <x:f>SQRT((C189-C188)^2+(D189-D188)^2+(E189-E188)^2)</x:f>
        <x:v>6.5600000000000005</x:v>
      </x:c>
      <x:c r="G189" s="8" t="str">
        <x:v>Current</x:v>
      </x:c>
    </x:row>
    <x:row r="190" ht="32" customHeight="1">
      <x:c r="A190" s="8" t="str">
        <x:v>drop:FC1:V1:fan:-1:F253</x:v>
      </x:c>
      <x:c r="B190" s="8" t="n">
        <x:v>4</x:v>
      </x:c>
      <x:c r="C190" s="11" t="n">
        <x:v>5.475</x:v>
      </x:c>
      <x:c r="D190" s="11" t="n">
        <x:v>9.4</x:v>
      </x:c>
      <x:c r="E190" s="11" t="n">
        <x:v>-0.8</x:v>
      </x:c>
      <x:c r="F190" s="11" t="n">
        <x:f>SQRT((C190-C189)^2+(D190-D189)^2+(E190-E189)^2)</x:f>
        <x:v>2.8120000000000003</x:v>
      </x:c>
      <x:c r="G190" s="8" t="str">
        <x:v>Current</x:v>
      </x:c>
    </x:row>
    <x:row r="191" ht="32" customHeight="1">
      <x:c r="A191" s="8" t="str">
        <x:v>drop:FC1:V1:fan:-1:F253</x:v>
      </x:c>
      <x:c r="B191" s="8" t="n">
        <x:v>5</x:v>
      </x:c>
      <x:c r="C191" s="11" t="n">
        <x:v>5.48</x:v>
      </x:c>
      <x:c r="D191" s="11" t="n">
        <x:v>9.4</x:v>
      </x:c>
      <x:c r="E191" s="11" t="n">
        <x:v>-0.8</x:v>
      </x:c>
      <x:c r="F191" s="11" t="n">
        <x:f>SQRT((C191-C190)^2+(D191-D190)^2+(E191-E190)^2)</x:f>
        <x:v>0.005000000000000782</x:v>
      </x:c>
      <x:c r="G191" s="8" t="str">
        <x:v>Current</x:v>
      </x:c>
    </x:row>
    <x:row r="192" ht="32" customHeight="1">
      <x:c r="A192" s="8" t="str">
        <x:v>drop:FC1:V1:fan:-1:F256</x:v>
      </x:c>
      <x:c r="B192" s="8" t="n">
        <x:v>1</x:v>
      </x:c>
      <x:c r="C192" s="11" t="n">
        <x:v>39.7</x:v>
      </x:c>
      <x:c r="D192" s="11" t="n">
        <x:v>6.588</x:v>
      </x:c>
      <x:c r="E192" s="11" t="n">
        <x:v>-13.24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drop:FC1:V1:fan:-1:F256</x:v>
      </x:c>
      <x:c r="B193" s="8" t="n">
        <x:v>2</x:v>
      </x:c>
      <x:c r="C193" s="11" t="n">
        <x:v>39.7</x:v>
      </x:c>
      <x:c r="D193" s="11" t="n">
        <x:v>7.6</x:v>
      </x:c>
      <x:c r="E193" s="11" t="n">
        <x:v>-13.24</x:v>
      </x:c>
      <x:c r="F193" s="11" t="n">
        <x:f>SQRT((C193-C192)^2+(D193-D192)^2+(E193-E192)^2)</x:f>
        <x:v>1.0119999999999996</x:v>
      </x:c>
      <x:c r="G193" s="8" t="str">
        <x:v>Current</x:v>
      </x:c>
    </x:row>
    <x:row r="194" ht="32" customHeight="1">
      <x:c r="A194" s="8" t="str">
        <x:v>drop:FC1:V1:fan:-1:F256</x:v>
      </x:c>
      <x:c r="B194" s="8" t="n">
        <x:v>3</x:v>
      </x:c>
      <x:c r="C194" s="11" t="n">
        <x:v>39.7</x:v>
      </x:c>
      <x:c r="D194" s="11" t="n">
        <x:v>7.6</x:v>
      </x:c>
      <x:c r="E194" s="11" t="n">
        <x:v>-13.13</x:v>
      </x:c>
      <x:c r="F194" s="11" t="n">
        <x:f>SQRT((C194-C193)^2+(D194-D193)^2+(E194-E193)^2)</x:f>
        <x:v>0.10999999999999943</x:v>
      </x:c>
      <x:c r="G194" s="8" t="str">
        <x:v>Current</x:v>
      </x:c>
    </x:row>
    <x:row r="195" ht="32" customHeight="1">
      <x:c r="A195" s="8" t="str">
        <x:v>drop:FC1:V1:fan:-1:F257</x:v>
      </x:c>
      <x:c r="B195" s="8" t="n">
        <x:v>1</x:v>
      </x:c>
      <x:c r="C195" s="11" t="n">
        <x:v>41.45</x:v>
      </x:c>
      <x:c r="D195" s="11" t="n">
        <x:v>6.588</x:v>
      </x:c>
      <x:c r="E195" s="11" t="n">
        <x:v>-13.24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drop:FC1:V1:fan:-1:F257</x:v>
      </x:c>
      <x:c r="B196" s="8" t="n">
        <x:v>2</x:v>
      </x:c>
      <x:c r="C196" s="11" t="n">
        <x:v>41.45</x:v>
      </x:c>
      <x:c r="D196" s="11" t="n">
        <x:v>7.6</x:v>
      </x:c>
      <x:c r="E196" s="11" t="n">
        <x:v>-13.24</x:v>
      </x:c>
      <x:c r="F196" s="11" t="n">
        <x:f>SQRT((C196-C195)^2+(D196-D195)^2+(E196-E195)^2)</x:f>
        <x:v>1.0119999999999996</x:v>
      </x:c>
      <x:c r="G196" s="8" t="str">
        <x:v>Current</x:v>
      </x:c>
    </x:row>
    <x:row r="197" ht="32" customHeight="1">
      <x:c r="A197" s="8" t="str">
        <x:v>drop:FC1:V1:fan:-1:F257</x:v>
      </x:c>
      <x:c r="B197" s="8" t="n">
        <x:v>3</x:v>
      </x:c>
      <x:c r="C197" s="11" t="n">
        <x:v>41.45</x:v>
      </x:c>
      <x:c r="D197" s="11" t="n">
        <x:v>7.6</x:v>
      </x:c>
      <x:c r="E197" s="11" t="n">
        <x:v>-13.13</x:v>
      </x:c>
      <x:c r="F197" s="11" t="n">
        <x:f>SQRT((C197-C196)^2+(D197-D196)^2+(E197-E196)^2)</x:f>
        <x:v>0.10999999999999943</x:v>
      </x:c>
      <x:c r="G197" s="8" t="str">
        <x:v>Current</x:v>
      </x:c>
    </x:row>
    <x:row r="198" ht="32" customHeight="1">
      <x:c r="A198" s="8" t="str">
        <x:v>drop:FC1:V1:fan:-1:F260</x:v>
      </x:c>
      <x:c r="B198" s="8" t="n">
        <x:v>1</x:v>
      </x:c>
      <x:c r="C198" s="11" t="n">
        <x:v>53.05</x:v>
      </x:c>
      <x:c r="D198" s="11" t="n">
        <x:v>6.588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drop:FC1:V1:fan:-1:F260</x:v>
      </x:c>
      <x:c r="B199" s="8" t="n">
        <x:v>2</x:v>
      </x:c>
      <x:c r="C199" s="11" t="n">
        <x:v>53.05</x:v>
      </x:c>
      <x:c r="D199" s="11" t="n">
        <x:v>3.3</x:v>
      </x:c>
      <x:c r="E199" s="11" t="n">
        <x:v>-7.36</x:v>
      </x:c>
      <x:c r="F199" s="11" t="n">
        <x:f>SQRT((C199-C198)^2+(D199-D198)^2+(E199-E198)^2)</x:f>
        <x:v>3.2880000000000003</x:v>
      </x:c>
      <x:c r="G199" s="8" t="str">
        <x:v>Current</x:v>
      </x:c>
    </x:row>
    <x:row r="200" ht="32" customHeight="1">
      <x:c r="A200" s="8" t="str">
        <x:v>drop:FC1:V1:fan:-1:F260</x:v>
      </x:c>
      <x:c r="B200" s="8" t="n">
        <x:v>3</x:v>
      </x:c>
      <x:c r="C200" s="11" t="n">
        <x:v>53.12</x:v>
      </x:c>
      <x:c r="D200" s="11" t="n">
        <x:v>3.3</x:v>
      </x:c>
      <x:c r="E200" s="11" t="n">
        <x:v>-7.36</x:v>
      </x:c>
      <x:c r="F200" s="11" t="n">
        <x:f>SQRT((C200-C199)^2+(D200-D199)^2+(E200-E199)^2)</x:f>
        <x:v>0.07000000000000028</x:v>
      </x:c>
      <x:c r="G200" s="8" t="str">
        <x:v>Current</x:v>
      </x:c>
    </x:row>
    <x:row r="201" ht="32" customHeight="1">
      <x:c r="A201" s="8" t="str">
        <x:v>drop:FC1:V1:fan:-1:F260</x:v>
      </x:c>
      <x:c r="B201" s="8" t="n">
        <x:v>4</x:v>
      </x:c>
      <x:c r="C201" s="11" t="n">
        <x:v>53.12</x:v>
      </x:c>
      <x:c r="D201" s="11" t="n">
        <x:v>3.3</x:v>
      </x:c>
      <x:c r="E201" s="11" t="n">
        <x:v>0</x:v>
      </x:c>
      <x:c r="F201" s="11" t="n">
        <x:f>SQRT((C201-C200)^2+(D201-D200)^2+(E201-E200)^2)</x:f>
        <x:v>7.36</x:v>
      </x:c>
      <x:c r="G201" s="8" t="str">
        <x:v>Current</x:v>
      </x:c>
    </x:row>
    <x:row r="202" ht="32" customHeight="1">
      <x:c r="A202" s="8" t="str">
        <x:v>trunk:FC1:V1:fan:1</x:v>
      </x:c>
      <x:c r="B202" s="8" t="n">
        <x:v>1</x:v>
      </x:c>
      <x:c r="C202" s="11" t="n">
        <x:v>48.895</x:v>
      </x:c>
      <x:c r="D202" s="11" t="n">
        <x:v>1.95</x:v>
      </x:c>
      <x:c r="E202" s="11" t="n">
        <x:v>0.4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trunk:FC1:V1:fan:1</x:v>
      </x:c>
      <x:c r="B203" s="8" t="n">
        <x:v>2</x:v>
      </x:c>
      <x:c r="C203" s="11" t="n">
        <x:v>48.735</x:v>
      </x:c>
      <x:c r="D203" s="11" t="n">
        <x:v>1.95</x:v>
      </x:c>
      <x:c r="E203" s="11" t="n">
        <x:v>0.4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trunk:FC1:V1:fan:1</x:v>
      </x:c>
      <x:c r="B204" s="8" t="n">
        <x:v>3</x:v>
      </x:c>
      <x:c r="C204" s="11" t="n">
        <x:v>48.735</x:v>
      </x:c>
      <x:c r="D204" s="11" t="n">
        <x:v>1.95</x:v>
      </x:c>
      <x:c r="E204" s="11" t="n">
        <x:v>-2.24</x:v>
      </x:c>
      <x:c r="F204" s="11" t="n">
        <x:f>SQRT((C204-C203)^2+(D204-D203)^2+(E204-E203)^2)</x:f>
        <x:v>2.64</x:v>
      </x:c>
      <x:c r="G204" s="8" t="str">
        <x:v>Current</x:v>
      </x:c>
    </x:row>
    <x:row r="205" ht="32" customHeight="1">
      <x:c r="A205" s="8" t="str">
        <x:v>trunk:FC1:V1:fan:1</x:v>
      </x:c>
      <x:c r="B205" s="8" t="n">
        <x:v>4</x:v>
      </x:c>
      <x:c r="C205" s="11" t="n">
        <x:v>48.735</x:v>
      </x:c>
      <x:c r="D205" s="11" t="n">
        <x:v>4.02</x:v>
      </x:c>
      <x:c r="E205" s="11" t="n">
        <x:v>-2.24</x:v>
      </x:c>
      <x:c r="F205" s="11" t="n">
        <x:f>SQRT((C205-C204)^2+(D205-D204)^2+(E205-E204)^2)</x:f>
        <x:v>2.0699999999999994</x:v>
      </x:c>
      <x:c r="G205" s="8" t="str">
        <x:v>Current</x:v>
      </x:c>
    </x:row>
    <x:row r="206" ht="32" customHeight="1">
      <x:c r="A206" s="8" t="str">
        <x:v>trunk:FC1:V1:fan:1</x:v>
      </x:c>
      <x:c r="B206" s="8" t="n">
        <x:v>5</x:v>
      </x:c>
      <x:c r="C206" s="11" t="n">
        <x:v>48.735</x:v>
      </x:c>
      <x:c r="D206" s="11" t="n">
        <x:v>4.02</x:v>
      </x:c>
      <x:c r="E206" s="11" t="n">
        <x:v>-3.6</x:v>
      </x:c>
      <x:c r="F206" s="11" t="n">
        <x:f>SQRT((C206-C205)^2+(D206-D205)^2+(E206-E205)^2)</x:f>
        <x:v>1.3599999999999999</x:v>
      </x:c>
      <x:c r="G206" s="8" t="str">
        <x:v>Current</x:v>
      </x:c>
    </x:row>
    <x:row r="207" ht="32" customHeight="1">
      <x:c r="A207" s="8" t="str">
        <x:v>trunk:FC1:V1:fan:1</x:v>
      </x:c>
      <x:c r="B207" s="8" t="n">
        <x:v>6</x:v>
      </x:c>
      <x:c r="C207" s="11" t="n">
        <x:v>53.05</x:v>
      </x:c>
      <x:c r="D207" s="11" t="n">
        <x:v>4.02</x:v>
      </x:c>
      <x:c r="E207" s="11" t="n">
        <x:v>-3.6</x:v>
      </x:c>
      <x:c r="F207" s="11" t="n">
        <x:f>SQRT((C207-C206)^2+(D207-D206)^2+(E207-E206)^2)</x:f>
        <x:v>4.314999999999998</x:v>
      </x:c>
      <x:c r="G207" s="8" t="str">
        <x:v>Current</x:v>
      </x:c>
    </x:row>
    <x:row r="208" ht="32" customHeight="1">
      <x:c r="A208" s="8" t="str">
        <x:v>trunk:FC1:V1:fan:1</x:v>
      </x:c>
      <x:c r="B208" s="8" t="n">
        <x:v>7</x:v>
      </x:c>
      <x:c r="C208" s="11" t="n">
        <x:v>53.05</x:v>
      </x:c>
      <x:c r="D208" s="11" t="n">
        <x:v>6.588</x:v>
      </x:c>
      <x:c r="E208" s="11" t="n">
        <x:v>-3.6</x:v>
      </x:c>
      <x:c r="F208" s="11" t="n">
        <x:f>SQRT((C208-C207)^2+(D208-D207)^2+(E208-E207)^2)</x:f>
        <x:v>2.5680000000000005</x:v>
      </x:c>
      <x:c r="G208" s="8" t="str">
        <x:v>Current</x:v>
      </x:c>
    </x:row>
    <x:row r="209" ht="32" customHeight="1">
      <x:c r="A209" s="8" t="str">
        <x:v>trunk:FC1:V1:fan:1</x:v>
      </x:c>
      <x:c r="B209" s="8" t="n">
        <x:v>8</x:v>
      </x:c>
      <x:c r="C209" s="11" t="n">
        <x:v>53.05</x:v>
      </x:c>
      <x:c r="D209" s="11" t="n">
        <x:v>6.588</x:v>
      </x:c>
      <x:c r="E209" s="11" t="n">
        <x:v>7.36</x:v>
      </x:c>
      <x:c r="F209" s="11" t="n">
        <x:f>SQRT((C209-C208)^2+(D209-D208)^2+(E209-E208)^2)</x:f>
        <x:v>10.96</x:v>
      </x:c>
      <x:c r="G209" s="8" t="str">
        <x:v>Current</x:v>
      </x:c>
    </x:row>
    <x:row r="210" ht="32" customHeight="1">
      <x:c r="A210" s="8" t="str">
        <x:v>trunk:FC1:V1:fan:1</x:v>
      </x:c>
      <x:c r="B210" s="8" t="n">
        <x:v>9</x:v>
      </x:c>
      <x:c r="C210" s="11" t="n">
        <x:v>44.175</x:v>
      </x:c>
      <x:c r="D210" s="11" t="n">
        <x:v>6.588</x:v>
      </x:c>
      <x:c r="E210" s="11" t="n">
        <x:v>7.36</x:v>
      </x:c>
      <x:c r="F210" s="11" t="n">
        <x:f>SQRT((C210-C209)^2+(D210-D209)^2+(E210-E209)^2)</x:f>
        <x:v>8.875</x:v>
      </x:c>
      <x:c r="G210" s="8" t="str">
        <x:v>Current</x:v>
      </x:c>
    </x:row>
    <x:row r="211" ht="32" customHeight="1">
      <x:c r="A211" s="8" t="str">
        <x:v>trunk:FC1:V1:fan:1</x:v>
      </x:c>
      <x:c r="B211" s="8" t="n">
        <x:v>10</x:v>
      </x:c>
      <x:c r="C211" s="11" t="n">
        <x:v>44.175</x:v>
      </x:c>
      <x:c r="D211" s="11" t="n">
        <x:v>6.588</x:v>
      </x:c>
      <x:c r="E211" s="11" t="n">
        <x:v>13.24</x:v>
      </x:c>
      <x:c r="F211" s="11" t="n">
        <x:f>SQRT((C211-C210)^2+(D211-D210)^2+(E211-E210)^2)</x:f>
        <x:v>5.88</x:v>
      </x:c>
      <x:c r="G211" s="8" t="str">
        <x:v>Current</x:v>
      </x:c>
    </x:row>
    <x:row r="212" ht="32" customHeight="1">
      <x:c r="A212" s="8" t="str">
        <x:v>trunk:FC1:V1:fan:1</x:v>
      </x:c>
      <x:c r="B212" s="8" t="n">
        <x:v>11</x:v>
      </x:c>
      <x:c r="C212" s="11" t="n">
        <x:v>36.975</x:v>
      </x:c>
      <x:c r="D212" s="11" t="n">
        <x:v>6.588</x:v>
      </x:c>
      <x:c r="E212" s="11" t="n">
        <x:v>13.24</x:v>
      </x:c>
      <x:c r="F212" s="11" t="n">
        <x:f>SQRT((C212-C211)^2+(D212-D211)^2+(E212-E211)^2)</x:f>
        <x:v>7.199999999999996</x:v>
      </x:c>
      <x:c r="G212" s="8" t="str">
        <x:v>Current</x:v>
      </x:c>
    </x:row>
    <x:row r="213" ht="32" customHeight="1">
      <x:c r="A213" s="8" t="str">
        <x:v>trunk:FC1:V1:fan:1</x:v>
      </x:c>
      <x:c r="B213" s="8" t="n">
        <x:v>12</x:v>
      </x:c>
      <x:c r="C213" s="11" t="n">
        <x:v>36.975</x:v>
      </x:c>
      <x:c r="D213" s="11" t="n">
        <x:v>6.588</x:v>
      </x:c>
      <x:c r="E213" s="11" t="n">
        <x:v>7.36</x:v>
      </x:c>
      <x:c r="F213" s="11" t="n">
        <x:f>SQRT((C213-C212)^2+(D213-D212)^2+(E213-E212)^2)</x:f>
        <x:v>5.88</x:v>
      </x:c>
      <x:c r="G213" s="8" t="str">
        <x:v>Current</x:v>
      </x:c>
    </x:row>
    <x:row r="214" ht="32" customHeight="1">
      <x:c r="A214" s="8" t="str">
        <x:v>trunk:FC1:V1:fan:1</x:v>
      </x:c>
      <x:c r="B214" s="8" t="n">
        <x:v>13</x:v>
      </x:c>
      <x:c r="C214" s="11" t="n">
        <x:v>5.48</x:v>
      </x:c>
      <x:c r="D214" s="11" t="n">
        <x:v>6.588</x:v>
      </x:c>
      <x:c r="E214" s="11" t="n">
        <x:v>7.36</x:v>
      </x:c>
      <x:c r="F214" s="11" t="n">
        <x:f>SQRT((C214-C213)^2+(D214-D213)^2+(E214-E213)^2)</x:f>
        <x:v>31.495</x:v>
      </x:c>
      <x:c r="G214" s="8" t="str">
        <x:v>Current</x:v>
      </x:c>
    </x:row>
    <x:row r="215" ht="32" customHeight="1">
      <x:c r="A215" s="8" t="str">
        <x:v>drop:FC1:V1:fan:1:F254</x:v>
      </x:c>
      <x:c r="B215" s="8" t="n">
        <x:v>1</x:v>
      </x:c>
      <x:c r="C215" s="11" t="n">
        <x:v>5.48</x:v>
      </x:c>
      <x:c r="D215" s="11" t="n">
        <x:v>6.588</x:v>
      </x:c>
      <x:c r="E215" s="11" t="n">
        <x:v>7.36</x:v>
      </x:c>
      <x:c r="F215" s="11" t="n">
        <x:f>0</x:f>
        <x:v>0</x:v>
      </x:c>
      <x:c r="G215" s="8" t="str">
        <x:v>Current</x:v>
      </x:c>
    </x:row>
    <x:row r="216" ht="32" customHeight="1">
      <x:c r="A216" s="8" t="str">
        <x:v>drop:FC1:V1:fan:1:F254</x:v>
      </x:c>
      <x:c r="B216" s="8" t="n">
        <x:v>2</x:v>
      </x:c>
      <x:c r="C216" s="11" t="n">
        <x:v>5.475</x:v>
      </x:c>
      <x:c r="D216" s="11" t="n">
        <x:v>6.588</x:v>
      </x:c>
      <x:c r="E216" s="11" t="n">
        <x:v>7.36</x:v>
      </x:c>
      <x:c r="F216" s="11" t="n">
        <x:f>SQRT((C216-C215)^2+(D216-D215)^2+(E216-E215)^2)</x:f>
        <x:v>0.005000000000000782</x:v>
      </x:c>
      <x:c r="G216" s="8" t="str">
        <x:v>Current</x:v>
      </x:c>
    </x:row>
    <x:row r="217" ht="32" customHeight="1">
      <x:c r="A217" s="8" t="str">
        <x:v>drop:FC1:V1:fan:1:F254</x:v>
      </x:c>
      <x:c r="B217" s="8" t="n">
        <x:v>3</x:v>
      </x:c>
      <x:c r="C217" s="11" t="n">
        <x:v>5.475</x:v>
      </x:c>
      <x:c r="D217" s="11" t="n">
        <x:v>6.588</x:v>
      </x:c>
      <x:c r="E217" s="11" t="n">
        <x:v>0.8</x:v>
      </x:c>
      <x:c r="F217" s="11" t="n">
        <x:f>SQRT((C217-C216)^2+(D217-D216)^2+(E217-E216)^2)</x:f>
        <x:v>6.5600000000000005</x:v>
      </x:c>
      <x:c r="G217" s="8" t="str">
        <x:v>Current</x:v>
      </x:c>
    </x:row>
    <x:row r="218" ht="32" customHeight="1">
      <x:c r="A218" s="8" t="str">
        <x:v>drop:FC1:V1:fan:1:F254</x:v>
      </x:c>
      <x:c r="B218" s="8" t="n">
        <x:v>4</x:v>
      </x:c>
      <x:c r="C218" s="11" t="n">
        <x:v>5.475</x:v>
      </x:c>
      <x:c r="D218" s="11" t="n">
        <x:v>9.4</x:v>
      </x:c>
      <x:c r="E218" s="11" t="n">
        <x:v>0.8</x:v>
      </x:c>
      <x:c r="F218" s="11" t="n">
        <x:f>SQRT((C218-C217)^2+(D218-D217)^2+(E218-E217)^2)</x:f>
        <x:v>2.8120000000000003</x:v>
      </x:c>
      <x:c r="G218" s="8" t="str">
        <x:v>Current</x:v>
      </x:c>
    </x:row>
    <x:row r="219" ht="32" customHeight="1">
      <x:c r="A219" s="8" t="str">
        <x:v>drop:FC1:V1:fan:1:F254</x:v>
      </x:c>
      <x:c r="B219" s="8" t="n">
        <x:v>5</x:v>
      </x:c>
      <x:c r="C219" s="11" t="n">
        <x:v>5.48</x:v>
      </x:c>
      <x:c r="D219" s="11" t="n">
        <x:v>9.4</x:v>
      </x:c>
      <x:c r="E219" s="11" t="n">
        <x:v>0.8</x:v>
      </x:c>
      <x:c r="F219" s="11" t="n">
        <x:f>SQRT((C219-C218)^2+(D219-D218)^2+(E219-E218)^2)</x:f>
        <x:v>0.005000000000000782</x:v>
      </x:c>
      <x:c r="G219" s="8" t="str">
        <x:v>Current</x:v>
      </x:c>
    </x:row>
    <x:row r="220" ht="32" customHeight="1">
      <x:c r="A220" s="8" t="str">
        <x:v>drop:FC1:V1:fan:1:F255</x:v>
      </x:c>
      <x:c r="B220" s="8" t="n">
        <x:v>1</x:v>
      </x:c>
      <x:c r="C220" s="11" t="n">
        <x:v>5.48</x:v>
      </x:c>
      <x:c r="D220" s="11" t="n">
        <x:v>6.588</x:v>
      </x:c>
      <x:c r="E220" s="11" t="n">
        <x:v>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drop:FC1:V1:fan:1:F255</x:v>
      </x:c>
      <x:c r="B221" s="8" t="n">
        <x:v>2</x:v>
      </x:c>
      <x:c r="C221" s="11" t="n">
        <x:v>5.475</x:v>
      </x:c>
      <x:c r="D221" s="11" t="n">
        <x:v>6.588</x:v>
      </x:c>
      <x:c r="E221" s="11" t="n">
        <x:v>7.36</x:v>
      </x:c>
      <x:c r="F221" s="11" t="n">
        <x:f>SQRT((C221-C220)^2+(D221-D220)^2+(E221-E220)^2)</x:f>
        <x:v>0.005000000000000782</x:v>
      </x:c>
      <x:c r="G221" s="8" t="str">
        <x:v>Current</x:v>
      </x:c>
    </x:row>
    <x:row r="222" ht="32" customHeight="1">
      <x:c r="A222" s="8" t="str">
        <x:v>drop:FC1:V1:fan:1:F255</x:v>
      </x:c>
      <x:c r="B222" s="8" t="n">
        <x:v>3</x:v>
      </x:c>
      <x:c r="C222" s="11" t="n">
        <x:v>5.475</x:v>
      </x:c>
      <x:c r="D222" s="11" t="n">
        <x:v>6.588</x:v>
      </x:c>
      <x:c r="E222" s="11" t="n">
        <x:v>2.4</x:v>
      </x:c>
      <x:c r="F222" s="11" t="n">
        <x:f>SQRT((C222-C221)^2+(D222-D221)^2+(E222-E221)^2)</x:f>
        <x:v>4.960000000000001</x:v>
      </x:c>
      <x:c r="G222" s="8" t="str">
        <x:v>Current</x:v>
      </x:c>
    </x:row>
    <x:row r="223" ht="32" customHeight="1">
      <x:c r="A223" s="8" t="str">
        <x:v>drop:FC1:V1:fan:1:F255</x:v>
      </x:c>
      <x:c r="B223" s="8" t="n">
        <x:v>4</x:v>
      </x:c>
      <x:c r="C223" s="11" t="n">
        <x:v>5.475</x:v>
      </x:c>
      <x:c r="D223" s="11" t="n">
        <x:v>9.4</x:v>
      </x:c>
      <x:c r="E223" s="11" t="n">
        <x:v>2.4</x:v>
      </x:c>
      <x:c r="F223" s="11" t="n">
        <x:f>SQRT((C223-C222)^2+(D223-D222)^2+(E223-E222)^2)</x:f>
        <x:v>2.8120000000000003</x:v>
      </x:c>
      <x:c r="G223" s="8" t="str">
        <x:v>Current</x:v>
      </x:c>
    </x:row>
    <x:row r="224" ht="32" customHeight="1">
      <x:c r="A224" s="8" t="str">
        <x:v>drop:FC1:V1:fan:1:F255</x:v>
      </x:c>
      <x:c r="B224" s="8" t="n">
        <x:v>5</x:v>
      </x:c>
      <x:c r="C224" s="11" t="n">
        <x:v>5.48</x:v>
      </x:c>
      <x:c r="D224" s="11" t="n">
        <x:v>9.4</x:v>
      </x:c>
      <x:c r="E224" s="11" t="n">
        <x:v>2.4</x:v>
      </x:c>
      <x:c r="F224" s="11" t="n">
        <x:f>SQRT((C224-C223)^2+(D224-D223)^2+(E224-E223)^2)</x:f>
        <x:v>0.005000000000000782</x:v>
      </x:c>
      <x:c r="G224" s="8" t="str">
        <x:v>Current</x:v>
      </x:c>
    </x:row>
    <x:row r="225" ht="32" customHeight="1">
      <x:c r="A225" s="8" t="str">
        <x:v>drop:FC1:V1:fan:1:F258</x:v>
      </x:c>
      <x:c r="B225" s="8" t="n">
        <x:v>1</x:v>
      </x:c>
      <x:c r="C225" s="11" t="n">
        <x:v>39.7</x:v>
      </x:c>
      <x:c r="D225" s="11" t="n">
        <x:v>6.588</x:v>
      </x:c>
      <x:c r="E225" s="11" t="n">
        <x:v>13.24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drop:FC1:V1:fan:1:F258</x:v>
      </x:c>
      <x:c r="B226" s="8" t="n">
        <x:v>2</x:v>
      </x:c>
      <x:c r="C226" s="11" t="n">
        <x:v>39.7</x:v>
      </x:c>
      <x:c r="D226" s="11" t="n">
        <x:v>7.6</x:v>
      </x:c>
      <x:c r="E226" s="11" t="n">
        <x:v>13.24</x:v>
      </x:c>
      <x:c r="F226" s="11" t="n">
        <x:f>SQRT((C226-C225)^2+(D226-D225)^2+(E226-E225)^2)</x:f>
        <x:v>1.0119999999999996</x:v>
      </x:c>
      <x:c r="G226" s="8" t="str">
        <x:v>Current</x:v>
      </x:c>
    </x:row>
    <x:row r="227" ht="32" customHeight="1">
      <x:c r="A227" s="8" t="str">
        <x:v>drop:FC1:V1:fan:1:F258</x:v>
      </x:c>
      <x:c r="B227" s="8" t="n">
        <x:v>3</x:v>
      </x:c>
      <x:c r="C227" s="11" t="n">
        <x:v>39.7</x:v>
      </x:c>
      <x:c r="D227" s="11" t="n">
        <x:v>7.6</x:v>
      </x:c>
      <x:c r="E227" s="11" t="n">
        <x:v>13.13</x:v>
      </x:c>
      <x:c r="F227" s="11" t="n">
        <x:f>SQRT((C227-C226)^2+(D227-D226)^2+(E227-E226)^2)</x:f>
        <x:v>0.10999999999999943</x:v>
      </x:c>
      <x:c r="G227" s="8" t="str">
        <x:v>Current</x:v>
      </x:c>
    </x:row>
    <x:row r="228" ht="32" customHeight="1">
      <x:c r="A228" s="8" t="str">
        <x:v>drop:FC1:V1:fan:1:F259</x:v>
      </x:c>
      <x:c r="B228" s="8" t="n">
        <x:v>1</x:v>
      </x:c>
      <x:c r="C228" s="11" t="n">
        <x:v>41.45</x:v>
      </x:c>
      <x:c r="D228" s="11" t="n">
        <x:v>6.588</x:v>
      </x:c>
      <x:c r="E228" s="11" t="n">
        <x:v>13.24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drop:FC1:V1:fan:1:F259</x:v>
      </x:c>
      <x:c r="B229" s="8" t="n">
        <x:v>2</x:v>
      </x:c>
      <x:c r="C229" s="11" t="n">
        <x:v>41.45</x:v>
      </x:c>
      <x:c r="D229" s="11" t="n">
        <x:v>7.6</x:v>
      </x:c>
      <x:c r="E229" s="11" t="n">
        <x:v>13.24</x:v>
      </x:c>
      <x:c r="F229" s="11" t="n">
        <x:f>SQRT((C229-C228)^2+(D229-D228)^2+(E229-E228)^2)</x:f>
        <x:v>1.0119999999999996</x:v>
      </x:c>
      <x:c r="G229" s="8" t="str">
        <x:v>Current</x:v>
      </x:c>
    </x:row>
    <x:row r="230" ht="32" customHeight="1">
      <x:c r="A230" s="8" t="str">
        <x:v>drop:FC1:V1:fan:1:F259</x:v>
      </x:c>
      <x:c r="B230" s="8" t="n">
        <x:v>3</x:v>
      </x:c>
      <x:c r="C230" s="11" t="n">
        <x:v>41.45</x:v>
      </x:c>
      <x:c r="D230" s="11" t="n">
        <x:v>7.6</x:v>
      </x:c>
      <x:c r="E230" s="11" t="n">
        <x:v>13.13</x:v>
      </x:c>
      <x:c r="F230" s="11" t="n">
        <x:f>SQRT((C230-C229)^2+(D230-D229)^2+(E230-E229)^2)</x:f>
        <x:v>0.10999999999999943</x:v>
      </x:c>
      <x:c r="G230" s="8" t="str">
        <x:v>Current</x:v>
      </x:c>
    </x:row>
  </x:sheetData>
  <x:conditionalFormatting sqref="G7:G23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f401a13229a4d76"/>
  </x:tableParts>
</x:worksheet>
</file>