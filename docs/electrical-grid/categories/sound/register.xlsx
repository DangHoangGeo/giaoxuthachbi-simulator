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341f78905046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1e7a90caf97d4fbd"/>
    <x:sheet xmlns:r="http://schemas.openxmlformats.org/officeDocument/2006/relationships" name="Equipment" sheetId="2" r:id="R7f75580b38b74a99"/>
    <x:sheet xmlns:r="http://schemas.openxmlformats.org/officeDocument/2006/relationships" name="Electrical Lines" sheetId="3" r:id="R7b0f6e45dbc548c4"/>
    <x:sheet xmlns:r="http://schemas.openxmlformats.org/officeDocument/2006/relationships" name="Route Points" sheetId="4" r:id="R360d1db5fcc34e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6af306bc9f4e7b" /><Relationship Type="http://schemas.openxmlformats.org/officeDocument/2006/relationships/theme" Target="/xl/theme/theme1.xml" Id="R5c22595ae92b4948" /><Relationship Type="http://schemas.openxmlformats.org/officeDocument/2006/relationships/sharedStrings" Target="/xl/sharedStrings.xml" Id="R2d352cf52f1e4333" /><Relationship Type="http://schemas.openxmlformats.org/officeDocument/2006/relationships/worksheet" Target="/xl/worksheets/sheet1.xml" Id="R1e7a90caf97d4fbd" /><Relationship Type="http://schemas.openxmlformats.org/officeDocument/2006/relationships/worksheet" Target="/xl/worksheets/sheet2.xml" Id="R7f75580b38b74a99" /><Relationship Type="http://schemas.openxmlformats.org/officeDocument/2006/relationships/worksheet" Target="/xl/worksheets/sheet3.xml" Id="R7b0f6e45dbc548c4" /><Relationship Type="http://schemas.openxmlformats.org/officeDocument/2006/relationships/worksheet" Target="/xl/worksheets/sheet4.xml" Id="R360d1db5fcc34e27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f2ac0d743df402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29e94e156574d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09ce3e35dc749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2026-10-24T00:39:01.684Z.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146da28a773b5232adb7a991941b4c52312ffa1c721c3656a3930b7eeac1bb23</x:v>
      </x:c>
    </x:row>
    <x:row r="15" ht="44" customHeight="1">
      <x:c r="A15" s="20" t="str">
        <x:v>Source systems SHA-256</x:v>
      </x:c>
      <x:c r="B15" s="16" t="str">
        <x:v>c2461516b6454aa96dec6678dad1bc8b977620d5c08160037ef8b86f7f230532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76.1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{"dim":1,"level":-6,"delayMs":76.1}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22.7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{"dim":1,"level":-6,"delayMs":22.7}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95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f2ac0d743df402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3.6290707536989677</x:v>
      </x:c>
      <x:c r="J44" s="11" t="n">
        <x:v>11.915</x:v>
      </x:c>
      <x:c r="K44" s="11" t="n">
        <x:f>IF(L44="Full home run",I44+J44,"")</x:f>
        <x:v>15.544070753698968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2.8499999999999996</x:v>
      </x:c>
      <x:c r="J46" s="11" t="n">
        <x:v>5.744999999999996</x:v>
      </x:c>
      <x:c r="K46" s="11" t="n">
        <x:f>IF(L46="Full home run",I46+J46,"")</x:f>
        <x:v>8.594999999999995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9e94e156574de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1.86</x:v>
      </x:c>
      <x:c r="E302" s="11" t="n">
        <x:v>-2.62</x:v>
      </x:c>
      <x:c r="F302" s="11" t="n">
        <x:f>SQRT((C302-C301)^2+(D302-D301)^2+(E302-E301)^2)</x:f>
        <x:v>1.83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1.8154037921880923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1.95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1.93</x:v>
      </x:c>
      <x:c r="E310" s="11" t="n">
        <x:v>0.45</x:v>
      </x:c>
      <x:c r="F310" s="11" t="n">
        <x:f>SQRT((C310-C309)^2+(D310-D309)^2+(E310-E309)^2)</x:f>
        <x:v>1.9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09ce3e35dc749da"/>
  </x:tableParts>
</x:worksheet>
</file>