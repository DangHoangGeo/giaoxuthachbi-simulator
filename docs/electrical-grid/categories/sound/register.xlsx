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208d739d8a4e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8ca77b7ece9e4288"/>
    <x:sheet xmlns:r="http://schemas.openxmlformats.org/officeDocument/2006/relationships" name="Equipment" sheetId="2" r:id="R4d396dd1422542fb"/>
    <x:sheet xmlns:r="http://schemas.openxmlformats.org/officeDocument/2006/relationships" name="Electrical Lines" sheetId="3" r:id="R5b32db900cfd47a9"/>
    <x:sheet xmlns:r="http://schemas.openxmlformats.org/officeDocument/2006/relationships" name="Route Points" sheetId="4" r:id="R777af6f49b904a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4c7f721b934fbc" /><Relationship Type="http://schemas.openxmlformats.org/officeDocument/2006/relationships/theme" Target="/xl/theme/theme1.xml" Id="R2d1cf9dc29e6409d" /><Relationship Type="http://schemas.openxmlformats.org/officeDocument/2006/relationships/sharedStrings" Target="/xl/sharedStrings.xml" Id="R7452edea7ebf4bcd" /><Relationship Type="http://schemas.openxmlformats.org/officeDocument/2006/relationships/worksheet" Target="/xl/worksheets/sheet1.xml" Id="R8ca77b7ece9e4288" /><Relationship Type="http://schemas.openxmlformats.org/officeDocument/2006/relationships/worksheet" Target="/xl/worksheets/sheet2.xml" Id="R4d396dd1422542fb" /><Relationship Type="http://schemas.openxmlformats.org/officeDocument/2006/relationships/worksheet" Target="/xl/worksheets/sheet3.xml" Id="R5b32db900cfd47a9" /><Relationship Type="http://schemas.openxmlformats.org/officeDocument/2006/relationships/worksheet" Target="/xl/worksheets/sheet4.xml" Id="R777af6f49b904ac6" /></Relationships>
</file>

<file path=xl/tables/table1.xml><?xml version="1.0" encoding="utf-8"?>
<x:table xmlns:x="http://schemas.openxmlformats.org/spreadsheetml/2006/main" id="1" name="EquipmentRegister" displayName="EquipmentRegister" ref="A6:AC38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48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16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52f64f07cc46f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7aaefe0044b4d8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a1a381c72f1496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Sound: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Sound. Loudspeakers, microphones, indoor speech and outdoor overflow. Model snapshot: 2026-10-24T18:07:55.978Z.</x:v>
      </x:c>
    </x:row>
    <x:row r="5" ht="34" customHeight="1">
      <x:c r="A5" s="20" t="str">
        <x:v>Current equipment</x:v>
      </x:c>
      <x:c r="B5" s="16" t="n">
        <x:f>COUNTIFS(Equipment!$AA$7:$AA$38,"Current")</x:f>
        <x:v>30</x:v>
      </x:c>
    </x:row>
    <x:row r="6" ht="34" customHeight="1">
      <x:c r="A6" s="20" t="str">
        <x:v>Current routes</x:v>
      </x:c>
      <x:c r="B6" s="16" t="n">
        <x:f>COUNTIFS('Electrical Lines'!$Y$7:$Y$48,"Current")</x:f>
        <x:v>40</x:v>
      </x:c>
    </x:row>
    <x:row r="7" ht="34" customHeight="1">
      <x:c r="A7" s="20" t="str">
        <x:v>Retired equipment / routes</x:v>
      </x:c>
      <x:c r="B7" s="16" t="n">
        <x:f>COUNTIFS(Equipment!$AA$7:$AA$38,"Retired")+COUNTIFS('Electrical Lines'!$Y$7:$Y$48,"Retired")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5385d4f4cf361a2e56db9b88d4a9952e6d93bf5f83f0834cb083bcdd6684e517</x:v>
      </x:c>
    </x:row>
    <x:row r="15" ht="44" customHeight="1">
      <x:c r="A15" s="20" t="str">
        <x:v>Source systems SHA-256</x:v>
      </x:c>
      <x:c r="B15" s="16" t="str">
        <x:v>d50c68edff009ac84589ad37b15985dac299e304fb4daa2752ebe808d92740fd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Loudspeakers, microphones, indoor speech and outdoor overflow.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Sound: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S261</x:v>
      </x:c>
      <x:c r="B7" s="8" t="str">
        <x:v>Wall speaker · axis 4 · B</x:v>
      </x:c>
      <x:c r="C7" s="8" t="str">
        <x:v>speaker</x:v>
      </x:c>
      <x:c r="D7" s="8" t="str">
        <x:v>DB1</x:v>
      </x:c>
      <x:c r="E7" s="8" t="str">
        <x:v>A1</x:v>
      </x:c>
      <x:c r="F7" s="11" t="n">
        <x:v>14.045</x:v>
      </x:c>
      <x:c r="G7" s="11" t="n">
        <x:v>3.45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146 × 600 × 60</x:v>
      </x:c>
      <x:c r="M7" s="8" t="str">
        <x:v>60 W audio rating · Passive / amplifier output · 87 ms delay. Passive speaker; audio rating is not mains demand</x:v>
      </x:c>
      <x:c r="N7" s="11" t="n">
        <x:v>20</x:v>
      </x:c>
      <x:c r="O7" s="11" t="n">
        <x:v>140</x:v>
      </x:c>
      <x:c r="P7" s="11" t="n">
        <x:v>-22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drop:AV1:A1:audio:-1:S261</x:v>
      </x:c>
      <x:c r="AC7" s="8" t="str">
        <x:v>{"dim":1,"level":-6,"delayMs":87}</x:v>
      </x:c>
    </x:row>
    <x:row r="8" ht="96" customHeight="1">
      <x:c r="A8" s="8" t="str">
        <x:v>S262</x:v>
      </x:c>
      <x:c r="B8" s="8" t="str">
        <x:v>Wall speaker · axis 4 · H</x:v>
      </x:c>
      <x:c r="C8" s="8" t="str">
        <x:v>speaker</x:v>
      </x:c>
      <x:c r="D8" s="8" t="str">
        <x:v>DB1</x:v>
      </x:c>
      <x:c r="E8" s="8" t="str">
        <x:v>A1</x:v>
      </x:c>
      <x:c r="F8" s="11" t="n">
        <x:v>14.045</x:v>
      </x:c>
      <x:c r="G8" s="11" t="n">
        <x:v>3.45</x:v>
      </x:c>
      <x:c r="H8" s="11" t="n">
        <x:v>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146 × 600 × 60</x:v>
      </x:c>
      <x:c r="M8" s="8" t="str">
        <x:v>60 W audio rating · Passive / amplifier output · 88.7 ms delay. Passive speaker; audio rating is not mains demand</x:v>
      </x:c>
      <x:c r="N8" s="11" t="n">
        <x:v>20</x:v>
      </x:c>
      <x:c r="O8" s="11" t="n">
        <x:v>-140</x:v>
      </x:c>
      <x:c r="P8" s="11" t="n">
        <x:v>-22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drop:AV1:A1:audio:1:S262</x:v>
      </x:c>
      <x:c r="AC8" s="8" t="str">
        <x:v>{"dim":1,"level":-6,"delayMs":88.7}</x:v>
      </x:c>
    </x:row>
    <x:row r="9" ht="96" customHeight="1">
      <x:c r="A9" s="8" t="str">
        <x:v>S263</x:v>
      </x:c>
      <x:c r="B9" s="8" t="str">
        <x:v>Wall speaker · axis 5 · B</x:v>
      </x:c>
      <x:c r="C9" s="8" t="str">
        <x:v>speaker</x:v>
      </x:c>
      <x:c r="D9" s="8" t="str">
        <x:v>DB1</x:v>
      </x:c>
      <x:c r="E9" s="8" t="str">
        <x:v>A1</x:v>
      </x:c>
      <x:c r="F9" s="11" t="n">
        <x:v>18.545</x:v>
      </x:c>
      <x:c r="G9" s="11" t="n">
        <x:v>3.45</x:v>
      </x:c>
      <x:c r="H9" s="11" t="n">
        <x:v>-7.25</x:v>
      </x:c>
      <x:c r="I9" s="8" t="str">
        <x:v>wall</x:v>
      </x:c>
      <x:c r="J9" s="8" t="str">
        <x:v>Shown</x:v>
      </x:c>
      <x:c r="K9" s="8" t="str">
        <x:v>On</x:v>
      </x:c>
      <x:c r="L9" s="8" t="str">
        <x:v>146 × 600 × 60</x:v>
      </x:c>
      <x:c r="M9" s="8" t="str">
        <x:v>60 W audio rating · Passive / amplifier output · 74.1 ms delay. Passive speaker; audio rating is not mains demand</x:v>
      </x:c>
      <x:c r="N9" s="11" t="n">
        <x:v>20</x:v>
      </x:c>
      <x:c r="O9" s="11" t="n">
        <x:v>140</x:v>
      </x:c>
      <x:c r="P9" s="11" t="n">
        <x:v>-22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drop:AV1:A1:audio:-1:S263</x:v>
      </x:c>
      <x:c r="AC9" s="8" t="str">
        <x:v>{"dim":1,"level":-6,"delayMs":74.1}</x:v>
      </x:c>
    </x:row>
    <x:row r="10" ht="96" customHeight="1">
      <x:c r="A10" s="8" t="str">
        <x:v>S264</x:v>
      </x:c>
      <x:c r="B10" s="8" t="str">
        <x:v>Wall speaker · axis 5 · H</x:v>
      </x:c>
      <x:c r="C10" s="8" t="str">
        <x:v>speaker</x:v>
      </x:c>
      <x:c r="D10" s="8" t="str">
        <x:v>DB1</x:v>
      </x:c>
      <x:c r="E10" s="8" t="str">
        <x:v>A1</x:v>
      </x:c>
      <x:c r="F10" s="11" t="n">
        <x:v>18.545</x:v>
      </x:c>
      <x:c r="G10" s="11" t="n">
        <x:v>3.45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146 × 600 × 60</x:v>
      </x:c>
      <x:c r="M10" s="8" t="str">
        <x:v>60 W audio rating · Passive / amplifier output · 76.1 ms delay. Passive speaker; audio rating is not mains demand</x:v>
      </x:c>
      <x:c r="N10" s="11" t="n">
        <x:v>20</x:v>
      </x:c>
      <x:c r="O10" s="11" t="n">
        <x:v>-140</x:v>
      </x:c>
      <x:c r="P10" s="11" t="n">
        <x:v>-22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drop:AV1:A1:audio:1:S264</x:v>
      </x:c>
      <x:c r="AC10" s="8" t="str">
        <x:v>{"dim":1,"level":-6,"delayMs":76.1}</x:v>
      </x:c>
    </x:row>
    <x:row r="11" ht="96" customHeight="1">
      <x:c r="A11" s="8" t="str">
        <x:v>S265</x:v>
      </x:c>
      <x:c r="B11" s="8" t="str">
        <x:v>Wall speaker · axis 6 · B</x:v>
      </x:c>
      <x:c r="C11" s="8" t="str">
        <x:v>speaker</x:v>
      </x:c>
      <x:c r="D11" s="8" t="str">
        <x:v>DB1</x:v>
      </x:c>
      <x:c r="E11" s="8" t="str">
        <x:v>A1</x:v>
      </x:c>
      <x:c r="F11" s="11" t="n">
        <x:v>23.045</x:v>
      </x:c>
      <x:c r="G11" s="11" t="n">
        <x:v>3.45</x:v>
      </x:c>
      <x:c r="H11" s="11" t="n">
        <x:v>-7.25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146 × 600 × 60</x:v>
      </x:c>
      <x:c r="M11" s="8" t="str">
        <x:v>60 W audio rating · Passive / amplifier output · 61.2 ms delay. Passive speaker; audio rating is not mains demand</x:v>
      </x:c>
      <x:c r="N11" s="11" t="n">
        <x:v>20</x:v>
      </x:c>
      <x:c r="O11" s="11" t="n">
        <x:v>140</x:v>
      </x:c>
      <x:c r="P11" s="11" t="n">
        <x:v>-22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drop:AV1:A1:audio:-1:S265</x:v>
      </x:c>
      <x:c r="AC11" s="8" t="str">
        <x:v>{"dim":1,"level":-6,"delayMs":61.2}</x:v>
      </x:c>
    </x:row>
    <x:row r="12" ht="96" customHeight="1">
      <x:c r="A12" s="8" t="str">
        <x:v>S266</x:v>
      </x:c>
      <x:c r="B12" s="8" t="str">
        <x:v>Wall speaker · axis 6 · H</x:v>
      </x:c>
      <x:c r="C12" s="8" t="str">
        <x:v>speaker</x:v>
      </x:c>
      <x:c r="D12" s="8" t="str">
        <x:v>DB1</x:v>
      </x:c>
      <x:c r="E12" s="8" t="str">
        <x:v>A1</x:v>
      </x:c>
      <x:c r="F12" s="11" t="n">
        <x:v>23.045</x:v>
      </x:c>
      <x:c r="G12" s="11" t="n">
        <x:v>3.45</x:v>
      </x:c>
      <x:c r="H12" s="11" t="n">
        <x:v>7.25</x:v>
      </x:c>
      <x:c r="I12" s="8" t="str">
        <x:v>wall</x:v>
      </x:c>
      <x:c r="J12" s="8" t="str">
        <x:v>Shown</x:v>
      </x:c>
      <x:c r="K12" s="8" t="str">
        <x:v>On</x:v>
      </x:c>
      <x:c r="L12" s="8" t="str">
        <x:v>146 × 600 × 60</x:v>
      </x:c>
      <x:c r="M12" s="8" t="str">
        <x:v>60 W audio rating · Passive / amplifier output · 63.5 ms delay. Passive speaker; audio rating is not mains demand</x:v>
      </x:c>
      <x:c r="N12" s="11" t="n">
        <x:v>20</x:v>
      </x:c>
      <x:c r="O12" s="11" t="n">
        <x:v>-140</x:v>
      </x:c>
      <x:c r="P12" s="11" t="n">
        <x:v>-22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drop:AV1:A1:audio:1:S266</x:v>
      </x:c>
      <x:c r="AC12" s="8" t="str">
        <x:v>{"dim":1,"level":-6,"delayMs":63.5}</x:v>
      </x:c>
    </x:row>
    <x:row r="13" ht="96" customHeight="1">
      <x:c r="A13" s="8" t="str">
        <x:v>S267</x:v>
      </x:c>
      <x:c r="B13" s="8" t="str">
        <x:v>Wall speaker · axis 7 · B</x:v>
      </x:c>
      <x:c r="C13" s="8" t="str">
        <x:v>speaker</x:v>
      </x:c>
      <x:c r="D13" s="8" t="str">
        <x:v>DB1</x:v>
      </x:c>
      <x:c r="E13" s="8" t="str">
        <x:v>A1</x:v>
      </x:c>
      <x:c r="F13" s="11" t="n">
        <x:v>27.545</x:v>
      </x:c>
      <x:c r="G13" s="11" t="n">
        <x:v>3.45</x:v>
      </x:c>
      <x:c r="H13" s="11" t="n">
        <x:v>-7.25</x:v>
      </x:c>
      <x:c r="I13" s="8" t="str">
        <x:v>wall</x:v>
      </x:c>
      <x:c r="J13" s="8" t="str">
        <x:v>Shown</x:v>
      </x:c>
      <x:c r="K13" s="8" t="str">
        <x:v>On</x:v>
      </x:c>
      <x:c r="L13" s="8" t="str">
        <x:v>146 × 600 × 60</x:v>
      </x:c>
      <x:c r="M13" s="8" t="str">
        <x:v>60 W audio rating · Passive / amplifier output · 48.3 ms delay. Passive speaker; audio rating is not mains demand</x:v>
      </x:c>
      <x:c r="N13" s="11" t="n">
        <x:v>20</x:v>
      </x:c>
      <x:c r="O13" s="11" t="n">
        <x:v>140</x:v>
      </x:c>
      <x:c r="P13" s="11" t="n">
        <x:v>-22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drop:AV1:A1:audio:-1:S267</x:v>
      </x:c>
      <x:c r="AC13" s="8" t="str">
        <x:v>{"dim":1,"level":-6,"delayMs":48.3}</x:v>
      </x:c>
    </x:row>
    <x:row r="14" ht="96" customHeight="1">
      <x:c r="A14" s="8" t="str">
        <x:v>S268</x:v>
      </x:c>
      <x:c r="B14" s="8" t="str">
        <x:v>Wall speaker · axis 7 · H</x:v>
      </x:c>
      <x:c r="C14" s="8" t="str">
        <x:v>speaker</x:v>
      </x:c>
      <x:c r="D14" s="8" t="str">
        <x:v>DB1</x:v>
      </x:c>
      <x:c r="E14" s="8" t="str">
        <x:v>A1</x:v>
      </x:c>
      <x:c r="F14" s="11" t="n">
        <x:v>27.545</x:v>
      </x:c>
      <x:c r="G14" s="11" t="n">
        <x:v>3.45</x:v>
      </x:c>
      <x:c r="H14" s="11" t="n">
        <x:v>7.25</x:v>
      </x:c>
      <x:c r="I14" s="8" t="str">
        <x:v>wall</x:v>
      </x:c>
      <x:c r="J14" s="8" t="str">
        <x:v>Shown</x:v>
      </x:c>
      <x:c r="K14" s="8" t="str">
        <x:v>On</x:v>
      </x:c>
      <x:c r="L14" s="8" t="str">
        <x:v>146 × 600 × 60</x:v>
      </x:c>
      <x:c r="M14" s="8" t="str">
        <x:v>60 W audio rating · Passive / amplifier output · 51.2 ms delay. Passive speaker; audio rating is not mains demand</x:v>
      </x:c>
      <x:c r="N14" s="11" t="n">
        <x:v>20</x:v>
      </x:c>
      <x:c r="O14" s="11" t="n">
        <x:v>-140</x:v>
      </x:c>
      <x:c r="P14" s="11" t="n">
        <x:v>-22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drop:AV1:A1:audio:1:S268</x:v>
      </x:c>
      <x:c r="AC14" s="8" t="str">
        <x:v>{"dim":1,"level":-6,"delayMs":51.2}</x:v>
      </x:c>
    </x:row>
    <x:row r="15" ht="96" customHeight="1">
      <x:c r="A15" s="8" t="str">
        <x:v>S269</x:v>
      </x:c>
      <x:c r="B15" s="8" t="str">
        <x:v>Wall speaker · axis 8 · B</x:v>
      </x:c>
      <x:c r="C15" s="8" t="str">
        <x:v>speaker</x:v>
      </x:c>
      <x:c r="D15" s="8" t="str">
        <x:v>DB1</x:v>
      </x:c>
      <x:c r="E15" s="8" t="str">
        <x:v>A1</x:v>
      </x:c>
      <x:c r="F15" s="11" t="n">
        <x:v>32.045</x:v>
      </x:c>
      <x:c r="G15" s="11" t="n">
        <x:v>3.45</x:v>
      </x:c>
      <x:c r="H15" s="11" t="n">
        <x:v>-7.25</x:v>
      </x:c>
      <x:c r="I15" s="8" t="str">
        <x:v>wall</x:v>
      </x:c>
      <x:c r="J15" s="8" t="str">
        <x:v>Shown</x:v>
      </x:c>
      <x:c r="K15" s="8" t="str">
        <x:v>On</x:v>
      </x:c>
      <x:c r="L15" s="8" t="str">
        <x:v>146 × 600 × 60</x:v>
      </x:c>
      <x:c r="M15" s="8" t="str">
        <x:v>60 W audio rating · Passive / amplifier output · 35.5 ms delay. Passive speaker; audio rating is not mains demand</x:v>
      </x:c>
      <x:c r="N15" s="11" t="n">
        <x:v>20</x:v>
      </x:c>
      <x:c r="O15" s="11" t="n">
        <x:v>140</x:v>
      </x:c>
      <x:c r="P15" s="11" t="n">
        <x:v>-22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drop:AV1:A1:audio:-1:S269</x:v>
      </x:c>
      <x:c r="AC15" s="8" t="str">
        <x:v>{"dim":1,"level":-6,"delayMs":35.5}</x:v>
      </x:c>
    </x:row>
    <x:row r="16" ht="96" customHeight="1">
      <x:c r="A16" s="8" t="str">
        <x:v>S270</x:v>
      </x:c>
      <x:c r="B16" s="8" t="str">
        <x:v>Wall speaker · axis 8 · H</x:v>
      </x:c>
      <x:c r="C16" s="8" t="str">
        <x:v>speaker</x:v>
      </x:c>
      <x:c r="D16" s="8" t="str">
        <x:v>DB1</x:v>
      </x:c>
      <x:c r="E16" s="8" t="str">
        <x:v>A1</x:v>
      </x:c>
      <x:c r="F16" s="11" t="n">
        <x:v>32.045</x:v>
      </x:c>
      <x:c r="G16" s="11" t="n">
        <x:v>3.45</x:v>
      </x:c>
      <x:c r="H16" s="11" t="n">
        <x:v>7.25</x:v>
      </x:c>
      <x:c r="I16" s="8" t="str">
        <x:v>wall</x:v>
      </x:c>
      <x:c r="J16" s="8" t="str">
        <x:v>Shown</x:v>
      </x:c>
      <x:c r="K16" s="8" t="str">
        <x:v>On</x:v>
      </x:c>
      <x:c r="L16" s="8" t="str">
        <x:v>146 × 600 × 60</x:v>
      </x:c>
      <x:c r="M16" s="8" t="str">
        <x:v>60 W audio rating · Passive / amplifier output · 39.1 ms delay. Passive speaker; audio rating is not mains demand</x:v>
      </x:c>
      <x:c r="N16" s="11" t="n">
        <x:v>20</x:v>
      </x:c>
      <x:c r="O16" s="11" t="n">
        <x:v>-140</x:v>
      </x:c>
      <x:c r="P16" s="11" t="n">
        <x:v>-22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drop:AV1:A1:audio:1:S270</x:v>
      </x:c>
      <x:c r="AC16" s="8" t="str">
        <x:v>{"dim":1,"level":-6,"delayMs":39.1}</x:v>
      </x:c>
    </x:row>
    <x:row r="17" ht="96" customHeight="1">
      <x:c r="A17" s="8" t="str">
        <x:v>S271</x:v>
      </x:c>
      <x:c r="B17" s="8" t="str">
        <x:v>Wall speaker · axis 9 · B</x:v>
      </x:c>
      <x:c r="C17" s="8" t="str">
        <x:v>speaker</x:v>
      </x:c>
      <x:c r="D17" s="8" t="str">
        <x:v>DB1</x:v>
      </x:c>
      <x:c r="E17" s="8" t="str">
        <x:v>A1</x:v>
      </x:c>
      <x:c r="F17" s="11" t="n">
        <x:v>36.545</x:v>
      </x:c>
      <x:c r="G17" s="11" t="n">
        <x:v>3.45</x:v>
      </x:c>
      <x:c r="H17" s="11" t="n">
        <x:v>-7.25</x:v>
      </x:c>
      <x:c r="I17" s="8" t="str">
        <x:v>wall</x:v>
      </x:c>
      <x:c r="J17" s="8" t="str">
        <x:v>Shown</x:v>
      </x:c>
      <x:c r="K17" s="8" t="str">
        <x:v>On</x:v>
      </x:c>
      <x:c r="L17" s="8" t="str">
        <x:v>146 × 600 × 60</x:v>
      </x:c>
      <x:c r="M17" s="8" t="str">
        <x:v>60 W audio rating · Passive / amplifier output · 22.7 ms delay. Passive speaker; audio rating is not mains demand</x:v>
      </x:c>
      <x:c r="N17" s="11" t="n">
        <x:v>20</x:v>
      </x:c>
      <x:c r="O17" s="11" t="n">
        <x:v>140</x:v>
      </x:c>
      <x:c r="P17" s="11" t="n">
        <x:v>-22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drop:AV1:A1:audio:-1:S271</x:v>
      </x:c>
      <x:c r="AC17" s="8" t="str">
        <x:v>{"dim":1,"level":-6,"delayMs":22.7}</x:v>
      </x:c>
    </x:row>
    <x:row r="18" ht="96" customHeight="1">
      <x:c r="A18" s="8" t="str">
        <x:v>S272</x:v>
      </x:c>
      <x:c r="B18" s="8" t="str">
        <x:v>Wall speaker · axis 9 · H</x:v>
      </x:c>
      <x:c r="C18" s="8" t="str">
        <x:v>speaker</x:v>
      </x:c>
      <x:c r="D18" s="8" t="str">
        <x:v>DB1</x:v>
      </x:c>
      <x:c r="E18" s="8" t="str">
        <x:v>A1</x:v>
      </x:c>
      <x:c r="F18" s="11" t="n">
        <x:v>36.545</x:v>
      </x:c>
      <x:c r="G18" s="11" t="n">
        <x:v>3.45</x:v>
      </x:c>
      <x:c r="H18" s="11" t="n">
        <x:v>7.25</x:v>
      </x:c>
      <x:c r="I18" s="8" t="str">
        <x:v>wall</x:v>
      </x:c>
      <x:c r="J18" s="8" t="str">
        <x:v>Shown</x:v>
      </x:c>
      <x:c r="K18" s="8" t="str">
        <x:v>On</x:v>
      </x:c>
      <x:c r="L18" s="8" t="str">
        <x:v>146 × 600 × 60</x:v>
      </x:c>
      <x:c r="M18" s="8" t="str">
        <x:v>60 W audio rating · Passive / amplifier output · 27.8 ms delay. Passive speaker; audio rating is not mains demand</x:v>
      </x:c>
      <x:c r="N18" s="11" t="n">
        <x:v>20</x:v>
      </x:c>
      <x:c r="O18" s="11" t="n">
        <x:v>-140</x:v>
      </x:c>
      <x:c r="P18" s="11" t="n">
        <x:v>-22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drop:AV1:A1:audio:1:S272</x:v>
      </x:c>
      <x:c r="AC18" s="8" t="str">
        <x:v>{"dim":1,"level":-6,"delayMs":27.8}</x:v>
      </x:c>
    </x:row>
    <x:row r="19" ht="96" customHeight="1">
      <x:c r="A19" s="8" t="str">
        <x:v>S273</x:v>
      </x:c>
      <x:c r="B19" s="8" t="str">
        <x:v>Wall speaker · entrance hall · B</x:v>
      </x:c>
      <x:c r="C19" s="8" t="str">
        <x:v>speaker</x:v>
      </x:c>
      <x:c r="D19" s="8" t="str">
        <x:v>DB1</x:v>
      </x:c>
      <x:c r="E19" s="8" t="str">
        <x:v>A5</x:v>
      </x:c>
      <x:c r="F19" s="11" t="n">
        <x:v>2.655</x:v>
      </x:c>
      <x:c r="G19" s="11" t="n">
        <x:v>3.6</x:v>
      </x:c>
      <x:c r="H19" s="11" t="n">
        <x:v>-3.05</x:v>
      </x:c>
      <x:c r="I19" s="8" t="str">
        <x:v>wall</x:v>
      </x:c>
      <x:c r="J19" s="8" t="str">
        <x:v>Shown</x:v>
      </x:c>
      <x:c r="K19" s="8" t="str">
        <x:v>Off</x:v>
      </x:c>
      <x:c r="L19" s="8" t="str">
        <x:v>146 × 600 × 60</x:v>
      </x:c>
      <x:c r="M19" s="8" t="str">
        <x:v>60 W audio rating · Passive / amplifier output · 95 ms delay. Passive speaker; audio rating is not mains demand</x:v>
      </x:c>
      <x:c r="N19" s="11" t="n">
        <x:v>20</x:v>
      </x:c>
      <x:c r="O19" s="11" t="n">
        <x:v>-6.476440087185079</x:v>
      </x:c>
      <x:c r="P19" s="11" t="n">
        <x:v>-26.206172946093037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drop:AV1:A5:audio:-1:S273</x:v>
      </x:c>
      <x:c r="AC19" s="8" t="str">
        <x:v>{"dim":1,"level":-9,"delayMs":95}</x:v>
      </x:c>
    </x:row>
    <x:row r="20" ht="96" customHeight="1">
      <x:c r="A20" s="8" t="str">
        <x:v>S274</x:v>
      </x:c>
      <x:c r="B20" s="8" t="str">
        <x:v>Wall speaker · entrance hall · H</x:v>
      </x:c>
      <x:c r="C20" s="8" t="str">
        <x:v>speaker</x:v>
      </x:c>
      <x:c r="D20" s="8" t="str">
        <x:v>DB1</x:v>
      </x:c>
      <x:c r="E20" s="8" t="str">
        <x:v>A5</x:v>
      </x:c>
      <x:c r="F20" s="11" t="n">
        <x:v>2.655</x:v>
      </x:c>
      <x:c r="G20" s="11" t="n">
        <x:v>3.6</x:v>
      </x:c>
      <x:c r="H20" s="11" t="n">
        <x:v>3.05</x:v>
      </x:c>
      <x:c r="I20" s="8" t="str">
        <x:v>wall</x:v>
      </x:c>
      <x:c r="J20" s="8" t="str">
        <x:v>Shown</x:v>
      </x:c>
      <x:c r="K20" s="8" t="str">
        <x:v>Off</x:v>
      </x:c>
      <x:c r="L20" s="8" t="str">
        <x:v>146 × 600 × 60</x:v>
      </x:c>
      <x:c r="M20" s="8" t="str">
        <x:v>60 W audio rating · Passive / amplifier output · 96.5 ms delay. Passive speaker; audio rating is not mains demand</x:v>
      </x:c>
      <x:c r="N20" s="11" t="n">
        <x:v>20</x:v>
      </x:c>
      <x:c r="O20" s="11" t="n">
        <x:v>6.476440087185079</x:v>
      </x:c>
      <x:c r="P20" s="11" t="n">
        <x:v>-26.206172946093037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drop:AV1:A5:audio:1:S274</x:v>
      </x:c>
      <x:c r="AC20" s="8" t="str">
        <x:v>{"dim":1,"level":-9,"delayMs":96.5}</x:v>
      </x:c>
    </x:row>
    <x:row r="21" ht="96" customHeight="1">
      <x:c r="A21" s="8" t="str">
        <x:v>S276</x:v>
      </x:c>
      <x:c r="B21" s="8" t="str">
        <x:v>Wing speaker · B · toward entrance · held</x:v>
      </x:c>
      <x:c r="C21" s="8" t="str">
        <x:v>speaker</x:v>
      </x:c>
      <x:c r="D21" s="8" t="str">
        <x:v>DB1</x:v>
      </x:c>
      <x:c r="E21" s="8" t="str">
        <x:v>A1</x:v>
      </x:c>
      <x:c r="F21" s="11" t="n">
        <x:v>43.72</x:v>
      </x:c>
      <x:c r="G21" s="11" t="n">
        <x:v>4.85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146 × 600 × 60</x:v>
      </x:c>
      <x:c r="M21" s="8" t="str">
        <x:v>60 W audio rating · Passive / amplifier output · 22.9 ms delay. Passive speaker; audio rating is not mains demand</x:v>
      </x:c>
      <x:c r="N21" s="11" t="n">
        <x:v>20</x:v>
      </x:c>
      <x:c r="O21" s="11" t="n">
        <x:v>180</x:v>
      </x:c>
      <x:c r="P21" s="11" t="n">
        <x:v>-50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drop:AV1:A1:audio:-1:S276</x:v>
      </x:c>
      <x:c r="AC21" s="8" t="str">
        <x:v>{"dim":1,"level":-6,"delayMs":22.9,"anchorY":4.85,"note":"ENGINEERING HOLD: two total wall speakers toward entrance (-X), raised for full fan/return-wall envelope clearance. Speech and feedback still require coordinated validation; product, concealment, fixi"}</x:v>
      </x:c>
    </x:row>
    <x:row r="22" ht="96" customHeight="1">
      <x:c r="A22" s="8" t="str">
        <x:v>S278</x:v>
      </x:c>
      <x:c r="B22" s="8" t="str">
        <x:v>Wing speaker · H · toward entrance · held</x:v>
      </x:c>
      <x:c r="C22" s="8" t="str">
        <x:v>speaker</x:v>
      </x:c>
      <x:c r="D22" s="8" t="str">
        <x:v>DB1</x:v>
      </x:c>
      <x:c r="E22" s="8" t="str">
        <x:v>A1</x:v>
      </x:c>
      <x:c r="F22" s="11" t="n">
        <x:v>43.72</x:v>
      </x:c>
      <x:c r="G22" s="11" t="n">
        <x:v>4.85</x:v>
      </x:c>
      <x:c r="H22" s="11" t="n">
        <x:v>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146 × 600 × 60</x:v>
      </x:c>
      <x:c r="M22" s="8" t="str">
        <x:v>60 W audio rating · Passive / amplifier output · 37.2 ms delay. Passive speaker; audio rating is not mains demand</x:v>
      </x:c>
      <x:c r="N22" s="11" t="n">
        <x:v>20</x:v>
      </x:c>
      <x:c r="O22" s="11" t="n">
        <x:v>180</x:v>
      </x:c>
      <x:c r="P22" s="11" t="n">
        <x:v>-50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drop:AV1:A1:audio:1:S278</x:v>
      </x:c>
      <x:c r="AC22" s="8" t="str">
        <x:v>{"dim":1,"level":-6,"delayMs":37.2,"anchorY":4.85,"note":"ENGINEERING HOLD: two total wall speakers toward entrance (-X), raised for full fan/return-wall envelope clearance. Speech and feedback still require coordinated validation; product, concealment, fixi"}</x:v>
      </x:c>
    </x:row>
    <x:row r="23" ht="96" customHeight="1">
      <x:c r="A23" s="8" t="str">
        <x:v>S279</x:v>
      </x:c>
      <x:c r="B23" s="8" t="str">
        <x:v>Veranda fill · B · 12.2</x:v>
      </x:c>
      <x:c r="C23" s="8" t="str">
        <x:v>speaker</x:v>
      </x:c>
      <x:c r="D23" s="8" t="str">
        <x:v>DB1</x:v>
      </x:c>
      <x:c r="E23" s="8" t="str">
        <x:v>A2</x:v>
      </x:c>
      <x:c r="F23" s="11" t="n">
        <x:v>12.225</x:v>
      </x:c>
      <x:c r="G23" s="11" t="n">
        <x:v>3.9</x:v>
      </x:c>
      <x:c r="H23" s="11" t="n">
        <x:v>-8.85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367 × 257 × 260</x:v>
      </x:c>
      <x:c r="M23" s="8" t="str">
        <x:v>30 W audio rating · Passive / amplifier output · 88.8 ms delay. Passive speaker; audio rating is not mains demand</x:v>
      </x:c>
      <x:c r="N23" s="11" t="n">
        <x:v>10</x:v>
      </x:c>
      <x:c r="O23" s="11" t="n">
        <x:v>0</x:v>
      </x:c>
      <x:c r="P23" s="11" t="n">
        <x:v>-90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drop:AV1:A2:audio:-1:S279</x:v>
      </x:c>
      <x:c r="AC23" s="8" t="str">
        <x:v>{"dim":1,"level":-7,"delayMs":88.8,"anchorY":6.638660220994475}</x:v>
      </x:c>
    </x:row>
    <x:row r="24" ht="96" customHeight="1">
      <x:c r="A24" s="8" t="str">
        <x:v>S280</x:v>
      </x:c>
      <x:c r="B24" s="8" t="str">
        <x:v>Veranda fill · B · 25.7</x:v>
      </x:c>
      <x:c r="C24" s="8" t="str">
        <x:v>speaker</x:v>
      </x:c>
      <x:c r="D24" s="8" t="str">
        <x:v>DB1</x:v>
      </x:c>
      <x:c r="E24" s="8" t="str">
        <x:v>A2</x:v>
      </x:c>
      <x:c r="F24" s="11" t="n">
        <x:v>25.725</x:v>
      </x:c>
      <x:c r="G24" s="11" t="n">
        <x:v>3.9</x:v>
      </x:c>
      <x:c r="H24" s="11" t="n">
        <x:v>-8.85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367 × 257 × 260</x:v>
      </x:c>
      <x:c r="M24" s="8" t="str">
        <x:v>30 W audio rating · Passive / amplifier output · 50.9 ms delay. Passive speaker; audio rating is not mains demand</x:v>
      </x:c>
      <x:c r="N24" s="11" t="n">
        <x:v>10</x:v>
      </x:c>
      <x:c r="O24" s="11" t="n">
        <x:v>0</x:v>
      </x:c>
      <x:c r="P24" s="11" t="n">
        <x:v>-90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drop:AV1:A2:audio:-1:S280</x:v>
      </x:c>
      <x:c r="AC24" s="8" t="str">
        <x:v>{"dim":1,"level":-7,"delayMs":50.9,"anchorY":6.638660220994475}</x:v>
      </x:c>
    </x:row>
    <x:row r="25" ht="96" customHeight="1">
      <x:c r="A25" s="8" t="str">
        <x:v>S281</x:v>
      </x:c>
      <x:c r="B25" s="8" t="str">
        <x:v>Veranda fill · H · 12.2</x:v>
      </x:c>
      <x:c r="C25" s="8" t="str">
        <x:v>speaker</x:v>
      </x:c>
      <x:c r="D25" s="8" t="str">
        <x:v>DB1</x:v>
      </x:c>
      <x:c r="E25" s="8" t="str">
        <x:v>A2</x:v>
      </x:c>
      <x:c r="F25" s="11" t="n">
        <x:v>12.225</x:v>
      </x:c>
      <x:c r="G25" s="11" t="n">
        <x:v>3.9</x:v>
      </x:c>
      <x:c r="H25" s="11" t="n">
        <x:v>8.85</x:v>
      </x:c>
      <x:c r="I25" s="8" t="str">
        <x:v>pendant</x:v>
      </x:c>
      <x:c r="J25" s="8" t="str">
        <x:v>Shown</x:v>
      </x:c>
      <x:c r="K25" s="8" t="str">
        <x:v>On</x:v>
      </x:c>
      <x:c r="L25" s="8" t="str">
        <x:v>367 × 257 × 260</x:v>
      </x:c>
      <x:c r="M25" s="8" t="str">
        <x:v>30 W audio rating · Passive / amplifier output · 92.3 ms delay. Passive speaker; audio rating is not mains demand</x:v>
      </x:c>
      <x:c r="N25" s="11" t="n">
        <x:v>10</x:v>
      </x:c>
      <x:c r="O25" s="11" t="n">
        <x:v>0</x:v>
      </x:c>
      <x:c r="P25" s="11" t="n">
        <x:v>-90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drop:AV1:A2:audio:1:S281</x:v>
      </x:c>
      <x:c r="AC25" s="8" t="str">
        <x:v>{"dim":1,"level":-7,"delayMs":92.3,"anchorY":6.638660220994475}</x:v>
      </x:c>
    </x:row>
    <x:row r="26" ht="96" customHeight="1">
      <x:c r="A26" s="8" t="str">
        <x:v>S282</x:v>
      </x:c>
      <x:c r="B26" s="8" t="str">
        <x:v>Veranda fill · H · 25.7</x:v>
      </x:c>
      <x:c r="C26" s="8" t="str">
        <x:v>speaker</x:v>
      </x:c>
      <x:c r="D26" s="8" t="str">
        <x:v>DB1</x:v>
      </x:c>
      <x:c r="E26" s="8" t="str">
        <x:v>A2</x:v>
      </x:c>
      <x:c r="F26" s="11" t="n">
        <x:v>25.725</x:v>
      </x:c>
      <x:c r="G26" s="11" t="n">
        <x:v>3.9</x:v>
      </x:c>
      <x:c r="H26" s="11" t="n">
        <x:v>8.85</x:v>
      </x:c>
      <x:c r="I26" s="8" t="str">
        <x:v>pendant</x:v>
      </x:c>
      <x:c r="J26" s="8" t="str">
        <x:v>Shown</x:v>
      </x:c>
      <x:c r="K26" s="8" t="str">
        <x:v>On</x:v>
      </x:c>
      <x:c r="L26" s="8" t="str">
        <x:v>367 × 257 × 260</x:v>
      </x:c>
      <x:c r="M26" s="8" t="str">
        <x:v>30 W audio rating · Passive / amplifier output · 56.8 ms delay. Passive speaker; audio rating is not mains demand</x:v>
      </x:c>
      <x:c r="N26" s="11" t="n">
        <x:v>10</x:v>
      </x:c>
      <x:c r="O26" s="11" t="n">
        <x:v>0</x:v>
      </x:c>
      <x:c r="P26" s="11" t="n">
        <x:v>-90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drop:AV1:A2:audio:1:S282</x:v>
      </x:c>
      <x:c r="AC26" s="8" t="str">
        <x:v>{"dim":1,"level":-7,"delayMs":56.8,"anchorY":6.638660220994475}</x:v>
      </x:c>
    </x:row>
    <x:row r="27" ht="96" customHeight="1">
      <x:c r="A27" s="8" t="str">
        <x:v>S283</x:v>
      </x:c>
      <x:c r="B27" s="8" t="str">
        <x:v>Courtyard horn · B</x:v>
      </x:c>
      <x:c r="C27" s="8" t="str">
        <x:v>speaker</x:v>
      </x:c>
      <x:c r="D27" s="8" t="str">
        <x:v>DB1</x:v>
      </x:c>
      <x:c r="E27" s="8" t="str">
        <x:v>A3</x:v>
      </x:c>
      <x:c r="F27" s="11" t="n">
        <x:v>-0.14</x:v>
      </x:c>
      <x:c r="G27" s="11" t="n">
        <x:v>6.2</x:v>
      </x:c>
      <x:c r="H27" s="11" t="n">
        <x:v>-8.3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420 × 400 × 400</x:v>
      </x:c>
      <x:c r="M27" s="8" t="str">
        <x:v>30 W audio rating · Passive / amplifier output · 99.4 ms delay. Passive speaker; audio rating is not mains demand</x:v>
      </x:c>
      <x:c r="N27" s="11" t="n">
        <x:v>10</x:v>
      </x:c>
      <x:c r="O27" s="11" t="n">
        <x:v>172.12556053584365</x:v>
      </x:c>
      <x:c r="P27" s="11" t="n">
        <x:v>-14.434533639083444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drop:AV1:A3:audio:-1:S283</x:v>
      </x:c>
      <x:c r="AC27" s="8" t="str">
        <x:v>{"dim":1,"level":-4,"delayMs":99.4}</x:v>
      </x:c>
    </x:row>
    <x:row r="28" ht="96" customHeight="1">
      <x:c r="A28" s="8" t="str">
        <x:v>S284</x:v>
      </x:c>
      <x:c r="B28" s="8" t="str">
        <x:v>Tower horn · B · outer</x:v>
      </x:c>
      <x:c r="C28" s="8" t="str">
        <x:v>speaker</x:v>
      </x:c>
      <x:c r="D28" s="8" t="str">
        <x:v>DB1</x:v>
      </x:c>
      <x:c r="E28" s="8" t="str">
        <x:v>A3</x:v>
      </x:c>
      <x:c r="F28" s="11" t="n">
        <x:v>-0.14</x:v>
      </x:c>
      <x:c r="G28" s="11" t="n">
        <x:v>6.2</x:v>
      </x:c>
      <x:c r="H28" s="11" t="n">
        <x:v>-11.9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420 × 400 × 400</x:v>
      </x:c>
      <x:c r="M28" s="8" t="str">
        <x:v>30 W audio rating · Passive / amplifier output · 91.3 ms delay. Passive speaker; audio rating is not mains demand</x:v>
      </x:c>
      <x:c r="N28" s="11" t="n">
        <x:v>10</x:v>
      </x:c>
      <x:c r="O28" s="11" t="n">
        <x:v>-172.59733847542574</x:v>
      </x:c>
      <x:c r="P28" s="11" t="n">
        <x:v>-14.449815214476747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drop:AV1:A3:audio:-1:S284</x:v>
      </x:c>
      <x:c r="AC28" s="8" t="str">
        <x:v>{"dim":1,"level":-4,"delayMs":91.3}</x:v>
      </x:c>
    </x:row>
    <x:row r="29" ht="96" customHeight="1">
      <x:c r="A29" s="8" t="str">
        <x:v>S285</x:v>
      </x:c>
      <x:c r="B29" s="8" t="str">
        <x:v>Side courtyard horn · axis 5 · B</x:v>
      </x:c>
      <x:c r="C29" s="8" t="str">
        <x:v>speaker</x:v>
      </x:c>
      <x:c r="D29" s="8" t="str">
        <x:v>DB1</x:v>
      </x:c>
      <x:c r="E29" s="8" t="str">
        <x:v>A3</x:v>
      </x:c>
      <x:c r="F29" s="11" t="n">
        <x:v>18.975</x:v>
      </x:c>
      <x:c r="G29" s="11" t="n">
        <x:v>5.6</x:v>
      </x:c>
      <x:c r="H29" s="11" t="n">
        <x:v>-10.75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420 × 400 × 400</x:v>
      </x:c>
      <x:c r="M29" s="8" t="str">
        <x:v>30 W audio rating · Passive / amplifier output · 62 ms delay. Passive speaker; audio rating is not mains demand</x:v>
      </x:c>
      <x:c r="N29" s="11" t="n">
        <x:v>10</x:v>
      </x:c>
      <x:c r="O29" s="11" t="n">
        <x:v>-90</x:v>
      </x:c>
      <x:c r="P29" s="11" t="n">
        <x:v>-26.463101499062404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drop:AV1:A3:audio:-1:S285</x:v>
      </x:c>
      <x:c r="AC29" s="8" t="str">
        <x:v>{"dim":1,"level":-6,"delayMs":62}</x:v>
      </x:c>
    </x:row>
    <x:row r="30" ht="96" customHeight="1">
      <x:c r="A30" s="8" t="str">
        <x:v>S286</x:v>
      </x:c>
      <x:c r="B30" s="8" t="str">
        <x:v>Side courtyard horn · axis 8 · B</x:v>
      </x:c>
      <x:c r="C30" s="8" t="str">
        <x:v>speaker</x:v>
      </x:c>
      <x:c r="D30" s="8" t="str">
        <x:v>DB1</x:v>
      </x:c>
      <x:c r="E30" s="8" t="str">
        <x:v>A3</x:v>
      </x:c>
      <x:c r="F30" s="11" t="n">
        <x:v>32.475</x:v>
      </x:c>
      <x:c r="G30" s="11" t="n">
        <x:v>5.6</x:v>
      </x:c>
      <x:c r="H30" s="11" t="n">
        <x:v>-10.75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420 × 400 × 400</x:v>
      </x:c>
      <x:c r="M30" s="8" t="str">
        <x:v>30 W audio rating · Passive / amplifier output · 25 ms delay. Passive speaker; audio rating is not mains demand</x:v>
      </x:c>
      <x:c r="N30" s="11" t="n">
        <x:v>10</x:v>
      </x:c>
      <x:c r="O30" s="11" t="n">
        <x:v>-90</x:v>
      </x:c>
      <x:c r="P30" s="11" t="n">
        <x:v>-26.463101499062404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drop:AV1:A3:audio:-1:S286</x:v>
      </x:c>
      <x:c r="AC30" s="8" t="str">
        <x:v>{"dim":1,"level":-6,"delayMs":25}</x:v>
      </x:c>
    </x:row>
    <x:row r="31" ht="96" customHeight="1">
      <x:c r="A31" s="8" t="str">
        <x:v>S287</x:v>
      </x:c>
      <x:c r="B31" s="8" t="str">
        <x:v>Courtyard horn · H</x:v>
      </x:c>
      <x:c r="C31" s="8" t="str">
        <x:v>speaker</x:v>
      </x:c>
      <x:c r="D31" s="8" t="str">
        <x:v>DB1</x:v>
      </x:c>
      <x:c r="E31" s="8" t="str">
        <x:v>A3</x:v>
      </x:c>
      <x:c r="F31" s="11" t="n">
        <x:v>-0.14</x:v>
      </x:c>
      <x:c r="G31" s="11" t="n">
        <x:v>6.2</x:v>
      </x:c>
      <x:c r="H31" s="11" t="n">
        <x:v>8.3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420 × 400 × 400</x:v>
      </x:c>
      <x:c r="M31" s="8" t="str">
        <x:v>30 W audio rating · Passive / amplifier output · 100.3 ms delay. Passive speaker; audio rating is not mains demand</x:v>
      </x:c>
      <x:c r="N31" s="11" t="n">
        <x:v>10</x:v>
      </x:c>
      <x:c r="O31" s="11" t="n">
        <x:v>-172.12556053584365</x:v>
      </x:c>
      <x:c r="P31" s="11" t="n">
        <x:v>-14.434533639083444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drop:AV1:A3:audio:1:S287</x:v>
      </x:c>
      <x:c r="AC31" s="8" t="str">
        <x:v>{"dim":1,"level":-4,"delayMs":100.3}</x:v>
      </x:c>
    </x:row>
    <x:row r="32" ht="96" customHeight="1">
      <x:c r="A32" s="8" t="str">
        <x:v>S288</x:v>
      </x:c>
      <x:c r="B32" s="8" t="str">
        <x:v>Tower horn · H · outer</x:v>
      </x:c>
      <x:c r="C32" s="8" t="str">
        <x:v>speaker</x:v>
      </x:c>
      <x:c r="D32" s="8" t="str">
        <x:v>DB1</x:v>
      </x:c>
      <x:c r="E32" s="8" t="str">
        <x:v>A3</x:v>
      </x:c>
      <x:c r="F32" s="11" t="n">
        <x:v>-0.14</x:v>
      </x:c>
      <x:c r="G32" s="11" t="n">
        <x:v>6.2</x:v>
      </x:c>
      <x:c r="H32" s="11" t="n">
        <x:v>11.9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420 × 400 × 400</x:v>
      </x:c>
      <x:c r="M32" s="8" t="str">
        <x:v>30 W audio rating · Passive / amplifier output · 92.2 ms delay. Passive speaker; audio rating is not mains demand</x:v>
      </x:c>
      <x:c r="N32" s="11" t="n">
        <x:v>10</x:v>
      </x:c>
      <x:c r="O32" s="11" t="n">
        <x:v>172.59733847542574</x:v>
      </x:c>
      <x:c r="P32" s="11" t="n">
        <x:v>-14.449815214476747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drop:AV1:A3:audio:1:S288</x:v>
      </x:c>
      <x:c r="AC32" s="8" t="str">
        <x:v>{"dim":1,"level":-4,"delayMs":92.2}</x:v>
      </x:c>
    </x:row>
    <x:row r="33" ht="96" customHeight="1">
      <x:c r="A33" s="8" t="str">
        <x:v>S289</x:v>
      </x:c>
      <x:c r="B33" s="8" t="str">
        <x:v>Side courtyard horn · axis 5 · H</x:v>
      </x:c>
      <x:c r="C33" s="8" t="str">
        <x:v>speaker</x:v>
      </x:c>
      <x:c r="D33" s="8" t="str">
        <x:v>DB1</x:v>
      </x:c>
      <x:c r="E33" s="8" t="str">
        <x:v>A3</x:v>
      </x:c>
      <x:c r="F33" s="11" t="n">
        <x:v>18.975</x:v>
      </x:c>
      <x:c r="G33" s="11" t="n">
        <x:v>5.6</x:v>
      </x:c>
      <x:c r="H33" s="11" t="n">
        <x:v>10.75</x:v>
      </x:c>
      <x:c r="I33" s="8" t="str">
        <x:v>wall</x:v>
      </x:c>
      <x:c r="J33" s="8" t="str">
        <x:v>Shown</x:v>
      </x:c>
      <x:c r="K33" s="8" t="str">
        <x:v>Off</x:v>
      </x:c>
      <x:c r="L33" s="8" t="str">
        <x:v>420 × 400 × 400</x:v>
      </x:c>
      <x:c r="M33" s="8" t="str">
        <x:v>30 W audio rating · Passive / amplifier output · 66.4 ms delay. Passive speaker; audio rating is not mains demand</x:v>
      </x:c>
      <x:c r="N33" s="11" t="n">
        <x:v>10</x:v>
      </x:c>
      <x:c r="O33" s="11" t="n">
        <x:v>90</x:v>
      </x:c>
      <x:c r="P33" s="11" t="n">
        <x:v>-26.463101499062404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drop:AV1:A3:audio:1:S289</x:v>
      </x:c>
      <x:c r="AC33" s="8" t="str">
        <x:v>{"dim":1,"level":-6,"delayMs":66.4}</x:v>
      </x:c>
    </x:row>
    <x:row r="34" ht="96" customHeight="1">
      <x:c r="A34" s="8" t="str">
        <x:v>S290</x:v>
      </x:c>
      <x:c r="B34" s="8" t="str">
        <x:v>Side courtyard horn · axis 8 · H</x:v>
      </x:c>
      <x:c r="C34" s="8" t="str">
        <x:v>speaker</x:v>
      </x:c>
      <x:c r="D34" s="8" t="str">
        <x:v>DB1</x:v>
      </x:c>
      <x:c r="E34" s="8" t="str">
        <x:v>A3</x:v>
      </x:c>
      <x:c r="F34" s="11" t="n">
        <x:v>32.475</x:v>
      </x:c>
      <x:c r="G34" s="11" t="n">
        <x:v>5.6</x:v>
      </x:c>
      <x:c r="H34" s="11" t="n">
        <x:v>10.75</x:v>
      </x:c>
      <x:c r="I34" s="8" t="str">
        <x:v>wall</x:v>
      </x:c>
      <x:c r="J34" s="8" t="str">
        <x:v>Shown</x:v>
      </x:c>
      <x:c r="K34" s="8" t="str">
        <x:v>Off</x:v>
      </x:c>
      <x:c r="L34" s="8" t="str">
        <x:v>420 × 400 × 400</x:v>
      </x:c>
      <x:c r="M34" s="8" t="str">
        <x:v>30 W audio rating · Passive / amplifier output · 33.8 ms delay. Passive speaker; audio rating is not mains demand</x:v>
      </x:c>
      <x:c r="N34" s="11" t="n">
        <x:v>10</x:v>
      </x:c>
      <x:c r="O34" s="11" t="n">
        <x:v>90</x:v>
      </x:c>
      <x:c r="P34" s="11" t="n">
        <x:v>-26.463101499062404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drop:AV1:A3:audio:1:S290</x:v>
      </x:c>
      <x:c r="AC34" s="8" t="str">
        <x:v>{"dim":1,"level":-6,"delayMs":33.8}</x:v>
      </x:c>
    </x:row>
    <x:row r="35" ht="96" customHeight="1">
      <x:c r="A35" s="8" t="str">
        <x:v>S291</x:v>
      </x:c>
      <x:c r="B35" s="8" t="str">
        <x:v>Ambo microphone</x:v>
      </x:c>
      <x:c r="C35" s="8" t="str">
        <x:v>speaker</x:v>
      </x:c>
      <x:c r="D35" s="8" t="str">
        <x:v>DB1</x:v>
      </x:c>
      <x:c r="E35" s="8" t="str">
        <x:v>MIC</x:v>
      </x:c>
      <x:c r="F35" s="11" t="n">
        <x:v>41.08</x:v>
      </x:c>
      <x:c r="G35" s="11" t="n">
        <x:v>1.95</x:v>
      </x:c>
      <x:c r="H35" s="11" t="n">
        <x:v>-2.62</x:v>
      </x:c>
      <x:c r="I35" s="8" t="str">
        <x:v>floor</x:v>
      </x:c>
      <x:c r="J35" s="8" t="str">
        <x:v>Shown</x:v>
      </x:c>
      <x:c r="K35" s="8" t="str">
        <x:v>On</x:v>
      </x:c>
      <x:c r="L35" s="8" t="str">
        <x:v>362 × 374 × 120</x:v>
      </x:c>
      <x:c r="M35" s="8" t="str">
        <x:v>Microphone signal → mixer input</x:v>
      </x:c>
      <x:c r="N35" s="11" t="n">
        <x:v>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drop:AV1:MIC:mic:-1:S291</x:v>
      </x:c>
      <x:c r="AC35" s="8" t="str">
        <x:v>{"dim":1}</x:v>
      </x:c>
    </x:row>
    <x:row r="36" ht="96" customHeight="1">
      <x:c r="A36" s="8" t="str">
        <x:v>S292</x:v>
      </x:c>
      <x:c r="B36" s="8" t="str">
        <x:v>Altar microphone</x:v>
      </x:c>
      <x:c r="C36" s="8" t="str">
        <x:v>speaker</x:v>
      </x:c>
      <x:c r="D36" s="8" t="str">
        <x:v>DB1</x:v>
      </x:c>
      <x:c r="E36" s="8" t="str">
        <x:v>MIC</x:v>
      </x:c>
      <x:c r="F36" s="11" t="n">
        <x:v>44.45</x:v>
      </x:c>
      <x:c r="G36" s="11" t="n">
        <x:v>1.93</x:v>
      </x:c>
      <x:c r="H36" s="11" t="n">
        <x:v>0.45</x:v>
      </x:c>
      <x:c r="I36" s="8" t="str">
        <x:v>floor</x:v>
      </x:c>
      <x:c r="J36" s="8" t="str">
        <x:v>Shown</x:v>
      </x:c>
      <x:c r="K36" s="8" t="str">
        <x:v>On</x:v>
      </x:c>
      <x:c r="L36" s="8" t="str">
        <x:v>362 × 374 × 120</x:v>
      </x:c>
      <x:c r="M36" s="8" t="str">
        <x:v>Microphone signal → mixer input</x:v>
      </x:c>
      <x:c r="N36" s="11" t="n">
        <x:v>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drop:AV1:MIC:mic:1:S292</x:v>
      </x:c>
      <x:c r="AC36" s="8" t="str">
        <x:v>{"dim":1}</x:v>
      </x:c>
    </x:row>
    <x:row r="37" ht="96" customHeight="1">
      <x:c r="A37" s="8" t="str">
        <x:v>S275</x:v>
      </x:c>
      <x:c r="B37" s="8" t="str">
        <x:v>Wing speaker · B · front block</x:v>
      </x:c>
      <x:c r="C37" s="8" t="str">
        <x:v>speaker</x:v>
      </x:c>
      <x:c r="D37" s="8" t="str">
        <x:v>DB1</x:v>
      </x:c>
      <x:c r="E37" s="8" t="str">
        <x:v>A1</x:v>
      </x:c>
      <x:c r="F37" s="11" t="n">
        <x:v>38.94</x:v>
      </x:c>
      <x:c r="G37" s="11" t="n">
        <x:v>3</x:v>
      </x:c>
      <x:c r="H37" s="11" t="n">
        <x:v>-11.6</x:v>
      </x:c>
      <x:c r="I37" s="8" t="str">
        <x:v>pendant</x:v>
      </x:c>
      <x:c r="J37" s="8" t="str">
        <x:v>Shown</x:v>
      </x:c>
      <x:c r="K37" s="8" t="str">
        <x:v>On</x:v>
      </x:c>
      <x:c r="L37" s="8" t="str">
        <x:v>367 × 257 × 260</x:v>
      </x:c>
      <x:c r="M37" s="8" t="str">
        <x:v>30 W audio rating · Passive / amplifier output · 25.2 ms delay. Passive speaker; audio rating is not mains demand</x:v>
      </x:c>
      <x:c r="N37" s="11" t="n">
        <x:v>10</x:v>
      </x:c>
      <x:c r="O37" s="11" t="n">
        <x:v>90</x:v>
      </x:c>
      <x:c r="P37" s="11" t="n">
        <x:v>-46.39718102729638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Retired</x:v>
      </x:c>
      <x:c r="AB37" s="8" t="str">
        <x:v>drop:AV1:A1:audio:-1:S275</x:v>
      </x:c>
      <x:c r="AC37" s="8" t="str">
        <x:v>{"dim":1,"level":-10,"delayMs":25.2,"anchorY":8.115059999999996}</x:v>
      </x:c>
    </x:row>
    <x:row r="38" ht="96" customHeight="1">
      <x:c r="A38" s="8" t="str">
        <x:v>S277</x:v>
      </x:c>
      <x:c r="B38" s="8" t="str">
        <x:v>Wing speaker · H · front block</x:v>
      </x:c>
      <x:c r="C38" s="8" t="str">
        <x:v>speaker</x:v>
      </x:c>
      <x:c r="D38" s="8" t="str">
        <x:v>DB1</x:v>
      </x:c>
      <x:c r="E38" s="8" t="str">
        <x:v>A1</x:v>
      </x:c>
      <x:c r="F38" s="11" t="n">
        <x:v>38.94</x:v>
      </x:c>
      <x:c r="G38" s="11" t="n">
        <x:v>3</x:v>
      </x:c>
      <x:c r="H38" s="11" t="n">
        <x:v>11.6</x:v>
      </x:c>
      <x:c r="I38" s="8" t="str">
        <x:v>pendant</x:v>
      </x:c>
      <x:c r="J38" s="8" t="str">
        <x:v>Shown</x:v>
      </x:c>
      <x:c r="K38" s="8" t="str">
        <x:v>On</x:v>
      </x:c>
      <x:c r="L38" s="8" t="str">
        <x:v>367 × 257 × 260</x:v>
      </x:c>
      <x:c r="M38" s="8" t="str">
        <x:v>30 W audio rating · Passive / amplifier output · 39.4 ms delay. Passive speaker; audio rating is not mains demand</x:v>
      </x:c>
      <x:c r="N38" s="11" t="n">
        <x:v>10</x:v>
      </x:c>
      <x:c r="O38" s="11" t="n">
        <x:v>-90</x:v>
      </x:c>
      <x:c r="P38" s="11" t="n">
        <x:v>-46.39718102729638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Retired</x:v>
      </x:c>
      <x:c r="AB38" s="8" t="str">
        <x:v>drop:AV1:A1:audio:1:S277</x:v>
      </x:c>
      <x:c r="AC38" s="8" t="str">
        <x:v>{"dim":1,"level":-10,"delayMs":39.4,"anchorY":8.115059999999996}</x:v>
      </x:c>
    </x:row>
  </x:sheetData>
  <x:conditionalFormatting sqref="AA7:AA38">
    <x:cfRule type="containsText" dxfId="0" priority="1" operator="containsText" text="Retired"/>
  </x:conditionalFormatting>
  <x:dataValidations count="3">
    <x:dataValidation type="decimal" operator="between" sqref="W7:W38">
      <x:formula1>-1000</x:formula1>
      <x:formula2>1000</x:formula2>
    </x:dataValidation>
    <x:dataValidation type="decimal" operator="between" sqref="X7:X38">
      <x:formula1>-1000</x:formula1>
      <x:formula2>1000</x:formula2>
    </x:dataValidation>
    <x:dataValidation type="decimal" operator="between" sqref="Y7:Y38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352f64f07cc46f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trunk:AV1:A1:audio:-1</x:v>
      </x:c>
      <x:c r="B7" s="8" t="str">
        <x:v>A1 · B · audio home-run bundle</x:v>
      </x:c>
      <x:c r="C7" s="8" t="str">
        <x:v>AV1</x:v>
      </x:c>
      <x:c r="D7" s="8" t="str">
        <x:v>S261
S263
S265
S267
S269
S271
S276</x:v>
      </x:c>
      <x:c r="E7" s="8" t="str">
        <x:v>DB1</x:v>
      </x:c>
      <x:c r="F7" s="8" t="str">
        <x:v>A1</x:v>
      </x:c>
      <x:c r="G7" s="8" t="str">
        <x:v>audio</x:v>
      </x:c>
      <x:c r="H7" s="8" t="str">
        <x:v>trunk</x:v>
      </x:c>
      <x:c r="I7" s="11" t="n">
        <x:f>SUMIF('Route Points'!$A$7:$A$316,A7,'Route Points'!$F$7:$F$316)</x:f>
        <x:v>65.64813031117919</x:v>
      </x:c>
      <x:c r="J7" s="11"/>
      <x:c r="K7" s="11" t="str">
        <x:f>IF(L7="Full home run",I7+J7,"")</x:f>
      </x:c>
      <x:c r="L7" s="8" t="str">
        <x:v>Shared bundle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drop:AV1:A1:audio:-1:S261</x:v>
      </x:c>
      <x:c r="B8" s="8" t="str">
        <x:v>A1 → Wall speaker · axis 4 · B</x:v>
      </x:c>
      <x:c r="C8" s="8" t="str">
        <x:v>AV1</x:v>
      </x:c>
      <x:c r="D8" s="8" t="str">
        <x:v>S261</x:v>
      </x:c>
      <x:c r="E8" s="8" t="str">
        <x:v>DB1</x:v>
      </x:c>
      <x:c r="F8" s="8" t="str">
        <x:v>A1</x:v>
      </x:c>
      <x:c r="G8" s="8" t="str">
        <x:v>audio</x:v>
      </x:c>
      <x:c r="H8" s="8" t="str">
        <x:v>drop</x:v>
      </x:c>
      <x:c r="I8" s="11" t="n">
        <x:f>SUMIF('Route Points'!$A$7:$A$316,A8,'Route Points'!$F$7:$F$316)</x:f>
        <x:v>2.21</x:v>
      </x:c>
      <x:c r="J8" s="11" t="n">
        <x:v>65.64813031117919</x:v>
      </x:c>
      <x:c r="K8" s="11" t="n">
        <x:f>IF(L8="Full home run",I8+J8,"")</x:f>
        <x:v>67.85813031117918</x:v>
      </x:c>
      <x:c r="L8" s="8" t="str">
        <x:v>Full home run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solid-pier / wall drop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trunk:AV1:A1:audio:-1</x:v>
      </x:c>
    </x:row>
    <x:row r="9" ht="90" customHeight="1">
      <x:c r="A9" s="8" t="str">
        <x:v>drop:AV1:A1:audio:-1:S263</x:v>
      </x:c>
      <x:c r="B9" s="8" t="str">
        <x:v>A1 → Wall speaker · axis 5 · B</x:v>
      </x:c>
      <x:c r="C9" s="8" t="str">
        <x:v>AV1</x:v>
      </x:c>
      <x:c r="D9" s="8" t="str">
        <x:v>S263</x:v>
      </x:c>
      <x:c r="E9" s="8" t="str">
        <x:v>DB1</x:v>
      </x:c>
      <x:c r="F9" s="8" t="str">
        <x:v>A1</x:v>
      </x:c>
      <x:c r="G9" s="8" t="str">
        <x:v>audio</x:v>
      </x:c>
      <x:c r="H9" s="8" t="str">
        <x:v>drop</x:v>
      </x:c>
      <x:c r="I9" s="11" t="n">
        <x:f>SUMIF('Route Points'!$A$7:$A$316,A9,'Route Points'!$F$7:$F$316)</x:f>
        <x:v>2.21</x:v>
      </x:c>
      <x:c r="J9" s="11" t="n">
        <x:v>61.14813031117919</x:v>
      </x:c>
      <x:c r="K9" s="11" t="n">
        <x:f>IF(L9="Full home run",I9+J9,"")</x:f>
        <x:v>63.35813031117919</x:v>
      </x:c>
      <x:c r="L9" s="8" t="str">
        <x:v>Full home run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trunk:AV1:A1:audio:-1</x:v>
      </x:c>
    </x:row>
    <x:row r="10" ht="90" customHeight="1">
      <x:c r="A10" s="8" t="str">
        <x:v>drop:AV1:A1:audio:-1:S265</x:v>
      </x:c>
      <x:c r="B10" s="8" t="str">
        <x:v>A1 → Wall speaker · axis 6 · B</x:v>
      </x:c>
      <x:c r="C10" s="8" t="str">
        <x:v>AV1</x:v>
      </x:c>
      <x:c r="D10" s="8" t="str">
        <x:v>S265</x:v>
      </x:c>
      <x:c r="E10" s="8" t="str">
        <x:v>DB1</x:v>
      </x:c>
      <x:c r="F10" s="8" t="str">
        <x:v>A1</x:v>
      </x:c>
      <x:c r="G10" s="8" t="str">
        <x:v>audio</x:v>
      </x:c>
      <x:c r="H10" s="8" t="str">
        <x:v>drop</x:v>
      </x:c>
      <x:c r="I10" s="11" t="n">
        <x:f>SUMIF('Route Points'!$A$7:$A$316,A10,'Route Points'!$F$7:$F$316)</x:f>
        <x:v>2.21</x:v>
      </x:c>
      <x:c r="J10" s="11" t="n">
        <x:v>56.64813031117919</x:v>
      </x:c>
      <x:c r="K10" s="11" t="n">
        <x:f>IF(L10="Full home run",I10+J10,"")</x:f>
        <x:v>58.85813031117919</x:v>
      </x:c>
      <x:c r="L10" s="8" t="str">
        <x:v>Full home run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trunk:AV1:A1:audio:-1</x:v>
      </x:c>
    </x:row>
    <x:row r="11" ht="90" customHeight="1">
      <x:c r="A11" s="8" t="str">
        <x:v>drop:AV1:A1:audio:-1:S267</x:v>
      </x:c>
      <x:c r="B11" s="8" t="str">
        <x:v>A1 → Wall speaker · axis 7 · B</x:v>
      </x:c>
      <x:c r="C11" s="8" t="str">
        <x:v>AV1</x:v>
      </x:c>
      <x:c r="D11" s="8" t="str">
        <x:v>S267</x:v>
      </x:c>
      <x:c r="E11" s="8" t="str">
        <x:v>DB1</x:v>
      </x:c>
      <x:c r="F11" s="8" t="str">
        <x:v>A1</x:v>
      </x:c>
      <x:c r="G11" s="8" t="str">
        <x:v>audio</x:v>
      </x:c>
      <x:c r="H11" s="8" t="str">
        <x:v>drop</x:v>
      </x:c>
      <x:c r="I11" s="11" t="n">
        <x:f>SUMIF('Route Points'!$A$7:$A$316,A11,'Route Points'!$F$7:$F$316)</x:f>
        <x:v>2.21</x:v>
      </x:c>
      <x:c r="J11" s="11" t="n">
        <x:v>52.14813031117919</x:v>
      </x:c>
      <x:c r="K11" s="11" t="n">
        <x:f>IF(L11="Full home run",I11+J11,"")</x:f>
        <x:v>54.35813031117919</x:v>
      </x:c>
      <x:c r="L11" s="8" t="str">
        <x:v>Full home run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Concealed solid-pier / wall drop and local termination.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trunk:AV1:A1:audio:-1</x:v>
      </x:c>
    </x:row>
    <x:row r="12" ht="90" customHeight="1">
      <x:c r="A12" s="8" t="str">
        <x:v>drop:AV1:A1:audio:-1:S269</x:v>
      </x:c>
      <x:c r="B12" s="8" t="str">
        <x:v>A1 → Wall speaker · axis 8 · B</x:v>
      </x:c>
      <x:c r="C12" s="8" t="str">
        <x:v>AV1</x:v>
      </x:c>
      <x:c r="D12" s="8" t="str">
        <x:v>S269</x:v>
      </x:c>
      <x:c r="E12" s="8" t="str">
        <x:v>DB1</x:v>
      </x:c>
      <x:c r="F12" s="8" t="str">
        <x:v>A1</x:v>
      </x:c>
      <x:c r="G12" s="8" t="str">
        <x:v>audio</x:v>
      </x:c>
      <x:c r="H12" s="8" t="str">
        <x:v>drop</x:v>
      </x:c>
      <x:c r="I12" s="11" t="n">
        <x:f>SUMIF('Route Points'!$A$7:$A$316,A12,'Route Points'!$F$7:$F$316)</x:f>
        <x:v>2.21</x:v>
      </x:c>
      <x:c r="J12" s="11" t="n">
        <x:v>47.64813031117919</x:v>
      </x:c>
      <x:c r="K12" s="11" t="n">
        <x:f>IF(L12="Full home run",I12+J12,"")</x:f>
        <x:v>49.85813031117919</x:v>
      </x:c>
      <x:c r="L12" s="8" t="str">
        <x:v>Full home run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trunk:AV1:A1:audio:-1</x:v>
      </x:c>
    </x:row>
    <x:row r="13" ht="90" customHeight="1">
      <x:c r="A13" s="8" t="str">
        <x:v>drop:AV1:A1:audio:-1:S271</x:v>
      </x:c>
      <x:c r="B13" s="8" t="str">
        <x:v>A1 → Wall speaker · axis 9 · B</x:v>
      </x:c>
      <x:c r="C13" s="8" t="str">
        <x:v>AV1</x:v>
      </x:c>
      <x:c r="D13" s="8" t="str">
        <x:v>S271</x:v>
      </x:c>
      <x:c r="E13" s="8" t="str">
        <x:v>DB1</x:v>
      </x:c>
      <x:c r="F13" s="8" t="str">
        <x:v>A1</x:v>
      </x:c>
      <x:c r="G13" s="8" t="str">
        <x:v>audio</x:v>
      </x:c>
      <x:c r="H13" s="8" t="str">
        <x:v>drop</x:v>
      </x:c>
      <x:c r="I13" s="11" t="n">
        <x:f>SUMIF('Route Points'!$A$7:$A$316,A13,'Route Points'!$F$7:$F$316)</x:f>
        <x:v>2.21</x:v>
      </x:c>
      <x:c r="J13" s="11" t="n">
        <x:v>43.14813031117919</x:v>
      </x:c>
      <x:c r="K13" s="11" t="n">
        <x:f>IF(L13="Full home run",I13+J13,"")</x:f>
        <x:v>45.35813031117919</x:v>
      </x:c>
      <x:c r="L13" s="8" t="str">
        <x:v>Full home run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trunk:AV1:A1:audio:-1</x:v>
      </x:c>
    </x:row>
    <x:row r="14" ht="90" customHeight="1">
      <x:c r="A14" s="8" t="str">
        <x:v>drop:AV1:A1:audio:-1:S276</x:v>
      </x:c>
      <x:c r="B14" s="8" t="str">
        <x:v>A1 → Wing speaker · B · toward entrance · held</x:v>
      </x:c>
      <x:c r="C14" s="8" t="str">
        <x:v>AV1</x:v>
      </x:c>
      <x:c r="D14" s="8" t="str">
        <x:v>S276</x:v>
      </x:c>
      <x:c r="E14" s="8" t="str">
        <x:v>DB1</x:v>
      </x:c>
      <x:c r="F14" s="8" t="str">
        <x:v>A1</x:v>
      </x:c>
      <x:c r="G14" s="8" t="str">
        <x:v>audio</x:v>
      </x:c>
      <x:c r="H14" s="8" t="str">
        <x:v>drop</x:v>
      </x:c>
      <x:c r="I14" s="11" t="n">
        <x:f>SUMIF('Route Points'!$A$7:$A$316,A14,'Route Points'!$F$7:$F$316)</x:f>
        <x:v>8.040692614226739</x:v>
      </x:c>
      <x:c r="J14" s="11" t="n">
        <x:v>32.766999999999996</x:v>
      </x:c>
      <x:c r="K14" s="11" t="n">
        <x:f>IF(L14="Full home run",I14+J14,"")</x:f>
        <x:v>40.80769261422674</x:v>
      </x:c>
      <x:c r="L14" s="8" t="str">
        <x:v>Full home run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Covered roof-soffit crossing into outer arcade / wing-gable wall, then concealed pier drop. No exposed crossing at equipment height.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trunk:AV1:A1:audio:-1</x:v>
      </x:c>
    </x:row>
    <x:row r="15" ht="103" customHeight="1">
      <x:c r="A15" s="8" t="str">
        <x:v>trunk:AV1:A1:audio:1</x:v>
      </x:c>
      <x:c r="B15" s="8" t="str">
        <x:v>A1 · H · audio home-run bundle</x:v>
      </x:c>
      <x:c r="C15" s="8" t="str">
        <x:v>AV1</x:v>
      </x:c>
      <x:c r="D15" s="8" t="str">
        <x:v>S262
S264
S266
S268
S270
S272
S278</x:v>
      </x:c>
      <x:c r="E15" s="8" t="str">
        <x:v>DB1</x:v>
      </x:c>
      <x:c r="F15" s="8" t="str">
        <x:v>A1</x:v>
      </x:c>
      <x:c r="G15" s="8" t="str">
        <x:v>audio</x:v>
      </x:c>
      <x:c r="H15" s="8" t="str">
        <x:v>trunk</x:v>
      </x:c>
      <x:c r="I15" s="11" t="n">
        <x:f>SUMIF('Route Points'!$A$7:$A$316,A15,'Route Points'!$F$7:$F$316)</x:f>
        <x:v>59.04813031117919</x:v>
      </x:c>
      <x:c r="J15" s="11"/>
      <x:c r="K15" s="11" t="str">
        <x:f>IF(L15="Full home run",I15+J15,"")</x:f>
      </x:c>
      <x:c r="L15" s="8" t="str">
        <x:v>Shared bundle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drop:AV1:A1:audio:1:S262</x:v>
      </x:c>
      <x:c r="B16" s="8" t="str">
        <x:v>A1 → Wall speaker · axis 4 · H</x:v>
      </x:c>
      <x:c r="C16" s="8" t="str">
        <x:v>AV1</x:v>
      </x:c>
      <x:c r="D16" s="8" t="str">
        <x:v>S262</x:v>
      </x:c>
      <x:c r="E16" s="8" t="str">
        <x:v>DB1</x:v>
      </x:c>
      <x:c r="F16" s="8" t="str">
        <x:v>A1</x:v>
      </x:c>
      <x:c r="G16" s="8" t="str">
        <x:v>audio</x:v>
      </x:c>
      <x:c r="H16" s="8" t="str">
        <x:v>drop</x:v>
      </x:c>
      <x:c r="I16" s="11" t="n">
        <x:f>SUMIF('Route Points'!$A$7:$A$316,A16,'Route Points'!$F$7:$F$316)</x:f>
        <x:v>2.21</x:v>
      </x:c>
      <x:c r="J16" s="11" t="n">
        <x:v>59.04813031117919</x:v>
      </x:c>
      <x:c r="K16" s="11" t="n">
        <x:f>IF(L16="Full home run",I16+J16,"")</x:f>
        <x:v>61.258130311179194</x:v>
      </x:c>
      <x:c r="L16" s="8" t="str">
        <x:v>Full home run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trunk:AV1:A1:audio:1</x:v>
      </x:c>
    </x:row>
    <x:row r="17" ht="90" customHeight="1">
      <x:c r="A17" s="8" t="str">
        <x:v>drop:AV1:A1:audio:1:S264</x:v>
      </x:c>
      <x:c r="B17" s="8" t="str">
        <x:v>A1 → Wall speaker · axis 5 · H</x:v>
      </x:c>
      <x:c r="C17" s="8" t="str">
        <x:v>AV1</x:v>
      </x:c>
      <x:c r="D17" s="8" t="str">
        <x:v>S264</x:v>
      </x:c>
      <x:c r="E17" s="8" t="str">
        <x:v>DB1</x:v>
      </x:c>
      <x:c r="F17" s="8" t="str">
        <x:v>A1</x:v>
      </x:c>
      <x:c r="G17" s="8" t="str">
        <x:v>audio</x:v>
      </x:c>
      <x:c r="H17" s="8" t="str">
        <x:v>drop</x:v>
      </x:c>
      <x:c r="I17" s="11" t="n">
        <x:f>SUMIF('Route Points'!$A$7:$A$316,A17,'Route Points'!$F$7:$F$316)</x:f>
        <x:v>2.21</x:v>
      </x:c>
      <x:c r="J17" s="11" t="n">
        <x:v>54.54813031117919</x:v>
      </x:c>
      <x:c r="K17" s="11" t="n">
        <x:f>IF(L17="Full home run",I17+J17,"")</x:f>
        <x:v>56.758130311179194</x:v>
      </x:c>
      <x:c r="L17" s="8" t="str">
        <x:v>Full home run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trunk:AV1:A1:audio:1</x:v>
      </x:c>
    </x:row>
    <x:row r="18" ht="90" customHeight="1">
      <x:c r="A18" s="8" t="str">
        <x:v>drop:AV1:A1:audio:1:S266</x:v>
      </x:c>
      <x:c r="B18" s="8" t="str">
        <x:v>A1 → Wall speaker · axis 6 · H</x:v>
      </x:c>
      <x:c r="C18" s="8" t="str">
        <x:v>AV1</x:v>
      </x:c>
      <x:c r="D18" s="8" t="str">
        <x:v>S266</x:v>
      </x:c>
      <x:c r="E18" s="8" t="str">
        <x:v>DB1</x:v>
      </x:c>
      <x:c r="F18" s="8" t="str">
        <x:v>A1</x:v>
      </x:c>
      <x:c r="G18" s="8" t="str">
        <x:v>audio</x:v>
      </x:c>
      <x:c r="H18" s="8" t="str">
        <x:v>drop</x:v>
      </x:c>
      <x:c r="I18" s="11" t="n">
        <x:f>SUMIF('Route Points'!$A$7:$A$316,A18,'Route Points'!$F$7:$F$316)</x:f>
        <x:v>2.21</x:v>
      </x:c>
      <x:c r="J18" s="11" t="n">
        <x:v>50.04813031117919</x:v>
      </x:c>
      <x:c r="K18" s="11" t="n">
        <x:f>IF(L18="Full home run",I18+J18,"")</x:f>
        <x:v>52.258130311179194</x:v>
      </x:c>
      <x:c r="L18" s="8" t="str">
        <x:v>Full home run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trunk:AV1:A1:audio:1</x:v>
      </x:c>
    </x:row>
    <x:row r="19" ht="90" customHeight="1">
      <x:c r="A19" s="8" t="str">
        <x:v>drop:AV1:A1:audio:1:S268</x:v>
      </x:c>
      <x:c r="B19" s="8" t="str">
        <x:v>A1 → Wall speaker · axis 7 · H</x:v>
      </x:c>
      <x:c r="C19" s="8" t="str">
        <x:v>AV1</x:v>
      </x:c>
      <x:c r="D19" s="8" t="str">
        <x:v>S268</x:v>
      </x:c>
      <x:c r="E19" s="8" t="str">
        <x:v>DB1</x:v>
      </x:c>
      <x:c r="F19" s="8" t="str">
        <x:v>A1</x:v>
      </x:c>
      <x:c r="G19" s="8" t="str">
        <x:v>audio</x:v>
      </x:c>
      <x:c r="H19" s="8" t="str">
        <x:v>drop</x:v>
      </x:c>
      <x:c r="I19" s="11" t="n">
        <x:f>SUMIF('Route Points'!$A$7:$A$316,A19,'Route Points'!$F$7:$F$316)</x:f>
        <x:v>2.21</x:v>
      </x:c>
      <x:c r="J19" s="11" t="n">
        <x:v>45.54813031117919</x:v>
      </x:c>
      <x:c r="K19" s="11" t="n">
        <x:f>IF(L19="Full home run",I19+J19,"")</x:f>
        <x:v>47.758130311179194</x:v>
      </x:c>
      <x:c r="L19" s="8" t="str">
        <x:v>Full home run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trunk:AV1:A1:audio:1</x:v>
      </x:c>
    </x:row>
    <x:row r="20" ht="90" customHeight="1">
      <x:c r="A20" s="8" t="str">
        <x:v>drop:AV1:A1:audio:1:S270</x:v>
      </x:c>
      <x:c r="B20" s="8" t="str">
        <x:v>A1 → Wall speaker · axis 8 · H</x:v>
      </x:c>
      <x:c r="C20" s="8" t="str">
        <x:v>AV1</x:v>
      </x:c>
      <x:c r="D20" s="8" t="str">
        <x:v>S270</x:v>
      </x:c>
      <x:c r="E20" s="8" t="str">
        <x:v>DB1</x:v>
      </x:c>
      <x:c r="F20" s="8" t="str">
        <x:v>A1</x:v>
      </x:c>
      <x:c r="G20" s="8" t="str">
        <x:v>audio</x:v>
      </x:c>
      <x:c r="H20" s="8" t="str">
        <x:v>drop</x:v>
      </x:c>
      <x:c r="I20" s="11" t="n">
        <x:f>SUMIF('Route Points'!$A$7:$A$316,A20,'Route Points'!$F$7:$F$316)</x:f>
        <x:v>2.21</x:v>
      </x:c>
      <x:c r="J20" s="11" t="n">
        <x:v>41.04813031117919</x:v>
      </x:c>
      <x:c r="K20" s="11" t="n">
        <x:f>IF(L20="Full home run",I20+J20,"")</x:f>
        <x:v>43.258130311179194</x:v>
      </x:c>
      <x:c r="L20" s="8" t="str">
        <x:v>Full home run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trunk:AV1:A1:audio:1</x:v>
      </x:c>
    </x:row>
    <x:row r="21" ht="90" customHeight="1">
      <x:c r="A21" s="8" t="str">
        <x:v>drop:AV1:A1:audio:1:S272</x:v>
      </x:c>
      <x:c r="B21" s="8" t="str">
        <x:v>A1 → Wall speaker · axis 9 · H</x:v>
      </x:c>
      <x:c r="C21" s="8" t="str">
        <x:v>AV1</x:v>
      </x:c>
      <x:c r="D21" s="8" t="str">
        <x:v>S272</x:v>
      </x:c>
      <x:c r="E21" s="8" t="str">
        <x:v>DB1</x:v>
      </x:c>
      <x:c r="F21" s="8" t="str">
        <x:v>A1</x:v>
      </x:c>
      <x:c r="G21" s="8" t="str">
        <x:v>audio</x:v>
      </x:c>
      <x:c r="H21" s="8" t="str">
        <x:v>drop</x:v>
      </x:c>
      <x:c r="I21" s="11" t="n">
        <x:f>SUMIF('Route Points'!$A$7:$A$316,A21,'Route Points'!$F$7:$F$316)</x:f>
        <x:v>2.21</x:v>
      </x:c>
      <x:c r="J21" s="11" t="n">
        <x:v>36.54813031117919</x:v>
      </x:c>
      <x:c r="K21" s="11" t="n">
        <x:f>IF(L21="Full home run",I21+J21,"")</x:f>
        <x:v>38.758130311179194</x:v>
      </x:c>
      <x:c r="L21" s="8" t="str">
        <x:v>Full home run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Concealed solid-pier / wall drop and local termination.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trunk:AV1:A1:audio:1</x:v>
      </x:c>
    </x:row>
    <x:row r="22" ht="90" customHeight="1">
      <x:c r="A22" s="8" t="str">
        <x:v>drop:AV1:A1:audio:1:S278</x:v>
      </x:c>
      <x:c r="B22" s="8" t="str">
        <x:v>A1 → Wing speaker · H · toward entrance · held</x:v>
      </x:c>
      <x:c r="C22" s="8" t="str">
        <x:v>AV1</x:v>
      </x:c>
      <x:c r="D22" s="8" t="str">
        <x:v>S278</x:v>
      </x:c>
      <x:c r="E22" s="8" t="str">
        <x:v>DB1</x:v>
      </x:c>
      <x:c r="F22" s="8" t="str">
        <x:v>A1</x:v>
      </x:c>
      <x:c r="G22" s="8" t="str">
        <x:v>audio</x:v>
      </x:c>
      <x:c r="H22" s="8" t="str">
        <x:v>drop</x:v>
      </x:c>
      <x:c r="I22" s="11" t="n">
        <x:f>SUMIF('Route Points'!$A$7:$A$316,A22,'Route Points'!$F$7:$F$316)</x:f>
        <x:v>8.040692614226739</x:v>
      </x:c>
      <x:c r="J22" s="11" t="n">
        <x:v>26.167</x:v>
      </x:c>
      <x:c r="K22" s="11" t="n">
        <x:f>IF(L22="Full home run",I22+J22,"")</x:f>
        <x:v>34.207692614226744</x:v>
      </x:c>
      <x:c r="L22" s="8" t="str">
        <x:v>Full home run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Covered roof-soffit crossing into outer arcade / wing-gable wall, then concealed pier drop. No exposed crossing at equipment height.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trunk:AV1:A1:audio:1</x:v>
      </x:c>
    </x:row>
    <x:row r="23" ht="90" customHeight="1">
      <x:c r="A23" s="8" t="str">
        <x:v>trunk:AV1:A5:audio:-1</x:v>
      </x:c>
      <x:c r="B23" s="8" t="str">
        <x:v>A5 · B · audio home-run bundle</x:v>
      </x:c>
      <x:c r="C23" s="8" t="str">
        <x:v>AV1</x:v>
      </x:c>
      <x:c r="D23" s="8" t="str">
        <x:v>S273</x:v>
      </x:c>
      <x:c r="E23" s="8" t="str">
        <x:v>DB1</x:v>
      </x:c>
      <x:c r="F23" s="8" t="str">
        <x:v>A5</x:v>
      </x:c>
      <x:c r="G23" s="8" t="str">
        <x:v>audio</x:v>
      </x:c>
      <x:c r="H23" s="8" t="str">
        <x:v>trunk</x:v>
      </x:c>
      <x:c r="I23" s="11" t="n">
        <x:f>SUMIF('Route Points'!$A$7:$A$316,A23,'Route Points'!$F$7:$F$316)</x:f>
        <x:v>77.07013031117918</x:v>
      </x:c>
      <x:c r="J23" s="11"/>
      <x:c r="K23" s="11" t="str">
        <x:f>IF(L23="Full home run",I23+J23,"")</x:f>
      </x:c>
      <x:c r="L23" s="8" t="str">
        <x:v>Shared bundle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drop:AV1:A5:audio:-1:S273</x:v>
      </x:c>
      <x:c r="B24" s="8" t="str">
        <x:v>A5 → Wall speaker · entrance hall · B</x:v>
      </x:c>
      <x:c r="C24" s="8" t="str">
        <x:v>AV1</x:v>
      </x:c>
      <x:c r="D24" s="8" t="str">
        <x:v>S273</x:v>
      </x:c>
      <x:c r="E24" s="8" t="str">
        <x:v>DB1</x:v>
      </x:c>
      <x:c r="F24" s="8" t="str">
        <x:v>A5</x:v>
      </x:c>
      <x:c r="G24" s="8" t="str">
        <x:v>audio</x:v>
      </x:c>
      <x:c r="H24" s="8" t="str">
        <x:v>drop</x:v>
      </x:c>
      <x:c r="I24" s="11" t="n">
        <x:f>SUMIF('Route Points'!$A$7:$A$316,A24,'Route Points'!$F$7:$F$316)</x:f>
        <x:v>10.818705875926424</x:v>
      </x:c>
      <x:c r="J24" s="11" t="n">
        <x:v>77.07013031117918</x:v>
      </x:c>
      <x:c r="K24" s="11" t="n">
        <x:f>IF(L24="Full home run",I24+J24,"")</x:f>
        <x:v>87.88883618710561</x:v>
      </x:c>
      <x:c r="L24" s="8" t="str">
        <x:v>Full home run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trunk:AV1:A5:audio:-1</x:v>
      </x:c>
    </x:row>
    <x:row r="25" ht="90" customHeight="1">
      <x:c r="A25" s="8" t="str">
        <x:v>trunk:AV1:A5:audio:1</x:v>
      </x:c>
      <x:c r="B25" s="8" t="str">
        <x:v>A5 · H · audio home-run bundle</x:v>
      </x:c>
      <x:c r="C25" s="8" t="str">
        <x:v>AV1</x:v>
      </x:c>
      <x:c r="D25" s="8" t="str">
        <x:v>S274</x:v>
      </x:c>
      <x:c r="E25" s="8" t="str">
        <x:v>DB1</x:v>
      </x:c>
      <x:c r="F25" s="8" t="str">
        <x:v>A5</x:v>
      </x:c>
      <x:c r="G25" s="8" t="str">
        <x:v>audio</x:v>
      </x:c>
      <x:c r="H25" s="8" t="str">
        <x:v>trunk</x:v>
      </x:c>
      <x:c r="I25" s="11" t="n">
        <x:f>SUMIF('Route Points'!$A$7:$A$316,A25,'Route Points'!$F$7:$F$316)</x:f>
        <x:v>70.47013031117918</x:v>
      </x:c>
      <x:c r="J25" s="11"/>
      <x:c r="K25" s="11" t="str">
        <x:f>IF(L25="Full home run",I25+J25,"")</x:f>
      </x:c>
      <x:c r="L25" s="8" t="str">
        <x:v>Shared bundle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Wall bands above openings; concealed finish-matched soffit crossing over the 9–10 wing opening.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/>
    </x:row>
    <x:row r="26" ht="90" customHeight="1">
      <x:c r="A26" s="8" t="str">
        <x:v>drop:AV1:A5:audio:1:S274</x:v>
      </x:c>
      <x:c r="B26" s="8" t="str">
        <x:v>A5 → Wall speaker · entrance hall · H</x:v>
      </x:c>
      <x:c r="C26" s="8" t="str">
        <x:v>AV1</x:v>
      </x:c>
      <x:c r="D26" s="8" t="str">
        <x:v>S274</x:v>
      </x:c>
      <x:c r="E26" s="8" t="str">
        <x:v>DB1</x:v>
      </x:c>
      <x:c r="F26" s="8" t="str">
        <x:v>A5</x:v>
      </x:c>
      <x:c r="G26" s="8" t="str">
        <x:v>audio</x:v>
      </x:c>
      <x:c r="H26" s="8" t="str">
        <x:v>drop</x:v>
      </x:c>
      <x:c r="I26" s="11" t="n">
        <x:f>SUMIF('Route Points'!$A$7:$A$316,A26,'Route Points'!$F$7:$F$316)</x:f>
        <x:v>10.818705875926424</x:v>
      </x:c>
      <x:c r="J26" s="11" t="n">
        <x:v>70.47013031117918</x:v>
      </x:c>
      <x:c r="K26" s="11" t="n">
        <x:f>IF(L26="Full home run",I26+J26,"")</x:f>
        <x:v>81.2888361871056</x:v>
      </x:c>
      <x:c r="L26" s="8" t="str">
        <x:v>Full home run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Concealed entrance wall band, solid pier and local termination.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 t="str">
        <x:v>trunk:AV1:A5:audio:1</x:v>
      </x:c>
    </x:row>
    <x:row r="27" ht="90" customHeight="1">
      <x:c r="A27" s="8" t="str">
        <x:v>trunk:AV1:A2:audio:-1</x:v>
      </x:c>
      <x:c r="B27" s="8" t="str">
        <x:v>A2 · B · audio home-run bundle</x:v>
      </x:c>
      <x:c r="C27" s="8" t="str">
        <x:v>AV1</x:v>
      </x:c>
      <x:c r="D27" s="8" t="str">
        <x:v>S279
S280</x:v>
      </x:c>
      <x:c r="E27" s="8" t="str">
        <x:v>DB1</x:v>
      </x:c>
      <x:c r="F27" s="8" t="str">
        <x:v>A2</x:v>
      </x:c>
      <x:c r="G27" s="8" t="str">
        <x:v>audio</x:v>
      </x:c>
      <x:c r="H27" s="8" t="str">
        <x:v>trunk</x:v>
      </x:c>
      <x:c r="I27" s="11" t="n">
        <x:f>SUMIF('Route Points'!$A$7:$A$316,A27,'Route Points'!$F$7:$F$316)</x:f>
        <x:v>66.17113031117918</x:v>
      </x:c>
      <x:c r="J27" s="11"/>
      <x:c r="K27" s="11" t="str">
        <x:f>IF(L27="Full home run",I27+J27,"")</x:f>
      </x:c>
      <x:c r="L27" s="8" t="str">
        <x:v>Shared bundle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Wall bands above openings; concealed finish-matched soffit crossing over the 9–10 wing opening.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/>
    </x:row>
    <x:row r="28" ht="90" customHeight="1">
      <x:c r="A28" s="8" t="str">
        <x:v>drop:AV1:A2:audio:-1:S279</x:v>
      </x:c>
      <x:c r="B28" s="8" t="str">
        <x:v>A2 → Veranda fill · B · 12.2</x:v>
      </x:c>
      <x:c r="C28" s="8" t="str">
        <x:v>AV1</x:v>
      </x:c>
      <x:c r="D28" s="8" t="str">
        <x:v>S279</x:v>
      </x:c>
      <x:c r="E28" s="8" t="str">
        <x:v>DB1</x:v>
      </x:c>
      <x:c r="F28" s="8" t="str">
        <x:v>A2</x:v>
      </x:c>
      <x:c r="G28" s="8" t="str">
        <x:v>audio</x:v>
      </x:c>
      <x:c r="H28" s="8" t="str">
        <x:v>drop</x:v>
      </x:c>
      <x:c r="I28" s="11" t="n">
        <x:f>SUMIF('Route Points'!$A$7:$A$316,A28,'Route Points'!$F$7:$F$316)</x:f>
        <x:v>7.100734978599284</x:v>
      </x:c>
      <x:c r="J28" s="11" t="n">
        <x:v>66.17113031117918</x:v>
      </x:c>
      <x:c r="K28" s="11" t="n">
        <x:f>IF(L28="Full home run",I28+J28,"")</x:f>
        <x:v>73.27186528977848</x:v>
      </x:c>
      <x:c r="L28" s="8" t="str">
        <x:v>Full home run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nave lining / covered soffit route at wings and verandas; cable continues inside the existing pendant stem. Roof build-up, supports and access pending.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trunk:AV1:A2:audio:-1</x:v>
      </x:c>
    </x:row>
    <x:row r="29" ht="90" customHeight="1">
      <x:c r="A29" s="8" t="str">
        <x:v>drop:AV1:A2:audio:-1:S280</x:v>
      </x:c>
      <x:c r="B29" s="8" t="str">
        <x:v>A2 → Veranda fill · B · 25.7</x:v>
      </x:c>
      <x:c r="C29" s="8" t="str">
        <x:v>AV1</x:v>
      </x:c>
      <x:c r="D29" s="8" t="str">
        <x:v>S280</x:v>
      </x:c>
      <x:c r="E29" s="8" t="str">
        <x:v>DB1</x:v>
      </x:c>
      <x:c r="F29" s="8" t="str">
        <x:v>A2</x:v>
      </x:c>
      <x:c r="G29" s="8" t="str">
        <x:v>audio</x:v>
      </x:c>
      <x:c r="H29" s="8" t="str">
        <x:v>drop</x:v>
      </x:c>
      <x:c r="I29" s="11" t="n">
        <x:f>SUMIF('Route Points'!$A$7:$A$316,A29,'Route Points'!$F$7:$F$316)</x:f>
        <x:v>7.100734978599283</x:v>
      </x:c>
      <x:c r="J29" s="11" t="n">
        <x:v>52.67113031117918</x:v>
      </x:c>
      <x:c r="K29" s="11" t="n">
        <x:f>IF(L29="Full home run",I29+J29,"")</x:f>
        <x:v>59.77186528977847</x:v>
      </x:c>
      <x:c r="L29" s="8" t="str">
        <x:v>Full home run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nave lining / covered soffit route at wings and verandas; cable continues inside the existing pendant stem. Roof build-up, supports and access pending.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trunk:AV1:A2:audio:-1</x:v>
      </x:c>
    </x:row>
    <x:row r="30" ht="90" customHeight="1">
      <x:c r="A30" s="8" t="str">
        <x:v>trunk:AV1:A2:audio:1</x:v>
      </x:c>
      <x:c r="B30" s="8" t="str">
        <x:v>A2 · H · audio home-run bundle</x:v>
      </x:c>
      <x:c r="C30" s="8" t="str">
        <x:v>AV1</x:v>
      </x:c>
      <x:c r="D30" s="8" t="str">
        <x:v>S281
S282</x:v>
      </x:c>
      <x:c r="E30" s="8" t="str">
        <x:v>DB1</x:v>
      </x:c>
      <x:c r="F30" s="8" t="str">
        <x:v>A2</x:v>
      </x:c>
      <x:c r="G30" s="8" t="str">
        <x:v>audio</x:v>
      </x:c>
      <x:c r="H30" s="8" t="str">
        <x:v>trunk</x:v>
      </x:c>
      <x:c r="I30" s="11" t="n">
        <x:f>SUMIF('Route Points'!$A$7:$A$316,A30,'Route Points'!$F$7:$F$316)</x:f>
        <x:v>59.57113031117918</x:v>
      </x:c>
      <x:c r="J30" s="11"/>
      <x:c r="K30" s="11" t="str">
        <x:f>IF(L30="Full home run",I30+J30,"")</x:f>
      </x:c>
      <x:c r="L30" s="8" t="str">
        <x:v>Shared bundle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Wall bands above openings; concealed finish-matched soffit crossing over the 9–10 wing opening.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/>
    </x:row>
    <x:row r="31" ht="90" customHeight="1">
      <x:c r="A31" s="8" t="str">
        <x:v>drop:AV1:A2:audio:1:S281</x:v>
      </x:c>
      <x:c r="B31" s="8" t="str">
        <x:v>A2 → Veranda fill · H · 12.2</x:v>
      </x:c>
      <x:c r="C31" s="8" t="str">
        <x:v>AV1</x:v>
      </x:c>
      <x:c r="D31" s="8" t="str">
        <x:v>S281</x:v>
      </x:c>
      <x:c r="E31" s="8" t="str">
        <x:v>DB1</x:v>
      </x:c>
      <x:c r="F31" s="8" t="str">
        <x:v>A2</x:v>
      </x:c>
      <x:c r="G31" s="8" t="str">
        <x:v>audio</x:v>
      </x:c>
      <x:c r="H31" s="8" t="str">
        <x:v>drop</x:v>
      </x:c>
      <x:c r="I31" s="11" t="n">
        <x:f>SUMIF('Route Points'!$A$7:$A$316,A31,'Route Points'!$F$7:$F$316)</x:f>
        <x:v>7.100734978599284</x:v>
      </x:c>
      <x:c r="J31" s="11" t="n">
        <x:v>59.57113031117918</x:v>
      </x:c>
      <x:c r="K31" s="11" t="n">
        <x:f>IF(L31="Full home run",I31+J31,"")</x:f>
        <x:v>66.67186528977847</x:v>
      </x:c>
      <x:c r="L31" s="8" t="str">
        <x:v>Full home run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nave lining / covered soffit route at wings and verandas; cable continues inside the existing pendant stem. Roof build-up, supports and access pending.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trunk:AV1:A2:audio:1</x:v>
      </x:c>
    </x:row>
    <x:row r="32" ht="90" customHeight="1">
      <x:c r="A32" s="8" t="str">
        <x:v>drop:AV1:A2:audio:1:S282</x:v>
      </x:c>
      <x:c r="B32" s="8" t="str">
        <x:v>A2 → Veranda fill · H · 25.7</x:v>
      </x:c>
      <x:c r="C32" s="8" t="str">
        <x:v>AV1</x:v>
      </x:c>
      <x:c r="D32" s="8" t="str">
        <x:v>S282</x:v>
      </x:c>
      <x:c r="E32" s="8" t="str">
        <x:v>DB1</x:v>
      </x:c>
      <x:c r="F32" s="8" t="str">
        <x:v>A2</x:v>
      </x:c>
      <x:c r="G32" s="8" t="str">
        <x:v>audio</x:v>
      </x:c>
      <x:c r="H32" s="8" t="str">
        <x:v>drop</x:v>
      </x:c>
      <x:c r="I32" s="11" t="n">
        <x:f>SUMIF('Route Points'!$A$7:$A$316,A32,'Route Points'!$F$7:$F$316)</x:f>
        <x:v>7.100734978599283</x:v>
      </x:c>
      <x:c r="J32" s="11" t="n">
        <x:v>46.07113031117918</x:v>
      </x:c>
      <x:c r="K32" s="11" t="n">
        <x:f>IF(L32="Full home run",I32+J32,"")</x:f>
        <x:v>53.17186528977847</x:v>
      </x:c>
      <x:c r="L32" s="8" t="str">
        <x:v>Full home run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nave lining / covered soffit route at wings and verandas; cable continues inside the existing pendant stem. Roof build-up, supports and access pending.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trunk:AV1:A2:audio:1</x:v>
      </x:c>
    </x:row>
    <x:row r="33" ht="90" customHeight="1">
      <x:c r="A33" s="8" t="str">
        <x:v>trunk:AV1:A3:audio:-1</x:v>
      </x:c>
      <x:c r="B33" s="8" t="str">
        <x:v>A3 · B · audio home-run bundle</x:v>
      </x:c>
      <x:c r="C33" s="8" t="str">
        <x:v>AV1</x:v>
      </x:c>
      <x:c r="D33" s="8" t="str">
        <x:v>S283
S284
S285
S286</x:v>
      </x:c>
      <x:c r="E33" s="8" t="str">
        <x:v>DB1</x:v>
      </x:c>
      <x:c r="F33" s="8" t="str">
        <x:v>A3</x:v>
      </x:c>
      <x:c r="G33" s="8" t="str">
        <x:v>audio</x:v>
      </x:c>
      <x:c r="H33" s="8" t="str">
        <x:v>trunk</x:v>
      </x:c>
      <x:c r="I33" s="11" t="n">
        <x:f>SUMIF('Route Points'!$A$7:$A$316,A33,'Route Points'!$F$7:$F$316)</x:f>
        <x:v>77.35913031117919</x:v>
      </x:c>
      <x:c r="J33" s="11"/>
      <x:c r="K33" s="11" t="str">
        <x:f>IF(L33="Full home run",I33+J33,"")</x:f>
      </x:c>
      <x:c r="L33" s="8" t="str">
        <x:v>Shared bundle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Wall bands above openings; concealed finish-matched soffit crossing over the 9–10 wing opening.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/>
    </x:row>
    <x:row r="34" ht="90" customHeight="1">
      <x:c r="A34" s="8" t="str">
        <x:v>drop:AV1:A3:audio:-1:S283</x:v>
      </x:c>
      <x:c r="B34" s="8" t="str">
        <x:v>A3 → Courtyard horn · B</x:v>
      </x:c>
      <x:c r="C34" s="8" t="str">
        <x:v>AV1</x:v>
      </x:c>
      <x:c r="D34" s="8" t="str">
        <x:v>S283</x:v>
      </x:c>
      <x:c r="E34" s="8" t="str">
        <x:v>DB1</x:v>
      </x:c>
      <x:c r="F34" s="8" t="str">
        <x:v>A3</x:v>
      </x:c>
      <x:c r="G34" s="8" t="str">
        <x:v>audio</x:v>
      </x:c>
      <x:c r="H34" s="8" t="str">
        <x:v>drop</x:v>
      </x:c>
      <x:c r="I34" s="11" t="n">
        <x:f>SUMIF('Route Points'!$A$7:$A$316,A34,'Route Points'!$F$7:$F$316)</x:f>
        <x:v>6.996000000000001</x:v>
      </x:c>
      <x:c r="J34" s="11" t="n">
        <x:v>77.35913031117919</x:v>
      </x:c>
      <x:c r="K34" s="11" t="n">
        <x:f>IF(L34="Full home run",I34+J34,"")</x:f>
        <x:v>84.35513031117918</x:v>
      </x:c>
      <x:c r="L34" s="8" t="str">
        <x:v>Full home run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Solid tower corner/piers, stepped behind cornices; local ledge/fitting connection. No riser through louver openings; chase/finish and weathering details pending.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trunk:AV1:A3:audio:-1</x:v>
      </x:c>
    </x:row>
    <x:row r="35" ht="90" customHeight="1">
      <x:c r="A35" s="8" t="str">
        <x:v>drop:AV1:A3:audio:-1:S284</x:v>
      </x:c>
      <x:c r="B35" s="8" t="str">
        <x:v>A3 → Tower horn · B · outer</x:v>
      </x:c>
      <x:c r="C35" s="8" t="str">
        <x:v>AV1</x:v>
      </x:c>
      <x:c r="D35" s="8" t="str">
        <x:v>S284</x:v>
      </x:c>
      <x:c r="E35" s="8" t="str">
        <x:v>DB1</x:v>
      </x:c>
      <x:c r="F35" s="8" t="str">
        <x:v>A3</x:v>
      </x:c>
      <x:c r="G35" s="8" t="str">
        <x:v>audio</x:v>
      </x:c>
      <x:c r="H35" s="8" t="str">
        <x:v>drop</x:v>
      </x:c>
      <x:c r="I35" s="11" t="n">
        <x:f>SUMIF('Route Points'!$A$7:$A$316,A35,'Route Points'!$F$7:$F$316)</x:f>
        <x:v>11.522</x:v>
      </x:c>
      <x:c r="J35" s="11" t="n">
        <x:v>77.35913031117919</x:v>
      </x:c>
      <x:c r="K35" s="11" t="n">
        <x:f>IF(L35="Full home run",I35+J35,"")</x:f>
        <x:v>88.88113031117919</x:v>
      </x:c>
      <x:c r="L35" s="8" t="str">
        <x:v>Full home run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Solid tower corner/piers, stepped behind cornices; local ledge/fitting connection. No riser through louver openings; chase/finish and weathering details pending.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trunk:AV1:A3:audio:-1</x:v>
      </x:c>
    </x:row>
    <x:row r="36" ht="90" customHeight="1">
      <x:c r="A36" s="8" t="str">
        <x:v>drop:AV1:A3:audio:-1:S285</x:v>
      </x:c>
      <x:c r="B36" s="8" t="str">
        <x:v>A3 → Side courtyard horn · axis 5 · B</x:v>
      </x:c>
      <x:c r="C36" s="8" t="str">
        <x:v>AV1</x:v>
      </x:c>
      <x:c r="D36" s="8" t="str">
        <x:v>S285</x:v>
      </x:c>
      <x:c r="E36" s="8" t="str">
        <x:v>DB1</x:v>
      </x:c>
      <x:c r="F36" s="8" t="str">
        <x:v>A3</x:v>
      </x:c>
      <x:c r="G36" s="8" t="str">
        <x:v>audio</x:v>
      </x:c>
      <x:c r="H36" s="8" t="str">
        <x:v>drop</x:v>
      </x:c>
      <x:c r="I36" s="11" t="n">
        <x:f>SUMIF('Route Points'!$A$7:$A$316,A36,'Route Points'!$F$7:$F$316)</x:f>
        <x:v>5.694172388861077</x:v>
      </x:c>
      <x:c r="J36" s="11" t="n">
        <x:v>60.734130311179186</x:v>
      </x:c>
      <x:c r="K36" s="11" t="n">
        <x:f>IF(L36="Full home run",I36+J36,"")</x:f>
        <x:v>66.42830270004026</x:v>
      </x:c>
      <x:c r="L36" s="8" t="str">
        <x:v>Full home run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Covered roof-soffit crossing into outer arcade / wing-gable wall, then concealed pier drop. No exposed crossing at equipment height.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trunk:AV1:A3:audio:-1</x:v>
      </x:c>
    </x:row>
    <x:row r="37" ht="90" customHeight="1">
      <x:c r="A37" s="8" t="str">
        <x:v>drop:AV1:A3:audio:-1:S286</x:v>
      </x:c>
      <x:c r="B37" s="8" t="str">
        <x:v>A3 → Side courtyard horn · axis 8 · B</x:v>
      </x:c>
      <x:c r="C37" s="8" t="str">
        <x:v>AV1</x:v>
      </x:c>
      <x:c r="D37" s="8" t="str">
        <x:v>S286</x:v>
      </x:c>
      <x:c r="E37" s="8" t="str">
        <x:v>DB1</x:v>
      </x:c>
      <x:c r="F37" s="8" t="str">
        <x:v>A3</x:v>
      </x:c>
      <x:c r="G37" s="8" t="str">
        <x:v>audio</x:v>
      </x:c>
      <x:c r="H37" s="8" t="str">
        <x:v>drop</x:v>
      </x:c>
      <x:c r="I37" s="11" t="n">
        <x:f>SUMIF('Route Points'!$A$7:$A$316,A37,'Route Points'!$F$7:$F$316)</x:f>
        <x:v>5.694172388861077</x:v>
      </x:c>
      <x:c r="J37" s="11" t="n">
        <x:v>47.234130311179186</x:v>
      </x:c>
      <x:c r="K37" s="11" t="n">
        <x:f>IF(L37="Full home run",I37+J37,"")</x:f>
        <x:v>52.92830270004026</x:v>
      </x:c>
      <x:c r="L37" s="8" t="str">
        <x:v>Full home run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Covered roof-soffit crossing into outer arcade / wing-gable wall, then concealed pier drop. No exposed crossing at equipment height.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trunk:AV1:A3:audio:-1</x:v>
      </x:c>
    </x:row>
    <x:row r="38" ht="90" customHeight="1">
      <x:c r="A38" s="8" t="str">
        <x:v>trunk:AV1:A3:audio:1</x:v>
      </x:c>
      <x:c r="B38" s="8" t="str">
        <x:v>A3 · H · audio home-run bundle</x:v>
      </x:c>
      <x:c r="C38" s="8" t="str">
        <x:v>AV1</x:v>
      </x:c>
      <x:c r="D38" s="8" t="str">
        <x:v>S287
S288
S289
S290</x:v>
      </x:c>
      <x:c r="E38" s="8" t="str">
        <x:v>DB1</x:v>
      </x:c>
      <x:c r="F38" s="8" t="str">
        <x:v>A3</x:v>
      </x:c>
      <x:c r="G38" s="8" t="str">
        <x:v>audio</x:v>
      </x:c>
      <x:c r="H38" s="8" t="str">
        <x:v>trunk</x:v>
      </x:c>
      <x:c r="I38" s="11" t="n">
        <x:f>SUMIF('Route Points'!$A$7:$A$316,A38,'Route Points'!$F$7:$F$316)</x:f>
        <x:v>70.75913031117919</x:v>
      </x:c>
      <x:c r="J38" s="11"/>
      <x:c r="K38" s="11" t="str">
        <x:f>IF(L38="Full home run",I38+J38,"")</x:f>
      </x:c>
      <x:c r="L38" s="8" t="str">
        <x:v>Shared bundle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drop:AV1:A3:audio:1:S287</x:v>
      </x:c>
      <x:c r="B39" s="8" t="str">
        <x:v>A3 → Courtyard horn · H</x:v>
      </x:c>
      <x:c r="C39" s="8" t="str">
        <x:v>AV1</x:v>
      </x:c>
      <x:c r="D39" s="8" t="str">
        <x:v>S287</x:v>
      </x:c>
      <x:c r="E39" s="8" t="str">
        <x:v>DB1</x:v>
      </x:c>
      <x:c r="F39" s="8" t="str">
        <x:v>A3</x:v>
      </x:c>
      <x:c r="G39" s="8" t="str">
        <x:v>audio</x:v>
      </x:c>
      <x:c r="H39" s="8" t="str">
        <x:v>drop</x:v>
      </x:c>
      <x:c r="I39" s="11" t="n">
        <x:f>SUMIF('Route Points'!$A$7:$A$316,A39,'Route Points'!$F$7:$F$316)</x:f>
        <x:v>6.996000000000001</x:v>
      </x:c>
      <x:c r="J39" s="11" t="n">
        <x:v>70.75913031117919</x:v>
      </x:c>
      <x:c r="K39" s="11" t="n">
        <x:f>IF(L39="Full home run",I39+J39,"")</x:f>
        <x:v>77.75513031117919</x:v>
      </x:c>
      <x:c r="L39" s="8" t="str">
        <x:v>Full home run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Solid tower corner/piers, stepped behind cornices; local ledge/fitting connection. No riser through louver openings; chase/finish and weathering details pending.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trunk:AV1:A3:audio:1</x:v>
      </x:c>
    </x:row>
    <x:row r="40" ht="90" customHeight="1">
      <x:c r="A40" s="8" t="str">
        <x:v>drop:AV1:A3:audio:1:S288</x:v>
      </x:c>
      <x:c r="B40" s="8" t="str">
        <x:v>A3 → Tower horn · H · outer</x:v>
      </x:c>
      <x:c r="C40" s="8" t="str">
        <x:v>AV1</x:v>
      </x:c>
      <x:c r="D40" s="8" t="str">
        <x:v>S288</x:v>
      </x:c>
      <x:c r="E40" s="8" t="str">
        <x:v>DB1</x:v>
      </x:c>
      <x:c r="F40" s="8" t="str">
        <x:v>A3</x:v>
      </x:c>
      <x:c r="G40" s="8" t="str">
        <x:v>audio</x:v>
      </x:c>
      <x:c r="H40" s="8" t="str">
        <x:v>drop</x:v>
      </x:c>
      <x:c r="I40" s="11" t="n">
        <x:f>SUMIF('Route Points'!$A$7:$A$316,A40,'Route Points'!$F$7:$F$316)</x:f>
        <x:v>11.522</x:v>
      </x:c>
      <x:c r="J40" s="11" t="n">
        <x:v>70.75913031117919</x:v>
      </x:c>
      <x:c r="K40" s="11" t="n">
        <x:f>IF(L40="Full home run",I40+J40,"")</x:f>
        <x:v>82.2811303111792</x:v>
      </x:c>
      <x:c r="L40" s="8" t="str">
        <x:v>Full home run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Solid tower corner/piers, stepped behind cornices; local ledge/fitting connection. No riser through louver openings; chase/finish and weathering details pending.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trunk:AV1:A3:audio:1</x:v>
      </x:c>
    </x:row>
    <x:row r="41" ht="90" customHeight="1">
      <x:c r="A41" s="8" t="str">
        <x:v>drop:AV1:A3:audio:1:S289</x:v>
      </x:c>
      <x:c r="B41" s="8" t="str">
        <x:v>A3 → Side courtyard horn · axis 5 · H</x:v>
      </x:c>
      <x:c r="C41" s="8" t="str">
        <x:v>AV1</x:v>
      </x:c>
      <x:c r="D41" s="8" t="str">
        <x:v>S289</x:v>
      </x:c>
      <x:c r="E41" s="8" t="str">
        <x:v>DB1</x:v>
      </x:c>
      <x:c r="F41" s="8" t="str">
        <x:v>A3</x:v>
      </x:c>
      <x:c r="G41" s="8" t="str">
        <x:v>audio</x:v>
      </x:c>
      <x:c r="H41" s="8" t="str">
        <x:v>drop</x:v>
      </x:c>
      <x:c r="I41" s="11" t="n">
        <x:f>SUMIF('Route Points'!$A$7:$A$316,A41,'Route Points'!$F$7:$F$316)</x:f>
        <x:v>5.694172388861077</x:v>
      </x:c>
      <x:c r="J41" s="11" t="n">
        <x:v>54.13413031117919</x:v>
      </x:c>
      <x:c r="K41" s="11" t="n">
        <x:f>IF(L41="Full home run",I41+J41,"")</x:f>
        <x:v>59.82830270004027</x:v>
      </x:c>
      <x:c r="L41" s="8" t="str">
        <x:v>Full home run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Covered roof-soffit crossing into outer arcade / wing-gable wall, then concealed pier drop. No exposed crossing at equipment height.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trunk:AV1:A3:audio:1</x:v>
      </x:c>
    </x:row>
    <x:row r="42" ht="90" customHeight="1">
      <x:c r="A42" s="8" t="str">
        <x:v>drop:AV1:A3:audio:1:S290</x:v>
      </x:c>
      <x:c r="B42" s="8" t="str">
        <x:v>A3 → Side courtyard horn · axis 8 · H</x:v>
      </x:c>
      <x:c r="C42" s="8" t="str">
        <x:v>AV1</x:v>
      </x:c>
      <x:c r="D42" s="8" t="str">
        <x:v>S290</x:v>
      </x:c>
      <x:c r="E42" s="8" t="str">
        <x:v>DB1</x:v>
      </x:c>
      <x:c r="F42" s="8" t="str">
        <x:v>A3</x:v>
      </x:c>
      <x:c r="G42" s="8" t="str">
        <x:v>audio</x:v>
      </x:c>
      <x:c r="H42" s="8" t="str">
        <x:v>drop</x:v>
      </x:c>
      <x:c r="I42" s="11" t="n">
        <x:f>SUMIF('Route Points'!$A$7:$A$316,A42,'Route Points'!$F$7:$F$316)</x:f>
        <x:v>5.694172388861077</x:v>
      </x:c>
      <x:c r="J42" s="11" t="n">
        <x:v>40.63413031117919</x:v>
      </x:c>
      <x:c r="K42" s="11" t="n">
        <x:f>IF(L42="Full home run",I42+J42,"")</x:f>
        <x:v>46.32830270004027</x:v>
      </x:c>
      <x:c r="L42" s="8" t="str">
        <x:v>Full home run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Covered roof-soffit crossing into outer arcade / wing-gable wall, then concealed pier drop. No exposed crossing at equipment height.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trunk:AV1:A3:audio:1</x:v>
      </x:c>
    </x:row>
    <x:row r="43" ht="90" customHeight="1">
      <x:c r="A43" s="8" t="str">
        <x:v>trunk:AV1:MIC:mic:-1</x:v>
      </x:c>
      <x:c r="B43" s="8" t="str">
        <x:v>MIC · B · audio home-run bundle</x:v>
      </x:c>
      <x:c r="C43" s="8" t="str">
        <x:v>AV1</x:v>
      </x:c>
      <x:c r="D43" s="8" t="str">
        <x:v>S291</x:v>
      </x:c>
      <x:c r="E43" s="8" t="str">
        <x:v>DB1</x:v>
      </x:c>
      <x:c r="F43" s="8" t="str">
        <x:v>MIC</x:v>
      </x:c>
      <x:c r="G43" s="8" t="str">
        <x:v>mic</x:v>
      </x:c>
      <x:c r="H43" s="8" t="str">
        <x:v>trunk</x:v>
      </x:c>
      <x:c r="I43" s="11" t="n">
        <x:f>SUMIF('Route Points'!$A$7:$A$316,A43,'Route Points'!$F$7:$F$316)</x:f>
        <x:v>11.915</x:v>
      </x:c>
      <x:c r="J43" s="11"/>
      <x:c r="K43" s="11" t="str">
        <x:f>IF(L43="Full home run",I43+J43,"")</x:f>
      </x:c>
      <x:c r="L43" s="8" t="str">
        <x:v>Shared bundle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Separate microphone home-run bundle below service-room and sanctuary floors; floor build-up / access pending.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drop:AV1:MIC:mic:-1:S291</x:v>
      </x:c>
      <x:c r="B44" s="8" t="str">
        <x:v>MIC → Ambo microphone</x:v>
      </x:c>
      <x:c r="C44" s="8" t="str">
        <x:v>AV1</x:v>
      </x:c>
      <x:c r="D44" s="8" t="str">
        <x:v>S291</x:v>
      </x:c>
      <x:c r="E44" s="8" t="str">
        <x:v>DB1</x:v>
      </x:c>
      <x:c r="F44" s="8" t="str">
        <x:v>MIC</x:v>
      </x:c>
      <x:c r="G44" s="8" t="str">
        <x:v>mic</x:v>
      </x:c>
      <x:c r="H44" s="8" t="str">
        <x:v>drop</x:v>
      </x:c>
      <x:c r="I44" s="11" t="n">
        <x:f>SUMIF('Route Points'!$A$7:$A$316,A44,'Route Points'!$F$7:$F$316)</x:f>
        <x:v>3.6290707536989677</x:v>
      </x:c>
      <x:c r="J44" s="11" t="n">
        <x:v>11.915</x:v>
      </x:c>
      <x:c r="K44" s="11" t="n">
        <x:f>IF(L44="Full home run",I44+J44,"")</x:f>
        <x:v>15.544070753698968</x:v>
      </x:c>
      <x:c r="L44" s="8" t="str">
        <x:v>Full home run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Separate AV-1 home run below floor; central ambo passage through proposed hollow neck, sloped desk and removable microphone socket. Floorbox, furniture bore and access pending.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trunk:AV1:MIC:mic:-1</x:v>
      </x:c>
    </x:row>
    <x:row r="45" ht="90" customHeight="1">
      <x:c r="A45" s="8" t="str">
        <x:v>trunk:AV1:MIC:mic:1</x:v>
      </x:c>
      <x:c r="B45" s="8" t="str">
        <x:v>MIC · H · audio home-run bundle</x:v>
      </x:c>
      <x:c r="C45" s="8" t="str">
        <x:v>AV1</x:v>
      </x:c>
      <x:c r="D45" s="8" t="str">
        <x:v>S292</x:v>
      </x:c>
      <x:c r="E45" s="8" t="str">
        <x:v>DB1</x:v>
      </x:c>
      <x:c r="F45" s="8" t="str">
        <x:v>MIC</x:v>
      </x:c>
      <x:c r="G45" s="8" t="str">
        <x:v>mic</x:v>
      </x:c>
      <x:c r="H45" s="8" t="str">
        <x:v>trunk</x:v>
      </x:c>
      <x:c r="I45" s="11" t="n">
        <x:f>SUMIF('Route Points'!$A$7:$A$316,A45,'Route Points'!$F$7:$F$316)</x:f>
        <x:v>5.744999999999996</x:v>
      </x:c>
      <x:c r="J45" s="11"/>
      <x:c r="K45" s="11" t="str">
        <x:f>IF(L45="Full home run",I45+J45,"")</x:f>
      </x:c>
      <x:c r="L45" s="8" t="str">
        <x:v>Shared bundle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Separate microphone home-run bundle below service-room and sanctuary floors; floor build-up / access pending.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/>
    </x:row>
    <x:row r="46" ht="90" customHeight="1">
      <x:c r="A46" s="8" t="str">
        <x:v>drop:AV1:MIC:mic:1:S292</x:v>
      </x:c>
      <x:c r="B46" s="8" t="str">
        <x:v>MIC → Altar microphone</x:v>
      </x:c>
      <x:c r="C46" s="8" t="str">
        <x:v>AV1</x:v>
      </x:c>
      <x:c r="D46" s="8" t="str">
        <x:v>S292</x:v>
      </x:c>
      <x:c r="E46" s="8" t="str">
        <x:v>DB1</x:v>
      </x:c>
      <x:c r="F46" s="8" t="str">
        <x:v>MIC</x:v>
      </x:c>
      <x:c r="G46" s="8" t="str">
        <x:v>mic</x:v>
      </x:c>
      <x:c r="H46" s="8" t="str">
        <x:v>drop</x:v>
      </x:c>
      <x:c r="I46" s="11" t="n">
        <x:f>SUMIF('Route Points'!$A$7:$A$316,A46,'Route Points'!$F$7:$F$316)</x:f>
        <x:v>2.8499999999999996</x:v>
      </x:c>
      <x:c r="J46" s="11" t="n">
        <x:v>5.744999999999996</x:v>
      </x:c>
      <x:c r="K46" s="11" t="n">
        <x:f>IF(L46="Full home run",I46+J46,"")</x:f>
        <x:v>8.594999999999995</x:v>
      </x:c>
      <x:c r="L46" s="8" t="str">
        <x:v>Full home run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Separate AV-1 home run below the floor; proposed furniture cable passage to microphone base. Floorbox, floor build-up and furniture access pending.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trunk:AV1:MIC:mic:1</x:v>
      </x:c>
    </x:row>
    <x:row r="47" ht="90" customHeight="1">
      <x:c r="A47" s="8" t="str">
        <x:v>drop:AV1:A1:audio:-1:S275</x:v>
      </x:c>
      <x:c r="B47" s="8" t="str">
        <x:v>A1 → Wing speaker · B · front block</x:v>
      </x:c>
      <x:c r="C47" s="8" t="str">
        <x:v>AV1</x:v>
      </x:c>
      <x:c r="D47" s="8" t="str">
        <x:v>S275</x:v>
      </x:c>
      <x:c r="E47" s="8" t="str">
        <x:v>DB1</x:v>
      </x:c>
      <x:c r="F47" s="8" t="str">
        <x:v>A1</x:v>
      </x:c>
      <x:c r="G47" s="8" t="str">
        <x:v>audio</x:v>
      </x:c>
      <x:c r="H47" s="8" t="str">
        <x:v>drop</x:v>
      </x:c>
      <x:c r="I47" s="11" t="n">
        <x:f>SUMIF('Route Points'!$A$7:$A$316,A47,'Route Points'!$F$7:$F$316)</x:f>
        <x:v>9.193150773195871</x:v>
      </x:c>
      <x:c r="J47" s="11" t="n">
        <x:v>35.06942622175582</x:v>
      </x:c>
      <x:c r="K47" s="11" t="n">
        <x:f>IF(L47="Full home run",I47+J47,"")</x:f>
        <x:v>44.26257699495169</x:v>
      </x:c>
      <x:c r="L47" s="8" t="str">
        <x:v>Full home run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nave lining / covered soffit route at wings and verandas; cable continues inside the existing pendant stem. Roof build-up, supports and access pending.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Retired</x:v>
      </x:c>
      <x:c r="Z47" s="8" t="str">
        <x:v>trunk:AV1:A1:audio:-1</x:v>
      </x:c>
    </x:row>
    <x:row r="48" ht="90" customHeight="1">
      <x:c r="A48" s="8" t="str">
        <x:v>drop:AV1:A1:audio:1:S277</x:v>
      </x:c>
      <x:c r="B48" s="8" t="str">
        <x:v>A1 → Wing speaker · H · front block</x:v>
      </x:c>
      <x:c r="C48" s="8" t="str">
        <x:v>AV1</x:v>
      </x:c>
      <x:c r="D48" s="8" t="str">
        <x:v>S277</x:v>
      </x:c>
      <x:c r="E48" s="8" t="str">
        <x:v>DB1</x:v>
      </x:c>
      <x:c r="F48" s="8" t="str">
        <x:v>A1</x:v>
      </x:c>
      <x:c r="G48" s="8" t="str">
        <x:v>audio</x:v>
      </x:c>
      <x:c r="H48" s="8" t="str">
        <x:v>drop</x:v>
      </x:c>
      <x:c r="I48" s="11" t="n">
        <x:f>SUMIF('Route Points'!$A$7:$A$316,A48,'Route Points'!$F$7:$F$316)</x:f>
        <x:v>9.193150773195871</x:v>
      </x:c>
      <x:c r="J48" s="11" t="n">
        <x:v>41.66942622175582</x:v>
      </x:c>
      <x:c r="K48" s="11" t="n">
        <x:f>IF(L48="Full home run",I48+J48,"")</x:f>
        <x:v>50.862576994951695</x:v>
      </x:c>
      <x:c r="L48" s="8" t="str">
        <x:v>Full home run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nave lining / covered soffit route at wings and verandas; cable continues inside the existing pendant stem. Roof build-up, supports and access pending.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Retired</x:v>
      </x:c>
      <x:c r="Z48" s="8" t="str">
        <x:v>trunk:AV1:A1:audio:1</x:v>
      </x:c>
    </x:row>
  </x:sheetData>
  <x:conditionalFormatting sqref="Y7:Y48">
    <x:cfRule type="containsText" dxfId="1" priority="1" operator="containsText" text="Retired"/>
  </x:conditionalFormatting>
  <x:dataValidations count="3">
    <x:dataValidation type="decimal" operator="greaterThanOrEqual" sqref="M7:M48">
      <x:formula1>0</x:formula1>
    </x:dataValidation>
    <x:dataValidation type="decimal" operator="greaterThanOrEqual" sqref="R7:R48">
      <x:formula1>0</x:formula1>
    </x:dataValidation>
    <x:dataValidation type="decimal" operator="greaterThanOrEqual" sqref="S7:S48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7aaefe0044b4d8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trunk:AV1:A1:audio:-1</x:v>
      </x:c>
      <x:c r="B7" s="8" t="n">
        <x:v>1</x:v>
      </x:c>
      <x:c r="C7" s="11" t="n">
        <x:v>49.275</x:v>
      </x:c>
      <x:c r="D7" s="11" t="n">
        <x:v>0.95</x:v>
      </x:c>
      <x:c r="E7" s="11" t="n">
        <x:v>1.4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trunk:AV1:A1:audio:-1</x:v>
      </x:c>
      <x:c r="B8" s="8" t="n">
        <x:v>2</x:v>
      </x:c>
      <x:c r="C8" s="11" t="n">
        <x:v>48.735</x:v>
      </x:c>
      <x:c r="D8" s="11" t="n">
        <x:v>0.95</x:v>
      </x:c>
      <x:c r="E8" s="11" t="n">
        <x:v>1.4</x:v>
      </x:c>
      <x:c r="F8" s="11" t="n">
        <x:f>SQRT((C8-C7)^2+(D8-D7)^2+(E8-E7)^2)</x:f>
        <x:v>0.5399999999999991</x:v>
      </x:c>
      <x:c r="G8" s="8" t="str">
        <x:v>Current</x:v>
      </x:c>
    </x:row>
    <x:row r="9" ht="32" customHeight="1">
      <x:c r="A9" s="8" t="str">
        <x:v>trunk:AV1:A1:audio:-1</x:v>
      </x:c>
      <x:c r="B9" s="8" t="n">
        <x:v>3</x:v>
      </x:c>
      <x:c r="C9" s="11" t="n">
        <x:v>48.735</x:v>
      </x:c>
      <x:c r="D9" s="11" t="n">
        <x:v>0.95</x:v>
      </x:c>
      <x:c r="E9" s="11" t="n">
        <x:v>2.24</x:v>
      </x:c>
      <x:c r="F9" s="11" t="n">
        <x:f>SQRT((C9-C8)^2+(D9-D8)^2+(E9-E8)^2)</x:f>
        <x:v>0.8400000000000003</x:v>
      </x:c>
      <x:c r="G9" s="8" t="str">
        <x:v>Current</x:v>
      </x:c>
    </x:row>
    <x:row r="10" ht="32" customHeight="1">
      <x:c r="A10" s="8" t="str">
        <x:v>trunk:AV1:A1:audio:-1</x:v>
      </x:c>
      <x:c r="B10" s="8" t="n">
        <x:v>4</x:v>
      </x:c>
      <x:c r="C10" s="11" t="n">
        <x:v>48.735</x:v>
      </x:c>
      <x:c r="D10" s="11" t="n">
        <x:v>4.33</x:v>
      </x:c>
      <x:c r="E10" s="11" t="n">
        <x:v>2.24</x:v>
      </x:c>
      <x:c r="F10" s="11" t="n">
        <x:f>SQRT((C10-C9)^2+(D10-D9)^2+(E10-E9)^2)</x:f>
        <x:v>3.38</x:v>
      </x:c>
      <x:c r="G10" s="8" t="str">
        <x:v>Current</x:v>
      </x:c>
    </x:row>
    <x:row r="11" ht="32" customHeight="1">
      <x:c r="A11" s="8" t="str">
        <x:v>trunk:AV1:A1:audio:-1</x:v>
      </x:c>
      <x:c r="B11" s="8" t="n">
        <x:v>5</x:v>
      </x:c>
      <x:c r="C11" s="11" t="n">
        <x:v>48.735</x:v>
      </x:c>
      <x:c r="D11" s="11" t="n">
        <x:v>4.33</x:v>
      </x:c>
      <x:c r="E11" s="11" t="n">
        <x:v>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trunk:AV1:A1:audio:-1</x:v>
      </x:c>
      <x:c r="B12" s="8" t="n">
        <x:v>6</x:v>
      </x:c>
      <x:c r="C12" s="11" t="n">
        <x:v>53.016</x:v>
      </x:c>
      <x:c r="D12" s="11" t="n">
        <x:v>4.33</x:v>
      </x:c>
      <x:c r="E12" s="11" t="n">
        <x:v>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trunk:AV1:A1:audio:-1</x:v>
      </x:c>
      <x:c r="B13" s="8" t="n">
        <x:v>7</x:v>
      </x:c>
      <x:c r="C13" s="11" t="n">
        <x:v>53.016</x:v>
      </x:c>
      <x:c r="D13" s="11" t="n">
        <x:v>5.55</x:v>
      </x:c>
      <x:c r="E13" s="11" t="n">
        <x:v>3.3</x:v>
      </x:c>
      <x:c r="F13" s="11" t="n">
        <x:f>SQRT((C13-C12)^2+(D13-D12)^2+(E13-E12)^2)</x:f>
        <x:v>1.2199999999999998</x:v>
      </x:c>
      <x:c r="G13" s="8" t="str">
        <x:v>Current</x:v>
      </x:c>
    </x:row>
    <x:row r="14" ht="32" customHeight="1">
      <x:c r="A14" s="8" t="str">
        <x:v>trunk:AV1:A1:audio:-1</x:v>
      </x:c>
      <x:c r="B14" s="8" t="n">
        <x:v>8</x:v>
      </x:c>
      <x:c r="C14" s="11" t="n">
        <x:v>53.016</x:v>
      </x:c>
      <x:c r="D14" s="11" t="n">
        <x:v>5.55</x:v>
      </x:c>
      <x:c r="E14" s="11" t="n">
        <x:v>-7.36</x:v>
      </x:c>
      <x:c r="F14" s="11" t="n">
        <x:f>SQRT((C14-C13)^2+(D14-D13)^2+(E14-E13)^2)</x:f>
        <x:v>10.66</x:v>
      </x:c>
      <x:c r="G14" s="8" t="str">
        <x:v>Current</x:v>
      </x:c>
    </x:row>
    <x:row r="15" ht="32" customHeight="1">
      <x:c r="A15" s="8" t="str">
        <x:v>trunk:AV1:A1:audio:-1</x:v>
      </x:c>
      <x:c r="B15" s="8" t="n">
        <x:v>9</x:v>
      </x:c>
      <x:c r="C15" s="11" t="n">
        <x:v>44.175</x:v>
      </x:c>
      <x:c r="D15" s="11" t="n">
        <x:v>5.55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trunk:AV1:A1:audio:-1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1.4900000000000002</x:v>
      </x:c>
      <x:c r="G16" s="8" t="str">
        <x:v>Current</x:v>
      </x:c>
    </x:row>
    <x:row r="17" ht="32" customHeight="1">
      <x:c r="A17" s="8" t="str">
        <x:v>trunk:AV1:A1:audio:-1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trunk:AV1:A1:audio:-1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trunk:AV1:A1:audio:-1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trunk:AV1:A1:audio:-1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trunk:AV1:A1:audio:-1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trunk:AV1:A1:audio:-1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trunk:AV1:A1:audio:-1</x:v>
      </x:c>
      <x:c r="B23" s="8" t="n">
        <x:v>17</x:v>
      </x:c>
      <x:c r="C23" s="11" t="n">
        <x:v>36.975</x:v>
      </x:c>
      <x:c r="D23" s="11" t="n">
        <x:v>5.55</x:v>
      </x:c>
      <x:c r="E23" s="11" t="n">
        <x:v>-7.36</x:v>
      </x:c>
      <x:c r="F23" s="11" t="n">
        <x:f>SQRT((C23-C22)^2+(D23-D22)^2+(E23-E22)^2)</x:f>
        <x:v>1.4900000000000002</x:v>
      </x:c>
      <x:c r="G23" s="8" t="str">
        <x:v>Current</x:v>
      </x:c>
    </x:row>
    <x:row r="24" ht="32" customHeight="1">
      <x:c r="A24" s="8" t="str">
        <x:v>trunk:AV1:A1:audio:-1</x:v>
      </x:c>
      <x:c r="B24" s="8" t="n">
        <x:v>18</x:v>
      </x:c>
      <x:c r="C24" s="11" t="n">
        <x:v>14.045000000000002</x:v>
      </x:c>
      <x:c r="D24" s="11" t="n">
        <x:v>5.55</x:v>
      </x:c>
      <x:c r="E24" s="11" t="n">
        <x:v>-7.36</x:v>
      </x:c>
      <x:c r="F24" s="11" t="n">
        <x:f>SQRT((C24-C23)^2+(D24-D23)^2+(E24-E23)^2)</x:f>
        <x:v>22.93</x:v>
      </x:c>
      <x:c r="G24" s="8" t="str">
        <x:v>Current</x:v>
      </x:c>
    </x:row>
    <x:row r="25" ht="32" customHeight="1">
      <x:c r="A25" s="8" t="str">
        <x:v>drop:AV1:A1:audio:-1:S261</x:v>
      </x:c>
      <x:c r="B25" s="8" t="n">
        <x:v>1</x:v>
      </x:c>
      <x:c r="C25" s="11" t="n">
        <x:v>14.045000000000002</x:v>
      </x:c>
      <x:c r="D25" s="11" t="n">
        <x:v>5.55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drop:AV1:A1:audio:-1:S261</x:v>
      </x:c>
      <x:c r="B26" s="8" t="n">
        <x:v>2</x:v>
      </x:c>
      <x:c r="C26" s="11" t="n">
        <x:v>14.045000000000002</x:v>
      </x:c>
      <x:c r="D26" s="11" t="n">
        <x:v>3.45</x:v>
      </x:c>
      <x:c r="E26" s="11" t="n">
        <x:v>-7.36</x:v>
      </x:c>
      <x:c r="F26" s="11" t="n">
        <x:f>SQRT((C26-C25)^2+(D26-D25)^2+(E26-E25)^2)</x:f>
        <x:v>2.0999999999999996</x:v>
      </x:c>
      <x:c r="G26" s="8" t="str">
        <x:v>Current</x:v>
      </x:c>
    </x:row>
    <x:row r="27" ht="32" customHeight="1">
      <x:c r="A27" s="8" t="str">
        <x:v>drop:AV1:A1:audio:-1:S261</x:v>
      </x:c>
      <x:c r="B27" s="8" t="n">
        <x:v>3</x:v>
      </x:c>
      <x:c r="C27" s="11" t="n">
        <x:v>14.045</x:v>
      </x:c>
      <x:c r="D27" s="11" t="n">
        <x:v>3.45</x:v>
      </x:c>
      <x:c r="E27" s="11" t="n">
        <x:v>-7.25</x:v>
      </x:c>
      <x:c r="F27" s="11" t="n">
        <x:f>SQRT((C27-C26)^2+(D27-D26)^2+(E27-E26)^2)</x:f>
        <x:v>0.11000000000000032</x:v>
      </x:c>
      <x:c r="G27" s="8" t="str">
        <x:v>Current</x:v>
      </x:c>
    </x:row>
    <x:row r="28" ht="32" customHeight="1">
      <x:c r="A28" s="8" t="str">
        <x:v>drop:AV1:A1:audio:-1:S263</x:v>
      </x:c>
      <x:c r="B28" s="8" t="n">
        <x:v>1</x:v>
      </x:c>
      <x:c r="C28" s="11" t="n">
        <x:v>18.545</x:v>
      </x:c>
      <x:c r="D28" s="11" t="n">
        <x:v>5.55</x:v>
      </x:c>
      <x:c r="E28" s="11" t="n">
        <x:v>-7.36</x:v>
      </x:c>
      <x:c r="F28" s="11" t="n">
        <x:f>0</x:f>
        <x:v>0</x:v>
      </x:c>
      <x:c r="G28" s="8" t="str">
        <x:v>Current</x:v>
      </x:c>
    </x:row>
    <x:row r="29" ht="32" customHeight="1">
      <x:c r="A29" s="8" t="str">
        <x:v>drop:AV1:A1:audio:-1:S263</x:v>
      </x:c>
      <x:c r="B29" s="8" t="n">
        <x:v>2</x:v>
      </x:c>
      <x:c r="C29" s="11" t="n">
        <x:v>18.545</x:v>
      </x:c>
      <x:c r="D29" s="11" t="n">
        <x:v>3.45</x:v>
      </x:c>
      <x:c r="E29" s="11" t="n">
        <x:v>-7.36</x:v>
      </x:c>
      <x:c r="F29" s="11" t="n">
        <x:f>SQRT((C29-C28)^2+(D29-D28)^2+(E29-E28)^2)</x:f>
        <x:v>2.0999999999999996</x:v>
      </x:c>
      <x:c r="G29" s="8" t="str">
        <x:v>Current</x:v>
      </x:c>
    </x:row>
    <x:row r="30" ht="32" customHeight="1">
      <x:c r="A30" s="8" t="str">
        <x:v>drop:AV1:A1:audio:-1:S263</x:v>
      </x:c>
      <x:c r="B30" s="8" t="n">
        <x:v>3</x:v>
      </x:c>
      <x:c r="C30" s="11" t="n">
        <x:v>18.545</x:v>
      </x:c>
      <x:c r="D30" s="11" t="n">
        <x:v>3.45</x:v>
      </x:c>
      <x:c r="E30" s="11" t="n">
        <x:v>-7.25</x:v>
      </x:c>
      <x:c r="F30" s="11" t="n">
        <x:f>SQRT((C30-C29)^2+(D30-D29)^2+(E30-E29)^2)</x:f>
        <x:v>0.11000000000000032</x:v>
      </x:c>
      <x:c r="G30" s="8" t="str">
        <x:v>Current</x:v>
      </x:c>
    </x:row>
    <x:row r="31" ht="32" customHeight="1">
      <x:c r="A31" s="8" t="str">
        <x:v>drop:AV1:A1:audio:-1:S265</x:v>
      </x:c>
      <x:c r="B31" s="8" t="n">
        <x:v>1</x:v>
      </x:c>
      <x:c r="C31" s="11" t="n">
        <x:v>23.045</x:v>
      </x:c>
      <x:c r="D31" s="11" t="n">
        <x:v>5.55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drop:AV1:A1:audio:-1:S265</x:v>
      </x:c>
      <x:c r="B32" s="8" t="n">
        <x:v>2</x:v>
      </x:c>
      <x:c r="C32" s="11" t="n">
        <x:v>23.045</x:v>
      </x:c>
      <x:c r="D32" s="11" t="n">
        <x:v>3.45</x:v>
      </x:c>
      <x:c r="E32" s="11" t="n">
        <x:v>-7.36</x:v>
      </x:c>
      <x:c r="F32" s="11" t="n">
        <x:f>SQRT((C32-C31)^2+(D32-D31)^2+(E32-E31)^2)</x:f>
        <x:v>2.0999999999999996</x:v>
      </x:c>
      <x:c r="G32" s="8" t="str">
        <x:v>Current</x:v>
      </x:c>
    </x:row>
    <x:row r="33" ht="32" customHeight="1">
      <x:c r="A33" s="8" t="str">
        <x:v>drop:AV1:A1:audio:-1:S265</x:v>
      </x:c>
      <x:c r="B33" s="8" t="n">
        <x:v>3</x:v>
      </x:c>
      <x:c r="C33" s="11" t="n">
        <x:v>23.045</x:v>
      </x:c>
      <x:c r="D33" s="11" t="n">
        <x:v>3.45</x:v>
      </x:c>
      <x:c r="E33" s="11" t="n">
        <x:v>-7.25</x:v>
      </x:c>
      <x:c r="F33" s="11" t="n">
        <x:f>SQRT((C33-C32)^2+(D33-D32)^2+(E33-E32)^2)</x:f>
        <x:v>0.11000000000000032</x:v>
      </x:c>
      <x:c r="G33" s="8" t="str">
        <x:v>Current</x:v>
      </x:c>
    </x:row>
    <x:row r="34" ht="32" customHeight="1">
      <x:c r="A34" s="8" t="str">
        <x:v>drop:AV1:A1:audio:-1:S267</x:v>
      </x:c>
      <x:c r="B34" s="8" t="n">
        <x:v>1</x:v>
      </x:c>
      <x:c r="C34" s="11" t="n">
        <x:v>27.545</x:v>
      </x:c>
      <x:c r="D34" s="11" t="n">
        <x:v>5.55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drop:AV1:A1:audio:-1:S267</x:v>
      </x:c>
      <x:c r="B35" s="8" t="n">
        <x:v>2</x:v>
      </x:c>
      <x:c r="C35" s="11" t="n">
        <x:v>27.545</x:v>
      </x:c>
      <x:c r="D35" s="11" t="n">
        <x:v>3.45</x:v>
      </x:c>
      <x:c r="E35" s="11" t="n">
        <x:v>-7.36</x:v>
      </x:c>
      <x:c r="F35" s="11" t="n">
        <x:f>SQRT((C35-C34)^2+(D35-D34)^2+(E35-E34)^2)</x:f>
        <x:v>2.0999999999999996</x:v>
      </x:c>
      <x:c r="G35" s="8" t="str">
        <x:v>Current</x:v>
      </x:c>
    </x:row>
    <x:row r="36" ht="32" customHeight="1">
      <x:c r="A36" s="8" t="str">
        <x:v>drop:AV1:A1:audio:-1:S267</x:v>
      </x:c>
      <x:c r="B36" s="8" t="n">
        <x:v>3</x:v>
      </x:c>
      <x:c r="C36" s="11" t="n">
        <x:v>27.545</x:v>
      </x:c>
      <x:c r="D36" s="11" t="n">
        <x:v>3.45</x:v>
      </x:c>
      <x:c r="E36" s="11" t="n">
        <x:v>-7.25</x:v>
      </x:c>
      <x:c r="F36" s="11" t="n">
        <x:f>SQRT((C36-C35)^2+(D36-D35)^2+(E36-E35)^2)</x:f>
        <x:v>0.11000000000000032</x:v>
      </x:c>
      <x:c r="G36" s="8" t="str">
        <x:v>Current</x:v>
      </x:c>
    </x:row>
    <x:row r="37" ht="32" customHeight="1">
      <x:c r="A37" s="8" t="str">
        <x:v>drop:AV1:A1:audio:-1:S269</x:v>
      </x:c>
      <x:c r="B37" s="8" t="n">
        <x:v>1</x:v>
      </x:c>
      <x:c r="C37" s="11" t="n">
        <x:v>32.045</x:v>
      </x:c>
      <x:c r="D37" s="11" t="n">
        <x:v>5.55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drop:AV1:A1:audio:-1:S269</x:v>
      </x:c>
      <x:c r="B38" s="8" t="n">
        <x:v>2</x:v>
      </x:c>
      <x:c r="C38" s="11" t="n">
        <x:v>32.045</x:v>
      </x:c>
      <x:c r="D38" s="11" t="n">
        <x:v>3.45</x:v>
      </x:c>
      <x:c r="E38" s="11" t="n">
        <x:v>-7.36</x:v>
      </x:c>
      <x:c r="F38" s="11" t="n">
        <x:f>SQRT((C38-C37)^2+(D38-D37)^2+(E38-E37)^2)</x:f>
        <x:v>2.0999999999999996</x:v>
      </x:c>
      <x:c r="G38" s="8" t="str">
        <x:v>Current</x:v>
      </x:c>
    </x:row>
    <x:row r="39" ht="32" customHeight="1">
      <x:c r="A39" s="8" t="str">
        <x:v>drop:AV1:A1:audio:-1:S269</x:v>
      </x:c>
      <x:c r="B39" s="8" t="n">
        <x:v>3</x:v>
      </x:c>
      <x:c r="C39" s="11" t="n">
        <x:v>32.045</x:v>
      </x:c>
      <x:c r="D39" s="11" t="n">
        <x:v>3.45</x:v>
      </x:c>
      <x:c r="E39" s="11" t="n">
        <x:v>-7.25</x:v>
      </x:c>
      <x:c r="F39" s="11" t="n">
        <x:f>SQRT((C39-C38)^2+(D39-D38)^2+(E39-E38)^2)</x:f>
        <x:v>0.11000000000000032</x:v>
      </x:c>
      <x:c r="G39" s="8" t="str">
        <x:v>Current</x:v>
      </x:c>
    </x:row>
    <x:row r="40" ht="32" customHeight="1">
      <x:c r="A40" s="8" t="str">
        <x:v>drop:AV1:A1:audio:-1:S271</x:v>
      </x:c>
      <x:c r="B40" s="8" t="n">
        <x:v>1</x:v>
      </x:c>
      <x:c r="C40" s="11" t="n">
        <x:v>36.545</x:v>
      </x:c>
      <x:c r="D40" s="11" t="n">
        <x:v>5.55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drop:AV1:A1:audio:-1:S271</x:v>
      </x:c>
      <x:c r="B41" s="8" t="n">
        <x:v>2</x:v>
      </x:c>
      <x:c r="C41" s="11" t="n">
        <x:v>36.545</x:v>
      </x:c>
      <x:c r="D41" s="11" t="n">
        <x:v>3.45</x:v>
      </x:c>
      <x:c r="E41" s="11" t="n">
        <x:v>-7.36</x:v>
      </x:c>
      <x:c r="F41" s="11" t="n">
        <x:f>SQRT((C41-C40)^2+(D41-D40)^2+(E41-E40)^2)</x:f>
        <x:v>2.0999999999999996</x:v>
      </x:c>
      <x:c r="G41" s="8" t="str">
        <x:v>Current</x:v>
      </x:c>
    </x:row>
    <x:row r="42" ht="32" customHeight="1">
      <x:c r="A42" s="8" t="str">
        <x:v>drop:AV1:A1:audio:-1:S271</x:v>
      </x:c>
      <x:c r="B42" s="8" t="n">
        <x:v>3</x:v>
      </x:c>
      <x:c r="C42" s="11" t="n">
        <x:v>36.545</x:v>
      </x:c>
      <x:c r="D42" s="11" t="n">
        <x:v>3.45</x:v>
      </x:c>
      <x:c r="E42" s="11" t="n">
        <x:v>-7.25</x:v>
      </x:c>
      <x:c r="F42" s="11" t="n">
        <x:f>SQRT((C42-C41)^2+(D42-D41)^2+(E42-E41)^2)</x:f>
        <x:v>0.11000000000000032</x:v>
      </x:c>
      <x:c r="G42" s="8" t="str">
        <x:v>Current</x:v>
      </x:c>
    </x:row>
    <x:row r="43" ht="32" customHeight="1">
      <x:c r="A43" s="8" t="str">
        <x:v>drop:AV1:A1:audio:-1:S276</x:v>
      </x:c>
      <x:c r="B43" s="8" t="n">
        <x:v>1</x:v>
      </x:c>
      <x:c r="C43" s="11" t="n">
        <x:v>43.72</x:v>
      </x:c>
      <x:c r="D43" s="11" t="n">
        <x:v>7.04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drop:AV1:A1:audio:-1:S276</x:v>
      </x:c>
      <x:c r="B44" s="8" t="n">
        <x:v>2</x:v>
      </x:c>
      <x:c r="C44" s="11" t="n">
        <x:v>43.72</x:v>
      </x:c>
      <x:c r="D44" s="11" t="n">
        <x:v>6.932303102135284</x:v>
      </x:c>
      <x:c r="E44" s="11" t="n">
        <x:v>-7.439581081081082</x:v>
      </x:c>
      <x:c r="F44" s="11" t="n">
        <x:f>SQRT((C44-C43)^2+(D44-D43)^2+(E44-E43)^2)</x:f>
        <x:v>0.13390956006094815</x:v>
      </x:c>
      <x:c r="G44" s="8" t="str">
        <x:v>Current</x:v>
      </x:c>
    </x:row>
    <x:row r="45" ht="32" customHeight="1">
      <x:c r="A45" s="8" t="str">
        <x:v>drop:AV1:A1:audio:-1:S276</x:v>
      </x:c>
      <x:c r="B45" s="8" t="n">
        <x:v>3</x:v>
      </x:c>
      <x:c r="C45" s="11" t="n">
        <x:v>43.72</x:v>
      </x:c>
      <x:c r="D45" s="11" t="n">
        <x:v>6.737637225623414</x:v>
      </x:c>
      <x:c r="E45" s="11" t="n">
        <x:v>-8.314972972972974</x:v>
      </x:c>
      <x:c r="F45" s="11" t="n">
        <x:f>SQRT((C45-C44)^2+(D45-D44)^2+(E45-E44)^2)</x:f>
        <x:v>0.8967752047576926</x:v>
      </x:c>
      <x:c r="G45" s="8" t="str">
        <x:v>Current</x:v>
      </x:c>
    </x:row>
    <x:row r="46" ht="32" customHeight="1">
      <x:c r="A46" s="8" t="str">
        <x:v>drop:AV1:A1:audio:-1:S276</x:v>
      </x:c>
      <x:c r="B46" s="8" t="n">
        <x:v>4</x:v>
      </x:c>
      <x:c r="C46" s="11" t="n">
        <x:v>43.72</x:v>
      </x:c>
      <x:c r="D46" s="11" t="n">
        <x:v>6.736978092783508</x:v>
      </x:c>
      <x:c r="E46" s="11" t="n">
        <x:v>-8.394554054054055</x:v>
      </x:c>
      <x:c r="F46" s="11" t="n">
        <x:f>SQRT((C46-C45)^2+(D46-D45)^2+(E46-E45)^2)</x:f>
        <x:v>0.07958381067864351</x:v>
      </x:c>
      <x:c r="G46" s="8" t="str">
        <x:v>Current</x:v>
      </x:c>
    </x:row>
    <x:row r="47" ht="32" customHeight="1">
      <x:c r="A47" s="8" t="str">
        <x:v>drop:AV1:A1:audio:-1:S276</x:v>
      </x:c>
      <x:c r="B47" s="8" t="n">
        <x:v>5</x:v>
      </x:c>
      <x:c r="C47" s="11" t="n">
        <x:v>43.72</x:v>
      </x:c>
      <x:c r="D47" s="11" t="n">
        <x:v>6.736978092783508</x:v>
      </x:c>
      <x:c r="E47" s="11" t="n">
        <x:v>-13.249</x:v>
      </x:c>
      <x:c r="F47" s="11" t="n">
        <x:f>SQRT((C47-C46)^2+(D47-D46)^2+(E47-E46)^2)</x:f>
        <x:v>4.854445945945946</x:v>
      </x:c>
      <x:c r="G47" s="8" t="str">
        <x:v>Current</x:v>
      </x:c>
    </x:row>
    <x:row r="48" ht="32" customHeight="1">
      <x:c r="A48" s="8" t="str">
        <x:v>drop:AV1:A1:audio:-1:S276</x:v>
      </x:c>
      <x:c r="B48" s="8" t="n">
        <x:v>6</x:v>
      </x:c>
      <x:c r="C48" s="11" t="n">
        <x:v>43.72</x:v>
      </x:c>
      <x:c r="D48" s="11" t="n">
        <x:v>4.85</x:v>
      </x:c>
      <x:c r="E48" s="11" t="n">
        <x:v>-13.249</x:v>
      </x:c>
      <x:c r="F48" s="11" t="n">
        <x:f>SQRT((C48-C47)^2+(D48-D47)^2+(E48-E47)^2)</x:f>
        <x:v>1.886978092783508</x:v>
      </x:c>
      <x:c r="G48" s="8" t="str">
        <x:v>Current</x:v>
      </x:c>
    </x:row>
    <x:row r="49" ht="32" customHeight="1">
      <x:c r="A49" s="8" t="str">
        <x:v>drop:AV1:A1:audio:-1:S276</x:v>
      </x:c>
      <x:c r="B49" s="8" t="n">
        <x:v>7</x:v>
      </x:c>
      <x:c r="C49" s="11" t="n">
        <x:v>43.72</x:v>
      </x:c>
      <x:c r="D49" s="11" t="n">
        <x:v>4.85</x:v>
      </x:c>
      <x:c r="E49" s="11" t="n">
        <x:v>-13.06</x:v>
      </x:c>
      <x:c r="F49" s="11" t="n">
        <x:f>SQRT((C49-C48)^2+(D49-D48)^2+(E49-E48)^2)</x:f>
        <x:v>0.18900000000000006</x:v>
      </x:c>
      <x:c r="G49" s="8" t="str">
        <x:v>Current</x:v>
      </x:c>
    </x:row>
    <x:row r="50" ht="32" customHeight="1">
      <x:c r="A50" s="8" t="str">
        <x:v>trunk:AV1:A1:audio:1</x:v>
      </x:c>
      <x:c r="B50" s="8" t="n">
        <x:v>1</x:v>
      </x:c>
      <x:c r="C50" s="11" t="n">
        <x:v>49.275</x:v>
      </x:c>
      <x:c r="D50" s="11" t="n">
        <x:v>0.95</x:v>
      </x:c>
      <x:c r="E50" s="11" t="n">
        <x:v>1.4</x:v>
      </x:c>
      <x:c r="F50" s="11" t="n">
        <x:f>0</x:f>
        <x:v>0</x:v>
      </x:c>
      <x:c r="G50" s="8" t="str">
        <x:v>Current</x:v>
      </x:c>
    </x:row>
    <x:row r="51" ht="32" customHeight="1">
      <x:c r="A51" s="8" t="str">
        <x:v>trunk:AV1:A1:audio:1</x:v>
      </x:c>
      <x:c r="B51" s="8" t="n">
        <x:v>2</x:v>
      </x:c>
      <x:c r="C51" s="11" t="n">
        <x:v>48.735</x:v>
      </x:c>
      <x:c r="D51" s="11" t="n">
        <x:v>0.95</x:v>
      </x:c>
      <x:c r="E51" s="11" t="n">
        <x:v>1.4</x:v>
      </x:c>
      <x:c r="F51" s="11" t="n">
        <x:f>SQRT((C51-C50)^2+(D51-D50)^2+(E51-E50)^2)</x:f>
        <x:v>0.5399999999999991</x:v>
      </x:c>
      <x:c r="G51" s="8" t="str">
        <x:v>Current</x:v>
      </x:c>
    </x:row>
    <x:row r="52" ht="32" customHeight="1">
      <x:c r="A52" s="8" t="str">
        <x:v>trunk:AV1:A1:audio:1</x:v>
      </x:c>
      <x:c r="B52" s="8" t="n">
        <x:v>3</x:v>
      </x:c>
      <x:c r="C52" s="11" t="n">
        <x:v>48.735</x:v>
      </x:c>
      <x:c r="D52" s="11" t="n">
        <x:v>0.95</x:v>
      </x:c>
      <x:c r="E52" s="11" t="n">
        <x:v>2.24</x:v>
      </x:c>
      <x:c r="F52" s="11" t="n">
        <x:f>SQRT((C52-C51)^2+(D52-D51)^2+(E52-E51)^2)</x:f>
        <x:v>0.8400000000000003</x:v>
      </x:c>
      <x:c r="G52" s="8" t="str">
        <x:v>Current</x:v>
      </x:c>
    </x:row>
    <x:row r="53" ht="32" customHeight="1">
      <x:c r="A53" s="8" t="str">
        <x:v>trunk:AV1:A1:audio:1</x:v>
      </x:c>
      <x:c r="B53" s="8" t="n">
        <x:v>4</x:v>
      </x:c>
      <x:c r="C53" s="11" t="n">
        <x:v>48.735</x:v>
      </x:c>
      <x:c r="D53" s="11" t="n">
        <x:v>4.33</x:v>
      </x:c>
      <x:c r="E53" s="11" t="n">
        <x:v>2.24</x:v>
      </x:c>
      <x:c r="F53" s="11" t="n">
        <x:f>SQRT((C53-C52)^2+(D53-D52)^2+(E53-E52)^2)</x:f>
        <x:v>3.38</x:v>
      </x:c>
      <x:c r="G53" s="8" t="str">
        <x:v>Current</x:v>
      </x:c>
    </x:row>
    <x:row r="54" ht="32" customHeight="1">
      <x:c r="A54" s="8" t="str">
        <x:v>trunk:AV1:A1:audio:1</x:v>
      </x:c>
      <x:c r="B54" s="8" t="n">
        <x:v>5</x:v>
      </x:c>
      <x:c r="C54" s="11" t="n">
        <x:v>48.735</x:v>
      </x:c>
      <x:c r="D54" s="11" t="n">
        <x:v>4.33</x:v>
      </x:c>
      <x:c r="E54" s="11" t="n">
        <x:v>3.3</x:v>
      </x:c>
      <x:c r="F54" s="11" t="n">
        <x:f>SQRT((C54-C53)^2+(D54-D53)^2+(E54-E53)^2)</x:f>
        <x:v>1.0599999999999996</x:v>
      </x:c>
      <x:c r="G54" s="8" t="str">
        <x:v>Current</x:v>
      </x:c>
    </x:row>
    <x:row r="55" ht="32" customHeight="1">
      <x:c r="A55" s="8" t="str">
        <x:v>trunk:AV1:A1:audio:1</x:v>
      </x:c>
      <x:c r="B55" s="8" t="n">
        <x:v>6</x:v>
      </x:c>
      <x:c r="C55" s="11" t="n">
        <x:v>53.016</x:v>
      </x:c>
      <x:c r="D55" s="11" t="n">
        <x:v>4.33</x:v>
      </x:c>
      <x:c r="E55" s="11" t="n">
        <x:v>3.3</x:v>
      </x:c>
      <x:c r="F55" s="11" t="n">
        <x:f>SQRT((C55-C54)^2+(D55-D54)^2+(E55-E54)^2)</x:f>
        <x:v>4.280999999999999</x:v>
      </x:c>
      <x:c r="G55" s="8" t="str">
        <x:v>Current</x:v>
      </x:c>
    </x:row>
    <x:row r="56" ht="32" customHeight="1">
      <x:c r="A56" s="8" t="str">
        <x:v>trunk:AV1:A1:audio:1</x:v>
      </x:c>
      <x:c r="B56" s="8" t="n">
        <x:v>7</x:v>
      </x:c>
      <x:c r="C56" s="11" t="n">
        <x:v>53.016</x:v>
      </x:c>
      <x:c r="D56" s="11" t="n">
        <x:v>5.55</x:v>
      </x:c>
      <x:c r="E56" s="11" t="n">
        <x:v>3.3</x:v>
      </x:c>
      <x:c r="F56" s="11" t="n">
        <x:f>SQRT((C56-C55)^2+(D56-D55)^2+(E56-E55)^2)</x:f>
        <x:v>1.2199999999999998</x:v>
      </x:c>
      <x:c r="G56" s="8" t="str">
        <x:v>Current</x:v>
      </x:c>
    </x:row>
    <x:row r="57" ht="32" customHeight="1">
      <x:c r="A57" s="8" t="str">
        <x:v>trunk:AV1:A1:audio:1</x:v>
      </x:c>
      <x:c r="B57" s="8" t="n">
        <x:v>8</x:v>
      </x:c>
      <x:c r="C57" s="11" t="n">
        <x:v>53.016</x:v>
      </x:c>
      <x:c r="D57" s="11" t="n">
        <x:v>5.55</x:v>
      </x:c>
      <x:c r="E57" s="11" t="n">
        <x:v>7.36</x:v>
      </x:c>
      <x:c r="F57" s="11" t="n">
        <x:f>SQRT((C57-C56)^2+(D57-D56)^2+(E57-E56)^2)</x:f>
        <x:v>4.0600000000000005</x:v>
      </x:c>
      <x:c r="G57" s="8" t="str">
        <x:v>Current</x:v>
      </x:c>
    </x:row>
    <x:row r="58" ht="32" customHeight="1">
      <x:c r="A58" s="8" t="str">
        <x:v>trunk:AV1:A1:audio:1</x:v>
      </x:c>
      <x:c r="B58" s="8" t="n">
        <x:v>9</x:v>
      </x:c>
      <x:c r="C58" s="11" t="n">
        <x:v>44.175</x:v>
      </x:c>
      <x:c r="D58" s="11" t="n">
        <x:v>5.55</x:v>
      </x:c>
      <x:c r="E58" s="11" t="n">
        <x:v>7.36</x:v>
      </x:c>
      <x:c r="F58" s="11" t="n">
        <x:f>SQRT((C58-C57)^2+(D58-D57)^2+(E58-E57)^2)</x:f>
        <x:v>8.841000000000001</x:v>
      </x:c>
      <x:c r="G58" s="8" t="str">
        <x:v>Current</x:v>
      </x:c>
    </x:row>
    <x:row r="59" ht="32" customHeight="1">
      <x:c r="A59" s="8" t="str">
        <x:v>trunk:AV1:A1:audio:1</x:v>
      </x:c>
      <x:c r="B59" s="8" t="n">
        <x:v>10</x:v>
      </x:c>
      <x:c r="C59" s="11" t="n">
        <x:v>44.175</x:v>
      </x:c>
      <x:c r="D59" s="11" t="n">
        <x:v>7.04</x:v>
      </x:c>
      <x:c r="E59" s="11" t="n">
        <x:v>7.36</x:v>
      </x:c>
      <x:c r="F59" s="11" t="n">
        <x:f>SQRT((C59-C58)^2+(D59-D58)^2+(E59-E58)^2)</x:f>
        <x:v>1.4900000000000002</x:v>
      </x:c>
      <x:c r="G59" s="8" t="str">
        <x:v>Current</x:v>
      </x:c>
    </x:row>
    <x:row r="60" ht="32" customHeight="1">
      <x:c r="A60" s="8" t="str">
        <x:v>trunk:AV1:A1:audio:1</x:v>
      </x:c>
      <x:c r="B60" s="8" t="n">
        <x:v>11</x:v>
      </x:c>
      <x:c r="C60" s="11" t="n">
        <x:v>43.535</x:v>
      </x:c>
      <x:c r="D60" s="11" t="n">
        <x:v>7.04</x:v>
      </x:c>
      <x:c r="E60" s="11" t="n">
        <x:v>7.36</x:v>
      </x:c>
      <x:c r="F60" s="11" t="n">
        <x:f>SQRT((C60-C59)^2+(D60-D59)^2+(E60-E59)^2)</x:f>
        <x:v>0.6400000000000006</x:v>
      </x:c>
      <x:c r="G60" s="8" t="str">
        <x:v>Current</x:v>
      </x:c>
    </x:row>
    <x:row r="61" ht="32" customHeight="1">
      <x:c r="A61" s="8" t="str">
        <x:v>trunk:AV1:A1:audio:1</x:v>
      </x:c>
      <x:c r="B61" s="8" t="n">
        <x:v>12</x:v>
      </x:c>
      <x:c r="C61" s="11" t="n">
        <x:v>43.455</x:v>
      </x:c>
      <x:c r="D61" s="11" t="n">
        <x:v>6.950412371134024</x:v>
      </x:c>
      <x:c r="E61" s="11" t="n">
        <x:v>7.36</x:v>
      </x:c>
      <x:c r="F61" s="11" t="n">
        <x:f>SQRT((C61-C60)^2+(D61-D60)^2+(E61-E60)^2)</x:f>
        <x:v>0.12010804821421249</x:v>
      </x:c>
      <x:c r="G61" s="8" t="str">
        <x:v>Current</x:v>
      </x:c>
    </x:row>
    <x:row r="62" ht="32" customHeight="1">
      <x:c r="A62" s="8" t="str">
        <x:v>trunk:AV1:A1:audio:1</x:v>
      </x:c>
      <x:c r="B62" s="8" t="n">
        <x:v>13</x:v>
      </x:c>
      <x:c r="C62" s="11" t="n">
        <x:v>40.574999999999996</x:v>
      </x:c>
      <x:c r="D62" s="11" t="n">
        <x:v>9.269999999999994</x:v>
      </x:c>
      <x:c r="E62" s="11" t="n">
        <x:v>7.36</x:v>
      </x:c>
      <x:c r="F62" s="11" t="n">
        <x:f>SQRT((C62-C61)^2+(D62-D61)^2+(E62-E61)^2)</x:f>
        <x:v>3.6979571073753776</x:v>
      </x:c>
      <x:c r="G62" s="8" t="str">
        <x:v>Current</x:v>
      </x:c>
    </x:row>
    <x:row r="63" ht="32" customHeight="1">
      <x:c r="A63" s="8" t="str">
        <x:v>trunk:AV1:A1:audio:1</x:v>
      </x:c>
      <x:c r="B63" s="8" t="n">
        <x:v>14</x:v>
      </x:c>
      <x:c r="C63" s="11" t="n">
        <x:v>37.695</x:v>
      </x:c>
      <x:c r="D63" s="11" t="n">
        <x:v>6.950412371134018</x:v>
      </x:c>
      <x:c r="E63" s="11" t="n">
        <x:v>7.36</x:v>
      </x:c>
      <x:c r="F63" s="11" t="n">
        <x:f>SQRT((C63-C62)^2+(D63-D62)^2+(E63-E62)^2)</x:f>
        <x:v>3.697957107375376</x:v>
      </x:c>
      <x:c r="G63" s="8" t="str">
        <x:v>Current</x:v>
      </x:c>
    </x:row>
    <x:row r="64" ht="32" customHeight="1">
      <x:c r="A64" s="8" t="str">
        <x:v>trunk:AV1:A1:audio:1</x:v>
      </x:c>
      <x:c r="B64" s="8" t="n">
        <x:v>15</x:v>
      </x:c>
      <x:c r="C64" s="11" t="n">
        <x:v>37.615</x:v>
      </x:c>
      <x:c r="D64" s="11" t="n">
        <x:v>7.04</x:v>
      </x:c>
      <x:c r="E64" s="11" t="n">
        <x:v>7.36</x:v>
      </x:c>
      <x:c r="F64" s="11" t="n">
        <x:f>SQRT((C64-C63)^2+(D64-D63)^2+(E64-E63)^2)</x:f>
        <x:v>0.12010804821421713</x:v>
      </x:c>
      <x:c r="G64" s="8" t="str">
        <x:v>Current</x:v>
      </x:c>
    </x:row>
    <x:row r="65" ht="32" customHeight="1">
      <x:c r="A65" s="8" t="str">
        <x:v>trunk:AV1:A1:audio:1</x:v>
      </x:c>
      <x:c r="B65" s="8" t="n">
        <x:v>16</x:v>
      </x:c>
      <x:c r="C65" s="11" t="n">
        <x:v>36.975</x:v>
      </x:c>
      <x:c r="D65" s="11" t="n">
        <x:v>7.04</x:v>
      </x:c>
      <x:c r="E65" s="11" t="n">
        <x:v>7.36</x:v>
      </x:c>
      <x:c r="F65" s="11" t="n">
        <x:f>SQRT((C65-C64)^2+(D65-D64)^2+(E65-E64)^2)</x:f>
        <x:v>0.6400000000000006</x:v>
      </x:c>
      <x:c r="G65" s="8" t="str">
        <x:v>Current</x:v>
      </x:c>
    </x:row>
    <x:row r="66" ht="32" customHeight="1">
      <x:c r="A66" s="8" t="str">
        <x:v>trunk:AV1:A1:audio:1</x:v>
      </x:c>
      <x:c r="B66" s="8" t="n">
        <x:v>17</x:v>
      </x:c>
      <x:c r="C66" s="11" t="n">
        <x:v>36.975</x:v>
      </x:c>
      <x:c r="D66" s="11" t="n">
        <x:v>5.55</x:v>
      </x:c>
      <x:c r="E66" s="11" t="n">
        <x:v>7.36</x:v>
      </x:c>
      <x:c r="F66" s="11" t="n">
        <x:f>SQRT((C66-C65)^2+(D66-D65)^2+(E66-E65)^2)</x:f>
        <x:v>1.4900000000000002</x:v>
      </x:c>
      <x:c r="G66" s="8" t="str">
        <x:v>Current</x:v>
      </x:c>
    </x:row>
    <x:row r="67" ht="32" customHeight="1">
      <x:c r="A67" s="8" t="str">
        <x:v>trunk:AV1:A1:audio:1</x:v>
      </x:c>
      <x:c r="B67" s="8" t="n">
        <x:v>18</x:v>
      </x:c>
      <x:c r="C67" s="11" t="n">
        <x:v>14.045000000000002</x:v>
      </x:c>
      <x:c r="D67" s="11" t="n">
        <x:v>5.55</x:v>
      </x:c>
      <x:c r="E67" s="11" t="n">
        <x:v>7.36</x:v>
      </x:c>
      <x:c r="F67" s="11" t="n">
        <x:f>SQRT((C67-C66)^2+(D67-D66)^2+(E67-E66)^2)</x:f>
        <x:v>22.93</x:v>
      </x:c>
      <x:c r="G67" s="8" t="str">
        <x:v>Current</x:v>
      </x:c>
    </x:row>
    <x:row r="68" ht="32" customHeight="1">
      <x:c r="A68" s="8" t="str">
        <x:v>drop:AV1:A1:audio:1:S262</x:v>
      </x:c>
      <x:c r="B68" s="8" t="n">
        <x:v>1</x:v>
      </x:c>
      <x:c r="C68" s="11" t="n">
        <x:v>14.045000000000002</x:v>
      </x:c>
      <x:c r="D68" s="11" t="n">
        <x:v>5.55</x:v>
      </x:c>
      <x:c r="E68" s="11" t="n">
        <x:v>7.36</x:v>
      </x:c>
      <x:c r="F68" s="11" t="n">
        <x:f>0</x:f>
        <x:v>0</x:v>
      </x:c>
      <x:c r="G68" s="8" t="str">
        <x:v>Current</x:v>
      </x:c>
    </x:row>
    <x:row r="69" ht="32" customHeight="1">
      <x:c r="A69" s="8" t="str">
        <x:v>drop:AV1:A1:audio:1:S262</x:v>
      </x:c>
      <x:c r="B69" s="8" t="n">
        <x:v>2</x:v>
      </x:c>
      <x:c r="C69" s="11" t="n">
        <x:v>14.045000000000002</x:v>
      </x:c>
      <x:c r="D69" s="11" t="n">
        <x:v>3.45</x:v>
      </x:c>
      <x:c r="E69" s="11" t="n">
        <x:v>7.36</x:v>
      </x:c>
      <x:c r="F69" s="11" t="n">
        <x:f>SQRT((C69-C68)^2+(D69-D68)^2+(E69-E68)^2)</x:f>
        <x:v>2.0999999999999996</x:v>
      </x:c>
      <x:c r="G69" s="8" t="str">
        <x:v>Current</x:v>
      </x:c>
    </x:row>
    <x:row r="70" ht="32" customHeight="1">
      <x:c r="A70" s="8" t="str">
        <x:v>drop:AV1:A1:audio:1:S262</x:v>
      </x:c>
      <x:c r="B70" s="8" t="n">
        <x:v>3</x:v>
      </x:c>
      <x:c r="C70" s="11" t="n">
        <x:v>14.045</x:v>
      </x:c>
      <x:c r="D70" s="11" t="n">
        <x:v>3.45</x:v>
      </x:c>
      <x:c r="E70" s="11" t="n">
        <x:v>7.25</x:v>
      </x:c>
      <x:c r="F70" s="11" t="n">
        <x:f>SQRT((C70-C69)^2+(D70-D69)^2+(E70-E69)^2)</x:f>
        <x:v>0.11000000000000032</x:v>
      </x:c>
      <x:c r="G70" s="8" t="str">
        <x:v>Current</x:v>
      </x:c>
    </x:row>
    <x:row r="71" ht="32" customHeight="1">
      <x:c r="A71" s="8" t="str">
        <x:v>drop:AV1:A1:audio:1:S264</x:v>
      </x:c>
      <x:c r="B71" s="8" t="n">
        <x:v>1</x:v>
      </x:c>
      <x:c r="C71" s="11" t="n">
        <x:v>18.545</x:v>
      </x:c>
      <x:c r="D71" s="11" t="n">
        <x:v>5.55</x:v>
      </x:c>
      <x:c r="E71" s="11" t="n">
        <x:v>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drop:AV1:A1:audio:1:S264</x:v>
      </x:c>
      <x:c r="B72" s="8" t="n">
        <x:v>2</x:v>
      </x:c>
      <x:c r="C72" s="11" t="n">
        <x:v>18.545</x:v>
      </x:c>
      <x:c r="D72" s="11" t="n">
        <x:v>3.45</x:v>
      </x:c>
      <x:c r="E72" s="11" t="n">
        <x:v>7.36</x:v>
      </x:c>
      <x:c r="F72" s="11" t="n">
        <x:f>SQRT((C72-C71)^2+(D72-D71)^2+(E72-E71)^2)</x:f>
        <x:v>2.0999999999999996</x:v>
      </x:c>
      <x:c r="G72" s="8" t="str">
        <x:v>Current</x:v>
      </x:c>
    </x:row>
    <x:row r="73" ht="32" customHeight="1">
      <x:c r="A73" s="8" t="str">
        <x:v>drop:AV1:A1:audio:1:S264</x:v>
      </x:c>
      <x:c r="B73" s="8" t="n">
        <x:v>3</x:v>
      </x:c>
      <x:c r="C73" s="11" t="n">
        <x:v>18.545</x:v>
      </x:c>
      <x:c r="D73" s="11" t="n">
        <x:v>3.45</x:v>
      </x:c>
      <x:c r="E73" s="11" t="n">
        <x:v>7.25</x:v>
      </x:c>
      <x:c r="F73" s="11" t="n">
        <x:f>SQRT((C73-C72)^2+(D73-D72)^2+(E73-E72)^2)</x:f>
        <x:v>0.11000000000000032</x:v>
      </x:c>
      <x:c r="G73" s="8" t="str">
        <x:v>Current</x:v>
      </x:c>
    </x:row>
    <x:row r="74" ht="32" customHeight="1">
      <x:c r="A74" s="8" t="str">
        <x:v>drop:AV1:A1:audio:1:S266</x:v>
      </x:c>
      <x:c r="B74" s="8" t="n">
        <x:v>1</x:v>
      </x:c>
      <x:c r="C74" s="11" t="n">
        <x:v>23.045</x:v>
      </x:c>
      <x:c r="D74" s="11" t="n">
        <x:v>5.55</x:v>
      </x:c>
      <x:c r="E74" s="11" t="n">
        <x:v>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drop:AV1:A1:audio:1:S266</x:v>
      </x:c>
      <x:c r="B75" s="8" t="n">
        <x:v>2</x:v>
      </x:c>
      <x:c r="C75" s="11" t="n">
        <x:v>23.045</x:v>
      </x:c>
      <x:c r="D75" s="11" t="n">
        <x:v>3.45</x:v>
      </x:c>
      <x:c r="E75" s="11" t="n">
        <x:v>7.36</x:v>
      </x:c>
      <x:c r="F75" s="11" t="n">
        <x:f>SQRT((C75-C74)^2+(D75-D74)^2+(E75-E74)^2)</x:f>
        <x:v>2.0999999999999996</x:v>
      </x:c>
      <x:c r="G75" s="8" t="str">
        <x:v>Current</x:v>
      </x:c>
    </x:row>
    <x:row r="76" ht="32" customHeight="1">
      <x:c r="A76" s="8" t="str">
        <x:v>drop:AV1:A1:audio:1:S266</x:v>
      </x:c>
      <x:c r="B76" s="8" t="n">
        <x:v>3</x:v>
      </x:c>
      <x:c r="C76" s="11" t="n">
        <x:v>23.045</x:v>
      </x:c>
      <x:c r="D76" s="11" t="n">
        <x:v>3.45</x:v>
      </x:c>
      <x:c r="E76" s="11" t="n">
        <x:v>7.25</x:v>
      </x:c>
      <x:c r="F76" s="11" t="n">
        <x:f>SQRT((C76-C75)^2+(D76-D75)^2+(E76-E75)^2)</x:f>
        <x:v>0.11000000000000032</x:v>
      </x:c>
      <x:c r="G76" s="8" t="str">
        <x:v>Current</x:v>
      </x:c>
    </x:row>
    <x:row r="77" ht="32" customHeight="1">
      <x:c r="A77" s="8" t="str">
        <x:v>drop:AV1:A1:audio:1:S268</x:v>
      </x:c>
      <x:c r="B77" s="8" t="n">
        <x:v>1</x:v>
      </x:c>
      <x:c r="C77" s="11" t="n">
        <x:v>27.545</x:v>
      </x:c>
      <x:c r="D77" s="11" t="n">
        <x:v>5.55</x:v>
      </x:c>
      <x:c r="E77" s="11" t="n">
        <x:v>7.36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drop:AV1:A1:audio:1:S268</x:v>
      </x:c>
      <x:c r="B78" s="8" t="n">
        <x:v>2</x:v>
      </x:c>
      <x:c r="C78" s="11" t="n">
        <x:v>27.545</x:v>
      </x:c>
      <x:c r="D78" s="11" t="n">
        <x:v>3.45</x:v>
      </x:c>
      <x:c r="E78" s="11" t="n">
        <x:v>7.36</x:v>
      </x:c>
      <x:c r="F78" s="11" t="n">
        <x:f>SQRT((C78-C77)^2+(D78-D77)^2+(E78-E77)^2)</x:f>
        <x:v>2.0999999999999996</x:v>
      </x:c>
      <x:c r="G78" s="8" t="str">
        <x:v>Current</x:v>
      </x:c>
    </x:row>
    <x:row r="79" ht="32" customHeight="1">
      <x:c r="A79" s="8" t="str">
        <x:v>drop:AV1:A1:audio:1:S268</x:v>
      </x:c>
      <x:c r="B79" s="8" t="n">
        <x:v>3</x:v>
      </x:c>
      <x:c r="C79" s="11" t="n">
        <x:v>27.545</x:v>
      </x:c>
      <x:c r="D79" s="11" t="n">
        <x:v>3.45</x:v>
      </x:c>
      <x:c r="E79" s="11" t="n">
        <x:v>7.25</x:v>
      </x:c>
      <x:c r="F79" s="11" t="n">
        <x:f>SQRT((C79-C78)^2+(D79-D78)^2+(E79-E78)^2)</x:f>
        <x:v>0.11000000000000032</x:v>
      </x:c>
      <x:c r="G79" s="8" t="str">
        <x:v>Current</x:v>
      </x:c>
    </x:row>
    <x:row r="80" ht="32" customHeight="1">
      <x:c r="A80" s="8" t="str">
        <x:v>drop:AV1:A1:audio:1:S270</x:v>
      </x:c>
      <x:c r="B80" s="8" t="n">
        <x:v>1</x:v>
      </x:c>
      <x:c r="C80" s="11" t="n">
        <x:v>32.045</x:v>
      </x:c>
      <x:c r="D80" s="11" t="n">
        <x:v>5.55</x:v>
      </x:c>
      <x:c r="E80" s="11" t="n">
        <x:v>7.36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drop:AV1:A1:audio:1:S270</x:v>
      </x:c>
      <x:c r="B81" s="8" t="n">
        <x:v>2</x:v>
      </x:c>
      <x:c r="C81" s="11" t="n">
        <x:v>32.045</x:v>
      </x:c>
      <x:c r="D81" s="11" t="n">
        <x:v>3.45</x:v>
      </x:c>
      <x:c r="E81" s="11" t="n">
        <x:v>7.36</x:v>
      </x:c>
      <x:c r="F81" s="11" t="n">
        <x:f>SQRT((C81-C80)^2+(D81-D80)^2+(E81-E80)^2)</x:f>
        <x:v>2.0999999999999996</x:v>
      </x:c>
      <x:c r="G81" s="8" t="str">
        <x:v>Current</x:v>
      </x:c>
    </x:row>
    <x:row r="82" ht="32" customHeight="1">
      <x:c r="A82" s="8" t="str">
        <x:v>drop:AV1:A1:audio:1:S270</x:v>
      </x:c>
      <x:c r="B82" s="8" t="n">
        <x:v>3</x:v>
      </x:c>
      <x:c r="C82" s="11" t="n">
        <x:v>32.045</x:v>
      </x:c>
      <x:c r="D82" s="11" t="n">
        <x:v>3.45</x:v>
      </x:c>
      <x:c r="E82" s="11" t="n">
        <x:v>7.25</x:v>
      </x:c>
      <x:c r="F82" s="11" t="n">
        <x:f>SQRT((C82-C81)^2+(D82-D81)^2+(E82-E81)^2)</x:f>
        <x:v>0.11000000000000032</x:v>
      </x:c>
      <x:c r="G82" s="8" t="str">
        <x:v>Current</x:v>
      </x:c>
    </x:row>
    <x:row r="83" ht="32" customHeight="1">
      <x:c r="A83" s="8" t="str">
        <x:v>drop:AV1:A1:audio:1:S272</x:v>
      </x:c>
      <x:c r="B83" s="8" t="n">
        <x:v>1</x:v>
      </x:c>
      <x:c r="C83" s="11" t="n">
        <x:v>36.545</x:v>
      </x:c>
      <x:c r="D83" s="11" t="n">
        <x:v>5.55</x:v>
      </x:c>
      <x:c r="E83" s="11" t="n">
        <x:v>7.36</x:v>
      </x:c>
      <x:c r="F83" s="11" t="n">
        <x:f>0</x:f>
        <x:v>0</x:v>
      </x:c>
      <x:c r="G83" s="8" t="str">
        <x:v>Current</x:v>
      </x:c>
    </x:row>
    <x:row r="84" ht="32" customHeight="1">
      <x:c r="A84" s="8" t="str">
        <x:v>drop:AV1:A1:audio:1:S272</x:v>
      </x:c>
      <x:c r="B84" s="8" t="n">
        <x:v>2</x:v>
      </x:c>
      <x:c r="C84" s="11" t="n">
        <x:v>36.545</x:v>
      </x:c>
      <x:c r="D84" s="11" t="n">
        <x:v>3.45</x:v>
      </x:c>
      <x:c r="E84" s="11" t="n">
        <x:v>7.36</x:v>
      </x:c>
      <x:c r="F84" s="11" t="n">
        <x:f>SQRT((C84-C83)^2+(D84-D83)^2+(E84-E83)^2)</x:f>
        <x:v>2.0999999999999996</x:v>
      </x:c>
      <x:c r="G84" s="8" t="str">
        <x:v>Current</x:v>
      </x:c>
    </x:row>
    <x:row r="85" ht="32" customHeight="1">
      <x:c r="A85" s="8" t="str">
        <x:v>drop:AV1:A1:audio:1:S272</x:v>
      </x:c>
      <x:c r="B85" s="8" t="n">
        <x:v>3</x:v>
      </x:c>
      <x:c r="C85" s="11" t="n">
        <x:v>36.545</x:v>
      </x:c>
      <x:c r="D85" s="11" t="n">
        <x:v>3.45</x:v>
      </x:c>
      <x:c r="E85" s="11" t="n">
        <x:v>7.25</x:v>
      </x:c>
      <x:c r="F85" s="11" t="n">
        <x:f>SQRT((C85-C84)^2+(D85-D84)^2+(E85-E84)^2)</x:f>
        <x:v>0.11000000000000032</x:v>
      </x:c>
      <x:c r="G85" s="8" t="str">
        <x:v>Current</x:v>
      </x:c>
    </x:row>
    <x:row r="86" ht="32" customHeight="1">
      <x:c r="A86" s="8" t="str">
        <x:v>drop:AV1:A1:audio:1:S278</x:v>
      </x:c>
      <x:c r="B86" s="8" t="n">
        <x:v>1</x:v>
      </x:c>
      <x:c r="C86" s="11" t="n">
        <x:v>43.72</x:v>
      </x:c>
      <x:c r="D86" s="11" t="n">
        <x:v>7.04</x:v>
      </x:c>
      <x:c r="E86" s="11" t="n">
        <x:v>7.36</x:v>
      </x:c>
      <x:c r="F86" s="11" t="n">
        <x:f>0</x:f>
        <x:v>0</x:v>
      </x:c>
      <x:c r="G86" s="8" t="str">
        <x:v>Current</x:v>
      </x:c>
    </x:row>
    <x:row r="87" ht="32" customHeight="1">
      <x:c r="A87" s="8" t="str">
        <x:v>drop:AV1:A1:audio:1:S278</x:v>
      </x:c>
      <x:c r="B87" s="8" t="n">
        <x:v>2</x:v>
      </x:c>
      <x:c r="C87" s="11" t="n">
        <x:v>43.72</x:v>
      </x:c>
      <x:c r="D87" s="11" t="n">
        <x:v>6.932303102135284</x:v>
      </x:c>
      <x:c r="E87" s="11" t="n">
        <x:v>7.439581081081082</x:v>
      </x:c>
      <x:c r="F87" s="11" t="n">
        <x:f>SQRT((C87-C86)^2+(D87-D86)^2+(E87-E86)^2)</x:f>
        <x:v>0.13390956006094815</x:v>
      </x:c>
      <x:c r="G87" s="8" t="str">
        <x:v>Current</x:v>
      </x:c>
    </x:row>
    <x:row r="88" ht="32" customHeight="1">
      <x:c r="A88" s="8" t="str">
        <x:v>drop:AV1:A1:audio:1:S278</x:v>
      </x:c>
      <x:c r="B88" s="8" t="n">
        <x:v>3</x:v>
      </x:c>
      <x:c r="C88" s="11" t="n">
        <x:v>43.72</x:v>
      </x:c>
      <x:c r="D88" s="11" t="n">
        <x:v>6.737637225623414</x:v>
      </x:c>
      <x:c r="E88" s="11" t="n">
        <x:v>8.314972972972974</x:v>
      </x:c>
      <x:c r="F88" s="11" t="n">
        <x:f>SQRT((C88-C87)^2+(D88-D87)^2+(E88-E87)^2)</x:f>
        <x:v>0.8967752047576926</x:v>
      </x:c>
      <x:c r="G88" s="8" t="str">
        <x:v>Current</x:v>
      </x:c>
    </x:row>
    <x:row r="89" ht="32" customHeight="1">
      <x:c r="A89" s="8" t="str">
        <x:v>drop:AV1:A1:audio:1:S278</x:v>
      </x:c>
      <x:c r="B89" s="8" t="n">
        <x:v>4</x:v>
      </x:c>
      <x:c r="C89" s="11" t="n">
        <x:v>43.72</x:v>
      </x:c>
      <x:c r="D89" s="11" t="n">
        <x:v>6.736978092783508</x:v>
      </x:c>
      <x:c r="E89" s="11" t="n">
        <x:v>8.394554054054055</x:v>
      </x:c>
      <x:c r="F89" s="11" t="n">
        <x:f>SQRT((C89-C88)^2+(D89-D88)^2+(E89-E88)^2)</x:f>
        <x:v>0.07958381067864351</x:v>
      </x:c>
      <x:c r="G89" s="8" t="str">
        <x:v>Current</x:v>
      </x:c>
    </x:row>
    <x:row r="90" ht="32" customHeight="1">
      <x:c r="A90" s="8" t="str">
        <x:v>drop:AV1:A1:audio:1:S278</x:v>
      </x:c>
      <x:c r="B90" s="8" t="n">
        <x:v>5</x:v>
      </x:c>
      <x:c r="C90" s="11" t="n">
        <x:v>43.72</x:v>
      </x:c>
      <x:c r="D90" s="11" t="n">
        <x:v>6.736978092783508</x:v>
      </x:c>
      <x:c r="E90" s="11" t="n">
        <x:v>13.249</x:v>
      </x:c>
      <x:c r="F90" s="11" t="n">
        <x:f>SQRT((C90-C89)^2+(D90-D89)^2+(E90-E89)^2)</x:f>
        <x:v>4.854445945945946</x:v>
      </x:c>
      <x:c r="G90" s="8" t="str">
        <x:v>Current</x:v>
      </x:c>
    </x:row>
    <x:row r="91" ht="32" customHeight="1">
      <x:c r="A91" s="8" t="str">
        <x:v>drop:AV1:A1:audio:1:S278</x:v>
      </x:c>
      <x:c r="B91" s="8" t="n">
        <x:v>6</x:v>
      </x:c>
      <x:c r="C91" s="11" t="n">
        <x:v>43.72</x:v>
      </x:c>
      <x:c r="D91" s="11" t="n">
        <x:v>4.85</x:v>
      </x:c>
      <x:c r="E91" s="11" t="n">
        <x:v>13.249</x:v>
      </x:c>
      <x:c r="F91" s="11" t="n">
        <x:f>SQRT((C91-C90)^2+(D91-D90)^2+(E91-E90)^2)</x:f>
        <x:v>1.886978092783508</x:v>
      </x:c>
      <x:c r="G91" s="8" t="str">
        <x:v>Current</x:v>
      </x:c>
    </x:row>
    <x:row r="92" ht="32" customHeight="1">
      <x:c r="A92" s="8" t="str">
        <x:v>drop:AV1:A1:audio:1:S278</x:v>
      </x:c>
      <x:c r="B92" s="8" t="n">
        <x:v>7</x:v>
      </x:c>
      <x:c r="C92" s="11" t="n">
        <x:v>43.72</x:v>
      </x:c>
      <x:c r="D92" s="11" t="n">
        <x:v>4.85</x:v>
      </x:c>
      <x:c r="E92" s="11" t="n">
        <x:v>13.06</x:v>
      </x:c>
      <x:c r="F92" s="11" t="n">
        <x:f>SQRT((C92-C91)^2+(D92-D91)^2+(E92-E91)^2)</x:f>
        <x:v>0.18900000000000006</x:v>
      </x:c>
      <x:c r="G92" s="8" t="str">
        <x:v>Current</x:v>
      </x:c>
    </x:row>
    <x:row r="93" ht="32" customHeight="1">
      <x:c r="A93" s="8" t="str">
        <x:v>trunk:AV1:A5:audio:-1</x:v>
      </x:c>
      <x:c r="B93" s="8" t="n">
        <x:v>1</x:v>
      </x:c>
      <x:c r="C93" s="11" t="n">
        <x:v>49.275</x:v>
      </x:c>
      <x:c r="D93" s="11" t="n">
        <x:v>0.95</x:v>
      </x:c>
      <x:c r="E93" s="11" t="n">
        <x:v>1.4</x:v>
      </x:c>
      <x:c r="F93" s="11" t="n">
        <x:f>0</x:f>
        <x:v>0</x:v>
      </x:c>
      <x:c r="G93" s="8" t="str">
        <x:v>Current</x:v>
      </x:c>
    </x:row>
    <x:row r="94" ht="32" customHeight="1">
      <x:c r="A94" s="8" t="str">
        <x:v>trunk:AV1:A5:audio:-1</x:v>
      </x:c>
      <x:c r="B94" s="8" t="n">
        <x:v>2</x:v>
      </x:c>
      <x:c r="C94" s="11" t="n">
        <x:v>48.735</x:v>
      </x:c>
      <x:c r="D94" s="11" t="n">
        <x:v>0.95</x:v>
      </x:c>
      <x:c r="E94" s="11" t="n">
        <x:v>1.4</x:v>
      </x:c>
      <x:c r="F94" s="11" t="n">
        <x:f>SQRT((C94-C93)^2+(D94-D93)^2+(E94-E93)^2)</x:f>
        <x:v>0.5399999999999991</x:v>
      </x:c>
      <x:c r="G94" s="8" t="str">
        <x:v>Current</x:v>
      </x:c>
    </x:row>
    <x:row r="95" ht="32" customHeight="1">
      <x:c r="A95" s="8" t="str">
        <x:v>trunk:AV1:A5:audio:-1</x:v>
      </x:c>
      <x:c r="B95" s="8" t="n">
        <x:v>3</x:v>
      </x:c>
      <x:c r="C95" s="11" t="n">
        <x:v>48.735</x:v>
      </x:c>
      <x:c r="D95" s="11" t="n">
        <x:v>0.95</x:v>
      </x:c>
      <x:c r="E95" s="11" t="n">
        <x:v>2.24</x:v>
      </x:c>
      <x:c r="F95" s="11" t="n">
        <x:f>SQRT((C95-C94)^2+(D95-D94)^2+(E95-E94)^2)</x:f>
        <x:v>0.8400000000000003</x:v>
      </x:c>
      <x:c r="G95" s="8" t="str">
        <x:v>Current</x:v>
      </x:c>
    </x:row>
    <x:row r="96" ht="32" customHeight="1">
      <x:c r="A96" s="8" t="str">
        <x:v>trunk:AV1:A5:audio:-1</x:v>
      </x:c>
      <x:c r="B96" s="8" t="n">
        <x:v>4</x:v>
      </x:c>
      <x:c r="C96" s="11" t="n">
        <x:v>48.735</x:v>
      </x:c>
      <x:c r="D96" s="11" t="n">
        <x:v>4.33</x:v>
      </x:c>
      <x:c r="E96" s="11" t="n">
        <x:v>2.24</x:v>
      </x:c>
      <x:c r="F96" s="11" t="n">
        <x:f>SQRT((C96-C95)^2+(D96-D95)^2+(E96-E95)^2)</x:f>
        <x:v>3.38</x:v>
      </x:c>
      <x:c r="G96" s="8" t="str">
        <x:v>Current</x:v>
      </x:c>
    </x:row>
    <x:row r="97" ht="32" customHeight="1">
      <x:c r="A97" s="8" t="str">
        <x:v>trunk:AV1:A5:audio:-1</x:v>
      </x:c>
      <x:c r="B97" s="8" t="n">
        <x:v>5</x:v>
      </x:c>
      <x:c r="C97" s="11" t="n">
        <x:v>48.735</x:v>
      </x:c>
      <x:c r="D97" s="11" t="n">
        <x:v>4.33</x:v>
      </x:c>
      <x:c r="E97" s="11" t="n">
        <x:v>3.3</x:v>
      </x:c>
      <x:c r="F97" s="11" t="n">
        <x:f>SQRT((C97-C96)^2+(D97-D96)^2+(E97-E96)^2)</x:f>
        <x:v>1.0599999999999996</x:v>
      </x:c>
      <x:c r="G97" s="8" t="str">
        <x:v>Current</x:v>
      </x:c>
    </x:row>
    <x:row r="98" ht="32" customHeight="1">
      <x:c r="A98" s="8" t="str">
        <x:v>trunk:AV1:A5:audio:-1</x:v>
      </x:c>
      <x:c r="B98" s="8" t="n">
        <x:v>6</x:v>
      </x:c>
      <x:c r="C98" s="11" t="n">
        <x:v>53.016</x:v>
      </x:c>
      <x:c r="D98" s="11" t="n">
        <x:v>4.33</x:v>
      </x:c>
      <x:c r="E98" s="11" t="n">
        <x:v>3.3</x:v>
      </x:c>
      <x:c r="F98" s="11" t="n">
        <x:f>SQRT((C98-C97)^2+(D98-D97)^2+(E98-E97)^2)</x:f>
        <x:v>4.280999999999999</x:v>
      </x:c>
      <x:c r="G98" s="8" t="str">
        <x:v>Current</x:v>
      </x:c>
    </x:row>
    <x:row r="99" ht="32" customHeight="1">
      <x:c r="A99" s="8" t="str">
        <x:v>trunk:AV1:A5:audio:-1</x:v>
      </x:c>
      <x:c r="B99" s="8" t="n">
        <x:v>7</x:v>
      </x:c>
      <x:c r="C99" s="11" t="n">
        <x:v>53.016</x:v>
      </x:c>
      <x:c r="D99" s="11" t="n">
        <x:v>5.518</x:v>
      </x:c>
      <x:c r="E99" s="11" t="n">
        <x:v>3.3</x:v>
      </x:c>
      <x:c r="F99" s="11" t="n">
        <x:f>SQRT((C99-C98)^2+(D99-D98)^2+(E99-E98)^2)</x:f>
        <x:v>1.1879999999999997</x:v>
      </x:c>
      <x:c r="G99" s="8" t="str">
        <x:v>Current</x:v>
      </x:c>
    </x:row>
    <x:row r="100" ht="32" customHeight="1">
      <x:c r="A100" s="8" t="str">
        <x:v>trunk:AV1:A5:audio:-1</x:v>
      </x:c>
      <x:c r="B100" s="8" t="n">
        <x:v>8</x:v>
      </x:c>
      <x:c r="C100" s="11" t="n">
        <x:v>53.016</x:v>
      </x:c>
      <x:c r="D100" s="11" t="n">
        <x:v>5.518</x:v>
      </x:c>
      <x:c r="E100" s="11" t="n">
        <x:v>-7.36</x:v>
      </x:c>
      <x:c r="F100" s="11" t="n">
        <x:f>SQRT((C100-C99)^2+(D100-D99)^2+(E100-E99)^2)</x:f>
        <x:v>10.66</x:v>
      </x:c>
      <x:c r="G100" s="8" t="str">
        <x:v>Current</x:v>
      </x:c>
    </x:row>
    <x:row r="101" ht="32" customHeight="1">
      <x:c r="A101" s="8" t="str">
        <x:v>trunk:AV1:A5:audio:-1</x:v>
      </x:c>
      <x:c r="B101" s="8" t="n">
        <x:v>9</x:v>
      </x:c>
      <x:c r="C101" s="11" t="n">
        <x:v>44.175</x:v>
      </x:c>
      <x:c r="D101" s="11" t="n">
        <x:v>5.518</x:v>
      </x:c>
      <x:c r="E101" s="11" t="n">
        <x:v>-7.36</x:v>
      </x:c>
      <x:c r="F101" s="11" t="n">
        <x:f>SQRT((C101-C100)^2+(D101-D100)^2+(E101-E100)^2)</x:f>
        <x:v>8.841000000000001</x:v>
      </x:c>
      <x:c r="G101" s="8" t="str">
        <x:v>Current</x:v>
      </x:c>
    </x:row>
    <x:row r="102" ht="32" customHeight="1">
      <x:c r="A102" s="8" t="str">
        <x:v>trunk:AV1:A5:audio:-1</x:v>
      </x:c>
      <x:c r="B102" s="8" t="n">
        <x:v>10</x:v>
      </x:c>
      <x:c r="C102" s="11" t="n">
        <x:v>44.175</x:v>
      </x:c>
      <x:c r="D102" s="11" t="n">
        <x:v>7.04</x:v>
      </x:c>
      <x:c r="E102" s="11" t="n">
        <x:v>-7.36</x:v>
      </x:c>
      <x:c r="F102" s="11" t="n">
        <x:f>SQRT((C102-C101)^2+(D102-D101)^2+(E102-E101)^2)</x:f>
        <x:v>1.5220000000000002</x:v>
      </x:c>
      <x:c r="G102" s="8" t="str">
        <x:v>Current</x:v>
      </x:c>
    </x:row>
    <x:row r="103" ht="32" customHeight="1">
      <x:c r="A103" s="8" t="str">
        <x:v>trunk:AV1:A5:audio:-1</x:v>
      </x:c>
      <x:c r="B103" s="8" t="n">
        <x:v>11</x:v>
      </x:c>
      <x:c r="C103" s="11" t="n">
        <x:v>43.535</x:v>
      </x:c>
      <x:c r="D103" s="11" t="n">
        <x:v>7.04</x:v>
      </x:c>
      <x:c r="E103" s="11" t="n">
        <x:v>-7.36</x:v>
      </x:c>
      <x:c r="F103" s="11" t="n">
        <x:f>SQRT((C103-C102)^2+(D103-D102)^2+(E103-E102)^2)</x:f>
        <x:v>0.6400000000000006</x:v>
      </x:c>
      <x:c r="G103" s="8" t="str">
        <x:v>Current</x:v>
      </x:c>
    </x:row>
    <x:row r="104" ht="32" customHeight="1">
      <x:c r="A104" s="8" t="str">
        <x:v>trunk:AV1:A5:audio:-1</x:v>
      </x:c>
      <x:c r="B104" s="8" t="n">
        <x:v>12</x:v>
      </x:c>
      <x:c r="C104" s="11" t="n">
        <x:v>43.455</x:v>
      </x:c>
      <x:c r="D104" s="11" t="n">
        <x:v>6.950412371134024</x:v>
      </x:c>
      <x:c r="E104" s="11" t="n">
        <x:v>-7.36</x:v>
      </x:c>
      <x:c r="F104" s="11" t="n">
        <x:f>SQRT((C104-C103)^2+(D104-D103)^2+(E104-E103)^2)</x:f>
        <x:v>0.12010804821421249</x:v>
      </x:c>
      <x:c r="G104" s="8" t="str">
        <x:v>Current</x:v>
      </x:c>
    </x:row>
    <x:row r="105" ht="32" customHeight="1">
      <x:c r="A105" s="8" t="str">
        <x:v>trunk:AV1:A5:audio:-1</x:v>
      </x:c>
      <x:c r="B105" s="8" t="n">
        <x:v>13</x:v>
      </x:c>
      <x:c r="C105" s="11" t="n">
        <x:v>40.574999999999996</x:v>
      </x:c>
      <x:c r="D105" s="11" t="n">
        <x:v>9.269999999999994</x:v>
      </x:c>
      <x:c r="E105" s="11" t="n">
        <x:v>-7.36</x:v>
      </x:c>
      <x:c r="F105" s="11" t="n">
        <x:f>SQRT((C105-C104)^2+(D105-D104)^2+(E105-E104)^2)</x:f>
        <x:v>3.6979571073753776</x:v>
      </x:c>
      <x:c r="G105" s="8" t="str">
        <x:v>Current</x:v>
      </x:c>
    </x:row>
    <x:row r="106" ht="32" customHeight="1">
      <x:c r="A106" s="8" t="str">
        <x:v>trunk:AV1:A5:audio:-1</x:v>
      </x:c>
      <x:c r="B106" s="8" t="n">
        <x:v>14</x:v>
      </x:c>
      <x:c r="C106" s="11" t="n">
        <x:v>37.695</x:v>
      </x:c>
      <x:c r="D106" s="11" t="n">
        <x:v>6.950412371134018</x:v>
      </x:c>
      <x:c r="E106" s="11" t="n">
        <x:v>-7.36</x:v>
      </x:c>
      <x:c r="F106" s="11" t="n">
        <x:f>SQRT((C106-C105)^2+(D106-D105)^2+(E106-E105)^2)</x:f>
        <x:v>3.697957107375376</x:v>
      </x:c>
      <x:c r="G106" s="8" t="str">
        <x:v>Current</x:v>
      </x:c>
    </x:row>
    <x:row r="107" ht="32" customHeight="1">
      <x:c r="A107" s="8" t="str">
        <x:v>trunk:AV1:A5:audio:-1</x:v>
      </x:c>
      <x:c r="B107" s="8" t="n">
        <x:v>15</x:v>
      </x:c>
      <x:c r="C107" s="11" t="n">
        <x:v>37.615</x:v>
      </x:c>
      <x:c r="D107" s="11" t="n">
        <x:v>7.04</x:v>
      </x:c>
      <x:c r="E107" s="11" t="n">
        <x:v>-7.36</x:v>
      </x:c>
      <x:c r="F107" s="11" t="n">
        <x:f>SQRT((C107-C106)^2+(D107-D106)^2+(E107-E106)^2)</x:f>
        <x:v>0.12010804821421713</x:v>
      </x:c>
      <x:c r="G107" s="8" t="str">
        <x:v>Current</x:v>
      </x:c>
    </x:row>
    <x:row r="108" ht="32" customHeight="1">
      <x:c r="A108" s="8" t="str">
        <x:v>trunk:AV1:A5:audio:-1</x:v>
      </x:c>
      <x:c r="B108" s="8" t="n">
        <x:v>16</x:v>
      </x:c>
      <x:c r="C108" s="11" t="n">
        <x:v>36.975</x:v>
      </x:c>
      <x:c r="D108" s="11" t="n">
        <x:v>7.04</x:v>
      </x:c>
      <x:c r="E108" s="11" t="n">
        <x:v>-7.36</x:v>
      </x:c>
      <x:c r="F108" s="11" t="n">
        <x:f>SQRT((C108-C107)^2+(D108-D107)^2+(E108-E107)^2)</x:f>
        <x:v>0.6400000000000006</x:v>
      </x:c>
      <x:c r="G108" s="8" t="str">
        <x:v>Current</x:v>
      </x:c>
    </x:row>
    <x:row r="109" ht="32" customHeight="1">
      <x:c r="A109" s="8" t="str">
        <x:v>trunk:AV1:A5:audio:-1</x:v>
      </x:c>
      <x:c r="B109" s="8" t="n">
        <x:v>17</x:v>
      </x:c>
      <x:c r="C109" s="11" t="n">
        <x:v>36.975</x:v>
      </x:c>
      <x:c r="D109" s="11" t="n">
        <x:v>5.518</x:v>
      </x:c>
      <x:c r="E109" s="11" t="n">
        <x:v>-7.36</x:v>
      </x:c>
      <x:c r="F109" s="11" t="n">
        <x:f>SQRT((C109-C108)^2+(D109-D108)^2+(E109-E108)^2)</x:f>
        <x:v>1.5220000000000002</x:v>
      </x:c>
      <x:c r="G109" s="8" t="str">
        <x:v>Current</x:v>
      </x:c>
    </x:row>
    <x:row r="110" ht="32" customHeight="1">
      <x:c r="A110" s="8" t="str">
        <x:v>trunk:AV1:A5:audio:-1</x:v>
      </x:c>
      <x:c r="B110" s="8" t="n">
        <x:v>18</x:v>
      </x:c>
      <x:c r="C110" s="11" t="n">
        <x:v>5.475</x:v>
      </x:c>
      <x:c r="D110" s="11" t="n">
        <x:v>5.518</x:v>
      </x:c>
      <x:c r="E110" s="11" t="n">
        <x:v>-7.36</x:v>
      </x:c>
      <x:c r="F110" s="11" t="n">
        <x:f>SQRT((C110-C109)^2+(D110-D109)^2+(E110-E109)^2)</x:f>
        <x:v>31.5</x:v>
      </x:c>
      <x:c r="G110" s="8" t="str">
        <x:v>Current</x:v>
      </x:c>
    </x:row>
    <x:row r="111" ht="32" customHeight="1">
      <x:c r="A111" s="8" t="str">
        <x:v>trunk:AV1:A5:audio:-1</x:v>
      </x:c>
      <x:c r="B111" s="8" t="n">
        <x:v>19</x:v>
      </x:c>
      <x:c r="C111" s="11" t="n">
        <x:v>2.655</x:v>
      </x:c>
      <x:c r="D111" s="11" t="n">
        <x:v>5.518</x:v>
      </x:c>
      <x:c r="E111" s="11" t="n">
        <x:v>-7.36</x:v>
      </x:c>
      <x:c r="F111" s="11" t="n">
        <x:f>SQRT((C111-C110)^2+(D111-D110)^2+(E111-E110)^2)</x:f>
        <x:v>2.82</x:v>
      </x:c>
      <x:c r="G111" s="8" t="str">
        <x:v>Current</x:v>
      </x:c>
    </x:row>
    <x:row r="112" ht="32" customHeight="1">
      <x:c r="A112" s="8" t="str">
        <x:v>drop:AV1:A5:audio:-1:S273</x:v>
      </x:c>
      <x:c r="B112" s="8" t="n">
        <x:v>1</x:v>
      </x:c>
      <x:c r="C112" s="11" t="n">
        <x:v>2.655</x:v>
      </x:c>
      <x:c r="D112" s="11" t="n">
        <x:v>5.518</x:v>
      </x:c>
      <x:c r="E112" s="11" t="n">
        <x:v>-7.36</x:v>
      </x:c>
      <x:c r="F112" s="11" t="n">
        <x:f>0</x:f>
        <x:v>0</x:v>
      </x:c>
      <x:c r="G112" s="8" t="str">
        <x:v>Current</x:v>
      </x:c>
    </x:row>
    <x:row r="113" ht="32" customHeight="1">
      <x:c r="A113" s="8" t="str">
        <x:v>drop:AV1:A5:audio:-1:S273</x:v>
      </x:c>
      <x:c r="B113" s="8" t="n">
        <x:v>2</x:v>
      </x:c>
      <x:c r="C113" s="11" t="n">
        <x:v>2.35</x:v>
      </x:c>
      <x:c r="D113" s="11" t="n">
        <x:v>7.65</x:v>
      </x:c>
      <x:c r="E113" s="11" t="n">
        <x:v>-7.36</x:v>
      </x:c>
      <x:c r="F113" s="11" t="n">
        <x:f>SQRT((C113-C112)^2+(D113-D112)^2+(E113-E112)^2)</x:f>
        <x:v>2.1537058759264234</x:v>
      </x:c>
      <x:c r="G113" s="8" t="str">
        <x:v>Current</x:v>
      </x:c>
    </x:row>
    <x:row r="114" ht="32" customHeight="1">
      <x:c r="A114" s="8" t="str">
        <x:v>drop:AV1:A5:audio:-1:S273</x:v>
      </x:c>
      <x:c r="B114" s="8" t="n">
        <x:v>3</x:v>
      </x:c>
      <x:c r="C114" s="11" t="n">
        <x:v>2.35</x:v>
      </x:c>
      <x:c r="D114" s="11" t="n">
        <x:v>7.65</x:v>
      </x:c>
      <x:c r="E114" s="11" t="n">
        <x:v>-3.05</x:v>
      </x:c>
      <x:c r="F114" s="11" t="n">
        <x:f>SQRT((C114-C113)^2+(D114-D113)^2+(E114-E113)^2)</x:f>
        <x:v>4.3100000000000005</x:v>
      </x:c>
      <x:c r="G114" s="8" t="str">
        <x:v>Current</x:v>
      </x:c>
    </x:row>
    <x:row r="115" ht="32" customHeight="1">
      <x:c r="A115" s="8" t="str">
        <x:v>drop:AV1:A5:audio:-1:S273</x:v>
      </x:c>
      <x:c r="B115" s="8" t="n">
        <x:v>4</x:v>
      </x:c>
      <x:c r="C115" s="11" t="n">
        <x:v>2.35</x:v>
      </x:c>
      <x:c r="D115" s="11" t="n">
        <x:v>3.6</x:v>
      </x:c>
      <x:c r="E115" s="11" t="n">
        <x:v>-3.05</x:v>
      </x:c>
      <x:c r="F115" s="11" t="n">
        <x:f>SQRT((C115-C114)^2+(D115-D114)^2+(E115-E114)^2)</x:f>
        <x:v>4.050000000000001</x:v>
      </x:c>
      <x:c r="G115" s="8" t="str">
        <x:v>Current</x:v>
      </x:c>
    </x:row>
    <x:row r="116" ht="32" customHeight="1">
      <x:c r="A116" s="8" t="str">
        <x:v>drop:AV1:A5:audio:-1:S273</x:v>
      </x:c>
      <x:c r="B116" s="8" t="n">
        <x:v>5</x:v>
      </x:c>
      <x:c r="C116" s="11" t="n">
        <x:v>2.655</x:v>
      </x:c>
      <x:c r="D116" s="11" t="n">
        <x:v>3.6</x:v>
      </x:c>
      <x:c r="E116" s="11" t="n">
        <x:v>-3.05</x:v>
      </x:c>
      <x:c r="F116" s="11" t="n">
        <x:f>SQRT((C116-C115)^2+(D116-D115)^2+(E116-E115)^2)</x:f>
        <x:v>0.3049999999999997</x:v>
      </x:c>
      <x:c r="G116" s="8" t="str">
        <x:v>Current</x:v>
      </x:c>
    </x:row>
    <x:row r="117" ht="32" customHeight="1">
      <x:c r="A117" s="8" t="str">
        <x:v>trunk:AV1:A5:audio:1</x:v>
      </x:c>
      <x:c r="B117" s="8" t="n">
        <x:v>1</x:v>
      </x:c>
      <x:c r="C117" s="11" t="n">
        <x:v>49.275</x:v>
      </x:c>
      <x:c r="D117" s="11" t="n">
        <x:v>0.95</x:v>
      </x:c>
      <x:c r="E117" s="11" t="n">
        <x:v>1.4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trunk:AV1:A5:audio:1</x:v>
      </x:c>
      <x:c r="B118" s="8" t="n">
        <x:v>2</x:v>
      </x:c>
      <x:c r="C118" s="11" t="n">
        <x:v>48.735</x:v>
      </x:c>
      <x:c r="D118" s="11" t="n">
        <x:v>0.95</x:v>
      </x:c>
      <x:c r="E118" s="11" t="n">
        <x:v>1.4</x:v>
      </x:c>
      <x:c r="F118" s="11" t="n">
        <x:f>SQRT((C118-C117)^2+(D118-D117)^2+(E118-E117)^2)</x:f>
        <x:v>0.5399999999999991</x:v>
      </x:c>
      <x:c r="G118" s="8" t="str">
        <x:v>Current</x:v>
      </x:c>
    </x:row>
    <x:row r="119" ht="32" customHeight="1">
      <x:c r="A119" s="8" t="str">
        <x:v>trunk:AV1:A5:audio:1</x:v>
      </x:c>
      <x:c r="B119" s="8" t="n">
        <x:v>3</x:v>
      </x:c>
      <x:c r="C119" s="11" t="n">
        <x:v>48.735</x:v>
      </x:c>
      <x:c r="D119" s="11" t="n">
        <x:v>0.95</x:v>
      </x:c>
      <x:c r="E119" s="11" t="n">
        <x:v>2.24</x:v>
      </x:c>
      <x:c r="F119" s="11" t="n">
        <x:f>SQRT((C119-C118)^2+(D119-D118)^2+(E119-E118)^2)</x:f>
        <x:v>0.8400000000000003</x:v>
      </x:c>
      <x:c r="G119" s="8" t="str">
        <x:v>Current</x:v>
      </x:c>
    </x:row>
    <x:row r="120" ht="32" customHeight="1">
      <x:c r="A120" s="8" t="str">
        <x:v>trunk:AV1:A5:audio:1</x:v>
      </x:c>
      <x:c r="B120" s="8" t="n">
        <x:v>4</x:v>
      </x:c>
      <x:c r="C120" s="11" t="n">
        <x:v>48.735</x:v>
      </x:c>
      <x:c r="D120" s="11" t="n">
        <x:v>4.33</x:v>
      </x:c>
      <x:c r="E120" s="11" t="n">
        <x:v>2.24</x:v>
      </x:c>
      <x:c r="F120" s="11" t="n">
        <x:f>SQRT((C120-C119)^2+(D120-D119)^2+(E120-E119)^2)</x:f>
        <x:v>3.38</x:v>
      </x:c>
      <x:c r="G120" s="8" t="str">
        <x:v>Current</x:v>
      </x:c>
    </x:row>
    <x:row r="121" ht="32" customHeight="1">
      <x:c r="A121" s="8" t="str">
        <x:v>trunk:AV1:A5:audio:1</x:v>
      </x:c>
      <x:c r="B121" s="8" t="n">
        <x:v>5</x:v>
      </x:c>
      <x:c r="C121" s="11" t="n">
        <x:v>48.735</x:v>
      </x:c>
      <x:c r="D121" s="11" t="n">
        <x:v>4.33</x:v>
      </x:c>
      <x:c r="E121" s="11" t="n">
        <x:v>3.3</x:v>
      </x:c>
      <x:c r="F121" s="11" t="n">
        <x:f>SQRT((C121-C120)^2+(D121-D120)^2+(E121-E120)^2)</x:f>
        <x:v>1.0599999999999996</x:v>
      </x:c>
      <x:c r="G121" s="8" t="str">
        <x:v>Current</x:v>
      </x:c>
    </x:row>
    <x:row r="122" ht="32" customHeight="1">
      <x:c r="A122" s="8" t="str">
        <x:v>trunk:AV1:A5:audio:1</x:v>
      </x:c>
      <x:c r="B122" s="8" t="n">
        <x:v>6</x:v>
      </x:c>
      <x:c r="C122" s="11" t="n">
        <x:v>53.016</x:v>
      </x:c>
      <x:c r="D122" s="11" t="n">
        <x:v>4.33</x:v>
      </x:c>
      <x:c r="E122" s="11" t="n">
        <x:v>3.3</x:v>
      </x:c>
      <x:c r="F122" s="11" t="n">
        <x:f>SQRT((C122-C121)^2+(D122-D121)^2+(E122-E121)^2)</x:f>
        <x:v>4.280999999999999</x:v>
      </x:c>
      <x:c r="G122" s="8" t="str">
        <x:v>Current</x:v>
      </x:c>
    </x:row>
    <x:row r="123" ht="32" customHeight="1">
      <x:c r="A123" s="8" t="str">
        <x:v>trunk:AV1:A5:audio:1</x:v>
      </x:c>
      <x:c r="B123" s="8" t="n">
        <x:v>7</x:v>
      </x:c>
      <x:c r="C123" s="11" t="n">
        <x:v>53.016</x:v>
      </x:c>
      <x:c r="D123" s="11" t="n">
        <x:v>5.518</x:v>
      </x:c>
      <x:c r="E123" s="11" t="n">
        <x:v>3.3</x:v>
      </x:c>
      <x:c r="F123" s="11" t="n">
        <x:f>SQRT((C123-C122)^2+(D123-D122)^2+(E123-E122)^2)</x:f>
        <x:v>1.1879999999999997</x:v>
      </x:c>
      <x:c r="G123" s="8" t="str">
        <x:v>Current</x:v>
      </x:c>
    </x:row>
    <x:row r="124" ht="32" customHeight="1">
      <x:c r="A124" s="8" t="str">
        <x:v>trunk:AV1:A5:audio:1</x:v>
      </x:c>
      <x:c r="B124" s="8" t="n">
        <x:v>8</x:v>
      </x:c>
      <x:c r="C124" s="11" t="n">
        <x:v>53.016</x:v>
      </x:c>
      <x:c r="D124" s="11" t="n">
        <x:v>5.518</x:v>
      </x:c>
      <x:c r="E124" s="11" t="n">
        <x:v>7.36</x:v>
      </x:c>
      <x:c r="F124" s="11" t="n">
        <x:f>SQRT((C124-C123)^2+(D124-D123)^2+(E124-E123)^2)</x:f>
        <x:v>4.0600000000000005</x:v>
      </x:c>
      <x:c r="G124" s="8" t="str">
        <x:v>Current</x:v>
      </x:c>
    </x:row>
    <x:row r="125" ht="32" customHeight="1">
      <x:c r="A125" s="8" t="str">
        <x:v>trunk:AV1:A5:audio:1</x:v>
      </x:c>
      <x:c r="B125" s="8" t="n">
        <x:v>9</x:v>
      </x:c>
      <x:c r="C125" s="11" t="n">
        <x:v>44.175</x:v>
      </x:c>
      <x:c r="D125" s="11" t="n">
        <x:v>5.518</x:v>
      </x:c>
      <x:c r="E125" s="11" t="n">
        <x:v>7.36</x:v>
      </x:c>
      <x:c r="F125" s="11" t="n">
        <x:f>SQRT((C125-C124)^2+(D125-D124)^2+(E125-E124)^2)</x:f>
        <x:v>8.841000000000001</x:v>
      </x:c>
      <x:c r="G125" s="8" t="str">
        <x:v>Current</x:v>
      </x:c>
    </x:row>
    <x:row r="126" ht="32" customHeight="1">
      <x:c r="A126" s="8" t="str">
        <x:v>trunk:AV1:A5:audio:1</x:v>
      </x:c>
      <x:c r="B126" s="8" t="n">
        <x:v>10</x:v>
      </x:c>
      <x:c r="C126" s="11" t="n">
        <x:v>44.175</x:v>
      </x:c>
      <x:c r="D126" s="11" t="n">
        <x:v>7.04</x:v>
      </x:c>
      <x:c r="E126" s="11" t="n">
        <x:v>7.36</x:v>
      </x:c>
      <x:c r="F126" s="11" t="n">
        <x:f>SQRT((C126-C125)^2+(D126-D125)^2+(E126-E125)^2)</x:f>
        <x:v>1.5220000000000002</x:v>
      </x:c>
      <x:c r="G126" s="8" t="str">
        <x:v>Current</x:v>
      </x:c>
    </x:row>
    <x:row r="127" ht="32" customHeight="1">
      <x:c r="A127" s="8" t="str">
        <x:v>trunk:AV1:A5:audio:1</x:v>
      </x:c>
      <x:c r="B127" s="8" t="n">
        <x:v>11</x:v>
      </x:c>
      <x:c r="C127" s="11" t="n">
        <x:v>43.535</x:v>
      </x:c>
      <x:c r="D127" s="11" t="n">
        <x:v>7.04</x:v>
      </x:c>
      <x:c r="E127" s="11" t="n">
        <x:v>7.36</x:v>
      </x:c>
      <x:c r="F127" s="11" t="n">
        <x:f>SQRT((C127-C126)^2+(D127-D126)^2+(E127-E126)^2)</x:f>
        <x:v>0.6400000000000006</x:v>
      </x:c>
      <x:c r="G127" s="8" t="str">
        <x:v>Current</x:v>
      </x:c>
    </x:row>
    <x:row r="128" ht="32" customHeight="1">
      <x:c r="A128" s="8" t="str">
        <x:v>trunk:AV1:A5:audio:1</x:v>
      </x:c>
      <x:c r="B128" s="8" t="n">
        <x:v>12</x:v>
      </x:c>
      <x:c r="C128" s="11" t="n">
        <x:v>43.455</x:v>
      </x:c>
      <x:c r="D128" s="11" t="n">
        <x:v>6.950412371134024</x:v>
      </x:c>
      <x:c r="E128" s="11" t="n">
        <x:v>7.36</x:v>
      </x:c>
      <x:c r="F128" s="11" t="n">
        <x:f>SQRT((C128-C127)^2+(D128-D127)^2+(E128-E127)^2)</x:f>
        <x:v>0.12010804821421249</x:v>
      </x:c>
      <x:c r="G128" s="8" t="str">
        <x:v>Current</x:v>
      </x:c>
    </x:row>
    <x:row r="129" ht="32" customHeight="1">
      <x:c r="A129" s="8" t="str">
        <x:v>trunk:AV1:A5:audio:1</x:v>
      </x:c>
      <x:c r="B129" s="8" t="n">
        <x:v>13</x:v>
      </x:c>
      <x:c r="C129" s="11" t="n">
        <x:v>40.574999999999996</x:v>
      </x:c>
      <x:c r="D129" s="11" t="n">
        <x:v>9.269999999999994</x:v>
      </x:c>
      <x:c r="E129" s="11" t="n">
        <x:v>7.36</x:v>
      </x:c>
      <x:c r="F129" s="11" t="n">
        <x:f>SQRT((C129-C128)^2+(D129-D128)^2+(E129-E128)^2)</x:f>
        <x:v>3.6979571073753776</x:v>
      </x:c>
      <x:c r="G129" s="8" t="str">
        <x:v>Current</x:v>
      </x:c>
    </x:row>
    <x:row r="130" ht="32" customHeight="1">
      <x:c r="A130" s="8" t="str">
        <x:v>trunk:AV1:A5:audio:1</x:v>
      </x:c>
      <x:c r="B130" s="8" t="n">
        <x:v>14</x:v>
      </x:c>
      <x:c r="C130" s="11" t="n">
        <x:v>37.695</x:v>
      </x:c>
      <x:c r="D130" s="11" t="n">
        <x:v>6.950412371134018</x:v>
      </x:c>
      <x:c r="E130" s="11" t="n">
        <x:v>7.36</x:v>
      </x:c>
      <x:c r="F130" s="11" t="n">
        <x:f>SQRT((C130-C129)^2+(D130-D129)^2+(E130-E129)^2)</x:f>
        <x:v>3.697957107375376</x:v>
      </x:c>
      <x:c r="G130" s="8" t="str">
        <x:v>Current</x:v>
      </x:c>
    </x:row>
    <x:row r="131" ht="32" customHeight="1">
      <x:c r="A131" s="8" t="str">
        <x:v>trunk:AV1:A5:audio:1</x:v>
      </x:c>
      <x:c r="B131" s="8" t="n">
        <x:v>15</x:v>
      </x:c>
      <x:c r="C131" s="11" t="n">
        <x:v>37.615</x:v>
      </x:c>
      <x:c r="D131" s="11" t="n">
        <x:v>7.04</x:v>
      </x:c>
      <x:c r="E131" s="11" t="n">
        <x:v>7.36</x:v>
      </x:c>
      <x:c r="F131" s="11" t="n">
        <x:f>SQRT((C131-C130)^2+(D131-D130)^2+(E131-E130)^2)</x:f>
        <x:v>0.12010804821421713</x:v>
      </x:c>
      <x:c r="G131" s="8" t="str">
        <x:v>Current</x:v>
      </x:c>
    </x:row>
    <x:row r="132" ht="32" customHeight="1">
      <x:c r="A132" s="8" t="str">
        <x:v>trunk:AV1:A5:audio:1</x:v>
      </x:c>
      <x:c r="B132" s="8" t="n">
        <x:v>16</x:v>
      </x:c>
      <x:c r="C132" s="11" t="n">
        <x:v>36.975</x:v>
      </x:c>
      <x:c r="D132" s="11" t="n">
        <x:v>7.04</x:v>
      </x:c>
      <x:c r="E132" s="11" t="n">
        <x:v>7.36</x:v>
      </x:c>
      <x:c r="F132" s="11" t="n">
        <x:f>SQRT((C132-C131)^2+(D132-D131)^2+(E132-E131)^2)</x:f>
        <x:v>0.6400000000000006</x:v>
      </x:c>
      <x:c r="G132" s="8" t="str">
        <x:v>Current</x:v>
      </x:c>
    </x:row>
    <x:row r="133" ht="32" customHeight="1">
      <x:c r="A133" s="8" t="str">
        <x:v>trunk:AV1:A5:audio:1</x:v>
      </x:c>
      <x:c r="B133" s="8" t="n">
        <x:v>17</x:v>
      </x:c>
      <x:c r="C133" s="11" t="n">
        <x:v>36.975</x:v>
      </x:c>
      <x:c r="D133" s="11" t="n">
        <x:v>5.518</x:v>
      </x:c>
      <x:c r="E133" s="11" t="n">
        <x:v>7.36</x:v>
      </x:c>
      <x:c r="F133" s="11" t="n">
        <x:f>SQRT((C133-C132)^2+(D133-D132)^2+(E133-E132)^2)</x:f>
        <x:v>1.5220000000000002</x:v>
      </x:c>
      <x:c r="G133" s="8" t="str">
        <x:v>Current</x:v>
      </x:c>
    </x:row>
    <x:row r="134" ht="32" customHeight="1">
      <x:c r="A134" s="8" t="str">
        <x:v>trunk:AV1:A5:audio:1</x:v>
      </x:c>
      <x:c r="B134" s="8" t="n">
        <x:v>18</x:v>
      </x:c>
      <x:c r="C134" s="11" t="n">
        <x:v>5.475</x:v>
      </x:c>
      <x:c r="D134" s="11" t="n">
        <x:v>5.518</x:v>
      </x:c>
      <x:c r="E134" s="11" t="n">
        <x:v>7.36</x:v>
      </x:c>
      <x:c r="F134" s="11" t="n">
        <x:f>SQRT((C134-C133)^2+(D134-D133)^2+(E134-E133)^2)</x:f>
        <x:v>31.5</x:v>
      </x:c>
      <x:c r="G134" s="8" t="str">
        <x:v>Current</x:v>
      </x:c>
    </x:row>
    <x:row r="135" ht="32" customHeight="1">
      <x:c r="A135" s="8" t="str">
        <x:v>trunk:AV1:A5:audio:1</x:v>
      </x:c>
      <x:c r="B135" s="8" t="n">
        <x:v>19</x:v>
      </x:c>
      <x:c r="C135" s="11" t="n">
        <x:v>2.655</x:v>
      </x:c>
      <x:c r="D135" s="11" t="n">
        <x:v>5.518</x:v>
      </x:c>
      <x:c r="E135" s="11" t="n">
        <x:v>7.36</x:v>
      </x:c>
      <x:c r="F135" s="11" t="n">
        <x:f>SQRT((C135-C134)^2+(D135-D134)^2+(E135-E134)^2)</x:f>
        <x:v>2.82</x:v>
      </x:c>
      <x:c r="G135" s="8" t="str">
        <x:v>Current</x:v>
      </x:c>
    </x:row>
    <x:row r="136" ht="32" customHeight="1">
      <x:c r="A136" s="8" t="str">
        <x:v>drop:AV1:A5:audio:1:S274</x:v>
      </x:c>
      <x:c r="B136" s="8" t="n">
        <x:v>1</x:v>
      </x:c>
      <x:c r="C136" s="11" t="n">
        <x:v>2.655</x:v>
      </x:c>
      <x:c r="D136" s="11" t="n">
        <x:v>5.518</x:v>
      </x:c>
      <x:c r="E136" s="11" t="n">
        <x:v>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drop:AV1:A5:audio:1:S274</x:v>
      </x:c>
      <x:c r="B137" s="8" t="n">
        <x:v>2</x:v>
      </x:c>
      <x:c r="C137" s="11" t="n">
        <x:v>2.35</x:v>
      </x:c>
      <x:c r="D137" s="11" t="n">
        <x:v>7.65</x:v>
      </x:c>
      <x:c r="E137" s="11" t="n">
        <x:v>7.36</x:v>
      </x:c>
      <x:c r="F137" s="11" t="n">
        <x:f>SQRT((C137-C136)^2+(D137-D136)^2+(E137-E136)^2)</x:f>
        <x:v>2.1537058759264234</x:v>
      </x:c>
      <x:c r="G137" s="8" t="str">
        <x:v>Current</x:v>
      </x:c>
    </x:row>
    <x:row r="138" ht="32" customHeight="1">
      <x:c r="A138" s="8" t="str">
        <x:v>drop:AV1:A5:audio:1:S274</x:v>
      </x:c>
      <x:c r="B138" s="8" t="n">
        <x:v>3</x:v>
      </x:c>
      <x:c r="C138" s="11" t="n">
        <x:v>2.35</x:v>
      </x:c>
      <x:c r="D138" s="11" t="n">
        <x:v>7.65</x:v>
      </x:c>
      <x:c r="E138" s="11" t="n">
        <x:v>3.05</x:v>
      </x:c>
      <x:c r="F138" s="11" t="n">
        <x:f>SQRT((C138-C137)^2+(D138-D137)^2+(E138-E137)^2)</x:f>
        <x:v>4.3100000000000005</x:v>
      </x:c>
      <x:c r="G138" s="8" t="str">
        <x:v>Current</x:v>
      </x:c>
    </x:row>
    <x:row r="139" ht="32" customHeight="1">
      <x:c r="A139" s="8" t="str">
        <x:v>drop:AV1:A5:audio:1:S274</x:v>
      </x:c>
      <x:c r="B139" s="8" t="n">
        <x:v>4</x:v>
      </x:c>
      <x:c r="C139" s="11" t="n">
        <x:v>2.35</x:v>
      </x:c>
      <x:c r="D139" s="11" t="n">
        <x:v>3.6</x:v>
      </x:c>
      <x:c r="E139" s="11" t="n">
        <x:v>3.05</x:v>
      </x:c>
      <x:c r="F139" s="11" t="n">
        <x:f>SQRT((C139-C138)^2+(D139-D138)^2+(E139-E138)^2)</x:f>
        <x:v>4.050000000000001</x:v>
      </x:c>
      <x:c r="G139" s="8" t="str">
        <x:v>Current</x:v>
      </x:c>
    </x:row>
    <x:row r="140" ht="32" customHeight="1">
      <x:c r="A140" s="8" t="str">
        <x:v>drop:AV1:A5:audio:1:S274</x:v>
      </x:c>
      <x:c r="B140" s="8" t="n">
        <x:v>5</x:v>
      </x:c>
      <x:c r="C140" s="11" t="n">
        <x:v>2.655</x:v>
      </x:c>
      <x:c r="D140" s="11" t="n">
        <x:v>3.6</x:v>
      </x:c>
      <x:c r="E140" s="11" t="n">
        <x:v>3.05</x:v>
      </x:c>
      <x:c r="F140" s="11" t="n">
        <x:f>SQRT((C140-C139)^2+(D140-D139)^2+(E140-E139)^2)</x:f>
        <x:v>0.3049999999999997</x:v>
      </x:c>
      <x:c r="G140" s="8" t="str">
        <x:v>Current</x:v>
      </x:c>
    </x:row>
    <x:row r="141" ht="32" customHeight="1">
      <x:c r="A141" s="8" t="str">
        <x:v>trunk:AV1:A2:audio:-1</x:v>
      </x:c>
      <x:c r="B141" s="8" t="n">
        <x:v>1</x:v>
      </x:c>
      <x:c r="C141" s="11" t="n">
        <x:v>49.275</x:v>
      </x:c>
      <x:c r="D141" s="11" t="n">
        <x:v>0.95</x:v>
      </x:c>
      <x:c r="E141" s="11" t="n">
        <x:v>1.4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trunk:AV1:A2:audio:-1</x:v>
      </x:c>
      <x:c r="B142" s="8" t="n">
        <x:v>2</x:v>
      </x:c>
      <x:c r="C142" s="11" t="n">
        <x:v>48.735</x:v>
      </x:c>
      <x:c r="D142" s="11" t="n">
        <x:v>0.95</x:v>
      </x:c>
      <x:c r="E142" s="11" t="n">
        <x:v>1.4</x:v>
      </x:c>
      <x:c r="F142" s="11" t="n">
        <x:f>SQRT((C142-C141)^2+(D142-D141)^2+(E142-E141)^2)</x:f>
        <x:v>0.5399999999999991</x:v>
      </x:c>
      <x:c r="G142" s="8" t="str">
        <x:v>Current</x:v>
      </x:c>
    </x:row>
    <x:row r="143" ht="32" customHeight="1">
      <x:c r="A143" s="8" t="str">
        <x:v>trunk:AV1:A2:audio:-1</x:v>
      </x:c>
      <x:c r="B143" s="8" t="n">
        <x:v>3</x:v>
      </x:c>
      <x:c r="C143" s="11" t="n">
        <x:v>48.735</x:v>
      </x:c>
      <x:c r="D143" s="11" t="n">
        <x:v>0.95</x:v>
      </x:c>
      <x:c r="E143" s="11" t="n">
        <x:v>2.24</x:v>
      </x:c>
      <x:c r="F143" s="11" t="n">
        <x:f>SQRT((C143-C142)^2+(D143-D142)^2+(E143-E142)^2)</x:f>
        <x:v>0.8400000000000003</x:v>
      </x:c>
      <x:c r="G143" s="8" t="str">
        <x:v>Current</x:v>
      </x:c>
    </x:row>
    <x:row r="144" ht="32" customHeight="1">
      <x:c r="A144" s="8" t="str">
        <x:v>trunk:AV1:A2:audio:-1</x:v>
      </x:c>
      <x:c r="B144" s="8" t="n">
        <x:v>4</x:v>
      </x:c>
      <x:c r="C144" s="11" t="n">
        <x:v>48.735</x:v>
      </x:c>
      <x:c r="D144" s="11" t="n">
        <x:v>4.33</x:v>
      </x:c>
      <x:c r="E144" s="11" t="n">
        <x:v>2.24</x:v>
      </x:c>
      <x:c r="F144" s="11" t="n">
        <x:f>SQRT((C144-C143)^2+(D144-D143)^2+(E144-E143)^2)</x:f>
        <x:v>3.38</x:v>
      </x:c>
      <x:c r="G144" s="8" t="str">
        <x:v>Current</x:v>
      </x:c>
    </x:row>
    <x:row r="145" ht="32" customHeight="1">
      <x:c r="A145" s="8" t="str">
        <x:v>trunk:AV1:A2:audio:-1</x:v>
      </x:c>
      <x:c r="B145" s="8" t="n">
        <x:v>5</x:v>
      </x:c>
      <x:c r="C145" s="11" t="n">
        <x:v>48.735</x:v>
      </x:c>
      <x:c r="D145" s="11" t="n">
        <x:v>4.33</x:v>
      </x:c>
      <x:c r="E145" s="11" t="n">
        <x:v>3.3</x:v>
      </x:c>
      <x:c r="F145" s="11" t="n">
        <x:f>SQRT((C145-C144)^2+(D145-D144)^2+(E145-E144)^2)</x:f>
        <x:v>1.0599999999999996</x:v>
      </x:c>
      <x:c r="G145" s="8" t="str">
        <x:v>Current</x:v>
      </x:c>
    </x:row>
    <x:row r="146" ht="32" customHeight="1">
      <x:c r="A146" s="8" t="str">
        <x:v>trunk:AV1:A2:audio:-1</x:v>
      </x:c>
      <x:c r="B146" s="8" t="n">
        <x:v>6</x:v>
      </x:c>
      <x:c r="C146" s="11" t="n">
        <x:v>53.016</x:v>
      </x:c>
      <x:c r="D146" s="11" t="n">
        <x:v>4.33</x:v>
      </x:c>
      <x:c r="E146" s="11" t="n">
        <x:v>3.3</x:v>
      </x:c>
      <x:c r="F146" s="11" t="n">
        <x:f>SQRT((C146-C145)^2+(D146-D145)^2+(E146-E145)^2)</x:f>
        <x:v>4.280999999999999</x:v>
      </x:c>
      <x:c r="G146" s="8" t="str">
        <x:v>Current</x:v>
      </x:c>
    </x:row>
    <x:row r="147" ht="32" customHeight="1">
      <x:c r="A147" s="8" t="str">
        <x:v>trunk:AV1:A2:audio:-1</x:v>
      </x:c>
      <x:c r="B147" s="8" t="n">
        <x:v>7</x:v>
      </x:c>
      <x:c r="C147" s="11" t="n">
        <x:v>53.016</x:v>
      </x:c>
      <x:c r="D147" s="11" t="n">
        <x:v>5.542</x:v>
      </x:c>
      <x:c r="E147" s="11" t="n">
        <x:v>3.3</x:v>
      </x:c>
      <x:c r="F147" s="11" t="n">
        <x:f>SQRT((C147-C146)^2+(D147-D146)^2+(E147-E146)^2)</x:f>
        <x:v>1.2119999999999997</x:v>
      </x:c>
      <x:c r="G147" s="8" t="str">
        <x:v>Current</x:v>
      </x:c>
    </x:row>
    <x:row r="148" ht="32" customHeight="1">
      <x:c r="A148" s="8" t="str">
        <x:v>trunk:AV1:A2:audio:-1</x:v>
      </x:c>
      <x:c r="B148" s="8" t="n">
        <x:v>8</x:v>
      </x:c>
      <x:c r="C148" s="11" t="n">
        <x:v>53.016</x:v>
      </x:c>
      <x:c r="D148" s="11" t="n">
        <x:v>5.542</x:v>
      </x:c>
      <x:c r="E148" s="11" t="n">
        <x:v>-7.36</x:v>
      </x:c>
      <x:c r="F148" s="11" t="n">
        <x:f>SQRT((C148-C147)^2+(D148-D147)^2+(E148-E147)^2)</x:f>
        <x:v>10.66</x:v>
      </x:c>
      <x:c r="G148" s="8" t="str">
        <x:v>Current</x:v>
      </x:c>
    </x:row>
    <x:row r="149" ht="32" customHeight="1">
      <x:c r="A149" s="8" t="str">
        <x:v>trunk:AV1:A2:audio:-1</x:v>
      </x:c>
      <x:c r="B149" s="8" t="n">
        <x:v>9</x:v>
      </x:c>
      <x:c r="C149" s="11" t="n">
        <x:v>44.175</x:v>
      </x:c>
      <x:c r="D149" s="11" t="n">
        <x:v>5.542</x:v>
      </x:c>
      <x:c r="E149" s="11" t="n">
        <x:v>-7.36</x:v>
      </x:c>
      <x:c r="F149" s="11" t="n">
        <x:f>SQRT((C149-C148)^2+(D149-D148)^2+(E149-E148)^2)</x:f>
        <x:v>8.841000000000001</x:v>
      </x:c>
      <x:c r="G149" s="8" t="str">
        <x:v>Current</x:v>
      </x:c>
    </x:row>
    <x:row r="150" ht="32" customHeight="1">
      <x:c r="A150" s="8" t="str">
        <x:v>trunk:AV1:A2:audio:-1</x:v>
      </x:c>
      <x:c r="B150" s="8" t="n">
        <x:v>10</x:v>
      </x:c>
      <x:c r="C150" s="11" t="n">
        <x:v>44.175</x:v>
      </x:c>
      <x:c r="D150" s="11" t="n">
        <x:v>7.04</x:v>
      </x:c>
      <x:c r="E150" s="11" t="n">
        <x:v>-7.36</x:v>
      </x:c>
      <x:c r="F150" s="11" t="n">
        <x:f>SQRT((C150-C149)^2+(D150-D149)^2+(E150-E149)^2)</x:f>
        <x:v>1.4980000000000002</x:v>
      </x:c>
      <x:c r="G150" s="8" t="str">
        <x:v>Current</x:v>
      </x:c>
    </x:row>
    <x:row r="151" ht="32" customHeight="1">
      <x:c r="A151" s="8" t="str">
        <x:v>trunk:AV1:A2:audio:-1</x:v>
      </x:c>
      <x:c r="B151" s="8" t="n">
        <x:v>11</x:v>
      </x:c>
      <x:c r="C151" s="11" t="n">
        <x:v>43.535</x:v>
      </x:c>
      <x:c r="D151" s="11" t="n">
        <x:v>7.04</x:v>
      </x:c>
      <x:c r="E151" s="11" t="n">
        <x:v>-7.36</x:v>
      </x:c>
      <x:c r="F151" s="11" t="n">
        <x:f>SQRT((C151-C150)^2+(D151-D150)^2+(E151-E150)^2)</x:f>
        <x:v>0.6400000000000006</x:v>
      </x:c>
      <x:c r="G151" s="8" t="str">
        <x:v>Current</x:v>
      </x:c>
    </x:row>
    <x:row r="152" ht="32" customHeight="1">
      <x:c r="A152" s="8" t="str">
        <x:v>trunk:AV1:A2:audio:-1</x:v>
      </x:c>
      <x:c r="B152" s="8" t="n">
        <x:v>12</x:v>
      </x:c>
      <x:c r="C152" s="11" t="n">
        <x:v>43.455</x:v>
      </x:c>
      <x:c r="D152" s="11" t="n">
        <x:v>6.950412371134024</x:v>
      </x:c>
      <x:c r="E152" s="11" t="n">
        <x:v>-7.36</x:v>
      </x:c>
      <x:c r="F152" s="11" t="n">
        <x:f>SQRT((C152-C151)^2+(D152-D151)^2+(E152-E151)^2)</x:f>
        <x:v>0.12010804821421249</x:v>
      </x:c>
      <x:c r="G152" s="8" t="str">
        <x:v>Current</x:v>
      </x:c>
    </x:row>
    <x:row r="153" ht="32" customHeight="1">
      <x:c r="A153" s="8" t="str">
        <x:v>trunk:AV1:A2:audio:-1</x:v>
      </x:c>
      <x:c r="B153" s="8" t="n">
        <x:v>13</x:v>
      </x:c>
      <x:c r="C153" s="11" t="n">
        <x:v>40.574999999999996</x:v>
      </x:c>
      <x:c r="D153" s="11" t="n">
        <x:v>9.269999999999994</x:v>
      </x:c>
      <x:c r="E153" s="11" t="n">
        <x:v>-7.36</x:v>
      </x:c>
      <x:c r="F153" s="11" t="n">
        <x:f>SQRT((C153-C152)^2+(D153-D152)^2+(E153-E152)^2)</x:f>
        <x:v>3.6979571073753776</x:v>
      </x:c>
      <x:c r="G153" s="8" t="str">
        <x:v>Current</x:v>
      </x:c>
    </x:row>
    <x:row r="154" ht="32" customHeight="1">
      <x:c r="A154" s="8" t="str">
        <x:v>trunk:AV1:A2:audio:-1</x:v>
      </x:c>
      <x:c r="B154" s="8" t="n">
        <x:v>14</x:v>
      </x:c>
      <x:c r="C154" s="11" t="n">
        <x:v>37.695</x:v>
      </x:c>
      <x:c r="D154" s="11" t="n">
        <x:v>6.950412371134018</x:v>
      </x:c>
      <x:c r="E154" s="11" t="n">
        <x:v>-7.36</x:v>
      </x:c>
      <x:c r="F154" s="11" t="n">
        <x:f>SQRT((C154-C153)^2+(D154-D153)^2+(E154-E153)^2)</x:f>
        <x:v>3.697957107375376</x:v>
      </x:c>
      <x:c r="G154" s="8" t="str">
        <x:v>Current</x:v>
      </x:c>
    </x:row>
    <x:row r="155" ht="32" customHeight="1">
      <x:c r="A155" s="8" t="str">
        <x:v>trunk:AV1:A2:audio:-1</x:v>
      </x:c>
      <x:c r="B155" s="8" t="n">
        <x:v>15</x:v>
      </x:c>
      <x:c r="C155" s="11" t="n">
        <x:v>37.615</x:v>
      </x:c>
      <x:c r="D155" s="11" t="n">
        <x:v>7.04</x:v>
      </x:c>
      <x:c r="E155" s="11" t="n">
        <x:v>-7.36</x:v>
      </x:c>
      <x:c r="F155" s="11" t="n">
        <x:f>SQRT((C155-C154)^2+(D155-D154)^2+(E155-E154)^2)</x:f>
        <x:v>0.12010804821421713</x:v>
      </x:c>
      <x:c r="G155" s="8" t="str">
        <x:v>Current</x:v>
      </x:c>
    </x:row>
    <x:row r="156" ht="32" customHeight="1">
      <x:c r="A156" s="8" t="str">
        <x:v>trunk:AV1:A2:audio:-1</x:v>
      </x:c>
      <x:c r="B156" s="8" t="n">
        <x:v>16</x:v>
      </x:c>
      <x:c r="C156" s="11" t="n">
        <x:v>36.975</x:v>
      </x:c>
      <x:c r="D156" s="11" t="n">
        <x:v>7.04</x:v>
      </x:c>
      <x:c r="E156" s="11" t="n">
        <x:v>-7.36</x:v>
      </x:c>
      <x:c r="F156" s="11" t="n">
        <x:f>SQRT((C156-C155)^2+(D156-D155)^2+(E156-E155)^2)</x:f>
        <x:v>0.6400000000000006</x:v>
      </x:c>
      <x:c r="G156" s="8" t="str">
        <x:v>Current</x:v>
      </x:c>
    </x:row>
    <x:row r="157" ht="32" customHeight="1">
      <x:c r="A157" s="8" t="str">
        <x:v>trunk:AV1:A2:audio:-1</x:v>
      </x:c>
      <x:c r="B157" s="8" t="n">
        <x:v>17</x:v>
      </x:c>
      <x:c r="C157" s="11" t="n">
        <x:v>36.975</x:v>
      </x:c>
      <x:c r="D157" s="11" t="n">
        <x:v>5.542</x:v>
      </x:c>
      <x:c r="E157" s="11" t="n">
        <x:v>-7.36</x:v>
      </x:c>
      <x:c r="F157" s="11" t="n">
        <x:f>SQRT((C157-C156)^2+(D157-D156)^2+(E157-E156)^2)</x:f>
        <x:v>1.4980000000000002</x:v>
      </x:c>
      <x:c r="G157" s="8" t="str">
        <x:v>Current</x:v>
      </x:c>
    </x:row>
    <x:row r="158" ht="32" customHeight="1">
      <x:c r="A158" s="8" t="str">
        <x:v>trunk:AV1:A2:audio:-1</x:v>
      </x:c>
      <x:c r="B158" s="8" t="n">
        <x:v>18</x:v>
      </x:c>
      <x:c r="C158" s="11" t="n">
        <x:v>13.530000000000001</x:v>
      </x:c>
      <x:c r="D158" s="11" t="n">
        <x:v>5.542</x:v>
      </x:c>
      <x:c r="E158" s="11" t="n">
        <x:v>-7.36</x:v>
      </x:c>
      <x:c r="F158" s="11" t="n">
        <x:f>SQRT((C158-C157)^2+(D158-D157)^2+(E158-E157)^2)</x:f>
        <x:v>23.445</x:v>
      </x:c>
      <x:c r="G158" s="8" t="str">
        <x:v>Current</x:v>
      </x:c>
    </x:row>
    <x:row r="159" ht="32" customHeight="1">
      <x:c r="A159" s="8" t="str">
        <x:v>drop:AV1:A2:audio:-1:S279</x:v>
      </x:c>
      <x:c r="B159" s="8" t="n">
        <x:v>1</x:v>
      </x:c>
      <x:c r="C159" s="11" t="n">
        <x:v>13.530000000000001</x:v>
      </x:c>
      <x:c r="D159" s="11" t="n">
        <x:v>5.542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drop:AV1:A2:audio:-1:S279</x:v>
      </x:c>
      <x:c r="B160" s="8" t="n">
        <x:v>2</x:v>
      </x:c>
      <x:c r="C160" s="11" t="n">
        <x:v>13.530000000000001</x:v>
      </x:c>
      <x:c r="D160" s="11" t="n">
        <x:v>7.04</x:v>
      </x:c>
      <x:c r="E160" s="11" t="n">
        <x:v>-7.36</x:v>
      </x:c>
      <x:c r="F160" s="11" t="n">
        <x:f>SQRT((C160-C159)^2+(D160-D159)^2+(E160-E159)^2)</x:f>
        <x:v>1.4980000000000002</x:v>
      </x:c>
      <x:c r="G160" s="8" t="str">
        <x:v>Current</x:v>
      </x:c>
    </x:row>
    <x:row r="161" ht="32" customHeight="1">
      <x:c r="A161" s="8" t="str">
        <x:v>drop:AV1:A2:audio:-1:S279</x:v>
      </x:c>
      <x:c r="B161" s="8" t="n">
        <x:v>3</x:v>
      </x:c>
      <x:c r="C161" s="11" t="n">
        <x:v>12.225</x:v>
      </x:c>
      <x:c r="D161" s="11" t="n">
        <x:v>7.04</x:v>
      </x:c>
      <x:c r="E161" s="11" t="n">
        <x:v>-7.36</x:v>
      </x:c>
      <x:c r="F161" s="11" t="n">
        <x:f>SQRT((C161-C160)^2+(D161-D160)^2+(E161-E160)^2)</x:f>
        <x:v>1.3050000000000015</x:v>
      </x:c>
      <x:c r="G161" s="8" t="str">
        <x:v>Current</x:v>
      </x:c>
    </x:row>
    <x:row r="162" ht="32" customHeight="1">
      <x:c r="A162" s="8" t="str">
        <x:v>drop:AV1:A2:audio:-1:S279</x:v>
      </x:c>
      <x:c r="B162" s="8" t="n">
        <x:v>4</x:v>
      </x:c>
      <x:c r="C162" s="11" t="n">
        <x:v>12.225</x:v>
      </x:c>
      <x:c r="D162" s="11" t="n">
        <x:v>6.932561064262868</x:v>
      </x:c>
      <x:c r="E162" s="11" t="n">
        <x:v>-7.438421052631579</x:v>
      </x:c>
      <x:c r="F162" s="11" t="n">
        <x:f>SQRT((C162-C161)^2+(D162-D161)^2+(E162-E161)^2)</x:f>
        <x:v>0.13301498565264178</x:v>
      </x:c>
      <x:c r="G162" s="8" t="str">
        <x:v>Current</x:v>
      </x:c>
    </x:row>
    <x:row r="163" ht="32" customHeight="1">
      <x:c r="A163" s="8" t="str">
        <x:v>drop:AV1:A2:audio:-1:S279</x:v>
      </x:c>
      <x:c r="B163" s="8" t="n">
        <x:v>5</x:v>
      </x:c>
      <x:c r="C163" s="11" t="n">
        <x:v>12.225</x:v>
      </x:c>
      <x:c r="D163" s="11" t="n">
        <x:v>6.618660220994475</x:v>
      </x:c>
      <x:c r="E163" s="11" t="n">
        <x:v>-8.85</x:v>
      </x:c>
      <x:c r="F163" s="11" t="n">
        <x:f>SQRT((C163-C162)^2+(D163-D162)^2+(E163-E162)^2)</x:f>
        <x:v>1.4460597719521646</x:v>
      </x:c>
      <x:c r="G163" s="8" t="str">
        <x:v>Current</x:v>
      </x:c>
    </x:row>
    <x:row r="164" ht="32" customHeight="1">
      <x:c r="A164" s="8" t="str">
        <x:v>drop:AV1:A2:audio:-1:S279</x:v>
      </x:c>
      <x:c r="B164" s="8" t="n">
        <x:v>6</x:v>
      </x:c>
      <x:c r="C164" s="11" t="n">
        <x:v>12.225</x:v>
      </x:c>
      <x:c r="D164" s="11" t="n">
        <x:v>3.9</x:v>
      </x:c>
      <x:c r="E164" s="11" t="n">
        <x:v>-8.85</x:v>
      </x:c>
      <x:c r="F164" s="11" t="n">
        <x:f>SQRT((C164-C163)^2+(D164-D163)^2+(E164-E163)^2)</x:f>
        <x:v>2.7186602209944755</x:v>
      </x:c>
      <x:c r="G164" s="8" t="str">
        <x:v>Current</x:v>
      </x:c>
    </x:row>
    <x:row r="165" ht="32" customHeight="1">
      <x:c r="A165" s="8" t="str">
        <x:v>drop:AV1:A2:audio:-1:S280</x:v>
      </x:c>
      <x:c r="B165" s="8" t="n">
        <x:v>1</x:v>
      </x:c>
      <x:c r="C165" s="11" t="n">
        <x:v>27.03</x:v>
      </x:c>
      <x:c r="D165" s="11" t="n">
        <x:v>5.542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drop:AV1:A2:audio:-1:S280</x:v>
      </x:c>
      <x:c r="B166" s="8" t="n">
        <x:v>2</x:v>
      </x:c>
      <x:c r="C166" s="11" t="n">
        <x:v>27.03</x:v>
      </x:c>
      <x:c r="D166" s="11" t="n">
        <x:v>7.04</x:v>
      </x:c>
      <x:c r="E166" s="11" t="n">
        <x:v>-7.36</x:v>
      </x:c>
      <x:c r="F166" s="11" t="n">
        <x:f>SQRT((C166-C165)^2+(D166-D165)^2+(E166-E165)^2)</x:f>
        <x:v>1.4980000000000002</x:v>
      </x:c>
      <x:c r="G166" s="8" t="str">
        <x:v>Current</x:v>
      </x:c>
    </x:row>
    <x:row r="167" ht="32" customHeight="1">
      <x:c r="A167" s="8" t="str">
        <x:v>drop:AV1:A2:audio:-1:S280</x:v>
      </x:c>
      <x:c r="B167" s="8" t="n">
        <x:v>3</x:v>
      </x:c>
      <x:c r="C167" s="11" t="n">
        <x:v>25.725</x:v>
      </x:c>
      <x:c r="D167" s="11" t="n">
        <x:v>7.04</x:v>
      </x:c>
      <x:c r="E167" s="11" t="n">
        <x:v>-7.36</x:v>
      </x:c>
      <x:c r="F167" s="11" t="n">
        <x:f>SQRT((C167-C166)^2+(D167-D166)^2+(E167-E166)^2)</x:f>
        <x:v>1.3049999999999997</x:v>
      </x:c>
      <x:c r="G167" s="8" t="str">
        <x:v>Current</x:v>
      </x:c>
    </x:row>
    <x:row r="168" ht="32" customHeight="1">
      <x:c r="A168" s="8" t="str">
        <x:v>drop:AV1:A2:audio:-1:S280</x:v>
      </x:c>
      <x:c r="B168" s="8" t="n">
        <x:v>4</x:v>
      </x:c>
      <x:c r="C168" s="11" t="n">
        <x:v>25.725</x:v>
      </x:c>
      <x:c r="D168" s="11" t="n">
        <x:v>6.932561064262868</x:v>
      </x:c>
      <x:c r="E168" s="11" t="n">
        <x:v>-7.438421052631579</x:v>
      </x:c>
      <x:c r="F168" s="11" t="n">
        <x:f>SQRT((C168-C167)^2+(D168-D167)^2+(E168-E167)^2)</x:f>
        <x:v>0.13301498565264178</x:v>
      </x:c>
      <x:c r="G168" s="8" t="str">
        <x:v>Current</x:v>
      </x:c>
    </x:row>
    <x:row r="169" ht="32" customHeight="1">
      <x:c r="A169" s="8" t="str">
        <x:v>drop:AV1:A2:audio:-1:S280</x:v>
      </x:c>
      <x:c r="B169" s="8" t="n">
        <x:v>5</x:v>
      </x:c>
      <x:c r="C169" s="11" t="n">
        <x:v>25.725</x:v>
      </x:c>
      <x:c r="D169" s="11" t="n">
        <x:v>6.618660220994475</x:v>
      </x:c>
      <x:c r="E169" s="11" t="n">
        <x:v>-8.85</x:v>
      </x:c>
      <x:c r="F169" s="11" t="n">
        <x:f>SQRT((C169-C168)^2+(D169-D168)^2+(E169-E168)^2)</x:f>
        <x:v>1.4460597719521646</x:v>
      </x:c>
      <x:c r="G169" s="8" t="str">
        <x:v>Current</x:v>
      </x:c>
    </x:row>
    <x:row r="170" ht="32" customHeight="1">
      <x:c r="A170" s="8" t="str">
        <x:v>drop:AV1:A2:audio:-1:S280</x:v>
      </x:c>
      <x:c r="B170" s="8" t="n">
        <x:v>6</x:v>
      </x:c>
      <x:c r="C170" s="11" t="n">
        <x:v>25.725</x:v>
      </x:c>
      <x:c r="D170" s="11" t="n">
        <x:v>3.9</x:v>
      </x:c>
      <x:c r="E170" s="11" t="n">
        <x:v>-8.85</x:v>
      </x:c>
      <x:c r="F170" s="11" t="n">
        <x:f>SQRT((C170-C169)^2+(D170-D169)^2+(E170-E169)^2)</x:f>
        <x:v>2.7186602209944755</x:v>
      </x:c>
      <x:c r="G170" s="8" t="str">
        <x:v>Current</x:v>
      </x:c>
    </x:row>
    <x:row r="171" ht="32" customHeight="1">
      <x:c r="A171" s="8" t="str">
        <x:v>trunk:AV1:A2:audio:1</x:v>
      </x:c>
      <x:c r="B171" s="8" t="n">
        <x:v>1</x:v>
      </x:c>
      <x:c r="C171" s="11" t="n">
        <x:v>49.275</x:v>
      </x:c>
      <x:c r="D171" s="11" t="n">
        <x:v>0.95</x:v>
      </x:c>
      <x:c r="E171" s="11" t="n">
        <x:v>1.4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trunk:AV1:A2:audio:1</x:v>
      </x:c>
      <x:c r="B172" s="8" t="n">
        <x:v>2</x:v>
      </x:c>
      <x:c r="C172" s="11" t="n">
        <x:v>48.735</x:v>
      </x:c>
      <x:c r="D172" s="11" t="n">
        <x:v>0.95</x:v>
      </x:c>
      <x:c r="E172" s="11" t="n">
        <x:v>1.4</x:v>
      </x:c>
      <x:c r="F172" s="11" t="n">
        <x:f>SQRT((C172-C171)^2+(D172-D171)^2+(E172-E171)^2)</x:f>
        <x:v>0.5399999999999991</x:v>
      </x:c>
      <x:c r="G172" s="8" t="str">
        <x:v>Current</x:v>
      </x:c>
    </x:row>
    <x:row r="173" ht="32" customHeight="1">
      <x:c r="A173" s="8" t="str">
        <x:v>trunk:AV1:A2:audio:1</x:v>
      </x:c>
      <x:c r="B173" s="8" t="n">
        <x:v>3</x:v>
      </x:c>
      <x:c r="C173" s="11" t="n">
        <x:v>48.735</x:v>
      </x:c>
      <x:c r="D173" s="11" t="n">
        <x:v>0.95</x:v>
      </x:c>
      <x:c r="E173" s="11" t="n">
        <x:v>2.24</x:v>
      </x:c>
      <x:c r="F173" s="11" t="n">
        <x:f>SQRT((C173-C172)^2+(D173-D172)^2+(E173-E172)^2)</x:f>
        <x:v>0.8400000000000003</x:v>
      </x:c>
      <x:c r="G173" s="8" t="str">
        <x:v>Current</x:v>
      </x:c>
    </x:row>
    <x:row r="174" ht="32" customHeight="1">
      <x:c r="A174" s="8" t="str">
        <x:v>trunk:AV1:A2:audio:1</x:v>
      </x:c>
      <x:c r="B174" s="8" t="n">
        <x:v>4</x:v>
      </x:c>
      <x:c r="C174" s="11" t="n">
        <x:v>48.735</x:v>
      </x:c>
      <x:c r="D174" s="11" t="n">
        <x:v>4.33</x:v>
      </x:c>
      <x:c r="E174" s="11" t="n">
        <x:v>2.24</x:v>
      </x:c>
      <x:c r="F174" s="11" t="n">
        <x:f>SQRT((C174-C173)^2+(D174-D173)^2+(E174-E173)^2)</x:f>
        <x:v>3.38</x:v>
      </x:c>
      <x:c r="G174" s="8" t="str">
        <x:v>Current</x:v>
      </x:c>
    </x:row>
    <x:row r="175" ht="32" customHeight="1">
      <x:c r="A175" s="8" t="str">
        <x:v>trunk:AV1:A2:audio:1</x:v>
      </x:c>
      <x:c r="B175" s="8" t="n">
        <x:v>5</x:v>
      </x:c>
      <x:c r="C175" s="11" t="n">
        <x:v>48.735</x:v>
      </x:c>
      <x:c r="D175" s="11" t="n">
        <x:v>4.33</x:v>
      </x:c>
      <x:c r="E175" s="11" t="n">
        <x:v>3.3</x:v>
      </x:c>
      <x:c r="F175" s="11" t="n">
        <x:f>SQRT((C175-C174)^2+(D175-D174)^2+(E175-E174)^2)</x:f>
        <x:v>1.0599999999999996</x:v>
      </x:c>
      <x:c r="G175" s="8" t="str">
        <x:v>Current</x:v>
      </x:c>
    </x:row>
    <x:row r="176" ht="32" customHeight="1">
      <x:c r="A176" s="8" t="str">
        <x:v>trunk:AV1:A2:audio:1</x:v>
      </x:c>
      <x:c r="B176" s="8" t="n">
        <x:v>6</x:v>
      </x:c>
      <x:c r="C176" s="11" t="n">
        <x:v>53.016</x:v>
      </x:c>
      <x:c r="D176" s="11" t="n">
        <x:v>4.33</x:v>
      </x:c>
      <x:c r="E176" s="11" t="n">
        <x:v>3.3</x:v>
      </x:c>
      <x:c r="F176" s="11" t="n">
        <x:f>SQRT((C176-C175)^2+(D176-D175)^2+(E176-E175)^2)</x:f>
        <x:v>4.280999999999999</x:v>
      </x:c>
      <x:c r="G176" s="8" t="str">
        <x:v>Current</x:v>
      </x:c>
    </x:row>
    <x:row r="177" ht="32" customHeight="1">
      <x:c r="A177" s="8" t="str">
        <x:v>trunk:AV1:A2:audio:1</x:v>
      </x:c>
      <x:c r="B177" s="8" t="n">
        <x:v>7</x:v>
      </x:c>
      <x:c r="C177" s="11" t="n">
        <x:v>53.016</x:v>
      </x:c>
      <x:c r="D177" s="11" t="n">
        <x:v>5.542</x:v>
      </x:c>
      <x:c r="E177" s="11" t="n">
        <x:v>3.3</x:v>
      </x:c>
      <x:c r="F177" s="11" t="n">
        <x:f>SQRT((C177-C176)^2+(D177-D176)^2+(E177-E176)^2)</x:f>
        <x:v>1.2119999999999997</x:v>
      </x:c>
      <x:c r="G177" s="8" t="str">
        <x:v>Current</x:v>
      </x:c>
    </x:row>
    <x:row r="178" ht="32" customHeight="1">
      <x:c r="A178" s="8" t="str">
        <x:v>trunk:AV1:A2:audio:1</x:v>
      </x:c>
      <x:c r="B178" s="8" t="n">
        <x:v>8</x:v>
      </x:c>
      <x:c r="C178" s="11" t="n">
        <x:v>53.016</x:v>
      </x:c>
      <x:c r="D178" s="11" t="n">
        <x:v>5.542</x:v>
      </x:c>
      <x:c r="E178" s="11" t="n">
        <x:v>7.36</x:v>
      </x:c>
      <x:c r="F178" s="11" t="n">
        <x:f>SQRT((C178-C177)^2+(D178-D177)^2+(E178-E177)^2)</x:f>
        <x:v>4.0600000000000005</x:v>
      </x:c>
      <x:c r="G178" s="8" t="str">
        <x:v>Current</x:v>
      </x:c>
    </x:row>
    <x:row r="179" ht="32" customHeight="1">
      <x:c r="A179" s="8" t="str">
        <x:v>trunk:AV1:A2:audio:1</x:v>
      </x:c>
      <x:c r="B179" s="8" t="n">
        <x:v>9</x:v>
      </x:c>
      <x:c r="C179" s="11" t="n">
        <x:v>44.175</x:v>
      </x:c>
      <x:c r="D179" s="11" t="n">
        <x:v>5.542</x:v>
      </x:c>
      <x:c r="E179" s="11" t="n">
        <x:v>7.36</x:v>
      </x:c>
      <x:c r="F179" s="11" t="n">
        <x:f>SQRT((C179-C178)^2+(D179-D178)^2+(E179-E178)^2)</x:f>
        <x:v>8.841000000000001</x:v>
      </x:c>
      <x:c r="G179" s="8" t="str">
        <x:v>Current</x:v>
      </x:c>
    </x:row>
    <x:row r="180" ht="32" customHeight="1">
      <x:c r="A180" s="8" t="str">
        <x:v>trunk:AV1:A2:audio:1</x:v>
      </x:c>
      <x:c r="B180" s="8" t="n">
        <x:v>10</x:v>
      </x:c>
      <x:c r="C180" s="11" t="n">
        <x:v>44.175</x:v>
      </x:c>
      <x:c r="D180" s="11" t="n">
        <x:v>7.04</x:v>
      </x:c>
      <x:c r="E180" s="11" t="n">
        <x:v>7.36</x:v>
      </x:c>
      <x:c r="F180" s="11" t="n">
        <x:f>SQRT((C180-C179)^2+(D180-D179)^2+(E180-E179)^2)</x:f>
        <x:v>1.4980000000000002</x:v>
      </x:c>
      <x:c r="G180" s="8" t="str">
        <x:v>Current</x:v>
      </x:c>
    </x:row>
    <x:row r="181" ht="32" customHeight="1">
      <x:c r="A181" s="8" t="str">
        <x:v>trunk:AV1:A2:audio:1</x:v>
      </x:c>
      <x:c r="B181" s="8" t="n">
        <x:v>11</x:v>
      </x:c>
      <x:c r="C181" s="11" t="n">
        <x:v>43.535</x:v>
      </x:c>
      <x:c r="D181" s="11" t="n">
        <x:v>7.04</x:v>
      </x:c>
      <x:c r="E181" s="11" t="n">
        <x:v>7.36</x:v>
      </x:c>
      <x:c r="F181" s="11" t="n">
        <x:f>SQRT((C181-C180)^2+(D181-D180)^2+(E181-E180)^2)</x:f>
        <x:v>0.6400000000000006</x:v>
      </x:c>
      <x:c r="G181" s="8" t="str">
        <x:v>Current</x:v>
      </x:c>
    </x:row>
    <x:row r="182" ht="32" customHeight="1">
      <x:c r="A182" s="8" t="str">
        <x:v>trunk:AV1:A2:audio:1</x:v>
      </x:c>
      <x:c r="B182" s="8" t="n">
        <x:v>12</x:v>
      </x:c>
      <x:c r="C182" s="11" t="n">
        <x:v>43.455</x:v>
      </x:c>
      <x:c r="D182" s="11" t="n">
        <x:v>6.950412371134024</x:v>
      </x:c>
      <x:c r="E182" s="11" t="n">
        <x:v>7.36</x:v>
      </x:c>
      <x:c r="F182" s="11" t="n">
        <x:f>SQRT((C182-C181)^2+(D182-D181)^2+(E182-E181)^2)</x:f>
        <x:v>0.12010804821421249</x:v>
      </x:c>
      <x:c r="G182" s="8" t="str">
        <x:v>Current</x:v>
      </x:c>
    </x:row>
    <x:row r="183" ht="32" customHeight="1">
      <x:c r="A183" s="8" t="str">
        <x:v>trunk:AV1:A2:audio:1</x:v>
      </x:c>
      <x:c r="B183" s="8" t="n">
        <x:v>13</x:v>
      </x:c>
      <x:c r="C183" s="11" t="n">
        <x:v>40.574999999999996</x:v>
      </x:c>
      <x:c r="D183" s="11" t="n">
        <x:v>9.269999999999994</x:v>
      </x:c>
      <x:c r="E183" s="11" t="n">
        <x:v>7.36</x:v>
      </x:c>
      <x:c r="F183" s="11" t="n">
        <x:f>SQRT((C183-C182)^2+(D183-D182)^2+(E183-E182)^2)</x:f>
        <x:v>3.6979571073753776</x:v>
      </x:c>
      <x:c r="G183" s="8" t="str">
        <x:v>Current</x:v>
      </x:c>
    </x:row>
    <x:row r="184" ht="32" customHeight="1">
      <x:c r="A184" s="8" t="str">
        <x:v>trunk:AV1:A2:audio:1</x:v>
      </x:c>
      <x:c r="B184" s="8" t="n">
        <x:v>14</x:v>
      </x:c>
      <x:c r="C184" s="11" t="n">
        <x:v>37.695</x:v>
      </x:c>
      <x:c r="D184" s="11" t="n">
        <x:v>6.950412371134018</x:v>
      </x:c>
      <x:c r="E184" s="11" t="n">
        <x:v>7.36</x:v>
      </x:c>
      <x:c r="F184" s="11" t="n">
        <x:f>SQRT((C184-C183)^2+(D184-D183)^2+(E184-E183)^2)</x:f>
        <x:v>3.697957107375376</x:v>
      </x:c>
      <x:c r="G184" s="8" t="str">
        <x:v>Current</x:v>
      </x:c>
    </x:row>
    <x:row r="185" ht="32" customHeight="1">
      <x:c r="A185" s="8" t="str">
        <x:v>trunk:AV1:A2:audio:1</x:v>
      </x:c>
      <x:c r="B185" s="8" t="n">
        <x:v>15</x:v>
      </x:c>
      <x:c r="C185" s="11" t="n">
        <x:v>37.615</x:v>
      </x:c>
      <x:c r="D185" s="11" t="n">
        <x:v>7.04</x:v>
      </x:c>
      <x:c r="E185" s="11" t="n">
        <x:v>7.36</x:v>
      </x:c>
      <x:c r="F185" s="11" t="n">
        <x:f>SQRT((C185-C184)^2+(D185-D184)^2+(E185-E184)^2)</x:f>
        <x:v>0.12010804821421713</x:v>
      </x:c>
      <x:c r="G185" s="8" t="str">
        <x:v>Current</x:v>
      </x:c>
    </x:row>
    <x:row r="186" ht="32" customHeight="1">
      <x:c r="A186" s="8" t="str">
        <x:v>trunk:AV1:A2:audio:1</x:v>
      </x:c>
      <x:c r="B186" s="8" t="n">
        <x:v>16</x:v>
      </x:c>
      <x:c r="C186" s="11" t="n">
        <x:v>36.975</x:v>
      </x:c>
      <x:c r="D186" s="11" t="n">
        <x:v>7.04</x:v>
      </x:c>
      <x:c r="E186" s="11" t="n">
        <x:v>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trunk:AV1:A2:audio:1</x:v>
      </x:c>
      <x:c r="B187" s="8" t="n">
        <x:v>17</x:v>
      </x:c>
      <x:c r="C187" s="11" t="n">
        <x:v>36.975</x:v>
      </x:c>
      <x:c r="D187" s="11" t="n">
        <x:v>5.542</x:v>
      </x:c>
      <x:c r="E187" s="11" t="n">
        <x:v>7.36</x:v>
      </x:c>
      <x:c r="F187" s="11" t="n">
        <x:f>SQRT((C187-C186)^2+(D187-D186)^2+(E187-E186)^2)</x:f>
        <x:v>1.4980000000000002</x:v>
      </x:c>
      <x:c r="G187" s="8" t="str">
        <x:v>Current</x:v>
      </x:c>
    </x:row>
    <x:row r="188" ht="32" customHeight="1">
      <x:c r="A188" s="8" t="str">
        <x:v>trunk:AV1:A2:audio:1</x:v>
      </x:c>
      <x:c r="B188" s="8" t="n">
        <x:v>18</x:v>
      </x:c>
      <x:c r="C188" s="11" t="n">
        <x:v>13.530000000000001</x:v>
      </x:c>
      <x:c r="D188" s="11" t="n">
        <x:v>5.542</x:v>
      </x:c>
      <x:c r="E188" s="11" t="n">
        <x:v>7.36</x:v>
      </x:c>
      <x:c r="F188" s="11" t="n">
        <x:f>SQRT((C188-C187)^2+(D188-D187)^2+(E188-E187)^2)</x:f>
        <x:v>23.445</x:v>
      </x:c>
      <x:c r="G188" s="8" t="str">
        <x:v>Current</x:v>
      </x:c>
    </x:row>
    <x:row r="189" ht="32" customHeight="1">
      <x:c r="A189" s="8" t="str">
        <x:v>drop:AV1:A2:audio:1:S281</x:v>
      </x:c>
      <x:c r="B189" s="8" t="n">
        <x:v>1</x:v>
      </x:c>
      <x:c r="C189" s="11" t="n">
        <x:v>13.530000000000001</x:v>
      </x:c>
      <x:c r="D189" s="11" t="n">
        <x:v>5.542</x:v>
      </x:c>
      <x:c r="E189" s="11" t="n">
        <x:v>7.36</x:v>
      </x:c>
      <x:c r="F189" s="11" t="n">
        <x:f>0</x:f>
        <x:v>0</x:v>
      </x:c>
      <x:c r="G189" s="8" t="str">
        <x:v>Current</x:v>
      </x:c>
    </x:row>
    <x:row r="190" ht="32" customHeight="1">
      <x:c r="A190" s="8" t="str">
        <x:v>drop:AV1:A2:audio:1:S281</x:v>
      </x:c>
      <x:c r="B190" s="8" t="n">
        <x:v>2</x:v>
      </x:c>
      <x:c r="C190" s="11" t="n">
        <x:v>13.530000000000001</x:v>
      </x:c>
      <x:c r="D190" s="11" t="n">
        <x:v>7.04</x:v>
      </x:c>
      <x:c r="E190" s="11" t="n">
        <x:v>7.36</x:v>
      </x:c>
      <x:c r="F190" s="11" t="n">
        <x:f>SQRT((C190-C189)^2+(D190-D189)^2+(E190-E189)^2)</x:f>
        <x:v>1.4980000000000002</x:v>
      </x:c>
      <x:c r="G190" s="8" t="str">
        <x:v>Current</x:v>
      </x:c>
    </x:row>
    <x:row r="191" ht="32" customHeight="1">
      <x:c r="A191" s="8" t="str">
        <x:v>drop:AV1:A2:audio:1:S281</x:v>
      </x:c>
      <x:c r="B191" s="8" t="n">
        <x:v>3</x:v>
      </x:c>
      <x:c r="C191" s="11" t="n">
        <x:v>12.225</x:v>
      </x:c>
      <x:c r="D191" s="11" t="n">
        <x:v>7.04</x:v>
      </x:c>
      <x:c r="E191" s="11" t="n">
        <x:v>7.36</x:v>
      </x:c>
      <x:c r="F191" s="11" t="n">
        <x:f>SQRT((C191-C190)^2+(D191-D190)^2+(E191-E190)^2)</x:f>
        <x:v>1.3050000000000015</x:v>
      </x:c>
      <x:c r="G191" s="8" t="str">
        <x:v>Current</x:v>
      </x:c>
    </x:row>
    <x:row r="192" ht="32" customHeight="1">
      <x:c r="A192" s="8" t="str">
        <x:v>drop:AV1:A2:audio:1:S281</x:v>
      </x:c>
      <x:c r="B192" s="8" t="n">
        <x:v>4</x:v>
      </x:c>
      <x:c r="C192" s="11" t="n">
        <x:v>12.225</x:v>
      </x:c>
      <x:c r="D192" s="11" t="n">
        <x:v>6.932561064262868</x:v>
      </x:c>
      <x:c r="E192" s="11" t="n">
        <x:v>7.438421052631579</x:v>
      </x:c>
      <x:c r="F192" s="11" t="n">
        <x:f>SQRT((C192-C191)^2+(D192-D191)^2+(E192-E191)^2)</x:f>
        <x:v>0.13301498565264178</x:v>
      </x:c>
      <x:c r="G192" s="8" t="str">
        <x:v>Current</x:v>
      </x:c>
    </x:row>
    <x:row r="193" ht="32" customHeight="1">
      <x:c r="A193" s="8" t="str">
        <x:v>drop:AV1:A2:audio:1:S281</x:v>
      </x:c>
      <x:c r="B193" s="8" t="n">
        <x:v>5</x:v>
      </x:c>
      <x:c r="C193" s="11" t="n">
        <x:v>12.225</x:v>
      </x:c>
      <x:c r="D193" s="11" t="n">
        <x:v>6.618660220994475</x:v>
      </x:c>
      <x:c r="E193" s="11" t="n">
        <x:v>8.85</x:v>
      </x:c>
      <x:c r="F193" s="11" t="n">
        <x:f>SQRT((C193-C192)^2+(D193-D192)^2+(E193-E192)^2)</x:f>
        <x:v>1.4460597719521646</x:v>
      </x:c>
      <x:c r="G193" s="8" t="str">
        <x:v>Current</x:v>
      </x:c>
    </x:row>
    <x:row r="194" ht="32" customHeight="1">
      <x:c r="A194" s="8" t="str">
        <x:v>drop:AV1:A2:audio:1:S281</x:v>
      </x:c>
      <x:c r="B194" s="8" t="n">
        <x:v>6</x:v>
      </x:c>
      <x:c r="C194" s="11" t="n">
        <x:v>12.225</x:v>
      </x:c>
      <x:c r="D194" s="11" t="n">
        <x:v>3.9</x:v>
      </x:c>
      <x:c r="E194" s="11" t="n">
        <x:v>8.85</x:v>
      </x:c>
      <x:c r="F194" s="11" t="n">
        <x:f>SQRT((C194-C193)^2+(D194-D193)^2+(E194-E193)^2)</x:f>
        <x:v>2.7186602209944755</x:v>
      </x:c>
      <x:c r="G194" s="8" t="str">
        <x:v>Current</x:v>
      </x:c>
    </x:row>
    <x:row r="195" ht="32" customHeight="1">
      <x:c r="A195" s="8" t="str">
        <x:v>drop:AV1:A2:audio:1:S282</x:v>
      </x:c>
      <x:c r="B195" s="8" t="n">
        <x:v>1</x:v>
      </x:c>
      <x:c r="C195" s="11" t="n">
        <x:v>27.03</x:v>
      </x:c>
      <x:c r="D195" s="11" t="n">
        <x:v>5.542</x:v>
      </x:c>
      <x:c r="E195" s="11" t="n">
        <x:v>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drop:AV1:A2:audio:1:S282</x:v>
      </x:c>
      <x:c r="B196" s="8" t="n">
        <x:v>2</x:v>
      </x:c>
      <x:c r="C196" s="11" t="n">
        <x:v>27.03</x:v>
      </x:c>
      <x:c r="D196" s="11" t="n">
        <x:v>7.04</x:v>
      </x:c>
      <x:c r="E196" s="11" t="n">
        <x:v>7.36</x:v>
      </x:c>
      <x:c r="F196" s="11" t="n">
        <x:f>SQRT((C196-C195)^2+(D196-D195)^2+(E196-E195)^2)</x:f>
        <x:v>1.4980000000000002</x:v>
      </x:c>
      <x:c r="G196" s="8" t="str">
        <x:v>Current</x:v>
      </x:c>
    </x:row>
    <x:row r="197" ht="32" customHeight="1">
      <x:c r="A197" s="8" t="str">
        <x:v>drop:AV1:A2:audio:1:S282</x:v>
      </x:c>
      <x:c r="B197" s="8" t="n">
        <x:v>3</x:v>
      </x:c>
      <x:c r="C197" s="11" t="n">
        <x:v>25.725</x:v>
      </x:c>
      <x:c r="D197" s="11" t="n">
        <x:v>7.04</x:v>
      </x:c>
      <x:c r="E197" s="11" t="n">
        <x:v>7.36</x:v>
      </x:c>
      <x:c r="F197" s="11" t="n">
        <x:f>SQRT((C197-C196)^2+(D197-D196)^2+(E197-E196)^2)</x:f>
        <x:v>1.3049999999999997</x:v>
      </x:c>
      <x:c r="G197" s="8" t="str">
        <x:v>Current</x:v>
      </x:c>
    </x:row>
    <x:row r="198" ht="32" customHeight="1">
      <x:c r="A198" s="8" t="str">
        <x:v>drop:AV1:A2:audio:1:S282</x:v>
      </x:c>
      <x:c r="B198" s="8" t="n">
        <x:v>4</x:v>
      </x:c>
      <x:c r="C198" s="11" t="n">
        <x:v>25.725</x:v>
      </x:c>
      <x:c r="D198" s="11" t="n">
        <x:v>6.932561064262868</x:v>
      </x:c>
      <x:c r="E198" s="11" t="n">
        <x:v>7.438421052631579</x:v>
      </x:c>
      <x:c r="F198" s="11" t="n">
        <x:f>SQRT((C198-C197)^2+(D198-D197)^2+(E198-E197)^2)</x:f>
        <x:v>0.13301498565264178</x:v>
      </x:c>
      <x:c r="G198" s="8" t="str">
        <x:v>Current</x:v>
      </x:c>
    </x:row>
    <x:row r="199" ht="32" customHeight="1">
      <x:c r="A199" s="8" t="str">
        <x:v>drop:AV1:A2:audio:1:S282</x:v>
      </x:c>
      <x:c r="B199" s="8" t="n">
        <x:v>5</x:v>
      </x:c>
      <x:c r="C199" s="11" t="n">
        <x:v>25.725</x:v>
      </x:c>
      <x:c r="D199" s="11" t="n">
        <x:v>6.618660220994475</x:v>
      </x:c>
      <x:c r="E199" s="11" t="n">
        <x:v>8.85</x:v>
      </x:c>
      <x:c r="F199" s="11" t="n">
        <x:f>SQRT((C199-C198)^2+(D199-D198)^2+(E199-E198)^2)</x:f>
        <x:v>1.4460597719521646</x:v>
      </x:c>
      <x:c r="G199" s="8" t="str">
        <x:v>Current</x:v>
      </x:c>
    </x:row>
    <x:row r="200" ht="32" customHeight="1">
      <x:c r="A200" s="8" t="str">
        <x:v>drop:AV1:A2:audio:1:S282</x:v>
      </x:c>
      <x:c r="B200" s="8" t="n">
        <x:v>6</x:v>
      </x:c>
      <x:c r="C200" s="11" t="n">
        <x:v>25.725</x:v>
      </x:c>
      <x:c r="D200" s="11" t="n">
        <x:v>3.9</x:v>
      </x:c>
      <x:c r="E200" s="11" t="n">
        <x:v>8.85</x:v>
      </x:c>
      <x:c r="F200" s="11" t="n">
        <x:f>SQRT((C200-C199)^2+(D200-D199)^2+(E200-E199)^2)</x:f>
        <x:v>2.7186602209944755</x:v>
      </x:c>
      <x:c r="G200" s="8" t="str">
        <x:v>Current</x:v>
      </x:c>
    </x:row>
    <x:row r="201" ht="32" customHeight="1">
      <x:c r="A201" s="8" t="str">
        <x:v>trunk:AV1:A3:audio:-1</x:v>
      </x:c>
      <x:c r="B201" s="8" t="n">
        <x:v>1</x:v>
      </x:c>
      <x:c r="C201" s="11" t="n">
        <x:v>49.275</x:v>
      </x:c>
      <x:c r="D201" s="11" t="n">
        <x:v>0.95</x:v>
      </x:c>
      <x:c r="E201" s="11" t="n">
        <x:v>1.4</x:v>
      </x:c>
      <x:c r="F201" s="11" t="n">
        <x:f>0</x:f>
        <x:v>0</x:v>
      </x:c>
      <x:c r="G201" s="8" t="str">
        <x:v>Current</x:v>
      </x:c>
    </x:row>
    <x:row r="202" ht="32" customHeight="1">
      <x:c r="A202" s="8" t="str">
        <x:v>trunk:AV1:A3:audio:-1</x:v>
      </x:c>
      <x:c r="B202" s="8" t="n">
        <x:v>2</x:v>
      </x:c>
      <x:c r="C202" s="11" t="n">
        <x:v>48.735</x:v>
      </x:c>
      <x:c r="D202" s="11" t="n">
        <x:v>0.95</x:v>
      </x:c>
      <x:c r="E202" s="11" t="n">
        <x:v>1.4</x:v>
      </x:c>
      <x:c r="F202" s="11" t="n">
        <x:f>SQRT((C202-C201)^2+(D202-D201)^2+(E202-E201)^2)</x:f>
        <x:v>0.5399999999999991</x:v>
      </x:c>
      <x:c r="G202" s="8" t="str">
        <x:v>Current</x:v>
      </x:c>
    </x:row>
    <x:row r="203" ht="32" customHeight="1">
      <x:c r="A203" s="8" t="str">
        <x:v>trunk:AV1:A3:audio:-1</x:v>
      </x:c>
      <x:c r="B203" s="8" t="n">
        <x:v>3</x:v>
      </x:c>
      <x:c r="C203" s="11" t="n">
        <x:v>48.735</x:v>
      </x:c>
      <x:c r="D203" s="11" t="n">
        <x:v>0.95</x:v>
      </x:c>
      <x:c r="E203" s="11" t="n">
        <x:v>2.24</x:v>
      </x:c>
      <x:c r="F203" s="11" t="n">
        <x:f>SQRT((C203-C202)^2+(D203-D202)^2+(E203-E202)^2)</x:f>
        <x:v>0.8400000000000003</x:v>
      </x:c>
      <x:c r="G203" s="8" t="str">
        <x:v>Current</x:v>
      </x:c>
    </x:row>
    <x:row r="204" ht="32" customHeight="1">
      <x:c r="A204" s="8" t="str">
        <x:v>trunk:AV1:A3:audio:-1</x:v>
      </x:c>
      <x:c r="B204" s="8" t="n">
        <x:v>4</x:v>
      </x:c>
      <x:c r="C204" s="11" t="n">
        <x:v>48.735</x:v>
      </x:c>
      <x:c r="D204" s="11" t="n">
        <x:v>4.33</x:v>
      </x:c>
      <x:c r="E204" s="11" t="n">
        <x:v>2.24</x:v>
      </x:c>
      <x:c r="F204" s="11" t="n">
        <x:f>SQRT((C204-C203)^2+(D204-D203)^2+(E204-E203)^2)</x:f>
        <x:v>3.38</x:v>
      </x:c>
      <x:c r="G204" s="8" t="str">
        <x:v>Current</x:v>
      </x:c>
    </x:row>
    <x:row r="205" ht="32" customHeight="1">
      <x:c r="A205" s="8" t="str">
        <x:v>trunk:AV1:A3:audio:-1</x:v>
      </x:c>
      <x:c r="B205" s="8" t="n">
        <x:v>5</x:v>
      </x:c>
      <x:c r="C205" s="11" t="n">
        <x:v>48.735</x:v>
      </x:c>
      <x:c r="D205" s="11" t="n">
        <x:v>4.33</x:v>
      </x:c>
      <x:c r="E205" s="11" t="n">
        <x:v>3.3</x:v>
      </x:c>
      <x:c r="F205" s="11" t="n">
        <x:f>SQRT((C205-C204)^2+(D205-D204)^2+(E205-E204)^2)</x:f>
        <x:v>1.0599999999999996</x:v>
      </x:c>
      <x:c r="G205" s="8" t="str">
        <x:v>Current</x:v>
      </x:c>
    </x:row>
    <x:row r="206" ht="32" customHeight="1">
      <x:c r="A206" s="8" t="str">
        <x:v>trunk:AV1:A3:audio:-1</x:v>
      </x:c>
      <x:c r="B206" s="8" t="n">
        <x:v>6</x:v>
      </x:c>
      <x:c r="C206" s="11" t="n">
        <x:v>53.016</x:v>
      </x:c>
      <x:c r="D206" s="11" t="n">
        <x:v>4.33</x:v>
      </x:c>
      <x:c r="E206" s="11" t="n">
        <x:v>3.3</x:v>
      </x:c>
      <x:c r="F206" s="11" t="n">
        <x:f>SQRT((C206-C205)^2+(D206-D205)^2+(E206-E205)^2)</x:f>
        <x:v>4.280999999999999</x:v>
      </x:c>
      <x:c r="G206" s="8" t="str">
        <x:v>Current</x:v>
      </x:c>
    </x:row>
    <x:row r="207" ht="32" customHeight="1">
      <x:c r="A207" s="8" t="str">
        <x:v>trunk:AV1:A3:audio:-1</x:v>
      </x:c>
      <x:c r="B207" s="8" t="n">
        <x:v>7</x:v>
      </x:c>
      <x:c r="C207" s="11" t="n">
        <x:v>53.016</x:v>
      </x:c>
      <x:c r="D207" s="11" t="n">
        <x:v>5.534</x:v>
      </x:c>
      <x:c r="E207" s="11" t="n">
        <x:v>3.3</x:v>
      </x:c>
      <x:c r="F207" s="11" t="n">
        <x:f>SQRT((C207-C206)^2+(D207-D206)^2+(E207-E206)^2)</x:f>
        <x:v>1.2039999999999997</x:v>
      </x:c>
      <x:c r="G207" s="8" t="str">
        <x:v>Current</x:v>
      </x:c>
    </x:row>
    <x:row r="208" ht="32" customHeight="1">
      <x:c r="A208" s="8" t="str">
        <x:v>trunk:AV1:A3:audio:-1</x:v>
      </x:c>
      <x:c r="B208" s="8" t="n">
        <x:v>8</x:v>
      </x:c>
      <x:c r="C208" s="11" t="n">
        <x:v>53.016</x:v>
      </x:c>
      <x:c r="D208" s="11" t="n">
        <x:v>5.534</x:v>
      </x:c>
      <x:c r="E208" s="11" t="n">
        <x:v>-7.36</x:v>
      </x:c>
      <x:c r="F208" s="11" t="n">
        <x:f>SQRT((C208-C207)^2+(D208-D207)^2+(E208-E207)^2)</x:f>
        <x:v>10.66</x:v>
      </x:c>
      <x:c r="G208" s="8" t="str">
        <x:v>Current</x:v>
      </x:c>
    </x:row>
    <x:row r="209" ht="32" customHeight="1">
      <x:c r="A209" s="8" t="str">
        <x:v>trunk:AV1:A3:audio:-1</x:v>
      </x:c>
      <x:c r="B209" s="8" t="n">
        <x:v>9</x:v>
      </x:c>
      <x:c r="C209" s="11" t="n">
        <x:v>44.175</x:v>
      </x:c>
      <x:c r="D209" s="11" t="n">
        <x:v>5.534</x:v>
      </x:c>
      <x:c r="E209" s="11" t="n">
        <x:v>-7.36</x:v>
      </x:c>
      <x:c r="F209" s="11" t="n">
        <x:f>SQRT((C209-C208)^2+(D209-D208)^2+(E209-E208)^2)</x:f>
        <x:v>8.841000000000001</x:v>
      </x:c>
      <x:c r="G209" s="8" t="str">
        <x:v>Current</x:v>
      </x:c>
    </x:row>
    <x:row r="210" ht="32" customHeight="1">
      <x:c r="A210" s="8" t="str">
        <x:v>trunk:AV1:A3:audio:-1</x:v>
      </x:c>
      <x:c r="B210" s="8" t="n">
        <x:v>10</x:v>
      </x:c>
      <x:c r="C210" s="11" t="n">
        <x:v>44.175</x:v>
      </x:c>
      <x:c r="D210" s="11" t="n">
        <x:v>7.04</x:v>
      </x:c>
      <x:c r="E210" s="11" t="n">
        <x:v>-7.36</x:v>
      </x:c>
      <x:c r="F210" s="11" t="n">
        <x:f>SQRT((C210-C209)^2+(D210-D209)^2+(E210-E209)^2)</x:f>
        <x:v>1.5060000000000002</x:v>
      </x:c>
      <x:c r="G210" s="8" t="str">
        <x:v>Current</x:v>
      </x:c>
    </x:row>
    <x:row r="211" ht="32" customHeight="1">
      <x:c r="A211" s="8" t="str">
        <x:v>trunk:AV1:A3:audio:-1</x:v>
      </x:c>
      <x:c r="B211" s="8" t="n">
        <x:v>11</x:v>
      </x:c>
      <x:c r="C211" s="11" t="n">
        <x:v>43.535</x:v>
      </x:c>
      <x:c r="D211" s="11" t="n">
        <x:v>7.04</x:v>
      </x:c>
      <x:c r="E211" s="11" t="n">
        <x:v>-7.36</x:v>
      </x:c>
      <x:c r="F211" s="11" t="n">
        <x:f>SQRT((C211-C210)^2+(D211-D210)^2+(E211-E210)^2)</x:f>
        <x:v>0.6400000000000006</x:v>
      </x:c>
      <x:c r="G211" s="8" t="str">
        <x:v>Current</x:v>
      </x:c>
    </x:row>
    <x:row r="212" ht="32" customHeight="1">
      <x:c r="A212" s="8" t="str">
        <x:v>trunk:AV1:A3:audio:-1</x:v>
      </x:c>
      <x:c r="B212" s="8" t="n">
        <x:v>12</x:v>
      </x:c>
      <x:c r="C212" s="11" t="n">
        <x:v>43.455</x:v>
      </x:c>
      <x:c r="D212" s="11" t="n">
        <x:v>6.950412371134024</x:v>
      </x:c>
      <x:c r="E212" s="11" t="n">
        <x:v>-7.36</x:v>
      </x:c>
      <x:c r="F212" s="11" t="n">
        <x:f>SQRT((C212-C211)^2+(D212-D211)^2+(E212-E211)^2)</x:f>
        <x:v>0.12010804821421249</x:v>
      </x:c>
      <x:c r="G212" s="8" t="str">
        <x:v>Current</x:v>
      </x:c>
    </x:row>
    <x:row r="213" ht="32" customHeight="1">
      <x:c r="A213" s="8" t="str">
        <x:v>trunk:AV1:A3:audio:-1</x:v>
      </x:c>
      <x:c r="B213" s="8" t="n">
        <x:v>13</x:v>
      </x:c>
      <x:c r="C213" s="11" t="n">
        <x:v>40.574999999999996</x:v>
      </x:c>
      <x:c r="D213" s="11" t="n">
        <x:v>9.269999999999994</x:v>
      </x:c>
      <x:c r="E213" s="11" t="n">
        <x:v>-7.36</x:v>
      </x:c>
      <x:c r="F213" s="11" t="n">
        <x:f>SQRT((C213-C212)^2+(D213-D212)^2+(E213-E212)^2)</x:f>
        <x:v>3.6979571073753776</x:v>
      </x:c>
      <x:c r="G213" s="8" t="str">
        <x:v>Current</x:v>
      </x:c>
    </x:row>
    <x:row r="214" ht="32" customHeight="1">
      <x:c r="A214" s="8" t="str">
        <x:v>trunk:AV1:A3:audio:-1</x:v>
      </x:c>
      <x:c r="B214" s="8" t="n">
        <x:v>14</x:v>
      </x:c>
      <x:c r="C214" s="11" t="n">
        <x:v>37.695</x:v>
      </x:c>
      <x:c r="D214" s="11" t="n">
        <x:v>6.950412371134018</x:v>
      </x:c>
      <x:c r="E214" s="11" t="n">
        <x:v>-7.36</x:v>
      </x:c>
      <x:c r="F214" s="11" t="n">
        <x:f>SQRT((C214-C213)^2+(D214-D213)^2+(E214-E213)^2)</x:f>
        <x:v>3.697957107375376</x:v>
      </x:c>
      <x:c r="G214" s="8" t="str">
        <x:v>Current</x:v>
      </x:c>
    </x:row>
    <x:row r="215" ht="32" customHeight="1">
      <x:c r="A215" s="8" t="str">
        <x:v>trunk:AV1:A3:audio:-1</x:v>
      </x:c>
      <x:c r="B215" s="8" t="n">
        <x:v>15</x:v>
      </x:c>
      <x:c r="C215" s="11" t="n">
        <x:v>37.615</x:v>
      </x:c>
      <x:c r="D215" s="11" t="n">
        <x:v>7.04</x:v>
      </x:c>
      <x:c r="E215" s="11" t="n">
        <x:v>-7.36</x:v>
      </x:c>
      <x:c r="F215" s="11" t="n">
        <x:f>SQRT((C215-C214)^2+(D215-D214)^2+(E215-E214)^2)</x:f>
        <x:v>0.12010804821421713</x:v>
      </x:c>
      <x:c r="G215" s="8" t="str">
        <x:v>Current</x:v>
      </x:c>
    </x:row>
    <x:row r="216" ht="32" customHeight="1">
      <x:c r="A216" s="8" t="str">
        <x:v>trunk:AV1:A3:audio:-1</x:v>
      </x:c>
      <x:c r="B216" s="8" t="n">
        <x:v>16</x:v>
      </x:c>
      <x:c r="C216" s="11" t="n">
        <x:v>36.975</x:v>
      </x:c>
      <x:c r="D216" s="11" t="n">
        <x:v>7.04</x:v>
      </x:c>
      <x:c r="E216" s="11" t="n">
        <x:v>-7.36</x:v>
      </x:c>
      <x:c r="F216" s="11" t="n">
        <x:f>SQRT((C216-C215)^2+(D216-D215)^2+(E216-E215)^2)</x:f>
        <x:v>0.6400000000000006</x:v>
      </x:c>
      <x:c r="G216" s="8" t="str">
        <x:v>Current</x:v>
      </x:c>
    </x:row>
    <x:row r="217" ht="32" customHeight="1">
      <x:c r="A217" s="8" t="str">
        <x:v>trunk:AV1:A3:audio:-1</x:v>
      </x:c>
      <x:c r="B217" s="8" t="n">
        <x:v>17</x:v>
      </x:c>
      <x:c r="C217" s="11" t="n">
        <x:v>36.975</x:v>
      </x:c>
      <x:c r="D217" s="11" t="n">
        <x:v>5.534</x:v>
      </x:c>
      <x:c r="E217" s="11" t="n">
        <x:v>-7.36</x:v>
      </x:c>
      <x:c r="F217" s="11" t="n">
        <x:f>SQRT((C217-C216)^2+(D217-D216)^2+(E217-E216)^2)</x:f>
        <x:v>1.5060000000000002</x:v>
      </x:c>
      <x:c r="G217" s="8" t="str">
        <x:v>Current</x:v>
      </x:c>
    </x:row>
    <x:row r="218" ht="32" customHeight="1">
      <x:c r="A218" s="8" t="str">
        <x:v>trunk:AV1:A3:audio:-1</x:v>
      </x:c>
      <x:c r="B218" s="8" t="n">
        <x:v>18</x:v>
      </x:c>
      <x:c r="C218" s="11" t="n">
        <x:v>5.475</x:v>
      </x:c>
      <x:c r="D218" s="11" t="n">
        <x:v>5.534</x:v>
      </x:c>
      <x:c r="E218" s="11" t="n">
        <x:v>-7.36</x:v>
      </x:c>
      <x:c r="F218" s="11" t="n">
        <x:f>SQRT((C218-C217)^2+(D218-D217)^2+(E218-E217)^2)</x:f>
        <x:v>31.5</x:v>
      </x:c>
      <x:c r="G218" s="8" t="str">
        <x:v>Current</x:v>
      </x:c>
    </x:row>
    <x:row r="219" ht="32" customHeight="1">
      <x:c r="A219" s="8" t="str">
        <x:v>trunk:AV1:A3:audio:-1</x:v>
      </x:c>
      <x:c r="B219" s="8" t="n">
        <x:v>19</x:v>
      </x:c>
      <x:c r="C219" s="11" t="n">
        <x:v>2.35</x:v>
      </x:c>
      <x:c r="D219" s="11" t="n">
        <x:v>5.534</x:v>
      </x:c>
      <x:c r="E219" s="11" t="n">
        <x:v>-7.36</x:v>
      </x:c>
      <x:c r="F219" s="11" t="n">
        <x:f>SQRT((C219-C218)^2+(D219-D218)^2+(E219-E218)^2)</x:f>
        <x:v>3.1249999999999996</x:v>
      </x:c>
      <x:c r="G219" s="8" t="str">
        <x:v>Current</x:v>
      </x:c>
    </x:row>
    <x:row r="220" ht="32" customHeight="1">
      <x:c r="A220" s="8" t="str">
        <x:v>drop:AV1:A3:audio:-1:S283</x:v>
      </x:c>
      <x:c r="B220" s="8" t="n">
        <x:v>1</x:v>
      </x:c>
      <x:c r="C220" s="11" t="n">
        <x:v>2.35</x:v>
      </x:c>
      <x:c r="D220" s="11" t="n">
        <x:v>5.534</x:v>
      </x:c>
      <x:c r="E220" s="11" t="n">
        <x:v>-7.36</x:v>
      </x:c>
      <x:c r="F220" s="11" t="n">
        <x:f>0</x:f>
        <x:v>0</x:v>
      </x:c>
      <x:c r="G220" s="8" t="str">
        <x:v>Current</x:v>
      </x:c>
    </x:row>
    <x:row r="221" ht="32" customHeight="1">
      <x:c r="A221" s="8" t="str">
        <x:v>drop:AV1:A3:audio:-1:S283</x:v>
      </x:c>
      <x:c r="B221" s="8" t="n">
        <x:v>2</x:v>
      </x:c>
      <x:c r="C221" s="11" t="n">
        <x:v>2.35</x:v>
      </x:c>
      <x:c r="D221" s="11" t="n">
        <x:v>7.65</x:v>
      </x:c>
      <x:c r="E221" s="11" t="n">
        <x:v>-7.36</x:v>
      </x:c>
      <x:c r="F221" s="11" t="n">
        <x:f>SQRT((C221-C220)^2+(D221-D220)^2+(E221-E220)^2)</x:f>
        <x:v>2.1160000000000005</x:v>
      </x:c>
      <x:c r="G221" s="8" t="str">
        <x:v>Current</x:v>
      </x:c>
    </x:row>
    <x:row r="222" ht="32" customHeight="1">
      <x:c r="A222" s="8" t="str">
        <x:v>drop:AV1:A3:audio:-1:S283</x:v>
      </x:c>
      <x:c r="B222" s="8" t="n">
        <x:v>3</x:v>
      </x:c>
      <x:c r="C222" s="11" t="n">
        <x:v>2.35</x:v>
      </x:c>
      <x:c r="D222" s="11" t="n">
        <x:v>7.65</x:v>
      </x:c>
      <x:c r="E222" s="11" t="n">
        <x:v>-7.703</x:v>
      </x:c>
      <x:c r="F222" s="11" t="n">
        <x:f>SQRT((C222-C221)^2+(D222-D221)^2+(E222-E221)^2)</x:f>
        <x:v>0.34299999999999997</x:v>
      </x:c>
      <x:c r="G222" s="8" t="str">
        <x:v>Current</x:v>
      </x:c>
    </x:row>
    <x:row r="223" ht="32" customHeight="1">
      <x:c r="A223" s="8" t="str">
        <x:v>drop:AV1:A3:audio:-1:S283</x:v>
      </x:c>
      <x:c r="B223" s="8" t="n">
        <x:v>4</x:v>
      </x:c>
      <x:c r="C223" s="11" t="n">
        <x:v>0</x:v>
      </x:c>
      <x:c r="D223" s="11" t="n">
        <x:v>7.65</x:v>
      </x:c>
      <x:c r="E223" s="11" t="n">
        <x:v>-7.703</x:v>
      </x:c>
      <x:c r="F223" s="11" t="n">
        <x:f>SQRT((C223-C222)^2+(D223-D222)^2+(E223-E222)^2)</x:f>
        <x:v>2.35</x:v>
      </x:c>
      <x:c r="G223" s="8" t="str">
        <x:v>Current</x:v>
      </x:c>
    </x:row>
    <x:row r="224" ht="32" customHeight="1">
      <x:c r="A224" s="8" t="str">
        <x:v>drop:AV1:A3:audio:-1:S283</x:v>
      </x:c>
      <x:c r="B224" s="8" t="n">
        <x:v>5</x:v>
      </x:c>
      <x:c r="C224" s="11" t="n">
        <x:v>0</x:v>
      </x:c>
      <x:c r="D224" s="11" t="n">
        <x:v>7.65</x:v>
      </x:c>
      <x:c r="E224" s="11" t="n">
        <x:v>-7.9430000000000005</x:v>
      </x:c>
      <x:c r="F224" s="11" t="n">
        <x:f>SQRT((C224-C223)^2+(D224-D223)^2+(E224-E223)^2)</x:f>
        <x:v>0.2400000000000002</x:v>
      </x:c>
      <x:c r="G224" s="8" t="str">
        <x:v>Current</x:v>
      </x:c>
    </x:row>
    <x:row r="225" ht="32" customHeight="1">
      <x:c r="A225" s="8" t="str">
        <x:v>drop:AV1:A3:audio:-1:S283</x:v>
      </x:c>
      <x:c r="B225" s="8" t="n">
        <x:v>6</x:v>
      </x:c>
      <x:c r="C225" s="11" t="n">
        <x:v>0</x:v>
      </x:c>
      <x:c r="D225" s="11" t="n">
        <x:v>6.2</x:v>
      </x:c>
      <x:c r="E225" s="11" t="n">
        <x:v>-7.9430000000000005</x:v>
      </x:c>
      <x:c r="F225" s="11" t="n">
        <x:f>SQRT((C225-C224)^2+(D225-D224)^2+(E225-E224)^2)</x:f>
        <x:v>1.4500000000000002</x:v>
      </x:c>
      <x:c r="G225" s="8" t="str">
        <x:v>Current</x:v>
      </x:c>
    </x:row>
    <x:row r="226" ht="32" customHeight="1">
      <x:c r="A226" s="8" t="str">
        <x:v>drop:AV1:A3:audio:-1:S283</x:v>
      </x:c>
      <x:c r="B226" s="8" t="n">
        <x:v>7</x:v>
      </x:c>
      <x:c r="C226" s="11" t="n">
        <x:v>0</x:v>
      </x:c>
      <x:c r="D226" s="11" t="n">
        <x:v>6.2</x:v>
      </x:c>
      <x:c r="E226" s="11" t="n">
        <x:v>-8.3</x:v>
      </x:c>
      <x:c r="F226" s="11" t="n">
        <x:f>SQRT((C226-C225)^2+(D226-D225)^2+(E226-E225)^2)</x:f>
        <x:v>0.3570000000000002</x:v>
      </x:c>
      <x:c r="G226" s="8" t="str">
        <x:v>Current</x:v>
      </x:c>
    </x:row>
    <x:row r="227" ht="32" customHeight="1">
      <x:c r="A227" s="8" t="str">
        <x:v>drop:AV1:A3:audio:-1:S283</x:v>
      </x:c>
      <x:c r="B227" s="8" t="n">
        <x:v>8</x:v>
      </x:c>
      <x:c r="C227" s="11" t="n">
        <x:v>-0.14</x:v>
      </x:c>
      <x:c r="D227" s="11" t="n">
        <x:v>6.2</x:v>
      </x:c>
      <x:c r="E227" s="11" t="n">
        <x:v>-8.3</x:v>
      </x:c>
      <x:c r="F227" s="11" t="n">
        <x:f>SQRT((C227-C226)^2+(D227-D226)^2+(E227-E226)^2)</x:f>
        <x:v>0.14</x:v>
      </x:c>
      <x:c r="G227" s="8" t="str">
        <x:v>Current</x:v>
      </x:c>
    </x:row>
    <x:row r="228" ht="32" customHeight="1">
      <x:c r="A228" s="8" t="str">
        <x:v>drop:AV1:A3:audio:-1:S284</x:v>
      </x:c>
      <x:c r="B228" s="8" t="n">
        <x:v>1</x:v>
      </x:c>
      <x:c r="C228" s="11" t="n">
        <x:v>2.35</x:v>
      </x:c>
      <x:c r="D228" s="11" t="n">
        <x:v>5.534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drop:AV1:A3:audio:-1:S284</x:v>
      </x:c>
      <x:c r="B229" s="8" t="n">
        <x:v>2</x:v>
      </x:c>
      <x:c r="C229" s="11" t="n">
        <x:v>2.35</x:v>
      </x:c>
      <x:c r="D229" s="11" t="n">
        <x:v>7.65</x:v>
      </x:c>
      <x:c r="E229" s="11" t="n">
        <x:v>-7.36</x:v>
      </x:c>
      <x:c r="F229" s="11" t="n">
        <x:f>SQRT((C229-C228)^2+(D229-D228)^2+(E229-E228)^2)</x:f>
        <x:v>2.1160000000000005</x:v>
      </x:c>
      <x:c r="G229" s="8" t="str">
        <x:v>Current</x:v>
      </x:c>
    </x:row>
    <x:row r="230" ht="32" customHeight="1">
      <x:c r="A230" s="8" t="str">
        <x:v>drop:AV1:A3:audio:-1:S284</x:v>
      </x:c>
      <x:c r="B230" s="8" t="n">
        <x:v>3</x:v>
      </x:c>
      <x:c r="C230" s="11" t="n">
        <x:v>2.35</x:v>
      </x:c>
      <x:c r="D230" s="11" t="n">
        <x:v>7.65</x:v>
      </x:c>
      <x:c r="E230" s="11" t="n">
        <x:v>-7.703</x:v>
      </x:c>
      <x:c r="F230" s="11" t="n">
        <x:f>SQRT((C230-C229)^2+(D230-D229)^2+(E230-E229)^2)</x:f>
        <x:v>0.34299999999999997</x:v>
      </x:c>
      <x:c r="G230" s="8" t="str">
        <x:v>Current</x:v>
      </x:c>
    </x:row>
    <x:row r="231" ht="32" customHeight="1">
      <x:c r="A231" s="8" t="str">
        <x:v>drop:AV1:A3:audio:-1:S284</x:v>
      </x:c>
      <x:c r="B231" s="8" t="n">
        <x:v>4</x:v>
      </x:c>
      <x:c r="C231" s="11" t="n">
        <x:v>0</x:v>
      </x:c>
      <x:c r="D231" s="11" t="n">
        <x:v>7.65</x:v>
      </x:c>
      <x:c r="E231" s="11" t="n">
        <x:v>-7.703</x:v>
      </x:c>
      <x:c r="F231" s="11" t="n">
        <x:f>SQRT((C231-C230)^2+(D231-D230)^2+(E231-E230)^2)</x:f>
        <x:v>2.35</x:v>
      </x:c>
      <x:c r="G231" s="8" t="str">
        <x:v>Current</x:v>
      </x:c>
    </x:row>
    <x:row r="232" ht="32" customHeight="1">
      <x:c r="A232" s="8" t="str">
        <x:v>drop:AV1:A3:audio:-1:S284</x:v>
      </x:c>
      <x:c r="B232" s="8" t="n">
        <x:v>5</x:v>
      </x:c>
      <x:c r="C232" s="11" t="n">
        <x:v>0</x:v>
      </x:c>
      <x:c r="D232" s="11" t="n">
        <x:v>7.65</x:v>
      </x:c>
      <x:c r="E232" s="11" t="n">
        <x:v>-12.363</x:v>
      </x:c>
      <x:c r="F232" s="11" t="n">
        <x:f>SQRT((C232-C231)^2+(D232-D231)^2+(E232-E231)^2)</x:f>
        <x:v>4.659999999999999</x:v>
      </x:c>
      <x:c r="G232" s="8" t="str">
        <x:v>Current</x:v>
      </x:c>
    </x:row>
    <x:row r="233" ht="32" customHeight="1">
      <x:c r="A233" s="8" t="str">
        <x:v>drop:AV1:A3:audio:-1:S284</x:v>
      </x:c>
      <x:c r="B233" s="8" t="n">
        <x:v>6</x:v>
      </x:c>
      <x:c r="C233" s="11" t="n">
        <x:v>0</x:v>
      </x:c>
      <x:c r="D233" s="11" t="n">
        <x:v>6.2</x:v>
      </x:c>
      <x:c r="E233" s="11" t="n">
        <x:v>-12.363</x:v>
      </x:c>
      <x:c r="F233" s="11" t="n">
        <x:f>SQRT((C233-C232)^2+(D233-D232)^2+(E233-E232)^2)</x:f>
        <x:v>1.4500000000000002</x:v>
      </x:c>
      <x:c r="G233" s="8" t="str">
        <x:v>Current</x:v>
      </x:c>
    </x:row>
    <x:row r="234" ht="32" customHeight="1">
      <x:c r="A234" s="8" t="str">
        <x:v>drop:AV1:A3:audio:-1:S284</x:v>
      </x:c>
      <x:c r="B234" s="8" t="n">
        <x:v>7</x:v>
      </x:c>
      <x:c r="C234" s="11" t="n">
        <x:v>0</x:v>
      </x:c>
      <x:c r="D234" s="11" t="n">
        <x:v>6.2</x:v>
      </x:c>
      <x:c r="E234" s="11" t="n">
        <x:v>-11.9</x:v>
      </x:c>
      <x:c r="F234" s="11" t="n">
        <x:f>SQRT((C234-C233)^2+(D234-D233)^2+(E234-E233)^2)</x:f>
        <x:v>0.4629999999999992</x:v>
      </x:c>
      <x:c r="G234" s="8" t="str">
        <x:v>Current</x:v>
      </x:c>
    </x:row>
    <x:row r="235" ht="32" customHeight="1">
      <x:c r="A235" s="8" t="str">
        <x:v>drop:AV1:A3:audio:-1:S284</x:v>
      </x:c>
      <x:c r="B235" s="8" t="n">
        <x:v>8</x:v>
      </x:c>
      <x:c r="C235" s="11" t="n">
        <x:v>-0.14</x:v>
      </x:c>
      <x:c r="D235" s="11" t="n">
        <x:v>6.2</x:v>
      </x:c>
      <x:c r="E235" s="11" t="n">
        <x:v>-11.9</x:v>
      </x:c>
      <x:c r="F235" s="11" t="n">
        <x:f>SQRT((C235-C234)^2+(D235-D234)^2+(E235-E234)^2)</x:f>
        <x:v>0.14</x:v>
      </x:c>
      <x:c r="G235" s="8" t="str">
        <x:v>Current</x:v>
      </x:c>
    </x:row>
    <x:row r="236" ht="32" customHeight="1">
      <x:c r="A236" s="8" t="str">
        <x:v>drop:AV1:A3:audio:-1:S285</x:v>
      </x:c>
      <x:c r="B236" s="8" t="n">
        <x:v>1</x:v>
      </x:c>
      <x:c r="C236" s="11" t="n">
        <x:v>18.975</x:v>
      </x:c>
      <x:c r="D236" s="11" t="n">
        <x:v>5.534</x:v>
      </x:c>
      <x:c r="E236" s="11" t="n">
        <x:v>-7.36</x:v>
      </x:c>
      <x:c r="F236" s="11" t="n">
        <x:f>0</x:f>
        <x:v>0</x:v>
      </x:c>
      <x:c r="G236" s="8" t="str">
        <x:v>Current</x:v>
      </x:c>
    </x:row>
    <x:row r="237" ht="32" customHeight="1">
      <x:c r="A237" s="8" t="str">
        <x:v>drop:AV1:A3:audio:-1:S285</x:v>
      </x:c>
      <x:c r="B237" s="8" t="n">
        <x:v>2</x:v>
      </x:c>
      <x:c r="C237" s="11" t="n">
        <x:v>18.975</x:v>
      </x:c>
      <x:c r="D237" s="11" t="n">
        <x:v>7.04</x:v>
      </x:c>
      <x:c r="E237" s="11" t="n">
        <x:v>-7.36</x:v>
      </x:c>
      <x:c r="F237" s="11" t="n">
        <x:f>SQRT((C237-C236)^2+(D237-D236)^2+(E237-E236)^2)</x:f>
        <x:v>1.5060000000000002</x:v>
      </x:c>
      <x:c r="G237" s="8" t="str">
        <x:v>Current</x:v>
      </x:c>
    </x:row>
    <x:row r="238" ht="32" customHeight="1">
      <x:c r="A238" s="8" t="str">
        <x:v>drop:AV1:A3:audio:-1:S285</x:v>
      </x:c>
      <x:c r="B238" s="8" t="n">
        <x:v>3</x:v>
      </x:c>
      <x:c r="C238" s="11" t="n">
        <x:v>18.975</x:v>
      </x:c>
      <x:c r="D238" s="11" t="n">
        <x:v>6.932586272843179</x:v>
      </x:c>
      <x:c r="E238" s="11" t="n">
        <x:v>-7.438307692307693</x:v>
      </x:c>
      <x:c r="F238" s="11" t="n">
        <x:f>SQRT((C238-C237)^2+(D238-D237)^2+(E238-E237)^2)</x:f>
        <x:v>0.13292781295227982</x:v>
      </x:c>
      <x:c r="G238" s="8" t="str">
        <x:v>Current</x:v>
      </x:c>
    </x:row>
    <x:row r="239" ht="32" customHeight="1">
      <x:c r="A239" s="8" t="str">
        <x:v>drop:AV1:A3:audio:-1:S285</x:v>
      </x:c>
      <x:c r="B239" s="8" t="n">
        <x:v>4</x:v>
      </x:c>
      <x:c r="C239" s="11" t="n">
        <x:v>18.975</x:v>
      </x:c>
      <x:c r="D239" s="11" t="n">
        <x:v>6.270864640883978</x:v>
      </x:c>
      <x:c r="E239" s="11" t="n">
        <x:v>-10.414</x:v>
      </x:c>
      <x:c r="F239" s="11" t="n">
        <x:f>SQRT((C239-C238)^2+(D239-D238)^2+(E239-E238)^2)</x:f>
        <x:v>3.048379935024818</x:v>
      </x:c>
      <x:c r="G239" s="8" t="str">
        <x:v>Current</x:v>
      </x:c>
    </x:row>
    <x:row r="240" ht="32" customHeight="1">
      <x:c r="A240" s="8" t="str">
        <x:v>drop:AV1:A3:audio:-1:S285</x:v>
      </x:c>
      <x:c r="B240" s="8" t="n">
        <x:v>5</x:v>
      </x:c>
      <x:c r="C240" s="11" t="n">
        <x:v>18.975</x:v>
      </x:c>
      <x:c r="D240" s="11" t="n">
        <x:v>5.6</x:v>
      </x:c>
      <x:c r="E240" s="11" t="n">
        <x:v>-10.414</x:v>
      </x:c>
      <x:c r="F240" s="11" t="n">
        <x:f>SQRT((C240-C239)^2+(D240-D239)^2+(E240-E239)^2)</x:f>
        <x:v>0.6708646408839787</x:v>
      </x:c>
      <x:c r="G240" s="8" t="str">
        <x:v>Current</x:v>
      </x:c>
    </x:row>
    <x:row r="241" ht="32" customHeight="1">
      <x:c r="A241" s="8" t="str">
        <x:v>drop:AV1:A3:audio:-1:S285</x:v>
      </x:c>
      <x:c r="B241" s="8" t="n">
        <x:v>6</x:v>
      </x:c>
      <x:c r="C241" s="11" t="n">
        <x:v>18.975</x:v>
      </x:c>
      <x:c r="D241" s="11" t="n">
        <x:v>5.6</x:v>
      </x:c>
      <x:c r="E241" s="11" t="n">
        <x:v>-10.75</x:v>
      </x:c>
      <x:c r="F241" s="11" t="n">
        <x:f>SQRT((C241-C240)^2+(D241-D240)^2+(E241-E240)^2)</x:f>
        <x:v>0.3360000000000003</x:v>
      </x:c>
      <x:c r="G241" s="8" t="str">
        <x:v>Current</x:v>
      </x:c>
    </x:row>
    <x:row r="242" ht="32" customHeight="1">
      <x:c r="A242" s="8" t="str">
        <x:v>drop:AV1:A3:audio:-1:S286</x:v>
      </x:c>
      <x:c r="B242" s="8" t="n">
        <x:v>1</x:v>
      </x:c>
      <x:c r="C242" s="11" t="n">
        <x:v>32.475</x:v>
      </x:c>
      <x:c r="D242" s="11" t="n">
        <x:v>5.534</x:v>
      </x:c>
      <x:c r="E242" s="11" t="n">
        <x:v>-7.36</x:v>
      </x:c>
      <x:c r="F242" s="11" t="n">
        <x:f>0</x:f>
        <x:v>0</x:v>
      </x:c>
      <x:c r="G242" s="8" t="str">
        <x:v>Current</x:v>
      </x:c>
    </x:row>
    <x:row r="243" ht="32" customHeight="1">
      <x:c r="A243" s="8" t="str">
        <x:v>drop:AV1:A3:audio:-1:S286</x:v>
      </x:c>
      <x:c r="B243" s="8" t="n">
        <x:v>2</x:v>
      </x:c>
      <x:c r="C243" s="11" t="n">
        <x:v>32.475</x:v>
      </x:c>
      <x:c r="D243" s="11" t="n">
        <x:v>7.04</x:v>
      </x:c>
      <x:c r="E243" s="11" t="n">
        <x:v>-7.36</x:v>
      </x:c>
      <x:c r="F243" s="11" t="n">
        <x:f>SQRT((C243-C242)^2+(D243-D242)^2+(E243-E242)^2)</x:f>
        <x:v>1.5060000000000002</x:v>
      </x:c>
      <x:c r="G243" s="8" t="str">
        <x:v>Current</x:v>
      </x:c>
    </x:row>
    <x:row r="244" ht="32" customHeight="1">
      <x:c r="A244" s="8" t="str">
        <x:v>drop:AV1:A3:audio:-1:S286</x:v>
      </x:c>
      <x:c r="B244" s="8" t="n">
        <x:v>3</x:v>
      </x:c>
      <x:c r="C244" s="11" t="n">
        <x:v>32.475</x:v>
      </x:c>
      <x:c r="D244" s="11" t="n">
        <x:v>6.932586272843179</x:v>
      </x:c>
      <x:c r="E244" s="11" t="n">
        <x:v>-7.438307692307693</x:v>
      </x:c>
      <x:c r="F244" s="11" t="n">
        <x:f>SQRT((C244-C243)^2+(D244-D243)^2+(E244-E243)^2)</x:f>
        <x:v>0.13292781295227982</x:v>
      </x:c>
      <x:c r="G244" s="8" t="str">
        <x:v>Current</x:v>
      </x:c>
    </x:row>
    <x:row r="245" ht="32" customHeight="1">
      <x:c r="A245" s="8" t="str">
        <x:v>drop:AV1:A3:audio:-1:S286</x:v>
      </x:c>
      <x:c r="B245" s="8" t="n">
        <x:v>4</x:v>
      </x:c>
      <x:c r="C245" s="11" t="n">
        <x:v>32.475</x:v>
      </x:c>
      <x:c r="D245" s="11" t="n">
        <x:v>6.270864640883978</x:v>
      </x:c>
      <x:c r="E245" s="11" t="n">
        <x:v>-10.414</x:v>
      </x:c>
      <x:c r="F245" s="11" t="n">
        <x:f>SQRT((C245-C244)^2+(D245-D244)^2+(E245-E244)^2)</x:f>
        <x:v>3.048379935024818</x:v>
      </x:c>
      <x:c r="G245" s="8" t="str">
        <x:v>Current</x:v>
      </x:c>
    </x:row>
    <x:row r="246" ht="32" customHeight="1">
      <x:c r="A246" s="8" t="str">
        <x:v>drop:AV1:A3:audio:-1:S286</x:v>
      </x:c>
      <x:c r="B246" s="8" t="n">
        <x:v>5</x:v>
      </x:c>
      <x:c r="C246" s="11" t="n">
        <x:v>32.475</x:v>
      </x:c>
      <x:c r="D246" s="11" t="n">
        <x:v>5.6</x:v>
      </x:c>
      <x:c r="E246" s="11" t="n">
        <x:v>-10.414</x:v>
      </x:c>
      <x:c r="F246" s="11" t="n">
        <x:f>SQRT((C246-C245)^2+(D246-D245)^2+(E246-E245)^2)</x:f>
        <x:v>0.6708646408839787</x:v>
      </x:c>
      <x:c r="G246" s="8" t="str">
        <x:v>Current</x:v>
      </x:c>
    </x:row>
    <x:row r="247" ht="32" customHeight="1">
      <x:c r="A247" s="8" t="str">
        <x:v>drop:AV1:A3:audio:-1:S286</x:v>
      </x:c>
      <x:c r="B247" s="8" t="n">
        <x:v>6</x:v>
      </x:c>
      <x:c r="C247" s="11" t="n">
        <x:v>32.475</x:v>
      </x:c>
      <x:c r="D247" s="11" t="n">
        <x:v>5.6</x:v>
      </x:c>
      <x:c r="E247" s="11" t="n">
        <x:v>-10.75</x:v>
      </x:c>
      <x:c r="F247" s="11" t="n">
        <x:f>SQRT((C247-C246)^2+(D247-D246)^2+(E247-E246)^2)</x:f>
        <x:v>0.3360000000000003</x:v>
      </x:c>
      <x:c r="G247" s="8" t="str">
        <x:v>Current</x:v>
      </x:c>
    </x:row>
    <x:row r="248" ht="32" customHeight="1">
      <x:c r="A248" s="8" t="str">
        <x:v>trunk:AV1:A3:audio:1</x:v>
      </x:c>
      <x:c r="B248" s="8" t="n">
        <x:v>1</x:v>
      </x:c>
      <x:c r="C248" s="11" t="n">
        <x:v>49.275</x:v>
      </x:c>
      <x:c r="D248" s="11" t="n">
        <x:v>0.95</x:v>
      </x:c>
      <x:c r="E248" s="11" t="n">
        <x:v>1.4</x:v>
      </x:c>
      <x:c r="F248" s="11" t="n">
        <x:f>0</x:f>
        <x:v>0</x:v>
      </x:c>
      <x:c r="G248" s="8" t="str">
        <x:v>Current</x:v>
      </x:c>
    </x:row>
    <x:row r="249" ht="32" customHeight="1">
      <x:c r="A249" s="8" t="str">
        <x:v>trunk:AV1:A3:audio:1</x:v>
      </x:c>
      <x:c r="B249" s="8" t="n">
        <x:v>2</x:v>
      </x:c>
      <x:c r="C249" s="11" t="n">
        <x:v>48.735</x:v>
      </x:c>
      <x:c r="D249" s="11" t="n">
        <x:v>0.95</x:v>
      </x:c>
      <x:c r="E249" s="11" t="n">
        <x:v>1.4</x:v>
      </x:c>
      <x:c r="F249" s="11" t="n">
        <x:f>SQRT((C249-C248)^2+(D249-D248)^2+(E249-E248)^2)</x:f>
        <x:v>0.5399999999999991</x:v>
      </x:c>
      <x:c r="G249" s="8" t="str">
        <x:v>Current</x:v>
      </x:c>
    </x:row>
    <x:row r="250" ht="32" customHeight="1">
      <x:c r="A250" s="8" t="str">
        <x:v>trunk:AV1:A3:audio:1</x:v>
      </x:c>
      <x:c r="B250" s="8" t="n">
        <x:v>3</x:v>
      </x:c>
      <x:c r="C250" s="11" t="n">
        <x:v>48.735</x:v>
      </x:c>
      <x:c r="D250" s="11" t="n">
        <x:v>0.95</x:v>
      </x:c>
      <x:c r="E250" s="11" t="n">
        <x:v>2.24</x:v>
      </x:c>
      <x:c r="F250" s="11" t="n">
        <x:f>SQRT((C250-C249)^2+(D250-D249)^2+(E250-E249)^2)</x:f>
        <x:v>0.8400000000000003</x:v>
      </x:c>
      <x:c r="G250" s="8" t="str">
        <x:v>Current</x:v>
      </x:c>
    </x:row>
    <x:row r="251" ht="32" customHeight="1">
      <x:c r="A251" s="8" t="str">
        <x:v>trunk:AV1:A3:audio:1</x:v>
      </x:c>
      <x:c r="B251" s="8" t="n">
        <x:v>4</x:v>
      </x:c>
      <x:c r="C251" s="11" t="n">
        <x:v>48.735</x:v>
      </x:c>
      <x:c r="D251" s="11" t="n">
        <x:v>4.33</x:v>
      </x:c>
      <x:c r="E251" s="11" t="n">
        <x:v>2.24</x:v>
      </x:c>
      <x:c r="F251" s="11" t="n">
        <x:f>SQRT((C251-C250)^2+(D251-D250)^2+(E251-E250)^2)</x:f>
        <x:v>3.38</x:v>
      </x:c>
      <x:c r="G251" s="8" t="str">
        <x:v>Current</x:v>
      </x:c>
    </x:row>
    <x:row r="252" ht="32" customHeight="1">
      <x:c r="A252" s="8" t="str">
        <x:v>trunk:AV1:A3:audio:1</x:v>
      </x:c>
      <x:c r="B252" s="8" t="n">
        <x:v>5</x:v>
      </x:c>
      <x:c r="C252" s="11" t="n">
        <x:v>48.735</x:v>
      </x:c>
      <x:c r="D252" s="11" t="n">
        <x:v>4.33</x:v>
      </x:c>
      <x:c r="E252" s="11" t="n">
        <x:v>3.3</x:v>
      </x:c>
      <x:c r="F252" s="11" t="n">
        <x:f>SQRT((C252-C251)^2+(D252-D251)^2+(E252-E251)^2)</x:f>
        <x:v>1.0599999999999996</x:v>
      </x:c>
      <x:c r="G252" s="8" t="str">
        <x:v>Current</x:v>
      </x:c>
    </x:row>
    <x:row r="253" ht="32" customHeight="1">
      <x:c r="A253" s="8" t="str">
        <x:v>trunk:AV1:A3:audio:1</x:v>
      </x:c>
      <x:c r="B253" s="8" t="n">
        <x:v>6</x:v>
      </x:c>
      <x:c r="C253" s="11" t="n">
        <x:v>53.016</x:v>
      </x:c>
      <x:c r="D253" s="11" t="n">
        <x:v>4.33</x:v>
      </x:c>
      <x:c r="E253" s="11" t="n">
        <x:v>3.3</x:v>
      </x:c>
      <x:c r="F253" s="11" t="n">
        <x:f>SQRT((C253-C252)^2+(D253-D252)^2+(E253-E252)^2)</x:f>
        <x:v>4.280999999999999</x:v>
      </x:c>
      <x:c r="G253" s="8" t="str">
        <x:v>Current</x:v>
      </x:c>
    </x:row>
    <x:row r="254" ht="32" customHeight="1">
      <x:c r="A254" s="8" t="str">
        <x:v>trunk:AV1:A3:audio:1</x:v>
      </x:c>
      <x:c r="B254" s="8" t="n">
        <x:v>7</x:v>
      </x:c>
      <x:c r="C254" s="11" t="n">
        <x:v>53.016</x:v>
      </x:c>
      <x:c r="D254" s="11" t="n">
        <x:v>5.534</x:v>
      </x:c>
      <x:c r="E254" s="11" t="n">
        <x:v>3.3</x:v>
      </x:c>
      <x:c r="F254" s="11" t="n">
        <x:f>SQRT((C254-C253)^2+(D254-D253)^2+(E254-E253)^2)</x:f>
        <x:v>1.2039999999999997</x:v>
      </x:c>
      <x:c r="G254" s="8" t="str">
        <x:v>Current</x:v>
      </x:c>
    </x:row>
    <x:row r="255" ht="32" customHeight="1">
      <x:c r="A255" s="8" t="str">
        <x:v>trunk:AV1:A3:audio:1</x:v>
      </x:c>
      <x:c r="B255" s="8" t="n">
        <x:v>8</x:v>
      </x:c>
      <x:c r="C255" s="11" t="n">
        <x:v>53.016</x:v>
      </x:c>
      <x:c r="D255" s="11" t="n">
        <x:v>5.534</x:v>
      </x:c>
      <x:c r="E255" s="11" t="n">
        <x:v>7.36</x:v>
      </x:c>
      <x:c r="F255" s="11" t="n">
        <x:f>SQRT((C255-C254)^2+(D255-D254)^2+(E255-E254)^2)</x:f>
        <x:v>4.0600000000000005</x:v>
      </x:c>
      <x:c r="G255" s="8" t="str">
        <x:v>Current</x:v>
      </x:c>
    </x:row>
    <x:row r="256" ht="32" customHeight="1">
      <x:c r="A256" s="8" t="str">
        <x:v>trunk:AV1:A3:audio:1</x:v>
      </x:c>
      <x:c r="B256" s="8" t="n">
        <x:v>9</x:v>
      </x:c>
      <x:c r="C256" s="11" t="n">
        <x:v>44.175</x:v>
      </x:c>
      <x:c r="D256" s="11" t="n">
        <x:v>5.534</x:v>
      </x:c>
      <x:c r="E256" s="11" t="n">
        <x:v>7.36</x:v>
      </x:c>
      <x:c r="F256" s="11" t="n">
        <x:f>SQRT((C256-C255)^2+(D256-D255)^2+(E256-E255)^2)</x:f>
        <x:v>8.841000000000001</x:v>
      </x:c>
      <x:c r="G256" s="8" t="str">
        <x:v>Current</x:v>
      </x:c>
    </x:row>
    <x:row r="257" ht="32" customHeight="1">
      <x:c r="A257" s="8" t="str">
        <x:v>trunk:AV1:A3:audio:1</x:v>
      </x:c>
      <x:c r="B257" s="8" t="n">
        <x:v>10</x:v>
      </x:c>
      <x:c r="C257" s="11" t="n">
        <x:v>44.175</x:v>
      </x:c>
      <x:c r="D257" s="11" t="n">
        <x:v>7.04</x:v>
      </x:c>
      <x:c r="E257" s="11" t="n">
        <x:v>7.36</x:v>
      </x:c>
      <x:c r="F257" s="11" t="n">
        <x:f>SQRT((C257-C256)^2+(D257-D256)^2+(E257-E256)^2)</x:f>
        <x:v>1.5060000000000002</x:v>
      </x:c>
      <x:c r="G257" s="8" t="str">
        <x:v>Current</x:v>
      </x:c>
    </x:row>
    <x:row r="258" ht="32" customHeight="1">
      <x:c r="A258" s="8" t="str">
        <x:v>trunk:AV1:A3:audio:1</x:v>
      </x:c>
      <x:c r="B258" s="8" t="n">
        <x:v>11</x:v>
      </x:c>
      <x:c r="C258" s="11" t="n">
        <x:v>43.535</x:v>
      </x:c>
      <x:c r="D258" s="11" t="n">
        <x:v>7.04</x:v>
      </x:c>
      <x:c r="E258" s="11" t="n">
        <x:v>7.36</x:v>
      </x:c>
      <x:c r="F258" s="11" t="n">
        <x:f>SQRT((C258-C257)^2+(D258-D257)^2+(E258-E257)^2)</x:f>
        <x:v>0.6400000000000006</x:v>
      </x:c>
      <x:c r="G258" s="8" t="str">
        <x:v>Current</x:v>
      </x:c>
    </x:row>
    <x:row r="259" ht="32" customHeight="1">
      <x:c r="A259" s="8" t="str">
        <x:v>trunk:AV1:A3:audio:1</x:v>
      </x:c>
      <x:c r="B259" s="8" t="n">
        <x:v>12</x:v>
      </x:c>
      <x:c r="C259" s="11" t="n">
        <x:v>43.455</x:v>
      </x:c>
      <x:c r="D259" s="11" t="n">
        <x:v>6.950412371134024</x:v>
      </x:c>
      <x:c r="E259" s="11" t="n">
        <x:v>7.36</x:v>
      </x:c>
      <x:c r="F259" s="11" t="n">
        <x:f>SQRT((C259-C258)^2+(D259-D258)^2+(E259-E258)^2)</x:f>
        <x:v>0.12010804821421249</x:v>
      </x:c>
      <x:c r="G259" s="8" t="str">
        <x:v>Current</x:v>
      </x:c>
    </x:row>
    <x:row r="260" ht="32" customHeight="1">
      <x:c r="A260" s="8" t="str">
        <x:v>trunk:AV1:A3:audio:1</x:v>
      </x:c>
      <x:c r="B260" s="8" t="n">
        <x:v>13</x:v>
      </x:c>
      <x:c r="C260" s="11" t="n">
        <x:v>40.574999999999996</x:v>
      </x:c>
      <x:c r="D260" s="11" t="n">
        <x:v>9.269999999999994</x:v>
      </x:c>
      <x:c r="E260" s="11" t="n">
        <x:v>7.36</x:v>
      </x:c>
      <x:c r="F260" s="11" t="n">
        <x:f>SQRT((C260-C259)^2+(D260-D259)^2+(E260-E259)^2)</x:f>
        <x:v>3.6979571073753776</x:v>
      </x:c>
      <x:c r="G260" s="8" t="str">
        <x:v>Current</x:v>
      </x:c>
    </x:row>
    <x:row r="261" ht="32" customHeight="1">
      <x:c r="A261" s="8" t="str">
        <x:v>trunk:AV1:A3:audio:1</x:v>
      </x:c>
      <x:c r="B261" s="8" t="n">
        <x:v>14</x:v>
      </x:c>
      <x:c r="C261" s="11" t="n">
        <x:v>37.695</x:v>
      </x:c>
      <x:c r="D261" s="11" t="n">
        <x:v>6.950412371134018</x:v>
      </x:c>
      <x:c r="E261" s="11" t="n">
        <x:v>7.36</x:v>
      </x:c>
      <x:c r="F261" s="11" t="n">
        <x:f>SQRT((C261-C260)^2+(D261-D260)^2+(E261-E260)^2)</x:f>
        <x:v>3.697957107375376</x:v>
      </x:c>
      <x:c r="G261" s="8" t="str">
        <x:v>Current</x:v>
      </x:c>
    </x:row>
    <x:row r="262" ht="32" customHeight="1">
      <x:c r="A262" s="8" t="str">
        <x:v>trunk:AV1:A3:audio:1</x:v>
      </x:c>
      <x:c r="B262" s="8" t="n">
        <x:v>15</x:v>
      </x:c>
      <x:c r="C262" s="11" t="n">
        <x:v>37.615</x:v>
      </x:c>
      <x:c r="D262" s="11" t="n">
        <x:v>7.04</x:v>
      </x:c>
      <x:c r="E262" s="11" t="n">
        <x:v>7.36</x:v>
      </x:c>
      <x:c r="F262" s="11" t="n">
        <x:f>SQRT((C262-C261)^2+(D262-D261)^2+(E262-E261)^2)</x:f>
        <x:v>0.12010804821421713</x:v>
      </x:c>
      <x:c r="G262" s="8" t="str">
        <x:v>Current</x:v>
      </x:c>
    </x:row>
    <x:row r="263" ht="32" customHeight="1">
      <x:c r="A263" s="8" t="str">
        <x:v>trunk:AV1:A3:audio:1</x:v>
      </x:c>
      <x:c r="B263" s="8" t="n">
        <x:v>16</x:v>
      </x:c>
      <x:c r="C263" s="11" t="n">
        <x:v>36.975</x:v>
      </x:c>
      <x:c r="D263" s="11" t="n">
        <x:v>7.04</x:v>
      </x:c>
      <x:c r="E263" s="11" t="n">
        <x:v>7.36</x:v>
      </x:c>
      <x:c r="F263" s="11" t="n">
        <x:f>SQRT((C263-C262)^2+(D263-D262)^2+(E263-E262)^2)</x:f>
        <x:v>0.6400000000000006</x:v>
      </x:c>
      <x:c r="G263" s="8" t="str">
        <x:v>Current</x:v>
      </x:c>
    </x:row>
    <x:row r="264" ht="32" customHeight="1">
      <x:c r="A264" s="8" t="str">
        <x:v>trunk:AV1:A3:audio:1</x:v>
      </x:c>
      <x:c r="B264" s="8" t="n">
        <x:v>17</x:v>
      </x:c>
      <x:c r="C264" s="11" t="n">
        <x:v>36.975</x:v>
      </x:c>
      <x:c r="D264" s="11" t="n">
        <x:v>5.534</x:v>
      </x:c>
      <x:c r="E264" s="11" t="n">
        <x:v>7.36</x:v>
      </x:c>
      <x:c r="F264" s="11" t="n">
        <x:f>SQRT((C264-C263)^2+(D264-D263)^2+(E264-E263)^2)</x:f>
        <x:v>1.5060000000000002</x:v>
      </x:c>
      <x:c r="G264" s="8" t="str">
        <x:v>Current</x:v>
      </x:c>
    </x:row>
    <x:row r="265" ht="32" customHeight="1">
      <x:c r="A265" s="8" t="str">
        <x:v>trunk:AV1:A3:audio:1</x:v>
      </x:c>
      <x:c r="B265" s="8" t="n">
        <x:v>18</x:v>
      </x:c>
      <x:c r="C265" s="11" t="n">
        <x:v>5.475</x:v>
      </x:c>
      <x:c r="D265" s="11" t="n">
        <x:v>5.534</x:v>
      </x:c>
      <x:c r="E265" s="11" t="n">
        <x:v>7.36</x:v>
      </x:c>
      <x:c r="F265" s="11" t="n">
        <x:f>SQRT((C265-C264)^2+(D265-D264)^2+(E265-E264)^2)</x:f>
        <x:v>31.5</x:v>
      </x:c>
      <x:c r="G265" s="8" t="str">
        <x:v>Current</x:v>
      </x:c>
    </x:row>
    <x:row r="266" ht="32" customHeight="1">
      <x:c r="A266" s="8" t="str">
        <x:v>trunk:AV1:A3:audio:1</x:v>
      </x:c>
      <x:c r="B266" s="8" t="n">
        <x:v>19</x:v>
      </x:c>
      <x:c r="C266" s="11" t="n">
        <x:v>2.35</x:v>
      </x:c>
      <x:c r="D266" s="11" t="n">
        <x:v>5.534</x:v>
      </x:c>
      <x:c r="E266" s="11" t="n">
        <x:v>7.36</x:v>
      </x:c>
      <x:c r="F266" s="11" t="n">
        <x:f>SQRT((C266-C265)^2+(D266-D265)^2+(E266-E265)^2)</x:f>
        <x:v>3.1249999999999996</x:v>
      </x:c>
      <x:c r="G266" s="8" t="str">
        <x:v>Current</x:v>
      </x:c>
    </x:row>
    <x:row r="267" ht="32" customHeight="1">
      <x:c r="A267" s="8" t="str">
        <x:v>drop:AV1:A3:audio:1:S287</x:v>
      </x:c>
      <x:c r="B267" s="8" t="n">
        <x:v>1</x:v>
      </x:c>
      <x:c r="C267" s="11" t="n">
        <x:v>2.35</x:v>
      </x:c>
      <x:c r="D267" s="11" t="n">
        <x:v>5.534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drop:AV1:A3:audio:1:S287</x:v>
      </x:c>
      <x:c r="B268" s="8" t="n">
        <x:v>2</x:v>
      </x:c>
      <x:c r="C268" s="11" t="n">
        <x:v>2.35</x:v>
      </x:c>
      <x:c r="D268" s="11" t="n">
        <x:v>7.65</x:v>
      </x:c>
      <x:c r="E268" s="11" t="n">
        <x:v>7.36</x:v>
      </x:c>
      <x:c r="F268" s="11" t="n">
        <x:f>SQRT((C268-C267)^2+(D268-D267)^2+(E268-E267)^2)</x:f>
        <x:v>2.1160000000000005</x:v>
      </x:c>
      <x:c r="G268" s="8" t="str">
        <x:v>Current</x:v>
      </x:c>
    </x:row>
    <x:row r="269" ht="32" customHeight="1">
      <x:c r="A269" s="8" t="str">
        <x:v>drop:AV1:A3:audio:1:S287</x:v>
      </x:c>
      <x:c r="B269" s="8" t="n">
        <x:v>3</x:v>
      </x:c>
      <x:c r="C269" s="11" t="n">
        <x:v>2.35</x:v>
      </x:c>
      <x:c r="D269" s="11" t="n">
        <x:v>7.65</x:v>
      </x:c>
      <x:c r="E269" s="11" t="n">
        <x:v>7.703</x:v>
      </x:c>
      <x:c r="F269" s="11" t="n">
        <x:f>SQRT((C269-C268)^2+(D269-D268)^2+(E269-E268)^2)</x:f>
        <x:v>0.34299999999999997</x:v>
      </x:c>
      <x:c r="G269" s="8" t="str">
        <x:v>Current</x:v>
      </x:c>
    </x:row>
    <x:row r="270" ht="32" customHeight="1">
      <x:c r="A270" s="8" t="str">
        <x:v>drop:AV1:A3:audio:1:S287</x:v>
      </x:c>
      <x:c r="B270" s="8" t="n">
        <x:v>4</x:v>
      </x:c>
      <x:c r="C270" s="11" t="n">
        <x:v>0</x:v>
      </x:c>
      <x:c r="D270" s="11" t="n">
        <x:v>7.65</x:v>
      </x:c>
      <x:c r="E270" s="11" t="n">
        <x:v>7.703</x:v>
      </x:c>
      <x:c r="F270" s="11" t="n">
        <x:f>SQRT((C270-C269)^2+(D270-D269)^2+(E270-E269)^2)</x:f>
        <x:v>2.35</x:v>
      </x:c>
      <x:c r="G270" s="8" t="str">
        <x:v>Current</x:v>
      </x:c>
    </x:row>
    <x:row r="271" ht="32" customHeight="1">
      <x:c r="A271" s="8" t="str">
        <x:v>drop:AV1:A3:audio:1:S287</x:v>
      </x:c>
      <x:c r="B271" s="8" t="n">
        <x:v>5</x:v>
      </x:c>
      <x:c r="C271" s="11" t="n">
        <x:v>0</x:v>
      </x:c>
      <x:c r="D271" s="11" t="n">
        <x:v>7.65</x:v>
      </x:c>
      <x:c r="E271" s="11" t="n">
        <x:v>7.9430000000000005</x:v>
      </x:c>
      <x:c r="F271" s="11" t="n">
        <x:f>SQRT((C271-C270)^2+(D271-D270)^2+(E271-E270)^2)</x:f>
        <x:v>0.2400000000000002</x:v>
      </x:c>
      <x:c r="G271" s="8" t="str">
        <x:v>Current</x:v>
      </x:c>
    </x:row>
    <x:row r="272" ht="32" customHeight="1">
      <x:c r="A272" s="8" t="str">
        <x:v>drop:AV1:A3:audio:1:S287</x:v>
      </x:c>
      <x:c r="B272" s="8" t="n">
        <x:v>6</x:v>
      </x:c>
      <x:c r="C272" s="11" t="n">
        <x:v>0</x:v>
      </x:c>
      <x:c r="D272" s="11" t="n">
        <x:v>6.2</x:v>
      </x:c>
      <x:c r="E272" s="11" t="n">
        <x:v>7.9430000000000005</x:v>
      </x:c>
      <x:c r="F272" s="11" t="n">
        <x:f>SQRT((C272-C271)^2+(D272-D271)^2+(E272-E271)^2)</x:f>
        <x:v>1.4500000000000002</x:v>
      </x:c>
      <x:c r="G272" s="8" t="str">
        <x:v>Current</x:v>
      </x:c>
    </x:row>
    <x:row r="273" ht="32" customHeight="1">
      <x:c r="A273" s="8" t="str">
        <x:v>drop:AV1:A3:audio:1:S287</x:v>
      </x:c>
      <x:c r="B273" s="8" t="n">
        <x:v>7</x:v>
      </x:c>
      <x:c r="C273" s="11" t="n">
        <x:v>0</x:v>
      </x:c>
      <x:c r="D273" s="11" t="n">
        <x:v>6.2</x:v>
      </x:c>
      <x:c r="E273" s="11" t="n">
        <x:v>8.3</x:v>
      </x:c>
      <x:c r="F273" s="11" t="n">
        <x:f>SQRT((C273-C272)^2+(D273-D272)^2+(E273-E272)^2)</x:f>
        <x:v>0.3570000000000002</x:v>
      </x:c>
      <x:c r="G273" s="8" t="str">
        <x:v>Current</x:v>
      </x:c>
    </x:row>
    <x:row r="274" ht="32" customHeight="1">
      <x:c r="A274" s="8" t="str">
        <x:v>drop:AV1:A3:audio:1:S287</x:v>
      </x:c>
      <x:c r="B274" s="8" t="n">
        <x:v>8</x:v>
      </x:c>
      <x:c r="C274" s="11" t="n">
        <x:v>-0.14</x:v>
      </x:c>
      <x:c r="D274" s="11" t="n">
        <x:v>6.2</x:v>
      </x:c>
      <x:c r="E274" s="11" t="n">
        <x:v>8.3</x:v>
      </x:c>
      <x:c r="F274" s="11" t="n">
        <x:f>SQRT((C274-C273)^2+(D274-D273)^2+(E274-E273)^2)</x:f>
        <x:v>0.14</x:v>
      </x:c>
      <x:c r="G274" s="8" t="str">
        <x:v>Current</x:v>
      </x:c>
    </x:row>
    <x:row r="275" ht="32" customHeight="1">
      <x:c r="A275" s="8" t="str">
        <x:v>drop:AV1:A3:audio:1:S288</x:v>
      </x:c>
      <x:c r="B275" s="8" t="n">
        <x:v>1</x:v>
      </x:c>
      <x:c r="C275" s="11" t="n">
        <x:v>2.35</x:v>
      </x:c>
      <x:c r="D275" s="11" t="n">
        <x:v>5.534</x:v>
      </x:c>
      <x:c r="E275" s="11" t="n">
        <x:v>7.36</x:v>
      </x:c>
      <x:c r="F275" s="11" t="n">
        <x:f>0</x:f>
        <x:v>0</x:v>
      </x:c>
      <x:c r="G275" s="8" t="str">
        <x:v>Current</x:v>
      </x:c>
    </x:row>
    <x:row r="276" ht="32" customHeight="1">
      <x:c r="A276" s="8" t="str">
        <x:v>drop:AV1:A3:audio:1:S288</x:v>
      </x:c>
      <x:c r="B276" s="8" t="n">
        <x:v>2</x:v>
      </x:c>
      <x:c r="C276" s="11" t="n">
        <x:v>2.35</x:v>
      </x:c>
      <x:c r="D276" s="11" t="n">
        <x:v>7.65</x:v>
      </x:c>
      <x:c r="E276" s="11" t="n">
        <x:v>7.36</x:v>
      </x:c>
      <x:c r="F276" s="11" t="n">
        <x:f>SQRT((C276-C275)^2+(D276-D275)^2+(E276-E275)^2)</x:f>
        <x:v>2.1160000000000005</x:v>
      </x:c>
      <x:c r="G276" s="8" t="str">
        <x:v>Current</x:v>
      </x:c>
    </x:row>
    <x:row r="277" ht="32" customHeight="1">
      <x:c r="A277" s="8" t="str">
        <x:v>drop:AV1:A3:audio:1:S288</x:v>
      </x:c>
      <x:c r="B277" s="8" t="n">
        <x:v>3</x:v>
      </x:c>
      <x:c r="C277" s="11" t="n">
        <x:v>2.35</x:v>
      </x:c>
      <x:c r="D277" s="11" t="n">
        <x:v>7.65</x:v>
      </x:c>
      <x:c r="E277" s="11" t="n">
        <x:v>7.703</x:v>
      </x:c>
      <x:c r="F277" s="11" t="n">
        <x:f>SQRT((C277-C276)^2+(D277-D276)^2+(E277-E276)^2)</x:f>
        <x:v>0.34299999999999997</x:v>
      </x:c>
      <x:c r="G277" s="8" t="str">
        <x:v>Current</x:v>
      </x:c>
    </x:row>
    <x:row r="278" ht="32" customHeight="1">
      <x:c r="A278" s="8" t="str">
        <x:v>drop:AV1:A3:audio:1:S288</x:v>
      </x:c>
      <x:c r="B278" s="8" t="n">
        <x:v>4</x:v>
      </x:c>
      <x:c r="C278" s="11" t="n">
        <x:v>0</x:v>
      </x:c>
      <x:c r="D278" s="11" t="n">
        <x:v>7.65</x:v>
      </x:c>
      <x:c r="E278" s="11" t="n">
        <x:v>7.703</x:v>
      </x:c>
      <x:c r="F278" s="11" t="n">
        <x:f>SQRT((C278-C277)^2+(D278-D277)^2+(E278-E277)^2)</x:f>
        <x:v>2.35</x:v>
      </x:c>
      <x:c r="G278" s="8" t="str">
        <x:v>Current</x:v>
      </x:c>
    </x:row>
    <x:row r="279" ht="32" customHeight="1">
      <x:c r="A279" s="8" t="str">
        <x:v>drop:AV1:A3:audio:1:S288</x:v>
      </x:c>
      <x:c r="B279" s="8" t="n">
        <x:v>5</x:v>
      </x:c>
      <x:c r="C279" s="11" t="n">
        <x:v>0</x:v>
      </x:c>
      <x:c r="D279" s="11" t="n">
        <x:v>7.65</x:v>
      </x:c>
      <x:c r="E279" s="11" t="n">
        <x:v>12.363</x:v>
      </x:c>
      <x:c r="F279" s="11" t="n">
        <x:f>SQRT((C279-C278)^2+(D279-D278)^2+(E279-E278)^2)</x:f>
        <x:v>4.659999999999999</x:v>
      </x:c>
      <x:c r="G279" s="8" t="str">
        <x:v>Current</x:v>
      </x:c>
    </x:row>
    <x:row r="280" ht="32" customHeight="1">
      <x:c r="A280" s="8" t="str">
        <x:v>drop:AV1:A3:audio:1:S288</x:v>
      </x:c>
      <x:c r="B280" s="8" t="n">
        <x:v>6</x:v>
      </x:c>
      <x:c r="C280" s="11" t="n">
        <x:v>0</x:v>
      </x:c>
      <x:c r="D280" s="11" t="n">
        <x:v>6.2</x:v>
      </x:c>
      <x:c r="E280" s="11" t="n">
        <x:v>12.363</x:v>
      </x:c>
      <x:c r="F280" s="11" t="n">
        <x:f>SQRT((C280-C279)^2+(D280-D279)^2+(E280-E279)^2)</x:f>
        <x:v>1.4500000000000002</x:v>
      </x:c>
      <x:c r="G280" s="8" t="str">
        <x:v>Current</x:v>
      </x:c>
    </x:row>
    <x:row r="281" ht="32" customHeight="1">
      <x:c r="A281" s="8" t="str">
        <x:v>drop:AV1:A3:audio:1:S288</x:v>
      </x:c>
      <x:c r="B281" s="8" t="n">
        <x:v>7</x:v>
      </x:c>
      <x:c r="C281" s="11" t="n">
        <x:v>0</x:v>
      </x:c>
      <x:c r="D281" s="11" t="n">
        <x:v>6.2</x:v>
      </x:c>
      <x:c r="E281" s="11" t="n">
        <x:v>11.9</x:v>
      </x:c>
      <x:c r="F281" s="11" t="n">
        <x:f>SQRT((C281-C280)^2+(D281-D280)^2+(E281-E280)^2)</x:f>
        <x:v>0.4629999999999992</x:v>
      </x:c>
      <x:c r="G281" s="8" t="str">
        <x:v>Current</x:v>
      </x:c>
    </x:row>
    <x:row r="282" ht="32" customHeight="1">
      <x:c r="A282" s="8" t="str">
        <x:v>drop:AV1:A3:audio:1:S288</x:v>
      </x:c>
      <x:c r="B282" s="8" t="n">
        <x:v>8</x:v>
      </x:c>
      <x:c r="C282" s="11" t="n">
        <x:v>-0.14</x:v>
      </x:c>
      <x:c r="D282" s="11" t="n">
        <x:v>6.2</x:v>
      </x:c>
      <x:c r="E282" s="11" t="n">
        <x:v>11.9</x:v>
      </x:c>
      <x:c r="F282" s="11" t="n">
        <x:f>SQRT((C282-C281)^2+(D282-D281)^2+(E282-E281)^2)</x:f>
        <x:v>0.14</x:v>
      </x:c>
      <x:c r="G282" s="8" t="str">
        <x:v>Current</x:v>
      </x:c>
    </x:row>
    <x:row r="283" ht="32" customHeight="1">
      <x:c r="A283" s="8" t="str">
        <x:v>drop:AV1:A3:audio:1:S289</x:v>
      </x:c>
      <x:c r="B283" s="8" t="n">
        <x:v>1</x:v>
      </x:c>
      <x:c r="C283" s="11" t="n">
        <x:v>18.975</x:v>
      </x:c>
      <x:c r="D283" s="11" t="n">
        <x:v>5.534</x:v>
      </x:c>
      <x:c r="E283" s="11" t="n">
        <x:v>7.36</x:v>
      </x:c>
      <x:c r="F283" s="11" t="n">
        <x:f>0</x:f>
        <x:v>0</x:v>
      </x:c>
      <x:c r="G283" s="8" t="str">
        <x:v>Current</x:v>
      </x:c>
    </x:row>
    <x:row r="284" ht="32" customHeight="1">
      <x:c r="A284" s="8" t="str">
        <x:v>drop:AV1:A3:audio:1:S289</x:v>
      </x:c>
      <x:c r="B284" s="8" t="n">
        <x:v>2</x:v>
      </x:c>
      <x:c r="C284" s="11" t="n">
        <x:v>18.975</x:v>
      </x:c>
      <x:c r="D284" s="11" t="n">
        <x:v>7.04</x:v>
      </x:c>
      <x:c r="E284" s="11" t="n">
        <x:v>7.36</x:v>
      </x:c>
      <x:c r="F284" s="11" t="n">
        <x:f>SQRT((C284-C283)^2+(D284-D283)^2+(E284-E283)^2)</x:f>
        <x:v>1.5060000000000002</x:v>
      </x:c>
      <x:c r="G284" s="8" t="str">
        <x:v>Current</x:v>
      </x:c>
    </x:row>
    <x:row r="285" ht="32" customHeight="1">
      <x:c r="A285" s="8" t="str">
        <x:v>drop:AV1:A3:audio:1:S289</x:v>
      </x:c>
      <x:c r="B285" s="8" t="n">
        <x:v>3</x:v>
      </x:c>
      <x:c r="C285" s="11" t="n">
        <x:v>18.975</x:v>
      </x:c>
      <x:c r="D285" s="11" t="n">
        <x:v>6.932586272843179</x:v>
      </x:c>
      <x:c r="E285" s="11" t="n">
        <x:v>7.438307692307693</x:v>
      </x:c>
      <x:c r="F285" s="11" t="n">
        <x:f>SQRT((C285-C284)^2+(D285-D284)^2+(E285-E284)^2)</x:f>
        <x:v>0.13292781295227982</x:v>
      </x:c>
      <x:c r="G285" s="8" t="str">
        <x:v>Current</x:v>
      </x:c>
    </x:row>
    <x:row r="286" ht="32" customHeight="1">
      <x:c r="A286" s="8" t="str">
        <x:v>drop:AV1:A3:audio:1:S289</x:v>
      </x:c>
      <x:c r="B286" s="8" t="n">
        <x:v>4</x:v>
      </x:c>
      <x:c r="C286" s="11" t="n">
        <x:v>18.975</x:v>
      </x:c>
      <x:c r="D286" s="11" t="n">
        <x:v>6.270864640883978</x:v>
      </x:c>
      <x:c r="E286" s="11" t="n">
        <x:v>10.414</x:v>
      </x:c>
      <x:c r="F286" s="11" t="n">
        <x:f>SQRT((C286-C285)^2+(D286-D285)^2+(E286-E285)^2)</x:f>
        <x:v>3.048379935024818</x:v>
      </x:c>
      <x:c r="G286" s="8" t="str">
        <x:v>Current</x:v>
      </x:c>
    </x:row>
    <x:row r="287" ht="32" customHeight="1">
      <x:c r="A287" s="8" t="str">
        <x:v>drop:AV1:A3:audio:1:S289</x:v>
      </x:c>
      <x:c r="B287" s="8" t="n">
        <x:v>5</x:v>
      </x:c>
      <x:c r="C287" s="11" t="n">
        <x:v>18.975</x:v>
      </x:c>
      <x:c r="D287" s="11" t="n">
        <x:v>5.6</x:v>
      </x:c>
      <x:c r="E287" s="11" t="n">
        <x:v>10.414</x:v>
      </x:c>
      <x:c r="F287" s="11" t="n">
        <x:f>SQRT((C287-C286)^2+(D287-D286)^2+(E287-E286)^2)</x:f>
        <x:v>0.6708646408839787</x:v>
      </x:c>
      <x:c r="G287" s="8" t="str">
        <x:v>Current</x:v>
      </x:c>
    </x:row>
    <x:row r="288" ht="32" customHeight="1">
      <x:c r="A288" s="8" t="str">
        <x:v>drop:AV1:A3:audio:1:S289</x:v>
      </x:c>
      <x:c r="B288" s="8" t="n">
        <x:v>6</x:v>
      </x:c>
      <x:c r="C288" s="11" t="n">
        <x:v>18.975</x:v>
      </x:c>
      <x:c r="D288" s="11" t="n">
        <x:v>5.6</x:v>
      </x:c>
      <x:c r="E288" s="11" t="n">
        <x:v>10.75</x:v>
      </x:c>
      <x:c r="F288" s="11" t="n">
        <x:f>SQRT((C288-C287)^2+(D288-D287)^2+(E288-E287)^2)</x:f>
        <x:v>0.3360000000000003</x:v>
      </x:c>
      <x:c r="G288" s="8" t="str">
        <x:v>Current</x:v>
      </x:c>
    </x:row>
    <x:row r="289" ht="32" customHeight="1">
      <x:c r="A289" s="8" t="str">
        <x:v>drop:AV1:A3:audio:1:S290</x:v>
      </x:c>
      <x:c r="B289" s="8" t="n">
        <x:v>1</x:v>
      </x:c>
      <x:c r="C289" s="11" t="n">
        <x:v>32.475</x:v>
      </x:c>
      <x:c r="D289" s="11" t="n">
        <x:v>5.534</x:v>
      </x:c>
      <x:c r="E289" s="11" t="n">
        <x:v>7.36</x:v>
      </x:c>
      <x:c r="F289" s="11" t="n">
        <x:f>0</x:f>
        <x:v>0</x:v>
      </x:c>
      <x:c r="G289" s="8" t="str">
        <x:v>Current</x:v>
      </x:c>
    </x:row>
    <x:row r="290" ht="32" customHeight="1">
      <x:c r="A290" s="8" t="str">
        <x:v>drop:AV1:A3:audio:1:S290</x:v>
      </x:c>
      <x:c r="B290" s="8" t="n">
        <x:v>2</x:v>
      </x:c>
      <x:c r="C290" s="11" t="n">
        <x:v>32.475</x:v>
      </x:c>
      <x:c r="D290" s="11" t="n">
        <x:v>7.04</x:v>
      </x:c>
      <x:c r="E290" s="11" t="n">
        <x:v>7.36</x:v>
      </x:c>
      <x:c r="F290" s="11" t="n">
        <x:f>SQRT((C290-C289)^2+(D290-D289)^2+(E290-E289)^2)</x:f>
        <x:v>1.5060000000000002</x:v>
      </x:c>
      <x:c r="G290" s="8" t="str">
        <x:v>Current</x:v>
      </x:c>
    </x:row>
    <x:row r="291" ht="32" customHeight="1">
      <x:c r="A291" s="8" t="str">
        <x:v>drop:AV1:A3:audio:1:S290</x:v>
      </x:c>
      <x:c r="B291" s="8" t="n">
        <x:v>3</x:v>
      </x:c>
      <x:c r="C291" s="11" t="n">
        <x:v>32.475</x:v>
      </x:c>
      <x:c r="D291" s="11" t="n">
        <x:v>6.932586272843179</x:v>
      </x:c>
      <x:c r="E291" s="11" t="n">
        <x:v>7.438307692307693</x:v>
      </x:c>
      <x:c r="F291" s="11" t="n">
        <x:f>SQRT((C291-C290)^2+(D291-D290)^2+(E291-E290)^2)</x:f>
        <x:v>0.13292781295227982</x:v>
      </x:c>
      <x:c r="G291" s="8" t="str">
        <x:v>Current</x:v>
      </x:c>
    </x:row>
    <x:row r="292" ht="32" customHeight="1">
      <x:c r="A292" s="8" t="str">
        <x:v>drop:AV1:A3:audio:1:S290</x:v>
      </x:c>
      <x:c r="B292" s="8" t="n">
        <x:v>4</x:v>
      </x:c>
      <x:c r="C292" s="11" t="n">
        <x:v>32.475</x:v>
      </x:c>
      <x:c r="D292" s="11" t="n">
        <x:v>6.270864640883978</x:v>
      </x:c>
      <x:c r="E292" s="11" t="n">
        <x:v>10.414</x:v>
      </x:c>
      <x:c r="F292" s="11" t="n">
        <x:f>SQRT((C292-C291)^2+(D292-D291)^2+(E292-E291)^2)</x:f>
        <x:v>3.048379935024818</x:v>
      </x:c>
      <x:c r="G292" s="8" t="str">
        <x:v>Current</x:v>
      </x:c>
    </x:row>
    <x:row r="293" ht="32" customHeight="1">
      <x:c r="A293" s="8" t="str">
        <x:v>drop:AV1:A3:audio:1:S290</x:v>
      </x:c>
      <x:c r="B293" s="8" t="n">
        <x:v>5</x:v>
      </x:c>
      <x:c r="C293" s="11" t="n">
        <x:v>32.475</x:v>
      </x:c>
      <x:c r="D293" s="11" t="n">
        <x:v>5.6</x:v>
      </x:c>
      <x:c r="E293" s="11" t="n">
        <x:v>10.414</x:v>
      </x:c>
      <x:c r="F293" s="11" t="n">
        <x:f>SQRT((C293-C292)^2+(D293-D292)^2+(E293-E292)^2)</x:f>
        <x:v>0.6708646408839787</x:v>
      </x:c>
      <x:c r="G293" s="8" t="str">
        <x:v>Current</x:v>
      </x:c>
    </x:row>
    <x:row r="294" ht="32" customHeight="1">
      <x:c r="A294" s="8" t="str">
        <x:v>drop:AV1:A3:audio:1:S290</x:v>
      </x:c>
      <x:c r="B294" s="8" t="n">
        <x:v>6</x:v>
      </x:c>
      <x:c r="C294" s="11" t="n">
        <x:v>32.475</x:v>
      </x:c>
      <x:c r="D294" s="11" t="n">
        <x:v>5.6</x:v>
      </x:c>
      <x:c r="E294" s="11" t="n">
        <x:v>10.75</x:v>
      </x:c>
      <x:c r="F294" s="11" t="n">
        <x:f>SQRT((C294-C293)^2+(D294-D293)^2+(E294-E293)^2)</x:f>
        <x:v>0.3360000000000003</x:v>
      </x:c>
      <x:c r="G294" s="8" t="str">
        <x:v>Current</x:v>
      </x:c>
    </x:row>
    <x:row r="295" ht="32" customHeight="1">
      <x:c r="A295" s="8" t="str">
        <x:v>trunk:AV1:MIC:mic:-1</x:v>
      </x:c>
      <x:c r="B295" s="8" t="n">
        <x:v>1</x:v>
      </x:c>
      <x:c r="C295" s="11" t="n">
        <x:v>49.275</x:v>
      </x:c>
      <x:c r="D295" s="11" t="n">
        <x:v>0.95</x:v>
      </x:c>
      <x:c r="E295" s="11" t="n">
        <x:v>1.4</x:v>
      </x:c>
      <x:c r="F295" s="11" t="n">
        <x:f>0</x:f>
        <x:v>0</x:v>
      </x:c>
      <x:c r="G295" s="8" t="str">
        <x:v>Current</x:v>
      </x:c>
    </x:row>
    <x:row r="296" ht="32" customHeight="1">
      <x:c r="A296" s="8" t="str">
        <x:v>trunk:AV1:MIC:mic:-1</x:v>
      </x:c>
      <x:c r="B296" s="8" t="n">
        <x:v>2</x:v>
      </x:c>
      <x:c r="C296" s="11" t="n">
        <x:v>49.275</x:v>
      </x:c>
      <x:c r="D296" s="11" t="n">
        <x:v>0.03</x:v>
      </x:c>
      <x:c r="E296" s="11" t="n">
        <x:v>1.4</x:v>
      </x:c>
      <x:c r="F296" s="11" t="n">
        <x:f>SQRT((C296-C295)^2+(D296-D295)^2+(E296-E295)^2)</x:f>
        <x:v>0.9199999999999999</x:v>
      </x:c>
      <x:c r="G296" s="8" t="str">
        <x:v>Current</x:v>
      </x:c>
    </x:row>
    <x:row r="297" ht="32" customHeight="1">
      <x:c r="A297" s="8" t="str">
        <x:v>trunk:AV1:MIC:mic:-1</x:v>
      </x:c>
      <x:c r="B297" s="8" t="n">
        <x:v>3</x:v>
      </x:c>
      <x:c r="C297" s="11" t="n">
        <x:v>49.275</x:v>
      </x:c>
      <x:c r="D297" s="11" t="n">
        <x:v>0.03</x:v>
      </x:c>
      <x:c r="E297" s="11" t="n">
        <x:v>-1.4</x:v>
      </x:c>
      <x:c r="F297" s="11" t="n">
        <x:f>SQRT((C297-C296)^2+(D297-D296)^2+(E297-E296)^2)</x:f>
        <x:v>2.8</x:v>
      </x:c>
      <x:c r="G297" s="8" t="str">
        <x:v>Current</x:v>
      </x:c>
    </x:row>
    <x:row r="298" ht="32" customHeight="1">
      <x:c r="A298" s="8" t="str">
        <x:v>trunk:AV1:MIC:mic:-1</x:v>
      </x:c>
      <x:c r="B298" s="8" t="n">
        <x:v>4</x:v>
      </x:c>
      <x:c r="C298" s="11" t="n">
        <x:v>41.08</x:v>
      </x:c>
      <x:c r="D298" s="11" t="n">
        <x:v>0.03</x:v>
      </x:c>
      <x:c r="E298" s="11" t="n">
        <x:v>-1.4</x:v>
      </x:c>
      <x:c r="F298" s="11" t="n">
        <x:f>SQRT((C298-C297)^2+(D298-D297)^2+(E298-E297)^2)</x:f>
        <x:v>8.195</x:v>
      </x:c>
      <x:c r="G298" s="8" t="str">
        <x:v>Current</x:v>
      </x:c>
    </x:row>
    <x:row r="299" ht="32" customHeight="1">
      <x:c r="A299" s="8" t="str">
        <x:v>drop:AV1:MIC:mic:-1:S291</x:v>
      </x:c>
      <x:c r="B299" s="8" t="n">
        <x:v>1</x:v>
      </x:c>
      <x:c r="C299" s="11" t="n">
        <x:v>41.08</x:v>
      </x:c>
      <x:c r="D299" s="11" t="n">
        <x:v>0.03</x:v>
      </x:c>
      <x:c r="E299" s="11" t="n">
        <x:v>-1.4</x:v>
      </x:c>
      <x:c r="F299" s="11" t="n">
        <x:f>0</x:f>
        <x:v>0</x:v>
      </x:c>
      <x:c r="G299" s="8" t="str">
        <x:v>Current</x:v>
      </x:c>
    </x:row>
    <x:row r="300" ht="32" customHeight="1">
      <x:c r="A300" s="8" t="str">
        <x:v>drop:AV1:MIC:mic:-1:S291</x:v>
      </x:c>
      <x:c r="B300" s="8" t="n">
        <x:v>2</x:v>
      </x:c>
      <x:c r="C300" s="11" t="n">
        <x:v>41.08</x:v>
      </x:c>
      <x:c r="D300" s="11" t="n">
        <x:v>0.03</x:v>
      </x:c>
      <x:c r="E300" s="11" t="n">
        <x:v>-2.62</x:v>
      </x:c>
      <x:c r="F300" s="11" t="n">
        <x:f>SQRT((C300-C299)^2+(D300-D299)^2+(E300-E299)^2)</x:f>
        <x:v>1.2200000000000002</x:v>
      </x:c>
      <x:c r="G300" s="8" t="str">
        <x:v>Current</x:v>
      </x:c>
    </x:row>
    <x:row r="301" ht="32" customHeight="1">
      <x:c r="A301" s="8" t="str">
        <x:v>drop:AV1:MIC:mic:-1:S291</x:v>
      </x:c>
      <x:c r="B301" s="8" t="n">
        <x:v>3</x:v>
      </x:c>
      <x:c r="C301" s="11" t="n">
        <x:v>41.3</x:v>
      </x:c>
      <x:c r="D301" s="11" t="n">
        <x:v>0.03</x:v>
      </x:c>
      <x:c r="E301" s="11" t="n">
        <x:v>-2.62</x:v>
      </x:c>
      <x:c r="F301" s="11" t="n">
        <x:f>SQRT((C301-C300)^2+(D301-D300)^2+(E301-E300)^2)</x:f>
        <x:v>0.21999999999999886</x:v>
      </x:c>
      <x:c r="G301" s="8" t="str">
        <x:v>Current</x:v>
      </x:c>
    </x:row>
    <x:row r="302" ht="32" customHeight="1">
      <x:c r="A302" s="8" t="str">
        <x:v>drop:AV1:MIC:mic:-1:S291</x:v>
      </x:c>
      <x:c r="B302" s="8" t="n">
        <x:v>4</x:v>
      </x:c>
      <x:c r="C302" s="11" t="n">
        <x:v>41.3</x:v>
      </x:c>
      <x:c r="D302" s="11" t="n">
        <x:v>1.86</x:v>
      </x:c>
      <x:c r="E302" s="11" t="n">
        <x:v>-2.62</x:v>
      </x:c>
      <x:c r="F302" s="11" t="n">
        <x:f>SQRT((C302-C301)^2+(D302-D301)^2+(E302-E301)^2)</x:f>
        <x:v>1.83</x:v>
      </x:c>
      <x:c r="G302" s="8" t="str">
        <x:v>Current</x:v>
      </x:c>
    </x:row>
    <x:row r="303" ht="32" customHeight="1">
      <x:c r="A303" s="8" t="str">
        <x:v>drop:AV1:MIC:mic:-1:S291</x:v>
      </x:c>
      <x:c r="B303" s="8" t="n">
        <x:v>5</x:v>
      </x:c>
      <x:c r="C303" s="11" t="n">
        <x:v>41.08</x:v>
      </x:c>
      <x:c r="D303" s="11" t="n">
        <x:v>1.8154037921880923</x:v>
      </x:c>
      <x:c r="E303" s="11" t="n">
        <x:v>-2.62</x:v>
      </x:c>
      <x:c r="F303" s="11" t="n">
        <x:f>SQRT((C303-C302)^2+(D303-D302)^2+(E303-E302)^2)</x:f>
        <x:v>0.22447454588706126</x:v>
      </x:c>
      <x:c r="G303" s="8" t="str">
        <x:v>Current</x:v>
      </x:c>
    </x:row>
    <x:row r="304" ht="32" customHeight="1">
      <x:c r="A304" s="8" t="str">
        <x:v>drop:AV1:MIC:mic:-1:S291</x:v>
      </x:c>
      <x:c r="B304" s="8" t="n">
        <x:v>6</x:v>
      </x:c>
      <x:c r="C304" s="11" t="n">
        <x:v>41.08</x:v>
      </x:c>
      <x:c r="D304" s="11" t="n">
        <x:v>1.95</x:v>
      </x:c>
      <x:c r="E304" s="11" t="n">
        <x:v>-2.62</x:v>
      </x:c>
      <x:c r="F304" s="11" t="n">
        <x:f>SQRT((C304-C303)^2+(D304-D303)^2+(E304-E303)^2)</x:f>
        <x:v>0.13459620781190762</x:v>
      </x:c>
      <x:c r="G304" s="8" t="str">
        <x:v>Current</x:v>
      </x:c>
    </x:row>
    <x:row r="305" ht="32" customHeight="1">
      <x:c r="A305" s="8" t="str">
        <x:v>trunk:AV1:MIC:mic:1</x:v>
      </x:c>
      <x:c r="B305" s="8" t="n">
        <x:v>1</x:v>
      </x:c>
      <x:c r="C305" s="11" t="n">
        <x:v>49.275</x:v>
      </x:c>
      <x:c r="D305" s="11" t="n">
        <x:v>0.95</x:v>
      </x:c>
      <x:c r="E305" s="11" t="n">
        <x:v>1.4</x:v>
      </x:c>
      <x:c r="F305" s="11" t="n">
        <x:f>0</x:f>
        <x:v>0</x:v>
      </x:c>
      <x:c r="G305" s="8" t="str">
        <x:v>Current</x:v>
      </x:c>
    </x:row>
    <x:row r="306" ht="32" customHeight="1">
      <x:c r="A306" s="8" t="str">
        <x:v>trunk:AV1:MIC:mic:1</x:v>
      </x:c>
      <x:c r="B306" s="8" t="n">
        <x:v>2</x:v>
      </x:c>
      <x:c r="C306" s="11" t="n">
        <x:v>49.275</x:v>
      </x:c>
      <x:c r="D306" s="11" t="n">
        <x:v>0.03</x:v>
      </x:c>
      <x:c r="E306" s="11" t="n">
        <x:v>1.4</x:v>
      </x:c>
      <x:c r="F306" s="11" t="n">
        <x:f>SQRT((C306-C305)^2+(D306-D305)^2+(E306-E305)^2)</x:f>
        <x:v>0.9199999999999999</x:v>
      </x:c>
      <x:c r="G306" s="8" t="str">
        <x:v>Current</x:v>
      </x:c>
    </x:row>
    <x:row r="307" ht="32" customHeight="1">
      <x:c r="A307" s="8" t="str">
        <x:v>trunk:AV1:MIC:mic:1</x:v>
      </x:c>
      <x:c r="B307" s="8" t="n">
        <x:v>3</x:v>
      </x:c>
      <x:c r="C307" s="11" t="n">
        <x:v>44.45</x:v>
      </x:c>
      <x:c r="D307" s="11" t="n">
        <x:v>0.03</x:v>
      </x:c>
      <x:c r="E307" s="11" t="n">
        <x:v>1.4</x:v>
      </x:c>
      <x:c r="F307" s="11" t="n">
        <x:f>SQRT((C307-C306)^2+(D307-D306)^2+(E307-E306)^2)</x:f>
        <x:v>4.824999999999996</x:v>
      </x:c>
      <x:c r="G307" s="8" t="str">
        <x:v>Current</x:v>
      </x:c>
    </x:row>
    <x:row r="308" ht="32" customHeight="1">
      <x:c r="A308" s="8" t="str">
        <x:v>drop:AV1:MIC:mic:1:S292</x:v>
      </x:c>
      <x:c r="B308" s="8" t="n">
        <x:v>1</x:v>
      </x:c>
      <x:c r="C308" s="11" t="n">
        <x:v>44.45</x:v>
      </x:c>
      <x:c r="D308" s="11" t="n">
        <x:v>0.03</x:v>
      </x:c>
      <x:c r="E308" s="11" t="n">
        <x:v>1.4</x:v>
      </x:c>
      <x:c r="F308" s="11" t="n">
        <x:f>0</x:f>
        <x:v>0</x:v>
      </x:c>
      <x:c r="G308" s="8" t="str">
        <x:v>Current</x:v>
      </x:c>
    </x:row>
    <x:row r="309" ht="32" customHeight="1">
      <x:c r="A309" s="8" t="str">
        <x:v>drop:AV1:MIC:mic:1:S292</x:v>
      </x:c>
      <x:c r="B309" s="8" t="n">
        <x:v>2</x:v>
      </x:c>
      <x:c r="C309" s="11" t="n">
        <x:v>44.45</x:v>
      </x:c>
      <x:c r="D309" s="11" t="n">
        <x:v>0.03</x:v>
      </x:c>
      <x:c r="E309" s="11" t="n">
        <x:v>0.45</x:v>
      </x:c>
      <x:c r="F309" s="11" t="n">
        <x:f>SQRT((C309-C308)^2+(D309-D308)^2+(E309-E308)^2)</x:f>
        <x:v>0.95</x:v>
      </x:c>
      <x:c r="G309" s="8" t="str">
        <x:v>Current</x:v>
      </x:c>
    </x:row>
    <x:row r="310" ht="32" customHeight="1">
      <x:c r="A310" s="8" t="str">
        <x:v>drop:AV1:MIC:mic:1:S292</x:v>
      </x:c>
      <x:c r="B310" s="8" t="n">
        <x:v>3</x:v>
      </x:c>
      <x:c r="C310" s="11" t="n">
        <x:v>44.45</x:v>
      </x:c>
      <x:c r="D310" s="11" t="n">
        <x:v>1.93</x:v>
      </x:c>
      <x:c r="E310" s="11" t="n">
        <x:v>0.45</x:v>
      </x:c>
      <x:c r="F310" s="11" t="n">
        <x:f>SQRT((C310-C309)^2+(D310-D309)^2+(E310-E309)^2)</x:f>
        <x:v>1.9</x:v>
      </x:c>
      <x:c r="G310" s="8" t="str">
        <x:v>Current</x:v>
      </x:c>
    </x:row>
    <x:row r="311" ht="32" customHeight="1">
      <x:c r="A311" s="8" t="str">
        <x:v>drop:AV1:A1:audio:-1:S275</x:v>
      </x:c>
      <x:c r="B311" s="8" t="n">
        <x:v>1</x:v>
      </x:c>
      <x:c r="C311" s="11" t="n">
        <x:v>38.94</x:v>
      </x:c>
      <x:c r="D311" s="11" t="n">
        <x:v>7.953150773195872</x:v>
      </x:c>
      <x:c r="E311" s="11" t="n">
        <x:v>-7.36</x:v>
      </x:c>
      <x:c r="F311" s="11" t="n">
        <x:f>0</x:f>
        <x:v>0</x:v>
      </x:c>
      <x:c r="G311" s="8" t="str">
        <x:v>Retired</x:v>
      </x:c>
    </x:row>
    <x:row r="312" ht="32" customHeight="1">
      <x:c r="A312" s="8" t="str">
        <x:v>drop:AV1:A1:audio:-1:S275</x:v>
      </x:c>
      <x:c r="B312" s="8" t="n">
        <x:v>2</x:v>
      </x:c>
      <x:c r="C312" s="11" t="n">
        <x:v>38.94</x:v>
      </x:c>
      <x:c r="D312" s="11" t="n">
        <x:v>7.953150773195873</x:v>
      </x:c>
      <x:c r="E312" s="11" t="n">
        <x:v>-11.6</x:v>
      </x:c>
      <x:c r="F312" s="11" t="n">
        <x:f>SQRT((C312-C311)^2+(D312-D311)^2+(E312-E311)^2)</x:f>
        <x:v>4.239999999999999</x:v>
      </x:c>
      <x:c r="G312" s="8" t="str">
        <x:v>Retired</x:v>
      </x:c>
    </x:row>
    <x:row r="313" ht="32" customHeight="1">
      <x:c r="A313" s="8" t="str">
        <x:v>drop:AV1:A1:audio:-1:S275</x:v>
      </x:c>
      <x:c r="B313" s="8" t="n">
        <x:v>3</x:v>
      </x:c>
      <x:c r="C313" s="11" t="n">
        <x:v>38.94</x:v>
      </x:c>
      <x:c r="D313" s="11" t="n">
        <x:v>3</x:v>
      </x:c>
      <x:c r="E313" s="11" t="n">
        <x:v>-11.6</x:v>
      </x:c>
      <x:c r="F313" s="11" t="n">
        <x:f>SQRT((C313-C312)^2+(D313-D312)^2+(E313-E312)^2)</x:f>
        <x:v>4.953150773195873</x:v>
      </x:c>
      <x:c r="G313" s="8" t="str">
        <x:v>Retired</x:v>
      </x:c>
    </x:row>
    <x:row r="314" ht="32" customHeight="1">
      <x:c r="A314" s="8" t="str">
        <x:v>drop:AV1:A1:audio:1:S277</x:v>
      </x:c>
      <x:c r="B314" s="8" t="n">
        <x:v>1</x:v>
      </x:c>
      <x:c r="C314" s="11" t="n">
        <x:v>38.94</x:v>
      </x:c>
      <x:c r="D314" s="11" t="n">
        <x:v>7.953150773195872</x:v>
      </x:c>
      <x:c r="E314" s="11" t="n">
        <x:v>7.36</x:v>
      </x:c>
      <x:c r="F314" s="11" t="n">
        <x:f>0</x:f>
        <x:v>0</x:v>
      </x:c>
      <x:c r="G314" s="8" t="str">
        <x:v>Retired</x:v>
      </x:c>
    </x:row>
    <x:row r="315" ht="32" customHeight="1">
      <x:c r="A315" s="8" t="str">
        <x:v>drop:AV1:A1:audio:1:S277</x:v>
      </x:c>
      <x:c r="B315" s="8" t="n">
        <x:v>2</x:v>
      </x:c>
      <x:c r="C315" s="11" t="n">
        <x:v>38.94</x:v>
      </x:c>
      <x:c r="D315" s="11" t="n">
        <x:v>7.953150773195873</x:v>
      </x:c>
      <x:c r="E315" s="11" t="n">
        <x:v>11.6</x:v>
      </x:c>
      <x:c r="F315" s="11" t="n">
        <x:f>SQRT((C315-C314)^2+(D315-D314)^2+(E315-E314)^2)</x:f>
        <x:v>4.239999999999999</x:v>
      </x:c>
      <x:c r="G315" s="8" t="str">
        <x:v>Retired</x:v>
      </x:c>
    </x:row>
    <x:row r="316" ht="32" customHeight="1">
      <x:c r="A316" s="8" t="str">
        <x:v>drop:AV1:A1:audio:1:S277</x:v>
      </x:c>
      <x:c r="B316" s="8" t="n">
        <x:v>3</x:v>
      </x:c>
      <x:c r="C316" s="11" t="n">
        <x:v>38.94</x:v>
      </x:c>
      <x:c r="D316" s="11" t="n">
        <x:v>3</x:v>
      </x:c>
      <x:c r="E316" s="11" t="n">
        <x:v>11.6</x:v>
      </x:c>
      <x:c r="F316" s="11" t="n">
        <x:f>SQRT((C316-C315)^2+(D316-D315)^2+(E316-E315)^2)</x:f>
        <x:v>4.953150773195873</x:v>
      </x:c>
      <x:c r="G316" s="8" t="str">
        <x:v>Retired</x:v>
      </x:c>
    </x:row>
  </x:sheetData>
  <x:conditionalFormatting sqref="G7:G316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4a1a381c72f14961"/>
  </x:tableParts>
</x:worksheet>
</file>