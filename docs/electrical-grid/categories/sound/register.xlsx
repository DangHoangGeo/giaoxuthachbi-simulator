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65cd956b4848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802feb2b31a4e1b"/>
    <x:sheet xmlns:r="http://schemas.openxmlformats.org/officeDocument/2006/relationships" name="Equipment" sheetId="2" r:id="R94bcfc35ae84415b"/>
    <x:sheet xmlns:r="http://schemas.openxmlformats.org/officeDocument/2006/relationships" name="Electrical Lines" sheetId="3" r:id="Refd90ac7de534959"/>
    <x:sheet xmlns:r="http://schemas.openxmlformats.org/officeDocument/2006/relationships" name="Route Points" sheetId="4" r:id="Rbe70556e7a954b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1d9465468f44a5" /><Relationship Type="http://schemas.openxmlformats.org/officeDocument/2006/relationships/theme" Target="/xl/theme/theme1.xml" Id="R8ceaff44be7b497a" /><Relationship Type="http://schemas.openxmlformats.org/officeDocument/2006/relationships/sharedStrings" Target="/xl/sharedStrings.xml" Id="Rd853a10132a449d4" /><Relationship Type="http://schemas.openxmlformats.org/officeDocument/2006/relationships/worksheet" Target="/xl/worksheets/sheet1.xml" Id="R6802feb2b31a4e1b" /><Relationship Type="http://schemas.openxmlformats.org/officeDocument/2006/relationships/worksheet" Target="/xl/worksheets/sheet2.xml" Id="R94bcfc35ae84415b" /><Relationship Type="http://schemas.openxmlformats.org/officeDocument/2006/relationships/worksheet" Target="/xl/worksheets/sheet3.xml" Id="Refd90ac7de534959" /><Relationship Type="http://schemas.openxmlformats.org/officeDocument/2006/relationships/worksheet" Target="/xl/worksheets/sheet4.xml" Id="Rbe70556e7a954b21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9911086c33f462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3da464f462f4a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460ae0e56a64ad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2026-10-24T18:15:14.532Z.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944ecbe81a903e81a65ffa487f20c3a417603b0749843148bbf77414d42d60b4</x:v>
      </x:c>
    </x:row>
    <x:row r="15" ht="44" customHeight="1">
      <x:c r="A15" s="20" t="str">
        <x:v>Source systems SHA-256</x:v>
      </x:c>
      <x:c r="B15" s="16" t="str">
        <x:v>d50c68edff009ac84589ad37b15985dac299e304fb4daa2752ebe808d92740fd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76.1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{"dim":1,"level":-6,"delayMs":76.1}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22.7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{"dim":1,"level":-6,"delayMs":22.7}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95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{"dim":1,"level":-7,"delayMs":88.8,"anchorY":6.638660220994475}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{"dim":1,"level":-7,"delayMs":50.9,"anchorY":6.638660220994475}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{"dim":1,"level":-7,"delayMs":92.3,"anchorY":6.638660220994475}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{"dim":1,"level":-7,"delayMs":56.8,"anchorY":6.638660220994475}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9911086c33f462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3.6290707536989677</x:v>
      </x:c>
      <x:c r="J44" s="11" t="n">
        <x:v>11.915</x:v>
      </x:c>
      <x:c r="K44" s="11" t="n">
        <x:f>IF(L44="Full home run",I44+J44,"")</x:f>
        <x:v>15.544070753698968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2.8499999999999996</x:v>
      </x:c>
      <x:c r="J46" s="11" t="n">
        <x:v>5.744999999999996</x:v>
      </x:c>
      <x:c r="K46" s="11" t="n">
        <x:f>IF(L46="Full home run",I46+J46,"")</x:f>
        <x:v>8.594999999999995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da464f462f4ab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1.86</x:v>
      </x:c>
      <x:c r="E302" s="11" t="n">
        <x:v>-2.62</x:v>
      </x:c>
      <x:c r="F302" s="11" t="n">
        <x:f>SQRT((C302-C301)^2+(D302-D301)^2+(E302-E301)^2)</x:f>
        <x:v>1.83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1.8154037921880923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1.95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1.93</x:v>
      </x:c>
      <x:c r="E310" s="11" t="n">
        <x:v>0.45</x:v>
      </x:c>
      <x:c r="F310" s="11" t="n">
        <x:f>SQRT((C310-C309)^2+(D310-D309)^2+(E310-E309)^2)</x:f>
        <x:v>1.9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460ae0e56a64ad4"/>
  </x:tableParts>
</x:worksheet>
</file>