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5f60b99ba45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8d1667b906e4b1b"/>
    <x:sheet xmlns:r="http://schemas.openxmlformats.org/officeDocument/2006/relationships" name="Equipment" sheetId="2" r:id="R8e83f6148800417b"/>
    <x:sheet xmlns:r="http://schemas.openxmlformats.org/officeDocument/2006/relationships" name="Electrical Lines" sheetId="3" r:id="R202c9243cb484255"/>
    <x:sheet xmlns:r="http://schemas.openxmlformats.org/officeDocument/2006/relationships" name="Route Points" sheetId="4" r:id="R576729c051ed4e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1a6b7408af40d3" /><Relationship Type="http://schemas.openxmlformats.org/officeDocument/2006/relationships/theme" Target="/xl/theme/theme1.xml" Id="R8f0da8906efe40fb" /><Relationship Type="http://schemas.openxmlformats.org/officeDocument/2006/relationships/sharedStrings" Target="/xl/sharedStrings.xml" Id="Rd335d7dde3e94da4" /><Relationship Type="http://schemas.openxmlformats.org/officeDocument/2006/relationships/worksheet" Target="/xl/worksheets/sheet1.xml" Id="Ra8d1667b906e4b1b" /><Relationship Type="http://schemas.openxmlformats.org/officeDocument/2006/relationships/worksheet" Target="/xl/worksheets/sheet2.xml" Id="R8e83f6148800417b" /><Relationship Type="http://schemas.openxmlformats.org/officeDocument/2006/relationships/worksheet" Target="/xl/worksheets/sheet3.xml" Id="R202c9243cb484255" /><Relationship Type="http://schemas.openxmlformats.org/officeDocument/2006/relationships/worksheet" Target="/xl/worksheets/sheet4.xml" Id="R576729c051ed4e20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9699bc3e6b47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e9378f7647e450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e8a1eed35914ff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2026-10-17T21:33:54.811Z.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40c0fb48adb616822d2737a378024e64d46f211fcc43ca75ea298cd2570965f8</x:v>
      </x:c>
    </x:row>
    <x:row r="15" ht="44" customHeight="1">
      <x:c r="A15" s="20" t="str">
        <x:v>Source systems SHA-256</x:v>
      </x:c>
      <x:c r="B15" s="16" t="str">
        <x:v>e8507810679907dc3354f9387ce0b6d5f3b3e307d5939a52680f19a914a4cd86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33.6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{"dim":1,"level":-6,"delayMs":33.6}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59699bc3e6b471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65.21813031117918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2.3899999999999997</x:v>
      </x:c>
      <x:c r="J8" s="11" t="n">
        <x:v>65.21813031117918</x:v>
      </x:c>
      <x:c r="K8" s="11" t="n">
        <x:f>IF(L8="Full home run",I8+J8,"")</x:f>
        <x:v>67.60813031117918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2.3899999999999997</x:v>
      </x:c>
      <x:c r="J9" s="11" t="n">
        <x:v>60.71813031117919</x:v>
      </x:c>
      <x:c r="K9" s="11" t="n">
        <x:f>IF(L9="Full home run",I9+J9,"")</x:f>
        <x:v>63.10813031117919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2.3899999999999997</x:v>
      </x:c>
      <x:c r="J10" s="11" t="n">
        <x:v>56.21813031117919</x:v>
      </x:c>
      <x:c r="K10" s="11" t="n">
        <x:f>IF(L10="Full home run",I10+J10,"")</x:f>
        <x:v>58.60813031117919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2.3899999999999997</x:v>
      </x:c>
      <x:c r="J11" s="11" t="n">
        <x:v>51.71813031117919</x:v>
      </x:c>
      <x:c r="K11" s="11" t="n">
        <x:f>IF(L11="Full home run",I11+J11,"")</x:f>
        <x:v>54.10813031117919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2.3899999999999997</x:v>
      </x:c>
      <x:c r="J12" s="11" t="n">
        <x:v>47.21813031117919</x:v>
      </x:c>
      <x:c r="K12" s="11" t="n">
        <x:f>IF(L12="Full home run",I12+J12,"")</x:f>
        <x:v>49.60813031117919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2.3899999999999997</x:v>
      </x:c>
      <x:c r="J13" s="11" t="n">
        <x:v>42.71813031117919</x:v>
      </x:c>
      <x:c r="K13" s="11" t="n">
        <x:f>IF(L13="Full home run",I13+J13,"")</x:f>
        <x:v>45.10813031117919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58.61813031117919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2.3899999999999997</x:v>
      </x:c>
      <x:c r="J16" s="11" t="n">
        <x:v>58.61813031117919</x:v>
      </x:c>
      <x:c r="K16" s="11" t="n">
        <x:f>IF(L16="Full home run",I16+J16,"")</x:f>
        <x:v>61.008130311179194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2.3899999999999997</x:v>
      </x:c>
      <x:c r="J17" s="11" t="n">
        <x:v>54.11813031117919</x:v>
      </x:c>
      <x:c r="K17" s="11" t="n">
        <x:f>IF(L17="Full home run",I17+J17,"")</x:f>
        <x:v>56.508130311179194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2.3899999999999997</x:v>
      </x:c>
      <x:c r="J18" s="11" t="n">
        <x:v>49.61813031117919</x:v>
      </x:c>
      <x:c r="K18" s="11" t="n">
        <x:f>IF(L18="Full home run",I18+J18,"")</x:f>
        <x:v>52.008130311179194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2.3899999999999997</x:v>
      </x:c>
      <x:c r="J19" s="11" t="n">
        <x:v>45.11813031117919</x:v>
      </x:c>
      <x:c r="K19" s="11" t="n">
        <x:f>IF(L19="Full home run",I19+J19,"")</x:f>
        <x:v>47.508130311179194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2.3899999999999997</x:v>
      </x:c>
      <x:c r="J20" s="11" t="n">
        <x:v>40.61813031117919</x:v>
      </x:c>
      <x:c r="K20" s="11" t="n">
        <x:f>IF(L20="Full home run",I20+J20,"")</x:f>
        <x:v>43.008130311179194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2.3899999999999997</x:v>
      </x:c>
      <x:c r="J21" s="11" t="n">
        <x:v>36.11813031117919</x:v>
      </x:c>
      <x:c r="K21" s="11" t="n">
        <x:f>IF(L21="Full home run",I21+J21,"")</x:f>
        <x:v>38.508130311179194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9378f7647e450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14.475000000000001</x:v>
      </x:c>
      <x:c r="D24" s="11" t="n">
        <x:v>5.55</x:v>
      </x:c>
      <x:c r="E24" s="11" t="n">
        <x:v>-7.36</x:v>
      </x:c>
      <x:c r="F24" s="11" t="n">
        <x:f>SQRT((C24-C23)^2+(D24-D23)^2+(E24-E23)^2)</x:f>
        <x:v>22.5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14.475000000000001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14.475000000000001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14.475</x:v>
      </x:c>
      <x:c r="D27" s="11" t="n">
        <x:v>3.45</x:v>
      </x:c>
      <x:c r="E27" s="11" t="n">
        <x:v>-7.07</x:v>
      </x:c>
      <x:c r="F27" s="11" t="n">
        <x:f>SQRT((C27-C26)^2+(D27-D26)^2+(E27-E26)^2)</x:f>
        <x:v>0.29000000000000004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18.975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18.975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18.975</x:v>
      </x:c>
      <x:c r="D30" s="11" t="n">
        <x:v>3.45</x:v>
      </x:c>
      <x:c r="E30" s="11" t="n">
        <x:v>-7.07</x:v>
      </x:c>
      <x:c r="F30" s="11" t="n">
        <x:f>SQRT((C30-C29)^2+(D30-D29)^2+(E30-E29)^2)</x:f>
        <x:v>0.29000000000000004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23.475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23.475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23.475</x:v>
      </x:c>
      <x:c r="D33" s="11" t="n">
        <x:v>3.45</x:v>
      </x:c>
      <x:c r="E33" s="11" t="n">
        <x:v>-7.07</x:v>
      </x:c>
      <x:c r="F33" s="11" t="n">
        <x:f>SQRT((C33-C32)^2+(D33-D32)^2+(E33-E32)^2)</x:f>
        <x:v>0.29000000000000004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27.975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27.975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27.975</x:v>
      </x:c>
      <x:c r="D36" s="11" t="n">
        <x:v>3.45</x:v>
      </x:c>
      <x:c r="E36" s="11" t="n">
        <x:v>-7.07</x:v>
      </x:c>
      <x:c r="F36" s="11" t="n">
        <x:f>SQRT((C36-C35)^2+(D36-D35)^2+(E36-E35)^2)</x:f>
        <x:v>0.29000000000000004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32.475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32.475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32.475</x:v>
      </x:c>
      <x:c r="D39" s="11" t="n">
        <x:v>3.45</x:v>
      </x:c>
      <x:c r="E39" s="11" t="n">
        <x:v>-7.07</x:v>
      </x:c>
      <x:c r="F39" s="11" t="n">
        <x:f>SQRT((C39-C38)^2+(D39-D38)^2+(E39-E38)^2)</x:f>
        <x:v>0.29000000000000004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36.975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36.975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36.975</x:v>
      </x:c>
      <x:c r="D42" s="11" t="n">
        <x:v>3.45</x:v>
      </x:c>
      <x:c r="E42" s="11" t="n">
        <x:v>-7.07</x:v>
      </x:c>
      <x:c r="F42" s="11" t="n">
        <x:f>SQRT((C42-C41)^2+(D42-D41)^2+(E42-E41)^2)</x:f>
        <x:v>0.29000000000000004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14.475000000000001</x:v>
      </x:c>
      <x:c r="D67" s="11" t="n">
        <x:v>5.55</x:v>
      </x:c>
      <x:c r="E67" s="11" t="n">
        <x:v>7.36</x:v>
      </x:c>
      <x:c r="F67" s="11" t="n">
        <x:f>SQRT((C67-C66)^2+(D67-D66)^2+(E67-E66)^2)</x:f>
        <x:v>22.5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14.475000000000001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14.475000000000001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14.475</x:v>
      </x:c>
      <x:c r="D70" s="11" t="n">
        <x:v>3.45</x:v>
      </x:c>
      <x:c r="E70" s="11" t="n">
        <x:v>7.07</x:v>
      </x:c>
      <x:c r="F70" s="11" t="n">
        <x:f>SQRT((C70-C69)^2+(D70-D69)^2+(E70-E69)^2)</x:f>
        <x:v>0.29000000000000004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18.975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18.975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18.975</x:v>
      </x:c>
      <x:c r="D73" s="11" t="n">
        <x:v>3.45</x:v>
      </x:c>
      <x:c r="E73" s="11" t="n">
        <x:v>7.07</x:v>
      </x:c>
      <x:c r="F73" s="11" t="n">
        <x:f>SQRT((C73-C72)^2+(D73-D72)^2+(E73-E72)^2)</x:f>
        <x:v>0.29000000000000004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23.475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23.475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23.475</x:v>
      </x:c>
      <x:c r="D76" s="11" t="n">
        <x:v>3.45</x:v>
      </x:c>
      <x:c r="E76" s="11" t="n">
        <x:v>7.07</x:v>
      </x:c>
      <x:c r="F76" s="11" t="n">
        <x:f>SQRT((C76-C75)^2+(D76-D75)^2+(E76-E75)^2)</x:f>
        <x:v>0.29000000000000004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27.975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27.975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27.975</x:v>
      </x:c>
      <x:c r="D79" s="11" t="n">
        <x:v>3.45</x:v>
      </x:c>
      <x:c r="E79" s="11" t="n">
        <x:v>7.07</x:v>
      </x:c>
      <x:c r="F79" s="11" t="n">
        <x:f>SQRT((C79-C78)^2+(D79-D78)^2+(E79-E78)^2)</x:f>
        <x:v>0.29000000000000004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32.475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32.475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32.475</x:v>
      </x:c>
      <x:c r="D82" s="11" t="n">
        <x:v>3.45</x:v>
      </x:c>
      <x:c r="E82" s="11" t="n">
        <x:v>7.07</x:v>
      </x:c>
      <x:c r="F82" s="11" t="n">
        <x:f>SQRT((C82-C81)^2+(D82-D81)^2+(E82-E81)^2)</x:f>
        <x:v>0.29000000000000004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36.975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36.975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36.975</x:v>
      </x:c>
      <x:c r="D85" s="11" t="n">
        <x:v>3.45</x:v>
      </x:c>
      <x:c r="E85" s="11" t="n">
        <x:v>7.07</x:v>
      </x:c>
      <x:c r="F85" s="11" t="n">
        <x:f>SQRT((C85-C84)^2+(D85-D84)^2+(E85-E84)^2)</x:f>
        <x:v>0.29000000000000004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e8a1eed35914ff7"/>
  </x:tableParts>
</x:worksheet>
</file>