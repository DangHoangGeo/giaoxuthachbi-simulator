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19187cdda84e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0dc39a4aaf04bb4"/>
    <x:sheet xmlns:r="http://schemas.openxmlformats.org/officeDocument/2006/relationships" name="Equipment" sheetId="2" r:id="Rb8531ab2cf044a88"/>
    <x:sheet xmlns:r="http://schemas.openxmlformats.org/officeDocument/2006/relationships" name="Electrical Lines" sheetId="3" r:id="R62ea98d6a7af4595"/>
    <x:sheet xmlns:r="http://schemas.openxmlformats.org/officeDocument/2006/relationships" name="Route Points" sheetId="4" r:id="R2f40127ddacc46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d75e99896b45ea" /><Relationship Type="http://schemas.openxmlformats.org/officeDocument/2006/relationships/theme" Target="/xl/theme/theme1.xml" Id="R9d5515abc0414eb6" /><Relationship Type="http://schemas.openxmlformats.org/officeDocument/2006/relationships/sharedStrings" Target="/xl/sharedStrings.xml" Id="R9d1959a16cb2495c" /><Relationship Type="http://schemas.openxmlformats.org/officeDocument/2006/relationships/worksheet" Target="/xl/worksheets/sheet1.xml" Id="Rc0dc39a4aaf04bb4" /><Relationship Type="http://schemas.openxmlformats.org/officeDocument/2006/relationships/worksheet" Target="/xl/worksheets/sheet2.xml" Id="Rb8531ab2cf044a88" /><Relationship Type="http://schemas.openxmlformats.org/officeDocument/2006/relationships/worksheet" Target="/xl/worksheets/sheet3.xml" Id="R62ea98d6a7af4595" /><Relationship Type="http://schemas.openxmlformats.org/officeDocument/2006/relationships/worksheet" Target="/xl/worksheets/sheet4.xml" Id="R2f40127ddacc46ac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9c731e864a64ca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349f2b7377a47c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7240a61f74444f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2026-10-09T06:49:14.923Z.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0a6cf2aa5294b46ad1ca267ef78dada74d793fdb4a83f39e392746594b74ba7c</x:v>
      </x:c>
    </x:row>
    <x:row r="15" ht="44" customHeight="1">
      <x:c r="A15" s="20" t="str">
        <x:v>Source systems SHA-256</x:v>
      </x:c>
      <x:c r="B15" s="16" t="str">
        <x:v>e25c59374b1948a67cdb0ee5bed0beb9884da65931cb92b8dc2af738d4ae1e28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14.475</x:v>
      </x:c>
      <x:c r="G7" s="11" t="n">
        <x:v>3.45</x:v>
      </x:c>
      <x:c r="H7" s="11" t="n">
        <x:v>-7.07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85.1 ms delay. Passive speaker; audio rating is not mains demand</x:v>
      </x:c>
      <x:c r="N7" s="11" t="n">
        <x:v>20</x:v>
      </x:c>
      <x:c r="O7" s="11" t="n">
        <x:v>140</x:v>
      </x:c>
      <x:c r="P7" s="11" t="n">
        <x:v>-18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{"dim":1,"level":-6,"delayMs":85.1}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14.475</x:v>
      </x:c>
      <x:c r="G8" s="11" t="n">
        <x:v>3.45</x:v>
      </x:c>
      <x:c r="H8" s="11" t="n">
        <x:v>7.07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86.2 ms delay. Passive speaker; audio rating is not mains demand</x:v>
      </x:c>
      <x:c r="N8" s="11" t="n">
        <x:v>20</x:v>
      </x:c>
      <x:c r="O8" s="11" t="n">
        <x:v>-140</x:v>
      </x:c>
      <x:c r="P8" s="11" t="n">
        <x:v>-18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{"dim":1,"level":-6,"delayMs":86.2}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18.975</x:v>
      </x:c>
      <x:c r="G9" s="11" t="n">
        <x:v>3.45</x:v>
      </x:c>
      <x:c r="H9" s="11" t="n">
        <x:v>-7.07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72.2 ms delay. Passive speaker; audio rating is not mains demand</x:v>
      </x:c>
      <x:c r="N9" s="11" t="n">
        <x:v>20</x:v>
      </x:c>
      <x:c r="O9" s="11" t="n">
        <x:v>140</x:v>
      </x:c>
      <x:c r="P9" s="11" t="n">
        <x:v>-18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{"dim":1,"level":-6,"delayMs":72.2}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18.975</x:v>
      </x:c>
      <x:c r="G10" s="11" t="n">
        <x:v>3.45</x:v>
      </x:c>
      <x:c r="H10" s="11" t="n">
        <x:v>7.07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73.5 ms delay. Passive speaker; audio rating is not mains demand</x:v>
      </x:c>
      <x:c r="N10" s="11" t="n">
        <x:v>20</x:v>
      </x:c>
      <x:c r="O10" s="11" t="n">
        <x:v>-140</x:v>
      </x:c>
      <x:c r="P10" s="11" t="n">
        <x:v>-18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{"dim":1,"level":-6,"delayMs":73.5}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23.475</x:v>
      </x:c>
      <x:c r="G11" s="11" t="n">
        <x:v>3.45</x:v>
      </x:c>
      <x:c r="H11" s="11" t="n">
        <x:v>-7.07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59.2 ms delay. Passive speaker; audio rating is not mains demand</x:v>
      </x:c>
      <x:c r="N11" s="11" t="n">
        <x:v>20</x:v>
      </x:c>
      <x:c r="O11" s="11" t="n">
        <x:v>140</x:v>
      </x:c>
      <x:c r="P11" s="11" t="n">
        <x:v>-18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{"dim":1,"level":-6,"delayMs":59.2}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23.475</x:v>
      </x:c>
      <x:c r="G12" s="11" t="n">
        <x:v>3.45</x:v>
      </x:c>
      <x:c r="H12" s="11" t="n">
        <x:v>7.07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60.8 ms delay. Passive speaker; audio rating is not mains demand</x:v>
      </x:c>
      <x:c r="N12" s="11" t="n">
        <x:v>20</x:v>
      </x:c>
      <x:c r="O12" s="11" t="n">
        <x:v>-140</x:v>
      </x:c>
      <x:c r="P12" s="11" t="n">
        <x:v>-18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{"dim":1,"level":-6,"delayMs":60.8}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27.975</x:v>
      </x:c>
      <x:c r="G13" s="11" t="n">
        <x:v>3.45</x:v>
      </x:c>
      <x:c r="H13" s="11" t="n">
        <x:v>-7.07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46.3 ms delay. Passive speaker; audio rating is not mains demand</x:v>
      </x:c>
      <x:c r="N13" s="11" t="n">
        <x:v>20</x:v>
      </x:c>
      <x:c r="O13" s="11" t="n">
        <x:v>140</x:v>
      </x:c>
      <x:c r="P13" s="11" t="n">
        <x:v>-18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{"dim":1,"level":-6,"delayMs":46.3}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27.975</x:v>
      </x:c>
      <x:c r="G14" s="11" t="n">
        <x:v>3.45</x:v>
      </x:c>
      <x:c r="H14" s="11" t="n">
        <x:v>7.07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48.3 ms delay. Passive speaker; audio rating is not mains demand</x:v>
      </x:c>
      <x:c r="N14" s="11" t="n">
        <x:v>20</x:v>
      </x:c>
      <x:c r="O14" s="11" t="n">
        <x:v>-140</x:v>
      </x:c>
      <x:c r="P14" s="11" t="n">
        <x:v>-18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{"dim":1,"level":-6,"delayMs":48.3}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32.475</x:v>
      </x:c>
      <x:c r="G15" s="11" t="n">
        <x:v>3.45</x:v>
      </x:c>
      <x:c r="H15" s="11" t="n">
        <x:v>-7.07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33.5 ms delay. Passive speaker; audio rating is not mains demand</x:v>
      </x:c>
      <x:c r="N15" s="11" t="n">
        <x:v>20</x:v>
      </x:c>
      <x:c r="O15" s="11" t="n">
        <x:v>140</x:v>
      </x:c>
      <x:c r="P15" s="11" t="n">
        <x:v>-18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{"dim":1,"level":-6,"delayMs":33.5}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32.475</x:v>
      </x:c>
      <x:c r="G16" s="11" t="n">
        <x:v>3.45</x:v>
      </x:c>
      <x:c r="H16" s="11" t="n">
        <x:v>7.07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36 ms delay. Passive speaker; audio rating is not mains demand</x:v>
      </x:c>
      <x:c r="N16" s="11" t="n">
        <x:v>20</x:v>
      </x:c>
      <x:c r="O16" s="11" t="n">
        <x:v>-140</x:v>
      </x:c>
      <x:c r="P16" s="11" t="n">
        <x:v>-18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{"dim":1,"level":-6,"delayMs":36}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36.975</x:v>
      </x:c>
      <x:c r="G17" s="11" t="n">
        <x:v>3.45</x:v>
      </x:c>
      <x:c r="H17" s="11" t="n">
        <x:v>-7.07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20.6 ms delay. Passive speaker; audio rating is not mains demand</x:v>
      </x:c>
      <x:c r="N17" s="11" t="n">
        <x:v>20</x:v>
      </x:c>
      <x:c r="O17" s="11" t="n">
        <x:v>140</x:v>
      </x:c>
      <x:c r="P17" s="11" t="n">
        <x:v>-18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{"dim":1,"level":-6,"delayMs":20.6}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36.975</x:v>
      </x:c>
      <x:c r="G18" s="11" t="n">
        <x:v>3.45</x:v>
      </x:c>
      <x:c r="H18" s="11" t="n">
        <x:v>7.07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24.1 ms delay. Passive speaker; audio rating is not mains demand</x:v>
      </x:c>
      <x:c r="N18" s="11" t="n">
        <x:v>20</x:v>
      </x:c>
      <x:c r="O18" s="11" t="n">
        <x:v>-140</x:v>
      </x:c>
      <x:c r="P18" s="11" t="n">
        <x:v>-18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{"dim":1,"level":-6,"delayMs":24.1}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94.9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{"dim":1,"level":-9,"delayMs":94.9}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37.1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{"dim":1,"level":-6,"delayMs":37.1,"anchorY":4.85,"note":"ENGINEERING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{"dim":1,"level":-7,"delayMs":88.8,"anchorY":6.798875000000001}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{"dim":1,"level":-7,"delayMs":50.9,"anchorY":6.798875000000001}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{"dim":1,"level":-7,"delayMs":92.3,"anchorY":6.798875000000001}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{"dim":1,"level":-7,"delayMs":56.8,"anchorY":6.798875000000001}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33.6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{"dim":1,"level":-6,"delayMs":33.6}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1.88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9c731e864a64ca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61.27413031117918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2.534</x:v>
      </x:c>
      <x:c r="J8" s="11" t="n">
        <x:v>61.27413031117918</x:v>
      </x:c>
      <x:c r="K8" s="11" t="n">
        <x:f>IF(L8="Full home run",I8+J8,"")</x:f>
        <x:v>63.80813031117918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2.534</x:v>
      </x:c>
      <x:c r="J9" s="11" t="n">
        <x:v>56.77413031117918</x:v>
      </x:c>
      <x:c r="K9" s="11" t="n">
        <x:f>IF(L9="Full home run",I9+J9,"")</x:f>
        <x:v>59.30813031117918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2.534</x:v>
      </x:c>
      <x:c r="J10" s="11" t="n">
        <x:v>52.27413031117918</x:v>
      </x:c>
      <x:c r="K10" s="11" t="n">
        <x:f>IF(L10="Full home run",I10+J10,"")</x:f>
        <x:v>54.80813031117918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2.534</x:v>
      </x:c>
      <x:c r="J11" s="11" t="n">
        <x:v>47.77413031117918</x:v>
      </x:c>
      <x:c r="K11" s="11" t="n">
        <x:f>IF(L11="Full home run",I11+J11,"")</x:f>
        <x:v>50.30813031117918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2.534</x:v>
      </x:c>
      <x:c r="J12" s="11" t="n">
        <x:v>43.27413031117918</x:v>
      </x:c>
      <x:c r="K12" s="11" t="n">
        <x:f>IF(L12="Full home run",I12+J12,"")</x:f>
        <x:v>45.80813031117918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2.534</x:v>
      </x:c>
      <x:c r="J13" s="11" t="n">
        <x:v>38.77413031117918</x:v>
      </x:c>
      <x:c r="K13" s="11" t="n">
        <x:f>IF(L13="Full home run",I13+J13,"")</x:f>
        <x:v>41.30813031117918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28.966999999999995</x:v>
      </x:c>
      <x:c r="K14" s="11" t="n">
        <x:f>IF(L14="Full home run",I14+J14,"")</x:f>
        <x:v>37.007692614226734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67.87413031117919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2.534</x:v>
      </x:c>
      <x:c r="J16" s="11" t="n">
        <x:v>67.87413031117919</x:v>
      </x:c>
      <x:c r="K16" s="11" t="n">
        <x:f>IF(L16="Full home run",I16+J16,"")</x:f>
        <x:v>70.40813031117919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2.534</x:v>
      </x:c>
      <x:c r="J17" s="11" t="n">
        <x:v>63.37413031117919</x:v>
      </x:c>
      <x:c r="K17" s="11" t="n">
        <x:f>IF(L17="Full home run",I17+J17,"")</x:f>
        <x:v>65.90813031117919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2.534</x:v>
      </x:c>
      <x:c r="J18" s="11" t="n">
        <x:v>58.87413031117919</x:v>
      </x:c>
      <x:c r="K18" s="11" t="n">
        <x:f>IF(L18="Full home run",I18+J18,"")</x:f>
        <x:v>61.408130311179185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2.534</x:v>
      </x:c>
      <x:c r="J19" s="11" t="n">
        <x:v>54.37413031117919</x:v>
      </x:c>
      <x:c r="K19" s="11" t="n">
        <x:f>IF(L19="Full home run",I19+J19,"")</x:f>
        <x:v>56.908130311179185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2.534</x:v>
      </x:c>
      <x:c r="J20" s="11" t="n">
        <x:v>49.87413031117919</x:v>
      </x:c>
      <x:c r="K20" s="11" t="n">
        <x:f>IF(L20="Full home run",I20+J20,"")</x:f>
        <x:v>52.408130311179185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2.534</x:v>
      </x:c>
      <x:c r="J21" s="11" t="n">
        <x:v>45.37413031117919</x:v>
      </x:c>
      <x:c r="K21" s="11" t="n">
        <x:f>IF(L21="Full home run",I21+J21,"")</x:f>
        <x:v>47.908130311179185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35.56699999999999</x:v>
      </x:c>
      <x:c r="K22" s="11" t="n">
        <x:f>IF(L22="Full home run",I22+J22,"")</x:f>
        <x:v>43.607692614226735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73.06213031117917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10.613024897171492</x:v>
      </x:c>
      <x:c r="J24" s="11" t="n">
        <x:v>73.06213031117917</x:v>
      </x:c>
      <x:c r="K24" s="11" t="n">
        <x:f>IF(L24="Full home run",I24+J24,"")</x:f>
        <x:v>83.67515520835067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79.66213031117918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10.613024897171492</x:v>
      </x:c>
      <x:c r="J26" s="11" t="n">
        <x:v>79.66213031117918</x:v>
      </x:c>
      <x:c r="K26" s="11" t="n">
        <x:f>IF(L26="Full home run",I26+J26,"")</x:f>
        <x:v>90.27515520835067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62.21113031117919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6.940734978599284</x:v>
      </x:c>
      <x:c r="J28" s="11" t="n">
        <x:v>62.21113031117919</x:v>
      </x:c>
      <x:c r="K28" s="11" t="n">
        <x:f>IF(L28="Full home run",I28+J28,"")</x:f>
        <x:v>69.15186528977847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6.9407349785992825</x:v>
      </x:c>
      <x:c r="J29" s="11" t="n">
        <x:v>48.71113031117919</x:v>
      </x:c>
      <x:c r="K29" s="11" t="n">
        <x:f>IF(L29="Full home run",I29+J29,"")</x:f>
        <x:v>55.65186528977847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68.8111303111792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6.940734978599284</x:v>
      </x:c>
      <x:c r="J31" s="11" t="n">
        <x:v>68.8111303111792</x:v>
      </x:c>
      <x:c r="K31" s="11" t="n">
        <x:f>IF(L31="Full home run",I31+J31,"")</x:f>
        <x:v>75.75186528977848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6.9407349785992825</x:v>
      </x:c>
      <x:c r="J32" s="11" t="n">
        <x:v>55.31113031117919</x:v>
      </x:c>
      <x:c r="K32" s="11" t="n">
        <x:f>IF(L32="Full home run",I32+J32,"")</x:f>
        <x:v>62.25186528977847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73.38313031117919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6.820000000000001</x:v>
      </x:c>
      <x:c r="J34" s="11" t="n">
        <x:v>73.38313031117919</x:v>
      </x:c>
      <x:c r="K34" s="11" t="n">
        <x:f>IF(L34="Full home run",I34+J34,"")</x:f>
        <x:v>80.2031303111792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11.345999999999998</x:v>
      </x:c>
      <x:c r="J35" s="11" t="n">
        <x:v>73.38313031117919</x:v>
      </x:c>
      <x:c r="K35" s="11" t="n">
        <x:f>IF(L35="Full home run",I35+J35,"")</x:f>
        <x:v>84.72913031117919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5.5181723888610765</x:v>
      </x:c>
      <x:c r="J36" s="11" t="n">
        <x:v>56.75813031117919</x:v>
      </x:c>
      <x:c r="K36" s="11" t="n">
        <x:f>IF(L36="Full home run",I36+J36,"")</x:f>
        <x:v>62.27630270004026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5.5181723888610765</x:v>
      </x:c>
      <x:c r="J37" s="11" t="n">
        <x:v>43.25813031117919</x:v>
      </x:c>
      <x:c r="K37" s="11" t="n">
        <x:f>IF(L37="Full home run",I37+J37,"")</x:f>
        <x:v>48.77630270004026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79.98313031117918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6.820000000000001</x:v>
      </x:c>
      <x:c r="J39" s="11" t="n">
        <x:v>79.98313031117918</x:v>
      </x:c>
      <x:c r="K39" s="11" t="n">
        <x:f>IF(L39="Full home run",I39+J39,"")</x:f>
        <x:v>86.80313031117919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11.345999999999998</x:v>
      </x:c>
      <x:c r="J40" s="11" t="n">
        <x:v>79.98313031117918</x:v>
      </x:c>
      <x:c r="K40" s="11" t="n">
        <x:f>IF(L40="Full home run",I40+J40,"")</x:f>
        <x:v>91.32913031117918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5.5181723888610765</x:v>
      </x:c>
      <x:c r="J41" s="11" t="n">
        <x:v>63.35813031117918</x:v>
      </x:c>
      <x:c r="K41" s="11" t="n">
        <x:f>IF(L41="Full home run",I41+J41,"")</x:f>
        <x:v>68.87630270004026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5.5181723888610765</x:v>
      </x:c>
      <x:c r="J42" s="11" t="n">
        <x:v>49.85813031117918</x:v>
      </x:c>
      <x:c r="K42" s="11" t="n">
        <x:f>IF(L42="Full home run",I42+J42,"")</x:f>
        <x:v>55.376302700040256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3.579070753698968</x:v>
      </x:c>
      <x:c r="J44" s="11" t="n">
        <x:v>11.915</x:v>
      </x:c>
      <x:c r="K44" s="11" t="n">
        <x:f>IF(L44="Full home run",I44+J44,"")</x:f>
        <x:v>15.494070753698967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</x:v>
      </x:c>
      <x:c r="J46" s="11" t="n">
        <x:v>5.744999999999996</x:v>
      </x:c>
      <x:c r="K46" s="11" t="n">
        <x:f>IF(L46="Full home run",I46+J46,"")</x:f>
        <x:v>8.544999999999995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49f2b7377a47c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-2.24</x:v>
      </x:c>
      <x:c r="F9" s="11" t="n">
        <x:f>SQRT((C9-C8)^2+(D9-D8)^2+(E9-E8)^2)</x:f>
        <x:v>3.64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5.694</x:v>
      </x:c>
      <x:c r="E13" s="11" t="n">
        <x:v>-3.3</x:v>
      </x:c>
      <x:c r="F13" s="11" t="n">
        <x:f>SQRT((C13-C12)^2+(D13-D12)^2+(E13-E12)^2)</x:f>
        <x:v>1.3639999999999999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5.694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5.694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1.346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5.694</x:v>
      </x:c>
      <x:c r="E23" s="11" t="n">
        <x:v>-7.36</x:v>
      </x:c>
      <x:c r="F23" s="11" t="n">
        <x:f>SQRT((C23-C22)^2+(D23-D22)^2+(E23-E22)^2)</x:f>
        <x:v>1.346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14.475000000000001</x:v>
      </x:c>
      <x:c r="D24" s="11" t="n">
        <x:v>5.694</x:v>
      </x:c>
      <x:c r="E24" s="11" t="n">
        <x:v>-7.36</x:v>
      </x:c>
      <x:c r="F24" s="11" t="n">
        <x:f>SQRT((C24-C23)^2+(D24-D23)^2+(E24-E23)^2)</x:f>
        <x:v>22.5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14.475000000000001</x:v>
      </x:c>
      <x:c r="D25" s="11" t="n">
        <x:v>5.694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14.475000000000001</x:v>
      </x:c>
      <x:c r="D26" s="11" t="n">
        <x:v>3.45</x:v>
      </x:c>
      <x:c r="E26" s="11" t="n">
        <x:v>-7.36</x:v>
      </x:c>
      <x:c r="F26" s="11" t="n">
        <x:f>SQRT((C26-C25)^2+(D26-D25)^2+(E26-E25)^2)</x:f>
        <x:v>2.2439999999999998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14.475</x:v>
      </x:c>
      <x:c r="D27" s="11" t="n">
        <x:v>3.45</x:v>
      </x:c>
      <x:c r="E27" s="11" t="n">
        <x:v>-7.07</x:v>
      </x:c>
      <x:c r="F27" s="11" t="n">
        <x:f>SQRT((C27-C26)^2+(D27-D26)^2+(E27-E26)^2)</x:f>
        <x:v>0.29000000000000004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18.975</x:v>
      </x:c>
      <x:c r="D28" s="11" t="n">
        <x:v>5.694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18.975</x:v>
      </x:c>
      <x:c r="D29" s="11" t="n">
        <x:v>3.45</x:v>
      </x:c>
      <x:c r="E29" s="11" t="n">
        <x:v>-7.36</x:v>
      </x:c>
      <x:c r="F29" s="11" t="n">
        <x:f>SQRT((C29-C28)^2+(D29-D28)^2+(E29-E28)^2)</x:f>
        <x:v>2.2439999999999998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18.975</x:v>
      </x:c>
      <x:c r="D30" s="11" t="n">
        <x:v>3.45</x:v>
      </x:c>
      <x:c r="E30" s="11" t="n">
        <x:v>-7.07</x:v>
      </x:c>
      <x:c r="F30" s="11" t="n">
        <x:f>SQRT((C30-C29)^2+(D30-D29)^2+(E30-E29)^2)</x:f>
        <x:v>0.29000000000000004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23.475</x:v>
      </x:c>
      <x:c r="D31" s="11" t="n">
        <x:v>5.694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23.475</x:v>
      </x:c>
      <x:c r="D32" s="11" t="n">
        <x:v>3.45</x:v>
      </x:c>
      <x:c r="E32" s="11" t="n">
        <x:v>-7.36</x:v>
      </x:c>
      <x:c r="F32" s="11" t="n">
        <x:f>SQRT((C32-C31)^2+(D32-D31)^2+(E32-E31)^2)</x:f>
        <x:v>2.2439999999999998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23.475</x:v>
      </x:c>
      <x:c r="D33" s="11" t="n">
        <x:v>3.45</x:v>
      </x:c>
      <x:c r="E33" s="11" t="n">
        <x:v>-7.07</x:v>
      </x:c>
      <x:c r="F33" s="11" t="n">
        <x:f>SQRT((C33-C32)^2+(D33-D32)^2+(E33-E32)^2)</x:f>
        <x:v>0.29000000000000004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27.975</x:v>
      </x:c>
      <x:c r="D34" s="11" t="n">
        <x:v>5.694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27.975</x:v>
      </x:c>
      <x:c r="D35" s="11" t="n">
        <x:v>3.45</x:v>
      </x:c>
      <x:c r="E35" s="11" t="n">
        <x:v>-7.36</x:v>
      </x:c>
      <x:c r="F35" s="11" t="n">
        <x:f>SQRT((C35-C34)^2+(D35-D34)^2+(E35-E34)^2)</x:f>
        <x:v>2.2439999999999998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27.975</x:v>
      </x:c>
      <x:c r="D36" s="11" t="n">
        <x:v>3.45</x:v>
      </x:c>
      <x:c r="E36" s="11" t="n">
        <x:v>-7.07</x:v>
      </x:c>
      <x:c r="F36" s="11" t="n">
        <x:f>SQRT((C36-C35)^2+(D36-D35)^2+(E36-E35)^2)</x:f>
        <x:v>0.29000000000000004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32.475</x:v>
      </x:c>
      <x:c r="D37" s="11" t="n">
        <x:v>5.694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32.475</x:v>
      </x:c>
      <x:c r="D38" s="11" t="n">
        <x:v>3.45</x:v>
      </x:c>
      <x:c r="E38" s="11" t="n">
        <x:v>-7.36</x:v>
      </x:c>
      <x:c r="F38" s="11" t="n">
        <x:f>SQRT((C38-C37)^2+(D38-D37)^2+(E38-E37)^2)</x:f>
        <x:v>2.2439999999999998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32.475</x:v>
      </x:c>
      <x:c r="D39" s="11" t="n">
        <x:v>3.45</x:v>
      </x:c>
      <x:c r="E39" s="11" t="n">
        <x:v>-7.07</x:v>
      </x:c>
      <x:c r="F39" s="11" t="n">
        <x:f>SQRT((C39-C38)^2+(D39-D38)^2+(E39-E38)^2)</x:f>
        <x:v>0.29000000000000004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36.975</x:v>
      </x:c>
      <x:c r="D40" s="11" t="n">
        <x:v>5.694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36.975</x:v>
      </x:c>
      <x:c r="D41" s="11" t="n">
        <x:v>3.45</x:v>
      </x:c>
      <x:c r="E41" s="11" t="n">
        <x:v>-7.36</x:v>
      </x:c>
      <x:c r="F41" s="11" t="n">
        <x:f>SQRT((C41-C40)^2+(D41-D40)^2+(E41-E40)^2)</x:f>
        <x:v>2.2439999999999998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36.975</x:v>
      </x:c>
      <x:c r="D42" s="11" t="n">
        <x:v>3.45</x:v>
      </x:c>
      <x:c r="E42" s="11" t="n">
        <x:v>-7.07</x:v>
      </x:c>
      <x:c r="F42" s="11" t="n">
        <x:f>SQRT((C42-C41)^2+(D42-D41)^2+(E42-E41)^2)</x:f>
        <x:v>0.29000000000000004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-2.24</x:v>
      </x:c>
      <x:c r="F52" s="11" t="n">
        <x:f>SQRT((C52-C51)^2+(D52-D51)^2+(E52-E51)^2)</x:f>
        <x:v>3.64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-2.24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-3.3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-3.3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5.694</x:v>
      </x:c>
      <x:c r="E56" s="11" t="n">
        <x:v>-3.3</x:v>
      </x:c>
      <x:c r="F56" s="11" t="n">
        <x:f>SQRT((C56-C55)^2+(D56-D55)^2+(E56-E55)^2)</x:f>
        <x:v>1.3639999999999999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5.694</x:v>
      </x:c>
      <x:c r="E57" s="11" t="n">
        <x:v>7.36</x:v>
      </x:c>
      <x:c r="F57" s="11" t="n">
        <x:f>SQRT((C57-C56)^2+(D57-D56)^2+(E57-E56)^2)</x:f>
        <x:v>10.66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5.694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1.346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5.694</x:v>
      </x:c>
      <x:c r="E66" s="11" t="n">
        <x:v>7.36</x:v>
      </x:c>
      <x:c r="F66" s="11" t="n">
        <x:f>SQRT((C66-C65)^2+(D66-D65)^2+(E66-E65)^2)</x:f>
        <x:v>1.346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14.475000000000001</x:v>
      </x:c>
      <x:c r="D67" s="11" t="n">
        <x:v>5.694</x:v>
      </x:c>
      <x:c r="E67" s="11" t="n">
        <x:v>7.36</x:v>
      </x:c>
      <x:c r="F67" s="11" t="n">
        <x:f>SQRT((C67-C66)^2+(D67-D66)^2+(E67-E66)^2)</x:f>
        <x:v>22.5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14.475000000000001</x:v>
      </x:c>
      <x:c r="D68" s="11" t="n">
        <x:v>5.694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14.475000000000001</x:v>
      </x:c>
      <x:c r="D69" s="11" t="n">
        <x:v>3.45</x:v>
      </x:c>
      <x:c r="E69" s="11" t="n">
        <x:v>7.36</x:v>
      </x:c>
      <x:c r="F69" s="11" t="n">
        <x:f>SQRT((C69-C68)^2+(D69-D68)^2+(E69-E68)^2)</x:f>
        <x:v>2.2439999999999998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14.475</x:v>
      </x:c>
      <x:c r="D70" s="11" t="n">
        <x:v>3.45</x:v>
      </x:c>
      <x:c r="E70" s="11" t="n">
        <x:v>7.07</x:v>
      </x:c>
      <x:c r="F70" s="11" t="n">
        <x:f>SQRT((C70-C69)^2+(D70-D69)^2+(E70-E69)^2)</x:f>
        <x:v>0.29000000000000004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18.975</x:v>
      </x:c>
      <x:c r="D71" s="11" t="n">
        <x:v>5.694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18.975</x:v>
      </x:c>
      <x:c r="D72" s="11" t="n">
        <x:v>3.45</x:v>
      </x:c>
      <x:c r="E72" s="11" t="n">
        <x:v>7.36</x:v>
      </x:c>
      <x:c r="F72" s="11" t="n">
        <x:f>SQRT((C72-C71)^2+(D72-D71)^2+(E72-E71)^2)</x:f>
        <x:v>2.2439999999999998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18.975</x:v>
      </x:c>
      <x:c r="D73" s="11" t="n">
        <x:v>3.45</x:v>
      </x:c>
      <x:c r="E73" s="11" t="n">
        <x:v>7.07</x:v>
      </x:c>
      <x:c r="F73" s="11" t="n">
        <x:f>SQRT((C73-C72)^2+(D73-D72)^2+(E73-E72)^2)</x:f>
        <x:v>0.29000000000000004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23.475</x:v>
      </x:c>
      <x:c r="D74" s="11" t="n">
        <x:v>5.694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23.475</x:v>
      </x:c>
      <x:c r="D75" s="11" t="n">
        <x:v>3.45</x:v>
      </x:c>
      <x:c r="E75" s="11" t="n">
        <x:v>7.36</x:v>
      </x:c>
      <x:c r="F75" s="11" t="n">
        <x:f>SQRT((C75-C74)^2+(D75-D74)^2+(E75-E74)^2)</x:f>
        <x:v>2.2439999999999998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23.475</x:v>
      </x:c>
      <x:c r="D76" s="11" t="n">
        <x:v>3.45</x:v>
      </x:c>
      <x:c r="E76" s="11" t="n">
        <x:v>7.07</x:v>
      </x:c>
      <x:c r="F76" s="11" t="n">
        <x:f>SQRT((C76-C75)^2+(D76-D75)^2+(E76-E75)^2)</x:f>
        <x:v>0.29000000000000004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27.975</x:v>
      </x:c>
      <x:c r="D77" s="11" t="n">
        <x:v>5.694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27.975</x:v>
      </x:c>
      <x:c r="D78" s="11" t="n">
        <x:v>3.45</x:v>
      </x:c>
      <x:c r="E78" s="11" t="n">
        <x:v>7.36</x:v>
      </x:c>
      <x:c r="F78" s="11" t="n">
        <x:f>SQRT((C78-C77)^2+(D78-D77)^2+(E78-E77)^2)</x:f>
        <x:v>2.2439999999999998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27.975</x:v>
      </x:c>
      <x:c r="D79" s="11" t="n">
        <x:v>3.45</x:v>
      </x:c>
      <x:c r="E79" s="11" t="n">
        <x:v>7.07</x:v>
      </x:c>
      <x:c r="F79" s="11" t="n">
        <x:f>SQRT((C79-C78)^2+(D79-D78)^2+(E79-E78)^2)</x:f>
        <x:v>0.29000000000000004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32.475</x:v>
      </x:c>
      <x:c r="D80" s="11" t="n">
        <x:v>5.694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32.475</x:v>
      </x:c>
      <x:c r="D81" s="11" t="n">
        <x:v>3.45</x:v>
      </x:c>
      <x:c r="E81" s="11" t="n">
        <x:v>7.36</x:v>
      </x:c>
      <x:c r="F81" s="11" t="n">
        <x:f>SQRT((C81-C80)^2+(D81-D80)^2+(E81-E80)^2)</x:f>
        <x:v>2.2439999999999998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32.475</x:v>
      </x:c>
      <x:c r="D82" s="11" t="n">
        <x:v>3.45</x:v>
      </x:c>
      <x:c r="E82" s="11" t="n">
        <x:v>7.07</x:v>
      </x:c>
      <x:c r="F82" s="11" t="n">
        <x:f>SQRT((C82-C81)^2+(D82-D81)^2+(E82-E81)^2)</x:f>
        <x:v>0.29000000000000004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36.975</x:v>
      </x:c>
      <x:c r="D83" s="11" t="n">
        <x:v>5.694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36.975</x:v>
      </x:c>
      <x:c r="D84" s="11" t="n">
        <x:v>3.45</x:v>
      </x:c>
      <x:c r="E84" s="11" t="n">
        <x:v>7.36</x:v>
      </x:c>
      <x:c r="F84" s="11" t="n">
        <x:f>SQRT((C84-C83)^2+(D84-D83)^2+(E84-E83)^2)</x:f>
        <x:v>2.2439999999999998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36.975</x:v>
      </x:c>
      <x:c r="D85" s="11" t="n">
        <x:v>3.45</x:v>
      </x:c>
      <x:c r="E85" s="11" t="n">
        <x:v>7.07</x:v>
      </x:c>
      <x:c r="F85" s="11" t="n">
        <x:f>SQRT((C85-C84)^2+(D85-D84)^2+(E85-E84)^2)</x:f>
        <x:v>0.29000000000000004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-2.24</x:v>
      </x:c>
      <x:c r="F95" s="11" t="n">
        <x:f>SQRT((C95-C94)^2+(D95-D94)^2+(E95-E94)^2)</x:f>
        <x:v>3.64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-2.24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-3.3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-3.3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5.726</x:v>
      </x:c>
      <x:c r="E99" s="11" t="n">
        <x:v>-3.3</x:v>
      </x:c>
      <x:c r="F99" s="11" t="n">
        <x:f>SQRT((C99-C98)^2+(D99-D98)^2+(E99-E98)^2)</x:f>
        <x:v>1.396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5.726</x:v>
      </x:c>
      <x:c r="E100" s="11" t="n">
        <x:v>-7.36</x:v>
      </x:c>
      <x:c r="F100" s="11" t="n">
        <x:f>SQRT((C100-C99)^2+(D100-D99)^2+(E100-E99)^2)</x:f>
        <x:v>4.0600000000000005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5.726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1.314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5.726</x:v>
      </x:c>
      <x:c r="E109" s="11" t="n">
        <x:v>-7.36</x:v>
      </x:c>
      <x:c r="F109" s="11" t="n">
        <x:f>SQRT((C109-C108)^2+(D109-D108)^2+(E109-E108)^2)</x:f>
        <x:v>1.314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5.726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5.726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5.726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1.948024897171492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-2.24</x:v>
      </x:c>
      <x:c r="F119" s="11" t="n">
        <x:f>SQRT((C119-C118)^2+(D119-D118)^2+(E119-E118)^2)</x:f>
        <x:v>3.64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-2.24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-3.3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-3.3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5.726</x:v>
      </x:c>
      <x:c r="E123" s="11" t="n">
        <x:v>-3.3</x:v>
      </x:c>
      <x:c r="F123" s="11" t="n">
        <x:f>SQRT((C123-C122)^2+(D123-D122)^2+(E123-E122)^2)</x:f>
        <x:v>1.396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5.726</x:v>
      </x:c>
      <x:c r="E124" s="11" t="n">
        <x:v>7.36</x:v>
      </x:c>
      <x:c r="F124" s="11" t="n">
        <x:f>SQRT((C124-C123)^2+(D124-D123)^2+(E124-E123)^2)</x:f>
        <x:v>10.66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5.726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1.314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5.726</x:v>
      </x:c>
      <x:c r="E133" s="11" t="n">
        <x:v>7.36</x:v>
      </x:c>
      <x:c r="F133" s="11" t="n">
        <x:f>SQRT((C133-C132)^2+(D133-D132)^2+(E133-E132)^2)</x:f>
        <x:v>1.314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5.726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5.726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5.726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1.948024897171492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-2.24</x:v>
      </x:c>
      <x:c r="F143" s="11" t="n">
        <x:f>SQRT((C143-C142)^2+(D143-D142)^2+(E143-E142)^2)</x:f>
        <x:v>3.64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-2.24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-3.3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-3.3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5.702</x:v>
      </x:c>
      <x:c r="E147" s="11" t="n">
        <x:v>-3.3</x:v>
      </x:c>
      <x:c r="F147" s="11" t="n">
        <x:f>SQRT((C147-C146)^2+(D147-D146)^2+(E147-E146)^2)</x:f>
        <x:v>1.3719999999999999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5.702</x:v>
      </x:c>
      <x:c r="E148" s="11" t="n">
        <x:v>-7.36</x:v>
      </x:c>
      <x:c r="F148" s="11" t="n">
        <x:f>SQRT((C148-C147)^2+(D148-D147)^2+(E148-E147)^2)</x:f>
        <x:v>4.0600000000000005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5.702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1.338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5.702</x:v>
      </x:c>
      <x:c r="E157" s="11" t="n">
        <x:v>-7.36</x:v>
      </x:c>
      <x:c r="F157" s="11" t="n">
        <x:f>SQRT((C157-C156)^2+(D157-D156)^2+(E157-E156)^2)</x:f>
        <x:v>1.338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5.702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5.702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1.338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5.702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1.338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-2.24</x:v>
      </x:c>
      <x:c r="F173" s="11" t="n">
        <x:f>SQRT((C173-C172)^2+(D173-D172)^2+(E173-E172)^2)</x:f>
        <x:v>3.64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-2.24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-3.3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-3.3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5.702</x:v>
      </x:c>
      <x:c r="E177" s="11" t="n">
        <x:v>-3.3</x:v>
      </x:c>
      <x:c r="F177" s="11" t="n">
        <x:f>SQRT((C177-C176)^2+(D177-D176)^2+(E177-E176)^2)</x:f>
        <x:v>1.3719999999999999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5.702</x:v>
      </x:c>
      <x:c r="E178" s="11" t="n">
        <x:v>7.36</x:v>
      </x:c>
      <x:c r="F178" s="11" t="n">
        <x:f>SQRT((C178-C177)^2+(D178-D177)^2+(E178-E177)^2)</x:f>
        <x:v>10.66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5.702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1.338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5.702</x:v>
      </x:c>
      <x:c r="E187" s="11" t="n">
        <x:v>7.36</x:v>
      </x:c>
      <x:c r="F187" s="11" t="n">
        <x:f>SQRT((C187-C186)^2+(D187-D186)^2+(E187-E186)^2)</x:f>
        <x:v>1.338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5.702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5.702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1.338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5.702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1.338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-2.24</x:v>
      </x:c>
      <x:c r="F203" s="11" t="n">
        <x:f>SQRT((C203-C202)^2+(D203-D202)^2+(E203-E202)^2)</x:f>
        <x:v>3.64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-2.24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-3.3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-3.3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5.71</x:v>
      </x:c>
      <x:c r="E207" s="11" t="n">
        <x:v>-3.3</x:v>
      </x:c>
      <x:c r="F207" s="11" t="n">
        <x:f>SQRT((C207-C206)^2+(D207-D206)^2+(E207-E206)^2)</x:f>
        <x:v>1.38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5.71</x:v>
      </x:c>
      <x:c r="E208" s="11" t="n">
        <x:v>-7.36</x:v>
      </x:c>
      <x:c r="F208" s="11" t="n">
        <x:f>SQRT((C208-C207)^2+(D208-D207)^2+(E208-E207)^2)</x:f>
        <x:v>4.0600000000000005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5.71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1.33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5.71</x:v>
      </x:c>
      <x:c r="E217" s="11" t="n">
        <x:v>-7.36</x:v>
      </x:c>
      <x:c r="F217" s="11" t="n">
        <x:f>SQRT((C217-C216)^2+(D217-D216)^2+(E217-E216)^2)</x:f>
        <x:v>1.33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5.71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5.71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5.71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1.9400000000000004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5.71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1.9400000000000004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5.71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1.33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5.71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1.33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-2.24</x:v>
      </x:c>
      <x:c r="F250" s="11" t="n">
        <x:f>SQRT((C250-C249)^2+(D250-D249)^2+(E250-E249)^2)</x:f>
        <x:v>3.64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-2.24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-3.3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-3.3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5.71</x:v>
      </x:c>
      <x:c r="E254" s="11" t="n">
        <x:v>-3.3</x:v>
      </x:c>
      <x:c r="F254" s="11" t="n">
        <x:f>SQRT((C254-C253)^2+(D254-D253)^2+(E254-E253)^2)</x:f>
        <x:v>1.38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5.71</x:v>
      </x:c>
      <x:c r="E255" s="11" t="n">
        <x:v>7.36</x:v>
      </x:c>
      <x:c r="F255" s="11" t="n">
        <x:f>SQRT((C255-C254)^2+(D255-D254)^2+(E255-E254)^2)</x:f>
        <x:v>10.66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5.71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1.33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5.71</x:v>
      </x:c>
      <x:c r="E264" s="11" t="n">
        <x:v>7.36</x:v>
      </x:c>
      <x:c r="F264" s="11" t="n">
        <x:f>SQRT((C264-C263)^2+(D264-D263)^2+(E264-E263)^2)</x:f>
        <x:v>1.33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5.71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5.71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5.71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1.9400000000000004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5.71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1.9400000000000004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5.71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1.33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5.71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1.33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1.81</x:v>
      </x:c>
      <x:c r="E302" s="11" t="n">
        <x:v>-2.62</x:v>
      </x:c>
      <x:c r="F302" s="11" t="n">
        <x:f>SQRT((C302-C301)^2+(D302-D301)^2+(E302-E301)^2)</x:f>
        <x:v>1.78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1.7654037921880923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1.88</x:v>
      </x:c>
      <x:c r="E310" s="11" t="n">
        <x:v>0.45</x:v>
      </x:c>
      <x:c r="F310" s="11" t="n">
        <x:f>SQRT((C310-C309)^2+(D310-D309)^2+(E310-E309)^2)</x:f>
        <x:v>1.8499999999999999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97240a61f74444f9"/>
  </x:tableParts>
</x:worksheet>
</file>