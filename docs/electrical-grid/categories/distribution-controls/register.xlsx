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8aec149ab441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0087000d867c413e"/>
    <x:sheet xmlns:r="http://schemas.openxmlformats.org/officeDocument/2006/relationships" name="Equipment" sheetId="2" r:id="R6a0a775ddcd3470d"/>
    <x:sheet xmlns:r="http://schemas.openxmlformats.org/officeDocument/2006/relationships" name="Electrical Lines" sheetId="3" r:id="Ra029081685f44999"/>
    <x:sheet xmlns:r="http://schemas.openxmlformats.org/officeDocument/2006/relationships" name="Route Points" sheetId="4" r:id="Rd21c678df0554a9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c565169c4f4ca7" /><Relationship Type="http://schemas.openxmlformats.org/officeDocument/2006/relationships/theme" Target="/xl/theme/theme1.xml" Id="R472fce8893524eff" /><Relationship Type="http://schemas.openxmlformats.org/officeDocument/2006/relationships/sharedStrings" Target="/xl/sharedStrings.xml" Id="R560ffd0e7003488c" /><Relationship Type="http://schemas.openxmlformats.org/officeDocument/2006/relationships/worksheet" Target="/xl/worksheets/sheet1.xml" Id="R0087000d867c413e" /><Relationship Type="http://schemas.openxmlformats.org/officeDocument/2006/relationships/worksheet" Target="/xl/worksheets/sheet2.xml" Id="R6a0a775ddcd3470d" /><Relationship Type="http://schemas.openxmlformats.org/officeDocument/2006/relationships/worksheet" Target="/xl/worksheets/sheet3.xml" Id="Ra029081685f44999" /><Relationship Type="http://schemas.openxmlformats.org/officeDocument/2006/relationships/worksheet" Target="/xl/worksheets/sheet4.xml" Id="Rd21c678df0554a9b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1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b6e8c32bfd8467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d933ebd6fe74a2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3965d2dce2c452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 and their shared supply feeders. Model snapshot: 2026-10-07T12:10:03.268Z.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Lines'!$Y$7:$Y$10,"Current")</x:f>
        <x:v>4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Lines'!$Y$7:$Y$10,"Retired")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43d938ca7f8fb8bab04793528cf39b516a7cfa3e6f752cefca7203bfeafa0aac</x:v>
      </x:c>
    </x:row>
    <x:row r="15" ht="44" customHeight="1">
      <x:c r="A15" s="20" t="str">
        <x:v>Source systems SHA-256</x:v>
      </x:c>
      <x:c r="B15" s="16" t="str">
        <x:v>a162fc27119841a75190b0bc0153cc17495a8bc432ad574a535e8a6799eb9a3d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 and their shared supply feeders.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DB1</x:v>
      </x:c>
      <x:c r="B7" s="8" t="str">
        <x:v>DB-1 · Main board</x:v>
      </x:c>
      <x:c r="C7" s="8" t="str">
        <x:v>enclosure</x:v>
      </x:c>
      <x:c r="D7" s="8" t="str">
        <x:v>DB1</x:v>
      </x:c>
      <x:c r="E7" s="8"/>
      <x:c r="F7" s="11" t="n">
        <x:v>48.895</x:v>
      </x:c>
      <x:c r="G7" s="11" t="n">
        <x:v>1.75</x:v>
      </x:c>
      <x:c r="H7" s="11" t="n">
        <x:v>-1.55</x:v>
      </x:c>
      <x:c r="I7" s="8" t="str">
        <x:v>Model enclosure</x:v>
      </x:c>
      <x:c r="J7" s="8" t="str">
        <x:v>Shown</x:v>
      </x:c>
      <x:c r="K7" s="8" t="str">
        <x:v>n.a.</x:v>
      </x:c>
      <x:c r="L7" s="8" t="str">
        <x:v>200 × 1100 × 800</x:v>
      </x:c>
      <x:c r="M7" s="8" t="str">
        <x:v>Service room behind the altar · existing back-wall enclosure. Procedural enclosure; internal arrangement and hardware pending.</x:v>
      </x:c>
      <x:c r="N7" s="11"/>
      <x:c r="O7" s="11"/>
      <x:c r="P7" s="11"/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/>
      <x:c r="AC7" s="8"/>
    </x:row>
    <x:row r="8" ht="96" customHeight="1">
      <x:c r="A8" s="8" t="str">
        <x:v>DB2</x:v>
      </x:c>
      <x:c r="B8" s="8" t="str">
        <x:v>DB-2 · Towers &amp; entrance</x:v>
      </x:c>
      <x:c r="C8" s="8" t="str">
        <x:v>enclosure</x:v>
      </x:c>
      <x:c r="D8" s="8" t="str">
        <x:v>DB2</x:v>
      </x:c>
      <x:c r="E8" s="8"/>
      <x:c r="F8" s="11" t="n">
        <x:v>2.73</x:v>
      </x:c>
      <x:c r="G8" s="11" t="n">
        <x:v>1.5</x:v>
      </x:c>
      <x:c r="H8" s="11" t="n">
        <x:v>-3.3</x:v>
      </x:c>
      <x:c r="I8" s="8" t="str">
        <x:v>Model enclosure</x:v>
      </x:c>
      <x:c r="J8" s="8" t="str">
        <x:v>Shown</x:v>
      </x:c>
      <x:c r="K8" s="8" t="str">
        <x:v>n.a.</x:v>
      </x:c>
      <x:c r="L8" s="8" t="str">
        <x:v>160 × 620 × 460</x:v>
      </x:c>
      <x:c r="M8" s="8" t="str">
        <x:v>Inside the main doors, left of the main door. Procedural enclosure; internal arrangement and hardware pending.</x:v>
      </x:c>
      <x:c r="N8" s="11"/>
      <x:c r="O8" s="11"/>
      <x:c r="P8" s="11"/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/>
      <x:c r="AC8" s="8"/>
    </x:row>
    <x:row r="9" ht="96" customHeight="1">
      <x:c r="A9" s="8" t="str">
        <x:v>LC1</x:v>
      </x:c>
      <x:c r="B9" s="8" t="str">
        <x:v>LC-1 · Lighting &amp; scene controls</x:v>
      </x:c>
      <x:c r="C9" s="8" t="str">
        <x:v>enclosure</x:v>
      </x:c>
      <x:c r="D9" s="8" t="str">
        <x:v>DB1</x:v>
      </x:c>
      <x:c r="E9" s="8"/>
      <x:c r="F9" s="11" t="n">
        <x:v>48.895</x:v>
      </x:c>
      <x:c r="G9" s="11" t="n">
        <x:v>1.85</x:v>
      </x:c>
      <x:c r="H9" s="11" t="n">
        <x:v>-0.55</x:v>
      </x:c>
      <x:c r="I9" s="8" t="str">
        <x:v>Model enclosure</x:v>
      </x:c>
      <x:c r="J9" s="8" t="str">
        <x:v>Shown</x:v>
      </x:c>
      <x:c r="K9" s="8" t="str">
        <x:v>n.a.</x:v>
      </x:c>
      <x:c r="L9" s="8" t="str">
        <x:v>200 × 900 × 800</x:v>
      </x:c>
      <x:c r="M9" s="8" t="str">
        <x:v>Existing service-room lighting enclosure. Procedural enclosure; internal arrangement and hardware pending.</x:v>
      </x:c>
      <x:c r="N9" s="11"/>
      <x:c r="O9" s="11"/>
      <x:c r="P9" s="11"/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/>
      <x:c r="AC9" s="8"/>
    </x:row>
    <x:row r="10" ht="96" customHeight="1">
      <x:c r="A10" s="8" t="str">
        <x:v>FC1</x:v>
      </x:c>
      <x:c r="B10" s="8" t="str">
        <x:v>FC-1 · Fan speed controls</x:v>
      </x:c>
      <x:c r="C10" s="8" t="str">
        <x:v>enclosure</x:v>
      </x:c>
      <x:c r="D10" s="8" t="str">
        <x:v>DB1</x:v>
      </x:c>
      <x:c r="E10" s="8"/>
      <x:c r="F10" s="11" t="n">
        <x:v>48.895</x:v>
      </x:c>
      <x:c r="G10" s="11" t="n">
        <x:v>1.95</x:v>
      </x:c>
      <x:c r="H10" s="11" t="n">
        <x:v>0.4</x:v>
      </x:c>
      <x:c r="I10" s="8" t="str">
        <x:v>Model enclosure</x:v>
      </x:c>
      <x:c r="J10" s="8" t="str">
        <x:v>Shown</x:v>
      </x:c>
      <x:c r="K10" s="8" t="str">
        <x:v>n.a.</x:v>
      </x:c>
      <x:c r="L10" s="8" t="str">
        <x:v>200 × 700 × 600</x:v>
      </x:c>
      <x:c r="M10" s="8" t="str">
        <x:v>Existing service-room fan enclosure. Procedural enclosure; internal arrangement and hardware pending.</x:v>
      </x:c>
      <x:c r="N10" s="11"/>
      <x:c r="O10" s="11"/>
      <x:c r="P10" s="11"/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/>
      <x:c r="AC10" s="8"/>
    </x:row>
    <x:row r="11" ht="96" customHeight="1">
      <x:c r="A11" s="8" t="str">
        <x:v>AV1</x:v>
      </x:c>
      <x:c r="B11" s="8" t="str">
        <x:v>AV-1 · Mixer / amplifier rack</x:v>
      </x:c>
      <x:c r="C11" s="8" t="str">
        <x:v>enclosure</x:v>
      </x:c>
      <x:c r="D11" s="8" t="str">
        <x:v>DB1</x:v>
      </x:c>
      <x:c r="E11" s="8"/>
      <x:c r="F11" s="11" t="n">
        <x:v>49.275</x:v>
      </x:c>
      <x:c r="G11" s="11" t="n">
        <x:v>0.95</x:v>
      </x:c>
      <x:c r="H11" s="11" t="n">
        <x:v>1.4</x:v>
      </x:c>
      <x:c r="I11" s="8" t="str">
        <x:v>Model enclosure</x:v>
      </x:c>
      <x:c r="J11" s="8" t="str">
        <x:v>Shown</x:v>
      </x:c>
      <x:c r="K11" s="8" t="str">
        <x:v>n.a.</x:v>
      </x:c>
      <x:c r="L11" s="8" t="str">
        <x:v>800 × 1600 × 620</x:v>
      </x:c>
      <x:c r="M11" s="8" t="str">
        <x:v>Existing service-room sound rack. Procedural enclosure; internal arrangement and hardware pending.</x:v>
      </x:c>
      <x:c r="N11" s="11"/>
      <x:c r="O11" s="11"/>
      <x:c r="P11" s="11"/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/>
      <x:c r="AC11" s="8"/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b6e8c32bfd8467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Points'!$A$7:$A$47,A7,'Route Points'!$F$7:$F$47)</x:f>
        <x:v>80.6831303111792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feeder:AV1</x:v>
      </x:c>
      <x:c r="B8" s="8" t="str">
        <x:v>DB-1 → AV1 equipment supply</x:v>
      </x:c>
      <x:c r="C8" s="8" t="str">
        <x:v>DB1</x:v>
      </x:c>
      <x:c r="D8" s="8" t="str"/>
      <x:c r="E8" s="8" t="str">
        <x:v>DB1</x:v>
      </x:c>
      <x:c r="F8" s="8" t="str">
        <x:v>AV1-SUPPLY</x:v>
      </x:c>
      <x:c r="G8" s="8" t="str">
        <x:v>feeder</x:v>
      </x:c>
      <x:c r="H8" s="8" t="str">
        <x:v>feeder</x:v>
      </x:c>
      <x:c r="I8" s="11" t="n">
        <x:f>SUMIF('Route Points'!$A$7:$A$47,A8,'Route Points'!$F$7:$F$47)</x:f>
        <x:v>5.790000000000003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Existing service-room wall tray / local equipment connection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feeder:LC1</x:v>
      </x:c>
      <x:c r="B9" s="8" t="str">
        <x:v>DB-1 → LC1 equipment supply</x:v>
      </x:c>
      <x:c r="C9" s="8" t="str">
        <x:v>DB1</x:v>
      </x:c>
      <x:c r="D9" s="8" t="str"/>
      <x:c r="E9" s="8" t="str">
        <x:v>DB1</x:v>
      </x:c>
      <x:c r="F9" s="8" t="str">
        <x:v>LC1-SUPPLY</x:v>
      </x:c>
      <x:c r="G9" s="8" t="str">
        <x:v>feeder</x:v>
      </x:c>
      <x:c r="H9" s="8" t="str">
        <x:v>feeder</x:v>
      </x:c>
      <x:c r="I9" s="11" t="n">
        <x:f>SUMIF('Route Points'!$A$7:$A$47,A9,'Route Points'!$F$7:$F$47)</x:f>
        <x:v>2.560000000000007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feeder:FC1</x:v>
      </x:c>
      <x:c r="B10" s="8" t="str">
        <x:v>DB-1 → FC1 equipment supply</x:v>
      </x:c>
      <x:c r="C10" s="8" t="str">
        <x:v>DB1</x:v>
      </x:c>
      <x:c r="D10" s="8" t="str"/>
      <x:c r="E10" s="8" t="str">
        <x:v>DB1</x:v>
      </x:c>
      <x:c r="F10" s="8" t="str">
        <x:v>FC1-SUPPLY</x:v>
      </x:c>
      <x:c r="G10" s="8" t="str">
        <x:v>feeder</x:v>
      </x:c>
      <x:c r="H10" s="8" t="str">
        <x:v>feeder</x:v>
      </x:c>
      <x:c r="I10" s="11" t="n">
        <x:f>SUMIF('Route Points'!$A$7:$A$47,A10,'Route Points'!$F$7:$F$47)</x:f>
        <x:v>3.4100000000000072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</x:sheetData>
  <x:conditionalFormatting sqref="Y7:Y10">
    <x:cfRule type="containsText" dxfId="1" priority="1" operator="containsText" text="Retired"/>
  </x:conditionalFormatting>
  <x:dataValidations count="3">
    <x:dataValidation type="decimal" operator="greaterThanOrEqual" sqref="M7:M10">
      <x:formula1>0</x:formula1>
    </x:dataValidation>
    <x:dataValidation type="decimal" operator="greaterThanOrEqual" sqref="R7:R10">
      <x:formula1>0</x:formula1>
    </x:dataValidation>
    <x:dataValidation type="decimal" operator="greaterThanOrEqual" sqref="S7:S1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933ebd6fe74a2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-3.3</x:v>
      </x:c>
      <x:c r="F27" s="11" t="n">
        <x:f>SQRT((C27-C26)^2+(D27-D26)^2+(E27-E26)^2)</x:f>
        <x:v>4.0600000000000005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-3.3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2.73</x:v>
      </x:c>
      <x:c r="D29" s="11" t="n">
        <x:v>1.5</x:v>
      </x:c>
      <x:c r="E29" s="11" t="n">
        <x:v>-3.3</x:v>
      </x:c>
      <x:c r="F29" s="11" t="n">
        <x:f>SQRT((C29-C28)^2+(D29-D28)^2+(E29-E28)^2)</x:f>
        <x:v>0.3799999999999999</x:v>
      </x:c>
      <x:c r="G29" s="8" t="str">
        <x:v>Current</x:v>
      </x:c>
    </x:row>
    <x:row r="30" ht="32" customHeight="1">
      <x:c r="A30" s="8" t="str">
        <x:v>feeder:AV1</x:v>
      </x:c>
      <x:c r="B30" s="8" t="n">
        <x:v>1</x:v>
      </x:c>
      <x:c r="C30" s="11" t="n">
        <x:v>48.895</x:v>
      </x:c>
      <x:c r="D30" s="11" t="n">
        <x:v>1.75</x:v>
      </x:c>
      <x:c r="E30" s="11" t="n">
        <x:v>-1.55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feeder:AV1</x:v>
      </x:c>
      <x:c r="B31" s="8" t="n">
        <x:v>2</x:v>
      </x:c>
      <x:c r="C31" s="11" t="n">
        <x:v>48.735</x:v>
      </x:c>
      <x:c r="D31" s="11" t="n">
        <x:v>1.75</x:v>
      </x:c>
      <x:c r="E31" s="11" t="n">
        <x:v>-1.55</x:v>
      </x:c>
      <x:c r="F31" s="11" t="n">
        <x:f>SQRT((C31-C30)^2+(D31-D30)^2+(E31-E30)^2)</x:f>
        <x:v>0.1600000000000037</x:v>
      </x:c>
      <x:c r="G31" s="8" t="str">
        <x:v>Current</x:v>
      </x:c>
    </x:row>
    <x:row r="32" ht="32" customHeight="1">
      <x:c r="A32" s="8" t="str">
        <x:v>feeder:AV1</x:v>
      </x:c>
      <x:c r="B32" s="8" t="n">
        <x:v>3</x:v>
      </x:c>
      <x:c r="C32" s="11" t="n">
        <x:v>48.735</x:v>
      </x:c>
      <x:c r="D32" s="11" t="n">
        <x:v>2.42</x:v>
      </x:c>
      <x:c r="E32" s="11" t="n">
        <x:v>-1.55</x:v>
      </x:c>
      <x:c r="F32" s="11" t="n">
        <x:f>SQRT((C32-C31)^2+(D32-D31)^2+(E32-E31)^2)</x:f>
        <x:v>0.6699999999999999</x:v>
      </x:c>
      <x:c r="G32" s="8" t="str">
        <x:v>Current</x:v>
      </x:c>
    </x:row>
    <x:row r="33" ht="32" customHeight="1">
      <x:c r="A33" s="8" t="str">
        <x:v>feeder:AV1</x:v>
      </x:c>
      <x:c r="B33" s="8" t="n">
        <x:v>4</x:v>
      </x:c>
      <x:c r="C33" s="11" t="n">
        <x:v>48.735</x:v>
      </x:c>
      <x:c r="D33" s="11" t="n">
        <x:v>2.42</x:v>
      </x:c>
      <x:c r="E33" s="11" t="n">
        <x:v>1.4</x:v>
      </x:c>
      <x:c r="F33" s="11" t="n">
        <x:f>SQRT((C33-C32)^2+(D33-D32)^2+(E33-E32)^2)</x:f>
        <x:v>2.95</x:v>
      </x:c>
      <x:c r="G33" s="8" t="str">
        <x:v>Current</x:v>
      </x:c>
    </x:row>
    <x:row r="34" ht="32" customHeight="1">
      <x:c r="A34" s="8" t="str">
        <x:v>feeder:AV1</x:v>
      </x:c>
      <x:c r="B34" s="8" t="n">
        <x:v>5</x:v>
      </x:c>
      <x:c r="C34" s="11" t="n">
        <x:v>48.735</x:v>
      </x:c>
      <x:c r="D34" s="11" t="n">
        <x:v>0.95</x:v>
      </x:c>
      <x:c r="E34" s="11" t="n">
        <x:v>1.4</x:v>
      </x:c>
      <x:c r="F34" s="11" t="n">
        <x:f>SQRT((C34-C33)^2+(D34-D33)^2+(E34-E33)^2)</x:f>
        <x:v>1.47</x:v>
      </x:c>
      <x:c r="G34" s="8" t="str">
        <x:v>Current</x:v>
      </x:c>
    </x:row>
    <x:row r="35" ht="32" customHeight="1">
      <x:c r="A35" s="8" t="str">
        <x:v>feeder:AV1</x:v>
      </x:c>
      <x:c r="B35" s="8" t="n">
        <x:v>6</x:v>
      </x:c>
      <x:c r="C35" s="11" t="n">
        <x:v>49.275</x:v>
      </x:c>
      <x:c r="D35" s="11" t="n">
        <x:v>0.95</x:v>
      </x:c>
      <x:c r="E35" s="11" t="n">
        <x:v>1.4</x:v>
      </x:c>
      <x:c r="F35" s="11" t="n">
        <x:f>SQRT((C35-C34)^2+(D35-D34)^2+(E35-E34)^2)</x:f>
        <x:v>0.5399999999999991</x:v>
      </x:c>
      <x:c r="G35" s="8" t="str">
        <x:v>Current</x:v>
      </x:c>
    </x:row>
    <x:row r="36" ht="32" customHeight="1">
      <x:c r="A36" s="8" t="str">
        <x:v>feeder:LC1</x:v>
      </x:c>
      <x:c r="B36" s="8" t="n">
        <x:v>1</x:v>
      </x:c>
      <x:c r="C36" s="11" t="n">
        <x:v>48.895</x:v>
      </x:c>
      <x:c r="D36" s="11" t="n">
        <x:v>1.75</x:v>
      </x:c>
      <x:c r="E36" s="11" t="n">
        <x:v>-1.55</x:v>
      </x:c>
      <x:c r="F36" s="11" t="n">
        <x:f>0</x:f>
        <x:v>0</x:v>
      </x:c>
      <x:c r="G36" s="8" t="str">
        <x:v>Current</x:v>
      </x:c>
    </x:row>
    <x:row r="37" ht="32" customHeight="1">
      <x:c r="A37" s="8" t="str">
        <x:v>feeder:LC1</x:v>
      </x:c>
      <x:c r="B37" s="8" t="n">
        <x:v>2</x:v>
      </x:c>
      <x:c r="C37" s="11" t="n">
        <x:v>48.735</x:v>
      </x:c>
      <x:c r="D37" s="11" t="n">
        <x:v>1.75</x:v>
      </x:c>
      <x:c r="E37" s="11" t="n">
        <x:v>-1.55</x:v>
      </x:c>
      <x:c r="F37" s="11" t="n">
        <x:f>SQRT((C37-C36)^2+(D37-D36)^2+(E37-E36)^2)</x:f>
        <x:v>0.1600000000000037</x:v>
      </x:c>
      <x:c r="G37" s="8" t="str">
        <x:v>Current</x:v>
      </x:c>
    </x:row>
    <x:row r="38" ht="32" customHeight="1">
      <x:c r="A38" s="8" t="str">
        <x:v>feeder:LC1</x:v>
      </x:c>
      <x:c r="B38" s="8" t="n">
        <x:v>3</x:v>
      </x:c>
      <x:c r="C38" s="11" t="n">
        <x:v>48.735</x:v>
      </x:c>
      <x:c r="D38" s="11" t="n">
        <x:v>2.42</x:v>
      </x:c>
      <x:c r="E38" s="11" t="n">
        <x:v>-1.55</x:v>
      </x:c>
      <x:c r="F38" s="11" t="n">
        <x:f>SQRT((C38-C37)^2+(D38-D37)^2+(E38-E37)^2)</x:f>
        <x:v>0.6699999999999999</x:v>
      </x:c>
      <x:c r="G38" s="8" t="str">
        <x:v>Current</x:v>
      </x:c>
    </x:row>
    <x:row r="39" ht="32" customHeight="1">
      <x:c r="A39" s="8" t="str">
        <x:v>feeder:LC1</x:v>
      </x:c>
      <x:c r="B39" s="8" t="n">
        <x:v>4</x:v>
      </x:c>
      <x:c r="C39" s="11" t="n">
        <x:v>48.735</x:v>
      </x:c>
      <x:c r="D39" s="11" t="n">
        <x:v>2.42</x:v>
      </x:c>
      <x:c r="E39" s="11" t="n">
        <x:v>-0.55</x:v>
      </x:c>
      <x:c r="F39" s="11" t="n">
        <x:f>SQRT((C39-C38)^2+(D39-D38)^2+(E39-E38)^2)</x:f>
        <x:v>1</x:v>
      </x:c>
      <x:c r="G39" s="8" t="str">
        <x:v>Current</x:v>
      </x:c>
    </x:row>
    <x:row r="40" ht="32" customHeight="1">
      <x:c r="A40" s="8" t="str">
        <x:v>feeder:LC1</x:v>
      </x:c>
      <x:c r="B40" s="8" t="n">
        <x:v>5</x:v>
      </x:c>
      <x:c r="C40" s="11" t="n">
        <x:v>48.735</x:v>
      </x:c>
      <x:c r="D40" s="11" t="n">
        <x:v>1.85</x:v>
      </x:c>
      <x:c r="E40" s="11" t="n">
        <x:v>-0.55</x:v>
      </x:c>
      <x:c r="F40" s="11" t="n">
        <x:f>SQRT((C40-C39)^2+(D40-D39)^2+(E40-E39)^2)</x:f>
        <x:v>0.5699999999999998</x:v>
      </x:c>
      <x:c r="G40" s="8" t="str">
        <x:v>Current</x:v>
      </x:c>
    </x:row>
    <x:row r="41" ht="32" customHeight="1">
      <x:c r="A41" s="8" t="str">
        <x:v>feeder:LC1</x:v>
      </x:c>
      <x:c r="B41" s="8" t="n">
        <x:v>6</x:v>
      </x:c>
      <x:c r="C41" s="11" t="n">
        <x:v>48.895</x:v>
      </x:c>
      <x:c r="D41" s="11" t="n">
        <x:v>1.85</x:v>
      </x:c>
      <x:c r="E41" s="11" t="n">
        <x:v>-0.55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feeder:FC1</x:v>
      </x:c>
      <x:c r="B42" s="8" t="n">
        <x:v>1</x:v>
      </x:c>
      <x:c r="C42" s="11" t="n">
        <x:v>48.895</x:v>
      </x:c>
      <x:c r="D42" s="11" t="n">
        <x:v>1.75</x:v>
      </x:c>
      <x:c r="E42" s="11" t="n">
        <x:v>-1.55</x:v>
      </x:c>
      <x:c r="F42" s="11" t="n">
        <x:f>0</x:f>
        <x:v>0</x:v>
      </x:c>
      <x:c r="G42" s="8" t="str">
        <x:v>Current</x:v>
      </x:c>
    </x:row>
    <x:row r="43" ht="32" customHeight="1">
      <x:c r="A43" s="8" t="str">
        <x:v>feeder:FC1</x:v>
      </x:c>
      <x:c r="B43" s="8" t="n">
        <x:v>2</x:v>
      </x:c>
      <x:c r="C43" s="11" t="n">
        <x:v>48.735</x:v>
      </x:c>
      <x:c r="D43" s="11" t="n">
        <x:v>1.75</x:v>
      </x:c>
      <x:c r="E43" s="11" t="n">
        <x:v>-1.55</x:v>
      </x:c>
      <x:c r="F43" s="11" t="n">
        <x:f>SQRT((C43-C42)^2+(D43-D42)^2+(E43-E42)^2)</x:f>
        <x:v>0.1600000000000037</x:v>
      </x:c>
      <x:c r="G43" s="8" t="str">
        <x:v>Current</x:v>
      </x:c>
    </x:row>
    <x:row r="44" ht="32" customHeight="1">
      <x:c r="A44" s="8" t="str">
        <x:v>feeder:FC1</x:v>
      </x:c>
      <x:c r="B44" s="8" t="n">
        <x:v>3</x:v>
      </x:c>
      <x:c r="C44" s="11" t="n">
        <x:v>48.735</x:v>
      </x:c>
      <x:c r="D44" s="11" t="n">
        <x:v>2.42</x:v>
      </x:c>
      <x:c r="E44" s="11" t="n">
        <x:v>-1.55</x:v>
      </x:c>
      <x:c r="F44" s="11" t="n">
        <x:f>SQRT((C44-C43)^2+(D44-D43)^2+(E44-E43)^2)</x:f>
        <x:v>0.6699999999999999</x:v>
      </x:c>
      <x:c r="G44" s="8" t="str">
        <x:v>Current</x:v>
      </x:c>
    </x:row>
    <x:row r="45" ht="32" customHeight="1">
      <x:c r="A45" s="8" t="str">
        <x:v>feeder:FC1</x:v>
      </x:c>
      <x:c r="B45" s="8" t="n">
        <x:v>4</x:v>
      </x:c>
      <x:c r="C45" s="11" t="n">
        <x:v>48.735</x:v>
      </x:c>
      <x:c r="D45" s="11" t="n">
        <x:v>2.42</x:v>
      </x:c>
      <x:c r="E45" s="11" t="n">
        <x:v>0.4</x:v>
      </x:c>
      <x:c r="F45" s="11" t="n">
        <x:f>SQRT((C45-C44)^2+(D45-D44)^2+(E45-E44)^2)</x:f>
        <x:v>1.9500000000000002</x:v>
      </x:c>
      <x:c r="G45" s="8" t="str">
        <x:v>Current</x:v>
      </x:c>
    </x:row>
    <x:row r="46" ht="32" customHeight="1">
      <x:c r="A46" s="8" t="str">
        <x:v>feeder:FC1</x:v>
      </x:c>
      <x:c r="B46" s="8" t="n">
        <x:v>5</x:v>
      </x:c>
      <x:c r="C46" s="11" t="n">
        <x:v>48.735</x:v>
      </x:c>
      <x:c r="D46" s="11" t="n">
        <x:v>1.95</x:v>
      </x:c>
      <x:c r="E46" s="11" t="n">
        <x:v>0.4</x:v>
      </x:c>
      <x:c r="F46" s="11" t="n">
        <x:f>SQRT((C46-C45)^2+(D46-D45)^2+(E46-E45)^2)</x:f>
        <x:v>0.47</x:v>
      </x:c>
      <x:c r="G46" s="8" t="str">
        <x:v>Current</x:v>
      </x:c>
    </x:row>
    <x:row r="47" ht="32" customHeight="1">
      <x:c r="A47" s="8" t="str">
        <x:v>feeder:FC1</x:v>
      </x:c>
      <x:c r="B47" s="8" t="n">
        <x:v>6</x:v>
      </x:c>
      <x:c r="C47" s="11" t="n">
        <x:v>48.895</x:v>
      </x:c>
      <x:c r="D47" s="11" t="n">
        <x:v>1.95</x:v>
      </x:c>
      <x:c r="E47" s="11" t="n">
        <x:v>0.4</x:v>
      </x:c>
      <x:c r="F47" s="11" t="n">
        <x:f>SQRT((C47-C46)^2+(D47-D46)^2+(E47-E46)^2)</x:f>
        <x:v>0.1600000000000037</x:v>
      </x:c>
      <x:c r="G47" s="8" t="str">
        <x:v>Current</x:v>
      </x:c>
    </x:row>
  </x:sheetData>
  <x:conditionalFormatting sqref="G7:G4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83965d2dce2c4527"/>
  </x:tableParts>
</x:worksheet>
</file>