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252d82769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736127e9636448c"/>
    <x:sheet xmlns:r="http://schemas.openxmlformats.org/officeDocument/2006/relationships" name="Equipment" sheetId="2" r:id="R6a0ade9927694622"/>
    <x:sheet xmlns:r="http://schemas.openxmlformats.org/officeDocument/2006/relationships" name="Electrical Lines" sheetId="3" r:id="R6aad6ea7cede406b"/>
    <x:sheet xmlns:r="http://schemas.openxmlformats.org/officeDocument/2006/relationships" name="Route Points" sheetId="4" r:id="Rddfeaf9d6ead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10"/>
      <x:color rgb="FF20383E"/>
      <x:name val="Arial"/>
    </x:font>
    <x:font>
      <x:b/>
      <x:sz val="16"/>
      <x:color rgb="FF173D46"/>
      <x:name val="Arial"/>
    </x:font>
    <x:font>
      <x:b/>
      <x:sz val="10"/>
      <x:color rgb="FFFFFFFF"/>
      <x:name val="Arial"/>
    </x:font>
    <x:font>
      <x:sz val="11"/>
      <x:color rgb="FF20383E"/>
      <x:name val="Arial"/>
    </x:font>
    <x:font>
      <x:b/>
      <x:sz val="11"/>
      <x:color rgb="FF20383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6"/>
      </x:patternFill>
    </x:fill>
    <x:fill>
      <x:patternFill patternType="solid">
        <x:fgColor rgb="FFFFF2CC"/>
      </x:patternFill>
    </x:fill>
    <x:fill>
      <x:patternFill patternType="solid">
        <x:fgColor rgb="FFF1F5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  <x:dxf>
      <x:font>
        <x:color rgb="FF52616B"/>
      </x:font>
      <x:fill>
        <x:patternFill patternType="solid">
          <x:bgColor rgb="FFE4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066018e894abc" /><Relationship Type="http://schemas.openxmlformats.org/officeDocument/2006/relationships/theme" Target="/xl/theme/theme1.xml" Id="R8450c8a2267546eb" /><Relationship Type="http://schemas.openxmlformats.org/officeDocument/2006/relationships/sharedStrings" Target="/xl/sharedStrings.xml" Id="Rc74faa1787544960" /><Relationship Type="http://schemas.openxmlformats.org/officeDocument/2006/relationships/worksheet" Target="/xl/worksheets/sheet1.xml" Id="R8736127e9636448c" /><Relationship Type="http://schemas.openxmlformats.org/officeDocument/2006/relationships/worksheet" Target="/xl/worksheets/sheet2.xml" Id="R6a0ade9927694622" /><Relationship Type="http://schemas.openxmlformats.org/officeDocument/2006/relationships/worksheet" Target="/xl/worksheets/sheet3.xml" Id="R6aad6ea7cede406b" /><Relationship Type="http://schemas.openxmlformats.org/officeDocument/2006/relationships/worksheet" Target="/xl/worksheets/sheet4.xml" Id="Rddfeaf9d6ead4352" /></Relationships>
</file>

<file path=xl/tables/table1.xml><?xml version="1.0" encoding="utf-8"?>
<x:table xmlns:x="http://schemas.openxmlformats.org/spreadsheetml/2006/main" id="1" name="EquipmentRegister" displayName="EquipmentRegister" ref="A6:AC17" headerRowCount="1" totalsRowCount="0" totalsRowShown="0">
  <x:tableColumns count="29">
    <x:tableColumn id="1" name="Equipment ID"/>
    <x:tableColumn id="2" name="Name"/>
    <x:tableColumn id="3" name="Category"/>
    <x:tableColumn id="4" name="Board"/>
    <x:tableColumn id="5" name="Circuit"/>
    <x:tableColumn id="6" name="X (m)"/>
    <x:tableColumn id="7" name="Y (m)"/>
    <x:tableColumn id="8" name="Z (m)"/>
    <x:tableColumn id="9" name="Mount"/>
    <x:tableColumn id="10" name="Visibility"/>
    <x:tableColumn id="11" name="Command state"/>
    <x:tableColumn id="12" name="Model envelope (mm)"/>
    <x:tableColumn id="13" name="Planning specs"/>
    <x:tableColumn id="14" name="Rated estimate (W)"/>
    <x:tableColumn id="15" name="Yaw (deg)"/>
    <x:tableColumn id="16" name="Tilt (deg)"/>
    <x:tableColumn id="17" name="Manufacturer"/>
    <x:tableColumn id="18" name="Product model"/>
    <x:tableColumn id="19" name="Approved specs"/>
    <x:tableColumn id="20" name="Datasheet / approval"/>
    <x:tableColumn id="21" name="Manual control ID"/>
    <x:tableColumn id="22" name="Control group"/>
    <x:tableColumn id="23" name="Proposed X (m)"/>
    <x:tableColumn id="24" name="Proposed Y (m)"/>
    <x:tableColumn id="25" name="Proposed Z (m)"/>
    <x:tableColumn id="26" name="Engineering notes"/>
    <x:tableColumn id="27" name="Record state"/>
    <x:tableColumn id="28" name="Route IDs"/>
    <x:tableColumn id="29" name="Model paramet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ectricalLineRegister" displayName="ElectricalLineRegister" ref="A6:Z20" headerRowCount="1" totalsRowCount="0" totalsRowShown="0">
  <x:tableColumns count="26">
    <x:tableColumn id="1" name="Route ID"/>
    <x:tableColumn id="2" name="Name"/>
    <x:tableColumn id="3" name="Source ID"/>
    <x:tableColumn id="4" name="Destination IDs"/>
    <x:tableColumn id="5" name="Board"/>
    <x:tableColumn id="6" name="Circuit"/>
    <x:tableColumn id="7" name="Kind"/>
    <x:tableColumn id="8" name="Role"/>
    <x:tableColumn id="9" name="Route length (m)"/>
    <x:tableColumn id="10" name="Upstream length (m)"/>
    <x:tableColumn id="11" name="Full home run (m)"/>
    <x:tableColumn id="12" name="Length basis"/>
    <x:tableColumn id="13" name="Allowance (m)"/>
    <x:tableColumn id="14" name="Planned length (m)"/>
    <x:tableColumn id="15" name="Planning specification"/>
    <x:tableColumn id="16" name="Installation proposal"/>
    <x:tableColumn id="17" name="Cable designation"/>
    <x:tableColumn id="18" name="Core count"/>
    <x:tableColumn id="19" name="Cross-section (mm2)"/>
    <x:tableColumn id="20" name="Containment specification"/>
    <x:tableColumn id="21" name="Manufacturer / product"/>
    <x:tableColumn id="22" name="Control / terminal reference"/>
    <x:tableColumn id="23" name="Approval reference"/>
    <x:tableColumn id="24" name="Engineering notes"/>
    <x:tableColumn id="25" name="Record state"/>
    <x:tableColumn id="26" name="Trunk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uteVertexRegister" displayName="RouteVertexRegister" ref="A6:G111" headerRowCount="1" totalsRowCount="0" totalsRowShown="0">
  <x:tableColumns count="7">
    <x:tableColumn id="1" name="Route ID"/>
    <x:tableColumn id="2" name="Vertex"/>
    <x:tableColumn id="3" name="X (m)"/>
    <x:tableColumn id="4" name="Y (m)"/>
    <x:tableColumn id="5" name="Z (m)"/>
    <x:tableColumn id="6" name="Segment length (m)"/>
    <x:tableColumn id="7" name="Record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5eb13d84e747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3f1f1ee46849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5fa679387345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8" customHeight="1">
      <x:c r="A1" s="18" t="str">
        <x:v>Distribution and controls: equipment and electrical register</x:v>
      </x:c>
      <x:c r="B1" s="16"/>
    </x:row>
    <x:row r="2" ht="34" customHeight="1">
      <x:c r="A2" s="16"/>
      <x:c r="B2" s="16"/>
    </x:row>
    <x:row r="3" ht="34" customHeight="1">
      <x:c r="A3" s="20" t="str">
        <x:v>Purpose</x:v>
      </x:c>
      <x:c r="B3" s="16" t="str">
        <x:v>Manage equipment specifications, locations, stable IDs, control mapping and electrical-line specifications against one shared layout.</x:v>
      </x:c>
    </x:row>
    <x:row r="4" ht="64" customHeight="1">
      <x:c r="A4" s="20" t="str">
        <x:v>Baseline</x:v>
      </x:c>
      <x:c r="B4" s="16" t="str">
        <x:v>Distribution and controls. DB1, DB2, LC1, FC1 and AV1 enclosures, their shared supply feeders, and the socket-outlet circuits P1–P4. Model snapshot: 2026-10-24T16:44:17.712Z.</x:v>
      </x:c>
    </x:row>
    <x:row r="5" ht="34" customHeight="1">
      <x:c r="A5" s="20" t="str">
        <x:v>Current equipment</x:v>
      </x:c>
      <x:c r="B5" s="16" t="n">
        <x:f>COUNTIFS(Equipment!$AA$7:$AA$17,"Current")</x:f>
        <x:v>11</x:v>
      </x:c>
    </x:row>
    <x:row r="6" ht="34" customHeight="1">
      <x:c r="A6" s="20" t="str">
        <x:v>Current routes</x:v>
      </x:c>
      <x:c r="B6" s="16" t="n">
        <x:f>COUNTIFS('Electrical Lines'!$Y$7:$Y$20,"Current")</x:f>
        <x:v>14</x:v>
      </x:c>
    </x:row>
    <x:row r="7" ht="34" customHeight="1">
      <x:c r="A7" s="20" t="str">
        <x:v>Retired equipment / routes</x:v>
      </x:c>
      <x:c r="B7" s="16" t="n">
        <x:f>COUNTIFS(Equipment!$AA$7:$AA$17,"Retired")+COUNTIFS('Electrical Lines'!$Y$7:$Y$20,"Retired")</x:f>
        <x:v>0</x:v>
      </x:c>
    </x:row>
    <x:row r="8" ht="48" customHeight="1">
      <x:c r="A8" s="20" t="str">
        <x:v>Coordinates</x:v>
      </x:c>
      <x:c r="B8" s="16" t="str">
        <x:v>Metres: X toward sanctuary from axis 1; Y up from nave ±0.000; negative Z toward B, positive toward H.</x:v>
      </x:c>
    </x:row>
    <x:row r="9" ht="48" customHeight="1">
      <x:c r="A9" s="20" t="str">
        <x:v>Amber columns</x:v>
      </x:c>
      <x:c r="B9" s="16" t="str">
        <x:v>Editable engineering inputs. Approved products/specifications, control IDs, notes and cable allowances survive refresh by ID. Blank means pending.</x:v>
      </x:c>
    </x:row>
    <x:row r="10" ht="64" customHeight="1">
      <x:c r="A10" s="20" t="str">
        <x:v>Model columns</x:v>
      </x:c>
      <x:c r="B10" s="16" t="str">
        <x:v>Imported positions, IDs, planning specs and route vertices refresh from paired layout/systems exports. Use Proposed X/Y/Z for position revisions.</x:v>
      </x:c>
    </x:row>
    <x:row r="11" ht="64" customHeight="1">
      <x:c r="A11" s="20" t="str">
        <x:v>Position changes</x:v>
      </x:c>
      <x:c r="B11" s="16" t="str">
        <x:v>Enter all three Proposed coordinates; export a draft layout, import it in the viewer, check supports/aim/clearances, then export matching layout and systems JSON. Enclosures require a coordinated model-source change.</x:v>
      </x:c>
    </x:row>
    <x:row r="12" ht="64" customHeight="1">
      <x:c r="A12" s="20" t="str">
        <x:v>Line lengths</x:v>
      </x:c>
      <x:c r="B12" s="16" t="str">
        <x:v>Route length sums the ordered 3D segments. Full home-run length adds its upstream path once. Do not add shared bundles again; no procurement total is implied.</x:v>
      </x:c>
    </x:row>
    <x:row r="13" ht="34" customHeight="1">
      <x:c r="A13" s="20" t="str">
        <x:v>Specifications</x:v>
      </x:c>
      <x:c r="B13" s="16" t="str">
        <x:v>Catalogue values and procedural dimensions are planning proxies. Final cable type, core count, cross-section, containment and approvals remain blank until designed.</x:v>
      </x:c>
    </x:row>
    <x:row r="14" ht="44" customHeight="1">
      <x:c r="A14" s="20" t="str">
        <x:v>Source layout SHA-256</x:v>
      </x:c>
      <x:c r="B14" s="16" t="str">
        <x:v>c5d56493e89032b01436ecaed120866a09d5872d997065e2e10f3c09d0d21e41</x:v>
      </x:c>
    </x:row>
    <x:row r="15" ht="44" customHeight="1">
      <x:c r="A15" s="20" t="str">
        <x:v>Source systems SHA-256</x:v>
      </x:c>
      <x:c r="B15" s="16" t="str">
        <x:v>10d6d18e117107f62a3d3e48f08d9f8d9df9954b8ce3c3d85d06553452833a75</x:v>
      </x:c>
    </x:row>
    <x:row r="16" ht="34" customHeight="1">
      <x:c r="A16" s="20" t="str">
        <x:v>Layout version</x:v>
      </x:c>
      <x:c r="B16" s="16" t="str">
        <x:v>2026-10-16-tower-board; sanctuary 2026-10-07-sanctuary-8</x:v>
      </x:c>
    </x:row>
    <x:row r="17" ht="34" customHeight="1">
      <x:c r="A17" s="20" t="str">
        <x:v>Layout source</x:v>
      </x:c>
      <x:c r="B17" s="16" t="str">
        <x:v>docs/electrical-grid/equipment-layout.json</x:v>
      </x:c>
    </x:row>
    <x:row r="18" ht="34" customHeight="1">
      <x:c r="A18" s="20" t="str">
        <x:v>Systems source</x:v>
      </x:c>
      <x:c r="B18" s="16" t="str">
        <x:v>docs/electrical-grid/electrical-systems.json</x:v>
      </x:c>
    </x:row>
    <x:row r="19" ht="64" customHeight="1">
      <x:c r="A19" s="20" t="str">
        <x:v>Viewer</x:v>
      </x:c>
      <x:c r="B19" s="16" t="str">
        <x:v>Thach_Bi_Viewer/OPEN_CHURCH.html → Simulator → Wiring. Equipment IDs and route IDs match both the 2D and 3D views.</x:v>
      </x:c>
    </x:row>
    <x:row r="20" ht="64" customHeight="1">
      <x:c r="A20" s="20" t="str">
        <x:v>Refresh</x:v>
      </x:c>
      <x:c r="B20" s="16" t="str">
        <x:v>See docs/electrical-grid/register.md. Edit amber fields in the usage-category files. Refresh preserves their values by ID, retains retired records and updates the summary report.</x:v>
      </x:c>
    </x:row>
    <x:row r="21" ht="64" customHeight="1">
      <x:c r="A21" s="20" t="str">
        <x:v>Known limits</x:v>
      </x:c>
      <x:c r="B21" s="16" t="str">
        <x:v>Physical switching channels and cable specifications are pending. Current feedback, speech clarity and other design shortfalls remain open.</x:v>
      </x:c>
    </x:row>
    <x:row r="22" ht="64" customHeight="1">
      <x:c r="A22" s="20" t="str">
        <x:v>Scope</x:v>
      </x:c>
      <x:c r="B22" s="16" t="str">
        <x:v>DB1, DB2, LC1, FC1 and AV1 enclosures, their shared supply feeders, and the socket-outlet circuits P1–P4. Shared board sources are cross-references to the distribution-controls register; they are not duplicated here. Architectural fabric stays in the drawing specifications.</x:v>
      </x:c>
    </x:row>
    <x:row r="23" ht="64" customHeight="1">
      <x:c r="A23" s="20" t="str">
        <x:v>Release status</x:v>
      </x:c>
      <x:c r="B23" s="16" t="str">
        <x:v>Design development; not issued for purchasing, installation or construction.</x:v>
      </x:c>
    </x:row>
    <x:row r="24" ht="34" customHeight="1">
      <x:c r="A24" s="16"/>
      <x:c r="B24" s="16"/>
    </x:row>
    <x:row r="25" ht="34" customHeight="1">
      <x:c r="A25" s="16"/>
      <x:c r="B25" s="16"/>
    </x:row>
    <x:row r="26" ht="34" customHeight="1">
      <x:c r="A26" s="16"/>
      <x:c r="B26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7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6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64" hidden="0" customWidth="1"/>
    <x:col min="20" max="20" width="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58" hidden="0" customWidth="1"/>
    <x:col min="29" max="29" width="64" hidden="0" customWidth="1"/>
  </x:cols>
  <x:sheetData>
    <x:row r="1" ht="32" customHeight="1">
      <x:c r="A1" s="3" t="str">
        <x:v>Distribution and controls: equipment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32" customHeight="1">
      <x:c r="A3" s="2" t="str">
        <x:v>Current X/Y/Z use metres, Y up from nave datum. Use all three Proposed coordinates to prepare a layout revision.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44" customHeight="1">
      <x:c r="A6" s="7" t="str">
        <x:v>Equipment ID</x:v>
      </x:c>
      <x:c r="B6" s="7" t="str">
        <x:v>Name</x:v>
      </x:c>
      <x:c r="C6" s="7" t="str">
        <x:v>Category</x:v>
      </x:c>
      <x:c r="D6" s="7" t="str">
        <x:v>Board</x:v>
      </x:c>
      <x:c r="E6" s="7" t="str">
        <x:v>Circuit</x:v>
      </x:c>
      <x:c r="F6" s="7" t="str">
        <x:v>X (m)</x:v>
      </x:c>
      <x:c r="G6" s="7" t="str">
        <x:v>Y (m)</x:v>
      </x:c>
      <x:c r="H6" s="7" t="str">
        <x:v>Z (m)</x:v>
      </x:c>
      <x:c r="I6" s="7" t="str">
        <x:v>Mount</x:v>
      </x:c>
      <x:c r="J6" s="7" t="str">
        <x:v>Visibility</x:v>
      </x:c>
      <x:c r="K6" s="7" t="str">
        <x:v>Command state</x:v>
      </x:c>
      <x:c r="L6" s="7" t="str">
        <x:v>Model envelope (mm)</x:v>
      </x:c>
      <x:c r="M6" s="7" t="str">
        <x:v>Planning specs</x:v>
      </x:c>
      <x:c r="N6" s="7" t="str">
        <x:v>Rated estimate (W)</x:v>
      </x:c>
      <x:c r="O6" s="7" t="str">
        <x:v>Yaw (deg)</x:v>
      </x:c>
      <x:c r="P6" s="7" t="str">
        <x:v>Tilt (deg)</x:v>
      </x:c>
      <x:c r="Q6" s="7" t="str">
        <x:v>Manufacturer</x:v>
      </x:c>
      <x:c r="R6" s="7" t="str">
        <x:v>Product model</x:v>
      </x:c>
      <x:c r="S6" s="7" t="str">
        <x:v>Approved specs</x:v>
      </x:c>
      <x:c r="T6" s="7" t="str">
        <x:v>Datasheet / approval</x:v>
      </x:c>
      <x:c r="U6" s="7" t="str">
        <x:v>Manual control ID</x:v>
      </x:c>
      <x:c r="V6" s="7" t="str">
        <x:v>Control group</x:v>
      </x:c>
      <x:c r="W6" s="7" t="str">
        <x:v>Proposed X (m)</x:v>
      </x:c>
      <x:c r="X6" s="7" t="str">
        <x:v>Proposed Y (m)</x:v>
      </x:c>
      <x:c r="Y6" s="7" t="str">
        <x:v>Proposed Z (m)</x:v>
      </x:c>
      <x:c r="Z6" s="7" t="str">
        <x:v>Engineering notes</x:v>
      </x:c>
      <x:c r="AA6" s="7" t="str">
        <x:v>Record state</x:v>
      </x:c>
      <x:c r="AB6" s="7" t="str">
        <x:v>Route IDs</x:v>
      </x:c>
      <x:c r="AC6" s="7" t="str">
        <x:v>Model parameters</x:v>
      </x:c>
    </x:row>
    <x:row r="7" ht="96" customHeight="1">
      <x:c r="A7" s="8" t="str">
        <x:v>P-SANCT-B</x:v>
      </x:c>
      <x:c r="B7" s="8" t="str">
        <x:v>Socket · sanctuary side B · axis 10 pier</x:v>
      </x:c>
      <x:c r="C7" s="8" t="str">
        <x:v>power</x:v>
      </x:c>
      <x:c r="D7" s="8" t="str">
        <x:v>DB1</x:v>
      </x:c>
      <x:c r="E7" s="8" t="str">
        <x:v>P1</x:v>
      </x:c>
      <x:c r="F7" s="11" t="n">
        <x:v>43.89</x:v>
      </x:c>
      <x:c r="G7" s="11" t="n">
        <x:v>0.85</x:v>
      </x:c>
      <x:c r="H7" s="11" t="n">
        <x:v>-7.25</x:v>
      </x:c>
      <x:c r="I7" s="8" t="str">
        <x:v>wall</x:v>
      </x:c>
      <x:c r="J7" s="8" t="str">
        <x:v>Shown</x:v>
      </x:c>
      <x:c r="K7" s="8" t="str">
        <x:v>On</x:v>
      </x:c>
      <x:c r="L7" s="8" t="str">
        <x:v>18 × 86 × 146</x:v>
      </x:c>
      <x:c r="M7" s="8" t="str">
        <x:v>2 × 16 A 2P+E shuttered · 16 A circuit · 30 mA RCD (provisional) · IP20 indoor · 1656 W planning allowance, not a product load</x:v>
      </x:c>
      <x:c r="N7" s="11" t="n">
        <x:v>1656</x:v>
      </x:c>
      <x:c r="O7" s="11" t="n">
        <x:v>180</x:v>
      </x:c>
      <x:c r="P7" s="11" t="n">
        <x:v>0</x:v>
      </x:c>
      <x:c r="Q7" s="9"/>
      <x:c r="R7" s="9"/>
      <x:c r="S7" s="9"/>
      <x:c r="T7" s="9"/>
      <x:c r="U7" s="9"/>
      <x:c r="V7" s="9"/>
      <x:c r="W7" s="13"/>
      <x:c r="X7" s="13"/>
      <x:c r="Y7" s="13"/>
      <x:c r="Z7" s="9"/>
      <x:c r="AA7" s="8" t="str">
        <x:v>Current</x:v>
      </x:c>
      <x:c r="AB7" s="8" t="str">
        <x:v>drop:DB1:P1:power:-1:P-SANCT-B</x:v>
      </x:c>
      <x:c r="AC7" s="8" t="str">
        <x:v>{"loadW":0,"dim":1,"note":"CONCEPT: pier face toward the nave, 0.69 m above the side platform (+0.16) and 1.17 m above the wing floor. Surface or casing box; no chase into the structural pier. ENGINEERING HOLD."}</x:v>
      </x:c>
    </x:row>
    <x:row r="8" ht="96" customHeight="1">
      <x:c r="A8" s="8" t="str">
        <x:v>P-NAVE-B</x:v>
      </x:c>
      <x:c r="B8" s="8" t="str">
        <x:v>Socket · mid-nave side B · axis 6</x:v>
      </x:c>
      <x:c r="C8" s="8" t="str">
        <x:v>power</x:v>
      </x:c>
      <x:c r="D8" s="8" t="str">
        <x:v>DB1</x:v>
      </x:c>
      <x:c r="E8" s="8" t="str">
        <x:v>P1</x:v>
      </x:c>
      <x:c r="F8" s="11" t="n">
        <x:v>22.83</x:v>
      </x:c>
      <x:c r="G8" s="11" t="n">
        <x:v>0.45</x:v>
      </x:c>
      <x:c r="H8" s="11" t="n">
        <x:v>-7.25</x:v>
      </x:c>
      <x:c r="I8" s="8" t="str">
        <x:v>wall</x:v>
      </x:c>
      <x:c r="J8" s="8" t="str">
        <x:v>Shown</x:v>
      </x:c>
      <x:c r="K8" s="8" t="str">
        <x:v>On</x:v>
      </x:c>
      <x:c r="L8" s="8" t="str">
        <x:v>18 × 86 × 146</x:v>
      </x:c>
      <x:c r="M8" s="8" t="str">
        <x:v>2 × 16 A 2P+E shuttered · 16 A circuit · 30 mA RCD (provisional) · IP20 indoor · 1656 W planning allowance, not a product load</x:v>
      </x:c>
      <x:c r="N8" s="11" t="n">
        <x:v>1656</x:v>
      </x:c>
      <x:c r="O8" s="11" t="n">
        <x:v>90</x:v>
      </x:c>
      <x:c r="P8" s="11" t="n">
        <x:v>0</x:v>
      </x:c>
      <x:c r="Q8" s="9"/>
      <x:c r="R8" s="9"/>
      <x:c r="S8" s="9"/>
      <x:c r="T8" s="9"/>
      <x:c r="U8" s="9"/>
      <x:c r="V8" s="9"/>
      <x:c r="W8" s="13"/>
      <x:c r="X8" s="13"/>
      <x:c r="Y8" s="13"/>
      <x:c r="Z8" s="9"/>
      <x:c r="AA8" s="8" t="str">
        <x:v>Current</x:v>
      </x:c>
      <x:c r="AB8" s="8" t="str">
        <x:v>drop:DB1:P1:power:-1:P-NAVE-B</x:v>
      </x:c>
      <x:c r="AC8" s="8" t="str">
        <x:v>{"loadW":0,"dim":1,"note":"CONCEPT: masonry wall between the window and the axis-6 pier, 0.45 m above the nave floor, reached between the bench rows. Not in the structural pier. ENGINEERING HOLD."}</x:v>
      </x:c>
    </x:row>
    <x:row r="9" ht="96" customHeight="1">
      <x:c r="A9" s="8" t="str">
        <x:v>P-TOWER-B</x:v>
      </x:c>
      <x:c r="B9" s="8" t="str">
        <x:v>Event power · tower B · inside the porch</x:v>
      </x:c>
      <x:c r="C9" s="8" t="str">
        <x:v>power</x:v>
      </x:c>
      <x:c r="D9" s="8" t="str">
        <x:v>DB2</x:v>
      </x:c>
      <x:c r="E9" s="8" t="str">
        <x:v>P3</x:v>
      </x:c>
      <x:c r="F9" s="11" t="n">
        <x:v>0.45</x:v>
      </x:c>
      <x:c r="G9" s="11" t="n">
        <x:v>1.3</x:v>
      </x:c>
      <x:c r="H9" s="11" t="n">
        <x:v>-7.85</x:v>
      </x:c>
      <x:c r="I9" s="8" t="str">
        <x:v>wall</x:v>
      </x:c>
      <x:c r="J9" s="8" t="str">
        <x:v>Shown</x:v>
      </x:c>
      <x:c r="K9" s="8" t="str">
        <x:v>Off</x:v>
      </x:c>
      <x:c r="L9" s="8" t="str">
        <x:v>221 × 631 × 440</x:v>
      </x:c>
      <x:c r="M9" s="8" t="str">
        <x:v>1 × 32 A 2P+E industrial + 2 × 16 A · 32 A circuit · 30 mA RCD (provisional) · IP66 lockable (provisional) · 6624 W planning allowance, not a product load</x:v>
      </x:c>
      <x:c r="N9" s="11" t="n">
        <x:v>6624</x:v>
      </x:c>
      <x:c r="O9" s="11" t="n">
        <x:v>-90</x:v>
      </x:c>
      <x:c r="P9" s="11" t="n">
        <x:v>0</x:v>
      </x:c>
      <x:c r="Q9" s="9"/>
      <x:c r="R9" s="9"/>
      <x:c r="S9" s="9"/>
      <x:c r="T9" s="9"/>
      <x:c r="U9" s="9"/>
      <x:c r="V9" s="9"/>
      <x:c r="W9" s="13"/>
      <x:c r="X9" s="13"/>
      <x:c r="Y9" s="13"/>
      <x:c r="Z9" s="9"/>
      <x:c r="AA9" s="8" t="str">
        <x:v>Current</x:v>
      </x:c>
      <x:c r="AB9" s="8" t="str">
        <x:v>drop:DB2:P3:power:-1:P-TOWER-B</x:v>
      </x:c>
      <x:c r="AC9" s="8" t="str">
        <x:v>{"loadW":0,"dim":1,"note":"CONCEPT: inside the tower porch on the front pier, hidden from the front view, 1.3 m above the tower floor. Own 32 A circuit at DB-2, isolated outside events. Supply and feeder size on ENGINEERING HOL"}</x:v>
      </x:c>
    </x:row>
    <x:row r="10" ht="96" customHeight="1">
      <x:c r="A10" s="8" t="str">
        <x:v>P-SANCT-H</x:v>
      </x:c>
      <x:c r="B10" s="8" t="str">
        <x:v>Socket · sanctuary side H · axis 10 pier</x:v>
      </x:c>
      <x:c r="C10" s="8" t="str">
        <x:v>power</x:v>
      </x:c>
      <x:c r="D10" s="8" t="str">
        <x:v>DB1</x:v>
      </x:c>
      <x:c r="E10" s="8" t="str">
        <x:v>P2</x:v>
      </x:c>
      <x:c r="F10" s="11" t="n">
        <x:v>43.89</x:v>
      </x:c>
      <x:c r="G10" s="11" t="n">
        <x:v>0.85</x:v>
      </x:c>
      <x:c r="H10" s="11" t="n">
        <x:v>7.25</x:v>
      </x:c>
      <x:c r="I10" s="8" t="str">
        <x:v>wall</x:v>
      </x:c>
      <x:c r="J10" s="8" t="str">
        <x:v>Shown</x:v>
      </x:c>
      <x:c r="K10" s="8" t="str">
        <x:v>On</x:v>
      </x:c>
      <x:c r="L10" s="8" t="str">
        <x:v>18 × 86 × 146</x:v>
      </x:c>
      <x:c r="M10" s="8" t="str">
        <x:v>2 × 16 A 2P+E shuttered · 16 A circuit · 30 mA RCD (provisional) · IP20 indoor · 1656 W planning allowance, not a product load</x:v>
      </x:c>
      <x:c r="N10" s="11" t="n">
        <x:v>1656</x:v>
      </x:c>
      <x:c r="O10" s="11" t="n">
        <x:v>180</x:v>
      </x:c>
      <x:c r="P10" s="11" t="n">
        <x:v>0</x:v>
      </x:c>
      <x:c r="Q10" s="9"/>
      <x:c r="R10" s="9"/>
      <x:c r="S10" s="9"/>
      <x:c r="T10" s="9"/>
      <x:c r="U10" s="9"/>
      <x:c r="V10" s="9"/>
      <x:c r="W10" s="13"/>
      <x:c r="X10" s="13"/>
      <x:c r="Y10" s="13"/>
      <x:c r="Z10" s="9"/>
      <x:c r="AA10" s="8" t="str">
        <x:v>Current</x:v>
      </x:c>
      <x:c r="AB10" s="8" t="str">
        <x:v>drop:DB1:P2:power:1:P-SANCT-H</x:v>
      </x:c>
      <x:c r="AC10" s="8" t="str">
        <x:v>{"loadW":0,"dim":1,"note":"CONCEPT: pier face toward the nave, 0.69 m above the side platform (+0.16) and 1.17 m above the wing floor. Surface or casing box; no chase into the structural pier. ENGINEERING HOLD."}</x:v>
      </x:c>
    </x:row>
    <x:row r="11" ht="96" customHeight="1">
      <x:c r="A11" s="8" t="str">
        <x:v>P-NAVE-H</x:v>
      </x:c>
      <x:c r="B11" s="8" t="str">
        <x:v>Socket · mid-nave side H · axis 6</x:v>
      </x:c>
      <x:c r="C11" s="8" t="str">
        <x:v>power</x:v>
      </x:c>
      <x:c r="D11" s="8" t="str">
        <x:v>DB1</x:v>
      </x:c>
      <x:c r="E11" s="8" t="str">
        <x:v>P2</x:v>
      </x:c>
      <x:c r="F11" s="11" t="n">
        <x:v>22.83</x:v>
      </x:c>
      <x:c r="G11" s="11" t="n">
        <x:v>0.45</x:v>
      </x:c>
      <x:c r="H11" s="11" t="n">
        <x:v>7.25</x:v>
      </x:c>
      <x:c r="I11" s="8" t="str">
        <x:v>wall</x:v>
      </x:c>
      <x:c r="J11" s="8" t="str">
        <x:v>Shown</x:v>
      </x:c>
      <x:c r="K11" s="8" t="str">
        <x:v>On</x:v>
      </x:c>
      <x:c r="L11" s="8" t="str">
        <x:v>18 × 86 × 146</x:v>
      </x:c>
      <x:c r="M11" s="8" t="str">
        <x:v>2 × 16 A 2P+E shuttered · 16 A circuit · 30 mA RCD (provisional) · IP20 indoor · 1656 W planning allowance, not a product load</x:v>
      </x:c>
      <x:c r="N11" s="11" t="n">
        <x:v>1656</x:v>
      </x:c>
      <x:c r="O11" s="11" t="n">
        <x:v>-90</x:v>
      </x:c>
      <x:c r="P11" s="11" t="n">
        <x:v>0</x:v>
      </x:c>
      <x:c r="Q11" s="9"/>
      <x:c r="R11" s="9"/>
      <x:c r="S11" s="9"/>
      <x:c r="T11" s="9"/>
      <x:c r="U11" s="9"/>
      <x:c r="V11" s="9"/>
      <x:c r="W11" s="13"/>
      <x:c r="X11" s="13"/>
      <x:c r="Y11" s="13"/>
      <x:c r="Z11" s="9"/>
      <x:c r="AA11" s="8" t="str">
        <x:v>Current</x:v>
      </x:c>
      <x:c r="AB11" s="8" t="str">
        <x:v>drop:DB1:P2:power:1:P-NAVE-H</x:v>
      </x:c>
      <x:c r="AC11" s="8" t="str">
        <x:v>{"loadW":0,"dim":1,"note":"CONCEPT: masonry wall between the window and the axis-6 pier, 0.45 m above the nave floor, reached between the bench rows. Not in the structural pier. ENGINEERING HOLD."}</x:v>
      </x:c>
    </x:row>
    <x:row r="12" ht="96" customHeight="1">
      <x:c r="A12" s="8" t="str">
        <x:v>P-TOWER-H</x:v>
      </x:c>
      <x:c r="B12" s="8" t="str">
        <x:v>Event power · tower H · inside the porch</x:v>
      </x:c>
      <x:c r="C12" s="8" t="str">
        <x:v>power</x:v>
      </x:c>
      <x:c r="D12" s="8" t="str">
        <x:v>DB2</x:v>
      </x:c>
      <x:c r="E12" s="8" t="str">
        <x:v>P4</x:v>
      </x:c>
      <x:c r="F12" s="11" t="n">
        <x:v>0.45</x:v>
      </x:c>
      <x:c r="G12" s="11" t="n">
        <x:v>1.3</x:v>
      </x:c>
      <x:c r="H12" s="11" t="n">
        <x:v>7.85</x:v>
      </x:c>
      <x:c r="I12" s="8" t="str">
        <x:v>wall</x:v>
      </x:c>
      <x:c r="J12" s="8" t="str">
        <x:v>Shown</x:v>
      </x:c>
      <x:c r="K12" s="8" t="str">
        <x:v>Off</x:v>
      </x:c>
      <x:c r="L12" s="8" t="str">
        <x:v>221 × 631 × 440</x:v>
      </x:c>
      <x:c r="M12" s="8" t="str">
        <x:v>1 × 32 A 2P+E industrial + 2 × 16 A · 32 A circuit · 30 mA RCD (provisional) · IP66 lockable (provisional) · 6624 W planning allowance, not a product load</x:v>
      </x:c>
      <x:c r="N12" s="11" t="n">
        <x:v>6624</x:v>
      </x:c>
      <x:c r="O12" s="11" t="n">
        <x:v>90</x:v>
      </x:c>
      <x:c r="P12" s="11" t="n">
        <x:v>0</x:v>
      </x:c>
      <x:c r="Q12" s="9"/>
      <x:c r="R12" s="9"/>
      <x:c r="S12" s="9"/>
      <x:c r="T12" s="9"/>
      <x:c r="U12" s="9"/>
      <x:c r="V12" s="9"/>
      <x:c r="W12" s="13"/>
      <x:c r="X12" s="13"/>
      <x:c r="Y12" s="13"/>
      <x:c r="Z12" s="9"/>
      <x:c r="AA12" s="8" t="str">
        <x:v>Current</x:v>
      </x:c>
      <x:c r="AB12" s="8" t="str">
        <x:v>drop:DB2:P4:power:1:P-TOWER-H</x:v>
      </x:c>
      <x:c r="AC12" s="8" t="str">
        <x:v>{"loadW":0,"dim":1,"note":"CONCEPT: inside the tower porch on the front pier, hidden from the front view, 1.3 m above the tower floor. Own 32 A circuit at DB-2, isolated outside events. Supply and feeder size on ENGINEERING HOL"}</x:v>
      </x:c>
    </x:row>
    <x:row r="13" ht="96" customHeight="1">
      <x:c r="A13" s="8" t="str">
        <x:v>DB1</x:v>
      </x:c>
      <x:c r="B13" s="8" t="str">
        <x:v>DB-1 · Main board</x:v>
      </x:c>
      <x:c r="C13" s="8" t="str">
        <x:v>enclosure</x:v>
      </x:c>
      <x:c r="D13" s="8" t="str">
        <x:v>DB1</x:v>
      </x:c>
      <x:c r="E13" s="8"/>
      <x:c r="F13" s="11" t="n">
        <x:v>48.895</x:v>
      </x:c>
      <x:c r="G13" s="11" t="n">
        <x:v>1.75</x:v>
      </x:c>
      <x:c r="H13" s="11" t="n">
        <x:v>-1.55</x:v>
      </x:c>
      <x:c r="I13" s="8" t="str">
        <x:v>Model enclosure</x:v>
      </x:c>
      <x:c r="J13" s="8" t="str">
        <x:v>Shown</x:v>
      </x:c>
      <x:c r="K13" s="8" t="str">
        <x:v>n.a.</x:v>
      </x:c>
      <x:c r="L13" s="8" t="str">
        <x:v>200 × 1100 × 800</x:v>
      </x:c>
      <x:c r="M13" s="8" t="str">
        <x:v>Service room behind the altar · existing back-wall enclosure. Procedural enclosure; internal arrangement and hardware pending.</x:v>
      </x:c>
      <x:c r="N13" s="11"/>
      <x:c r="O13" s="11"/>
      <x:c r="P13" s="11"/>
      <x:c r="Q13" s="9"/>
      <x:c r="R13" s="9"/>
      <x:c r="S13" s="9"/>
      <x:c r="T13" s="9"/>
      <x:c r="U13" s="9"/>
      <x:c r="V13" s="9"/>
      <x:c r="W13" s="13"/>
      <x:c r="X13" s="13"/>
      <x:c r="Y13" s="13"/>
      <x:c r="Z13" s="9"/>
      <x:c r="AA13" s="8" t="str">
        <x:v>Current</x:v>
      </x:c>
      <x:c r="AB13" s="8"/>
      <x:c r="AC13" s="8"/>
    </x:row>
    <x:row r="14" ht="96" customHeight="1">
      <x:c r="A14" s="8" t="str">
        <x:v>DB2</x:v>
      </x:c>
      <x:c r="B14" s="8" t="str">
        <x:v>DB-2 · Towers &amp; entrance</x:v>
      </x:c>
      <x:c r="C14" s="8" t="str">
        <x:v>enclosure</x:v>
      </x:c>
      <x:c r="D14" s="8" t="str">
        <x:v>DB2</x:v>
      </x:c>
      <x:c r="E14" s="8"/>
      <x:c r="F14" s="11" t="n">
        <x:v>2.73</x:v>
      </x:c>
      <x:c r="G14" s="11" t="n">
        <x:v>1.5</x:v>
      </x:c>
      <x:c r="H14" s="11" t="n">
        <x:v>-3.3</x:v>
      </x:c>
      <x:c r="I14" s="8" t="str">
        <x:v>Model enclosure</x:v>
      </x:c>
      <x:c r="J14" s="8" t="str">
        <x:v>Shown</x:v>
      </x:c>
      <x:c r="K14" s="8" t="str">
        <x:v>n.a.</x:v>
      </x:c>
      <x:c r="L14" s="8" t="str">
        <x:v>160 × 620 × 460</x:v>
      </x:c>
      <x:c r="M14" s="8" t="str">
        <x:v>Inside the main doors, left of the main door. Procedural enclosure; internal arrangement and hardware pending.</x:v>
      </x:c>
      <x:c r="N14" s="11"/>
      <x:c r="O14" s="11"/>
      <x:c r="P14" s="11"/>
      <x:c r="Q14" s="9"/>
      <x:c r="R14" s="9"/>
      <x:c r="S14" s="9"/>
      <x:c r="T14" s="9"/>
      <x:c r="U14" s="9"/>
      <x:c r="V14" s="9"/>
      <x:c r="W14" s="13"/>
      <x:c r="X14" s="13"/>
      <x:c r="Y14" s="13"/>
      <x:c r="Z14" s="9"/>
      <x:c r="AA14" s="8" t="str">
        <x:v>Current</x:v>
      </x:c>
      <x:c r="AB14" s="8"/>
      <x:c r="AC14" s="8"/>
    </x:row>
    <x:row r="15" ht="96" customHeight="1">
      <x:c r="A15" s="8" t="str">
        <x:v>LC1</x:v>
      </x:c>
      <x:c r="B15" s="8" t="str">
        <x:v>LC-1 · Lighting &amp; scene controls</x:v>
      </x:c>
      <x:c r="C15" s="8" t="str">
        <x:v>enclosure</x:v>
      </x:c>
      <x:c r="D15" s="8" t="str">
        <x:v>DB1</x:v>
      </x:c>
      <x:c r="E15" s="8"/>
      <x:c r="F15" s="11" t="n">
        <x:v>48.895</x:v>
      </x:c>
      <x:c r="G15" s="11" t="n">
        <x:v>1.85</x:v>
      </x:c>
      <x:c r="H15" s="11" t="n">
        <x:v>-0.55</x:v>
      </x:c>
      <x:c r="I15" s="8" t="str">
        <x:v>Model enclosure</x:v>
      </x:c>
      <x:c r="J15" s="8" t="str">
        <x:v>Shown</x:v>
      </x:c>
      <x:c r="K15" s="8" t="str">
        <x:v>n.a.</x:v>
      </x:c>
      <x:c r="L15" s="8" t="str">
        <x:v>200 × 900 × 800</x:v>
      </x:c>
      <x:c r="M15" s="8" t="str">
        <x:v>Existing service-room lighting enclosure. Procedural enclosure; internal arrangement and hardware pending.</x:v>
      </x:c>
      <x:c r="N15" s="11"/>
      <x:c r="O15" s="11"/>
      <x:c r="P15" s="11"/>
      <x:c r="Q15" s="9"/>
      <x:c r="R15" s="9"/>
      <x:c r="S15" s="9"/>
      <x:c r="T15" s="9"/>
      <x:c r="U15" s="9"/>
      <x:c r="V15" s="9"/>
      <x:c r="W15" s="13"/>
      <x:c r="X15" s="13"/>
      <x:c r="Y15" s="13"/>
      <x:c r="Z15" s="9"/>
      <x:c r="AA15" s="8" t="str">
        <x:v>Current</x:v>
      </x:c>
      <x:c r="AB15" s="8"/>
      <x:c r="AC15" s="8"/>
    </x:row>
    <x:row r="16" ht="96" customHeight="1">
      <x:c r="A16" s="8" t="str">
        <x:v>FC1</x:v>
      </x:c>
      <x:c r="B16" s="8" t="str">
        <x:v>FC-1 · Fan speed controls</x:v>
      </x:c>
      <x:c r="C16" s="8" t="str">
        <x:v>enclosure</x:v>
      </x:c>
      <x:c r="D16" s="8" t="str">
        <x:v>DB1</x:v>
      </x:c>
      <x:c r="E16" s="8"/>
      <x:c r="F16" s="11" t="n">
        <x:v>48.895</x:v>
      </x:c>
      <x:c r="G16" s="11" t="n">
        <x:v>1.95</x:v>
      </x:c>
      <x:c r="H16" s="11" t="n">
        <x:v>0.4</x:v>
      </x:c>
      <x:c r="I16" s="8" t="str">
        <x:v>Model enclosure</x:v>
      </x:c>
      <x:c r="J16" s="8" t="str">
        <x:v>Shown</x:v>
      </x:c>
      <x:c r="K16" s="8" t="str">
        <x:v>n.a.</x:v>
      </x:c>
      <x:c r="L16" s="8" t="str">
        <x:v>200 × 700 × 600</x:v>
      </x:c>
      <x:c r="M16" s="8" t="str">
        <x:v>Existing service-room fan enclosure. Procedural enclosure; internal arrangement and hardware pending.</x:v>
      </x:c>
      <x:c r="N16" s="11"/>
      <x:c r="O16" s="11"/>
      <x:c r="P16" s="11"/>
      <x:c r="Q16" s="9"/>
      <x:c r="R16" s="9"/>
      <x:c r="S16" s="9"/>
      <x:c r="T16" s="9"/>
      <x:c r="U16" s="9"/>
      <x:c r="V16" s="9"/>
      <x:c r="W16" s="13"/>
      <x:c r="X16" s="13"/>
      <x:c r="Y16" s="13"/>
      <x:c r="Z16" s="9"/>
      <x:c r="AA16" s="8" t="str">
        <x:v>Current</x:v>
      </x:c>
      <x:c r="AB16" s="8"/>
      <x:c r="AC16" s="8"/>
    </x:row>
    <x:row r="17" ht="96" customHeight="1">
      <x:c r="A17" s="8" t="str">
        <x:v>AV1</x:v>
      </x:c>
      <x:c r="B17" s="8" t="str">
        <x:v>AV-1 · Mixer / amplifier rack</x:v>
      </x:c>
      <x:c r="C17" s="8" t="str">
        <x:v>enclosure</x:v>
      </x:c>
      <x:c r="D17" s="8" t="str">
        <x:v>DB1</x:v>
      </x:c>
      <x:c r="E17" s="8"/>
      <x:c r="F17" s="11" t="n">
        <x:v>49.275</x:v>
      </x:c>
      <x:c r="G17" s="11" t="n">
        <x:v>0.95</x:v>
      </x:c>
      <x:c r="H17" s="11" t="n">
        <x:v>1.4</x:v>
      </x:c>
      <x:c r="I17" s="8" t="str">
        <x:v>Model enclosure</x:v>
      </x:c>
      <x:c r="J17" s="8" t="str">
        <x:v>Shown</x:v>
      </x:c>
      <x:c r="K17" s="8" t="str">
        <x:v>n.a.</x:v>
      </x:c>
      <x:c r="L17" s="8" t="str">
        <x:v>800 × 1600 × 620</x:v>
      </x:c>
      <x:c r="M17" s="8" t="str">
        <x:v>Existing service-room sound rack. Procedural enclosure; internal arrangement and hardware pending.</x:v>
      </x:c>
      <x:c r="N17" s="11"/>
      <x:c r="O17" s="11"/>
      <x:c r="P17" s="11"/>
      <x:c r="Q17" s="9"/>
      <x:c r="R17" s="9"/>
      <x:c r="S17" s="9"/>
      <x:c r="T17" s="9"/>
      <x:c r="U17" s="9"/>
      <x:c r="V17" s="9"/>
      <x:c r="W17" s="13"/>
      <x:c r="X17" s="13"/>
      <x:c r="Y17" s="13"/>
      <x:c r="Z17" s="9"/>
      <x:c r="AA17" s="8" t="str">
        <x:v>Current</x:v>
      </x:c>
      <x:c r="AB17" s="8"/>
      <x:c r="AC17" s="8"/>
    </x:row>
  </x:sheetData>
  <x:conditionalFormatting sqref="AA7:AA17">
    <x:cfRule type="containsText" dxfId="0" priority="1" operator="containsText" text="Retired"/>
  </x:conditionalFormatting>
  <x:dataValidations count="3">
    <x:dataValidation type="decimal" operator="between" sqref="W7:W17">
      <x:formula1>-1000</x:formula1>
      <x:formula2>1000</x:formula2>
    </x:dataValidation>
    <x:dataValidation type="decimal" operator="between" sqref="X7:X17">
      <x:formula1>-1000</x:formula1>
      <x:formula2>1000</x:formula2>
    </x:dataValidation>
    <x:dataValidation type="decimal" operator="between" sqref="Y7:Y17">
      <x:formula1>-1000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05eb13d84e747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50" hidden="0" customWidth="1"/>
    <x:col min="3" max="3" width="18" hidden="0" customWidth="1"/>
    <x:col min="4" max="4" width="5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3" hidden="0" customWidth="1"/>
    <x:col min="13" max="13" width="18" hidden="0" customWidth="1"/>
    <x:col min="14" max="14" width="18" hidden="0" customWidth="1"/>
    <x:col min="15" max="15" width="58" hidden="0" customWidth="1"/>
    <x:col min="16" max="16" width="5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  <x:col min="21" max="21" width="18" hidden="0" customWidth="1"/>
    <x:col min="22" max="22" width="18" hidden="0" customWidth="1"/>
    <x:col min="23" max="23" width="18" hidden="0" customWidth="1"/>
    <x:col min="24" max="24" width="58" hidden="0" customWidth="1"/>
    <x:col min="25" max="25" width="18" hidden="0" customWidth="1"/>
    <x:col min="26" max="26" width="58" hidden="0" customWidth="1"/>
  </x:cols>
  <x:sheetData>
    <x:row r="1" ht="32" customHeight="1">
      <x:c r="A1" s="3" t="str">
        <x:v>Electrical line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2" customHeight="1">
      <x:c r="A3" s="2" t="str">
        <x:v>Lengths are geometric. Blank allowance means installed length is pending. Shared bundles are not extra home-run cable.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4" customHeight="1">
      <x:c r="A6" s="7" t="str">
        <x:v>Route ID</x:v>
      </x:c>
      <x:c r="B6" s="7" t="str">
        <x:v>Name</x:v>
      </x:c>
      <x:c r="C6" s="7" t="str">
        <x:v>Source ID</x:v>
      </x:c>
      <x:c r="D6" s="7" t="str">
        <x:v>Destination IDs</x:v>
      </x:c>
      <x:c r="E6" s="7" t="str">
        <x:v>Board</x:v>
      </x:c>
      <x:c r="F6" s="7" t="str">
        <x:v>Circuit</x:v>
      </x:c>
      <x:c r="G6" s="7" t="str">
        <x:v>Kind</x:v>
      </x:c>
      <x:c r="H6" s="7" t="str">
        <x:v>Role</x:v>
      </x:c>
      <x:c r="I6" s="7" t="str">
        <x:v>Route length (m)</x:v>
      </x:c>
      <x:c r="J6" s="7" t="str">
        <x:v>Upstream length (m)</x:v>
      </x:c>
      <x:c r="K6" s="7" t="str">
        <x:v>Full home run (m)</x:v>
      </x:c>
      <x:c r="L6" s="7" t="str">
        <x:v>Length basis</x:v>
      </x:c>
      <x:c r="M6" s="7" t="str">
        <x:v>Allowance (m)</x:v>
      </x:c>
      <x:c r="N6" s="7" t="str">
        <x:v>Planned length (m)</x:v>
      </x:c>
      <x:c r="O6" s="7" t="str">
        <x:v>Planning specification</x:v>
      </x:c>
      <x:c r="P6" s="7" t="str">
        <x:v>Installation proposal</x:v>
      </x:c>
      <x:c r="Q6" s="7" t="str">
        <x:v>Cable designation</x:v>
      </x:c>
      <x:c r="R6" s="7" t="str">
        <x:v>Core count</x:v>
      </x:c>
      <x:c r="S6" s="7" t="str">
        <x:v>Cross-section (mm2)</x:v>
      </x:c>
      <x:c r="T6" s="7" t="str">
        <x:v>Containment specification</x:v>
      </x:c>
      <x:c r="U6" s="7" t="str">
        <x:v>Manufacturer / product</x:v>
      </x:c>
      <x:c r="V6" s="7" t="str">
        <x:v>Control / terminal reference</x:v>
      </x:c>
      <x:c r="W6" s="7" t="str">
        <x:v>Approval reference</x:v>
      </x:c>
      <x:c r="X6" s="7" t="str">
        <x:v>Engineering notes</x:v>
      </x:c>
      <x:c r="Y6" s="7" t="str">
        <x:v>Record state</x:v>
      </x:c>
      <x:c r="Z6" s="7" t="str">
        <x:v>Trunk ID</x:v>
      </x:c>
    </x:row>
    <x:row r="7" ht="90" customHeight="1">
      <x:c r="A7" s="8" t="str">
        <x:v>feeder:DB2</x:v>
      </x:c>
      <x:c r="B7" s="8" t="str">
        <x:v>DB-1 → DB-2 feeder</x:v>
      </x:c>
      <x:c r="C7" s="8" t="str">
        <x:v>DB1</x:v>
      </x:c>
      <x:c r="D7" s="8" t="str"/>
      <x:c r="E7" s="8" t="str">
        <x:v>DB2</x:v>
      </x:c>
      <x:c r="F7" s="8" t="str">
        <x:v>DB2-FEED</x:v>
      </x:c>
      <x:c r="G7" s="8" t="str">
        <x:v>feeder</x:v>
      </x:c>
      <x:c r="H7" s="8" t="str">
        <x:v>feeder</x:v>
      </x:c>
      <x:c r="I7" s="11" t="n">
        <x:f>SUMIF('Route Points'!$A$7:$A$111,A7,'Route Points'!$F$7:$F$111)</x:f>
        <x:v>80.6831303111792</x:v>
      </x:c>
      <x:c r="J7" s="11"/>
      <x:c r="K7" s="11" t="str">
        <x:f>IF(L7="Full home run",I7+J7,"")</x:f>
      </x:c>
      <x:c r="L7" s="8" t="str">
        <x:v>Route segment</x:v>
      </x:c>
      <x:c r="M7" s="13"/>
      <x:c r="N7" s="11" t="str">
        <x:f>IF(AND(ISNUMBER(M7),L7&lt;&gt;"Shared bundle"),IF(L7="Full home run",K7,I7)+M7,"")</x:f>
      </x:c>
      <x:c r="O7" s="8" t="str">
        <x:v>Cable type / conductors / cross-section / conduit: pending electrical design</x:v>
      </x:c>
      <x:c r="P7" s="8" t="str">
        <x:v>Wall bands, covered wing-roof crossing, entrance wall riser</x:v>
      </x:c>
      <x:c r="Q7" s="9"/>
      <x:c r="R7" s="9"/>
      <x:c r="S7" s="13"/>
      <x:c r="T7" s="9"/>
      <x:c r="U7" s="9"/>
      <x:c r="V7" s="9"/>
      <x:c r="W7" s="9"/>
      <x:c r="X7" s="9"/>
      <x:c r="Y7" s="8" t="str">
        <x:v>Current</x:v>
      </x:c>
      <x:c r="Z7" s="8"/>
    </x:row>
    <x:row r="8" ht="90" customHeight="1">
      <x:c r="A8" s="8" t="str">
        <x:v>feeder:AV1</x:v>
      </x:c>
      <x:c r="B8" s="8" t="str">
        <x:v>DB-1 → AV1 equipment supply</x:v>
      </x:c>
      <x:c r="C8" s="8" t="str">
        <x:v>DB1</x:v>
      </x:c>
      <x:c r="D8" s="8" t="str"/>
      <x:c r="E8" s="8" t="str">
        <x:v>DB1</x:v>
      </x:c>
      <x:c r="F8" s="8" t="str">
        <x:v>AV1-SUPPLY</x:v>
      </x:c>
      <x:c r="G8" s="8" t="str">
        <x:v>feeder</x:v>
      </x:c>
      <x:c r="H8" s="8" t="str">
        <x:v>feeder</x:v>
      </x:c>
      <x:c r="I8" s="11" t="n">
        <x:f>SUMIF('Route Points'!$A$7:$A$111,A8,'Route Points'!$F$7:$F$111)</x:f>
        <x:v>5.790000000000003</x:v>
      </x:c>
      <x:c r="J8" s="11"/>
      <x:c r="K8" s="11" t="str">
        <x:f>IF(L8="Full home run",I8+J8,"")</x:f>
      </x:c>
      <x:c r="L8" s="8" t="str">
        <x:v>Route segment</x:v>
      </x:c>
      <x:c r="M8" s="13"/>
      <x:c r="N8" s="11" t="str">
        <x:f>IF(AND(ISNUMBER(M8),L8&lt;&gt;"Shared bundle"),IF(L8="Full home run",K8,I8)+M8,"")</x:f>
      </x:c>
      <x:c r="O8" s="8" t="str">
        <x:v>Cable type / conductors / cross-section / conduit: pending electrical design</x:v>
      </x:c>
      <x:c r="P8" s="8" t="str">
        <x:v>Existing service-room wall tray / local equipment connection</x:v>
      </x:c>
      <x:c r="Q8" s="9"/>
      <x:c r="R8" s="9"/>
      <x:c r="S8" s="13"/>
      <x:c r="T8" s="9"/>
      <x:c r="U8" s="9"/>
      <x:c r="V8" s="9"/>
      <x:c r="W8" s="9"/>
      <x:c r="X8" s="9"/>
      <x:c r="Y8" s="8" t="str">
        <x:v>Current</x:v>
      </x:c>
      <x:c r="Z8" s="8"/>
    </x:row>
    <x:row r="9" ht="90" customHeight="1">
      <x:c r="A9" s="8" t="str">
        <x:v>feeder:LC1</x:v>
      </x:c>
      <x:c r="B9" s="8" t="str">
        <x:v>DB-1 → LC1 equipment supply</x:v>
      </x:c>
      <x:c r="C9" s="8" t="str">
        <x:v>DB1</x:v>
      </x:c>
      <x:c r="D9" s="8" t="str"/>
      <x:c r="E9" s="8" t="str">
        <x:v>DB1</x:v>
      </x:c>
      <x:c r="F9" s="8" t="str">
        <x:v>LC1-SUPPLY</x:v>
      </x:c>
      <x:c r="G9" s="8" t="str">
        <x:v>feeder</x:v>
      </x:c>
      <x:c r="H9" s="8" t="str">
        <x:v>feeder</x:v>
      </x:c>
      <x:c r="I9" s="11" t="n">
        <x:f>SUMIF('Route Points'!$A$7:$A$111,A9,'Route Points'!$F$7:$F$111)</x:f>
        <x:v>2.560000000000007</x:v>
      </x:c>
      <x:c r="J9" s="11"/>
      <x:c r="K9" s="11" t="str">
        <x:f>IF(L9="Full home run",I9+J9,"")</x:f>
      </x:c>
      <x:c r="L9" s="8" t="str">
        <x:v>Route segment</x:v>
      </x:c>
      <x:c r="M9" s="13"/>
      <x:c r="N9" s="11" t="str">
        <x:f>IF(AND(ISNUMBER(M9),L9&lt;&gt;"Shared bundle"),IF(L9="Full home run",K9,I9)+M9,"")</x:f>
      </x:c>
      <x:c r="O9" s="8" t="str">
        <x:v>Cable type / conductors / cross-section / conduit: pending electrical design</x:v>
      </x:c>
      <x:c r="P9" s="8" t="str">
        <x:v>Existing service-room wall tray / local equipment connection</x:v>
      </x:c>
      <x:c r="Q9" s="9"/>
      <x:c r="R9" s="9"/>
      <x:c r="S9" s="13"/>
      <x:c r="T9" s="9"/>
      <x:c r="U9" s="9"/>
      <x:c r="V9" s="9"/>
      <x:c r="W9" s="9"/>
      <x:c r="X9" s="9"/>
      <x:c r="Y9" s="8" t="str">
        <x:v>Current</x:v>
      </x:c>
      <x:c r="Z9" s="8"/>
    </x:row>
    <x:row r="10" ht="90" customHeight="1">
      <x:c r="A10" s="8" t="str">
        <x:v>feeder:FC1</x:v>
      </x:c>
      <x:c r="B10" s="8" t="str">
        <x:v>DB-1 → FC1 equipment supply</x:v>
      </x:c>
      <x:c r="C10" s="8" t="str">
        <x:v>DB1</x:v>
      </x:c>
      <x:c r="D10" s="8" t="str"/>
      <x:c r="E10" s="8" t="str">
        <x:v>DB1</x:v>
      </x:c>
      <x:c r="F10" s="8" t="str">
        <x:v>FC1-SUPPLY</x:v>
      </x:c>
      <x:c r="G10" s="8" t="str">
        <x:v>feeder</x:v>
      </x:c>
      <x:c r="H10" s="8" t="str">
        <x:v>feeder</x:v>
      </x:c>
      <x:c r="I10" s="11" t="n">
        <x:f>SUMIF('Route Points'!$A$7:$A$111,A10,'Route Points'!$F$7:$F$111)</x:f>
        <x:v>3.4100000000000072</x:v>
      </x:c>
      <x:c r="J10" s="11"/>
      <x:c r="K10" s="11" t="str">
        <x:f>IF(L10="Full home run",I10+J10,"")</x:f>
      </x:c>
      <x:c r="L10" s="8" t="str">
        <x:v>Route segment</x:v>
      </x:c>
      <x:c r="M10" s="13"/>
      <x:c r="N10" s="11" t="str">
        <x:f>IF(AND(ISNUMBER(M10),L10&lt;&gt;"Shared bundle"),IF(L10="Full home run",K10,I10)+M10,"")</x:f>
      </x:c>
      <x:c r="O10" s="8" t="str">
        <x:v>Cable type / conductors / cross-section / conduit: pending electrical design</x:v>
      </x:c>
      <x:c r="P10" s="8" t="str">
        <x:v>Existing service-room wall tray / local equipment connection</x:v>
      </x:c>
      <x:c r="Q10" s="9"/>
      <x:c r="R10" s="9"/>
      <x:c r="S10" s="13"/>
      <x:c r="T10" s="9"/>
      <x:c r="U10" s="9"/>
      <x:c r="V10" s="9"/>
      <x:c r="W10" s="9"/>
      <x:c r="X10" s="9"/>
      <x:c r="Y10" s="8" t="str">
        <x:v>Current</x:v>
      </x:c>
      <x:c r="Z10" s="8"/>
    </x:row>
    <x:row r="11" ht="90" customHeight="1">
      <x:c r="A11" s="8" t="str">
        <x:v>trunk:DB1:P1:power:-1</x:v>
      </x:c>
      <x:c r="B11" s="8" t="str">
        <x:v>P1 · B · circuit trunk</x:v>
      </x:c>
      <x:c r="C11" s="8" t="str">
        <x:v>DB1</x:v>
      </x:c>
      <x:c r="D11" s="8" t="str">
        <x:v>P-SANCT-B
P-NAVE-B</x:v>
      </x:c>
      <x:c r="E11" s="8" t="str">
        <x:v>DB1</x:v>
      </x:c>
      <x:c r="F11" s="8" t="str">
        <x:v>P1</x:v>
      </x:c>
      <x:c r="G11" s="8" t="str">
        <x:v>power</x:v>
      </x:c>
      <x:c r="H11" s="8" t="str">
        <x:v>trunk</x:v>
      </x:c>
      <x:c r="I11" s="11" t="n">
        <x:f>SUMIF('Route Points'!$A$7:$A$111,A11,'Route Points'!$F$7:$F$111)</x:f>
        <x:v>48.37513031117919</x:v>
      </x:c>
      <x:c r="J11" s="11"/>
      <x:c r="K11" s="11" t="str">
        <x:f>IF(L11="Full home run",I11+J11,"")</x:f>
      </x:c>
      <x:c r="L11" s="8" t="str">
        <x:v>Route segment</x:v>
      </x:c>
      <x:c r="M11" s="13"/>
      <x:c r="N11" s="11" t="str">
        <x:f>IF(AND(ISNUMBER(M11),L11&lt;&gt;"Shared bundle"),IF(L11="Full home run",K11,I11)+M11,"")</x:f>
      </x:c>
      <x:c r="O11" s="8" t="str">
        <x:v>Cable type / conductors / cross-section / conduit: pending electrical design</x:v>
      </x:c>
      <x:c r="P11" s="8" t="str">
        <x:v>Wall bands above openings; concealed finish-matched soffit crossing over the 9–10 wing opening.</x:v>
      </x:c>
      <x:c r="Q11" s="9"/>
      <x:c r="R11" s="9"/>
      <x:c r="S11" s="13"/>
      <x:c r="T11" s="9"/>
      <x:c r="U11" s="9"/>
      <x:c r="V11" s="9"/>
      <x:c r="W11" s="9"/>
      <x:c r="X11" s="9"/>
      <x:c r="Y11" s="8" t="str">
        <x:v>Current</x:v>
      </x:c>
      <x:c r="Z11" s="8"/>
    </x:row>
    <x:row r="12" ht="90" customHeight="1">
      <x:c r="A12" s="8" t="str">
        <x:v>drop:DB1:P1:power:-1:P-SANCT-B</x:v>
      </x:c>
      <x:c r="B12" s="8" t="str">
        <x:v>P1 → Socket · sanctuary side B · axis 10 pier</x:v>
      </x:c>
      <x:c r="C12" s="8" t="str">
        <x:v>DB1</x:v>
      </x:c>
      <x:c r="D12" s="8" t="str">
        <x:v>P-SANCT-B</x:v>
      </x:c>
      <x:c r="E12" s="8" t="str">
        <x:v>DB1</x:v>
      </x:c>
      <x:c r="F12" s="8" t="str">
        <x:v>P1</x:v>
      </x:c>
      <x:c r="G12" s="8" t="str">
        <x:v>power</x:v>
      </x:c>
      <x:c r="H12" s="8" t="str">
        <x:v>drop</x:v>
      </x:c>
      <x:c r="I12" s="11" t="n">
        <x:f>SUMIF('Route Points'!$A$7:$A$111,A12,'Route Points'!$F$7:$F$111)</x:f>
        <x:v>5.652999999999998</x:v>
      </x:c>
      <x:c r="J12" s="11"/>
      <x:c r="K12" s="11" t="str">
        <x:f>IF(L12="Full home run",I12+J12,"")</x:f>
      </x:c>
      <x:c r="L12" s="8" t="str">
        <x:v>Route segment</x:v>
      </x:c>
      <x:c r="M12" s="13"/>
      <x:c r="N12" s="11" t="str">
        <x:f>IF(AND(ISNUMBER(M12),L12&lt;&gt;"Shared bundle"),IF(L12="Full home run",K12,I12)+M12,"")</x:f>
      </x:c>
      <x:c r="O12" s="8" t="str">
        <x:v>Cable type / conductors / cross-section / conduit: pending electrical design</x:v>
      </x:c>
      <x:c r="P12" s="8" t="str">
        <x:v>Concealed solid-pier / wall drop and local termination.</x:v>
      </x:c>
      <x:c r="Q12" s="9"/>
      <x:c r="R12" s="9"/>
      <x:c r="S12" s="13"/>
      <x:c r="T12" s="9"/>
      <x:c r="U12" s="9"/>
      <x:c r="V12" s="9"/>
      <x:c r="W12" s="9"/>
      <x:c r="X12" s="9"/>
      <x:c r="Y12" s="8" t="str">
        <x:v>Current</x:v>
      </x:c>
      <x:c r="Z12" s="8" t="str">
        <x:v>trunk:DB1:P1:power:-1</x:v>
      </x:c>
    </x:row>
    <x:row r="13" ht="90" customHeight="1">
      <x:c r="A13" s="8" t="str">
        <x:v>drop:DB1:P1:power:-1:P-NAVE-B</x:v>
      </x:c>
      <x:c r="B13" s="8" t="str">
        <x:v>P1 → Socket · mid-nave side B · axis 6</x:v>
      </x:c>
      <x:c r="C13" s="8" t="str">
        <x:v>DB1</x:v>
      </x:c>
      <x:c r="D13" s="8" t="str">
        <x:v>P-NAVE-B</x:v>
      </x:c>
      <x:c r="E13" s="8" t="str">
        <x:v>DB1</x:v>
      </x:c>
      <x:c r="F13" s="8" t="str">
        <x:v>P1</x:v>
      </x:c>
      <x:c r="G13" s="8" t="str">
        <x:v>power</x:v>
      </x:c>
      <x:c r="H13" s="8" t="str">
        <x:v>drop</x:v>
      </x:c>
      <x:c r="I13" s="11" t="n">
        <x:f>SUMIF('Route Points'!$A$7:$A$111,A13,'Route Points'!$F$7:$F$111)</x:f>
        <x:v>5.768000000000001</x:v>
      </x:c>
      <x:c r="J13" s="11"/>
      <x:c r="K13" s="11" t="str">
        <x:f>IF(L13="Full home run",I13+J13,"")</x:f>
      </x:c>
      <x:c r="L13" s="8" t="str">
        <x:v>Route segment</x:v>
      </x:c>
      <x:c r="M13" s="13"/>
      <x:c r="N13" s="11" t="str">
        <x:f>IF(AND(ISNUMBER(M13),L13&lt;&gt;"Shared bundle"),IF(L13="Full home run",K13,I13)+M13,"")</x:f>
      </x:c>
      <x:c r="O13" s="8" t="str">
        <x:v>Cable type / conductors / cross-section / conduit: pending electrical design</x:v>
      </x:c>
      <x:c r="P13" s="8" t="str">
        <x:v>Concealed solid-pier / wall drop and local termination.</x:v>
      </x:c>
      <x:c r="Q13" s="9"/>
      <x:c r="R13" s="9"/>
      <x:c r="S13" s="13"/>
      <x:c r="T13" s="9"/>
      <x:c r="U13" s="9"/>
      <x:c r="V13" s="9"/>
      <x:c r="W13" s="9"/>
      <x:c r="X13" s="9"/>
      <x:c r="Y13" s="8" t="str">
        <x:v>Current</x:v>
      </x:c>
      <x:c r="Z13" s="8" t="str">
        <x:v>trunk:DB1:P1:power:-1</x:v>
      </x:c>
    </x:row>
    <x:row r="14" ht="90" customHeight="1">
      <x:c r="A14" s="8" t="str">
        <x:v>trunk:DB2:P3:power:-1</x:v>
      </x:c>
      <x:c r="B14" s="8" t="str">
        <x:v>P3 · B · circuit trunk</x:v>
      </x:c>
      <x:c r="C14" s="8" t="str">
        <x:v>DB2</x:v>
      </x:c>
      <x:c r="D14" s="8" t="str">
        <x:v>P-TOWER-B</x:v>
      </x:c>
      <x:c r="E14" s="8" t="str">
        <x:v>DB2</x:v>
      </x:c>
      <x:c r="F14" s="8" t="str">
        <x:v>P3</x:v>
      </x:c>
      <x:c r="G14" s="8" t="str">
        <x:v>power</x:v>
      </x:c>
      <x:c r="H14" s="8" t="str">
        <x:v>trunk</x:v>
      </x:c>
      <x:c r="I14" s="11" t="n">
        <x:f>SUMIF('Route Points'!$A$7:$A$111,A14,'Route Points'!$F$7:$F$111)</x:f>
        <x:v>8.3</x:v>
      </x:c>
      <x:c r="J14" s="11"/>
      <x:c r="K14" s="11" t="str">
        <x:f>IF(L14="Full home run",I14+J14,"")</x:f>
      </x:c>
      <x:c r="L14" s="8" t="str">
        <x:v>Route segment</x:v>
      </x:c>
      <x:c r="M14" s="13"/>
      <x:c r="N14" s="11" t="str">
        <x:f>IF(AND(ISNUMBER(M14),L14&lt;&gt;"Shared bundle"),IF(L14="Full home run",K14,I14)+M14,"")</x:f>
      </x:c>
      <x:c r="O14" s="8" t="str">
        <x:v>Cable type / conductors / cross-section / conduit: pending electrical design</x:v>
      </x:c>
      <x:c r="P14" s="8" t="str">
        <x:v>Dedicated buried duct from DB-2 below the entrance-hall floor to the tower base; duct, depth, draw pits and water sealing pending.</x:v>
      </x:c>
      <x:c r="Q14" s="9"/>
      <x:c r="R14" s="9"/>
      <x:c r="S14" s="13"/>
      <x:c r="T14" s="9"/>
      <x:c r="U14" s="9"/>
      <x:c r="V14" s="9"/>
      <x:c r="W14" s="9"/>
      <x:c r="X14" s="9"/>
      <x:c r="Y14" s="8" t="str">
        <x:v>Current</x:v>
      </x:c>
      <x:c r="Z14" s="8"/>
    </x:row>
    <x:row r="15" ht="90" customHeight="1">
      <x:c r="A15" s="8" t="str">
        <x:v>drop:DB2:P3:power:-1:P-TOWER-B</x:v>
      </x:c>
      <x:c r="B15" s="8" t="str">
        <x:v>P3 → Event power · tower B · inside the porch</x:v>
      </x:c>
      <x:c r="C15" s="8" t="str">
        <x:v>DB2</x:v>
      </x:c>
      <x:c r="D15" s="8" t="str">
        <x:v>P-TOWER-B</x:v>
      </x:c>
      <x:c r="E15" s="8" t="str">
        <x:v>DB2</x:v>
      </x:c>
      <x:c r="F15" s="8" t="str">
        <x:v>P3</x:v>
      </x:c>
      <x:c r="G15" s="8" t="str">
        <x:v>power</x:v>
      </x:c>
      <x:c r="H15" s="8" t="str">
        <x:v>drop</x:v>
      </x:c>
      <x:c r="I15" s="11" t="n">
        <x:f>SUMIF('Route Points'!$A$7:$A$111,A15,'Route Points'!$F$7:$F$111)</x:f>
        <x:v>1.5699999999999994</x:v>
      </x:c>
      <x:c r="J15" s="11"/>
      <x:c r="K15" s="11" t="str">
        <x:f>IF(L15="Full home run",I15+J15,"")</x:f>
      </x:c>
      <x:c r="L15" s="8" t="str">
        <x:v>Route segment</x:v>
      </x:c>
      <x:c r="M15" s="13"/>
      <x:c r="N15" s="11" t="str">
        <x:f>IF(AND(ISNUMBER(M15),L15&lt;&gt;"Shared bundle"),IF(L15="Full home run",K15,I15)+M15,"")</x:f>
      </x:c>
      <x:c r="O15" s="8" t="str">
        <x:v>Cable type / conductors / cross-section / conduit: pending electrical design</x:v>
      </x:c>
      <x:c r="P15" s="8" t="str">
        <x:v>Buried duct below the entrance-hall floor and tower plinth, rising inside the solid tower pier to the cabinet. Duct size, depth, draw pits, water sealing and separation pending; no chase through the arch mouldings.</x:v>
      </x:c>
      <x:c r="Q15" s="9"/>
      <x:c r="R15" s="9"/>
      <x:c r="S15" s="13"/>
      <x:c r="T15" s="9"/>
      <x:c r="U15" s="9"/>
      <x:c r="V15" s="9"/>
      <x:c r="W15" s="9"/>
      <x:c r="X15" s="9"/>
      <x:c r="Y15" s="8" t="str">
        <x:v>Current</x:v>
      </x:c>
      <x:c r="Z15" s="8" t="str">
        <x:v>trunk:DB2:P3:power:-1</x:v>
      </x:c>
    </x:row>
    <x:row r="16" ht="90" customHeight="1">
      <x:c r="A16" s="8" t="str">
        <x:v>trunk:DB1:P2:power:1</x:v>
      </x:c>
      <x:c r="B16" s="8" t="str">
        <x:v>P2 · H · circuit trunk</x:v>
      </x:c>
      <x:c r="C16" s="8" t="str">
        <x:v>DB1</x:v>
      </x:c>
      <x:c r="D16" s="8" t="str">
        <x:v>P-SANCT-H
P-NAVE-H</x:v>
      </x:c>
      <x:c r="E16" s="8" t="str">
        <x:v>DB1</x:v>
      </x:c>
      <x:c r="F16" s="8" t="str">
        <x:v>P2</x:v>
      </x:c>
      <x:c r="G16" s="8" t="str">
        <x:v>power</x:v>
      </x:c>
      <x:c r="H16" s="8" t="str">
        <x:v>trunk</x:v>
      </x:c>
      <x:c r="I16" s="11" t="n">
        <x:f>SUMIF('Route Points'!$A$7:$A$111,A16,'Route Points'!$F$7:$F$111)</x:f>
        <x:v>54.96713031117919</x:v>
      </x:c>
      <x:c r="J16" s="11"/>
      <x:c r="K16" s="11" t="str">
        <x:f>IF(L16="Full home run",I16+J16,"")</x:f>
      </x:c>
      <x:c r="L16" s="8" t="str">
        <x:v>Route segment</x:v>
      </x:c>
      <x:c r="M16" s="13"/>
      <x:c r="N16" s="11" t="str">
        <x:f>IF(AND(ISNUMBER(M16),L16&lt;&gt;"Shared bundle"),IF(L16="Full home run",K16,I16)+M16,"")</x:f>
      </x:c>
      <x:c r="O16" s="8" t="str">
        <x:v>Cable type / conductors / cross-section / conduit: pending electrical design</x:v>
      </x:c>
      <x:c r="P16" s="8" t="str">
        <x:v>Wall bands above openings; concealed finish-matched soffit crossing over the 9–10 wing opening.</x:v>
      </x:c>
      <x:c r="Q16" s="9"/>
      <x:c r="R16" s="9"/>
      <x:c r="S16" s="13"/>
      <x:c r="T16" s="9"/>
      <x:c r="U16" s="9"/>
      <x:c r="V16" s="9"/>
      <x:c r="W16" s="9"/>
      <x:c r="X16" s="9"/>
      <x:c r="Y16" s="8" t="str">
        <x:v>Current</x:v>
      </x:c>
      <x:c r="Z16" s="8"/>
    </x:row>
    <x:row r="17" ht="90" customHeight="1">
      <x:c r="A17" s="8" t="str">
        <x:v>drop:DB1:P2:power:1:P-SANCT-H</x:v>
      </x:c>
      <x:c r="B17" s="8" t="str">
        <x:v>P2 → Socket · sanctuary side H · axis 10 pier</x:v>
      </x:c>
      <x:c r="C17" s="8" t="str">
        <x:v>DB1</x:v>
      </x:c>
      <x:c r="D17" s="8" t="str">
        <x:v>P-SANCT-H</x:v>
      </x:c>
      <x:c r="E17" s="8" t="str">
        <x:v>DB1</x:v>
      </x:c>
      <x:c r="F17" s="8" t="str">
        <x:v>P2</x:v>
      </x:c>
      <x:c r="G17" s="8" t="str">
        <x:v>power</x:v>
      </x:c>
      <x:c r="H17" s="8" t="str">
        <x:v>drop</x:v>
      </x:c>
      <x:c r="I17" s="11" t="n">
        <x:f>SUMIF('Route Points'!$A$7:$A$111,A17,'Route Points'!$F$7:$F$111)</x:f>
        <x:v>5.660999999999998</x:v>
      </x:c>
      <x:c r="J17" s="11"/>
      <x:c r="K17" s="11" t="str">
        <x:f>IF(L17="Full home run",I17+J17,"")</x:f>
      </x:c>
      <x:c r="L17" s="8" t="str">
        <x:v>Route segment</x:v>
      </x:c>
      <x:c r="M17" s="13"/>
      <x:c r="N17" s="11" t="str">
        <x:f>IF(AND(ISNUMBER(M17),L17&lt;&gt;"Shared bundle"),IF(L17="Full home run",K17,I17)+M17,"")</x:f>
      </x:c>
      <x:c r="O17" s="8" t="str">
        <x:v>Cable type / conductors / cross-section / conduit: pending electrical design</x:v>
      </x:c>
      <x:c r="P17" s="8" t="str">
        <x:v>Concealed solid-pier / wall drop and local termination.</x:v>
      </x:c>
      <x:c r="Q17" s="9"/>
      <x:c r="R17" s="9"/>
      <x:c r="S17" s="13"/>
      <x:c r="T17" s="9"/>
      <x:c r="U17" s="9"/>
      <x:c r="V17" s="9"/>
      <x:c r="W17" s="9"/>
      <x:c r="X17" s="9"/>
      <x:c r="Y17" s="8" t="str">
        <x:v>Current</x:v>
      </x:c>
      <x:c r="Z17" s="8" t="str">
        <x:v>trunk:DB1:P2:power:1</x:v>
      </x:c>
    </x:row>
    <x:row r="18" ht="90" customHeight="1">
      <x:c r="A18" s="8" t="str">
        <x:v>drop:DB1:P2:power:1:P-NAVE-H</x:v>
      </x:c>
      <x:c r="B18" s="8" t="str">
        <x:v>P2 → Socket · mid-nave side H · axis 6</x:v>
      </x:c>
      <x:c r="C18" s="8" t="str">
        <x:v>DB1</x:v>
      </x:c>
      <x:c r="D18" s="8" t="str">
        <x:v>P-NAVE-H</x:v>
      </x:c>
      <x:c r="E18" s="8" t="str">
        <x:v>DB1</x:v>
      </x:c>
      <x:c r="F18" s="8" t="str">
        <x:v>P2</x:v>
      </x:c>
      <x:c r="G18" s="8" t="str">
        <x:v>power</x:v>
      </x:c>
      <x:c r="H18" s="8" t="str">
        <x:v>drop</x:v>
      </x:c>
      <x:c r="I18" s="11" t="n">
        <x:f>SUMIF('Route Points'!$A$7:$A$111,A18,'Route Points'!$F$7:$F$111)</x:f>
        <x:v>5.776000000000001</x:v>
      </x:c>
      <x:c r="J18" s="11"/>
      <x:c r="K18" s="11" t="str">
        <x:f>IF(L18="Full home run",I18+J18,"")</x:f>
      </x:c>
      <x:c r="L18" s="8" t="str">
        <x:v>Route segment</x:v>
      </x:c>
      <x:c r="M18" s="13"/>
      <x:c r="N18" s="11" t="str">
        <x:f>IF(AND(ISNUMBER(M18),L18&lt;&gt;"Shared bundle"),IF(L18="Full home run",K18,I18)+M18,"")</x:f>
      </x:c>
      <x:c r="O18" s="8" t="str">
        <x:v>Cable type / conductors / cross-section / conduit: pending electrical design</x:v>
      </x:c>
      <x:c r="P18" s="8" t="str">
        <x:v>Concealed solid-pier / wall drop and local termination.</x:v>
      </x:c>
      <x:c r="Q18" s="9"/>
      <x:c r="R18" s="9"/>
      <x:c r="S18" s="13"/>
      <x:c r="T18" s="9"/>
      <x:c r="U18" s="9"/>
      <x:c r="V18" s="9"/>
      <x:c r="W18" s="9"/>
      <x:c r="X18" s="9"/>
      <x:c r="Y18" s="8" t="str">
        <x:v>Current</x:v>
      </x:c>
      <x:c r="Z18" s="8" t="str">
        <x:v>trunk:DB1:P2:power:1</x:v>
      </x:c>
    </x:row>
    <x:row r="19" ht="90" customHeight="1">
      <x:c r="A19" s="8" t="str">
        <x:v>trunk:DB2:P4:power:1</x:v>
      </x:c>
      <x:c r="B19" s="8" t="str">
        <x:v>P4 · H · circuit trunk</x:v>
      </x:c>
      <x:c r="C19" s="8" t="str">
        <x:v>DB2</x:v>
      </x:c>
      <x:c r="D19" s="8" t="str">
        <x:v>P-TOWER-H</x:v>
      </x:c>
      <x:c r="E19" s="8" t="str">
        <x:v>DB2</x:v>
      </x:c>
      <x:c r="F19" s="8" t="str">
        <x:v>P4</x:v>
      </x:c>
      <x:c r="G19" s="8" t="str">
        <x:v>power</x:v>
      </x:c>
      <x:c r="H19" s="8" t="str">
        <x:v>trunk</x:v>
      </x:c>
      <x:c r="I19" s="11" t="n">
        <x:f>SUMIF('Route Points'!$A$7:$A$111,A19,'Route Points'!$F$7:$F$111)</x:f>
        <x:v>14.9</x:v>
      </x:c>
      <x:c r="J19" s="11"/>
      <x:c r="K19" s="11" t="str">
        <x:f>IF(L19="Full home run",I19+J19,"")</x:f>
      </x:c>
      <x:c r="L19" s="8" t="str">
        <x:v>Route segment</x:v>
      </x:c>
      <x:c r="M19" s="13"/>
      <x:c r="N19" s="11" t="str">
        <x:f>IF(AND(ISNUMBER(M19),L19&lt;&gt;"Shared bundle"),IF(L19="Full home run",K19,I19)+M19,"")</x:f>
      </x:c>
      <x:c r="O19" s="8" t="str">
        <x:v>Cable type / conductors / cross-section / conduit: pending electrical design</x:v>
      </x:c>
      <x:c r="P19" s="8" t="str">
        <x:v>Dedicated buried duct from DB-2 below the entrance-hall floor to the tower base; duct, depth, draw pits and water sealing pending.</x:v>
      </x:c>
      <x:c r="Q19" s="9"/>
      <x:c r="R19" s="9"/>
      <x:c r="S19" s="13"/>
      <x:c r="T19" s="9"/>
      <x:c r="U19" s="9"/>
      <x:c r="V19" s="9"/>
      <x:c r="W19" s="9"/>
      <x:c r="X19" s="9"/>
      <x:c r="Y19" s="8" t="str">
        <x:v>Current</x:v>
      </x:c>
      <x:c r="Z19" s="8"/>
    </x:row>
    <x:row r="20" ht="90" customHeight="1">
      <x:c r="A20" s="8" t="str">
        <x:v>drop:DB2:P4:power:1:P-TOWER-H</x:v>
      </x:c>
      <x:c r="B20" s="8" t="str">
        <x:v>P4 → Event power · tower H · inside the porch</x:v>
      </x:c>
      <x:c r="C20" s="8" t="str">
        <x:v>DB2</x:v>
      </x:c>
      <x:c r="D20" s="8" t="str">
        <x:v>P-TOWER-H</x:v>
      </x:c>
      <x:c r="E20" s="8" t="str">
        <x:v>DB2</x:v>
      </x:c>
      <x:c r="F20" s="8" t="str">
        <x:v>P4</x:v>
      </x:c>
      <x:c r="G20" s="8" t="str">
        <x:v>power</x:v>
      </x:c>
      <x:c r="H20" s="8" t="str">
        <x:v>drop</x:v>
      </x:c>
      <x:c r="I20" s="11" t="n">
        <x:f>SUMIF('Route Points'!$A$7:$A$111,A20,'Route Points'!$F$7:$F$111)</x:f>
        <x:v>1.5699999999999994</x:v>
      </x:c>
      <x:c r="J20" s="11"/>
      <x:c r="K20" s="11" t="str">
        <x:f>IF(L20="Full home run",I20+J20,"")</x:f>
      </x:c>
      <x:c r="L20" s="8" t="str">
        <x:v>Route segment</x:v>
      </x:c>
      <x:c r="M20" s="13"/>
      <x:c r="N20" s="11" t="str">
        <x:f>IF(AND(ISNUMBER(M20),L20&lt;&gt;"Shared bundle"),IF(L20="Full home run",K20,I20)+M20,"")</x:f>
      </x:c>
      <x:c r="O20" s="8" t="str">
        <x:v>Cable type / conductors / cross-section / conduit: pending electrical design</x:v>
      </x:c>
      <x:c r="P20" s="8" t="str">
        <x:v>Buried duct below the entrance-hall floor and tower plinth, rising inside the solid tower pier to the cabinet. Duct size, depth, draw pits, water sealing and separation pending; no chase through the arch mouldings.</x:v>
      </x:c>
      <x:c r="Q20" s="9"/>
      <x:c r="R20" s="9"/>
      <x:c r="S20" s="13"/>
      <x:c r="T20" s="9"/>
      <x:c r="U20" s="9"/>
      <x:c r="V20" s="9"/>
      <x:c r="W20" s="9"/>
      <x:c r="X20" s="9"/>
      <x:c r="Y20" s="8" t="str">
        <x:v>Current</x:v>
      </x:c>
      <x:c r="Z20" s="8" t="str">
        <x:v>trunk:DB2:P4:power:1</x:v>
      </x:c>
    </x:row>
  </x:sheetData>
  <x:conditionalFormatting sqref="Y7:Y20">
    <x:cfRule type="containsText" dxfId="1" priority="1" operator="containsText" text="Retired"/>
  </x:conditionalFormatting>
  <x:dataValidations count="3">
    <x:dataValidation type="decimal" operator="greaterThanOrEqual" sqref="M7:M20">
      <x:formula1>0</x:formula1>
    </x:dataValidation>
    <x:dataValidation type="decimal" operator="greaterThanOrEqual" sqref="R7:R20">
      <x:formula1>0</x:formula1>
    </x:dataValidation>
    <x:dataValidation type="decimal" operator="greaterThanOrEqual" sqref="S7:S2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3f1f1ee468495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5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3" t="str">
        <x:v>Route vertices in the shared layout</x:v>
      </x:c>
      <x:c r="B1" s="2"/>
      <x:c r="C1" s="2"/>
      <x:c r="D1" s="2"/>
      <x:c r="E1" s="2"/>
      <x:c r="F1" s="2"/>
      <x:c r="G1" s="2"/>
    </x:row>
    <x:row r="2" ht="32" customHeight="1">
      <x:c r="A2" s="2" t="str">
        <x:v>Model fields refresh from matching layout exports. Amber columns are retained engineering inputs.</x:v>
      </x:c>
      <x:c r="B2" s="2"/>
      <x:c r="C2" s="2"/>
      <x:c r="D2" s="2"/>
      <x:c r="E2" s="2"/>
      <x:c r="F2" s="2"/>
      <x:c r="G2" s="2"/>
    </x:row>
    <x:row r="3" ht="32" customHeight="1">
      <x:c r="A3" s="2" t="str">
        <x:v>Each route uses these ordered X/Y/Z vertices in metres. Segment lengths are calculated from adjacent vertices.</x:v>
      </x:c>
      <x:c r="B3" s="2"/>
      <x:c r="C3" s="2"/>
      <x:c r="D3" s="2"/>
      <x:c r="E3" s="2"/>
      <x:c r="F3" s="2"/>
      <x:c r="G3" s="2"/>
    </x:row>
    <x:row r="4" ht="32" customHeight="1">
      <x:c r="A4" s="2" t="str">
        <x:v>Filter by ID, board, circuit or status. Retired rows retain prior engineering inputs.</x:v>
      </x:c>
      <x:c r="B4" s="2"/>
      <x:c r="C4" s="2"/>
      <x:c r="D4" s="2"/>
      <x:c r="E4" s="2"/>
      <x:c r="F4" s="2"/>
      <x:c r="G4" s="2"/>
    </x:row>
    <x:row r="5" ht="32" customHeight="1">
      <x:c r="A5" s="2"/>
      <x:c r="B5" s="2"/>
      <x:c r="C5" s="2"/>
      <x:c r="D5" s="2"/>
      <x:c r="E5" s="2"/>
      <x:c r="F5" s="2"/>
      <x:c r="G5" s="2"/>
    </x:row>
    <x:row r="6" ht="44" customHeight="1">
      <x:c r="A6" s="7" t="str">
        <x:v>Route ID</x:v>
      </x:c>
      <x:c r="B6" s="7" t="str">
        <x:v>Vertex</x:v>
      </x:c>
      <x:c r="C6" s="7" t="str">
        <x:v>X (m)</x:v>
      </x:c>
      <x:c r="D6" s="7" t="str">
        <x:v>Y (m)</x:v>
      </x:c>
      <x:c r="E6" s="7" t="str">
        <x:v>Z (m)</x:v>
      </x:c>
      <x:c r="F6" s="7" t="str">
        <x:v>Segment length (m)</x:v>
      </x:c>
      <x:c r="G6" s="7" t="str">
        <x:v>Record state</x:v>
      </x:c>
    </x:row>
    <x:row r="7" ht="32" customHeight="1">
      <x:c r="A7" s="8" t="str">
        <x:v>feeder:DB2</x:v>
      </x:c>
      <x:c r="B7" s="8" t="n">
        <x:v>1</x:v>
      </x:c>
      <x:c r="C7" s="11" t="n">
        <x:v>48.895</x:v>
      </x:c>
      <x:c r="D7" s="11" t="n">
        <x:v>1.75</x:v>
      </x:c>
      <x:c r="E7" s="11" t="n">
        <x:v>-1.55</x:v>
      </x:c>
      <x:c r="F7" s="11" t="n">
        <x:f>0</x:f>
        <x:v>0</x:v>
      </x:c>
      <x:c r="G7" s="8" t="str">
        <x:v>Current</x:v>
      </x:c>
    </x:row>
    <x:row r="8" ht="32" customHeight="1">
      <x:c r="A8" s="8" t="str">
        <x:v>feeder:DB2</x:v>
      </x:c>
      <x:c r="B8" s="8" t="n">
        <x:v>2</x:v>
      </x:c>
      <x:c r="C8" s="11" t="n">
        <x:v>48.735</x:v>
      </x:c>
      <x:c r="D8" s="11" t="n">
        <x:v>1.75</x:v>
      </x:c>
      <x:c r="E8" s="11" t="n">
        <x:v>-1.55</x:v>
      </x:c>
      <x:c r="F8" s="11" t="n">
        <x:f>SQRT((C8-C7)^2+(D8-D7)^2+(E8-E7)^2)</x:f>
        <x:v>0.1600000000000037</x:v>
      </x:c>
      <x:c r="G8" s="8" t="str">
        <x:v>Current</x:v>
      </x:c>
    </x:row>
    <x:row r="9" ht="32" customHeight="1">
      <x:c r="A9" s="8" t="str">
        <x:v>feeder:DB2</x:v>
      </x:c>
      <x:c r="B9" s="8" t="n">
        <x:v>3</x:v>
      </x:c>
      <x:c r="C9" s="11" t="n">
        <x:v>48.735</x:v>
      </x:c>
      <x:c r="D9" s="11" t="n">
        <x:v>1.75</x:v>
      </x:c>
      <x:c r="E9" s="11" t="n">
        <x:v>-2.24</x:v>
      </x:c>
      <x:c r="F9" s="11" t="n">
        <x:f>SQRT((C9-C8)^2+(D9-D8)^2+(E9-E8)^2)</x:f>
        <x:v>0.6900000000000002</x:v>
      </x:c>
      <x:c r="G9" s="8" t="str">
        <x:v>Current</x:v>
      </x:c>
    </x:row>
    <x:row r="10" ht="32" customHeight="1">
      <x:c r="A10" s="8" t="str">
        <x:v>feeder:DB2</x:v>
      </x:c>
      <x:c r="B10" s="8" t="n">
        <x:v>4</x:v>
      </x:c>
      <x:c r="C10" s="11" t="n">
        <x:v>48.735</x:v>
      </x:c>
      <x:c r="D10" s="11" t="n">
        <x:v>4.33</x:v>
      </x:c>
      <x:c r="E10" s="11" t="n">
        <x:v>-2.24</x:v>
      </x:c>
      <x:c r="F10" s="11" t="n">
        <x:f>SQRT((C10-C9)^2+(D10-D9)^2+(E10-E9)^2)</x:f>
        <x:v>2.58</x:v>
      </x:c>
      <x:c r="G10" s="8" t="str">
        <x:v>Current</x:v>
      </x:c>
    </x:row>
    <x:row r="11" ht="32" customHeight="1">
      <x:c r="A11" s="8" t="str">
        <x:v>feeder:DB2</x:v>
      </x:c>
      <x:c r="B11" s="8" t="n">
        <x:v>5</x:v>
      </x:c>
      <x:c r="C11" s="11" t="n">
        <x:v>48.735</x:v>
      </x:c>
      <x:c r="D11" s="11" t="n">
        <x:v>4.33</x:v>
      </x:c>
      <x:c r="E11" s="11" t="n">
        <x:v>-3.3</x:v>
      </x:c>
      <x:c r="F11" s="11" t="n">
        <x:f>SQRT((C11-C10)^2+(D11-D10)^2+(E11-E10)^2)</x:f>
        <x:v>1.0599999999999996</x:v>
      </x:c>
      <x:c r="G11" s="8" t="str">
        <x:v>Current</x:v>
      </x:c>
    </x:row>
    <x:row r="12" ht="32" customHeight="1">
      <x:c r="A12" s="8" t="str">
        <x:v>feeder:DB2</x:v>
      </x:c>
      <x:c r="B12" s="8" t="n">
        <x:v>6</x:v>
      </x:c>
      <x:c r="C12" s="11" t="n">
        <x:v>53.016</x:v>
      </x:c>
      <x:c r="D12" s="11" t="n">
        <x:v>4.33</x:v>
      </x:c>
      <x:c r="E12" s="11" t="n">
        <x:v>-3.3</x:v>
      </x:c>
      <x:c r="F12" s="11" t="n">
        <x:f>SQRT((C12-C11)^2+(D12-D11)^2+(E12-E11)^2)</x:f>
        <x:v>4.280999999999999</x:v>
      </x:c>
      <x:c r="G12" s="8" t="str">
        <x:v>Current</x:v>
      </x:c>
    </x:row>
    <x:row r="13" ht="32" customHeight="1">
      <x:c r="A13" s="8" t="str">
        <x:v>feeder:DB2</x:v>
      </x:c>
      <x:c r="B13" s="8" t="n">
        <x:v>7</x:v>
      </x:c>
      <x:c r="C13" s="11" t="n">
        <x:v>53.016</x:v>
      </x:c>
      <x:c r="D13" s="11" t="n">
        <x:v>6.26</x:v>
      </x:c>
      <x:c r="E13" s="11" t="n">
        <x:v>-3.3</x:v>
      </x:c>
      <x:c r="F13" s="11" t="n">
        <x:f>SQRT((C13-C12)^2+(D13-D12)^2+(E13-E12)^2)</x:f>
        <x:v>1.9299999999999997</x:v>
      </x:c>
      <x:c r="G13" s="8" t="str">
        <x:v>Current</x:v>
      </x:c>
    </x:row>
    <x:row r="14" ht="32" customHeight="1">
      <x:c r="A14" s="8" t="str">
        <x:v>feeder:DB2</x:v>
      </x:c>
      <x:c r="B14" s="8" t="n">
        <x:v>8</x:v>
      </x:c>
      <x:c r="C14" s="11" t="n">
        <x:v>53.016</x:v>
      </x:c>
      <x:c r="D14" s="11" t="n">
        <x:v>6.26</x:v>
      </x:c>
      <x:c r="E14" s="11" t="n">
        <x:v>-7.36</x:v>
      </x:c>
      <x:c r="F14" s="11" t="n">
        <x:f>SQRT((C14-C13)^2+(D14-D13)^2+(E14-E13)^2)</x:f>
        <x:v>4.0600000000000005</x:v>
      </x:c>
      <x:c r="G14" s="8" t="str">
        <x:v>Current</x:v>
      </x:c>
    </x:row>
    <x:row r="15" ht="32" customHeight="1">
      <x:c r="A15" s="8" t="str">
        <x:v>feeder:DB2</x:v>
      </x:c>
      <x:c r="B15" s="8" t="n">
        <x:v>9</x:v>
      </x:c>
      <x:c r="C15" s="11" t="n">
        <x:v>44.175</x:v>
      </x:c>
      <x:c r="D15" s="11" t="n">
        <x:v>6.26</x:v>
      </x:c>
      <x:c r="E15" s="11" t="n">
        <x:v>-7.36</x:v>
      </x:c>
      <x:c r="F15" s="11" t="n">
        <x:f>SQRT((C15-C14)^2+(D15-D14)^2+(E15-E14)^2)</x:f>
        <x:v>8.841000000000001</x:v>
      </x:c>
      <x:c r="G15" s="8" t="str">
        <x:v>Current</x:v>
      </x:c>
    </x:row>
    <x:row r="16" ht="32" customHeight="1">
      <x:c r="A16" s="8" t="str">
        <x:v>feeder:DB2</x:v>
      </x:c>
      <x:c r="B16" s="8" t="n">
        <x:v>10</x:v>
      </x:c>
      <x:c r="C16" s="11" t="n">
        <x:v>44.175</x:v>
      </x:c>
      <x:c r="D16" s="11" t="n">
        <x:v>7.04</x:v>
      </x:c>
      <x:c r="E16" s="11" t="n">
        <x:v>-7.36</x:v>
      </x:c>
      <x:c r="F16" s="11" t="n">
        <x:f>SQRT((C16-C15)^2+(D16-D15)^2+(E16-E15)^2)</x:f>
        <x:v>0.7800000000000002</x:v>
      </x:c>
      <x:c r="G16" s="8" t="str">
        <x:v>Current</x:v>
      </x:c>
    </x:row>
    <x:row r="17" ht="32" customHeight="1">
      <x:c r="A17" s="8" t="str">
        <x:v>feeder:DB2</x:v>
      </x:c>
      <x:c r="B17" s="8" t="n">
        <x:v>11</x:v>
      </x:c>
      <x:c r="C17" s="11" t="n">
        <x:v>43.535</x:v>
      </x:c>
      <x:c r="D17" s="11" t="n">
        <x:v>7.04</x:v>
      </x:c>
      <x:c r="E17" s="11" t="n">
        <x:v>-7.36</x:v>
      </x:c>
      <x:c r="F17" s="11" t="n">
        <x:f>SQRT((C17-C16)^2+(D17-D16)^2+(E17-E16)^2)</x:f>
        <x:v>0.6400000000000006</x:v>
      </x:c>
      <x:c r="G17" s="8" t="str">
        <x:v>Current</x:v>
      </x:c>
    </x:row>
    <x:row r="18" ht="32" customHeight="1">
      <x:c r="A18" s="8" t="str">
        <x:v>feeder:DB2</x:v>
      </x:c>
      <x:c r="B18" s="8" t="n">
        <x:v>12</x:v>
      </x:c>
      <x:c r="C18" s="11" t="n">
        <x:v>43.455</x:v>
      </x:c>
      <x:c r="D18" s="11" t="n">
        <x:v>6.950412371134024</x:v>
      </x:c>
      <x:c r="E18" s="11" t="n">
        <x:v>-7.36</x:v>
      </x:c>
      <x:c r="F18" s="11" t="n">
        <x:f>SQRT((C18-C17)^2+(D18-D17)^2+(E18-E17)^2)</x:f>
        <x:v>0.12010804821421249</x:v>
      </x:c>
      <x:c r="G18" s="8" t="str">
        <x:v>Current</x:v>
      </x:c>
    </x:row>
    <x:row r="19" ht="32" customHeight="1">
      <x:c r="A19" s="8" t="str">
        <x:v>feeder:DB2</x:v>
      </x:c>
      <x:c r="B19" s="8" t="n">
        <x:v>13</x:v>
      </x:c>
      <x:c r="C19" s="11" t="n">
        <x:v>40.574999999999996</x:v>
      </x:c>
      <x:c r="D19" s="11" t="n">
        <x:v>9.269999999999994</x:v>
      </x:c>
      <x:c r="E19" s="11" t="n">
        <x:v>-7.36</x:v>
      </x:c>
      <x:c r="F19" s="11" t="n">
        <x:f>SQRT((C19-C18)^2+(D19-D18)^2+(E19-E18)^2)</x:f>
        <x:v>3.6979571073753776</x:v>
      </x:c>
      <x:c r="G19" s="8" t="str">
        <x:v>Current</x:v>
      </x:c>
    </x:row>
    <x:row r="20" ht="32" customHeight="1">
      <x:c r="A20" s="8" t="str">
        <x:v>feeder:DB2</x:v>
      </x:c>
      <x:c r="B20" s="8" t="n">
        <x:v>14</x:v>
      </x:c>
      <x:c r="C20" s="11" t="n">
        <x:v>37.695</x:v>
      </x:c>
      <x:c r="D20" s="11" t="n">
        <x:v>6.950412371134018</x:v>
      </x:c>
      <x:c r="E20" s="11" t="n">
        <x:v>-7.36</x:v>
      </x:c>
      <x:c r="F20" s="11" t="n">
        <x:f>SQRT((C20-C19)^2+(D20-D19)^2+(E20-E19)^2)</x:f>
        <x:v>3.697957107375376</x:v>
      </x:c>
      <x:c r="G20" s="8" t="str">
        <x:v>Current</x:v>
      </x:c>
    </x:row>
    <x:row r="21" ht="32" customHeight="1">
      <x:c r="A21" s="8" t="str">
        <x:v>feeder:DB2</x:v>
      </x:c>
      <x:c r="B21" s="8" t="n">
        <x:v>15</x:v>
      </x:c>
      <x:c r="C21" s="11" t="n">
        <x:v>37.615</x:v>
      </x:c>
      <x:c r="D21" s="11" t="n">
        <x:v>7.04</x:v>
      </x:c>
      <x:c r="E21" s="11" t="n">
        <x:v>-7.36</x:v>
      </x:c>
      <x:c r="F21" s="11" t="n">
        <x:f>SQRT((C21-C20)^2+(D21-D20)^2+(E21-E20)^2)</x:f>
        <x:v>0.12010804821421713</x:v>
      </x:c>
      <x:c r="G21" s="8" t="str">
        <x:v>Current</x:v>
      </x:c>
    </x:row>
    <x:row r="22" ht="32" customHeight="1">
      <x:c r="A22" s="8" t="str">
        <x:v>feeder:DB2</x:v>
      </x:c>
      <x:c r="B22" s="8" t="n">
        <x:v>16</x:v>
      </x:c>
      <x:c r="C22" s="11" t="n">
        <x:v>36.975</x:v>
      </x:c>
      <x:c r="D22" s="11" t="n">
        <x:v>7.04</x:v>
      </x:c>
      <x:c r="E22" s="11" t="n">
        <x:v>-7.36</x:v>
      </x:c>
      <x:c r="F22" s="11" t="n">
        <x:f>SQRT((C22-C21)^2+(D22-D21)^2+(E22-E21)^2)</x:f>
        <x:v>0.6400000000000006</x:v>
      </x:c>
      <x:c r="G22" s="8" t="str">
        <x:v>Current</x:v>
      </x:c>
    </x:row>
    <x:row r="23" ht="32" customHeight="1">
      <x:c r="A23" s="8" t="str">
        <x:v>feeder:DB2</x:v>
      </x:c>
      <x:c r="B23" s="8" t="n">
        <x:v>17</x:v>
      </x:c>
      <x:c r="C23" s="11" t="n">
        <x:v>36.975</x:v>
      </x:c>
      <x:c r="D23" s="11" t="n">
        <x:v>6.26</x:v>
      </x:c>
      <x:c r="E23" s="11" t="n">
        <x:v>-7.36</x:v>
      </x:c>
      <x:c r="F23" s="11" t="n">
        <x:f>SQRT((C23-C22)^2+(D23-D22)^2+(E23-E22)^2)</x:f>
        <x:v>0.7800000000000002</x:v>
      </x:c>
      <x:c r="G23" s="8" t="str">
        <x:v>Current</x:v>
      </x:c>
    </x:row>
    <x:row r="24" ht="32" customHeight="1">
      <x:c r="A24" s="8" t="str">
        <x:v>feeder:DB2</x:v>
      </x:c>
      <x:c r="B24" s="8" t="n">
        <x:v>18</x:v>
      </x:c>
      <x:c r="C24" s="11" t="n">
        <x:v>5.475</x:v>
      </x:c>
      <x:c r="D24" s="11" t="n">
        <x:v>6.26</x:v>
      </x:c>
      <x:c r="E24" s="11" t="n">
        <x:v>-7.36</x:v>
      </x:c>
      <x:c r="F24" s="11" t="n">
        <x:f>SQRT((C24-C23)^2+(D24-D23)^2+(E24-E23)^2)</x:f>
        <x:v>31.5</x:v>
      </x:c>
      <x:c r="G24" s="8" t="str">
        <x:v>Current</x:v>
      </x:c>
    </x:row>
    <x:row r="25" ht="32" customHeight="1">
      <x:c r="A25" s="8" t="str">
        <x:v>feeder:DB2</x:v>
      </x:c>
      <x:c r="B25" s="8" t="n">
        <x:v>19</x:v>
      </x:c>
      <x:c r="C25" s="11" t="n">
        <x:v>2.35</x:v>
      </x:c>
      <x:c r="D25" s="11" t="n">
        <x:v>6.26</x:v>
      </x:c>
      <x:c r="E25" s="11" t="n">
        <x:v>-7.36</x:v>
      </x:c>
      <x:c r="F25" s="11" t="n">
        <x:f>SQRT((C25-C24)^2+(D25-D24)^2+(E25-E24)^2)</x:f>
        <x:v>3.1249999999999996</x:v>
      </x:c>
      <x:c r="G25" s="8" t="str">
        <x:v>Current</x:v>
      </x:c>
    </x:row>
    <x:row r="26" ht="32" customHeight="1">
      <x:c r="A26" s="8" t="str">
        <x:v>feeder:DB2</x:v>
      </x:c>
      <x:c r="B26" s="8" t="n">
        <x:v>20</x:v>
      </x:c>
      <x:c r="C26" s="11" t="n">
        <x:v>2.35</x:v>
      </x:c>
      <x:c r="D26" s="11" t="n">
        <x:v>7.65</x:v>
      </x:c>
      <x:c r="E26" s="11" t="n">
        <x:v>-7.36</x:v>
      </x:c>
      <x:c r="F26" s="11" t="n">
        <x:f>SQRT((C26-C25)^2+(D26-D25)^2+(E26-E25)^2)</x:f>
        <x:v>1.3900000000000006</x:v>
      </x:c>
      <x:c r="G26" s="8" t="str">
        <x:v>Current</x:v>
      </x:c>
    </x:row>
    <x:row r="27" ht="32" customHeight="1">
      <x:c r="A27" s="8" t="str">
        <x:v>feeder:DB2</x:v>
      </x:c>
      <x:c r="B27" s="8" t="n">
        <x:v>21</x:v>
      </x:c>
      <x:c r="C27" s="11" t="n">
        <x:v>2.35</x:v>
      </x:c>
      <x:c r="D27" s="11" t="n">
        <x:v>7.65</x:v>
      </x:c>
      <x:c r="E27" s="11" t="n">
        <x:v>-3.3</x:v>
      </x:c>
      <x:c r="F27" s="11" t="n">
        <x:f>SQRT((C27-C26)^2+(D27-D26)^2+(E27-E26)^2)</x:f>
        <x:v>4.0600000000000005</x:v>
      </x:c>
      <x:c r="G27" s="8" t="str">
        <x:v>Current</x:v>
      </x:c>
    </x:row>
    <x:row r="28" ht="32" customHeight="1">
      <x:c r="A28" s="8" t="str">
        <x:v>feeder:DB2</x:v>
      </x:c>
      <x:c r="B28" s="8" t="n">
        <x:v>22</x:v>
      </x:c>
      <x:c r="C28" s="11" t="n">
        <x:v>2.35</x:v>
      </x:c>
      <x:c r="D28" s="11" t="n">
        <x:v>1.5</x:v>
      </x:c>
      <x:c r="E28" s="11" t="n">
        <x:v>-3.3</x:v>
      </x:c>
      <x:c r="F28" s="11" t="n">
        <x:f>SQRT((C28-C27)^2+(D28-D27)^2+(E28-E27)^2)</x:f>
        <x:v>6.15</x:v>
      </x:c>
      <x:c r="G28" s="8" t="str">
        <x:v>Current</x:v>
      </x:c>
    </x:row>
    <x:row r="29" ht="32" customHeight="1">
      <x:c r="A29" s="8" t="str">
        <x:v>feeder:DB2</x:v>
      </x:c>
      <x:c r="B29" s="8" t="n">
        <x:v>23</x:v>
      </x:c>
      <x:c r="C29" s="11" t="n">
        <x:v>2.73</x:v>
      </x:c>
      <x:c r="D29" s="11" t="n">
        <x:v>1.5</x:v>
      </x:c>
      <x:c r="E29" s="11" t="n">
        <x:v>-3.3</x:v>
      </x:c>
      <x:c r="F29" s="11" t="n">
        <x:f>SQRT((C29-C28)^2+(D29-D28)^2+(E29-E28)^2)</x:f>
        <x:v>0.3799999999999999</x:v>
      </x:c>
      <x:c r="G29" s="8" t="str">
        <x:v>Current</x:v>
      </x:c>
    </x:row>
    <x:row r="30" ht="32" customHeight="1">
      <x:c r="A30" s="8" t="str">
        <x:v>feeder:AV1</x:v>
      </x:c>
      <x:c r="B30" s="8" t="n">
        <x:v>1</x:v>
      </x:c>
      <x:c r="C30" s="11" t="n">
        <x:v>48.895</x:v>
      </x:c>
      <x:c r="D30" s="11" t="n">
        <x:v>1.75</x:v>
      </x:c>
      <x:c r="E30" s="11" t="n">
        <x:v>-1.55</x:v>
      </x:c>
      <x:c r="F30" s="11" t="n">
        <x:f>0</x:f>
        <x:v>0</x:v>
      </x:c>
      <x:c r="G30" s="8" t="str">
        <x:v>Current</x:v>
      </x:c>
    </x:row>
    <x:row r="31" ht="32" customHeight="1">
      <x:c r="A31" s="8" t="str">
        <x:v>feeder:AV1</x:v>
      </x:c>
      <x:c r="B31" s="8" t="n">
        <x:v>2</x:v>
      </x:c>
      <x:c r="C31" s="11" t="n">
        <x:v>48.735</x:v>
      </x:c>
      <x:c r="D31" s="11" t="n">
        <x:v>1.75</x:v>
      </x:c>
      <x:c r="E31" s="11" t="n">
        <x:v>-1.55</x:v>
      </x:c>
      <x:c r="F31" s="11" t="n">
        <x:f>SQRT((C31-C30)^2+(D31-D30)^2+(E31-E30)^2)</x:f>
        <x:v>0.1600000000000037</x:v>
      </x:c>
      <x:c r="G31" s="8" t="str">
        <x:v>Current</x:v>
      </x:c>
    </x:row>
    <x:row r="32" ht="32" customHeight="1">
      <x:c r="A32" s="8" t="str">
        <x:v>feeder:AV1</x:v>
      </x:c>
      <x:c r="B32" s="8" t="n">
        <x:v>3</x:v>
      </x:c>
      <x:c r="C32" s="11" t="n">
        <x:v>48.735</x:v>
      </x:c>
      <x:c r="D32" s="11" t="n">
        <x:v>2.42</x:v>
      </x:c>
      <x:c r="E32" s="11" t="n">
        <x:v>-1.55</x:v>
      </x:c>
      <x:c r="F32" s="11" t="n">
        <x:f>SQRT((C32-C31)^2+(D32-D31)^2+(E32-E31)^2)</x:f>
        <x:v>0.6699999999999999</x:v>
      </x:c>
      <x:c r="G32" s="8" t="str">
        <x:v>Current</x:v>
      </x:c>
    </x:row>
    <x:row r="33" ht="32" customHeight="1">
      <x:c r="A33" s="8" t="str">
        <x:v>feeder:AV1</x:v>
      </x:c>
      <x:c r="B33" s="8" t="n">
        <x:v>4</x:v>
      </x:c>
      <x:c r="C33" s="11" t="n">
        <x:v>48.735</x:v>
      </x:c>
      <x:c r="D33" s="11" t="n">
        <x:v>2.42</x:v>
      </x:c>
      <x:c r="E33" s="11" t="n">
        <x:v>1.4</x:v>
      </x:c>
      <x:c r="F33" s="11" t="n">
        <x:f>SQRT((C33-C32)^2+(D33-D32)^2+(E33-E32)^2)</x:f>
        <x:v>2.95</x:v>
      </x:c>
      <x:c r="G33" s="8" t="str">
        <x:v>Current</x:v>
      </x:c>
    </x:row>
    <x:row r="34" ht="32" customHeight="1">
      <x:c r="A34" s="8" t="str">
        <x:v>feeder:AV1</x:v>
      </x:c>
      <x:c r="B34" s="8" t="n">
        <x:v>5</x:v>
      </x:c>
      <x:c r="C34" s="11" t="n">
        <x:v>48.735</x:v>
      </x:c>
      <x:c r="D34" s="11" t="n">
        <x:v>0.95</x:v>
      </x:c>
      <x:c r="E34" s="11" t="n">
        <x:v>1.4</x:v>
      </x:c>
      <x:c r="F34" s="11" t="n">
        <x:f>SQRT((C34-C33)^2+(D34-D33)^2+(E34-E33)^2)</x:f>
        <x:v>1.47</x:v>
      </x:c>
      <x:c r="G34" s="8" t="str">
        <x:v>Current</x:v>
      </x:c>
    </x:row>
    <x:row r="35" ht="32" customHeight="1">
      <x:c r="A35" s="8" t="str">
        <x:v>feeder:AV1</x:v>
      </x:c>
      <x:c r="B35" s="8" t="n">
        <x:v>6</x:v>
      </x:c>
      <x:c r="C35" s="11" t="n">
        <x:v>49.275</x:v>
      </x:c>
      <x:c r="D35" s="11" t="n">
        <x:v>0.95</x:v>
      </x:c>
      <x:c r="E35" s="11" t="n">
        <x:v>1.4</x:v>
      </x:c>
      <x:c r="F35" s="11" t="n">
        <x:f>SQRT((C35-C34)^2+(D35-D34)^2+(E35-E34)^2)</x:f>
        <x:v>0.5399999999999991</x:v>
      </x:c>
      <x:c r="G35" s="8" t="str">
        <x:v>Current</x:v>
      </x:c>
    </x:row>
    <x:row r="36" ht="32" customHeight="1">
      <x:c r="A36" s="8" t="str">
        <x:v>feeder:LC1</x:v>
      </x:c>
      <x:c r="B36" s="8" t="n">
        <x:v>1</x:v>
      </x:c>
      <x:c r="C36" s="11" t="n">
        <x:v>48.895</x:v>
      </x:c>
      <x:c r="D36" s="11" t="n">
        <x:v>1.75</x:v>
      </x:c>
      <x:c r="E36" s="11" t="n">
        <x:v>-1.55</x:v>
      </x:c>
      <x:c r="F36" s="11" t="n">
        <x:f>0</x:f>
        <x:v>0</x:v>
      </x:c>
      <x:c r="G36" s="8" t="str">
        <x:v>Current</x:v>
      </x:c>
    </x:row>
    <x:row r="37" ht="32" customHeight="1">
      <x:c r="A37" s="8" t="str">
        <x:v>feeder:LC1</x:v>
      </x:c>
      <x:c r="B37" s="8" t="n">
        <x:v>2</x:v>
      </x:c>
      <x:c r="C37" s="11" t="n">
        <x:v>48.735</x:v>
      </x:c>
      <x:c r="D37" s="11" t="n">
        <x:v>1.75</x:v>
      </x:c>
      <x:c r="E37" s="11" t="n">
        <x:v>-1.55</x:v>
      </x:c>
      <x:c r="F37" s="11" t="n">
        <x:f>SQRT((C37-C36)^2+(D37-D36)^2+(E37-E36)^2)</x:f>
        <x:v>0.1600000000000037</x:v>
      </x:c>
      <x:c r="G37" s="8" t="str">
        <x:v>Current</x:v>
      </x:c>
    </x:row>
    <x:row r="38" ht="32" customHeight="1">
      <x:c r="A38" s="8" t="str">
        <x:v>feeder:LC1</x:v>
      </x:c>
      <x:c r="B38" s="8" t="n">
        <x:v>3</x:v>
      </x:c>
      <x:c r="C38" s="11" t="n">
        <x:v>48.735</x:v>
      </x:c>
      <x:c r="D38" s="11" t="n">
        <x:v>2.42</x:v>
      </x:c>
      <x:c r="E38" s="11" t="n">
        <x:v>-1.55</x:v>
      </x:c>
      <x:c r="F38" s="11" t="n">
        <x:f>SQRT((C38-C37)^2+(D38-D37)^2+(E38-E37)^2)</x:f>
        <x:v>0.6699999999999999</x:v>
      </x:c>
      <x:c r="G38" s="8" t="str">
        <x:v>Current</x:v>
      </x:c>
    </x:row>
    <x:row r="39" ht="32" customHeight="1">
      <x:c r="A39" s="8" t="str">
        <x:v>feeder:LC1</x:v>
      </x:c>
      <x:c r="B39" s="8" t="n">
        <x:v>4</x:v>
      </x:c>
      <x:c r="C39" s="11" t="n">
        <x:v>48.735</x:v>
      </x:c>
      <x:c r="D39" s="11" t="n">
        <x:v>2.42</x:v>
      </x:c>
      <x:c r="E39" s="11" t="n">
        <x:v>-0.55</x:v>
      </x:c>
      <x:c r="F39" s="11" t="n">
        <x:f>SQRT((C39-C38)^2+(D39-D38)^2+(E39-E38)^2)</x:f>
        <x:v>1</x:v>
      </x:c>
      <x:c r="G39" s="8" t="str">
        <x:v>Current</x:v>
      </x:c>
    </x:row>
    <x:row r="40" ht="32" customHeight="1">
      <x:c r="A40" s="8" t="str">
        <x:v>feeder:LC1</x:v>
      </x:c>
      <x:c r="B40" s="8" t="n">
        <x:v>5</x:v>
      </x:c>
      <x:c r="C40" s="11" t="n">
        <x:v>48.735</x:v>
      </x:c>
      <x:c r="D40" s="11" t="n">
        <x:v>1.85</x:v>
      </x:c>
      <x:c r="E40" s="11" t="n">
        <x:v>-0.55</x:v>
      </x:c>
      <x:c r="F40" s="11" t="n">
        <x:f>SQRT((C40-C39)^2+(D40-D39)^2+(E40-E39)^2)</x:f>
        <x:v>0.5699999999999998</x:v>
      </x:c>
      <x:c r="G40" s="8" t="str">
        <x:v>Current</x:v>
      </x:c>
    </x:row>
    <x:row r="41" ht="32" customHeight="1">
      <x:c r="A41" s="8" t="str">
        <x:v>feeder:LC1</x:v>
      </x:c>
      <x:c r="B41" s="8" t="n">
        <x:v>6</x:v>
      </x:c>
      <x:c r="C41" s="11" t="n">
        <x:v>48.895</x:v>
      </x:c>
      <x:c r="D41" s="11" t="n">
        <x:v>1.85</x:v>
      </x:c>
      <x:c r="E41" s="11" t="n">
        <x:v>-0.55</x:v>
      </x:c>
      <x:c r="F41" s="11" t="n">
        <x:f>SQRT((C41-C40)^2+(D41-D40)^2+(E41-E40)^2)</x:f>
        <x:v>0.1600000000000037</x:v>
      </x:c>
      <x:c r="G41" s="8" t="str">
        <x:v>Current</x:v>
      </x:c>
    </x:row>
    <x:row r="42" ht="32" customHeight="1">
      <x:c r="A42" s="8" t="str">
        <x:v>feeder:FC1</x:v>
      </x:c>
      <x:c r="B42" s="8" t="n">
        <x:v>1</x:v>
      </x:c>
      <x:c r="C42" s="11" t="n">
        <x:v>48.895</x:v>
      </x:c>
      <x:c r="D42" s="11" t="n">
        <x:v>1.75</x:v>
      </x:c>
      <x:c r="E42" s="11" t="n">
        <x:v>-1.55</x:v>
      </x:c>
      <x:c r="F42" s="11" t="n">
        <x:f>0</x:f>
        <x:v>0</x:v>
      </x:c>
      <x:c r="G42" s="8" t="str">
        <x:v>Current</x:v>
      </x:c>
    </x:row>
    <x:row r="43" ht="32" customHeight="1">
      <x:c r="A43" s="8" t="str">
        <x:v>feeder:FC1</x:v>
      </x:c>
      <x:c r="B43" s="8" t="n">
        <x:v>2</x:v>
      </x:c>
      <x:c r="C43" s="11" t="n">
        <x:v>48.735</x:v>
      </x:c>
      <x:c r="D43" s="11" t="n">
        <x:v>1.75</x:v>
      </x:c>
      <x:c r="E43" s="11" t="n">
        <x:v>-1.55</x:v>
      </x:c>
      <x:c r="F43" s="11" t="n">
        <x:f>SQRT((C43-C42)^2+(D43-D42)^2+(E43-E42)^2)</x:f>
        <x:v>0.1600000000000037</x:v>
      </x:c>
      <x:c r="G43" s="8" t="str">
        <x:v>Current</x:v>
      </x:c>
    </x:row>
    <x:row r="44" ht="32" customHeight="1">
      <x:c r="A44" s="8" t="str">
        <x:v>feeder:FC1</x:v>
      </x:c>
      <x:c r="B44" s="8" t="n">
        <x:v>3</x:v>
      </x:c>
      <x:c r="C44" s="11" t="n">
        <x:v>48.735</x:v>
      </x:c>
      <x:c r="D44" s="11" t="n">
        <x:v>2.42</x:v>
      </x:c>
      <x:c r="E44" s="11" t="n">
        <x:v>-1.55</x:v>
      </x:c>
      <x:c r="F44" s="11" t="n">
        <x:f>SQRT((C44-C43)^2+(D44-D43)^2+(E44-E43)^2)</x:f>
        <x:v>0.6699999999999999</x:v>
      </x:c>
      <x:c r="G44" s="8" t="str">
        <x:v>Current</x:v>
      </x:c>
    </x:row>
    <x:row r="45" ht="32" customHeight="1">
      <x:c r="A45" s="8" t="str">
        <x:v>feeder:FC1</x:v>
      </x:c>
      <x:c r="B45" s="8" t="n">
        <x:v>4</x:v>
      </x:c>
      <x:c r="C45" s="11" t="n">
        <x:v>48.735</x:v>
      </x:c>
      <x:c r="D45" s="11" t="n">
        <x:v>2.42</x:v>
      </x:c>
      <x:c r="E45" s="11" t="n">
        <x:v>0.4</x:v>
      </x:c>
      <x:c r="F45" s="11" t="n">
        <x:f>SQRT((C45-C44)^2+(D45-D44)^2+(E45-E44)^2)</x:f>
        <x:v>1.9500000000000002</x:v>
      </x:c>
      <x:c r="G45" s="8" t="str">
        <x:v>Current</x:v>
      </x:c>
    </x:row>
    <x:row r="46" ht="32" customHeight="1">
      <x:c r="A46" s="8" t="str">
        <x:v>feeder:FC1</x:v>
      </x:c>
      <x:c r="B46" s="8" t="n">
        <x:v>5</x:v>
      </x:c>
      <x:c r="C46" s="11" t="n">
        <x:v>48.735</x:v>
      </x:c>
      <x:c r="D46" s="11" t="n">
        <x:v>1.95</x:v>
      </x:c>
      <x:c r="E46" s="11" t="n">
        <x:v>0.4</x:v>
      </x:c>
      <x:c r="F46" s="11" t="n">
        <x:f>SQRT((C46-C45)^2+(D46-D45)^2+(E46-E45)^2)</x:f>
        <x:v>0.47</x:v>
      </x:c>
      <x:c r="G46" s="8" t="str">
        <x:v>Current</x:v>
      </x:c>
    </x:row>
    <x:row r="47" ht="32" customHeight="1">
      <x:c r="A47" s="8" t="str">
        <x:v>feeder:FC1</x:v>
      </x:c>
      <x:c r="B47" s="8" t="n">
        <x:v>6</x:v>
      </x:c>
      <x:c r="C47" s="11" t="n">
        <x:v>48.895</x:v>
      </x:c>
      <x:c r="D47" s="11" t="n">
        <x:v>1.95</x:v>
      </x:c>
      <x:c r="E47" s="11" t="n">
        <x:v>0.4</x:v>
      </x:c>
      <x:c r="F47" s="11" t="n">
        <x:f>SQRT((C47-C46)^2+(D47-D46)^2+(E47-E46)^2)</x:f>
        <x:v>0.1600000000000037</x:v>
      </x:c>
      <x:c r="G47" s="8" t="str">
        <x:v>Current</x:v>
      </x:c>
    </x:row>
    <x:row r="48" ht="32" customHeight="1">
      <x:c r="A48" s="8" t="str">
        <x:v>trunk:DB1:P1:power:-1</x:v>
      </x:c>
      <x:c r="B48" s="8" t="n">
        <x:v>1</x:v>
      </x:c>
      <x:c r="C48" s="11" t="n">
        <x:v>48.895</x:v>
      </x:c>
      <x:c r="D48" s="11" t="n">
        <x:v>1.75</x:v>
      </x:c>
      <x:c r="E48" s="11" t="n">
        <x:v>-1.55</x:v>
      </x:c>
      <x:c r="F48" s="11" t="n">
        <x:f>0</x:f>
        <x:v>0</x:v>
      </x:c>
      <x:c r="G48" s="8" t="str">
        <x:v>Current</x:v>
      </x:c>
    </x:row>
    <x:row r="49" ht="32" customHeight="1">
      <x:c r="A49" s="8" t="str">
        <x:v>trunk:DB1:P1:power:-1</x:v>
      </x:c>
      <x:c r="B49" s="8" t="n">
        <x:v>2</x:v>
      </x:c>
      <x:c r="C49" s="11" t="n">
        <x:v>48.735</x:v>
      </x:c>
      <x:c r="D49" s="11" t="n">
        <x:v>1.75</x:v>
      </x:c>
      <x:c r="E49" s="11" t="n">
        <x:v>-1.55</x:v>
      </x:c>
      <x:c r="F49" s="11" t="n">
        <x:f>SQRT((C49-C48)^2+(D49-D48)^2+(E49-E48)^2)</x:f>
        <x:v>0.1600000000000037</x:v>
      </x:c>
      <x:c r="G49" s="8" t="str">
        <x:v>Current</x:v>
      </x:c>
    </x:row>
    <x:row r="50" ht="32" customHeight="1">
      <x:c r="A50" s="8" t="str">
        <x:v>trunk:DB1:P1:power:-1</x:v>
      </x:c>
      <x:c r="B50" s="8" t="n">
        <x:v>3</x:v>
      </x:c>
      <x:c r="C50" s="11" t="n">
        <x:v>48.735</x:v>
      </x:c>
      <x:c r="D50" s="11" t="n">
        <x:v>1.75</x:v>
      </x:c>
      <x:c r="E50" s="11" t="n">
        <x:v>-2.24</x:v>
      </x:c>
      <x:c r="F50" s="11" t="n">
        <x:f>SQRT((C50-C49)^2+(D50-D49)^2+(E50-E49)^2)</x:f>
        <x:v>0.6900000000000002</x:v>
      </x:c>
      <x:c r="G50" s="8" t="str">
        <x:v>Current</x:v>
      </x:c>
    </x:row>
    <x:row r="51" ht="32" customHeight="1">
      <x:c r="A51" s="8" t="str">
        <x:v>trunk:DB1:P1:power:-1</x:v>
      </x:c>
      <x:c r="B51" s="8" t="n">
        <x:v>4</x:v>
      </x:c>
      <x:c r="C51" s="11" t="n">
        <x:v>48.735</x:v>
      </x:c>
      <x:c r="D51" s="11" t="n">
        <x:v>4.33</x:v>
      </x:c>
      <x:c r="E51" s="11" t="n">
        <x:v>-2.24</x:v>
      </x:c>
      <x:c r="F51" s="11" t="n">
        <x:f>SQRT((C51-C50)^2+(D51-D50)^2+(E51-E50)^2)</x:f>
        <x:v>2.58</x:v>
      </x:c>
      <x:c r="G51" s="8" t="str">
        <x:v>Current</x:v>
      </x:c>
    </x:row>
    <x:row r="52" ht="32" customHeight="1">
      <x:c r="A52" s="8" t="str">
        <x:v>trunk:DB1:P1:power:-1</x:v>
      </x:c>
      <x:c r="B52" s="8" t="n">
        <x:v>5</x:v>
      </x:c>
      <x:c r="C52" s="11" t="n">
        <x:v>48.735</x:v>
      </x:c>
      <x:c r="D52" s="11" t="n">
        <x:v>4.33</x:v>
      </x:c>
      <x:c r="E52" s="11" t="n">
        <x:v>-3.3</x:v>
      </x:c>
      <x:c r="F52" s="11" t="n">
        <x:f>SQRT((C52-C51)^2+(D52-D51)^2+(E52-E51)^2)</x:f>
        <x:v>1.0599999999999996</x:v>
      </x:c>
      <x:c r="G52" s="8" t="str">
        <x:v>Current</x:v>
      </x:c>
    </x:row>
    <x:row r="53" ht="32" customHeight="1">
      <x:c r="A53" s="8" t="str">
        <x:v>trunk:DB1:P1:power:-1</x:v>
      </x:c>
      <x:c r="B53" s="8" t="n">
        <x:v>6</x:v>
      </x:c>
      <x:c r="C53" s="11" t="n">
        <x:v>53.016</x:v>
      </x:c>
      <x:c r="D53" s="11" t="n">
        <x:v>4.33</x:v>
      </x:c>
      <x:c r="E53" s="11" t="n">
        <x:v>-3.3</x:v>
      </x:c>
      <x:c r="F53" s="11" t="n">
        <x:f>SQRT((C53-C52)^2+(D53-D52)^2+(E53-E52)^2)</x:f>
        <x:v>4.280999999999999</x:v>
      </x:c>
      <x:c r="G53" s="8" t="str">
        <x:v>Current</x:v>
      </x:c>
    </x:row>
    <x:row r="54" ht="32" customHeight="1">
      <x:c r="A54" s="8" t="str">
        <x:v>trunk:DB1:P1:power:-1</x:v>
      </x:c>
      <x:c r="B54" s="8" t="n">
        <x:v>7</x:v>
      </x:c>
      <x:c r="C54" s="11" t="n">
        <x:v>53.016</x:v>
      </x:c>
      <x:c r="D54" s="11" t="n">
        <x:v>6.1080000000000005</x:v>
      </x:c>
      <x:c r="E54" s="11" t="n">
        <x:v>-3.3</x:v>
      </x:c>
      <x:c r="F54" s="11" t="n">
        <x:f>SQRT((C54-C53)^2+(D54-D53)^2+(E54-E53)^2)</x:f>
        <x:v>1.7780000000000005</x:v>
      </x:c>
      <x:c r="G54" s="8" t="str">
        <x:v>Current</x:v>
      </x:c>
    </x:row>
    <x:row r="55" ht="32" customHeight="1">
      <x:c r="A55" s="8" t="str">
        <x:v>trunk:DB1:P1:power:-1</x:v>
      </x:c>
      <x:c r="B55" s="8" t="n">
        <x:v>8</x:v>
      </x:c>
      <x:c r="C55" s="11" t="n">
        <x:v>53.016</x:v>
      </x:c>
      <x:c r="D55" s="11" t="n">
        <x:v>6.1080000000000005</x:v>
      </x:c>
      <x:c r="E55" s="11" t="n">
        <x:v>-7.36</x:v>
      </x:c>
      <x:c r="F55" s="11" t="n">
        <x:f>SQRT((C55-C54)^2+(D55-D54)^2+(E55-E54)^2)</x:f>
        <x:v>4.0600000000000005</x:v>
      </x:c>
      <x:c r="G55" s="8" t="str">
        <x:v>Current</x:v>
      </x:c>
    </x:row>
    <x:row r="56" ht="32" customHeight="1">
      <x:c r="A56" s="8" t="str">
        <x:v>trunk:DB1:P1:power:-1</x:v>
      </x:c>
      <x:c r="B56" s="8" t="n">
        <x:v>9</x:v>
      </x:c>
      <x:c r="C56" s="11" t="n">
        <x:v>44.175</x:v>
      </x:c>
      <x:c r="D56" s="11" t="n">
        <x:v>6.1080000000000005</x:v>
      </x:c>
      <x:c r="E56" s="11" t="n">
        <x:v>-7.36</x:v>
      </x:c>
      <x:c r="F56" s="11" t="n">
        <x:f>SQRT((C56-C55)^2+(D56-D55)^2+(E56-E55)^2)</x:f>
        <x:v>8.841000000000001</x:v>
      </x:c>
      <x:c r="G56" s="8" t="str">
        <x:v>Current</x:v>
      </x:c>
    </x:row>
    <x:row r="57" ht="32" customHeight="1">
      <x:c r="A57" s="8" t="str">
        <x:v>trunk:DB1:P1:power:-1</x:v>
      </x:c>
      <x:c r="B57" s="8" t="n">
        <x:v>10</x:v>
      </x:c>
      <x:c r="C57" s="11" t="n">
        <x:v>44.175</x:v>
      </x:c>
      <x:c r="D57" s="11" t="n">
        <x:v>7.04</x:v>
      </x:c>
      <x:c r="E57" s="11" t="n">
        <x:v>-7.36</x:v>
      </x:c>
      <x:c r="F57" s="11" t="n">
        <x:f>SQRT((C57-C56)^2+(D57-D56)^2+(E57-E56)^2)</x:f>
        <x:v>0.9319999999999995</x:v>
      </x:c>
      <x:c r="G57" s="8" t="str">
        <x:v>Current</x:v>
      </x:c>
    </x:row>
    <x:row r="58" ht="32" customHeight="1">
      <x:c r="A58" s="8" t="str">
        <x:v>trunk:DB1:P1:power:-1</x:v>
      </x:c>
      <x:c r="B58" s="8" t="n">
        <x:v>11</x:v>
      </x:c>
      <x:c r="C58" s="11" t="n">
        <x:v>43.535</x:v>
      </x:c>
      <x:c r="D58" s="11" t="n">
        <x:v>7.04</x:v>
      </x:c>
      <x:c r="E58" s="11" t="n">
        <x:v>-7.36</x:v>
      </x:c>
      <x:c r="F58" s="11" t="n">
        <x:f>SQRT((C58-C57)^2+(D58-D57)^2+(E58-E57)^2)</x:f>
        <x:v>0.6400000000000006</x:v>
      </x:c>
      <x:c r="G58" s="8" t="str">
        <x:v>Current</x:v>
      </x:c>
    </x:row>
    <x:row r="59" ht="32" customHeight="1">
      <x:c r="A59" s="8" t="str">
        <x:v>trunk:DB1:P1:power:-1</x:v>
      </x:c>
      <x:c r="B59" s="8" t="n">
        <x:v>12</x:v>
      </x:c>
      <x:c r="C59" s="11" t="n">
        <x:v>43.455</x:v>
      </x:c>
      <x:c r="D59" s="11" t="n">
        <x:v>6.950412371134024</x:v>
      </x:c>
      <x:c r="E59" s="11" t="n">
        <x:v>-7.36</x:v>
      </x:c>
      <x:c r="F59" s="11" t="n">
        <x:f>SQRT((C59-C58)^2+(D59-D58)^2+(E59-E58)^2)</x:f>
        <x:v>0.12010804821421249</x:v>
      </x:c>
      <x:c r="G59" s="8" t="str">
        <x:v>Current</x:v>
      </x:c>
    </x:row>
    <x:row r="60" ht="32" customHeight="1">
      <x:c r="A60" s="8" t="str">
        <x:v>trunk:DB1:P1:power:-1</x:v>
      </x:c>
      <x:c r="B60" s="8" t="n">
        <x:v>13</x:v>
      </x:c>
      <x:c r="C60" s="11" t="n">
        <x:v>40.574999999999996</x:v>
      </x:c>
      <x:c r="D60" s="11" t="n">
        <x:v>9.269999999999994</x:v>
      </x:c>
      <x:c r="E60" s="11" t="n">
        <x:v>-7.36</x:v>
      </x:c>
      <x:c r="F60" s="11" t="n">
        <x:f>SQRT((C60-C59)^2+(D60-D59)^2+(E60-E59)^2)</x:f>
        <x:v>3.6979571073753776</x:v>
      </x:c>
      <x:c r="G60" s="8" t="str">
        <x:v>Current</x:v>
      </x:c>
    </x:row>
    <x:row r="61" ht="32" customHeight="1">
      <x:c r="A61" s="8" t="str">
        <x:v>trunk:DB1:P1:power:-1</x:v>
      </x:c>
      <x:c r="B61" s="8" t="n">
        <x:v>14</x:v>
      </x:c>
      <x:c r="C61" s="11" t="n">
        <x:v>37.695</x:v>
      </x:c>
      <x:c r="D61" s="11" t="n">
        <x:v>6.950412371134018</x:v>
      </x:c>
      <x:c r="E61" s="11" t="n">
        <x:v>-7.36</x:v>
      </x:c>
      <x:c r="F61" s="11" t="n">
        <x:f>SQRT((C61-C60)^2+(D61-D60)^2+(E61-E60)^2)</x:f>
        <x:v>3.697957107375376</x:v>
      </x:c>
      <x:c r="G61" s="8" t="str">
        <x:v>Current</x:v>
      </x:c>
    </x:row>
    <x:row r="62" ht="32" customHeight="1">
      <x:c r="A62" s="8" t="str">
        <x:v>trunk:DB1:P1:power:-1</x:v>
      </x:c>
      <x:c r="B62" s="8" t="n">
        <x:v>15</x:v>
      </x:c>
      <x:c r="C62" s="11" t="n">
        <x:v>37.615</x:v>
      </x:c>
      <x:c r="D62" s="11" t="n">
        <x:v>7.04</x:v>
      </x:c>
      <x:c r="E62" s="11" t="n">
        <x:v>-7.36</x:v>
      </x:c>
      <x:c r="F62" s="11" t="n">
        <x:f>SQRT((C62-C61)^2+(D62-D61)^2+(E62-E61)^2)</x:f>
        <x:v>0.12010804821421713</x:v>
      </x:c>
      <x:c r="G62" s="8" t="str">
        <x:v>Current</x:v>
      </x:c>
    </x:row>
    <x:row r="63" ht="32" customHeight="1">
      <x:c r="A63" s="8" t="str">
        <x:v>trunk:DB1:P1:power:-1</x:v>
      </x:c>
      <x:c r="B63" s="8" t="n">
        <x:v>16</x:v>
      </x:c>
      <x:c r="C63" s="11" t="n">
        <x:v>36.975</x:v>
      </x:c>
      <x:c r="D63" s="11" t="n">
        <x:v>7.04</x:v>
      </x:c>
      <x:c r="E63" s="11" t="n">
        <x:v>-7.36</x:v>
      </x:c>
      <x:c r="F63" s="11" t="n">
        <x:f>SQRT((C63-C62)^2+(D63-D62)^2+(E63-E62)^2)</x:f>
        <x:v>0.6400000000000006</x:v>
      </x:c>
      <x:c r="G63" s="8" t="str">
        <x:v>Current</x:v>
      </x:c>
    </x:row>
    <x:row r="64" ht="32" customHeight="1">
      <x:c r="A64" s="8" t="str">
        <x:v>trunk:DB1:P1:power:-1</x:v>
      </x:c>
      <x:c r="B64" s="8" t="n">
        <x:v>17</x:v>
      </x:c>
      <x:c r="C64" s="11" t="n">
        <x:v>36.975</x:v>
      </x:c>
      <x:c r="D64" s="11" t="n">
        <x:v>6.1080000000000005</x:v>
      </x:c>
      <x:c r="E64" s="11" t="n">
        <x:v>-7.36</x:v>
      </x:c>
      <x:c r="F64" s="11" t="n">
        <x:f>SQRT((C64-C63)^2+(D64-D63)^2+(E64-E63)^2)</x:f>
        <x:v>0.9319999999999995</x:v>
      </x:c>
      <x:c r="G64" s="8" t="str">
        <x:v>Current</x:v>
      </x:c>
    </x:row>
    <x:row r="65" ht="32" customHeight="1">
      <x:c r="A65" s="8" t="str">
        <x:v>trunk:DB1:P1:power:-1</x:v>
      </x:c>
      <x:c r="B65" s="8" t="n">
        <x:v>18</x:v>
      </x:c>
      <x:c r="C65" s="11" t="n">
        <x:v>22.83</x:v>
      </x:c>
      <x:c r="D65" s="11" t="n">
        <x:v>6.1080000000000005</x:v>
      </x:c>
      <x:c r="E65" s="11" t="n">
        <x:v>-7.36</x:v>
      </x:c>
      <x:c r="F65" s="11" t="n">
        <x:f>SQRT((C65-C64)^2+(D65-D64)^2+(E65-E64)^2)</x:f>
        <x:v>14.145000000000003</x:v>
      </x:c>
      <x:c r="G65" s="8" t="str">
        <x:v>Current</x:v>
      </x:c>
    </x:row>
    <x:row r="66" ht="32" customHeight="1">
      <x:c r="A66" s="8" t="str">
        <x:v>drop:DB1:P1:power:-1:P-SANCT-B</x:v>
      </x:c>
      <x:c r="B66" s="8" t="n">
        <x:v>1</x:v>
      </x:c>
      <x:c r="C66" s="11" t="n">
        <x:v>44.175</x:v>
      </x:c>
      <x:c r="D66" s="11" t="n">
        <x:v>6.1080000000000005</x:v>
      </x:c>
      <x:c r="E66" s="11" t="n">
        <x:v>-7.36</x:v>
      </x:c>
      <x:c r="F66" s="11" t="n">
        <x:f>0</x:f>
        <x:v>0</x:v>
      </x:c>
      <x:c r="G66" s="8" t="str">
        <x:v>Current</x:v>
      </x:c>
    </x:row>
    <x:row r="67" ht="32" customHeight="1">
      <x:c r="A67" s="8" t="str">
        <x:v>drop:DB1:P1:power:-1:P-SANCT-B</x:v>
      </x:c>
      <x:c r="B67" s="8" t="n">
        <x:v>2</x:v>
      </x:c>
      <x:c r="C67" s="11" t="n">
        <x:v>44.175</x:v>
      </x:c>
      <x:c r="D67" s="11" t="n">
        <x:v>0.85</x:v>
      </x:c>
      <x:c r="E67" s="11" t="n">
        <x:v>-7.36</x:v>
      </x:c>
      <x:c r="F67" s="11" t="n">
        <x:f>SQRT((C67-C66)^2+(D67-D66)^2+(E67-E66)^2)</x:f>
        <x:v>5.258000000000001</x:v>
      </x:c>
      <x:c r="G67" s="8" t="str">
        <x:v>Current</x:v>
      </x:c>
    </x:row>
    <x:row r="68" ht="32" customHeight="1">
      <x:c r="A68" s="8" t="str">
        <x:v>drop:DB1:P1:power:-1:P-SANCT-B</x:v>
      </x:c>
      <x:c r="B68" s="8" t="n">
        <x:v>3</x:v>
      </x:c>
      <x:c r="C68" s="11" t="n">
        <x:v>43.89</x:v>
      </x:c>
      <x:c r="D68" s="11" t="n">
        <x:v>0.85</x:v>
      </x:c>
      <x:c r="E68" s="11" t="n">
        <x:v>-7.36</x:v>
      </x:c>
      <x:c r="F68" s="11" t="n">
        <x:f>SQRT((C68-C67)^2+(D68-D67)^2+(E68-E67)^2)</x:f>
        <x:v>0.2849999999999966</x:v>
      </x:c>
      <x:c r="G68" s="8" t="str">
        <x:v>Current</x:v>
      </x:c>
    </x:row>
    <x:row r="69" ht="32" customHeight="1">
      <x:c r="A69" s="8" t="str">
        <x:v>drop:DB1:P1:power:-1:P-SANCT-B</x:v>
      </x:c>
      <x:c r="B69" s="8" t="n">
        <x:v>4</x:v>
      </x:c>
      <x:c r="C69" s="11" t="n">
        <x:v>43.89</x:v>
      </x:c>
      <x:c r="D69" s="11" t="n">
        <x:v>0.85</x:v>
      </x:c>
      <x:c r="E69" s="11" t="n">
        <x:v>-7.25</x:v>
      </x:c>
      <x:c r="F69" s="11" t="n">
        <x:f>SQRT((C69-C68)^2+(D69-D68)^2+(E69-E68)^2)</x:f>
        <x:v>0.11000000000000032</x:v>
      </x:c>
      <x:c r="G69" s="8" t="str">
        <x:v>Current</x:v>
      </x:c>
    </x:row>
    <x:row r="70" ht="32" customHeight="1">
      <x:c r="A70" s="8" t="str">
        <x:v>drop:DB1:P1:power:-1:P-NAVE-B</x:v>
      </x:c>
      <x:c r="B70" s="8" t="n">
        <x:v>1</x:v>
      </x:c>
      <x:c r="C70" s="11" t="n">
        <x:v>22.83</x:v>
      </x:c>
      <x:c r="D70" s="11" t="n">
        <x:v>6.1080000000000005</x:v>
      </x:c>
      <x:c r="E70" s="11" t="n">
        <x:v>-7.36</x:v>
      </x:c>
      <x:c r="F70" s="11" t="n">
        <x:f>0</x:f>
        <x:v>0</x:v>
      </x:c>
      <x:c r="G70" s="8" t="str">
        <x:v>Current</x:v>
      </x:c>
    </x:row>
    <x:row r="71" ht="32" customHeight="1">
      <x:c r="A71" s="8" t="str">
        <x:v>drop:DB1:P1:power:-1:P-NAVE-B</x:v>
      </x:c>
      <x:c r="B71" s="8" t="n">
        <x:v>2</x:v>
      </x:c>
      <x:c r="C71" s="11" t="n">
        <x:v>22.83</x:v>
      </x:c>
      <x:c r="D71" s="11" t="n">
        <x:v>0.45</x:v>
      </x:c>
      <x:c r="E71" s="11" t="n">
        <x:v>-7.36</x:v>
      </x:c>
      <x:c r="F71" s="11" t="n">
        <x:f>SQRT((C71-C70)^2+(D71-D70)^2+(E71-E70)^2)</x:f>
        <x:v>5.658</x:v>
      </x:c>
      <x:c r="G71" s="8" t="str">
        <x:v>Current</x:v>
      </x:c>
    </x:row>
    <x:row r="72" ht="32" customHeight="1">
      <x:c r="A72" s="8" t="str">
        <x:v>drop:DB1:P1:power:-1:P-NAVE-B</x:v>
      </x:c>
      <x:c r="B72" s="8" t="n">
        <x:v>3</x:v>
      </x:c>
      <x:c r="C72" s="11" t="n">
        <x:v>22.83</x:v>
      </x:c>
      <x:c r="D72" s="11" t="n">
        <x:v>0.45</x:v>
      </x:c>
      <x:c r="E72" s="11" t="n">
        <x:v>-7.25</x:v>
      </x:c>
      <x:c r="F72" s="11" t="n">
        <x:f>SQRT((C72-C71)^2+(D72-D71)^2+(E72-E71)^2)</x:f>
        <x:v>0.11000000000000032</x:v>
      </x:c>
      <x:c r="G72" s="8" t="str">
        <x:v>Current</x:v>
      </x:c>
    </x:row>
    <x:row r="73" ht="32" customHeight="1">
      <x:c r="A73" s="8" t="str">
        <x:v>trunk:DB2:P3:power:-1</x:v>
      </x:c>
      <x:c r="B73" s="8" t="n">
        <x:v>1</x:v>
      </x:c>
      <x:c r="C73" s="11" t="n">
        <x:v>2.73</x:v>
      </x:c>
      <x:c r="D73" s="11" t="n">
        <x:v>1.5</x:v>
      </x:c>
      <x:c r="E73" s="11" t="n">
        <x:v>-3.3</x:v>
      </x:c>
      <x:c r="F73" s="11" t="n">
        <x:f>0</x:f>
        <x:v>0</x:v>
      </x:c>
      <x:c r="G73" s="8" t="str">
        <x:v>Current</x:v>
      </x:c>
    </x:row>
    <x:row r="74" ht="32" customHeight="1">
      <x:c r="A74" s="8" t="str">
        <x:v>trunk:DB2:P3:power:-1</x:v>
      </x:c>
      <x:c r="B74" s="8" t="n">
        <x:v>2</x:v>
      </x:c>
      <x:c r="C74" s="11" t="n">
        <x:v>2.73</x:v>
      </x:c>
      <x:c r="D74" s="11" t="n">
        <x:v>-0.12</x:v>
      </x:c>
      <x:c r="E74" s="11" t="n">
        <x:v>-3.3</x:v>
      </x:c>
      <x:c r="F74" s="11" t="n">
        <x:f>SQRT((C74-C73)^2+(D74-D73)^2+(E74-E73)^2)</x:f>
        <x:v>1.62</x:v>
      </x:c>
      <x:c r="G74" s="8" t="str">
        <x:v>Current</x:v>
      </x:c>
    </x:row>
    <x:row r="75" ht="32" customHeight="1">
      <x:c r="A75" s="8" t="str">
        <x:v>trunk:DB2:P3:power:-1</x:v>
      </x:c>
      <x:c r="B75" s="8" t="n">
        <x:v>3</x:v>
      </x:c>
      <x:c r="C75" s="11" t="n">
        <x:v>2.73</x:v>
      </x:c>
      <x:c r="D75" s="11" t="n">
        <x:v>-0.12</x:v>
      </x:c>
      <x:c r="E75" s="11" t="n">
        <x:v>-7.7</x:v>
      </x:c>
      <x:c r="F75" s="11" t="n">
        <x:f>SQRT((C75-C74)^2+(D75-D74)^2+(E75-E74)^2)</x:f>
        <x:v>4.4</x:v>
      </x:c>
      <x:c r="G75" s="8" t="str">
        <x:v>Current</x:v>
      </x:c>
    </x:row>
    <x:row r="76" ht="32" customHeight="1">
      <x:c r="A76" s="8" t="str">
        <x:v>trunk:DB2:P3:power:-1</x:v>
      </x:c>
      <x:c r="B76" s="8" t="n">
        <x:v>4</x:v>
      </x:c>
      <x:c r="C76" s="11" t="n">
        <x:v>0.45</x:v>
      </x:c>
      <x:c r="D76" s="11" t="n">
        <x:v>-0.12</x:v>
      </x:c>
      <x:c r="E76" s="11" t="n">
        <x:v>-7.7</x:v>
      </x:c>
      <x:c r="F76" s="11" t="n">
        <x:f>SQRT((C76-C75)^2+(D76-D75)^2+(E76-E75)^2)</x:f>
        <x:v>2.28</x:v>
      </x:c>
      <x:c r="G76" s="8" t="str">
        <x:v>Current</x:v>
      </x:c>
    </x:row>
    <x:row r="77" ht="32" customHeight="1">
      <x:c r="A77" s="8" t="str">
        <x:v>drop:DB2:P3:power:-1:P-TOWER-B</x:v>
      </x:c>
      <x:c r="B77" s="8" t="n">
        <x:v>1</x:v>
      </x:c>
      <x:c r="C77" s="11" t="n">
        <x:v>0.45</x:v>
      </x:c>
      <x:c r="D77" s="11" t="n">
        <x:v>-0.12</x:v>
      </x:c>
      <x:c r="E77" s="11" t="n">
        <x:v>-7.7</x:v>
      </x:c>
      <x:c r="F77" s="11" t="n">
        <x:f>0</x:f>
        <x:v>0</x:v>
      </x:c>
      <x:c r="G77" s="8" t="str">
        <x:v>Current</x:v>
      </x:c>
    </x:row>
    <x:row r="78" ht="32" customHeight="1">
      <x:c r="A78" s="8" t="str">
        <x:v>drop:DB2:P3:power:-1:P-TOWER-B</x:v>
      </x:c>
      <x:c r="B78" s="8" t="n">
        <x:v>2</x:v>
      </x:c>
      <x:c r="C78" s="11" t="n">
        <x:v>0.45</x:v>
      </x:c>
      <x:c r="D78" s="11" t="n">
        <x:v>1.3</x:v>
      </x:c>
      <x:c r="E78" s="11" t="n">
        <x:v>-7.7</x:v>
      </x:c>
      <x:c r="F78" s="11" t="n">
        <x:f>SQRT((C78-C77)^2+(D78-D77)^2+(E78-E77)^2)</x:f>
        <x:v>1.42</x:v>
      </x:c>
      <x:c r="G78" s="8" t="str">
        <x:v>Current</x:v>
      </x:c>
    </x:row>
    <x:row r="79" ht="32" customHeight="1">
      <x:c r="A79" s="8" t="str">
        <x:v>drop:DB2:P3:power:-1:P-TOWER-B</x:v>
      </x:c>
      <x:c r="B79" s="8" t="n">
        <x:v>3</x:v>
      </x:c>
      <x:c r="C79" s="11" t="n">
        <x:v>0.45</x:v>
      </x:c>
      <x:c r="D79" s="11" t="n">
        <x:v>1.3</x:v>
      </x:c>
      <x:c r="E79" s="11" t="n">
        <x:v>-7.85</x:v>
      </x:c>
      <x:c r="F79" s="11" t="n">
        <x:f>SQRT((C79-C78)^2+(D79-D78)^2+(E79-E78)^2)</x:f>
        <x:v>0.14999999999999947</x:v>
      </x:c>
      <x:c r="G79" s="8" t="str">
        <x:v>Current</x:v>
      </x:c>
    </x:row>
    <x:row r="80" ht="32" customHeight="1">
      <x:c r="A80" s="8" t="str">
        <x:v>trunk:DB1:P2:power:1</x:v>
      </x:c>
      <x:c r="B80" s="8" t="n">
        <x:v>1</x:v>
      </x:c>
      <x:c r="C80" s="11" t="n">
        <x:v>48.895</x:v>
      </x:c>
      <x:c r="D80" s="11" t="n">
        <x:v>1.75</x:v>
      </x:c>
      <x:c r="E80" s="11" t="n">
        <x:v>-1.55</x:v>
      </x:c>
      <x:c r="F80" s="11" t="n">
        <x:f>0</x:f>
        <x:v>0</x:v>
      </x:c>
      <x:c r="G80" s="8" t="str">
        <x:v>Current</x:v>
      </x:c>
    </x:row>
    <x:row r="81" ht="32" customHeight="1">
      <x:c r="A81" s="8" t="str">
        <x:v>trunk:DB1:P2:power:1</x:v>
      </x:c>
      <x:c r="B81" s="8" t="n">
        <x:v>2</x:v>
      </x:c>
      <x:c r="C81" s="11" t="n">
        <x:v>48.735</x:v>
      </x:c>
      <x:c r="D81" s="11" t="n">
        <x:v>1.75</x:v>
      </x:c>
      <x:c r="E81" s="11" t="n">
        <x:v>-1.55</x:v>
      </x:c>
      <x:c r="F81" s="11" t="n">
        <x:f>SQRT((C81-C80)^2+(D81-D80)^2+(E81-E80)^2)</x:f>
        <x:v>0.1600000000000037</x:v>
      </x:c>
      <x:c r="G81" s="8" t="str">
        <x:v>Current</x:v>
      </x:c>
    </x:row>
    <x:row r="82" ht="32" customHeight="1">
      <x:c r="A82" s="8" t="str">
        <x:v>trunk:DB1:P2:power:1</x:v>
      </x:c>
      <x:c r="B82" s="8" t="n">
        <x:v>3</x:v>
      </x:c>
      <x:c r="C82" s="11" t="n">
        <x:v>48.735</x:v>
      </x:c>
      <x:c r="D82" s="11" t="n">
        <x:v>1.75</x:v>
      </x:c>
      <x:c r="E82" s="11" t="n">
        <x:v>-2.24</x:v>
      </x:c>
      <x:c r="F82" s="11" t="n">
        <x:f>SQRT((C82-C81)^2+(D82-D81)^2+(E82-E81)^2)</x:f>
        <x:v>0.6900000000000002</x:v>
      </x:c>
      <x:c r="G82" s="8" t="str">
        <x:v>Current</x:v>
      </x:c>
    </x:row>
    <x:row r="83" ht="32" customHeight="1">
      <x:c r="A83" s="8" t="str">
        <x:v>trunk:DB1:P2:power:1</x:v>
      </x:c>
      <x:c r="B83" s="8" t="n">
        <x:v>4</x:v>
      </x:c>
      <x:c r="C83" s="11" t="n">
        <x:v>48.735</x:v>
      </x:c>
      <x:c r="D83" s="11" t="n">
        <x:v>4.33</x:v>
      </x:c>
      <x:c r="E83" s="11" t="n">
        <x:v>-2.24</x:v>
      </x:c>
      <x:c r="F83" s="11" t="n">
        <x:f>SQRT((C83-C82)^2+(D83-D82)^2+(E83-E82)^2)</x:f>
        <x:v>2.58</x:v>
      </x:c>
      <x:c r="G83" s="8" t="str">
        <x:v>Current</x:v>
      </x:c>
    </x:row>
    <x:row r="84" ht="32" customHeight="1">
      <x:c r="A84" s="8" t="str">
        <x:v>trunk:DB1:P2:power:1</x:v>
      </x:c>
      <x:c r="B84" s="8" t="n">
        <x:v>5</x:v>
      </x:c>
      <x:c r="C84" s="11" t="n">
        <x:v>48.735</x:v>
      </x:c>
      <x:c r="D84" s="11" t="n">
        <x:v>4.33</x:v>
      </x:c>
      <x:c r="E84" s="11" t="n">
        <x:v>-3.3</x:v>
      </x:c>
      <x:c r="F84" s="11" t="n">
        <x:f>SQRT((C84-C83)^2+(D84-D83)^2+(E84-E83)^2)</x:f>
        <x:v>1.0599999999999996</x:v>
      </x:c>
      <x:c r="G84" s="8" t="str">
        <x:v>Current</x:v>
      </x:c>
    </x:row>
    <x:row r="85" ht="32" customHeight="1">
      <x:c r="A85" s="8" t="str">
        <x:v>trunk:DB1:P2:power:1</x:v>
      </x:c>
      <x:c r="B85" s="8" t="n">
        <x:v>6</x:v>
      </x:c>
      <x:c r="C85" s="11" t="n">
        <x:v>53.016</x:v>
      </x:c>
      <x:c r="D85" s="11" t="n">
        <x:v>4.33</x:v>
      </x:c>
      <x:c r="E85" s="11" t="n">
        <x:v>-3.3</x:v>
      </x:c>
      <x:c r="F85" s="11" t="n">
        <x:f>SQRT((C85-C84)^2+(D85-D84)^2+(E85-E84)^2)</x:f>
        <x:v>4.280999999999999</x:v>
      </x:c>
      <x:c r="G85" s="8" t="str">
        <x:v>Current</x:v>
      </x:c>
    </x:row>
    <x:row r="86" ht="32" customHeight="1">
      <x:c r="A86" s="8" t="str">
        <x:v>trunk:DB1:P2:power:1</x:v>
      </x:c>
      <x:c r="B86" s="8" t="n">
        <x:v>7</x:v>
      </x:c>
      <x:c r="C86" s="11" t="n">
        <x:v>53.016</x:v>
      </x:c>
      <x:c r="D86" s="11" t="n">
        <x:v>6.1160000000000005</x:v>
      </x:c>
      <x:c r="E86" s="11" t="n">
        <x:v>-3.3</x:v>
      </x:c>
      <x:c r="F86" s="11" t="n">
        <x:f>SQRT((C86-C85)^2+(D86-D85)^2+(E86-E85)^2)</x:f>
        <x:v>1.7860000000000005</x:v>
      </x:c>
      <x:c r="G86" s="8" t="str">
        <x:v>Current</x:v>
      </x:c>
    </x:row>
    <x:row r="87" ht="32" customHeight="1">
      <x:c r="A87" s="8" t="str">
        <x:v>trunk:DB1:P2:power:1</x:v>
      </x:c>
      <x:c r="B87" s="8" t="n">
        <x:v>8</x:v>
      </x:c>
      <x:c r="C87" s="11" t="n">
        <x:v>53.016</x:v>
      </x:c>
      <x:c r="D87" s="11" t="n">
        <x:v>6.1160000000000005</x:v>
      </x:c>
      <x:c r="E87" s="11" t="n">
        <x:v>7.36</x:v>
      </x:c>
      <x:c r="F87" s="11" t="n">
        <x:f>SQRT((C87-C86)^2+(D87-D86)^2+(E87-E86)^2)</x:f>
        <x:v>10.66</x:v>
      </x:c>
      <x:c r="G87" s="8" t="str">
        <x:v>Current</x:v>
      </x:c>
    </x:row>
    <x:row r="88" ht="32" customHeight="1">
      <x:c r="A88" s="8" t="str">
        <x:v>trunk:DB1:P2:power:1</x:v>
      </x:c>
      <x:c r="B88" s="8" t="n">
        <x:v>9</x:v>
      </x:c>
      <x:c r="C88" s="11" t="n">
        <x:v>44.175</x:v>
      </x:c>
      <x:c r="D88" s="11" t="n">
        <x:v>6.1160000000000005</x:v>
      </x:c>
      <x:c r="E88" s="11" t="n">
        <x:v>7.36</x:v>
      </x:c>
      <x:c r="F88" s="11" t="n">
        <x:f>SQRT((C88-C87)^2+(D88-D87)^2+(E88-E87)^2)</x:f>
        <x:v>8.841000000000001</x:v>
      </x:c>
      <x:c r="G88" s="8" t="str">
        <x:v>Current</x:v>
      </x:c>
    </x:row>
    <x:row r="89" ht="32" customHeight="1">
      <x:c r="A89" s="8" t="str">
        <x:v>trunk:DB1:P2:power:1</x:v>
      </x:c>
      <x:c r="B89" s="8" t="n">
        <x:v>10</x:v>
      </x:c>
      <x:c r="C89" s="11" t="n">
        <x:v>44.175</x:v>
      </x:c>
      <x:c r="D89" s="11" t="n">
        <x:v>7.04</x:v>
      </x:c>
      <x:c r="E89" s="11" t="n">
        <x:v>7.36</x:v>
      </x:c>
      <x:c r="F89" s="11" t="n">
        <x:f>SQRT((C89-C88)^2+(D89-D88)^2+(E89-E88)^2)</x:f>
        <x:v>0.9239999999999995</x:v>
      </x:c>
      <x:c r="G89" s="8" t="str">
        <x:v>Current</x:v>
      </x:c>
    </x:row>
    <x:row r="90" ht="32" customHeight="1">
      <x:c r="A90" s="8" t="str">
        <x:v>trunk:DB1:P2:power:1</x:v>
      </x:c>
      <x:c r="B90" s="8" t="n">
        <x:v>11</x:v>
      </x:c>
      <x:c r="C90" s="11" t="n">
        <x:v>43.535</x:v>
      </x:c>
      <x:c r="D90" s="11" t="n">
        <x:v>7.04</x:v>
      </x:c>
      <x:c r="E90" s="11" t="n">
        <x:v>7.36</x:v>
      </x:c>
      <x:c r="F90" s="11" t="n">
        <x:f>SQRT((C90-C89)^2+(D90-D89)^2+(E90-E89)^2)</x:f>
        <x:v>0.6400000000000006</x:v>
      </x:c>
      <x:c r="G90" s="8" t="str">
        <x:v>Current</x:v>
      </x:c>
    </x:row>
    <x:row r="91" ht="32" customHeight="1">
      <x:c r="A91" s="8" t="str">
        <x:v>trunk:DB1:P2:power:1</x:v>
      </x:c>
      <x:c r="B91" s="8" t="n">
        <x:v>12</x:v>
      </x:c>
      <x:c r="C91" s="11" t="n">
        <x:v>43.455</x:v>
      </x:c>
      <x:c r="D91" s="11" t="n">
        <x:v>6.950412371134024</x:v>
      </x:c>
      <x:c r="E91" s="11" t="n">
        <x:v>7.36</x:v>
      </x:c>
      <x:c r="F91" s="11" t="n">
        <x:f>SQRT((C91-C90)^2+(D91-D90)^2+(E91-E90)^2)</x:f>
        <x:v>0.12010804821421249</x:v>
      </x:c>
      <x:c r="G91" s="8" t="str">
        <x:v>Current</x:v>
      </x:c>
    </x:row>
    <x:row r="92" ht="32" customHeight="1">
      <x:c r="A92" s="8" t="str">
        <x:v>trunk:DB1:P2:power:1</x:v>
      </x:c>
      <x:c r="B92" s="8" t="n">
        <x:v>13</x:v>
      </x:c>
      <x:c r="C92" s="11" t="n">
        <x:v>40.574999999999996</x:v>
      </x:c>
      <x:c r="D92" s="11" t="n">
        <x:v>9.269999999999994</x:v>
      </x:c>
      <x:c r="E92" s="11" t="n">
        <x:v>7.36</x:v>
      </x:c>
      <x:c r="F92" s="11" t="n">
        <x:f>SQRT((C92-C91)^2+(D92-D91)^2+(E92-E91)^2)</x:f>
        <x:v>3.6979571073753776</x:v>
      </x:c>
      <x:c r="G92" s="8" t="str">
        <x:v>Current</x:v>
      </x:c>
    </x:row>
    <x:row r="93" ht="32" customHeight="1">
      <x:c r="A93" s="8" t="str">
        <x:v>trunk:DB1:P2:power:1</x:v>
      </x:c>
      <x:c r="B93" s="8" t="n">
        <x:v>14</x:v>
      </x:c>
      <x:c r="C93" s="11" t="n">
        <x:v>37.695</x:v>
      </x:c>
      <x:c r="D93" s="11" t="n">
        <x:v>6.950412371134018</x:v>
      </x:c>
      <x:c r="E93" s="11" t="n">
        <x:v>7.36</x:v>
      </x:c>
      <x:c r="F93" s="11" t="n">
        <x:f>SQRT((C93-C92)^2+(D93-D92)^2+(E93-E92)^2)</x:f>
        <x:v>3.697957107375376</x:v>
      </x:c>
      <x:c r="G93" s="8" t="str">
        <x:v>Current</x:v>
      </x:c>
    </x:row>
    <x:row r="94" ht="32" customHeight="1">
      <x:c r="A94" s="8" t="str">
        <x:v>trunk:DB1:P2:power:1</x:v>
      </x:c>
      <x:c r="B94" s="8" t="n">
        <x:v>15</x:v>
      </x:c>
      <x:c r="C94" s="11" t="n">
        <x:v>37.615</x:v>
      </x:c>
      <x:c r="D94" s="11" t="n">
        <x:v>7.04</x:v>
      </x:c>
      <x:c r="E94" s="11" t="n">
        <x:v>7.36</x:v>
      </x:c>
      <x:c r="F94" s="11" t="n">
        <x:f>SQRT((C94-C93)^2+(D94-D93)^2+(E94-E93)^2)</x:f>
        <x:v>0.12010804821421713</x:v>
      </x:c>
      <x:c r="G94" s="8" t="str">
        <x:v>Current</x:v>
      </x:c>
    </x:row>
    <x:row r="95" ht="32" customHeight="1">
      <x:c r="A95" s="8" t="str">
        <x:v>trunk:DB1:P2:power:1</x:v>
      </x:c>
      <x:c r="B95" s="8" t="n">
        <x:v>16</x:v>
      </x:c>
      <x:c r="C95" s="11" t="n">
        <x:v>36.975</x:v>
      </x:c>
      <x:c r="D95" s="11" t="n">
        <x:v>7.04</x:v>
      </x:c>
      <x:c r="E95" s="11" t="n">
        <x:v>7.36</x:v>
      </x:c>
      <x:c r="F95" s="11" t="n">
        <x:f>SQRT((C95-C94)^2+(D95-D94)^2+(E95-E94)^2)</x:f>
        <x:v>0.6400000000000006</x:v>
      </x:c>
      <x:c r="G95" s="8" t="str">
        <x:v>Current</x:v>
      </x:c>
    </x:row>
    <x:row r="96" ht="32" customHeight="1">
      <x:c r="A96" s="8" t="str">
        <x:v>trunk:DB1:P2:power:1</x:v>
      </x:c>
      <x:c r="B96" s="8" t="n">
        <x:v>17</x:v>
      </x:c>
      <x:c r="C96" s="11" t="n">
        <x:v>36.975</x:v>
      </x:c>
      <x:c r="D96" s="11" t="n">
        <x:v>6.1160000000000005</x:v>
      </x:c>
      <x:c r="E96" s="11" t="n">
        <x:v>7.36</x:v>
      </x:c>
      <x:c r="F96" s="11" t="n">
        <x:f>SQRT((C96-C95)^2+(D96-D95)^2+(E96-E95)^2)</x:f>
        <x:v>0.9239999999999995</x:v>
      </x:c>
      <x:c r="G96" s="8" t="str">
        <x:v>Current</x:v>
      </x:c>
    </x:row>
    <x:row r="97" ht="32" customHeight="1">
      <x:c r="A97" s="8" t="str">
        <x:v>trunk:DB1:P2:power:1</x:v>
      </x:c>
      <x:c r="B97" s="8" t="n">
        <x:v>18</x:v>
      </x:c>
      <x:c r="C97" s="11" t="n">
        <x:v>22.83</x:v>
      </x:c>
      <x:c r="D97" s="11" t="n">
        <x:v>6.1160000000000005</x:v>
      </x:c>
      <x:c r="E97" s="11" t="n">
        <x:v>7.36</x:v>
      </x:c>
      <x:c r="F97" s="11" t="n">
        <x:f>SQRT((C97-C96)^2+(D97-D96)^2+(E97-E96)^2)</x:f>
        <x:v>14.145000000000003</x:v>
      </x:c>
      <x:c r="G97" s="8" t="str">
        <x:v>Current</x:v>
      </x:c>
    </x:row>
    <x:row r="98" ht="32" customHeight="1">
      <x:c r="A98" s="8" t="str">
        <x:v>drop:DB1:P2:power:1:P-SANCT-H</x:v>
      </x:c>
      <x:c r="B98" s="8" t="n">
        <x:v>1</x:v>
      </x:c>
      <x:c r="C98" s="11" t="n">
        <x:v>44.175</x:v>
      </x:c>
      <x:c r="D98" s="11" t="n">
        <x:v>6.1160000000000005</x:v>
      </x:c>
      <x:c r="E98" s="11" t="n">
        <x:v>7.36</x:v>
      </x:c>
      <x:c r="F98" s="11" t="n">
        <x:f>0</x:f>
        <x:v>0</x:v>
      </x:c>
      <x:c r="G98" s="8" t="str">
        <x:v>Current</x:v>
      </x:c>
    </x:row>
    <x:row r="99" ht="32" customHeight="1">
      <x:c r="A99" s="8" t="str">
        <x:v>drop:DB1:P2:power:1:P-SANCT-H</x:v>
      </x:c>
      <x:c r="B99" s="8" t="n">
        <x:v>2</x:v>
      </x:c>
      <x:c r="C99" s="11" t="n">
        <x:v>44.175</x:v>
      </x:c>
      <x:c r="D99" s="11" t="n">
        <x:v>0.85</x:v>
      </x:c>
      <x:c r="E99" s="11" t="n">
        <x:v>7.36</x:v>
      </x:c>
      <x:c r="F99" s="11" t="n">
        <x:f>SQRT((C99-C98)^2+(D99-D98)^2+(E99-E98)^2)</x:f>
        <x:v>5.266000000000001</x:v>
      </x:c>
      <x:c r="G99" s="8" t="str">
        <x:v>Current</x:v>
      </x:c>
    </x:row>
    <x:row r="100" ht="32" customHeight="1">
      <x:c r="A100" s="8" t="str">
        <x:v>drop:DB1:P2:power:1:P-SANCT-H</x:v>
      </x:c>
      <x:c r="B100" s="8" t="n">
        <x:v>3</x:v>
      </x:c>
      <x:c r="C100" s="11" t="n">
        <x:v>43.89</x:v>
      </x:c>
      <x:c r="D100" s="11" t="n">
        <x:v>0.85</x:v>
      </x:c>
      <x:c r="E100" s="11" t="n">
        <x:v>7.36</x:v>
      </x:c>
      <x:c r="F100" s="11" t="n">
        <x:f>SQRT((C100-C99)^2+(D100-D99)^2+(E100-E99)^2)</x:f>
        <x:v>0.2849999999999966</x:v>
      </x:c>
      <x:c r="G100" s="8" t="str">
        <x:v>Current</x:v>
      </x:c>
    </x:row>
    <x:row r="101" ht="32" customHeight="1">
      <x:c r="A101" s="8" t="str">
        <x:v>drop:DB1:P2:power:1:P-SANCT-H</x:v>
      </x:c>
      <x:c r="B101" s="8" t="n">
        <x:v>4</x:v>
      </x:c>
      <x:c r="C101" s="11" t="n">
        <x:v>43.89</x:v>
      </x:c>
      <x:c r="D101" s="11" t="n">
        <x:v>0.85</x:v>
      </x:c>
      <x:c r="E101" s="11" t="n">
        <x:v>7.25</x:v>
      </x:c>
      <x:c r="F101" s="11" t="n">
        <x:f>SQRT((C101-C100)^2+(D101-D100)^2+(E101-E100)^2)</x:f>
        <x:v>0.11000000000000032</x:v>
      </x:c>
      <x:c r="G101" s="8" t="str">
        <x:v>Current</x:v>
      </x:c>
    </x:row>
    <x:row r="102" ht="32" customHeight="1">
      <x:c r="A102" s="8" t="str">
        <x:v>drop:DB1:P2:power:1:P-NAVE-H</x:v>
      </x:c>
      <x:c r="B102" s="8" t="n">
        <x:v>1</x:v>
      </x:c>
      <x:c r="C102" s="11" t="n">
        <x:v>22.83</x:v>
      </x:c>
      <x:c r="D102" s="11" t="n">
        <x:v>6.1160000000000005</x:v>
      </x:c>
      <x:c r="E102" s="11" t="n">
        <x:v>7.36</x:v>
      </x:c>
      <x:c r="F102" s="11" t="n">
        <x:f>0</x:f>
        <x:v>0</x:v>
      </x:c>
      <x:c r="G102" s="8" t="str">
        <x:v>Current</x:v>
      </x:c>
    </x:row>
    <x:row r="103" ht="32" customHeight="1">
      <x:c r="A103" s="8" t="str">
        <x:v>drop:DB1:P2:power:1:P-NAVE-H</x:v>
      </x:c>
      <x:c r="B103" s="8" t="n">
        <x:v>2</x:v>
      </x:c>
      <x:c r="C103" s="11" t="n">
        <x:v>22.83</x:v>
      </x:c>
      <x:c r="D103" s="11" t="n">
        <x:v>0.45</x:v>
      </x:c>
      <x:c r="E103" s="11" t="n">
        <x:v>7.36</x:v>
      </x:c>
      <x:c r="F103" s="11" t="n">
        <x:f>SQRT((C103-C102)^2+(D103-D102)^2+(E103-E102)^2)</x:f>
        <x:v>5.666</x:v>
      </x:c>
      <x:c r="G103" s="8" t="str">
        <x:v>Current</x:v>
      </x:c>
    </x:row>
    <x:row r="104" ht="32" customHeight="1">
      <x:c r="A104" s="8" t="str">
        <x:v>drop:DB1:P2:power:1:P-NAVE-H</x:v>
      </x:c>
      <x:c r="B104" s="8" t="n">
        <x:v>3</x:v>
      </x:c>
      <x:c r="C104" s="11" t="n">
        <x:v>22.83</x:v>
      </x:c>
      <x:c r="D104" s="11" t="n">
        <x:v>0.45</x:v>
      </x:c>
      <x:c r="E104" s="11" t="n">
        <x:v>7.25</x:v>
      </x:c>
      <x:c r="F104" s="11" t="n">
        <x:f>SQRT((C104-C103)^2+(D104-D103)^2+(E104-E103)^2)</x:f>
        <x:v>0.11000000000000032</x:v>
      </x:c>
      <x:c r="G104" s="8" t="str">
        <x:v>Current</x:v>
      </x:c>
    </x:row>
    <x:row r="105" ht="32" customHeight="1">
      <x:c r="A105" s="8" t="str">
        <x:v>trunk:DB2:P4:power:1</x:v>
      </x:c>
      <x:c r="B105" s="8" t="n">
        <x:v>1</x:v>
      </x:c>
      <x:c r="C105" s="11" t="n">
        <x:v>2.73</x:v>
      </x:c>
      <x:c r="D105" s="11" t="n">
        <x:v>1.5</x:v>
      </x:c>
      <x:c r="E105" s="11" t="n">
        <x:v>-3.3</x:v>
      </x:c>
      <x:c r="F105" s="11" t="n">
        <x:f>0</x:f>
        <x:v>0</x:v>
      </x:c>
      <x:c r="G105" s="8" t="str">
        <x:v>Current</x:v>
      </x:c>
    </x:row>
    <x:row r="106" ht="32" customHeight="1">
      <x:c r="A106" s="8" t="str">
        <x:v>trunk:DB2:P4:power:1</x:v>
      </x:c>
      <x:c r="B106" s="8" t="n">
        <x:v>2</x:v>
      </x:c>
      <x:c r="C106" s="11" t="n">
        <x:v>2.73</x:v>
      </x:c>
      <x:c r="D106" s="11" t="n">
        <x:v>-0.12</x:v>
      </x:c>
      <x:c r="E106" s="11" t="n">
        <x:v>-3.3</x:v>
      </x:c>
      <x:c r="F106" s="11" t="n">
        <x:f>SQRT((C106-C105)^2+(D106-D105)^2+(E106-E105)^2)</x:f>
        <x:v>1.62</x:v>
      </x:c>
      <x:c r="G106" s="8" t="str">
        <x:v>Current</x:v>
      </x:c>
    </x:row>
    <x:row r="107" ht="32" customHeight="1">
      <x:c r="A107" s="8" t="str">
        <x:v>trunk:DB2:P4:power:1</x:v>
      </x:c>
      <x:c r="B107" s="8" t="n">
        <x:v>3</x:v>
      </x:c>
      <x:c r="C107" s="11" t="n">
        <x:v>2.73</x:v>
      </x:c>
      <x:c r="D107" s="11" t="n">
        <x:v>-0.12</x:v>
      </x:c>
      <x:c r="E107" s="11" t="n">
        <x:v>7.7</x:v>
      </x:c>
      <x:c r="F107" s="11" t="n">
        <x:f>SQRT((C107-C106)^2+(D107-D106)^2+(E107-E106)^2)</x:f>
        <x:v>11</x:v>
      </x:c>
      <x:c r="G107" s="8" t="str">
        <x:v>Current</x:v>
      </x:c>
    </x:row>
    <x:row r="108" ht="32" customHeight="1">
      <x:c r="A108" s="8" t="str">
        <x:v>trunk:DB2:P4:power:1</x:v>
      </x:c>
      <x:c r="B108" s="8" t="n">
        <x:v>4</x:v>
      </x:c>
      <x:c r="C108" s="11" t="n">
        <x:v>0.45</x:v>
      </x:c>
      <x:c r="D108" s="11" t="n">
        <x:v>-0.12</x:v>
      </x:c>
      <x:c r="E108" s="11" t="n">
        <x:v>7.7</x:v>
      </x:c>
      <x:c r="F108" s="11" t="n">
        <x:f>SQRT((C108-C107)^2+(D108-D107)^2+(E108-E107)^2)</x:f>
        <x:v>2.28</x:v>
      </x:c>
      <x:c r="G108" s="8" t="str">
        <x:v>Current</x:v>
      </x:c>
    </x:row>
    <x:row r="109" ht="32" customHeight="1">
      <x:c r="A109" s="8" t="str">
        <x:v>drop:DB2:P4:power:1:P-TOWER-H</x:v>
      </x:c>
      <x:c r="B109" s="8" t="n">
        <x:v>1</x:v>
      </x:c>
      <x:c r="C109" s="11" t="n">
        <x:v>0.45</x:v>
      </x:c>
      <x:c r="D109" s="11" t="n">
        <x:v>-0.12</x:v>
      </x:c>
      <x:c r="E109" s="11" t="n">
        <x:v>7.7</x:v>
      </x:c>
      <x:c r="F109" s="11" t="n">
        <x:f>0</x:f>
        <x:v>0</x:v>
      </x:c>
      <x:c r="G109" s="8" t="str">
        <x:v>Current</x:v>
      </x:c>
    </x:row>
    <x:row r="110" ht="32" customHeight="1">
      <x:c r="A110" s="8" t="str">
        <x:v>drop:DB2:P4:power:1:P-TOWER-H</x:v>
      </x:c>
      <x:c r="B110" s="8" t="n">
        <x:v>2</x:v>
      </x:c>
      <x:c r="C110" s="11" t="n">
        <x:v>0.45</x:v>
      </x:c>
      <x:c r="D110" s="11" t="n">
        <x:v>1.3</x:v>
      </x:c>
      <x:c r="E110" s="11" t="n">
        <x:v>7.7</x:v>
      </x:c>
      <x:c r="F110" s="11" t="n">
        <x:f>SQRT((C110-C109)^2+(D110-D109)^2+(E110-E109)^2)</x:f>
        <x:v>1.42</x:v>
      </x:c>
      <x:c r="G110" s="8" t="str">
        <x:v>Current</x:v>
      </x:c>
    </x:row>
    <x:row r="111" ht="32" customHeight="1">
      <x:c r="A111" s="8" t="str">
        <x:v>drop:DB2:P4:power:1:P-TOWER-H</x:v>
      </x:c>
      <x:c r="B111" s="8" t="n">
        <x:v>3</x:v>
      </x:c>
      <x:c r="C111" s="11" t="n">
        <x:v>0.45</x:v>
      </x:c>
      <x:c r="D111" s="11" t="n">
        <x:v>1.3</x:v>
      </x:c>
      <x:c r="E111" s="11" t="n">
        <x:v>7.85</x:v>
      </x:c>
      <x:c r="F111" s="11" t="n">
        <x:f>SQRT((C111-C110)^2+(D111-D110)^2+(E111-E110)^2)</x:f>
        <x:v>0.14999999999999947</x:v>
      </x:c>
      <x:c r="G111" s="8" t="str">
        <x:v>Current</x:v>
      </x:c>
    </x:row>
  </x:sheetData>
  <x:conditionalFormatting sqref="G7:G111">
    <x:cfRule type="containsText" dxfId="2" priority="1" operator="containsText" text="Retired"/>
  </x:conditionalFormatting>
  <x:pageMargins left="0.7" right="0.7" top="0.75" bottom="0.75" header="0.3" footer="0.3"/>
  <x:tableParts count="1">
    <x:tablePart xmlns:r="http://schemas.openxmlformats.org/officeDocument/2006/relationships" r:id="Rc45fa67938734518"/>
  </x:tableParts>
</x:worksheet>
</file>