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a71ffee42b47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d9dd1e795f9c414d"/>
    <x:sheet xmlns:r="http://schemas.openxmlformats.org/officeDocument/2006/relationships" name="Equipment" sheetId="2" r:id="Ref573cea4a904269"/>
    <x:sheet xmlns:r="http://schemas.openxmlformats.org/officeDocument/2006/relationships" name="Electrical Lines" sheetId="3" r:id="Rad35017e75604047"/>
    <x:sheet xmlns:r="http://schemas.openxmlformats.org/officeDocument/2006/relationships" name="Route Points" sheetId="4" r:id="Rdbf2523a8cf74a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93144bf832418a" /><Relationship Type="http://schemas.openxmlformats.org/officeDocument/2006/relationships/theme" Target="/xl/theme/theme1.xml" Id="Rd55329a420944dd0" /><Relationship Type="http://schemas.openxmlformats.org/officeDocument/2006/relationships/sharedStrings" Target="/xl/sharedStrings.xml" Id="R64e2fea9f7e84a2e" /><Relationship Type="http://schemas.openxmlformats.org/officeDocument/2006/relationships/worksheet" Target="/xl/worksheets/sheet1.xml" Id="Rd9dd1e795f9c414d" /><Relationship Type="http://schemas.openxmlformats.org/officeDocument/2006/relationships/worksheet" Target="/xl/worksheets/sheet2.xml" Id="Ref573cea4a904269" /><Relationship Type="http://schemas.openxmlformats.org/officeDocument/2006/relationships/worksheet" Target="/xl/worksheets/sheet3.xml" Id="Rad35017e75604047" /><Relationship Type="http://schemas.openxmlformats.org/officeDocument/2006/relationships/worksheet" Target="/xl/worksheets/sheet4.xml" Id="Rdbf2523a8cf74a19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13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60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50f04ad449348f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1dff2efb0bc472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854d30902b54a1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2026-10-08T22:16:25.645Z.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Lines'!$Y$7:$Y$13,"Current")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Lines'!$Y$7:$Y$13,"Retired")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53ff13ffefd2679cbf8d12a1e21bde566f40af08275ae4f0ff95823f70ea1b77</x:v>
      </x:c>
    </x:row>
    <x:row r="15" ht="44" customHeight="1">
      <x:c r="A15" s="20" t="str">
        <x:v>Source systems SHA-256</x:v>
      </x:c>
      <x:c r="B15" s="16" t="str">
        <x:v>c883a38876b1d2b04788046ec5e1d87651113aa8dbfeb0f5415ba0b829f004ab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2.65</x:v>
      </x:c>
      <x:c r="G7" s="11" t="n">
        <x:v>6.95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drop:LC1:E1:light:-1:L155</x:v>
      </x:c>
      <x:c r="AC7" s="8" t="str">
        <x:v>{"dim":1}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4.6</x:v>
      </x:c>
      <x:c r="H8" s="11" t="n">
        <x:v>-7.245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drop:LC1:E1:light:-1:L156</x:v>
      </x:c>
      <x:c r="AC8" s="8" t="str">
        <x:v>{"dim":1}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4.6</x:v>
      </x:c>
      <x:c r="H9" s="11" t="n">
        <x:v>7.245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drop:LC1:E1:light:1:L157</x:v>
      </x:c>
      <x:c r="AC9" s="8" t="str">
        <x:v>{"dim":1}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4.6</x:v>
      </x:c>
      <x:c r="H10" s="11" t="n">
        <x:v>-7.245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drop:LC1:E1:light:-1:L158</x:v>
      </x:c>
      <x:c r="AC10" s="8" t="str">
        <x:v>{"dim":1}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4.6</x:v>
      </x:c>
      <x:c r="H11" s="11" t="n">
        <x:v>7.245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drop:LC1:E1:light:1:L159</x:v>
      </x:c>
      <x:c r="AC11" s="8" t="str">
        <x:v>{"dim":1}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50f04ad449348f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trunk:LC1:E1:light:-1</x:v>
      </x:c>
      <x:c r="B7" s="8" t="str">
        <x:v>E1 · B · circuit trunk</x:v>
      </x:c>
      <x:c r="C7" s="8" t="str">
        <x:v>LC1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Points'!$A$7:$A$60,A7,'Route Points'!$F$7:$F$60)</x:f>
        <x:v>69.5751303111792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drop:LC1:E1:light:-1:L155</x:v>
      </x:c>
      <x:c r="B8" s="8" t="str">
        <x:v>E1 → Exit sign · main doors</x:v>
      </x:c>
      <x:c r="C8" s="8" t="str">
        <x:v>LC1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Points'!$A$7:$A$60,A8,'Route Points'!$F$7:$F$60)</x:f>
        <x:v>10.048858786281436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entrance wall band, solid pier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trunk:LC1:E1:light:-1</x:v>
      </x:c>
    </x:row>
    <x:row r="9" ht="90" customHeight="1">
      <x:c r="A9" s="8" t="str">
        <x:v>drop:LC1:E1:light:-1:L156</x:v>
      </x:c>
      <x:c r="B9" s="8" t="str">
        <x:v>E1 → Exit sign · side door 16.7 · B</x:v>
      </x:c>
      <x:c r="C9" s="8" t="str">
        <x:v>LC1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Points'!$A$7:$A$60,A9,'Route Points'!$F$7:$F$60)</x:f>
        <x:v>1.503000000000001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trunk:LC1:E1:light:-1</x:v>
      </x:c>
    </x:row>
    <x:row r="10" ht="90" customHeight="1">
      <x:c r="A10" s="8" t="str">
        <x:v>drop:LC1:E1:light:-1:L158</x:v>
      </x:c>
      <x:c r="B10" s="8" t="str">
        <x:v>E1 → Exit sign · side door 34.7 · B</x:v>
      </x:c>
      <x:c r="C10" s="8" t="str">
        <x:v>LC1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Points'!$A$7:$A$60,A10,'Route Points'!$F$7:$F$60)</x:f>
        <x:v>1.503000000000001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trunk:LC1:E1:light:-1</x:v>
      </x:c>
    </x:row>
    <x:row r="11" ht="90" customHeight="1">
      <x:c r="A11" s="8" t="str">
        <x:v>trunk:LC1:E1:light:1</x:v>
      </x:c>
      <x:c r="B11" s="8" t="str">
        <x:v>E1 · H · circuit trunk</x:v>
      </x:c>
      <x:c r="C11" s="8" t="str">
        <x:v>LC1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Points'!$A$7:$A$60,A11,'Route Points'!$F$7:$F$60)</x:f>
        <x:v>62.10013031117919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drop:LC1:E1:light:1:L157</x:v>
      </x:c>
      <x:c r="B12" s="8" t="str">
        <x:v>E1 → Exit sign · side door 16.7 · H</x:v>
      </x:c>
      <x:c r="C12" s="8" t="str">
        <x:v>LC1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Points'!$A$7:$A$60,A12,'Route Points'!$F$7:$F$60)</x:f>
        <x:v>1.503000000000001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trunk:LC1:E1:light:1</x:v>
      </x:c>
    </x:row>
    <x:row r="13" ht="90" customHeight="1">
      <x:c r="A13" s="8" t="str">
        <x:v>drop:LC1:E1:light:1:L159</x:v>
      </x:c>
      <x:c r="B13" s="8" t="str">
        <x:v>E1 → Exit sign · side door 34.7 · H</x:v>
      </x:c>
      <x:c r="C13" s="8" t="str">
        <x:v>LC1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Points'!$A$7:$A$60,A13,'Route Points'!$F$7:$F$60)</x:f>
        <x:v>1.503000000000001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trunk:LC1:E1:light:1</x:v>
      </x:c>
    </x:row>
  </x:sheetData>
  <x:conditionalFormatting sqref="Y7:Y13">
    <x:cfRule type="containsText" dxfId="1" priority="1" operator="containsText" text="Retired"/>
  </x:conditionalFormatting>
  <x:dataValidations count="3">
    <x:dataValidation type="decimal" operator="greaterThanOrEqual" sqref="M7:M13">
      <x:formula1>0</x:formula1>
    </x:dataValidation>
    <x:dataValidation type="decimal" operator="greaterThanOrEqual" sqref="R7:R13">
      <x:formula1>0</x:formula1>
    </x:dataValidation>
    <x:dataValidation type="decimal" operator="greaterThanOrEqual" sqref="S7:S13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1dff2efb0bc472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trunk:LC1:E1:light:-1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trunk:LC1:E1:light:-1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trunk:LC1:E1:light:-1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trunk:LC1:E1:light:-1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trunk:LC1:E1:light:-1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trunk:LC1:E1:light:-1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trunk:LC1:E1:light:-1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trunk:LC1:E1:light:-1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trunk:LC1:E1:light:-1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trunk:LC1:E1:light:-1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trunk:LC1:E1:light:-1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trunk:LC1:E1:light:-1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trunk:LC1:E1:light:-1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trunk:LC1:E1:light:-1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trunk:LC1:E1:light:-1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trunk:LC1:E1:light:-1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trunk:LC1:E1:light:-1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trunk:LC1:E1:light:-1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trunk:LC1:E1:light:-1</x:v>
      </x:c>
      <x:c r="B25" s="8" t="n">
        <x:v>19</x:v>
      </x:c>
      <x:c r="C25" s="11" t="n">
        <x:v>2.65</x:v>
      </x:c>
      <x:c r="D25" s="11" t="n">
        <x:v>5.988</x:v>
      </x:c>
      <x:c r="E25" s="11" t="n">
        <x:v>-7.36</x:v>
      </x:c>
      <x:c r="F25" s="11" t="n">
        <x:f>SQRT((C25-C24)^2+(D25-D24)^2+(E25-E24)^2)</x:f>
        <x:v>2.8249999999999997</x:v>
      </x:c>
      <x:c r="G25" s="8" t="str">
        <x:v>Current</x:v>
      </x:c>
    </x:row>
    <x:row r="26" ht="32" customHeight="1">
      <x:c r="A26" s="8" t="str">
        <x:v>drop:LC1:E1:light:-1:L155</x:v>
      </x:c>
      <x:c r="B26" s="8" t="n">
        <x:v>1</x:v>
      </x:c>
      <x:c r="C26" s="11" t="n">
        <x:v>2.65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drop:LC1:E1:light:-1:L155</x:v>
      </x:c>
      <x:c r="B27" s="8" t="n">
        <x:v>2</x:v>
      </x:c>
      <x:c r="C27" s="11" t="n">
        <x:v>2.35</x:v>
      </x:c>
      <x:c r="D27" s="11" t="n">
        <x:v>7.65</x:v>
      </x:c>
      <x:c r="E27" s="11" t="n">
        <x:v>-7.36</x:v>
      </x:c>
      <x:c r="F27" s="11" t="n">
        <x:f>SQRT((C27-C26)^2+(D27-D26)^2+(E27-E26)^2)</x:f>
        <x:v>1.6888587862814344</x:v>
      </x:c>
      <x:c r="G27" s="8" t="str">
        <x:v>Current</x:v>
      </x:c>
    </x:row>
    <x:row r="28" ht="32" customHeight="1">
      <x:c r="A28" s="8" t="str">
        <x:v>drop:LC1:E1:light:-1:L155</x:v>
      </x:c>
      <x:c r="B28" s="8" t="n">
        <x:v>3</x:v>
      </x:c>
      <x:c r="C28" s="11" t="n">
        <x:v>2.35</x:v>
      </x:c>
      <x:c r="D28" s="11" t="n">
        <x:v>7.65</x:v>
      </x:c>
      <x:c r="E28" s="11" t="n">
        <x:v>0</x:v>
      </x:c>
      <x:c r="F28" s="11" t="n">
        <x:f>SQRT((C28-C27)^2+(D28-D27)^2+(E28-E27)^2)</x:f>
        <x:v>7.36</x:v>
      </x:c>
      <x:c r="G28" s="8" t="str">
        <x:v>Current</x:v>
      </x:c>
    </x:row>
    <x:row r="29" ht="32" customHeight="1">
      <x:c r="A29" s="8" t="str">
        <x:v>drop:LC1:E1:light:-1:L155</x:v>
      </x:c>
      <x:c r="B29" s="8" t="n">
        <x:v>4</x:v>
      </x:c>
      <x:c r="C29" s="11" t="n">
        <x:v>2.35</x:v>
      </x:c>
      <x:c r="D29" s="11" t="n">
        <x:v>6.95</x:v>
      </x:c>
      <x:c r="E29" s="11" t="n">
        <x:v>0</x:v>
      </x:c>
      <x:c r="F29" s="11" t="n">
        <x:f>SQRT((C29-C28)^2+(D29-D28)^2+(E29-E28)^2)</x:f>
        <x:v>0.7000000000000002</x:v>
      </x:c>
      <x:c r="G29" s="8" t="str">
        <x:v>Current</x:v>
      </x:c>
    </x:row>
    <x:row r="30" ht="32" customHeight="1">
      <x:c r="A30" s="8" t="str">
        <x:v>drop:LC1:E1:light:-1:L155</x:v>
      </x:c>
      <x:c r="B30" s="8" t="n">
        <x:v>5</x:v>
      </x:c>
      <x:c r="C30" s="11" t="n">
        <x:v>2.65</x:v>
      </x:c>
      <x:c r="D30" s="11" t="n">
        <x:v>6.95</x:v>
      </x:c>
      <x:c r="E30" s="11" t="n">
        <x:v>0</x:v>
      </x:c>
      <x:c r="F30" s="11" t="n">
        <x:f>SQRT((C30-C29)^2+(D30-D29)^2+(E30-E29)^2)</x:f>
        <x:v>0.2999999999999998</x:v>
      </x:c>
      <x:c r="G30" s="8" t="str">
        <x:v>Current</x:v>
      </x:c>
    </x:row>
    <x:row r="31" ht="32" customHeight="1">
      <x:c r="A31" s="8" t="str">
        <x:v>drop:LC1:E1:light:-1:L156</x:v>
      </x:c>
      <x:c r="B31" s="8" t="n">
        <x:v>1</x:v>
      </x:c>
      <x:c r="C31" s="11" t="n">
        <x:v>16.725</x:v>
      </x:c>
      <x:c r="D31" s="11" t="n">
        <x:v>5.988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drop:LC1:E1:light:-1:L156</x:v>
      </x:c>
      <x:c r="B32" s="8" t="n">
        <x:v>2</x:v>
      </x:c>
      <x:c r="C32" s="11" t="n">
        <x:v>16.725</x:v>
      </x:c>
      <x:c r="D32" s="11" t="n">
        <x:v>4.6</x:v>
      </x:c>
      <x:c r="E32" s="11" t="n">
        <x:v>-7.36</x:v>
      </x:c>
      <x:c r="F32" s="11" t="n">
        <x:f>SQRT((C32-C31)^2+(D32-D31)^2+(E32-E31)^2)</x:f>
        <x:v>1.3880000000000008</x:v>
      </x:c>
      <x:c r="G32" s="8" t="str">
        <x:v>Current</x:v>
      </x:c>
    </x:row>
    <x:row r="33" ht="32" customHeight="1">
      <x:c r="A33" s="8" t="str">
        <x:v>drop:LC1:E1:light:-1:L156</x:v>
      </x:c>
      <x:c r="B33" s="8" t="n">
        <x:v>3</x:v>
      </x:c>
      <x:c r="C33" s="11" t="n">
        <x:v>16.725</x:v>
      </x:c>
      <x:c r="D33" s="11" t="n">
        <x:v>4.6</x:v>
      </x:c>
      <x:c r="E33" s="11" t="n">
        <x:v>-7.245</x:v>
      </x:c>
      <x:c r="F33" s="11" t="n">
        <x:f>SQRT((C33-C32)^2+(D33-D32)^2+(E33-E32)^2)</x:f>
        <x:v>0.11500000000000021</x:v>
      </x:c>
      <x:c r="G33" s="8" t="str">
        <x:v>Current</x:v>
      </x:c>
    </x:row>
    <x:row r="34" ht="32" customHeight="1">
      <x:c r="A34" s="8" t="str">
        <x:v>drop:LC1:E1:light:-1:L158</x:v>
      </x:c>
      <x:c r="B34" s="8" t="n">
        <x:v>1</x:v>
      </x:c>
      <x:c r="C34" s="11" t="n">
        <x:v>34.725</x:v>
      </x:c>
      <x:c r="D34" s="11" t="n">
        <x:v>5.988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drop:LC1:E1:light:-1:L158</x:v>
      </x:c>
      <x:c r="B35" s="8" t="n">
        <x:v>2</x:v>
      </x:c>
      <x:c r="C35" s="11" t="n">
        <x:v>34.725</x:v>
      </x:c>
      <x:c r="D35" s="11" t="n">
        <x:v>4.6</x:v>
      </x:c>
      <x:c r="E35" s="11" t="n">
        <x:v>-7.36</x:v>
      </x:c>
      <x:c r="F35" s="11" t="n">
        <x:f>SQRT((C35-C34)^2+(D35-D34)^2+(E35-E34)^2)</x:f>
        <x:v>1.3880000000000008</x:v>
      </x:c>
      <x:c r="G35" s="8" t="str">
        <x:v>Current</x:v>
      </x:c>
    </x:row>
    <x:row r="36" ht="32" customHeight="1">
      <x:c r="A36" s="8" t="str">
        <x:v>drop:LC1:E1:light:-1:L158</x:v>
      </x:c>
      <x:c r="B36" s="8" t="n">
        <x:v>3</x:v>
      </x:c>
      <x:c r="C36" s="11" t="n">
        <x:v>34.725</x:v>
      </x:c>
      <x:c r="D36" s="11" t="n">
        <x:v>4.6</x:v>
      </x:c>
      <x:c r="E36" s="11" t="n">
        <x:v>-7.245</x:v>
      </x:c>
      <x:c r="F36" s="11" t="n">
        <x:f>SQRT((C36-C35)^2+(D36-D35)^2+(E36-E35)^2)</x:f>
        <x:v>0.11500000000000021</x:v>
      </x:c>
      <x:c r="G36" s="8" t="str">
        <x:v>Current</x:v>
      </x:c>
    </x:row>
    <x:row r="37" ht="32" customHeight="1">
      <x:c r="A37" s="8" t="str">
        <x:v>trunk:LC1:E1:light:1</x:v>
      </x:c>
      <x:c r="B37" s="8" t="n">
        <x:v>1</x:v>
      </x:c>
      <x:c r="C37" s="11" t="n">
        <x:v>48.895</x:v>
      </x:c>
      <x:c r="D37" s="11" t="n">
        <x:v>1.85</x:v>
      </x:c>
      <x:c r="E37" s="11" t="n">
        <x:v>-0.55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trunk:LC1:E1:light:1</x:v>
      </x:c>
      <x:c r="B38" s="8" t="n">
        <x:v>2</x:v>
      </x:c>
      <x:c r="C38" s="11" t="n">
        <x:v>48.735</x:v>
      </x:c>
      <x:c r="D38" s="11" t="n">
        <x:v>1.85</x:v>
      </x:c>
      <x:c r="E38" s="11" t="n">
        <x:v>-0.55</x:v>
      </x:c>
      <x:c r="F38" s="11" t="n">
        <x:f>SQRT((C38-C37)^2+(D38-D37)^2+(E38-E37)^2)</x:f>
        <x:v>0.1600000000000037</x:v>
      </x:c>
      <x:c r="G38" s="8" t="str">
        <x:v>Current</x:v>
      </x:c>
    </x:row>
    <x:row r="39" ht="32" customHeight="1">
      <x:c r="A39" s="8" t="str">
        <x:v>trunk:LC1:E1:light:1</x:v>
      </x:c>
      <x:c r="B39" s="8" t="n">
        <x:v>3</x:v>
      </x:c>
      <x:c r="C39" s="11" t="n">
        <x:v>48.735</x:v>
      </x:c>
      <x:c r="D39" s="11" t="n">
        <x:v>1.85</x:v>
      </x:c>
      <x:c r="E39" s="11" t="n">
        <x:v>-2.24</x:v>
      </x:c>
      <x:c r="F39" s="11" t="n">
        <x:f>SQRT((C39-C38)^2+(D39-D38)^2+(E39-E38)^2)</x:f>
        <x:v>1.6900000000000002</x:v>
      </x:c>
      <x:c r="G39" s="8" t="str">
        <x:v>Current</x:v>
      </x:c>
    </x:row>
    <x:row r="40" ht="32" customHeight="1">
      <x:c r="A40" s="8" t="str">
        <x:v>trunk:LC1:E1:light:1</x:v>
      </x:c>
      <x:c r="B40" s="8" t="n">
        <x:v>4</x:v>
      </x:c>
      <x:c r="C40" s="11" t="n">
        <x:v>48.735</x:v>
      </x:c>
      <x:c r="D40" s="11" t="n">
        <x:v>4.33</x:v>
      </x:c>
      <x:c r="E40" s="11" t="n">
        <x:v>-2.24</x:v>
      </x:c>
      <x:c r="F40" s="11" t="n">
        <x:f>SQRT((C40-C39)^2+(D40-D39)^2+(E40-E39)^2)</x:f>
        <x:v>2.48</x:v>
      </x:c>
      <x:c r="G40" s="8" t="str">
        <x:v>Current</x:v>
      </x:c>
    </x:row>
    <x:row r="41" ht="32" customHeight="1">
      <x:c r="A41" s="8" t="str">
        <x:v>trunk:LC1:E1:light:1</x:v>
      </x:c>
      <x:c r="B41" s="8" t="n">
        <x:v>5</x:v>
      </x:c>
      <x:c r="C41" s="11" t="n">
        <x:v>48.735</x:v>
      </x:c>
      <x:c r="D41" s="11" t="n">
        <x:v>4.33</x:v>
      </x:c>
      <x:c r="E41" s="11" t="n">
        <x:v>-3.3</x:v>
      </x:c>
      <x:c r="F41" s="11" t="n">
        <x:f>SQRT((C41-C40)^2+(D41-D40)^2+(E41-E40)^2)</x:f>
        <x:v>1.0599999999999996</x:v>
      </x:c>
      <x:c r="G41" s="8" t="str">
        <x:v>Current</x:v>
      </x:c>
    </x:row>
    <x:row r="42" ht="32" customHeight="1">
      <x:c r="A42" s="8" t="str">
        <x:v>trunk:LC1:E1:light:1</x:v>
      </x:c>
      <x:c r="B42" s="8" t="n">
        <x:v>6</x:v>
      </x:c>
      <x:c r="C42" s="11" t="n">
        <x:v>53.016</x:v>
      </x:c>
      <x:c r="D42" s="11" t="n">
        <x:v>4.33</x:v>
      </x:c>
      <x:c r="E42" s="11" t="n">
        <x:v>-3.3</x:v>
      </x:c>
      <x:c r="F42" s="11" t="n">
        <x:f>SQRT((C42-C41)^2+(D42-D41)^2+(E42-E41)^2)</x:f>
        <x:v>4.280999999999999</x:v>
      </x:c>
      <x:c r="G42" s="8" t="str">
        <x:v>Current</x:v>
      </x:c>
    </x:row>
    <x:row r="43" ht="32" customHeight="1">
      <x:c r="A43" s="8" t="str">
        <x:v>trunk:LC1:E1:light:1</x:v>
      </x:c>
      <x:c r="B43" s="8" t="n">
        <x:v>7</x:v>
      </x:c>
      <x:c r="C43" s="11" t="n">
        <x:v>53.016</x:v>
      </x:c>
      <x:c r="D43" s="11" t="n">
        <x:v>5.988</x:v>
      </x:c>
      <x:c r="E43" s="11" t="n">
        <x:v>-3.3</x:v>
      </x:c>
      <x:c r="F43" s="11" t="n">
        <x:f>SQRT((C43-C42)^2+(D43-D42)^2+(E43-E42)^2)</x:f>
        <x:v>1.6580000000000004</x:v>
      </x:c>
      <x:c r="G43" s="8" t="str">
        <x:v>Current</x:v>
      </x:c>
    </x:row>
    <x:row r="44" ht="32" customHeight="1">
      <x:c r="A44" s="8" t="str">
        <x:v>trunk:LC1:E1:light:1</x:v>
      </x:c>
      <x:c r="B44" s="8" t="n">
        <x:v>8</x:v>
      </x:c>
      <x:c r="C44" s="11" t="n">
        <x:v>53.016</x:v>
      </x:c>
      <x:c r="D44" s="11" t="n">
        <x:v>5.988</x:v>
      </x:c>
      <x:c r="E44" s="11" t="n">
        <x:v>7.36</x:v>
      </x:c>
      <x:c r="F44" s="11" t="n">
        <x:f>SQRT((C44-C43)^2+(D44-D43)^2+(E44-E43)^2)</x:f>
        <x:v>10.66</x:v>
      </x:c>
      <x:c r="G44" s="8" t="str">
        <x:v>Current</x:v>
      </x:c>
    </x:row>
    <x:row r="45" ht="32" customHeight="1">
      <x:c r="A45" s="8" t="str">
        <x:v>trunk:LC1:E1:light:1</x:v>
      </x:c>
      <x:c r="B45" s="8" t="n">
        <x:v>9</x:v>
      </x:c>
      <x:c r="C45" s="11" t="n">
        <x:v>44.175</x:v>
      </x:c>
      <x:c r="D45" s="11" t="n">
        <x:v>5.988</x:v>
      </x:c>
      <x:c r="E45" s="11" t="n">
        <x:v>7.36</x:v>
      </x:c>
      <x:c r="F45" s="11" t="n">
        <x:f>SQRT((C45-C44)^2+(D45-D44)^2+(E45-E44)^2)</x:f>
        <x:v>8.841000000000001</x:v>
      </x:c>
      <x:c r="G45" s="8" t="str">
        <x:v>Current</x:v>
      </x:c>
    </x:row>
    <x:row r="46" ht="32" customHeight="1">
      <x:c r="A46" s="8" t="str">
        <x:v>trunk:LC1:E1:light:1</x:v>
      </x:c>
      <x:c r="B46" s="8" t="n">
        <x:v>10</x:v>
      </x:c>
      <x:c r="C46" s="11" t="n">
        <x:v>44.175</x:v>
      </x:c>
      <x:c r="D46" s="11" t="n">
        <x:v>7.04</x:v>
      </x:c>
      <x:c r="E46" s="11" t="n">
        <x:v>7.36</x:v>
      </x:c>
      <x:c r="F46" s="11" t="n">
        <x:f>SQRT((C46-C45)^2+(D46-D45)^2+(E46-E45)^2)</x:f>
        <x:v>1.0519999999999996</x:v>
      </x:c>
      <x:c r="G46" s="8" t="str">
        <x:v>Current</x:v>
      </x:c>
    </x:row>
    <x:row r="47" ht="32" customHeight="1">
      <x:c r="A47" s="8" t="str">
        <x:v>trunk:LC1:E1:light:1</x:v>
      </x:c>
      <x:c r="B47" s="8" t="n">
        <x:v>11</x:v>
      </x:c>
      <x:c r="C47" s="11" t="n">
        <x:v>43.535</x:v>
      </x:c>
      <x:c r="D47" s="11" t="n">
        <x:v>7.04</x:v>
      </x:c>
      <x:c r="E47" s="11" t="n">
        <x:v>7.36</x:v>
      </x:c>
      <x:c r="F47" s="11" t="n">
        <x:f>SQRT((C47-C46)^2+(D47-D46)^2+(E47-E46)^2)</x:f>
        <x:v>0.6400000000000006</x:v>
      </x:c>
      <x:c r="G47" s="8" t="str">
        <x:v>Current</x:v>
      </x:c>
    </x:row>
    <x:row r="48" ht="32" customHeight="1">
      <x:c r="A48" s="8" t="str">
        <x:v>trunk:LC1:E1:light:1</x:v>
      </x:c>
      <x:c r="B48" s="8" t="n">
        <x:v>12</x:v>
      </x:c>
      <x:c r="C48" s="11" t="n">
        <x:v>43.455</x:v>
      </x:c>
      <x:c r="D48" s="11" t="n">
        <x:v>6.950412371134024</x:v>
      </x:c>
      <x:c r="E48" s="11" t="n">
        <x:v>7.36</x:v>
      </x:c>
      <x:c r="F48" s="11" t="n">
        <x:f>SQRT((C48-C47)^2+(D48-D47)^2+(E48-E47)^2)</x:f>
        <x:v>0.12010804821421249</x:v>
      </x:c>
      <x:c r="G48" s="8" t="str">
        <x:v>Current</x:v>
      </x:c>
    </x:row>
    <x:row r="49" ht="32" customHeight="1">
      <x:c r="A49" s="8" t="str">
        <x:v>trunk:LC1:E1:light:1</x:v>
      </x:c>
      <x:c r="B49" s="8" t="n">
        <x:v>13</x:v>
      </x:c>
      <x:c r="C49" s="11" t="n">
        <x:v>40.574999999999996</x:v>
      </x:c>
      <x:c r="D49" s="11" t="n">
        <x:v>9.269999999999994</x:v>
      </x:c>
      <x:c r="E49" s="11" t="n">
        <x:v>7.36</x:v>
      </x:c>
      <x:c r="F49" s="11" t="n">
        <x:f>SQRT((C49-C48)^2+(D49-D48)^2+(E49-E48)^2)</x:f>
        <x:v>3.6979571073753776</x:v>
      </x:c>
      <x:c r="G49" s="8" t="str">
        <x:v>Current</x:v>
      </x:c>
    </x:row>
    <x:row r="50" ht="32" customHeight="1">
      <x:c r="A50" s="8" t="str">
        <x:v>trunk:LC1:E1:light:1</x:v>
      </x:c>
      <x:c r="B50" s="8" t="n">
        <x:v>14</x:v>
      </x:c>
      <x:c r="C50" s="11" t="n">
        <x:v>37.695</x:v>
      </x:c>
      <x:c r="D50" s="11" t="n">
        <x:v>6.950412371134018</x:v>
      </x:c>
      <x:c r="E50" s="11" t="n">
        <x:v>7.36</x:v>
      </x:c>
      <x:c r="F50" s="11" t="n">
        <x:f>SQRT((C50-C49)^2+(D50-D49)^2+(E50-E49)^2)</x:f>
        <x:v>3.697957107375376</x:v>
      </x:c>
      <x:c r="G50" s="8" t="str">
        <x:v>Current</x:v>
      </x:c>
    </x:row>
    <x:row r="51" ht="32" customHeight="1">
      <x:c r="A51" s="8" t="str">
        <x:v>trunk:LC1:E1:light:1</x:v>
      </x:c>
      <x:c r="B51" s="8" t="n">
        <x:v>15</x:v>
      </x:c>
      <x:c r="C51" s="11" t="n">
        <x:v>37.615</x:v>
      </x:c>
      <x:c r="D51" s="11" t="n">
        <x:v>7.04</x:v>
      </x:c>
      <x:c r="E51" s="11" t="n">
        <x:v>7.36</x:v>
      </x:c>
      <x:c r="F51" s="11" t="n">
        <x:f>SQRT((C51-C50)^2+(D51-D50)^2+(E51-E50)^2)</x:f>
        <x:v>0.12010804821421713</x:v>
      </x:c>
      <x:c r="G51" s="8" t="str">
        <x:v>Current</x:v>
      </x:c>
    </x:row>
    <x:row r="52" ht="32" customHeight="1">
      <x:c r="A52" s="8" t="str">
        <x:v>trunk:LC1:E1:light:1</x:v>
      </x:c>
      <x:c r="B52" s="8" t="n">
        <x:v>16</x:v>
      </x:c>
      <x:c r="C52" s="11" t="n">
        <x:v>36.975</x:v>
      </x:c>
      <x:c r="D52" s="11" t="n">
        <x:v>7.04</x:v>
      </x:c>
      <x:c r="E52" s="11" t="n">
        <x:v>7.36</x:v>
      </x:c>
      <x:c r="F52" s="11" t="n">
        <x:f>SQRT((C52-C51)^2+(D52-D51)^2+(E52-E51)^2)</x:f>
        <x:v>0.6400000000000006</x:v>
      </x:c>
      <x:c r="G52" s="8" t="str">
        <x:v>Current</x:v>
      </x:c>
    </x:row>
    <x:row r="53" ht="32" customHeight="1">
      <x:c r="A53" s="8" t="str">
        <x:v>trunk:LC1:E1:light:1</x:v>
      </x:c>
      <x:c r="B53" s="8" t="n">
        <x:v>17</x:v>
      </x:c>
      <x:c r="C53" s="11" t="n">
        <x:v>36.975</x:v>
      </x:c>
      <x:c r="D53" s="11" t="n">
        <x:v>5.988</x:v>
      </x:c>
      <x:c r="E53" s="11" t="n">
        <x:v>7.36</x:v>
      </x:c>
      <x:c r="F53" s="11" t="n">
        <x:f>SQRT((C53-C52)^2+(D53-D52)^2+(E53-E52)^2)</x:f>
        <x:v>1.0519999999999996</x:v>
      </x:c>
      <x:c r="G53" s="8" t="str">
        <x:v>Current</x:v>
      </x:c>
    </x:row>
    <x:row r="54" ht="32" customHeight="1">
      <x:c r="A54" s="8" t="str">
        <x:v>trunk:LC1:E1:light:1</x:v>
      </x:c>
      <x:c r="B54" s="8" t="n">
        <x:v>18</x:v>
      </x:c>
      <x:c r="C54" s="11" t="n">
        <x:v>16.725</x:v>
      </x:c>
      <x:c r="D54" s="11" t="n">
        <x:v>5.988</x:v>
      </x:c>
      <x:c r="E54" s="11" t="n">
        <x:v>7.36</x:v>
      </x:c>
      <x:c r="F54" s="11" t="n">
        <x:f>SQRT((C54-C53)^2+(D54-D53)^2+(E54-E53)^2)</x:f>
        <x:v>20.25</x:v>
      </x:c>
      <x:c r="G54" s="8" t="str">
        <x:v>Current</x:v>
      </x:c>
    </x:row>
    <x:row r="55" ht="32" customHeight="1">
      <x:c r="A55" s="8" t="str">
        <x:v>drop:LC1:E1:light:1:L157</x:v>
      </x:c>
      <x:c r="B55" s="8" t="n">
        <x:v>1</x:v>
      </x:c>
      <x:c r="C55" s="11" t="n">
        <x:v>16.725</x:v>
      </x:c>
      <x:c r="D55" s="11" t="n">
        <x:v>5.988</x:v>
      </x:c>
      <x:c r="E55" s="11" t="n">
        <x:v>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drop:LC1:E1:light:1:L157</x:v>
      </x:c>
      <x:c r="B56" s="8" t="n">
        <x:v>2</x:v>
      </x:c>
      <x:c r="C56" s="11" t="n">
        <x:v>16.725</x:v>
      </x:c>
      <x:c r="D56" s="11" t="n">
        <x:v>4.6</x:v>
      </x:c>
      <x:c r="E56" s="11" t="n">
        <x:v>7.36</x:v>
      </x:c>
      <x:c r="F56" s="11" t="n">
        <x:f>SQRT((C56-C55)^2+(D56-D55)^2+(E56-E55)^2)</x:f>
        <x:v>1.3880000000000008</x:v>
      </x:c>
      <x:c r="G56" s="8" t="str">
        <x:v>Current</x:v>
      </x:c>
    </x:row>
    <x:row r="57" ht="32" customHeight="1">
      <x:c r="A57" s="8" t="str">
        <x:v>drop:LC1:E1:light:1:L157</x:v>
      </x:c>
      <x:c r="B57" s="8" t="n">
        <x:v>3</x:v>
      </x:c>
      <x:c r="C57" s="11" t="n">
        <x:v>16.725</x:v>
      </x:c>
      <x:c r="D57" s="11" t="n">
        <x:v>4.6</x:v>
      </x:c>
      <x:c r="E57" s="11" t="n">
        <x:v>7.245</x:v>
      </x:c>
      <x:c r="F57" s="11" t="n">
        <x:f>SQRT((C57-C56)^2+(D57-D56)^2+(E57-E56)^2)</x:f>
        <x:v>0.11500000000000021</x:v>
      </x:c>
      <x:c r="G57" s="8" t="str">
        <x:v>Current</x:v>
      </x:c>
    </x:row>
    <x:row r="58" ht="32" customHeight="1">
      <x:c r="A58" s="8" t="str">
        <x:v>drop:LC1:E1:light:1:L159</x:v>
      </x:c>
      <x:c r="B58" s="8" t="n">
        <x:v>1</x:v>
      </x:c>
      <x:c r="C58" s="11" t="n">
        <x:v>34.725</x:v>
      </x:c>
      <x:c r="D58" s="11" t="n">
        <x:v>5.988</x:v>
      </x:c>
      <x:c r="E58" s="11" t="n">
        <x:v>7.36</x:v>
      </x:c>
      <x:c r="F58" s="11" t="n">
        <x:f>0</x:f>
        <x:v>0</x:v>
      </x:c>
      <x:c r="G58" s="8" t="str">
        <x:v>Current</x:v>
      </x:c>
    </x:row>
    <x:row r="59" ht="32" customHeight="1">
      <x:c r="A59" s="8" t="str">
        <x:v>drop:LC1:E1:light:1:L159</x:v>
      </x:c>
      <x:c r="B59" s="8" t="n">
        <x:v>2</x:v>
      </x:c>
      <x:c r="C59" s="11" t="n">
        <x:v>34.725</x:v>
      </x:c>
      <x:c r="D59" s="11" t="n">
        <x:v>4.6</x:v>
      </x:c>
      <x:c r="E59" s="11" t="n">
        <x:v>7.36</x:v>
      </x:c>
      <x:c r="F59" s="11" t="n">
        <x:f>SQRT((C59-C58)^2+(D59-D58)^2+(E59-E58)^2)</x:f>
        <x:v>1.3880000000000008</x:v>
      </x:c>
      <x:c r="G59" s="8" t="str">
        <x:v>Current</x:v>
      </x:c>
    </x:row>
    <x:row r="60" ht="32" customHeight="1">
      <x:c r="A60" s="8" t="str">
        <x:v>drop:LC1:E1:light:1:L159</x:v>
      </x:c>
      <x:c r="B60" s="8" t="n">
        <x:v>3</x:v>
      </x:c>
      <x:c r="C60" s="11" t="n">
        <x:v>34.725</x:v>
      </x:c>
      <x:c r="D60" s="11" t="n">
        <x:v>4.6</x:v>
      </x:c>
      <x:c r="E60" s="11" t="n">
        <x:v>7.245</x:v>
      </x:c>
      <x:c r="F60" s="11" t="n">
        <x:f>SQRT((C60-C59)^2+(D60-D59)^2+(E60-E59)^2)</x:f>
        <x:v>0.11500000000000021</x:v>
      </x:c>
      <x:c r="G60" s="8" t="str">
        <x:v>Current</x:v>
      </x:c>
    </x:row>
  </x:sheetData>
  <x:conditionalFormatting sqref="G7:G60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8854d30902b54a1e"/>
  </x:tableParts>
</x:worksheet>
</file>