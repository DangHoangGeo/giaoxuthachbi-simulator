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a005cfeade48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bc649d68b084a60"/>
    <x:sheet xmlns:r="http://schemas.openxmlformats.org/officeDocument/2006/relationships" name="Equipment" sheetId="2" r:id="R8091ca5c3b1e46c5"/>
    <x:sheet xmlns:r="http://schemas.openxmlformats.org/officeDocument/2006/relationships" name="Electrical Lines" sheetId="3" r:id="R4a42dbcc9ac242b8"/>
    <x:sheet xmlns:r="http://schemas.openxmlformats.org/officeDocument/2006/relationships" name="Route Points" sheetId="4" r:id="Rc7cded3d549144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3bb785259b4bfa" /><Relationship Type="http://schemas.openxmlformats.org/officeDocument/2006/relationships/theme" Target="/xl/theme/theme1.xml" Id="R9ac1a58dbde7474e" /><Relationship Type="http://schemas.openxmlformats.org/officeDocument/2006/relationships/sharedStrings" Target="/xl/sharedStrings.xml" Id="R3222cc778dbe433f" /><Relationship Type="http://schemas.openxmlformats.org/officeDocument/2006/relationships/worksheet" Target="/xl/worksheets/sheet1.xml" Id="Rdbc649d68b084a60" /><Relationship Type="http://schemas.openxmlformats.org/officeDocument/2006/relationships/worksheet" Target="/xl/worksheets/sheet2.xml" Id="R8091ca5c3b1e46c5" /><Relationship Type="http://schemas.openxmlformats.org/officeDocument/2006/relationships/worksheet" Target="/xl/worksheets/sheet3.xml" Id="R4a42dbcc9ac242b8" /><Relationship Type="http://schemas.openxmlformats.org/officeDocument/2006/relationships/worksheet" Target="/xl/worksheets/sheet4.xml" Id="Rc7cded3d549144cb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5b07625300943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5d961824e8348e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84e7fb615c045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2026-10-31T15:58:16.965Z.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7958b4809b6199a78823ea47abdd37329f78f9de03404b0f973483495d74be9e</x:v>
      </x:c>
    </x:row>
    <x:row r="15" ht="44" customHeight="1">
      <x:c r="A15" s="20" t="str">
        <x:v>Source systems SHA-256</x:v>
      </x:c>
      <x:c r="B15" s="16" t="str">
        <x:v>de942b6ea94208f140cd0ec1bb6d7282f467a001cb150dd4c584a870ba9c4c2b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2.6800000008940703</x:v>
      </x:c>
      <x:c r="G7" s="11" t="n">
        <x:v>4.762499999552966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{"backReach":0.08,"clipRise":0.1375000004470346,"dim":1,"note":"CONCEPT: inside-face transom clip, case below the coloured fanlight. Lowest edge about 4.68 m; support/door clearance and sign visibility need fire/architectural review. E1 remains maintained from DB-"}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3.061</x:v>
      </x:c>
      <x:c r="H8" s="11" t="n">
        <x:v>-7.4400000013411045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3.061</x:v>
      </x:c>
      <x:c r="H9" s="11" t="n">
        <x:v>7.4400000013411045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3.061</x:v>
      </x:c>
      <x:c r="H10" s="11" t="n">
        <x:v>-7.4400000013411045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3.061</x:v>
      </x:c>
      <x:c r="H11" s="11" t="n">
        <x:v>7.4400000013411045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5b076253009437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Points'!$A$7:$A$128,A7,'Route Points'!$F$7:$F$128)</x:f>
        <x:v>68.64513031028511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Points'!$A$7:$A$128,A8,'Route Points'!$F$7:$F$128)</x:f>
        <x:v>12.161499905079602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Entrance wall band to solid jamb outside coloured fanlight, fixed transom and local inside-face sign clip. Removable frame cover, fixing and emergency design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Points'!$A$7:$A$128,A9,'Route Points'!$F$7:$F$128)</x:f>
        <x:v>6.9719999986588945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 to solid jamb beside coloured fanlight, fixed 220 mm door-head band and local sign lead. Frame containment, fixing and emergency design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Points'!$A$7:$A$128,A10,'Route Points'!$F$7:$F$128)</x:f>
        <x:v>6.9719999986588945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Wall band to solid jamb beside coloured fanlight, fixed 220 mm door-head band and local sign lead. Frame containment, fixing and emergency design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Points'!$A$7:$A$128,A11,'Route Points'!$F$7:$F$128)</x:f>
        <x:v>59.90513031117919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Points'!$A$7:$A$128,A12,'Route Points'!$F$7:$F$128)</x:f>
        <x:v>6.9719999986588945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 to solid jamb beside coloured fanlight, fixed 220 mm door-head band and local sign lead. Frame containment, fixing and emergency design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Points'!$A$7:$A$128,A13,'Route Points'!$F$7:$F$128)</x:f>
        <x:v>6.9719999986588945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Wall band to solid jamb beside coloured fanlight, fixed 220 mm door-head band and local sign lead. Frame containment, fixing and emergency design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Points'!$A$7:$A$128,A14,'Route Points'!$F$7:$F$128)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Points'!$A$7:$A$128,A15,'Route Points'!$F$7:$F$128)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Points'!$A$7:$A$128,A16,'Route Points'!$F$7:$F$128)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Points'!$A$7:$A$128,A17,'Route Points'!$F$7:$F$128)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Points'!$A$7:$A$128,A18,'Route Points'!$F$7:$F$128)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Points'!$A$7:$A$128,A19,'Route Points'!$F$7:$F$128)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Points'!$A$7:$A$128,A20,'Route Points'!$F$7:$F$128)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d961824e8348e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2.6800000008940703</x:v>
      </x:c>
      <x:c r="D25" s="11" t="n">
        <x:v>5.988</x:v>
      </x:c>
      <x:c r="E25" s="11" t="n">
        <x:v>-7.36</x:v>
      </x:c>
      <x:c r="F25" s="11" t="n">
        <x:f>SQRT((C25-C24)^2+(D25-D24)^2+(E25-E24)^2)</x:f>
        <x:v>2.7949999991059293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2.6800000008940703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2.5920000008940702</x:v>
      </x:c>
      <x:c r="D27" s="11" t="n">
        <x:v>5.988</x:v>
      </x:c>
      <x:c r="E27" s="11" t="n">
        <x:v>-7.36</x:v>
      </x:c>
      <x:c r="F27" s="11" t="n">
        <x:f>SQRT((C27-C26)^2+(D27-D26)^2+(E27-E26)^2)</x:f>
        <x:v>0.08800000000000008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2.5920000008940702</x:v>
      </x:c>
      <x:c r="D28" s="11" t="n">
        <x:v>5.988</x:v>
      </x:c>
      <x:c r="E28" s="11" t="n">
        <x:v>1.699999952316284</x:v>
      </x:c>
      <x:c r="F28" s="11" t="n">
        <x:f>SQRT((C28-C27)^2+(D28-D27)^2+(E28-E27)^2)</x:f>
        <x:v>9.059999952316284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2.5920000008940702</x:v>
      </x:c>
      <x:c r="D29" s="11" t="n">
        <x:v>4.9</x:v>
      </x:c>
      <x:c r="E29" s="11" t="n">
        <x:v>1.699999952316284</x:v>
      </x:c>
      <x:c r="F29" s="11" t="n">
        <x:f>SQRT((C29-C28)^2+(D29-D28)^2+(E29-E28)^2)</x:f>
        <x:v>1.088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2.5920000008940702</x:v>
      </x:c>
      <x:c r="D30" s="11" t="n">
        <x:v>4.9</x:v>
      </x:c>
      <x:c r="E30" s="11" t="n">
        <x:v>0</x:v>
      </x:c>
      <x:c r="F30" s="11" t="n">
        <x:f>SQRT((C30-C29)^2+(D30-D29)^2+(E30-E29)^2)</x:f>
        <x:v>1.699999952316284</x:v>
      </x:c>
      <x:c r="G30" s="8" t="str">
        <x:v>Current</x:v>
      </x:c>
    </x:row>
    <x:row r="31" ht="32" customHeight="1">
      <x:c r="A31" s="8" t="str">
        <x:v>drop:DB1:E1:light:-1:L155</x:v>
      </x:c>
      <x:c r="B31" s="8" t="n">
        <x:v>6</x:v>
      </x:c>
      <x:c r="C31" s="11" t="n">
        <x:v>2.6800000008940703</x:v>
      </x:c>
      <x:c r="D31" s="11" t="n">
        <x:v>4.9</x:v>
      </x:c>
      <x:c r="E31" s="11" t="n">
        <x:v>0</x:v>
      </x:c>
      <x:c r="F31" s="11" t="n">
        <x:f>SQRT((C31-C30)^2+(D31-D30)^2+(E31-E30)^2)</x:f>
        <x:v>0.08800000000000008</x:v>
      </x:c>
      <x:c r="G31" s="8" t="str">
        <x:v>Current</x:v>
      </x:c>
    </x:row>
    <x:row r="32" ht="32" customHeight="1">
      <x:c r="A32" s="8" t="str">
        <x:v>drop:DB1:E1:light:-1:L155</x:v>
      </x:c>
      <x:c r="B32" s="8" t="n">
        <x:v>7</x:v>
      </x:c>
      <x:c r="C32" s="11" t="n">
        <x:v>2.6800000008940703</x:v>
      </x:c>
      <x:c r="D32" s="11" t="n">
        <x:v>4.762499999552966</x:v>
      </x:c>
      <x:c r="E32" s="11" t="n">
        <x:v>0</x:v>
      </x:c>
      <x:c r="F32" s="11" t="n">
        <x:f>SQRT((C32-C31)^2+(D32-D31)^2+(E32-E31)^2)</x:f>
        <x:v>0.1375000004470346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1</x:v>
      </x:c>
      <x:c r="C33" s="11" t="n">
        <x:v>18.02</x:v>
      </x:c>
      <x:c r="D33" s="11" t="n">
        <x:v>5.988</x:v>
      </x:c>
      <x:c r="E33" s="11" t="n">
        <x:v>-7.36</x:v>
      </x:c>
      <x:c r="F33" s="11" t="n">
        <x:f>0</x:f>
        <x:v>0</x:v>
      </x:c>
      <x:c r="G33" s="8" t="str">
        <x:v>Current</x:v>
      </x:c>
    </x:row>
    <x:row r="34" ht="32" customHeight="1">
      <x:c r="A34" s="8" t="str">
        <x:v>drop:DB1:E1:light:-1:L156</x:v>
      </x:c>
      <x:c r="B34" s="8" t="n">
        <x:v>2</x:v>
      </x:c>
      <x:c r="C34" s="11" t="n">
        <x:v>15.450000000000001</x:v>
      </x:c>
      <x:c r="D34" s="11" t="n">
        <x:v>5.988</x:v>
      </x:c>
      <x:c r="E34" s="11" t="n">
        <x:v>-7.36</x:v>
      </x:c>
      <x:c r="F34" s="11" t="n">
        <x:f>SQRT((C34-C33)^2+(D34-D33)^2+(E34-E33)^2)</x:f>
        <x:v>2.5699999999999985</x:v>
      </x:c>
      <x:c r="G34" s="8" t="str">
        <x:v>Current</x:v>
      </x:c>
    </x:row>
    <x:row r="35" ht="32" customHeight="1">
      <x:c r="A35" s="8" t="str">
        <x:v>drop:DB1:E1:light:-1:L156</x:v>
      </x:c>
      <x:c r="B35" s="8" t="n">
        <x:v>3</x:v>
      </x:c>
      <x:c r="C35" s="11" t="n">
        <x:v>15.450000000000001</x:v>
      </x:c>
      <x:c r="D35" s="11" t="n">
        <x:v>3.061</x:v>
      </x:c>
      <x:c r="E35" s="11" t="n">
        <x:v>-7.36</x:v>
      </x:c>
      <x:c r="F35" s="11" t="n">
        <x:f>SQRT((C35-C34)^2+(D35-D34)^2+(E35-E34)^2)</x:f>
        <x:v>2.9270000000000005</x:v>
      </x:c>
      <x:c r="G35" s="8" t="str">
        <x:v>Current</x:v>
      </x:c>
    </x:row>
    <x:row r="36" ht="32" customHeight="1">
      <x:c r="A36" s="8" t="str">
        <x:v>drop:DB1:E1:light:-1:L156</x:v>
      </x:c>
      <x:c r="B36" s="8" t="n">
        <x:v>4</x:v>
      </x:c>
      <x:c r="C36" s="11" t="n">
        <x:v>15.450000000000001</x:v>
      </x:c>
      <x:c r="D36" s="11" t="n">
        <x:v>3.061</x:v>
      </x:c>
      <x:c r="E36" s="11" t="n">
        <x:v>-7.5</x:v>
      </x:c>
      <x:c r="F36" s="11" t="n">
        <x:f>SQRT((C36-C35)^2+(D36-D35)^2+(E36-E35)^2)</x:f>
        <x:v>0.13999999999999968</x:v>
      </x:c>
      <x:c r="G36" s="8" t="str">
        <x:v>Current</x:v>
      </x:c>
    </x:row>
    <x:row r="37" ht="32" customHeight="1">
      <x:c r="A37" s="8" t="str">
        <x:v>drop:DB1:E1:light:-1:L156</x:v>
      </x:c>
      <x:c r="B37" s="8" t="n">
        <x:v>5</x:v>
      </x:c>
      <x:c r="C37" s="11" t="n">
        <x:v>16.725</x:v>
      </x:c>
      <x:c r="D37" s="11" t="n">
        <x:v>3.061</x:v>
      </x:c>
      <x:c r="E37" s="11" t="n">
        <x:v>-7.5</x:v>
      </x:c>
      <x:c r="F37" s="11" t="n">
        <x:f>SQRT((C37-C36)^2+(D37-D36)^2+(E37-E36)^2)</x:f>
        <x:v>1.2750000000000004</x:v>
      </x:c>
      <x:c r="G37" s="8" t="str">
        <x:v>Current</x:v>
      </x:c>
    </x:row>
    <x:row r="38" ht="32" customHeight="1">
      <x:c r="A38" s="8" t="str">
        <x:v>drop:DB1:E1:light:-1:L156</x:v>
      </x:c>
      <x:c r="B38" s="8" t="n">
        <x:v>6</x:v>
      </x:c>
      <x:c r="C38" s="11" t="n">
        <x:v>16.725</x:v>
      </x:c>
      <x:c r="D38" s="11" t="n">
        <x:v>3.061</x:v>
      </x:c>
      <x:c r="E38" s="11" t="n">
        <x:v>-7.4400000013411045</x:v>
      </x:c>
      <x:c r="F38" s="11" t="n">
        <x:f>SQRT((C38-C37)^2+(D38-D37)^2+(E38-E37)^2)</x:f>
        <x:v>0.05999999865889549</x:v>
      </x:c>
      <x:c r="G38" s="8" t="str">
        <x:v>Current</x:v>
      </x:c>
    </x:row>
    <x:row r="39" ht="32" customHeight="1">
      <x:c r="A39" s="8" t="str">
        <x:v>drop:DB1:E1:light:-1:L158</x:v>
      </x:c>
      <x:c r="B39" s="8" t="n">
        <x:v>1</x:v>
      </x:c>
      <x:c r="C39" s="11" t="n">
        <x:v>36.02</x:v>
      </x:c>
      <x:c r="D39" s="11" t="n">
        <x:v>5.988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drop:DB1:E1:light:-1:L158</x:v>
      </x:c>
      <x:c r="B40" s="8" t="n">
        <x:v>2</x:v>
      </x:c>
      <x:c r="C40" s="11" t="n">
        <x:v>33.45</x:v>
      </x:c>
      <x:c r="D40" s="11" t="n">
        <x:v>5.988</x:v>
      </x:c>
      <x:c r="E40" s="11" t="n">
        <x:v>-7.36</x:v>
      </x:c>
      <x:c r="F40" s="11" t="n">
        <x:f>SQRT((C40-C39)^2+(D40-D39)^2+(E40-E39)^2)</x:f>
        <x:v>2.5700000000000003</x:v>
      </x:c>
      <x:c r="G40" s="8" t="str">
        <x:v>Current</x:v>
      </x:c>
    </x:row>
    <x:row r="41" ht="32" customHeight="1">
      <x:c r="A41" s="8" t="str">
        <x:v>drop:DB1:E1:light:-1:L158</x:v>
      </x:c>
      <x:c r="B41" s="8" t="n">
        <x:v>3</x:v>
      </x:c>
      <x:c r="C41" s="11" t="n">
        <x:v>33.45</x:v>
      </x:c>
      <x:c r="D41" s="11" t="n">
        <x:v>3.061</x:v>
      </x:c>
      <x:c r="E41" s="11" t="n">
        <x:v>-7.36</x:v>
      </x:c>
      <x:c r="F41" s="11" t="n">
        <x:f>SQRT((C41-C40)^2+(D41-D40)^2+(E41-E40)^2)</x:f>
        <x:v>2.9270000000000005</x:v>
      </x:c>
      <x:c r="G41" s="8" t="str">
        <x:v>Current</x:v>
      </x:c>
    </x:row>
    <x:row r="42" ht="32" customHeight="1">
      <x:c r="A42" s="8" t="str">
        <x:v>drop:DB1:E1:light:-1:L158</x:v>
      </x:c>
      <x:c r="B42" s="8" t="n">
        <x:v>4</x:v>
      </x:c>
      <x:c r="C42" s="11" t="n">
        <x:v>33.45</x:v>
      </x:c>
      <x:c r="D42" s="11" t="n">
        <x:v>3.061</x:v>
      </x:c>
      <x:c r="E42" s="11" t="n">
        <x:v>-7.5</x:v>
      </x:c>
      <x:c r="F42" s="11" t="n">
        <x:f>SQRT((C42-C41)^2+(D42-D41)^2+(E42-E41)^2)</x:f>
        <x:v>0.13999999999999968</x:v>
      </x:c>
      <x:c r="G42" s="8" t="str">
        <x:v>Current</x:v>
      </x:c>
    </x:row>
    <x:row r="43" ht="32" customHeight="1">
      <x:c r="A43" s="8" t="str">
        <x:v>drop:DB1:E1:light:-1:L158</x:v>
      </x:c>
      <x:c r="B43" s="8" t="n">
        <x:v>5</x:v>
      </x:c>
      <x:c r="C43" s="11" t="n">
        <x:v>34.725</x:v>
      </x:c>
      <x:c r="D43" s="11" t="n">
        <x:v>3.061</x:v>
      </x:c>
      <x:c r="E43" s="11" t="n">
        <x:v>-7.5</x:v>
      </x:c>
      <x:c r="F43" s="11" t="n">
        <x:f>SQRT((C43-C42)^2+(D43-D42)^2+(E43-E42)^2)</x:f>
        <x:v>1.2749999999999986</x:v>
      </x:c>
      <x:c r="G43" s="8" t="str">
        <x:v>Current</x:v>
      </x:c>
    </x:row>
    <x:row r="44" ht="32" customHeight="1">
      <x:c r="A44" s="8" t="str">
        <x:v>drop:DB1:E1:light:-1:L158</x:v>
      </x:c>
      <x:c r="B44" s="8" t="n">
        <x:v>6</x:v>
      </x:c>
      <x:c r="C44" s="11" t="n">
        <x:v>34.725</x:v>
      </x:c>
      <x:c r="D44" s="11" t="n">
        <x:v>3.061</x:v>
      </x:c>
      <x:c r="E44" s="11" t="n">
        <x:v>-7.4400000013411045</x:v>
      </x:c>
      <x:c r="F44" s="11" t="n">
        <x:f>SQRT((C44-C43)^2+(D44-D43)^2+(E44-E43)^2)</x:f>
        <x:v>0.05999999865889549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1</x:v>
      </x:c>
      <x:c r="C45" s="11" t="n">
        <x:v>48.895</x:v>
      </x:c>
      <x:c r="D45" s="11" t="n">
        <x:v>1.75</x:v>
      </x:c>
      <x:c r="E45" s="11" t="n">
        <x:v>-1.55</x:v>
      </x:c>
      <x:c r="F45" s="11" t="n">
        <x:f>0</x:f>
        <x:v>0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2</x:v>
      </x:c>
      <x:c r="C46" s="11" t="n">
        <x:v>48.735</x:v>
      </x:c>
      <x:c r="D46" s="11" t="n">
        <x:v>1.75</x:v>
      </x:c>
      <x:c r="E46" s="11" t="n">
        <x:v>-1.55</x:v>
      </x:c>
      <x:c r="F46" s="11" t="n">
        <x:f>SQRT((C46-C45)^2+(D46-D45)^2+(E46-E45)^2)</x:f>
        <x:v>0.1600000000000037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3</x:v>
      </x:c>
      <x:c r="C47" s="11" t="n">
        <x:v>48.735</x:v>
      </x:c>
      <x:c r="D47" s="11" t="n">
        <x:v>1.75</x:v>
      </x:c>
      <x:c r="E47" s="11" t="n">
        <x:v>-2.24</x:v>
      </x:c>
      <x:c r="F47" s="11" t="n">
        <x:f>SQRT((C47-C46)^2+(D47-D46)^2+(E47-E46)^2)</x:f>
        <x:v>0.6900000000000002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4</x:v>
      </x:c>
      <x:c r="C48" s="11" t="n">
        <x:v>48.735</x:v>
      </x:c>
      <x:c r="D48" s="11" t="n">
        <x:v>4.33</x:v>
      </x:c>
      <x:c r="E48" s="11" t="n">
        <x:v>-2.24</x:v>
      </x:c>
      <x:c r="F48" s="11" t="n">
        <x:f>SQRT((C48-C47)^2+(D48-D47)^2+(E48-E47)^2)</x:f>
        <x:v>2.58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5</x:v>
      </x:c>
      <x:c r="C49" s="11" t="n">
        <x:v>48.735</x:v>
      </x:c>
      <x:c r="D49" s="11" t="n">
        <x:v>4.33</x:v>
      </x:c>
      <x:c r="E49" s="11" t="n">
        <x:v>-3.3</x:v>
      </x:c>
      <x:c r="F49" s="11" t="n">
        <x:f>SQRT((C49-C48)^2+(D49-D48)^2+(E49-E48)^2)</x:f>
        <x:v>1.0599999999999996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6</x:v>
      </x:c>
      <x:c r="C50" s="11" t="n">
        <x:v>53.016</x:v>
      </x:c>
      <x:c r="D50" s="11" t="n">
        <x:v>4.33</x:v>
      </x:c>
      <x:c r="E50" s="11" t="n">
        <x:v>-3.3</x:v>
      </x:c>
      <x:c r="F50" s="11" t="n">
        <x:f>SQRT((C50-C49)^2+(D50-D49)^2+(E50-E49)^2)</x:f>
        <x:v>4.280999999999999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7</x:v>
      </x:c>
      <x:c r="C51" s="11" t="n">
        <x:v>53.016</x:v>
      </x:c>
      <x:c r="D51" s="11" t="n">
        <x:v>5.988</x:v>
      </x:c>
      <x:c r="E51" s="11" t="n">
        <x:v>-3.3</x:v>
      </x:c>
      <x:c r="F51" s="11" t="n">
        <x:f>SQRT((C51-C50)^2+(D51-D50)^2+(E51-E50)^2)</x:f>
        <x:v>1.6580000000000004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8</x:v>
      </x:c>
      <x:c r="C52" s="11" t="n">
        <x:v>53.016</x:v>
      </x:c>
      <x:c r="D52" s="11" t="n">
        <x:v>5.988</x:v>
      </x:c>
      <x:c r="E52" s="11" t="n">
        <x:v>7.36</x:v>
      </x:c>
      <x:c r="F52" s="11" t="n">
        <x:f>SQRT((C52-C51)^2+(D52-D51)^2+(E52-E51)^2)</x:f>
        <x:v>10.66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9</x:v>
      </x:c>
      <x:c r="C53" s="11" t="n">
        <x:v>44.175</x:v>
      </x:c>
      <x:c r="D53" s="11" t="n">
        <x:v>5.988</x:v>
      </x:c>
      <x:c r="E53" s="11" t="n">
        <x:v>7.36</x:v>
      </x:c>
      <x:c r="F53" s="11" t="n">
        <x:f>SQRT((C53-C52)^2+(D53-D52)^2+(E53-E52)^2)</x:f>
        <x:v>8.841000000000001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10</x:v>
      </x:c>
      <x:c r="C54" s="11" t="n">
        <x:v>44.175</x:v>
      </x:c>
      <x:c r="D54" s="11" t="n">
        <x:v>7.04</x:v>
      </x:c>
      <x:c r="E54" s="11" t="n">
        <x:v>7.36</x:v>
      </x:c>
      <x:c r="F54" s="11" t="n">
        <x:f>SQRT((C54-C53)^2+(D54-D53)^2+(E54-E53)^2)</x:f>
        <x:v>1.0519999999999996</x:v>
      </x:c>
      <x:c r="G54" s="8" t="str">
        <x:v>Current</x:v>
      </x:c>
    </x:row>
    <x:row r="55" ht="32" customHeight="1">
      <x:c r="A55" s="8" t="str">
        <x:v>trunk:DB1:E1:light:1</x:v>
      </x:c>
      <x:c r="B55" s="8" t="n">
        <x:v>11</x:v>
      </x:c>
      <x:c r="C55" s="11" t="n">
        <x:v>43.535</x:v>
      </x:c>
      <x:c r="D55" s="11" t="n">
        <x:v>7.04</x:v>
      </x:c>
      <x:c r="E55" s="11" t="n">
        <x:v>7.36</x:v>
      </x:c>
      <x:c r="F55" s="11" t="n">
        <x:f>SQRT((C55-C54)^2+(D55-D54)^2+(E55-E54)^2)</x:f>
        <x:v>0.6400000000000006</x:v>
      </x:c>
      <x:c r="G55" s="8" t="str">
        <x:v>Current</x:v>
      </x:c>
    </x:row>
    <x:row r="56" ht="32" customHeight="1">
      <x:c r="A56" s="8" t="str">
        <x:v>trunk:DB1:E1:light:1</x:v>
      </x:c>
      <x:c r="B56" s="8" t="n">
        <x:v>12</x:v>
      </x:c>
      <x:c r="C56" s="11" t="n">
        <x:v>43.455</x:v>
      </x:c>
      <x:c r="D56" s="11" t="n">
        <x:v>6.950412371134024</x:v>
      </x:c>
      <x:c r="E56" s="11" t="n">
        <x:v>7.36</x:v>
      </x:c>
      <x:c r="F56" s="11" t="n">
        <x:f>SQRT((C56-C55)^2+(D56-D55)^2+(E56-E55)^2)</x:f>
        <x:v>0.12010804821421249</x:v>
      </x:c>
      <x:c r="G56" s="8" t="str">
        <x:v>Current</x:v>
      </x:c>
    </x:row>
    <x:row r="57" ht="32" customHeight="1">
      <x:c r="A57" s="8" t="str">
        <x:v>trunk:DB1:E1:light:1</x:v>
      </x:c>
      <x:c r="B57" s="8" t="n">
        <x:v>13</x:v>
      </x:c>
      <x:c r="C57" s="11" t="n">
        <x:v>40.574999999999996</x:v>
      </x:c>
      <x:c r="D57" s="11" t="n">
        <x:v>9.269999999999994</x:v>
      </x:c>
      <x:c r="E57" s="11" t="n">
        <x:v>7.36</x:v>
      </x:c>
      <x:c r="F57" s="11" t="n">
        <x:f>SQRT((C57-C56)^2+(D57-D56)^2+(E57-E56)^2)</x:f>
        <x:v>3.6979571073753776</x:v>
      </x:c>
      <x:c r="G57" s="8" t="str">
        <x:v>Current</x:v>
      </x:c>
    </x:row>
    <x:row r="58" ht="32" customHeight="1">
      <x:c r="A58" s="8" t="str">
        <x:v>trunk:DB1:E1:light:1</x:v>
      </x:c>
      <x:c r="B58" s="8" t="n">
        <x:v>14</x:v>
      </x:c>
      <x:c r="C58" s="11" t="n">
        <x:v>37.695</x:v>
      </x:c>
      <x:c r="D58" s="11" t="n">
        <x:v>6.950412371134018</x:v>
      </x:c>
      <x:c r="E58" s="11" t="n">
        <x:v>7.36</x:v>
      </x:c>
      <x:c r="F58" s="11" t="n">
        <x:f>SQRT((C58-C57)^2+(D58-D57)^2+(E58-E57)^2)</x:f>
        <x:v>3.697957107375376</x:v>
      </x:c>
      <x:c r="G58" s="8" t="str">
        <x:v>Current</x:v>
      </x:c>
    </x:row>
    <x:row r="59" ht="32" customHeight="1">
      <x:c r="A59" s="8" t="str">
        <x:v>trunk:DB1:E1:light:1</x:v>
      </x:c>
      <x:c r="B59" s="8" t="n">
        <x:v>15</x:v>
      </x:c>
      <x:c r="C59" s="11" t="n">
        <x:v>37.615</x:v>
      </x:c>
      <x:c r="D59" s="11" t="n">
        <x:v>7.04</x:v>
      </x:c>
      <x:c r="E59" s="11" t="n">
        <x:v>7.36</x:v>
      </x:c>
      <x:c r="F59" s="11" t="n">
        <x:f>SQRT((C59-C58)^2+(D59-D58)^2+(E59-E58)^2)</x:f>
        <x:v>0.12010804821421713</x:v>
      </x:c>
      <x:c r="G59" s="8" t="str">
        <x:v>Current</x:v>
      </x:c>
    </x:row>
    <x:row r="60" ht="32" customHeight="1">
      <x:c r="A60" s="8" t="str">
        <x:v>trunk:DB1:E1:light:1</x:v>
      </x:c>
      <x:c r="B60" s="8" t="n">
        <x:v>16</x:v>
      </x:c>
      <x:c r="C60" s="11" t="n">
        <x:v>36.975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trunk:DB1:E1:light:1</x:v>
      </x:c>
      <x:c r="B61" s="8" t="n">
        <x:v>17</x:v>
      </x:c>
      <x:c r="C61" s="11" t="n">
        <x:v>36.975</x:v>
      </x:c>
      <x:c r="D61" s="11" t="n">
        <x:v>5.988</x:v>
      </x:c>
      <x:c r="E61" s="11" t="n">
        <x:v>7.36</x:v>
      </x:c>
      <x:c r="F61" s="11" t="n">
        <x:f>SQRT((C61-C60)^2+(D61-D60)^2+(E61-E60)^2)</x:f>
        <x:v>1.0519999999999996</x:v>
      </x:c>
      <x:c r="G61" s="8" t="str">
        <x:v>Current</x:v>
      </x:c>
    </x:row>
    <x:row r="62" ht="32" customHeight="1">
      <x:c r="A62" s="8" t="str">
        <x:v>trunk:DB1:E1:light:1</x:v>
      </x:c>
      <x:c r="B62" s="8" t="n">
        <x:v>18</x:v>
      </x:c>
      <x:c r="C62" s="11" t="n">
        <x:v>18.02</x:v>
      </x:c>
      <x:c r="D62" s="11" t="n">
        <x:v>5.988</x:v>
      </x:c>
      <x:c r="E62" s="11" t="n">
        <x:v>7.36</x:v>
      </x:c>
      <x:c r="F62" s="11" t="n">
        <x:f>SQRT((C62-C61)^2+(D62-D61)^2+(E62-E61)^2)</x:f>
        <x:v>18.955000000000002</x:v>
      </x:c>
      <x:c r="G62" s="8" t="str">
        <x:v>Current</x:v>
      </x:c>
    </x:row>
    <x:row r="63" ht="32" customHeight="1">
      <x:c r="A63" s="8" t="str">
        <x:v>drop:DB1:E1:light:1:L157</x:v>
      </x:c>
      <x:c r="B63" s="8" t="n">
        <x:v>1</x:v>
      </x:c>
      <x:c r="C63" s="11" t="n">
        <x:v>18.02</x:v>
      </x:c>
      <x:c r="D63" s="11" t="n">
        <x:v>5.988</x:v>
      </x:c>
      <x:c r="E63" s="11" t="n">
        <x:v>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drop:DB1:E1:light:1:L157</x:v>
      </x:c>
      <x:c r="B64" s="8" t="n">
        <x:v>2</x:v>
      </x:c>
      <x:c r="C64" s="11" t="n">
        <x:v>15.450000000000001</x:v>
      </x:c>
      <x:c r="D64" s="11" t="n">
        <x:v>5.988</x:v>
      </x:c>
      <x:c r="E64" s="11" t="n">
        <x:v>7.36</x:v>
      </x:c>
      <x:c r="F64" s="11" t="n">
        <x:f>SQRT((C64-C63)^2+(D64-D63)^2+(E64-E63)^2)</x:f>
        <x:v>2.5699999999999985</x:v>
      </x:c>
      <x:c r="G64" s="8" t="str">
        <x:v>Current</x:v>
      </x:c>
    </x:row>
    <x:row r="65" ht="32" customHeight="1">
      <x:c r="A65" s="8" t="str">
        <x:v>drop:DB1:E1:light:1:L157</x:v>
      </x:c>
      <x:c r="B65" s="8" t="n">
        <x:v>3</x:v>
      </x:c>
      <x:c r="C65" s="11" t="n">
        <x:v>15.450000000000001</x:v>
      </x:c>
      <x:c r="D65" s="11" t="n">
        <x:v>3.061</x:v>
      </x:c>
      <x:c r="E65" s="11" t="n">
        <x:v>7.36</x:v>
      </x:c>
      <x:c r="F65" s="11" t="n">
        <x:f>SQRT((C65-C64)^2+(D65-D64)^2+(E65-E64)^2)</x:f>
        <x:v>2.9270000000000005</x:v>
      </x:c>
      <x:c r="G65" s="8" t="str">
        <x:v>Current</x:v>
      </x:c>
    </x:row>
    <x:row r="66" ht="32" customHeight="1">
      <x:c r="A66" s="8" t="str">
        <x:v>drop:DB1:E1:light:1:L157</x:v>
      </x:c>
      <x:c r="B66" s="8" t="n">
        <x:v>4</x:v>
      </x:c>
      <x:c r="C66" s="11" t="n">
        <x:v>15.450000000000001</x:v>
      </x:c>
      <x:c r="D66" s="11" t="n">
        <x:v>3.061</x:v>
      </x:c>
      <x:c r="E66" s="11" t="n">
        <x:v>7.5</x:v>
      </x:c>
      <x:c r="F66" s="11" t="n">
        <x:f>SQRT((C66-C65)^2+(D66-D65)^2+(E66-E65)^2)</x:f>
        <x:v>0.13999999999999968</x:v>
      </x:c>
      <x:c r="G66" s="8" t="str">
        <x:v>Current</x:v>
      </x:c>
    </x:row>
    <x:row r="67" ht="32" customHeight="1">
      <x:c r="A67" s="8" t="str">
        <x:v>drop:DB1:E1:light:1:L157</x:v>
      </x:c>
      <x:c r="B67" s="8" t="n">
        <x:v>5</x:v>
      </x:c>
      <x:c r="C67" s="11" t="n">
        <x:v>16.725</x:v>
      </x:c>
      <x:c r="D67" s="11" t="n">
        <x:v>3.061</x:v>
      </x:c>
      <x:c r="E67" s="11" t="n">
        <x:v>7.5</x:v>
      </x:c>
      <x:c r="F67" s="11" t="n">
        <x:f>SQRT((C67-C66)^2+(D67-D66)^2+(E67-E66)^2)</x:f>
        <x:v>1.2750000000000004</x:v>
      </x:c>
      <x:c r="G67" s="8" t="str">
        <x:v>Current</x:v>
      </x:c>
    </x:row>
    <x:row r="68" ht="32" customHeight="1">
      <x:c r="A68" s="8" t="str">
        <x:v>drop:DB1:E1:light:1:L157</x:v>
      </x:c>
      <x:c r="B68" s="8" t="n">
        <x:v>6</x:v>
      </x:c>
      <x:c r="C68" s="11" t="n">
        <x:v>16.725</x:v>
      </x:c>
      <x:c r="D68" s="11" t="n">
        <x:v>3.061</x:v>
      </x:c>
      <x:c r="E68" s="11" t="n">
        <x:v>7.4400000013411045</x:v>
      </x:c>
      <x:c r="F68" s="11" t="n">
        <x:f>SQRT((C68-C67)^2+(D68-D67)^2+(E68-E67)^2)</x:f>
        <x:v>0.05999999865889549</x:v>
      </x:c>
      <x:c r="G68" s="8" t="str">
        <x:v>Current</x:v>
      </x:c>
    </x:row>
    <x:row r="69" ht="32" customHeight="1">
      <x:c r="A69" s="8" t="str">
        <x:v>drop:DB1:E1:light:1:L159</x:v>
      </x:c>
      <x:c r="B69" s="8" t="n">
        <x:v>1</x:v>
      </x:c>
      <x:c r="C69" s="11" t="n">
        <x:v>36.02</x:v>
      </x:c>
      <x:c r="D69" s="11" t="n">
        <x:v>5.988</x:v>
      </x:c>
      <x:c r="E69" s="11" t="n">
        <x:v>7.36</x:v>
      </x:c>
      <x:c r="F69" s="11" t="n">
        <x:f>0</x:f>
        <x:v>0</x:v>
      </x:c>
      <x:c r="G69" s="8" t="str">
        <x:v>Current</x:v>
      </x:c>
    </x:row>
    <x:row r="70" ht="32" customHeight="1">
      <x:c r="A70" s="8" t="str">
        <x:v>drop:DB1:E1:light:1:L159</x:v>
      </x:c>
      <x:c r="B70" s="8" t="n">
        <x:v>2</x:v>
      </x:c>
      <x:c r="C70" s="11" t="n">
        <x:v>33.45</x:v>
      </x:c>
      <x:c r="D70" s="11" t="n">
        <x:v>5.988</x:v>
      </x:c>
      <x:c r="E70" s="11" t="n">
        <x:v>7.36</x:v>
      </x:c>
      <x:c r="F70" s="11" t="n">
        <x:f>SQRT((C70-C69)^2+(D70-D69)^2+(E70-E69)^2)</x:f>
        <x:v>2.5700000000000003</x:v>
      </x:c>
      <x:c r="G70" s="8" t="str">
        <x:v>Current</x:v>
      </x:c>
    </x:row>
    <x:row r="71" ht="32" customHeight="1">
      <x:c r="A71" s="8" t="str">
        <x:v>drop:DB1:E1:light:1:L159</x:v>
      </x:c>
      <x:c r="B71" s="8" t="n">
        <x:v>3</x:v>
      </x:c>
      <x:c r="C71" s="11" t="n">
        <x:v>33.45</x:v>
      </x:c>
      <x:c r="D71" s="11" t="n">
        <x:v>3.061</x:v>
      </x:c>
      <x:c r="E71" s="11" t="n">
        <x:v>7.36</x:v>
      </x:c>
      <x:c r="F71" s="11" t="n">
        <x:f>SQRT((C71-C70)^2+(D71-D70)^2+(E71-E70)^2)</x:f>
        <x:v>2.9270000000000005</x:v>
      </x:c>
      <x:c r="G71" s="8" t="str">
        <x:v>Current</x:v>
      </x:c>
    </x:row>
    <x:row r="72" ht="32" customHeight="1">
      <x:c r="A72" s="8" t="str">
        <x:v>drop:DB1:E1:light:1:L159</x:v>
      </x:c>
      <x:c r="B72" s="8" t="n">
        <x:v>4</x:v>
      </x:c>
      <x:c r="C72" s="11" t="n">
        <x:v>33.45</x:v>
      </x:c>
      <x:c r="D72" s="11" t="n">
        <x:v>3.061</x:v>
      </x:c>
      <x:c r="E72" s="11" t="n">
        <x:v>7.5</x:v>
      </x:c>
      <x:c r="F72" s="11" t="n">
        <x:f>SQRT((C72-C71)^2+(D72-D71)^2+(E72-E71)^2)</x:f>
        <x:v>0.13999999999999968</x:v>
      </x:c>
      <x:c r="G72" s="8" t="str">
        <x:v>Current</x:v>
      </x:c>
    </x:row>
    <x:row r="73" ht="32" customHeight="1">
      <x:c r="A73" s="8" t="str">
        <x:v>drop:DB1:E1:light:1:L159</x:v>
      </x:c>
      <x:c r="B73" s="8" t="n">
        <x:v>5</x:v>
      </x:c>
      <x:c r="C73" s="11" t="n">
        <x:v>34.725</x:v>
      </x:c>
      <x:c r="D73" s="11" t="n">
        <x:v>3.061</x:v>
      </x:c>
      <x:c r="E73" s="11" t="n">
        <x:v>7.5</x:v>
      </x:c>
      <x:c r="F73" s="11" t="n">
        <x:f>SQRT((C73-C72)^2+(D73-D72)^2+(E73-E72)^2)</x:f>
        <x:v>1.2749999999999986</x:v>
      </x:c>
      <x:c r="G73" s="8" t="str">
        <x:v>Current</x:v>
      </x:c>
    </x:row>
    <x:row r="74" ht="32" customHeight="1">
      <x:c r="A74" s="8" t="str">
        <x:v>drop:DB1:E1:light:1:L159</x:v>
      </x:c>
      <x:c r="B74" s="8" t="n">
        <x:v>6</x:v>
      </x:c>
      <x:c r="C74" s="11" t="n">
        <x:v>34.725</x:v>
      </x:c>
      <x:c r="D74" s="11" t="n">
        <x:v>3.061</x:v>
      </x:c>
      <x:c r="E74" s="11" t="n">
        <x:v>7.4400000013411045</x:v>
      </x:c>
      <x:c r="F74" s="11" t="n">
        <x:f>SQRT((C74-C73)^2+(D74-D73)^2+(E74-E73)^2)</x:f>
        <x:v>0.05999999865889549</x:v>
      </x:c>
      <x:c r="G74" s="8" t="str">
        <x:v>Current</x:v>
      </x:c>
    </x:row>
    <x:row r="75" ht="32" customHeight="1">
      <x:c r="A75" s="8" t="str">
        <x:v>trunk:LC1:E1:light:-1</x:v>
      </x:c>
      <x:c r="B75" s="8" t="n">
        <x:v>1</x:v>
      </x:c>
      <x:c r="C75" s="11" t="n">
        <x:v>48.895</x:v>
      </x:c>
      <x:c r="D75" s="11" t="n">
        <x:v>1.85</x:v>
      </x:c>
      <x:c r="E75" s="11" t="n">
        <x:v>-0.55</x:v>
      </x:c>
      <x:c r="F75" s="11" t="n">
        <x:f>0</x:f>
        <x:v>0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2</x:v>
      </x:c>
      <x:c r="C76" s="11" t="n">
        <x:v>48.735</x:v>
      </x:c>
      <x:c r="D76" s="11" t="n">
        <x:v>1.85</x:v>
      </x:c>
      <x:c r="E76" s="11" t="n">
        <x:v>-0.55</x:v>
      </x:c>
      <x:c r="F76" s="11" t="n">
        <x:f>SQRT((C76-C75)^2+(D76-D75)^2+(E76-E75)^2)</x:f>
        <x:v>0.1600000000000037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3</x:v>
      </x:c>
      <x:c r="C77" s="11" t="n">
        <x:v>48.735</x:v>
      </x:c>
      <x:c r="D77" s="11" t="n">
        <x:v>1.85</x:v>
      </x:c>
      <x:c r="E77" s="11" t="n">
        <x:v>-2.24</x:v>
      </x:c>
      <x:c r="F77" s="11" t="n">
        <x:f>SQRT((C77-C76)^2+(D77-D76)^2+(E77-E76)^2)</x:f>
        <x:v>1.6900000000000002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4</x:v>
      </x:c>
      <x:c r="C78" s="11" t="n">
        <x:v>48.735</x:v>
      </x:c>
      <x:c r="D78" s="11" t="n">
        <x:v>4.33</x:v>
      </x:c>
      <x:c r="E78" s="11" t="n">
        <x:v>-2.24</x:v>
      </x:c>
      <x:c r="F78" s="11" t="n">
        <x:f>SQRT((C78-C77)^2+(D78-D77)^2+(E78-E77)^2)</x:f>
        <x:v>2.48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5</x:v>
      </x:c>
      <x:c r="C79" s="11" t="n">
        <x:v>48.735</x:v>
      </x:c>
      <x:c r="D79" s="11" t="n">
        <x:v>4.33</x:v>
      </x:c>
      <x:c r="E79" s="11" t="n">
        <x:v>-3.3</x:v>
      </x:c>
      <x:c r="F79" s="11" t="n">
        <x:f>SQRT((C79-C78)^2+(D79-D78)^2+(E79-E78)^2)</x:f>
        <x:v>1.0599999999999996</x:v>
      </x:c>
      <x:c r="G79" s="8" t="str">
        <x:v>Retired</x:v>
      </x:c>
    </x:row>
    <x:row r="80" ht="32" customHeight="1">
      <x:c r="A80" s="8" t="str">
        <x:v>trunk:LC1:E1:light:-1</x:v>
      </x:c>
      <x:c r="B80" s="8" t="n">
        <x:v>6</x:v>
      </x:c>
      <x:c r="C80" s="11" t="n">
        <x:v>53.016</x:v>
      </x:c>
      <x:c r="D80" s="11" t="n">
        <x:v>4.33</x:v>
      </x:c>
      <x:c r="E80" s="11" t="n">
        <x:v>-3.3</x:v>
      </x:c>
      <x:c r="F80" s="11" t="n">
        <x:f>SQRT((C80-C79)^2+(D80-D79)^2+(E80-E79)^2)</x:f>
        <x:v>4.280999999999999</x:v>
      </x:c>
      <x:c r="G80" s="8" t="str">
        <x:v>Retired</x:v>
      </x:c>
    </x:row>
    <x:row r="81" ht="32" customHeight="1">
      <x:c r="A81" s="8" t="str">
        <x:v>trunk:LC1:E1:light:-1</x:v>
      </x:c>
      <x:c r="B81" s="8" t="n">
        <x:v>7</x:v>
      </x:c>
      <x:c r="C81" s="11" t="n">
        <x:v>53.016</x:v>
      </x:c>
      <x:c r="D81" s="11" t="n">
        <x:v>5.988</x:v>
      </x:c>
      <x:c r="E81" s="11" t="n">
        <x:v>-3.3</x:v>
      </x:c>
      <x:c r="F81" s="11" t="n">
        <x:f>SQRT((C81-C80)^2+(D81-D80)^2+(E81-E80)^2)</x:f>
        <x:v>1.6580000000000004</x:v>
      </x:c>
      <x:c r="G81" s="8" t="str">
        <x:v>Retired</x:v>
      </x:c>
    </x:row>
    <x:row r="82" ht="32" customHeight="1">
      <x:c r="A82" s="8" t="str">
        <x:v>trunk:LC1:E1:light:-1</x:v>
      </x:c>
      <x:c r="B82" s="8" t="n">
        <x:v>8</x:v>
      </x:c>
      <x:c r="C82" s="11" t="n">
        <x:v>53.016</x:v>
      </x:c>
      <x:c r="D82" s="11" t="n">
        <x:v>5.988</x:v>
      </x:c>
      <x:c r="E82" s="11" t="n">
        <x:v>-7.36</x:v>
      </x:c>
      <x:c r="F82" s="11" t="n">
        <x:f>SQRT((C82-C81)^2+(D82-D81)^2+(E82-E81)^2)</x:f>
        <x:v>4.0600000000000005</x:v>
      </x:c>
      <x:c r="G82" s="8" t="str">
        <x:v>Retired</x:v>
      </x:c>
    </x:row>
    <x:row r="83" ht="32" customHeight="1">
      <x:c r="A83" s="8" t="str">
        <x:v>trunk:LC1:E1:light:-1</x:v>
      </x:c>
      <x:c r="B83" s="8" t="n">
        <x:v>9</x:v>
      </x:c>
      <x:c r="C83" s="11" t="n">
        <x:v>44.175</x:v>
      </x:c>
      <x:c r="D83" s="11" t="n">
        <x:v>5.988</x:v>
      </x:c>
      <x:c r="E83" s="11" t="n">
        <x:v>-7.36</x:v>
      </x:c>
      <x:c r="F83" s="11" t="n">
        <x:f>SQRT((C83-C82)^2+(D83-D82)^2+(E83-E82)^2)</x:f>
        <x:v>8.841000000000001</x:v>
      </x:c>
      <x:c r="G83" s="8" t="str">
        <x:v>Retired</x:v>
      </x:c>
    </x:row>
    <x:row r="84" ht="32" customHeight="1">
      <x:c r="A84" s="8" t="str">
        <x:v>trunk:LC1:E1:light:-1</x:v>
      </x:c>
      <x:c r="B84" s="8" t="n">
        <x:v>10</x:v>
      </x:c>
      <x:c r="C84" s="11" t="n">
        <x:v>44.175</x:v>
      </x:c>
      <x:c r="D84" s="11" t="n">
        <x:v>7.04</x:v>
      </x:c>
      <x:c r="E84" s="11" t="n">
        <x:v>-7.36</x:v>
      </x:c>
      <x:c r="F84" s="11" t="n">
        <x:f>SQRT((C84-C83)^2+(D84-D83)^2+(E84-E83)^2)</x:f>
        <x:v>1.0519999999999996</x:v>
      </x:c>
      <x:c r="G84" s="8" t="str">
        <x:v>Retired</x:v>
      </x:c>
    </x:row>
    <x:row r="85" ht="32" customHeight="1">
      <x:c r="A85" s="8" t="str">
        <x:v>trunk:LC1:E1:light:-1</x:v>
      </x:c>
      <x:c r="B85" s="8" t="n">
        <x:v>11</x:v>
      </x:c>
      <x:c r="C85" s="11" t="n">
        <x:v>43.535</x:v>
      </x:c>
      <x:c r="D85" s="11" t="n">
        <x:v>7.04</x:v>
      </x:c>
      <x:c r="E85" s="11" t="n">
        <x:v>-7.36</x:v>
      </x:c>
      <x:c r="F85" s="11" t="n">
        <x:f>SQRT((C85-C84)^2+(D85-D84)^2+(E85-E84)^2)</x:f>
        <x:v>0.6400000000000006</x:v>
      </x:c>
      <x:c r="G85" s="8" t="str">
        <x:v>Retired</x:v>
      </x:c>
    </x:row>
    <x:row r="86" ht="32" customHeight="1">
      <x:c r="A86" s="8" t="str">
        <x:v>trunk:LC1:E1:light:-1</x:v>
      </x:c>
      <x:c r="B86" s="8" t="n">
        <x:v>12</x:v>
      </x:c>
      <x:c r="C86" s="11" t="n">
        <x:v>43.455</x:v>
      </x:c>
      <x:c r="D86" s="11" t="n">
        <x:v>6.950412371134024</x:v>
      </x:c>
      <x:c r="E86" s="11" t="n">
        <x:v>-7.36</x:v>
      </x:c>
      <x:c r="F86" s="11" t="n">
        <x:f>SQRT((C86-C85)^2+(D86-D85)^2+(E86-E85)^2)</x:f>
        <x:v>0.12010804821421249</x:v>
      </x:c>
      <x:c r="G86" s="8" t="str">
        <x:v>Retired</x:v>
      </x:c>
    </x:row>
    <x:row r="87" ht="32" customHeight="1">
      <x:c r="A87" s="8" t="str">
        <x:v>trunk:LC1:E1:light:-1</x:v>
      </x:c>
      <x:c r="B87" s="8" t="n">
        <x:v>13</x:v>
      </x:c>
      <x:c r="C87" s="11" t="n">
        <x:v>40.574999999999996</x:v>
      </x:c>
      <x:c r="D87" s="11" t="n">
        <x:v>9.269999999999994</x:v>
      </x:c>
      <x:c r="E87" s="11" t="n">
        <x:v>-7.36</x:v>
      </x:c>
      <x:c r="F87" s="11" t="n">
        <x:f>SQRT((C87-C86)^2+(D87-D86)^2+(E87-E86)^2)</x:f>
        <x:v>3.6979571073753776</x:v>
      </x:c>
      <x:c r="G87" s="8" t="str">
        <x:v>Retired</x:v>
      </x:c>
    </x:row>
    <x:row r="88" ht="32" customHeight="1">
      <x:c r="A88" s="8" t="str">
        <x:v>trunk:LC1:E1:light:-1</x:v>
      </x:c>
      <x:c r="B88" s="8" t="n">
        <x:v>14</x:v>
      </x:c>
      <x:c r="C88" s="11" t="n">
        <x:v>37.695</x:v>
      </x:c>
      <x:c r="D88" s="11" t="n">
        <x:v>6.950412371134018</x:v>
      </x:c>
      <x:c r="E88" s="11" t="n">
        <x:v>-7.36</x:v>
      </x:c>
      <x:c r="F88" s="11" t="n">
        <x:f>SQRT((C88-C87)^2+(D88-D87)^2+(E88-E87)^2)</x:f>
        <x:v>3.697957107375376</x:v>
      </x:c>
      <x:c r="G88" s="8" t="str">
        <x:v>Retired</x:v>
      </x:c>
    </x:row>
    <x:row r="89" ht="32" customHeight="1">
      <x:c r="A89" s="8" t="str">
        <x:v>trunk:LC1:E1:light:-1</x:v>
      </x:c>
      <x:c r="B89" s="8" t="n">
        <x:v>15</x:v>
      </x:c>
      <x:c r="C89" s="11" t="n">
        <x:v>37.615</x:v>
      </x:c>
      <x:c r="D89" s="11" t="n">
        <x:v>7.04</x:v>
      </x:c>
      <x:c r="E89" s="11" t="n">
        <x:v>-7.36</x:v>
      </x:c>
      <x:c r="F89" s="11" t="n">
        <x:f>SQRT((C89-C88)^2+(D89-D88)^2+(E89-E88)^2)</x:f>
        <x:v>0.12010804821421713</x:v>
      </x:c>
      <x:c r="G89" s="8" t="str">
        <x:v>Retired</x:v>
      </x:c>
    </x:row>
    <x:row r="90" ht="32" customHeight="1">
      <x:c r="A90" s="8" t="str">
        <x:v>trunk:LC1:E1:light:-1</x:v>
      </x:c>
      <x:c r="B90" s="8" t="n">
        <x:v>16</x:v>
      </x:c>
      <x:c r="C90" s="11" t="n">
        <x:v>36.975</x:v>
      </x:c>
      <x:c r="D90" s="11" t="n">
        <x:v>7.04</x:v>
      </x:c>
      <x:c r="E90" s="11" t="n">
        <x:v>-7.36</x:v>
      </x:c>
      <x:c r="F90" s="11" t="n">
        <x:f>SQRT((C90-C89)^2+(D90-D89)^2+(E90-E89)^2)</x:f>
        <x:v>0.6400000000000006</x:v>
      </x:c>
      <x:c r="G90" s="8" t="str">
        <x:v>Retired</x:v>
      </x:c>
    </x:row>
    <x:row r="91" ht="32" customHeight="1">
      <x:c r="A91" s="8" t="str">
        <x:v>trunk:LC1:E1:light:-1</x:v>
      </x:c>
      <x:c r="B91" s="8" t="n">
        <x:v>17</x:v>
      </x:c>
      <x:c r="C91" s="11" t="n">
        <x:v>36.975</x:v>
      </x:c>
      <x:c r="D91" s="11" t="n">
        <x:v>5.988</x:v>
      </x:c>
      <x:c r="E91" s="11" t="n">
        <x:v>-7.36</x:v>
      </x:c>
      <x:c r="F91" s="11" t="n">
        <x:f>SQRT((C91-C90)^2+(D91-D90)^2+(E91-E90)^2)</x:f>
        <x:v>1.0519999999999996</x:v>
      </x:c>
      <x:c r="G91" s="8" t="str">
        <x:v>Retired</x:v>
      </x:c>
    </x:row>
    <x:row r="92" ht="32" customHeight="1">
      <x:c r="A92" s="8" t="str">
        <x:v>trunk:LC1:E1:light:-1</x:v>
      </x:c>
      <x:c r="B92" s="8" t="n">
        <x:v>18</x:v>
      </x:c>
      <x:c r="C92" s="11" t="n">
        <x:v>5.475</x:v>
      </x:c>
      <x:c r="D92" s="11" t="n">
        <x:v>5.988</x:v>
      </x:c>
      <x:c r="E92" s="11" t="n">
        <x:v>-7.36</x:v>
      </x:c>
      <x:c r="F92" s="11" t="n">
        <x:f>SQRT((C92-C91)^2+(D92-D91)^2+(E92-E91)^2)</x:f>
        <x:v>31.5</x:v>
      </x:c>
      <x:c r="G92" s="8" t="str">
        <x:v>Retired</x:v>
      </x:c>
    </x:row>
    <x:row r="93" ht="32" customHeight="1">
      <x:c r="A93" s="8" t="str">
        <x:v>trunk:LC1:E1:light:-1</x:v>
      </x:c>
      <x:c r="B93" s="8" t="n">
        <x:v>19</x:v>
      </x:c>
      <x:c r="C93" s="11" t="n">
        <x:v>2.65</x:v>
      </x:c>
      <x:c r="D93" s="11" t="n">
        <x:v>5.988</x:v>
      </x:c>
      <x:c r="E93" s="11" t="n">
        <x:v>-7.36</x:v>
      </x:c>
      <x:c r="F93" s="11" t="n">
        <x:f>SQRT((C93-C92)^2+(D93-D92)^2+(E93-E92)^2)</x:f>
        <x:v>2.8249999999999997</x:v>
      </x:c>
      <x:c r="G93" s="8" t="str">
        <x:v>Retired</x:v>
      </x:c>
    </x:row>
    <x:row r="94" ht="32" customHeight="1">
      <x:c r="A94" s="8" t="str">
        <x:v>drop:LC1:E1:light:-1:L155</x:v>
      </x:c>
      <x:c r="B94" s="8" t="n">
        <x:v>1</x:v>
      </x:c>
      <x:c r="C94" s="11" t="n">
        <x:v>2.65</x:v>
      </x:c>
      <x:c r="D94" s="11" t="n">
        <x:v>5.988</x:v>
      </x:c>
      <x:c r="E94" s="11" t="n">
        <x:v>-7.36</x:v>
      </x:c>
      <x:c r="F94" s="11" t="n">
        <x:f>0</x:f>
        <x:v>0</x:v>
      </x:c>
      <x:c r="G94" s="8" t="str">
        <x:v>Retired</x:v>
      </x:c>
    </x:row>
    <x:row r="95" ht="32" customHeight="1">
      <x:c r="A95" s="8" t="str">
        <x:v>drop:LC1:E1:light:-1:L155</x:v>
      </x:c>
      <x:c r="B95" s="8" t="n">
        <x:v>2</x:v>
      </x:c>
      <x:c r="C95" s="11" t="n">
        <x:v>2.35</x:v>
      </x:c>
      <x:c r="D95" s="11" t="n">
        <x:v>7.65</x:v>
      </x:c>
      <x:c r="E95" s="11" t="n">
        <x:v>-7.36</x:v>
      </x:c>
      <x:c r="F95" s="11" t="n">
        <x:f>SQRT((C95-C94)^2+(D95-D94)^2+(E95-E94)^2)</x:f>
        <x:v>1.6888587862814344</x:v>
      </x:c>
      <x:c r="G95" s="8" t="str">
        <x:v>Retired</x:v>
      </x:c>
    </x:row>
    <x:row r="96" ht="32" customHeight="1">
      <x:c r="A96" s="8" t="str">
        <x:v>drop:LC1:E1:light:-1:L155</x:v>
      </x:c>
      <x:c r="B96" s="8" t="n">
        <x:v>3</x:v>
      </x:c>
      <x:c r="C96" s="11" t="n">
        <x:v>2.35</x:v>
      </x:c>
      <x:c r="D96" s="11" t="n">
        <x:v>7.65</x:v>
      </x:c>
      <x:c r="E96" s="11" t="n">
        <x:v>0</x:v>
      </x:c>
      <x:c r="F96" s="11" t="n">
        <x:f>SQRT((C96-C95)^2+(D96-D95)^2+(E96-E95)^2)</x:f>
        <x:v>7.36</x:v>
      </x:c>
      <x:c r="G96" s="8" t="str">
        <x:v>Retired</x:v>
      </x:c>
    </x:row>
    <x:row r="97" ht="32" customHeight="1">
      <x:c r="A97" s="8" t="str">
        <x:v>drop:LC1:E1:light:-1:L155</x:v>
      </x:c>
      <x:c r="B97" s="8" t="n">
        <x:v>4</x:v>
      </x:c>
      <x:c r="C97" s="11" t="n">
        <x:v>2.35</x:v>
      </x:c>
      <x:c r="D97" s="11" t="n">
        <x:v>6.95</x:v>
      </x:c>
      <x:c r="E97" s="11" t="n">
        <x:v>0</x:v>
      </x:c>
      <x:c r="F97" s="11" t="n">
        <x:f>SQRT((C97-C96)^2+(D97-D96)^2+(E97-E96)^2)</x:f>
        <x:v>0.7000000000000002</x:v>
      </x:c>
      <x:c r="G97" s="8" t="str">
        <x:v>Retired</x:v>
      </x:c>
    </x:row>
    <x:row r="98" ht="32" customHeight="1">
      <x:c r="A98" s="8" t="str">
        <x:v>drop:LC1:E1:light:-1:L155</x:v>
      </x:c>
      <x:c r="B98" s="8" t="n">
        <x:v>5</x:v>
      </x:c>
      <x:c r="C98" s="11" t="n">
        <x:v>2.65</x:v>
      </x:c>
      <x:c r="D98" s="11" t="n">
        <x:v>6.95</x:v>
      </x:c>
      <x:c r="E98" s="11" t="n">
        <x:v>0</x:v>
      </x:c>
      <x:c r="F98" s="11" t="n">
        <x:f>SQRT((C98-C97)^2+(D98-D97)^2+(E98-E97)^2)</x:f>
        <x:v>0.2999999999999998</x:v>
      </x:c>
      <x:c r="G98" s="8" t="str">
        <x:v>Retired</x:v>
      </x:c>
    </x:row>
    <x:row r="99" ht="32" customHeight="1">
      <x:c r="A99" s="8" t="str">
        <x:v>drop:LC1:E1:light:-1:L156</x:v>
      </x:c>
      <x:c r="B99" s="8" t="n">
        <x:v>1</x:v>
      </x:c>
      <x:c r="C99" s="11" t="n">
        <x:v>16.725</x:v>
      </x:c>
      <x:c r="D99" s="11" t="n">
        <x:v>5.988</x:v>
      </x:c>
      <x:c r="E99" s="11" t="n">
        <x:v>-7.36</x:v>
      </x:c>
      <x:c r="F99" s="11" t="n">
        <x:f>0</x:f>
        <x:v>0</x:v>
      </x:c>
      <x:c r="G99" s="8" t="str">
        <x:v>Retired</x:v>
      </x:c>
    </x:row>
    <x:row r="100" ht="32" customHeight="1">
      <x:c r="A100" s="8" t="str">
        <x:v>drop:LC1:E1:light:-1:L156</x:v>
      </x:c>
      <x:c r="B100" s="8" t="n">
        <x:v>2</x:v>
      </x:c>
      <x:c r="C100" s="11" t="n">
        <x:v>16.725</x:v>
      </x:c>
      <x:c r="D100" s="11" t="n">
        <x:v>4.6</x:v>
      </x:c>
      <x:c r="E100" s="11" t="n">
        <x:v>-7.36</x:v>
      </x:c>
      <x:c r="F100" s="11" t="n">
        <x:f>SQRT((C100-C99)^2+(D100-D99)^2+(E100-E99)^2)</x:f>
        <x:v>1.3880000000000008</x:v>
      </x:c>
      <x:c r="G100" s="8" t="str">
        <x:v>Retired</x:v>
      </x:c>
    </x:row>
    <x:row r="101" ht="32" customHeight="1">
      <x:c r="A101" s="8" t="str">
        <x:v>drop:LC1:E1:light:-1:L156</x:v>
      </x:c>
      <x:c r="B101" s="8" t="n">
        <x:v>3</x:v>
      </x:c>
      <x:c r="C101" s="11" t="n">
        <x:v>16.725</x:v>
      </x:c>
      <x:c r="D101" s="11" t="n">
        <x:v>4.6</x:v>
      </x:c>
      <x:c r="E101" s="11" t="n">
        <x:v>-7.245</x:v>
      </x:c>
      <x:c r="F101" s="11" t="n">
        <x:f>SQRT((C101-C100)^2+(D101-D100)^2+(E101-E100)^2)</x:f>
        <x:v>0.11500000000000021</x:v>
      </x:c>
      <x:c r="G101" s="8" t="str">
        <x:v>Retired</x:v>
      </x:c>
    </x:row>
    <x:row r="102" ht="32" customHeight="1">
      <x:c r="A102" s="8" t="str">
        <x:v>drop:LC1:E1:light:-1:L158</x:v>
      </x:c>
      <x:c r="B102" s="8" t="n">
        <x:v>1</x:v>
      </x:c>
      <x:c r="C102" s="11" t="n">
        <x:v>34.725</x:v>
      </x:c>
      <x:c r="D102" s="11" t="n">
        <x:v>5.988</x:v>
      </x:c>
      <x:c r="E102" s="11" t="n">
        <x:v>-7.36</x:v>
      </x:c>
      <x:c r="F102" s="11" t="n">
        <x:f>0</x:f>
        <x:v>0</x:v>
      </x:c>
      <x:c r="G102" s="8" t="str">
        <x:v>Retired</x:v>
      </x:c>
    </x:row>
    <x:row r="103" ht="32" customHeight="1">
      <x:c r="A103" s="8" t="str">
        <x:v>drop:LC1:E1:light:-1:L158</x:v>
      </x:c>
      <x:c r="B103" s="8" t="n">
        <x:v>2</x:v>
      </x:c>
      <x:c r="C103" s="11" t="n">
        <x:v>34.725</x:v>
      </x:c>
      <x:c r="D103" s="11" t="n">
        <x:v>4.6</x:v>
      </x:c>
      <x:c r="E103" s="11" t="n">
        <x:v>-7.36</x:v>
      </x:c>
      <x:c r="F103" s="11" t="n">
        <x:f>SQRT((C103-C102)^2+(D103-D102)^2+(E103-E102)^2)</x:f>
        <x:v>1.3880000000000008</x:v>
      </x:c>
      <x:c r="G103" s="8" t="str">
        <x:v>Retired</x:v>
      </x:c>
    </x:row>
    <x:row r="104" ht="32" customHeight="1">
      <x:c r="A104" s="8" t="str">
        <x:v>drop:LC1:E1:light:-1:L158</x:v>
      </x:c>
      <x:c r="B104" s="8" t="n">
        <x:v>3</x:v>
      </x:c>
      <x:c r="C104" s="11" t="n">
        <x:v>34.725</x:v>
      </x:c>
      <x:c r="D104" s="11" t="n">
        <x:v>4.6</x:v>
      </x:c>
      <x:c r="E104" s="11" t="n">
        <x:v>-7.245</x:v>
      </x:c>
      <x:c r="F104" s="11" t="n">
        <x:f>SQRT((C104-C103)^2+(D104-D103)^2+(E104-E103)^2)</x:f>
        <x:v>0.11500000000000021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</x:v>
      </x:c>
      <x:c r="C105" s="11" t="n">
        <x:v>48.895</x:v>
      </x:c>
      <x:c r="D105" s="11" t="n">
        <x:v>1.85</x:v>
      </x:c>
      <x:c r="E105" s="11" t="n">
        <x:v>-0.55</x:v>
      </x:c>
      <x:c r="F105" s="11" t="n">
        <x:f>0</x:f>
        <x:v>0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2</x:v>
      </x:c>
      <x:c r="C106" s="11" t="n">
        <x:v>48.735</x:v>
      </x:c>
      <x:c r="D106" s="11" t="n">
        <x:v>1.85</x:v>
      </x:c>
      <x:c r="E106" s="11" t="n">
        <x:v>-0.55</x:v>
      </x:c>
      <x:c r="F106" s="11" t="n">
        <x:f>SQRT((C106-C105)^2+(D106-D105)^2+(E106-E105)^2)</x:f>
        <x:v>0.1600000000000037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3</x:v>
      </x:c>
      <x:c r="C107" s="11" t="n">
        <x:v>48.735</x:v>
      </x:c>
      <x:c r="D107" s="11" t="n">
        <x:v>1.85</x:v>
      </x:c>
      <x:c r="E107" s="11" t="n">
        <x:v>-2.24</x:v>
      </x:c>
      <x:c r="F107" s="11" t="n">
        <x:f>SQRT((C107-C106)^2+(D107-D106)^2+(E107-E106)^2)</x:f>
        <x:v>1.6900000000000002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4</x:v>
      </x:c>
      <x:c r="C108" s="11" t="n">
        <x:v>48.735</x:v>
      </x:c>
      <x:c r="D108" s="11" t="n">
        <x:v>4.33</x:v>
      </x:c>
      <x:c r="E108" s="11" t="n">
        <x:v>-2.24</x:v>
      </x:c>
      <x:c r="F108" s="11" t="n">
        <x:f>SQRT((C108-C107)^2+(D108-D107)^2+(E108-E107)^2)</x:f>
        <x:v>2.48</x:v>
      </x:c>
      <x:c r="G108" s="8" t="str">
        <x:v>Retired</x:v>
      </x:c>
    </x:row>
    <x:row r="109" ht="32" customHeight="1">
      <x:c r="A109" s="8" t="str">
        <x:v>trunk:LC1:E1:light:1</x:v>
      </x:c>
      <x:c r="B109" s="8" t="n">
        <x:v>5</x:v>
      </x:c>
      <x:c r="C109" s="11" t="n">
        <x:v>48.735</x:v>
      </x:c>
      <x:c r="D109" s="11" t="n">
        <x:v>4.33</x:v>
      </x:c>
      <x:c r="E109" s="11" t="n">
        <x:v>-3.3</x:v>
      </x:c>
      <x:c r="F109" s="11" t="n">
        <x:f>SQRT((C109-C108)^2+(D109-D108)^2+(E109-E108)^2)</x:f>
        <x:v>1.0599999999999996</x:v>
      </x:c>
      <x:c r="G109" s="8" t="str">
        <x:v>Retired</x:v>
      </x:c>
    </x:row>
    <x:row r="110" ht="32" customHeight="1">
      <x:c r="A110" s="8" t="str">
        <x:v>trunk:LC1:E1:light:1</x:v>
      </x:c>
      <x:c r="B110" s="8" t="n">
        <x:v>6</x:v>
      </x:c>
      <x:c r="C110" s="11" t="n">
        <x:v>53.016</x:v>
      </x:c>
      <x:c r="D110" s="11" t="n">
        <x:v>4.33</x:v>
      </x:c>
      <x:c r="E110" s="11" t="n">
        <x:v>-3.3</x:v>
      </x:c>
      <x:c r="F110" s="11" t="n">
        <x:f>SQRT((C110-C109)^2+(D110-D109)^2+(E110-E109)^2)</x:f>
        <x:v>4.280999999999999</x:v>
      </x:c>
      <x:c r="G110" s="8" t="str">
        <x:v>Retired</x:v>
      </x:c>
    </x:row>
    <x:row r="111" ht="32" customHeight="1">
      <x:c r="A111" s="8" t="str">
        <x:v>trunk:LC1:E1:light:1</x:v>
      </x:c>
      <x:c r="B111" s="8" t="n">
        <x:v>7</x:v>
      </x:c>
      <x:c r="C111" s="11" t="n">
        <x:v>53.016</x:v>
      </x:c>
      <x:c r="D111" s="11" t="n">
        <x:v>5.988</x:v>
      </x:c>
      <x:c r="E111" s="11" t="n">
        <x:v>-3.3</x:v>
      </x:c>
      <x:c r="F111" s="11" t="n">
        <x:f>SQRT((C111-C110)^2+(D111-D110)^2+(E111-E110)^2)</x:f>
        <x:v>1.6580000000000004</x:v>
      </x:c>
      <x:c r="G111" s="8" t="str">
        <x:v>Retired</x:v>
      </x:c>
    </x:row>
    <x:row r="112" ht="32" customHeight="1">
      <x:c r="A112" s="8" t="str">
        <x:v>trunk:LC1:E1:light:1</x:v>
      </x:c>
      <x:c r="B112" s="8" t="n">
        <x:v>8</x:v>
      </x:c>
      <x:c r="C112" s="11" t="n">
        <x:v>53.016</x:v>
      </x:c>
      <x:c r="D112" s="11" t="n">
        <x:v>5.988</x:v>
      </x:c>
      <x:c r="E112" s="11" t="n">
        <x:v>7.36</x:v>
      </x:c>
      <x:c r="F112" s="11" t="n">
        <x:f>SQRT((C112-C111)^2+(D112-D111)^2+(E112-E111)^2)</x:f>
        <x:v>10.66</x:v>
      </x:c>
      <x:c r="G112" s="8" t="str">
        <x:v>Retired</x:v>
      </x:c>
    </x:row>
    <x:row r="113" ht="32" customHeight="1">
      <x:c r="A113" s="8" t="str">
        <x:v>trunk:LC1:E1:light:1</x:v>
      </x:c>
      <x:c r="B113" s="8" t="n">
        <x:v>9</x:v>
      </x:c>
      <x:c r="C113" s="11" t="n">
        <x:v>44.175</x:v>
      </x:c>
      <x:c r="D113" s="11" t="n">
        <x:v>5.988</x:v>
      </x:c>
      <x:c r="E113" s="11" t="n">
        <x:v>7.36</x:v>
      </x:c>
      <x:c r="F113" s="11" t="n">
        <x:f>SQRT((C113-C112)^2+(D113-D112)^2+(E113-E112)^2)</x:f>
        <x:v>8.841000000000001</x:v>
      </x:c>
      <x:c r="G113" s="8" t="str">
        <x:v>Retired</x:v>
      </x:c>
    </x:row>
    <x:row r="114" ht="32" customHeight="1">
      <x:c r="A114" s="8" t="str">
        <x:v>trunk:LC1:E1:light:1</x:v>
      </x:c>
      <x:c r="B114" s="8" t="n">
        <x:v>10</x:v>
      </x:c>
      <x:c r="C114" s="11" t="n">
        <x:v>44.175</x:v>
      </x:c>
      <x:c r="D114" s="11" t="n">
        <x:v>7.04</x:v>
      </x:c>
      <x:c r="E114" s="11" t="n">
        <x:v>7.36</x:v>
      </x:c>
      <x:c r="F114" s="11" t="n">
        <x:f>SQRT((C114-C113)^2+(D114-D113)^2+(E114-E113)^2)</x:f>
        <x:v>1.0519999999999996</x:v>
      </x:c>
      <x:c r="G114" s="8" t="str">
        <x:v>Retired</x:v>
      </x:c>
    </x:row>
    <x:row r="115" ht="32" customHeight="1">
      <x:c r="A115" s="8" t="str">
        <x:v>trunk:LC1:E1:light:1</x:v>
      </x:c>
      <x:c r="B115" s="8" t="n">
        <x:v>11</x:v>
      </x:c>
      <x:c r="C115" s="11" t="n">
        <x:v>43.535</x:v>
      </x:c>
      <x:c r="D115" s="11" t="n">
        <x:v>7.04</x:v>
      </x:c>
      <x:c r="E115" s="11" t="n">
        <x:v>7.36</x:v>
      </x:c>
      <x:c r="F115" s="11" t="n">
        <x:f>SQRT((C115-C114)^2+(D115-D114)^2+(E115-E114)^2)</x:f>
        <x:v>0.6400000000000006</x:v>
      </x:c>
      <x:c r="G115" s="8" t="str">
        <x:v>Retired</x:v>
      </x:c>
    </x:row>
    <x:row r="116" ht="32" customHeight="1">
      <x:c r="A116" s="8" t="str">
        <x:v>trunk:LC1:E1:light:1</x:v>
      </x:c>
      <x:c r="B116" s="8" t="n">
        <x:v>12</x:v>
      </x:c>
      <x:c r="C116" s="11" t="n">
        <x:v>43.455</x:v>
      </x:c>
      <x:c r="D116" s="11" t="n">
        <x:v>6.950412371134024</x:v>
      </x:c>
      <x:c r="E116" s="11" t="n">
        <x:v>7.36</x:v>
      </x:c>
      <x:c r="F116" s="11" t="n">
        <x:f>SQRT((C116-C115)^2+(D116-D115)^2+(E116-E115)^2)</x:f>
        <x:v>0.12010804821421249</x:v>
      </x:c>
      <x:c r="G116" s="8" t="str">
        <x:v>Retired</x:v>
      </x:c>
    </x:row>
    <x:row r="117" ht="32" customHeight="1">
      <x:c r="A117" s="8" t="str">
        <x:v>trunk:LC1:E1:light:1</x:v>
      </x:c>
      <x:c r="B117" s="8" t="n">
        <x:v>13</x:v>
      </x:c>
      <x:c r="C117" s="11" t="n">
        <x:v>40.574999999999996</x:v>
      </x:c>
      <x:c r="D117" s="11" t="n">
        <x:v>9.269999999999994</x:v>
      </x:c>
      <x:c r="E117" s="11" t="n">
        <x:v>7.36</x:v>
      </x:c>
      <x:c r="F117" s="11" t="n">
        <x:f>SQRT((C117-C116)^2+(D117-D116)^2+(E117-E116)^2)</x:f>
        <x:v>3.6979571073753776</x:v>
      </x:c>
      <x:c r="G117" s="8" t="str">
        <x:v>Retired</x:v>
      </x:c>
    </x:row>
    <x:row r="118" ht="32" customHeight="1">
      <x:c r="A118" s="8" t="str">
        <x:v>trunk:LC1:E1:light:1</x:v>
      </x:c>
      <x:c r="B118" s="8" t="n">
        <x:v>14</x:v>
      </x:c>
      <x:c r="C118" s="11" t="n">
        <x:v>37.695</x:v>
      </x:c>
      <x:c r="D118" s="11" t="n">
        <x:v>6.950412371134018</x:v>
      </x:c>
      <x:c r="E118" s="11" t="n">
        <x:v>7.36</x:v>
      </x:c>
      <x:c r="F118" s="11" t="n">
        <x:f>SQRT((C118-C117)^2+(D118-D117)^2+(E118-E117)^2)</x:f>
        <x:v>3.697957107375376</x:v>
      </x:c>
      <x:c r="G118" s="8" t="str">
        <x:v>Retired</x:v>
      </x:c>
    </x:row>
    <x:row r="119" ht="32" customHeight="1">
      <x:c r="A119" s="8" t="str">
        <x:v>trunk:LC1:E1:light:1</x:v>
      </x:c>
      <x:c r="B119" s="8" t="n">
        <x:v>15</x:v>
      </x:c>
      <x:c r="C119" s="11" t="n">
        <x:v>37.615</x:v>
      </x:c>
      <x:c r="D119" s="11" t="n">
        <x:v>7.04</x:v>
      </x:c>
      <x:c r="E119" s="11" t="n">
        <x:v>7.36</x:v>
      </x:c>
      <x:c r="F119" s="11" t="n">
        <x:f>SQRT((C119-C118)^2+(D119-D118)^2+(E119-E118)^2)</x:f>
        <x:v>0.12010804821421713</x:v>
      </x:c>
      <x:c r="G119" s="8" t="str">
        <x:v>Retired</x:v>
      </x:c>
    </x:row>
    <x:row r="120" ht="32" customHeight="1">
      <x:c r="A120" s="8" t="str">
        <x:v>trunk:LC1:E1:light:1</x:v>
      </x:c>
      <x:c r="B120" s="8" t="n">
        <x:v>16</x:v>
      </x:c>
      <x:c r="C120" s="11" t="n">
        <x:v>36.975</x:v>
      </x:c>
      <x:c r="D120" s="11" t="n">
        <x:v>7.04</x:v>
      </x:c>
      <x:c r="E120" s="11" t="n">
        <x:v>7.36</x:v>
      </x:c>
      <x:c r="F120" s="11" t="n">
        <x:f>SQRT((C120-C119)^2+(D120-D119)^2+(E120-E119)^2)</x:f>
        <x:v>0.6400000000000006</x:v>
      </x:c>
      <x:c r="G120" s="8" t="str">
        <x:v>Retired</x:v>
      </x:c>
    </x:row>
    <x:row r="121" ht="32" customHeight="1">
      <x:c r="A121" s="8" t="str">
        <x:v>trunk:LC1:E1:light:1</x:v>
      </x:c>
      <x:c r="B121" s="8" t="n">
        <x:v>17</x:v>
      </x:c>
      <x:c r="C121" s="11" t="n">
        <x:v>36.975</x:v>
      </x:c>
      <x:c r="D121" s="11" t="n">
        <x:v>5.988</x:v>
      </x:c>
      <x:c r="E121" s="11" t="n">
        <x:v>7.36</x:v>
      </x:c>
      <x:c r="F121" s="11" t="n">
        <x:f>SQRT((C121-C120)^2+(D121-D120)^2+(E121-E120)^2)</x:f>
        <x:v>1.0519999999999996</x:v>
      </x:c>
      <x:c r="G121" s="8" t="str">
        <x:v>Retired</x:v>
      </x:c>
    </x:row>
    <x:row r="122" ht="32" customHeight="1">
      <x:c r="A122" s="8" t="str">
        <x:v>trunk:LC1:E1:light:1</x:v>
      </x:c>
      <x:c r="B122" s="8" t="n">
        <x:v>18</x:v>
      </x:c>
      <x:c r="C122" s="11" t="n">
        <x:v>16.725</x:v>
      </x:c>
      <x:c r="D122" s="11" t="n">
        <x:v>5.988</x:v>
      </x:c>
      <x:c r="E122" s="11" t="n">
        <x:v>7.36</x:v>
      </x:c>
      <x:c r="F122" s="11" t="n">
        <x:f>SQRT((C122-C121)^2+(D122-D121)^2+(E122-E121)^2)</x:f>
        <x:v>20.25</x:v>
      </x:c>
      <x:c r="G122" s="8" t="str">
        <x:v>Retired</x:v>
      </x:c>
    </x:row>
    <x:row r="123" ht="32" customHeight="1">
      <x:c r="A123" s="8" t="str">
        <x:v>drop:LC1:E1:light:1:L157</x:v>
      </x:c>
      <x:c r="B123" s="8" t="n">
        <x:v>1</x:v>
      </x:c>
      <x:c r="C123" s="11" t="n">
        <x:v>16.725</x:v>
      </x:c>
      <x:c r="D123" s="11" t="n">
        <x:v>5.988</x:v>
      </x:c>
      <x:c r="E123" s="11" t="n">
        <x:v>7.36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drop:LC1:E1:light:1:L157</x:v>
      </x:c>
      <x:c r="B124" s="8" t="n">
        <x:v>2</x:v>
      </x:c>
      <x:c r="C124" s="11" t="n">
        <x:v>16.725</x:v>
      </x:c>
      <x:c r="D124" s="11" t="n">
        <x:v>4.6</x:v>
      </x:c>
      <x:c r="E124" s="11" t="n">
        <x:v>7.36</x:v>
      </x:c>
      <x:c r="F124" s="11" t="n">
        <x:f>SQRT((C124-C123)^2+(D124-D123)^2+(E124-E123)^2)</x:f>
        <x:v>1.3880000000000008</x:v>
      </x:c>
      <x:c r="G124" s="8" t="str">
        <x:v>Retired</x:v>
      </x:c>
    </x:row>
    <x:row r="125" ht="32" customHeight="1">
      <x:c r="A125" s="8" t="str">
        <x:v>drop:LC1:E1:light:1:L157</x:v>
      </x:c>
      <x:c r="B125" s="8" t="n">
        <x:v>3</x:v>
      </x:c>
      <x:c r="C125" s="11" t="n">
        <x:v>16.725</x:v>
      </x:c>
      <x:c r="D125" s="11" t="n">
        <x:v>4.6</x:v>
      </x:c>
      <x:c r="E125" s="11" t="n">
        <x:v>7.245</x:v>
      </x:c>
      <x:c r="F125" s="11" t="n">
        <x:f>SQRT((C125-C124)^2+(D125-D124)^2+(E125-E124)^2)</x:f>
        <x:v>0.11500000000000021</x:v>
      </x:c>
      <x:c r="G125" s="8" t="str">
        <x:v>Retired</x:v>
      </x:c>
    </x:row>
    <x:row r="126" ht="32" customHeight="1">
      <x:c r="A126" s="8" t="str">
        <x:v>drop:LC1:E1:light:1:L159</x:v>
      </x:c>
      <x:c r="B126" s="8" t="n">
        <x:v>1</x:v>
      </x:c>
      <x:c r="C126" s="11" t="n">
        <x:v>34.725</x:v>
      </x:c>
      <x:c r="D126" s="11" t="n">
        <x:v>5.988</x:v>
      </x:c>
      <x:c r="E126" s="11" t="n">
        <x:v>7.36</x:v>
      </x:c>
      <x:c r="F126" s="11" t="n">
        <x:f>0</x:f>
        <x:v>0</x:v>
      </x:c>
      <x:c r="G126" s="8" t="str">
        <x:v>Retired</x:v>
      </x:c>
    </x:row>
    <x:row r="127" ht="32" customHeight="1">
      <x:c r="A127" s="8" t="str">
        <x:v>drop:LC1:E1:light:1:L159</x:v>
      </x:c>
      <x:c r="B127" s="8" t="n">
        <x:v>2</x:v>
      </x:c>
      <x:c r="C127" s="11" t="n">
        <x:v>34.725</x:v>
      </x:c>
      <x:c r="D127" s="11" t="n">
        <x:v>4.6</x:v>
      </x:c>
      <x:c r="E127" s="11" t="n">
        <x:v>7.36</x:v>
      </x:c>
      <x:c r="F127" s="11" t="n">
        <x:f>SQRT((C127-C126)^2+(D127-D126)^2+(E127-E126)^2)</x:f>
        <x:v>1.3880000000000008</x:v>
      </x:c>
      <x:c r="G127" s="8" t="str">
        <x:v>Retired</x:v>
      </x:c>
    </x:row>
    <x:row r="128" ht="32" customHeight="1">
      <x:c r="A128" s="8" t="str">
        <x:v>drop:LC1:E1:light:1:L159</x:v>
      </x:c>
      <x:c r="B128" s="8" t="n">
        <x:v>3</x:v>
      </x:c>
      <x:c r="C128" s="11" t="n">
        <x:v>34.725</x:v>
      </x:c>
      <x:c r="D128" s="11" t="n">
        <x:v>4.6</x:v>
      </x:c>
      <x:c r="E128" s="11" t="n">
        <x:v>7.245</x:v>
      </x:c>
      <x:c r="F128" s="11" t="n">
        <x:f>SQRT((C128-C127)^2+(D128-D127)^2+(E128-E127)^2)</x:f>
        <x:v>0.11500000000000021</x:v>
      </x:c>
      <x:c r="G128" s="8" t="str">
        <x:v>Retired</x:v>
      </x:c>
    </x:row>
  </x:sheetData>
  <x:conditionalFormatting sqref="G7:G12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84e7fb615c0451d"/>
  </x:tableParts>
</x:worksheet>
</file>