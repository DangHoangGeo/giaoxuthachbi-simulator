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d2cdff323d435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2e311f3f33a64e90"/>
    <x:sheet xmlns:r="http://schemas.openxmlformats.org/officeDocument/2006/relationships" name="Equipment" sheetId="2" r:id="Rbbfa106ba8984837"/>
    <x:sheet xmlns:r="http://schemas.openxmlformats.org/officeDocument/2006/relationships" name="Electrical Lines" sheetId="3" r:id="Rfeaffe779e77421e"/>
    <x:sheet xmlns:r="http://schemas.openxmlformats.org/officeDocument/2006/relationships" name="Route Points" sheetId="4" r:id="R4b64cc04ff50402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b8083ae5534dbc" /><Relationship Type="http://schemas.openxmlformats.org/officeDocument/2006/relationships/theme" Target="/xl/theme/theme1.xml" Id="Rb6ca45d95a974b0b" /><Relationship Type="http://schemas.openxmlformats.org/officeDocument/2006/relationships/sharedStrings" Target="/xl/sharedStrings.xml" Id="R8cb62ff7208f44b9" /><Relationship Type="http://schemas.openxmlformats.org/officeDocument/2006/relationships/worksheet" Target="/xl/worksheets/sheet1.xml" Id="R2e311f3f33a64e90" /><Relationship Type="http://schemas.openxmlformats.org/officeDocument/2006/relationships/worksheet" Target="/xl/worksheets/sheet2.xml" Id="Rbbfa106ba8984837" /><Relationship Type="http://schemas.openxmlformats.org/officeDocument/2006/relationships/worksheet" Target="/xl/worksheets/sheet3.xml" Id="Rfeaffe779e77421e" /><Relationship Type="http://schemas.openxmlformats.org/officeDocument/2006/relationships/worksheet" Target="/xl/worksheets/sheet4.xml" Id="R4b64cc04ff504026" /></Relationships>
</file>

<file path=xl/tables/table1.xml><?xml version="1.0" encoding="utf-8"?>
<x:table xmlns:x="http://schemas.openxmlformats.org/spreadsheetml/2006/main" id="1" name="EquipmentRegister" displayName="EquipmentRegister" ref="A6:AC1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0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14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ea02aae174c4e6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be760e4367849a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e36e15150414d0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Exit signs: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Exit signs. E1 maintained exit-sign group. Emergency supply and duration require separate design. Model snapshot: 2026-10-24T17:01:56.972Z.</x:v>
      </x:c>
    </x:row>
    <x:row r="5" ht="34" customHeight="1">
      <x:c r="A5" s="20" t="str">
        <x:v>Current equipment</x:v>
      </x:c>
      <x:c r="B5" s="16" t="n">
        <x:f>COUNTIFS(Equipment!$AA$7:$AA$11,"Current")</x:f>
        <x:v>5</x:v>
      </x:c>
    </x:row>
    <x:row r="6" ht="34" customHeight="1">
      <x:c r="A6" s="20" t="str">
        <x:v>Current routes</x:v>
      </x:c>
      <x:c r="B6" s="16" t="n">
        <x:f>COUNTIFS('Electrical Lines'!$Y$7:$Y$20,"Current")</x:f>
        <x:v>7</x:v>
      </x:c>
    </x:row>
    <x:row r="7" ht="34" customHeight="1">
      <x:c r="A7" s="20" t="str">
        <x:v>Retired equipment / routes</x:v>
      </x:c>
      <x:c r="B7" s="16" t="n">
        <x:f>COUNTIFS(Equipment!$AA$7:$AA$11,"Retired")+COUNTIFS('Electrical Lines'!$Y$7:$Y$20,"Retired")</x:f>
        <x:v>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13047932f1698050c4ec862686991828799970abdcdf394a64d82404d1fcbee8</x:v>
      </x:c>
    </x:row>
    <x:row r="15" ht="44" customHeight="1">
      <x:c r="A15" s="20" t="str">
        <x:v>Source systems SHA-256</x:v>
      </x:c>
      <x:c r="B15" s="16" t="str">
        <x:v>2faac8500a07543b677dc990e5aad2b96fa69acb639f440c57dab2001fa28053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E1 maintained exit-sign group. Emergency supply and duration require separate design.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Exit signs: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L155</x:v>
      </x:c>
      <x:c r="B7" s="8" t="str">
        <x:v>Exit sign · main doors</x:v>
      </x:c>
      <x:c r="C7" s="8" t="str">
        <x:v>light</x:v>
      </x:c>
      <x:c r="D7" s="8" t="str">
        <x:v>DB1</x:v>
      </x:c>
      <x:c r="E7" s="8" t="str">
        <x:v>E1</x:v>
      </x:c>
      <x:c r="F7" s="11" t="n">
        <x:v>2.65</x:v>
      </x:c>
      <x:c r="G7" s="11" t="n">
        <x:v>6.95</x:v>
      </x:c>
      <x:c r="H7" s="11" t="n">
        <x:v>0</x:v>
      </x:c>
      <x:c r="I7" s="8" t="str">
        <x:v>wall</x:v>
      </x:c>
      <x:c r="J7" s="8" t="str">
        <x:v>Shown</x:v>
      </x:c>
      <x:c r="K7" s="8" t="str">
        <x:v>On</x:v>
      </x:c>
      <x:c r="L7" s="8" t="str">
        <x:v>55 × 170 × 380</x:v>
      </x:c>
      <x:c r="M7" s="8" t="str">
        <x:v>20 lm · 6500 K</x:v>
      </x:c>
      <x:c r="N7" s="11" t="n">
        <x:v>3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drop:DB1:E1:light:-1:L155</x:v>
      </x:c>
      <x:c r="AC7" s="8" t="str">
        <x:v>{"dim":1}</x:v>
      </x:c>
    </x:row>
    <x:row r="8" ht="96" customHeight="1">
      <x:c r="A8" s="8" t="str">
        <x:v>L156</x:v>
      </x:c>
      <x:c r="B8" s="8" t="str">
        <x:v>Exit sign · side door 16.7 · B</x:v>
      </x:c>
      <x:c r="C8" s="8" t="str">
        <x:v>light</x:v>
      </x:c>
      <x:c r="D8" s="8" t="str">
        <x:v>DB1</x:v>
      </x:c>
      <x:c r="E8" s="8" t="str">
        <x:v>E1</x:v>
      </x:c>
      <x:c r="F8" s="11" t="n">
        <x:v>16.725</x:v>
      </x:c>
      <x:c r="G8" s="11" t="n">
        <x:v>4.6</x:v>
      </x:c>
      <x:c r="H8" s="11" t="n">
        <x:v>-7.245</x:v>
      </x:c>
      <x:c r="I8" s="8" t="str">
        <x:v>wall</x:v>
      </x:c>
      <x:c r="J8" s="8" t="str">
        <x:v>Shown</x:v>
      </x:c>
      <x:c r="K8" s="8" t="str">
        <x:v>On</x:v>
      </x:c>
      <x:c r="L8" s="8" t="str">
        <x:v>55 × 170 × 380</x:v>
      </x:c>
      <x:c r="M8" s="8" t="str">
        <x:v>20 lm · 6500 K</x:v>
      </x:c>
      <x:c r="N8" s="11" t="n">
        <x:v>3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drop:DB1:E1:light:-1:L156</x:v>
      </x:c>
      <x:c r="AC8" s="8" t="str">
        <x:v>{"dim":1}</x:v>
      </x:c>
    </x:row>
    <x:row r="9" ht="96" customHeight="1">
      <x:c r="A9" s="8" t="str">
        <x:v>L157</x:v>
      </x:c>
      <x:c r="B9" s="8" t="str">
        <x:v>Exit sign · side door 16.7 · H</x:v>
      </x:c>
      <x:c r="C9" s="8" t="str">
        <x:v>light</x:v>
      </x:c>
      <x:c r="D9" s="8" t="str">
        <x:v>DB1</x:v>
      </x:c>
      <x:c r="E9" s="8" t="str">
        <x:v>E1</x:v>
      </x:c>
      <x:c r="F9" s="11" t="n">
        <x:v>16.725</x:v>
      </x:c>
      <x:c r="G9" s="11" t="n">
        <x:v>4.6</x:v>
      </x:c>
      <x:c r="H9" s="11" t="n">
        <x:v>7.245</x:v>
      </x:c>
      <x:c r="I9" s="8" t="str">
        <x:v>wall</x:v>
      </x:c>
      <x:c r="J9" s="8" t="str">
        <x:v>Shown</x:v>
      </x:c>
      <x:c r="K9" s="8" t="str">
        <x:v>On</x:v>
      </x:c>
      <x:c r="L9" s="8" t="str">
        <x:v>55 × 170 × 380</x:v>
      </x:c>
      <x:c r="M9" s="8" t="str">
        <x:v>20 lm · 6500 K</x:v>
      </x:c>
      <x:c r="N9" s="11" t="n">
        <x:v>3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drop:DB1:E1:light:1:L157</x:v>
      </x:c>
      <x:c r="AC9" s="8" t="str">
        <x:v>{"dim":1}</x:v>
      </x:c>
    </x:row>
    <x:row r="10" ht="96" customHeight="1">
      <x:c r="A10" s="8" t="str">
        <x:v>L158</x:v>
      </x:c>
      <x:c r="B10" s="8" t="str">
        <x:v>Exit sign · side door 34.7 · B</x:v>
      </x:c>
      <x:c r="C10" s="8" t="str">
        <x:v>light</x:v>
      </x:c>
      <x:c r="D10" s="8" t="str">
        <x:v>DB1</x:v>
      </x:c>
      <x:c r="E10" s="8" t="str">
        <x:v>E1</x:v>
      </x:c>
      <x:c r="F10" s="11" t="n">
        <x:v>34.725</x:v>
      </x:c>
      <x:c r="G10" s="11" t="n">
        <x:v>4.6</x:v>
      </x:c>
      <x:c r="H10" s="11" t="n">
        <x:v>-7.245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55 × 170 × 380</x:v>
      </x:c>
      <x:c r="M10" s="8" t="str">
        <x:v>20 lm · 6500 K</x:v>
      </x:c>
      <x:c r="N10" s="11" t="n">
        <x:v>3</x:v>
      </x:c>
      <x:c r="O10" s="11" t="n">
        <x:v>90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drop:DB1:E1:light:-1:L158</x:v>
      </x:c>
      <x:c r="AC10" s="8" t="str">
        <x:v>{"dim":1}</x:v>
      </x:c>
    </x:row>
    <x:row r="11" ht="96" customHeight="1">
      <x:c r="A11" s="8" t="str">
        <x:v>L159</x:v>
      </x:c>
      <x:c r="B11" s="8" t="str">
        <x:v>Exit sign · side door 34.7 · H</x:v>
      </x:c>
      <x:c r="C11" s="8" t="str">
        <x:v>light</x:v>
      </x:c>
      <x:c r="D11" s="8" t="str">
        <x:v>DB1</x:v>
      </x:c>
      <x:c r="E11" s="8" t="str">
        <x:v>E1</x:v>
      </x:c>
      <x:c r="F11" s="11" t="n">
        <x:v>34.725</x:v>
      </x:c>
      <x:c r="G11" s="11" t="n">
        <x:v>4.6</x:v>
      </x:c>
      <x:c r="H11" s="11" t="n">
        <x:v>7.245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55 × 170 × 380</x:v>
      </x:c>
      <x:c r="M11" s="8" t="str">
        <x:v>20 lm · 6500 K</x:v>
      </x:c>
      <x:c r="N11" s="11" t="n">
        <x:v>3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drop:DB1:E1:light:1:L159</x:v>
      </x:c>
      <x:c r="AC11" s="8" t="str">
        <x:v>{"dim":1}</x:v>
      </x:c>
    </x:row>
  </x:sheetData>
  <x:conditionalFormatting sqref="AA7:AA11">
    <x:cfRule type="containsText" dxfId="0" priority="1" operator="containsText" text="Retired"/>
  </x:conditionalFormatting>
  <x:dataValidations count="3">
    <x:dataValidation type="decimal" operator="between" sqref="W7:W11">
      <x:formula1>-1000</x:formula1>
      <x:formula2>1000</x:formula2>
    </x:dataValidation>
    <x:dataValidation type="decimal" operator="between" sqref="X7:X11">
      <x:formula1>-1000</x:formula1>
      <x:formula2>1000</x:formula2>
    </x:dataValidation>
    <x:dataValidation type="decimal" operator="between" sqref="Y7:Y1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1ea02aae174c4e6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trunk:DB1:E1:light:-1</x:v>
      </x:c>
      <x:c r="B7" s="8" t="str">
        <x:v>E1 · B · circuit trunk</x:v>
      </x:c>
      <x:c r="C7" s="8" t="str">
        <x:v>DB1</x:v>
      </x:c>
      <x:c r="D7" s="8" t="str">
        <x:v>L155
L156
L158</x:v>
      </x:c>
      <x:c r="E7" s="8" t="str">
        <x:v>DB1</x:v>
      </x:c>
      <x:c r="F7" s="8" t="str">
        <x:v>E1</x:v>
      </x:c>
      <x:c r="G7" s="8" t="str">
        <x:v>light</x:v>
      </x:c>
      <x:c r="H7" s="8" t="str">
        <x:v>trunk</x:v>
      </x:c>
      <x:c r="I7" s="11" t="n">
        <x:f>SUMIF('Route Points'!$A$7:$A$114,A7,'Route Points'!$F$7:$F$114)</x:f>
        <x:v>68.67513031117919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drop:DB1:E1:light:-1:L155</x:v>
      </x:c>
      <x:c r="B8" s="8" t="str">
        <x:v>E1 → Exit sign · main doors</x:v>
      </x:c>
      <x:c r="C8" s="8" t="str">
        <x:v>DB1</x:v>
      </x:c>
      <x:c r="D8" s="8" t="str">
        <x:v>L155</x:v>
      </x:c>
      <x:c r="E8" s="8" t="str">
        <x:v>DB1</x:v>
      </x:c>
      <x:c r="F8" s="8" t="str">
        <x:v>E1</x:v>
      </x:c>
      <x:c r="G8" s="8" t="str">
        <x:v>light</x:v>
      </x:c>
      <x:c r="H8" s="8" t="str">
        <x:v>drop</x:v>
      </x:c>
      <x:c r="I8" s="11" t="n">
        <x:f>SUMIF('Route Points'!$A$7:$A$114,A8,'Route Points'!$F$7:$F$114)</x:f>
        <x:v>10.048858786281436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entrance wall band, solid pier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trunk:DB1:E1:light:-1</x:v>
      </x:c>
    </x:row>
    <x:row r="9" ht="90" customHeight="1">
      <x:c r="A9" s="8" t="str">
        <x:v>drop:DB1:E1:light:-1:L156</x:v>
      </x:c>
      <x:c r="B9" s="8" t="str">
        <x:v>E1 → Exit sign · side door 16.7 · B</x:v>
      </x:c>
      <x:c r="C9" s="8" t="str">
        <x:v>DB1</x:v>
      </x:c>
      <x:c r="D9" s="8" t="str">
        <x:v>L156</x:v>
      </x:c>
      <x:c r="E9" s="8" t="str">
        <x:v>DB1</x:v>
      </x:c>
      <x:c r="F9" s="8" t="str">
        <x:v>E1</x:v>
      </x:c>
      <x:c r="G9" s="8" t="str">
        <x:v>light</x:v>
      </x:c>
      <x:c r="H9" s="8" t="str">
        <x:v>drop</x:v>
      </x:c>
      <x:c r="I9" s="11" t="n">
        <x:f>SUMIF('Route Points'!$A$7:$A$114,A9,'Route Points'!$F$7:$F$114)</x:f>
        <x:v>1.503000000000001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trunk:DB1:E1:light:-1</x:v>
      </x:c>
    </x:row>
    <x:row r="10" ht="90" customHeight="1">
      <x:c r="A10" s="8" t="str">
        <x:v>drop:DB1:E1:light:-1:L158</x:v>
      </x:c>
      <x:c r="B10" s="8" t="str">
        <x:v>E1 → Exit sign · side door 34.7 · B</x:v>
      </x:c>
      <x:c r="C10" s="8" t="str">
        <x:v>DB1</x:v>
      </x:c>
      <x:c r="D10" s="8" t="str">
        <x:v>L158</x:v>
      </x:c>
      <x:c r="E10" s="8" t="str">
        <x:v>DB1</x:v>
      </x:c>
      <x:c r="F10" s="8" t="str">
        <x:v>E1</x:v>
      </x:c>
      <x:c r="G10" s="8" t="str">
        <x:v>light</x:v>
      </x:c>
      <x:c r="H10" s="8" t="str">
        <x:v>drop</x:v>
      </x:c>
      <x:c r="I10" s="11" t="n">
        <x:f>SUMIF('Route Points'!$A$7:$A$114,A10,'Route Points'!$F$7:$F$114)</x:f>
        <x:v>1.503000000000001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trunk:DB1:E1:light:-1</x:v>
      </x:c>
    </x:row>
    <x:row r="11" ht="90" customHeight="1">
      <x:c r="A11" s="8" t="str">
        <x:v>trunk:DB1:E1:light:1</x:v>
      </x:c>
      <x:c r="B11" s="8" t="str">
        <x:v>E1 · H · circuit trunk</x:v>
      </x:c>
      <x:c r="C11" s="8" t="str">
        <x:v>DB1</x:v>
      </x:c>
      <x:c r="D11" s="8" t="str">
        <x:v>L157
L159</x:v>
      </x:c>
      <x:c r="E11" s="8" t="str">
        <x:v>DB1</x:v>
      </x:c>
      <x:c r="F11" s="8" t="str">
        <x:v>E1</x:v>
      </x:c>
      <x:c r="G11" s="8" t="str">
        <x:v>light</x:v>
      </x:c>
      <x:c r="H11" s="8" t="str">
        <x:v>trunk</x:v>
      </x:c>
      <x:c r="I11" s="11" t="n">
        <x:f>SUMIF('Route Points'!$A$7:$A$114,A11,'Route Points'!$F$7:$F$114)</x:f>
        <x:v>61.20013031117919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Wall bands above openings; concealed finish-matched soffit crossing over the 9–10 wing opening.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drop:DB1:E1:light:1:L157</x:v>
      </x:c>
      <x:c r="B12" s="8" t="str">
        <x:v>E1 → Exit sign · side door 16.7 · H</x:v>
      </x:c>
      <x:c r="C12" s="8" t="str">
        <x:v>DB1</x:v>
      </x:c>
      <x:c r="D12" s="8" t="str">
        <x:v>L157</x:v>
      </x:c>
      <x:c r="E12" s="8" t="str">
        <x:v>DB1</x:v>
      </x:c>
      <x:c r="F12" s="8" t="str">
        <x:v>E1</x:v>
      </x:c>
      <x:c r="G12" s="8" t="str">
        <x:v>light</x:v>
      </x:c>
      <x:c r="H12" s="8" t="str">
        <x:v>drop</x:v>
      </x:c>
      <x:c r="I12" s="11" t="n">
        <x:f>SUMIF('Route Points'!$A$7:$A$114,A12,'Route Points'!$F$7:$F$114)</x:f>
        <x:v>1.503000000000001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trunk:DB1:E1:light:1</x:v>
      </x:c>
    </x:row>
    <x:row r="13" ht="90" customHeight="1">
      <x:c r="A13" s="8" t="str">
        <x:v>drop:DB1:E1:light:1:L159</x:v>
      </x:c>
      <x:c r="B13" s="8" t="str">
        <x:v>E1 → Exit sign · side door 34.7 · H</x:v>
      </x:c>
      <x:c r="C13" s="8" t="str">
        <x:v>DB1</x:v>
      </x:c>
      <x:c r="D13" s="8" t="str">
        <x:v>L159</x:v>
      </x:c>
      <x:c r="E13" s="8" t="str">
        <x:v>DB1</x:v>
      </x:c>
      <x:c r="F13" s="8" t="str">
        <x:v>E1</x:v>
      </x:c>
      <x:c r="G13" s="8" t="str">
        <x:v>light</x:v>
      </x:c>
      <x:c r="H13" s="8" t="str">
        <x:v>drop</x:v>
      </x:c>
      <x:c r="I13" s="11" t="n">
        <x:f>SUMIF('Route Points'!$A$7:$A$114,A13,'Route Points'!$F$7:$F$114)</x:f>
        <x:v>1.503000000000001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trunk:DB1:E1:light:1</x:v>
      </x:c>
    </x:row>
    <x:row r="14" ht="90" customHeight="1">
      <x:c r="A14" s="8" t="str">
        <x:v>trunk:LC1:E1:light:-1</x:v>
      </x:c>
      <x:c r="B14" s="8" t="str">
        <x:v>E1 · B · circuit trunk</x:v>
      </x:c>
      <x:c r="C14" s="8" t="str">
        <x:v>LC1</x:v>
      </x:c>
      <x:c r="D14" s="8" t="str">
        <x:v>L155
L156
L158</x:v>
      </x:c>
      <x:c r="E14" s="8" t="str">
        <x:v>DB1</x:v>
      </x:c>
      <x:c r="F14" s="8" t="str">
        <x:v>E1</x:v>
      </x:c>
      <x:c r="G14" s="8" t="str">
        <x:v>light</x:v>
      </x:c>
      <x:c r="H14" s="8" t="str">
        <x:v>trunk</x:v>
      </x:c>
      <x:c r="I14" s="11" t="n">
        <x:f>SUMIF('Route Points'!$A$7:$A$114,A14,'Route Points'!$F$7:$F$114)</x:f>
        <x:v>69.5751303111792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Wall bands above openings; concealed finish-matched soffit crossing over the 9–10 wing opening.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Retired</x:v>
      </x:c>
      <x:c r="Z14" s="8"/>
    </x:row>
    <x:row r="15" ht="90" customHeight="1">
      <x:c r="A15" s="8" t="str">
        <x:v>drop:LC1:E1:light:-1:L155</x:v>
      </x:c>
      <x:c r="B15" s="8" t="str">
        <x:v>E1 → Exit sign · main doors</x:v>
      </x:c>
      <x:c r="C15" s="8" t="str">
        <x:v>LC1</x:v>
      </x:c>
      <x:c r="D15" s="8" t="str">
        <x:v>L155</x:v>
      </x:c>
      <x:c r="E15" s="8" t="str">
        <x:v>DB1</x:v>
      </x:c>
      <x:c r="F15" s="8" t="str">
        <x:v>E1</x:v>
      </x:c>
      <x:c r="G15" s="8" t="str">
        <x:v>light</x:v>
      </x:c>
      <x:c r="H15" s="8" t="str">
        <x:v>drop</x:v>
      </x:c>
      <x:c r="I15" s="11" t="n">
        <x:f>SUMIF('Route Points'!$A$7:$A$114,A15,'Route Points'!$F$7:$F$114)</x:f>
        <x:v>10.048858786281436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Concealed entrance wall band, solid pier and local termination.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Retired</x:v>
      </x:c>
      <x:c r="Z15" s="8" t="str">
        <x:v>trunk:LC1:E1:light:-1</x:v>
      </x:c>
    </x:row>
    <x:row r="16" ht="90" customHeight="1">
      <x:c r="A16" s="8" t="str">
        <x:v>drop:LC1:E1:light:-1:L156</x:v>
      </x:c>
      <x:c r="B16" s="8" t="str">
        <x:v>E1 → Exit sign · side door 16.7 · B</x:v>
      </x:c>
      <x:c r="C16" s="8" t="str">
        <x:v>LC1</x:v>
      </x:c>
      <x:c r="D16" s="8" t="str">
        <x:v>L156</x:v>
      </x:c>
      <x:c r="E16" s="8" t="str">
        <x:v>DB1</x:v>
      </x:c>
      <x:c r="F16" s="8" t="str">
        <x:v>E1</x:v>
      </x:c>
      <x:c r="G16" s="8" t="str">
        <x:v>light</x:v>
      </x:c>
      <x:c r="H16" s="8" t="str">
        <x:v>drop</x:v>
      </x:c>
      <x:c r="I16" s="11" t="n">
        <x:f>SUMIF('Route Points'!$A$7:$A$114,A16,'Route Points'!$F$7:$F$114)</x:f>
        <x:v>1.503000000000001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Retired</x:v>
      </x:c>
      <x:c r="Z16" s="8" t="str">
        <x:v>trunk:LC1:E1:light:-1</x:v>
      </x:c>
    </x:row>
    <x:row r="17" ht="90" customHeight="1">
      <x:c r="A17" s="8" t="str">
        <x:v>drop:LC1:E1:light:-1:L158</x:v>
      </x:c>
      <x:c r="B17" s="8" t="str">
        <x:v>E1 → Exit sign · side door 34.7 · B</x:v>
      </x:c>
      <x:c r="C17" s="8" t="str">
        <x:v>LC1</x:v>
      </x:c>
      <x:c r="D17" s="8" t="str">
        <x:v>L158</x:v>
      </x:c>
      <x:c r="E17" s="8" t="str">
        <x:v>DB1</x:v>
      </x:c>
      <x:c r="F17" s="8" t="str">
        <x:v>E1</x:v>
      </x:c>
      <x:c r="G17" s="8" t="str">
        <x:v>light</x:v>
      </x:c>
      <x:c r="H17" s="8" t="str">
        <x:v>drop</x:v>
      </x:c>
      <x:c r="I17" s="11" t="n">
        <x:f>SUMIF('Route Points'!$A$7:$A$114,A17,'Route Points'!$F$7:$F$114)</x:f>
        <x:v>1.503000000000001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Retired</x:v>
      </x:c>
      <x:c r="Z17" s="8" t="str">
        <x:v>trunk:LC1:E1:light:-1</x:v>
      </x:c>
    </x:row>
    <x:row r="18" ht="90" customHeight="1">
      <x:c r="A18" s="8" t="str">
        <x:v>trunk:LC1:E1:light:1</x:v>
      </x:c>
      <x:c r="B18" s="8" t="str">
        <x:v>E1 · H · circuit trunk</x:v>
      </x:c>
      <x:c r="C18" s="8" t="str">
        <x:v>LC1</x:v>
      </x:c>
      <x:c r="D18" s="8" t="str">
        <x:v>L157
L159</x:v>
      </x:c>
      <x:c r="E18" s="8" t="str">
        <x:v>DB1</x:v>
      </x:c>
      <x:c r="F18" s="8" t="str">
        <x:v>E1</x:v>
      </x:c>
      <x:c r="G18" s="8" t="str">
        <x:v>light</x:v>
      </x:c>
      <x:c r="H18" s="8" t="str">
        <x:v>trunk</x:v>
      </x:c>
      <x:c r="I18" s="11" t="n">
        <x:f>SUMIF('Route Points'!$A$7:$A$114,A18,'Route Points'!$F$7:$F$114)</x:f>
        <x:v>62.10013031117919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Wall bands above openings; concealed finish-matched soffit crossing over the 9–10 wing opening.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Retired</x:v>
      </x:c>
      <x:c r="Z18" s="8"/>
    </x:row>
    <x:row r="19" ht="90" customHeight="1">
      <x:c r="A19" s="8" t="str">
        <x:v>drop:LC1:E1:light:1:L157</x:v>
      </x:c>
      <x:c r="B19" s="8" t="str">
        <x:v>E1 → Exit sign · side door 16.7 · H</x:v>
      </x:c>
      <x:c r="C19" s="8" t="str">
        <x:v>LC1</x:v>
      </x:c>
      <x:c r="D19" s="8" t="str">
        <x:v>L157</x:v>
      </x:c>
      <x:c r="E19" s="8" t="str">
        <x:v>DB1</x:v>
      </x:c>
      <x:c r="F19" s="8" t="str">
        <x:v>E1</x:v>
      </x:c>
      <x:c r="G19" s="8" t="str">
        <x:v>light</x:v>
      </x:c>
      <x:c r="H19" s="8" t="str">
        <x:v>drop</x:v>
      </x:c>
      <x:c r="I19" s="11" t="n">
        <x:f>SUMIF('Route Points'!$A$7:$A$114,A19,'Route Points'!$F$7:$F$114)</x:f>
        <x:v>1.503000000000001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Retired</x:v>
      </x:c>
      <x:c r="Z19" s="8" t="str">
        <x:v>trunk:LC1:E1:light:1</x:v>
      </x:c>
    </x:row>
    <x:row r="20" ht="90" customHeight="1">
      <x:c r="A20" s="8" t="str">
        <x:v>drop:LC1:E1:light:1:L159</x:v>
      </x:c>
      <x:c r="B20" s="8" t="str">
        <x:v>E1 → Exit sign · side door 34.7 · H</x:v>
      </x:c>
      <x:c r="C20" s="8" t="str">
        <x:v>LC1</x:v>
      </x:c>
      <x:c r="D20" s="8" t="str">
        <x:v>L159</x:v>
      </x:c>
      <x:c r="E20" s="8" t="str">
        <x:v>DB1</x:v>
      </x:c>
      <x:c r="F20" s="8" t="str">
        <x:v>E1</x:v>
      </x:c>
      <x:c r="G20" s="8" t="str">
        <x:v>light</x:v>
      </x:c>
      <x:c r="H20" s="8" t="str">
        <x:v>drop</x:v>
      </x:c>
      <x:c r="I20" s="11" t="n">
        <x:f>SUMIF('Route Points'!$A$7:$A$114,A20,'Route Points'!$F$7:$F$114)</x:f>
        <x:v>1.503000000000001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Retired</x:v>
      </x:c>
      <x:c r="Z20" s="8" t="str">
        <x:v>trunk:LC1:E1:light:1</x:v>
      </x:c>
    </x:row>
  </x:sheetData>
  <x:conditionalFormatting sqref="Y7:Y20">
    <x:cfRule type="containsText" dxfId="1" priority="1" operator="containsText" text="Retired"/>
  </x:conditionalFormatting>
  <x:dataValidations count="3">
    <x:dataValidation type="decimal" operator="greaterThanOrEqual" sqref="M7:M20">
      <x:formula1>0</x:formula1>
    </x:dataValidation>
    <x:dataValidation type="decimal" operator="greaterThanOrEqual" sqref="R7:R20">
      <x:formula1>0</x:formula1>
    </x:dataValidation>
    <x:dataValidation type="decimal" operator="greaterThanOrEqual" sqref="S7:S2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be760e4367849a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trunk:DB1:E1:light:-1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trunk:DB1:E1:light:-1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trunk:DB1:E1:light:-1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trunk:DB1:E1:light:-1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trunk:DB1:E1:light:-1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trunk:DB1:E1:light:-1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trunk:DB1:E1:light:-1</x:v>
      </x:c>
      <x:c r="B13" s="8" t="n">
        <x:v>7</x:v>
      </x:c>
      <x:c r="C13" s="11" t="n">
        <x:v>53.016</x:v>
      </x:c>
      <x:c r="D13" s="11" t="n">
        <x:v>5.988</x:v>
      </x:c>
      <x:c r="E13" s="11" t="n">
        <x:v>-3.3</x:v>
      </x:c>
      <x:c r="F13" s="11" t="n">
        <x:f>SQRT((C13-C12)^2+(D13-D12)^2+(E13-E12)^2)</x:f>
        <x:v>1.6580000000000004</x:v>
      </x:c>
      <x:c r="G13" s="8" t="str">
        <x:v>Current</x:v>
      </x:c>
    </x:row>
    <x:row r="14" ht="32" customHeight="1">
      <x:c r="A14" s="8" t="str">
        <x:v>trunk:DB1:E1:light:-1</x:v>
      </x:c>
      <x:c r="B14" s="8" t="n">
        <x:v>8</x:v>
      </x:c>
      <x:c r="C14" s="11" t="n">
        <x:v>53.016</x:v>
      </x:c>
      <x:c r="D14" s="11" t="n">
        <x:v>5.988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trunk:DB1:E1:light:-1</x:v>
      </x:c>
      <x:c r="B15" s="8" t="n">
        <x:v>9</x:v>
      </x:c>
      <x:c r="C15" s="11" t="n">
        <x:v>44.175</x:v>
      </x:c>
      <x:c r="D15" s="11" t="n">
        <x:v>5.988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trunk:DB1:E1:light:-1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1.0519999999999996</x:v>
      </x:c>
      <x:c r="G16" s="8" t="str">
        <x:v>Current</x:v>
      </x:c>
    </x:row>
    <x:row r="17" ht="32" customHeight="1">
      <x:c r="A17" s="8" t="str">
        <x:v>trunk:DB1:E1:light:-1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trunk:DB1:E1:light:-1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trunk:DB1:E1:light:-1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trunk:DB1:E1:light:-1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trunk:DB1:E1:light:-1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trunk:DB1:E1:light:-1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trunk:DB1:E1:light:-1</x:v>
      </x:c>
      <x:c r="B23" s="8" t="n">
        <x:v>17</x:v>
      </x:c>
      <x:c r="C23" s="11" t="n">
        <x:v>36.975</x:v>
      </x:c>
      <x:c r="D23" s="11" t="n">
        <x:v>5.988</x:v>
      </x:c>
      <x:c r="E23" s="11" t="n">
        <x:v>-7.36</x:v>
      </x:c>
      <x:c r="F23" s="11" t="n">
        <x:f>SQRT((C23-C22)^2+(D23-D22)^2+(E23-E22)^2)</x:f>
        <x:v>1.0519999999999996</x:v>
      </x:c>
      <x:c r="G23" s="8" t="str">
        <x:v>Current</x:v>
      </x:c>
    </x:row>
    <x:row r="24" ht="32" customHeight="1">
      <x:c r="A24" s="8" t="str">
        <x:v>trunk:DB1:E1:light:-1</x:v>
      </x:c>
      <x:c r="B24" s="8" t="n">
        <x:v>18</x:v>
      </x:c>
      <x:c r="C24" s="11" t="n">
        <x:v>5.475</x:v>
      </x:c>
      <x:c r="D24" s="11" t="n">
        <x:v>5.988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trunk:DB1:E1:light:-1</x:v>
      </x:c>
      <x:c r="B25" s="8" t="n">
        <x:v>19</x:v>
      </x:c>
      <x:c r="C25" s="11" t="n">
        <x:v>2.65</x:v>
      </x:c>
      <x:c r="D25" s="11" t="n">
        <x:v>5.988</x:v>
      </x:c>
      <x:c r="E25" s="11" t="n">
        <x:v>-7.36</x:v>
      </x:c>
      <x:c r="F25" s="11" t="n">
        <x:f>SQRT((C25-C24)^2+(D25-D24)^2+(E25-E24)^2)</x:f>
        <x:v>2.8249999999999997</x:v>
      </x:c>
      <x:c r="G25" s="8" t="str">
        <x:v>Current</x:v>
      </x:c>
    </x:row>
    <x:row r="26" ht="32" customHeight="1">
      <x:c r="A26" s="8" t="str">
        <x:v>drop:DB1:E1:light:-1:L155</x:v>
      </x:c>
      <x:c r="B26" s="8" t="n">
        <x:v>1</x:v>
      </x:c>
      <x:c r="C26" s="11" t="n">
        <x:v>2.65</x:v>
      </x:c>
      <x:c r="D26" s="11" t="n">
        <x:v>5.988</x:v>
      </x:c>
      <x:c r="E26" s="11" t="n">
        <x:v>-7.36</x:v>
      </x:c>
      <x:c r="F26" s="11" t="n">
        <x:f>0</x:f>
        <x:v>0</x:v>
      </x:c>
      <x:c r="G26" s="8" t="str">
        <x:v>Current</x:v>
      </x:c>
    </x:row>
    <x:row r="27" ht="32" customHeight="1">
      <x:c r="A27" s="8" t="str">
        <x:v>drop:DB1:E1:light:-1:L155</x:v>
      </x:c>
      <x:c r="B27" s="8" t="n">
        <x:v>2</x:v>
      </x:c>
      <x:c r="C27" s="11" t="n">
        <x:v>2.35</x:v>
      </x:c>
      <x:c r="D27" s="11" t="n">
        <x:v>7.65</x:v>
      </x:c>
      <x:c r="E27" s="11" t="n">
        <x:v>-7.36</x:v>
      </x:c>
      <x:c r="F27" s="11" t="n">
        <x:f>SQRT((C27-C26)^2+(D27-D26)^2+(E27-E26)^2)</x:f>
        <x:v>1.6888587862814344</x:v>
      </x:c>
      <x:c r="G27" s="8" t="str">
        <x:v>Current</x:v>
      </x:c>
    </x:row>
    <x:row r="28" ht="32" customHeight="1">
      <x:c r="A28" s="8" t="str">
        <x:v>drop:DB1:E1:light:-1:L155</x:v>
      </x:c>
      <x:c r="B28" s="8" t="n">
        <x:v>3</x:v>
      </x:c>
      <x:c r="C28" s="11" t="n">
        <x:v>2.35</x:v>
      </x:c>
      <x:c r="D28" s="11" t="n">
        <x:v>7.65</x:v>
      </x:c>
      <x:c r="E28" s="11" t="n">
        <x:v>0</x:v>
      </x:c>
      <x:c r="F28" s="11" t="n">
        <x:f>SQRT((C28-C27)^2+(D28-D27)^2+(E28-E27)^2)</x:f>
        <x:v>7.36</x:v>
      </x:c>
      <x:c r="G28" s="8" t="str">
        <x:v>Current</x:v>
      </x:c>
    </x:row>
    <x:row r="29" ht="32" customHeight="1">
      <x:c r="A29" s="8" t="str">
        <x:v>drop:DB1:E1:light:-1:L155</x:v>
      </x:c>
      <x:c r="B29" s="8" t="n">
        <x:v>4</x:v>
      </x:c>
      <x:c r="C29" s="11" t="n">
        <x:v>2.35</x:v>
      </x:c>
      <x:c r="D29" s="11" t="n">
        <x:v>6.95</x:v>
      </x:c>
      <x:c r="E29" s="11" t="n">
        <x:v>0</x:v>
      </x:c>
      <x:c r="F29" s="11" t="n">
        <x:f>SQRT((C29-C28)^2+(D29-D28)^2+(E29-E28)^2)</x:f>
        <x:v>0.7000000000000002</x:v>
      </x:c>
      <x:c r="G29" s="8" t="str">
        <x:v>Current</x:v>
      </x:c>
    </x:row>
    <x:row r="30" ht="32" customHeight="1">
      <x:c r="A30" s="8" t="str">
        <x:v>drop:DB1:E1:light:-1:L155</x:v>
      </x:c>
      <x:c r="B30" s="8" t="n">
        <x:v>5</x:v>
      </x:c>
      <x:c r="C30" s="11" t="n">
        <x:v>2.65</x:v>
      </x:c>
      <x:c r="D30" s="11" t="n">
        <x:v>6.95</x:v>
      </x:c>
      <x:c r="E30" s="11" t="n">
        <x:v>0</x:v>
      </x:c>
      <x:c r="F30" s="11" t="n">
        <x:f>SQRT((C30-C29)^2+(D30-D29)^2+(E30-E29)^2)</x:f>
        <x:v>0.2999999999999998</x:v>
      </x:c>
      <x:c r="G30" s="8" t="str">
        <x:v>Current</x:v>
      </x:c>
    </x:row>
    <x:row r="31" ht="32" customHeight="1">
      <x:c r="A31" s="8" t="str">
        <x:v>drop:DB1:E1:light:-1:L156</x:v>
      </x:c>
      <x:c r="B31" s="8" t="n">
        <x:v>1</x:v>
      </x:c>
      <x:c r="C31" s="11" t="n">
        <x:v>16.725</x:v>
      </x:c>
      <x:c r="D31" s="11" t="n">
        <x:v>5.988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drop:DB1:E1:light:-1:L156</x:v>
      </x:c>
      <x:c r="B32" s="8" t="n">
        <x:v>2</x:v>
      </x:c>
      <x:c r="C32" s="11" t="n">
        <x:v>16.725</x:v>
      </x:c>
      <x:c r="D32" s="11" t="n">
        <x:v>4.6</x:v>
      </x:c>
      <x:c r="E32" s="11" t="n">
        <x:v>-7.36</x:v>
      </x:c>
      <x:c r="F32" s="11" t="n">
        <x:f>SQRT((C32-C31)^2+(D32-D31)^2+(E32-E31)^2)</x:f>
        <x:v>1.3880000000000008</x:v>
      </x:c>
      <x:c r="G32" s="8" t="str">
        <x:v>Current</x:v>
      </x:c>
    </x:row>
    <x:row r="33" ht="32" customHeight="1">
      <x:c r="A33" s="8" t="str">
        <x:v>drop:DB1:E1:light:-1:L156</x:v>
      </x:c>
      <x:c r="B33" s="8" t="n">
        <x:v>3</x:v>
      </x:c>
      <x:c r="C33" s="11" t="n">
        <x:v>16.725</x:v>
      </x:c>
      <x:c r="D33" s="11" t="n">
        <x:v>4.6</x:v>
      </x:c>
      <x:c r="E33" s="11" t="n">
        <x:v>-7.245</x:v>
      </x:c>
      <x:c r="F33" s="11" t="n">
        <x:f>SQRT((C33-C32)^2+(D33-D32)^2+(E33-E32)^2)</x:f>
        <x:v>0.11500000000000021</x:v>
      </x:c>
      <x:c r="G33" s="8" t="str">
        <x:v>Current</x:v>
      </x:c>
    </x:row>
    <x:row r="34" ht="32" customHeight="1">
      <x:c r="A34" s="8" t="str">
        <x:v>drop:DB1:E1:light:-1:L158</x:v>
      </x:c>
      <x:c r="B34" s="8" t="n">
        <x:v>1</x:v>
      </x:c>
      <x:c r="C34" s="11" t="n">
        <x:v>34.725</x:v>
      </x:c>
      <x:c r="D34" s="11" t="n">
        <x:v>5.988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drop:DB1:E1:light:-1:L158</x:v>
      </x:c>
      <x:c r="B35" s="8" t="n">
        <x:v>2</x:v>
      </x:c>
      <x:c r="C35" s="11" t="n">
        <x:v>34.725</x:v>
      </x:c>
      <x:c r="D35" s="11" t="n">
        <x:v>4.6</x:v>
      </x:c>
      <x:c r="E35" s="11" t="n">
        <x:v>-7.36</x:v>
      </x:c>
      <x:c r="F35" s="11" t="n">
        <x:f>SQRT((C35-C34)^2+(D35-D34)^2+(E35-E34)^2)</x:f>
        <x:v>1.3880000000000008</x:v>
      </x:c>
      <x:c r="G35" s="8" t="str">
        <x:v>Current</x:v>
      </x:c>
    </x:row>
    <x:row r="36" ht="32" customHeight="1">
      <x:c r="A36" s="8" t="str">
        <x:v>drop:DB1:E1:light:-1:L158</x:v>
      </x:c>
      <x:c r="B36" s="8" t="n">
        <x:v>3</x:v>
      </x:c>
      <x:c r="C36" s="11" t="n">
        <x:v>34.725</x:v>
      </x:c>
      <x:c r="D36" s="11" t="n">
        <x:v>4.6</x:v>
      </x:c>
      <x:c r="E36" s="11" t="n">
        <x:v>-7.245</x:v>
      </x:c>
      <x:c r="F36" s="11" t="n">
        <x:f>SQRT((C36-C35)^2+(D36-D35)^2+(E36-E35)^2)</x:f>
        <x:v>0.11500000000000021</x:v>
      </x:c>
      <x:c r="G36" s="8" t="str">
        <x:v>Current</x:v>
      </x:c>
    </x:row>
    <x:row r="37" ht="32" customHeight="1">
      <x:c r="A37" s="8" t="str">
        <x:v>trunk:DB1:E1:light:1</x:v>
      </x:c>
      <x:c r="B37" s="8" t="n">
        <x:v>1</x:v>
      </x:c>
      <x:c r="C37" s="11" t="n">
        <x:v>48.895</x:v>
      </x:c>
      <x:c r="D37" s="11" t="n">
        <x:v>1.75</x:v>
      </x:c>
      <x:c r="E37" s="11" t="n">
        <x:v>-1.55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trunk:DB1:E1:light:1</x:v>
      </x:c>
      <x:c r="B38" s="8" t="n">
        <x:v>2</x:v>
      </x:c>
      <x:c r="C38" s="11" t="n">
        <x:v>48.735</x:v>
      </x:c>
      <x:c r="D38" s="11" t="n">
        <x:v>1.75</x:v>
      </x:c>
      <x:c r="E38" s="11" t="n">
        <x:v>-1.55</x:v>
      </x:c>
      <x:c r="F38" s="11" t="n">
        <x:f>SQRT((C38-C37)^2+(D38-D37)^2+(E38-E37)^2)</x:f>
        <x:v>0.1600000000000037</x:v>
      </x:c>
      <x:c r="G38" s="8" t="str">
        <x:v>Current</x:v>
      </x:c>
    </x:row>
    <x:row r="39" ht="32" customHeight="1">
      <x:c r="A39" s="8" t="str">
        <x:v>trunk:DB1:E1:light:1</x:v>
      </x:c>
      <x:c r="B39" s="8" t="n">
        <x:v>3</x:v>
      </x:c>
      <x:c r="C39" s="11" t="n">
        <x:v>48.735</x:v>
      </x:c>
      <x:c r="D39" s="11" t="n">
        <x:v>1.75</x:v>
      </x:c>
      <x:c r="E39" s="11" t="n">
        <x:v>-2.24</x:v>
      </x:c>
      <x:c r="F39" s="11" t="n">
        <x:f>SQRT((C39-C38)^2+(D39-D38)^2+(E39-E38)^2)</x:f>
        <x:v>0.6900000000000002</x:v>
      </x:c>
      <x:c r="G39" s="8" t="str">
        <x:v>Current</x:v>
      </x:c>
    </x:row>
    <x:row r="40" ht="32" customHeight="1">
      <x:c r="A40" s="8" t="str">
        <x:v>trunk:DB1:E1:light:1</x:v>
      </x:c>
      <x:c r="B40" s="8" t="n">
        <x:v>4</x:v>
      </x:c>
      <x:c r="C40" s="11" t="n">
        <x:v>48.735</x:v>
      </x:c>
      <x:c r="D40" s="11" t="n">
        <x:v>4.33</x:v>
      </x:c>
      <x:c r="E40" s="11" t="n">
        <x:v>-2.24</x:v>
      </x:c>
      <x:c r="F40" s="11" t="n">
        <x:f>SQRT((C40-C39)^2+(D40-D39)^2+(E40-E39)^2)</x:f>
        <x:v>2.58</x:v>
      </x:c>
      <x:c r="G40" s="8" t="str">
        <x:v>Current</x:v>
      </x:c>
    </x:row>
    <x:row r="41" ht="32" customHeight="1">
      <x:c r="A41" s="8" t="str">
        <x:v>trunk:DB1:E1:light:1</x:v>
      </x:c>
      <x:c r="B41" s="8" t="n">
        <x:v>5</x:v>
      </x:c>
      <x:c r="C41" s="11" t="n">
        <x:v>48.735</x:v>
      </x:c>
      <x:c r="D41" s="11" t="n">
        <x:v>4.33</x:v>
      </x:c>
      <x:c r="E41" s="11" t="n">
        <x:v>-3.3</x:v>
      </x:c>
      <x:c r="F41" s="11" t="n">
        <x:f>SQRT((C41-C40)^2+(D41-D40)^2+(E41-E40)^2)</x:f>
        <x:v>1.0599999999999996</x:v>
      </x:c>
      <x:c r="G41" s="8" t="str">
        <x:v>Current</x:v>
      </x:c>
    </x:row>
    <x:row r="42" ht="32" customHeight="1">
      <x:c r="A42" s="8" t="str">
        <x:v>trunk:DB1:E1:light:1</x:v>
      </x:c>
      <x:c r="B42" s="8" t="n">
        <x:v>6</x:v>
      </x:c>
      <x:c r="C42" s="11" t="n">
        <x:v>53.016</x:v>
      </x:c>
      <x:c r="D42" s="11" t="n">
        <x:v>4.33</x:v>
      </x:c>
      <x:c r="E42" s="11" t="n">
        <x:v>-3.3</x:v>
      </x:c>
      <x:c r="F42" s="11" t="n">
        <x:f>SQRT((C42-C41)^2+(D42-D41)^2+(E42-E41)^2)</x:f>
        <x:v>4.280999999999999</x:v>
      </x:c>
      <x:c r="G42" s="8" t="str">
        <x:v>Current</x:v>
      </x:c>
    </x:row>
    <x:row r="43" ht="32" customHeight="1">
      <x:c r="A43" s="8" t="str">
        <x:v>trunk:DB1:E1:light:1</x:v>
      </x:c>
      <x:c r="B43" s="8" t="n">
        <x:v>7</x:v>
      </x:c>
      <x:c r="C43" s="11" t="n">
        <x:v>53.016</x:v>
      </x:c>
      <x:c r="D43" s="11" t="n">
        <x:v>5.988</x:v>
      </x:c>
      <x:c r="E43" s="11" t="n">
        <x:v>-3.3</x:v>
      </x:c>
      <x:c r="F43" s="11" t="n">
        <x:f>SQRT((C43-C42)^2+(D43-D42)^2+(E43-E42)^2)</x:f>
        <x:v>1.6580000000000004</x:v>
      </x:c>
      <x:c r="G43" s="8" t="str">
        <x:v>Current</x:v>
      </x:c>
    </x:row>
    <x:row r="44" ht="32" customHeight="1">
      <x:c r="A44" s="8" t="str">
        <x:v>trunk:DB1:E1:light:1</x:v>
      </x:c>
      <x:c r="B44" s="8" t="n">
        <x:v>8</x:v>
      </x:c>
      <x:c r="C44" s="11" t="n">
        <x:v>53.016</x:v>
      </x:c>
      <x:c r="D44" s="11" t="n">
        <x:v>5.988</x:v>
      </x:c>
      <x:c r="E44" s="11" t="n">
        <x:v>7.36</x:v>
      </x:c>
      <x:c r="F44" s="11" t="n">
        <x:f>SQRT((C44-C43)^2+(D44-D43)^2+(E44-E43)^2)</x:f>
        <x:v>10.66</x:v>
      </x:c>
      <x:c r="G44" s="8" t="str">
        <x:v>Current</x:v>
      </x:c>
    </x:row>
    <x:row r="45" ht="32" customHeight="1">
      <x:c r="A45" s="8" t="str">
        <x:v>trunk:DB1:E1:light:1</x:v>
      </x:c>
      <x:c r="B45" s="8" t="n">
        <x:v>9</x:v>
      </x:c>
      <x:c r="C45" s="11" t="n">
        <x:v>44.175</x:v>
      </x:c>
      <x:c r="D45" s="11" t="n">
        <x:v>5.988</x:v>
      </x:c>
      <x:c r="E45" s="11" t="n">
        <x:v>7.36</x:v>
      </x:c>
      <x:c r="F45" s="11" t="n">
        <x:f>SQRT((C45-C44)^2+(D45-D44)^2+(E45-E44)^2)</x:f>
        <x:v>8.841000000000001</x:v>
      </x:c>
      <x:c r="G45" s="8" t="str">
        <x:v>Current</x:v>
      </x:c>
    </x:row>
    <x:row r="46" ht="32" customHeight="1">
      <x:c r="A46" s="8" t="str">
        <x:v>trunk:DB1:E1:light:1</x:v>
      </x:c>
      <x:c r="B46" s="8" t="n">
        <x:v>10</x:v>
      </x:c>
      <x:c r="C46" s="11" t="n">
        <x:v>44.175</x:v>
      </x:c>
      <x:c r="D46" s="11" t="n">
        <x:v>7.04</x:v>
      </x:c>
      <x:c r="E46" s="11" t="n">
        <x:v>7.36</x:v>
      </x:c>
      <x:c r="F46" s="11" t="n">
        <x:f>SQRT((C46-C45)^2+(D46-D45)^2+(E46-E45)^2)</x:f>
        <x:v>1.0519999999999996</x:v>
      </x:c>
      <x:c r="G46" s="8" t="str">
        <x:v>Current</x:v>
      </x:c>
    </x:row>
    <x:row r="47" ht="32" customHeight="1">
      <x:c r="A47" s="8" t="str">
        <x:v>trunk:DB1:E1:light:1</x:v>
      </x:c>
      <x:c r="B47" s="8" t="n">
        <x:v>11</x:v>
      </x:c>
      <x:c r="C47" s="11" t="n">
        <x:v>43.535</x:v>
      </x:c>
      <x:c r="D47" s="11" t="n">
        <x:v>7.04</x:v>
      </x:c>
      <x:c r="E47" s="11" t="n">
        <x:v>7.36</x:v>
      </x:c>
      <x:c r="F47" s="11" t="n">
        <x:f>SQRT((C47-C46)^2+(D47-D46)^2+(E47-E46)^2)</x:f>
        <x:v>0.6400000000000006</x:v>
      </x:c>
      <x:c r="G47" s="8" t="str">
        <x:v>Current</x:v>
      </x:c>
    </x:row>
    <x:row r="48" ht="32" customHeight="1">
      <x:c r="A48" s="8" t="str">
        <x:v>trunk:DB1:E1:light:1</x:v>
      </x:c>
      <x:c r="B48" s="8" t="n">
        <x:v>12</x:v>
      </x:c>
      <x:c r="C48" s="11" t="n">
        <x:v>43.455</x:v>
      </x:c>
      <x:c r="D48" s="11" t="n">
        <x:v>6.950412371134024</x:v>
      </x:c>
      <x:c r="E48" s="11" t="n">
        <x:v>7.36</x:v>
      </x:c>
      <x:c r="F48" s="11" t="n">
        <x:f>SQRT((C48-C47)^2+(D48-D47)^2+(E48-E47)^2)</x:f>
        <x:v>0.12010804821421249</x:v>
      </x:c>
      <x:c r="G48" s="8" t="str">
        <x:v>Current</x:v>
      </x:c>
    </x:row>
    <x:row r="49" ht="32" customHeight="1">
      <x:c r="A49" s="8" t="str">
        <x:v>trunk:DB1:E1:light:1</x:v>
      </x:c>
      <x:c r="B49" s="8" t="n">
        <x:v>13</x:v>
      </x:c>
      <x:c r="C49" s="11" t="n">
        <x:v>40.574999999999996</x:v>
      </x:c>
      <x:c r="D49" s="11" t="n">
        <x:v>9.269999999999994</x:v>
      </x:c>
      <x:c r="E49" s="11" t="n">
        <x:v>7.36</x:v>
      </x:c>
      <x:c r="F49" s="11" t="n">
        <x:f>SQRT((C49-C48)^2+(D49-D48)^2+(E49-E48)^2)</x:f>
        <x:v>3.6979571073753776</x:v>
      </x:c>
      <x:c r="G49" s="8" t="str">
        <x:v>Current</x:v>
      </x:c>
    </x:row>
    <x:row r="50" ht="32" customHeight="1">
      <x:c r="A50" s="8" t="str">
        <x:v>trunk:DB1:E1:light:1</x:v>
      </x:c>
      <x:c r="B50" s="8" t="n">
        <x:v>14</x:v>
      </x:c>
      <x:c r="C50" s="11" t="n">
        <x:v>37.695</x:v>
      </x:c>
      <x:c r="D50" s="11" t="n">
        <x:v>6.950412371134018</x:v>
      </x:c>
      <x:c r="E50" s="11" t="n">
        <x:v>7.36</x:v>
      </x:c>
      <x:c r="F50" s="11" t="n">
        <x:f>SQRT((C50-C49)^2+(D50-D49)^2+(E50-E49)^2)</x:f>
        <x:v>3.697957107375376</x:v>
      </x:c>
      <x:c r="G50" s="8" t="str">
        <x:v>Current</x:v>
      </x:c>
    </x:row>
    <x:row r="51" ht="32" customHeight="1">
      <x:c r="A51" s="8" t="str">
        <x:v>trunk:DB1:E1:light:1</x:v>
      </x:c>
      <x:c r="B51" s="8" t="n">
        <x:v>15</x:v>
      </x:c>
      <x:c r="C51" s="11" t="n">
        <x:v>37.615</x:v>
      </x:c>
      <x:c r="D51" s="11" t="n">
        <x:v>7.04</x:v>
      </x:c>
      <x:c r="E51" s="11" t="n">
        <x:v>7.36</x:v>
      </x:c>
      <x:c r="F51" s="11" t="n">
        <x:f>SQRT((C51-C50)^2+(D51-D50)^2+(E51-E50)^2)</x:f>
        <x:v>0.12010804821421713</x:v>
      </x:c>
      <x:c r="G51" s="8" t="str">
        <x:v>Current</x:v>
      </x:c>
    </x:row>
    <x:row r="52" ht="32" customHeight="1">
      <x:c r="A52" s="8" t="str">
        <x:v>trunk:DB1:E1:light:1</x:v>
      </x:c>
      <x:c r="B52" s="8" t="n">
        <x:v>16</x:v>
      </x:c>
      <x:c r="C52" s="11" t="n">
        <x:v>36.975</x:v>
      </x:c>
      <x:c r="D52" s="11" t="n">
        <x:v>7.04</x:v>
      </x:c>
      <x:c r="E52" s="11" t="n">
        <x:v>7.36</x:v>
      </x:c>
      <x:c r="F52" s="11" t="n">
        <x:f>SQRT((C52-C51)^2+(D52-D51)^2+(E52-E51)^2)</x:f>
        <x:v>0.6400000000000006</x:v>
      </x:c>
      <x:c r="G52" s="8" t="str">
        <x:v>Current</x:v>
      </x:c>
    </x:row>
    <x:row r="53" ht="32" customHeight="1">
      <x:c r="A53" s="8" t="str">
        <x:v>trunk:DB1:E1:light:1</x:v>
      </x:c>
      <x:c r="B53" s="8" t="n">
        <x:v>17</x:v>
      </x:c>
      <x:c r="C53" s="11" t="n">
        <x:v>36.975</x:v>
      </x:c>
      <x:c r="D53" s="11" t="n">
        <x:v>5.988</x:v>
      </x:c>
      <x:c r="E53" s="11" t="n">
        <x:v>7.36</x:v>
      </x:c>
      <x:c r="F53" s="11" t="n">
        <x:f>SQRT((C53-C52)^2+(D53-D52)^2+(E53-E52)^2)</x:f>
        <x:v>1.0519999999999996</x:v>
      </x:c>
      <x:c r="G53" s="8" t="str">
        <x:v>Current</x:v>
      </x:c>
    </x:row>
    <x:row r="54" ht="32" customHeight="1">
      <x:c r="A54" s="8" t="str">
        <x:v>trunk:DB1:E1:light:1</x:v>
      </x:c>
      <x:c r="B54" s="8" t="n">
        <x:v>18</x:v>
      </x:c>
      <x:c r="C54" s="11" t="n">
        <x:v>16.725</x:v>
      </x:c>
      <x:c r="D54" s="11" t="n">
        <x:v>5.988</x:v>
      </x:c>
      <x:c r="E54" s="11" t="n">
        <x:v>7.36</x:v>
      </x:c>
      <x:c r="F54" s="11" t="n">
        <x:f>SQRT((C54-C53)^2+(D54-D53)^2+(E54-E53)^2)</x:f>
        <x:v>20.25</x:v>
      </x:c>
      <x:c r="G54" s="8" t="str">
        <x:v>Current</x:v>
      </x:c>
    </x:row>
    <x:row r="55" ht="32" customHeight="1">
      <x:c r="A55" s="8" t="str">
        <x:v>drop:DB1:E1:light:1:L157</x:v>
      </x:c>
      <x:c r="B55" s="8" t="n">
        <x:v>1</x:v>
      </x:c>
      <x:c r="C55" s="11" t="n">
        <x:v>16.725</x:v>
      </x:c>
      <x:c r="D55" s="11" t="n">
        <x:v>5.988</x:v>
      </x:c>
      <x:c r="E55" s="11" t="n">
        <x:v>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drop:DB1:E1:light:1:L157</x:v>
      </x:c>
      <x:c r="B56" s="8" t="n">
        <x:v>2</x:v>
      </x:c>
      <x:c r="C56" s="11" t="n">
        <x:v>16.725</x:v>
      </x:c>
      <x:c r="D56" s="11" t="n">
        <x:v>4.6</x:v>
      </x:c>
      <x:c r="E56" s="11" t="n">
        <x:v>7.36</x:v>
      </x:c>
      <x:c r="F56" s="11" t="n">
        <x:f>SQRT((C56-C55)^2+(D56-D55)^2+(E56-E55)^2)</x:f>
        <x:v>1.3880000000000008</x:v>
      </x:c>
      <x:c r="G56" s="8" t="str">
        <x:v>Current</x:v>
      </x:c>
    </x:row>
    <x:row r="57" ht="32" customHeight="1">
      <x:c r="A57" s="8" t="str">
        <x:v>drop:DB1:E1:light:1:L157</x:v>
      </x:c>
      <x:c r="B57" s="8" t="n">
        <x:v>3</x:v>
      </x:c>
      <x:c r="C57" s="11" t="n">
        <x:v>16.725</x:v>
      </x:c>
      <x:c r="D57" s="11" t="n">
        <x:v>4.6</x:v>
      </x:c>
      <x:c r="E57" s="11" t="n">
        <x:v>7.245</x:v>
      </x:c>
      <x:c r="F57" s="11" t="n">
        <x:f>SQRT((C57-C56)^2+(D57-D56)^2+(E57-E56)^2)</x:f>
        <x:v>0.11500000000000021</x:v>
      </x:c>
      <x:c r="G57" s="8" t="str">
        <x:v>Current</x:v>
      </x:c>
    </x:row>
    <x:row r="58" ht="32" customHeight="1">
      <x:c r="A58" s="8" t="str">
        <x:v>drop:DB1:E1:light:1:L159</x:v>
      </x:c>
      <x:c r="B58" s="8" t="n">
        <x:v>1</x:v>
      </x:c>
      <x:c r="C58" s="11" t="n">
        <x:v>34.725</x:v>
      </x:c>
      <x:c r="D58" s="11" t="n">
        <x:v>5.988</x:v>
      </x:c>
      <x:c r="E58" s="11" t="n">
        <x:v>7.36</x:v>
      </x:c>
      <x:c r="F58" s="11" t="n">
        <x:f>0</x:f>
        <x:v>0</x:v>
      </x:c>
      <x:c r="G58" s="8" t="str">
        <x:v>Current</x:v>
      </x:c>
    </x:row>
    <x:row r="59" ht="32" customHeight="1">
      <x:c r="A59" s="8" t="str">
        <x:v>drop:DB1:E1:light:1:L159</x:v>
      </x:c>
      <x:c r="B59" s="8" t="n">
        <x:v>2</x:v>
      </x:c>
      <x:c r="C59" s="11" t="n">
        <x:v>34.725</x:v>
      </x:c>
      <x:c r="D59" s="11" t="n">
        <x:v>4.6</x:v>
      </x:c>
      <x:c r="E59" s="11" t="n">
        <x:v>7.36</x:v>
      </x:c>
      <x:c r="F59" s="11" t="n">
        <x:f>SQRT((C59-C58)^2+(D59-D58)^2+(E59-E58)^2)</x:f>
        <x:v>1.3880000000000008</x:v>
      </x:c>
      <x:c r="G59" s="8" t="str">
        <x:v>Current</x:v>
      </x:c>
    </x:row>
    <x:row r="60" ht="32" customHeight="1">
      <x:c r="A60" s="8" t="str">
        <x:v>drop:DB1:E1:light:1:L159</x:v>
      </x:c>
      <x:c r="B60" s="8" t="n">
        <x:v>3</x:v>
      </x:c>
      <x:c r="C60" s="11" t="n">
        <x:v>34.725</x:v>
      </x:c>
      <x:c r="D60" s="11" t="n">
        <x:v>4.6</x:v>
      </x:c>
      <x:c r="E60" s="11" t="n">
        <x:v>7.245</x:v>
      </x:c>
      <x:c r="F60" s="11" t="n">
        <x:f>SQRT((C60-C59)^2+(D60-D59)^2+(E60-E59)^2)</x:f>
        <x:v>0.11500000000000021</x:v>
      </x:c>
      <x:c r="G60" s="8" t="str">
        <x:v>Current</x:v>
      </x:c>
    </x:row>
    <x:row r="61" ht="32" customHeight="1">
      <x:c r="A61" s="8" t="str">
        <x:v>trunk:LC1:E1:light:-1</x:v>
      </x:c>
      <x:c r="B61" s="8" t="n">
        <x:v>1</x:v>
      </x:c>
      <x:c r="C61" s="11" t="n">
        <x:v>48.895</x:v>
      </x:c>
      <x:c r="D61" s="11" t="n">
        <x:v>1.85</x:v>
      </x:c>
      <x:c r="E61" s="11" t="n">
        <x:v>-0.55</x:v>
      </x:c>
      <x:c r="F61" s="11" t="n">
        <x:f>0</x:f>
        <x:v>0</x:v>
      </x:c>
      <x:c r="G61" s="8" t="str">
        <x:v>Retired</x:v>
      </x:c>
    </x:row>
    <x:row r="62" ht="32" customHeight="1">
      <x:c r="A62" s="8" t="str">
        <x:v>trunk:LC1:E1:light:-1</x:v>
      </x:c>
      <x:c r="B62" s="8" t="n">
        <x:v>2</x:v>
      </x:c>
      <x:c r="C62" s="11" t="n">
        <x:v>48.735</x:v>
      </x:c>
      <x:c r="D62" s="11" t="n">
        <x:v>1.85</x:v>
      </x:c>
      <x:c r="E62" s="11" t="n">
        <x:v>-0.55</x:v>
      </x:c>
      <x:c r="F62" s="11" t="n">
        <x:f>SQRT((C62-C61)^2+(D62-D61)^2+(E62-E61)^2)</x:f>
        <x:v>0.1600000000000037</x:v>
      </x:c>
      <x:c r="G62" s="8" t="str">
        <x:v>Retired</x:v>
      </x:c>
    </x:row>
    <x:row r="63" ht="32" customHeight="1">
      <x:c r="A63" s="8" t="str">
        <x:v>trunk:LC1:E1:light:-1</x:v>
      </x:c>
      <x:c r="B63" s="8" t="n">
        <x:v>3</x:v>
      </x:c>
      <x:c r="C63" s="11" t="n">
        <x:v>48.735</x:v>
      </x:c>
      <x:c r="D63" s="11" t="n">
        <x:v>1.85</x:v>
      </x:c>
      <x:c r="E63" s="11" t="n">
        <x:v>-2.24</x:v>
      </x:c>
      <x:c r="F63" s="11" t="n">
        <x:f>SQRT((C63-C62)^2+(D63-D62)^2+(E63-E62)^2)</x:f>
        <x:v>1.6900000000000002</x:v>
      </x:c>
      <x:c r="G63" s="8" t="str">
        <x:v>Retired</x:v>
      </x:c>
    </x:row>
    <x:row r="64" ht="32" customHeight="1">
      <x:c r="A64" s="8" t="str">
        <x:v>trunk:LC1:E1:light:-1</x:v>
      </x:c>
      <x:c r="B64" s="8" t="n">
        <x:v>4</x:v>
      </x:c>
      <x:c r="C64" s="11" t="n">
        <x:v>48.735</x:v>
      </x:c>
      <x:c r="D64" s="11" t="n">
        <x:v>4.33</x:v>
      </x:c>
      <x:c r="E64" s="11" t="n">
        <x:v>-2.24</x:v>
      </x:c>
      <x:c r="F64" s="11" t="n">
        <x:f>SQRT((C64-C63)^2+(D64-D63)^2+(E64-E63)^2)</x:f>
        <x:v>2.48</x:v>
      </x:c>
      <x:c r="G64" s="8" t="str">
        <x:v>Retired</x:v>
      </x:c>
    </x:row>
    <x:row r="65" ht="32" customHeight="1">
      <x:c r="A65" s="8" t="str">
        <x:v>trunk:LC1:E1:light:-1</x:v>
      </x:c>
      <x:c r="B65" s="8" t="n">
        <x:v>5</x:v>
      </x:c>
      <x:c r="C65" s="11" t="n">
        <x:v>48.735</x:v>
      </x:c>
      <x:c r="D65" s="11" t="n">
        <x:v>4.33</x:v>
      </x:c>
      <x:c r="E65" s="11" t="n">
        <x:v>-3.3</x:v>
      </x:c>
      <x:c r="F65" s="11" t="n">
        <x:f>SQRT((C65-C64)^2+(D65-D64)^2+(E65-E64)^2)</x:f>
        <x:v>1.0599999999999996</x:v>
      </x:c>
      <x:c r="G65" s="8" t="str">
        <x:v>Retired</x:v>
      </x:c>
    </x:row>
    <x:row r="66" ht="32" customHeight="1">
      <x:c r="A66" s="8" t="str">
        <x:v>trunk:LC1:E1:light:-1</x:v>
      </x:c>
      <x:c r="B66" s="8" t="n">
        <x:v>6</x:v>
      </x:c>
      <x:c r="C66" s="11" t="n">
        <x:v>53.016</x:v>
      </x:c>
      <x:c r="D66" s="11" t="n">
        <x:v>4.33</x:v>
      </x:c>
      <x:c r="E66" s="11" t="n">
        <x:v>-3.3</x:v>
      </x:c>
      <x:c r="F66" s="11" t="n">
        <x:f>SQRT((C66-C65)^2+(D66-D65)^2+(E66-E65)^2)</x:f>
        <x:v>4.280999999999999</x:v>
      </x:c>
      <x:c r="G66" s="8" t="str">
        <x:v>Retired</x:v>
      </x:c>
    </x:row>
    <x:row r="67" ht="32" customHeight="1">
      <x:c r="A67" s="8" t="str">
        <x:v>trunk:LC1:E1:light:-1</x:v>
      </x:c>
      <x:c r="B67" s="8" t="n">
        <x:v>7</x:v>
      </x:c>
      <x:c r="C67" s="11" t="n">
        <x:v>53.016</x:v>
      </x:c>
      <x:c r="D67" s="11" t="n">
        <x:v>5.988</x:v>
      </x:c>
      <x:c r="E67" s="11" t="n">
        <x:v>-3.3</x:v>
      </x:c>
      <x:c r="F67" s="11" t="n">
        <x:f>SQRT((C67-C66)^2+(D67-D66)^2+(E67-E66)^2)</x:f>
        <x:v>1.6580000000000004</x:v>
      </x:c>
      <x:c r="G67" s="8" t="str">
        <x:v>Retired</x:v>
      </x:c>
    </x:row>
    <x:row r="68" ht="32" customHeight="1">
      <x:c r="A68" s="8" t="str">
        <x:v>trunk:LC1:E1:light:-1</x:v>
      </x:c>
      <x:c r="B68" s="8" t="n">
        <x:v>8</x:v>
      </x:c>
      <x:c r="C68" s="11" t="n">
        <x:v>53.016</x:v>
      </x:c>
      <x:c r="D68" s="11" t="n">
        <x:v>5.988</x:v>
      </x:c>
      <x:c r="E68" s="11" t="n">
        <x:v>-7.36</x:v>
      </x:c>
      <x:c r="F68" s="11" t="n">
        <x:f>SQRT((C68-C67)^2+(D68-D67)^2+(E68-E67)^2)</x:f>
        <x:v>4.0600000000000005</x:v>
      </x:c>
      <x:c r="G68" s="8" t="str">
        <x:v>Retired</x:v>
      </x:c>
    </x:row>
    <x:row r="69" ht="32" customHeight="1">
      <x:c r="A69" s="8" t="str">
        <x:v>trunk:LC1:E1:light:-1</x:v>
      </x:c>
      <x:c r="B69" s="8" t="n">
        <x:v>9</x:v>
      </x:c>
      <x:c r="C69" s="11" t="n">
        <x:v>44.175</x:v>
      </x:c>
      <x:c r="D69" s="11" t="n">
        <x:v>5.988</x:v>
      </x:c>
      <x:c r="E69" s="11" t="n">
        <x:v>-7.36</x:v>
      </x:c>
      <x:c r="F69" s="11" t="n">
        <x:f>SQRT((C69-C68)^2+(D69-D68)^2+(E69-E68)^2)</x:f>
        <x:v>8.841000000000001</x:v>
      </x:c>
      <x:c r="G69" s="8" t="str">
        <x:v>Retired</x:v>
      </x:c>
    </x:row>
    <x:row r="70" ht="32" customHeight="1">
      <x:c r="A70" s="8" t="str">
        <x:v>trunk:LC1:E1:light:-1</x:v>
      </x:c>
      <x:c r="B70" s="8" t="n">
        <x:v>10</x:v>
      </x:c>
      <x:c r="C70" s="11" t="n">
        <x:v>44.175</x:v>
      </x:c>
      <x:c r="D70" s="11" t="n">
        <x:v>7.04</x:v>
      </x:c>
      <x:c r="E70" s="11" t="n">
        <x:v>-7.36</x:v>
      </x:c>
      <x:c r="F70" s="11" t="n">
        <x:f>SQRT((C70-C69)^2+(D70-D69)^2+(E70-E69)^2)</x:f>
        <x:v>1.0519999999999996</x:v>
      </x:c>
      <x:c r="G70" s="8" t="str">
        <x:v>Retired</x:v>
      </x:c>
    </x:row>
    <x:row r="71" ht="32" customHeight="1">
      <x:c r="A71" s="8" t="str">
        <x:v>trunk:LC1:E1:light:-1</x:v>
      </x:c>
      <x:c r="B71" s="8" t="n">
        <x:v>11</x:v>
      </x:c>
      <x:c r="C71" s="11" t="n">
        <x:v>43.535</x:v>
      </x:c>
      <x:c r="D71" s="11" t="n">
        <x:v>7.04</x:v>
      </x:c>
      <x:c r="E71" s="11" t="n">
        <x:v>-7.36</x:v>
      </x:c>
      <x:c r="F71" s="11" t="n">
        <x:f>SQRT((C71-C70)^2+(D71-D70)^2+(E71-E70)^2)</x:f>
        <x:v>0.6400000000000006</x:v>
      </x:c>
      <x:c r="G71" s="8" t="str">
        <x:v>Retired</x:v>
      </x:c>
    </x:row>
    <x:row r="72" ht="32" customHeight="1">
      <x:c r="A72" s="8" t="str">
        <x:v>trunk:LC1:E1:light:-1</x:v>
      </x:c>
      <x:c r="B72" s="8" t="n">
        <x:v>12</x:v>
      </x:c>
      <x:c r="C72" s="11" t="n">
        <x:v>43.455</x:v>
      </x:c>
      <x:c r="D72" s="11" t="n">
        <x:v>6.950412371134024</x:v>
      </x:c>
      <x:c r="E72" s="11" t="n">
        <x:v>-7.36</x:v>
      </x:c>
      <x:c r="F72" s="11" t="n">
        <x:f>SQRT((C72-C71)^2+(D72-D71)^2+(E72-E71)^2)</x:f>
        <x:v>0.12010804821421249</x:v>
      </x:c>
      <x:c r="G72" s="8" t="str">
        <x:v>Retired</x:v>
      </x:c>
    </x:row>
    <x:row r="73" ht="32" customHeight="1">
      <x:c r="A73" s="8" t="str">
        <x:v>trunk:LC1:E1:light:-1</x:v>
      </x:c>
      <x:c r="B73" s="8" t="n">
        <x:v>13</x:v>
      </x:c>
      <x:c r="C73" s="11" t="n">
        <x:v>40.574999999999996</x:v>
      </x:c>
      <x:c r="D73" s="11" t="n">
        <x:v>9.269999999999994</x:v>
      </x:c>
      <x:c r="E73" s="11" t="n">
        <x:v>-7.36</x:v>
      </x:c>
      <x:c r="F73" s="11" t="n">
        <x:f>SQRT((C73-C72)^2+(D73-D72)^2+(E73-E72)^2)</x:f>
        <x:v>3.6979571073753776</x:v>
      </x:c>
      <x:c r="G73" s="8" t="str">
        <x:v>Retired</x:v>
      </x:c>
    </x:row>
    <x:row r="74" ht="32" customHeight="1">
      <x:c r="A74" s="8" t="str">
        <x:v>trunk:LC1:E1:light:-1</x:v>
      </x:c>
      <x:c r="B74" s="8" t="n">
        <x:v>14</x:v>
      </x:c>
      <x:c r="C74" s="11" t="n">
        <x:v>37.695</x:v>
      </x:c>
      <x:c r="D74" s="11" t="n">
        <x:v>6.950412371134018</x:v>
      </x:c>
      <x:c r="E74" s="11" t="n">
        <x:v>-7.36</x:v>
      </x:c>
      <x:c r="F74" s="11" t="n">
        <x:f>SQRT((C74-C73)^2+(D74-D73)^2+(E74-E73)^2)</x:f>
        <x:v>3.697957107375376</x:v>
      </x:c>
      <x:c r="G74" s="8" t="str">
        <x:v>Retired</x:v>
      </x:c>
    </x:row>
    <x:row r="75" ht="32" customHeight="1">
      <x:c r="A75" s="8" t="str">
        <x:v>trunk:LC1:E1:light:-1</x:v>
      </x:c>
      <x:c r="B75" s="8" t="n">
        <x:v>15</x:v>
      </x:c>
      <x:c r="C75" s="11" t="n">
        <x:v>37.615</x:v>
      </x:c>
      <x:c r="D75" s="11" t="n">
        <x:v>7.04</x:v>
      </x:c>
      <x:c r="E75" s="11" t="n">
        <x:v>-7.36</x:v>
      </x:c>
      <x:c r="F75" s="11" t="n">
        <x:f>SQRT((C75-C74)^2+(D75-D74)^2+(E75-E74)^2)</x:f>
        <x:v>0.12010804821421713</x:v>
      </x:c>
      <x:c r="G75" s="8" t="str">
        <x:v>Retired</x:v>
      </x:c>
    </x:row>
    <x:row r="76" ht="32" customHeight="1">
      <x:c r="A76" s="8" t="str">
        <x:v>trunk:LC1:E1:light:-1</x:v>
      </x:c>
      <x:c r="B76" s="8" t="n">
        <x:v>16</x:v>
      </x:c>
      <x:c r="C76" s="11" t="n">
        <x:v>36.975</x:v>
      </x:c>
      <x:c r="D76" s="11" t="n">
        <x:v>7.04</x:v>
      </x:c>
      <x:c r="E76" s="11" t="n">
        <x:v>-7.36</x:v>
      </x:c>
      <x:c r="F76" s="11" t="n">
        <x:f>SQRT((C76-C75)^2+(D76-D75)^2+(E76-E75)^2)</x:f>
        <x:v>0.6400000000000006</x:v>
      </x:c>
      <x:c r="G76" s="8" t="str">
        <x:v>Retired</x:v>
      </x:c>
    </x:row>
    <x:row r="77" ht="32" customHeight="1">
      <x:c r="A77" s="8" t="str">
        <x:v>trunk:LC1:E1:light:-1</x:v>
      </x:c>
      <x:c r="B77" s="8" t="n">
        <x:v>17</x:v>
      </x:c>
      <x:c r="C77" s="11" t="n">
        <x:v>36.975</x:v>
      </x:c>
      <x:c r="D77" s="11" t="n">
        <x:v>5.988</x:v>
      </x:c>
      <x:c r="E77" s="11" t="n">
        <x:v>-7.36</x:v>
      </x:c>
      <x:c r="F77" s="11" t="n">
        <x:f>SQRT((C77-C76)^2+(D77-D76)^2+(E77-E76)^2)</x:f>
        <x:v>1.0519999999999996</x:v>
      </x:c>
      <x:c r="G77" s="8" t="str">
        <x:v>Retired</x:v>
      </x:c>
    </x:row>
    <x:row r="78" ht="32" customHeight="1">
      <x:c r="A78" s="8" t="str">
        <x:v>trunk:LC1:E1:light:-1</x:v>
      </x:c>
      <x:c r="B78" s="8" t="n">
        <x:v>18</x:v>
      </x:c>
      <x:c r="C78" s="11" t="n">
        <x:v>5.475</x:v>
      </x:c>
      <x:c r="D78" s="11" t="n">
        <x:v>5.988</x:v>
      </x:c>
      <x:c r="E78" s="11" t="n">
        <x:v>-7.36</x:v>
      </x:c>
      <x:c r="F78" s="11" t="n">
        <x:f>SQRT((C78-C77)^2+(D78-D77)^2+(E78-E77)^2)</x:f>
        <x:v>31.5</x:v>
      </x:c>
      <x:c r="G78" s="8" t="str">
        <x:v>Retired</x:v>
      </x:c>
    </x:row>
    <x:row r="79" ht="32" customHeight="1">
      <x:c r="A79" s="8" t="str">
        <x:v>trunk:LC1:E1:light:-1</x:v>
      </x:c>
      <x:c r="B79" s="8" t="n">
        <x:v>19</x:v>
      </x:c>
      <x:c r="C79" s="11" t="n">
        <x:v>2.65</x:v>
      </x:c>
      <x:c r="D79" s="11" t="n">
        <x:v>5.988</x:v>
      </x:c>
      <x:c r="E79" s="11" t="n">
        <x:v>-7.36</x:v>
      </x:c>
      <x:c r="F79" s="11" t="n">
        <x:f>SQRT((C79-C78)^2+(D79-D78)^2+(E79-E78)^2)</x:f>
        <x:v>2.8249999999999997</x:v>
      </x:c>
      <x:c r="G79" s="8" t="str">
        <x:v>Retired</x:v>
      </x:c>
    </x:row>
    <x:row r="80" ht="32" customHeight="1">
      <x:c r="A80" s="8" t="str">
        <x:v>drop:LC1:E1:light:-1:L155</x:v>
      </x:c>
      <x:c r="B80" s="8" t="n">
        <x:v>1</x:v>
      </x:c>
      <x:c r="C80" s="11" t="n">
        <x:v>2.65</x:v>
      </x:c>
      <x:c r="D80" s="11" t="n">
        <x:v>5.988</x:v>
      </x:c>
      <x:c r="E80" s="11" t="n">
        <x:v>-7.36</x:v>
      </x:c>
      <x:c r="F80" s="11" t="n">
        <x:f>0</x:f>
        <x:v>0</x:v>
      </x:c>
      <x:c r="G80" s="8" t="str">
        <x:v>Retired</x:v>
      </x:c>
    </x:row>
    <x:row r="81" ht="32" customHeight="1">
      <x:c r="A81" s="8" t="str">
        <x:v>drop:LC1:E1:light:-1:L155</x:v>
      </x:c>
      <x:c r="B81" s="8" t="n">
        <x:v>2</x:v>
      </x:c>
      <x:c r="C81" s="11" t="n">
        <x:v>2.35</x:v>
      </x:c>
      <x:c r="D81" s="11" t="n">
        <x:v>7.65</x:v>
      </x:c>
      <x:c r="E81" s="11" t="n">
        <x:v>-7.36</x:v>
      </x:c>
      <x:c r="F81" s="11" t="n">
        <x:f>SQRT((C81-C80)^2+(D81-D80)^2+(E81-E80)^2)</x:f>
        <x:v>1.6888587862814344</x:v>
      </x:c>
      <x:c r="G81" s="8" t="str">
        <x:v>Retired</x:v>
      </x:c>
    </x:row>
    <x:row r="82" ht="32" customHeight="1">
      <x:c r="A82" s="8" t="str">
        <x:v>drop:LC1:E1:light:-1:L155</x:v>
      </x:c>
      <x:c r="B82" s="8" t="n">
        <x:v>3</x:v>
      </x:c>
      <x:c r="C82" s="11" t="n">
        <x:v>2.35</x:v>
      </x:c>
      <x:c r="D82" s="11" t="n">
        <x:v>7.65</x:v>
      </x:c>
      <x:c r="E82" s="11" t="n">
        <x:v>0</x:v>
      </x:c>
      <x:c r="F82" s="11" t="n">
        <x:f>SQRT((C82-C81)^2+(D82-D81)^2+(E82-E81)^2)</x:f>
        <x:v>7.36</x:v>
      </x:c>
      <x:c r="G82" s="8" t="str">
        <x:v>Retired</x:v>
      </x:c>
    </x:row>
    <x:row r="83" ht="32" customHeight="1">
      <x:c r="A83" s="8" t="str">
        <x:v>drop:LC1:E1:light:-1:L155</x:v>
      </x:c>
      <x:c r="B83" s="8" t="n">
        <x:v>4</x:v>
      </x:c>
      <x:c r="C83" s="11" t="n">
        <x:v>2.35</x:v>
      </x:c>
      <x:c r="D83" s="11" t="n">
        <x:v>6.95</x:v>
      </x:c>
      <x:c r="E83" s="11" t="n">
        <x:v>0</x:v>
      </x:c>
      <x:c r="F83" s="11" t="n">
        <x:f>SQRT((C83-C82)^2+(D83-D82)^2+(E83-E82)^2)</x:f>
        <x:v>0.7000000000000002</x:v>
      </x:c>
      <x:c r="G83" s="8" t="str">
        <x:v>Retired</x:v>
      </x:c>
    </x:row>
    <x:row r="84" ht="32" customHeight="1">
      <x:c r="A84" s="8" t="str">
        <x:v>drop:LC1:E1:light:-1:L155</x:v>
      </x:c>
      <x:c r="B84" s="8" t="n">
        <x:v>5</x:v>
      </x:c>
      <x:c r="C84" s="11" t="n">
        <x:v>2.65</x:v>
      </x:c>
      <x:c r="D84" s="11" t="n">
        <x:v>6.95</x:v>
      </x:c>
      <x:c r="E84" s="11" t="n">
        <x:v>0</x:v>
      </x:c>
      <x:c r="F84" s="11" t="n">
        <x:f>SQRT((C84-C83)^2+(D84-D83)^2+(E84-E83)^2)</x:f>
        <x:v>0.2999999999999998</x:v>
      </x:c>
      <x:c r="G84" s="8" t="str">
        <x:v>Retired</x:v>
      </x:c>
    </x:row>
    <x:row r="85" ht="32" customHeight="1">
      <x:c r="A85" s="8" t="str">
        <x:v>drop:LC1:E1:light:-1:L156</x:v>
      </x:c>
      <x:c r="B85" s="8" t="n">
        <x:v>1</x:v>
      </x:c>
      <x:c r="C85" s="11" t="n">
        <x:v>16.725</x:v>
      </x:c>
      <x:c r="D85" s="11" t="n">
        <x:v>5.988</x:v>
      </x:c>
      <x:c r="E85" s="11" t="n">
        <x:v>-7.36</x:v>
      </x:c>
      <x:c r="F85" s="11" t="n">
        <x:f>0</x:f>
        <x:v>0</x:v>
      </x:c>
      <x:c r="G85" s="8" t="str">
        <x:v>Retired</x:v>
      </x:c>
    </x:row>
    <x:row r="86" ht="32" customHeight="1">
      <x:c r="A86" s="8" t="str">
        <x:v>drop:LC1:E1:light:-1:L156</x:v>
      </x:c>
      <x:c r="B86" s="8" t="n">
        <x:v>2</x:v>
      </x:c>
      <x:c r="C86" s="11" t="n">
        <x:v>16.725</x:v>
      </x:c>
      <x:c r="D86" s="11" t="n">
        <x:v>4.6</x:v>
      </x:c>
      <x:c r="E86" s="11" t="n">
        <x:v>-7.36</x:v>
      </x:c>
      <x:c r="F86" s="11" t="n">
        <x:f>SQRT((C86-C85)^2+(D86-D85)^2+(E86-E85)^2)</x:f>
        <x:v>1.3880000000000008</x:v>
      </x:c>
      <x:c r="G86" s="8" t="str">
        <x:v>Retired</x:v>
      </x:c>
    </x:row>
    <x:row r="87" ht="32" customHeight="1">
      <x:c r="A87" s="8" t="str">
        <x:v>drop:LC1:E1:light:-1:L156</x:v>
      </x:c>
      <x:c r="B87" s="8" t="n">
        <x:v>3</x:v>
      </x:c>
      <x:c r="C87" s="11" t="n">
        <x:v>16.725</x:v>
      </x:c>
      <x:c r="D87" s="11" t="n">
        <x:v>4.6</x:v>
      </x:c>
      <x:c r="E87" s="11" t="n">
        <x:v>-7.245</x:v>
      </x:c>
      <x:c r="F87" s="11" t="n">
        <x:f>SQRT((C87-C86)^2+(D87-D86)^2+(E87-E86)^2)</x:f>
        <x:v>0.11500000000000021</x:v>
      </x:c>
      <x:c r="G87" s="8" t="str">
        <x:v>Retired</x:v>
      </x:c>
    </x:row>
    <x:row r="88" ht="32" customHeight="1">
      <x:c r="A88" s="8" t="str">
        <x:v>drop:LC1:E1:light:-1:L158</x:v>
      </x:c>
      <x:c r="B88" s="8" t="n">
        <x:v>1</x:v>
      </x:c>
      <x:c r="C88" s="11" t="n">
        <x:v>34.725</x:v>
      </x:c>
      <x:c r="D88" s="11" t="n">
        <x:v>5.988</x:v>
      </x:c>
      <x:c r="E88" s="11" t="n">
        <x:v>-7.36</x:v>
      </x:c>
      <x:c r="F88" s="11" t="n">
        <x:f>0</x:f>
        <x:v>0</x:v>
      </x:c>
      <x:c r="G88" s="8" t="str">
        <x:v>Retired</x:v>
      </x:c>
    </x:row>
    <x:row r="89" ht="32" customHeight="1">
      <x:c r="A89" s="8" t="str">
        <x:v>drop:LC1:E1:light:-1:L158</x:v>
      </x:c>
      <x:c r="B89" s="8" t="n">
        <x:v>2</x:v>
      </x:c>
      <x:c r="C89" s="11" t="n">
        <x:v>34.725</x:v>
      </x:c>
      <x:c r="D89" s="11" t="n">
        <x:v>4.6</x:v>
      </x:c>
      <x:c r="E89" s="11" t="n">
        <x:v>-7.36</x:v>
      </x:c>
      <x:c r="F89" s="11" t="n">
        <x:f>SQRT((C89-C88)^2+(D89-D88)^2+(E89-E88)^2)</x:f>
        <x:v>1.3880000000000008</x:v>
      </x:c>
      <x:c r="G89" s="8" t="str">
        <x:v>Retired</x:v>
      </x:c>
    </x:row>
    <x:row r="90" ht="32" customHeight="1">
      <x:c r="A90" s="8" t="str">
        <x:v>drop:LC1:E1:light:-1:L158</x:v>
      </x:c>
      <x:c r="B90" s="8" t="n">
        <x:v>3</x:v>
      </x:c>
      <x:c r="C90" s="11" t="n">
        <x:v>34.725</x:v>
      </x:c>
      <x:c r="D90" s="11" t="n">
        <x:v>4.6</x:v>
      </x:c>
      <x:c r="E90" s="11" t="n">
        <x:v>-7.245</x:v>
      </x:c>
      <x:c r="F90" s="11" t="n">
        <x:f>SQRT((C90-C89)^2+(D90-D89)^2+(E90-E89)^2)</x:f>
        <x:v>0.11500000000000021</x:v>
      </x:c>
      <x:c r="G90" s="8" t="str">
        <x:v>Retired</x:v>
      </x:c>
    </x:row>
    <x:row r="91" ht="32" customHeight="1">
      <x:c r="A91" s="8" t="str">
        <x:v>trunk:LC1:E1:light:1</x:v>
      </x:c>
      <x:c r="B91" s="8" t="n">
        <x:v>1</x:v>
      </x:c>
      <x:c r="C91" s="11" t="n">
        <x:v>48.895</x:v>
      </x:c>
      <x:c r="D91" s="11" t="n">
        <x:v>1.85</x:v>
      </x:c>
      <x:c r="E91" s="11" t="n">
        <x:v>-0.55</x:v>
      </x:c>
      <x:c r="F91" s="11" t="n">
        <x:f>0</x:f>
        <x:v>0</x:v>
      </x:c>
      <x:c r="G91" s="8" t="str">
        <x:v>Retired</x:v>
      </x:c>
    </x:row>
    <x:row r="92" ht="32" customHeight="1">
      <x:c r="A92" s="8" t="str">
        <x:v>trunk:LC1:E1:light:1</x:v>
      </x:c>
      <x:c r="B92" s="8" t="n">
        <x:v>2</x:v>
      </x:c>
      <x:c r="C92" s="11" t="n">
        <x:v>48.735</x:v>
      </x:c>
      <x:c r="D92" s="11" t="n">
        <x:v>1.85</x:v>
      </x:c>
      <x:c r="E92" s="11" t="n">
        <x:v>-0.55</x:v>
      </x:c>
      <x:c r="F92" s="11" t="n">
        <x:f>SQRT((C92-C91)^2+(D92-D91)^2+(E92-E91)^2)</x:f>
        <x:v>0.1600000000000037</x:v>
      </x:c>
      <x:c r="G92" s="8" t="str">
        <x:v>Retired</x:v>
      </x:c>
    </x:row>
    <x:row r="93" ht="32" customHeight="1">
      <x:c r="A93" s="8" t="str">
        <x:v>trunk:LC1:E1:light:1</x:v>
      </x:c>
      <x:c r="B93" s="8" t="n">
        <x:v>3</x:v>
      </x:c>
      <x:c r="C93" s="11" t="n">
        <x:v>48.735</x:v>
      </x:c>
      <x:c r="D93" s="11" t="n">
        <x:v>1.85</x:v>
      </x:c>
      <x:c r="E93" s="11" t="n">
        <x:v>-2.24</x:v>
      </x:c>
      <x:c r="F93" s="11" t="n">
        <x:f>SQRT((C93-C92)^2+(D93-D92)^2+(E93-E92)^2)</x:f>
        <x:v>1.6900000000000002</x:v>
      </x:c>
      <x:c r="G93" s="8" t="str">
        <x:v>Retired</x:v>
      </x:c>
    </x:row>
    <x:row r="94" ht="32" customHeight="1">
      <x:c r="A94" s="8" t="str">
        <x:v>trunk:LC1:E1:light:1</x:v>
      </x:c>
      <x:c r="B94" s="8" t="n">
        <x:v>4</x:v>
      </x:c>
      <x:c r="C94" s="11" t="n">
        <x:v>48.735</x:v>
      </x:c>
      <x:c r="D94" s="11" t="n">
        <x:v>4.33</x:v>
      </x:c>
      <x:c r="E94" s="11" t="n">
        <x:v>-2.24</x:v>
      </x:c>
      <x:c r="F94" s="11" t="n">
        <x:f>SQRT((C94-C93)^2+(D94-D93)^2+(E94-E93)^2)</x:f>
        <x:v>2.48</x:v>
      </x:c>
      <x:c r="G94" s="8" t="str">
        <x:v>Retired</x:v>
      </x:c>
    </x:row>
    <x:row r="95" ht="32" customHeight="1">
      <x:c r="A95" s="8" t="str">
        <x:v>trunk:LC1:E1:light:1</x:v>
      </x:c>
      <x:c r="B95" s="8" t="n">
        <x:v>5</x:v>
      </x:c>
      <x:c r="C95" s="11" t="n">
        <x:v>48.735</x:v>
      </x:c>
      <x:c r="D95" s="11" t="n">
        <x:v>4.33</x:v>
      </x:c>
      <x:c r="E95" s="11" t="n">
        <x:v>-3.3</x:v>
      </x:c>
      <x:c r="F95" s="11" t="n">
        <x:f>SQRT((C95-C94)^2+(D95-D94)^2+(E95-E94)^2)</x:f>
        <x:v>1.0599999999999996</x:v>
      </x:c>
      <x:c r="G95" s="8" t="str">
        <x:v>Retired</x:v>
      </x:c>
    </x:row>
    <x:row r="96" ht="32" customHeight="1">
      <x:c r="A96" s="8" t="str">
        <x:v>trunk:LC1:E1:light:1</x:v>
      </x:c>
      <x:c r="B96" s="8" t="n">
        <x:v>6</x:v>
      </x:c>
      <x:c r="C96" s="11" t="n">
        <x:v>53.016</x:v>
      </x:c>
      <x:c r="D96" s="11" t="n">
        <x:v>4.33</x:v>
      </x:c>
      <x:c r="E96" s="11" t="n">
        <x:v>-3.3</x:v>
      </x:c>
      <x:c r="F96" s="11" t="n">
        <x:f>SQRT((C96-C95)^2+(D96-D95)^2+(E96-E95)^2)</x:f>
        <x:v>4.280999999999999</x:v>
      </x:c>
      <x:c r="G96" s="8" t="str">
        <x:v>Retired</x:v>
      </x:c>
    </x:row>
    <x:row r="97" ht="32" customHeight="1">
      <x:c r="A97" s="8" t="str">
        <x:v>trunk:LC1:E1:light:1</x:v>
      </x:c>
      <x:c r="B97" s="8" t="n">
        <x:v>7</x:v>
      </x:c>
      <x:c r="C97" s="11" t="n">
        <x:v>53.016</x:v>
      </x:c>
      <x:c r="D97" s="11" t="n">
        <x:v>5.988</x:v>
      </x:c>
      <x:c r="E97" s="11" t="n">
        <x:v>-3.3</x:v>
      </x:c>
      <x:c r="F97" s="11" t="n">
        <x:f>SQRT((C97-C96)^2+(D97-D96)^2+(E97-E96)^2)</x:f>
        <x:v>1.6580000000000004</x:v>
      </x:c>
      <x:c r="G97" s="8" t="str">
        <x:v>Retired</x:v>
      </x:c>
    </x:row>
    <x:row r="98" ht="32" customHeight="1">
      <x:c r="A98" s="8" t="str">
        <x:v>trunk:LC1:E1:light:1</x:v>
      </x:c>
      <x:c r="B98" s="8" t="n">
        <x:v>8</x:v>
      </x:c>
      <x:c r="C98" s="11" t="n">
        <x:v>53.016</x:v>
      </x:c>
      <x:c r="D98" s="11" t="n">
        <x:v>5.988</x:v>
      </x:c>
      <x:c r="E98" s="11" t="n">
        <x:v>7.36</x:v>
      </x:c>
      <x:c r="F98" s="11" t="n">
        <x:f>SQRT((C98-C97)^2+(D98-D97)^2+(E98-E97)^2)</x:f>
        <x:v>10.66</x:v>
      </x:c>
      <x:c r="G98" s="8" t="str">
        <x:v>Retired</x:v>
      </x:c>
    </x:row>
    <x:row r="99" ht="32" customHeight="1">
      <x:c r="A99" s="8" t="str">
        <x:v>trunk:LC1:E1:light:1</x:v>
      </x:c>
      <x:c r="B99" s="8" t="n">
        <x:v>9</x:v>
      </x:c>
      <x:c r="C99" s="11" t="n">
        <x:v>44.175</x:v>
      </x:c>
      <x:c r="D99" s="11" t="n">
        <x:v>5.988</x:v>
      </x:c>
      <x:c r="E99" s="11" t="n">
        <x:v>7.36</x:v>
      </x:c>
      <x:c r="F99" s="11" t="n">
        <x:f>SQRT((C99-C98)^2+(D99-D98)^2+(E99-E98)^2)</x:f>
        <x:v>8.841000000000001</x:v>
      </x:c>
      <x:c r="G99" s="8" t="str">
        <x:v>Retired</x:v>
      </x:c>
    </x:row>
    <x:row r="100" ht="32" customHeight="1">
      <x:c r="A100" s="8" t="str">
        <x:v>trunk:LC1:E1:light:1</x:v>
      </x:c>
      <x:c r="B100" s="8" t="n">
        <x:v>10</x:v>
      </x:c>
      <x:c r="C100" s="11" t="n">
        <x:v>44.175</x:v>
      </x:c>
      <x:c r="D100" s="11" t="n">
        <x:v>7.04</x:v>
      </x:c>
      <x:c r="E100" s="11" t="n">
        <x:v>7.36</x:v>
      </x:c>
      <x:c r="F100" s="11" t="n">
        <x:f>SQRT((C100-C99)^2+(D100-D99)^2+(E100-E99)^2)</x:f>
        <x:v>1.0519999999999996</x:v>
      </x:c>
      <x:c r="G100" s="8" t="str">
        <x:v>Retired</x:v>
      </x:c>
    </x:row>
    <x:row r="101" ht="32" customHeight="1">
      <x:c r="A101" s="8" t="str">
        <x:v>trunk:LC1:E1:light:1</x:v>
      </x:c>
      <x:c r="B101" s="8" t="n">
        <x:v>11</x:v>
      </x:c>
      <x:c r="C101" s="11" t="n">
        <x:v>43.535</x:v>
      </x:c>
      <x:c r="D101" s="11" t="n">
        <x:v>7.04</x:v>
      </x:c>
      <x:c r="E101" s="11" t="n">
        <x:v>7.36</x:v>
      </x:c>
      <x:c r="F101" s="11" t="n">
        <x:f>SQRT((C101-C100)^2+(D101-D100)^2+(E101-E100)^2)</x:f>
        <x:v>0.6400000000000006</x:v>
      </x:c>
      <x:c r="G101" s="8" t="str">
        <x:v>Retired</x:v>
      </x:c>
    </x:row>
    <x:row r="102" ht="32" customHeight="1">
      <x:c r="A102" s="8" t="str">
        <x:v>trunk:LC1:E1:light:1</x:v>
      </x:c>
      <x:c r="B102" s="8" t="n">
        <x:v>12</x:v>
      </x:c>
      <x:c r="C102" s="11" t="n">
        <x:v>43.455</x:v>
      </x:c>
      <x:c r="D102" s="11" t="n">
        <x:v>6.950412371134024</x:v>
      </x:c>
      <x:c r="E102" s="11" t="n">
        <x:v>7.36</x:v>
      </x:c>
      <x:c r="F102" s="11" t="n">
        <x:f>SQRT((C102-C101)^2+(D102-D101)^2+(E102-E101)^2)</x:f>
        <x:v>0.12010804821421249</x:v>
      </x:c>
      <x:c r="G102" s="8" t="str">
        <x:v>Retired</x:v>
      </x:c>
    </x:row>
    <x:row r="103" ht="32" customHeight="1">
      <x:c r="A103" s="8" t="str">
        <x:v>trunk:LC1:E1:light:1</x:v>
      </x:c>
      <x:c r="B103" s="8" t="n">
        <x:v>13</x:v>
      </x:c>
      <x:c r="C103" s="11" t="n">
        <x:v>40.574999999999996</x:v>
      </x:c>
      <x:c r="D103" s="11" t="n">
        <x:v>9.269999999999994</x:v>
      </x:c>
      <x:c r="E103" s="11" t="n">
        <x:v>7.36</x:v>
      </x:c>
      <x:c r="F103" s="11" t="n">
        <x:f>SQRT((C103-C102)^2+(D103-D102)^2+(E103-E102)^2)</x:f>
        <x:v>3.6979571073753776</x:v>
      </x:c>
      <x:c r="G103" s="8" t="str">
        <x:v>Retired</x:v>
      </x:c>
    </x:row>
    <x:row r="104" ht="32" customHeight="1">
      <x:c r="A104" s="8" t="str">
        <x:v>trunk:LC1:E1:light:1</x:v>
      </x:c>
      <x:c r="B104" s="8" t="n">
        <x:v>14</x:v>
      </x:c>
      <x:c r="C104" s="11" t="n">
        <x:v>37.695</x:v>
      </x:c>
      <x:c r="D104" s="11" t="n">
        <x:v>6.950412371134018</x:v>
      </x:c>
      <x:c r="E104" s="11" t="n">
        <x:v>7.36</x:v>
      </x:c>
      <x:c r="F104" s="11" t="n">
        <x:f>SQRT((C104-C103)^2+(D104-D103)^2+(E104-E103)^2)</x:f>
        <x:v>3.697957107375376</x:v>
      </x:c>
      <x:c r="G104" s="8" t="str">
        <x:v>Retired</x:v>
      </x:c>
    </x:row>
    <x:row r="105" ht="32" customHeight="1">
      <x:c r="A105" s="8" t="str">
        <x:v>trunk:LC1:E1:light:1</x:v>
      </x:c>
      <x:c r="B105" s="8" t="n">
        <x:v>15</x:v>
      </x:c>
      <x:c r="C105" s="11" t="n">
        <x:v>37.615</x:v>
      </x:c>
      <x:c r="D105" s="11" t="n">
        <x:v>7.04</x:v>
      </x:c>
      <x:c r="E105" s="11" t="n">
        <x:v>7.36</x:v>
      </x:c>
      <x:c r="F105" s="11" t="n">
        <x:f>SQRT((C105-C104)^2+(D105-D104)^2+(E105-E104)^2)</x:f>
        <x:v>0.12010804821421713</x:v>
      </x:c>
      <x:c r="G105" s="8" t="str">
        <x:v>Retired</x:v>
      </x:c>
    </x:row>
    <x:row r="106" ht="32" customHeight="1">
      <x:c r="A106" s="8" t="str">
        <x:v>trunk:LC1:E1:light:1</x:v>
      </x:c>
      <x:c r="B106" s="8" t="n">
        <x:v>16</x:v>
      </x:c>
      <x:c r="C106" s="11" t="n">
        <x:v>36.975</x:v>
      </x:c>
      <x:c r="D106" s="11" t="n">
        <x:v>7.04</x:v>
      </x:c>
      <x:c r="E106" s="11" t="n">
        <x:v>7.36</x:v>
      </x:c>
      <x:c r="F106" s="11" t="n">
        <x:f>SQRT((C106-C105)^2+(D106-D105)^2+(E106-E105)^2)</x:f>
        <x:v>0.6400000000000006</x:v>
      </x:c>
      <x:c r="G106" s="8" t="str">
        <x:v>Retired</x:v>
      </x:c>
    </x:row>
    <x:row r="107" ht="32" customHeight="1">
      <x:c r="A107" s="8" t="str">
        <x:v>trunk:LC1:E1:light:1</x:v>
      </x:c>
      <x:c r="B107" s="8" t="n">
        <x:v>17</x:v>
      </x:c>
      <x:c r="C107" s="11" t="n">
        <x:v>36.975</x:v>
      </x:c>
      <x:c r="D107" s="11" t="n">
        <x:v>5.988</x:v>
      </x:c>
      <x:c r="E107" s="11" t="n">
        <x:v>7.36</x:v>
      </x:c>
      <x:c r="F107" s="11" t="n">
        <x:f>SQRT((C107-C106)^2+(D107-D106)^2+(E107-E106)^2)</x:f>
        <x:v>1.0519999999999996</x:v>
      </x:c>
      <x:c r="G107" s="8" t="str">
        <x:v>Retired</x:v>
      </x:c>
    </x:row>
    <x:row r="108" ht="32" customHeight="1">
      <x:c r="A108" s="8" t="str">
        <x:v>trunk:LC1:E1:light:1</x:v>
      </x:c>
      <x:c r="B108" s="8" t="n">
        <x:v>18</x:v>
      </x:c>
      <x:c r="C108" s="11" t="n">
        <x:v>16.725</x:v>
      </x:c>
      <x:c r="D108" s="11" t="n">
        <x:v>5.988</x:v>
      </x:c>
      <x:c r="E108" s="11" t="n">
        <x:v>7.36</x:v>
      </x:c>
      <x:c r="F108" s="11" t="n">
        <x:f>SQRT((C108-C107)^2+(D108-D107)^2+(E108-E107)^2)</x:f>
        <x:v>20.25</x:v>
      </x:c>
      <x:c r="G108" s="8" t="str">
        <x:v>Retired</x:v>
      </x:c>
    </x:row>
    <x:row r="109" ht="32" customHeight="1">
      <x:c r="A109" s="8" t="str">
        <x:v>drop:LC1:E1:light:1:L157</x:v>
      </x:c>
      <x:c r="B109" s="8" t="n">
        <x:v>1</x:v>
      </x:c>
      <x:c r="C109" s="11" t="n">
        <x:v>16.725</x:v>
      </x:c>
      <x:c r="D109" s="11" t="n">
        <x:v>5.988</x:v>
      </x:c>
      <x:c r="E109" s="11" t="n">
        <x:v>7.36</x:v>
      </x:c>
      <x:c r="F109" s="11" t="n">
        <x:f>0</x:f>
        <x:v>0</x:v>
      </x:c>
      <x:c r="G109" s="8" t="str">
        <x:v>Retired</x:v>
      </x:c>
    </x:row>
    <x:row r="110" ht="32" customHeight="1">
      <x:c r="A110" s="8" t="str">
        <x:v>drop:LC1:E1:light:1:L157</x:v>
      </x:c>
      <x:c r="B110" s="8" t="n">
        <x:v>2</x:v>
      </x:c>
      <x:c r="C110" s="11" t="n">
        <x:v>16.725</x:v>
      </x:c>
      <x:c r="D110" s="11" t="n">
        <x:v>4.6</x:v>
      </x:c>
      <x:c r="E110" s="11" t="n">
        <x:v>7.36</x:v>
      </x:c>
      <x:c r="F110" s="11" t="n">
        <x:f>SQRT((C110-C109)^2+(D110-D109)^2+(E110-E109)^2)</x:f>
        <x:v>1.3880000000000008</x:v>
      </x:c>
      <x:c r="G110" s="8" t="str">
        <x:v>Retired</x:v>
      </x:c>
    </x:row>
    <x:row r="111" ht="32" customHeight="1">
      <x:c r="A111" s="8" t="str">
        <x:v>drop:LC1:E1:light:1:L157</x:v>
      </x:c>
      <x:c r="B111" s="8" t="n">
        <x:v>3</x:v>
      </x:c>
      <x:c r="C111" s="11" t="n">
        <x:v>16.725</x:v>
      </x:c>
      <x:c r="D111" s="11" t="n">
        <x:v>4.6</x:v>
      </x:c>
      <x:c r="E111" s="11" t="n">
        <x:v>7.245</x:v>
      </x:c>
      <x:c r="F111" s="11" t="n">
        <x:f>SQRT((C111-C110)^2+(D111-D110)^2+(E111-E110)^2)</x:f>
        <x:v>0.11500000000000021</x:v>
      </x:c>
      <x:c r="G111" s="8" t="str">
        <x:v>Retired</x:v>
      </x:c>
    </x:row>
    <x:row r="112" ht="32" customHeight="1">
      <x:c r="A112" s="8" t="str">
        <x:v>drop:LC1:E1:light:1:L159</x:v>
      </x:c>
      <x:c r="B112" s="8" t="n">
        <x:v>1</x:v>
      </x:c>
      <x:c r="C112" s="11" t="n">
        <x:v>34.725</x:v>
      </x:c>
      <x:c r="D112" s="11" t="n">
        <x:v>5.988</x:v>
      </x:c>
      <x:c r="E112" s="11" t="n">
        <x:v>7.36</x:v>
      </x:c>
      <x:c r="F112" s="11" t="n">
        <x:f>0</x:f>
        <x:v>0</x:v>
      </x:c>
      <x:c r="G112" s="8" t="str">
        <x:v>Retired</x:v>
      </x:c>
    </x:row>
    <x:row r="113" ht="32" customHeight="1">
      <x:c r="A113" s="8" t="str">
        <x:v>drop:LC1:E1:light:1:L159</x:v>
      </x:c>
      <x:c r="B113" s="8" t="n">
        <x:v>2</x:v>
      </x:c>
      <x:c r="C113" s="11" t="n">
        <x:v>34.725</x:v>
      </x:c>
      <x:c r="D113" s="11" t="n">
        <x:v>4.6</x:v>
      </x:c>
      <x:c r="E113" s="11" t="n">
        <x:v>7.36</x:v>
      </x:c>
      <x:c r="F113" s="11" t="n">
        <x:f>SQRT((C113-C112)^2+(D113-D112)^2+(E113-E112)^2)</x:f>
        <x:v>1.3880000000000008</x:v>
      </x:c>
      <x:c r="G113" s="8" t="str">
        <x:v>Retired</x:v>
      </x:c>
    </x:row>
    <x:row r="114" ht="32" customHeight="1">
      <x:c r="A114" s="8" t="str">
        <x:v>drop:LC1:E1:light:1:L159</x:v>
      </x:c>
      <x:c r="B114" s="8" t="n">
        <x:v>3</x:v>
      </x:c>
      <x:c r="C114" s="11" t="n">
        <x:v>34.725</x:v>
      </x:c>
      <x:c r="D114" s="11" t="n">
        <x:v>4.6</x:v>
      </x:c>
      <x:c r="E114" s="11" t="n">
        <x:v>7.245</x:v>
      </x:c>
      <x:c r="F114" s="11" t="n">
        <x:f>SQRT((C114-C113)^2+(D114-D113)^2+(E114-E113)^2)</x:f>
        <x:v>0.11500000000000021</x:v>
      </x:c>
      <x:c r="G114" s="8" t="str">
        <x:v>Retired</x:v>
      </x:c>
    </x:row>
  </x:sheetData>
  <x:conditionalFormatting sqref="G7:G114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9e36e15150414d0e"/>
  </x:tableParts>
</x:worksheet>
</file>