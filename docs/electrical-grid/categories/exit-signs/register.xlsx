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4f376ab7b243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e5942358a0d49d9"/>
    <x:sheet xmlns:r="http://schemas.openxmlformats.org/officeDocument/2006/relationships" name="Equipment" sheetId="2" r:id="Rb5061bc685844cd8"/>
    <x:sheet xmlns:r="http://schemas.openxmlformats.org/officeDocument/2006/relationships" name="Electrical Lines" sheetId="3" r:id="R5f7b63d437c54c69"/>
    <x:sheet xmlns:r="http://schemas.openxmlformats.org/officeDocument/2006/relationships" name="Route Points" sheetId="4" r:id="Rbd378c3cb9d24f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bb72a19d764d50" /><Relationship Type="http://schemas.openxmlformats.org/officeDocument/2006/relationships/theme" Target="/xl/theme/theme1.xml" Id="Rf42e3591de8a4efe" /><Relationship Type="http://schemas.openxmlformats.org/officeDocument/2006/relationships/sharedStrings" Target="/xl/sharedStrings.xml" Id="R122c32ed220743e5" /><Relationship Type="http://schemas.openxmlformats.org/officeDocument/2006/relationships/worksheet" Target="/xl/worksheets/sheet1.xml" Id="Rae5942358a0d49d9" /><Relationship Type="http://schemas.openxmlformats.org/officeDocument/2006/relationships/worksheet" Target="/xl/worksheets/sheet2.xml" Id="Rb5061bc685844cd8" /><Relationship Type="http://schemas.openxmlformats.org/officeDocument/2006/relationships/worksheet" Target="/xl/worksheets/sheet3.xml" Id="R5f7b63d437c54c69" /><Relationship Type="http://schemas.openxmlformats.org/officeDocument/2006/relationships/worksheet" Target="/xl/worksheets/sheet4.xml" Id="Rbd378c3cb9d24fb1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3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5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a940d31c6c24f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ecdd70850248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d318873e8b45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2026-10-07T00:43:44.962Z.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Lines'!$Y$7:$Y$13,"Current")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Lines'!$Y$7:$Y$13,"Retired")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ec066f78b134a4ab41e86b94133226ce6f6438520682c580b116eb56ed715fc9</x:v>
      </x:c>
    </x:row>
    <x:row r="15" ht="44" customHeight="1">
      <x:c r="A15" s="20" t="str">
        <x:v>Source systems SHA-256</x:v>
      </x:c>
      <x:c r="B15" s="16" t="str">
        <x:v>99ba5edfb5f5ec7966456e3ad66285380fe1c91036b9f85ff7846b14c7fd32f2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drop:LC1:E1:light:-1:L155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drop:LC1:E1:light:-1:L156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a940d31c6c24f2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trunk:LC1:E1:light:-1</x:v>
      </x:c>
      <x:c r="B7" s="8" t="str">
        <x:v>E1 · B · circuit trunk</x:v>
      </x:c>
      <x:c r="C7" s="8" t="str">
        <x:v>LC1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Points'!$A$7:$A$50,A7,'Route Points'!$F$7:$F$50)</x:f>
        <x:v>78.099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Concealed wall band above openings; ceiling containment at wing returns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drop:LC1:E1:light:-1:L155</x:v>
      </x:c>
      <x:c r="B8" s="8" t="str">
        <x:v>E1 → Exit sign · main doors</x:v>
      </x:c>
      <x:c r="C8" s="8" t="str">
        <x:v>LC1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Points'!$A$7:$A$50,A8,'Route Points'!$F$7:$F$50)</x:f>
        <x:v>9.544616393605967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pier / wall drop, local termination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trunk:LC1:E1:light:-1</x:v>
      </x:c>
    </x:row>
    <x:row r="9" ht="90" customHeight="1">
      <x:c r="A9" s="8" t="str">
        <x:v>drop:LC1:E1:light:-1:L156</x:v>
      </x:c>
      <x:c r="B9" s="8" t="str">
        <x:v>E1 → Exit sign · side door 16.7 · B</x:v>
      </x:c>
      <x:c r="C9" s="8" t="str">
        <x:v>LC1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Points'!$A$7:$A$50,A9,'Route Points'!$F$7:$F$50)</x:f>
        <x:v>2.019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pier / wall drop, local termination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trunk:LC1:E1:light:-1</x:v>
      </x:c>
    </x:row>
    <x:row r="10" ht="90" customHeight="1">
      <x:c r="A10" s="8" t="str">
        <x:v>drop:LC1:E1:light:-1:L158</x:v>
      </x:c>
      <x:c r="B10" s="8" t="str">
        <x:v>E1 → Exit sign · side door 34.7 · B</x:v>
      </x:c>
      <x:c r="C10" s="8" t="str">
        <x:v>LC1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Points'!$A$7:$A$50,A10,'Route Points'!$F$7:$F$50)</x:f>
        <x:v>2.019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pier / wall drop, local termination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trunk:LC1:E1:light:-1</x:v>
      </x:c>
    </x:row>
    <x:row r="11" ht="90" customHeight="1">
      <x:c r="A11" s="8" t="str">
        <x:v>trunk:LC1:E1:light:1</x:v>
      </x:c>
      <x:c r="B11" s="8" t="str">
        <x:v>E1 · H · circuit trunk</x:v>
      </x:c>
      <x:c r="C11" s="8" t="str">
        <x:v>LC1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Points'!$A$7:$A$50,A11,'Route Points'!$F$7:$F$50)</x:f>
        <x:v>71.224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wall band above openings; ceiling containment at wing returns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drop:LC1:E1:light:1:L157</x:v>
      </x:c>
      <x:c r="B12" s="8" t="str">
        <x:v>E1 → Exit sign · side door 16.7 · H</x:v>
      </x:c>
      <x:c r="C12" s="8" t="str">
        <x:v>LC1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Points'!$A$7:$A$50,A12,'Route Points'!$F$7:$F$50)</x:f>
        <x:v>2.019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pier / wall drop, local termination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trunk:LC1:E1:light:1</x:v>
      </x:c>
    </x:row>
    <x:row r="13" ht="90" customHeight="1">
      <x:c r="A13" s="8" t="str">
        <x:v>drop:LC1:E1:light:1:L159</x:v>
      </x:c>
      <x:c r="B13" s="8" t="str">
        <x:v>E1 → Exit sign · side door 34.7 · H</x:v>
      </x:c>
      <x:c r="C13" s="8" t="str">
        <x:v>LC1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Points'!$A$7:$A$50,A13,'Route Points'!$F$7:$F$50)</x:f>
        <x:v>2.019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pier / wall drop, local termination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trunk:LC1:E1:light:1</x:v>
      </x:c>
    </x:row>
  </x:sheetData>
  <x:conditionalFormatting sqref="Y7:Y13">
    <x:cfRule type="containsText" dxfId="1" priority="1" operator="containsText" text="Retired"/>
  </x:conditionalFormatting>
  <x:dataValidations count="3">
    <x:dataValidation type="decimal" operator="greaterThanOrEqual" sqref="M7:M13">
      <x:formula1>0</x:formula1>
    </x:dataValidation>
    <x:dataValidation type="decimal" operator="greaterThanOrEqual" sqref="R7:R13">
      <x:formula1>0</x:formula1>
    </x:dataValidation>
    <x:dataValidation type="decimal" operator="greaterThanOrEqual" sqref="S7:S1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ecdd70850248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trunk:LC1:E1:light:-1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trunk:LC1:E1:light:-1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trunk:LC1:E1:light:-1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trunk:LC1:E1:light:-1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2.1699999999999995</x:v>
      </x:c>
      <x:c r="G10" s="8" t="str">
        <x:v>Current</x:v>
      </x:c>
    </x:row>
    <x:row r="11" ht="32" customHeight="1">
      <x:c r="A11" s="8" t="str">
        <x:v>trunk:LC1:E1:light:-1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trunk:LC1:E1:light:-1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trunk:LC1:E1:light:-1</x:v>
      </x:c>
      <x:c r="B13" s="8" t="n">
        <x:v>7</x:v>
      </x:c>
      <x:c r="C13" s="11" t="n">
        <x:v>53.05</x:v>
      </x:c>
      <x:c r="D13" s="11" t="n">
        <x:v>6.504</x:v>
      </x:c>
      <x:c r="E13" s="11" t="n">
        <x:v>-3.6</x:v>
      </x:c>
      <x:c r="F13" s="11" t="n">
        <x:f>SQRT((C13-C12)^2+(D13-D12)^2+(E13-E12)^2)</x:f>
        <x:v>2.484</x:v>
      </x:c>
      <x:c r="G13" s="8" t="str">
        <x:v>Current</x:v>
      </x:c>
    </x:row>
    <x:row r="14" ht="32" customHeight="1">
      <x:c r="A14" s="8" t="str">
        <x:v>trunk:LC1:E1:light:-1</x:v>
      </x:c>
      <x:c r="B14" s="8" t="n">
        <x:v>8</x:v>
      </x:c>
      <x:c r="C14" s="11" t="n">
        <x:v>53.05</x:v>
      </x:c>
      <x:c r="D14" s="11" t="n">
        <x:v>6.504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trunk:LC1:E1:light:-1</x:v>
      </x:c>
      <x:c r="B15" s="8" t="n">
        <x:v>9</x:v>
      </x:c>
      <x:c r="C15" s="11" t="n">
        <x:v>44.175</x:v>
      </x:c>
      <x:c r="D15" s="11" t="n">
        <x:v>6.504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trunk:LC1:E1:light:-1</x:v>
      </x:c>
      <x:c r="B16" s="8" t="n">
        <x:v>10</x:v>
      </x:c>
      <x:c r="C16" s="11" t="n">
        <x:v>44.175</x:v>
      </x:c>
      <x:c r="D16" s="11" t="n">
        <x:v>6.504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trunk:LC1:E1:light:-1</x:v>
      </x:c>
      <x:c r="B17" s="8" t="n">
        <x:v>11</x:v>
      </x:c>
      <x:c r="C17" s="11" t="n">
        <x:v>36.975</x:v>
      </x:c>
      <x:c r="D17" s="11" t="n">
        <x:v>6.504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trunk:LC1:E1:light:-1</x:v>
      </x:c>
      <x:c r="B18" s="8" t="n">
        <x:v>12</x:v>
      </x:c>
      <x:c r="C18" s="11" t="n">
        <x:v>36.975</x:v>
      </x:c>
      <x:c r="D18" s="11" t="n">
        <x:v>6.504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trunk:LC1:E1:light:-1</x:v>
      </x:c>
      <x:c r="B19" s="8" t="n">
        <x:v>13</x:v>
      </x:c>
      <x:c r="C19" s="11" t="n">
        <x:v>5.475</x:v>
      </x:c>
      <x:c r="D19" s="11" t="n">
        <x:v>6.504</x:v>
      </x:c>
      <x:c r="E19" s="11" t="n">
        <x:v>-7.36</x:v>
      </x:c>
      <x:c r="F19" s="11" t="n">
        <x:f>SQRT((C19-C18)^2+(D19-D18)^2+(E19-E18)^2)</x:f>
        <x:v>31.5</x:v>
      </x:c>
      <x:c r="G19" s="8" t="str">
        <x:v>Current</x:v>
      </x:c>
    </x:row>
    <x:row r="20" ht="32" customHeight="1">
      <x:c r="A20" s="8" t="str">
        <x:v>trunk:LC1:E1:light:-1</x:v>
      </x:c>
      <x:c r="B20" s="8" t="n">
        <x:v>14</x:v>
      </x:c>
      <x:c r="C20" s="11" t="n">
        <x:v>2.65</x:v>
      </x:c>
      <x:c r="D20" s="11" t="n">
        <x:v>6.504</x:v>
      </x:c>
      <x:c r="E20" s="11" t="n">
        <x:v>-7.36</x:v>
      </x:c>
      <x:c r="F20" s="11" t="n">
        <x:f>SQRT((C20-C19)^2+(D20-D19)^2+(E20-E19)^2)</x:f>
        <x:v>2.8249999999999997</x:v>
      </x:c>
      <x:c r="G20" s="8" t="str">
        <x:v>Current</x:v>
      </x:c>
    </x:row>
    <x:row r="21" ht="32" customHeight="1">
      <x:c r="A21" s="8" t="str">
        <x:v>drop:LC1:E1:light:-1:L155</x:v>
      </x:c>
      <x:c r="B21" s="8" t="n">
        <x:v>1</x:v>
      </x:c>
      <x:c r="C21" s="11" t="n">
        <x:v>2.65</x:v>
      </x:c>
      <x:c r="D21" s="11" t="n">
        <x:v>6.504</x:v>
      </x:c>
      <x:c r="E21" s="11" t="n">
        <x:v>-7.36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drop:LC1:E1:light:-1:L155</x:v>
      </x:c>
      <x:c r="B22" s="8" t="n">
        <x:v>2</x:v>
      </x:c>
      <x:c r="C22" s="11" t="n">
        <x:v>2.35</x:v>
      </x:c>
      <x:c r="D22" s="11" t="n">
        <x:v>7.65</x:v>
      </x:c>
      <x:c r="E22" s="11" t="n">
        <x:v>-7.36</x:v>
      </x:c>
      <x:c r="F22" s="11" t="n">
        <x:f>SQRT((C22-C21)^2+(D22-D21)^2+(E22-E21)^2)</x:f>
        <x:v>1.1846163936059646</x:v>
      </x:c>
      <x:c r="G22" s="8" t="str">
        <x:v>Current</x:v>
      </x:c>
    </x:row>
    <x:row r="23" ht="32" customHeight="1">
      <x:c r="A23" s="8" t="str">
        <x:v>drop:LC1:E1:light:-1:L155</x:v>
      </x:c>
      <x:c r="B23" s="8" t="n">
        <x:v>3</x:v>
      </x:c>
      <x:c r="C23" s="11" t="n">
        <x:v>2.35</x:v>
      </x:c>
      <x:c r="D23" s="11" t="n">
        <x:v>7.65</x:v>
      </x:c>
      <x:c r="E23" s="11" t="n">
        <x:v>0</x:v>
      </x:c>
      <x:c r="F23" s="11" t="n">
        <x:f>SQRT((C23-C22)^2+(D23-D22)^2+(E23-E22)^2)</x:f>
        <x:v>7.36</x:v>
      </x:c>
      <x:c r="G23" s="8" t="str">
        <x:v>Current</x:v>
      </x:c>
    </x:row>
    <x:row r="24" ht="32" customHeight="1">
      <x:c r="A24" s="8" t="str">
        <x:v>drop:LC1:E1:light:-1:L155</x:v>
      </x:c>
      <x:c r="B24" s="8" t="n">
        <x:v>4</x:v>
      </x:c>
      <x:c r="C24" s="11" t="n">
        <x:v>2.35</x:v>
      </x:c>
      <x:c r="D24" s="11" t="n">
        <x:v>6.95</x:v>
      </x:c>
      <x:c r="E24" s="11" t="n">
        <x:v>0</x:v>
      </x:c>
      <x:c r="F24" s="11" t="n">
        <x:f>SQRT((C24-C23)^2+(D24-D23)^2+(E24-E23)^2)</x:f>
        <x:v>0.7000000000000002</x:v>
      </x:c>
      <x:c r="G24" s="8" t="str">
        <x:v>Current</x:v>
      </x:c>
    </x:row>
    <x:row r="25" ht="32" customHeight="1">
      <x:c r="A25" s="8" t="str">
        <x:v>drop:LC1:E1:light:-1:L155</x:v>
      </x:c>
      <x:c r="B25" s="8" t="n">
        <x:v>5</x:v>
      </x:c>
      <x:c r="C25" s="11" t="n">
        <x:v>2.65</x:v>
      </x:c>
      <x:c r="D25" s="11" t="n">
        <x:v>6.95</x:v>
      </x:c>
      <x:c r="E25" s="11" t="n">
        <x:v>0</x:v>
      </x:c>
      <x:c r="F25" s="11" t="n">
        <x:f>SQRT((C25-C24)^2+(D25-D24)^2+(E25-E24)^2)</x:f>
        <x:v>0.2999999999999998</x:v>
      </x:c>
      <x:c r="G25" s="8" t="str">
        <x:v>Current</x:v>
      </x:c>
    </x:row>
    <x:row r="26" ht="32" customHeight="1">
      <x:c r="A26" s="8" t="str">
        <x:v>drop:LC1:E1:light:-1:L156</x:v>
      </x:c>
      <x:c r="B26" s="8" t="n">
        <x:v>1</x:v>
      </x:c>
      <x:c r="C26" s="11" t="n">
        <x:v>16.725</x:v>
      </x:c>
      <x:c r="D26" s="11" t="n">
        <x:v>6.504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drop:LC1:E1:light:-1:L156</x:v>
      </x:c>
      <x:c r="B27" s="8" t="n">
        <x:v>2</x:v>
      </x:c>
      <x:c r="C27" s="11" t="n">
        <x:v>16.725</x:v>
      </x:c>
      <x:c r="D27" s="11" t="n">
        <x:v>4.6</x:v>
      </x:c>
      <x:c r="E27" s="11" t="n">
        <x:v>-7.36</x:v>
      </x:c>
      <x:c r="F27" s="11" t="n">
        <x:f>SQRT((C27-C26)^2+(D27-D26)^2+(E27-E26)^2)</x:f>
        <x:v>1.904</x:v>
      </x:c>
      <x:c r="G27" s="8" t="str">
        <x:v>Current</x:v>
      </x:c>
    </x:row>
    <x:row r="28" ht="32" customHeight="1">
      <x:c r="A28" s="8" t="str">
        <x:v>drop:LC1:E1:light:-1:L156</x:v>
      </x:c>
      <x:c r="B28" s="8" t="n">
        <x:v>3</x:v>
      </x:c>
      <x:c r="C28" s="11" t="n">
        <x:v>16.725</x:v>
      </x:c>
      <x:c r="D28" s="11" t="n">
        <x:v>4.6</x:v>
      </x:c>
      <x:c r="E28" s="11" t="n">
        <x:v>-7.245</x:v>
      </x:c>
      <x:c r="F28" s="11" t="n">
        <x:f>SQRT((C28-C27)^2+(D28-D27)^2+(E28-E27)^2)</x:f>
        <x:v>0.11500000000000021</x:v>
      </x:c>
      <x:c r="G28" s="8" t="str">
        <x:v>Current</x:v>
      </x:c>
    </x:row>
    <x:row r="29" ht="32" customHeight="1">
      <x:c r="A29" s="8" t="str">
        <x:v>drop:LC1:E1:light:-1:L158</x:v>
      </x:c>
      <x:c r="B29" s="8" t="n">
        <x:v>1</x:v>
      </x:c>
      <x:c r="C29" s="11" t="n">
        <x:v>34.725</x:v>
      </x:c>
      <x:c r="D29" s="11" t="n">
        <x:v>6.504</x:v>
      </x:c>
      <x:c r="E29" s="11" t="n">
        <x:v>-7.36</x:v>
      </x:c>
      <x:c r="F29" s="11" t="n">
        <x:f>0</x:f>
        <x:v>0</x:v>
      </x:c>
      <x:c r="G29" s="8" t="str">
        <x:v>Current</x:v>
      </x:c>
    </x:row>
    <x:row r="30" ht="32" customHeight="1">
      <x:c r="A30" s="8" t="str">
        <x:v>drop:LC1:E1:light:-1:L158</x:v>
      </x:c>
      <x:c r="B30" s="8" t="n">
        <x:v>2</x:v>
      </x:c>
      <x:c r="C30" s="11" t="n">
        <x:v>34.725</x:v>
      </x:c>
      <x:c r="D30" s="11" t="n">
        <x:v>4.6</x:v>
      </x:c>
      <x:c r="E30" s="11" t="n">
        <x:v>-7.36</x:v>
      </x:c>
      <x:c r="F30" s="11" t="n">
        <x:f>SQRT((C30-C29)^2+(D30-D29)^2+(E30-E29)^2)</x:f>
        <x:v>1.904</x:v>
      </x:c>
      <x:c r="G30" s="8" t="str">
        <x:v>Current</x:v>
      </x:c>
    </x:row>
    <x:row r="31" ht="32" customHeight="1">
      <x:c r="A31" s="8" t="str">
        <x:v>drop:LC1:E1:light:-1:L158</x:v>
      </x:c>
      <x:c r="B31" s="8" t="n">
        <x:v>3</x:v>
      </x:c>
      <x:c r="C31" s="11" t="n">
        <x:v>34.725</x:v>
      </x:c>
      <x:c r="D31" s="11" t="n">
        <x:v>4.6</x:v>
      </x:c>
      <x:c r="E31" s="11" t="n">
        <x:v>-7.245</x:v>
      </x:c>
      <x:c r="F31" s="11" t="n">
        <x:f>SQRT((C31-C30)^2+(D31-D30)^2+(E31-E30)^2)</x:f>
        <x:v>0.11500000000000021</x:v>
      </x:c>
      <x:c r="G31" s="8" t="str">
        <x:v>Current</x:v>
      </x:c>
    </x:row>
    <x:row r="32" ht="32" customHeight="1">
      <x:c r="A32" s="8" t="str">
        <x:v>trunk:LC1:E1:light:1</x:v>
      </x:c>
      <x:c r="B32" s="8" t="n">
        <x:v>1</x:v>
      </x:c>
      <x:c r="C32" s="11" t="n">
        <x:v>48.895</x:v>
      </x:c>
      <x:c r="D32" s="11" t="n">
        <x:v>1.85</x:v>
      </x:c>
      <x:c r="E32" s="11" t="n">
        <x:v>-0.55</x:v>
      </x:c>
      <x:c r="F32" s="11" t="n">
        <x:f>0</x:f>
        <x:v>0</x:v>
      </x:c>
      <x:c r="G32" s="8" t="str">
        <x:v>Current</x:v>
      </x:c>
    </x:row>
    <x:row r="33" ht="32" customHeight="1">
      <x:c r="A33" s="8" t="str">
        <x:v>trunk:LC1:E1:light:1</x:v>
      </x:c>
      <x:c r="B33" s="8" t="n">
        <x:v>2</x:v>
      </x:c>
      <x:c r="C33" s="11" t="n">
        <x:v>48.735</x:v>
      </x:c>
      <x:c r="D33" s="11" t="n">
        <x:v>1.85</x:v>
      </x:c>
      <x:c r="E33" s="11" t="n">
        <x:v>-0.55</x:v>
      </x:c>
      <x:c r="F33" s="11" t="n">
        <x:f>SQRT((C33-C32)^2+(D33-D32)^2+(E33-E32)^2)</x:f>
        <x:v>0.1600000000000037</x:v>
      </x:c>
      <x:c r="G33" s="8" t="str">
        <x:v>Current</x:v>
      </x:c>
    </x:row>
    <x:row r="34" ht="32" customHeight="1">
      <x:c r="A34" s="8" t="str">
        <x:v>trunk:LC1:E1:light:1</x:v>
      </x:c>
      <x:c r="B34" s="8" t="n">
        <x:v>3</x:v>
      </x:c>
      <x:c r="C34" s="11" t="n">
        <x:v>48.735</x:v>
      </x:c>
      <x:c r="D34" s="11" t="n">
        <x:v>1.85</x:v>
      </x:c>
      <x:c r="E34" s="11" t="n">
        <x:v>-2.24</x:v>
      </x:c>
      <x:c r="F34" s="11" t="n">
        <x:f>SQRT((C34-C33)^2+(D34-D33)^2+(E34-E33)^2)</x:f>
        <x:v>1.6900000000000002</x:v>
      </x:c>
      <x:c r="G34" s="8" t="str">
        <x:v>Current</x:v>
      </x:c>
    </x:row>
    <x:row r="35" ht="32" customHeight="1">
      <x:c r="A35" s="8" t="str">
        <x:v>trunk:LC1:E1:light:1</x:v>
      </x:c>
      <x:c r="B35" s="8" t="n">
        <x:v>4</x:v>
      </x:c>
      <x:c r="C35" s="11" t="n">
        <x:v>48.735</x:v>
      </x:c>
      <x:c r="D35" s="11" t="n">
        <x:v>4.02</x:v>
      </x:c>
      <x:c r="E35" s="11" t="n">
        <x:v>-2.24</x:v>
      </x:c>
      <x:c r="F35" s="11" t="n">
        <x:f>SQRT((C35-C34)^2+(D35-D34)^2+(E35-E34)^2)</x:f>
        <x:v>2.1699999999999995</x:v>
      </x:c>
      <x:c r="G35" s="8" t="str">
        <x:v>Current</x:v>
      </x:c>
    </x:row>
    <x:row r="36" ht="32" customHeight="1">
      <x:c r="A36" s="8" t="str">
        <x:v>trunk:LC1:E1:light:1</x:v>
      </x:c>
      <x:c r="B36" s="8" t="n">
        <x:v>5</x:v>
      </x:c>
      <x:c r="C36" s="11" t="n">
        <x:v>48.735</x:v>
      </x:c>
      <x:c r="D36" s="11" t="n">
        <x:v>4.02</x:v>
      </x:c>
      <x:c r="E36" s="11" t="n">
        <x:v>-3.6</x:v>
      </x:c>
      <x:c r="F36" s="11" t="n">
        <x:f>SQRT((C36-C35)^2+(D36-D35)^2+(E36-E35)^2)</x:f>
        <x:v>1.3599999999999999</x:v>
      </x:c>
      <x:c r="G36" s="8" t="str">
        <x:v>Current</x:v>
      </x:c>
    </x:row>
    <x:row r="37" ht="32" customHeight="1">
      <x:c r="A37" s="8" t="str">
        <x:v>trunk:LC1:E1:light:1</x:v>
      </x:c>
      <x:c r="B37" s="8" t="n">
        <x:v>6</x:v>
      </x:c>
      <x:c r="C37" s="11" t="n">
        <x:v>53.05</x:v>
      </x:c>
      <x:c r="D37" s="11" t="n">
        <x:v>4.02</x:v>
      </x:c>
      <x:c r="E37" s="11" t="n">
        <x:v>-3.6</x:v>
      </x:c>
      <x:c r="F37" s="11" t="n">
        <x:f>SQRT((C37-C36)^2+(D37-D36)^2+(E37-E36)^2)</x:f>
        <x:v>4.314999999999998</x:v>
      </x:c>
      <x:c r="G37" s="8" t="str">
        <x:v>Current</x:v>
      </x:c>
    </x:row>
    <x:row r="38" ht="32" customHeight="1">
      <x:c r="A38" s="8" t="str">
        <x:v>trunk:LC1:E1:light:1</x:v>
      </x:c>
      <x:c r="B38" s="8" t="n">
        <x:v>7</x:v>
      </x:c>
      <x:c r="C38" s="11" t="n">
        <x:v>53.05</x:v>
      </x:c>
      <x:c r="D38" s="11" t="n">
        <x:v>6.504</x:v>
      </x:c>
      <x:c r="E38" s="11" t="n">
        <x:v>-3.6</x:v>
      </x:c>
      <x:c r="F38" s="11" t="n">
        <x:f>SQRT((C38-C37)^2+(D38-D37)^2+(E38-E37)^2)</x:f>
        <x:v>2.484</x:v>
      </x:c>
      <x:c r="G38" s="8" t="str">
        <x:v>Current</x:v>
      </x:c>
    </x:row>
    <x:row r="39" ht="32" customHeight="1">
      <x:c r="A39" s="8" t="str">
        <x:v>trunk:LC1:E1:light:1</x:v>
      </x:c>
      <x:c r="B39" s="8" t="n">
        <x:v>8</x:v>
      </x:c>
      <x:c r="C39" s="11" t="n">
        <x:v>53.05</x:v>
      </x:c>
      <x:c r="D39" s="11" t="n">
        <x:v>6.504</x:v>
      </x:c>
      <x:c r="E39" s="11" t="n">
        <x:v>7.36</x:v>
      </x:c>
      <x:c r="F39" s="11" t="n">
        <x:f>SQRT((C39-C38)^2+(D39-D38)^2+(E39-E38)^2)</x:f>
        <x:v>10.96</x:v>
      </x:c>
      <x:c r="G39" s="8" t="str">
        <x:v>Current</x:v>
      </x:c>
    </x:row>
    <x:row r="40" ht="32" customHeight="1">
      <x:c r="A40" s="8" t="str">
        <x:v>trunk:LC1:E1:light:1</x:v>
      </x:c>
      <x:c r="B40" s="8" t="n">
        <x:v>9</x:v>
      </x:c>
      <x:c r="C40" s="11" t="n">
        <x:v>44.175</x:v>
      </x:c>
      <x:c r="D40" s="11" t="n">
        <x:v>6.504</x:v>
      </x:c>
      <x:c r="E40" s="11" t="n">
        <x:v>7.36</x:v>
      </x:c>
      <x:c r="F40" s="11" t="n">
        <x:f>SQRT((C40-C39)^2+(D40-D39)^2+(E40-E39)^2)</x:f>
        <x:v>8.875</x:v>
      </x:c>
      <x:c r="G40" s="8" t="str">
        <x:v>Current</x:v>
      </x:c>
    </x:row>
    <x:row r="41" ht="32" customHeight="1">
      <x:c r="A41" s="8" t="str">
        <x:v>trunk:LC1:E1:light:1</x:v>
      </x:c>
      <x:c r="B41" s="8" t="n">
        <x:v>10</x:v>
      </x:c>
      <x:c r="C41" s="11" t="n">
        <x:v>44.175</x:v>
      </x:c>
      <x:c r="D41" s="11" t="n">
        <x:v>6.504</x:v>
      </x:c>
      <x:c r="E41" s="11" t="n">
        <x:v>13.24</x:v>
      </x:c>
      <x:c r="F41" s="11" t="n">
        <x:f>SQRT((C41-C40)^2+(D41-D40)^2+(E41-E40)^2)</x:f>
        <x:v>5.88</x:v>
      </x:c>
      <x:c r="G41" s="8" t="str">
        <x:v>Current</x:v>
      </x:c>
    </x:row>
    <x:row r="42" ht="32" customHeight="1">
      <x:c r="A42" s="8" t="str">
        <x:v>trunk:LC1:E1:light:1</x:v>
      </x:c>
      <x:c r="B42" s="8" t="n">
        <x:v>11</x:v>
      </x:c>
      <x:c r="C42" s="11" t="n">
        <x:v>36.975</x:v>
      </x:c>
      <x:c r="D42" s="11" t="n">
        <x:v>6.504</x:v>
      </x:c>
      <x:c r="E42" s="11" t="n">
        <x:v>13.24</x:v>
      </x:c>
      <x:c r="F42" s="11" t="n">
        <x:f>SQRT((C42-C41)^2+(D42-D41)^2+(E42-E41)^2)</x:f>
        <x:v>7.199999999999996</x:v>
      </x:c>
      <x:c r="G42" s="8" t="str">
        <x:v>Current</x:v>
      </x:c>
    </x:row>
    <x:row r="43" ht="32" customHeight="1">
      <x:c r="A43" s="8" t="str">
        <x:v>trunk:LC1:E1:light:1</x:v>
      </x:c>
      <x:c r="B43" s="8" t="n">
        <x:v>12</x:v>
      </x:c>
      <x:c r="C43" s="11" t="n">
        <x:v>36.975</x:v>
      </x:c>
      <x:c r="D43" s="11" t="n">
        <x:v>6.504</x:v>
      </x:c>
      <x:c r="E43" s="11" t="n">
        <x:v>7.36</x:v>
      </x:c>
      <x:c r="F43" s="11" t="n">
        <x:f>SQRT((C43-C42)^2+(D43-D42)^2+(E43-E42)^2)</x:f>
        <x:v>5.88</x:v>
      </x:c>
      <x:c r="G43" s="8" t="str">
        <x:v>Current</x:v>
      </x:c>
    </x:row>
    <x:row r="44" ht="32" customHeight="1">
      <x:c r="A44" s="8" t="str">
        <x:v>trunk:LC1:E1:light:1</x:v>
      </x:c>
      <x:c r="B44" s="8" t="n">
        <x:v>13</x:v>
      </x:c>
      <x:c r="C44" s="11" t="n">
        <x:v>16.725</x:v>
      </x:c>
      <x:c r="D44" s="11" t="n">
        <x:v>6.504</x:v>
      </x:c>
      <x:c r="E44" s="11" t="n">
        <x:v>7.36</x:v>
      </x:c>
      <x:c r="F44" s="11" t="n">
        <x:f>SQRT((C44-C43)^2+(D44-D43)^2+(E44-E43)^2)</x:f>
        <x:v>20.25</x:v>
      </x:c>
      <x:c r="G44" s="8" t="str">
        <x:v>Current</x:v>
      </x:c>
    </x:row>
    <x:row r="45" ht="32" customHeight="1">
      <x:c r="A45" s="8" t="str">
        <x:v>drop:LC1:E1:light:1:L157</x:v>
      </x:c>
      <x:c r="B45" s="8" t="n">
        <x:v>1</x:v>
      </x:c>
      <x:c r="C45" s="11" t="n">
        <x:v>16.725</x:v>
      </x:c>
      <x:c r="D45" s="11" t="n">
        <x:v>6.504</x:v>
      </x:c>
      <x:c r="E45" s="11" t="n">
        <x:v>7.36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drop:LC1:E1:light:1:L157</x:v>
      </x:c>
      <x:c r="B46" s="8" t="n">
        <x:v>2</x:v>
      </x:c>
      <x:c r="C46" s="11" t="n">
        <x:v>16.725</x:v>
      </x:c>
      <x:c r="D46" s="11" t="n">
        <x:v>4.6</x:v>
      </x:c>
      <x:c r="E46" s="11" t="n">
        <x:v>7.36</x:v>
      </x:c>
      <x:c r="F46" s="11" t="n">
        <x:f>SQRT((C46-C45)^2+(D46-D45)^2+(E46-E45)^2)</x:f>
        <x:v>1.904</x:v>
      </x:c>
      <x:c r="G46" s="8" t="str">
        <x:v>Current</x:v>
      </x:c>
    </x:row>
    <x:row r="47" ht="32" customHeight="1">
      <x:c r="A47" s="8" t="str">
        <x:v>drop:LC1:E1:light:1:L157</x:v>
      </x:c>
      <x:c r="B47" s="8" t="n">
        <x:v>3</x:v>
      </x:c>
      <x:c r="C47" s="11" t="n">
        <x:v>16.725</x:v>
      </x:c>
      <x:c r="D47" s="11" t="n">
        <x:v>4.6</x:v>
      </x:c>
      <x:c r="E47" s="11" t="n">
        <x:v>7.245</x:v>
      </x:c>
      <x:c r="F47" s="11" t="n">
        <x:f>SQRT((C47-C46)^2+(D47-D46)^2+(E47-E46)^2)</x:f>
        <x:v>0.11500000000000021</x:v>
      </x:c>
      <x:c r="G47" s="8" t="str">
        <x:v>Current</x:v>
      </x:c>
    </x:row>
    <x:row r="48" ht="32" customHeight="1">
      <x:c r="A48" s="8" t="str">
        <x:v>drop:LC1:E1:light:1:L159</x:v>
      </x:c>
      <x:c r="B48" s="8" t="n">
        <x:v>1</x:v>
      </x:c>
      <x:c r="C48" s="11" t="n">
        <x:v>34.725</x:v>
      </x:c>
      <x:c r="D48" s="11" t="n">
        <x:v>6.504</x:v>
      </x:c>
      <x:c r="E48" s="11" t="n">
        <x:v>7.36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drop:LC1:E1:light:1:L159</x:v>
      </x:c>
      <x:c r="B49" s="8" t="n">
        <x:v>2</x:v>
      </x:c>
      <x:c r="C49" s="11" t="n">
        <x:v>34.725</x:v>
      </x:c>
      <x:c r="D49" s="11" t="n">
        <x:v>4.6</x:v>
      </x:c>
      <x:c r="E49" s="11" t="n">
        <x:v>7.36</x:v>
      </x:c>
      <x:c r="F49" s="11" t="n">
        <x:f>SQRT((C49-C48)^2+(D49-D48)^2+(E49-E48)^2)</x:f>
        <x:v>1.904</x:v>
      </x:c>
      <x:c r="G49" s="8" t="str">
        <x:v>Current</x:v>
      </x:c>
    </x:row>
    <x:row r="50" ht="32" customHeight="1">
      <x:c r="A50" s="8" t="str">
        <x:v>drop:LC1:E1:light:1:L159</x:v>
      </x:c>
      <x:c r="B50" s="8" t="n">
        <x:v>3</x:v>
      </x:c>
      <x:c r="C50" s="11" t="n">
        <x:v>34.725</x:v>
      </x:c>
      <x:c r="D50" s="11" t="n">
        <x:v>4.6</x:v>
      </x:c>
      <x:c r="E50" s="11" t="n">
        <x:v>7.245</x:v>
      </x:c>
      <x:c r="F50" s="11" t="n">
        <x:f>SQRT((C50-C49)^2+(D50-D49)^2+(E50-E49)^2)</x:f>
        <x:v>0.11500000000000021</x:v>
      </x:c>
      <x:c r="G50" s="8" t="str">
        <x:v>Current</x:v>
      </x:c>
    </x:row>
  </x:sheetData>
  <x:conditionalFormatting sqref="G7:G5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cd318873e8b45e8"/>
  </x:tableParts>
</x:worksheet>
</file>