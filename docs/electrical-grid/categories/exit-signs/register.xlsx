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5fcce8e2c042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fd5e0c22c503492a"/>
    <x:sheet xmlns:r="http://schemas.openxmlformats.org/officeDocument/2006/relationships" name="Equipment" sheetId="2" r:id="Rc0d210a507b042e0"/>
    <x:sheet xmlns:r="http://schemas.openxmlformats.org/officeDocument/2006/relationships" name="Electrical Lines" sheetId="3" r:id="Rc1fa4b7b2f674609"/>
    <x:sheet xmlns:r="http://schemas.openxmlformats.org/officeDocument/2006/relationships" name="Route Points" sheetId="4" r:id="Rc548fe34c5e544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1a4280d4ca4b3e" /><Relationship Type="http://schemas.openxmlformats.org/officeDocument/2006/relationships/theme" Target="/xl/theme/theme1.xml" Id="R934332643bac46bb" /><Relationship Type="http://schemas.openxmlformats.org/officeDocument/2006/relationships/sharedStrings" Target="/xl/sharedStrings.xml" Id="Re5d4bded43ac44a9" /><Relationship Type="http://schemas.openxmlformats.org/officeDocument/2006/relationships/worksheet" Target="/xl/worksheets/sheet1.xml" Id="Rfd5e0c22c503492a" /><Relationship Type="http://schemas.openxmlformats.org/officeDocument/2006/relationships/worksheet" Target="/xl/worksheets/sheet2.xml" Id="Rc0d210a507b042e0" /><Relationship Type="http://schemas.openxmlformats.org/officeDocument/2006/relationships/worksheet" Target="/xl/worksheets/sheet3.xml" Id="Rc1fa4b7b2f674609" /><Relationship Type="http://schemas.openxmlformats.org/officeDocument/2006/relationships/worksheet" Target="/xl/worksheets/sheet4.xml" Id="Rc548fe34c5e544cd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9c681d51c14a2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d8a2c0fc50d47f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20b1346adce40f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2026-10-17T21:33:54.811Z.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40c0fb48adb616822d2737a378024e64d46f211fcc43ca75ea298cd2570965f8</x:v>
      </x:c>
    </x:row>
    <x:row r="15" ht="44" customHeight="1">
      <x:c r="A15" s="20" t="str">
        <x:v>Source systems SHA-256</x:v>
      </x:c>
      <x:c r="B15" s="16" t="str">
        <x:v>e8507810679907dc3354f9387ce0b6d5f3b3e307d5939a52680f19a914a4cd86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89c681d51c14a2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Points'!$A$7:$A$114,A7,'Route Points'!$F$7:$F$114)</x:f>
        <x:v>68.67513031117919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Points'!$A$7:$A$114,A8,'Route Points'!$F$7:$F$114)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Points'!$A$7:$A$114,A9,'Route Points'!$F$7:$F$114)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Points'!$A$7:$A$114,A10,'Route Points'!$F$7:$F$114)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Points'!$A$7:$A$114,A11,'Route Points'!$F$7:$F$114)</x:f>
        <x:v>61.20013031117919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Points'!$A$7:$A$114,A12,'Route Points'!$F$7:$F$114)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Points'!$A$7:$A$114,A13,'Route Points'!$F$7:$F$114)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Points'!$A$7:$A$114,A14,'Route Points'!$F$7:$F$114)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Points'!$A$7:$A$114,A15,'Route Points'!$F$7:$F$114)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Points'!$A$7:$A$114,A16,'Route Points'!$F$7:$F$114)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Points'!$A$7:$A$114,A17,'Route Points'!$F$7:$F$114)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Points'!$A$7:$A$114,A18,'Route Points'!$F$7:$F$114)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Points'!$A$7:$A$114,A19,'Route Points'!$F$7:$F$114)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Points'!$A$7:$A$114,A20,'Route Points'!$F$7:$F$114)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8a2c0fc50d47f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drop:DB1:E1:light:-1:L156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drop:DB1:E1:light:-1:L156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drop:DB1:E1:light:-1:L158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drop:DB1:E1:light:-1:L158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drop:DB1:E1:light:-1:L158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trunk:DB1:E1:light:1</x:v>
      </x:c>
      <x:c r="B37" s="8" t="n">
        <x:v>1</x:v>
      </x:c>
      <x:c r="C37" s="11" t="n">
        <x:v>48.895</x:v>
      </x:c>
      <x:c r="D37" s="11" t="n">
        <x:v>1.75</x:v>
      </x:c>
      <x:c r="E37" s="11" t="n">
        <x:v>-1.55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trunk:DB1:E1:light:1</x:v>
      </x:c>
      <x:c r="B38" s="8" t="n">
        <x:v>2</x:v>
      </x:c>
      <x:c r="C38" s="11" t="n">
        <x:v>48.735</x:v>
      </x:c>
      <x:c r="D38" s="11" t="n">
        <x:v>1.75</x:v>
      </x:c>
      <x:c r="E38" s="11" t="n">
        <x:v>-1.55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trunk:DB1:E1:light:1</x:v>
      </x:c>
      <x:c r="B39" s="8" t="n">
        <x:v>3</x:v>
      </x:c>
      <x:c r="C39" s="11" t="n">
        <x:v>48.735</x:v>
      </x:c>
      <x:c r="D39" s="11" t="n">
        <x:v>1.75</x:v>
      </x:c>
      <x:c r="E39" s="11" t="n">
        <x:v>-2.24</x:v>
      </x:c>
      <x:c r="F39" s="11" t="n">
        <x:f>SQRT((C39-C38)^2+(D39-D38)^2+(E39-E38)^2)</x:f>
        <x:v>0.6900000000000002</x:v>
      </x:c>
      <x:c r="G39" s="8" t="str">
        <x:v>Current</x:v>
      </x:c>
    </x:row>
    <x:row r="40" ht="32" customHeight="1">
      <x:c r="A40" s="8" t="str">
        <x:v>trunk:DB1:E1:light:1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2.58</x:v>
      </x:c>
      <x:c r="G40" s="8" t="str">
        <x:v>Current</x:v>
      </x:c>
    </x:row>
    <x:row r="41" ht="32" customHeight="1">
      <x:c r="A41" s="8" t="str">
        <x:v>trunk:DB1:E1:light:1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trunk:DB1:E1:light:1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trunk:DB1:E1:light:1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trunk:DB1:E1:light:1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drop:DB1:E1:light:1:L157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drop:DB1:E1:light:1:L157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drop:DB1:E1:light:1:L157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drop:DB1:E1:light:1:L159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drop:DB1:E1:light:1:L159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drop:DB1:E1:light:1:L159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  <x:row r="61" ht="32" customHeight="1">
      <x:c r="A61" s="8" t="str">
        <x:v>trunk:LC1:E1:light:-1</x:v>
      </x:c>
      <x:c r="B61" s="8" t="n">
        <x:v>1</x:v>
      </x:c>
      <x:c r="C61" s="11" t="n">
        <x:v>48.895</x:v>
      </x:c>
      <x:c r="D61" s="11" t="n">
        <x:v>1.85</x:v>
      </x:c>
      <x:c r="E61" s="11" t="n">
        <x:v>-0.55</x:v>
      </x:c>
      <x:c r="F61" s="11" t="n">
        <x:f>0</x:f>
        <x:v>0</x:v>
      </x:c>
      <x:c r="G61" s="8" t="str">
        <x:v>Retired</x:v>
      </x:c>
    </x:row>
    <x:row r="62" ht="32" customHeight="1">
      <x:c r="A62" s="8" t="str">
        <x:v>trunk:LC1:E1:light:-1</x:v>
      </x:c>
      <x:c r="B62" s="8" t="n">
        <x:v>2</x:v>
      </x:c>
      <x:c r="C62" s="11" t="n">
        <x:v>48.735</x:v>
      </x:c>
      <x:c r="D62" s="11" t="n">
        <x:v>1.85</x:v>
      </x:c>
      <x:c r="E62" s="11" t="n">
        <x:v>-0.55</x:v>
      </x:c>
      <x:c r="F62" s="11" t="n">
        <x:f>SQRT((C62-C61)^2+(D62-D61)^2+(E62-E61)^2)</x:f>
        <x:v>0.1600000000000037</x:v>
      </x:c>
      <x:c r="G62" s="8" t="str">
        <x:v>Retired</x:v>
      </x:c>
    </x:row>
    <x:row r="63" ht="32" customHeight="1">
      <x:c r="A63" s="8" t="str">
        <x:v>trunk:LC1:E1:light:-1</x:v>
      </x:c>
      <x:c r="B63" s="8" t="n">
        <x:v>3</x:v>
      </x:c>
      <x:c r="C63" s="11" t="n">
        <x:v>48.735</x:v>
      </x:c>
      <x:c r="D63" s="11" t="n">
        <x:v>1.85</x:v>
      </x:c>
      <x:c r="E63" s="11" t="n">
        <x:v>-2.24</x:v>
      </x:c>
      <x:c r="F63" s="11" t="n">
        <x:f>SQRT((C63-C62)^2+(D63-D62)^2+(E63-E62)^2)</x:f>
        <x:v>1.6900000000000002</x:v>
      </x:c>
      <x:c r="G63" s="8" t="str">
        <x:v>Retired</x:v>
      </x:c>
    </x:row>
    <x:row r="64" ht="32" customHeight="1">
      <x:c r="A64" s="8" t="str">
        <x:v>trunk:LC1:E1:light:-1</x:v>
      </x:c>
      <x:c r="B64" s="8" t="n">
        <x:v>4</x:v>
      </x:c>
      <x:c r="C64" s="11" t="n">
        <x:v>48.735</x:v>
      </x:c>
      <x:c r="D64" s="11" t="n">
        <x:v>4.33</x:v>
      </x:c>
      <x:c r="E64" s="11" t="n">
        <x:v>-2.24</x:v>
      </x:c>
      <x:c r="F64" s="11" t="n">
        <x:f>SQRT((C64-C63)^2+(D64-D63)^2+(E64-E63)^2)</x:f>
        <x:v>2.48</x:v>
      </x:c>
      <x:c r="G64" s="8" t="str">
        <x:v>Retired</x:v>
      </x:c>
    </x:row>
    <x:row r="65" ht="32" customHeight="1">
      <x:c r="A65" s="8" t="str">
        <x:v>trunk:LC1:E1:light:-1</x:v>
      </x:c>
      <x:c r="B65" s="8" t="n">
        <x:v>5</x:v>
      </x:c>
      <x:c r="C65" s="11" t="n">
        <x:v>48.735</x:v>
      </x:c>
      <x:c r="D65" s="11" t="n">
        <x:v>4.33</x:v>
      </x:c>
      <x:c r="E65" s="11" t="n">
        <x:v>-3.3</x:v>
      </x:c>
      <x:c r="F65" s="11" t="n">
        <x:f>SQRT((C65-C64)^2+(D65-D64)^2+(E65-E64)^2)</x:f>
        <x:v>1.0599999999999996</x:v>
      </x:c>
      <x:c r="G65" s="8" t="str">
        <x:v>Retired</x:v>
      </x:c>
    </x:row>
    <x:row r="66" ht="32" customHeight="1">
      <x:c r="A66" s="8" t="str">
        <x:v>trunk:LC1:E1:light:-1</x:v>
      </x:c>
      <x:c r="B66" s="8" t="n">
        <x:v>6</x:v>
      </x:c>
      <x:c r="C66" s="11" t="n">
        <x:v>53.016</x:v>
      </x:c>
      <x:c r="D66" s="11" t="n">
        <x:v>4.33</x:v>
      </x:c>
      <x:c r="E66" s="11" t="n">
        <x:v>-3.3</x:v>
      </x:c>
      <x:c r="F66" s="11" t="n">
        <x:f>SQRT((C66-C65)^2+(D66-D65)^2+(E66-E65)^2)</x:f>
        <x:v>4.280999999999999</x:v>
      </x:c>
      <x:c r="G66" s="8" t="str">
        <x:v>Retired</x:v>
      </x:c>
    </x:row>
    <x:row r="67" ht="32" customHeight="1">
      <x:c r="A67" s="8" t="str">
        <x:v>trunk:LC1:E1:light:-1</x:v>
      </x:c>
      <x:c r="B67" s="8" t="n">
        <x:v>7</x:v>
      </x:c>
      <x:c r="C67" s="11" t="n">
        <x:v>53.016</x:v>
      </x:c>
      <x:c r="D67" s="11" t="n">
        <x:v>5.988</x:v>
      </x:c>
      <x:c r="E67" s="11" t="n">
        <x:v>-3.3</x:v>
      </x:c>
      <x:c r="F67" s="11" t="n">
        <x:f>SQRT((C67-C66)^2+(D67-D66)^2+(E67-E66)^2)</x:f>
        <x:v>1.6580000000000004</x:v>
      </x:c>
      <x:c r="G67" s="8" t="str">
        <x:v>Retired</x:v>
      </x:c>
    </x:row>
    <x:row r="68" ht="32" customHeight="1">
      <x:c r="A68" s="8" t="str">
        <x:v>trunk:LC1:E1:light:-1</x:v>
      </x:c>
      <x:c r="B68" s="8" t="n">
        <x:v>8</x:v>
      </x:c>
      <x:c r="C68" s="11" t="n">
        <x:v>53.016</x:v>
      </x:c>
      <x:c r="D68" s="11" t="n">
        <x:v>5.988</x:v>
      </x:c>
      <x:c r="E68" s="11" t="n">
        <x:v>-7.36</x:v>
      </x:c>
      <x:c r="F68" s="11" t="n">
        <x:f>SQRT((C68-C67)^2+(D68-D67)^2+(E68-E67)^2)</x:f>
        <x:v>4.0600000000000005</x:v>
      </x:c>
      <x:c r="G68" s="8" t="str">
        <x:v>Retired</x:v>
      </x:c>
    </x:row>
    <x:row r="69" ht="32" customHeight="1">
      <x:c r="A69" s="8" t="str">
        <x:v>trunk:LC1:E1:light:-1</x:v>
      </x:c>
      <x:c r="B69" s="8" t="n">
        <x:v>9</x:v>
      </x:c>
      <x:c r="C69" s="11" t="n">
        <x:v>44.175</x:v>
      </x:c>
      <x:c r="D69" s="11" t="n">
        <x:v>5.988</x:v>
      </x:c>
      <x:c r="E69" s="11" t="n">
        <x:v>-7.36</x:v>
      </x:c>
      <x:c r="F69" s="11" t="n">
        <x:f>SQRT((C69-C68)^2+(D69-D68)^2+(E69-E68)^2)</x:f>
        <x:v>8.841000000000001</x:v>
      </x:c>
      <x:c r="G69" s="8" t="str">
        <x:v>Retired</x:v>
      </x:c>
    </x:row>
    <x:row r="70" ht="32" customHeight="1">
      <x:c r="A70" s="8" t="str">
        <x:v>trunk:LC1:E1:light:-1</x:v>
      </x:c>
      <x:c r="B70" s="8" t="n">
        <x:v>10</x:v>
      </x:c>
      <x:c r="C70" s="11" t="n">
        <x:v>44.175</x:v>
      </x:c>
      <x:c r="D70" s="11" t="n">
        <x:v>7.04</x:v>
      </x:c>
      <x:c r="E70" s="11" t="n">
        <x:v>-7.36</x:v>
      </x:c>
      <x:c r="F70" s="11" t="n">
        <x:f>SQRT((C70-C69)^2+(D70-D69)^2+(E70-E69)^2)</x:f>
        <x:v>1.0519999999999996</x:v>
      </x:c>
      <x:c r="G70" s="8" t="str">
        <x:v>Retired</x:v>
      </x:c>
    </x:row>
    <x:row r="71" ht="32" customHeight="1">
      <x:c r="A71" s="8" t="str">
        <x:v>trunk:LC1:E1:light:-1</x:v>
      </x:c>
      <x:c r="B71" s="8" t="n">
        <x:v>11</x:v>
      </x:c>
      <x:c r="C71" s="11" t="n">
        <x:v>43.535</x:v>
      </x:c>
      <x:c r="D71" s="11" t="n">
        <x:v>7.04</x:v>
      </x:c>
      <x:c r="E71" s="11" t="n">
        <x:v>-7.36</x:v>
      </x:c>
      <x:c r="F71" s="11" t="n">
        <x:f>SQRT((C71-C70)^2+(D71-D70)^2+(E71-E70)^2)</x:f>
        <x:v>0.6400000000000006</x:v>
      </x:c>
      <x:c r="G71" s="8" t="str">
        <x:v>Retired</x:v>
      </x:c>
    </x:row>
    <x:row r="72" ht="32" customHeight="1">
      <x:c r="A72" s="8" t="str">
        <x:v>trunk:LC1:E1:light:-1</x:v>
      </x:c>
      <x:c r="B72" s="8" t="n">
        <x:v>12</x:v>
      </x:c>
      <x:c r="C72" s="11" t="n">
        <x:v>43.455</x:v>
      </x:c>
      <x:c r="D72" s="11" t="n">
        <x:v>6.950412371134024</x:v>
      </x:c>
      <x:c r="E72" s="11" t="n">
        <x:v>-7.36</x:v>
      </x:c>
      <x:c r="F72" s="11" t="n">
        <x:f>SQRT((C72-C71)^2+(D72-D71)^2+(E72-E71)^2)</x:f>
        <x:v>0.12010804821421249</x:v>
      </x:c>
      <x:c r="G72" s="8" t="str">
        <x:v>Retired</x:v>
      </x:c>
    </x:row>
    <x:row r="73" ht="32" customHeight="1">
      <x:c r="A73" s="8" t="str">
        <x:v>trunk:LC1:E1:light:-1</x:v>
      </x:c>
      <x:c r="B73" s="8" t="n">
        <x:v>13</x:v>
      </x:c>
      <x:c r="C73" s="11" t="n">
        <x:v>40.574999999999996</x:v>
      </x:c>
      <x:c r="D73" s="11" t="n">
        <x:v>9.269999999999994</x:v>
      </x:c>
      <x:c r="E73" s="11" t="n">
        <x:v>-7.36</x:v>
      </x:c>
      <x:c r="F73" s="11" t="n">
        <x:f>SQRT((C73-C72)^2+(D73-D72)^2+(E73-E72)^2)</x:f>
        <x:v>3.6979571073753776</x:v>
      </x:c>
      <x:c r="G73" s="8" t="str">
        <x:v>Retired</x:v>
      </x:c>
    </x:row>
    <x:row r="74" ht="32" customHeight="1">
      <x:c r="A74" s="8" t="str">
        <x:v>trunk:LC1:E1:light:-1</x:v>
      </x:c>
      <x:c r="B74" s="8" t="n">
        <x:v>14</x:v>
      </x:c>
      <x:c r="C74" s="11" t="n">
        <x:v>37.695</x:v>
      </x:c>
      <x:c r="D74" s="11" t="n">
        <x:v>6.950412371134018</x:v>
      </x:c>
      <x:c r="E74" s="11" t="n">
        <x:v>-7.36</x:v>
      </x:c>
      <x:c r="F74" s="11" t="n">
        <x:f>SQRT((C74-C73)^2+(D74-D73)^2+(E74-E73)^2)</x:f>
        <x:v>3.697957107375376</x:v>
      </x:c>
      <x:c r="G74" s="8" t="str">
        <x:v>Retired</x:v>
      </x:c>
    </x:row>
    <x:row r="75" ht="32" customHeight="1">
      <x:c r="A75" s="8" t="str">
        <x:v>trunk:LC1:E1:light:-1</x:v>
      </x:c>
      <x:c r="B75" s="8" t="n">
        <x:v>15</x:v>
      </x:c>
      <x:c r="C75" s="11" t="n">
        <x:v>37.615</x:v>
      </x:c>
      <x:c r="D75" s="11" t="n">
        <x:v>7.04</x:v>
      </x:c>
      <x:c r="E75" s="11" t="n">
        <x:v>-7.36</x:v>
      </x:c>
      <x:c r="F75" s="11" t="n">
        <x:f>SQRT((C75-C74)^2+(D75-D74)^2+(E75-E74)^2)</x:f>
        <x:v>0.12010804821421713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16</x:v>
      </x:c>
      <x:c r="C76" s="11" t="n">
        <x:v>36.975</x:v>
      </x:c>
      <x:c r="D76" s="11" t="n">
        <x:v>7.04</x:v>
      </x:c>
      <x:c r="E76" s="11" t="n">
        <x:v>-7.36</x:v>
      </x:c>
      <x:c r="F76" s="11" t="n">
        <x:f>SQRT((C76-C75)^2+(D76-D75)^2+(E76-E75)^2)</x:f>
        <x:v>0.6400000000000006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17</x:v>
      </x:c>
      <x:c r="C77" s="11" t="n">
        <x:v>36.975</x:v>
      </x:c>
      <x:c r="D77" s="11" t="n">
        <x:v>5.988</x:v>
      </x:c>
      <x:c r="E77" s="11" t="n">
        <x:v>-7.36</x:v>
      </x:c>
      <x:c r="F77" s="11" t="n">
        <x:f>SQRT((C77-C76)^2+(D77-D76)^2+(E77-E76)^2)</x:f>
        <x:v>1.0519999999999996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18</x:v>
      </x:c>
      <x:c r="C78" s="11" t="n">
        <x:v>5.475</x:v>
      </x:c>
      <x:c r="D78" s="11" t="n">
        <x:v>5.988</x:v>
      </x:c>
      <x:c r="E78" s="11" t="n">
        <x:v>-7.36</x:v>
      </x:c>
      <x:c r="F78" s="11" t="n">
        <x:f>SQRT((C78-C77)^2+(D78-D77)^2+(E78-E77)^2)</x:f>
        <x:v>31.5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19</x:v>
      </x:c>
      <x:c r="C79" s="11" t="n">
        <x:v>2.65</x:v>
      </x:c>
      <x:c r="D79" s="11" t="n">
        <x:v>5.988</x:v>
      </x:c>
      <x:c r="E79" s="11" t="n">
        <x:v>-7.36</x:v>
      </x:c>
      <x:c r="F79" s="11" t="n">
        <x:f>SQRT((C79-C78)^2+(D79-D78)^2+(E79-E78)^2)</x:f>
        <x:v>2.8249999999999997</x:v>
      </x:c>
      <x:c r="G79" s="8" t="str">
        <x:v>Retired</x:v>
      </x:c>
    </x:row>
    <x:row r="80" ht="32" customHeight="1">
      <x:c r="A80" s="8" t="str">
        <x:v>drop:LC1:E1:light:-1:L155</x:v>
      </x:c>
      <x:c r="B80" s="8" t="n">
        <x:v>1</x:v>
      </x:c>
      <x:c r="C80" s="11" t="n">
        <x:v>2.65</x:v>
      </x:c>
      <x:c r="D80" s="11" t="n">
        <x:v>5.988</x:v>
      </x:c>
      <x:c r="E80" s="11" t="n">
        <x:v>-7.36</x:v>
      </x:c>
      <x:c r="F80" s="11" t="n">
        <x:f>0</x:f>
        <x:v>0</x:v>
      </x:c>
      <x:c r="G80" s="8" t="str">
        <x:v>Retired</x:v>
      </x:c>
    </x:row>
    <x:row r="81" ht="32" customHeight="1">
      <x:c r="A81" s="8" t="str">
        <x:v>drop:LC1:E1:light:-1:L155</x:v>
      </x:c>
      <x:c r="B81" s="8" t="n">
        <x:v>2</x:v>
      </x:c>
      <x:c r="C81" s="11" t="n">
        <x:v>2.35</x:v>
      </x:c>
      <x:c r="D81" s="11" t="n">
        <x:v>7.65</x:v>
      </x:c>
      <x:c r="E81" s="11" t="n">
        <x:v>-7.36</x:v>
      </x:c>
      <x:c r="F81" s="11" t="n">
        <x:f>SQRT((C81-C80)^2+(D81-D80)^2+(E81-E80)^2)</x:f>
        <x:v>1.6888587862814344</x:v>
      </x:c>
      <x:c r="G81" s="8" t="str">
        <x:v>Retired</x:v>
      </x:c>
    </x:row>
    <x:row r="82" ht="32" customHeight="1">
      <x:c r="A82" s="8" t="str">
        <x:v>drop:LC1:E1:light:-1:L155</x:v>
      </x:c>
      <x:c r="B82" s="8" t="n">
        <x:v>3</x:v>
      </x:c>
      <x:c r="C82" s="11" t="n">
        <x:v>2.35</x:v>
      </x:c>
      <x:c r="D82" s="11" t="n">
        <x:v>7.65</x:v>
      </x:c>
      <x:c r="E82" s="11" t="n">
        <x:v>0</x:v>
      </x:c>
      <x:c r="F82" s="11" t="n">
        <x:f>SQRT((C82-C81)^2+(D82-D81)^2+(E82-E81)^2)</x:f>
        <x:v>7.36</x:v>
      </x:c>
      <x:c r="G82" s="8" t="str">
        <x:v>Retired</x:v>
      </x:c>
    </x:row>
    <x:row r="83" ht="32" customHeight="1">
      <x:c r="A83" s="8" t="str">
        <x:v>drop:LC1:E1:light:-1:L155</x:v>
      </x:c>
      <x:c r="B83" s="8" t="n">
        <x:v>4</x:v>
      </x:c>
      <x:c r="C83" s="11" t="n">
        <x:v>2.35</x:v>
      </x:c>
      <x:c r="D83" s="11" t="n">
        <x:v>6.95</x:v>
      </x:c>
      <x:c r="E83" s="11" t="n">
        <x:v>0</x:v>
      </x:c>
      <x:c r="F83" s="11" t="n">
        <x:f>SQRT((C83-C82)^2+(D83-D82)^2+(E83-E82)^2)</x:f>
        <x:v>0.7000000000000002</x:v>
      </x:c>
      <x:c r="G83" s="8" t="str">
        <x:v>Retired</x:v>
      </x:c>
    </x:row>
    <x:row r="84" ht="32" customHeight="1">
      <x:c r="A84" s="8" t="str">
        <x:v>drop:LC1:E1:light:-1:L155</x:v>
      </x:c>
      <x:c r="B84" s="8" t="n">
        <x:v>5</x:v>
      </x:c>
      <x:c r="C84" s="11" t="n">
        <x:v>2.65</x:v>
      </x:c>
      <x:c r="D84" s="11" t="n">
        <x:v>6.95</x:v>
      </x:c>
      <x:c r="E84" s="11" t="n">
        <x:v>0</x:v>
      </x:c>
      <x:c r="F84" s="11" t="n">
        <x:f>SQRT((C84-C83)^2+(D84-D83)^2+(E84-E83)^2)</x:f>
        <x:v>0.2999999999999998</x:v>
      </x:c>
      <x:c r="G84" s="8" t="str">
        <x:v>Retired</x:v>
      </x:c>
    </x:row>
    <x:row r="85" ht="32" customHeight="1">
      <x:c r="A85" s="8" t="str">
        <x:v>drop:LC1:E1:light:-1:L156</x:v>
      </x:c>
      <x:c r="B85" s="8" t="n">
        <x:v>1</x:v>
      </x:c>
      <x:c r="C85" s="11" t="n">
        <x:v>16.725</x:v>
      </x:c>
      <x:c r="D85" s="11" t="n">
        <x:v>5.988</x:v>
      </x:c>
      <x:c r="E85" s="11" t="n">
        <x:v>-7.36</x:v>
      </x:c>
      <x:c r="F85" s="11" t="n">
        <x:f>0</x:f>
        <x:v>0</x:v>
      </x:c>
      <x:c r="G85" s="8" t="str">
        <x:v>Retired</x:v>
      </x:c>
    </x:row>
    <x:row r="86" ht="32" customHeight="1">
      <x:c r="A86" s="8" t="str">
        <x:v>drop:LC1:E1:light:-1:L156</x:v>
      </x:c>
      <x:c r="B86" s="8" t="n">
        <x:v>2</x:v>
      </x:c>
      <x:c r="C86" s="11" t="n">
        <x:v>16.725</x:v>
      </x:c>
      <x:c r="D86" s="11" t="n">
        <x:v>4.6</x:v>
      </x:c>
      <x:c r="E86" s="11" t="n">
        <x:v>-7.36</x:v>
      </x:c>
      <x:c r="F86" s="11" t="n">
        <x:f>SQRT((C86-C85)^2+(D86-D85)^2+(E86-E85)^2)</x:f>
        <x:v>1.3880000000000008</x:v>
      </x:c>
      <x:c r="G86" s="8" t="str">
        <x:v>Retired</x:v>
      </x:c>
    </x:row>
    <x:row r="87" ht="32" customHeight="1">
      <x:c r="A87" s="8" t="str">
        <x:v>drop:LC1:E1:light:-1:L156</x:v>
      </x:c>
      <x:c r="B87" s="8" t="n">
        <x:v>3</x:v>
      </x:c>
      <x:c r="C87" s="11" t="n">
        <x:v>16.725</x:v>
      </x:c>
      <x:c r="D87" s="11" t="n">
        <x:v>4.6</x:v>
      </x:c>
      <x:c r="E87" s="11" t="n">
        <x:v>-7.245</x:v>
      </x:c>
      <x:c r="F87" s="11" t="n">
        <x:f>SQRT((C87-C86)^2+(D87-D86)^2+(E87-E86)^2)</x:f>
        <x:v>0.11500000000000021</x:v>
      </x:c>
      <x:c r="G87" s="8" t="str">
        <x:v>Retired</x:v>
      </x:c>
    </x:row>
    <x:row r="88" ht="32" customHeight="1">
      <x:c r="A88" s="8" t="str">
        <x:v>drop:LC1:E1:light:-1:L158</x:v>
      </x:c>
      <x:c r="B88" s="8" t="n">
        <x:v>1</x:v>
      </x:c>
      <x:c r="C88" s="11" t="n">
        <x:v>34.725</x:v>
      </x:c>
      <x:c r="D88" s="11" t="n">
        <x:v>5.988</x:v>
      </x:c>
      <x:c r="E88" s="11" t="n">
        <x:v>-7.36</x:v>
      </x:c>
      <x:c r="F88" s="11" t="n">
        <x:f>0</x:f>
        <x:v>0</x:v>
      </x:c>
      <x:c r="G88" s="8" t="str">
        <x:v>Retired</x:v>
      </x:c>
    </x:row>
    <x:row r="89" ht="32" customHeight="1">
      <x:c r="A89" s="8" t="str">
        <x:v>drop:LC1:E1:light:-1:L158</x:v>
      </x:c>
      <x:c r="B89" s="8" t="n">
        <x:v>2</x:v>
      </x:c>
      <x:c r="C89" s="11" t="n">
        <x:v>34.725</x:v>
      </x:c>
      <x:c r="D89" s="11" t="n">
        <x:v>4.6</x:v>
      </x:c>
      <x:c r="E89" s="11" t="n">
        <x:v>-7.36</x:v>
      </x:c>
      <x:c r="F89" s="11" t="n">
        <x:f>SQRT((C89-C88)^2+(D89-D88)^2+(E89-E88)^2)</x:f>
        <x:v>1.3880000000000008</x:v>
      </x:c>
      <x:c r="G89" s="8" t="str">
        <x:v>Retired</x:v>
      </x:c>
    </x:row>
    <x:row r="90" ht="32" customHeight="1">
      <x:c r="A90" s="8" t="str">
        <x:v>drop:LC1:E1:light:-1:L158</x:v>
      </x:c>
      <x:c r="B90" s="8" t="n">
        <x:v>3</x:v>
      </x:c>
      <x:c r="C90" s="11" t="n">
        <x:v>34.725</x:v>
      </x:c>
      <x:c r="D90" s="11" t="n">
        <x:v>4.6</x:v>
      </x:c>
      <x:c r="E90" s="11" t="n">
        <x:v>-7.245</x:v>
      </x:c>
      <x:c r="F90" s="11" t="n">
        <x:f>SQRT((C90-C89)^2+(D90-D89)^2+(E90-E89)^2)</x:f>
        <x:v>0.11500000000000021</x:v>
      </x:c>
      <x:c r="G90" s="8" t="str">
        <x:v>Retired</x:v>
      </x:c>
    </x:row>
    <x:row r="91" ht="32" customHeight="1">
      <x:c r="A91" s="8" t="str">
        <x:v>trunk:LC1:E1:light:1</x:v>
      </x:c>
      <x:c r="B91" s="8" t="n">
        <x:v>1</x:v>
      </x:c>
      <x:c r="C91" s="11" t="n">
        <x:v>48.895</x:v>
      </x:c>
      <x:c r="D91" s="11" t="n">
        <x:v>1.85</x:v>
      </x:c>
      <x:c r="E91" s="11" t="n">
        <x:v>-0.55</x:v>
      </x:c>
      <x:c r="F91" s="11" t="n">
        <x:f>0</x:f>
        <x:v>0</x:v>
      </x:c>
      <x:c r="G91" s="8" t="str">
        <x:v>Retired</x:v>
      </x:c>
    </x:row>
    <x:row r="92" ht="32" customHeight="1">
      <x:c r="A92" s="8" t="str">
        <x:v>trunk:LC1:E1:light:1</x:v>
      </x:c>
      <x:c r="B92" s="8" t="n">
        <x:v>2</x:v>
      </x:c>
      <x:c r="C92" s="11" t="n">
        <x:v>48.735</x:v>
      </x:c>
      <x:c r="D92" s="11" t="n">
        <x:v>1.85</x:v>
      </x:c>
      <x:c r="E92" s="11" t="n">
        <x:v>-0.55</x:v>
      </x:c>
      <x:c r="F92" s="11" t="n">
        <x:f>SQRT((C92-C91)^2+(D92-D91)^2+(E92-E91)^2)</x:f>
        <x:v>0.1600000000000037</x:v>
      </x:c>
      <x:c r="G92" s="8" t="str">
        <x:v>Retired</x:v>
      </x:c>
    </x:row>
    <x:row r="93" ht="32" customHeight="1">
      <x:c r="A93" s="8" t="str">
        <x:v>trunk:LC1:E1:light:1</x:v>
      </x:c>
      <x:c r="B93" s="8" t="n">
        <x:v>3</x:v>
      </x:c>
      <x:c r="C93" s="11" t="n">
        <x:v>48.735</x:v>
      </x:c>
      <x:c r="D93" s="11" t="n">
        <x:v>1.85</x:v>
      </x:c>
      <x:c r="E93" s="11" t="n">
        <x:v>-2.24</x:v>
      </x:c>
      <x:c r="F93" s="11" t="n">
        <x:f>SQRT((C93-C92)^2+(D93-D92)^2+(E93-E92)^2)</x:f>
        <x:v>1.6900000000000002</x:v>
      </x:c>
      <x:c r="G93" s="8" t="str">
        <x:v>Retired</x:v>
      </x:c>
    </x:row>
    <x:row r="94" ht="32" customHeight="1">
      <x:c r="A94" s="8" t="str">
        <x:v>trunk:LC1:E1:light:1</x:v>
      </x:c>
      <x:c r="B94" s="8" t="n">
        <x:v>4</x:v>
      </x:c>
      <x:c r="C94" s="11" t="n">
        <x:v>48.735</x:v>
      </x:c>
      <x:c r="D94" s="11" t="n">
        <x:v>4.33</x:v>
      </x:c>
      <x:c r="E94" s="11" t="n">
        <x:v>-2.24</x:v>
      </x:c>
      <x:c r="F94" s="11" t="n">
        <x:f>SQRT((C94-C93)^2+(D94-D93)^2+(E94-E93)^2)</x:f>
        <x:v>2.48</x:v>
      </x:c>
      <x:c r="G94" s="8" t="str">
        <x:v>Retired</x:v>
      </x:c>
    </x:row>
    <x:row r="95" ht="32" customHeight="1">
      <x:c r="A95" s="8" t="str">
        <x:v>trunk:LC1:E1:light:1</x:v>
      </x:c>
      <x:c r="B95" s="8" t="n">
        <x:v>5</x:v>
      </x:c>
      <x:c r="C95" s="11" t="n">
        <x:v>48.735</x:v>
      </x:c>
      <x:c r="D95" s="11" t="n">
        <x:v>4.33</x:v>
      </x:c>
      <x:c r="E95" s="11" t="n">
        <x:v>-3.3</x:v>
      </x:c>
      <x:c r="F95" s="11" t="n">
        <x:f>SQRT((C95-C94)^2+(D95-D94)^2+(E95-E94)^2)</x:f>
        <x:v>1.0599999999999996</x:v>
      </x:c>
      <x:c r="G95" s="8" t="str">
        <x:v>Retired</x:v>
      </x:c>
    </x:row>
    <x:row r="96" ht="32" customHeight="1">
      <x:c r="A96" s="8" t="str">
        <x:v>trunk:LC1:E1:light:1</x:v>
      </x:c>
      <x:c r="B96" s="8" t="n">
        <x:v>6</x:v>
      </x:c>
      <x:c r="C96" s="11" t="n">
        <x:v>53.016</x:v>
      </x:c>
      <x:c r="D96" s="11" t="n">
        <x:v>4.33</x:v>
      </x:c>
      <x:c r="E96" s="11" t="n">
        <x:v>-3.3</x:v>
      </x:c>
      <x:c r="F96" s="11" t="n">
        <x:f>SQRT((C96-C95)^2+(D96-D95)^2+(E96-E95)^2)</x:f>
        <x:v>4.280999999999999</x:v>
      </x:c>
      <x:c r="G96" s="8" t="str">
        <x:v>Retired</x:v>
      </x:c>
    </x:row>
    <x:row r="97" ht="32" customHeight="1">
      <x:c r="A97" s="8" t="str">
        <x:v>trunk:LC1:E1:light:1</x:v>
      </x:c>
      <x:c r="B97" s="8" t="n">
        <x:v>7</x:v>
      </x:c>
      <x:c r="C97" s="11" t="n">
        <x:v>53.016</x:v>
      </x:c>
      <x:c r="D97" s="11" t="n">
        <x:v>5.988</x:v>
      </x:c>
      <x:c r="E97" s="11" t="n">
        <x:v>-3.3</x:v>
      </x:c>
      <x:c r="F97" s="11" t="n">
        <x:f>SQRT((C97-C96)^2+(D97-D96)^2+(E97-E96)^2)</x:f>
        <x:v>1.6580000000000004</x:v>
      </x:c>
      <x:c r="G97" s="8" t="str">
        <x:v>Retired</x:v>
      </x:c>
    </x:row>
    <x:row r="98" ht="32" customHeight="1">
      <x:c r="A98" s="8" t="str">
        <x:v>trunk:LC1:E1:light:1</x:v>
      </x:c>
      <x:c r="B98" s="8" t="n">
        <x:v>8</x:v>
      </x:c>
      <x:c r="C98" s="11" t="n">
        <x:v>53.016</x:v>
      </x:c>
      <x:c r="D98" s="11" t="n">
        <x:v>5.988</x:v>
      </x:c>
      <x:c r="E98" s="11" t="n">
        <x:v>7.36</x:v>
      </x:c>
      <x:c r="F98" s="11" t="n">
        <x:f>SQRT((C98-C97)^2+(D98-D97)^2+(E98-E97)^2)</x:f>
        <x:v>10.66</x:v>
      </x:c>
      <x:c r="G98" s="8" t="str">
        <x:v>Retired</x:v>
      </x:c>
    </x:row>
    <x:row r="99" ht="32" customHeight="1">
      <x:c r="A99" s="8" t="str">
        <x:v>trunk:LC1:E1:light:1</x:v>
      </x:c>
      <x:c r="B99" s="8" t="n">
        <x:v>9</x:v>
      </x:c>
      <x:c r="C99" s="11" t="n">
        <x:v>44.175</x:v>
      </x:c>
      <x:c r="D99" s="11" t="n">
        <x:v>5.988</x:v>
      </x:c>
      <x:c r="E99" s="11" t="n">
        <x:v>7.36</x:v>
      </x:c>
      <x:c r="F99" s="11" t="n">
        <x:f>SQRT((C99-C98)^2+(D99-D98)^2+(E99-E98)^2)</x:f>
        <x:v>8.841000000000001</x:v>
      </x:c>
      <x:c r="G99" s="8" t="str">
        <x:v>Retired</x:v>
      </x:c>
    </x:row>
    <x:row r="100" ht="32" customHeight="1">
      <x:c r="A100" s="8" t="str">
        <x:v>trunk:LC1:E1:light:1</x:v>
      </x:c>
      <x:c r="B100" s="8" t="n">
        <x:v>10</x:v>
      </x:c>
      <x:c r="C100" s="11" t="n">
        <x:v>44.175</x:v>
      </x:c>
      <x:c r="D100" s="11" t="n">
        <x:v>7.04</x:v>
      </x:c>
      <x:c r="E100" s="11" t="n">
        <x:v>7.36</x:v>
      </x:c>
      <x:c r="F100" s="11" t="n">
        <x:f>SQRT((C100-C99)^2+(D100-D99)^2+(E100-E99)^2)</x:f>
        <x:v>1.0519999999999996</x:v>
      </x:c>
      <x:c r="G100" s="8" t="str">
        <x:v>Retired</x:v>
      </x:c>
    </x:row>
    <x:row r="101" ht="32" customHeight="1">
      <x:c r="A101" s="8" t="str">
        <x:v>trunk:LC1:E1:light:1</x:v>
      </x:c>
      <x:c r="B101" s="8" t="n">
        <x:v>11</x:v>
      </x:c>
      <x:c r="C101" s="11" t="n">
        <x:v>43.535</x:v>
      </x:c>
      <x:c r="D101" s="11" t="n">
        <x:v>7.04</x:v>
      </x:c>
      <x:c r="E101" s="11" t="n">
        <x:v>7.36</x:v>
      </x:c>
      <x:c r="F101" s="11" t="n">
        <x:f>SQRT((C101-C100)^2+(D101-D100)^2+(E101-E100)^2)</x:f>
        <x:v>0.6400000000000006</x:v>
      </x:c>
      <x:c r="G101" s="8" t="str">
        <x:v>Retired</x:v>
      </x:c>
    </x:row>
    <x:row r="102" ht="32" customHeight="1">
      <x:c r="A102" s="8" t="str">
        <x:v>trunk:LC1:E1:light:1</x:v>
      </x:c>
      <x:c r="B102" s="8" t="n">
        <x:v>12</x:v>
      </x:c>
      <x:c r="C102" s="11" t="n">
        <x:v>43.455</x:v>
      </x:c>
      <x:c r="D102" s="11" t="n">
        <x:v>6.950412371134024</x:v>
      </x:c>
      <x:c r="E102" s="11" t="n">
        <x:v>7.36</x:v>
      </x:c>
      <x:c r="F102" s="11" t="n">
        <x:f>SQRT((C102-C101)^2+(D102-D101)^2+(E102-E101)^2)</x:f>
        <x:v>0.12010804821421249</x:v>
      </x:c>
      <x:c r="G102" s="8" t="str">
        <x:v>Retired</x:v>
      </x:c>
    </x:row>
    <x:row r="103" ht="32" customHeight="1">
      <x:c r="A103" s="8" t="str">
        <x:v>trunk:LC1:E1:light:1</x:v>
      </x:c>
      <x:c r="B103" s="8" t="n">
        <x:v>13</x:v>
      </x:c>
      <x:c r="C103" s="11" t="n">
        <x:v>40.574999999999996</x:v>
      </x:c>
      <x:c r="D103" s="11" t="n">
        <x:v>9.269999999999994</x:v>
      </x:c>
      <x:c r="E103" s="11" t="n">
        <x:v>7.36</x:v>
      </x:c>
      <x:c r="F103" s="11" t="n">
        <x:f>SQRT((C103-C102)^2+(D103-D102)^2+(E103-E102)^2)</x:f>
        <x:v>3.6979571073753776</x:v>
      </x:c>
      <x:c r="G103" s="8" t="str">
        <x:v>Retired</x:v>
      </x:c>
    </x:row>
    <x:row r="104" ht="32" customHeight="1">
      <x:c r="A104" s="8" t="str">
        <x:v>trunk:LC1:E1:light:1</x:v>
      </x:c>
      <x:c r="B104" s="8" t="n">
        <x:v>14</x:v>
      </x:c>
      <x:c r="C104" s="11" t="n">
        <x:v>37.695</x:v>
      </x:c>
      <x:c r="D104" s="11" t="n">
        <x:v>6.950412371134018</x:v>
      </x:c>
      <x:c r="E104" s="11" t="n">
        <x:v>7.36</x:v>
      </x:c>
      <x:c r="F104" s="11" t="n">
        <x:f>SQRT((C104-C103)^2+(D104-D103)^2+(E104-E103)^2)</x:f>
        <x:v>3.697957107375376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15</x:v>
      </x:c>
      <x:c r="C105" s="11" t="n">
        <x:v>37.615</x:v>
      </x:c>
      <x:c r="D105" s="11" t="n">
        <x:v>7.04</x:v>
      </x:c>
      <x:c r="E105" s="11" t="n">
        <x:v>7.36</x:v>
      </x:c>
      <x:c r="F105" s="11" t="n">
        <x:f>SQRT((C105-C104)^2+(D105-D104)^2+(E105-E104)^2)</x:f>
        <x:v>0.12010804821421713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16</x:v>
      </x:c>
      <x:c r="C106" s="11" t="n">
        <x:v>36.975</x:v>
      </x:c>
      <x:c r="D106" s="11" t="n">
        <x:v>7.04</x:v>
      </x:c>
      <x:c r="E106" s="11" t="n">
        <x:v>7.36</x:v>
      </x:c>
      <x:c r="F106" s="11" t="n">
        <x:f>SQRT((C106-C105)^2+(D106-D105)^2+(E106-E105)^2)</x:f>
        <x:v>0.6400000000000006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17</x:v>
      </x:c>
      <x:c r="C107" s="11" t="n">
        <x:v>36.975</x:v>
      </x:c>
      <x:c r="D107" s="11" t="n">
        <x:v>5.988</x:v>
      </x:c>
      <x:c r="E107" s="11" t="n">
        <x:v>7.36</x:v>
      </x:c>
      <x:c r="F107" s="11" t="n">
        <x:f>SQRT((C107-C106)^2+(D107-D106)^2+(E107-E106)^2)</x:f>
        <x:v>1.0519999999999996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18</x:v>
      </x:c>
      <x:c r="C108" s="11" t="n">
        <x:v>16.725</x:v>
      </x:c>
      <x:c r="D108" s="11" t="n">
        <x:v>5.988</x:v>
      </x:c>
      <x:c r="E108" s="11" t="n">
        <x:v>7.36</x:v>
      </x:c>
      <x:c r="F108" s="11" t="n">
        <x:f>SQRT((C108-C107)^2+(D108-D107)^2+(E108-E107)^2)</x:f>
        <x:v>20.25</x:v>
      </x:c>
      <x:c r="G108" s="8" t="str">
        <x:v>Retired</x:v>
      </x:c>
    </x:row>
    <x:row r="109" ht="32" customHeight="1">
      <x:c r="A109" s="8" t="str">
        <x:v>drop:LC1:E1:light:1:L157</x:v>
      </x:c>
      <x:c r="B109" s="8" t="n">
        <x:v>1</x:v>
      </x:c>
      <x:c r="C109" s="11" t="n">
        <x:v>16.725</x:v>
      </x:c>
      <x:c r="D109" s="11" t="n">
        <x:v>5.988</x:v>
      </x:c>
      <x:c r="E109" s="11" t="n">
        <x:v>7.36</x:v>
      </x:c>
      <x:c r="F109" s="11" t="n">
        <x:f>0</x:f>
        <x:v>0</x:v>
      </x:c>
      <x:c r="G109" s="8" t="str">
        <x:v>Retired</x:v>
      </x:c>
    </x:row>
    <x:row r="110" ht="32" customHeight="1">
      <x:c r="A110" s="8" t="str">
        <x:v>drop:LC1:E1:light:1:L157</x:v>
      </x:c>
      <x:c r="B110" s="8" t="n">
        <x:v>2</x:v>
      </x:c>
      <x:c r="C110" s="11" t="n">
        <x:v>16.725</x:v>
      </x:c>
      <x:c r="D110" s="11" t="n">
        <x:v>4.6</x:v>
      </x:c>
      <x:c r="E110" s="11" t="n">
        <x:v>7.36</x:v>
      </x:c>
      <x:c r="F110" s="11" t="n">
        <x:f>SQRT((C110-C109)^2+(D110-D109)^2+(E110-E109)^2)</x:f>
        <x:v>1.3880000000000008</x:v>
      </x:c>
      <x:c r="G110" s="8" t="str">
        <x:v>Retired</x:v>
      </x:c>
    </x:row>
    <x:row r="111" ht="32" customHeight="1">
      <x:c r="A111" s="8" t="str">
        <x:v>drop:LC1:E1:light:1:L157</x:v>
      </x:c>
      <x:c r="B111" s="8" t="n">
        <x:v>3</x:v>
      </x:c>
      <x:c r="C111" s="11" t="n">
        <x:v>16.725</x:v>
      </x:c>
      <x:c r="D111" s="11" t="n">
        <x:v>4.6</x:v>
      </x:c>
      <x:c r="E111" s="11" t="n">
        <x:v>7.245</x:v>
      </x:c>
      <x:c r="F111" s="11" t="n">
        <x:f>SQRT((C111-C110)^2+(D111-D110)^2+(E111-E110)^2)</x:f>
        <x:v>0.11500000000000021</x:v>
      </x:c>
      <x:c r="G111" s="8" t="str">
        <x:v>Retired</x:v>
      </x:c>
    </x:row>
    <x:row r="112" ht="32" customHeight="1">
      <x:c r="A112" s="8" t="str">
        <x:v>drop:LC1:E1:light:1:L159</x:v>
      </x:c>
      <x:c r="B112" s="8" t="n">
        <x:v>1</x:v>
      </x:c>
      <x:c r="C112" s="11" t="n">
        <x:v>34.725</x:v>
      </x:c>
      <x:c r="D112" s="11" t="n">
        <x:v>5.988</x:v>
      </x:c>
      <x:c r="E112" s="11" t="n">
        <x:v>7.36</x:v>
      </x:c>
      <x:c r="F112" s="11" t="n">
        <x:f>0</x:f>
        <x:v>0</x:v>
      </x:c>
      <x:c r="G112" s="8" t="str">
        <x:v>Retired</x:v>
      </x:c>
    </x:row>
    <x:row r="113" ht="32" customHeight="1">
      <x:c r="A113" s="8" t="str">
        <x:v>drop:LC1:E1:light:1:L159</x:v>
      </x:c>
      <x:c r="B113" s="8" t="n">
        <x:v>2</x:v>
      </x:c>
      <x:c r="C113" s="11" t="n">
        <x:v>34.725</x:v>
      </x:c>
      <x:c r="D113" s="11" t="n">
        <x:v>4.6</x:v>
      </x:c>
      <x:c r="E113" s="11" t="n">
        <x:v>7.36</x:v>
      </x:c>
      <x:c r="F113" s="11" t="n">
        <x:f>SQRT((C113-C112)^2+(D113-D112)^2+(E113-E112)^2)</x:f>
        <x:v>1.3880000000000008</x:v>
      </x:c>
      <x:c r="G113" s="8" t="str">
        <x:v>Retired</x:v>
      </x:c>
    </x:row>
    <x:row r="114" ht="32" customHeight="1">
      <x:c r="A114" s="8" t="str">
        <x:v>drop:LC1:E1:light:1:L159</x:v>
      </x:c>
      <x:c r="B114" s="8" t="n">
        <x:v>3</x:v>
      </x:c>
      <x:c r="C114" s="11" t="n">
        <x:v>34.725</x:v>
      </x:c>
      <x:c r="D114" s="11" t="n">
        <x:v>4.6</x:v>
      </x:c>
      <x:c r="E114" s="11" t="n">
        <x:v>7.245</x:v>
      </x:c>
      <x:c r="F114" s="11" t="n">
        <x:f>SQRT((C114-C113)^2+(D114-D113)^2+(E114-E113)^2)</x:f>
        <x:v>0.11500000000000021</x:v>
      </x:c>
      <x:c r="G114" s="8" t="str">
        <x:v>Retired</x:v>
      </x:c>
    </x:row>
  </x:sheetData>
  <x:conditionalFormatting sqref="G7:G11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220b1346adce40fa"/>
  </x:tableParts>
</x:worksheet>
</file>