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996d49a8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72e3d77cb104030"/>
    <x:sheet xmlns:r="http://schemas.openxmlformats.org/officeDocument/2006/relationships" name="Equipment" sheetId="2" r:id="R7e0089e333dd4520"/>
    <x:sheet xmlns:r="http://schemas.openxmlformats.org/officeDocument/2006/relationships" name="Electrical Lines" sheetId="3" r:id="Rbf6b8268c23d4c19"/>
    <x:sheet xmlns:r="http://schemas.openxmlformats.org/officeDocument/2006/relationships" name="Route Points" sheetId="4" r:id="R2ec25f3dd60b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9369e4a954152" /><Relationship Type="http://schemas.openxmlformats.org/officeDocument/2006/relationships/theme" Target="/xl/theme/theme1.xml" Id="Rcd78409278d5443d" /><Relationship Type="http://schemas.openxmlformats.org/officeDocument/2006/relationships/sharedStrings" Target="/xl/sharedStrings.xml" Id="R39bef8d28a034c39" /><Relationship Type="http://schemas.openxmlformats.org/officeDocument/2006/relationships/worksheet" Target="/xl/worksheets/sheet1.xml" Id="R972e3d77cb104030" /><Relationship Type="http://schemas.openxmlformats.org/officeDocument/2006/relationships/worksheet" Target="/xl/worksheets/sheet2.xml" Id="R7e0089e333dd4520" /><Relationship Type="http://schemas.openxmlformats.org/officeDocument/2006/relationships/worksheet" Target="/xl/worksheets/sheet3.xml" Id="Rbf6b8268c23d4c19" /><Relationship Type="http://schemas.openxmlformats.org/officeDocument/2006/relationships/worksheet" Target="/xl/worksheets/sheet4.xml" Id="R2ec25f3dd60b4661" /></Relationships>
</file>

<file path=xl/tables/table1.xml><?xml version="1.0" encoding="utf-8"?>
<x:table xmlns:x="http://schemas.openxmlformats.org/spreadsheetml/2006/main" id="1" name="EquipmentRegister" displayName="EquipmentRegister" ref="A6:AC333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335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1910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35716e4ea3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10f9f463b34a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d1cc42f68844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Thạch Bi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34" customHeight="1">
      <x:c r="A4" s="20" t="str">
        <x:v>Baseline</x:v>
      </x:c>
      <x:c r="B4" s="16" t="str">
        <x:v>Recommended design reviewed 7 October 2026. All simulator items, hidden alternatives and five enclosures are included.</x:v>
      </x:c>
    </x:row>
    <x:row r="5" ht="34" customHeight="1">
      <x:c r="A5" s="20" t="str">
        <x:v>Current equipment</x:v>
      </x:c>
      <x:c r="B5" s="16" t="n">
        <x:f>COUNTIFS(Equipment!$AA$7:$AA$333,"Current")</x:f>
        <x:v>327</x:v>
      </x:c>
    </x:row>
    <x:row r="6" ht="34" customHeight="1">
      <x:c r="A6" s="20" t="str">
        <x:v>Current routes</x:v>
      </x:c>
      <x:c r="B6" s="16" t="n">
        <x:f>COUNTIFS('Electrical Lines'!$Y$7:$Y$335,"Current")</x:f>
        <x:v>329</x:v>
      </x:c>
    </x:row>
    <x:row r="7" ht="34" customHeight="1">
      <x:c r="A7" s="20" t="str">
        <x:v>Retired equipment / routes</x:v>
      </x:c>
      <x:c r="B7" s="16" t="n">
        <x:f>COUNTIFS(Equipment!$AA$7:$AA$333,"Retired")+COUNTIFS('Electrical Lines'!$Y$7:$Y$335,"Retired")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ec066f78b134a4ab41e86b94133226ce6f6438520682c580b116eb56ed715fc9</x:v>
      </x:c>
    </x:row>
    <x:row r="15" ht="44" customHeight="1">
      <x:c r="A15" s="20" t="str">
        <x:v>Source systems SHA-256</x:v>
      </x:c>
      <x:c r="B15" s="16" t="str">
        <x:v>99ba5edfb5f5ec7966456e3ad66285380fe1c91036b9f85ff7846b14c7fd32f2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3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34" customHeight="1">
      <x:c r="A20" s="20" t="str">
        <x:v>Refresh</x:v>
      </x:c>
      <x:c r="B20" s="16" t="str">
        <x:v>See docs/electrical-grid/register.md. Refresh keeps engineering-input columns by ID and retains missing records as Retired. Never reassign an old ID.</x:v>
      </x:c>
    </x:row>
    <x:row r="21" ht="3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34" customHeight="1">
      <x:c r="A22" s="20" t="str">
        <x:v>Scope</x:v>
      </x:c>
      <x:c r="B22" s="16" t="str">
        <x:v>Equipment covers all simulator-managed items and board/control enclosures. Architectural members and fixed building fabric remain in the drawing/model specifications.</x:v>
      </x:c>
    </x:row>
    <x:row r="23" ht="3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Thạch Bi equipment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L1</x:v>
      </x:c>
      <x:c r="B7" s="8" t="str">
        <x:v>Service-room ceiling panel · 50.0 m</x:v>
      </x:c>
      <x:c r="C7" s="8" t="str">
        <x:v>light</x:v>
      </x:c>
      <x:c r="D7" s="8" t="str">
        <x:v>DB1</x:v>
      </x:c>
      <x:c r="E7" s="8" t="str">
        <x:v>L3</x:v>
      </x:c>
      <x:c r="F7" s="11" t="n">
        <x:v>50</x:v>
      </x:c>
      <x:c r="G7" s="11" t="n">
        <x:v>4.14</x:v>
      </x:c>
      <x:c r="H7" s="11" t="n">
        <x:v>0</x:v>
      </x:c>
      <x:c r="I7" s="8" t="str">
        <x:v>pendant</x:v>
      </x:c>
      <x:c r="J7" s="8" t="str">
        <x:v>Shown</x:v>
      </x:c>
      <x:c r="K7" s="8" t="str">
        <x:v>On</x:v>
      </x:c>
      <x:c r="L7" s="8" t="str">
        <x:v>600 × 33 × 600</x:v>
      </x:c>
      <x:c r="M7" s="8" t="str">
        <x:v>3000 lm · 4000 K</x:v>
      </x:c>
      <x:c r="N7" s="11" t="n">
        <x:v>30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local:L1</x:v>
      </x:c>
      <x:c r="AC7" s="8" t="str">
        <x:v>{"dim":1,"anchorY":4.15,"note":"Retains the existing ceiling-panel geometry; product light/output values are provisional."}</x:v>
      </x:c>
    </x:row>
    <x:row r="8" ht="96" customHeight="1">
      <x:c r="A8" s="8" t="str">
        <x:v>L2</x:v>
      </x:c>
      <x:c r="B8" s="8" t="str">
        <x:v>Service-room ceiling panel · 51.9 m</x:v>
      </x:c>
      <x:c r="C8" s="8" t="str">
        <x:v>light</x:v>
      </x:c>
      <x:c r="D8" s="8" t="str">
        <x:v>DB1</x:v>
      </x:c>
      <x:c r="E8" s="8" t="str">
        <x:v>L3</x:v>
      </x:c>
      <x:c r="F8" s="11" t="n">
        <x:v>51.9</x:v>
      </x:c>
      <x:c r="G8" s="11" t="n">
        <x:v>4.14</x:v>
      </x:c>
      <x:c r="H8" s="11" t="n">
        <x:v>0</x:v>
      </x:c>
      <x:c r="I8" s="8" t="str">
        <x:v>pendant</x:v>
      </x:c>
      <x:c r="J8" s="8" t="str">
        <x:v>Shown</x:v>
      </x:c>
      <x:c r="K8" s="8" t="str">
        <x:v>On</x:v>
      </x:c>
      <x:c r="L8" s="8" t="str">
        <x:v>600 × 33 × 600</x:v>
      </x:c>
      <x:c r="M8" s="8" t="str">
        <x:v>3000 lm · 4000 K</x:v>
      </x:c>
      <x:c r="N8" s="11" t="n">
        <x:v>30</x:v>
      </x:c>
      <x:c r="O8" s="11" t="n">
        <x:v>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local:L2</x:v>
      </x:c>
      <x:c r="AC8" s="8" t="str">
        <x:v>{"dim":1,"anchorY":4.15,"note":"Retains the existing ceiling-panel geometry; product light/output values are provisional."}</x:v>
      </x:c>
    </x:row>
    <x:row r="9" ht="96" customHeight="1">
      <x:c r="A9" s="8" t="str">
        <x:v>L3</x:v>
      </x:c>
      <x:c r="B9" s="8" t="str">
        <x:v>Reading light · axis 3 · B central</x:v>
      </x:c>
      <x:c r="C9" s="8" t="str">
        <x:v>light</x:v>
      </x:c>
      <x:c r="D9" s="8" t="str">
        <x:v>DB1</x:v>
      </x:c>
      <x:c r="E9" s="8" t="str">
        <x:v>L1</x:v>
      </x:c>
      <x:c r="F9" s="11" t="n">
        <x:v>9.975</x:v>
      </x:c>
      <x:c r="G9" s="11" t="n">
        <x:v>8.584999999999999</x:v>
      </x:c>
      <x:c r="H9" s="11" t="n">
        <x:v>-2.6</x:v>
      </x:c>
      <x:c r="I9" s="8" t="str">
        <x:v>pendant</x:v>
      </x:c>
      <x:c r="J9" s="8" t="str">
        <x:v>Shown</x:v>
      </x:c>
      <x:c r="K9" s="8" t="str">
        <x:v>On</x:v>
      </x:c>
      <x:c r="L9" s="8" t="str">
        <x:v>330 × 222 × 240</x:v>
      </x:c>
      <x:c r="M9" s="8" t="str">
        <x:v>2300 lm · 3000 K · 28° beam</x:v>
      </x:c>
      <x:c r="N9" s="11" t="n">
        <x:v>19.166666666666668</x:v>
      </x:c>
      <x:c r="O9" s="11" t="n">
        <x:v>0</x:v>
      </x:c>
      <x:c r="P9" s="11" t="n">
        <x:v>-81.9949284968973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drop:LC1:L1:light:-1:L3</x:v>
      </x:c>
      <x:c r="AC9" s="8" t="str">
        <x:v>{"lumens":2300,"dim":1,"anchorY":10.394880434782609}</x:v>
      </x:c>
    </x:row>
    <x:row r="10" ht="96" customHeight="1">
      <x:c r="A10" s="8" t="str">
        <x:v>L4</x:v>
      </x:c>
      <x:c r="B10" s="8" t="str">
        <x:v>Reading light · axis 3 · B central · twin</x:v>
      </x:c>
      <x:c r="C10" s="8" t="str">
        <x:v>light</x:v>
      </x:c>
      <x:c r="D10" s="8" t="str">
        <x:v>DB1</x:v>
      </x:c>
      <x:c r="E10" s="8" t="str">
        <x:v>L1</x:v>
      </x:c>
      <x:c r="F10" s="11" t="n">
        <x:v>9.975</x:v>
      </x:c>
      <x:c r="G10" s="11" t="n">
        <x:v>8.584999999999999</x:v>
      </x:c>
      <x:c r="H10" s="11" t="n">
        <x:v>-2.6</x:v>
      </x:c>
      <x:c r="I10" s="8" t="str">
        <x:v>pendant</x:v>
      </x:c>
      <x:c r="J10" s="8" t="str">
        <x:v>Shown</x:v>
      </x:c>
      <x:c r="K10" s="8" t="str">
        <x:v>On</x:v>
      </x:c>
      <x:c r="L10" s="8" t="str">
        <x:v>330 × 222 × 240</x:v>
      </x:c>
      <x:c r="M10" s="8" t="str">
        <x:v>2300 lm · 3000 K · 28° beam</x:v>
      </x:c>
      <x:c r="N10" s="11" t="n">
        <x:v>19.166666666666668</x:v>
      </x:c>
      <x:c r="O10" s="11" t="n">
        <x:v>180</x:v>
      </x:c>
      <x:c r="P10" s="11" t="n">
        <x:v>-81.9949284968973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drop:LC1:L1:light:-1:L4</x:v>
      </x:c>
      <x:c r="AC10" s="8" t="str">
        <x:v>{"lumens":2300,"dim":1,"anchorY":8.59}</x:v>
      </x:c>
    </x:row>
    <x:row r="11" ht="96" customHeight="1">
      <x:c r="A11" s="8" t="str">
        <x:v>L5</x:v>
      </x:c>
      <x:c r="B11" s="8" t="str">
        <x:v>Reading light · axis 3 · H central</x:v>
      </x:c>
      <x:c r="C11" s="8" t="str">
        <x:v>light</x:v>
      </x:c>
      <x:c r="D11" s="8" t="str">
        <x:v>DB1</x:v>
      </x:c>
      <x:c r="E11" s="8" t="str">
        <x:v>L1</x:v>
      </x:c>
      <x:c r="F11" s="11" t="n">
        <x:v>9.975</x:v>
      </x:c>
      <x:c r="G11" s="11" t="n">
        <x:v>8.584999999999999</x:v>
      </x:c>
      <x:c r="H11" s="11" t="n">
        <x:v>2.6</x:v>
      </x:c>
      <x:c r="I11" s="8" t="str">
        <x:v>pendant</x:v>
      </x:c>
      <x:c r="J11" s="8" t="str">
        <x:v>Shown</x:v>
      </x:c>
      <x:c r="K11" s="8" t="str">
        <x:v>On</x:v>
      </x:c>
      <x:c r="L11" s="8" t="str">
        <x:v>330 × 222 × 240</x:v>
      </x:c>
      <x:c r="M11" s="8" t="str">
        <x:v>2300 lm · 3000 K · 28° beam</x:v>
      </x:c>
      <x:c r="N11" s="11" t="n">
        <x:v>19.166666666666668</x:v>
      </x:c>
      <x:c r="O11" s="11" t="n">
        <x:v>0</x:v>
      </x:c>
      <x:c r="P11" s="11" t="n">
        <x:v>-81.9949284968973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drop:LC1:L1:light:1:L5</x:v>
      </x:c>
      <x:c r="AC11" s="8" t="str">
        <x:v>{"lumens":2300,"dim":1,"anchorY":8.59}</x:v>
      </x:c>
    </x:row>
    <x:row r="12" ht="96" customHeight="1">
      <x:c r="A12" s="8" t="str">
        <x:v>L6</x:v>
      </x:c>
      <x:c r="B12" s="8" t="str">
        <x:v>Reading light · axis 3 · H central · twin</x:v>
      </x:c>
      <x:c r="C12" s="8" t="str">
        <x:v>light</x:v>
      </x:c>
      <x:c r="D12" s="8" t="str">
        <x:v>DB1</x:v>
      </x:c>
      <x:c r="E12" s="8" t="str">
        <x:v>L1</x:v>
      </x:c>
      <x:c r="F12" s="11" t="n">
        <x:v>9.975</x:v>
      </x:c>
      <x:c r="G12" s="11" t="n">
        <x:v>8.584999999999999</x:v>
      </x:c>
      <x:c r="H12" s="11" t="n">
        <x:v>2.6</x:v>
      </x:c>
      <x:c r="I12" s="8" t="str">
        <x:v>pendant</x:v>
      </x:c>
      <x:c r="J12" s="8" t="str">
        <x:v>Shown</x:v>
      </x:c>
      <x:c r="K12" s="8" t="str">
        <x:v>On</x:v>
      </x:c>
      <x:c r="L12" s="8" t="str">
        <x:v>330 × 222 × 240</x:v>
      </x:c>
      <x:c r="M12" s="8" t="str">
        <x:v>2300 lm · 3000 K · 28° beam</x:v>
      </x:c>
      <x:c r="N12" s="11" t="n">
        <x:v>19.166666666666668</x:v>
      </x:c>
      <x:c r="O12" s="11" t="n">
        <x:v>180</x:v>
      </x:c>
      <x:c r="P12" s="11" t="n">
        <x:v>-81.9949284968973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drop:LC1:L1:light:1:L6</x:v>
      </x:c>
      <x:c r="AC12" s="8" t="str">
        <x:v>{"lumens":2300,"dim":1,"anchorY":8.59}</x:v>
      </x:c>
    </x:row>
    <x:row r="13" ht="96" customHeight="1">
      <x:c r="A13" s="8" t="str">
        <x:v>L7</x:v>
      </x:c>
      <x:c r="B13" s="8" t="str">
        <x:v>Reading light · axis 4 · B central</x:v>
      </x:c>
      <x:c r="C13" s="8" t="str">
        <x:v>light</x:v>
      </x:c>
      <x:c r="D13" s="8" t="str">
        <x:v>DB1</x:v>
      </x:c>
      <x:c r="E13" s="8" t="str">
        <x:v>L1</x:v>
      </x:c>
      <x:c r="F13" s="11" t="n">
        <x:v>14.475</x:v>
      </x:c>
      <x:c r="G13" s="11" t="n">
        <x:v>8.584999999999999</x:v>
      </x:c>
      <x:c r="H13" s="11" t="n">
        <x:v>-2.6</x:v>
      </x:c>
      <x:c r="I13" s="8" t="str">
        <x:v>pendant</x:v>
      </x:c>
      <x:c r="J13" s="8" t="str">
        <x:v>Shown</x:v>
      </x:c>
      <x:c r="K13" s="8" t="str">
        <x:v>On</x:v>
      </x:c>
      <x:c r="L13" s="8" t="str">
        <x:v>330 × 222 × 240</x:v>
      </x:c>
      <x:c r="M13" s="8" t="str">
        <x:v>2300 lm · 3000 K · 28° beam</x:v>
      </x:c>
      <x:c r="N13" s="11" t="n">
        <x:v>19.166666666666668</x:v>
      </x:c>
      <x:c r="O13" s="11" t="n">
        <x:v>0</x:v>
      </x:c>
      <x:c r="P13" s="11" t="n">
        <x:v>-81.9949284968973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drop:LC1:L1:light:-1:L7</x:v>
      </x:c>
      <x:c r="AC13" s="8" t="str">
        <x:v>{"lumens":2300,"dim":1,"anchorY":8.59}</x:v>
      </x:c>
    </x:row>
    <x:row r="14" ht="96" customHeight="1">
      <x:c r="A14" s="8" t="str">
        <x:v>L8</x:v>
      </x:c>
      <x:c r="B14" s="8" t="str">
        <x:v>Reading light · axis 4 · B central · twin</x:v>
      </x:c>
      <x:c r="C14" s="8" t="str">
        <x:v>light</x:v>
      </x:c>
      <x:c r="D14" s="8" t="str">
        <x:v>DB1</x:v>
      </x:c>
      <x:c r="E14" s="8" t="str">
        <x:v>L1</x:v>
      </x:c>
      <x:c r="F14" s="11" t="n">
        <x:v>14.475</x:v>
      </x:c>
      <x:c r="G14" s="11" t="n">
        <x:v>8.584999999999999</x:v>
      </x:c>
      <x:c r="H14" s="11" t="n">
        <x:v>-2.6</x:v>
      </x:c>
      <x:c r="I14" s="8" t="str">
        <x:v>pendant</x:v>
      </x:c>
      <x:c r="J14" s="8" t="str">
        <x:v>Shown</x:v>
      </x:c>
      <x:c r="K14" s="8" t="str">
        <x:v>On</x:v>
      </x:c>
      <x:c r="L14" s="8" t="str">
        <x:v>330 × 222 × 240</x:v>
      </x:c>
      <x:c r="M14" s="8" t="str">
        <x:v>2300 lm · 3000 K · 28° beam</x:v>
      </x:c>
      <x:c r="N14" s="11" t="n">
        <x:v>19.166666666666668</x:v>
      </x:c>
      <x:c r="O14" s="11" t="n">
        <x:v>180</x:v>
      </x:c>
      <x:c r="P14" s="11" t="n">
        <x:v>-81.9949284968973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drop:LC1:L1:light:-1:L8</x:v>
      </x:c>
      <x:c r="AC14" s="8" t="str">
        <x:v>{"lumens":2300,"dim":1,"anchorY":8.59}</x:v>
      </x:c>
    </x:row>
    <x:row r="15" ht="96" customHeight="1">
      <x:c r="A15" s="8" t="str">
        <x:v>L9</x:v>
      </x:c>
      <x:c r="B15" s="8" t="str">
        <x:v>Reading light · axis 4 · H central</x:v>
      </x:c>
      <x:c r="C15" s="8" t="str">
        <x:v>light</x:v>
      </x:c>
      <x:c r="D15" s="8" t="str">
        <x:v>DB1</x:v>
      </x:c>
      <x:c r="E15" s="8" t="str">
        <x:v>L1</x:v>
      </x:c>
      <x:c r="F15" s="11" t="n">
        <x:v>14.475</x:v>
      </x:c>
      <x:c r="G15" s="11" t="n">
        <x:v>8.584999999999999</x:v>
      </x:c>
      <x:c r="H15" s="11" t="n">
        <x:v>2.6</x:v>
      </x:c>
      <x:c r="I15" s="8" t="str">
        <x:v>pendant</x:v>
      </x:c>
      <x:c r="J15" s="8" t="str">
        <x:v>Shown</x:v>
      </x:c>
      <x:c r="K15" s="8" t="str">
        <x:v>On</x:v>
      </x:c>
      <x:c r="L15" s="8" t="str">
        <x:v>330 × 222 × 240</x:v>
      </x:c>
      <x:c r="M15" s="8" t="str">
        <x:v>2300 lm · 3000 K · 28° beam</x:v>
      </x:c>
      <x:c r="N15" s="11" t="n">
        <x:v>19.166666666666668</x:v>
      </x:c>
      <x:c r="O15" s="11" t="n">
        <x:v>0</x:v>
      </x:c>
      <x:c r="P15" s="11" t="n">
        <x:v>-81.9949284968973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drop:LC1:L1:light:1:L9</x:v>
      </x:c>
      <x:c r="AC15" s="8" t="str">
        <x:v>{"lumens":2300,"dim":1,"anchorY":8.59}</x:v>
      </x:c>
    </x:row>
    <x:row r="16" ht="96" customHeight="1">
      <x:c r="A16" s="8" t="str">
        <x:v>L10</x:v>
      </x:c>
      <x:c r="B16" s="8" t="str">
        <x:v>Reading light · axis 4 · H central · twin</x:v>
      </x:c>
      <x:c r="C16" s="8" t="str">
        <x:v>light</x:v>
      </x:c>
      <x:c r="D16" s="8" t="str">
        <x:v>DB1</x:v>
      </x:c>
      <x:c r="E16" s="8" t="str">
        <x:v>L1</x:v>
      </x:c>
      <x:c r="F16" s="11" t="n">
        <x:v>14.475</x:v>
      </x:c>
      <x:c r="G16" s="11" t="n">
        <x:v>8.584999999999999</x:v>
      </x:c>
      <x:c r="H16" s="11" t="n">
        <x:v>2.6</x:v>
      </x:c>
      <x:c r="I16" s="8" t="str">
        <x:v>pendant</x:v>
      </x:c>
      <x:c r="J16" s="8" t="str">
        <x:v>Shown</x:v>
      </x:c>
      <x:c r="K16" s="8" t="str">
        <x:v>On</x:v>
      </x:c>
      <x:c r="L16" s="8" t="str">
        <x:v>330 × 222 × 240</x:v>
      </x:c>
      <x:c r="M16" s="8" t="str">
        <x:v>2300 lm · 3000 K · 28° beam</x:v>
      </x:c>
      <x:c r="N16" s="11" t="n">
        <x:v>19.166666666666668</x:v>
      </x:c>
      <x:c r="O16" s="11" t="n">
        <x:v>180</x:v>
      </x:c>
      <x:c r="P16" s="11" t="n">
        <x:v>-81.9949284968973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drop:LC1:L1:light:1:L10</x:v>
      </x:c>
      <x:c r="AC16" s="8" t="str">
        <x:v>{"lumens":2300,"dim":1,"anchorY":8.59}</x:v>
      </x:c>
    </x:row>
    <x:row r="17" ht="96" customHeight="1">
      <x:c r="A17" s="8" t="str">
        <x:v>L11</x:v>
      </x:c>
      <x:c r="B17" s="8" t="str">
        <x:v>Reading light · axis 5 · B central</x:v>
      </x:c>
      <x:c r="C17" s="8" t="str">
        <x:v>light</x:v>
      </x:c>
      <x:c r="D17" s="8" t="str">
        <x:v>DB1</x:v>
      </x:c>
      <x:c r="E17" s="8" t="str">
        <x:v>L1</x:v>
      </x:c>
      <x:c r="F17" s="11" t="n">
        <x:v>18.975</x:v>
      </x:c>
      <x:c r="G17" s="11" t="n">
        <x:v>8.584999999999999</x:v>
      </x:c>
      <x:c r="H17" s="11" t="n">
        <x:v>-2.6</x:v>
      </x:c>
      <x:c r="I17" s="8" t="str">
        <x:v>pendant</x:v>
      </x:c>
      <x:c r="J17" s="8" t="str">
        <x:v>Shown</x:v>
      </x:c>
      <x:c r="K17" s="8" t="str">
        <x:v>On</x:v>
      </x:c>
      <x:c r="L17" s="8" t="str">
        <x:v>330 × 222 × 240</x:v>
      </x:c>
      <x:c r="M17" s="8" t="str">
        <x:v>2300 lm · 3000 K · 28° beam</x:v>
      </x:c>
      <x:c r="N17" s="11" t="n">
        <x:v>19.166666666666668</x:v>
      </x:c>
      <x:c r="O17" s="11" t="n">
        <x:v>0</x:v>
      </x:c>
      <x:c r="P17" s="11" t="n">
        <x:v>-81.99492849689732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drop:LC1:L1:light:-1:L11</x:v>
      </x:c>
      <x:c r="AC17" s="8" t="str">
        <x:v>{"lumens":2300,"dim":1,"anchorY":8.59}</x:v>
      </x:c>
    </x:row>
    <x:row r="18" ht="96" customHeight="1">
      <x:c r="A18" s="8" t="str">
        <x:v>L12</x:v>
      </x:c>
      <x:c r="B18" s="8" t="str">
        <x:v>Reading light · axis 5 · B central · twin</x:v>
      </x:c>
      <x:c r="C18" s="8" t="str">
        <x:v>light</x:v>
      </x:c>
      <x:c r="D18" s="8" t="str">
        <x:v>DB1</x:v>
      </x:c>
      <x:c r="E18" s="8" t="str">
        <x:v>L1</x:v>
      </x:c>
      <x:c r="F18" s="11" t="n">
        <x:v>18.975</x:v>
      </x:c>
      <x:c r="G18" s="11" t="n">
        <x:v>8.584999999999999</x:v>
      </x:c>
      <x:c r="H18" s="11" t="n">
        <x:v>-2.6</x:v>
      </x:c>
      <x:c r="I18" s="8" t="str">
        <x:v>pendant</x:v>
      </x:c>
      <x:c r="J18" s="8" t="str">
        <x:v>Shown</x:v>
      </x:c>
      <x:c r="K18" s="8" t="str">
        <x:v>On</x:v>
      </x:c>
      <x:c r="L18" s="8" t="str">
        <x:v>330 × 222 × 240</x:v>
      </x:c>
      <x:c r="M18" s="8" t="str">
        <x:v>2300 lm · 3000 K · 28° beam</x:v>
      </x:c>
      <x:c r="N18" s="11" t="n">
        <x:v>19.166666666666668</x:v>
      </x:c>
      <x:c r="O18" s="11" t="n">
        <x:v>180</x:v>
      </x:c>
      <x:c r="P18" s="11" t="n">
        <x:v>-81.99492849689732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drop:LC1:L1:light:-1:L12</x:v>
      </x:c>
      <x:c r="AC18" s="8" t="str">
        <x:v>{"lumens":2300,"dim":1,"anchorY":8.59}</x:v>
      </x:c>
    </x:row>
    <x:row r="19" ht="96" customHeight="1">
      <x:c r="A19" s="8" t="str">
        <x:v>L13</x:v>
      </x:c>
      <x:c r="B19" s="8" t="str">
        <x:v>Reading light · axis 5 · H central</x:v>
      </x:c>
      <x:c r="C19" s="8" t="str">
        <x:v>light</x:v>
      </x:c>
      <x:c r="D19" s="8" t="str">
        <x:v>DB1</x:v>
      </x:c>
      <x:c r="E19" s="8" t="str">
        <x:v>L1</x:v>
      </x:c>
      <x:c r="F19" s="11" t="n">
        <x:v>18.975</x:v>
      </x:c>
      <x:c r="G19" s="11" t="n">
        <x:v>8.584999999999999</x:v>
      </x:c>
      <x:c r="H19" s="11" t="n">
        <x:v>2.6</x:v>
      </x:c>
      <x:c r="I19" s="8" t="str">
        <x:v>pendant</x:v>
      </x:c>
      <x:c r="J19" s="8" t="str">
        <x:v>Shown</x:v>
      </x:c>
      <x:c r="K19" s="8" t="str">
        <x:v>On</x:v>
      </x:c>
      <x:c r="L19" s="8" t="str">
        <x:v>330 × 222 × 240</x:v>
      </x:c>
      <x:c r="M19" s="8" t="str">
        <x:v>2300 lm · 3000 K · 28° beam</x:v>
      </x:c>
      <x:c r="N19" s="11" t="n">
        <x:v>19.166666666666668</x:v>
      </x:c>
      <x:c r="O19" s="11" t="n">
        <x:v>0</x:v>
      </x:c>
      <x:c r="P19" s="11" t="n">
        <x:v>-81.99492849689732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drop:LC1:L1:light:1:L13</x:v>
      </x:c>
      <x:c r="AC19" s="8" t="str">
        <x:v>{"lumens":2300,"dim":1,"anchorY":8.59}</x:v>
      </x:c>
    </x:row>
    <x:row r="20" ht="96" customHeight="1">
      <x:c r="A20" s="8" t="str">
        <x:v>L14</x:v>
      </x:c>
      <x:c r="B20" s="8" t="str">
        <x:v>Reading light · axis 5 · H central · twin</x:v>
      </x:c>
      <x:c r="C20" s="8" t="str">
        <x:v>light</x:v>
      </x:c>
      <x:c r="D20" s="8" t="str">
        <x:v>DB1</x:v>
      </x:c>
      <x:c r="E20" s="8" t="str">
        <x:v>L1</x:v>
      </x:c>
      <x:c r="F20" s="11" t="n">
        <x:v>18.975</x:v>
      </x:c>
      <x:c r="G20" s="11" t="n">
        <x:v>8.584999999999999</x:v>
      </x:c>
      <x:c r="H20" s="11" t="n">
        <x:v>2.6</x:v>
      </x:c>
      <x:c r="I20" s="8" t="str">
        <x:v>pendant</x:v>
      </x:c>
      <x:c r="J20" s="8" t="str">
        <x:v>Shown</x:v>
      </x:c>
      <x:c r="K20" s="8" t="str">
        <x:v>On</x:v>
      </x:c>
      <x:c r="L20" s="8" t="str">
        <x:v>330 × 222 × 240</x:v>
      </x:c>
      <x:c r="M20" s="8" t="str">
        <x:v>2300 lm · 3000 K · 28° beam</x:v>
      </x:c>
      <x:c r="N20" s="11" t="n">
        <x:v>19.166666666666668</x:v>
      </x:c>
      <x:c r="O20" s="11" t="n">
        <x:v>180</x:v>
      </x:c>
      <x:c r="P20" s="11" t="n">
        <x:v>-81.99492849689732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drop:LC1:L1:light:1:L14</x:v>
      </x:c>
      <x:c r="AC20" s="8" t="str">
        <x:v>{"lumens":2300,"dim":1,"anchorY":8.59}</x:v>
      </x:c>
    </x:row>
    <x:row r="21" ht="96" customHeight="1">
      <x:c r="A21" s="8" t="str">
        <x:v>L15</x:v>
      </x:c>
      <x:c r="B21" s="8" t="str">
        <x:v>Reading light · axis 6 · B central</x:v>
      </x:c>
      <x:c r="C21" s="8" t="str">
        <x:v>light</x:v>
      </x:c>
      <x:c r="D21" s="8" t="str">
        <x:v>DB1</x:v>
      </x:c>
      <x:c r="E21" s="8" t="str">
        <x:v>L1</x:v>
      </x:c>
      <x:c r="F21" s="11" t="n">
        <x:v>23.475</x:v>
      </x:c>
      <x:c r="G21" s="11" t="n">
        <x:v>8.584999999999999</x:v>
      </x:c>
      <x:c r="H21" s="11" t="n">
        <x:v>-2.6</x:v>
      </x:c>
      <x:c r="I21" s="8" t="str">
        <x:v>pendant</x:v>
      </x:c>
      <x:c r="J21" s="8" t="str">
        <x:v>Shown</x:v>
      </x:c>
      <x:c r="K21" s="8" t="str">
        <x:v>On</x:v>
      </x:c>
      <x:c r="L21" s="8" t="str">
        <x:v>330 × 222 × 240</x:v>
      </x:c>
      <x:c r="M21" s="8" t="str">
        <x:v>2300 lm · 3000 K · 28° beam</x:v>
      </x:c>
      <x:c r="N21" s="11" t="n">
        <x:v>19.166666666666668</x:v>
      </x:c>
      <x:c r="O21" s="11" t="n">
        <x:v>0</x:v>
      </x:c>
      <x:c r="P21" s="11" t="n">
        <x:v>-81.99492849689732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drop:LC1:L1:light:-1:L15</x:v>
      </x:c>
      <x:c r="AC21" s="8" t="str">
        <x:v>{"lumens":2300,"dim":1,"anchorY":8.59}</x:v>
      </x:c>
    </x:row>
    <x:row r="22" ht="96" customHeight="1">
      <x:c r="A22" s="8" t="str">
        <x:v>L16</x:v>
      </x:c>
      <x:c r="B22" s="8" t="str">
        <x:v>Reading light · axis 6 · B central · twin</x:v>
      </x:c>
      <x:c r="C22" s="8" t="str">
        <x:v>light</x:v>
      </x:c>
      <x:c r="D22" s="8" t="str">
        <x:v>DB1</x:v>
      </x:c>
      <x:c r="E22" s="8" t="str">
        <x:v>L1</x:v>
      </x:c>
      <x:c r="F22" s="11" t="n">
        <x:v>23.475</x:v>
      </x:c>
      <x:c r="G22" s="11" t="n">
        <x:v>8.584999999999999</x:v>
      </x:c>
      <x:c r="H22" s="11" t="n">
        <x:v>-2.6</x:v>
      </x:c>
      <x:c r="I22" s="8" t="str">
        <x:v>pendant</x:v>
      </x:c>
      <x:c r="J22" s="8" t="str">
        <x:v>Shown</x:v>
      </x:c>
      <x:c r="K22" s="8" t="str">
        <x:v>On</x:v>
      </x:c>
      <x:c r="L22" s="8" t="str">
        <x:v>330 × 222 × 240</x:v>
      </x:c>
      <x:c r="M22" s="8" t="str">
        <x:v>2300 lm · 3000 K · 28° beam</x:v>
      </x:c>
      <x:c r="N22" s="11" t="n">
        <x:v>19.166666666666668</x:v>
      </x:c>
      <x:c r="O22" s="11" t="n">
        <x:v>180</x:v>
      </x:c>
      <x:c r="P22" s="11" t="n">
        <x:v>-81.99492849689732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drop:LC1:L1:light:-1:L16</x:v>
      </x:c>
      <x:c r="AC22" s="8" t="str">
        <x:v>{"lumens":2300,"dim":1,"anchorY":8.59}</x:v>
      </x:c>
    </x:row>
    <x:row r="23" ht="96" customHeight="1">
      <x:c r="A23" s="8" t="str">
        <x:v>L17</x:v>
      </x:c>
      <x:c r="B23" s="8" t="str">
        <x:v>Reading light · axis 6 · H central</x:v>
      </x:c>
      <x:c r="C23" s="8" t="str">
        <x:v>light</x:v>
      </x:c>
      <x:c r="D23" s="8" t="str">
        <x:v>DB1</x:v>
      </x:c>
      <x:c r="E23" s="8" t="str">
        <x:v>L1</x:v>
      </x:c>
      <x:c r="F23" s="11" t="n">
        <x:v>23.475</x:v>
      </x:c>
      <x:c r="G23" s="11" t="n">
        <x:v>8.584999999999999</x:v>
      </x:c>
      <x:c r="H23" s="11" t="n">
        <x:v>2.6</x:v>
      </x:c>
      <x:c r="I23" s="8" t="str">
        <x:v>pendant</x:v>
      </x:c>
      <x:c r="J23" s="8" t="str">
        <x:v>Shown</x:v>
      </x:c>
      <x:c r="K23" s="8" t="str">
        <x:v>On</x:v>
      </x:c>
      <x:c r="L23" s="8" t="str">
        <x:v>330 × 222 × 240</x:v>
      </x:c>
      <x:c r="M23" s="8" t="str">
        <x:v>2300 lm · 3000 K · 28° beam</x:v>
      </x:c>
      <x:c r="N23" s="11" t="n">
        <x:v>19.166666666666668</x:v>
      </x:c>
      <x:c r="O23" s="11" t="n">
        <x:v>0</x:v>
      </x:c>
      <x:c r="P23" s="11" t="n">
        <x:v>-81.99492849689732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drop:LC1:L1:light:1:L17</x:v>
      </x:c>
      <x:c r="AC23" s="8" t="str">
        <x:v>{"lumens":2300,"dim":1,"anchorY":8.59}</x:v>
      </x:c>
    </x:row>
    <x:row r="24" ht="96" customHeight="1">
      <x:c r="A24" s="8" t="str">
        <x:v>L18</x:v>
      </x:c>
      <x:c r="B24" s="8" t="str">
        <x:v>Reading light · axis 6 · H central · twin</x:v>
      </x:c>
      <x:c r="C24" s="8" t="str">
        <x:v>light</x:v>
      </x:c>
      <x:c r="D24" s="8" t="str">
        <x:v>DB1</x:v>
      </x:c>
      <x:c r="E24" s="8" t="str">
        <x:v>L1</x:v>
      </x:c>
      <x:c r="F24" s="11" t="n">
        <x:v>23.475</x:v>
      </x:c>
      <x:c r="G24" s="11" t="n">
        <x:v>8.584999999999999</x:v>
      </x:c>
      <x:c r="H24" s="11" t="n">
        <x:v>2.6</x:v>
      </x:c>
      <x:c r="I24" s="8" t="str">
        <x:v>pendant</x:v>
      </x:c>
      <x:c r="J24" s="8" t="str">
        <x:v>Shown</x:v>
      </x:c>
      <x:c r="K24" s="8" t="str">
        <x:v>On</x:v>
      </x:c>
      <x:c r="L24" s="8" t="str">
        <x:v>330 × 222 × 240</x:v>
      </x:c>
      <x:c r="M24" s="8" t="str">
        <x:v>2300 lm · 3000 K · 28° beam</x:v>
      </x:c>
      <x:c r="N24" s="11" t="n">
        <x:v>19.166666666666668</x:v>
      </x:c>
      <x:c r="O24" s="11" t="n">
        <x:v>180</x:v>
      </x:c>
      <x:c r="P24" s="11" t="n">
        <x:v>-81.99492849689732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drop:LC1:L1:light:1:L18</x:v>
      </x:c>
      <x:c r="AC24" s="8" t="str">
        <x:v>{"lumens":2300,"dim":1,"anchorY":8.59}</x:v>
      </x:c>
    </x:row>
    <x:row r="25" ht="96" customHeight="1">
      <x:c r="A25" s="8" t="str">
        <x:v>L19</x:v>
      </x:c>
      <x:c r="B25" s="8" t="str">
        <x:v>Reading light · axis 7 · B central</x:v>
      </x:c>
      <x:c r="C25" s="8" t="str">
        <x:v>light</x:v>
      </x:c>
      <x:c r="D25" s="8" t="str">
        <x:v>DB1</x:v>
      </x:c>
      <x:c r="E25" s="8" t="str">
        <x:v>L1</x:v>
      </x:c>
      <x:c r="F25" s="11" t="n">
        <x:v>27.975</x:v>
      </x:c>
      <x:c r="G25" s="11" t="n">
        <x:v>8.584999999999999</x:v>
      </x:c>
      <x:c r="H25" s="11" t="n">
        <x:v>-2.6</x:v>
      </x:c>
      <x:c r="I25" s="8" t="str">
        <x:v>pendant</x:v>
      </x:c>
      <x:c r="J25" s="8" t="str">
        <x:v>Shown</x:v>
      </x:c>
      <x:c r="K25" s="8" t="str">
        <x:v>On</x:v>
      </x:c>
      <x:c r="L25" s="8" t="str">
        <x:v>330 × 222 × 240</x:v>
      </x:c>
      <x:c r="M25" s="8" t="str">
        <x:v>2300 lm · 3000 K · 28° beam</x:v>
      </x:c>
      <x:c r="N25" s="11" t="n">
        <x:v>19.166666666666668</x:v>
      </x:c>
      <x:c r="O25" s="11" t="n">
        <x:v>0</x:v>
      </x:c>
      <x:c r="P25" s="11" t="n">
        <x:v>-81.99492849689732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drop:LC1:L1:light:-1:L19</x:v>
      </x:c>
      <x:c r="AC25" s="8" t="str">
        <x:v>{"lumens":2300,"dim":1,"anchorY":8.59}</x:v>
      </x:c>
    </x:row>
    <x:row r="26" ht="96" customHeight="1">
      <x:c r="A26" s="8" t="str">
        <x:v>L20</x:v>
      </x:c>
      <x:c r="B26" s="8" t="str">
        <x:v>Reading light · axis 7 · B central · twin</x:v>
      </x:c>
      <x:c r="C26" s="8" t="str">
        <x:v>light</x:v>
      </x:c>
      <x:c r="D26" s="8" t="str">
        <x:v>DB1</x:v>
      </x:c>
      <x:c r="E26" s="8" t="str">
        <x:v>L1</x:v>
      </x:c>
      <x:c r="F26" s="11" t="n">
        <x:v>27.975</x:v>
      </x:c>
      <x:c r="G26" s="11" t="n">
        <x:v>8.584999999999999</x:v>
      </x:c>
      <x:c r="H26" s="11" t="n">
        <x:v>-2.6</x:v>
      </x:c>
      <x:c r="I26" s="8" t="str">
        <x:v>pendant</x:v>
      </x:c>
      <x:c r="J26" s="8" t="str">
        <x:v>Shown</x:v>
      </x:c>
      <x:c r="K26" s="8" t="str">
        <x:v>On</x:v>
      </x:c>
      <x:c r="L26" s="8" t="str">
        <x:v>330 × 222 × 240</x:v>
      </x:c>
      <x:c r="M26" s="8" t="str">
        <x:v>2300 lm · 3000 K · 28° beam</x:v>
      </x:c>
      <x:c r="N26" s="11" t="n">
        <x:v>19.166666666666668</x:v>
      </x:c>
      <x:c r="O26" s="11" t="n">
        <x:v>180</x:v>
      </x:c>
      <x:c r="P26" s="11" t="n">
        <x:v>-81.99492849689732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drop:LC1:L1:light:-1:L20</x:v>
      </x:c>
      <x:c r="AC26" s="8" t="str">
        <x:v>{"lumens":2300,"dim":1,"anchorY":8.59}</x:v>
      </x:c>
    </x:row>
    <x:row r="27" ht="96" customHeight="1">
      <x:c r="A27" s="8" t="str">
        <x:v>L21</x:v>
      </x:c>
      <x:c r="B27" s="8" t="str">
        <x:v>Reading light · axis 7 · H central</x:v>
      </x:c>
      <x:c r="C27" s="8" t="str">
        <x:v>light</x:v>
      </x:c>
      <x:c r="D27" s="8" t="str">
        <x:v>DB1</x:v>
      </x:c>
      <x:c r="E27" s="8" t="str">
        <x:v>L1</x:v>
      </x:c>
      <x:c r="F27" s="11" t="n">
        <x:v>27.975</x:v>
      </x:c>
      <x:c r="G27" s="11" t="n">
        <x:v>8.584999999999999</x:v>
      </x:c>
      <x:c r="H27" s="11" t="n">
        <x:v>2.6</x:v>
      </x:c>
      <x:c r="I27" s="8" t="str">
        <x:v>pendant</x:v>
      </x:c>
      <x:c r="J27" s="8" t="str">
        <x:v>Shown</x:v>
      </x:c>
      <x:c r="K27" s="8" t="str">
        <x:v>On</x:v>
      </x:c>
      <x:c r="L27" s="8" t="str">
        <x:v>330 × 222 × 240</x:v>
      </x:c>
      <x:c r="M27" s="8" t="str">
        <x:v>2300 lm · 3000 K · 28° beam</x:v>
      </x:c>
      <x:c r="N27" s="11" t="n">
        <x:v>19.166666666666668</x:v>
      </x:c>
      <x:c r="O27" s="11" t="n">
        <x:v>0</x:v>
      </x:c>
      <x:c r="P27" s="11" t="n">
        <x:v>-81.99492849689732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drop:LC1:L1:light:1:L21</x:v>
      </x:c>
      <x:c r="AC27" s="8" t="str">
        <x:v>{"lumens":2300,"dim":1,"anchorY":8.59}</x:v>
      </x:c>
    </x:row>
    <x:row r="28" ht="96" customHeight="1">
      <x:c r="A28" s="8" t="str">
        <x:v>L22</x:v>
      </x:c>
      <x:c r="B28" s="8" t="str">
        <x:v>Reading light · axis 7 · H central · twin</x:v>
      </x:c>
      <x:c r="C28" s="8" t="str">
        <x:v>light</x:v>
      </x:c>
      <x:c r="D28" s="8" t="str">
        <x:v>DB1</x:v>
      </x:c>
      <x:c r="E28" s="8" t="str">
        <x:v>L1</x:v>
      </x:c>
      <x:c r="F28" s="11" t="n">
        <x:v>27.975</x:v>
      </x:c>
      <x:c r="G28" s="11" t="n">
        <x:v>8.584999999999999</x:v>
      </x:c>
      <x:c r="H28" s="11" t="n">
        <x:v>2.6</x:v>
      </x:c>
      <x:c r="I28" s="8" t="str">
        <x:v>pendant</x:v>
      </x:c>
      <x:c r="J28" s="8" t="str">
        <x:v>Shown</x:v>
      </x:c>
      <x:c r="K28" s="8" t="str">
        <x:v>On</x:v>
      </x:c>
      <x:c r="L28" s="8" t="str">
        <x:v>330 × 222 × 240</x:v>
      </x:c>
      <x:c r="M28" s="8" t="str">
        <x:v>2300 lm · 3000 K · 28° beam</x:v>
      </x:c>
      <x:c r="N28" s="11" t="n">
        <x:v>19.166666666666668</x:v>
      </x:c>
      <x:c r="O28" s="11" t="n">
        <x:v>180</x:v>
      </x:c>
      <x:c r="P28" s="11" t="n">
        <x:v>-81.99492849689732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drop:LC1:L1:light:1:L22</x:v>
      </x:c>
      <x:c r="AC28" s="8" t="str">
        <x:v>{"lumens":2300,"dim":1,"anchorY":8.59}</x:v>
      </x:c>
    </x:row>
    <x:row r="29" ht="96" customHeight="1">
      <x:c r="A29" s="8" t="str">
        <x:v>L23</x:v>
      </x:c>
      <x:c r="B29" s="8" t="str">
        <x:v>Reading light · axis 8 · B central</x:v>
      </x:c>
      <x:c r="C29" s="8" t="str">
        <x:v>light</x:v>
      </x:c>
      <x:c r="D29" s="8" t="str">
        <x:v>DB1</x:v>
      </x:c>
      <x:c r="E29" s="8" t="str">
        <x:v>L1</x:v>
      </x:c>
      <x:c r="F29" s="11" t="n">
        <x:v>32.475</x:v>
      </x:c>
      <x:c r="G29" s="11" t="n">
        <x:v>8.584999999999999</x:v>
      </x:c>
      <x:c r="H29" s="11" t="n">
        <x:v>-2.6</x:v>
      </x:c>
      <x:c r="I29" s="8" t="str">
        <x:v>pendant</x:v>
      </x:c>
      <x:c r="J29" s="8" t="str">
        <x:v>Shown</x:v>
      </x:c>
      <x:c r="K29" s="8" t="str">
        <x:v>On</x:v>
      </x:c>
      <x:c r="L29" s="8" t="str">
        <x:v>330 × 222 × 240</x:v>
      </x:c>
      <x:c r="M29" s="8" t="str">
        <x:v>2300 lm · 3000 K · 28° beam</x:v>
      </x:c>
      <x:c r="N29" s="11" t="n">
        <x:v>19.166666666666668</x:v>
      </x:c>
      <x:c r="O29" s="11" t="n">
        <x:v>0</x:v>
      </x:c>
      <x:c r="P29" s="11" t="n">
        <x:v>-81.99492849689732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drop:LC1:L1:light:-1:L23</x:v>
      </x:c>
      <x:c r="AC29" s="8" t="str">
        <x:v>{"lumens":2300,"dim":1,"anchorY":8.59}</x:v>
      </x:c>
    </x:row>
    <x:row r="30" ht="96" customHeight="1">
      <x:c r="A30" s="8" t="str">
        <x:v>L24</x:v>
      </x:c>
      <x:c r="B30" s="8" t="str">
        <x:v>Reading light · axis 8 · B central · twin</x:v>
      </x:c>
      <x:c r="C30" s="8" t="str">
        <x:v>light</x:v>
      </x:c>
      <x:c r="D30" s="8" t="str">
        <x:v>DB1</x:v>
      </x:c>
      <x:c r="E30" s="8" t="str">
        <x:v>L1</x:v>
      </x:c>
      <x:c r="F30" s="11" t="n">
        <x:v>32.475</x:v>
      </x:c>
      <x:c r="G30" s="11" t="n">
        <x:v>8.584999999999999</x:v>
      </x:c>
      <x:c r="H30" s="11" t="n">
        <x:v>-2.6</x:v>
      </x:c>
      <x:c r="I30" s="8" t="str">
        <x:v>pendant</x:v>
      </x:c>
      <x:c r="J30" s="8" t="str">
        <x:v>Shown</x:v>
      </x:c>
      <x:c r="K30" s="8" t="str">
        <x:v>On</x:v>
      </x:c>
      <x:c r="L30" s="8" t="str">
        <x:v>330 × 222 × 240</x:v>
      </x:c>
      <x:c r="M30" s="8" t="str">
        <x:v>2300 lm · 3000 K · 28° beam</x:v>
      </x:c>
      <x:c r="N30" s="11" t="n">
        <x:v>19.166666666666668</x:v>
      </x:c>
      <x:c r="O30" s="11" t="n">
        <x:v>180</x:v>
      </x:c>
      <x:c r="P30" s="11" t="n">
        <x:v>-81.99492849689732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drop:LC1:L1:light:-1:L24</x:v>
      </x:c>
      <x:c r="AC30" s="8" t="str">
        <x:v>{"lumens":2300,"dim":1,"anchorY":8.59}</x:v>
      </x:c>
    </x:row>
    <x:row r="31" ht="96" customHeight="1">
      <x:c r="A31" s="8" t="str">
        <x:v>L25</x:v>
      </x:c>
      <x:c r="B31" s="8" t="str">
        <x:v>Reading light · axis 8 · H central</x:v>
      </x:c>
      <x:c r="C31" s="8" t="str">
        <x:v>light</x:v>
      </x:c>
      <x:c r="D31" s="8" t="str">
        <x:v>DB1</x:v>
      </x:c>
      <x:c r="E31" s="8" t="str">
        <x:v>L1</x:v>
      </x:c>
      <x:c r="F31" s="11" t="n">
        <x:v>32.475</x:v>
      </x:c>
      <x:c r="G31" s="11" t="n">
        <x:v>8.584999999999999</x:v>
      </x:c>
      <x:c r="H31" s="11" t="n">
        <x:v>2.6</x:v>
      </x:c>
      <x:c r="I31" s="8" t="str">
        <x:v>pendant</x:v>
      </x:c>
      <x:c r="J31" s="8" t="str">
        <x:v>Shown</x:v>
      </x:c>
      <x:c r="K31" s="8" t="str">
        <x:v>On</x:v>
      </x:c>
      <x:c r="L31" s="8" t="str">
        <x:v>330 × 222 × 240</x:v>
      </x:c>
      <x:c r="M31" s="8" t="str">
        <x:v>2300 lm · 3000 K · 28° beam</x:v>
      </x:c>
      <x:c r="N31" s="11" t="n">
        <x:v>19.166666666666668</x:v>
      </x:c>
      <x:c r="O31" s="11" t="n">
        <x:v>0</x:v>
      </x:c>
      <x:c r="P31" s="11" t="n">
        <x:v>-81.99492849689732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drop:LC1:L1:light:1:L25</x:v>
      </x:c>
      <x:c r="AC31" s="8" t="str">
        <x:v>{"lumens":2300,"dim":1,"anchorY":8.59}</x:v>
      </x:c>
    </x:row>
    <x:row r="32" ht="96" customHeight="1">
      <x:c r="A32" s="8" t="str">
        <x:v>L26</x:v>
      </x:c>
      <x:c r="B32" s="8" t="str">
        <x:v>Reading light · axis 8 · H central · twin</x:v>
      </x:c>
      <x:c r="C32" s="8" t="str">
        <x:v>light</x:v>
      </x:c>
      <x:c r="D32" s="8" t="str">
        <x:v>DB1</x:v>
      </x:c>
      <x:c r="E32" s="8" t="str">
        <x:v>L1</x:v>
      </x:c>
      <x:c r="F32" s="11" t="n">
        <x:v>32.475</x:v>
      </x:c>
      <x:c r="G32" s="11" t="n">
        <x:v>8.584999999999999</x:v>
      </x:c>
      <x:c r="H32" s="11" t="n">
        <x:v>2.6</x:v>
      </x:c>
      <x:c r="I32" s="8" t="str">
        <x:v>pendant</x:v>
      </x:c>
      <x:c r="J32" s="8" t="str">
        <x:v>Shown</x:v>
      </x:c>
      <x:c r="K32" s="8" t="str">
        <x:v>On</x:v>
      </x:c>
      <x:c r="L32" s="8" t="str">
        <x:v>330 × 222 × 240</x:v>
      </x:c>
      <x:c r="M32" s="8" t="str">
        <x:v>2300 lm · 3000 K · 28° beam</x:v>
      </x:c>
      <x:c r="N32" s="11" t="n">
        <x:v>19.166666666666668</x:v>
      </x:c>
      <x:c r="O32" s="11" t="n">
        <x:v>180</x:v>
      </x:c>
      <x:c r="P32" s="11" t="n">
        <x:v>-81.99492849689732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drop:LC1:L1:light:1:L26</x:v>
      </x:c>
      <x:c r="AC32" s="8" t="str">
        <x:v>{"lumens":2300,"dim":1,"anchorY":8.59}</x:v>
      </x:c>
    </x:row>
    <x:row r="33" ht="96" customHeight="1">
      <x:c r="A33" s="8" t="str">
        <x:v>L27</x:v>
      </x:c>
      <x:c r="B33" s="8" t="str">
        <x:v>Reading light · axis 9 · B central</x:v>
      </x:c>
      <x:c r="C33" s="8" t="str">
        <x:v>light</x:v>
      </x:c>
      <x:c r="D33" s="8" t="str">
        <x:v>DB1</x:v>
      </x:c>
      <x:c r="E33" s="8" t="str">
        <x:v>L1</x:v>
      </x:c>
      <x:c r="F33" s="11" t="n">
        <x:v>36.975</x:v>
      </x:c>
      <x:c r="G33" s="11" t="n">
        <x:v>8.584999999999999</x:v>
      </x:c>
      <x:c r="H33" s="11" t="n">
        <x:v>-2.6</x:v>
      </x:c>
      <x:c r="I33" s="8" t="str">
        <x:v>pendant</x:v>
      </x:c>
      <x:c r="J33" s="8" t="str">
        <x:v>Shown</x:v>
      </x:c>
      <x:c r="K33" s="8" t="str">
        <x:v>On</x:v>
      </x:c>
      <x:c r="L33" s="8" t="str">
        <x:v>330 × 222 × 240</x:v>
      </x:c>
      <x:c r="M33" s="8" t="str">
        <x:v>2300 lm · 3000 K · 28° beam</x:v>
      </x:c>
      <x:c r="N33" s="11" t="n">
        <x:v>19.166666666666668</x:v>
      </x:c>
      <x:c r="O33" s="11" t="n">
        <x:v>0</x:v>
      </x:c>
      <x:c r="P33" s="11" t="n">
        <x:v>-81.99492849689732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drop:LC1:L1:light:-1:L27</x:v>
      </x:c>
      <x:c r="AC33" s="8" t="str">
        <x:v>{"lumens":2300,"dim":1,"anchorY":8.59}</x:v>
      </x:c>
    </x:row>
    <x:row r="34" ht="96" customHeight="1">
      <x:c r="A34" s="8" t="str">
        <x:v>L28</x:v>
      </x:c>
      <x:c r="B34" s="8" t="str">
        <x:v>Reading light · axis 9 · B central · twin</x:v>
      </x:c>
      <x:c r="C34" s="8" t="str">
        <x:v>light</x:v>
      </x:c>
      <x:c r="D34" s="8" t="str">
        <x:v>DB1</x:v>
      </x:c>
      <x:c r="E34" s="8" t="str">
        <x:v>L1</x:v>
      </x:c>
      <x:c r="F34" s="11" t="n">
        <x:v>36.975</x:v>
      </x:c>
      <x:c r="G34" s="11" t="n">
        <x:v>8.584999999999999</x:v>
      </x:c>
      <x:c r="H34" s="11" t="n">
        <x:v>-2.6</x:v>
      </x:c>
      <x:c r="I34" s="8" t="str">
        <x:v>pendant</x:v>
      </x:c>
      <x:c r="J34" s="8" t="str">
        <x:v>Shown</x:v>
      </x:c>
      <x:c r="K34" s="8" t="str">
        <x:v>On</x:v>
      </x:c>
      <x:c r="L34" s="8" t="str">
        <x:v>330 × 222 × 240</x:v>
      </x:c>
      <x:c r="M34" s="8" t="str">
        <x:v>2300 lm · 3000 K · 28° beam</x:v>
      </x:c>
      <x:c r="N34" s="11" t="n">
        <x:v>19.166666666666668</x:v>
      </x:c>
      <x:c r="O34" s="11" t="n">
        <x:v>180</x:v>
      </x:c>
      <x:c r="P34" s="11" t="n">
        <x:v>-81.99492849689732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drop:LC1:L1:light:-1:L28</x:v>
      </x:c>
      <x:c r="AC34" s="8" t="str">
        <x:v>{"lumens":2300,"dim":1,"anchorY":8.59}</x:v>
      </x:c>
    </x:row>
    <x:row r="35" ht="96" customHeight="1">
      <x:c r="A35" s="8" t="str">
        <x:v>L29</x:v>
      </x:c>
      <x:c r="B35" s="8" t="str">
        <x:v>Reading light · axis 9 · H central</x:v>
      </x:c>
      <x:c r="C35" s="8" t="str">
        <x:v>light</x:v>
      </x:c>
      <x:c r="D35" s="8" t="str">
        <x:v>DB1</x:v>
      </x:c>
      <x:c r="E35" s="8" t="str">
        <x:v>L1</x:v>
      </x:c>
      <x:c r="F35" s="11" t="n">
        <x:v>36.975</x:v>
      </x:c>
      <x:c r="G35" s="11" t="n">
        <x:v>8.584999999999999</x:v>
      </x:c>
      <x:c r="H35" s="11" t="n">
        <x:v>2.6</x:v>
      </x:c>
      <x:c r="I35" s="8" t="str">
        <x:v>pendant</x:v>
      </x:c>
      <x:c r="J35" s="8" t="str">
        <x:v>Shown</x:v>
      </x:c>
      <x:c r="K35" s="8" t="str">
        <x:v>On</x:v>
      </x:c>
      <x:c r="L35" s="8" t="str">
        <x:v>330 × 222 × 240</x:v>
      </x:c>
      <x:c r="M35" s="8" t="str">
        <x:v>2300 lm · 3000 K · 28° beam</x:v>
      </x:c>
      <x:c r="N35" s="11" t="n">
        <x:v>19.166666666666668</x:v>
      </x:c>
      <x:c r="O35" s="11" t="n">
        <x:v>0</x:v>
      </x:c>
      <x:c r="P35" s="11" t="n">
        <x:v>-81.99492849689732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drop:LC1:L1:light:1:L29</x:v>
      </x:c>
      <x:c r="AC35" s="8" t="str">
        <x:v>{"lumens":2300,"dim":1,"anchorY":8.59}</x:v>
      </x:c>
    </x:row>
    <x:row r="36" ht="96" customHeight="1">
      <x:c r="A36" s="8" t="str">
        <x:v>L30</x:v>
      </x:c>
      <x:c r="B36" s="8" t="str">
        <x:v>Reading light · axis 9 · H central · twin</x:v>
      </x:c>
      <x:c r="C36" s="8" t="str">
        <x:v>light</x:v>
      </x:c>
      <x:c r="D36" s="8" t="str">
        <x:v>DB1</x:v>
      </x:c>
      <x:c r="E36" s="8" t="str">
        <x:v>L1</x:v>
      </x:c>
      <x:c r="F36" s="11" t="n">
        <x:v>36.975</x:v>
      </x:c>
      <x:c r="G36" s="11" t="n">
        <x:v>8.584999999999999</x:v>
      </x:c>
      <x:c r="H36" s="11" t="n">
        <x:v>2.6</x:v>
      </x:c>
      <x:c r="I36" s="8" t="str">
        <x:v>pendant</x:v>
      </x:c>
      <x:c r="J36" s="8" t="str">
        <x:v>Shown</x:v>
      </x:c>
      <x:c r="K36" s="8" t="str">
        <x:v>On</x:v>
      </x:c>
      <x:c r="L36" s="8" t="str">
        <x:v>330 × 222 × 240</x:v>
      </x:c>
      <x:c r="M36" s="8" t="str">
        <x:v>2300 lm · 3000 K · 28° beam</x:v>
      </x:c>
      <x:c r="N36" s="11" t="n">
        <x:v>19.166666666666668</x:v>
      </x:c>
      <x:c r="O36" s="11" t="n">
        <x:v>180</x:v>
      </x:c>
      <x:c r="P36" s="11" t="n">
        <x:v>-81.99492849689732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drop:LC1:L1:light:1:L30</x:v>
      </x:c>
      <x:c r="AC36" s="8" t="str">
        <x:v>{"lumens":2300,"dim":1,"anchorY":8.59}</x:v>
      </x:c>
    </x:row>
    <x:row r="37" ht="96" customHeight="1">
      <x:c r="A37" s="8" t="str">
        <x:v>L31</x:v>
      </x:c>
      <x:c r="B37" s="8" t="str">
        <x:v>Reading light · axis 3 · B outer</x:v>
      </x:c>
      <x:c r="C37" s="8" t="str">
        <x:v>light</x:v>
      </x:c>
      <x:c r="D37" s="8" t="str">
        <x:v>DB1</x:v>
      </x:c>
      <x:c r="E37" s="8" t="str">
        <x:v>L2</x:v>
      </x:c>
      <x:c r="F37" s="11" t="n">
        <x:v>9.975</x:v>
      </x:c>
      <x:c r="G37" s="11" t="n">
        <x:v>6.655</x:v>
      </x:c>
      <x:c r="H37" s="11" t="n">
        <x:v>-5.6</x:v>
      </x:c>
      <x:c r="I37" s="8" t="str">
        <x:v>pendant</x:v>
      </x:c>
      <x:c r="J37" s="8" t="str">
        <x:v>Shown</x:v>
      </x:c>
      <x:c r="K37" s="8" t="str">
        <x:v>On</x:v>
      </x:c>
      <x:c r="L37" s="8" t="str">
        <x:v>330 × 222 × 240</x:v>
      </x:c>
      <x:c r="M37" s="8" t="str">
        <x:v>2300 lm · 3000 K · 36° beam</x:v>
      </x:c>
      <x:c r="N37" s="11" t="n">
        <x:v>19.166666666666668</x:v>
      </x:c>
      <x:c r="O37" s="11" t="n">
        <x:v>0</x:v>
      </x:c>
      <x:c r="P37" s="11" t="n">
        <x:v>-81.99325679083218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>
        <x:v>drop:LC1:L2:light:-1:L31</x:v>
      </x:c>
      <x:c r="AC37" s="8" t="str">
        <x:v>{"lumens":2300,"dim":1,"anchorY":6.66}</x:v>
      </x:c>
    </x:row>
    <x:row r="38" ht="96" customHeight="1">
      <x:c r="A38" s="8" t="str">
        <x:v>L32</x:v>
      </x:c>
      <x:c r="B38" s="8" t="str">
        <x:v>Reading light · axis 3 · B outer · twin</x:v>
      </x:c>
      <x:c r="C38" s="8" t="str">
        <x:v>light</x:v>
      </x:c>
      <x:c r="D38" s="8" t="str">
        <x:v>DB1</x:v>
      </x:c>
      <x:c r="E38" s="8" t="str">
        <x:v>L2</x:v>
      </x:c>
      <x:c r="F38" s="11" t="n">
        <x:v>9.975</x:v>
      </x:c>
      <x:c r="G38" s="11" t="n">
        <x:v>6.655</x:v>
      </x:c>
      <x:c r="H38" s="11" t="n">
        <x:v>-5.6</x:v>
      </x:c>
      <x:c r="I38" s="8" t="str">
        <x:v>pendant</x:v>
      </x:c>
      <x:c r="J38" s="8" t="str">
        <x:v>Shown</x:v>
      </x:c>
      <x:c r="K38" s="8" t="str">
        <x:v>On</x:v>
      </x:c>
      <x:c r="L38" s="8" t="str">
        <x:v>330 × 222 × 240</x:v>
      </x:c>
      <x:c r="M38" s="8" t="str">
        <x:v>2300 lm · 3000 K · 36° beam</x:v>
      </x:c>
      <x:c r="N38" s="11" t="n">
        <x:v>19.166666666666668</x:v>
      </x:c>
      <x:c r="O38" s="11" t="n">
        <x:v>180</x:v>
      </x:c>
      <x:c r="P38" s="11" t="n">
        <x:v>-81.99325679083218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>
        <x:v>drop:LC1:L2:light:-1:L32</x:v>
      </x:c>
      <x:c r="AC38" s="8" t="str">
        <x:v>{"lumens":2300,"dim":1,"anchorY":6.66}</x:v>
      </x:c>
    </x:row>
    <x:row r="39" ht="96" customHeight="1">
      <x:c r="A39" s="8" t="str">
        <x:v>L33</x:v>
      </x:c>
      <x:c r="B39" s="8" t="str">
        <x:v>Reading light · axis 3 · H outer</x:v>
      </x:c>
      <x:c r="C39" s="8" t="str">
        <x:v>light</x:v>
      </x:c>
      <x:c r="D39" s="8" t="str">
        <x:v>DB1</x:v>
      </x:c>
      <x:c r="E39" s="8" t="str">
        <x:v>L2</x:v>
      </x:c>
      <x:c r="F39" s="11" t="n">
        <x:v>9.975</x:v>
      </x:c>
      <x:c r="G39" s="11" t="n">
        <x:v>6.655</x:v>
      </x:c>
      <x:c r="H39" s="11" t="n">
        <x:v>5.6</x:v>
      </x:c>
      <x:c r="I39" s="8" t="str">
        <x:v>pendant</x:v>
      </x:c>
      <x:c r="J39" s="8" t="str">
        <x:v>Shown</x:v>
      </x:c>
      <x:c r="K39" s="8" t="str">
        <x:v>On</x:v>
      </x:c>
      <x:c r="L39" s="8" t="str">
        <x:v>330 × 222 × 240</x:v>
      </x:c>
      <x:c r="M39" s="8" t="str">
        <x:v>2300 lm · 3000 K · 36° beam</x:v>
      </x:c>
      <x:c r="N39" s="11" t="n">
        <x:v>19.166666666666668</x:v>
      </x:c>
      <x:c r="O39" s="11" t="n">
        <x:v>0</x:v>
      </x:c>
      <x:c r="P39" s="11" t="n">
        <x:v>-81.99325679083218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>
        <x:v>drop:LC1:L2:light:1:L33</x:v>
      </x:c>
      <x:c r="AC39" s="8" t="str">
        <x:v>{"lumens":2300,"dim":1,"anchorY":6.66}</x:v>
      </x:c>
    </x:row>
    <x:row r="40" ht="96" customHeight="1">
      <x:c r="A40" s="8" t="str">
        <x:v>L34</x:v>
      </x:c>
      <x:c r="B40" s="8" t="str">
        <x:v>Reading light · axis 3 · H outer · twin</x:v>
      </x:c>
      <x:c r="C40" s="8" t="str">
        <x:v>light</x:v>
      </x:c>
      <x:c r="D40" s="8" t="str">
        <x:v>DB1</x:v>
      </x:c>
      <x:c r="E40" s="8" t="str">
        <x:v>L2</x:v>
      </x:c>
      <x:c r="F40" s="11" t="n">
        <x:v>9.975</x:v>
      </x:c>
      <x:c r="G40" s="11" t="n">
        <x:v>6.655</x:v>
      </x:c>
      <x:c r="H40" s="11" t="n">
        <x:v>5.6</x:v>
      </x:c>
      <x:c r="I40" s="8" t="str">
        <x:v>pendant</x:v>
      </x:c>
      <x:c r="J40" s="8" t="str">
        <x:v>Shown</x:v>
      </x:c>
      <x:c r="K40" s="8" t="str">
        <x:v>On</x:v>
      </x:c>
      <x:c r="L40" s="8" t="str">
        <x:v>330 × 222 × 240</x:v>
      </x:c>
      <x:c r="M40" s="8" t="str">
        <x:v>2300 lm · 3000 K · 36° beam</x:v>
      </x:c>
      <x:c r="N40" s="11" t="n">
        <x:v>19.166666666666668</x:v>
      </x:c>
      <x:c r="O40" s="11" t="n">
        <x:v>180</x:v>
      </x:c>
      <x:c r="P40" s="11" t="n">
        <x:v>-81.99325679083218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>
        <x:v>drop:LC1:L2:light:1:L34</x:v>
      </x:c>
      <x:c r="AC40" s="8" t="str">
        <x:v>{"lumens":2300,"dim":1,"anchorY":6.66}</x:v>
      </x:c>
    </x:row>
    <x:row r="41" ht="96" customHeight="1">
      <x:c r="A41" s="8" t="str">
        <x:v>L35</x:v>
      </x:c>
      <x:c r="B41" s="8" t="str">
        <x:v>Reading light · axis 4 · B outer</x:v>
      </x:c>
      <x:c r="C41" s="8" t="str">
        <x:v>light</x:v>
      </x:c>
      <x:c r="D41" s="8" t="str">
        <x:v>DB1</x:v>
      </x:c>
      <x:c r="E41" s="8" t="str">
        <x:v>L2</x:v>
      </x:c>
      <x:c r="F41" s="11" t="n">
        <x:v>14.475</x:v>
      </x:c>
      <x:c r="G41" s="11" t="n">
        <x:v>6.655</x:v>
      </x:c>
      <x:c r="H41" s="11" t="n">
        <x:v>-5.6</x:v>
      </x:c>
      <x:c r="I41" s="8" t="str">
        <x:v>pendant</x:v>
      </x:c>
      <x:c r="J41" s="8" t="str">
        <x:v>Shown</x:v>
      </x:c>
      <x:c r="K41" s="8" t="str">
        <x:v>On</x:v>
      </x:c>
      <x:c r="L41" s="8" t="str">
        <x:v>330 × 222 × 240</x:v>
      </x:c>
      <x:c r="M41" s="8" t="str">
        <x:v>2300 lm · 3000 K · 36° beam</x:v>
      </x:c>
      <x:c r="N41" s="11" t="n">
        <x:v>19.166666666666668</x:v>
      </x:c>
      <x:c r="O41" s="11" t="n">
        <x:v>0</x:v>
      </x:c>
      <x:c r="P41" s="11" t="n">
        <x:v>-81.99325679083218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>
        <x:v>drop:LC1:L2:light:-1:L35</x:v>
      </x:c>
      <x:c r="AC41" s="8" t="str">
        <x:v>{"lumens":2300,"dim":1,"anchorY":6.66}</x:v>
      </x:c>
    </x:row>
    <x:row r="42" ht="96" customHeight="1">
      <x:c r="A42" s="8" t="str">
        <x:v>L36</x:v>
      </x:c>
      <x:c r="B42" s="8" t="str">
        <x:v>Reading light · axis 4 · B outer · twin</x:v>
      </x:c>
      <x:c r="C42" s="8" t="str">
        <x:v>light</x:v>
      </x:c>
      <x:c r="D42" s="8" t="str">
        <x:v>DB1</x:v>
      </x:c>
      <x:c r="E42" s="8" t="str">
        <x:v>L2</x:v>
      </x:c>
      <x:c r="F42" s="11" t="n">
        <x:v>14.475</x:v>
      </x:c>
      <x:c r="G42" s="11" t="n">
        <x:v>6.655</x:v>
      </x:c>
      <x:c r="H42" s="11" t="n">
        <x:v>-5.6</x:v>
      </x:c>
      <x:c r="I42" s="8" t="str">
        <x:v>pendant</x:v>
      </x:c>
      <x:c r="J42" s="8" t="str">
        <x:v>Shown</x:v>
      </x:c>
      <x:c r="K42" s="8" t="str">
        <x:v>On</x:v>
      </x:c>
      <x:c r="L42" s="8" t="str">
        <x:v>330 × 222 × 240</x:v>
      </x:c>
      <x:c r="M42" s="8" t="str">
        <x:v>2300 lm · 3000 K · 36° beam</x:v>
      </x:c>
      <x:c r="N42" s="11" t="n">
        <x:v>19.166666666666668</x:v>
      </x:c>
      <x:c r="O42" s="11" t="n">
        <x:v>180</x:v>
      </x:c>
      <x:c r="P42" s="11" t="n">
        <x:v>-81.99325679083218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Current</x:v>
      </x:c>
      <x:c r="AB42" s="8" t="str">
        <x:v>drop:LC1:L2:light:-1:L36</x:v>
      </x:c>
      <x:c r="AC42" s="8" t="str">
        <x:v>{"lumens":2300,"dim":1,"anchorY":6.66}</x:v>
      </x:c>
    </x:row>
    <x:row r="43" ht="96" customHeight="1">
      <x:c r="A43" s="8" t="str">
        <x:v>L37</x:v>
      </x:c>
      <x:c r="B43" s="8" t="str">
        <x:v>Reading light · axis 4 · H outer</x:v>
      </x:c>
      <x:c r="C43" s="8" t="str">
        <x:v>light</x:v>
      </x:c>
      <x:c r="D43" s="8" t="str">
        <x:v>DB1</x:v>
      </x:c>
      <x:c r="E43" s="8" t="str">
        <x:v>L2</x:v>
      </x:c>
      <x:c r="F43" s="11" t="n">
        <x:v>14.475</x:v>
      </x:c>
      <x:c r="G43" s="11" t="n">
        <x:v>6.655</x:v>
      </x:c>
      <x:c r="H43" s="11" t="n">
        <x:v>5.6</x:v>
      </x:c>
      <x:c r="I43" s="8" t="str">
        <x:v>pendant</x:v>
      </x:c>
      <x:c r="J43" s="8" t="str">
        <x:v>Shown</x:v>
      </x:c>
      <x:c r="K43" s="8" t="str">
        <x:v>On</x:v>
      </x:c>
      <x:c r="L43" s="8" t="str">
        <x:v>330 × 222 × 240</x:v>
      </x:c>
      <x:c r="M43" s="8" t="str">
        <x:v>2300 lm · 3000 K · 36° beam</x:v>
      </x:c>
      <x:c r="N43" s="11" t="n">
        <x:v>19.166666666666668</x:v>
      </x:c>
      <x:c r="O43" s="11" t="n">
        <x:v>0</x:v>
      </x:c>
      <x:c r="P43" s="11" t="n">
        <x:v>-81.99325679083218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Current</x:v>
      </x:c>
      <x:c r="AB43" s="8" t="str">
        <x:v>drop:LC1:L2:light:1:L37</x:v>
      </x:c>
      <x:c r="AC43" s="8" t="str">
        <x:v>{"lumens":2300,"dim":1,"anchorY":6.66}</x:v>
      </x:c>
    </x:row>
    <x:row r="44" ht="96" customHeight="1">
      <x:c r="A44" s="8" t="str">
        <x:v>L38</x:v>
      </x:c>
      <x:c r="B44" s="8" t="str">
        <x:v>Reading light · axis 4 · H outer · twin</x:v>
      </x:c>
      <x:c r="C44" s="8" t="str">
        <x:v>light</x:v>
      </x:c>
      <x:c r="D44" s="8" t="str">
        <x:v>DB1</x:v>
      </x:c>
      <x:c r="E44" s="8" t="str">
        <x:v>L2</x:v>
      </x:c>
      <x:c r="F44" s="11" t="n">
        <x:v>14.475</x:v>
      </x:c>
      <x:c r="G44" s="11" t="n">
        <x:v>6.655</x:v>
      </x:c>
      <x:c r="H44" s="11" t="n">
        <x:v>5.6</x:v>
      </x:c>
      <x:c r="I44" s="8" t="str">
        <x:v>pendant</x:v>
      </x:c>
      <x:c r="J44" s="8" t="str">
        <x:v>Shown</x:v>
      </x:c>
      <x:c r="K44" s="8" t="str">
        <x:v>On</x:v>
      </x:c>
      <x:c r="L44" s="8" t="str">
        <x:v>330 × 222 × 240</x:v>
      </x:c>
      <x:c r="M44" s="8" t="str">
        <x:v>2300 lm · 3000 K · 36° beam</x:v>
      </x:c>
      <x:c r="N44" s="11" t="n">
        <x:v>19.166666666666668</x:v>
      </x:c>
      <x:c r="O44" s="11" t="n">
        <x:v>180</x:v>
      </x:c>
      <x:c r="P44" s="11" t="n">
        <x:v>-81.99325679083218</x:v>
      </x:c>
      <x:c r="Q44" s="9"/>
      <x:c r="R44" s="9"/>
      <x:c r="S44" s="9"/>
      <x:c r="T44" s="9"/>
      <x:c r="U44" s="9"/>
      <x:c r="V44" s="9"/>
      <x:c r="W44" s="13"/>
      <x:c r="X44" s="13"/>
      <x:c r="Y44" s="13"/>
      <x:c r="Z44" s="9"/>
      <x:c r="AA44" s="8" t="str">
        <x:v>Current</x:v>
      </x:c>
      <x:c r="AB44" s="8" t="str">
        <x:v>drop:LC1:L2:light:1:L38</x:v>
      </x:c>
      <x:c r="AC44" s="8" t="str">
        <x:v>{"lumens":2300,"dim":1,"anchorY":6.66}</x:v>
      </x:c>
    </x:row>
    <x:row r="45" ht="96" customHeight="1">
      <x:c r="A45" s="8" t="str">
        <x:v>L39</x:v>
      </x:c>
      <x:c r="B45" s="8" t="str">
        <x:v>Reading light · axis 5 · B outer</x:v>
      </x:c>
      <x:c r="C45" s="8" t="str">
        <x:v>light</x:v>
      </x:c>
      <x:c r="D45" s="8" t="str">
        <x:v>DB1</x:v>
      </x:c>
      <x:c r="E45" s="8" t="str">
        <x:v>L2</x:v>
      </x:c>
      <x:c r="F45" s="11" t="n">
        <x:v>18.975</x:v>
      </x:c>
      <x:c r="G45" s="11" t="n">
        <x:v>6.655</x:v>
      </x:c>
      <x:c r="H45" s="11" t="n">
        <x:v>-5.6</x:v>
      </x:c>
      <x:c r="I45" s="8" t="str">
        <x:v>pendant</x:v>
      </x:c>
      <x:c r="J45" s="8" t="str">
        <x:v>Shown</x:v>
      </x:c>
      <x:c r="K45" s="8" t="str">
        <x:v>On</x:v>
      </x:c>
      <x:c r="L45" s="8" t="str">
        <x:v>330 × 222 × 240</x:v>
      </x:c>
      <x:c r="M45" s="8" t="str">
        <x:v>2300 lm · 3000 K · 36° beam</x:v>
      </x:c>
      <x:c r="N45" s="11" t="n">
        <x:v>19.166666666666668</x:v>
      </x:c>
      <x:c r="O45" s="11" t="n">
        <x:v>0</x:v>
      </x:c>
      <x:c r="P45" s="11" t="n">
        <x:v>-81.99325679083216</x:v>
      </x:c>
      <x:c r="Q45" s="9"/>
      <x:c r="R45" s="9"/>
      <x:c r="S45" s="9"/>
      <x:c r="T45" s="9"/>
      <x:c r="U45" s="9"/>
      <x:c r="V45" s="9"/>
      <x:c r="W45" s="13"/>
      <x:c r="X45" s="13"/>
      <x:c r="Y45" s="13"/>
      <x:c r="Z45" s="9"/>
      <x:c r="AA45" s="8" t="str">
        <x:v>Current</x:v>
      </x:c>
      <x:c r="AB45" s="8" t="str">
        <x:v>drop:LC1:L2:light:-1:L39</x:v>
      </x:c>
      <x:c r="AC45" s="8" t="str">
        <x:v>{"lumens":2300,"dim":1,"anchorY":6.66}</x:v>
      </x:c>
    </x:row>
    <x:row r="46" ht="96" customHeight="1">
      <x:c r="A46" s="8" t="str">
        <x:v>L40</x:v>
      </x:c>
      <x:c r="B46" s="8" t="str">
        <x:v>Reading light · axis 5 · B outer · twin</x:v>
      </x:c>
      <x:c r="C46" s="8" t="str">
        <x:v>light</x:v>
      </x:c>
      <x:c r="D46" s="8" t="str">
        <x:v>DB1</x:v>
      </x:c>
      <x:c r="E46" s="8" t="str">
        <x:v>L2</x:v>
      </x:c>
      <x:c r="F46" s="11" t="n">
        <x:v>18.975</x:v>
      </x:c>
      <x:c r="G46" s="11" t="n">
        <x:v>6.655</x:v>
      </x:c>
      <x:c r="H46" s="11" t="n">
        <x:v>-5.6</x:v>
      </x:c>
      <x:c r="I46" s="8" t="str">
        <x:v>pendant</x:v>
      </x:c>
      <x:c r="J46" s="8" t="str">
        <x:v>Shown</x:v>
      </x:c>
      <x:c r="K46" s="8" t="str">
        <x:v>On</x:v>
      </x:c>
      <x:c r="L46" s="8" t="str">
        <x:v>330 × 222 × 240</x:v>
      </x:c>
      <x:c r="M46" s="8" t="str">
        <x:v>2300 lm · 3000 K · 36° beam</x:v>
      </x:c>
      <x:c r="N46" s="11" t="n">
        <x:v>19.166666666666668</x:v>
      </x:c>
      <x:c r="O46" s="11" t="n">
        <x:v>180</x:v>
      </x:c>
      <x:c r="P46" s="11" t="n">
        <x:v>-81.99325679083216</x:v>
      </x:c>
      <x:c r="Q46" s="9"/>
      <x:c r="R46" s="9"/>
      <x:c r="S46" s="9"/>
      <x:c r="T46" s="9"/>
      <x:c r="U46" s="9"/>
      <x:c r="V46" s="9"/>
      <x:c r="W46" s="13"/>
      <x:c r="X46" s="13"/>
      <x:c r="Y46" s="13"/>
      <x:c r="Z46" s="9"/>
      <x:c r="AA46" s="8" t="str">
        <x:v>Current</x:v>
      </x:c>
      <x:c r="AB46" s="8" t="str">
        <x:v>drop:LC1:L2:light:-1:L40</x:v>
      </x:c>
      <x:c r="AC46" s="8" t="str">
        <x:v>{"lumens":2300,"dim":1,"anchorY":6.66}</x:v>
      </x:c>
    </x:row>
    <x:row r="47" ht="96" customHeight="1">
      <x:c r="A47" s="8" t="str">
        <x:v>L41</x:v>
      </x:c>
      <x:c r="B47" s="8" t="str">
        <x:v>Reading light · axis 5 · H outer</x:v>
      </x:c>
      <x:c r="C47" s="8" t="str">
        <x:v>light</x:v>
      </x:c>
      <x:c r="D47" s="8" t="str">
        <x:v>DB1</x:v>
      </x:c>
      <x:c r="E47" s="8" t="str">
        <x:v>L2</x:v>
      </x:c>
      <x:c r="F47" s="11" t="n">
        <x:v>18.975</x:v>
      </x:c>
      <x:c r="G47" s="11" t="n">
        <x:v>6.655</x:v>
      </x:c>
      <x:c r="H47" s="11" t="n">
        <x:v>5.6</x:v>
      </x:c>
      <x:c r="I47" s="8" t="str">
        <x:v>pendant</x:v>
      </x:c>
      <x:c r="J47" s="8" t="str">
        <x:v>Shown</x:v>
      </x:c>
      <x:c r="K47" s="8" t="str">
        <x:v>On</x:v>
      </x:c>
      <x:c r="L47" s="8" t="str">
        <x:v>330 × 222 × 240</x:v>
      </x:c>
      <x:c r="M47" s="8" t="str">
        <x:v>2300 lm · 3000 K · 36° beam</x:v>
      </x:c>
      <x:c r="N47" s="11" t="n">
        <x:v>19.166666666666668</x:v>
      </x:c>
      <x:c r="O47" s="11" t="n">
        <x:v>0</x:v>
      </x:c>
      <x:c r="P47" s="11" t="n">
        <x:v>-81.99325679083216</x:v>
      </x:c>
      <x:c r="Q47" s="9"/>
      <x:c r="R47" s="9"/>
      <x:c r="S47" s="9"/>
      <x:c r="T47" s="9"/>
      <x:c r="U47" s="9"/>
      <x:c r="V47" s="9"/>
      <x:c r="W47" s="13"/>
      <x:c r="X47" s="13"/>
      <x:c r="Y47" s="13"/>
      <x:c r="Z47" s="9"/>
      <x:c r="AA47" s="8" t="str">
        <x:v>Current</x:v>
      </x:c>
      <x:c r="AB47" s="8" t="str">
        <x:v>drop:LC1:L2:light:1:L41</x:v>
      </x:c>
      <x:c r="AC47" s="8" t="str">
        <x:v>{"lumens":2300,"dim":1,"anchorY":6.66}</x:v>
      </x:c>
    </x:row>
    <x:row r="48" ht="96" customHeight="1">
      <x:c r="A48" s="8" t="str">
        <x:v>L42</x:v>
      </x:c>
      <x:c r="B48" s="8" t="str">
        <x:v>Reading light · axis 5 · H outer · twin</x:v>
      </x:c>
      <x:c r="C48" s="8" t="str">
        <x:v>light</x:v>
      </x:c>
      <x:c r="D48" s="8" t="str">
        <x:v>DB1</x:v>
      </x:c>
      <x:c r="E48" s="8" t="str">
        <x:v>L2</x:v>
      </x:c>
      <x:c r="F48" s="11" t="n">
        <x:v>18.975</x:v>
      </x:c>
      <x:c r="G48" s="11" t="n">
        <x:v>6.655</x:v>
      </x:c>
      <x:c r="H48" s="11" t="n">
        <x:v>5.6</x:v>
      </x:c>
      <x:c r="I48" s="8" t="str">
        <x:v>pendant</x:v>
      </x:c>
      <x:c r="J48" s="8" t="str">
        <x:v>Shown</x:v>
      </x:c>
      <x:c r="K48" s="8" t="str">
        <x:v>On</x:v>
      </x:c>
      <x:c r="L48" s="8" t="str">
        <x:v>330 × 222 × 240</x:v>
      </x:c>
      <x:c r="M48" s="8" t="str">
        <x:v>2300 lm · 3000 K · 36° beam</x:v>
      </x:c>
      <x:c r="N48" s="11" t="n">
        <x:v>19.166666666666668</x:v>
      </x:c>
      <x:c r="O48" s="11" t="n">
        <x:v>180</x:v>
      </x:c>
      <x:c r="P48" s="11" t="n">
        <x:v>-81.99325679083216</x:v>
      </x:c>
      <x:c r="Q48" s="9"/>
      <x:c r="R48" s="9"/>
      <x:c r="S48" s="9"/>
      <x:c r="T48" s="9"/>
      <x:c r="U48" s="9"/>
      <x:c r="V48" s="9"/>
      <x:c r="W48" s="13"/>
      <x:c r="X48" s="13"/>
      <x:c r="Y48" s="13"/>
      <x:c r="Z48" s="9"/>
      <x:c r="AA48" s="8" t="str">
        <x:v>Current</x:v>
      </x:c>
      <x:c r="AB48" s="8" t="str">
        <x:v>drop:LC1:L2:light:1:L42</x:v>
      </x:c>
      <x:c r="AC48" s="8" t="str">
        <x:v>{"lumens":2300,"dim":1,"anchorY":6.66}</x:v>
      </x:c>
    </x:row>
    <x:row r="49" ht="96" customHeight="1">
      <x:c r="A49" s="8" t="str">
        <x:v>L43</x:v>
      </x:c>
      <x:c r="B49" s="8" t="str">
        <x:v>Reading light · axis 6 · B outer</x:v>
      </x:c>
      <x:c r="C49" s="8" t="str">
        <x:v>light</x:v>
      </x:c>
      <x:c r="D49" s="8" t="str">
        <x:v>DB1</x:v>
      </x:c>
      <x:c r="E49" s="8" t="str">
        <x:v>L2</x:v>
      </x:c>
      <x:c r="F49" s="11" t="n">
        <x:v>23.475</x:v>
      </x:c>
      <x:c r="G49" s="11" t="n">
        <x:v>6.655</x:v>
      </x:c>
      <x:c r="H49" s="11" t="n">
        <x:v>-5.6</x:v>
      </x:c>
      <x:c r="I49" s="8" t="str">
        <x:v>pendant</x:v>
      </x:c>
      <x:c r="J49" s="8" t="str">
        <x:v>Shown</x:v>
      </x:c>
      <x:c r="K49" s="8" t="str">
        <x:v>On</x:v>
      </x:c>
      <x:c r="L49" s="8" t="str">
        <x:v>330 × 222 × 240</x:v>
      </x:c>
      <x:c r="M49" s="8" t="str">
        <x:v>2300 lm · 3000 K · 36° beam</x:v>
      </x:c>
      <x:c r="N49" s="11" t="n">
        <x:v>19.166666666666668</x:v>
      </x:c>
      <x:c r="O49" s="11" t="n">
        <x:v>0</x:v>
      </x:c>
      <x:c r="P49" s="11" t="n">
        <x:v>-81.99325679083216</x:v>
      </x:c>
      <x:c r="Q49" s="9"/>
      <x:c r="R49" s="9"/>
      <x:c r="S49" s="9"/>
      <x:c r="T49" s="9"/>
      <x:c r="U49" s="9"/>
      <x:c r="V49" s="9"/>
      <x:c r="W49" s="13"/>
      <x:c r="X49" s="13"/>
      <x:c r="Y49" s="13"/>
      <x:c r="Z49" s="9"/>
      <x:c r="AA49" s="8" t="str">
        <x:v>Current</x:v>
      </x:c>
      <x:c r="AB49" s="8" t="str">
        <x:v>drop:LC1:L2:light:-1:L43</x:v>
      </x:c>
      <x:c r="AC49" s="8" t="str">
        <x:v>{"lumens":2300,"dim":1,"anchorY":6.66}</x:v>
      </x:c>
    </x:row>
    <x:row r="50" ht="96" customHeight="1">
      <x:c r="A50" s="8" t="str">
        <x:v>L44</x:v>
      </x:c>
      <x:c r="B50" s="8" t="str">
        <x:v>Reading light · axis 6 · B outer · twin</x:v>
      </x:c>
      <x:c r="C50" s="8" t="str">
        <x:v>light</x:v>
      </x:c>
      <x:c r="D50" s="8" t="str">
        <x:v>DB1</x:v>
      </x:c>
      <x:c r="E50" s="8" t="str">
        <x:v>L2</x:v>
      </x:c>
      <x:c r="F50" s="11" t="n">
        <x:v>23.475</x:v>
      </x:c>
      <x:c r="G50" s="11" t="n">
        <x:v>6.655</x:v>
      </x:c>
      <x:c r="H50" s="11" t="n">
        <x:v>-5.6</x:v>
      </x:c>
      <x:c r="I50" s="8" t="str">
        <x:v>pendant</x:v>
      </x:c>
      <x:c r="J50" s="8" t="str">
        <x:v>Shown</x:v>
      </x:c>
      <x:c r="K50" s="8" t="str">
        <x:v>On</x:v>
      </x:c>
      <x:c r="L50" s="8" t="str">
        <x:v>330 × 222 × 240</x:v>
      </x:c>
      <x:c r="M50" s="8" t="str">
        <x:v>2300 lm · 3000 K · 36° beam</x:v>
      </x:c>
      <x:c r="N50" s="11" t="n">
        <x:v>19.166666666666668</x:v>
      </x:c>
      <x:c r="O50" s="11" t="n">
        <x:v>180</x:v>
      </x:c>
      <x:c r="P50" s="11" t="n">
        <x:v>-81.99325679083216</x:v>
      </x:c>
      <x:c r="Q50" s="9"/>
      <x:c r="R50" s="9"/>
      <x:c r="S50" s="9"/>
      <x:c r="T50" s="9"/>
      <x:c r="U50" s="9"/>
      <x:c r="V50" s="9"/>
      <x:c r="W50" s="13"/>
      <x:c r="X50" s="13"/>
      <x:c r="Y50" s="13"/>
      <x:c r="Z50" s="9"/>
      <x:c r="AA50" s="8" t="str">
        <x:v>Current</x:v>
      </x:c>
      <x:c r="AB50" s="8" t="str">
        <x:v>drop:LC1:L2:light:-1:L44</x:v>
      </x:c>
      <x:c r="AC50" s="8" t="str">
        <x:v>{"lumens":2300,"dim":1,"anchorY":6.66}</x:v>
      </x:c>
    </x:row>
    <x:row r="51" ht="96" customHeight="1">
      <x:c r="A51" s="8" t="str">
        <x:v>L45</x:v>
      </x:c>
      <x:c r="B51" s="8" t="str">
        <x:v>Reading light · axis 6 · H outer</x:v>
      </x:c>
      <x:c r="C51" s="8" t="str">
        <x:v>light</x:v>
      </x:c>
      <x:c r="D51" s="8" t="str">
        <x:v>DB1</x:v>
      </x:c>
      <x:c r="E51" s="8" t="str">
        <x:v>L2</x:v>
      </x:c>
      <x:c r="F51" s="11" t="n">
        <x:v>23.475</x:v>
      </x:c>
      <x:c r="G51" s="11" t="n">
        <x:v>6.655</x:v>
      </x:c>
      <x:c r="H51" s="11" t="n">
        <x:v>5.6</x:v>
      </x:c>
      <x:c r="I51" s="8" t="str">
        <x:v>pendant</x:v>
      </x:c>
      <x:c r="J51" s="8" t="str">
        <x:v>Shown</x:v>
      </x:c>
      <x:c r="K51" s="8" t="str">
        <x:v>On</x:v>
      </x:c>
      <x:c r="L51" s="8" t="str">
        <x:v>330 × 222 × 240</x:v>
      </x:c>
      <x:c r="M51" s="8" t="str">
        <x:v>2300 lm · 3000 K · 36° beam</x:v>
      </x:c>
      <x:c r="N51" s="11" t="n">
        <x:v>19.166666666666668</x:v>
      </x:c>
      <x:c r="O51" s="11" t="n">
        <x:v>0</x:v>
      </x:c>
      <x:c r="P51" s="11" t="n">
        <x:v>-81.99325679083216</x:v>
      </x:c>
      <x:c r="Q51" s="9"/>
      <x:c r="R51" s="9"/>
      <x:c r="S51" s="9"/>
      <x:c r="T51" s="9"/>
      <x:c r="U51" s="9"/>
      <x:c r="V51" s="9"/>
      <x:c r="W51" s="13"/>
      <x:c r="X51" s="13"/>
      <x:c r="Y51" s="13"/>
      <x:c r="Z51" s="9"/>
      <x:c r="AA51" s="8" t="str">
        <x:v>Current</x:v>
      </x:c>
      <x:c r="AB51" s="8" t="str">
        <x:v>drop:LC1:L2:light:1:L45</x:v>
      </x:c>
      <x:c r="AC51" s="8" t="str">
        <x:v>{"lumens":2300,"dim":1,"anchorY":6.66}</x:v>
      </x:c>
    </x:row>
    <x:row r="52" ht="96" customHeight="1">
      <x:c r="A52" s="8" t="str">
        <x:v>L46</x:v>
      </x:c>
      <x:c r="B52" s="8" t="str">
        <x:v>Reading light · axis 6 · H outer · twin</x:v>
      </x:c>
      <x:c r="C52" s="8" t="str">
        <x:v>light</x:v>
      </x:c>
      <x:c r="D52" s="8" t="str">
        <x:v>DB1</x:v>
      </x:c>
      <x:c r="E52" s="8" t="str">
        <x:v>L2</x:v>
      </x:c>
      <x:c r="F52" s="11" t="n">
        <x:v>23.475</x:v>
      </x:c>
      <x:c r="G52" s="11" t="n">
        <x:v>6.655</x:v>
      </x:c>
      <x:c r="H52" s="11" t="n">
        <x:v>5.6</x:v>
      </x:c>
      <x:c r="I52" s="8" t="str">
        <x:v>pendant</x:v>
      </x:c>
      <x:c r="J52" s="8" t="str">
        <x:v>Shown</x:v>
      </x:c>
      <x:c r="K52" s="8" t="str">
        <x:v>On</x:v>
      </x:c>
      <x:c r="L52" s="8" t="str">
        <x:v>330 × 222 × 240</x:v>
      </x:c>
      <x:c r="M52" s="8" t="str">
        <x:v>2300 lm · 3000 K · 36° beam</x:v>
      </x:c>
      <x:c r="N52" s="11" t="n">
        <x:v>19.166666666666668</x:v>
      </x:c>
      <x:c r="O52" s="11" t="n">
        <x:v>180</x:v>
      </x:c>
      <x:c r="P52" s="11" t="n">
        <x:v>-81.99325679083216</x:v>
      </x:c>
      <x:c r="Q52" s="9"/>
      <x:c r="R52" s="9"/>
      <x:c r="S52" s="9"/>
      <x:c r="T52" s="9"/>
      <x:c r="U52" s="9"/>
      <x:c r="V52" s="9"/>
      <x:c r="W52" s="13"/>
      <x:c r="X52" s="13"/>
      <x:c r="Y52" s="13"/>
      <x:c r="Z52" s="9"/>
      <x:c r="AA52" s="8" t="str">
        <x:v>Current</x:v>
      </x:c>
      <x:c r="AB52" s="8" t="str">
        <x:v>drop:LC1:L2:light:1:L46</x:v>
      </x:c>
      <x:c r="AC52" s="8" t="str">
        <x:v>{"lumens":2300,"dim":1,"anchorY":6.66}</x:v>
      </x:c>
    </x:row>
    <x:row r="53" ht="96" customHeight="1">
      <x:c r="A53" s="8" t="str">
        <x:v>L47</x:v>
      </x:c>
      <x:c r="B53" s="8" t="str">
        <x:v>Reading light · axis 7 · B outer</x:v>
      </x:c>
      <x:c r="C53" s="8" t="str">
        <x:v>light</x:v>
      </x:c>
      <x:c r="D53" s="8" t="str">
        <x:v>DB1</x:v>
      </x:c>
      <x:c r="E53" s="8" t="str">
        <x:v>L2</x:v>
      </x:c>
      <x:c r="F53" s="11" t="n">
        <x:v>27.975</x:v>
      </x:c>
      <x:c r="G53" s="11" t="n">
        <x:v>6.655</x:v>
      </x:c>
      <x:c r="H53" s="11" t="n">
        <x:v>-5.6</x:v>
      </x:c>
      <x:c r="I53" s="8" t="str">
        <x:v>pendant</x:v>
      </x:c>
      <x:c r="J53" s="8" t="str">
        <x:v>Shown</x:v>
      </x:c>
      <x:c r="K53" s="8" t="str">
        <x:v>On</x:v>
      </x:c>
      <x:c r="L53" s="8" t="str">
        <x:v>330 × 222 × 240</x:v>
      </x:c>
      <x:c r="M53" s="8" t="str">
        <x:v>2300 lm · 3000 K · 36° beam</x:v>
      </x:c>
      <x:c r="N53" s="11" t="n">
        <x:v>19.166666666666668</x:v>
      </x:c>
      <x:c r="O53" s="11" t="n">
        <x:v>0</x:v>
      </x:c>
      <x:c r="P53" s="11" t="n">
        <x:v>-81.99325679083216</x:v>
      </x:c>
      <x:c r="Q53" s="9"/>
      <x:c r="R53" s="9"/>
      <x:c r="S53" s="9"/>
      <x:c r="T53" s="9"/>
      <x:c r="U53" s="9"/>
      <x:c r="V53" s="9"/>
      <x:c r="W53" s="13"/>
      <x:c r="X53" s="13"/>
      <x:c r="Y53" s="13"/>
      <x:c r="Z53" s="9"/>
      <x:c r="AA53" s="8" t="str">
        <x:v>Current</x:v>
      </x:c>
      <x:c r="AB53" s="8" t="str">
        <x:v>drop:LC1:L2:light:-1:L47</x:v>
      </x:c>
      <x:c r="AC53" s="8" t="str">
        <x:v>{"lumens":2300,"dim":1,"anchorY":6.66}</x:v>
      </x:c>
    </x:row>
    <x:row r="54" ht="96" customHeight="1">
      <x:c r="A54" s="8" t="str">
        <x:v>L48</x:v>
      </x:c>
      <x:c r="B54" s="8" t="str">
        <x:v>Reading light · axis 7 · B outer · twin</x:v>
      </x:c>
      <x:c r="C54" s="8" t="str">
        <x:v>light</x:v>
      </x:c>
      <x:c r="D54" s="8" t="str">
        <x:v>DB1</x:v>
      </x:c>
      <x:c r="E54" s="8" t="str">
        <x:v>L2</x:v>
      </x:c>
      <x:c r="F54" s="11" t="n">
        <x:v>27.975</x:v>
      </x:c>
      <x:c r="G54" s="11" t="n">
        <x:v>6.655</x:v>
      </x:c>
      <x:c r="H54" s="11" t="n">
        <x:v>-5.6</x:v>
      </x:c>
      <x:c r="I54" s="8" t="str">
        <x:v>pendant</x:v>
      </x:c>
      <x:c r="J54" s="8" t="str">
        <x:v>Shown</x:v>
      </x:c>
      <x:c r="K54" s="8" t="str">
        <x:v>On</x:v>
      </x:c>
      <x:c r="L54" s="8" t="str">
        <x:v>330 × 222 × 240</x:v>
      </x:c>
      <x:c r="M54" s="8" t="str">
        <x:v>2300 lm · 3000 K · 36° beam</x:v>
      </x:c>
      <x:c r="N54" s="11" t="n">
        <x:v>19.166666666666668</x:v>
      </x:c>
      <x:c r="O54" s="11" t="n">
        <x:v>180</x:v>
      </x:c>
      <x:c r="P54" s="11" t="n">
        <x:v>-81.99325679083216</x:v>
      </x:c>
      <x:c r="Q54" s="9"/>
      <x:c r="R54" s="9"/>
      <x:c r="S54" s="9"/>
      <x:c r="T54" s="9"/>
      <x:c r="U54" s="9"/>
      <x:c r="V54" s="9"/>
      <x:c r="W54" s="13"/>
      <x:c r="X54" s="13"/>
      <x:c r="Y54" s="13"/>
      <x:c r="Z54" s="9"/>
      <x:c r="AA54" s="8" t="str">
        <x:v>Current</x:v>
      </x:c>
      <x:c r="AB54" s="8" t="str">
        <x:v>drop:LC1:L2:light:-1:L48</x:v>
      </x:c>
      <x:c r="AC54" s="8" t="str">
        <x:v>{"lumens":2300,"dim":1,"anchorY":6.66}</x:v>
      </x:c>
    </x:row>
    <x:row r="55" ht="96" customHeight="1">
      <x:c r="A55" s="8" t="str">
        <x:v>L49</x:v>
      </x:c>
      <x:c r="B55" s="8" t="str">
        <x:v>Reading light · axis 7 · H outer</x:v>
      </x:c>
      <x:c r="C55" s="8" t="str">
        <x:v>light</x:v>
      </x:c>
      <x:c r="D55" s="8" t="str">
        <x:v>DB1</x:v>
      </x:c>
      <x:c r="E55" s="8" t="str">
        <x:v>L2</x:v>
      </x:c>
      <x:c r="F55" s="11" t="n">
        <x:v>27.975</x:v>
      </x:c>
      <x:c r="G55" s="11" t="n">
        <x:v>6.655</x:v>
      </x:c>
      <x:c r="H55" s="11" t="n">
        <x:v>5.6</x:v>
      </x:c>
      <x:c r="I55" s="8" t="str">
        <x:v>pendant</x:v>
      </x:c>
      <x:c r="J55" s="8" t="str">
        <x:v>Shown</x:v>
      </x:c>
      <x:c r="K55" s="8" t="str">
        <x:v>On</x:v>
      </x:c>
      <x:c r="L55" s="8" t="str">
        <x:v>330 × 222 × 240</x:v>
      </x:c>
      <x:c r="M55" s="8" t="str">
        <x:v>2300 lm · 3000 K · 36° beam</x:v>
      </x:c>
      <x:c r="N55" s="11" t="n">
        <x:v>19.166666666666668</x:v>
      </x:c>
      <x:c r="O55" s="11" t="n">
        <x:v>0</x:v>
      </x:c>
      <x:c r="P55" s="11" t="n">
        <x:v>-81.99325679083216</x:v>
      </x:c>
      <x:c r="Q55" s="9"/>
      <x:c r="R55" s="9"/>
      <x:c r="S55" s="9"/>
      <x:c r="T55" s="9"/>
      <x:c r="U55" s="9"/>
      <x:c r="V55" s="9"/>
      <x:c r="W55" s="13"/>
      <x:c r="X55" s="13"/>
      <x:c r="Y55" s="13"/>
      <x:c r="Z55" s="9"/>
      <x:c r="AA55" s="8" t="str">
        <x:v>Current</x:v>
      </x:c>
      <x:c r="AB55" s="8" t="str">
        <x:v>drop:LC1:L2:light:1:L49</x:v>
      </x:c>
      <x:c r="AC55" s="8" t="str">
        <x:v>{"lumens":2300,"dim":1,"anchorY":6.66}</x:v>
      </x:c>
    </x:row>
    <x:row r="56" ht="96" customHeight="1">
      <x:c r="A56" s="8" t="str">
        <x:v>L50</x:v>
      </x:c>
      <x:c r="B56" s="8" t="str">
        <x:v>Reading light · axis 7 · H outer · twin</x:v>
      </x:c>
      <x:c r="C56" s="8" t="str">
        <x:v>light</x:v>
      </x:c>
      <x:c r="D56" s="8" t="str">
        <x:v>DB1</x:v>
      </x:c>
      <x:c r="E56" s="8" t="str">
        <x:v>L2</x:v>
      </x:c>
      <x:c r="F56" s="11" t="n">
        <x:v>27.975</x:v>
      </x:c>
      <x:c r="G56" s="11" t="n">
        <x:v>6.655</x:v>
      </x:c>
      <x:c r="H56" s="11" t="n">
        <x:v>5.6</x:v>
      </x:c>
      <x:c r="I56" s="8" t="str">
        <x:v>pendant</x:v>
      </x:c>
      <x:c r="J56" s="8" t="str">
        <x:v>Shown</x:v>
      </x:c>
      <x:c r="K56" s="8" t="str">
        <x:v>On</x:v>
      </x:c>
      <x:c r="L56" s="8" t="str">
        <x:v>330 × 222 × 240</x:v>
      </x:c>
      <x:c r="M56" s="8" t="str">
        <x:v>2300 lm · 3000 K · 36° beam</x:v>
      </x:c>
      <x:c r="N56" s="11" t="n">
        <x:v>19.166666666666668</x:v>
      </x:c>
      <x:c r="O56" s="11" t="n">
        <x:v>180</x:v>
      </x:c>
      <x:c r="P56" s="11" t="n">
        <x:v>-81.99325679083216</x:v>
      </x:c>
      <x:c r="Q56" s="9"/>
      <x:c r="R56" s="9"/>
      <x:c r="S56" s="9"/>
      <x:c r="T56" s="9"/>
      <x:c r="U56" s="9"/>
      <x:c r="V56" s="9"/>
      <x:c r="W56" s="13"/>
      <x:c r="X56" s="13"/>
      <x:c r="Y56" s="13"/>
      <x:c r="Z56" s="9"/>
      <x:c r="AA56" s="8" t="str">
        <x:v>Current</x:v>
      </x:c>
      <x:c r="AB56" s="8" t="str">
        <x:v>drop:LC1:L2:light:1:L50</x:v>
      </x:c>
      <x:c r="AC56" s="8" t="str">
        <x:v>{"lumens":2300,"dim":1,"anchorY":6.66}</x:v>
      </x:c>
    </x:row>
    <x:row r="57" ht="96" customHeight="1">
      <x:c r="A57" s="8" t="str">
        <x:v>L51</x:v>
      </x:c>
      <x:c r="B57" s="8" t="str">
        <x:v>Reading light · axis 8 · B outer</x:v>
      </x:c>
      <x:c r="C57" s="8" t="str">
        <x:v>light</x:v>
      </x:c>
      <x:c r="D57" s="8" t="str">
        <x:v>DB1</x:v>
      </x:c>
      <x:c r="E57" s="8" t="str">
        <x:v>L2</x:v>
      </x:c>
      <x:c r="F57" s="11" t="n">
        <x:v>32.475</x:v>
      </x:c>
      <x:c r="G57" s="11" t="n">
        <x:v>6.655</x:v>
      </x:c>
      <x:c r="H57" s="11" t="n">
        <x:v>-5.6</x:v>
      </x:c>
      <x:c r="I57" s="8" t="str">
        <x:v>pendant</x:v>
      </x:c>
      <x:c r="J57" s="8" t="str">
        <x:v>Shown</x:v>
      </x:c>
      <x:c r="K57" s="8" t="str">
        <x:v>On</x:v>
      </x:c>
      <x:c r="L57" s="8" t="str">
        <x:v>330 × 222 × 240</x:v>
      </x:c>
      <x:c r="M57" s="8" t="str">
        <x:v>2300 lm · 3000 K · 36° beam</x:v>
      </x:c>
      <x:c r="N57" s="11" t="n">
        <x:v>19.166666666666668</x:v>
      </x:c>
      <x:c r="O57" s="11" t="n">
        <x:v>0</x:v>
      </x:c>
      <x:c r="P57" s="11" t="n">
        <x:v>-81.99325679083216</x:v>
      </x:c>
      <x:c r="Q57" s="9"/>
      <x:c r="R57" s="9"/>
      <x:c r="S57" s="9"/>
      <x:c r="T57" s="9"/>
      <x:c r="U57" s="9"/>
      <x:c r="V57" s="9"/>
      <x:c r="W57" s="13"/>
      <x:c r="X57" s="13"/>
      <x:c r="Y57" s="13"/>
      <x:c r="Z57" s="9"/>
      <x:c r="AA57" s="8" t="str">
        <x:v>Current</x:v>
      </x:c>
      <x:c r="AB57" s="8" t="str">
        <x:v>drop:LC1:L2:light:-1:L51</x:v>
      </x:c>
      <x:c r="AC57" s="8" t="str">
        <x:v>{"lumens":2300,"dim":1,"anchorY":6.66}</x:v>
      </x:c>
    </x:row>
    <x:row r="58" ht="96" customHeight="1">
      <x:c r="A58" s="8" t="str">
        <x:v>L52</x:v>
      </x:c>
      <x:c r="B58" s="8" t="str">
        <x:v>Reading light · axis 8 · B outer · twin</x:v>
      </x:c>
      <x:c r="C58" s="8" t="str">
        <x:v>light</x:v>
      </x:c>
      <x:c r="D58" s="8" t="str">
        <x:v>DB1</x:v>
      </x:c>
      <x:c r="E58" s="8" t="str">
        <x:v>L2</x:v>
      </x:c>
      <x:c r="F58" s="11" t="n">
        <x:v>32.475</x:v>
      </x:c>
      <x:c r="G58" s="11" t="n">
        <x:v>6.655</x:v>
      </x:c>
      <x:c r="H58" s="11" t="n">
        <x:v>-5.6</x:v>
      </x:c>
      <x:c r="I58" s="8" t="str">
        <x:v>pendant</x:v>
      </x:c>
      <x:c r="J58" s="8" t="str">
        <x:v>Shown</x:v>
      </x:c>
      <x:c r="K58" s="8" t="str">
        <x:v>On</x:v>
      </x:c>
      <x:c r="L58" s="8" t="str">
        <x:v>330 × 222 × 240</x:v>
      </x:c>
      <x:c r="M58" s="8" t="str">
        <x:v>2300 lm · 3000 K · 36° beam</x:v>
      </x:c>
      <x:c r="N58" s="11" t="n">
        <x:v>19.166666666666668</x:v>
      </x:c>
      <x:c r="O58" s="11" t="n">
        <x:v>180</x:v>
      </x:c>
      <x:c r="P58" s="11" t="n">
        <x:v>-81.99325679083216</x:v>
      </x:c>
      <x:c r="Q58" s="9"/>
      <x:c r="R58" s="9"/>
      <x:c r="S58" s="9"/>
      <x:c r="T58" s="9"/>
      <x:c r="U58" s="9"/>
      <x:c r="V58" s="9"/>
      <x:c r="W58" s="13"/>
      <x:c r="X58" s="13"/>
      <x:c r="Y58" s="13"/>
      <x:c r="Z58" s="9"/>
      <x:c r="AA58" s="8" t="str">
        <x:v>Current</x:v>
      </x:c>
      <x:c r="AB58" s="8" t="str">
        <x:v>drop:LC1:L2:light:-1:L52</x:v>
      </x:c>
      <x:c r="AC58" s="8" t="str">
        <x:v>{"lumens":2300,"dim":1,"anchorY":6.66}</x:v>
      </x:c>
    </x:row>
    <x:row r="59" ht="96" customHeight="1">
      <x:c r="A59" s="8" t="str">
        <x:v>L53</x:v>
      </x:c>
      <x:c r="B59" s="8" t="str">
        <x:v>Reading light · axis 8 · H outer</x:v>
      </x:c>
      <x:c r="C59" s="8" t="str">
        <x:v>light</x:v>
      </x:c>
      <x:c r="D59" s="8" t="str">
        <x:v>DB1</x:v>
      </x:c>
      <x:c r="E59" s="8" t="str">
        <x:v>L2</x:v>
      </x:c>
      <x:c r="F59" s="11" t="n">
        <x:v>32.475</x:v>
      </x:c>
      <x:c r="G59" s="11" t="n">
        <x:v>6.655</x:v>
      </x:c>
      <x:c r="H59" s="11" t="n">
        <x:v>5.6</x:v>
      </x:c>
      <x:c r="I59" s="8" t="str">
        <x:v>pendant</x:v>
      </x:c>
      <x:c r="J59" s="8" t="str">
        <x:v>Shown</x:v>
      </x:c>
      <x:c r="K59" s="8" t="str">
        <x:v>On</x:v>
      </x:c>
      <x:c r="L59" s="8" t="str">
        <x:v>330 × 222 × 240</x:v>
      </x:c>
      <x:c r="M59" s="8" t="str">
        <x:v>2300 lm · 3000 K · 36° beam</x:v>
      </x:c>
      <x:c r="N59" s="11" t="n">
        <x:v>19.166666666666668</x:v>
      </x:c>
      <x:c r="O59" s="11" t="n">
        <x:v>0</x:v>
      </x:c>
      <x:c r="P59" s="11" t="n">
        <x:v>-81.99325679083216</x:v>
      </x:c>
      <x:c r="Q59" s="9"/>
      <x:c r="R59" s="9"/>
      <x:c r="S59" s="9"/>
      <x:c r="T59" s="9"/>
      <x:c r="U59" s="9"/>
      <x:c r="V59" s="9"/>
      <x:c r="W59" s="13"/>
      <x:c r="X59" s="13"/>
      <x:c r="Y59" s="13"/>
      <x:c r="Z59" s="9"/>
      <x:c r="AA59" s="8" t="str">
        <x:v>Current</x:v>
      </x:c>
      <x:c r="AB59" s="8" t="str">
        <x:v>drop:LC1:L2:light:1:L53</x:v>
      </x:c>
      <x:c r="AC59" s="8" t="str">
        <x:v>{"lumens":2300,"dim":1,"anchorY":6.66}</x:v>
      </x:c>
    </x:row>
    <x:row r="60" ht="96" customHeight="1">
      <x:c r="A60" s="8" t="str">
        <x:v>L54</x:v>
      </x:c>
      <x:c r="B60" s="8" t="str">
        <x:v>Reading light · axis 8 · H outer · twin</x:v>
      </x:c>
      <x:c r="C60" s="8" t="str">
        <x:v>light</x:v>
      </x:c>
      <x:c r="D60" s="8" t="str">
        <x:v>DB1</x:v>
      </x:c>
      <x:c r="E60" s="8" t="str">
        <x:v>L2</x:v>
      </x:c>
      <x:c r="F60" s="11" t="n">
        <x:v>32.475</x:v>
      </x:c>
      <x:c r="G60" s="11" t="n">
        <x:v>6.655</x:v>
      </x:c>
      <x:c r="H60" s="11" t="n">
        <x:v>5.6</x:v>
      </x:c>
      <x:c r="I60" s="8" t="str">
        <x:v>pendant</x:v>
      </x:c>
      <x:c r="J60" s="8" t="str">
        <x:v>Shown</x:v>
      </x:c>
      <x:c r="K60" s="8" t="str">
        <x:v>On</x:v>
      </x:c>
      <x:c r="L60" s="8" t="str">
        <x:v>330 × 222 × 240</x:v>
      </x:c>
      <x:c r="M60" s="8" t="str">
        <x:v>2300 lm · 3000 K · 36° beam</x:v>
      </x:c>
      <x:c r="N60" s="11" t="n">
        <x:v>19.166666666666668</x:v>
      </x:c>
      <x:c r="O60" s="11" t="n">
        <x:v>180</x:v>
      </x:c>
      <x:c r="P60" s="11" t="n">
        <x:v>-81.99325679083216</x:v>
      </x:c>
      <x:c r="Q60" s="9"/>
      <x:c r="R60" s="9"/>
      <x:c r="S60" s="9"/>
      <x:c r="T60" s="9"/>
      <x:c r="U60" s="9"/>
      <x:c r="V60" s="9"/>
      <x:c r="W60" s="13"/>
      <x:c r="X60" s="13"/>
      <x:c r="Y60" s="13"/>
      <x:c r="Z60" s="9"/>
      <x:c r="AA60" s="8" t="str">
        <x:v>Current</x:v>
      </x:c>
      <x:c r="AB60" s="8" t="str">
        <x:v>drop:LC1:L2:light:1:L54</x:v>
      </x:c>
      <x:c r="AC60" s="8" t="str">
        <x:v>{"lumens":2300,"dim":1,"anchorY":6.66}</x:v>
      </x:c>
    </x:row>
    <x:row r="61" ht="96" customHeight="1">
      <x:c r="A61" s="8" t="str">
        <x:v>L55</x:v>
      </x:c>
      <x:c r="B61" s="8" t="str">
        <x:v>Reading light · axis 9 · B outer</x:v>
      </x:c>
      <x:c r="C61" s="8" t="str">
        <x:v>light</x:v>
      </x:c>
      <x:c r="D61" s="8" t="str">
        <x:v>DB1</x:v>
      </x:c>
      <x:c r="E61" s="8" t="str">
        <x:v>L2</x:v>
      </x:c>
      <x:c r="F61" s="11" t="n">
        <x:v>36.975</x:v>
      </x:c>
      <x:c r="G61" s="11" t="n">
        <x:v>6.655</x:v>
      </x:c>
      <x:c r="H61" s="11" t="n">
        <x:v>-5.6</x:v>
      </x:c>
      <x:c r="I61" s="8" t="str">
        <x:v>pendant</x:v>
      </x:c>
      <x:c r="J61" s="8" t="str">
        <x:v>Shown</x:v>
      </x:c>
      <x:c r="K61" s="8" t="str">
        <x:v>On</x:v>
      </x:c>
      <x:c r="L61" s="8" t="str">
        <x:v>330 × 222 × 240</x:v>
      </x:c>
      <x:c r="M61" s="8" t="str">
        <x:v>2300 lm · 3000 K · 36° beam</x:v>
      </x:c>
      <x:c r="N61" s="11" t="n">
        <x:v>19.166666666666668</x:v>
      </x:c>
      <x:c r="O61" s="11" t="n">
        <x:v>0</x:v>
      </x:c>
      <x:c r="P61" s="11" t="n">
        <x:v>-81.99325679083216</x:v>
      </x:c>
      <x:c r="Q61" s="9"/>
      <x:c r="R61" s="9"/>
      <x:c r="S61" s="9"/>
      <x:c r="T61" s="9"/>
      <x:c r="U61" s="9"/>
      <x:c r="V61" s="9"/>
      <x:c r="W61" s="13"/>
      <x:c r="X61" s="13"/>
      <x:c r="Y61" s="13"/>
      <x:c r="Z61" s="9"/>
      <x:c r="AA61" s="8" t="str">
        <x:v>Current</x:v>
      </x:c>
      <x:c r="AB61" s="8" t="str">
        <x:v>drop:LC1:L2:light:-1:L55</x:v>
      </x:c>
      <x:c r="AC61" s="8" t="str">
        <x:v>{"lumens":2300,"dim":1,"anchorY":6.66}</x:v>
      </x:c>
    </x:row>
    <x:row r="62" ht="96" customHeight="1">
      <x:c r="A62" s="8" t="str">
        <x:v>L56</x:v>
      </x:c>
      <x:c r="B62" s="8" t="str">
        <x:v>Reading light · axis 9 · B outer · twin</x:v>
      </x:c>
      <x:c r="C62" s="8" t="str">
        <x:v>light</x:v>
      </x:c>
      <x:c r="D62" s="8" t="str">
        <x:v>DB1</x:v>
      </x:c>
      <x:c r="E62" s="8" t="str">
        <x:v>L2</x:v>
      </x:c>
      <x:c r="F62" s="11" t="n">
        <x:v>36.975</x:v>
      </x:c>
      <x:c r="G62" s="11" t="n">
        <x:v>6.655</x:v>
      </x:c>
      <x:c r="H62" s="11" t="n">
        <x:v>-5.6</x:v>
      </x:c>
      <x:c r="I62" s="8" t="str">
        <x:v>pendant</x:v>
      </x:c>
      <x:c r="J62" s="8" t="str">
        <x:v>Shown</x:v>
      </x:c>
      <x:c r="K62" s="8" t="str">
        <x:v>On</x:v>
      </x:c>
      <x:c r="L62" s="8" t="str">
        <x:v>330 × 222 × 240</x:v>
      </x:c>
      <x:c r="M62" s="8" t="str">
        <x:v>2300 lm · 3000 K · 36° beam</x:v>
      </x:c>
      <x:c r="N62" s="11" t="n">
        <x:v>19.166666666666668</x:v>
      </x:c>
      <x:c r="O62" s="11" t="n">
        <x:v>180</x:v>
      </x:c>
      <x:c r="P62" s="11" t="n">
        <x:v>-81.99325679083216</x:v>
      </x:c>
      <x:c r="Q62" s="9"/>
      <x:c r="R62" s="9"/>
      <x:c r="S62" s="9"/>
      <x:c r="T62" s="9"/>
      <x:c r="U62" s="9"/>
      <x:c r="V62" s="9"/>
      <x:c r="W62" s="13"/>
      <x:c r="X62" s="13"/>
      <x:c r="Y62" s="13"/>
      <x:c r="Z62" s="9"/>
      <x:c r="AA62" s="8" t="str">
        <x:v>Current</x:v>
      </x:c>
      <x:c r="AB62" s="8" t="str">
        <x:v>drop:LC1:L2:light:-1:L56</x:v>
      </x:c>
      <x:c r="AC62" s="8" t="str">
        <x:v>{"lumens":2300,"dim":1,"anchorY":6.66}</x:v>
      </x:c>
    </x:row>
    <x:row r="63" ht="96" customHeight="1">
      <x:c r="A63" s="8" t="str">
        <x:v>L57</x:v>
      </x:c>
      <x:c r="B63" s="8" t="str">
        <x:v>Reading light · axis 9 · H outer</x:v>
      </x:c>
      <x:c r="C63" s="8" t="str">
        <x:v>light</x:v>
      </x:c>
      <x:c r="D63" s="8" t="str">
        <x:v>DB1</x:v>
      </x:c>
      <x:c r="E63" s="8" t="str">
        <x:v>L2</x:v>
      </x:c>
      <x:c r="F63" s="11" t="n">
        <x:v>36.975</x:v>
      </x:c>
      <x:c r="G63" s="11" t="n">
        <x:v>6.655</x:v>
      </x:c>
      <x:c r="H63" s="11" t="n">
        <x:v>5.6</x:v>
      </x:c>
      <x:c r="I63" s="8" t="str">
        <x:v>pendant</x:v>
      </x:c>
      <x:c r="J63" s="8" t="str">
        <x:v>Shown</x:v>
      </x:c>
      <x:c r="K63" s="8" t="str">
        <x:v>On</x:v>
      </x:c>
      <x:c r="L63" s="8" t="str">
        <x:v>330 × 222 × 240</x:v>
      </x:c>
      <x:c r="M63" s="8" t="str">
        <x:v>2300 lm · 3000 K · 36° beam</x:v>
      </x:c>
      <x:c r="N63" s="11" t="n">
        <x:v>19.166666666666668</x:v>
      </x:c>
      <x:c r="O63" s="11" t="n">
        <x:v>0</x:v>
      </x:c>
      <x:c r="P63" s="11" t="n">
        <x:v>-81.99325679083216</x:v>
      </x:c>
      <x:c r="Q63" s="9"/>
      <x:c r="R63" s="9"/>
      <x:c r="S63" s="9"/>
      <x:c r="T63" s="9"/>
      <x:c r="U63" s="9"/>
      <x:c r="V63" s="9"/>
      <x:c r="W63" s="13"/>
      <x:c r="X63" s="13"/>
      <x:c r="Y63" s="13"/>
      <x:c r="Z63" s="9"/>
      <x:c r="AA63" s="8" t="str">
        <x:v>Current</x:v>
      </x:c>
      <x:c r="AB63" s="8" t="str">
        <x:v>drop:LC1:L2:light:1:L57</x:v>
      </x:c>
      <x:c r="AC63" s="8" t="str">
        <x:v>{"lumens":2300,"dim":1,"anchorY":6.66}</x:v>
      </x:c>
    </x:row>
    <x:row r="64" ht="96" customHeight="1">
      <x:c r="A64" s="8" t="str">
        <x:v>L58</x:v>
      </x:c>
      <x:c r="B64" s="8" t="str">
        <x:v>Reading light · axis 9 · H outer · twin</x:v>
      </x:c>
      <x:c r="C64" s="8" t="str">
        <x:v>light</x:v>
      </x:c>
      <x:c r="D64" s="8" t="str">
        <x:v>DB1</x:v>
      </x:c>
      <x:c r="E64" s="8" t="str">
        <x:v>L2</x:v>
      </x:c>
      <x:c r="F64" s="11" t="n">
        <x:v>36.975</x:v>
      </x:c>
      <x:c r="G64" s="11" t="n">
        <x:v>6.655</x:v>
      </x:c>
      <x:c r="H64" s="11" t="n">
        <x:v>5.6</x:v>
      </x:c>
      <x:c r="I64" s="8" t="str">
        <x:v>pendant</x:v>
      </x:c>
      <x:c r="J64" s="8" t="str">
        <x:v>Shown</x:v>
      </x:c>
      <x:c r="K64" s="8" t="str">
        <x:v>On</x:v>
      </x:c>
      <x:c r="L64" s="8" t="str">
        <x:v>330 × 222 × 240</x:v>
      </x:c>
      <x:c r="M64" s="8" t="str">
        <x:v>2300 lm · 3000 K · 36° beam</x:v>
      </x:c>
      <x:c r="N64" s="11" t="n">
        <x:v>19.166666666666668</x:v>
      </x:c>
      <x:c r="O64" s="11" t="n">
        <x:v>180</x:v>
      </x:c>
      <x:c r="P64" s="11" t="n">
        <x:v>-81.99325679083216</x:v>
      </x:c>
      <x:c r="Q64" s="9"/>
      <x:c r="R64" s="9"/>
      <x:c r="S64" s="9"/>
      <x:c r="T64" s="9"/>
      <x:c r="U64" s="9"/>
      <x:c r="V64" s="9"/>
      <x:c r="W64" s="13"/>
      <x:c r="X64" s="13"/>
      <x:c r="Y64" s="13"/>
      <x:c r="Z64" s="9"/>
      <x:c r="AA64" s="8" t="str">
        <x:v>Current</x:v>
      </x:c>
      <x:c r="AB64" s="8" t="str">
        <x:v>drop:LC1:L2:light:1:L58</x:v>
      </x:c>
      <x:c r="AC64" s="8" t="str">
        <x:v>{"lumens":2300,"dim":1,"anchorY":6.66}</x:v>
      </x:c>
    </x:row>
    <x:row r="65" ht="96" customHeight="1">
      <x:c r="A65" s="8" t="str">
        <x:v>L59</x:v>
      </x:c>
      <x:c r="B65" s="8" t="str">
        <x:v>Rear rows light · entrance façade · B</x:v>
      </x:c>
      <x:c r="C65" s="8" t="str">
        <x:v>light</x:v>
      </x:c>
      <x:c r="D65" s="8" t="str">
        <x:v>DB1</x:v>
      </x:c>
      <x:c r="E65" s="8" t="str">
        <x:v>L1</x:v>
      </x:c>
      <x:c r="F65" s="11" t="n">
        <x:v>2.65</x:v>
      </x:c>
      <x:c r="G65" s="11" t="n">
        <x:v>3.45</x:v>
      </x:c>
      <x:c r="H65" s="11" t="n">
        <x:v>-4.2</x:v>
      </x:c>
      <x:c r="I65" s="8" t="str">
        <x:v>wall</x:v>
      </x:c>
      <x:c r="J65" s="8" t="str">
        <x:v>Shown</x:v>
      </x:c>
      <x:c r="K65" s="8" t="str">
        <x:v>On</x:v>
      </x:c>
      <x:c r="L65" s="8" t="str">
        <x:v>330 × 222 × 240</x:v>
      </x:c>
      <x:c r="M65" s="8" t="str">
        <x:v>6000 lm · 3000 K · 44° beam</x:v>
      </x:c>
      <x:c r="N65" s="11" t="n">
        <x:v>50</x:v>
      </x:c>
      <x:c r="O65" s="11" t="n">
        <x:v>-8.202354244625583</x:v>
      </x:c>
      <x:c r="P65" s="11" t="n">
        <x:v>-25.295093017219816</x:v>
      </x:c>
      <x:c r="Q65" s="9"/>
      <x:c r="R65" s="9"/>
      <x:c r="S65" s="9"/>
      <x:c r="T65" s="9"/>
      <x:c r="U65" s="9"/>
      <x:c r="V65" s="9"/>
      <x:c r="W65" s="13"/>
      <x:c r="X65" s="13"/>
      <x:c r="Y65" s="13"/>
      <x:c r="Z65" s="9"/>
      <x:c r="AA65" s="8" t="str">
        <x:v>Current</x:v>
      </x:c>
      <x:c r="AB65" s="8" t="str">
        <x:v>drop:LC1:L1:light:-1:L59</x:v>
      </x:c>
      <x:c r="AC65" s="8" t="str">
        <x:v>{"lumens":6000,"dim":1}</x:v>
      </x:c>
    </x:row>
    <x:row r="66" ht="96" customHeight="1">
      <x:c r="A66" s="8" t="str">
        <x:v>L60</x:v>
      </x:c>
      <x:c r="B66" s="8" t="str">
        <x:v>Rear centre light · entrance façade · B</x:v>
      </x:c>
      <x:c r="C66" s="8" t="str">
        <x:v>light</x:v>
      </x:c>
      <x:c r="D66" s="8" t="str">
        <x:v>DB1</x:v>
      </x:c>
      <x:c r="E66" s="8" t="str">
        <x:v>L1</x:v>
      </x:c>
      <x:c r="F66" s="11" t="n">
        <x:v>2.65</x:v>
      </x:c>
      <x:c r="G66" s="11" t="n">
        <x:v>5.95</x:v>
      </x:c>
      <x:c r="H66" s="11" t="n">
        <x:v>-4.2</x:v>
      </x:c>
      <x:c r="I66" s="8" t="str">
        <x:v>wall</x:v>
      </x:c>
      <x:c r="J66" s="8" t="str">
        <x:v>Shown</x:v>
      </x:c>
      <x:c r="K66" s="8" t="str">
        <x:v>On</x:v>
      </x:c>
      <x:c r="L66" s="8" t="str">
        <x:v>330 × 222 × 240</x:v>
      </x:c>
      <x:c r="M66" s="8" t="str">
        <x:v>3300 lm · 3000 K · 50° beam</x:v>
      </x:c>
      <x:c r="N66" s="11" t="n">
        <x:v>27.5</x:v>
      </x:c>
      <x:c r="O66" s="11" t="n">
        <x:v>40.200163886095304</x:v>
      </x:c>
      <x:c r="P66" s="11" t="n">
        <x:v>-47.93390762227523</x:v>
      </x:c>
      <x:c r="Q66" s="9"/>
      <x:c r="R66" s="9"/>
      <x:c r="S66" s="9"/>
      <x:c r="T66" s="9"/>
      <x:c r="U66" s="9"/>
      <x:c r="V66" s="9"/>
      <x:c r="W66" s="13"/>
      <x:c r="X66" s="13"/>
      <x:c r="Y66" s="13"/>
      <x:c r="Z66" s="9"/>
      <x:c r="AA66" s="8" t="str">
        <x:v>Current</x:v>
      </x:c>
      <x:c r="AB66" s="8" t="str">
        <x:v>drop:LC1:L1:light:-1:L60</x:v>
      </x:c>
      <x:c r="AC66" s="8" t="str">
        <x:v>{"lumens":3300,"dim":1}</x:v>
      </x:c>
    </x:row>
    <x:row r="67" ht="96" customHeight="1">
      <x:c r="A67" s="8" t="str">
        <x:v>L61</x:v>
      </x:c>
      <x:c r="B67" s="8" t="str">
        <x:v>Rear rows light · entrance façade · H</x:v>
      </x:c>
      <x:c r="C67" s="8" t="str">
        <x:v>light</x:v>
      </x:c>
      <x:c r="D67" s="8" t="str">
        <x:v>DB1</x:v>
      </x:c>
      <x:c r="E67" s="8" t="str">
        <x:v>L1</x:v>
      </x:c>
      <x:c r="F67" s="11" t="n">
        <x:v>2.65</x:v>
      </x:c>
      <x:c r="G67" s="11" t="n">
        <x:v>3.45</x:v>
      </x:c>
      <x:c r="H67" s="11" t="n">
        <x:v>4.2</x:v>
      </x:c>
      <x:c r="I67" s="8" t="str">
        <x:v>wall</x:v>
      </x:c>
      <x:c r="J67" s="8" t="str">
        <x:v>Shown</x:v>
      </x:c>
      <x:c r="K67" s="8" t="str">
        <x:v>On</x:v>
      </x:c>
      <x:c r="L67" s="8" t="str">
        <x:v>330 × 222 × 240</x:v>
      </x:c>
      <x:c r="M67" s="8" t="str">
        <x:v>6000 lm · 3000 K · 44° beam</x:v>
      </x:c>
      <x:c r="N67" s="11" t="n">
        <x:v>50</x:v>
      </x:c>
      <x:c r="O67" s="11" t="n">
        <x:v>8.202354244625583</x:v>
      </x:c>
      <x:c r="P67" s="11" t="n">
        <x:v>-25.295093017219816</x:v>
      </x:c>
      <x:c r="Q67" s="9"/>
      <x:c r="R67" s="9"/>
      <x:c r="S67" s="9"/>
      <x:c r="T67" s="9"/>
      <x:c r="U67" s="9"/>
      <x:c r="V67" s="9"/>
      <x:c r="W67" s="13"/>
      <x:c r="X67" s="13"/>
      <x:c r="Y67" s="13"/>
      <x:c r="Z67" s="9"/>
      <x:c r="AA67" s="8" t="str">
        <x:v>Current</x:v>
      </x:c>
      <x:c r="AB67" s="8" t="str">
        <x:v>drop:LC1:L1:light:1:L61</x:v>
      </x:c>
      <x:c r="AC67" s="8" t="str">
        <x:v>{"lumens":6000,"dim":1}</x:v>
      </x:c>
    </x:row>
    <x:row r="68" ht="96" customHeight="1">
      <x:c r="A68" s="8" t="str">
        <x:v>L62</x:v>
      </x:c>
      <x:c r="B68" s="8" t="str">
        <x:v>Rear centre light · entrance façade · H</x:v>
      </x:c>
      <x:c r="C68" s="8" t="str">
        <x:v>light</x:v>
      </x:c>
      <x:c r="D68" s="8" t="str">
        <x:v>DB1</x:v>
      </x:c>
      <x:c r="E68" s="8" t="str">
        <x:v>L1</x:v>
      </x:c>
      <x:c r="F68" s="11" t="n">
        <x:v>2.65</x:v>
      </x:c>
      <x:c r="G68" s="11" t="n">
        <x:v>5.95</x:v>
      </x:c>
      <x:c r="H68" s="11" t="n">
        <x:v>4.2</x:v>
      </x:c>
      <x:c r="I68" s="8" t="str">
        <x:v>wall</x:v>
      </x:c>
      <x:c r="J68" s="8" t="str">
        <x:v>Shown</x:v>
      </x:c>
      <x:c r="K68" s="8" t="str">
        <x:v>On</x:v>
      </x:c>
      <x:c r="L68" s="8" t="str">
        <x:v>330 × 222 × 240</x:v>
      </x:c>
      <x:c r="M68" s="8" t="str">
        <x:v>3300 lm · 3000 K · 50° beam</x:v>
      </x:c>
      <x:c r="N68" s="11" t="n">
        <x:v>27.5</x:v>
      </x:c>
      <x:c r="O68" s="11" t="n">
        <x:v>-40.200163886095304</x:v>
      </x:c>
      <x:c r="P68" s="11" t="n">
        <x:v>-47.93390762227523</x:v>
      </x:c>
      <x:c r="Q68" s="9"/>
      <x:c r="R68" s="9"/>
      <x:c r="S68" s="9"/>
      <x:c r="T68" s="9"/>
      <x:c r="U68" s="9"/>
      <x:c r="V68" s="9"/>
      <x:c r="W68" s="13"/>
      <x:c r="X68" s="13"/>
      <x:c r="Y68" s="13"/>
      <x:c r="Z68" s="9"/>
      <x:c r="AA68" s="8" t="str">
        <x:v>Current</x:v>
      </x:c>
      <x:c r="AB68" s="8" t="str">
        <x:v>drop:LC1:L1:light:1:L62</x:v>
      </x:c>
      <x:c r="AC68" s="8" t="str">
        <x:v>{"lumens":3300,"dim":1}</x:v>
      </x:c>
    </x:row>
    <x:row r="69" ht="96" customHeight="1">
      <x:c r="A69" s="8" t="str">
        <x:v>L63</x:v>
      </x:c>
      <x:c r="B69" s="8" t="str">
        <x:v>Wing light · B · front block · back rows</x:v>
      </x:c>
      <x:c r="C69" s="8" t="str">
        <x:v>light</x:v>
      </x:c>
      <x:c r="D69" s="8" t="str">
        <x:v>DB1</x:v>
      </x:c>
      <x:c r="E69" s="8" t="str">
        <x:v>L8</x:v>
      </x:c>
      <x:c r="F69" s="11" t="n">
        <x:v>40.26</x:v>
      </x:c>
      <x:c r="G69" s="11" t="n">
        <x:v>4.15</x:v>
      </x:c>
      <x:c r="H69" s="11" t="n">
        <x:v>-13.06</x:v>
      </x:c>
      <x:c r="I69" s="8" t="str">
        <x:v>wall</x:v>
      </x:c>
      <x:c r="J69" s="8" t="str">
        <x:v>Shown</x:v>
      </x:c>
      <x:c r="K69" s="8" t="str">
        <x:v>On</x:v>
      </x:c>
      <x:c r="L69" s="8" t="str">
        <x:v>330 × 222 × 240</x:v>
      </x:c>
      <x:c r="M69" s="8" t="str">
        <x:v>3800 lm · 3000 K · 50° beam</x:v>
      </x:c>
      <x:c r="N69" s="11" t="n">
        <x:v>31.666666666666668</x:v>
      </x:c>
      <x:c r="O69" s="11" t="n">
        <x:v>123.95905981967627</x:v>
      </x:c>
      <x:c r="P69" s="11" t="n">
        <x:v>-57.22322254475144</x:v>
      </x:c>
      <x:c r="Q69" s="9"/>
      <x:c r="R69" s="9"/>
      <x:c r="S69" s="9"/>
      <x:c r="T69" s="9"/>
      <x:c r="U69" s="9"/>
      <x:c r="V69" s="9"/>
      <x:c r="W69" s="13"/>
      <x:c r="X69" s="13"/>
      <x:c r="Y69" s="13"/>
      <x:c r="Z69" s="9"/>
      <x:c r="AA69" s="8" t="str">
        <x:v>Current</x:v>
      </x:c>
      <x:c r="AB69" s="8" t="str">
        <x:v>drop:LC1:L8:light:-1:L63</x:v>
      </x:c>
      <x:c r="AC69" s="8" t="str">
        <x:v>{"lumens":3800,"dim":1}</x:v>
      </x:c>
    </x:row>
    <x:row r="70" ht="96" customHeight="1">
      <x:c r="A70" s="8" t="str">
        <x:v>L64</x:v>
      </x:c>
      <x:c r="B70" s="8" t="str">
        <x:v>Wing light · B · front block · front rows</x:v>
      </x:c>
      <x:c r="C70" s="8" t="str">
        <x:v>light</x:v>
      </x:c>
      <x:c r="D70" s="8" t="str">
        <x:v>DB1</x:v>
      </x:c>
      <x:c r="E70" s="8" t="str">
        <x:v>L8</x:v>
      </x:c>
      <x:c r="F70" s="11" t="n">
        <x:v>40.26</x:v>
      </x:c>
      <x:c r="G70" s="11" t="n">
        <x:v>2.92</x:v>
      </x:c>
      <x:c r="H70" s="11" t="n">
        <x:v>-13.06</x:v>
      </x:c>
      <x:c r="I70" s="8" t="str">
        <x:v>wall</x:v>
      </x:c>
      <x:c r="J70" s="8" t="str">
        <x:v>Shown</x:v>
      </x:c>
      <x:c r="K70" s="8" t="str">
        <x:v>On</x:v>
      </x:c>
      <x:c r="L70" s="8" t="str">
        <x:v>330 × 222 × 240</x:v>
      </x:c>
      <x:c r="M70" s="8" t="str">
        <x:v>4000 lm · 3000 K · 36° beam</x:v>
      </x:c>
      <x:c r="N70" s="11" t="n">
        <x:v>33.333333333333336</x:v>
      </x:c>
      <x:c r="O70" s="11" t="n">
        <x:v>106.84380855172743</x:v>
      </x:c>
      <x:c r="P70" s="11" t="n">
        <x:v>-28.17456054434298</x:v>
      </x:c>
      <x:c r="Q70" s="9"/>
      <x:c r="R70" s="9"/>
      <x:c r="S70" s="9"/>
      <x:c r="T70" s="9"/>
      <x:c r="U70" s="9"/>
      <x:c r="V70" s="9"/>
      <x:c r="W70" s="13"/>
      <x:c r="X70" s="13"/>
      <x:c r="Y70" s="13"/>
      <x:c r="Z70" s="9"/>
      <x:c r="AA70" s="8" t="str">
        <x:v>Current</x:v>
      </x:c>
      <x:c r="AB70" s="8" t="str">
        <x:v>drop:LC1:L8:light:-1:L64</x:v>
      </x:c>
      <x:c r="AC70" s="8" t="str">
        <x:v>{"lumens":4000,"dim":1}</x:v>
      </x:c>
    </x:row>
    <x:row r="71" ht="96" customHeight="1">
      <x:c r="A71" s="8" t="str">
        <x:v>L65</x:v>
      </x:c>
      <x:c r="B71" s="8" t="str">
        <x:v>Wing light · B · rear block · back rows</x:v>
      </x:c>
      <x:c r="C71" s="8" t="str">
        <x:v>light</x:v>
      </x:c>
      <x:c r="D71" s="8" t="str">
        <x:v>DB1</x:v>
      </x:c>
      <x:c r="E71" s="8" t="str">
        <x:v>L8</x:v>
      </x:c>
      <x:c r="F71" s="11" t="n">
        <x:v>40.86</x:v>
      </x:c>
      <x:c r="G71" s="11" t="n">
        <x:v>4.15</x:v>
      </x:c>
      <x:c r="H71" s="11" t="n">
        <x:v>-13.06</x:v>
      </x:c>
      <x:c r="I71" s="8" t="str">
        <x:v>wall</x:v>
      </x:c>
      <x:c r="J71" s="8" t="str">
        <x:v>Shown</x:v>
      </x:c>
      <x:c r="K71" s="8" t="str">
        <x:v>On</x:v>
      </x:c>
      <x:c r="L71" s="8" t="str">
        <x:v>330 × 222 × 240</x:v>
      </x:c>
      <x:c r="M71" s="8" t="str">
        <x:v>3800 lm · 3000 K · 50° beam</x:v>
      </x:c>
      <x:c r="N71" s="11" t="n">
        <x:v>31.666666666666668</x:v>
      </x:c>
      <x:c r="O71" s="11" t="n">
        <x:v>55.24408744645866</x:v>
      </x:c>
      <x:c r="P71" s="11" t="n">
        <x:v>-56.97477586582589</x:v>
      </x:c>
      <x:c r="Q71" s="9"/>
      <x:c r="R71" s="9"/>
      <x:c r="S71" s="9"/>
      <x:c r="T71" s="9"/>
      <x:c r="U71" s="9"/>
      <x:c r="V71" s="9"/>
      <x:c r="W71" s="13"/>
      <x:c r="X71" s="13"/>
      <x:c r="Y71" s="13"/>
      <x:c r="Z71" s="9"/>
      <x:c r="AA71" s="8" t="str">
        <x:v>Current</x:v>
      </x:c>
      <x:c r="AB71" s="8" t="str">
        <x:v>drop:LC1:L8:light:-1:L65</x:v>
      </x:c>
      <x:c r="AC71" s="8" t="str">
        <x:v>{"lumens":3800,"dim":1}</x:v>
      </x:c>
    </x:row>
    <x:row r="72" ht="96" customHeight="1">
      <x:c r="A72" s="8" t="str">
        <x:v>L66</x:v>
      </x:c>
      <x:c r="B72" s="8" t="str">
        <x:v>Wing light · B · rear block · front rows</x:v>
      </x:c>
      <x:c r="C72" s="8" t="str">
        <x:v>light</x:v>
      </x:c>
      <x:c r="D72" s="8" t="str">
        <x:v>DB1</x:v>
      </x:c>
      <x:c r="E72" s="8" t="str">
        <x:v>L8</x:v>
      </x:c>
      <x:c r="F72" s="11" t="n">
        <x:v>40.86</x:v>
      </x:c>
      <x:c r="G72" s="11" t="n">
        <x:v>2.92</x:v>
      </x:c>
      <x:c r="H72" s="11" t="n">
        <x:v>-13.06</x:v>
      </x:c>
      <x:c r="I72" s="8" t="str">
        <x:v>wall</x:v>
      </x:c>
      <x:c r="J72" s="8" t="str">
        <x:v>Shown</x:v>
      </x:c>
      <x:c r="K72" s="8" t="str">
        <x:v>On</x:v>
      </x:c>
      <x:c r="L72" s="8" t="str">
        <x:v>330 × 222 × 240</x:v>
      </x:c>
      <x:c r="M72" s="8" t="str">
        <x:v>4000 lm · 3000 K · 36° beam</x:v>
      </x:c>
      <x:c r="N72" s="11" t="n">
        <x:v>33.333333333333336</x:v>
      </x:c>
      <x:c r="O72" s="11" t="n">
        <x:v>72.67591046002903</x:v>
      </x:c>
      <x:c r="P72" s="11" t="n">
        <x:v>-28.113168044859762</x:v>
      </x:c>
      <x:c r="Q72" s="9"/>
      <x:c r="R72" s="9"/>
      <x:c r="S72" s="9"/>
      <x:c r="T72" s="9"/>
      <x:c r="U72" s="9"/>
      <x:c r="V72" s="9"/>
      <x:c r="W72" s="13"/>
      <x:c r="X72" s="13"/>
      <x:c r="Y72" s="13"/>
      <x:c r="Z72" s="9"/>
      <x:c r="AA72" s="8" t="str">
        <x:v>Current</x:v>
      </x:c>
      <x:c r="AB72" s="8" t="str">
        <x:v>drop:LC1:L8:light:-1:L66</x:v>
      </x:c>
      <x:c r="AC72" s="8" t="str">
        <x:v>{"lumens":4000,"dim":1}</x:v>
      </x:c>
    </x:row>
    <x:row r="73" ht="96" customHeight="1">
      <x:c r="A73" s="8" t="str">
        <x:v>L67</x:v>
      </x:c>
      <x:c r="B73" s="8" t="str">
        <x:v>Wing light · H · front block · back rows</x:v>
      </x:c>
      <x:c r="C73" s="8" t="str">
        <x:v>light</x:v>
      </x:c>
      <x:c r="D73" s="8" t="str">
        <x:v>DB1</x:v>
      </x:c>
      <x:c r="E73" s="8" t="str">
        <x:v>L8</x:v>
      </x:c>
      <x:c r="F73" s="11" t="n">
        <x:v>40.26</x:v>
      </x:c>
      <x:c r="G73" s="11" t="n">
        <x:v>4.15</x:v>
      </x:c>
      <x:c r="H73" s="11" t="n">
        <x:v>13.06</x:v>
      </x:c>
      <x:c r="I73" s="8" t="str">
        <x:v>wall</x:v>
      </x:c>
      <x:c r="J73" s="8" t="str">
        <x:v>Shown</x:v>
      </x:c>
      <x:c r="K73" s="8" t="str">
        <x:v>On</x:v>
      </x:c>
      <x:c r="L73" s="8" t="str">
        <x:v>330 × 222 × 240</x:v>
      </x:c>
      <x:c r="M73" s="8" t="str">
        <x:v>3800 lm · 3000 K · 50° beam</x:v>
      </x:c>
      <x:c r="N73" s="11" t="n">
        <x:v>31.666666666666668</x:v>
      </x:c>
      <x:c r="O73" s="11" t="n">
        <x:v>-123.95905981967627</x:v>
      </x:c>
      <x:c r="P73" s="11" t="n">
        <x:v>-57.22322254475144</x:v>
      </x:c>
      <x:c r="Q73" s="9"/>
      <x:c r="R73" s="9"/>
      <x:c r="S73" s="9"/>
      <x:c r="T73" s="9"/>
      <x:c r="U73" s="9"/>
      <x:c r="V73" s="9"/>
      <x:c r="W73" s="13"/>
      <x:c r="X73" s="13"/>
      <x:c r="Y73" s="13"/>
      <x:c r="Z73" s="9"/>
      <x:c r="AA73" s="8" t="str">
        <x:v>Current</x:v>
      </x:c>
      <x:c r="AB73" s="8" t="str">
        <x:v>drop:LC1:L8:light:1:L67</x:v>
      </x:c>
      <x:c r="AC73" s="8" t="str">
        <x:v>{"lumens":3800,"dim":1}</x:v>
      </x:c>
    </x:row>
    <x:row r="74" ht="96" customHeight="1">
      <x:c r="A74" s="8" t="str">
        <x:v>L68</x:v>
      </x:c>
      <x:c r="B74" s="8" t="str">
        <x:v>Wing light · H · front block · front rows</x:v>
      </x:c>
      <x:c r="C74" s="8" t="str">
        <x:v>light</x:v>
      </x:c>
      <x:c r="D74" s="8" t="str">
        <x:v>DB1</x:v>
      </x:c>
      <x:c r="E74" s="8" t="str">
        <x:v>L8</x:v>
      </x:c>
      <x:c r="F74" s="11" t="n">
        <x:v>40.26</x:v>
      </x:c>
      <x:c r="G74" s="11" t="n">
        <x:v>2.92</x:v>
      </x:c>
      <x:c r="H74" s="11" t="n">
        <x:v>13.06</x:v>
      </x:c>
      <x:c r="I74" s="8" t="str">
        <x:v>wall</x:v>
      </x:c>
      <x:c r="J74" s="8" t="str">
        <x:v>Shown</x:v>
      </x:c>
      <x:c r="K74" s="8" t="str">
        <x:v>On</x:v>
      </x:c>
      <x:c r="L74" s="8" t="str">
        <x:v>330 × 222 × 240</x:v>
      </x:c>
      <x:c r="M74" s="8" t="str">
        <x:v>4000 lm · 3000 K · 36° beam</x:v>
      </x:c>
      <x:c r="N74" s="11" t="n">
        <x:v>33.333333333333336</x:v>
      </x:c>
      <x:c r="O74" s="11" t="n">
        <x:v>-106.84380855172743</x:v>
      </x:c>
      <x:c r="P74" s="11" t="n">
        <x:v>-28.17456054434298</x:v>
      </x:c>
      <x:c r="Q74" s="9"/>
      <x:c r="R74" s="9"/>
      <x:c r="S74" s="9"/>
      <x:c r="T74" s="9"/>
      <x:c r="U74" s="9"/>
      <x:c r="V74" s="9"/>
      <x:c r="W74" s="13"/>
      <x:c r="X74" s="13"/>
      <x:c r="Y74" s="13"/>
      <x:c r="Z74" s="9"/>
      <x:c r="AA74" s="8" t="str">
        <x:v>Current</x:v>
      </x:c>
      <x:c r="AB74" s="8" t="str">
        <x:v>drop:LC1:L8:light:1:L68</x:v>
      </x:c>
      <x:c r="AC74" s="8" t="str">
        <x:v>{"lumens":4000,"dim":1}</x:v>
      </x:c>
    </x:row>
    <x:row r="75" ht="96" customHeight="1">
      <x:c r="A75" s="8" t="str">
        <x:v>L69</x:v>
      </x:c>
      <x:c r="B75" s="8" t="str">
        <x:v>Wing light · H · rear block · back rows</x:v>
      </x:c>
      <x:c r="C75" s="8" t="str">
        <x:v>light</x:v>
      </x:c>
      <x:c r="D75" s="8" t="str">
        <x:v>DB1</x:v>
      </x:c>
      <x:c r="E75" s="8" t="str">
        <x:v>L8</x:v>
      </x:c>
      <x:c r="F75" s="11" t="n">
        <x:v>40.86</x:v>
      </x:c>
      <x:c r="G75" s="11" t="n">
        <x:v>4.15</x:v>
      </x:c>
      <x:c r="H75" s="11" t="n">
        <x:v>13.06</x:v>
      </x:c>
      <x:c r="I75" s="8" t="str">
        <x:v>wall</x:v>
      </x:c>
      <x:c r="J75" s="8" t="str">
        <x:v>Shown</x:v>
      </x:c>
      <x:c r="K75" s="8" t="str">
        <x:v>On</x:v>
      </x:c>
      <x:c r="L75" s="8" t="str">
        <x:v>330 × 222 × 240</x:v>
      </x:c>
      <x:c r="M75" s="8" t="str">
        <x:v>3800 lm · 3000 K · 50° beam</x:v>
      </x:c>
      <x:c r="N75" s="11" t="n">
        <x:v>31.666666666666668</x:v>
      </x:c>
      <x:c r="O75" s="11" t="n">
        <x:v>-55.24408744645866</x:v>
      </x:c>
      <x:c r="P75" s="11" t="n">
        <x:v>-56.97477586582589</x:v>
      </x:c>
      <x:c r="Q75" s="9"/>
      <x:c r="R75" s="9"/>
      <x:c r="S75" s="9"/>
      <x:c r="T75" s="9"/>
      <x:c r="U75" s="9"/>
      <x:c r="V75" s="9"/>
      <x:c r="W75" s="13"/>
      <x:c r="X75" s="13"/>
      <x:c r="Y75" s="13"/>
      <x:c r="Z75" s="9"/>
      <x:c r="AA75" s="8" t="str">
        <x:v>Current</x:v>
      </x:c>
      <x:c r="AB75" s="8" t="str">
        <x:v>drop:LC1:L8:light:1:L69</x:v>
      </x:c>
      <x:c r="AC75" s="8" t="str">
        <x:v>{"lumens":3800,"dim":1}</x:v>
      </x:c>
    </x:row>
    <x:row r="76" ht="96" customHeight="1">
      <x:c r="A76" s="8" t="str">
        <x:v>L70</x:v>
      </x:c>
      <x:c r="B76" s="8" t="str">
        <x:v>Wing light · H · rear block · front rows</x:v>
      </x:c>
      <x:c r="C76" s="8" t="str">
        <x:v>light</x:v>
      </x:c>
      <x:c r="D76" s="8" t="str">
        <x:v>DB1</x:v>
      </x:c>
      <x:c r="E76" s="8" t="str">
        <x:v>L8</x:v>
      </x:c>
      <x:c r="F76" s="11" t="n">
        <x:v>40.86</x:v>
      </x:c>
      <x:c r="G76" s="11" t="n">
        <x:v>2.92</x:v>
      </x:c>
      <x:c r="H76" s="11" t="n">
        <x:v>13.06</x:v>
      </x:c>
      <x:c r="I76" s="8" t="str">
        <x:v>wall</x:v>
      </x:c>
      <x:c r="J76" s="8" t="str">
        <x:v>Shown</x:v>
      </x:c>
      <x:c r="K76" s="8" t="str">
        <x:v>On</x:v>
      </x:c>
      <x:c r="L76" s="8" t="str">
        <x:v>330 × 222 × 240</x:v>
      </x:c>
      <x:c r="M76" s="8" t="str">
        <x:v>4000 lm · 3000 K · 36° beam</x:v>
      </x:c>
      <x:c r="N76" s="11" t="n">
        <x:v>33.333333333333336</x:v>
      </x:c>
      <x:c r="O76" s="11" t="n">
        <x:v>-72.67591046002903</x:v>
      </x:c>
      <x:c r="P76" s="11" t="n">
        <x:v>-28.113168044859762</x:v>
      </x:c>
      <x:c r="Q76" s="9"/>
      <x:c r="R76" s="9"/>
      <x:c r="S76" s="9"/>
      <x:c r="T76" s="9"/>
      <x:c r="U76" s="9"/>
      <x:c r="V76" s="9"/>
      <x:c r="W76" s="13"/>
      <x:c r="X76" s="13"/>
      <x:c r="Y76" s="13"/>
      <x:c r="Z76" s="9"/>
      <x:c r="AA76" s="8" t="str">
        <x:v>Current</x:v>
      </x:c>
      <x:c r="AB76" s="8" t="str">
        <x:v>drop:LC1:L8:light:1:L70</x:v>
      </x:c>
      <x:c r="AC76" s="8" t="str">
        <x:v>{"lumens":4000,"dim":1}</x:v>
      </x:c>
    </x:row>
    <x:row r="77" ht="96" customHeight="1">
      <x:c r="A77" s="8" t="str">
        <x:v>L71</x:v>
      </x:c>
      <x:c r="B77" s="8" t="str">
        <x:v>Roof uplight · axis 3</x:v>
      </x:c>
      <x:c r="C77" s="8" t="str">
        <x:v>light</x:v>
      </x:c>
      <x:c r="D77" s="8" t="str">
        <x:v>DB1</x:v>
      </x:c>
      <x:c r="E77" s="8" t="str">
        <x:v>LA</x:v>
      </x:c>
      <x:c r="F77" s="11" t="n">
        <x:v>9.975</x:v>
      </x:c>
      <x:c r="G77" s="11" t="n">
        <x:v>9.18</x:v>
      </x:c>
      <x:c r="H77" s="11" t="n">
        <x:v>0</x:v>
      </x:c>
      <x:c r="I77" s="8" t="str">
        <x:v>floor</x:v>
      </x:c>
      <x:c r="J77" s="8" t="str">
        <x:v>Shown</x:v>
      </x:c>
      <x:c r="K77" s="8" t="str">
        <x:v>On</x:v>
      </x:c>
      <x:c r="L77" s="8" t="str">
        <x:v>320 × 220 × 300</x:v>
      </x:c>
      <x:c r="M77" s="8" t="str">
        <x:v>4000 lm · 2700 K · 100° beam</x:v>
      </x:c>
      <x:c r="N77" s="11" t="n">
        <x:v>32</x:v>
      </x:c>
      <x:c r="O77" s="11" t="n">
        <x:v>90</x:v>
      </x:c>
      <x:c r="P77" s="11" t="n">
        <x:v>90</x:v>
      </x:c>
      <x:c r="Q77" s="9"/>
      <x:c r="R77" s="9"/>
      <x:c r="S77" s="9"/>
      <x:c r="T77" s="9"/>
      <x:c r="U77" s="9"/>
      <x:c r="V77" s="9"/>
      <x:c r="W77" s="13"/>
      <x:c r="X77" s="13"/>
      <x:c r="Y77" s="13"/>
      <x:c r="Z77" s="9"/>
      <x:c r="AA77" s="8" t="str">
        <x:v>Current</x:v>
      </x:c>
      <x:c r="AB77" s="8" t="str">
        <x:v>drop:LC1:LA:light:-1:L71</x:v>
      </x:c>
      <x:c r="AC77" s="8" t="str">
        <x:v>{"dim":1}</x:v>
      </x:c>
    </x:row>
    <x:row r="78" ht="96" customHeight="1">
      <x:c r="A78" s="8" t="str">
        <x:v>L72</x:v>
      </x:c>
      <x:c r="B78" s="8" t="str">
        <x:v>Roof uplight · axis 4</x:v>
      </x:c>
      <x:c r="C78" s="8" t="str">
        <x:v>light</x:v>
      </x:c>
      <x:c r="D78" s="8" t="str">
        <x:v>DB1</x:v>
      </x:c>
      <x:c r="E78" s="8" t="str">
        <x:v>LA</x:v>
      </x:c>
      <x:c r="F78" s="11" t="n">
        <x:v>14.475</x:v>
      </x:c>
      <x:c r="G78" s="11" t="n">
        <x:v>9.18</x:v>
      </x:c>
      <x:c r="H78" s="11" t="n">
        <x:v>0</x:v>
      </x:c>
      <x:c r="I78" s="8" t="str">
        <x:v>floor</x:v>
      </x:c>
      <x:c r="J78" s="8" t="str">
        <x:v>Shown</x:v>
      </x:c>
      <x:c r="K78" s="8" t="str">
        <x:v>On</x:v>
      </x:c>
      <x:c r="L78" s="8" t="str">
        <x:v>320 × 220 × 300</x:v>
      </x:c>
      <x:c r="M78" s="8" t="str">
        <x:v>4000 lm · 2700 K · 100° beam</x:v>
      </x:c>
      <x:c r="N78" s="11" t="n">
        <x:v>32</x:v>
      </x:c>
      <x:c r="O78" s="11" t="n">
        <x:v>90</x:v>
      </x:c>
      <x:c r="P78" s="11" t="n">
        <x:v>90</x:v>
      </x:c>
      <x:c r="Q78" s="9"/>
      <x:c r="R78" s="9"/>
      <x:c r="S78" s="9"/>
      <x:c r="T78" s="9"/>
      <x:c r="U78" s="9"/>
      <x:c r="V78" s="9"/>
      <x:c r="W78" s="13"/>
      <x:c r="X78" s="13"/>
      <x:c r="Y78" s="13"/>
      <x:c r="Z78" s="9"/>
      <x:c r="AA78" s="8" t="str">
        <x:v>Current</x:v>
      </x:c>
      <x:c r="AB78" s="8" t="str">
        <x:v>drop:LC1:LA:light:-1:L72</x:v>
      </x:c>
      <x:c r="AC78" s="8" t="str">
        <x:v>{"dim":1}</x:v>
      </x:c>
    </x:row>
    <x:row r="79" ht="96" customHeight="1">
      <x:c r="A79" s="8" t="str">
        <x:v>L73</x:v>
      </x:c>
      <x:c r="B79" s="8" t="str">
        <x:v>Roof uplight · axis 5</x:v>
      </x:c>
      <x:c r="C79" s="8" t="str">
        <x:v>light</x:v>
      </x:c>
      <x:c r="D79" s="8" t="str">
        <x:v>DB1</x:v>
      </x:c>
      <x:c r="E79" s="8" t="str">
        <x:v>LA</x:v>
      </x:c>
      <x:c r="F79" s="11" t="n">
        <x:v>18.975</x:v>
      </x:c>
      <x:c r="G79" s="11" t="n">
        <x:v>9.18</x:v>
      </x:c>
      <x:c r="H79" s="11" t="n">
        <x:v>0</x:v>
      </x:c>
      <x:c r="I79" s="8" t="str">
        <x:v>floor</x:v>
      </x:c>
      <x:c r="J79" s="8" t="str">
        <x:v>Shown</x:v>
      </x:c>
      <x:c r="K79" s="8" t="str">
        <x:v>On</x:v>
      </x:c>
      <x:c r="L79" s="8" t="str">
        <x:v>320 × 220 × 300</x:v>
      </x:c>
      <x:c r="M79" s="8" t="str">
        <x:v>4000 lm · 2700 K · 100° beam</x:v>
      </x:c>
      <x:c r="N79" s="11" t="n">
        <x:v>32</x:v>
      </x:c>
      <x:c r="O79" s="11" t="n">
        <x:v>90</x:v>
      </x:c>
      <x:c r="P79" s="11" t="n">
        <x:v>90</x:v>
      </x:c>
      <x:c r="Q79" s="9"/>
      <x:c r="R79" s="9"/>
      <x:c r="S79" s="9"/>
      <x:c r="T79" s="9"/>
      <x:c r="U79" s="9"/>
      <x:c r="V79" s="9"/>
      <x:c r="W79" s="13"/>
      <x:c r="X79" s="13"/>
      <x:c r="Y79" s="13"/>
      <x:c r="Z79" s="9"/>
      <x:c r="AA79" s="8" t="str">
        <x:v>Current</x:v>
      </x:c>
      <x:c r="AB79" s="8" t="str">
        <x:v>drop:LC1:LA:light:-1:L73</x:v>
      </x:c>
      <x:c r="AC79" s="8" t="str">
        <x:v>{"dim":1}</x:v>
      </x:c>
    </x:row>
    <x:row r="80" ht="96" customHeight="1">
      <x:c r="A80" s="8" t="str">
        <x:v>L74</x:v>
      </x:c>
      <x:c r="B80" s="8" t="str">
        <x:v>Roof uplight · axis 6</x:v>
      </x:c>
      <x:c r="C80" s="8" t="str">
        <x:v>light</x:v>
      </x:c>
      <x:c r="D80" s="8" t="str">
        <x:v>DB1</x:v>
      </x:c>
      <x:c r="E80" s="8" t="str">
        <x:v>LA</x:v>
      </x:c>
      <x:c r="F80" s="11" t="n">
        <x:v>23.475</x:v>
      </x:c>
      <x:c r="G80" s="11" t="n">
        <x:v>9.18</x:v>
      </x:c>
      <x:c r="H80" s="11" t="n">
        <x:v>0</x:v>
      </x:c>
      <x:c r="I80" s="8" t="str">
        <x:v>floor</x:v>
      </x:c>
      <x:c r="J80" s="8" t="str">
        <x:v>Shown</x:v>
      </x:c>
      <x:c r="K80" s="8" t="str">
        <x:v>On</x:v>
      </x:c>
      <x:c r="L80" s="8" t="str">
        <x:v>320 × 220 × 300</x:v>
      </x:c>
      <x:c r="M80" s="8" t="str">
        <x:v>4000 lm · 2700 K · 100° beam</x:v>
      </x:c>
      <x:c r="N80" s="11" t="n">
        <x:v>32</x:v>
      </x:c>
      <x:c r="O80" s="11" t="n">
        <x:v>90</x:v>
      </x:c>
      <x:c r="P80" s="11" t="n">
        <x:v>90</x:v>
      </x:c>
      <x:c r="Q80" s="9"/>
      <x:c r="R80" s="9"/>
      <x:c r="S80" s="9"/>
      <x:c r="T80" s="9"/>
      <x:c r="U80" s="9"/>
      <x:c r="V80" s="9"/>
      <x:c r="W80" s="13"/>
      <x:c r="X80" s="13"/>
      <x:c r="Y80" s="13"/>
      <x:c r="Z80" s="9"/>
      <x:c r="AA80" s="8" t="str">
        <x:v>Current</x:v>
      </x:c>
      <x:c r="AB80" s="8" t="str">
        <x:v>drop:LC1:LA:light:-1:L74</x:v>
      </x:c>
      <x:c r="AC80" s="8" t="str">
        <x:v>{"dim":1}</x:v>
      </x:c>
    </x:row>
    <x:row r="81" ht="96" customHeight="1">
      <x:c r="A81" s="8" t="str">
        <x:v>L75</x:v>
      </x:c>
      <x:c r="B81" s="8" t="str">
        <x:v>Roof uplight · axis 7</x:v>
      </x:c>
      <x:c r="C81" s="8" t="str">
        <x:v>light</x:v>
      </x:c>
      <x:c r="D81" s="8" t="str">
        <x:v>DB1</x:v>
      </x:c>
      <x:c r="E81" s="8" t="str">
        <x:v>LA</x:v>
      </x:c>
      <x:c r="F81" s="11" t="n">
        <x:v>27.975</x:v>
      </x:c>
      <x:c r="G81" s="11" t="n">
        <x:v>9.18</x:v>
      </x:c>
      <x:c r="H81" s="11" t="n">
        <x:v>0</x:v>
      </x:c>
      <x:c r="I81" s="8" t="str">
        <x:v>floor</x:v>
      </x:c>
      <x:c r="J81" s="8" t="str">
        <x:v>Shown</x:v>
      </x:c>
      <x:c r="K81" s="8" t="str">
        <x:v>On</x:v>
      </x:c>
      <x:c r="L81" s="8" t="str">
        <x:v>320 × 220 × 300</x:v>
      </x:c>
      <x:c r="M81" s="8" t="str">
        <x:v>4000 lm · 2700 K · 100° beam</x:v>
      </x:c>
      <x:c r="N81" s="11" t="n">
        <x:v>32</x:v>
      </x:c>
      <x:c r="O81" s="11" t="n">
        <x:v>90</x:v>
      </x:c>
      <x:c r="P81" s="11" t="n">
        <x:v>90</x:v>
      </x:c>
      <x:c r="Q81" s="9"/>
      <x:c r="R81" s="9"/>
      <x:c r="S81" s="9"/>
      <x:c r="T81" s="9"/>
      <x:c r="U81" s="9"/>
      <x:c r="V81" s="9"/>
      <x:c r="W81" s="13"/>
      <x:c r="X81" s="13"/>
      <x:c r="Y81" s="13"/>
      <x:c r="Z81" s="9"/>
      <x:c r="AA81" s="8" t="str">
        <x:v>Current</x:v>
      </x:c>
      <x:c r="AB81" s="8" t="str">
        <x:v>drop:LC1:LA:light:-1:L75</x:v>
      </x:c>
      <x:c r="AC81" s="8" t="str">
        <x:v>{"dim":1}</x:v>
      </x:c>
    </x:row>
    <x:row r="82" ht="96" customHeight="1">
      <x:c r="A82" s="8" t="str">
        <x:v>L76</x:v>
      </x:c>
      <x:c r="B82" s="8" t="str">
        <x:v>Roof uplight · axis 8</x:v>
      </x:c>
      <x:c r="C82" s="8" t="str">
        <x:v>light</x:v>
      </x:c>
      <x:c r="D82" s="8" t="str">
        <x:v>DB1</x:v>
      </x:c>
      <x:c r="E82" s="8" t="str">
        <x:v>LA</x:v>
      </x:c>
      <x:c r="F82" s="11" t="n">
        <x:v>32.475</x:v>
      </x:c>
      <x:c r="G82" s="11" t="n">
        <x:v>9.18</x:v>
      </x:c>
      <x:c r="H82" s="11" t="n">
        <x:v>0</x:v>
      </x:c>
      <x:c r="I82" s="8" t="str">
        <x:v>floor</x:v>
      </x:c>
      <x:c r="J82" s="8" t="str">
        <x:v>Shown</x:v>
      </x:c>
      <x:c r="K82" s="8" t="str">
        <x:v>On</x:v>
      </x:c>
      <x:c r="L82" s="8" t="str">
        <x:v>320 × 220 × 300</x:v>
      </x:c>
      <x:c r="M82" s="8" t="str">
        <x:v>4000 lm · 2700 K · 100° beam</x:v>
      </x:c>
      <x:c r="N82" s="11" t="n">
        <x:v>32</x:v>
      </x:c>
      <x:c r="O82" s="11" t="n">
        <x:v>90</x:v>
      </x:c>
      <x:c r="P82" s="11" t="n">
        <x:v>90</x:v>
      </x:c>
      <x:c r="Q82" s="9"/>
      <x:c r="R82" s="9"/>
      <x:c r="S82" s="9"/>
      <x:c r="T82" s="9"/>
      <x:c r="U82" s="9"/>
      <x:c r="V82" s="9"/>
      <x:c r="W82" s="13"/>
      <x:c r="X82" s="13"/>
      <x:c r="Y82" s="13"/>
      <x:c r="Z82" s="9"/>
      <x:c r="AA82" s="8" t="str">
        <x:v>Current</x:v>
      </x:c>
      <x:c r="AB82" s="8" t="str">
        <x:v>drop:LC1:LA:light:-1:L76</x:v>
      </x:c>
      <x:c r="AC82" s="8" t="str">
        <x:v>{"dim":1}</x:v>
      </x:c>
    </x:row>
    <x:row r="83" ht="96" customHeight="1">
      <x:c r="A83" s="8" t="str">
        <x:v>L77</x:v>
      </x:c>
      <x:c r="B83" s="8" t="str">
        <x:v>Roof uplight · axis 9</x:v>
      </x:c>
      <x:c r="C83" s="8" t="str">
        <x:v>light</x:v>
      </x:c>
      <x:c r="D83" s="8" t="str">
        <x:v>DB1</x:v>
      </x:c>
      <x:c r="E83" s="8" t="str">
        <x:v>LA</x:v>
      </x:c>
      <x:c r="F83" s="11" t="n">
        <x:v>36.975</x:v>
      </x:c>
      <x:c r="G83" s="11" t="n">
        <x:v>9.18</x:v>
      </x:c>
      <x:c r="H83" s="11" t="n">
        <x:v>0</x:v>
      </x:c>
      <x:c r="I83" s="8" t="str">
        <x:v>floor</x:v>
      </x:c>
      <x:c r="J83" s="8" t="str">
        <x:v>Shown</x:v>
      </x:c>
      <x:c r="K83" s="8" t="str">
        <x:v>On</x:v>
      </x:c>
      <x:c r="L83" s="8" t="str">
        <x:v>320 × 220 × 300</x:v>
      </x:c>
      <x:c r="M83" s="8" t="str">
        <x:v>4000 lm · 2700 K · 100° beam</x:v>
      </x:c>
      <x:c r="N83" s="11" t="n">
        <x:v>32</x:v>
      </x:c>
      <x:c r="O83" s="11" t="n">
        <x:v>90</x:v>
      </x:c>
      <x:c r="P83" s="11" t="n">
        <x:v>90</x:v>
      </x:c>
      <x:c r="Q83" s="9"/>
      <x:c r="R83" s="9"/>
      <x:c r="S83" s="9"/>
      <x:c r="T83" s="9"/>
      <x:c r="U83" s="9"/>
      <x:c r="V83" s="9"/>
      <x:c r="W83" s="13"/>
      <x:c r="X83" s="13"/>
      <x:c r="Y83" s="13"/>
      <x:c r="Z83" s="9"/>
      <x:c r="AA83" s="8" t="str">
        <x:v>Current</x:v>
      </x:c>
      <x:c r="AB83" s="8" t="str">
        <x:v>drop:LC1:LA:light:-1:L77</x:v>
      </x:c>
      <x:c r="AC83" s="8" t="str">
        <x:v>{"dim":1}</x:v>
      </x:c>
    </x:row>
    <x:row r="84" ht="96" customHeight="1">
      <x:c r="A84" s="8" t="str">
        <x:v>L78</x:v>
      </x:c>
      <x:c r="B84" s="8" t="str">
        <x:v>Chandelier · bay 4–5</x:v>
      </x:c>
      <x:c r="C84" s="8" t="str">
        <x:v>light</x:v>
      </x:c>
      <x:c r="D84" s="8" t="str">
        <x:v>DB1</x:v>
      </x:c>
      <x:c r="E84" s="8" t="str">
        <x:v>LD</x:v>
      </x:c>
      <x:c r="F84" s="11" t="n">
        <x:v>16.725</x:v>
      </x:c>
      <x:c r="G84" s="11" t="n">
        <x:v>6.3</x:v>
      </x:c>
      <x:c r="H84" s="11" t="n">
        <x:v>0</x:v>
      </x:c>
      <x:c r="I84" s="8" t="str">
        <x:v>pendant</x:v>
      </x:c>
      <x:c r="J84" s="8" t="str">
        <x:v>Shown</x:v>
      </x:c>
      <x:c r="K84" s="8" t="str">
        <x:v>On</x:v>
      </x:c>
      <x:c r="L84" s="8" t="str">
        <x:v>2040 × 1150 × 2040</x:v>
      </x:c>
      <x:c r="M84" s="8" t="str">
        <x:v>3760 lm · 2700 K</x:v>
      </x:c>
      <x:c r="N84" s="11" t="n">
        <x:v>36</x:v>
      </x:c>
      <x:c r="O84" s="11" t="n">
        <x:v>0</x:v>
      </x:c>
      <x:c r="P84" s="11" t="n">
        <x:v>0</x:v>
      </x:c>
      <x:c r="Q84" s="9"/>
      <x:c r="R84" s="9"/>
      <x:c r="S84" s="9"/>
      <x:c r="T84" s="9"/>
      <x:c r="U84" s="9"/>
      <x:c r="V84" s="9"/>
      <x:c r="W84" s="13"/>
      <x:c r="X84" s="13"/>
      <x:c r="Y84" s="13"/>
      <x:c r="Z84" s="9"/>
      <x:c r="AA84" s="8" t="str">
        <x:v>Current</x:v>
      </x:c>
      <x:c r="AB84" s="8" t="str">
        <x:v>drop:LC1:LD:light:-1:L78</x:v>
      </x:c>
      <x:c r="AC84" s="8" t="str">
        <x:v>{"dim":1,"anchorY":12.152}</x:v>
      </x:c>
    </x:row>
    <x:row r="85" ht="96" customHeight="1">
      <x:c r="A85" s="8" t="str">
        <x:v>L79</x:v>
      </x:c>
      <x:c r="B85" s="8" t="str">
        <x:v>Chandelier · bay 6–7</x:v>
      </x:c>
      <x:c r="C85" s="8" t="str">
        <x:v>light</x:v>
      </x:c>
      <x:c r="D85" s="8" t="str">
        <x:v>DB1</x:v>
      </x:c>
      <x:c r="E85" s="8" t="str">
        <x:v>LD</x:v>
      </x:c>
      <x:c r="F85" s="11" t="n">
        <x:v>25.725</x:v>
      </x:c>
      <x:c r="G85" s="11" t="n">
        <x:v>6.3</x:v>
      </x:c>
      <x:c r="H85" s="11" t="n">
        <x:v>0</x:v>
      </x:c>
      <x:c r="I85" s="8" t="str">
        <x:v>pendant</x:v>
      </x:c>
      <x:c r="J85" s="8" t="str">
        <x:v>Shown</x:v>
      </x:c>
      <x:c r="K85" s="8" t="str">
        <x:v>On</x:v>
      </x:c>
      <x:c r="L85" s="8" t="str">
        <x:v>2040 × 1150 × 2040</x:v>
      </x:c>
      <x:c r="M85" s="8" t="str">
        <x:v>3760 lm · 2700 K</x:v>
      </x:c>
      <x:c r="N85" s="11" t="n">
        <x:v>36</x:v>
      </x:c>
      <x:c r="O85" s="11" t="n">
        <x:v>0</x:v>
      </x:c>
      <x:c r="P85" s="11" t="n">
        <x:v>0</x:v>
      </x:c>
      <x:c r="Q85" s="9"/>
      <x:c r="R85" s="9"/>
      <x:c r="S85" s="9"/>
      <x:c r="T85" s="9"/>
      <x:c r="U85" s="9"/>
      <x:c r="V85" s="9"/>
      <x:c r="W85" s="13"/>
      <x:c r="X85" s="13"/>
      <x:c r="Y85" s="13"/>
      <x:c r="Z85" s="9"/>
      <x:c r="AA85" s="8" t="str">
        <x:v>Current</x:v>
      </x:c>
      <x:c r="AB85" s="8" t="str">
        <x:v>drop:LC1:LD:light:-1:L79</x:v>
      </x:c>
      <x:c r="AC85" s="8" t="str">
        <x:v>{"dim":1,"anchorY":12.152}</x:v>
      </x:c>
    </x:row>
    <x:row r="86" ht="96" customHeight="1">
      <x:c r="A86" s="8" t="str">
        <x:v>L80</x:v>
      </x:c>
      <x:c r="B86" s="8" t="str">
        <x:v>Chandelier · bay 8–9</x:v>
      </x:c>
      <x:c r="C86" s="8" t="str">
        <x:v>light</x:v>
      </x:c>
      <x:c r="D86" s="8" t="str">
        <x:v>DB1</x:v>
      </x:c>
      <x:c r="E86" s="8" t="str">
        <x:v>LD</x:v>
      </x:c>
      <x:c r="F86" s="11" t="n">
        <x:v>34.725</x:v>
      </x:c>
      <x:c r="G86" s="11" t="n">
        <x:v>6.3</x:v>
      </x:c>
      <x:c r="H86" s="11" t="n">
        <x:v>0</x:v>
      </x:c>
      <x:c r="I86" s="8" t="str">
        <x:v>pendant</x:v>
      </x:c>
      <x:c r="J86" s="8" t="str">
        <x:v>Shown</x:v>
      </x:c>
      <x:c r="K86" s="8" t="str">
        <x:v>On</x:v>
      </x:c>
      <x:c r="L86" s="8" t="str">
        <x:v>2040 × 1150 × 2040</x:v>
      </x:c>
      <x:c r="M86" s="8" t="str">
        <x:v>3760 lm · 2700 K</x:v>
      </x:c>
      <x:c r="N86" s="11" t="n">
        <x:v>36</x:v>
      </x:c>
      <x:c r="O86" s="11" t="n">
        <x:v>0</x:v>
      </x:c>
      <x:c r="P86" s="11" t="n">
        <x:v>0</x:v>
      </x:c>
      <x:c r="Q86" s="9"/>
      <x:c r="R86" s="9"/>
      <x:c r="S86" s="9"/>
      <x:c r="T86" s="9"/>
      <x:c r="U86" s="9"/>
      <x:c r="V86" s="9"/>
      <x:c r="W86" s="13"/>
      <x:c r="X86" s="13"/>
      <x:c r="Y86" s="13"/>
      <x:c r="Z86" s="9"/>
      <x:c r="AA86" s="8" t="str">
        <x:v>Current</x:v>
      </x:c>
      <x:c r="AB86" s="8" t="str">
        <x:v>drop:LC1:LD:light:-1:L80</x:v>
      </x:c>
      <x:c r="AC86" s="8" t="str">
        <x:v>{"dim":1,"anchorY":12.152}</x:v>
      </x:c>
    </x:row>
    <x:row r="87" ht="96" customHeight="1">
      <x:c r="A87" s="8" t="str">
        <x:v>L81</x:v>
      </x:c>
      <x:c r="B87" s="8" t="str">
        <x:v>Grand chandelier · crossing 9–10</x:v>
      </x:c>
      <x:c r="C87" s="8" t="str">
        <x:v>light</x:v>
      </x:c>
      <x:c r="D87" s="8" t="str">
        <x:v>DB1</x:v>
      </x:c>
      <x:c r="E87" s="8" t="str">
        <x:v>LD</x:v>
      </x:c>
      <x:c r="F87" s="11" t="n">
        <x:v>40.575</x:v>
      </x:c>
      <x:c r="G87" s="11" t="n">
        <x:v>9.2</x:v>
      </x:c>
      <x:c r="H87" s="11" t="n">
        <x:v>0</x:v>
      </x:c>
      <x:c r="I87" s="8" t="str">
        <x:v>pendant</x:v>
      </x:c>
      <x:c r="J87" s="8" t="str">
        <x:v>Shown</x:v>
      </x:c>
      <x:c r="K87" s="8" t="str">
        <x:v>On</x:v>
      </x:c>
      <x:c r="L87" s="8" t="str">
        <x:v>2640 × 1150 × 2640</x:v>
      </x:c>
      <x:c r="M87" s="8" t="str">
        <x:v>5640 lm · 2700 K</x:v>
      </x:c>
      <x:c r="N87" s="11" t="n">
        <x:v>54</x:v>
      </x:c>
      <x:c r="O87" s="11" t="n">
        <x:v>0</x:v>
      </x:c>
      <x:c r="P87" s="11" t="n">
        <x:v>0</x:v>
      </x:c>
      <x:c r="Q87" s="9"/>
      <x:c r="R87" s="9"/>
      <x:c r="S87" s="9"/>
      <x:c r="T87" s="9"/>
      <x:c r="U87" s="9"/>
      <x:c r="V87" s="9"/>
      <x:c r="W87" s="13"/>
      <x:c r="X87" s="13"/>
      <x:c r="Y87" s="13"/>
      <x:c r="Z87" s="9"/>
      <x:c r="AA87" s="8" t="str">
        <x:v>Current</x:v>
      </x:c>
      <x:c r="AB87" s="8" t="str">
        <x:v>drop:LC1:LD:light:-1:L81</x:v>
      </x:c>
      <x:c r="AC87" s="8" t="str">
        <x:v>{"dim":1,"anchorY":12.152}</x:v>
      </x:c>
    </x:row>
    <x:row r="88" ht="96" customHeight="1">
      <x:c r="A88" s="8" t="str">
        <x:v>L82</x:v>
      </x:c>
      <x:c r="B88" s="8" t="str">
        <x:v>Sconce · axis 3 · B</x:v>
      </x:c>
      <x:c r="C88" s="8" t="str">
        <x:v>light</x:v>
      </x:c>
      <x:c r="D88" s="8" t="str">
        <x:v>DB1</x:v>
      </x:c>
      <x:c r="E88" s="8" t="str">
        <x:v>LD</x:v>
      </x:c>
      <x:c r="F88" s="11" t="n">
        <x:v>9.975</x:v>
      </x:c>
      <x:c r="G88" s="11" t="n">
        <x:v>4.6</x:v>
      </x:c>
      <x:c r="H88" s="11" t="n">
        <x:v>-7.07</x:v>
      </x:c>
      <x:c r="I88" s="8" t="str">
        <x:v>wall</x:v>
      </x:c>
      <x:c r="J88" s="8" t="str">
        <x:v>Shown</x:v>
      </x:c>
      <x:c r="K88" s="8" t="str">
        <x:v>On</x:v>
      </x:c>
      <x:c r="L88" s="8" t="str">
        <x:v>306 × 516 × 453</x:v>
      </x:c>
      <x:c r="M88" s="8" t="str">
        <x:v>940 lm · 2700 K</x:v>
      </x:c>
      <x:c r="N88" s="11" t="n">
        <x:v>9</x:v>
      </x:c>
      <x:c r="O88" s="11" t="n">
        <x:v>90</x:v>
      </x:c>
      <x:c r="P88" s="11" t="n">
        <x:v>0</x:v>
      </x:c>
      <x:c r="Q88" s="9"/>
      <x:c r="R88" s="9"/>
      <x:c r="S88" s="9"/>
      <x:c r="T88" s="9"/>
      <x:c r="U88" s="9"/>
      <x:c r="V88" s="9"/>
      <x:c r="W88" s="13"/>
      <x:c r="X88" s="13"/>
      <x:c r="Y88" s="13"/>
      <x:c r="Z88" s="9"/>
      <x:c r="AA88" s="8" t="str">
        <x:v>Current</x:v>
      </x:c>
      <x:c r="AB88" s="8" t="str">
        <x:v>drop:LC1:LD:light:-1:L82</x:v>
      </x:c>
      <x:c r="AC88" s="8" t="str">
        <x:v>{"dim":1}</x:v>
      </x:c>
    </x:row>
    <x:row r="89" ht="96" customHeight="1">
      <x:c r="A89" s="8" t="str">
        <x:v>L83</x:v>
      </x:c>
      <x:c r="B89" s="8" t="str">
        <x:v>Sconce · axis 3 · H</x:v>
      </x:c>
      <x:c r="C89" s="8" t="str">
        <x:v>light</x:v>
      </x:c>
      <x:c r="D89" s="8" t="str">
        <x:v>DB1</x:v>
      </x:c>
      <x:c r="E89" s="8" t="str">
        <x:v>LD</x:v>
      </x:c>
      <x:c r="F89" s="11" t="n">
        <x:v>9.975</x:v>
      </x:c>
      <x:c r="G89" s="11" t="n">
        <x:v>4.6</x:v>
      </x:c>
      <x:c r="H89" s="11" t="n">
        <x:v>7.07</x:v>
      </x:c>
      <x:c r="I89" s="8" t="str">
        <x:v>wall</x:v>
      </x:c>
      <x:c r="J89" s="8" t="str">
        <x:v>Shown</x:v>
      </x:c>
      <x:c r="K89" s="8" t="str">
        <x:v>On</x:v>
      </x:c>
      <x:c r="L89" s="8" t="str">
        <x:v>306 × 516 × 453</x:v>
      </x:c>
      <x:c r="M89" s="8" t="str">
        <x:v>940 lm · 2700 K</x:v>
      </x:c>
      <x:c r="N89" s="11" t="n">
        <x:v>9</x:v>
      </x:c>
      <x:c r="O89" s="11" t="n">
        <x:v>-90</x:v>
      </x:c>
      <x:c r="P89" s="11" t="n">
        <x:v>0</x:v>
      </x:c>
      <x:c r="Q89" s="9"/>
      <x:c r="R89" s="9"/>
      <x:c r="S89" s="9"/>
      <x:c r="T89" s="9"/>
      <x:c r="U89" s="9"/>
      <x:c r="V89" s="9"/>
      <x:c r="W89" s="13"/>
      <x:c r="X89" s="13"/>
      <x:c r="Y89" s="13"/>
      <x:c r="Z89" s="9"/>
      <x:c r="AA89" s="8" t="str">
        <x:v>Current</x:v>
      </x:c>
      <x:c r="AB89" s="8" t="str">
        <x:v>drop:LC1:LD:light:1:L83</x:v>
      </x:c>
      <x:c r="AC89" s="8" t="str">
        <x:v>{"dim":1}</x:v>
      </x:c>
    </x:row>
    <x:row r="90" ht="96" customHeight="1">
      <x:c r="A90" s="8" t="str">
        <x:v>L84</x:v>
      </x:c>
      <x:c r="B90" s="8" t="str">
        <x:v>Sconce · axis 4 · B</x:v>
      </x:c>
      <x:c r="C90" s="8" t="str">
        <x:v>light</x:v>
      </x:c>
      <x:c r="D90" s="8" t="str">
        <x:v>DB1</x:v>
      </x:c>
      <x:c r="E90" s="8" t="str">
        <x:v>LD</x:v>
      </x:c>
      <x:c r="F90" s="11" t="n">
        <x:v>14.475</x:v>
      </x:c>
      <x:c r="G90" s="11" t="n">
        <x:v>4.6</x:v>
      </x:c>
      <x:c r="H90" s="11" t="n">
        <x:v>-7.07</x:v>
      </x:c>
      <x:c r="I90" s="8" t="str">
        <x:v>wall</x:v>
      </x:c>
      <x:c r="J90" s="8" t="str">
        <x:v>Shown</x:v>
      </x:c>
      <x:c r="K90" s="8" t="str">
        <x:v>On</x:v>
      </x:c>
      <x:c r="L90" s="8" t="str">
        <x:v>306 × 516 × 453</x:v>
      </x:c>
      <x:c r="M90" s="8" t="str">
        <x:v>940 lm · 2700 K</x:v>
      </x:c>
      <x:c r="N90" s="11" t="n">
        <x:v>9</x:v>
      </x:c>
      <x:c r="O90" s="11" t="n">
        <x:v>90</x:v>
      </x:c>
      <x:c r="P90" s="11" t="n">
        <x:v>0</x:v>
      </x:c>
      <x:c r="Q90" s="9"/>
      <x:c r="R90" s="9"/>
      <x:c r="S90" s="9"/>
      <x:c r="T90" s="9"/>
      <x:c r="U90" s="9"/>
      <x:c r="V90" s="9"/>
      <x:c r="W90" s="13"/>
      <x:c r="X90" s="13"/>
      <x:c r="Y90" s="13"/>
      <x:c r="Z90" s="9"/>
      <x:c r="AA90" s="8" t="str">
        <x:v>Current</x:v>
      </x:c>
      <x:c r="AB90" s="8" t="str">
        <x:v>drop:LC1:LD:light:-1:L84</x:v>
      </x:c>
      <x:c r="AC90" s="8" t="str">
        <x:v>{"dim":1}</x:v>
      </x:c>
    </x:row>
    <x:row r="91" ht="96" customHeight="1">
      <x:c r="A91" s="8" t="str">
        <x:v>L85</x:v>
      </x:c>
      <x:c r="B91" s="8" t="str">
        <x:v>Sconce · axis 4 · H</x:v>
      </x:c>
      <x:c r="C91" s="8" t="str">
        <x:v>light</x:v>
      </x:c>
      <x:c r="D91" s="8" t="str">
        <x:v>DB1</x:v>
      </x:c>
      <x:c r="E91" s="8" t="str">
        <x:v>LD</x:v>
      </x:c>
      <x:c r="F91" s="11" t="n">
        <x:v>14.475</x:v>
      </x:c>
      <x:c r="G91" s="11" t="n">
        <x:v>4.6</x:v>
      </x:c>
      <x:c r="H91" s="11" t="n">
        <x:v>7.07</x:v>
      </x:c>
      <x:c r="I91" s="8" t="str">
        <x:v>wall</x:v>
      </x:c>
      <x:c r="J91" s="8" t="str">
        <x:v>Shown</x:v>
      </x:c>
      <x:c r="K91" s="8" t="str">
        <x:v>On</x:v>
      </x:c>
      <x:c r="L91" s="8" t="str">
        <x:v>306 × 516 × 453</x:v>
      </x:c>
      <x:c r="M91" s="8" t="str">
        <x:v>940 lm · 2700 K</x:v>
      </x:c>
      <x:c r="N91" s="11" t="n">
        <x:v>9</x:v>
      </x:c>
      <x:c r="O91" s="11" t="n">
        <x:v>-90</x:v>
      </x:c>
      <x:c r="P91" s="11" t="n">
        <x:v>0</x:v>
      </x:c>
      <x:c r="Q91" s="9"/>
      <x:c r="R91" s="9"/>
      <x:c r="S91" s="9"/>
      <x:c r="T91" s="9"/>
      <x:c r="U91" s="9"/>
      <x:c r="V91" s="9"/>
      <x:c r="W91" s="13"/>
      <x:c r="X91" s="13"/>
      <x:c r="Y91" s="13"/>
      <x:c r="Z91" s="9"/>
      <x:c r="AA91" s="8" t="str">
        <x:v>Current</x:v>
      </x:c>
      <x:c r="AB91" s="8" t="str">
        <x:v>drop:LC1:LD:light:1:L85</x:v>
      </x:c>
      <x:c r="AC91" s="8" t="str">
        <x:v>{"dim":1}</x:v>
      </x:c>
    </x:row>
    <x:row r="92" ht="96" customHeight="1">
      <x:c r="A92" s="8" t="str">
        <x:v>L86</x:v>
      </x:c>
      <x:c r="B92" s="8" t="str">
        <x:v>Sconce · axis 5 · B</x:v>
      </x:c>
      <x:c r="C92" s="8" t="str">
        <x:v>light</x:v>
      </x:c>
      <x:c r="D92" s="8" t="str">
        <x:v>DB1</x:v>
      </x:c>
      <x:c r="E92" s="8" t="str">
        <x:v>LD</x:v>
      </x:c>
      <x:c r="F92" s="11" t="n">
        <x:v>18.975</x:v>
      </x:c>
      <x:c r="G92" s="11" t="n">
        <x:v>4.6</x:v>
      </x:c>
      <x:c r="H92" s="11" t="n">
        <x:v>-7.07</x:v>
      </x:c>
      <x:c r="I92" s="8" t="str">
        <x:v>wall</x:v>
      </x:c>
      <x:c r="J92" s="8" t="str">
        <x:v>Shown</x:v>
      </x:c>
      <x:c r="K92" s="8" t="str">
        <x:v>On</x:v>
      </x:c>
      <x:c r="L92" s="8" t="str">
        <x:v>306 × 516 × 453</x:v>
      </x:c>
      <x:c r="M92" s="8" t="str">
        <x:v>940 lm · 2700 K</x:v>
      </x:c>
      <x:c r="N92" s="11" t="n">
        <x:v>9</x:v>
      </x:c>
      <x:c r="O92" s="11" t="n">
        <x:v>90</x:v>
      </x:c>
      <x:c r="P92" s="11" t="n">
        <x:v>0</x:v>
      </x:c>
      <x:c r="Q92" s="9"/>
      <x:c r="R92" s="9"/>
      <x:c r="S92" s="9"/>
      <x:c r="T92" s="9"/>
      <x:c r="U92" s="9"/>
      <x:c r="V92" s="9"/>
      <x:c r="W92" s="13"/>
      <x:c r="X92" s="13"/>
      <x:c r="Y92" s="13"/>
      <x:c r="Z92" s="9"/>
      <x:c r="AA92" s="8" t="str">
        <x:v>Current</x:v>
      </x:c>
      <x:c r="AB92" s="8" t="str">
        <x:v>drop:LC1:LD:light:-1:L86</x:v>
      </x:c>
      <x:c r="AC92" s="8" t="str">
        <x:v>{"dim":1}</x:v>
      </x:c>
    </x:row>
    <x:row r="93" ht="96" customHeight="1">
      <x:c r="A93" s="8" t="str">
        <x:v>L87</x:v>
      </x:c>
      <x:c r="B93" s="8" t="str">
        <x:v>Sconce · axis 5 · H</x:v>
      </x:c>
      <x:c r="C93" s="8" t="str">
        <x:v>light</x:v>
      </x:c>
      <x:c r="D93" s="8" t="str">
        <x:v>DB1</x:v>
      </x:c>
      <x:c r="E93" s="8" t="str">
        <x:v>LD</x:v>
      </x:c>
      <x:c r="F93" s="11" t="n">
        <x:v>18.975</x:v>
      </x:c>
      <x:c r="G93" s="11" t="n">
        <x:v>4.6</x:v>
      </x:c>
      <x:c r="H93" s="11" t="n">
        <x:v>7.07</x:v>
      </x:c>
      <x:c r="I93" s="8" t="str">
        <x:v>wall</x:v>
      </x:c>
      <x:c r="J93" s="8" t="str">
        <x:v>Shown</x:v>
      </x:c>
      <x:c r="K93" s="8" t="str">
        <x:v>On</x:v>
      </x:c>
      <x:c r="L93" s="8" t="str">
        <x:v>306 × 516 × 453</x:v>
      </x:c>
      <x:c r="M93" s="8" t="str">
        <x:v>940 lm · 2700 K</x:v>
      </x:c>
      <x:c r="N93" s="11" t="n">
        <x:v>9</x:v>
      </x:c>
      <x:c r="O93" s="11" t="n">
        <x:v>-90</x:v>
      </x:c>
      <x:c r="P93" s="11" t="n">
        <x:v>0</x:v>
      </x:c>
      <x:c r="Q93" s="9"/>
      <x:c r="R93" s="9"/>
      <x:c r="S93" s="9"/>
      <x:c r="T93" s="9"/>
      <x:c r="U93" s="9"/>
      <x:c r="V93" s="9"/>
      <x:c r="W93" s="13"/>
      <x:c r="X93" s="13"/>
      <x:c r="Y93" s="13"/>
      <x:c r="Z93" s="9"/>
      <x:c r="AA93" s="8" t="str">
        <x:v>Current</x:v>
      </x:c>
      <x:c r="AB93" s="8" t="str">
        <x:v>drop:LC1:LD:light:1:L87</x:v>
      </x:c>
      <x:c r="AC93" s="8" t="str">
        <x:v>{"dim":1}</x:v>
      </x:c>
    </x:row>
    <x:row r="94" ht="96" customHeight="1">
      <x:c r="A94" s="8" t="str">
        <x:v>L88</x:v>
      </x:c>
      <x:c r="B94" s="8" t="str">
        <x:v>Sconce · axis 6 · B</x:v>
      </x:c>
      <x:c r="C94" s="8" t="str">
        <x:v>light</x:v>
      </x:c>
      <x:c r="D94" s="8" t="str">
        <x:v>DB1</x:v>
      </x:c>
      <x:c r="E94" s="8" t="str">
        <x:v>LD</x:v>
      </x:c>
      <x:c r="F94" s="11" t="n">
        <x:v>23.475</x:v>
      </x:c>
      <x:c r="G94" s="11" t="n">
        <x:v>4.6</x:v>
      </x:c>
      <x:c r="H94" s="11" t="n">
        <x:v>-7.07</x:v>
      </x:c>
      <x:c r="I94" s="8" t="str">
        <x:v>wall</x:v>
      </x:c>
      <x:c r="J94" s="8" t="str">
        <x:v>Shown</x:v>
      </x:c>
      <x:c r="K94" s="8" t="str">
        <x:v>On</x:v>
      </x:c>
      <x:c r="L94" s="8" t="str">
        <x:v>306 × 516 × 453</x:v>
      </x:c>
      <x:c r="M94" s="8" t="str">
        <x:v>940 lm · 2700 K</x:v>
      </x:c>
      <x:c r="N94" s="11" t="n">
        <x:v>9</x:v>
      </x:c>
      <x:c r="O94" s="11" t="n">
        <x:v>90</x:v>
      </x:c>
      <x:c r="P94" s="11" t="n">
        <x:v>0</x:v>
      </x:c>
      <x:c r="Q94" s="9"/>
      <x:c r="R94" s="9"/>
      <x:c r="S94" s="9"/>
      <x:c r="T94" s="9"/>
      <x:c r="U94" s="9"/>
      <x:c r="V94" s="9"/>
      <x:c r="W94" s="13"/>
      <x:c r="X94" s="13"/>
      <x:c r="Y94" s="13"/>
      <x:c r="Z94" s="9"/>
      <x:c r="AA94" s="8" t="str">
        <x:v>Current</x:v>
      </x:c>
      <x:c r="AB94" s="8" t="str">
        <x:v>drop:LC1:LD:light:-1:L88</x:v>
      </x:c>
      <x:c r="AC94" s="8" t="str">
        <x:v>{"dim":1}</x:v>
      </x:c>
    </x:row>
    <x:row r="95" ht="96" customHeight="1">
      <x:c r="A95" s="8" t="str">
        <x:v>L89</x:v>
      </x:c>
      <x:c r="B95" s="8" t="str">
        <x:v>Sconce · axis 6 · H</x:v>
      </x:c>
      <x:c r="C95" s="8" t="str">
        <x:v>light</x:v>
      </x:c>
      <x:c r="D95" s="8" t="str">
        <x:v>DB1</x:v>
      </x:c>
      <x:c r="E95" s="8" t="str">
        <x:v>LD</x:v>
      </x:c>
      <x:c r="F95" s="11" t="n">
        <x:v>23.475</x:v>
      </x:c>
      <x:c r="G95" s="11" t="n">
        <x:v>4.6</x:v>
      </x:c>
      <x:c r="H95" s="11" t="n">
        <x:v>7.07</x:v>
      </x:c>
      <x:c r="I95" s="8" t="str">
        <x:v>wall</x:v>
      </x:c>
      <x:c r="J95" s="8" t="str">
        <x:v>Shown</x:v>
      </x:c>
      <x:c r="K95" s="8" t="str">
        <x:v>On</x:v>
      </x:c>
      <x:c r="L95" s="8" t="str">
        <x:v>306 × 516 × 453</x:v>
      </x:c>
      <x:c r="M95" s="8" t="str">
        <x:v>940 lm · 2700 K</x:v>
      </x:c>
      <x:c r="N95" s="11" t="n">
        <x:v>9</x:v>
      </x:c>
      <x:c r="O95" s="11" t="n">
        <x:v>-90</x:v>
      </x:c>
      <x:c r="P95" s="11" t="n">
        <x:v>0</x:v>
      </x:c>
      <x:c r="Q95" s="9"/>
      <x:c r="R95" s="9"/>
      <x:c r="S95" s="9"/>
      <x:c r="T95" s="9"/>
      <x:c r="U95" s="9"/>
      <x:c r="V95" s="9"/>
      <x:c r="W95" s="13"/>
      <x:c r="X95" s="13"/>
      <x:c r="Y95" s="13"/>
      <x:c r="Z95" s="9"/>
      <x:c r="AA95" s="8" t="str">
        <x:v>Current</x:v>
      </x:c>
      <x:c r="AB95" s="8" t="str">
        <x:v>drop:LC1:LD:light:1:L89</x:v>
      </x:c>
      <x:c r="AC95" s="8" t="str">
        <x:v>{"dim":1}</x:v>
      </x:c>
    </x:row>
    <x:row r="96" ht="96" customHeight="1">
      <x:c r="A96" s="8" t="str">
        <x:v>L90</x:v>
      </x:c>
      <x:c r="B96" s="8" t="str">
        <x:v>Sconce · axis 7 · B</x:v>
      </x:c>
      <x:c r="C96" s="8" t="str">
        <x:v>light</x:v>
      </x:c>
      <x:c r="D96" s="8" t="str">
        <x:v>DB1</x:v>
      </x:c>
      <x:c r="E96" s="8" t="str">
        <x:v>LD</x:v>
      </x:c>
      <x:c r="F96" s="11" t="n">
        <x:v>27.975</x:v>
      </x:c>
      <x:c r="G96" s="11" t="n">
        <x:v>4.6</x:v>
      </x:c>
      <x:c r="H96" s="11" t="n">
        <x:v>-7.07</x:v>
      </x:c>
      <x:c r="I96" s="8" t="str">
        <x:v>wall</x:v>
      </x:c>
      <x:c r="J96" s="8" t="str">
        <x:v>Shown</x:v>
      </x:c>
      <x:c r="K96" s="8" t="str">
        <x:v>On</x:v>
      </x:c>
      <x:c r="L96" s="8" t="str">
        <x:v>306 × 516 × 453</x:v>
      </x:c>
      <x:c r="M96" s="8" t="str">
        <x:v>940 lm · 2700 K</x:v>
      </x:c>
      <x:c r="N96" s="11" t="n">
        <x:v>9</x:v>
      </x:c>
      <x:c r="O96" s="11" t="n">
        <x:v>90</x:v>
      </x:c>
      <x:c r="P96" s="11" t="n">
        <x:v>0</x:v>
      </x:c>
      <x:c r="Q96" s="9"/>
      <x:c r="R96" s="9"/>
      <x:c r="S96" s="9"/>
      <x:c r="T96" s="9"/>
      <x:c r="U96" s="9"/>
      <x:c r="V96" s="9"/>
      <x:c r="W96" s="13"/>
      <x:c r="X96" s="13"/>
      <x:c r="Y96" s="13"/>
      <x:c r="Z96" s="9"/>
      <x:c r="AA96" s="8" t="str">
        <x:v>Current</x:v>
      </x:c>
      <x:c r="AB96" s="8" t="str">
        <x:v>drop:LC1:LD:light:-1:L90</x:v>
      </x:c>
      <x:c r="AC96" s="8" t="str">
        <x:v>{"dim":1}</x:v>
      </x:c>
    </x:row>
    <x:row r="97" ht="96" customHeight="1">
      <x:c r="A97" s="8" t="str">
        <x:v>L91</x:v>
      </x:c>
      <x:c r="B97" s="8" t="str">
        <x:v>Sconce · axis 7 · H</x:v>
      </x:c>
      <x:c r="C97" s="8" t="str">
        <x:v>light</x:v>
      </x:c>
      <x:c r="D97" s="8" t="str">
        <x:v>DB1</x:v>
      </x:c>
      <x:c r="E97" s="8" t="str">
        <x:v>LD</x:v>
      </x:c>
      <x:c r="F97" s="11" t="n">
        <x:v>27.975</x:v>
      </x:c>
      <x:c r="G97" s="11" t="n">
        <x:v>4.6</x:v>
      </x:c>
      <x:c r="H97" s="11" t="n">
        <x:v>7.07</x:v>
      </x:c>
      <x:c r="I97" s="8" t="str">
        <x:v>wall</x:v>
      </x:c>
      <x:c r="J97" s="8" t="str">
        <x:v>Shown</x:v>
      </x:c>
      <x:c r="K97" s="8" t="str">
        <x:v>On</x:v>
      </x:c>
      <x:c r="L97" s="8" t="str">
        <x:v>306 × 516 × 453</x:v>
      </x:c>
      <x:c r="M97" s="8" t="str">
        <x:v>940 lm · 2700 K</x:v>
      </x:c>
      <x:c r="N97" s="11" t="n">
        <x:v>9</x:v>
      </x:c>
      <x:c r="O97" s="11" t="n">
        <x:v>-90</x:v>
      </x:c>
      <x:c r="P97" s="11" t="n">
        <x:v>0</x:v>
      </x:c>
      <x:c r="Q97" s="9"/>
      <x:c r="R97" s="9"/>
      <x:c r="S97" s="9"/>
      <x:c r="T97" s="9"/>
      <x:c r="U97" s="9"/>
      <x:c r="V97" s="9"/>
      <x:c r="W97" s="13"/>
      <x:c r="X97" s="13"/>
      <x:c r="Y97" s="13"/>
      <x:c r="Z97" s="9"/>
      <x:c r="AA97" s="8" t="str">
        <x:v>Current</x:v>
      </x:c>
      <x:c r="AB97" s="8" t="str">
        <x:v>drop:LC1:LD:light:1:L91</x:v>
      </x:c>
      <x:c r="AC97" s="8" t="str">
        <x:v>{"dim":1}</x:v>
      </x:c>
    </x:row>
    <x:row r="98" ht="96" customHeight="1">
      <x:c r="A98" s="8" t="str">
        <x:v>L92</x:v>
      </x:c>
      <x:c r="B98" s="8" t="str">
        <x:v>Sconce · axis 8 · B</x:v>
      </x:c>
      <x:c r="C98" s="8" t="str">
        <x:v>light</x:v>
      </x:c>
      <x:c r="D98" s="8" t="str">
        <x:v>DB1</x:v>
      </x:c>
      <x:c r="E98" s="8" t="str">
        <x:v>LD</x:v>
      </x:c>
      <x:c r="F98" s="11" t="n">
        <x:v>32.475</x:v>
      </x:c>
      <x:c r="G98" s="11" t="n">
        <x:v>4.6</x:v>
      </x:c>
      <x:c r="H98" s="11" t="n">
        <x:v>-7.07</x:v>
      </x:c>
      <x:c r="I98" s="8" t="str">
        <x:v>wall</x:v>
      </x:c>
      <x:c r="J98" s="8" t="str">
        <x:v>Shown</x:v>
      </x:c>
      <x:c r="K98" s="8" t="str">
        <x:v>On</x:v>
      </x:c>
      <x:c r="L98" s="8" t="str">
        <x:v>306 × 516 × 453</x:v>
      </x:c>
      <x:c r="M98" s="8" t="str">
        <x:v>940 lm · 2700 K</x:v>
      </x:c>
      <x:c r="N98" s="11" t="n">
        <x:v>9</x:v>
      </x:c>
      <x:c r="O98" s="11" t="n">
        <x:v>90</x:v>
      </x:c>
      <x:c r="P98" s="11" t="n">
        <x:v>0</x:v>
      </x:c>
      <x:c r="Q98" s="9"/>
      <x:c r="R98" s="9"/>
      <x:c r="S98" s="9"/>
      <x:c r="T98" s="9"/>
      <x:c r="U98" s="9"/>
      <x:c r="V98" s="9"/>
      <x:c r="W98" s="13"/>
      <x:c r="X98" s="13"/>
      <x:c r="Y98" s="13"/>
      <x:c r="Z98" s="9"/>
      <x:c r="AA98" s="8" t="str">
        <x:v>Current</x:v>
      </x:c>
      <x:c r="AB98" s="8" t="str">
        <x:v>drop:LC1:LD:light:-1:L92</x:v>
      </x:c>
      <x:c r="AC98" s="8" t="str">
        <x:v>{"dim":1}</x:v>
      </x:c>
    </x:row>
    <x:row r="99" ht="96" customHeight="1">
      <x:c r="A99" s="8" t="str">
        <x:v>L93</x:v>
      </x:c>
      <x:c r="B99" s="8" t="str">
        <x:v>Sconce · axis 8 · H</x:v>
      </x:c>
      <x:c r="C99" s="8" t="str">
        <x:v>light</x:v>
      </x:c>
      <x:c r="D99" s="8" t="str">
        <x:v>DB1</x:v>
      </x:c>
      <x:c r="E99" s="8" t="str">
        <x:v>LD</x:v>
      </x:c>
      <x:c r="F99" s="11" t="n">
        <x:v>32.475</x:v>
      </x:c>
      <x:c r="G99" s="11" t="n">
        <x:v>4.6</x:v>
      </x:c>
      <x:c r="H99" s="11" t="n">
        <x:v>7.07</x:v>
      </x:c>
      <x:c r="I99" s="8" t="str">
        <x:v>wall</x:v>
      </x:c>
      <x:c r="J99" s="8" t="str">
        <x:v>Shown</x:v>
      </x:c>
      <x:c r="K99" s="8" t="str">
        <x:v>On</x:v>
      </x:c>
      <x:c r="L99" s="8" t="str">
        <x:v>306 × 516 × 453</x:v>
      </x:c>
      <x:c r="M99" s="8" t="str">
        <x:v>940 lm · 2700 K</x:v>
      </x:c>
      <x:c r="N99" s="11" t="n">
        <x:v>9</x:v>
      </x:c>
      <x:c r="O99" s="11" t="n">
        <x:v>-90</x:v>
      </x:c>
      <x:c r="P99" s="11" t="n">
        <x:v>0</x:v>
      </x:c>
      <x:c r="Q99" s="9"/>
      <x:c r="R99" s="9"/>
      <x:c r="S99" s="9"/>
      <x:c r="T99" s="9"/>
      <x:c r="U99" s="9"/>
      <x:c r="V99" s="9"/>
      <x:c r="W99" s="13"/>
      <x:c r="X99" s="13"/>
      <x:c r="Y99" s="13"/>
      <x:c r="Z99" s="9"/>
      <x:c r="AA99" s="8" t="str">
        <x:v>Current</x:v>
      </x:c>
      <x:c r="AB99" s="8" t="str">
        <x:v>drop:LC1:LD:light:1:L93</x:v>
      </x:c>
      <x:c r="AC99" s="8" t="str">
        <x:v>{"dim":1}</x:v>
      </x:c>
    </x:row>
    <x:row r="100" ht="96" customHeight="1">
      <x:c r="A100" s="8" t="str">
        <x:v>L94</x:v>
      </x:c>
      <x:c r="B100" s="8" t="str">
        <x:v>Sconce · axis 9 · B</x:v>
      </x:c>
      <x:c r="C100" s="8" t="str">
        <x:v>light</x:v>
      </x:c>
      <x:c r="D100" s="8" t="str">
        <x:v>DB1</x:v>
      </x:c>
      <x:c r="E100" s="8" t="str">
        <x:v>LD</x:v>
      </x:c>
      <x:c r="F100" s="11" t="n">
        <x:v>36.975</x:v>
      </x:c>
      <x:c r="G100" s="11" t="n">
        <x:v>4.6</x:v>
      </x:c>
      <x:c r="H100" s="11" t="n">
        <x:v>-7.07</x:v>
      </x:c>
      <x:c r="I100" s="8" t="str">
        <x:v>wall</x:v>
      </x:c>
      <x:c r="J100" s="8" t="str">
        <x:v>Shown</x:v>
      </x:c>
      <x:c r="K100" s="8" t="str">
        <x:v>On</x:v>
      </x:c>
      <x:c r="L100" s="8" t="str">
        <x:v>306 × 516 × 453</x:v>
      </x:c>
      <x:c r="M100" s="8" t="str">
        <x:v>940 lm · 2700 K</x:v>
      </x:c>
      <x:c r="N100" s="11" t="n">
        <x:v>9</x:v>
      </x:c>
      <x:c r="O100" s="11" t="n">
        <x:v>90</x:v>
      </x:c>
      <x:c r="P100" s="11" t="n">
        <x:v>0</x:v>
      </x:c>
      <x:c r="Q100" s="9"/>
      <x:c r="R100" s="9"/>
      <x:c r="S100" s="9"/>
      <x:c r="T100" s="9"/>
      <x:c r="U100" s="9"/>
      <x:c r="V100" s="9"/>
      <x:c r="W100" s="13"/>
      <x:c r="X100" s="13"/>
      <x:c r="Y100" s="13"/>
      <x:c r="Z100" s="9"/>
      <x:c r="AA100" s="8" t="str">
        <x:v>Current</x:v>
      </x:c>
      <x:c r="AB100" s="8" t="str">
        <x:v>drop:LC1:LD:light:-1:L94</x:v>
      </x:c>
      <x:c r="AC100" s="8" t="str">
        <x:v>{"dim":1}</x:v>
      </x:c>
    </x:row>
    <x:row r="101" ht="96" customHeight="1">
      <x:c r="A101" s="8" t="str">
        <x:v>L95</x:v>
      </x:c>
      <x:c r="B101" s="8" t="str">
        <x:v>Sconce · axis 9 · H</x:v>
      </x:c>
      <x:c r="C101" s="8" t="str">
        <x:v>light</x:v>
      </x:c>
      <x:c r="D101" s="8" t="str">
        <x:v>DB1</x:v>
      </x:c>
      <x:c r="E101" s="8" t="str">
        <x:v>LD</x:v>
      </x:c>
      <x:c r="F101" s="11" t="n">
        <x:v>36.975</x:v>
      </x:c>
      <x:c r="G101" s="11" t="n">
        <x:v>4.6</x:v>
      </x:c>
      <x:c r="H101" s="11" t="n">
        <x:v>7.07</x:v>
      </x:c>
      <x:c r="I101" s="8" t="str">
        <x:v>wall</x:v>
      </x:c>
      <x:c r="J101" s="8" t="str">
        <x:v>Shown</x:v>
      </x:c>
      <x:c r="K101" s="8" t="str">
        <x:v>On</x:v>
      </x:c>
      <x:c r="L101" s="8" t="str">
        <x:v>306 × 516 × 453</x:v>
      </x:c>
      <x:c r="M101" s="8" t="str">
        <x:v>940 lm · 2700 K</x:v>
      </x:c>
      <x:c r="N101" s="11" t="n">
        <x:v>9</x:v>
      </x:c>
      <x:c r="O101" s="11" t="n">
        <x:v>-90</x:v>
      </x:c>
      <x:c r="P101" s="11" t="n">
        <x:v>0</x:v>
      </x:c>
      <x:c r="Q101" s="9"/>
      <x:c r="R101" s="9"/>
      <x:c r="S101" s="9"/>
      <x:c r="T101" s="9"/>
      <x:c r="U101" s="9"/>
      <x:c r="V101" s="9"/>
      <x:c r="W101" s="13"/>
      <x:c r="X101" s="13"/>
      <x:c r="Y101" s="13"/>
      <x:c r="Z101" s="9"/>
      <x:c r="AA101" s="8" t="str">
        <x:v>Current</x:v>
      </x:c>
      <x:c r="AB101" s="8" t="str">
        <x:v>drop:LC1:LD:light:1:L95</x:v>
      </x:c>
      <x:c r="AC101" s="8" t="str">
        <x:v>{"dim":1}</x:v>
      </x:c>
    </x:row>
    <x:row r="102" ht="96" customHeight="1">
      <x:c r="A102" s="8" t="str">
        <x:v>L96</x:v>
      </x:c>
      <x:c r="B102" s="8" t="str">
        <x:v>Sconce · sanctuary pier · B</x:v>
      </x:c>
      <x:c r="C102" s="8" t="str">
        <x:v>light</x:v>
      </x:c>
      <x:c r="D102" s="8" t="str">
        <x:v>DB1</x:v>
      </x:c>
      <x:c r="E102" s="8" t="str">
        <x:v>LD</x:v>
      </x:c>
      <x:c r="F102" s="11" t="n">
        <x:v>46.455</x:v>
      </x:c>
      <x:c r="G102" s="11" t="n">
        <x:v>4.3</x:v>
      </x:c>
      <x:c r="H102" s="11" t="n">
        <x:v>-3.2399999999999998</x:v>
      </x:c>
      <x:c r="I102" s="8" t="str">
        <x:v>wall</x:v>
      </x:c>
      <x:c r="J102" s="8" t="str">
        <x:v>Shown</x:v>
      </x:c>
      <x:c r="K102" s="8" t="str">
        <x:v>On</x:v>
      </x:c>
      <x:c r="L102" s="8" t="str">
        <x:v>306 × 516 × 453</x:v>
      </x:c>
      <x:c r="M102" s="8" t="str">
        <x:v>560 lm · 2700 K</x:v>
      </x:c>
      <x:c r="N102" s="11" t="n">
        <x:v>5.361702127659575</x:v>
      </x:c>
      <x:c r="O102" s="11" t="n">
        <x:v>90</x:v>
      </x:c>
      <x:c r="P102" s="11" t="n">
        <x:v>0</x:v>
      </x:c>
      <x:c r="Q102" s="9"/>
      <x:c r="R102" s="9"/>
      <x:c r="S102" s="9"/>
      <x:c r="T102" s="9"/>
      <x:c r="U102" s="9"/>
      <x:c r="V102" s="9"/>
      <x:c r="W102" s="13"/>
      <x:c r="X102" s="13"/>
      <x:c r="Y102" s="13"/>
      <x:c r="Z102" s="9"/>
      <x:c r="AA102" s="8" t="str">
        <x:v>Current</x:v>
      </x:c>
      <x:c r="AB102" s="8" t="str">
        <x:v>drop:LC1:LD:light:-1:L96</x:v>
      </x:c>
      <x:c r="AC102" s="8" t="str">
        <x:v>{"lumens":560,"dim":1}</x:v>
      </x:c>
    </x:row>
    <x:row r="103" ht="96" customHeight="1">
      <x:c r="A103" s="8" t="str">
        <x:v>L97</x:v>
      </x:c>
      <x:c r="B103" s="8" t="str">
        <x:v>Sconce · sanctuary pier · H</x:v>
      </x:c>
      <x:c r="C103" s="8" t="str">
        <x:v>light</x:v>
      </x:c>
      <x:c r="D103" s="8" t="str">
        <x:v>DB1</x:v>
      </x:c>
      <x:c r="E103" s="8" t="str">
        <x:v>LD</x:v>
      </x:c>
      <x:c r="F103" s="11" t="n">
        <x:v>46.455</x:v>
      </x:c>
      <x:c r="G103" s="11" t="n">
        <x:v>4.3</x:v>
      </x:c>
      <x:c r="H103" s="11" t="n">
        <x:v>3.2399999999999998</x:v>
      </x:c>
      <x:c r="I103" s="8" t="str">
        <x:v>wall</x:v>
      </x:c>
      <x:c r="J103" s="8" t="str">
        <x:v>Shown</x:v>
      </x:c>
      <x:c r="K103" s="8" t="str">
        <x:v>On</x:v>
      </x:c>
      <x:c r="L103" s="8" t="str">
        <x:v>306 × 516 × 453</x:v>
      </x:c>
      <x:c r="M103" s="8" t="str">
        <x:v>560 lm · 2700 K</x:v>
      </x:c>
      <x:c r="N103" s="11" t="n">
        <x:v>5.361702127659575</x:v>
      </x:c>
      <x:c r="O103" s="11" t="n">
        <x:v>-90</x:v>
      </x:c>
      <x:c r="P103" s="11" t="n">
        <x:v>0</x:v>
      </x:c>
      <x:c r="Q103" s="9"/>
      <x:c r="R103" s="9"/>
      <x:c r="S103" s="9"/>
      <x:c r="T103" s="9"/>
      <x:c r="U103" s="9"/>
      <x:c r="V103" s="9"/>
      <x:c r="W103" s="13"/>
      <x:c r="X103" s="13"/>
      <x:c r="Y103" s="13"/>
      <x:c r="Z103" s="9"/>
      <x:c r="AA103" s="8" t="str">
        <x:v>Current</x:v>
      </x:c>
      <x:c r="AB103" s="8" t="str">
        <x:v>drop:LC1:LD:light:1:L97</x:v>
      </x:c>
      <x:c r="AC103" s="8" t="str">
        <x:v>{"lumens":560,"dim":1}</x:v>
      </x:c>
    </x:row>
    <x:row r="104" ht="96" customHeight="1">
      <x:c r="A104" s="8" t="str">
        <x:v>L98</x:v>
      </x:c>
      <x:c r="B104" s="8" t="str">
        <x:v>Altar key light · B</x:v>
      </x:c>
      <x:c r="C104" s="8" t="str">
        <x:v>light</x:v>
      </x:c>
      <x:c r="D104" s="8" t="str">
        <x:v>DB1</x:v>
      </x:c>
      <x:c r="E104" s="8" t="str">
        <x:v>L3</x:v>
      </x:c>
      <x:c r="F104" s="11" t="n">
        <x:v>36.975</x:v>
      </x:c>
      <x:c r="G104" s="11" t="n">
        <x:v>8.584999999999999</x:v>
      </x:c>
      <x:c r="H104" s="11" t="n">
        <x:v>-1.4</x:v>
      </x:c>
      <x:c r="I104" s="8" t="str">
        <x:v>pendant</x:v>
      </x:c>
      <x:c r="J104" s="8" t="str">
        <x:v>Shown</x:v>
      </x:c>
      <x:c r="K104" s="8" t="str">
        <x:v>On</x:v>
      </x:c>
      <x:c r="L104" s="8" t="str">
        <x:v>330 × 222 × 240</x:v>
      </x:c>
      <x:c r="M104" s="8" t="str">
        <x:v>4500 lm · 3000 K · 24° beam</x:v>
      </x:c>
      <x:c r="N104" s="11" t="n">
        <x:v>37.5</x:v>
      </x:c>
      <x:c r="O104" s="11" t="n">
        <x:v>7.997806341019655</x:v>
      </x:c>
      <x:c r="P104" s="11" t="n">
        <x:v>-43.289366909219964</x:v>
      </x:c>
      <x:c r="Q104" s="9"/>
      <x:c r="R104" s="9"/>
      <x:c r="S104" s="9"/>
      <x:c r="T104" s="9"/>
      <x:c r="U104" s="9"/>
      <x:c r="V104" s="9"/>
      <x:c r="W104" s="13"/>
      <x:c r="X104" s="13"/>
      <x:c r="Y104" s="13"/>
      <x:c r="Z104" s="9"/>
      <x:c r="AA104" s="8" t="str">
        <x:v>Current</x:v>
      </x:c>
      <x:c r="AB104" s="8" t="str">
        <x:v>drop:LC1:L3:light:-1:L98</x:v>
      </x:c>
      <x:c r="AC104" s="8" t="str">
        <x:v>{"lumens":4500,"dim":1,"anchorY":8.59}</x:v>
      </x:c>
    </x:row>
    <x:row r="105" ht="96" customHeight="1">
      <x:c r="A105" s="8" t="str">
        <x:v>L99</x:v>
      </x:c>
      <x:c r="B105" s="8" t="str">
        <x:v>Altar key light · H</x:v>
      </x:c>
      <x:c r="C105" s="8" t="str">
        <x:v>light</x:v>
      </x:c>
      <x:c r="D105" s="8" t="str">
        <x:v>DB1</x:v>
      </x:c>
      <x:c r="E105" s="8" t="str">
        <x:v>L3</x:v>
      </x:c>
      <x:c r="F105" s="11" t="n">
        <x:v>36.975</x:v>
      </x:c>
      <x:c r="G105" s="11" t="n">
        <x:v>8.584999999999999</x:v>
      </x:c>
      <x:c r="H105" s="11" t="n">
        <x:v>1.4</x:v>
      </x:c>
      <x:c r="I105" s="8" t="str">
        <x:v>pendant</x:v>
      </x:c>
      <x:c r="J105" s="8" t="str">
        <x:v>Shown</x:v>
      </x:c>
      <x:c r="K105" s="8" t="str">
        <x:v>On</x:v>
      </x:c>
      <x:c r="L105" s="8" t="str">
        <x:v>330 × 222 × 240</x:v>
      </x:c>
      <x:c r="M105" s="8" t="str">
        <x:v>4500 lm · 3000 K · 24° beam</x:v>
      </x:c>
      <x:c r="N105" s="11" t="n">
        <x:v>37.5</x:v>
      </x:c>
      <x:c r="O105" s="11" t="n">
        <x:v>-7.997806341019655</x:v>
      </x:c>
      <x:c r="P105" s="11" t="n">
        <x:v>-43.289366909219964</x:v>
      </x:c>
      <x:c r="Q105" s="9"/>
      <x:c r="R105" s="9"/>
      <x:c r="S105" s="9"/>
      <x:c r="T105" s="9"/>
      <x:c r="U105" s="9"/>
      <x:c r="V105" s="9"/>
      <x:c r="W105" s="13"/>
      <x:c r="X105" s="13"/>
      <x:c r="Y105" s="13"/>
      <x:c r="Z105" s="9"/>
      <x:c r="AA105" s="8" t="str">
        <x:v>Current</x:v>
      </x:c>
      <x:c r="AB105" s="8" t="str">
        <x:v>drop:LC1:L3:light:1:L99</x:v>
      </x:c>
      <x:c r="AC105" s="8" t="str">
        <x:v>{"lumens":4500,"dim":1,"anchorY":8.59}</x:v>
      </x:c>
    </x:row>
    <x:row r="106" ht="96" customHeight="1">
      <x:c r="A106" s="8" t="str">
        <x:v>L100</x:v>
      </x:c>
      <x:c r="B106" s="8" t="str">
        <x:v>Ambo key light</x:v>
      </x:c>
      <x:c r="C106" s="8" t="str">
        <x:v>light</x:v>
      </x:c>
      <x:c r="D106" s="8" t="str">
        <x:v>DB1</x:v>
      </x:c>
      <x:c r="E106" s="8" t="str">
        <x:v>L3</x:v>
      </x:c>
      <x:c r="F106" s="11" t="n">
        <x:v>36.975</x:v>
      </x:c>
      <x:c r="G106" s="11" t="n">
        <x:v>8.584999999999999</x:v>
      </x:c>
      <x:c r="H106" s="11" t="n">
        <x:v>-3.15</x:v>
      </x:c>
      <x:c r="I106" s="8" t="str">
        <x:v>pendant</x:v>
      </x:c>
      <x:c r="J106" s="8" t="str">
        <x:v>Shown</x:v>
      </x:c>
      <x:c r="K106" s="8" t="str">
        <x:v>On</x:v>
      </x:c>
      <x:c r="L106" s="8" t="str">
        <x:v>269 × 197 × 190</x:v>
      </x:c>
      <x:c r="M106" s="8" t="str">
        <x:v>1900 lm · 3000 K · 15° beam</x:v>
      </x:c>
      <x:c r="N106" s="11" t="n">
        <x:v>16.72</x:v>
      </x:c>
      <x:c r="O106" s="11" t="n">
        <x:v>6.509365045221569</x:v>
      </x:c>
      <x:c r="P106" s="11" t="n">
        <x:v>-53.5732070312224</x:v>
      </x:c>
      <x:c r="Q106" s="9"/>
      <x:c r="R106" s="9"/>
      <x:c r="S106" s="9"/>
      <x:c r="T106" s="9"/>
      <x:c r="U106" s="9"/>
      <x:c r="V106" s="9"/>
      <x:c r="W106" s="13"/>
      <x:c r="X106" s="13"/>
      <x:c r="Y106" s="13"/>
      <x:c r="Z106" s="9"/>
      <x:c r="AA106" s="8" t="str">
        <x:v>Current</x:v>
      </x:c>
      <x:c r="AB106" s="8" t="str">
        <x:v>drop:LC1:L3:light:-1:L100</x:v>
      </x:c>
      <x:c r="AC106" s="8" t="str">
        <x:v>{"lumens":1900,"dim":1,"anchorY":8.59}</x:v>
      </x:c>
    </x:row>
    <x:row r="107" ht="96" customHeight="1">
      <x:c r="A107" s="8" t="str">
        <x:v>L101</x:v>
      </x:c>
      <x:c r="B107" s="8" t="str">
        <x:v>Sanctuary step fill · B</x:v>
      </x:c>
      <x:c r="C107" s="8" t="str">
        <x:v>light</x:v>
      </x:c>
      <x:c r="D107" s="8" t="str">
        <x:v>DB1</x:v>
      </x:c>
      <x:c r="E107" s="8" t="str">
        <x:v>L3</x:v>
      </x:c>
      <x:c r="F107" s="11" t="n">
        <x:v>36.975</x:v>
      </x:c>
      <x:c r="G107" s="11" t="n">
        <x:v>8.584999999999999</x:v>
      </x:c>
      <x:c r="H107" s="11" t="n">
        <x:v>-1.9</x:v>
      </x:c>
      <x:c r="I107" s="8" t="str">
        <x:v>pendant</x:v>
      </x:c>
      <x:c r="J107" s="8" t="str">
        <x:v>Shown</x:v>
      </x:c>
      <x:c r="K107" s="8" t="str">
        <x:v>On</x:v>
      </x:c>
      <x:c r="L107" s="8" t="str">
        <x:v>330 × 222 × 240</x:v>
      </x:c>
      <x:c r="M107" s="8" t="str">
        <x:v>4000 lm · 3000 K · 36° beam</x:v>
      </x:c>
      <x:c r="N107" s="11" t="n">
        <x:v>33.333333333333336</x:v>
      </x:c>
      <x:c r="O107" s="11" t="n">
        <x:v>-4.696994876326327</x:v>
      </x:c>
      <x:c r="P107" s="11" t="n">
        <x:v>-59.36220621576156</x:v>
      </x:c>
      <x:c r="Q107" s="9"/>
      <x:c r="R107" s="9"/>
      <x:c r="S107" s="9"/>
      <x:c r="T107" s="9"/>
      <x:c r="U107" s="9"/>
      <x:c r="V107" s="9"/>
      <x:c r="W107" s="13"/>
      <x:c r="X107" s="13"/>
      <x:c r="Y107" s="13"/>
      <x:c r="Z107" s="9"/>
      <x:c r="AA107" s="8" t="str">
        <x:v>Current</x:v>
      </x:c>
      <x:c r="AB107" s="8" t="str">
        <x:v>drop:LC1:L3:light:-1:L101</x:v>
      </x:c>
      <x:c r="AC107" s="8" t="str">
        <x:v>{"lumens":4000,"dim":1,"anchorY":8.59}</x:v>
      </x:c>
    </x:row>
    <x:row r="108" ht="96" customHeight="1">
      <x:c r="A108" s="8" t="str">
        <x:v>L102</x:v>
      </x:c>
      <x:c r="B108" s="8" t="str">
        <x:v>Sanctuary step fill · H</x:v>
      </x:c>
      <x:c r="C108" s="8" t="str">
        <x:v>light</x:v>
      </x:c>
      <x:c r="D108" s="8" t="str">
        <x:v>DB1</x:v>
      </x:c>
      <x:c r="E108" s="8" t="str">
        <x:v>L3</x:v>
      </x:c>
      <x:c r="F108" s="11" t="n">
        <x:v>36.975</x:v>
      </x:c>
      <x:c r="G108" s="11" t="n">
        <x:v>8.584999999999999</x:v>
      </x:c>
      <x:c r="H108" s="11" t="n">
        <x:v>1.9</x:v>
      </x:c>
      <x:c r="I108" s="8" t="str">
        <x:v>pendant</x:v>
      </x:c>
      <x:c r="J108" s="8" t="str">
        <x:v>Shown</x:v>
      </x:c>
      <x:c r="K108" s="8" t="str">
        <x:v>On</x:v>
      </x:c>
      <x:c r="L108" s="8" t="str">
        <x:v>330 × 222 × 240</x:v>
      </x:c>
      <x:c r="M108" s="8" t="str">
        <x:v>4000 lm · 3000 K · 36° beam</x:v>
      </x:c>
      <x:c r="N108" s="11" t="n">
        <x:v>33.333333333333336</x:v>
      </x:c>
      <x:c r="O108" s="11" t="n">
        <x:v>4.696994876326327</x:v>
      </x:c>
      <x:c r="P108" s="11" t="n">
        <x:v>-59.36220621576156</x:v>
      </x:c>
      <x:c r="Q108" s="9"/>
      <x:c r="R108" s="9"/>
      <x:c r="S108" s="9"/>
      <x:c r="T108" s="9"/>
      <x:c r="U108" s="9"/>
      <x:c r="V108" s="9"/>
      <x:c r="W108" s="13"/>
      <x:c r="X108" s="13"/>
      <x:c r="Y108" s="13"/>
      <x:c r="Z108" s="9"/>
      <x:c r="AA108" s="8" t="str">
        <x:v>Current</x:v>
      </x:c>
      <x:c r="AB108" s="8" t="str">
        <x:v>drop:LC1:L3:light:1:L102</x:v>
      </x:c>
      <x:c r="AC108" s="8" t="str">
        <x:v>{"lumens":4000,"dim":1,"anchorY":8.59}</x:v>
      </x:c>
    </x:row>
    <x:row r="109" ht="96" customHeight="1">
      <x:c r="A109" s="8" t="str">
        <x:v>L103</x:v>
      </x:c>
      <x:c r="B109" s="8" t="str">
        <x:v>Presider chair light</x:v>
      </x:c>
      <x:c r="C109" s="8" t="str">
        <x:v>light</x:v>
      </x:c>
      <x:c r="D109" s="8" t="str">
        <x:v>DB1</x:v>
      </x:c>
      <x:c r="E109" s="8" t="str">
        <x:v>L3</x:v>
      </x:c>
      <x:c r="F109" s="11" t="n">
        <x:v>36.975</x:v>
      </x:c>
      <x:c r="G109" s="11" t="n">
        <x:v>8.584999999999999</x:v>
      </x:c>
      <x:c r="H109" s="11" t="n">
        <x:v>3</x:v>
      </x:c>
      <x:c r="I109" s="8" t="str">
        <x:v>pendant</x:v>
      </x:c>
      <x:c r="J109" s="8" t="str">
        <x:v>Shown</x:v>
      </x:c>
      <x:c r="K109" s="8" t="str">
        <x:v>On</x:v>
      </x:c>
      <x:c r="L109" s="8" t="str">
        <x:v>269 × 197 × 190</x:v>
      </x:c>
      <x:c r="M109" s="8" t="str">
        <x:v>1400 lm · 3000 K · 15° beam</x:v>
      </x:c>
      <x:c r="N109" s="11" t="n">
        <x:v>12.32</x:v>
      </x:c>
      <x:c r="O109" s="11" t="n">
        <x:v>-4.751325315268188</x:v>
      </x:c>
      <x:c r="P109" s="11" t="n">
        <x:v>-33.0537873311373</x:v>
      </x:c>
      <x:c r="Q109" s="9"/>
      <x:c r="R109" s="9"/>
      <x:c r="S109" s="9"/>
      <x:c r="T109" s="9"/>
      <x:c r="U109" s="9"/>
      <x:c r="V109" s="9"/>
      <x:c r="W109" s="13"/>
      <x:c r="X109" s="13"/>
      <x:c r="Y109" s="13"/>
      <x:c r="Z109" s="9"/>
      <x:c r="AA109" s="8" t="str">
        <x:v>Current</x:v>
      </x:c>
      <x:c r="AB109" s="8" t="str">
        <x:v>drop:LC1:L3:light:1:L103</x:v>
      </x:c>
      <x:c r="AC109" s="8" t="str">
        <x:v>{"lumens":1400,"dim":1,"anchorY":8.59}</x:v>
      </x:c>
    </x:row>
    <x:row r="110" ht="96" customHeight="1">
      <x:c r="A110" s="8" t="str">
        <x:v>L104</x:v>
      </x:c>
      <x:c r="B110" s="8" t="str">
        <x:v>Sanctuary frame wash · B</x:v>
      </x:c>
      <x:c r="C110" s="8" t="str">
        <x:v>light</x:v>
      </x:c>
      <x:c r="D110" s="8" t="str">
        <x:v>DB1</x:v>
      </x:c>
      <x:c r="E110" s="8" t="str">
        <x:v>L3</x:v>
      </x:c>
      <x:c r="F110" s="11" t="n">
        <x:v>36.975</x:v>
      </x:c>
      <x:c r="G110" s="11" t="n">
        <x:v>8.584999999999999</x:v>
      </x:c>
      <x:c r="H110" s="11" t="n">
        <x:v>-0.6</x:v>
      </x:c>
      <x:c r="I110" s="8" t="str">
        <x:v>pendant</x:v>
      </x:c>
      <x:c r="J110" s="8" t="str">
        <x:v>Shown</x:v>
      </x:c>
      <x:c r="K110" s="8" t="str">
        <x:v>On</x:v>
      </x:c>
      <x:c r="L110" s="8" t="str">
        <x:v>330 × 222 × 240</x:v>
      </x:c>
      <x:c r="M110" s="8" t="str">
        <x:v>3500 lm · 3000 K · 50° beam</x:v>
      </x:c>
      <x:c r="N110" s="11" t="n">
        <x:v>29.166666666666668</x:v>
      </x:c>
      <x:c r="O110" s="11" t="n">
        <x:v>-9.727578551401615</x:v>
      </x:c>
      <x:c r="P110" s="11" t="n">
        <x:v>9.707945617134026</x:v>
      </x:c>
      <x:c r="Q110" s="9"/>
      <x:c r="R110" s="9"/>
      <x:c r="S110" s="9"/>
      <x:c r="T110" s="9"/>
      <x:c r="U110" s="9"/>
      <x:c r="V110" s="9"/>
      <x:c r="W110" s="13"/>
      <x:c r="X110" s="13"/>
      <x:c r="Y110" s="13"/>
      <x:c r="Z110" s="9"/>
      <x:c r="AA110" s="8" t="str">
        <x:v>Current</x:v>
      </x:c>
      <x:c r="AB110" s="8" t="str">
        <x:v>drop:LC1:L3:light:-1:L104</x:v>
      </x:c>
      <x:c r="AC110" s="8" t="str">
        <x:v>{"lumens":3500,"dim":1,"anchorY":8.59}</x:v>
      </x:c>
    </x:row>
    <x:row r="111" ht="96" customHeight="1">
      <x:c r="A111" s="8" t="str">
        <x:v>L105</x:v>
      </x:c>
      <x:c r="B111" s="8" t="str">
        <x:v>Sanctuary frame wash · H</x:v>
      </x:c>
      <x:c r="C111" s="8" t="str">
        <x:v>light</x:v>
      </x:c>
      <x:c r="D111" s="8" t="str">
        <x:v>DB1</x:v>
      </x:c>
      <x:c r="E111" s="8" t="str">
        <x:v>L3</x:v>
      </x:c>
      <x:c r="F111" s="11" t="n">
        <x:v>36.975</x:v>
      </x:c>
      <x:c r="G111" s="11" t="n">
        <x:v>8.584999999999999</x:v>
      </x:c>
      <x:c r="H111" s="11" t="n">
        <x:v>0.6</x:v>
      </x:c>
      <x:c r="I111" s="8" t="str">
        <x:v>pendant</x:v>
      </x:c>
      <x:c r="J111" s="8" t="str">
        <x:v>Shown</x:v>
      </x:c>
      <x:c r="K111" s="8" t="str">
        <x:v>On</x:v>
      </x:c>
      <x:c r="L111" s="8" t="str">
        <x:v>330 × 222 × 240</x:v>
      </x:c>
      <x:c r="M111" s="8" t="str">
        <x:v>3500 lm · 3000 K · 50° beam</x:v>
      </x:c>
      <x:c r="N111" s="11" t="n">
        <x:v>29.166666666666668</x:v>
      </x:c>
      <x:c r="O111" s="11" t="n">
        <x:v>9.727578551401615</x:v>
      </x:c>
      <x:c r="P111" s="11" t="n">
        <x:v>9.707945617134026</x:v>
      </x:c>
      <x:c r="Q111" s="9"/>
      <x:c r="R111" s="9"/>
      <x:c r="S111" s="9"/>
      <x:c r="T111" s="9"/>
      <x:c r="U111" s="9"/>
      <x:c r="V111" s="9"/>
      <x:c r="W111" s="13"/>
      <x:c r="X111" s="13"/>
      <x:c r="Y111" s="13"/>
      <x:c r="Z111" s="9"/>
      <x:c r="AA111" s="8" t="str">
        <x:v>Current</x:v>
      </x:c>
      <x:c r="AB111" s="8" t="str">
        <x:v>drop:LC1:L3:light:1:L105</x:v>
      </x:c>
      <x:c r="AC111" s="8" t="str">
        <x:v>{"lumens":3500,"dim":1,"anchorY":8.59}</x:v>
      </x:c>
    </x:row>
    <x:row r="112" ht="96" customHeight="1">
      <x:c r="A112" s="8" t="str">
        <x:v>L106</x:v>
      </x:c>
      <x:c r="B112" s="8" t="str">
        <x:v>Crucifix accent · B</x:v>
      </x:c>
      <x:c r="C112" s="8" t="str">
        <x:v>light</x:v>
      </x:c>
      <x:c r="D112" s="8" t="str">
        <x:v>DB1</x:v>
      </x:c>
      <x:c r="E112" s="8" t="str">
        <x:v>L3</x:v>
      </x:c>
      <x:c r="F112" s="11" t="n">
        <x:v>44.75</x:v>
      </x:c>
      <x:c r="G112" s="11" t="n">
        <x:v>7.6</x:v>
      </x:c>
      <x:c r="H112" s="11" t="n">
        <x:v>-3.2399999999999998</x:v>
      </x:c>
      <x:c r="I112" s="8" t="str">
        <x:v>wall</x:v>
      </x:c>
      <x:c r="J112" s="8" t="str">
        <x:v>Shown</x:v>
      </x:c>
      <x:c r="K112" s="8" t="str">
        <x:v>On</x:v>
      </x:c>
      <x:c r="L112" s="8" t="str">
        <x:v>269 × 197 × 190</x:v>
      </x:c>
      <x:c r="M112" s="8" t="str">
        <x:v>700 lm · 3000 K · 24° beam</x:v>
      </x:c>
      <x:c r="N112" s="11" t="n">
        <x:v>6.16</x:v>
      </x:c>
      <x:c r="O112" s="11" t="n">
        <x:v>40.827015523920494</x:v>
      </x:c>
      <x:c r="P112" s="11" t="n">
        <x:v>-26.76902251653982</x:v>
      </x:c>
      <x:c r="Q112" s="9"/>
      <x:c r="R112" s="9"/>
      <x:c r="S112" s="9"/>
      <x:c r="T112" s="9"/>
      <x:c r="U112" s="9"/>
      <x:c r="V112" s="9"/>
      <x:c r="W112" s="13"/>
      <x:c r="X112" s="13"/>
      <x:c r="Y112" s="13"/>
      <x:c r="Z112" s="9"/>
      <x:c r="AA112" s="8" t="str">
        <x:v>Current</x:v>
      </x:c>
      <x:c r="AB112" s="8" t="str">
        <x:v>drop:LC1:L3:light:-1:L106</x:v>
      </x:c>
      <x:c r="AC112" s="8" t="str">
        <x:v>{"lumens":700,"dim":1}</x:v>
      </x:c>
    </x:row>
    <x:row r="113" ht="96" customHeight="1">
      <x:c r="A113" s="8" t="str">
        <x:v>L107</x:v>
      </x:c>
      <x:c r="B113" s="8" t="str">
        <x:v>Reredos wash · B</x:v>
      </x:c>
      <x:c r="C113" s="8" t="str">
        <x:v>light</x:v>
      </x:c>
      <x:c r="D113" s="8" t="str">
        <x:v>DB1</x:v>
      </x:c>
      <x:c r="E113" s="8" t="str">
        <x:v>L3</x:v>
      </x:c>
      <x:c r="F113" s="11" t="n">
        <x:v>44.75</x:v>
      </x:c>
      <x:c r="G113" s="11" t="n">
        <x:v>6.7</x:v>
      </x:c>
      <x:c r="H113" s="11" t="n">
        <x:v>-3.2399999999999998</x:v>
      </x:c>
      <x:c r="I113" s="8" t="str">
        <x:v>wall</x:v>
      </x:c>
      <x:c r="J113" s="8" t="str">
        <x:v>Shown</x:v>
      </x:c>
      <x:c r="K113" s="8" t="str">
        <x:v>On</x:v>
      </x:c>
      <x:c r="L113" s="8" t="str">
        <x:v>330 × 222 × 240</x:v>
      </x:c>
      <x:c r="M113" s="8" t="str">
        <x:v>650 lm · 3000 K · 36° beam</x:v>
      </x:c>
      <x:c r="N113" s="11" t="n">
        <x:v>5.416666666666667</x:v>
      </x:c>
      <x:c r="O113" s="11" t="n">
        <x:v>9.727578551401601</x:v>
      </x:c>
      <x:c r="P113" s="11" t="n">
        <x:v>-28.00954417031813</x:v>
      </x:c>
      <x:c r="Q113" s="9"/>
      <x:c r="R113" s="9"/>
      <x:c r="S113" s="9"/>
      <x:c r="T113" s="9"/>
      <x:c r="U113" s="9"/>
      <x:c r="V113" s="9"/>
      <x:c r="W113" s="13"/>
      <x:c r="X113" s="13"/>
      <x:c r="Y113" s="13"/>
      <x:c r="Z113" s="9"/>
      <x:c r="AA113" s="8" t="str">
        <x:v>Current</x:v>
      </x:c>
      <x:c r="AB113" s="8" t="str">
        <x:v>drop:LC1:L3:light:-1:L107</x:v>
      </x:c>
      <x:c r="AC113" s="8" t="str">
        <x:v>{"lumens":650,"dim":1}</x:v>
      </x:c>
    </x:row>
    <x:row r="114" ht="96" customHeight="1">
      <x:c r="A114" s="8" t="str">
        <x:v>L108</x:v>
      </x:c>
      <x:c r="B114" s="8" t="str">
        <x:v>Reredos base wash · B</x:v>
      </x:c>
      <x:c r="C114" s="8" t="str">
        <x:v>light</x:v>
      </x:c>
      <x:c r="D114" s="8" t="str">
        <x:v>DB1</x:v>
      </x:c>
      <x:c r="E114" s="8" t="str">
        <x:v>L3</x:v>
      </x:c>
      <x:c r="F114" s="11" t="n">
        <x:v>44.75</x:v>
      </x:c>
      <x:c r="G114" s="11" t="n">
        <x:v>5.4</x:v>
      </x:c>
      <x:c r="H114" s="11" t="n">
        <x:v>-3.2399999999999998</x:v>
      </x:c>
      <x:c r="I114" s="8" t="str">
        <x:v>wall</x:v>
      </x:c>
      <x:c r="J114" s="8" t="str">
        <x:v>Shown</x:v>
      </x:c>
      <x:c r="K114" s="8" t="str">
        <x:v>On</x:v>
      </x:c>
      <x:c r="L114" s="8" t="str">
        <x:v>330 × 222 × 240</x:v>
      </x:c>
      <x:c r="M114" s="8" t="str">
        <x:v>1300 lm · 3000 K · 36° beam</x:v>
      </x:c>
      <x:c r="N114" s="11" t="n">
        <x:v>10.833333333333334</x:v>
      </x:c>
      <x:c r="O114" s="11" t="n">
        <x:v>68.78943229559124</x:v>
      </x:c>
      <x:c r="P114" s="11" t="n">
        <x:v>-27.549252343078525</x:v>
      </x:c>
      <x:c r="Q114" s="9"/>
      <x:c r="R114" s="9"/>
      <x:c r="S114" s="9"/>
      <x:c r="T114" s="9"/>
      <x:c r="U114" s="9"/>
      <x:c r="V114" s="9"/>
      <x:c r="W114" s="13"/>
      <x:c r="X114" s="13"/>
      <x:c r="Y114" s="13"/>
      <x:c r="Z114" s="9"/>
      <x:c r="AA114" s="8" t="str">
        <x:v>Current</x:v>
      </x:c>
      <x:c r="AB114" s="8" t="str">
        <x:v>drop:LC1:L3:light:-1:L108</x:v>
      </x:c>
      <x:c r="AC114" s="8" t="str">
        <x:v>{"lumens":1300,"dim":1}</x:v>
      </x:c>
    </x:row>
    <x:row r="115" ht="96" customHeight="1">
      <x:c r="A115" s="8" t="str">
        <x:v>L109</x:v>
      </x:c>
      <x:c r="B115" s="8" t="str">
        <x:v>Sanctuary vault uplight · B</x:v>
      </x:c>
      <x:c r="C115" s="8" t="str">
        <x:v>light</x:v>
      </x:c>
      <x:c r="D115" s="8" t="str">
        <x:v>DB1</x:v>
      </x:c>
      <x:c r="E115" s="8" t="str">
        <x:v>L3</x:v>
      </x:c>
      <x:c r="F115" s="11" t="n">
        <x:v>45.35</x:v>
      </x:c>
      <x:c r="G115" s="11" t="n">
        <x:v>8.42</x:v>
      </x:c>
      <x:c r="H115" s="11" t="n">
        <x:v>-2.94</x:v>
      </x:c>
      <x:c r="I115" s="8" t="str">
        <x:v>floor</x:v>
      </x:c>
      <x:c r="J115" s="8" t="str">
        <x:v>Shown</x:v>
      </x:c>
      <x:c r="K115" s="8" t="str">
        <x:v>On</x:v>
      </x:c>
      <x:c r="L115" s="8" t="str">
        <x:v>320 × 220 × 300</x:v>
      </x:c>
      <x:c r="M115" s="8" t="str">
        <x:v>2200 lm · 2700 K · 100° beam</x:v>
      </x:c>
      <x:c r="N115" s="11" t="n">
        <x:v>17.6</x:v>
      </x:c>
      <x:c r="O115" s="11" t="n">
        <x:v>57.56023709684557</x:v>
      </x:c>
      <x:c r="P115" s="11" t="n">
        <x:v>25.269330425715808</x:v>
      </x:c>
      <x:c r="Q115" s="9"/>
      <x:c r="R115" s="9"/>
      <x:c r="S115" s="9"/>
      <x:c r="T115" s="9"/>
      <x:c r="U115" s="9"/>
      <x:c r="V115" s="9"/>
      <x:c r="W115" s="13"/>
      <x:c r="X115" s="13"/>
      <x:c r="Y115" s="13"/>
      <x:c r="Z115" s="9"/>
      <x:c r="AA115" s="8" t="str">
        <x:v>Current</x:v>
      </x:c>
      <x:c r="AB115" s="8" t="str">
        <x:v>drop:LC1:L3:light:-1:L109</x:v>
      </x:c>
      <x:c r="AC115" s="8" t="str">
        <x:v>{"lumens":2200,"dim":1}</x:v>
      </x:c>
    </x:row>
    <x:row r="116" ht="96" customHeight="1">
      <x:c r="A116" s="8" t="str">
        <x:v>L110</x:v>
      </x:c>
      <x:c r="B116" s="8" t="str">
        <x:v>Crucifix accent · H</x:v>
      </x:c>
      <x:c r="C116" s="8" t="str">
        <x:v>light</x:v>
      </x:c>
      <x:c r="D116" s="8" t="str">
        <x:v>DB1</x:v>
      </x:c>
      <x:c r="E116" s="8" t="str">
        <x:v>L3</x:v>
      </x:c>
      <x:c r="F116" s="11" t="n">
        <x:v>44.75</x:v>
      </x:c>
      <x:c r="G116" s="11" t="n">
        <x:v>7.6</x:v>
      </x:c>
      <x:c r="H116" s="11" t="n">
        <x:v>3.2399999999999998</x:v>
      </x:c>
      <x:c r="I116" s="8" t="str">
        <x:v>wall</x:v>
      </x:c>
      <x:c r="J116" s="8" t="str">
        <x:v>Shown</x:v>
      </x:c>
      <x:c r="K116" s="8" t="str">
        <x:v>On</x:v>
      </x:c>
      <x:c r="L116" s="8" t="str">
        <x:v>269 × 197 × 190</x:v>
      </x:c>
      <x:c r="M116" s="8" t="str">
        <x:v>700 lm · 3000 K · 24° beam</x:v>
      </x:c>
      <x:c r="N116" s="11" t="n">
        <x:v>6.16</x:v>
      </x:c>
      <x:c r="O116" s="11" t="n">
        <x:v>-40.827015523920494</x:v>
      </x:c>
      <x:c r="P116" s="11" t="n">
        <x:v>-26.76902251653982</x:v>
      </x:c>
      <x:c r="Q116" s="9"/>
      <x:c r="R116" s="9"/>
      <x:c r="S116" s="9"/>
      <x:c r="T116" s="9"/>
      <x:c r="U116" s="9"/>
      <x:c r="V116" s="9"/>
      <x:c r="W116" s="13"/>
      <x:c r="X116" s="13"/>
      <x:c r="Y116" s="13"/>
      <x:c r="Z116" s="9"/>
      <x:c r="AA116" s="8" t="str">
        <x:v>Current</x:v>
      </x:c>
      <x:c r="AB116" s="8" t="str">
        <x:v>drop:LC1:L3:light:1:L110</x:v>
      </x:c>
      <x:c r="AC116" s="8" t="str">
        <x:v>{"lumens":700,"dim":1}</x:v>
      </x:c>
    </x:row>
    <x:row r="117" ht="96" customHeight="1">
      <x:c r="A117" s="8" t="str">
        <x:v>L111</x:v>
      </x:c>
      <x:c r="B117" s="8" t="str">
        <x:v>Reredos wash · H</x:v>
      </x:c>
      <x:c r="C117" s="8" t="str">
        <x:v>light</x:v>
      </x:c>
      <x:c r="D117" s="8" t="str">
        <x:v>DB1</x:v>
      </x:c>
      <x:c r="E117" s="8" t="str">
        <x:v>L3</x:v>
      </x:c>
      <x:c r="F117" s="11" t="n">
        <x:v>44.75</x:v>
      </x:c>
      <x:c r="G117" s="11" t="n">
        <x:v>6.7</x:v>
      </x:c>
      <x:c r="H117" s="11" t="n">
        <x:v>3.2399999999999998</x:v>
      </x:c>
      <x:c r="I117" s="8" t="str">
        <x:v>wall</x:v>
      </x:c>
      <x:c r="J117" s="8" t="str">
        <x:v>Shown</x:v>
      </x:c>
      <x:c r="K117" s="8" t="str">
        <x:v>On</x:v>
      </x:c>
      <x:c r="L117" s="8" t="str">
        <x:v>330 × 222 × 240</x:v>
      </x:c>
      <x:c r="M117" s="8" t="str">
        <x:v>650 lm · 3000 K · 36° beam</x:v>
      </x:c>
      <x:c r="N117" s="11" t="n">
        <x:v>5.416666666666667</x:v>
      </x:c>
      <x:c r="O117" s="11" t="n">
        <x:v>-9.727578551401601</x:v>
      </x:c>
      <x:c r="P117" s="11" t="n">
        <x:v>-28.00954417031813</x:v>
      </x:c>
      <x:c r="Q117" s="9"/>
      <x:c r="R117" s="9"/>
      <x:c r="S117" s="9"/>
      <x:c r="T117" s="9"/>
      <x:c r="U117" s="9"/>
      <x:c r="V117" s="9"/>
      <x:c r="W117" s="13"/>
      <x:c r="X117" s="13"/>
      <x:c r="Y117" s="13"/>
      <x:c r="Z117" s="9"/>
      <x:c r="AA117" s="8" t="str">
        <x:v>Current</x:v>
      </x:c>
      <x:c r="AB117" s="8" t="str">
        <x:v>drop:LC1:L3:light:1:L111</x:v>
      </x:c>
      <x:c r="AC117" s="8" t="str">
        <x:v>{"lumens":650,"dim":1}</x:v>
      </x:c>
    </x:row>
    <x:row r="118" ht="96" customHeight="1">
      <x:c r="A118" s="8" t="str">
        <x:v>L112</x:v>
      </x:c>
      <x:c r="B118" s="8" t="str">
        <x:v>Reredos base wash · H</x:v>
      </x:c>
      <x:c r="C118" s="8" t="str">
        <x:v>light</x:v>
      </x:c>
      <x:c r="D118" s="8" t="str">
        <x:v>DB1</x:v>
      </x:c>
      <x:c r="E118" s="8" t="str">
        <x:v>L3</x:v>
      </x:c>
      <x:c r="F118" s="11" t="n">
        <x:v>44.75</x:v>
      </x:c>
      <x:c r="G118" s="11" t="n">
        <x:v>5.4</x:v>
      </x:c>
      <x:c r="H118" s="11" t="n">
        <x:v>3.2399999999999998</x:v>
      </x:c>
      <x:c r="I118" s="8" t="str">
        <x:v>wall</x:v>
      </x:c>
      <x:c r="J118" s="8" t="str">
        <x:v>Shown</x:v>
      </x:c>
      <x:c r="K118" s="8" t="str">
        <x:v>On</x:v>
      </x:c>
      <x:c r="L118" s="8" t="str">
        <x:v>330 × 222 × 240</x:v>
      </x:c>
      <x:c r="M118" s="8" t="str">
        <x:v>1300 lm · 3000 K · 36° beam</x:v>
      </x:c>
      <x:c r="N118" s="11" t="n">
        <x:v>10.833333333333334</x:v>
      </x:c>
      <x:c r="O118" s="11" t="n">
        <x:v>-68.78943229559124</x:v>
      </x:c>
      <x:c r="P118" s="11" t="n">
        <x:v>-27.549252343078525</x:v>
      </x:c>
      <x:c r="Q118" s="9"/>
      <x:c r="R118" s="9"/>
      <x:c r="S118" s="9"/>
      <x:c r="T118" s="9"/>
      <x:c r="U118" s="9"/>
      <x:c r="V118" s="9"/>
      <x:c r="W118" s="13"/>
      <x:c r="X118" s="13"/>
      <x:c r="Y118" s="13"/>
      <x:c r="Z118" s="9"/>
      <x:c r="AA118" s="8" t="str">
        <x:v>Current</x:v>
      </x:c>
      <x:c r="AB118" s="8" t="str">
        <x:v>drop:LC1:L3:light:1:L112</x:v>
      </x:c>
      <x:c r="AC118" s="8" t="str">
        <x:v>{"lumens":1300,"dim":1}</x:v>
      </x:c>
    </x:row>
    <x:row r="119" ht="96" customHeight="1">
      <x:c r="A119" s="8" t="str">
        <x:v>L113</x:v>
      </x:c>
      <x:c r="B119" s="8" t="str">
        <x:v>Sanctuary vault uplight · H</x:v>
      </x:c>
      <x:c r="C119" s="8" t="str">
        <x:v>light</x:v>
      </x:c>
      <x:c r="D119" s="8" t="str">
        <x:v>DB1</x:v>
      </x:c>
      <x:c r="E119" s="8" t="str">
        <x:v>L3</x:v>
      </x:c>
      <x:c r="F119" s="11" t="n">
        <x:v>45.35</x:v>
      </x:c>
      <x:c r="G119" s="11" t="n">
        <x:v>8.42</x:v>
      </x:c>
      <x:c r="H119" s="11" t="n">
        <x:v>2.94</x:v>
      </x:c>
      <x:c r="I119" s="8" t="str">
        <x:v>floor</x:v>
      </x:c>
      <x:c r="J119" s="8" t="str">
        <x:v>Shown</x:v>
      </x:c>
      <x:c r="K119" s="8" t="str">
        <x:v>On</x:v>
      </x:c>
      <x:c r="L119" s="8" t="str">
        <x:v>320 × 220 × 300</x:v>
      </x:c>
      <x:c r="M119" s="8" t="str">
        <x:v>2200 lm · 2700 K · 100° beam</x:v>
      </x:c>
      <x:c r="N119" s="11" t="n">
        <x:v>17.6</x:v>
      </x:c>
      <x:c r="O119" s="11" t="n">
        <x:v>-57.56023709684557</x:v>
      </x:c>
      <x:c r="P119" s="11" t="n">
        <x:v>25.269330425715808</x:v>
      </x:c>
      <x:c r="Q119" s="9"/>
      <x:c r="R119" s="9"/>
      <x:c r="S119" s="9"/>
      <x:c r="T119" s="9"/>
      <x:c r="U119" s="9"/>
      <x:c r="V119" s="9"/>
      <x:c r="W119" s="13"/>
      <x:c r="X119" s="13"/>
      <x:c r="Y119" s="13"/>
      <x:c r="Z119" s="9"/>
      <x:c r="AA119" s="8" t="str">
        <x:v>Current</x:v>
      </x:c>
      <x:c r="AB119" s="8" t="str">
        <x:v>drop:LC1:L3:light:1:L113</x:v>
      </x:c>
      <x:c r="AC119" s="8" t="str">
        <x:v>{"lumens":2200,"dim":1}</x:v>
      </x:c>
    </x:row>
    <x:row r="120" ht="96" customHeight="1">
      <x:c r="A120" s="8" t="str">
        <x:v>L114</x:v>
      </x:c>
      <x:c r="B120" s="8" t="str">
        <x:v>Tabernacle accent</x:v>
      </x:c>
      <x:c r="C120" s="8" t="str">
        <x:v>light</x:v>
      </x:c>
      <x:c r="D120" s="8" t="str">
        <x:v>DB1</x:v>
      </x:c>
      <x:c r="E120" s="8" t="str">
        <x:v>L3</x:v>
      </x:c>
      <x:c r="F120" s="11" t="n">
        <x:v>44.75</x:v>
      </x:c>
      <x:c r="G120" s="11" t="n">
        <x:v>4.9</x:v>
      </x:c>
      <x:c r="H120" s="11" t="n">
        <x:v>-3.2399999999999998</x:v>
      </x:c>
      <x:c r="I120" s="8" t="str">
        <x:v>wall</x:v>
      </x:c>
      <x:c r="J120" s="8" t="str">
        <x:v>Shown</x:v>
      </x:c>
      <x:c r="K120" s="8" t="str">
        <x:v>On</x:v>
      </x:c>
      <x:c r="L120" s="8" t="str">
        <x:v>269 × 197 × 190</x:v>
      </x:c>
      <x:c r="M120" s="8" t="str">
        <x:v>300 lm · 3000 K · 10° beam</x:v>
      </x:c>
      <x:c r="N120" s="11" t="n">
        <x:v>2.64</x:v>
      </x:c>
      <x:c r="O120" s="11" t="n">
        <x:v>51.79594401601898</x:v>
      </x:c>
      <x:c r="P120" s="11" t="n">
        <x:v>-34.65317804874206</x:v>
      </x:c>
      <x:c r="Q120" s="9"/>
      <x:c r="R120" s="9"/>
      <x:c r="S120" s="9"/>
      <x:c r="T120" s="9"/>
      <x:c r="U120" s="9"/>
      <x:c r="V120" s="9"/>
      <x:c r="W120" s="13"/>
      <x:c r="X120" s="13"/>
      <x:c r="Y120" s="13"/>
      <x:c r="Z120" s="9"/>
      <x:c r="AA120" s="8" t="str">
        <x:v>Current</x:v>
      </x:c>
      <x:c r="AB120" s="8" t="str">
        <x:v>drop:LC1:L3:light:-1:L114</x:v>
      </x:c>
      <x:c r="AC120" s="8" t="str">
        <x:v>{"lumens":300,"dim":1}</x:v>
      </x:c>
    </x:row>
    <x:row r="121" ht="96" customHeight="1">
      <x:c r="A121" s="8" t="str">
        <x:v>L115</x:v>
      </x:c>
      <x:c r="B121" s="8" t="str">
        <x:v>Statue accent · B</x:v>
      </x:c>
      <x:c r="C121" s="8" t="str">
        <x:v>light</x:v>
      </x:c>
      <x:c r="D121" s="8" t="str">
        <x:v>DB1</x:v>
      </x:c>
      <x:c r="E121" s="8" t="str">
        <x:v>L3</x:v>
      </x:c>
      <x:c r="F121" s="11" t="n">
        <x:v>36.975</x:v>
      </x:c>
      <x:c r="G121" s="11" t="n">
        <x:v>6.655</x:v>
      </x:c>
      <x:c r="H121" s="11" t="n">
        <x:v>-5.25</x:v>
      </x:c>
      <x:c r="I121" s="8" t="str">
        <x:v>pendant</x:v>
      </x:c>
      <x:c r="J121" s="8" t="str">
        <x:v>Shown</x:v>
      </x:c>
      <x:c r="K121" s="8" t="str">
        <x:v>On</x:v>
      </x:c>
      <x:c r="L121" s="8" t="str">
        <x:v>269 × 197 × 190</x:v>
      </x:c>
      <x:c r="M121" s="8" t="str">
        <x:v>220 lm · 3000 K · 12° beam</x:v>
      </x:c>
      <x:c r="N121" s="11" t="n">
        <x:v>1.936</x:v>
      </x:c>
      <x:c r="O121" s="11" t="n">
        <x:v>-1.961417667770341</x:v>
      </x:c>
      <x:c r="P121" s="11" t="n">
        <x:v>-19.279578439249807</x:v>
      </x:c>
      <x:c r="Q121" s="9"/>
      <x:c r="R121" s="9"/>
      <x:c r="S121" s="9"/>
      <x:c r="T121" s="9"/>
      <x:c r="U121" s="9"/>
      <x:c r="V121" s="9"/>
      <x:c r="W121" s="13"/>
      <x:c r="X121" s="13"/>
      <x:c r="Y121" s="13"/>
      <x:c r="Z121" s="9"/>
      <x:c r="AA121" s="8" t="str">
        <x:v>Current</x:v>
      </x:c>
      <x:c r="AB121" s="8" t="str">
        <x:v>drop:LC1:L3:light:-1:L115</x:v>
      </x:c>
      <x:c r="AC121" s="8" t="str">
        <x:v>{"lumens":220,"dim":1,"anchorY":6.66}</x:v>
      </x:c>
    </x:row>
    <x:row r="122" ht="96" customHeight="1">
      <x:c r="A122" s="8" t="str">
        <x:v>L116</x:v>
      </x:c>
      <x:c r="B122" s="8" t="str">
        <x:v>Shrine wash · B</x:v>
      </x:c>
      <x:c r="C122" s="8" t="str">
        <x:v>light</x:v>
      </x:c>
      <x:c r="D122" s="8" t="str">
        <x:v>DB1</x:v>
      </x:c>
      <x:c r="E122" s="8" t="str">
        <x:v>L3</x:v>
      </x:c>
      <x:c r="F122" s="11" t="n">
        <x:v>36.975</x:v>
      </x:c>
      <x:c r="G122" s="11" t="n">
        <x:v>6.655</x:v>
      </x:c>
      <x:c r="H122" s="11" t="n">
        <x:v>-4.9</x:v>
      </x:c>
      <x:c r="I122" s="8" t="str">
        <x:v>pendant</x:v>
      </x:c>
      <x:c r="J122" s="8" t="str">
        <x:v>Shown</x:v>
      </x:c>
      <x:c r="K122" s="8" t="str">
        <x:v>On</x:v>
      </x:c>
      <x:c r="L122" s="8" t="str">
        <x:v>330 × 222 × 240</x:v>
      </x:c>
      <x:c r="M122" s="8" t="str">
        <x:v>2400 lm · 3000 K · 50° beam</x:v>
      </x:c>
      <x:c r="N122" s="11" t="n">
        <x:v>20</x:v>
      </x:c>
      <x:c r="O122" s="11" t="n">
        <x:v>-4.830419958289942</x:v>
      </x:c>
      <x:c r="P122" s="11" t="n">
        <x:v>-19.011214152750114</x:v>
      </x:c>
      <x:c r="Q122" s="9"/>
      <x:c r="R122" s="9"/>
      <x:c r="S122" s="9"/>
      <x:c r="T122" s="9"/>
      <x:c r="U122" s="9"/>
      <x:c r="V122" s="9"/>
      <x:c r="W122" s="13"/>
      <x:c r="X122" s="13"/>
      <x:c r="Y122" s="13"/>
      <x:c r="Z122" s="9"/>
      <x:c r="AA122" s="8" t="str">
        <x:v>Current</x:v>
      </x:c>
      <x:c r="AB122" s="8" t="str">
        <x:v>drop:LC1:L3:light:-1:L116</x:v>
      </x:c>
      <x:c r="AC122" s="8" t="str">
        <x:v>{"lumens":2400,"dim":1,"anchorY":6.66}</x:v>
      </x:c>
    </x:row>
    <x:row r="123" ht="96" customHeight="1">
      <x:c r="A123" s="8" t="str">
        <x:v>L117</x:v>
      </x:c>
      <x:c r="B123" s="8" t="str">
        <x:v>Statue accent · H</x:v>
      </x:c>
      <x:c r="C123" s="8" t="str">
        <x:v>light</x:v>
      </x:c>
      <x:c r="D123" s="8" t="str">
        <x:v>DB1</x:v>
      </x:c>
      <x:c r="E123" s="8" t="str">
        <x:v>L3</x:v>
      </x:c>
      <x:c r="F123" s="11" t="n">
        <x:v>36.975</x:v>
      </x:c>
      <x:c r="G123" s="11" t="n">
        <x:v>6.655</x:v>
      </x:c>
      <x:c r="H123" s="11" t="n">
        <x:v>5.25</x:v>
      </x:c>
      <x:c r="I123" s="8" t="str">
        <x:v>pendant</x:v>
      </x:c>
      <x:c r="J123" s="8" t="str">
        <x:v>Shown</x:v>
      </x:c>
      <x:c r="K123" s="8" t="str">
        <x:v>On</x:v>
      </x:c>
      <x:c r="L123" s="8" t="str">
        <x:v>269 × 197 × 190</x:v>
      </x:c>
      <x:c r="M123" s="8" t="str">
        <x:v>220 lm · 3000 K · 12° beam</x:v>
      </x:c>
      <x:c r="N123" s="11" t="n">
        <x:v>1.936</x:v>
      </x:c>
      <x:c r="O123" s="11" t="n">
        <x:v>1.961417667770341</x:v>
      </x:c>
      <x:c r="P123" s="11" t="n">
        <x:v>-19.279578439249807</x:v>
      </x:c>
      <x:c r="Q123" s="9"/>
      <x:c r="R123" s="9"/>
      <x:c r="S123" s="9"/>
      <x:c r="T123" s="9"/>
      <x:c r="U123" s="9"/>
      <x:c r="V123" s="9"/>
      <x:c r="W123" s="13"/>
      <x:c r="X123" s="13"/>
      <x:c r="Y123" s="13"/>
      <x:c r="Z123" s="9"/>
      <x:c r="AA123" s="8" t="str">
        <x:v>Current</x:v>
      </x:c>
      <x:c r="AB123" s="8" t="str">
        <x:v>drop:LC1:L3:light:1:L117</x:v>
      </x:c>
      <x:c r="AC123" s="8" t="str">
        <x:v>{"lumens":220,"dim":1,"anchorY":6.66}</x:v>
      </x:c>
    </x:row>
    <x:row r="124" ht="96" customHeight="1">
      <x:c r="A124" s="8" t="str">
        <x:v>L118</x:v>
      </x:c>
      <x:c r="B124" s="8" t="str">
        <x:v>Shrine wash · H</x:v>
      </x:c>
      <x:c r="C124" s="8" t="str">
        <x:v>light</x:v>
      </x:c>
      <x:c r="D124" s="8" t="str">
        <x:v>DB1</x:v>
      </x:c>
      <x:c r="E124" s="8" t="str">
        <x:v>L3</x:v>
      </x:c>
      <x:c r="F124" s="11" t="n">
        <x:v>36.975</x:v>
      </x:c>
      <x:c r="G124" s="11" t="n">
        <x:v>6.655</x:v>
      </x:c>
      <x:c r="H124" s="11" t="n">
        <x:v>4.9</x:v>
      </x:c>
      <x:c r="I124" s="8" t="str">
        <x:v>pendant</x:v>
      </x:c>
      <x:c r="J124" s="8" t="str">
        <x:v>Shown</x:v>
      </x:c>
      <x:c r="K124" s="8" t="str">
        <x:v>On</x:v>
      </x:c>
      <x:c r="L124" s="8" t="str">
        <x:v>330 × 222 × 240</x:v>
      </x:c>
      <x:c r="M124" s="8" t="str">
        <x:v>2400 lm · 3000 K · 50° beam</x:v>
      </x:c>
      <x:c r="N124" s="11" t="n">
        <x:v>20</x:v>
      </x:c>
      <x:c r="O124" s="11" t="n">
        <x:v>4.830419958289942</x:v>
      </x:c>
      <x:c r="P124" s="11" t="n">
        <x:v>-19.011214152750114</x:v>
      </x:c>
      <x:c r="Q124" s="9"/>
      <x:c r="R124" s="9"/>
      <x:c r="S124" s="9"/>
      <x:c r="T124" s="9"/>
      <x:c r="U124" s="9"/>
      <x:c r="V124" s="9"/>
      <x:c r="W124" s="13"/>
      <x:c r="X124" s="13"/>
      <x:c r="Y124" s="13"/>
      <x:c r="Z124" s="9"/>
      <x:c r="AA124" s="8" t="str">
        <x:v>Current</x:v>
      </x:c>
      <x:c r="AB124" s="8" t="str">
        <x:v>drop:LC1:L3:light:1:L118</x:v>
      </x:c>
      <x:c r="AC124" s="8" t="str">
        <x:v>{"lumens":2400,"dim":1,"anchorY":6.66}</x:v>
      </x:c>
    </x:row>
    <x:row r="125" ht="96" customHeight="1">
      <x:c r="A125" s="8" t="str">
        <x:v>L119</x:v>
      </x:c>
      <x:c r="B125" s="8" t="str">
        <x:v>Veranda lantern · B · axis 3</x:v>
      </x:c>
      <x:c r="C125" s="8" t="str">
        <x:v>light</x:v>
      </x:c>
      <x:c r="D125" s="8" t="str">
        <x:v>DB1</x:v>
      </x:c>
      <x:c r="E125" s="8" t="str">
        <x:v>L4</x:v>
      </x:c>
      <x:c r="F125" s="11" t="n">
        <x:v>9.975</x:v>
      </x:c>
      <x:c r="G125" s="11" t="n">
        <x:v>4.55</x:v>
      </x:c>
      <x:c r="H125" s="11" t="n">
        <x:v>-8.85</x:v>
      </x:c>
      <x:c r="I125" s="8" t="str">
        <x:v>pendant</x:v>
      </x:c>
      <x:c r="J125" s="8" t="str">
        <x:v>Shown</x:v>
      </x:c>
      <x:c r="K125" s="8" t="str">
        <x:v>On</x:v>
      </x:c>
      <x:c r="L125" s="8" t="str">
        <x:v>332 × 860 × 360</x:v>
      </x:c>
      <x:c r="M125" s="8" t="str">
        <x:v>2000 lm · 2700 K</x:v>
      </x:c>
      <x:c r="N125" s="11" t="n">
        <x:v>18.666666666666668</x:v>
      </x:c>
      <x:c r="O125" s="11" t="n">
        <x:v>0</x:v>
      </x:c>
      <x:c r="P125" s="11" t="n">
        <x:v>0</x:v>
      </x:c>
      <x:c r="Q125" s="9"/>
      <x:c r="R125" s="9"/>
      <x:c r="S125" s="9"/>
      <x:c r="T125" s="9"/>
      <x:c r="U125" s="9"/>
      <x:c r="V125" s="9"/>
      <x:c r="W125" s="13"/>
      <x:c r="X125" s="13"/>
      <x:c r="Y125" s="13"/>
      <x:c r="Z125" s="9"/>
      <x:c r="AA125" s="8" t="str">
        <x:v>Current</x:v>
      </x:c>
      <x:c r="AB125" s="8" t="str">
        <x:v>drop:LC1:L4:light:-1:L119</x:v>
      </x:c>
      <x:c r="AC125" s="8" t="str">
        <x:v>{"lumens":2000,"dim":1,"anchorY":6.798875000000001}</x:v>
      </x:c>
    </x:row>
    <x:row r="126" ht="96" customHeight="1">
      <x:c r="A126" s="8" t="str">
        <x:v>L120</x:v>
      </x:c>
      <x:c r="B126" s="8" t="str">
        <x:v>Veranda lantern · B · axis 4</x:v>
      </x:c>
      <x:c r="C126" s="8" t="str">
        <x:v>light</x:v>
      </x:c>
      <x:c r="D126" s="8" t="str">
        <x:v>DB1</x:v>
      </x:c>
      <x:c r="E126" s="8" t="str">
        <x:v>L4</x:v>
      </x:c>
      <x:c r="F126" s="11" t="n">
        <x:v>14.475</x:v>
      </x:c>
      <x:c r="G126" s="11" t="n">
        <x:v>4.55</x:v>
      </x:c>
      <x:c r="H126" s="11" t="n">
        <x:v>-8.85</x:v>
      </x:c>
      <x:c r="I126" s="8" t="str">
        <x:v>pendant</x:v>
      </x:c>
      <x:c r="J126" s="8" t="str">
        <x:v>Shown</x:v>
      </x:c>
      <x:c r="K126" s="8" t="str">
        <x:v>On</x:v>
      </x:c>
      <x:c r="L126" s="8" t="str">
        <x:v>332 × 860 × 360</x:v>
      </x:c>
      <x:c r="M126" s="8" t="str">
        <x:v>2000 lm · 2700 K</x:v>
      </x:c>
      <x:c r="N126" s="11" t="n">
        <x:v>18.666666666666668</x:v>
      </x:c>
      <x:c r="O126" s="11" t="n">
        <x:v>0</x:v>
      </x:c>
      <x:c r="P126" s="11" t="n">
        <x:v>0</x:v>
      </x:c>
      <x:c r="Q126" s="9"/>
      <x:c r="R126" s="9"/>
      <x:c r="S126" s="9"/>
      <x:c r="T126" s="9"/>
      <x:c r="U126" s="9"/>
      <x:c r="V126" s="9"/>
      <x:c r="W126" s="13"/>
      <x:c r="X126" s="13"/>
      <x:c r="Y126" s="13"/>
      <x:c r="Z126" s="9"/>
      <x:c r="AA126" s="8" t="str">
        <x:v>Current</x:v>
      </x:c>
      <x:c r="AB126" s="8" t="str">
        <x:v>drop:LC1:L4:light:-1:L120</x:v>
      </x:c>
      <x:c r="AC126" s="8" t="str">
        <x:v>{"lumens":2000,"dim":1,"anchorY":6.798875000000001}</x:v>
      </x:c>
    </x:row>
    <x:row r="127" ht="96" customHeight="1">
      <x:c r="A127" s="8" t="str">
        <x:v>L121</x:v>
      </x:c>
      <x:c r="B127" s="8" t="str">
        <x:v>Veranda lantern · B · axis 5</x:v>
      </x:c>
      <x:c r="C127" s="8" t="str">
        <x:v>light</x:v>
      </x:c>
      <x:c r="D127" s="8" t="str">
        <x:v>DB1</x:v>
      </x:c>
      <x:c r="E127" s="8" t="str">
        <x:v>L4</x:v>
      </x:c>
      <x:c r="F127" s="11" t="n">
        <x:v>18.975</x:v>
      </x:c>
      <x:c r="G127" s="11" t="n">
        <x:v>4.55</x:v>
      </x:c>
      <x:c r="H127" s="11" t="n">
        <x:v>-8.85</x:v>
      </x:c>
      <x:c r="I127" s="8" t="str">
        <x:v>pendant</x:v>
      </x:c>
      <x:c r="J127" s="8" t="str">
        <x:v>Shown</x:v>
      </x:c>
      <x:c r="K127" s="8" t="str">
        <x:v>On</x:v>
      </x:c>
      <x:c r="L127" s="8" t="str">
        <x:v>332 × 860 × 360</x:v>
      </x:c>
      <x:c r="M127" s="8" t="str">
        <x:v>2000 lm · 2700 K</x:v>
      </x:c>
      <x:c r="N127" s="11" t="n">
        <x:v>18.666666666666668</x:v>
      </x:c>
      <x:c r="O127" s="11" t="n">
        <x:v>0</x:v>
      </x:c>
      <x:c r="P127" s="11" t="n">
        <x:v>0</x:v>
      </x:c>
      <x:c r="Q127" s="9"/>
      <x:c r="R127" s="9"/>
      <x:c r="S127" s="9"/>
      <x:c r="T127" s="9"/>
      <x:c r="U127" s="9"/>
      <x:c r="V127" s="9"/>
      <x:c r="W127" s="13"/>
      <x:c r="X127" s="13"/>
      <x:c r="Y127" s="13"/>
      <x:c r="Z127" s="9"/>
      <x:c r="AA127" s="8" t="str">
        <x:v>Current</x:v>
      </x:c>
      <x:c r="AB127" s="8" t="str">
        <x:v>drop:LC1:L4:light:-1:L121</x:v>
      </x:c>
      <x:c r="AC127" s="8" t="str">
        <x:v>{"lumens":2000,"dim":1,"anchorY":6.798875000000001}</x:v>
      </x:c>
    </x:row>
    <x:row r="128" ht="96" customHeight="1">
      <x:c r="A128" s="8" t="str">
        <x:v>L122</x:v>
      </x:c>
      <x:c r="B128" s="8" t="str">
        <x:v>Veranda lantern · B · axis 6</x:v>
      </x:c>
      <x:c r="C128" s="8" t="str">
        <x:v>light</x:v>
      </x:c>
      <x:c r="D128" s="8" t="str">
        <x:v>DB1</x:v>
      </x:c>
      <x:c r="E128" s="8" t="str">
        <x:v>L4</x:v>
      </x:c>
      <x:c r="F128" s="11" t="n">
        <x:v>23.475</x:v>
      </x:c>
      <x:c r="G128" s="11" t="n">
        <x:v>4.55</x:v>
      </x:c>
      <x:c r="H128" s="11" t="n">
        <x:v>-8.85</x:v>
      </x:c>
      <x:c r="I128" s="8" t="str">
        <x:v>pendant</x:v>
      </x:c>
      <x:c r="J128" s="8" t="str">
        <x:v>Shown</x:v>
      </x:c>
      <x:c r="K128" s="8" t="str">
        <x:v>On</x:v>
      </x:c>
      <x:c r="L128" s="8" t="str">
        <x:v>332 × 860 × 360</x:v>
      </x:c>
      <x:c r="M128" s="8" t="str">
        <x:v>2000 lm · 2700 K</x:v>
      </x:c>
      <x:c r="N128" s="11" t="n">
        <x:v>18.666666666666668</x:v>
      </x:c>
      <x:c r="O128" s="11" t="n">
        <x:v>0</x:v>
      </x:c>
      <x:c r="P128" s="11" t="n">
        <x:v>0</x:v>
      </x:c>
      <x:c r="Q128" s="9"/>
      <x:c r="R128" s="9"/>
      <x:c r="S128" s="9"/>
      <x:c r="T128" s="9"/>
      <x:c r="U128" s="9"/>
      <x:c r="V128" s="9"/>
      <x:c r="W128" s="13"/>
      <x:c r="X128" s="13"/>
      <x:c r="Y128" s="13"/>
      <x:c r="Z128" s="9"/>
      <x:c r="AA128" s="8" t="str">
        <x:v>Current</x:v>
      </x:c>
      <x:c r="AB128" s="8" t="str">
        <x:v>drop:LC1:L4:light:-1:L122</x:v>
      </x:c>
      <x:c r="AC128" s="8" t="str">
        <x:v>{"lumens":2000,"dim":1,"anchorY":6.798875000000001}</x:v>
      </x:c>
    </x:row>
    <x:row r="129" ht="96" customHeight="1">
      <x:c r="A129" s="8" t="str">
        <x:v>L123</x:v>
      </x:c>
      <x:c r="B129" s="8" t="str">
        <x:v>Veranda lantern · B · axis 7</x:v>
      </x:c>
      <x:c r="C129" s="8" t="str">
        <x:v>light</x:v>
      </x:c>
      <x:c r="D129" s="8" t="str">
        <x:v>DB1</x:v>
      </x:c>
      <x:c r="E129" s="8" t="str">
        <x:v>L4</x:v>
      </x:c>
      <x:c r="F129" s="11" t="n">
        <x:v>27.975</x:v>
      </x:c>
      <x:c r="G129" s="11" t="n">
        <x:v>4.55</x:v>
      </x:c>
      <x:c r="H129" s="11" t="n">
        <x:v>-8.85</x:v>
      </x:c>
      <x:c r="I129" s="8" t="str">
        <x:v>pendant</x:v>
      </x:c>
      <x:c r="J129" s="8" t="str">
        <x:v>Shown</x:v>
      </x:c>
      <x:c r="K129" s="8" t="str">
        <x:v>On</x:v>
      </x:c>
      <x:c r="L129" s="8" t="str">
        <x:v>332 × 860 × 360</x:v>
      </x:c>
      <x:c r="M129" s="8" t="str">
        <x:v>2000 lm · 2700 K</x:v>
      </x:c>
      <x:c r="N129" s="11" t="n">
        <x:v>18.666666666666668</x:v>
      </x:c>
      <x:c r="O129" s="11" t="n">
        <x:v>0</x:v>
      </x:c>
      <x:c r="P129" s="11" t="n">
        <x:v>0</x:v>
      </x:c>
      <x:c r="Q129" s="9"/>
      <x:c r="R129" s="9"/>
      <x:c r="S129" s="9"/>
      <x:c r="T129" s="9"/>
      <x:c r="U129" s="9"/>
      <x:c r="V129" s="9"/>
      <x:c r="W129" s="13"/>
      <x:c r="X129" s="13"/>
      <x:c r="Y129" s="13"/>
      <x:c r="Z129" s="9"/>
      <x:c r="AA129" s="8" t="str">
        <x:v>Current</x:v>
      </x:c>
      <x:c r="AB129" s="8" t="str">
        <x:v>drop:LC1:L4:light:-1:L123</x:v>
      </x:c>
      <x:c r="AC129" s="8" t="str">
        <x:v>{"lumens":2000,"dim":1,"anchorY":6.798875000000001}</x:v>
      </x:c>
    </x:row>
    <x:row r="130" ht="96" customHeight="1">
      <x:c r="A130" s="8" t="str">
        <x:v>L124</x:v>
      </x:c>
      <x:c r="B130" s="8" t="str">
        <x:v>Veranda lantern · B · axis 8</x:v>
      </x:c>
      <x:c r="C130" s="8" t="str">
        <x:v>light</x:v>
      </x:c>
      <x:c r="D130" s="8" t="str">
        <x:v>DB1</x:v>
      </x:c>
      <x:c r="E130" s="8" t="str">
        <x:v>L4</x:v>
      </x:c>
      <x:c r="F130" s="11" t="n">
        <x:v>32.475</x:v>
      </x:c>
      <x:c r="G130" s="11" t="n">
        <x:v>4.55</x:v>
      </x:c>
      <x:c r="H130" s="11" t="n">
        <x:v>-8.85</x:v>
      </x:c>
      <x:c r="I130" s="8" t="str">
        <x:v>pendant</x:v>
      </x:c>
      <x:c r="J130" s="8" t="str">
        <x:v>Shown</x:v>
      </x:c>
      <x:c r="K130" s="8" t="str">
        <x:v>On</x:v>
      </x:c>
      <x:c r="L130" s="8" t="str">
        <x:v>332 × 860 × 360</x:v>
      </x:c>
      <x:c r="M130" s="8" t="str">
        <x:v>2000 lm · 2700 K</x:v>
      </x:c>
      <x:c r="N130" s="11" t="n">
        <x:v>18.666666666666668</x:v>
      </x:c>
      <x:c r="O130" s="11" t="n">
        <x:v>0</x:v>
      </x:c>
      <x:c r="P130" s="11" t="n">
        <x:v>0</x:v>
      </x:c>
      <x:c r="Q130" s="9"/>
      <x:c r="R130" s="9"/>
      <x:c r="S130" s="9"/>
      <x:c r="T130" s="9"/>
      <x:c r="U130" s="9"/>
      <x:c r="V130" s="9"/>
      <x:c r="W130" s="13"/>
      <x:c r="X130" s="13"/>
      <x:c r="Y130" s="13"/>
      <x:c r="Z130" s="9"/>
      <x:c r="AA130" s="8" t="str">
        <x:v>Current</x:v>
      </x:c>
      <x:c r="AB130" s="8" t="str">
        <x:v>drop:LC1:L4:light:-1:L124</x:v>
      </x:c>
      <x:c r="AC130" s="8" t="str">
        <x:v>{"lumens":2000,"dim":1,"anchorY":6.798875000000001}</x:v>
      </x:c>
    </x:row>
    <x:row r="131" ht="96" customHeight="1">
      <x:c r="A131" s="8" t="str">
        <x:v>L125</x:v>
      </x:c>
      <x:c r="B131" s="8" t="str">
        <x:v>Veranda lantern · B · axis 9</x:v>
      </x:c>
      <x:c r="C131" s="8" t="str">
        <x:v>light</x:v>
      </x:c>
      <x:c r="D131" s="8" t="str">
        <x:v>DB1</x:v>
      </x:c>
      <x:c r="E131" s="8" t="str">
        <x:v>L4</x:v>
      </x:c>
      <x:c r="F131" s="11" t="n">
        <x:v>36.975</x:v>
      </x:c>
      <x:c r="G131" s="11" t="n">
        <x:v>4.55</x:v>
      </x:c>
      <x:c r="H131" s="11" t="n">
        <x:v>-8.85</x:v>
      </x:c>
      <x:c r="I131" s="8" t="str">
        <x:v>pendant</x:v>
      </x:c>
      <x:c r="J131" s="8" t="str">
        <x:v>Shown</x:v>
      </x:c>
      <x:c r="K131" s="8" t="str">
        <x:v>On</x:v>
      </x:c>
      <x:c r="L131" s="8" t="str">
        <x:v>332 × 860 × 360</x:v>
      </x:c>
      <x:c r="M131" s="8" t="str">
        <x:v>2000 lm · 2700 K</x:v>
      </x:c>
      <x:c r="N131" s="11" t="n">
        <x:v>18.666666666666668</x:v>
      </x:c>
      <x:c r="O131" s="11" t="n">
        <x:v>0</x:v>
      </x:c>
      <x:c r="P131" s="11" t="n">
        <x:v>0</x:v>
      </x:c>
      <x:c r="Q131" s="9"/>
      <x:c r="R131" s="9"/>
      <x:c r="S131" s="9"/>
      <x:c r="T131" s="9"/>
      <x:c r="U131" s="9"/>
      <x:c r="V131" s="9"/>
      <x:c r="W131" s="13"/>
      <x:c r="X131" s="13"/>
      <x:c r="Y131" s="13"/>
      <x:c r="Z131" s="9"/>
      <x:c r="AA131" s="8" t="str">
        <x:v>Current</x:v>
      </x:c>
      <x:c r="AB131" s="8" t="str">
        <x:v>drop:LC1:L4:light:-1:L125</x:v>
      </x:c>
      <x:c r="AC131" s="8" t="str">
        <x:v>{"lumens":2000,"dim":1,"anchorY":6.798875000000001}</x:v>
      </x:c>
    </x:row>
    <x:row r="132" ht="96" customHeight="1">
      <x:c r="A132" s="8" t="str">
        <x:v>L126</x:v>
      </x:c>
      <x:c r="B132" s="8" t="str">
        <x:v>Veranda lantern · B · axis 10</x:v>
      </x:c>
      <x:c r="C132" s="8" t="str">
        <x:v>light</x:v>
      </x:c>
      <x:c r="D132" s="8" t="str">
        <x:v>DB1</x:v>
      </x:c>
      <x:c r="E132" s="8" t="str">
        <x:v>L4</x:v>
      </x:c>
      <x:c r="F132" s="11" t="n">
        <x:v>44.175</x:v>
      </x:c>
      <x:c r="G132" s="11" t="n">
        <x:v>4.55</x:v>
      </x:c>
      <x:c r="H132" s="11" t="n">
        <x:v>-8.85</x:v>
      </x:c>
      <x:c r="I132" s="8" t="str">
        <x:v>pendant</x:v>
      </x:c>
      <x:c r="J132" s="8" t="str">
        <x:v>Shown</x:v>
      </x:c>
      <x:c r="K132" s="8" t="str">
        <x:v>On</x:v>
      </x:c>
      <x:c r="L132" s="8" t="str">
        <x:v>332 × 860 × 360</x:v>
      </x:c>
      <x:c r="M132" s="8" t="str">
        <x:v>2000 lm · 2700 K</x:v>
      </x:c>
      <x:c r="N132" s="11" t="n">
        <x:v>18.666666666666668</x:v>
      </x:c>
      <x:c r="O132" s="11" t="n">
        <x:v>0</x:v>
      </x:c>
      <x:c r="P132" s="11" t="n">
        <x:v>0</x:v>
      </x:c>
      <x:c r="Q132" s="9"/>
      <x:c r="R132" s="9"/>
      <x:c r="S132" s="9"/>
      <x:c r="T132" s="9"/>
      <x:c r="U132" s="9"/>
      <x:c r="V132" s="9"/>
      <x:c r="W132" s="13"/>
      <x:c r="X132" s="13"/>
      <x:c r="Y132" s="13"/>
      <x:c r="Z132" s="9"/>
      <x:c r="AA132" s="8" t="str">
        <x:v>Current</x:v>
      </x:c>
      <x:c r="AB132" s="8" t="str">
        <x:v>drop:LC1:L4:light:-1:L126</x:v>
      </x:c>
      <x:c r="AC132" s="8" t="str">
        <x:v>{"lumens":2000,"dim":1,"anchorY":6.798875000000001}</x:v>
      </x:c>
    </x:row>
    <x:row r="133" ht="96" customHeight="1">
      <x:c r="A133" s="8" t="str">
        <x:v>L127</x:v>
      </x:c>
      <x:c r="B133" s="8" t="str">
        <x:v>Veranda lantern · B · axis 11</x:v>
      </x:c>
      <x:c r="C133" s="8" t="str">
        <x:v>light</x:v>
      </x:c>
      <x:c r="D133" s="8" t="str">
        <x:v>DB1</x:v>
      </x:c>
      <x:c r="E133" s="8" t="str">
        <x:v>L4</x:v>
      </x:c>
      <x:c r="F133" s="11" t="n">
        <x:v>48.675</x:v>
      </x:c>
      <x:c r="G133" s="11" t="n">
        <x:v>4.55</x:v>
      </x:c>
      <x:c r="H133" s="11" t="n">
        <x:v>-8.85</x:v>
      </x:c>
      <x:c r="I133" s="8" t="str">
        <x:v>pendant</x:v>
      </x:c>
      <x:c r="J133" s="8" t="str">
        <x:v>Shown</x:v>
      </x:c>
      <x:c r="K133" s="8" t="str">
        <x:v>On</x:v>
      </x:c>
      <x:c r="L133" s="8" t="str">
        <x:v>332 × 860 × 360</x:v>
      </x:c>
      <x:c r="M133" s="8" t="str">
        <x:v>2000 lm · 2700 K</x:v>
      </x:c>
      <x:c r="N133" s="11" t="n">
        <x:v>18.666666666666668</x:v>
      </x:c>
      <x:c r="O133" s="11" t="n">
        <x:v>0</x:v>
      </x:c>
      <x:c r="P133" s="11" t="n">
        <x:v>0</x:v>
      </x:c>
      <x:c r="Q133" s="9"/>
      <x:c r="R133" s="9"/>
      <x:c r="S133" s="9"/>
      <x:c r="T133" s="9"/>
      <x:c r="U133" s="9"/>
      <x:c r="V133" s="9"/>
      <x:c r="W133" s="13"/>
      <x:c r="X133" s="13"/>
      <x:c r="Y133" s="13"/>
      <x:c r="Z133" s="9"/>
      <x:c r="AA133" s="8" t="str">
        <x:v>Current</x:v>
      </x:c>
      <x:c r="AB133" s="8" t="str">
        <x:v>drop:LC1:L4:light:-1:L127</x:v>
      </x:c>
      <x:c r="AC133" s="8" t="str">
        <x:v>{"lumens":2000,"dim":1,"anchorY":6.798875000000001}</x:v>
      </x:c>
    </x:row>
    <x:row r="134" ht="96" customHeight="1">
      <x:c r="A134" s="8" t="str">
        <x:v>L128</x:v>
      </x:c>
      <x:c r="B134" s="8" t="str">
        <x:v>Veranda lantern · H · axis 3</x:v>
      </x:c>
      <x:c r="C134" s="8" t="str">
        <x:v>light</x:v>
      </x:c>
      <x:c r="D134" s="8" t="str">
        <x:v>DB1</x:v>
      </x:c>
      <x:c r="E134" s="8" t="str">
        <x:v>L4</x:v>
      </x:c>
      <x:c r="F134" s="11" t="n">
        <x:v>9.975</x:v>
      </x:c>
      <x:c r="G134" s="11" t="n">
        <x:v>4.55</x:v>
      </x:c>
      <x:c r="H134" s="11" t="n">
        <x:v>8.85</x:v>
      </x:c>
      <x:c r="I134" s="8" t="str">
        <x:v>pendant</x:v>
      </x:c>
      <x:c r="J134" s="8" t="str">
        <x:v>Shown</x:v>
      </x:c>
      <x:c r="K134" s="8" t="str">
        <x:v>On</x:v>
      </x:c>
      <x:c r="L134" s="8" t="str">
        <x:v>332 × 860 × 360</x:v>
      </x:c>
      <x:c r="M134" s="8" t="str">
        <x:v>2000 lm · 2700 K</x:v>
      </x:c>
      <x:c r="N134" s="11" t="n">
        <x:v>18.666666666666668</x:v>
      </x:c>
      <x:c r="O134" s="11" t="n">
        <x:v>0</x:v>
      </x:c>
      <x:c r="P134" s="11" t="n">
        <x:v>0</x:v>
      </x:c>
      <x:c r="Q134" s="9"/>
      <x:c r="R134" s="9"/>
      <x:c r="S134" s="9"/>
      <x:c r="T134" s="9"/>
      <x:c r="U134" s="9"/>
      <x:c r="V134" s="9"/>
      <x:c r="W134" s="13"/>
      <x:c r="X134" s="13"/>
      <x:c r="Y134" s="13"/>
      <x:c r="Z134" s="9"/>
      <x:c r="AA134" s="8" t="str">
        <x:v>Current</x:v>
      </x:c>
      <x:c r="AB134" s="8" t="str">
        <x:v>drop:LC1:L4:light:1:L128</x:v>
      </x:c>
      <x:c r="AC134" s="8" t="str">
        <x:v>{"lumens":2000,"dim":1,"anchorY":6.798875000000001}</x:v>
      </x:c>
    </x:row>
    <x:row r="135" ht="96" customHeight="1">
      <x:c r="A135" s="8" t="str">
        <x:v>L129</x:v>
      </x:c>
      <x:c r="B135" s="8" t="str">
        <x:v>Veranda lantern · H · axis 4</x:v>
      </x:c>
      <x:c r="C135" s="8" t="str">
        <x:v>light</x:v>
      </x:c>
      <x:c r="D135" s="8" t="str">
        <x:v>DB1</x:v>
      </x:c>
      <x:c r="E135" s="8" t="str">
        <x:v>L4</x:v>
      </x:c>
      <x:c r="F135" s="11" t="n">
        <x:v>14.475</x:v>
      </x:c>
      <x:c r="G135" s="11" t="n">
        <x:v>4.55</x:v>
      </x:c>
      <x:c r="H135" s="11" t="n">
        <x:v>8.85</x:v>
      </x:c>
      <x:c r="I135" s="8" t="str">
        <x:v>pendant</x:v>
      </x:c>
      <x:c r="J135" s="8" t="str">
        <x:v>Shown</x:v>
      </x:c>
      <x:c r="K135" s="8" t="str">
        <x:v>On</x:v>
      </x:c>
      <x:c r="L135" s="8" t="str">
        <x:v>332 × 860 × 360</x:v>
      </x:c>
      <x:c r="M135" s="8" t="str">
        <x:v>2000 lm · 2700 K</x:v>
      </x:c>
      <x:c r="N135" s="11" t="n">
        <x:v>18.666666666666668</x:v>
      </x:c>
      <x:c r="O135" s="11" t="n">
        <x:v>0</x:v>
      </x:c>
      <x:c r="P135" s="11" t="n">
        <x:v>0</x:v>
      </x:c>
      <x:c r="Q135" s="9"/>
      <x:c r="R135" s="9"/>
      <x:c r="S135" s="9"/>
      <x:c r="T135" s="9"/>
      <x:c r="U135" s="9"/>
      <x:c r="V135" s="9"/>
      <x:c r="W135" s="13"/>
      <x:c r="X135" s="13"/>
      <x:c r="Y135" s="13"/>
      <x:c r="Z135" s="9"/>
      <x:c r="AA135" s="8" t="str">
        <x:v>Current</x:v>
      </x:c>
      <x:c r="AB135" s="8" t="str">
        <x:v>drop:LC1:L4:light:1:L129</x:v>
      </x:c>
      <x:c r="AC135" s="8" t="str">
        <x:v>{"lumens":2000,"dim":1,"anchorY":6.798875000000001}</x:v>
      </x:c>
    </x:row>
    <x:row r="136" ht="96" customHeight="1">
      <x:c r="A136" s="8" t="str">
        <x:v>L130</x:v>
      </x:c>
      <x:c r="B136" s="8" t="str">
        <x:v>Veranda lantern · H · axis 5</x:v>
      </x:c>
      <x:c r="C136" s="8" t="str">
        <x:v>light</x:v>
      </x:c>
      <x:c r="D136" s="8" t="str">
        <x:v>DB1</x:v>
      </x:c>
      <x:c r="E136" s="8" t="str">
        <x:v>L4</x:v>
      </x:c>
      <x:c r="F136" s="11" t="n">
        <x:v>18.975</x:v>
      </x:c>
      <x:c r="G136" s="11" t="n">
        <x:v>4.55</x:v>
      </x:c>
      <x:c r="H136" s="11" t="n">
        <x:v>8.85</x:v>
      </x:c>
      <x:c r="I136" s="8" t="str">
        <x:v>pendant</x:v>
      </x:c>
      <x:c r="J136" s="8" t="str">
        <x:v>Shown</x:v>
      </x:c>
      <x:c r="K136" s="8" t="str">
        <x:v>On</x:v>
      </x:c>
      <x:c r="L136" s="8" t="str">
        <x:v>332 × 860 × 360</x:v>
      </x:c>
      <x:c r="M136" s="8" t="str">
        <x:v>2000 lm · 2700 K</x:v>
      </x:c>
      <x:c r="N136" s="11" t="n">
        <x:v>18.666666666666668</x:v>
      </x:c>
      <x:c r="O136" s="11" t="n">
        <x:v>0</x:v>
      </x:c>
      <x:c r="P136" s="11" t="n">
        <x:v>0</x:v>
      </x:c>
      <x:c r="Q136" s="9"/>
      <x:c r="R136" s="9"/>
      <x:c r="S136" s="9"/>
      <x:c r="T136" s="9"/>
      <x:c r="U136" s="9"/>
      <x:c r="V136" s="9"/>
      <x:c r="W136" s="13"/>
      <x:c r="X136" s="13"/>
      <x:c r="Y136" s="13"/>
      <x:c r="Z136" s="9"/>
      <x:c r="AA136" s="8" t="str">
        <x:v>Current</x:v>
      </x:c>
      <x:c r="AB136" s="8" t="str">
        <x:v>drop:LC1:L4:light:1:L130</x:v>
      </x:c>
      <x:c r="AC136" s="8" t="str">
        <x:v>{"lumens":2000,"dim":1,"anchorY":6.798875000000001}</x:v>
      </x:c>
    </x:row>
    <x:row r="137" ht="96" customHeight="1">
      <x:c r="A137" s="8" t="str">
        <x:v>L131</x:v>
      </x:c>
      <x:c r="B137" s="8" t="str">
        <x:v>Veranda lantern · H · axis 6</x:v>
      </x:c>
      <x:c r="C137" s="8" t="str">
        <x:v>light</x:v>
      </x:c>
      <x:c r="D137" s="8" t="str">
        <x:v>DB1</x:v>
      </x:c>
      <x:c r="E137" s="8" t="str">
        <x:v>L4</x:v>
      </x:c>
      <x:c r="F137" s="11" t="n">
        <x:v>23.475</x:v>
      </x:c>
      <x:c r="G137" s="11" t="n">
        <x:v>4.55</x:v>
      </x:c>
      <x:c r="H137" s="11" t="n">
        <x:v>8.85</x:v>
      </x:c>
      <x:c r="I137" s="8" t="str">
        <x:v>pendant</x:v>
      </x:c>
      <x:c r="J137" s="8" t="str">
        <x:v>Shown</x:v>
      </x:c>
      <x:c r="K137" s="8" t="str">
        <x:v>On</x:v>
      </x:c>
      <x:c r="L137" s="8" t="str">
        <x:v>332 × 860 × 360</x:v>
      </x:c>
      <x:c r="M137" s="8" t="str">
        <x:v>2000 lm · 2700 K</x:v>
      </x:c>
      <x:c r="N137" s="11" t="n">
        <x:v>18.666666666666668</x:v>
      </x:c>
      <x:c r="O137" s="11" t="n">
        <x:v>0</x:v>
      </x:c>
      <x:c r="P137" s="11" t="n">
        <x:v>0</x:v>
      </x:c>
      <x:c r="Q137" s="9"/>
      <x:c r="R137" s="9"/>
      <x:c r="S137" s="9"/>
      <x:c r="T137" s="9"/>
      <x:c r="U137" s="9"/>
      <x:c r="V137" s="9"/>
      <x:c r="W137" s="13"/>
      <x:c r="X137" s="13"/>
      <x:c r="Y137" s="13"/>
      <x:c r="Z137" s="9"/>
      <x:c r="AA137" s="8" t="str">
        <x:v>Current</x:v>
      </x:c>
      <x:c r="AB137" s="8" t="str">
        <x:v>drop:LC1:L4:light:1:L131</x:v>
      </x:c>
      <x:c r="AC137" s="8" t="str">
        <x:v>{"lumens":2000,"dim":1,"anchorY":6.798875000000001}</x:v>
      </x:c>
    </x:row>
    <x:row r="138" ht="96" customHeight="1">
      <x:c r="A138" s="8" t="str">
        <x:v>L132</x:v>
      </x:c>
      <x:c r="B138" s="8" t="str">
        <x:v>Veranda lantern · H · axis 7</x:v>
      </x:c>
      <x:c r="C138" s="8" t="str">
        <x:v>light</x:v>
      </x:c>
      <x:c r="D138" s="8" t="str">
        <x:v>DB1</x:v>
      </x:c>
      <x:c r="E138" s="8" t="str">
        <x:v>L4</x:v>
      </x:c>
      <x:c r="F138" s="11" t="n">
        <x:v>27.975</x:v>
      </x:c>
      <x:c r="G138" s="11" t="n">
        <x:v>4.55</x:v>
      </x:c>
      <x:c r="H138" s="11" t="n">
        <x:v>8.85</x:v>
      </x:c>
      <x:c r="I138" s="8" t="str">
        <x:v>pendant</x:v>
      </x:c>
      <x:c r="J138" s="8" t="str">
        <x:v>Shown</x:v>
      </x:c>
      <x:c r="K138" s="8" t="str">
        <x:v>On</x:v>
      </x:c>
      <x:c r="L138" s="8" t="str">
        <x:v>332 × 860 × 360</x:v>
      </x:c>
      <x:c r="M138" s="8" t="str">
        <x:v>2000 lm · 2700 K</x:v>
      </x:c>
      <x:c r="N138" s="11" t="n">
        <x:v>18.666666666666668</x:v>
      </x:c>
      <x:c r="O138" s="11" t="n">
        <x:v>0</x:v>
      </x:c>
      <x:c r="P138" s="11" t="n">
        <x:v>0</x:v>
      </x:c>
      <x:c r="Q138" s="9"/>
      <x:c r="R138" s="9"/>
      <x:c r="S138" s="9"/>
      <x:c r="T138" s="9"/>
      <x:c r="U138" s="9"/>
      <x:c r="V138" s="9"/>
      <x:c r="W138" s="13"/>
      <x:c r="X138" s="13"/>
      <x:c r="Y138" s="13"/>
      <x:c r="Z138" s="9"/>
      <x:c r="AA138" s="8" t="str">
        <x:v>Current</x:v>
      </x:c>
      <x:c r="AB138" s="8" t="str">
        <x:v>drop:LC1:L4:light:1:L132</x:v>
      </x:c>
      <x:c r="AC138" s="8" t="str">
        <x:v>{"lumens":2000,"dim":1,"anchorY":6.798875000000001}</x:v>
      </x:c>
    </x:row>
    <x:row r="139" ht="96" customHeight="1">
      <x:c r="A139" s="8" t="str">
        <x:v>L133</x:v>
      </x:c>
      <x:c r="B139" s="8" t="str">
        <x:v>Veranda lantern · H · axis 8</x:v>
      </x:c>
      <x:c r="C139" s="8" t="str">
        <x:v>light</x:v>
      </x:c>
      <x:c r="D139" s="8" t="str">
        <x:v>DB1</x:v>
      </x:c>
      <x:c r="E139" s="8" t="str">
        <x:v>L4</x:v>
      </x:c>
      <x:c r="F139" s="11" t="n">
        <x:v>32.475</x:v>
      </x:c>
      <x:c r="G139" s="11" t="n">
        <x:v>4.55</x:v>
      </x:c>
      <x:c r="H139" s="11" t="n">
        <x:v>8.85</x:v>
      </x:c>
      <x:c r="I139" s="8" t="str">
        <x:v>pendant</x:v>
      </x:c>
      <x:c r="J139" s="8" t="str">
        <x:v>Shown</x:v>
      </x:c>
      <x:c r="K139" s="8" t="str">
        <x:v>On</x:v>
      </x:c>
      <x:c r="L139" s="8" t="str">
        <x:v>332 × 860 × 360</x:v>
      </x:c>
      <x:c r="M139" s="8" t="str">
        <x:v>2000 lm · 2700 K</x:v>
      </x:c>
      <x:c r="N139" s="11" t="n">
        <x:v>18.666666666666668</x:v>
      </x:c>
      <x:c r="O139" s="11" t="n">
        <x:v>0</x:v>
      </x:c>
      <x:c r="P139" s="11" t="n">
        <x:v>0</x:v>
      </x:c>
      <x:c r="Q139" s="9"/>
      <x:c r="R139" s="9"/>
      <x:c r="S139" s="9"/>
      <x:c r="T139" s="9"/>
      <x:c r="U139" s="9"/>
      <x:c r="V139" s="9"/>
      <x:c r="W139" s="13"/>
      <x:c r="X139" s="13"/>
      <x:c r="Y139" s="13"/>
      <x:c r="Z139" s="9"/>
      <x:c r="AA139" s="8" t="str">
        <x:v>Current</x:v>
      </x:c>
      <x:c r="AB139" s="8" t="str">
        <x:v>drop:LC1:L4:light:1:L133</x:v>
      </x:c>
      <x:c r="AC139" s="8" t="str">
        <x:v>{"lumens":2000,"dim":1,"anchorY":6.798875000000001}</x:v>
      </x:c>
    </x:row>
    <x:row r="140" ht="96" customHeight="1">
      <x:c r="A140" s="8" t="str">
        <x:v>L134</x:v>
      </x:c>
      <x:c r="B140" s="8" t="str">
        <x:v>Veranda lantern · H · axis 9</x:v>
      </x:c>
      <x:c r="C140" s="8" t="str">
        <x:v>light</x:v>
      </x:c>
      <x:c r="D140" s="8" t="str">
        <x:v>DB1</x:v>
      </x:c>
      <x:c r="E140" s="8" t="str">
        <x:v>L4</x:v>
      </x:c>
      <x:c r="F140" s="11" t="n">
        <x:v>36.975</x:v>
      </x:c>
      <x:c r="G140" s="11" t="n">
        <x:v>4.55</x:v>
      </x:c>
      <x:c r="H140" s="11" t="n">
        <x:v>8.85</x:v>
      </x:c>
      <x:c r="I140" s="8" t="str">
        <x:v>pendant</x:v>
      </x:c>
      <x:c r="J140" s="8" t="str">
        <x:v>Shown</x:v>
      </x:c>
      <x:c r="K140" s="8" t="str">
        <x:v>On</x:v>
      </x:c>
      <x:c r="L140" s="8" t="str">
        <x:v>332 × 860 × 360</x:v>
      </x:c>
      <x:c r="M140" s="8" t="str">
        <x:v>2000 lm · 2700 K</x:v>
      </x:c>
      <x:c r="N140" s="11" t="n">
        <x:v>18.666666666666668</x:v>
      </x:c>
      <x:c r="O140" s="11" t="n">
        <x:v>0</x:v>
      </x:c>
      <x:c r="P140" s="11" t="n">
        <x:v>0</x:v>
      </x:c>
      <x:c r="Q140" s="9"/>
      <x:c r="R140" s="9"/>
      <x:c r="S140" s="9"/>
      <x:c r="T140" s="9"/>
      <x:c r="U140" s="9"/>
      <x:c r="V140" s="9"/>
      <x:c r="W140" s="13"/>
      <x:c r="X140" s="13"/>
      <x:c r="Y140" s="13"/>
      <x:c r="Z140" s="9"/>
      <x:c r="AA140" s="8" t="str">
        <x:v>Current</x:v>
      </x:c>
      <x:c r="AB140" s="8" t="str">
        <x:v>drop:LC1:L4:light:1:L134</x:v>
      </x:c>
      <x:c r="AC140" s="8" t="str">
        <x:v>{"lumens":2000,"dim":1,"anchorY":6.798875000000001}</x:v>
      </x:c>
    </x:row>
    <x:row r="141" ht="96" customHeight="1">
      <x:c r="A141" s="8" t="str">
        <x:v>L135</x:v>
      </x:c>
      <x:c r="B141" s="8" t="str">
        <x:v>Veranda lantern · H · axis 10</x:v>
      </x:c>
      <x:c r="C141" s="8" t="str">
        <x:v>light</x:v>
      </x:c>
      <x:c r="D141" s="8" t="str">
        <x:v>DB1</x:v>
      </x:c>
      <x:c r="E141" s="8" t="str">
        <x:v>L4</x:v>
      </x:c>
      <x:c r="F141" s="11" t="n">
        <x:v>44.175</x:v>
      </x:c>
      <x:c r="G141" s="11" t="n">
        <x:v>4.55</x:v>
      </x:c>
      <x:c r="H141" s="11" t="n">
        <x:v>8.85</x:v>
      </x:c>
      <x:c r="I141" s="8" t="str">
        <x:v>pendant</x:v>
      </x:c>
      <x:c r="J141" s="8" t="str">
        <x:v>Shown</x:v>
      </x:c>
      <x:c r="K141" s="8" t="str">
        <x:v>On</x:v>
      </x:c>
      <x:c r="L141" s="8" t="str">
        <x:v>332 × 860 × 360</x:v>
      </x:c>
      <x:c r="M141" s="8" t="str">
        <x:v>2000 lm · 2700 K</x:v>
      </x:c>
      <x:c r="N141" s="11" t="n">
        <x:v>18.666666666666668</x:v>
      </x:c>
      <x:c r="O141" s="11" t="n">
        <x:v>0</x:v>
      </x:c>
      <x:c r="P141" s="11" t="n">
        <x:v>0</x:v>
      </x:c>
      <x:c r="Q141" s="9"/>
      <x:c r="R141" s="9"/>
      <x:c r="S141" s="9"/>
      <x:c r="T141" s="9"/>
      <x:c r="U141" s="9"/>
      <x:c r="V141" s="9"/>
      <x:c r="W141" s="13"/>
      <x:c r="X141" s="13"/>
      <x:c r="Y141" s="13"/>
      <x:c r="Z141" s="9"/>
      <x:c r="AA141" s="8" t="str">
        <x:v>Current</x:v>
      </x:c>
      <x:c r="AB141" s="8" t="str">
        <x:v>drop:LC1:L4:light:1:L135</x:v>
      </x:c>
      <x:c r="AC141" s="8" t="str">
        <x:v>{"lumens":2000,"dim":1,"anchorY":6.798875000000001}</x:v>
      </x:c>
    </x:row>
    <x:row r="142" ht="96" customHeight="1">
      <x:c r="A142" s="8" t="str">
        <x:v>L136</x:v>
      </x:c>
      <x:c r="B142" s="8" t="str">
        <x:v>Veranda lantern · H · axis 11</x:v>
      </x:c>
      <x:c r="C142" s="8" t="str">
        <x:v>light</x:v>
      </x:c>
      <x:c r="D142" s="8" t="str">
        <x:v>DB1</x:v>
      </x:c>
      <x:c r="E142" s="8" t="str">
        <x:v>L4</x:v>
      </x:c>
      <x:c r="F142" s="11" t="n">
        <x:v>48.675</x:v>
      </x:c>
      <x:c r="G142" s="11" t="n">
        <x:v>4.55</x:v>
      </x:c>
      <x:c r="H142" s="11" t="n">
        <x:v>8.85</x:v>
      </x:c>
      <x:c r="I142" s="8" t="str">
        <x:v>pendant</x:v>
      </x:c>
      <x:c r="J142" s="8" t="str">
        <x:v>Shown</x:v>
      </x:c>
      <x:c r="K142" s="8" t="str">
        <x:v>On</x:v>
      </x:c>
      <x:c r="L142" s="8" t="str">
        <x:v>332 × 860 × 360</x:v>
      </x:c>
      <x:c r="M142" s="8" t="str">
        <x:v>2000 lm · 2700 K</x:v>
      </x:c>
      <x:c r="N142" s="11" t="n">
        <x:v>18.666666666666668</x:v>
      </x:c>
      <x:c r="O142" s="11" t="n">
        <x:v>0</x:v>
      </x:c>
      <x:c r="P142" s="11" t="n">
        <x:v>0</x:v>
      </x:c>
      <x:c r="Q142" s="9"/>
      <x:c r="R142" s="9"/>
      <x:c r="S142" s="9"/>
      <x:c r="T142" s="9"/>
      <x:c r="U142" s="9"/>
      <x:c r="V142" s="9"/>
      <x:c r="W142" s="13"/>
      <x:c r="X142" s="13"/>
      <x:c r="Y142" s="13"/>
      <x:c r="Z142" s="9"/>
      <x:c r="AA142" s="8" t="str">
        <x:v>Current</x:v>
      </x:c>
      <x:c r="AB142" s="8" t="str">
        <x:v>drop:LC1:L4:light:1:L136</x:v>
      </x:c>
      <x:c r="AC142" s="8" t="str">
        <x:v>{"lumens":2000,"dim":1,"anchorY":6.798875000000001}</x:v>
      </x:c>
    </x:row>
    <x:row r="143" ht="96" customHeight="1">
      <x:c r="A143" s="8" t="str">
        <x:v>L137</x:v>
      </x:c>
      <x:c r="B143" s="8" t="str">
        <x:v>Central front door lantern · B</x:v>
      </x:c>
      <x:c r="C143" s="8" t="str">
        <x:v>light</x:v>
      </x:c>
      <x:c r="D143" s="8" t="str">
        <x:v>DB2</x:v>
      </x:c>
      <x:c r="E143" s="8" t="str">
        <x:v>L9</x:v>
      </x:c>
      <x:c r="F143" s="11" t="n">
        <x:v>2.2</x:v>
      </x:c>
      <x:c r="G143" s="11" t="n">
        <x:v>3</x:v>
      </x:c>
      <x:c r="H143" s="11" t="n">
        <x:v>-2.4</x:v>
      </x:c>
      <x:c r="I143" s="8" t="str">
        <x:v>wall</x:v>
      </x:c>
      <x:c r="J143" s="8" t="str">
        <x:v>Shown</x:v>
      </x:c>
      <x:c r="K143" s="8" t="str">
        <x:v>On</x:v>
      </x:c>
      <x:c r="L143" s="8" t="str">
        <x:v>404 × 440 × 240</x:v>
      </x:c>
      <x:c r="M143" s="8" t="str">
        <x:v>900 lm · 2700 K</x:v>
      </x:c>
      <x:c r="N143" s="11" t="n">
        <x:v>9</x:v>
      </x:c>
      <x:c r="O143" s="11" t="n">
        <x:v>180</x:v>
      </x:c>
      <x:c r="P143" s="11" t="n">
        <x:v>0</x:v>
      </x:c>
      <x:c r="Q143" s="9"/>
      <x:c r="R143" s="9"/>
      <x:c r="S143" s="9"/>
      <x:c r="T143" s="9"/>
      <x:c r="U143" s="9"/>
      <x:c r="V143" s="9"/>
      <x:c r="W143" s="13"/>
      <x:c r="X143" s="13"/>
      <x:c r="Y143" s="13"/>
      <x:c r="Z143" s="9"/>
      <x:c r="AA143" s="8" t="str">
        <x:v>Current</x:v>
      </x:c>
      <x:c r="AB143" s="8" t="str">
        <x:v>drop:DB2:L9:light:-1:L137</x:v>
      </x:c>
      <x:c r="AC143" s="8" t="str">
        <x:v>{"dim":1}</x:v>
      </x:c>
    </x:row>
    <x:row r="144" ht="96" customHeight="1">
      <x:c r="A144" s="8" t="str">
        <x:v>L138</x:v>
      </x:c>
      <x:c r="B144" s="8" t="str">
        <x:v>Central front door lantern · H</x:v>
      </x:c>
      <x:c r="C144" s="8" t="str">
        <x:v>light</x:v>
      </x:c>
      <x:c r="D144" s="8" t="str">
        <x:v>DB2</x:v>
      </x:c>
      <x:c r="E144" s="8" t="str">
        <x:v>L9</x:v>
      </x:c>
      <x:c r="F144" s="11" t="n">
        <x:v>2.2</x:v>
      </x:c>
      <x:c r="G144" s="11" t="n">
        <x:v>3</x:v>
      </x:c>
      <x:c r="H144" s="11" t="n">
        <x:v>2.4</x:v>
      </x:c>
      <x:c r="I144" s="8" t="str">
        <x:v>wall</x:v>
      </x:c>
      <x:c r="J144" s="8" t="str">
        <x:v>Shown</x:v>
      </x:c>
      <x:c r="K144" s="8" t="str">
        <x:v>On</x:v>
      </x:c>
      <x:c r="L144" s="8" t="str">
        <x:v>404 × 440 × 240</x:v>
      </x:c>
      <x:c r="M144" s="8" t="str">
        <x:v>900 lm · 2700 K</x:v>
      </x:c>
      <x:c r="N144" s="11" t="n">
        <x:v>9</x:v>
      </x:c>
      <x:c r="O144" s="11" t="n">
        <x:v>180</x:v>
      </x:c>
      <x:c r="P144" s="11" t="n">
        <x:v>0</x:v>
      </x:c>
      <x:c r="Q144" s="9"/>
      <x:c r="R144" s="9"/>
      <x:c r="S144" s="9"/>
      <x:c r="T144" s="9"/>
      <x:c r="U144" s="9"/>
      <x:c r="V144" s="9"/>
      <x:c r="W144" s="13"/>
      <x:c r="X144" s="13"/>
      <x:c r="Y144" s="13"/>
      <x:c r="Z144" s="9"/>
      <x:c r="AA144" s="8" t="str">
        <x:v>Current</x:v>
      </x:c>
      <x:c r="AB144" s="8" t="str">
        <x:v>drop:DB2:L9:light:1:L138</x:v>
      </x:c>
      <x:c r="AC144" s="8" t="str">
        <x:v>{"dim":1}</x:v>
      </x:c>
    </x:row>
    <x:row r="145" ht="96" customHeight="1">
      <x:c r="A145" s="8" t="str">
        <x:v>L139</x:v>
      </x:c>
      <x:c r="B145" s="8" t="str">
        <x:v>Side door lantern · B · 16.725 · front</x:v>
      </x:c>
      <x:c r="C145" s="8" t="str">
        <x:v>light</x:v>
      </x:c>
      <x:c r="D145" s="8" t="str">
        <x:v>DB1</x:v>
      </x:c>
      <x:c r="E145" s="8" t="str">
        <x:v>L5</x:v>
      </x:c>
      <x:c r="F145" s="11" t="n">
        <x:v>15.3</x:v>
      </x:c>
      <x:c r="G145" s="11" t="n">
        <x:v>2.6</x:v>
      </x:c>
      <x:c r="H145" s="11" t="n">
        <x:v>-10.55</x:v>
      </x:c>
      <x:c r="I145" s="8" t="str">
        <x:v>wall</x:v>
      </x:c>
      <x:c r="J145" s="8" t="str">
        <x:v>Shown</x:v>
      </x:c>
      <x:c r="K145" s="8" t="str">
        <x:v>On</x:v>
      </x:c>
      <x:c r="L145" s="8" t="str">
        <x:v>404 × 440 × 240</x:v>
      </x:c>
      <x:c r="M145" s="8" t="str">
        <x:v>900 lm · 2700 K</x:v>
      </x:c>
      <x:c r="N145" s="11" t="n">
        <x:v>9</x:v>
      </x:c>
      <x:c r="O145" s="11" t="n">
        <x:v>-90</x:v>
      </x:c>
      <x:c r="P145" s="11" t="n">
        <x:v>0</x:v>
      </x:c>
      <x:c r="Q145" s="9"/>
      <x:c r="R145" s="9"/>
      <x:c r="S145" s="9"/>
      <x:c r="T145" s="9"/>
      <x:c r="U145" s="9"/>
      <x:c r="V145" s="9"/>
      <x:c r="W145" s="13"/>
      <x:c r="X145" s="13"/>
      <x:c r="Y145" s="13"/>
      <x:c r="Z145" s="9"/>
      <x:c r="AA145" s="8" t="str">
        <x:v>Current</x:v>
      </x:c>
      <x:c r="AB145" s="8" t="str">
        <x:v>drop:LC1:L5:light:-1:L139</x:v>
      </x:c>
      <x:c r="AC145" s="8" t="str">
        <x:v>{"dim":1}</x:v>
      </x:c>
    </x:row>
    <x:row r="146" ht="96" customHeight="1">
      <x:c r="A146" s="8" t="str">
        <x:v>L140</x:v>
      </x:c>
      <x:c r="B146" s="8" t="str">
        <x:v>Side door lantern · B · 16.725 · rear</x:v>
      </x:c>
      <x:c r="C146" s="8" t="str">
        <x:v>light</x:v>
      </x:c>
      <x:c r="D146" s="8" t="str">
        <x:v>DB1</x:v>
      </x:c>
      <x:c r="E146" s="8" t="str">
        <x:v>L5</x:v>
      </x:c>
      <x:c r="F146" s="11" t="n">
        <x:v>18.150000000000002</x:v>
      </x:c>
      <x:c r="G146" s="11" t="n">
        <x:v>2.6</x:v>
      </x:c>
      <x:c r="H146" s="11" t="n">
        <x:v>-10.55</x:v>
      </x:c>
      <x:c r="I146" s="8" t="str">
        <x:v>wall</x:v>
      </x:c>
      <x:c r="J146" s="8" t="str">
        <x:v>Shown</x:v>
      </x:c>
      <x:c r="K146" s="8" t="str">
        <x:v>On</x:v>
      </x:c>
      <x:c r="L146" s="8" t="str">
        <x:v>404 × 440 × 240</x:v>
      </x:c>
      <x:c r="M146" s="8" t="str">
        <x:v>900 lm · 2700 K</x:v>
      </x:c>
      <x:c r="N146" s="11" t="n">
        <x:v>9</x:v>
      </x:c>
      <x:c r="O146" s="11" t="n">
        <x:v>-90</x:v>
      </x:c>
      <x:c r="P146" s="11" t="n">
        <x:v>0</x:v>
      </x:c>
      <x:c r="Q146" s="9"/>
      <x:c r="R146" s="9"/>
      <x:c r="S146" s="9"/>
      <x:c r="T146" s="9"/>
      <x:c r="U146" s="9"/>
      <x:c r="V146" s="9"/>
      <x:c r="W146" s="13"/>
      <x:c r="X146" s="13"/>
      <x:c r="Y146" s="13"/>
      <x:c r="Z146" s="9"/>
      <x:c r="AA146" s="8" t="str">
        <x:v>Current</x:v>
      </x:c>
      <x:c r="AB146" s="8" t="str">
        <x:v>drop:LC1:L5:light:-1:L140</x:v>
      </x:c>
      <x:c r="AC146" s="8" t="str">
        <x:v>{"dim":1}</x:v>
      </x:c>
    </x:row>
    <x:row r="147" ht="96" customHeight="1">
      <x:c r="A147" s="8" t="str">
        <x:v>L141</x:v>
      </x:c>
      <x:c r="B147" s="8" t="str">
        <x:v>Side door lantern · B · 34.725 · front</x:v>
      </x:c>
      <x:c r="C147" s="8" t="str">
        <x:v>light</x:v>
      </x:c>
      <x:c r="D147" s="8" t="str">
        <x:v>DB1</x:v>
      </x:c>
      <x:c r="E147" s="8" t="str">
        <x:v>L5</x:v>
      </x:c>
      <x:c r="F147" s="11" t="n">
        <x:v>33.300000000000004</x:v>
      </x:c>
      <x:c r="G147" s="11" t="n">
        <x:v>2.6</x:v>
      </x:c>
      <x:c r="H147" s="11" t="n">
        <x:v>-10.55</x:v>
      </x:c>
      <x:c r="I147" s="8" t="str">
        <x:v>wall</x:v>
      </x:c>
      <x:c r="J147" s="8" t="str">
        <x:v>Shown</x:v>
      </x:c>
      <x:c r="K147" s="8" t="str">
        <x:v>On</x:v>
      </x:c>
      <x:c r="L147" s="8" t="str">
        <x:v>404 × 440 × 240</x:v>
      </x:c>
      <x:c r="M147" s="8" t="str">
        <x:v>900 lm · 2700 K</x:v>
      </x:c>
      <x:c r="N147" s="11" t="n">
        <x:v>9</x:v>
      </x:c>
      <x:c r="O147" s="11" t="n">
        <x:v>-90</x:v>
      </x:c>
      <x:c r="P147" s="11" t="n">
        <x:v>0</x:v>
      </x:c>
      <x:c r="Q147" s="9"/>
      <x:c r="R147" s="9"/>
      <x:c r="S147" s="9"/>
      <x:c r="T147" s="9"/>
      <x:c r="U147" s="9"/>
      <x:c r="V147" s="9"/>
      <x:c r="W147" s="13"/>
      <x:c r="X147" s="13"/>
      <x:c r="Y147" s="13"/>
      <x:c r="Z147" s="9"/>
      <x:c r="AA147" s="8" t="str">
        <x:v>Current</x:v>
      </x:c>
      <x:c r="AB147" s="8" t="str">
        <x:v>drop:LC1:L5:light:-1:L141</x:v>
      </x:c>
      <x:c r="AC147" s="8" t="str">
        <x:v>{"dim":1}</x:v>
      </x:c>
    </x:row>
    <x:row r="148" ht="96" customHeight="1">
      <x:c r="A148" s="8" t="str">
        <x:v>L142</x:v>
      </x:c>
      <x:c r="B148" s="8" t="str">
        <x:v>Side door lantern · B · 34.725 · rear</x:v>
      </x:c>
      <x:c r="C148" s="8" t="str">
        <x:v>light</x:v>
      </x:c>
      <x:c r="D148" s="8" t="str">
        <x:v>DB1</x:v>
      </x:c>
      <x:c r="E148" s="8" t="str">
        <x:v>L5</x:v>
      </x:c>
      <x:c r="F148" s="11" t="n">
        <x:v>36.15</x:v>
      </x:c>
      <x:c r="G148" s="11" t="n">
        <x:v>2.6</x:v>
      </x:c>
      <x:c r="H148" s="11" t="n">
        <x:v>-10.55</x:v>
      </x:c>
      <x:c r="I148" s="8" t="str">
        <x:v>wall</x:v>
      </x:c>
      <x:c r="J148" s="8" t="str">
        <x:v>Shown</x:v>
      </x:c>
      <x:c r="K148" s="8" t="str">
        <x:v>On</x:v>
      </x:c>
      <x:c r="L148" s="8" t="str">
        <x:v>404 × 440 × 240</x:v>
      </x:c>
      <x:c r="M148" s="8" t="str">
        <x:v>900 lm · 2700 K</x:v>
      </x:c>
      <x:c r="N148" s="11" t="n">
        <x:v>9</x:v>
      </x:c>
      <x:c r="O148" s="11" t="n">
        <x:v>-90</x:v>
      </x:c>
      <x:c r="P148" s="11" t="n">
        <x:v>0</x:v>
      </x:c>
      <x:c r="Q148" s="9"/>
      <x:c r="R148" s="9"/>
      <x:c r="S148" s="9"/>
      <x:c r="T148" s="9"/>
      <x:c r="U148" s="9"/>
      <x:c r="V148" s="9"/>
      <x:c r="W148" s="13"/>
      <x:c r="X148" s="13"/>
      <x:c r="Y148" s="13"/>
      <x:c r="Z148" s="9"/>
      <x:c r="AA148" s="8" t="str">
        <x:v>Current</x:v>
      </x:c>
      <x:c r="AB148" s="8" t="str">
        <x:v>drop:LC1:L5:light:-1:L142</x:v>
      </x:c>
      <x:c r="AC148" s="8" t="str">
        <x:v>{"dim":1}</x:v>
      </x:c>
    </x:row>
    <x:row r="149" ht="96" customHeight="1">
      <x:c r="A149" s="8" t="str">
        <x:v>L143</x:v>
      </x:c>
      <x:c r="B149" s="8" t="str">
        <x:v>Side door lantern · B · 46.425 · front</x:v>
      </x:c>
      <x:c r="C149" s="8" t="str">
        <x:v>light</x:v>
      </x:c>
      <x:c r="D149" s="8" t="str">
        <x:v>DB1</x:v>
      </x:c>
      <x:c r="E149" s="8" t="str">
        <x:v>L5</x:v>
      </x:c>
      <x:c r="F149" s="11" t="n">
        <x:v>45</x:v>
      </x:c>
      <x:c r="G149" s="11" t="n">
        <x:v>2.6</x:v>
      </x:c>
      <x:c r="H149" s="11" t="n">
        <x:v>-10.55</x:v>
      </x:c>
      <x:c r="I149" s="8" t="str">
        <x:v>wall</x:v>
      </x:c>
      <x:c r="J149" s="8" t="str">
        <x:v>Shown</x:v>
      </x:c>
      <x:c r="K149" s="8" t="str">
        <x:v>On</x:v>
      </x:c>
      <x:c r="L149" s="8" t="str">
        <x:v>404 × 440 × 240</x:v>
      </x:c>
      <x:c r="M149" s="8" t="str">
        <x:v>900 lm · 2700 K</x:v>
      </x:c>
      <x:c r="N149" s="11" t="n">
        <x:v>9</x:v>
      </x:c>
      <x:c r="O149" s="11" t="n">
        <x:v>-90</x:v>
      </x:c>
      <x:c r="P149" s="11" t="n">
        <x:v>0</x:v>
      </x:c>
      <x:c r="Q149" s="9"/>
      <x:c r="R149" s="9"/>
      <x:c r="S149" s="9"/>
      <x:c r="T149" s="9"/>
      <x:c r="U149" s="9"/>
      <x:c r="V149" s="9"/>
      <x:c r="W149" s="13"/>
      <x:c r="X149" s="13"/>
      <x:c r="Y149" s="13"/>
      <x:c r="Z149" s="9"/>
      <x:c r="AA149" s="8" t="str">
        <x:v>Current</x:v>
      </x:c>
      <x:c r="AB149" s="8" t="str">
        <x:v>drop:LC1:L5:light:-1:L143</x:v>
      </x:c>
      <x:c r="AC149" s="8" t="str">
        <x:v>{"dim":1}</x:v>
      </x:c>
    </x:row>
    <x:row r="150" ht="96" customHeight="1">
      <x:c r="A150" s="8" t="str">
        <x:v>L144</x:v>
      </x:c>
      <x:c r="B150" s="8" t="str">
        <x:v>Side door lantern · B · 46.425 · rear</x:v>
      </x:c>
      <x:c r="C150" s="8" t="str">
        <x:v>light</x:v>
      </x:c>
      <x:c r="D150" s="8" t="str">
        <x:v>DB1</x:v>
      </x:c>
      <x:c r="E150" s="8" t="str">
        <x:v>L5</x:v>
      </x:c>
      <x:c r="F150" s="11" t="n">
        <x:v>47.849999999999994</x:v>
      </x:c>
      <x:c r="G150" s="11" t="n">
        <x:v>2.6</x:v>
      </x:c>
      <x:c r="H150" s="11" t="n">
        <x:v>-10.55</x:v>
      </x:c>
      <x:c r="I150" s="8" t="str">
        <x:v>wall</x:v>
      </x:c>
      <x:c r="J150" s="8" t="str">
        <x:v>Shown</x:v>
      </x:c>
      <x:c r="K150" s="8" t="str">
        <x:v>On</x:v>
      </x:c>
      <x:c r="L150" s="8" t="str">
        <x:v>404 × 440 × 240</x:v>
      </x:c>
      <x:c r="M150" s="8" t="str">
        <x:v>900 lm · 2700 K</x:v>
      </x:c>
      <x:c r="N150" s="11" t="n">
        <x:v>9</x:v>
      </x:c>
      <x:c r="O150" s="11" t="n">
        <x:v>-90</x:v>
      </x:c>
      <x:c r="P150" s="11" t="n">
        <x:v>0</x:v>
      </x:c>
      <x:c r="Q150" s="9"/>
      <x:c r="R150" s="9"/>
      <x:c r="S150" s="9"/>
      <x:c r="T150" s="9"/>
      <x:c r="U150" s="9"/>
      <x:c r="V150" s="9"/>
      <x:c r="W150" s="13"/>
      <x:c r="X150" s="13"/>
      <x:c r="Y150" s="13"/>
      <x:c r="Z150" s="9"/>
      <x:c r="AA150" s="8" t="str">
        <x:v>Current</x:v>
      </x:c>
      <x:c r="AB150" s="8" t="str">
        <x:v>drop:LC1:L5:light:-1:L144</x:v>
      </x:c>
      <x:c r="AC150" s="8" t="str">
        <x:v>{"dim":1}</x:v>
      </x:c>
    </x:row>
    <x:row r="151" ht="96" customHeight="1">
      <x:c r="A151" s="8" t="str">
        <x:v>L145</x:v>
      </x:c>
      <x:c r="B151" s="8" t="str">
        <x:v>Side door lantern · H · 16.725 · front</x:v>
      </x:c>
      <x:c r="C151" s="8" t="str">
        <x:v>light</x:v>
      </x:c>
      <x:c r="D151" s="8" t="str">
        <x:v>DB1</x:v>
      </x:c>
      <x:c r="E151" s="8" t="str">
        <x:v>L5</x:v>
      </x:c>
      <x:c r="F151" s="11" t="n">
        <x:v>15.3</x:v>
      </x:c>
      <x:c r="G151" s="11" t="n">
        <x:v>2.6</x:v>
      </x:c>
      <x:c r="H151" s="11" t="n">
        <x:v>10.55</x:v>
      </x:c>
      <x:c r="I151" s="8" t="str">
        <x:v>wall</x:v>
      </x:c>
      <x:c r="J151" s="8" t="str">
        <x:v>Shown</x:v>
      </x:c>
      <x:c r="K151" s="8" t="str">
        <x:v>On</x:v>
      </x:c>
      <x:c r="L151" s="8" t="str">
        <x:v>404 × 440 × 240</x:v>
      </x:c>
      <x:c r="M151" s="8" t="str">
        <x:v>900 lm · 2700 K</x:v>
      </x:c>
      <x:c r="N151" s="11" t="n">
        <x:v>9</x:v>
      </x:c>
      <x:c r="O151" s="11" t="n">
        <x:v>90</x:v>
      </x:c>
      <x:c r="P151" s="11" t="n">
        <x:v>0</x:v>
      </x:c>
      <x:c r="Q151" s="9"/>
      <x:c r="R151" s="9"/>
      <x:c r="S151" s="9"/>
      <x:c r="T151" s="9"/>
      <x:c r="U151" s="9"/>
      <x:c r="V151" s="9"/>
      <x:c r="W151" s="13"/>
      <x:c r="X151" s="13"/>
      <x:c r="Y151" s="13"/>
      <x:c r="Z151" s="9"/>
      <x:c r="AA151" s="8" t="str">
        <x:v>Current</x:v>
      </x:c>
      <x:c r="AB151" s="8" t="str">
        <x:v>drop:LC1:L5:light:1:L145</x:v>
      </x:c>
      <x:c r="AC151" s="8" t="str">
        <x:v>{"dim":1}</x:v>
      </x:c>
    </x:row>
    <x:row r="152" ht="96" customHeight="1">
      <x:c r="A152" s="8" t="str">
        <x:v>L146</x:v>
      </x:c>
      <x:c r="B152" s="8" t="str">
        <x:v>Side door lantern · H · 16.725 · rear</x:v>
      </x:c>
      <x:c r="C152" s="8" t="str">
        <x:v>light</x:v>
      </x:c>
      <x:c r="D152" s="8" t="str">
        <x:v>DB1</x:v>
      </x:c>
      <x:c r="E152" s="8" t="str">
        <x:v>L5</x:v>
      </x:c>
      <x:c r="F152" s="11" t="n">
        <x:v>18.150000000000002</x:v>
      </x:c>
      <x:c r="G152" s="11" t="n">
        <x:v>2.6</x:v>
      </x:c>
      <x:c r="H152" s="11" t="n">
        <x:v>10.55</x:v>
      </x:c>
      <x:c r="I152" s="8" t="str">
        <x:v>wall</x:v>
      </x:c>
      <x:c r="J152" s="8" t="str">
        <x:v>Shown</x:v>
      </x:c>
      <x:c r="K152" s="8" t="str">
        <x:v>On</x:v>
      </x:c>
      <x:c r="L152" s="8" t="str">
        <x:v>404 × 440 × 240</x:v>
      </x:c>
      <x:c r="M152" s="8" t="str">
        <x:v>900 lm · 2700 K</x:v>
      </x:c>
      <x:c r="N152" s="11" t="n">
        <x:v>9</x:v>
      </x:c>
      <x:c r="O152" s="11" t="n">
        <x:v>90</x:v>
      </x:c>
      <x:c r="P152" s="11" t="n">
        <x:v>0</x:v>
      </x:c>
      <x:c r="Q152" s="9"/>
      <x:c r="R152" s="9"/>
      <x:c r="S152" s="9"/>
      <x:c r="T152" s="9"/>
      <x:c r="U152" s="9"/>
      <x:c r="V152" s="9"/>
      <x:c r="W152" s="13"/>
      <x:c r="X152" s="13"/>
      <x:c r="Y152" s="13"/>
      <x:c r="Z152" s="9"/>
      <x:c r="AA152" s="8" t="str">
        <x:v>Current</x:v>
      </x:c>
      <x:c r="AB152" s="8" t="str">
        <x:v>drop:LC1:L5:light:1:L146</x:v>
      </x:c>
      <x:c r="AC152" s="8" t="str">
        <x:v>{"dim":1}</x:v>
      </x:c>
    </x:row>
    <x:row r="153" ht="96" customHeight="1">
      <x:c r="A153" s="8" t="str">
        <x:v>L147</x:v>
      </x:c>
      <x:c r="B153" s="8" t="str">
        <x:v>Side door lantern · H · 34.725 · front</x:v>
      </x:c>
      <x:c r="C153" s="8" t="str">
        <x:v>light</x:v>
      </x:c>
      <x:c r="D153" s="8" t="str">
        <x:v>DB1</x:v>
      </x:c>
      <x:c r="E153" s="8" t="str">
        <x:v>L5</x:v>
      </x:c>
      <x:c r="F153" s="11" t="n">
        <x:v>33.300000000000004</x:v>
      </x:c>
      <x:c r="G153" s="11" t="n">
        <x:v>2.6</x:v>
      </x:c>
      <x:c r="H153" s="11" t="n">
        <x:v>10.55</x:v>
      </x:c>
      <x:c r="I153" s="8" t="str">
        <x:v>wall</x:v>
      </x:c>
      <x:c r="J153" s="8" t="str">
        <x:v>Shown</x:v>
      </x:c>
      <x:c r="K153" s="8" t="str">
        <x:v>On</x:v>
      </x:c>
      <x:c r="L153" s="8" t="str">
        <x:v>404 × 440 × 240</x:v>
      </x:c>
      <x:c r="M153" s="8" t="str">
        <x:v>900 lm · 2700 K</x:v>
      </x:c>
      <x:c r="N153" s="11" t="n">
        <x:v>9</x:v>
      </x:c>
      <x:c r="O153" s="11" t="n">
        <x:v>90</x:v>
      </x:c>
      <x:c r="P153" s="11" t="n">
        <x:v>0</x:v>
      </x:c>
      <x:c r="Q153" s="9"/>
      <x:c r="R153" s="9"/>
      <x:c r="S153" s="9"/>
      <x:c r="T153" s="9"/>
      <x:c r="U153" s="9"/>
      <x:c r="V153" s="9"/>
      <x:c r="W153" s="13"/>
      <x:c r="X153" s="13"/>
      <x:c r="Y153" s="13"/>
      <x:c r="Z153" s="9"/>
      <x:c r="AA153" s="8" t="str">
        <x:v>Current</x:v>
      </x:c>
      <x:c r="AB153" s="8" t="str">
        <x:v>drop:LC1:L5:light:1:L147</x:v>
      </x:c>
      <x:c r="AC153" s="8" t="str">
        <x:v>{"dim":1}</x:v>
      </x:c>
    </x:row>
    <x:row r="154" ht="96" customHeight="1">
      <x:c r="A154" s="8" t="str">
        <x:v>L148</x:v>
      </x:c>
      <x:c r="B154" s="8" t="str">
        <x:v>Side door lantern · H · 34.725 · rear</x:v>
      </x:c>
      <x:c r="C154" s="8" t="str">
        <x:v>light</x:v>
      </x:c>
      <x:c r="D154" s="8" t="str">
        <x:v>DB1</x:v>
      </x:c>
      <x:c r="E154" s="8" t="str">
        <x:v>L5</x:v>
      </x:c>
      <x:c r="F154" s="11" t="n">
        <x:v>36.15</x:v>
      </x:c>
      <x:c r="G154" s="11" t="n">
        <x:v>2.6</x:v>
      </x:c>
      <x:c r="H154" s="11" t="n">
        <x:v>10.55</x:v>
      </x:c>
      <x:c r="I154" s="8" t="str">
        <x:v>wall</x:v>
      </x:c>
      <x:c r="J154" s="8" t="str">
        <x:v>Shown</x:v>
      </x:c>
      <x:c r="K154" s="8" t="str">
        <x:v>On</x:v>
      </x:c>
      <x:c r="L154" s="8" t="str">
        <x:v>404 × 440 × 240</x:v>
      </x:c>
      <x:c r="M154" s="8" t="str">
        <x:v>900 lm · 2700 K</x:v>
      </x:c>
      <x:c r="N154" s="11" t="n">
        <x:v>9</x:v>
      </x:c>
      <x:c r="O154" s="11" t="n">
        <x:v>90</x:v>
      </x:c>
      <x:c r="P154" s="11" t="n">
        <x:v>0</x:v>
      </x:c>
      <x:c r="Q154" s="9"/>
      <x:c r="R154" s="9"/>
      <x:c r="S154" s="9"/>
      <x:c r="T154" s="9"/>
      <x:c r="U154" s="9"/>
      <x:c r="V154" s="9"/>
      <x:c r="W154" s="13"/>
      <x:c r="X154" s="13"/>
      <x:c r="Y154" s="13"/>
      <x:c r="Z154" s="9"/>
      <x:c r="AA154" s="8" t="str">
        <x:v>Current</x:v>
      </x:c>
      <x:c r="AB154" s="8" t="str">
        <x:v>drop:LC1:L5:light:1:L148</x:v>
      </x:c>
      <x:c r="AC154" s="8" t="str">
        <x:v>{"dim":1}</x:v>
      </x:c>
    </x:row>
    <x:row r="155" ht="96" customHeight="1">
      <x:c r="A155" s="8" t="str">
        <x:v>L149</x:v>
      </x:c>
      <x:c r="B155" s="8" t="str">
        <x:v>Side door lantern · H · 46.425 · front</x:v>
      </x:c>
      <x:c r="C155" s="8" t="str">
        <x:v>light</x:v>
      </x:c>
      <x:c r="D155" s="8" t="str">
        <x:v>DB1</x:v>
      </x:c>
      <x:c r="E155" s="8" t="str">
        <x:v>L5</x:v>
      </x:c>
      <x:c r="F155" s="11" t="n">
        <x:v>45</x:v>
      </x:c>
      <x:c r="G155" s="11" t="n">
        <x:v>2.6</x:v>
      </x:c>
      <x:c r="H155" s="11" t="n">
        <x:v>10.55</x:v>
      </x:c>
      <x:c r="I155" s="8" t="str">
        <x:v>wall</x:v>
      </x:c>
      <x:c r="J155" s="8" t="str">
        <x:v>Shown</x:v>
      </x:c>
      <x:c r="K155" s="8" t="str">
        <x:v>On</x:v>
      </x:c>
      <x:c r="L155" s="8" t="str">
        <x:v>404 × 440 × 240</x:v>
      </x:c>
      <x:c r="M155" s="8" t="str">
        <x:v>900 lm · 2700 K</x:v>
      </x:c>
      <x:c r="N155" s="11" t="n">
        <x:v>9</x:v>
      </x:c>
      <x:c r="O155" s="11" t="n">
        <x:v>90</x:v>
      </x:c>
      <x:c r="P155" s="11" t="n">
        <x:v>0</x:v>
      </x:c>
      <x:c r="Q155" s="9"/>
      <x:c r="R155" s="9"/>
      <x:c r="S155" s="9"/>
      <x:c r="T155" s="9"/>
      <x:c r="U155" s="9"/>
      <x:c r="V155" s="9"/>
      <x:c r="W155" s="13"/>
      <x:c r="X155" s="13"/>
      <x:c r="Y155" s="13"/>
      <x:c r="Z155" s="9"/>
      <x:c r="AA155" s="8" t="str">
        <x:v>Current</x:v>
      </x:c>
      <x:c r="AB155" s="8" t="str">
        <x:v>drop:LC1:L5:light:1:L149</x:v>
      </x:c>
      <x:c r="AC155" s="8" t="str">
        <x:v>{"dim":1}</x:v>
      </x:c>
    </x:row>
    <x:row r="156" ht="96" customHeight="1">
      <x:c r="A156" s="8" t="str">
        <x:v>L150</x:v>
      </x:c>
      <x:c r="B156" s="8" t="str">
        <x:v>Side door lantern · H · 46.425 · rear</x:v>
      </x:c>
      <x:c r="C156" s="8" t="str">
        <x:v>light</x:v>
      </x:c>
      <x:c r="D156" s="8" t="str">
        <x:v>DB1</x:v>
      </x:c>
      <x:c r="E156" s="8" t="str">
        <x:v>L5</x:v>
      </x:c>
      <x:c r="F156" s="11" t="n">
        <x:v>47.849999999999994</x:v>
      </x:c>
      <x:c r="G156" s="11" t="n">
        <x:v>2.6</x:v>
      </x:c>
      <x:c r="H156" s="11" t="n">
        <x:v>10.55</x:v>
      </x:c>
      <x:c r="I156" s="8" t="str">
        <x:v>wall</x:v>
      </x:c>
      <x:c r="J156" s="8" t="str">
        <x:v>Shown</x:v>
      </x:c>
      <x:c r="K156" s="8" t="str">
        <x:v>On</x:v>
      </x:c>
      <x:c r="L156" s="8" t="str">
        <x:v>404 × 440 × 240</x:v>
      </x:c>
      <x:c r="M156" s="8" t="str">
        <x:v>900 lm · 2700 K</x:v>
      </x:c>
      <x:c r="N156" s="11" t="n">
        <x:v>9</x:v>
      </x:c>
      <x:c r="O156" s="11" t="n">
        <x:v>90</x:v>
      </x:c>
      <x:c r="P156" s="11" t="n">
        <x:v>0</x:v>
      </x:c>
      <x:c r="Q156" s="9"/>
      <x:c r="R156" s="9"/>
      <x:c r="S156" s="9"/>
      <x:c r="T156" s="9"/>
      <x:c r="U156" s="9"/>
      <x:c r="V156" s="9"/>
      <x:c r="W156" s="13"/>
      <x:c r="X156" s="13"/>
      <x:c r="Y156" s="13"/>
      <x:c r="Z156" s="9"/>
      <x:c r="AA156" s="8" t="str">
        <x:v>Current</x:v>
      </x:c>
      <x:c r="AB156" s="8" t="str">
        <x:v>drop:LC1:L5:light:1:L150</x:v>
      </x:c>
      <x:c r="AC156" s="8" t="str">
        <x:v>{"dim":1}</x:v>
      </x:c>
    </x:row>
    <x:row r="157" ht="96" customHeight="1">
      <x:c r="A157" s="8" t="str">
        <x:v>L151</x:v>
      </x:c>
      <x:c r="B157" s="8" t="str">
        <x:v>Service door lantern · B · front</x:v>
      </x:c>
      <x:c r="C157" s="8" t="str">
        <x:v>light</x:v>
      </x:c>
      <x:c r="D157" s="8" t="str">
        <x:v>DB1</x:v>
      </x:c>
      <x:c r="E157" s="8" t="str">
        <x:v>L3</x:v>
      </x:c>
      <x:c r="F157" s="11" t="n">
        <x:v>52.8</x:v>
      </x:c>
      <x:c r="G157" s="11" t="n">
        <x:v>2.3</x:v>
      </x:c>
      <x:c r="H157" s="11" t="n">
        <x:v>-4.48</x:v>
      </x:c>
      <x:c r="I157" s="8" t="str">
        <x:v>wall</x:v>
      </x:c>
      <x:c r="J157" s="8" t="str">
        <x:v>Shown</x:v>
      </x:c>
      <x:c r="K157" s="8" t="str">
        <x:v>On</x:v>
      </x:c>
      <x:c r="L157" s="8" t="str">
        <x:v>404 × 440 × 240</x:v>
      </x:c>
      <x:c r="M157" s="8" t="str">
        <x:v>400 lm · 2700 K</x:v>
      </x:c>
      <x:c r="N157" s="11" t="n">
        <x:v>4</x:v>
      </x:c>
      <x:c r="O157" s="11" t="n">
        <x:v>180</x:v>
      </x:c>
      <x:c r="P157" s="11" t="n">
        <x:v>0</x:v>
      </x:c>
      <x:c r="Q157" s="9"/>
      <x:c r="R157" s="9"/>
      <x:c r="S157" s="9"/>
      <x:c r="T157" s="9"/>
      <x:c r="U157" s="9"/>
      <x:c r="V157" s="9"/>
      <x:c r="W157" s="13"/>
      <x:c r="X157" s="13"/>
      <x:c r="Y157" s="13"/>
      <x:c r="Z157" s="9"/>
      <x:c r="AA157" s="8" t="str">
        <x:v>Current</x:v>
      </x:c>
      <x:c r="AB157" s="8" t="str">
        <x:v>drop:LC1:L3:light:-1:L151</x:v>
      </x:c>
      <x:c r="AC157" s="8" t="str">
        <x:v>{"lumens":400,"dim":1}</x:v>
      </x:c>
    </x:row>
    <x:row r="158" ht="96" customHeight="1">
      <x:c r="A158" s="8" t="str">
        <x:v>L152</x:v>
      </x:c>
      <x:c r="B158" s="8" t="str">
        <x:v>Service door lantern · B · rear</x:v>
      </x:c>
      <x:c r="C158" s="8" t="str">
        <x:v>light</x:v>
      </x:c>
      <x:c r="D158" s="8" t="str">
        <x:v>DB1</x:v>
      </x:c>
      <x:c r="E158" s="8" t="str">
        <x:v>L3</x:v>
      </x:c>
      <x:c r="F158" s="11" t="n">
        <x:v>52.8</x:v>
      </x:c>
      <x:c r="G158" s="11" t="n">
        <x:v>2.3</x:v>
      </x:c>
      <x:c r="H158" s="11" t="n">
        <x:v>-6.48</x:v>
      </x:c>
      <x:c r="I158" s="8" t="str">
        <x:v>wall</x:v>
      </x:c>
      <x:c r="J158" s="8" t="str">
        <x:v>Shown</x:v>
      </x:c>
      <x:c r="K158" s="8" t="str">
        <x:v>On</x:v>
      </x:c>
      <x:c r="L158" s="8" t="str">
        <x:v>404 × 440 × 240</x:v>
      </x:c>
      <x:c r="M158" s="8" t="str">
        <x:v>400 lm · 2700 K</x:v>
      </x:c>
      <x:c r="N158" s="11" t="n">
        <x:v>4</x:v>
      </x:c>
      <x:c r="O158" s="11" t="n">
        <x:v>180</x:v>
      </x:c>
      <x:c r="P158" s="11" t="n">
        <x:v>0</x:v>
      </x:c>
      <x:c r="Q158" s="9"/>
      <x:c r="R158" s="9"/>
      <x:c r="S158" s="9"/>
      <x:c r="T158" s="9"/>
      <x:c r="U158" s="9"/>
      <x:c r="V158" s="9"/>
      <x:c r="W158" s="13"/>
      <x:c r="X158" s="13"/>
      <x:c r="Y158" s="13"/>
      <x:c r="Z158" s="9"/>
      <x:c r="AA158" s="8" t="str">
        <x:v>Current</x:v>
      </x:c>
      <x:c r="AB158" s="8" t="str">
        <x:v>drop:LC1:L3:light:-1:L152</x:v>
      </x:c>
      <x:c r="AC158" s="8" t="str">
        <x:v>{"lumens":400,"dim":1}</x:v>
      </x:c>
    </x:row>
    <x:row r="159" ht="96" customHeight="1">
      <x:c r="A159" s="8" t="str">
        <x:v>L153</x:v>
      </x:c>
      <x:c r="B159" s="8" t="str">
        <x:v>Service door lantern · H · front</x:v>
      </x:c>
      <x:c r="C159" s="8" t="str">
        <x:v>light</x:v>
      </x:c>
      <x:c r="D159" s="8" t="str">
        <x:v>DB1</x:v>
      </x:c>
      <x:c r="E159" s="8" t="str">
        <x:v>L3</x:v>
      </x:c>
      <x:c r="F159" s="11" t="n">
        <x:v>52.8</x:v>
      </x:c>
      <x:c r="G159" s="11" t="n">
        <x:v>2.3</x:v>
      </x:c>
      <x:c r="H159" s="11" t="n">
        <x:v>4.48</x:v>
      </x:c>
      <x:c r="I159" s="8" t="str">
        <x:v>wall</x:v>
      </x:c>
      <x:c r="J159" s="8" t="str">
        <x:v>Shown</x:v>
      </x:c>
      <x:c r="K159" s="8" t="str">
        <x:v>On</x:v>
      </x:c>
      <x:c r="L159" s="8" t="str">
        <x:v>404 × 440 × 240</x:v>
      </x:c>
      <x:c r="M159" s="8" t="str">
        <x:v>400 lm · 2700 K</x:v>
      </x:c>
      <x:c r="N159" s="11" t="n">
        <x:v>4</x:v>
      </x:c>
      <x:c r="O159" s="11" t="n">
        <x:v>180</x:v>
      </x:c>
      <x:c r="P159" s="11" t="n">
        <x:v>0</x:v>
      </x:c>
      <x:c r="Q159" s="9"/>
      <x:c r="R159" s="9"/>
      <x:c r="S159" s="9"/>
      <x:c r="T159" s="9"/>
      <x:c r="U159" s="9"/>
      <x:c r="V159" s="9"/>
      <x:c r="W159" s="13"/>
      <x:c r="X159" s="13"/>
      <x:c r="Y159" s="13"/>
      <x:c r="Z159" s="9"/>
      <x:c r="AA159" s="8" t="str">
        <x:v>Current</x:v>
      </x:c>
      <x:c r="AB159" s="8" t="str">
        <x:v>drop:LC1:L3:light:1:L153</x:v>
      </x:c>
      <x:c r="AC159" s="8" t="str">
        <x:v>{"lumens":400,"dim":1}</x:v>
      </x:c>
    </x:row>
    <x:row r="160" ht="96" customHeight="1">
      <x:c r="A160" s="8" t="str">
        <x:v>L154</x:v>
      </x:c>
      <x:c r="B160" s="8" t="str">
        <x:v>Service door lantern · H · rear</x:v>
      </x:c>
      <x:c r="C160" s="8" t="str">
        <x:v>light</x:v>
      </x:c>
      <x:c r="D160" s="8" t="str">
        <x:v>DB1</x:v>
      </x:c>
      <x:c r="E160" s="8" t="str">
        <x:v>L3</x:v>
      </x:c>
      <x:c r="F160" s="11" t="n">
        <x:v>52.8</x:v>
      </x:c>
      <x:c r="G160" s="11" t="n">
        <x:v>2.3</x:v>
      </x:c>
      <x:c r="H160" s="11" t="n">
        <x:v>6.48</x:v>
      </x:c>
      <x:c r="I160" s="8" t="str">
        <x:v>wall</x:v>
      </x:c>
      <x:c r="J160" s="8" t="str">
        <x:v>Shown</x:v>
      </x:c>
      <x:c r="K160" s="8" t="str">
        <x:v>On</x:v>
      </x:c>
      <x:c r="L160" s="8" t="str">
        <x:v>404 × 440 × 240</x:v>
      </x:c>
      <x:c r="M160" s="8" t="str">
        <x:v>400 lm · 2700 K</x:v>
      </x:c>
      <x:c r="N160" s="11" t="n">
        <x:v>4</x:v>
      </x:c>
      <x:c r="O160" s="11" t="n">
        <x:v>180</x:v>
      </x:c>
      <x:c r="P160" s="11" t="n">
        <x:v>0</x:v>
      </x:c>
      <x:c r="Q160" s="9"/>
      <x:c r="R160" s="9"/>
      <x:c r="S160" s="9"/>
      <x:c r="T160" s="9"/>
      <x:c r="U160" s="9"/>
      <x:c r="V160" s="9"/>
      <x:c r="W160" s="13"/>
      <x:c r="X160" s="13"/>
      <x:c r="Y160" s="13"/>
      <x:c r="Z160" s="9"/>
      <x:c r="AA160" s="8" t="str">
        <x:v>Current</x:v>
      </x:c>
      <x:c r="AB160" s="8" t="str">
        <x:v>drop:LC1:L3:light:1:L154</x:v>
      </x:c>
      <x:c r="AC160" s="8" t="str">
        <x:v>{"lumens":400,"dim":1}</x:v>
      </x:c>
    </x:row>
    <x:row r="161" ht="96" customHeight="1">
      <x:c r="A161" s="8" t="str">
        <x:v>L155</x:v>
      </x:c>
      <x:c r="B161" s="8" t="str">
        <x:v>Exit sign · main doors</x:v>
      </x:c>
      <x:c r="C161" s="8" t="str">
        <x:v>light</x:v>
      </x:c>
      <x:c r="D161" s="8" t="str">
        <x:v>DB1</x:v>
      </x:c>
      <x:c r="E161" s="8" t="str">
        <x:v>E1</x:v>
      </x:c>
      <x:c r="F161" s="11" t="n">
        <x:v>2.65</x:v>
      </x:c>
      <x:c r="G161" s="11" t="n">
        <x:v>6.95</x:v>
      </x:c>
      <x:c r="H161" s="11" t="n">
        <x:v>0</x:v>
      </x:c>
      <x:c r="I161" s="8" t="str">
        <x:v>wall</x:v>
      </x:c>
      <x:c r="J161" s="8" t="str">
        <x:v>Shown</x:v>
      </x:c>
      <x:c r="K161" s="8" t="str">
        <x:v>On</x:v>
      </x:c>
      <x:c r="L161" s="8" t="str">
        <x:v>55 × 170 × 380</x:v>
      </x:c>
      <x:c r="M161" s="8" t="str">
        <x:v>20 lm · 6500 K</x:v>
      </x:c>
      <x:c r="N161" s="11" t="n">
        <x:v>3</x:v>
      </x:c>
      <x:c r="O161" s="11" t="n">
        <x:v>0</x:v>
      </x:c>
      <x:c r="P161" s="11" t="n">
        <x:v>0</x:v>
      </x:c>
      <x:c r="Q161" s="9"/>
      <x:c r="R161" s="9"/>
      <x:c r="S161" s="9"/>
      <x:c r="T161" s="9"/>
      <x:c r="U161" s="9"/>
      <x:c r="V161" s="9"/>
      <x:c r="W161" s="13"/>
      <x:c r="X161" s="13"/>
      <x:c r="Y161" s="13"/>
      <x:c r="Z161" s="9"/>
      <x:c r="AA161" s="8" t="str">
        <x:v>Current</x:v>
      </x:c>
      <x:c r="AB161" s="8" t="str">
        <x:v>drop:LC1:E1:light:-1:L155</x:v>
      </x:c>
      <x:c r="AC161" s="8" t="str">
        <x:v>{"dim":1}</x:v>
      </x:c>
    </x:row>
    <x:row r="162" ht="96" customHeight="1">
      <x:c r="A162" s="8" t="str">
        <x:v>L156</x:v>
      </x:c>
      <x:c r="B162" s="8" t="str">
        <x:v>Exit sign · side door 16.7 · B</x:v>
      </x:c>
      <x:c r="C162" s="8" t="str">
        <x:v>light</x:v>
      </x:c>
      <x:c r="D162" s="8" t="str">
        <x:v>DB1</x:v>
      </x:c>
      <x:c r="E162" s="8" t="str">
        <x:v>E1</x:v>
      </x:c>
      <x:c r="F162" s="11" t="n">
        <x:v>16.725</x:v>
      </x:c>
      <x:c r="G162" s="11" t="n">
        <x:v>4.6</x:v>
      </x:c>
      <x:c r="H162" s="11" t="n">
        <x:v>-7.245</x:v>
      </x:c>
      <x:c r="I162" s="8" t="str">
        <x:v>wall</x:v>
      </x:c>
      <x:c r="J162" s="8" t="str">
        <x:v>Shown</x:v>
      </x:c>
      <x:c r="K162" s="8" t="str">
        <x:v>On</x:v>
      </x:c>
      <x:c r="L162" s="8" t="str">
        <x:v>55 × 170 × 380</x:v>
      </x:c>
      <x:c r="M162" s="8" t="str">
        <x:v>20 lm · 6500 K</x:v>
      </x:c>
      <x:c r="N162" s="11" t="n">
        <x:v>3</x:v>
      </x:c>
      <x:c r="O162" s="11" t="n">
        <x:v>90</x:v>
      </x:c>
      <x:c r="P162" s="11" t="n">
        <x:v>0</x:v>
      </x:c>
      <x:c r="Q162" s="9"/>
      <x:c r="R162" s="9"/>
      <x:c r="S162" s="9"/>
      <x:c r="T162" s="9"/>
      <x:c r="U162" s="9"/>
      <x:c r="V162" s="9"/>
      <x:c r="W162" s="13"/>
      <x:c r="X162" s="13"/>
      <x:c r="Y162" s="13"/>
      <x:c r="Z162" s="9"/>
      <x:c r="AA162" s="8" t="str">
        <x:v>Current</x:v>
      </x:c>
      <x:c r="AB162" s="8" t="str">
        <x:v>drop:LC1:E1:light:-1:L156</x:v>
      </x:c>
      <x:c r="AC162" s="8" t="str">
        <x:v>{"dim":1}</x:v>
      </x:c>
    </x:row>
    <x:row r="163" ht="96" customHeight="1">
      <x:c r="A163" s="8" t="str">
        <x:v>L157</x:v>
      </x:c>
      <x:c r="B163" s="8" t="str">
        <x:v>Exit sign · side door 16.7 · H</x:v>
      </x:c>
      <x:c r="C163" s="8" t="str">
        <x:v>light</x:v>
      </x:c>
      <x:c r="D163" s="8" t="str">
        <x:v>DB1</x:v>
      </x:c>
      <x:c r="E163" s="8" t="str">
        <x:v>E1</x:v>
      </x:c>
      <x:c r="F163" s="11" t="n">
        <x:v>16.725</x:v>
      </x:c>
      <x:c r="G163" s="11" t="n">
        <x:v>4.6</x:v>
      </x:c>
      <x:c r="H163" s="11" t="n">
        <x:v>7.245</x:v>
      </x:c>
      <x:c r="I163" s="8" t="str">
        <x:v>wall</x:v>
      </x:c>
      <x:c r="J163" s="8" t="str">
        <x:v>Shown</x:v>
      </x:c>
      <x:c r="K163" s="8" t="str">
        <x:v>On</x:v>
      </x:c>
      <x:c r="L163" s="8" t="str">
        <x:v>55 × 170 × 380</x:v>
      </x:c>
      <x:c r="M163" s="8" t="str">
        <x:v>20 lm · 6500 K</x:v>
      </x:c>
      <x:c r="N163" s="11" t="n">
        <x:v>3</x:v>
      </x:c>
      <x:c r="O163" s="11" t="n">
        <x:v>-90</x:v>
      </x:c>
      <x:c r="P163" s="11" t="n">
        <x:v>0</x:v>
      </x:c>
      <x:c r="Q163" s="9"/>
      <x:c r="R163" s="9"/>
      <x:c r="S163" s="9"/>
      <x:c r="T163" s="9"/>
      <x:c r="U163" s="9"/>
      <x:c r="V163" s="9"/>
      <x:c r="W163" s="13"/>
      <x:c r="X163" s="13"/>
      <x:c r="Y163" s="13"/>
      <x:c r="Z163" s="9"/>
      <x:c r="AA163" s="8" t="str">
        <x:v>Current</x:v>
      </x:c>
      <x:c r="AB163" s="8" t="str">
        <x:v>drop:LC1:E1:light:1:L157</x:v>
      </x:c>
      <x:c r="AC163" s="8" t="str">
        <x:v>{"dim":1}</x:v>
      </x:c>
    </x:row>
    <x:row r="164" ht="96" customHeight="1">
      <x:c r="A164" s="8" t="str">
        <x:v>L158</x:v>
      </x:c>
      <x:c r="B164" s="8" t="str">
        <x:v>Exit sign · side door 34.7 · B</x:v>
      </x:c>
      <x:c r="C164" s="8" t="str">
        <x:v>light</x:v>
      </x:c>
      <x:c r="D164" s="8" t="str">
        <x:v>DB1</x:v>
      </x:c>
      <x:c r="E164" s="8" t="str">
        <x:v>E1</x:v>
      </x:c>
      <x:c r="F164" s="11" t="n">
        <x:v>34.725</x:v>
      </x:c>
      <x:c r="G164" s="11" t="n">
        <x:v>4.6</x:v>
      </x:c>
      <x:c r="H164" s="11" t="n">
        <x:v>-7.245</x:v>
      </x:c>
      <x:c r="I164" s="8" t="str">
        <x:v>wall</x:v>
      </x:c>
      <x:c r="J164" s="8" t="str">
        <x:v>Shown</x:v>
      </x:c>
      <x:c r="K164" s="8" t="str">
        <x:v>On</x:v>
      </x:c>
      <x:c r="L164" s="8" t="str">
        <x:v>55 × 170 × 380</x:v>
      </x:c>
      <x:c r="M164" s="8" t="str">
        <x:v>20 lm · 6500 K</x:v>
      </x:c>
      <x:c r="N164" s="11" t="n">
        <x:v>3</x:v>
      </x:c>
      <x:c r="O164" s="11" t="n">
        <x:v>90</x:v>
      </x:c>
      <x:c r="P164" s="11" t="n">
        <x:v>0</x:v>
      </x:c>
      <x:c r="Q164" s="9"/>
      <x:c r="R164" s="9"/>
      <x:c r="S164" s="9"/>
      <x:c r="T164" s="9"/>
      <x:c r="U164" s="9"/>
      <x:c r="V164" s="9"/>
      <x:c r="W164" s="13"/>
      <x:c r="X164" s="13"/>
      <x:c r="Y164" s="13"/>
      <x:c r="Z164" s="9"/>
      <x:c r="AA164" s="8" t="str">
        <x:v>Current</x:v>
      </x:c>
      <x:c r="AB164" s="8" t="str">
        <x:v>drop:LC1:E1:light:-1:L158</x:v>
      </x:c>
      <x:c r="AC164" s="8" t="str">
        <x:v>{"dim":1}</x:v>
      </x:c>
    </x:row>
    <x:row r="165" ht="96" customHeight="1">
      <x:c r="A165" s="8" t="str">
        <x:v>L159</x:v>
      </x:c>
      <x:c r="B165" s="8" t="str">
        <x:v>Exit sign · side door 34.7 · H</x:v>
      </x:c>
      <x:c r="C165" s="8" t="str">
        <x:v>light</x:v>
      </x:c>
      <x:c r="D165" s="8" t="str">
        <x:v>DB1</x:v>
      </x:c>
      <x:c r="E165" s="8" t="str">
        <x:v>E1</x:v>
      </x:c>
      <x:c r="F165" s="11" t="n">
        <x:v>34.725</x:v>
      </x:c>
      <x:c r="G165" s="11" t="n">
        <x:v>4.6</x:v>
      </x:c>
      <x:c r="H165" s="11" t="n">
        <x:v>7.245</x:v>
      </x:c>
      <x:c r="I165" s="8" t="str">
        <x:v>wall</x:v>
      </x:c>
      <x:c r="J165" s="8" t="str">
        <x:v>Shown</x:v>
      </x:c>
      <x:c r="K165" s="8" t="str">
        <x:v>On</x:v>
      </x:c>
      <x:c r="L165" s="8" t="str">
        <x:v>55 × 170 × 380</x:v>
      </x:c>
      <x:c r="M165" s="8" t="str">
        <x:v>20 lm · 6500 K</x:v>
      </x:c>
      <x:c r="N165" s="11" t="n">
        <x:v>3</x:v>
      </x:c>
      <x:c r="O165" s="11" t="n">
        <x:v>-90</x:v>
      </x:c>
      <x:c r="P165" s="11" t="n">
        <x:v>0</x:v>
      </x:c>
      <x:c r="Q165" s="9"/>
      <x:c r="R165" s="9"/>
      <x:c r="S165" s="9"/>
      <x:c r="T165" s="9"/>
      <x:c r="U165" s="9"/>
      <x:c r="V165" s="9"/>
      <x:c r="W165" s="13"/>
      <x:c r="X165" s="13"/>
      <x:c r="Y165" s="13"/>
      <x:c r="Z165" s="9"/>
      <x:c r="AA165" s="8" t="str">
        <x:v>Current</x:v>
      </x:c>
      <x:c r="AB165" s="8" t="str">
        <x:v>drop:LC1:E1:light:1:L159</x:v>
      </x:c>
      <x:c r="AC165" s="8" t="str">
        <x:v>{"dim":1}</x:v>
      </x:c>
    </x:row>
    <x:row r="166" ht="96" customHeight="1">
      <x:c r="A166" s="8" t="str">
        <x:v>L160</x:v>
      </x:c>
      <x:c r="B166" s="8" t="str">
        <x:v>Tower lower front wash · B</x:v>
      </x:c>
      <x:c r="C166" s="8" t="str">
        <x:v>light</x:v>
      </x:c>
      <x:c r="D166" s="8" t="str">
        <x:v>DB2</x:v>
      </x:c>
      <x:c r="E166" s="8" t="str">
        <x:v>L6</x:v>
      </x:c>
      <x:c r="F166" s="11" t="n">
        <x:v>-0.125</x:v>
      </x:c>
      <x:c r="G166" s="11" t="n">
        <x:v>8.4</x:v>
      </x:c>
      <x:c r="H166" s="11" t="n">
        <x:v>-10.853</x:v>
      </x:c>
      <x:c r="I166" s="8" t="str">
        <x:v>floor</x:v>
      </x:c>
      <x:c r="J166" s="8" t="str">
        <x:v>Shown</x:v>
      </x:c>
      <x:c r="K166" s="8" t="str">
        <x:v>On</x:v>
      </x:c>
      <x:c r="L166" s="8" t="str">
        <x:v>617 × 535 × 340</x:v>
      </x:c>
      <x:c r="M166" s="8" t="str">
        <x:v>3500 lm · 3000 K · 50° beam</x:v>
      </x:c>
      <x:c r="N166" s="11" t="n">
        <x:v>27.22222222222222</x:v>
      </x:c>
      <x:c r="O166" s="11" t="n">
        <x:v>63.763287804692716</x:v>
      </x:c>
      <x:c r="P166" s="11" t="n">
        <x:v>-72.12654937134948</x:v>
      </x:c>
      <x:c r="Q166" s="9"/>
      <x:c r="R166" s="9"/>
      <x:c r="S166" s="9"/>
      <x:c r="T166" s="9"/>
      <x:c r="U166" s="9"/>
      <x:c r="V166" s="9"/>
      <x:c r="W166" s="13"/>
      <x:c r="X166" s="13"/>
      <x:c r="Y166" s="13"/>
      <x:c r="Z166" s="9"/>
      <x:c r="AA166" s="8" t="str">
        <x:v>Current</x:v>
      </x:c>
      <x:c r="AB166" s="8" t="str">
        <x:v>drop:DB2:L6:light:-1:L160</x:v>
      </x:c>
      <x:c r="AC166" s="8" t="str">
        <x:v>{"outreach":0.5,"lumens":3500,"dim":1}</x:v>
      </x:c>
    </x:row>
    <x:row r="167" ht="96" customHeight="1">
      <x:c r="A167" s="8" t="str">
        <x:v>L161</x:v>
      </x:c>
      <x:c r="B167" s="8" t="str">
        <x:v>Tower stage 2 flood · B</x:v>
      </x:c>
      <x:c r="C167" s="8" t="str">
        <x:v>light</x:v>
      </x:c>
      <x:c r="D167" s="8" t="str">
        <x:v>DB2</x:v>
      </x:c>
      <x:c r="E167" s="8" t="str">
        <x:v>L6</x:v>
      </x:c>
      <x:c r="F167" s="11" t="n">
        <x:v>-0.125</x:v>
      </x:c>
      <x:c r="G167" s="11" t="n">
        <x:v>8.4</x:v>
      </x:c>
      <x:c r="H167" s="11" t="n">
        <x:v>-10.153</x:v>
      </x:c>
      <x:c r="I167" s="8" t="str">
        <x:v>floor</x:v>
      </x:c>
      <x:c r="J167" s="8" t="str">
        <x:v>Shown</x:v>
      </x:c>
      <x:c r="K167" s="8" t="str">
        <x:v>On</x:v>
      </x:c>
      <x:c r="L167" s="8" t="str">
        <x:v>617 × 535 × 340</x:v>
      </x:c>
      <x:c r="M167" s="8" t="str">
        <x:v>7000 lm · 3000 K · 40° beam</x:v>
      </x:c>
      <x:c r="N167" s="11" t="n">
        <x:v>54.44444444444444</x:v>
      </x:c>
      <x:c r="O167" s="11" t="n">
        <x:v>0</x:v>
      </x:c>
      <x:c r="P167" s="11" t="n">
        <x:v>84.80016735942135</x:v>
      </x:c>
      <x:c r="Q167" s="9"/>
      <x:c r="R167" s="9"/>
      <x:c r="S167" s="9"/>
      <x:c r="T167" s="9"/>
      <x:c r="U167" s="9"/>
      <x:c r="V167" s="9"/>
      <x:c r="W167" s="13"/>
      <x:c r="X167" s="13"/>
      <x:c r="Y167" s="13"/>
      <x:c r="Z167" s="9"/>
      <x:c r="AA167" s="8" t="str">
        <x:v>Current</x:v>
      </x:c>
      <x:c r="AB167" s="8" t="str">
        <x:v>drop:DB2:L6:light:-1:L161</x:v>
      </x:c>
      <x:c r="AC167" s="8" t="str">
        <x:v>{"outreach":0.5,"lumens":7000,"dim":1}</x:v>
      </x:c>
    </x:row>
    <x:row r="168" ht="96" customHeight="1">
      <x:c r="A168" s="8" t="str">
        <x:v>L162</x:v>
      </x:c>
      <x:c r="B168" s="8" t="str">
        <x:v>Tower stage 3 flood · B</x:v>
      </x:c>
      <x:c r="C168" s="8" t="str">
        <x:v>light</x:v>
      </x:c>
      <x:c r="D168" s="8" t="str">
        <x:v>DB2</x:v>
      </x:c>
      <x:c r="E168" s="8" t="str">
        <x:v>L6</x:v>
      </x:c>
      <x:c r="F168" s="11" t="n">
        <x:v>-0.035</x:v>
      </x:c>
      <x:c r="G168" s="11" t="n">
        <x:v>15.88</x:v>
      </x:c>
      <x:c r="H168" s="11" t="n">
        <x:v>-10.153</x:v>
      </x:c>
      <x:c r="I168" s="8" t="str">
        <x:v>floor</x:v>
      </x:c>
      <x:c r="J168" s="8" t="str">
        <x:v>Shown</x:v>
      </x:c>
      <x:c r="K168" s="8" t="str">
        <x:v>On</x:v>
      </x:c>
      <x:c r="L168" s="8" t="str">
        <x:v>617 × 535 × 340</x:v>
      </x:c>
      <x:c r="M168" s="8" t="str">
        <x:v>6000 lm · 3000 K · 40° beam</x:v>
      </x:c>
      <x:c r="N168" s="11" t="n">
        <x:v>46.666666666666664</x:v>
      </x:c>
      <x:c r="O168" s="11" t="n">
        <x:v>0</x:v>
      </x:c>
      <x:c r="P168" s="11" t="n">
        <x:v>84.22494994345205</x:v>
      </x:c>
      <x:c r="Q168" s="9"/>
      <x:c r="R168" s="9"/>
      <x:c r="S168" s="9"/>
      <x:c r="T168" s="9"/>
      <x:c r="U168" s="9"/>
      <x:c r="V168" s="9"/>
      <x:c r="W168" s="13"/>
      <x:c r="X168" s="13"/>
      <x:c r="Y168" s="13"/>
      <x:c r="Z168" s="9"/>
      <x:c r="AA168" s="8" t="str">
        <x:v>Current</x:v>
      </x:c>
      <x:c r="AB168" s="8" t="str">
        <x:v>drop:DB2:L6:light:-1:L162</x:v>
      </x:c>
      <x:c r="AC168" s="8" t="str">
        <x:v>{"outreach":0.5,"lumens":6000,"dim":1}</x:v>
      </x:c>
    </x:row>
    <x:row r="169" ht="96" customHeight="1">
      <x:c r="A169" s="8" t="str">
        <x:v>L163</x:v>
      </x:c>
      <x:c r="B169" s="8" t="str">
        <x:v>Belfry front wash · B</x:v>
      </x:c>
      <x:c r="C169" s="8" t="str">
        <x:v>light</x:v>
      </x:c>
      <x:c r="D169" s="8" t="str">
        <x:v>DB2</x:v>
      </x:c>
      <x:c r="E169" s="8" t="str">
        <x:v>L6</x:v>
      </x:c>
      <x:c r="F169" s="11" t="n">
        <x:v>0.065</x:v>
      </x:c>
      <x:c r="G169" s="11" t="n">
        <x:v>23.2</x:v>
      </x:c>
      <x:c r="H169" s="11" t="n">
        <x:v>-10.153</x:v>
      </x:c>
      <x:c r="I169" s="8" t="str">
        <x:v>floor</x:v>
      </x:c>
      <x:c r="J169" s="8" t="str">
        <x:v>Shown</x:v>
      </x:c>
      <x:c r="K169" s="8" t="str">
        <x:v>On</x:v>
      </x:c>
      <x:c r="L169" s="8" t="str">
        <x:v>617 × 535 × 340</x:v>
      </x:c>
      <x:c r="M169" s="8" t="str">
        <x:v>4500 lm · 3000 K · 40° beam</x:v>
      </x:c>
      <x:c r="N169" s="11" t="n">
        <x:v>35</x:v>
      </x:c>
      <x:c r="O169" s="11" t="n">
        <x:v>0</x:v>
      </x:c>
      <x:c r="P169" s="11" t="n">
        <x:v>80.53767779197439</x:v>
      </x:c>
      <x:c r="Q169" s="9"/>
      <x:c r="R169" s="9"/>
      <x:c r="S169" s="9"/>
      <x:c r="T169" s="9"/>
      <x:c r="U169" s="9"/>
      <x:c r="V169" s="9"/>
      <x:c r="W169" s="13"/>
      <x:c r="X169" s="13"/>
      <x:c r="Y169" s="13"/>
      <x:c r="Z169" s="9"/>
      <x:c r="AA169" s="8" t="str">
        <x:v>Current</x:v>
      </x:c>
      <x:c r="AB169" s="8" t="str">
        <x:v>drop:DB2:L6:light:-1:L163</x:v>
      </x:c>
      <x:c r="AC169" s="8" t="str">
        <x:v>{"outreach":0.5,"lumens":4500,"dim":1}</x:v>
      </x:c>
    </x:row>
    <x:row r="170" ht="96" customHeight="1">
      <x:c r="A170" s="8" t="str">
        <x:v>L164</x:v>
      </x:c>
      <x:c r="B170" s="8" t="str">
        <x:v>Dome front wash · B</x:v>
      </x:c>
      <x:c r="C170" s="8" t="str">
        <x:v>light</x:v>
      </x:c>
      <x:c r="D170" s="8" t="str">
        <x:v>DB2</x:v>
      </x:c>
      <x:c r="E170" s="8" t="str">
        <x:v>L6</x:v>
      </x:c>
      <x:c r="F170" s="11" t="n">
        <x:v>0.35</x:v>
      </x:c>
      <x:c r="G170" s="11" t="n">
        <x:v>29.26</x:v>
      </x:c>
      <x:c r="H170" s="11" t="n">
        <x:v>-10.153</x:v>
      </x:c>
      <x:c r="I170" s="8" t="str">
        <x:v>floor</x:v>
      </x:c>
      <x:c r="J170" s="8" t="str">
        <x:v>Shown</x:v>
      </x:c>
      <x:c r="K170" s="8" t="str">
        <x:v>On</x:v>
      </x:c>
      <x:c r="L170" s="8" t="str">
        <x:v>617 × 535 × 340</x:v>
      </x:c>
      <x:c r="M170" s="8" t="str">
        <x:v>2500 lm · 3000 K · 36° beam</x:v>
      </x:c>
      <x:c r="N170" s="11" t="n">
        <x:v>19.444444444444443</x:v>
      </x:c>
      <x:c r="O170" s="11" t="n">
        <x:v>0</x:v>
      </x:c>
      <x:c r="P170" s="11" t="n">
        <x:v>61.4293014515334</x:v>
      </x:c>
      <x:c r="Q170" s="9"/>
      <x:c r="R170" s="9"/>
      <x:c r="S170" s="9"/>
      <x:c r="T170" s="9"/>
      <x:c r="U170" s="9"/>
      <x:c r="V170" s="9"/>
      <x:c r="W170" s="13"/>
      <x:c r="X170" s="13"/>
      <x:c r="Y170" s="13"/>
      <x:c r="Z170" s="9"/>
      <x:c r="AA170" s="8" t="str">
        <x:v>Current</x:v>
      </x:c>
      <x:c r="AB170" s="8" t="str">
        <x:v>drop:DB2:L6:light:-1:L164</x:v>
      </x:c>
      <x:c r="AC170" s="8" t="str">
        <x:v>{"outreach":0.5,"lumens":2500,"dim":1}</x:v>
      </x:c>
    </x:row>
    <x:row r="171" ht="96" customHeight="1">
      <x:c r="A171" s="8" t="str">
        <x:v>L165</x:v>
      </x:c>
      <x:c r="B171" s="8" t="str">
        <x:v>Belfry glow · B</x:v>
      </x:c>
      <x:c r="C171" s="8" t="str">
        <x:v>light</x:v>
      </x:c>
      <x:c r="D171" s="8" t="str">
        <x:v>DB2</x:v>
      </x:c>
      <x:c r="E171" s="8" t="str">
        <x:v>L6</x:v>
      </x:c>
      <x:c r="F171" s="11" t="n">
        <x:v>2.45</x:v>
      </x:c>
      <x:c r="G171" s="11" t="n">
        <x:v>23.2</x:v>
      </x:c>
      <x:c r="H171" s="11" t="n">
        <x:v>-10.153</x:v>
      </x:c>
      <x:c r="I171" s="8" t="str">
        <x:v>floor</x:v>
      </x:c>
      <x:c r="J171" s="8" t="str">
        <x:v>Shown</x:v>
      </x:c>
      <x:c r="K171" s="8" t="str">
        <x:v>On</x:v>
      </x:c>
      <x:c r="L171" s="8" t="str">
        <x:v>320 × 220 × 300</x:v>
      </x:c>
      <x:c r="M171" s="8" t="str">
        <x:v>2500 lm · 2700 K · 100° beam</x:v>
      </x:c>
      <x:c r="N171" s="11" t="n">
        <x:v>20</x:v>
      </x:c>
      <x:c r="O171" s="11" t="n">
        <x:v>0</x:v>
      </x:c>
      <x:c r="P171" s="11" t="n">
        <x:v>90</x:v>
      </x:c>
      <x:c r="Q171" s="9"/>
      <x:c r="R171" s="9"/>
      <x:c r="S171" s="9"/>
      <x:c r="T171" s="9"/>
      <x:c r="U171" s="9"/>
      <x:c r="V171" s="9"/>
      <x:c r="W171" s="13"/>
      <x:c r="X171" s="13"/>
      <x:c r="Y171" s="13"/>
      <x:c r="Z171" s="9"/>
      <x:c r="AA171" s="8" t="str">
        <x:v>Current</x:v>
      </x:c>
      <x:c r="AB171" s="8" t="str">
        <x:v>drop:DB2:L6:light:-1:L165</x:v>
      </x:c>
      <x:c r="AC171" s="8" t="str">
        <x:v>{"lumens":2500,"dim":1}</x:v>
      </x:c>
    </x:row>
    <x:row r="172" ht="96" customHeight="1">
      <x:c r="A172" s="8" t="str">
        <x:v>L166</x:v>
      </x:c>
      <x:c r="B172" s="8" t="str">
        <x:v>Tower lower side wash · B</x:v>
      </x:c>
      <x:c r="C172" s="8" t="str">
        <x:v>light</x:v>
      </x:c>
      <x:c r="D172" s="8" t="str">
        <x:v>DB2</x:v>
      </x:c>
      <x:c r="E172" s="8" t="str">
        <x:v>L6</x:v>
      </x:c>
      <x:c r="F172" s="11" t="n">
        <x:v>3.0500000000000003</x:v>
      </x:c>
      <x:c r="G172" s="11" t="n">
        <x:v>8.4</x:v>
      </x:c>
      <x:c r="H172" s="11" t="n">
        <x:v>-12.738</x:v>
      </x:c>
      <x:c r="I172" s="8" t="str">
        <x:v>floor</x:v>
      </x:c>
      <x:c r="J172" s="8" t="str">
        <x:v>Shown</x:v>
      </x:c>
      <x:c r="K172" s="8" t="str">
        <x:v>On</x:v>
      </x:c>
      <x:c r="L172" s="8" t="str">
        <x:v>617 × 535 × 340</x:v>
      </x:c>
      <x:c r="M172" s="8" t="str">
        <x:v>2500 lm · 3000 K · 50° beam</x:v>
      </x:c>
      <x:c r="N172" s="11" t="n">
        <x:v>19.444444444444443</x:v>
      </x:c>
      <x:c r="O172" s="11" t="n">
        <x:v>149.38861159313254</x:v>
      </x:c>
      <x:c r="P172" s="11" t="n">
        <x:v>-73.92933782872143</x:v>
      </x:c>
      <x:c r="Q172" s="9"/>
      <x:c r="R172" s="9"/>
      <x:c r="S172" s="9"/>
      <x:c r="T172" s="9"/>
      <x:c r="U172" s="9"/>
      <x:c r="V172" s="9"/>
      <x:c r="W172" s="13"/>
      <x:c r="X172" s="13"/>
      <x:c r="Y172" s="13"/>
      <x:c r="Z172" s="9"/>
      <x:c r="AA172" s="8" t="str">
        <x:v>Current</x:v>
      </x:c>
      <x:c r="AB172" s="8" t="str">
        <x:v>drop:DB2:L6:light:-1:L166</x:v>
      </x:c>
      <x:c r="AC172" s="8" t="str">
        <x:v>{"outreach":0.5,"lumens":2500,"dim":1}</x:v>
      </x:c>
    </x:row>
    <x:row r="173" ht="96" customHeight="1">
      <x:c r="A173" s="8" t="str">
        <x:v>L167</x:v>
      </x:c>
      <x:c r="B173" s="8" t="str">
        <x:v>Tower stage 2 side wash · B</x:v>
      </x:c>
      <x:c r="C173" s="8" t="str">
        <x:v>light</x:v>
      </x:c>
      <x:c r="D173" s="8" t="str">
        <x:v>DB2</x:v>
      </x:c>
      <x:c r="E173" s="8" t="str">
        <x:v>L6</x:v>
      </x:c>
      <x:c r="F173" s="11" t="n">
        <x:v>2.45</x:v>
      </x:c>
      <x:c r="G173" s="11" t="n">
        <x:v>8.4</x:v>
      </x:c>
      <x:c r="H173" s="11" t="n">
        <x:v>-12.738</x:v>
      </x:c>
      <x:c r="I173" s="8" t="str">
        <x:v>floor</x:v>
      </x:c>
      <x:c r="J173" s="8" t="str">
        <x:v>Shown</x:v>
      </x:c>
      <x:c r="K173" s="8" t="str">
        <x:v>On</x:v>
      </x:c>
      <x:c r="L173" s="8" t="str">
        <x:v>617 × 535 × 340</x:v>
      </x:c>
      <x:c r="M173" s="8" t="str">
        <x:v>5000 lm · 3000 K · 40° beam</x:v>
      </x:c>
      <x:c r="N173" s="11" t="n">
        <x:v>38.888888888888886</x:v>
      </x:c>
      <x:c r="O173" s="11" t="n">
        <x:v>90</x:v>
      </x:c>
      <x:c r="P173" s="11" t="n">
        <x:v>84.26567207532734</x:v>
      </x:c>
      <x:c r="Q173" s="9"/>
      <x:c r="R173" s="9"/>
      <x:c r="S173" s="9"/>
      <x:c r="T173" s="9"/>
      <x:c r="U173" s="9"/>
      <x:c r="V173" s="9"/>
      <x:c r="W173" s="13"/>
      <x:c r="X173" s="13"/>
      <x:c r="Y173" s="13"/>
      <x:c r="Z173" s="9"/>
      <x:c r="AA173" s="8" t="str">
        <x:v>Current</x:v>
      </x:c>
      <x:c r="AB173" s="8" t="str">
        <x:v>drop:DB2:L6:light:-1:L167</x:v>
      </x:c>
      <x:c r="AC173" s="8" t="str">
        <x:v>{"outreach":0.5,"lumens":5000,"dim":1}</x:v>
      </x:c>
    </x:row>
    <x:row r="174" ht="96" customHeight="1">
      <x:c r="A174" s="8" t="str">
        <x:v>L168</x:v>
      </x:c>
      <x:c r="B174" s="8" t="str">
        <x:v>Tower stage 3 side wash · B</x:v>
      </x:c>
      <x:c r="C174" s="8" t="str">
        <x:v>light</x:v>
      </x:c>
      <x:c r="D174" s="8" t="str">
        <x:v>DB2</x:v>
      </x:c>
      <x:c r="E174" s="8" t="str">
        <x:v>L6</x:v>
      </x:c>
      <x:c r="F174" s="11" t="n">
        <x:v>2.45</x:v>
      </x:c>
      <x:c r="G174" s="11" t="n">
        <x:v>15.88</x:v>
      </x:c>
      <x:c r="H174" s="11" t="n">
        <x:v>-12.613</x:v>
      </x:c>
      <x:c r="I174" s="8" t="str">
        <x:v>floor</x:v>
      </x:c>
      <x:c r="J174" s="8" t="str">
        <x:v>Shown</x:v>
      </x:c>
      <x:c r="K174" s="8" t="str">
        <x:v>On</x:v>
      </x:c>
      <x:c r="L174" s="8" t="str">
        <x:v>617 × 535 × 340</x:v>
      </x:c>
      <x:c r="M174" s="8" t="str">
        <x:v>4000 lm · 3000 K · 40° beam</x:v>
      </x:c>
      <x:c r="N174" s="11" t="n">
        <x:v>31.11111111111111</x:v>
      </x:c>
      <x:c r="O174" s="11" t="n">
        <x:v>90</x:v>
      </x:c>
      <x:c r="P174" s="11" t="n">
        <x:v>84.09608025557331</x:v>
      </x:c>
      <x:c r="Q174" s="9"/>
      <x:c r="R174" s="9"/>
      <x:c r="S174" s="9"/>
      <x:c r="T174" s="9"/>
      <x:c r="U174" s="9"/>
      <x:c r="V174" s="9"/>
      <x:c r="W174" s="13"/>
      <x:c r="X174" s="13"/>
      <x:c r="Y174" s="13"/>
      <x:c r="Z174" s="9"/>
      <x:c r="AA174" s="8" t="str">
        <x:v>Current</x:v>
      </x:c>
      <x:c r="AB174" s="8" t="str">
        <x:v>drop:DB2:L6:light:-1:L168</x:v>
      </x:c>
      <x:c r="AC174" s="8" t="str">
        <x:v>{"outreach":0.5,"lumens":4000,"dim":1}</x:v>
      </x:c>
    </x:row>
    <x:row r="175" ht="96" customHeight="1">
      <x:c r="A175" s="8" t="str">
        <x:v>L169</x:v>
      </x:c>
      <x:c r="B175" s="8" t="str">
        <x:v>Belfry side wash · B</x:v>
      </x:c>
      <x:c r="C175" s="8" t="str">
        <x:v>light</x:v>
      </x:c>
      <x:c r="D175" s="8" t="str">
        <x:v>DB2</x:v>
      </x:c>
      <x:c r="E175" s="8" t="str">
        <x:v>L6</x:v>
      </x:c>
      <x:c r="F175" s="11" t="n">
        <x:v>2.45</x:v>
      </x:c>
      <x:c r="G175" s="11" t="n">
        <x:v>23.2</x:v>
      </x:c>
      <x:c r="H175" s="11" t="n">
        <x:v>-12.513</x:v>
      </x:c>
      <x:c r="I175" s="8" t="str">
        <x:v>floor</x:v>
      </x:c>
      <x:c r="J175" s="8" t="str">
        <x:v>Shown</x:v>
      </x:c>
      <x:c r="K175" s="8" t="str">
        <x:v>On</x:v>
      </x:c>
      <x:c r="L175" s="8" t="str">
        <x:v>617 × 535 × 340</x:v>
      </x:c>
      <x:c r="M175" s="8" t="str">
        <x:v>3000 lm · 3000 K · 40° beam</x:v>
      </x:c>
      <x:c r="N175" s="11" t="n">
        <x:v>23.333333333333332</x:v>
      </x:c>
      <x:c r="O175" s="11" t="n">
        <x:v>90</x:v>
      </x:c>
      <x:c r="P175" s="11" t="n">
        <x:v>80.5376777919744</x:v>
      </x:c>
      <x:c r="Q175" s="9"/>
      <x:c r="R175" s="9"/>
      <x:c r="S175" s="9"/>
      <x:c r="T175" s="9"/>
      <x:c r="U175" s="9"/>
      <x:c r="V175" s="9"/>
      <x:c r="W175" s="13"/>
      <x:c r="X175" s="13"/>
      <x:c r="Y175" s="13"/>
      <x:c r="Z175" s="9"/>
      <x:c r="AA175" s="8" t="str">
        <x:v>Current</x:v>
      </x:c>
      <x:c r="AB175" s="8" t="str">
        <x:v>drop:DB2:L6:light:-1:L169</x:v>
      </x:c>
      <x:c r="AC175" s="8" t="str">
        <x:v>{"outreach":0.5,"lumens":3000,"dim":1}</x:v>
      </x:c>
    </x:row>
    <x:row r="176" ht="96" customHeight="1">
      <x:c r="A176" s="8" t="str">
        <x:v>L170</x:v>
      </x:c>
      <x:c r="B176" s="8" t="str">
        <x:v>Façade wash · B</x:v>
      </x:c>
      <x:c r="C176" s="8" t="str">
        <x:v>light</x:v>
      </x:c>
      <x:c r="D176" s="8" t="str">
        <x:v>DB2</x:v>
      </x:c>
      <x:c r="E176" s="8" t="str">
        <x:v>L6</x:v>
      </x:c>
      <x:c r="F176" s="11" t="n">
        <x:v>-0.0750000000000001</x:v>
      </x:c>
      <x:c r="G176" s="11" t="n">
        <x:v>8.4</x:v>
      </x:c>
      <x:c r="H176" s="11" t="n">
        <x:v>-7.9</x:v>
      </x:c>
      <x:c r="I176" s="8" t="str">
        <x:v>floor</x:v>
      </x:c>
      <x:c r="J176" s="8" t="str">
        <x:v>Shown</x:v>
      </x:c>
      <x:c r="K176" s="8" t="str">
        <x:v>On</x:v>
      </x:c>
      <x:c r="L176" s="8" t="str">
        <x:v>215 × 535 × 340</x:v>
      </x:c>
      <x:c r="M176" s="8" t="str">
        <x:v>6000 lm · 3000 K · 50° beam</x:v>
      </x:c>
      <x:c r="N176" s="11" t="n">
        <x:v>46.666666666666664</x:v>
      </x:c>
      <x:c r="O176" s="11" t="n">
        <x:v>68.85757921565144</x:v>
      </x:c>
      <x:c r="P176" s="11" t="n">
        <x:v>-42.19088950849084</x:v>
      </x:c>
      <x:c r="Q176" s="9"/>
      <x:c r="R176" s="9"/>
      <x:c r="S176" s="9"/>
      <x:c r="T176" s="9"/>
      <x:c r="U176" s="9"/>
      <x:c r="V176" s="9"/>
      <x:c r="W176" s="13"/>
      <x:c r="X176" s="13"/>
      <x:c r="Y176" s="13"/>
      <x:c r="Z176" s="9"/>
      <x:c r="AA176" s="8" t="str">
        <x:v>Current</x:v>
      </x:c>
      <x:c r="AB176" s="8" t="str">
        <x:v>drop:DB2:L6:light:-1:L170</x:v>
      </x:c>
      <x:c r="AC176" s="8" t="str">
        <x:v>{"lumens":6000,"dim":1}</x:v>
      </x:c>
    </x:row>
    <x:row r="177" ht="96" customHeight="1">
      <x:c r="A177" s="8" t="str">
        <x:v>L171</x:v>
      </x:c>
      <x:c r="B177" s="8" t="str">
        <x:v>Tower lower front wash · H</x:v>
      </x:c>
      <x:c r="C177" s="8" t="str">
        <x:v>light</x:v>
      </x:c>
      <x:c r="D177" s="8" t="str">
        <x:v>DB2</x:v>
      </x:c>
      <x:c r="E177" s="8" t="str">
        <x:v>L6</x:v>
      </x:c>
      <x:c r="F177" s="11" t="n">
        <x:v>-0.125</x:v>
      </x:c>
      <x:c r="G177" s="11" t="n">
        <x:v>8.4</x:v>
      </x:c>
      <x:c r="H177" s="11" t="n">
        <x:v>10.853</x:v>
      </x:c>
      <x:c r="I177" s="8" t="str">
        <x:v>floor</x:v>
      </x:c>
      <x:c r="J177" s="8" t="str">
        <x:v>Shown</x:v>
      </x:c>
      <x:c r="K177" s="8" t="str">
        <x:v>On</x:v>
      </x:c>
      <x:c r="L177" s="8" t="str">
        <x:v>617 × 535 × 340</x:v>
      </x:c>
      <x:c r="M177" s="8" t="str">
        <x:v>3500 lm · 3000 K · 50° beam</x:v>
      </x:c>
      <x:c r="N177" s="11" t="n">
        <x:v>27.22222222222222</x:v>
      </x:c>
      <x:c r="O177" s="11" t="n">
        <x:v>-63.763287804692716</x:v>
      </x:c>
      <x:c r="P177" s="11" t="n">
        <x:v>-72.12654937134948</x:v>
      </x:c>
      <x:c r="Q177" s="9"/>
      <x:c r="R177" s="9"/>
      <x:c r="S177" s="9"/>
      <x:c r="T177" s="9"/>
      <x:c r="U177" s="9"/>
      <x:c r="V177" s="9"/>
      <x:c r="W177" s="13"/>
      <x:c r="X177" s="13"/>
      <x:c r="Y177" s="13"/>
      <x:c r="Z177" s="9"/>
      <x:c r="AA177" s="8" t="str">
        <x:v>Current</x:v>
      </x:c>
      <x:c r="AB177" s="8" t="str">
        <x:v>drop:DB2:L6:light:1:L171</x:v>
      </x:c>
      <x:c r="AC177" s="8" t="str">
        <x:v>{"outreach":0.5,"lumens":3500,"dim":1}</x:v>
      </x:c>
    </x:row>
    <x:row r="178" ht="96" customHeight="1">
      <x:c r="A178" s="8" t="str">
        <x:v>L172</x:v>
      </x:c>
      <x:c r="B178" s="8" t="str">
        <x:v>Tower stage 2 flood · H</x:v>
      </x:c>
      <x:c r="C178" s="8" t="str">
        <x:v>light</x:v>
      </x:c>
      <x:c r="D178" s="8" t="str">
        <x:v>DB2</x:v>
      </x:c>
      <x:c r="E178" s="8" t="str">
        <x:v>L6</x:v>
      </x:c>
      <x:c r="F178" s="11" t="n">
        <x:v>-0.125</x:v>
      </x:c>
      <x:c r="G178" s="11" t="n">
        <x:v>8.4</x:v>
      </x:c>
      <x:c r="H178" s="11" t="n">
        <x:v>10.153</x:v>
      </x:c>
      <x:c r="I178" s="8" t="str">
        <x:v>floor</x:v>
      </x:c>
      <x:c r="J178" s="8" t="str">
        <x:v>Shown</x:v>
      </x:c>
      <x:c r="K178" s="8" t="str">
        <x:v>On</x:v>
      </x:c>
      <x:c r="L178" s="8" t="str">
        <x:v>617 × 535 × 340</x:v>
      </x:c>
      <x:c r="M178" s="8" t="str">
        <x:v>7000 lm · 3000 K · 40° beam</x:v>
      </x:c>
      <x:c r="N178" s="11" t="n">
        <x:v>54.44444444444444</x:v>
      </x:c>
      <x:c r="O178" s="11" t="n">
        <x:v>0</x:v>
      </x:c>
      <x:c r="P178" s="11" t="n">
        <x:v>84.80016735942135</x:v>
      </x:c>
      <x:c r="Q178" s="9"/>
      <x:c r="R178" s="9"/>
      <x:c r="S178" s="9"/>
      <x:c r="T178" s="9"/>
      <x:c r="U178" s="9"/>
      <x:c r="V178" s="9"/>
      <x:c r="W178" s="13"/>
      <x:c r="X178" s="13"/>
      <x:c r="Y178" s="13"/>
      <x:c r="Z178" s="9"/>
      <x:c r="AA178" s="8" t="str">
        <x:v>Current</x:v>
      </x:c>
      <x:c r="AB178" s="8" t="str">
        <x:v>drop:DB2:L6:light:1:L172</x:v>
      </x:c>
      <x:c r="AC178" s="8" t="str">
        <x:v>{"outreach":0.5,"lumens":7000,"dim":1}</x:v>
      </x:c>
    </x:row>
    <x:row r="179" ht="96" customHeight="1">
      <x:c r="A179" s="8" t="str">
        <x:v>L173</x:v>
      </x:c>
      <x:c r="B179" s="8" t="str">
        <x:v>Tower stage 3 flood · H</x:v>
      </x:c>
      <x:c r="C179" s="8" t="str">
        <x:v>light</x:v>
      </x:c>
      <x:c r="D179" s="8" t="str">
        <x:v>DB2</x:v>
      </x:c>
      <x:c r="E179" s="8" t="str">
        <x:v>L6</x:v>
      </x:c>
      <x:c r="F179" s="11" t="n">
        <x:v>-0.035</x:v>
      </x:c>
      <x:c r="G179" s="11" t="n">
        <x:v>15.88</x:v>
      </x:c>
      <x:c r="H179" s="11" t="n">
        <x:v>10.153</x:v>
      </x:c>
      <x:c r="I179" s="8" t="str">
        <x:v>floor</x:v>
      </x:c>
      <x:c r="J179" s="8" t="str">
        <x:v>Shown</x:v>
      </x:c>
      <x:c r="K179" s="8" t="str">
        <x:v>On</x:v>
      </x:c>
      <x:c r="L179" s="8" t="str">
        <x:v>617 × 535 × 340</x:v>
      </x:c>
      <x:c r="M179" s="8" t="str">
        <x:v>6000 lm · 3000 K · 40° beam</x:v>
      </x:c>
      <x:c r="N179" s="11" t="n">
        <x:v>46.666666666666664</x:v>
      </x:c>
      <x:c r="O179" s="11" t="n">
        <x:v>0</x:v>
      </x:c>
      <x:c r="P179" s="11" t="n">
        <x:v>84.22494994345205</x:v>
      </x:c>
      <x:c r="Q179" s="9"/>
      <x:c r="R179" s="9"/>
      <x:c r="S179" s="9"/>
      <x:c r="T179" s="9"/>
      <x:c r="U179" s="9"/>
      <x:c r="V179" s="9"/>
      <x:c r="W179" s="13"/>
      <x:c r="X179" s="13"/>
      <x:c r="Y179" s="13"/>
      <x:c r="Z179" s="9"/>
      <x:c r="AA179" s="8" t="str">
        <x:v>Current</x:v>
      </x:c>
      <x:c r="AB179" s="8" t="str">
        <x:v>drop:DB2:L6:light:1:L173</x:v>
      </x:c>
      <x:c r="AC179" s="8" t="str">
        <x:v>{"outreach":0.5,"lumens":6000,"dim":1}</x:v>
      </x:c>
    </x:row>
    <x:row r="180" ht="96" customHeight="1">
      <x:c r="A180" s="8" t="str">
        <x:v>L174</x:v>
      </x:c>
      <x:c r="B180" s="8" t="str">
        <x:v>Belfry front wash · H</x:v>
      </x:c>
      <x:c r="C180" s="8" t="str">
        <x:v>light</x:v>
      </x:c>
      <x:c r="D180" s="8" t="str">
        <x:v>DB2</x:v>
      </x:c>
      <x:c r="E180" s="8" t="str">
        <x:v>L6</x:v>
      </x:c>
      <x:c r="F180" s="11" t="n">
        <x:v>0.065</x:v>
      </x:c>
      <x:c r="G180" s="11" t="n">
        <x:v>23.2</x:v>
      </x:c>
      <x:c r="H180" s="11" t="n">
        <x:v>10.153</x:v>
      </x:c>
      <x:c r="I180" s="8" t="str">
        <x:v>floor</x:v>
      </x:c>
      <x:c r="J180" s="8" t="str">
        <x:v>Shown</x:v>
      </x:c>
      <x:c r="K180" s="8" t="str">
        <x:v>On</x:v>
      </x:c>
      <x:c r="L180" s="8" t="str">
        <x:v>617 × 535 × 340</x:v>
      </x:c>
      <x:c r="M180" s="8" t="str">
        <x:v>4500 lm · 3000 K · 40° beam</x:v>
      </x:c>
      <x:c r="N180" s="11" t="n">
        <x:v>35</x:v>
      </x:c>
      <x:c r="O180" s="11" t="n">
        <x:v>0</x:v>
      </x:c>
      <x:c r="P180" s="11" t="n">
        <x:v>80.53767779197439</x:v>
      </x:c>
      <x:c r="Q180" s="9"/>
      <x:c r="R180" s="9"/>
      <x:c r="S180" s="9"/>
      <x:c r="T180" s="9"/>
      <x:c r="U180" s="9"/>
      <x:c r="V180" s="9"/>
      <x:c r="W180" s="13"/>
      <x:c r="X180" s="13"/>
      <x:c r="Y180" s="13"/>
      <x:c r="Z180" s="9"/>
      <x:c r="AA180" s="8" t="str">
        <x:v>Current</x:v>
      </x:c>
      <x:c r="AB180" s="8" t="str">
        <x:v>drop:DB2:L6:light:1:L174</x:v>
      </x:c>
      <x:c r="AC180" s="8" t="str">
        <x:v>{"outreach":0.5,"lumens":4500,"dim":1}</x:v>
      </x:c>
    </x:row>
    <x:row r="181" ht="96" customHeight="1">
      <x:c r="A181" s="8" t="str">
        <x:v>L175</x:v>
      </x:c>
      <x:c r="B181" s="8" t="str">
        <x:v>Dome front wash · H</x:v>
      </x:c>
      <x:c r="C181" s="8" t="str">
        <x:v>light</x:v>
      </x:c>
      <x:c r="D181" s="8" t="str">
        <x:v>DB2</x:v>
      </x:c>
      <x:c r="E181" s="8" t="str">
        <x:v>L6</x:v>
      </x:c>
      <x:c r="F181" s="11" t="n">
        <x:v>0.35</x:v>
      </x:c>
      <x:c r="G181" s="11" t="n">
        <x:v>29.26</x:v>
      </x:c>
      <x:c r="H181" s="11" t="n">
        <x:v>10.153</x:v>
      </x:c>
      <x:c r="I181" s="8" t="str">
        <x:v>floor</x:v>
      </x:c>
      <x:c r="J181" s="8" t="str">
        <x:v>Shown</x:v>
      </x:c>
      <x:c r="K181" s="8" t="str">
        <x:v>On</x:v>
      </x:c>
      <x:c r="L181" s="8" t="str">
        <x:v>617 × 535 × 340</x:v>
      </x:c>
      <x:c r="M181" s="8" t="str">
        <x:v>2500 lm · 3000 K · 36° beam</x:v>
      </x:c>
      <x:c r="N181" s="11" t="n">
        <x:v>19.444444444444443</x:v>
      </x:c>
      <x:c r="O181" s="11" t="n">
        <x:v>0</x:v>
      </x:c>
      <x:c r="P181" s="11" t="n">
        <x:v>61.4293014515334</x:v>
      </x:c>
      <x:c r="Q181" s="9"/>
      <x:c r="R181" s="9"/>
      <x:c r="S181" s="9"/>
      <x:c r="T181" s="9"/>
      <x:c r="U181" s="9"/>
      <x:c r="V181" s="9"/>
      <x:c r="W181" s="13"/>
      <x:c r="X181" s="13"/>
      <x:c r="Y181" s="13"/>
      <x:c r="Z181" s="9"/>
      <x:c r="AA181" s="8" t="str">
        <x:v>Current</x:v>
      </x:c>
      <x:c r="AB181" s="8" t="str">
        <x:v>drop:DB2:L6:light:1:L175</x:v>
      </x:c>
      <x:c r="AC181" s="8" t="str">
        <x:v>{"outreach":0.5,"lumens":2500,"dim":1}</x:v>
      </x:c>
    </x:row>
    <x:row r="182" ht="96" customHeight="1">
      <x:c r="A182" s="8" t="str">
        <x:v>L176</x:v>
      </x:c>
      <x:c r="B182" s="8" t="str">
        <x:v>Belfry glow · H</x:v>
      </x:c>
      <x:c r="C182" s="8" t="str">
        <x:v>light</x:v>
      </x:c>
      <x:c r="D182" s="8" t="str">
        <x:v>DB2</x:v>
      </x:c>
      <x:c r="E182" s="8" t="str">
        <x:v>L6</x:v>
      </x:c>
      <x:c r="F182" s="11" t="n">
        <x:v>2.45</x:v>
      </x:c>
      <x:c r="G182" s="11" t="n">
        <x:v>23.2</x:v>
      </x:c>
      <x:c r="H182" s="11" t="n">
        <x:v>10.153</x:v>
      </x:c>
      <x:c r="I182" s="8" t="str">
        <x:v>floor</x:v>
      </x:c>
      <x:c r="J182" s="8" t="str">
        <x:v>Shown</x:v>
      </x:c>
      <x:c r="K182" s="8" t="str">
        <x:v>On</x:v>
      </x:c>
      <x:c r="L182" s="8" t="str">
        <x:v>320 × 220 × 300</x:v>
      </x:c>
      <x:c r="M182" s="8" t="str">
        <x:v>2500 lm · 2700 K · 100° beam</x:v>
      </x:c>
      <x:c r="N182" s="11" t="n">
        <x:v>20</x:v>
      </x:c>
      <x:c r="O182" s="11" t="n">
        <x:v>0</x:v>
      </x:c>
      <x:c r="P182" s="11" t="n">
        <x:v>90</x:v>
      </x:c>
      <x:c r="Q182" s="9"/>
      <x:c r="R182" s="9"/>
      <x:c r="S182" s="9"/>
      <x:c r="T182" s="9"/>
      <x:c r="U182" s="9"/>
      <x:c r="V182" s="9"/>
      <x:c r="W182" s="13"/>
      <x:c r="X182" s="13"/>
      <x:c r="Y182" s="13"/>
      <x:c r="Z182" s="9"/>
      <x:c r="AA182" s="8" t="str">
        <x:v>Current</x:v>
      </x:c>
      <x:c r="AB182" s="8" t="str">
        <x:v>drop:DB2:L6:light:1:L176</x:v>
      </x:c>
      <x:c r="AC182" s="8" t="str">
        <x:v>{"lumens":2500,"dim":1}</x:v>
      </x:c>
    </x:row>
    <x:row r="183" ht="96" customHeight="1">
      <x:c r="A183" s="8" t="str">
        <x:v>L177</x:v>
      </x:c>
      <x:c r="B183" s="8" t="str">
        <x:v>Tower lower side wash · H</x:v>
      </x:c>
      <x:c r="C183" s="8" t="str">
        <x:v>light</x:v>
      </x:c>
      <x:c r="D183" s="8" t="str">
        <x:v>DB2</x:v>
      </x:c>
      <x:c r="E183" s="8" t="str">
        <x:v>L6</x:v>
      </x:c>
      <x:c r="F183" s="11" t="n">
        <x:v>3.0500000000000003</x:v>
      </x:c>
      <x:c r="G183" s="11" t="n">
        <x:v>8.4</x:v>
      </x:c>
      <x:c r="H183" s="11" t="n">
        <x:v>12.738</x:v>
      </x:c>
      <x:c r="I183" s="8" t="str">
        <x:v>floor</x:v>
      </x:c>
      <x:c r="J183" s="8" t="str">
        <x:v>Shown</x:v>
      </x:c>
      <x:c r="K183" s="8" t="str">
        <x:v>On</x:v>
      </x:c>
      <x:c r="L183" s="8" t="str">
        <x:v>617 × 535 × 340</x:v>
      </x:c>
      <x:c r="M183" s="8" t="str">
        <x:v>2500 lm · 3000 K · 50° beam</x:v>
      </x:c>
      <x:c r="N183" s="11" t="n">
        <x:v>19.444444444444443</x:v>
      </x:c>
      <x:c r="O183" s="11" t="n">
        <x:v>-149.38861159313254</x:v>
      </x:c>
      <x:c r="P183" s="11" t="n">
        <x:v>-73.92933782872143</x:v>
      </x:c>
      <x:c r="Q183" s="9"/>
      <x:c r="R183" s="9"/>
      <x:c r="S183" s="9"/>
      <x:c r="T183" s="9"/>
      <x:c r="U183" s="9"/>
      <x:c r="V183" s="9"/>
      <x:c r="W183" s="13"/>
      <x:c r="X183" s="13"/>
      <x:c r="Y183" s="13"/>
      <x:c r="Z183" s="9"/>
      <x:c r="AA183" s="8" t="str">
        <x:v>Current</x:v>
      </x:c>
      <x:c r="AB183" s="8" t="str">
        <x:v>drop:DB2:L6:light:1:L177</x:v>
      </x:c>
      <x:c r="AC183" s="8" t="str">
        <x:v>{"outreach":0.5,"lumens":2500,"dim":1}</x:v>
      </x:c>
    </x:row>
    <x:row r="184" ht="96" customHeight="1">
      <x:c r="A184" s="8" t="str">
        <x:v>L178</x:v>
      </x:c>
      <x:c r="B184" s="8" t="str">
        <x:v>Tower stage 2 side wash · H</x:v>
      </x:c>
      <x:c r="C184" s="8" t="str">
        <x:v>light</x:v>
      </x:c>
      <x:c r="D184" s="8" t="str">
        <x:v>DB2</x:v>
      </x:c>
      <x:c r="E184" s="8" t="str">
        <x:v>L6</x:v>
      </x:c>
      <x:c r="F184" s="11" t="n">
        <x:v>2.45</x:v>
      </x:c>
      <x:c r="G184" s="11" t="n">
        <x:v>8.4</x:v>
      </x:c>
      <x:c r="H184" s="11" t="n">
        <x:v>12.738</x:v>
      </x:c>
      <x:c r="I184" s="8" t="str">
        <x:v>floor</x:v>
      </x:c>
      <x:c r="J184" s="8" t="str">
        <x:v>Shown</x:v>
      </x:c>
      <x:c r="K184" s="8" t="str">
        <x:v>On</x:v>
      </x:c>
      <x:c r="L184" s="8" t="str">
        <x:v>617 × 535 × 340</x:v>
      </x:c>
      <x:c r="M184" s="8" t="str">
        <x:v>5000 lm · 3000 K · 40° beam</x:v>
      </x:c>
      <x:c r="N184" s="11" t="n">
        <x:v>38.888888888888886</x:v>
      </x:c>
      <x:c r="O184" s="11" t="n">
        <x:v>-90</x:v>
      </x:c>
      <x:c r="P184" s="11" t="n">
        <x:v>84.26567207532734</x:v>
      </x:c>
      <x:c r="Q184" s="9"/>
      <x:c r="R184" s="9"/>
      <x:c r="S184" s="9"/>
      <x:c r="T184" s="9"/>
      <x:c r="U184" s="9"/>
      <x:c r="V184" s="9"/>
      <x:c r="W184" s="13"/>
      <x:c r="X184" s="13"/>
      <x:c r="Y184" s="13"/>
      <x:c r="Z184" s="9"/>
      <x:c r="AA184" s="8" t="str">
        <x:v>Current</x:v>
      </x:c>
      <x:c r="AB184" s="8" t="str">
        <x:v>drop:DB2:L6:light:1:L178</x:v>
      </x:c>
      <x:c r="AC184" s="8" t="str">
        <x:v>{"outreach":0.5,"lumens":5000,"dim":1}</x:v>
      </x:c>
    </x:row>
    <x:row r="185" ht="96" customHeight="1">
      <x:c r="A185" s="8" t="str">
        <x:v>L179</x:v>
      </x:c>
      <x:c r="B185" s="8" t="str">
        <x:v>Tower stage 3 side wash · H</x:v>
      </x:c>
      <x:c r="C185" s="8" t="str">
        <x:v>light</x:v>
      </x:c>
      <x:c r="D185" s="8" t="str">
        <x:v>DB2</x:v>
      </x:c>
      <x:c r="E185" s="8" t="str">
        <x:v>L6</x:v>
      </x:c>
      <x:c r="F185" s="11" t="n">
        <x:v>2.45</x:v>
      </x:c>
      <x:c r="G185" s="11" t="n">
        <x:v>15.88</x:v>
      </x:c>
      <x:c r="H185" s="11" t="n">
        <x:v>12.613</x:v>
      </x:c>
      <x:c r="I185" s="8" t="str">
        <x:v>floor</x:v>
      </x:c>
      <x:c r="J185" s="8" t="str">
        <x:v>Shown</x:v>
      </x:c>
      <x:c r="K185" s="8" t="str">
        <x:v>On</x:v>
      </x:c>
      <x:c r="L185" s="8" t="str">
        <x:v>617 × 535 × 340</x:v>
      </x:c>
      <x:c r="M185" s="8" t="str">
        <x:v>4000 lm · 3000 K · 40° beam</x:v>
      </x:c>
      <x:c r="N185" s="11" t="n">
        <x:v>31.11111111111111</x:v>
      </x:c>
      <x:c r="O185" s="11" t="n">
        <x:v>-90</x:v>
      </x:c>
      <x:c r="P185" s="11" t="n">
        <x:v>84.09608025557331</x:v>
      </x:c>
      <x:c r="Q185" s="9"/>
      <x:c r="R185" s="9"/>
      <x:c r="S185" s="9"/>
      <x:c r="T185" s="9"/>
      <x:c r="U185" s="9"/>
      <x:c r="V185" s="9"/>
      <x:c r="W185" s="13"/>
      <x:c r="X185" s="13"/>
      <x:c r="Y185" s="13"/>
      <x:c r="Z185" s="9"/>
      <x:c r="AA185" s="8" t="str">
        <x:v>Current</x:v>
      </x:c>
      <x:c r="AB185" s="8" t="str">
        <x:v>drop:DB2:L6:light:1:L179</x:v>
      </x:c>
      <x:c r="AC185" s="8" t="str">
        <x:v>{"outreach":0.5,"lumens":4000,"dim":1}</x:v>
      </x:c>
    </x:row>
    <x:row r="186" ht="96" customHeight="1">
      <x:c r="A186" s="8" t="str">
        <x:v>L180</x:v>
      </x:c>
      <x:c r="B186" s="8" t="str">
        <x:v>Belfry side wash · H</x:v>
      </x:c>
      <x:c r="C186" s="8" t="str">
        <x:v>light</x:v>
      </x:c>
      <x:c r="D186" s="8" t="str">
        <x:v>DB2</x:v>
      </x:c>
      <x:c r="E186" s="8" t="str">
        <x:v>L6</x:v>
      </x:c>
      <x:c r="F186" s="11" t="n">
        <x:v>2.45</x:v>
      </x:c>
      <x:c r="G186" s="11" t="n">
        <x:v>23.2</x:v>
      </x:c>
      <x:c r="H186" s="11" t="n">
        <x:v>12.513</x:v>
      </x:c>
      <x:c r="I186" s="8" t="str">
        <x:v>floor</x:v>
      </x:c>
      <x:c r="J186" s="8" t="str">
        <x:v>Shown</x:v>
      </x:c>
      <x:c r="K186" s="8" t="str">
        <x:v>On</x:v>
      </x:c>
      <x:c r="L186" s="8" t="str">
        <x:v>617 × 535 × 340</x:v>
      </x:c>
      <x:c r="M186" s="8" t="str">
        <x:v>3000 lm · 3000 K · 40° beam</x:v>
      </x:c>
      <x:c r="N186" s="11" t="n">
        <x:v>23.333333333333332</x:v>
      </x:c>
      <x:c r="O186" s="11" t="n">
        <x:v>-90</x:v>
      </x:c>
      <x:c r="P186" s="11" t="n">
        <x:v>80.5376777919744</x:v>
      </x:c>
      <x:c r="Q186" s="9"/>
      <x:c r="R186" s="9"/>
      <x:c r="S186" s="9"/>
      <x:c r="T186" s="9"/>
      <x:c r="U186" s="9"/>
      <x:c r="V186" s="9"/>
      <x:c r="W186" s="13"/>
      <x:c r="X186" s="13"/>
      <x:c r="Y186" s="13"/>
      <x:c r="Z186" s="9"/>
      <x:c r="AA186" s="8" t="str">
        <x:v>Current</x:v>
      </x:c>
      <x:c r="AB186" s="8" t="str">
        <x:v>drop:DB2:L6:light:1:L180</x:v>
      </x:c>
      <x:c r="AC186" s="8" t="str">
        <x:v>{"outreach":0.5,"lumens":3000,"dim":1}</x:v>
      </x:c>
    </x:row>
    <x:row r="187" ht="96" customHeight="1">
      <x:c r="A187" s="8" t="str">
        <x:v>L181</x:v>
      </x:c>
      <x:c r="B187" s="8" t="str">
        <x:v>Façade wash · H</x:v>
      </x:c>
      <x:c r="C187" s="8" t="str">
        <x:v>light</x:v>
      </x:c>
      <x:c r="D187" s="8" t="str">
        <x:v>DB2</x:v>
      </x:c>
      <x:c r="E187" s="8" t="str">
        <x:v>L6</x:v>
      </x:c>
      <x:c r="F187" s="11" t="n">
        <x:v>-0.0750000000000001</x:v>
      </x:c>
      <x:c r="G187" s="11" t="n">
        <x:v>8.4</x:v>
      </x:c>
      <x:c r="H187" s="11" t="n">
        <x:v>7.9</x:v>
      </x:c>
      <x:c r="I187" s="8" t="str">
        <x:v>floor</x:v>
      </x:c>
      <x:c r="J187" s="8" t="str">
        <x:v>Shown</x:v>
      </x:c>
      <x:c r="K187" s="8" t="str">
        <x:v>On</x:v>
      </x:c>
      <x:c r="L187" s="8" t="str">
        <x:v>215 × 535 × 340</x:v>
      </x:c>
      <x:c r="M187" s="8" t="str">
        <x:v>6000 lm · 3000 K · 50° beam</x:v>
      </x:c>
      <x:c r="N187" s="11" t="n">
        <x:v>46.666666666666664</x:v>
      </x:c>
      <x:c r="O187" s="11" t="n">
        <x:v>-68.85757921565144</x:v>
      </x:c>
      <x:c r="P187" s="11" t="n">
        <x:v>-42.19088950849084</x:v>
      </x:c>
      <x:c r="Q187" s="9"/>
      <x:c r="R187" s="9"/>
      <x:c r="S187" s="9"/>
      <x:c r="T187" s="9"/>
      <x:c r="U187" s="9"/>
      <x:c r="V187" s="9"/>
      <x:c r="W187" s="13"/>
      <x:c r="X187" s="13"/>
      <x:c r="Y187" s="13"/>
      <x:c r="Z187" s="9"/>
      <x:c r="AA187" s="8" t="str">
        <x:v>Current</x:v>
      </x:c>
      <x:c r="AB187" s="8" t="str">
        <x:v>drop:DB2:L6:light:1:L181</x:v>
      </x:c>
      <x:c r="AC187" s="8" t="str">
        <x:v>{"lumens":6000,"dim":1}</x:v>
      </x:c>
    </x:row>
    <x:row r="188" ht="96" customHeight="1">
      <x:c r="A188" s="8" t="str">
        <x:v>L182</x:v>
      </x:c>
      <x:c r="B188" s="8" t="str">
        <x:v>Stage flood · tower B · outer</x:v>
      </x:c>
      <x:c r="C188" s="8" t="str">
        <x:v>light</x:v>
      </x:c>
      <x:c r="D188" s="8" t="str">
        <x:v>DB2</x:v>
      </x:c>
      <x:c r="E188" s="8" t="str">
        <x:v>L9</x:v>
      </x:c>
      <x:c r="F188" s="11" t="n">
        <x:v>-0.0750000000000001</x:v>
      </x:c>
      <x:c r="G188" s="11" t="n">
        <x:v>8.4</x:v>
      </x:c>
      <x:c r="H188" s="11" t="n">
        <x:v>-11.853</x:v>
      </x:c>
      <x:c r="I188" s="8" t="str">
        <x:v>floor</x:v>
      </x:c>
      <x:c r="J188" s="8" t="str">
        <x:v>Shown</x:v>
      </x:c>
      <x:c r="K188" s="8" t="str">
        <x:v>On</x:v>
      </x:c>
      <x:c r="L188" s="8" t="str">
        <x:v>215 × 535 × 340</x:v>
      </x:c>
      <x:c r="M188" s="8" t="str">
        <x:v>9000 lm · 3000 K · 45° beam</x:v>
      </x:c>
      <x:c r="N188" s="11" t="n">
        <x:v>70</x:v>
      </x:c>
      <x:c r="O188" s="11" t="n">
        <x:v>136.10989427491543</x:v>
      </x:c>
      <x:c r="P188" s="11" t="n">
        <x:v>-54.73662627395719</x:v>
      </x:c>
      <x:c r="Q188" s="9"/>
      <x:c r="R188" s="9"/>
      <x:c r="S188" s="9"/>
      <x:c r="T188" s="9"/>
      <x:c r="U188" s="9"/>
      <x:c r="V188" s="9"/>
      <x:c r="W188" s="13"/>
      <x:c r="X188" s="13"/>
      <x:c r="Y188" s="13"/>
      <x:c r="Z188" s="9"/>
      <x:c r="AA188" s="8" t="str">
        <x:v>Current</x:v>
      </x:c>
      <x:c r="AB188" s="8" t="str">
        <x:v>drop:DB2:L9:light:-1:L182</x:v>
      </x:c>
      <x:c r="AC188" s="8" t="str">
        <x:v>{"lumens":9000,"dim":1}</x:v>
      </x:c>
    </x:row>
    <x:row r="189" ht="96" customHeight="1">
      <x:c r="A189" s="8" t="str">
        <x:v>L183</x:v>
      </x:c>
      <x:c r="B189" s="8" t="str">
        <x:v>Stage flood · tower B · inner</x:v>
      </x:c>
      <x:c r="C189" s="8" t="str">
        <x:v>light</x:v>
      </x:c>
      <x:c r="D189" s="8" t="str">
        <x:v>DB2</x:v>
      </x:c>
      <x:c r="E189" s="8" t="str">
        <x:v>L9</x:v>
      </x:c>
      <x:c r="F189" s="11" t="n">
        <x:v>-0.0750000000000001</x:v>
      </x:c>
      <x:c r="G189" s="11" t="n">
        <x:v>8.4</x:v>
      </x:c>
      <x:c r="H189" s="11" t="n">
        <x:v>-8.453000000000001</x:v>
      </x:c>
      <x:c r="I189" s="8" t="str">
        <x:v>floor</x:v>
      </x:c>
      <x:c r="J189" s="8" t="str">
        <x:v>Shown</x:v>
      </x:c>
      <x:c r="K189" s="8" t="str">
        <x:v>On</x:v>
      </x:c>
      <x:c r="L189" s="8" t="str">
        <x:v>215 × 535 × 340</x:v>
      </x:c>
      <x:c r="M189" s="8" t="str">
        <x:v>9000 lm · 3000 K · 45° beam</x:v>
      </x:c>
      <x:c r="N189" s="11" t="n">
        <x:v>70</x:v>
      </x:c>
      <x:c r="O189" s="11" t="n">
        <x:v>125.89147878934496</x:v>
      </x:c>
      <x:c r="P189" s="11" t="n">
        <x:v>-49.0027228283357</x:v>
      </x:c>
      <x:c r="Q189" s="9"/>
      <x:c r="R189" s="9"/>
      <x:c r="S189" s="9"/>
      <x:c r="T189" s="9"/>
      <x:c r="U189" s="9"/>
      <x:c r="V189" s="9"/>
      <x:c r="W189" s="13"/>
      <x:c r="X189" s="13"/>
      <x:c r="Y189" s="13"/>
      <x:c r="Z189" s="9"/>
      <x:c r="AA189" s="8" t="str">
        <x:v>Current</x:v>
      </x:c>
      <x:c r="AB189" s="8" t="str">
        <x:v>drop:DB2:L9:light:-1:L183</x:v>
      </x:c>
      <x:c r="AC189" s="8" t="str">
        <x:v>{"lumens":9000,"dim":1}</x:v>
      </x:c>
    </x:row>
    <x:row r="190" ht="96" customHeight="1">
      <x:c r="A190" s="8" t="str">
        <x:v>L184</x:v>
      </x:c>
      <x:c r="B190" s="8" t="str">
        <x:v>Path light · axis 4 · B</x:v>
      </x:c>
      <x:c r="C190" s="8" t="str">
        <x:v>light</x:v>
      </x:c>
      <x:c r="D190" s="8" t="str">
        <x:v>DB1</x:v>
      </x:c>
      <x:c r="E190" s="8" t="str">
        <x:v>L5</x:v>
      </x:c>
      <x:c r="F190" s="11" t="n">
        <x:v>14.475</x:v>
      </x:c>
      <x:c r="G190" s="11" t="n">
        <x:v>5.9</x:v>
      </x:c>
      <x:c r="H190" s="11" t="n">
        <x:v>-10.75</x:v>
      </x:c>
      <x:c r="I190" s="8" t="str">
        <x:v>wall</x:v>
      </x:c>
      <x:c r="J190" s="8" t="str">
        <x:v>Shown</x:v>
      </x:c>
      <x:c r="K190" s="8" t="str">
        <x:v>On</x:v>
      </x:c>
      <x:c r="L190" s="8" t="str">
        <x:v>330 × 222 × 240</x:v>
      </x:c>
      <x:c r="M190" s="8" t="str">
        <x:v>2500 lm · 3000 K · 50° beam</x:v>
      </x:c>
      <x:c r="N190" s="11" t="n">
        <x:v>20.833333333333332</x:v>
      </x:c>
      <x:c r="O190" s="11" t="n">
        <x:v>-90</x:v>
      </x:c>
      <x:c r="P190" s="11" t="n">
        <x:v>-64.83000408390343</x:v>
      </x:c>
      <x:c r="Q190" s="9"/>
      <x:c r="R190" s="9"/>
      <x:c r="S190" s="9"/>
      <x:c r="T190" s="9"/>
      <x:c r="U190" s="9"/>
      <x:c r="V190" s="9"/>
      <x:c r="W190" s="13"/>
      <x:c r="X190" s="13"/>
      <x:c r="Y190" s="13"/>
      <x:c r="Z190" s="9"/>
      <x:c r="AA190" s="8" t="str">
        <x:v>Current</x:v>
      </x:c>
      <x:c r="AB190" s="8" t="str">
        <x:v>drop:LC1:L5:light:-1:L184</x:v>
      </x:c>
      <x:c r="AC190" s="8" t="str">
        <x:v>{"lumens":2500,"dim":1}</x:v>
      </x:c>
    </x:row>
    <x:row r="191" ht="96" customHeight="1">
      <x:c r="A191" s="8" t="str">
        <x:v>L185</x:v>
      </x:c>
      <x:c r="B191" s="8" t="str">
        <x:v>Path light · axis 6 · B</x:v>
      </x:c>
      <x:c r="C191" s="8" t="str">
        <x:v>light</x:v>
      </x:c>
      <x:c r="D191" s="8" t="str">
        <x:v>DB1</x:v>
      </x:c>
      <x:c r="E191" s="8" t="str">
        <x:v>L5</x:v>
      </x:c>
      <x:c r="F191" s="11" t="n">
        <x:v>23.475</x:v>
      </x:c>
      <x:c r="G191" s="11" t="n">
        <x:v>5.9</x:v>
      </x:c>
      <x:c r="H191" s="11" t="n">
        <x:v>-10.75</x:v>
      </x:c>
      <x:c r="I191" s="8" t="str">
        <x:v>wall</x:v>
      </x:c>
      <x:c r="J191" s="8" t="str">
        <x:v>Shown</x:v>
      </x:c>
      <x:c r="K191" s="8" t="str">
        <x:v>On</x:v>
      </x:c>
      <x:c r="L191" s="8" t="str">
        <x:v>330 × 222 × 240</x:v>
      </x:c>
      <x:c r="M191" s="8" t="str">
        <x:v>2500 lm · 3000 K · 50° beam</x:v>
      </x:c>
      <x:c r="N191" s="11" t="n">
        <x:v>20.833333333333332</x:v>
      </x:c>
      <x:c r="O191" s="11" t="n">
        <x:v>-90</x:v>
      </x:c>
      <x:c r="P191" s="11" t="n">
        <x:v>-64.83000408390343</x:v>
      </x:c>
      <x:c r="Q191" s="9"/>
      <x:c r="R191" s="9"/>
      <x:c r="S191" s="9"/>
      <x:c r="T191" s="9"/>
      <x:c r="U191" s="9"/>
      <x:c r="V191" s="9"/>
      <x:c r="W191" s="13"/>
      <x:c r="X191" s="13"/>
      <x:c r="Y191" s="13"/>
      <x:c r="Z191" s="9"/>
      <x:c r="AA191" s="8" t="str">
        <x:v>Current</x:v>
      </x:c>
      <x:c r="AB191" s="8" t="str">
        <x:v>drop:LC1:L5:light:-1:L185</x:v>
      </x:c>
      <x:c r="AC191" s="8" t="str">
        <x:v>{"lumens":2500,"dim":1}</x:v>
      </x:c>
    </x:row>
    <x:row r="192" ht="96" customHeight="1">
      <x:c r="A192" s="8" t="str">
        <x:v>L186</x:v>
      </x:c>
      <x:c r="B192" s="8" t="str">
        <x:v>Path light · axis 11 · B</x:v>
      </x:c>
      <x:c r="C192" s="8" t="str">
        <x:v>light</x:v>
      </x:c>
      <x:c r="D192" s="8" t="str">
        <x:v>DB1</x:v>
      </x:c>
      <x:c r="E192" s="8" t="str">
        <x:v>L5</x:v>
      </x:c>
      <x:c r="F192" s="11" t="n">
        <x:v>48.675</x:v>
      </x:c>
      <x:c r="G192" s="11" t="n">
        <x:v>5.9</x:v>
      </x:c>
      <x:c r="H192" s="11" t="n">
        <x:v>-10.75</x:v>
      </x:c>
      <x:c r="I192" s="8" t="str">
        <x:v>wall</x:v>
      </x:c>
      <x:c r="J192" s="8" t="str">
        <x:v>Shown</x:v>
      </x:c>
      <x:c r="K192" s="8" t="str">
        <x:v>On</x:v>
      </x:c>
      <x:c r="L192" s="8" t="str">
        <x:v>330 × 222 × 240</x:v>
      </x:c>
      <x:c r="M192" s="8" t="str">
        <x:v>2500 lm · 3000 K · 50° beam</x:v>
      </x:c>
      <x:c r="N192" s="11" t="n">
        <x:v>20.833333333333332</x:v>
      </x:c>
      <x:c r="O192" s="11" t="n">
        <x:v>-90</x:v>
      </x:c>
      <x:c r="P192" s="11" t="n">
        <x:v>-64.83000408390343</x:v>
      </x:c>
      <x:c r="Q192" s="9"/>
      <x:c r="R192" s="9"/>
      <x:c r="S192" s="9"/>
      <x:c r="T192" s="9"/>
      <x:c r="U192" s="9"/>
      <x:c r="V192" s="9"/>
      <x:c r="W192" s="13"/>
      <x:c r="X192" s="13"/>
      <x:c r="Y192" s="13"/>
      <x:c r="Z192" s="9"/>
      <x:c r="AA192" s="8" t="str">
        <x:v>Current</x:v>
      </x:c>
      <x:c r="AB192" s="8" t="str">
        <x:v>drop:LC1:L5:light:-1:L186</x:v>
      </x:c>
      <x:c r="AC192" s="8" t="str">
        <x:v>{"lumens":2500,"dim":1}</x:v>
      </x:c>
    </x:row>
    <x:row r="193" ht="96" customHeight="1">
      <x:c r="A193" s="8" t="str">
        <x:v>L187</x:v>
      </x:c>
      <x:c r="B193" s="8" t="str">
        <x:v>Path light · wing gable B</x:v>
      </x:c>
      <x:c r="C193" s="8" t="str">
        <x:v>light</x:v>
      </x:c>
      <x:c r="D193" s="8" t="str">
        <x:v>DB1</x:v>
      </x:c>
      <x:c r="E193" s="8" t="str">
        <x:v>L5</x:v>
      </x:c>
      <x:c r="F193" s="11" t="n">
        <x:v>40.575</x:v>
      </x:c>
      <x:c r="G193" s="11" t="n">
        <x:v>6.2</x:v>
      </x:c>
      <x:c r="H193" s="11" t="n">
        <x:v>-13.13</x:v>
      </x:c>
      <x:c r="I193" s="8" t="str">
        <x:v>wall</x:v>
      </x:c>
      <x:c r="J193" s="8" t="str">
        <x:v>Shown</x:v>
      </x:c>
      <x:c r="K193" s="8" t="str">
        <x:v>On</x:v>
      </x:c>
      <x:c r="L193" s="8" t="str">
        <x:v>330 × 222 × 240</x:v>
      </x:c>
      <x:c r="M193" s="8" t="str">
        <x:v>3000 lm · 3000 K · 55° beam</x:v>
      </x:c>
      <x:c r="N193" s="11" t="n">
        <x:v>25</x:v>
      </x:c>
      <x:c r="O193" s="11" t="n">
        <x:v>-90</x:v>
      </x:c>
      <x:c r="P193" s="11" t="n">
        <x:v>-64.94902218355713</x:v>
      </x:c>
      <x:c r="Q193" s="9"/>
      <x:c r="R193" s="9"/>
      <x:c r="S193" s="9"/>
      <x:c r="T193" s="9"/>
      <x:c r="U193" s="9"/>
      <x:c r="V193" s="9"/>
      <x:c r="W193" s="13"/>
      <x:c r="X193" s="13"/>
      <x:c r="Y193" s="13"/>
      <x:c r="Z193" s="9"/>
      <x:c r="AA193" s="8" t="str">
        <x:v>Current</x:v>
      </x:c>
      <x:c r="AB193" s="8" t="str">
        <x:v>drop:LC1:L5:light:-1:L187</x:v>
      </x:c>
      <x:c r="AC193" s="8" t="str">
        <x:v>{"lumens":3000,"dim":1}</x:v>
      </x:c>
    </x:row>
    <x:row r="194" ht="96" customHeight="1">
      <x:c r="A194" s="8" t="str">
        <x:v>L188</x:v>
      </x:c>
      <x:c r="B194" s="8" t="str">
        <x:v>Path light · rear · B</x:v>
      </x:c>
      <x:c r="C194" s="8" t="str">
        <x:v>light</x:v>
      </x:c>
      <x:c r="D194" s="8" t="str">
        <x:v>DB1</x:v>
      </x:c>
      <x:c r="E194" s="8" t="str">
        <x:v>L5</x:v>
      </x:c>
      <x:c r="F194" s="11" t="n">
        <x:v>53.2</x:v>
      </x:c>
      <x:c r="G194" s="11" t="n">
        <x:v>5.2</x:v>
      </x:c>
      <x:c r="H194" s="11" t="n">
        <x:v>-4.5</x:v>
      </x:c>
      <x:c r="I194" s="8" t="str">
        <x:v>wall</x:v>
      </x:c>
      <x:c r="J194" s="8" t="str">
        <x:v>Shown</x:v>
      </x:c>
      <x:c r="K194" s="8" t="str">
        <x:v>On</x:v>
      </x:c>
      <x:c r="L194" s="8" t="str">
        <x:v>330 × 222 × 240</x:v>
      </x:c>
      <x:c r="M194" s="8" t="str">
        <x:v>3000 lm · 3000 K · 55° beam</x:v>
      </x:c>
      <x:c r="N194" s="11" t="n">
        <x:v>25</x:v>
      </x:c>
      <x:c r="O194" s="11" t="n">
        <x:v>-6.632514615138468</x:v>
      </x:c>
      <x:c r="P194" s="11" t="n">
        <x:v>-59.26263122264938</x:v>
      </x:c>
      <x:c r="Q194" s="9"/>
      <x:c r="R194" s="9"/>
      <x:c r="S194" s="9"/>
      <x:c r="T194" s="9"/>
      <x:c r="U194" s="9"/>
      <x:c r="V194" s="9"/>
      <x:c r="W194" s="13"/>
      <x:c r="X194" s="13"/>
      <x:c r="Y194" s="13"/>
      <x:c r="Z194" s="9"/>
      <x:c r="AA194" s="8" t="str">
        <x:v>Current</x:v>
      </x:c>
      <x:c r="AB194" s="8" t="str">
        <x:v>drop:LC1:L5:light:-1:L188</x:v>
      </x:c>
      <x:c r="AC194" s="8" t="str">
        <x:v>{"lumens":3000,"dim":1}</x:v>
      </x:c>
    </x:row>
    <x:row r="195" ht="96" customHeight="1">
      <x:c r="A195" s="8" t="str">
        <x:v>L189</x:v>
      </x:c>
      <x:c r="B195" s="8" t="str">
        <x:v>Stage flood · tower H · inner</x:v>
      </x:c>
      <x:c r="C195" s="8" t="str">
        <x:v>light</x:v>
      </x:c>
      <x:c r="D195" s="8" t="str">
        <x:v>DB2</x:v>
      </x:c>
      <x:c r="E195" s="8" t="str">
        <x:v>L9</x:v>
      </x:c>
      <x:c r="F195" s="11" t="n">
        <x:v>-0.0750000000000001</x:v>
      </x:c>
      <x:c r="G195" s="11" t="n">
        <x:v>8.4</x:v>
      </x:c>
      <x:c r="H195" s="11" t="n">
        <x:v>8.453000000000001</x:v>
      </x:c>
      <x:c r="I195" s="8" t="str">
        <x:v>floor</x:v>
      </x:c>
      <x:c r="J195" s="8" t="str">
        <x:v>Shown</x:v>
      </x:c>
      <x:c r="K195" s="8" t="str">
        <x:v>On</x:v>
      </x:c>
      <x:c r="L195" s="8" t="str">
        <x:v>215 × 535 × 340</x:v>
      </x:c>
      <x:c r="M195" s="8" t="str">
        <x:v>9000 lm · 3000 K · 45° beam</x:v>
      </x:c>
      <x:c r="N195" s="11" t="n">
        <x:v>70</x:v>
      </x:c>
      <x:c r="O195" s="11" t="n">
        <x:v>-125.89147878934496</x:v>
      </x:c>
      <x:c r="P195" s="11" t="n">
        <x:v>-49.0027228283357</x:v>
      </x:c>
      <x:c r="Q195" s="9"/>
      <x:c r="R195" s="9"/>
      <x:c r="S195" s="9"/>
      <x:c r="T195" s="9"/>
      <x:c r="U195" s="9"/>
      <x:c r="V195" s="9"/>
      <x:c r="W195" s="13"/>
      <x:c r="X195" s="13"/>
      <x:c r="Y195" s="13"/>
      <x:c r="Z195" s="9"/>
      <x:c r="AA195" s="8" t="str">
        <x:v>Current</x:v>
      </x:c>
      <x:c r="AB195" s="8" t="str">
        <x:v>drop:DB2:L9:light:1:L189</x:v>
      </x:c>
      <x:c r="AC195" s="8" t="str">
        <x:v>{"lumens":9000,"dim":1}</x:v>
      </x:c>
    </x:row>
    <x:row r="196" ht="96" customHeight="1">
      <x:c r="A196" s="8" t="str">
        <x:v>L190</x:v>
      </x:c>
      <x:c r="B196" s="8" t="str">
        <x:v>Stage flood · tower H · outer</x:v>
      </x:c>
      <x:c r="C196" s="8" t="str">
        <x:v>light</x:v>
      </x:c>
      <x:c r="D196" s="8" t="str">
        <x:v>DB2</x:v>
      </x:c>
      <x:c r="E196" s="8" t="str">
        <x:v>L9</x:v>
      </x:c>
      <x:c r="F196" s="11" t="n">
        <x:v>-0.0750000000000001</x:v>
      </x:c>
      <x:c r="G196" s="11" t="n">
        <x:v>8.4</x:v>
      </x:c>
      <x:c r="H196" s="11" t="n">
        <x:v>11.853</x:v>
      </x:c>
      <x:c r="I196" s="8" t="str">
        <x:v>floor</x:v>
      </x:c>
      <x:c r="J196" s="8" t="str">
        <x:v>Shown</x:v>
      </x:c>
      <x:c r="K196" s="8" t="str">
        <x:v>On</x:v>
      </x:c>
      <x:c r="L196" s="8" t="str">
        <x:v>215 × 535 × 340</x:v>
      </x:c>
      <x:c r="M196" s="8" t="str">
        <x:v>9000 lm · 3000 K · 45° beam</x:v>
      </x:c>
      <x:c r="N196" s="11" t="n">
        <x:v>70</x:v>
      </x:c>
      <x:c r="O196" s="11" t="n">
        <x:v>-136.10989427491543</x:v>
      </x:c>
      <x:c r="P196" s="11" t="n">
        <x:v>-54.73662627395719</x:v>
      </x:c>
      <x:c r="Q196" s="9"/>
      <x:c r="R196" s="9"/>
      <x:c r="S196" s="9"/>
      <x:c r="T196" s="9"/>
      <x:c r="U196" s="9"/>
      <x:c r="V196" s="9"/>
      <x:c r="W196" s="13"/>
      <x:c r="X196" s="13"/>
      <x:c r="Y196" s="13"/>
      <x:c r="Z196" s="9"/>
      <x:c r="AA196" s="8" t="str">
        <x:v>Current</x:v>
      </x:c>
      <x:c r="AB196" s="8" t="str">
        <x:v>drop:DB2:L9:light:1:L190</x:v>
      </x:c>
      <x:c r="AC196" s="8" t="str">
        <x:v>{"lumens":9000,"dim":1}</x:v>
      </x:c>
    </x:row>
    <x:row r="197" ht="96" customHeight="1">
      <x:c r="A197" s="8" t="str">
        <x:v>L191</x:v>
      </x:c>
      <x:c r="B197" s="8" t="str">
        <x:v>Path light · axis 4 · H</x:v>
      </x:c>
      <x:c r="C197" s="8" t="str">
        <x:v>light</x:v>
      </x:c>
      <x:c r="D197" s="8" t="str">
        <x:v>DB1</x:v>
      </x:c>
      <x:c r="E197" s="8" t="str">
        <x:v>L5</x:v>
      </x:c>
      <x:c r="F197" s="11" t="n">
        <x:v>14.475</x:v>
      </x:c>
      <x:c r="G197" s="11" t="n">
        <x:v>5.9</x:v>
      </x:c>
      <x:c r="H197" s="11" t="n">
        <x:v>10.75</x:v>
      </x:c>
      <x:c r="I197" s="8" t="str">
        <x:v>wall</x:v>
      </x:c>
      <x:c r="J197" s="8" t="str">
        <x:v>Shown</x:v>
      </x:c>
      <x:c r="K197" s="8" t="str">
        <x:v>On</x:v>
      </x:c>
      <x:c r="L197" s="8" t="str">
        <x:v>330 × 222 × 240</x:v>
      </x:c>
      <x:c r="M197" s="8" t="str">
        <x:v>2500 lm · 3000 K · 50° beam</x:v>
      </x:c>
      <x:c r="N197" s="11" t="n">
        <x:v>20.833333333333332</x:v>
      </x:c>
      <x:c r="O197" s="11" t="n">
        <x:v>90</x:v>
      </x:c>
      <x:c r="P197" s="11" t="n">
        <x:v>-64.83000408390343</x:v>
      </x:c>
      <x:c r="Q197" s="9"/>
      <x:c r="R197" s="9"/>
      <x:c r="S197" s="9"/>
      <x:c r="T197" s="9"/>
      <x:c r="U197" s="9"/>
      <x:c r="V197" s="9"/>
      <x:c r="W197" s="13"/>
      <x:c r="X197" s="13"/>
      <x:c r="Y197" s="13"/>
      <x:c r="Z197" s="9"/>
      <x:c r="AA197" s="8" t="str">
        <x:v>Current</x:v>
      </x:c>
      <x:c r="AB197" s="8" t="str">
        <x:v>drop:LC1:L5:light:1:L191</x:v>
      </x:c>
      <x:c r="AC197" s="8" t="str">
        <x:v>{"lumens":2500,"dim":1}</x:v>
      </x:c>
    </x:row>
    <x:row r="198" ht="96" customHeight="1">
      <x:c r="A198" s="8" t="str">
        <x:v>L192</x:v>
      </x:c>
      <x:c r="B198" s="8" t="str">
        <x:v>Path light · axis 6 · H</x:v>
      </x:c>
      <x:c r="C198" s="8" t="str">
        <x:v>light</x:v>
      </x:c>
      <x:c r="D198" s="8" t="str">
        <x:v>DB1</x:v>
      </x:c>
      <x:c r="E198" s="8" t="str">
        <x:v>L5</x:v>
      </x:c>
      <x:c r="F198" s="11" t="n">
        <x:v>23.475</x:v>
      </x:c>
      <x:c r="G198" s="11" t="n">
        <x:v>5.9</x:v>
      </x:c>
      <x:c r="H198" s="11" t="n">
        <x:v>10.75</x:v>
      </x:c>
      <x:c r="I198" s="8" t="str">
        <x:v>wall</x:v>
      </x:c>
      <x:c r="J198" s="8" t="str">
        <x:v>Shown</x:v>
      </x:c>
      <x:c r="K198" s="8" t="str">
        <x:v>On</x:v>
      </x:c>
      <x:c r="L198" s="8" t="str">
        <x:v>330 × 222 × 240</x:v>
      </x:c>
      <x:c r="M198" s="8" t="str">
        <x:v>2500 lm · 3000 K · 50° beam</x:v>
      </x:c>
      <x:c r="N198" s="11" t="n">
        <x:v>20.833333333333332</x:v>
      </x:c>
      <x:c r="O198" s="11" t="n">
        <x:v>90</x:v>
      </x:c>
      <x:c r="P198" s="11" t="n">
        <x:v>-64.83000408390343</x:v>
      </x:c>
      <x:c r="Q198" s="9"/>
      <x:c r="R198" s="9"/>
      <x:c r="S198" s="9"/>
      <x:c r="T198" s="9"/>
      <x:c r="U198" s="9"/>
      <x:c r="V198" s="9"/>
      <x:c r="W198" s="13"/>
      <x:c r="X198" s="13"/>
      <x:c r="Y198" s="13"/>
      <x:c r="Z198" s="9"/>
      <x:c r="AA198" s="8" t="str">
        <x:v>Current</x:v>
      </x:c>
      <x:c r="AB198" s="8" t="str">
        <x:v>drop:LC1:L5:light:1:L192</x:v>
      </x:c>
      <x:c r="AC198" s="8" t="str">
        <x:v>{"lumens":2500,"dim":1}</x:v>
      </x:c>
    </x:row>
    <x:row r="199" ht="96" customHeight="1">
      <x:c r="A199" s="8" t="str">
        <x:v>L193</x:v>
      </x:c>
      <x:c r="B199" s="8" t="str">
        <x:v>Path light · axis 11 · H</x:v>
      </x:c>
      <x:c r="C199" s="8" t="str">
        <x:v>light</x:v>
      </x:c>
      <x:c r="D199" s="8" t="str">
        <x:v>DB1</x:v>
      </x:c>
      <x:c r="E199" s="8" t="str">
        <x:v>L5</x:v>
      </x:c>
      <x:c r="F199" s="11" t="n">
        <x:v>48.675</x:v>
      </x:c>
      <x:c r="G199" s="11" t="n">
        <x:v>5.9</x:v>
      </x:c>
      <x:c r="H199" s="11" t="n">
        <x:v>10.75</x:v>
      </x:c>
      <x:c r="I199" s="8" t="str">
        <x:v>wall</x:v>
      </x:c>
      <x:c r="J199" s="8" t="str">
        <x:v>Shown</x:v>
      </x:c>
      <x:c r="K199" s="8" t="str">
        <x:v>On</x:v>
      </x:c>
      <x:c r="L199" s="8" t="str">
        <x:v>330 × 222 × 240</x:v>
      </x:c>
      <x:c r="M199" s="8" t="str">
        <x:v>2500 lm · 3000 K · 50° beam</x:v>
      </x:c>
      <x:c r="N199" s="11" t="n">
        <x:v>20.833333333333332</x:v>
      </x:c>
      <x:c r="O199" s="11" t="n">
        <x:v>90</x:v>
      </x:c>
      <x:c r="P199" s="11" t="n">
        <x:v>-64.83000408390343</x:v>
      </x:c>
      <x:c r="Q199" s="9"/>
      <x:c r="R199" s="9"/>
      <x:c r="S199" s="9"/>
      <x:c r="T199" s="9"/>
      <x:c r="U199" s="9"/>
      <x:c r="V199" s="9"/>
      <x:c r="W199" s="13"/>
      <x:c r="X199" s="13"/>
      <x:c r="Y199" s="13"/>
      <x:c r="Z199" s="9"/>
      <x:c r="AA199" s="8" t="str">
        <x:v>Current</x:v>
      </x:c>
      <x:c r="AB199" s="8" t="str">
        <x:v>drop:LC1:L5:light:1:L193</x:v>
      </x:c>
      <x:c r="AC199" s="8" t="str">
        <x:v>{"lumens":2500,"dim":1}</x:v>
      </x:c>
    </x:row>
    <x:row r="200" ht="96" customHeight="1">
      <x:c r="A200" s="8" t="str">
        <x:v>L194</x:v>
      </x:c>
      <x:c r="B200" s="8" t="str">
        <x:v>Path light · wing gable H</x:v>
      </x:c>
      <x:c r="C200" s="8" t="str">
        <x:v>light</x:v>
      </x:c>
      <x:c r="D200" s="8" t="str">
        <x:v>DB1</x:v>
      </x:c>
      <x:c r="E200" s="8" t="str">
        <x:v>L5</x:v>
      </x:c>
      <x:c r="F200" s="11" t="n">
        <x:v>40.575</x:v>
      </x:c>
      <x:c r="G200" s="11" t="n">
        <x:v>6.2</x:v>
      </x:c>
      <x:c r="H200" s="11" t="n">
        <x:v>13.13</x:v>
      </x:c>
      <x:c r="I200" s="8" t="str">
        <x:v>wall</x:v>
      </x:c>
      <x:c r="J200" s="8" t="str">
        <x:v>Shown</x:v>
      </x:c>
      <x:c r="K200" s="8" t="str">
        <x:v>On</x:v>
      </x:c>
      <x:c r="L200" s="8" t="str">
        <x:v>330 × 222 × 240</x:v>
      </x:c>
      <x:c r="M200" s="8" t="str">
        <x:v>3000 lm · 3000 K · 55° beam</x:v>
      </x:c>
      <x:c r="N200" s="11" t="n">
        <x:v>25</x:v>
      </x:c>
      <x:c r="O200" s="11" t="n">
        <x:v>90</x:v>
      </x:c>
      <x:c r="P200" s="11" t="n">
        <x:v>-64.94902218355713</x:v>
      </x:c>
      <x:c r="Q200" s="9"/>
      <x:c r="R200" s="9"/>
      <x:c r="S200" s="9"/>
      <x:c r="T200" s="9"/>
      <x:c r="U200" s="9"/>
      <x:c r="V200" s="9"/>
      <x:c r="W200" s="13"/>
      <x:c r="X200" s="13"/>
      <x:c r="Y200" s="13"/>
      <x:c r="Z200" s="9"/>
      <x:c r="AA200" s="8" t="str">
        <x:v>Current</x:v>
      </x:c>
      <x:c r="AB200" s="8" t="str">
        <x:v>drop:LC1:L5:light:1:L194</x:v>
      </x:c>
      <x:c r="AC200" s="8" t="str">
        <x:v>{"lumens":3000,"dim":1}</x:v>
      </x:c>
    </x:row>
    <x:row r="201" ht="96" customHeight="1">
      <x:c r="A201" s="8" t="str">
        <x:v>L195</x:v>
      </x:c>
      <x:c r="B201" s="8" t="str">
        <x:v>Path light · rear · H</x:v>
      </x:c>
      <x:c r="C201" s="8" t="str">
        <x:v>light</x:v>
      </x:c>
      <x:c r="D201" s="8" t="str">
        <x:v>DB1</x:v>
      </x:c>
      <x:c r="E201" s="8" t="str">
        <x:v>L5</x:v>
      </x:c>
      <x:c r="F201" s="11" t="n">
        <x:v>53.2</x:v>
      </x:c>
      <x:c r="G201" s="11" t="n">
        <x:v>5.2</x:v>
      </x:c>
      <x:c r="H201" s="11" t="n">
        <x:v>4.5</x:v>
      </x:c>
      <x:c r="I201" s="8" t="str">
        <x:v>wall</x:v>
      </x:c>
      <x:c r="J201" s="8" t="str">
        <x:v>Shown</x:v>
      </x:c>
      <x:c r="K201" s="8" t="str">
        <x:v>On</x:v>
      </x:c>
      <x:c r="L201" s="8" t="str">
        <x:v>330 × 222 × 240</x:v>
      </x:c>
      <x:c r="M201" s="8" t="str">
        <x:v>3000 lm · 3000 K · 55° beam</x:v>
      </x:c>
      <x:c r="N201" s="11" t="n">
        <x:v>25</x:v>
      </x:c>
      <x:c r="O201" s="11" t="n">
        <x:v>6.632514615138468</x:v>
      </x:c>
      <x:c r="P201" s="11" t="n">
        <x:v>-59.26263122264938</x:v>
      </x:c>
      <x:c r="Q201" s="9"/>
      <x:c r="R201" s="9"/>
      <x:c r="S201" s="9"/>
      <x:c r="T201" s="9"/>
      <x:c r="U201" s="9"/>
      <x:c r="V201" s="9"/>
      <x:c r="W201" s="13"/>
      <x:c r="X201" s="13"/>
      <x:c r="Y201" s="13"/>
      <x:c r="Z201" s="9"/>
      <x:c r="AA201" s="8" t="str">
        <x:v>Current</x:v>
      </x:c>
      <x:c r="AB201" s="8" t="str">
        <x:v>drop:LC1:L5:light:1:L195</x:v>
      </x:c>
      <x:c r="AC201" s="8" t="str">
        <x:v>{"lumens":3000,"dim":1}</x:v>
      </x:c>
    </x:row>
    <x:row r="202" ht="96" customHeight="1">
      <x:c r="A202" s="8" t="str">
        <x:v>L196</x:v>
      </x:c>
      <x:c r="B202" s="8" t="str">
        <x:v>Festival lights · roof ridge</x:v>
      </x:c>
      <x:c r="C202" s="8" t="str">
        <x:v>light</x:v>
      </x:c>
      <x:c r="D202" s="8" t="str">
        <x:v>DB2</x:v>
      </x:c>
      <x:c r="E202" s="8" t="str">
        <x:v>L7</x:v>
      </x:c>
      <x:c r="F202" s="11" t="n">
        <x:v>29.16</x:v>
      </x:c>
      <x:c r="G202" s="11" t="n">
        <x:v>12.69</x:v>
      </x:c>
      <x:c r="H202" s="11" t="n">
        <x:v>0</x:v>
      </x:c>
      <x:c r="I202" s="8" t="str">
        <x:v>floor</x:v>
      </x:c>
      <x:c r="J202" s="8" t="str">
        <x:v>Shown</x:v>
      </x:c>
      <x:c r="K202" s="8" t="str">
        <x:v>Off</x:v>
      </x:c>
      <x:c r="L202" s="8" t="str">
        <x:v>100 × 100 × 47387</x:v>
      </x:c>
      <x:c r="M202" s="8" t="str">
        <x:v>80 bulbs · 1 W/bulb assumed · lumen data needed · 2200 K · 47.3 m strand</x:v>
      </x:c>
      <x:c r="N202" s="11" t="n">
        <x:v>80</x:v>
      </x:c>
      <x:c r="O202" s="11" t="n">
        <x:v>90</x:v>
      </x:c>
      <x:c r="P202" s="11" t="n">
        <x:v>0</x:v>
      </x:c>
      <x:c r="Q202" s="9"/>
      <x:c r="R202" s="9"/>
      <x:c r="S202" s="9"/>
      <x:c r="T202" s="9"/>
      <x:c r="U202" s="9"/>
      <x:c r="V202" s="9"/>
      <x:c r="W202" s="13"/>
      <x:c r="X202" s="13"/>
      <x:c r="Y202" s="13"/>
      <x:c r="Z202" s="9"/>
      <x:c r="AA202" s="8" t="str">
        <x:v>Current</x:v>
      </x:c>
      <x:c r="AB202" s="8" t="str">
        <x:v>drop:DB2:L7:light:-1:L196</x:v>
      </x:c>
      <x:c r="AC202" s="8" t="str">
        <x:v>{"length":47.3,"slope":0,"spacing":0.6,"dim":1}</x:v>
      </x:c>
    </x:row>
    <x:row r="203" ht="96" customHeight="1">
      <x:c r="A203" s="8" t="str">
        <x:v>L197</x:v>
      </x:c>
      <x:c r="B203" s="8" t="str">
        <x:v>Festival lights · main eave B · nave</x:v>
      </x:c>
      <x:c r="C203" s="8" t="str">
        <x:v>light</x:v>
      </x:c>
      <x:c r="D203" s="8" t="str">
        <x:v>DB2</x:v>
      </x:c>
      <x:c r="E203" s="8" t="str">
        <x:v>L7</x:v>
      </x:c>
      <x:c r="F203" s="11" t="n">
        <x:v>21.35</x:v>
      </x:c>
      <x:c r="G203" s="11" t="n">
        <x:v>7.32</x:v>
      </x:c>
      <x:c r="H203" s="11" t="n">
        <x:v>-7.3</x:v>
      </x:c>
      <x:c r="I203" s="8" t="str">
        <x:v>floor</x:v>
      </x:c>
      <x:c r="J203" s="8" t="str">
        <x:v>Shown</x:v>
      </x:c>
      <x:c r="K203" s="8" t="str">
        <x:v>Off</x:v>
      </x:c>
      <x:c r="L203" s="8" t="str">
        <x:v>100 × 100 × 31787</x:v>
      </x:c>
      <x:c r="M203" s="8" t="str">
        <x:v>54 bulbs · 1 W/bulb assumed · lumen data needed · 2200 K · 31.7 m strand</x:v>
      </x:c>
      <x:c r="N203" s="11" t="n">
        <x:v>54</x:v>
      </x:c>
      <x:c r="O203" s="11" t="n">
        <x:v>90</x:v>
      </x:c>
      <x:c r="P203" s="11" t="n">
        <x:v>0</x:v>
      </x:c>
      <x:c r="Q203" s="9"/>
      <x:c r="R203" s="9"/>
      <x:c r="S203" s="9"/>
      <x:c r="T203" s="9"/>
      <x:c r="U203" s="9"/>
      <x:c r="V203" s="9"/>
      <x:c r="W203" s="13"/>
      <x:c r="X203" s="13"/>
      <x:c r="Y203" s="13"/>
      <x:c r="Z203" s="9"/>
      <x:c r="AA203" s="8" t="str">
        <x:v>Current</x:v>
      </x:c>
      <x:c r="AB203" s="8" t="str">
        <x:v>drop:DB2:L7:light:-1:L197</x:v>
      </x:c>
      <x:c r="AC203" s="8" t="str">
        <x:v>{"length":31.7,"slope":0,"spacing":0.6,"dim":1}</x:v>
      </x:c>
    </x:row>
    <x:row r="204" ht="96" customHeight="1">
      <x:c r="A204" s="8" t="str">
        <x:v>L198</x:v>
      </x:c>
      <x:c r="B204" s="8" t="str">
        <x:v>Festival lights · main eave B · sanctuary</x:v>
      </x:c>
      <x:c r="C204" s="8" t="str">
        <x:v>light</x:v>
      </x:c>
      <x:c r="D204" s="8" t="str">
        <x:v>DB2</x:v>
      </x:c>
      <x:c r="E204" s="8" t="str">
        <x:v>L7</x:v>
      </x:c>
      <x:c r="F204" s="11" t="n">
        <x:v>48.4</x:v>
      </x:c>
      <x:c r="G204" s="11" t="n">
        <x:v>7.32</x:v>
      </x:c>
      <x:c r="H204" s="11" t="n">
        <x:v>-7.3</x:v>
      </x:c>
      <x:c r="I204" s="8" t="str">
        <x:v>floor</x:v>
      </x:c>
      <x:c r="J204" s="8" t="str">
        <x:v>Shown</x:v>
      </x:c>
      <x:c r="K204" s="8" t="str">
        <x:v>Off</x:v>
      </x:c>
      <x:c r="L204" s="8" t="str">
        <x:v>100 × 100 × 8987</x:v>
      </x:c>
      <x:c r="M204" s="8" t="str">
        <x:v>16 bulbs · 1 W/bulb assumed · lumen data needed · 2200 K · 8.9 m strand</x:v>
      </x:c>
      <x:c r="N204" s="11" t="n">
        <x:v>16</x:v>
      </x:c>
      <x:c r="O204" s="11" t="n">
        <x:v>90</x:v>
      </x:c>
      <x:c r="P204" s="11" t="n">
        <x:v>0</x:v>
      </x:c>
      <x:c r="Q204" s="9"/>
      <x:c r="R204" s="9"/>
      <x:c r="S204" s="9"/>
      <x:c r="T204" s="9"/>
      <x:c r="U204" s="9"/>
      <x:c r="V204" s="9"/>
      <x:c r="W204" s="13"/>
      <x:c r="X204" s="13"/>
      <x:c r="Y204" s="13"/>
      <x:c r="Z204" s="9"/>
      <x:c r="AA204" s="8" t="str">
        <x:v>Current</x:v>
      </x:c>
      <x:c r="AB204" s="8" t="str">
        <x:v>drop:DB2:L7:light:-1:L198</x:v>
      </x:c>
      <x:c r="AC204" s="8" t="str">
        <x:v>{"length":8.9,"slope":0,"spacing":0.6,"dim":1}</x:v>
      </x:c>
    </x:row>
    <x:row r="205" ht="96" customHeight="1">
      <x:c r="A205" s="8" t="str">
        <x:v>L199</x:v>
      </x:c>
      <x:c r="B205" s="8" t="str">
        <x:v>Festival lights · veranda eave B · nave</x:v>
      </x:c>
      <x:c r="C205" s="8" t="str">
        <x:v>light</x:v>
      </x:c>
      <x:c r="D205" s="8" t="str">
        <x:v>DB2</x:v>
      </x:c>
      <x:c r="E205" s="8" t="str">
        <x:v>L7</x:v>
      </x:c>
      <x:c r="F205" s="11" t="n">
        <x:v>21.35</x:v>
      </x:c>
      <x:c r="G205" s="11" t="n">
        <x:v>6.47</x:v>
      </x:c>
      <x:c r="H205" s="11" t="n">
        <x:v>-10.6</x:v>
      </x:c>
      <x:c r="I205" s="8" t="str">
        <x:v>floor</x:v>
      </x:c>
      <x:c r="J205" s="8" t="str">
        <x:v>Shown</x:v>
      </x:c>
      <x:c r="K205" s="8" t="str">
        <x:v>Off</x:v>
      </x:c>
      <x:c r="L205" s="8" t="str">
        <x:v>100 × 100 × 31787</x:v>
      </x:c>
      <x:c r="M205" s="8" t="str">
        <x:v>54 bulbs · 1 W/bulb assumed · lumen data needed · 2200 K · 31.7 m strand</x:v>
      </x:c>
      <x:c r="N205" s="11" t="n">
        <x:v>54</x:v>
      </x:c>
      <x:c r="O205" s="11" t="n">
        <x:v>90</x:v>
      </x:c>
      <x:c r="P205" s="11" t="n">
        <x:v>0</x:v>
      </x:c>
      <x:c r="Q205" s="9"/>
      <x:c r="R205" s="9"/>
      <x:c r="S205" s="9"/>
      <x:c r="T205" s="9"/>
      <x:c r="U205" s="9"/>
      <x:c r="V205" s="9"/>
      <x:c r="W205" s="13"/>
      <x:c r="X205" s="13"/>
      <x:c r="Y205" s="13"/>
      <x:c r="Z205" s="9"/>
      <x:c r="AA205" s="8" t="str">
        <x:v>Current</x:v>
      </x:c>
      <x:c r="AB205" s="8" t="str">
        <x:v>drop:DB2:L7:light:-1:L199</x:v>
      </x:c>
      <x:c r="AC205" s="8" t="str">
        <x:v>{"length":31.7,"slope":0,"spacing":0.6,"dim":1}</x:v>
      </x:c>
    </x:row>
    <x:row r="206" ht="96" customHeight="1">
      <x:c r="A206" s="8" t="str">
        <x:v>L200</x:v>
      </x:c>
      <x:c r="B206" s="8" t="str">
        <x:v>Festival lights · veranda eave B · sanctuary</x:v>
      </x:c>
      <x:c r="C206" s="8" t="str">
        <x:v>light</x:v>
      </x:c>
      <x:c r="D206" s="8" t="str">
        <x:v>DB2</x:v>
      </x:c>
      <x:c r="E206" s="8" t="str">
        <x:v>L7</x:v>
      </x:c>
      <x:c r="F206" s="11" t="n">
        <x:v>48.4</x:v>
      </x:c>
      <x:c r="G206" s="11" t="n">
        <x:v>6.47</x:v>
      </x:c>
      <x:c r="H206" s="11" t="n">
        <x:v>-10.6</x:v>
      </x:c>
      <x:c r="I206" s="8" t="str">
        <x:v>floor</x:v>
      </x:c>
      <x:c r="J206" s="8" t="str">
        <x:v>Shown</x:v>
      </x:c>
      <x:c r="K206" s="8" t="str">
        <x:v>Off</x:v>
      </x:c>
      <x:c r="L206" s="8" t="str">
        <x:v>100 × 100 × 8987</x:v>
      </x:c>
      <x:c r="M206" s="8" t="str">
        <x:v>16 bulbs · 1 W/bulb assumed · lumen data needed · 2200 K · 8.9 m strand</x:v>
      </x:c>
      <x:c r="N206" s="11" t="n">
        <x:v>16</x:v>
      </x:c>
      <x:c r="O206" s="11" t="n">
        <x:v>90</x:v>
      </x:c>
      <x:c r="P206" s="11" t="n">
        <x:v>0</x:v>
      </x:c>
      <x:c r="Q206" s="9"/>
      <x:c r="R206" s="9"/>
      <x:c r="S206" s="9"/>
      <x:c r="T206" s="9"/>
      <x:c r="U206" s="9"/>
      <x:c r="V206" s="9"/>
      <x:c r="W206" s="13"/>
      <x:c r="X206" s="13"/>
      <x:c r="Y206" s="13"/>
      <x:c r="Z206" s="9"/>
      <x:c r="AA206" s="8" t="str">
        <x:v>Current</x:v>
      </x:c>
      <x:c r="AB206" s="8" t="str">
        <x:v>drop:DB2:L7:light:-1:L200</x:v>
      </x:c>
      <x:c r="AC206" s="8" t="str">
        <x:v>{"length":8.9,"slope":0,"spacing":0.6,"dim":1}</x:v>
      </x:c>
    </x:row>
    <x:row r="207" ht="96" customHeight="1">
      <x:c r="A207" s="8" t="str">
        <x:v>L201</x:v>
      </x:c>
      <x:c r="B207" s="8" t="str">
        <x:v>Festival lights · rear gable B</x:v>
      </x:c>
      <x:c r="C207" s="8" t="str">
        <x:v>light</x:v>
      </x:c>
      <x:c r="D207" s="8" t="str">
        <x:v>DB2</x:v>
      </x:c>
      <x:c r="E207" s="8" t="str">
        <x:v>L7</x:v>
      </x:c>
      <x:c r="F207" s="11" t="n">
        <x:v>53.45</x:v>
      </x:c>
      <x:c r="G207" s="11" t="n">
        <x:v>10</x:v>
      </x:c>
      <x:c r="H207" s="11" t="n">
        <x:v>-3.65</x:v>
      </x:c>
      <x:c r="I207" s="8" t="str">
        <x:v>floor</x:v>
      </x:c>
      <x:c r="J207" s="8" t="str">
        <x:v>Shown</x:v>
      </x:c>
      <x:c r="K207" s="8" t="str">
        <x:v>Off</x:v>
      </x:c>
      <x:c r="L207" s="8" t="str">
        <x:v>100 × 5482 × 7387</x:v>
      </x:c>
      <x:c r="M207" s="8" t="str">
        <x:v>16 bulbs · 1 W/bulb assumed · lumen data needed · 2200 K · 9.07 m strand</x:v>
      </x:c>
      <x:c r="N207" s="11" t="n">
        <x:v>16</x:v>
      </x:c>
      <x:c r="O207" s="11" t="n">
        <x:v>0</x:v>
      </x:c>
      <x:c r="P207" s="11" t="n">
        <x:v>0</x:v>
      </x:c>
      <x:c r="Q207" s="9"/>
      <x:c r="R207" s="9"/>
      <x:c r="S207" s="9"/>
      <x:c r="T207" s="9"/>
      <x:c r="U207" s="9"/>
      <x:c r="V207" s="9"/>
      <x:c r="W207" s="13"/>
      <x:c r="X207" s="13"/>
      <x:c r="Y207" s="13"/>
      <x:c r="Z207" s="9"/>
      <x:c r="AA207" s="8" t="str">
        <x:v>Current</x:v>
      </x:c>
      <x:c r="AB207" s="8" t="str">
        <x:v>drop:DB2:L7:light:-1:L201</x:v>
      </x:c>
      <x:c r="AC207" s="8" t="str">
        <x:v>{"length":9.07,"slope":36.4,"spacing":0.6,"dim":1}</x:v>
      </x:c>
    </x:row>
    <x:row r="208" ht="96" customHeight="1">
      <x:c r="A208" s="8" t="str">
        <x:v>L202</x:v>
      </x:c>
      <x:c r="B208" s="8" t="str">
        <x:v>Festival lights · tower B · stage 1 · inner corner</x:v>
      </x:c>
      <x:c r="C208" s="8" t="str">
        <x:v>light</x:v>
      </x:c>
      <x:c r="D208" s="8" t="str">
        <x:v>DB2</x:v>
      </x:c>
      <x:c r="E208" s="8" t="str">
        <x:v>L7</x:v>
      </x:c>
      <x:c r="F208" s="11" t="n">
        <x:v>-0.4</x:v>
      </x:c>
      <x:c r="G208" s="11" t="n">
        <x:v>4.195</x:v>
      </x:c>
      <x:c r="H208" s="11" t="n">
        <x:v>-7.823</x:v>
      </x:c>
      <x:c r="I208" s="8" t="str">
        <x:v>wall</x:v>
      </x:c>
      <x:c r="J208" s="8" t="str">
        <x:v>Shown</x:v>
      </x:c>
      <x:c r="K208" s="8" t="str">
        <x:v>Off</x:v>
      </x:c>
      <x:c r="L208" s="8" t="str">
        <x:v>100 × 7890 × 87</x:v>
      </x:c>
      <x:c r="M208" s="8" t="str">
        <x:v>14 bulbs · 1 W/bulb assumed · lumen data needed · 2200 K · 7.790000000000001 m strand</x:v>
      </x:c>
      <x:c r="N208" s="11" t="n">
        <x:v>14</x:v>
      </x:c>
      <x:c r="O208" s="11" t="n">
        <x:v>0</x:v>
      </x:c>
      <x:c r="P208" s="11" t="n">
        <x:v>0</x:v>
      </x:c>
      <x:c r="Q208" s="9"/>
      <x:c r="R208" s="9"/>
      <x:c r="S208" s="9"/>
      <x:c r="T208" s="9"/>
      <x:c r="U208" s="9"/>
      <x:c r="V208" s="9"/>
      <x:c r="W208" s="13"/>
      <x:c r="X208" s="13"/>
      <x:c r="Y208" s="13"/>
      <x:c r="Z208" s="9"/>
      <x:c r="AA208" s="8" t="str">
        <x:v>Current</x:v>
      </x:c>
      <x:c r="AB208" s="8" t="str">
        <x:v>drop:DB2:L7:light:-1:L202</x:v>
      </x:c>
      <x:c r="AC208" s="8" t="str">
        <x:v>{"length":7.790000000000001,"slope":90,"spacing":0.6,"dim":1}</x:v>
      </x:c>
    </x:row>
    <x:row r="209" ht="96" customHeight="1">
      <x:c r="A209" s="8" t="str">
        <x:v>L203</x:v>
      </x:c>
      <x:c r="B209" s="8" t="str">
        <x:v>Festival lights · tower B · stage 1 · outer corner</x:v>
      </x:c>
      <x:c r="C209" s="8" t="str">
        <x:v>light</x:v>
      </x:c>
      <x:c r="D209" s="8" t="str">
        <x:v>DB2</x:v>
      </x:c>
      <x:c r="E209" s="8" t="str">
        <x:v>L7</x:v>
      </x:c>
      <x:c r="F209" s="11" t="n">
        <x:v>-0.4</x:v>
      </x:c>
      <x:c r="G209" s="11" t="n">
        <x:v>4.195</x:v>
      </x:c>
      <x:c r="H209" s="11" t="n">
        <x:v>-12.483</x:v>
      </x:c>
      <x:c r="I209" s="8" t="str">
        <x:v>wall</x:v>
      </x:c>
      <x:c r="J209" s="8" t="str">
        <x:v>Shown</x:v>
      </x:c>
      <x:c r="K209" s="8" t="str">
        <x:v>Off</x:v>
      </x:c>
      <x:c r="L209" s="8" t="str">
        <x:v>100 × 7890 × 87</x:v>
      </x:c>
      <x:c r="M209" s="8" t="str">
        <x:v>14 bulbs · 1 W/bulb assumed · lumen data needed · 2200 K · 7.790000000000001 m strand</x:v>
      </x:c>
      <x:c r="N209" s="11" t="n">
        <x:v>14</x:v>
      </x:c>
      <x:c r="O209" s="11" t="n">
        <x:v>0</x:v>
      </x:c>
      <x:c r="P209" s="11" t="n">
        <x:v>0</x:v>
      </x:c>
      <x:c r="Q209" s="9"/>
      <x:c r="R209" s="9"/>
      <x:c r="S209" s="9"/>
      <x:c r="T209" s="9"/>
      <x:c r="U209" s="9"/>
      <x:c r="V209" s="9"/>
      <x:c r="W209" s="13"/>
      <x:c r="X209" s="13"/>
      <x:c r="Y209" s="13"/>
      <x:c r="Z209" s="9"/>
      <x:c r="AA209" s="8" t="str">
        <x:v>Current</x:v>
      </x:c>
      <x:c r="AB209" s="8" t="str">
        <x:v>drop:DB2:L7:light:-1:L203</x:v>
      </x:c>
      <x:c r="AC209" s="8" t="str">
        <x:v>{"length":7.790000000000001,"slope":90,"spacing":0.6,"dim":1}</x:v>
      </x:c>
    </x:row>
    <x:row r="210" ht="96" customHeight="1">
      <x:c r="A210" s="8" t="str">
        <x:v>L204</x:v>
      </x:c>
      <x:c r="B210" s="8" t="str">
        <x:v>Festival lights · tower B · stage 2 · inner corner</x:v>
      </x:c>
      <x:c r="C210" s="8" t="str">
        <x:v>light</x:v>
      </x:c>
      <x:c r="D210" s="8" t="str">
        <x:v>DB2</x:v>
      </x:c>
      <x:c r="E210" s="8" t="str">
        <x:v>L7</x:v>
      </x:c>
      <x:c r="F210" s="11" t="n">
        <x:v>-0.3099999999999997</x:v>
      </x:c>
      <x:c r="G210" s="11" t="n">
        <x:v>12.115</x:v>
      </x:c>
      <x:c r="H210" s="11" t="n">
        <x:v>-7.948</x:v>
      </x:c>
      <x:c r="I210" s="8" t="str">
        <x:v>wall</x:v>
      </x:c>
      <x:c r="J210" s="8" t="str">
        <x:v>Shown</x:v>
      </x:c>
      <x:c r="K210" s="8" t="str">
        <x:v>Off</x:v>
      </x:c>
      <x:c r="L210" s="8" t="str">
        <x:v>100 × 6950 × 87</x:v>
      </x:c>
      <x:c r="M210" s="8" t="str">
        <x:v>12 bulbs · 1 W/bulb assumed · lumen data needed · 2200 K · 6.85 m strand</x:v>
      </x:c>
      <x:c r="N210" s="11" t="n">
        <x:v>12</x:v>
      </x:c>
      <x:c r="O210" s="11" t="n">
        <x:v>0</x:v>
      </x:c>
      <x:c r="P210" s="11" t="n">
        <x:v>0</x:v>
      </x:c>
      <x:c r="Q210" s="9"/>
      <x:c r="R210" s="9"/>
      <x:c r="S210" s="9"/>
      <x:c r="T210" s="9"/>
      <x:c r="U210" s="9"/>
      <x:c r="V210" s="9"/>
      <x:c r="W210" s="13"/>
      <x:c r="X210" s="13"/>
      <x:c r="Y210" s="13"/>
      <x:c r="Z210" s="9"/>
      <x:c r="AA210" s="8" t="str">
        <x:v>Current</x:v>
      </x:c>
      <x:c r="AB210" s="8" t="str">
        <x:v>drop:DB2:L7:light:-1:L204</x:v>
      </x:c>
      <x:c r="AC210" s="8" t="str">
        <x:v>{"length":6.85,"slope":90,"spacing":0.6,"dim":1}</x:v>
      </x:c>
    </x:row>
    <x:row r="211" ht="96" customHeight="1">
      <x:c r="A211" s="8" t="str">
        <x:v>L205</x:v>
      </x:c>
      <x:c r="B211" s="8" t="str">
        <x:v>Festival lights · tower B · stage 2 · outer corner</x:v>
      </x:c>
      <x:c r="C211" s="8" t="str">
        <x:v>light</x:v>
      </x:c>
      <x:c r="D211" s="8" t="str">
        <x:v>DB2</x:v>
      </x:c>
      <x:c r="E211" s="8" t="str">
        <x:v>L7</x:v>
      </x:c>
      <x:c r="F211" s="11" t="n">
        <x:v>-0.3099999999999997</x:v>
      </x:c>
      <x:c r="G211" s="11" t="n">
        <x:v>12.115</x:v>
      </x:c>
      <x:c r="H211" s="11" t="n">
        <x:v>-12.358</x:v>
      </x:c>
      <x:c r="I211" s="8" t="str">
        <x:v>wall</x:v>
      </x:c>
      <x:c r="J211" s="8" t="str">
        <x:v>Shown</x:v>
      </x:c>
      <x:c r="K211" s="8" t="str">
        <x:v>Off</x:v>
      </x:c>
      <x:c r="L211" s="8" t="str">
        <x:v>100 × 6950 × 87</x:v>
      </x:c>
      <x:c r="M211" s="8" t="str">
        <x:v>12 bulbs · 1 W/bulb assumed · lumen data needed · 2200 K · 6.85 m strand</x:v>
      </x:c>
      <x:c r="N211" s="11" t="n">
        <x:v>12</x:v>
      </x:c>
      <x:c r="O211" s="11" t="n">
        <x:v>0</x:v>
      </x:c>
      <x:c r="P211" s="11" t="n">
        <x:v>0</x:v>
      </x:c>
      <x:c r="Q211" s="9"/>
      <x:c r="R211" s="9"/>
      <x:c r="S211" s="9"/>
      <x:c r="T211" s="9"/>
      <x:c r="U211" s="9"/>
      <x:c r="V211" s="9"/>
      <x:c r="W211" s="13"/>
      <x:c r="X211" s="13"/>
      <x:c r="Y211" s="13"/>
      <x:c r="Z211" s="9"/>
      <x:c r="AA211" s="8" t="str">
        <x:v>Current</x:v>
      </x:c>
      <x:c r="AB211" s="8" t="str">
        <x:v>drop:DB2:L7:light:-1:L205</x:v>
      </x:c>
      <x:c r="AC211" s="8" t="str">
        <x:v>{"length":6.85,"slope":90,"spacing":0.6,"dim":1}</x:v>
      </x:c>
    </x:row>
    <x:row r="212" ht="96" customHeight="1">
      <x:c r="A212" s="8" t="str">
        <x:v>L206</x:v>
      </x:c>
      <x:c r="B212" s="8" t="str">
        <x:v>Festival lights · tower B · stage 3 · inner corner</x:v>
      </x:c>
      <x:c r="C212" s="8" t="str">
        <x:v>light</x:v>
      </x:c>
      <x:c r="D212" s="8" t="str">
        <x:v>DB2</x:v>
      </x:c>
      <x:c r="E212" s="8" t="str">
        <x:v>L7</x:v>
      </x:c>
      <x:c r="F212" s="11" t="n">
        <x:v>-0.20999999999999963</x:v>
      </x:c>
      <x:c r="G212" s="11" t="n">
        <x:v>19.490000000000002</x:v>
      </x:c>
      <x:c r="H212" s="11" t="n">
        <x:v>-8.048</x:v>
      </x:c>
      <x:c r="I212" s="8" t="str">
        <x:v>wall</x:v>
      </x:c>
      <x:c r="J212" s="8" t="str">
        <x:v>Shown</x:v>
      </x:c>
      <x:c r="K212" s="8" t="str">
        <x:v>Off</x:v>
      </x:c>
      <x:c r="L212" s="8" t="str">
        <x:v>100 × 6800 × 87</x:v>
      </x:c>
      <x:c r="M212" s="8" t="str">
        <x:v>12 bulbs · 1 W/bulb assumed · lumen data needed · 2200 K · 6.700000000000001 m strand</x:v>
      </x:c>
      <x:c r="N212" s="11" t="n">
        <x:v>12</x:v>
      </x:c>
      <x:c r="O212" s="11" t="n">
        <x:v>0</x:v>
      </x:c>
      <x:c r="P212" s="11" t="n">
        <x:v>0</x:v>
      </x:c>
      <x:c r="Q212" s="9"/>
      <x:c r="R212" s="9"/>
      <x:c r="S212" s="9"/>
      <x:c r="T212" s="9"/>
      <x:c r="U212" s="9"/>
      <x:c r="V212" s="9"/>
      <x:c r="W212" s="13"/>
      <x:c r="X212" s="13"/>
      <x:c r="Y212" s="13"/>
      <x:c r="Z212" s="9"/>
      <x:c r="AA212" s="8" t="str">
        <x:v>Current</x:v>
      </x:c>
      <x:c r="AB212" s="8" t="str">
        <x:v>drop:DB2:L7:light:-1:L206</x:v>
      </x:c>
      <x:c r="AC212" s="8" t="str">
        <x:v>{"length":6.700000000000001,"slope":90,"spacing":0.6,"dim":1}</x:v>
      </x:c>
    </x:row>
    <x:row r="213" ht="96" customHeight="1">
      <x:c r="A213" s="8" t="str">
        <x:v>L207</x:v>
      </x:c>
      <x:c r="B213" s="8" t="str">
        <x:v>Festival lights · tower B · stage 3 · outer corner</x:v>
      </x:c>
      <x:c r="C213" s="8" t="str">
        <x:v>light</x:v>
      </x:c>
      <x:c r="D213" s="8" t="str">
        <x:v>DB2</x:v>
      </x:c>
      <x:c r="E213" s="8" t="str">
        <x:v>L7</x:v>
      </x:c>
      <x:c r="F213" s="11" t="n">
        <x:v>-0.20999999999999963</x:v>
      </x:c>
      <x:c r="G213" s="11" t="n">
        <x:v>19.490000000000002</x:v>
      </x:c>
      <x:c r="H213" s="11" t="n">
        <x:v>-12.258000000000001</x:v>
      </x:c>
      <x:c r="I213" s="8" t="str">
        <x:v>wall</x:v>
      </x:c>
      <x:c r="J213" s="8" t="str">
        <x:v>Shown</x:v>
      </x:c>
      <x:c r="K213" s="8" t="str">
        <x:v>Off</x:v>
      </x:c>
      <x:c r="L213" s="8" t="str">
        <x:v>100 × 6800 × 87</x:v>
      </x:c>
      <x:c r="M213" s="8" t="str">
        <x:v>12 bulbs · 1 W/bulb assumed · lumen data needed · 2200 K · 6.700000000000001 m strand</x:v>
      </x:c>
      <x:c r="N213" s="11" t="n">
        <x:v>12</x:v>
      </x:c>
      <x:c r="O213" s="11" t="n">
        <x:v>0</x:v>
      </x:c>
      <x:c r="P213" s="11" t="n">
        <x:v>0</x:v>
      </x:c>
      <x:c r="Q213" s="9"/>
      <x:c r="R213" s="9"/>
      <x:c r="S213" s="9"/>
      <x:c r="T213" s="9"/>
      <x:c r="U213" s="9"/>
      <x:c r="V213" s="9"/>
      <x:c r="W213" s="13"/>
      <x:c r="X213" s="13"/>
      <x:c r="Y213" s="13"/>
      <x:c r="Z213" s="9"/>
      <x:c r="AA213" s="8" t="str">
        <x:v>Current</x:v>
      </x:c>
      <x:c r="AB213" s="8" t="str">
        <x:v>drop:DB2:L7:light:-1:L207</x:v>
      </x:c>
      <x:c r="AC213" s="8" t="str">
        <x:v>{"length":6.700000000000001,"slope":90,"spacing":0.6,"dim":1}</x:v>
      </x:c>
    </x:row>
    <x:row r="214" ht="96" customHeight="1">
      <x:c r="A214" s="8" t="str">
        <x:v>L208</x:v>
      </x:c>
      <x:c r="B214" s="8" t="str">
        <x:v>Festival lights · main eave H · nave</x:v>
      </x:c>
      <x:c r="C214" s="8" t="str">
        <x:v>light</x:v>
      </x:c>
      <x:c r="D214" s="8" t="str">
        <x:v>DB2</x:v>
      </x:c>
      <x:c r="E214" s="8" t="str">
        <x:v>L7</x:v>
      </x:c>
      <x:c r="F214" s="11" t="n">
        <x:v>21.35</x:v>
      </x:c>
      <x:c r="G214" s="11" t="n">
        <x:v>7.32</x:v>
      </x:c>
      <x:c r="H214" s="11" t="n">
        <x:v>7.3</x:v>
      </x:c>
      <x:c r="I214" s="8" t="str">
        <x:v>floor</x:v>
      </x:c>
      <x:c r="J214" s="8" t="str">
        <x:v>Shown</x:v>
      </x:c>
      <x:c r="K214" s="8" t="str">
        <x:v>Off</x:v>
      </x:c>
      <x:c r="L214" s="8" t="str">
        <x:v>100 × 100 × 31787</x:v>
      </x:c>
      <x:c r="M214" s="8" t="str">
        <x:v>54 bulbs · 1 W/bulb assumed · lumen data needed · 2200 K · 31.7 m strand</x:v>
      </x:c>
      <x:c r="N214" s="11" t="n">
        <x:v>54</x:v>
      </x:c>
      <x:c r="O214" s="11" t="n">
        <x:v>90</x:v>
      </x:c>
      <x:c r="P214" s="11" t="n">
        <x:v>0</x:v>
      </x:c>
      <x:c r="Q214" s="9"/>
      <x:c r="R214" s="9"/>
      <x:c r="S214" s="9"/>
      <x:c r="T214" s="9"/>
      <x:c r="U214" s="9"/>
      <x:c r="V214" s="9"/>
      <x:c r="W214" s="13"/>
      <x:c r="X214" s="13"/>
      <x:c r="Y214" s="13"/>
      <x:c r="Z214" s="9"/>
      <x:c r="AA214" s="8" t="str">
        <x:v>Current</x:v>
      </x:c>
      <x:c r="AB214" s="8" t="str">
        <x:v>drop:DB2:L7:light:1:L208</x:v>
      </x:c>
      <x:c r="AC214" s="8" t="str">
        <x:v>{"length":31.7,"slope":0,"spacing":0.6,"dim":1}</x:v>
      </x:c>
    </x:row>
    <x:row r="215" ht="96" customHeight="1">
      <x:c r="A215" s="8" t="str">
        <x:v>L209</x:v>
      </x:c>
      <x:c r="B215" s="8" t="str">
        <x:v>Festival lights · main eave H · sanctuary</x:v>
      </x:c>
      <x:c r="C215" s="8" t="str">
        <x:v>light</x:v>
      </x:c>
      <x:c r="D215" s="8" t="str">
        <x:v>DB2</x:v>
      </x:c>
      <x:c r="E215" s="8" t="str">
        <x:v>L7</x:v>
      </x:c>
      <x:c r="F215" s="11" t="n">
        <x:v>48.4</x:v>
      </x:c>
      <x:c r="G215" s="11" t="n">
        <x:v>7.32</x:v>
      </x:c>
      <x:c r="H215" s="11" t="n">
        <x:v>7.3</x:v>
      </x:c>
      <x:c r="I215" s="8" t="str">
        <x:v>floor</x:v>
      </x:c>
      <x:c r="J215" s="8" t="str">
        <x:v>Shown</x:v>
      </x:c>
      <x:c r="K215" s="8" t="str">
        <x:v>Off</x:v>
      </x:c>
      <x:c r="L215" s="8" t="str">
        <x:v>100 × 100 × 8987</x:v>
      </x:c>
      <x:c r="M215" s="8" t="str">
        <x:v>16 bulbs · 1 W/bulb assumed · lumen data needed · 2200 K · 8.9 m strand</x:v>
      </x:c>
      <x:c r="N215" s="11" t="n">
        <x:v>16</x:v>
      </x:c>
      <x:c r="O215" s="11" t="n">
        <x:v>90</x:v>
      </x:c>
      <x:c r="P215" s="11" t="n">
        <x:v>0</x:v>
      </x:c>
      <x:c r="Q215" s="9"/>
      <x:c r="R215" s="9"/>
      <x:c r="S215" s="9"/>
      <x:c r="T215" s="9"/>
      <x:c r="U215" s="9"/>
      <x:c r="V215" s="9"/>
      <x:c r="W215" s="13"/>
      <x:c r="X215" s="13"/>
      <x:c r="Y215" s="13"/>
      <x:c r="Z215" s="9"/>
      <x:c r="AA215" s="8" t="str">
        <x:v>Current</x:v>
      </x:c>
      <x:c r="AB215" s="8" t="str">
        <x:v>drop:DB2:L7:light:1:L209</x:v>
      </x:c>
      <x:c r="AC215" s="8" t="str">
        <x:v>{"length":8.9,"slope":0,"spacing":0.6,"dim":1}</x:v>
      </x:c>
    </x:row>
    <x:row r="216" ht="96" customHeight="1">
      <x:c r="A216" s="8" t="str">
        <x:v>L210</x:v>
      </x:c>
      <x:c r="B216" s="8" t="str">
        <x:v>Festival lights · veranda eave H · nave</x:v>
      </x:c>
      <x:c r="C216" s="8" t="str">
        <x:v>light</x:v>
      </x:c>
      <x:c r="D216" s="8" t="str">
        <x:v>DB2</x:v>
      </x:c>
      <x:c r="E216" s="8" t="str">
        <x:v>L7</x:v>
      </x:c>
      <x:c r="F216" s="11" t="n">
        <x:v>21.35</x:v>
      </x:c>
      <x:c r="G216" s="11" t="n">
        <x:v>6.47</x:v>
      </x:c>
      <x:c r="H216" s="11" t="n">
        <x:v>10.6</x:v>
      </x:c>
      <x:c r="I216" s="8" t="str">
        <x:v>floor</x:v>
      </x:c>
      <x:c r="J216" s="8" t="str">
        <x:v>Shown</x:v>
      </x:c>
      <x:c r="K216" s="8" t="str">
        <x:v>Off</x:v>
      </x:c>
      <x:c r="L216" s="8" t="str">
        <x:v>100 × 100 × 31787</x:v>
      </x:c>
      <x:c r="M216" s="8" t="str">
        <x:v>54 bulbs · 1 W/bulb assumed · lumen data needed · 2200 K · 31.7 m strand</x:v>
      </x:c>
      <x:c r="N216" s="11" t="n">
        <x:v>54</x:v>
      </x:c>
      <x:c r="O216" s="11" t="n">
        <x:v>90</x:v>
      </x:c>
      <x:c r="P216" s="11" t="n">
        <x:v>0</x:v>
      </x:c>
      <x:c r="Q216" s="9"/>
      <x:c r="R216" s="9"/>
      <x:c r="S216" s="9"/>
      <x:c r="T216" s="9"/>
      <x:c r="U216" s="9"/>
      <x:c r="V216" s="9"/>
      <x:c r="W216" s="13"/>
      <x:c r="X216" s="13"/>
      <x:c r="Y216" s="13"/>
      <x:c r="Z216" s="9"/>
      <x:c r="AA216" s="8" t="str">
        <x:v>Current</x:v>
      </x:c>
      <x:c r="AB216" s="8" t="str">
        <x:v>drop:DB2:L7:light:1:L210</x:v>
      </x:c>
      <x:c r="AC216" s="8" t="str">
        <x:v>{"length":31.7,"slope":0,"spacing":0.6,"dim":1}</x:v>
      </x:c>
    </x:row>
    <x:row r="217" ht="96" customHeight="1">
      <x:c r="A217" s="8" t="str">
        <x:v>L211</x:v>
      </x:c>
      <x:c r="B217" s="8" t="str">
        <x:v>Festival lights · veranda eave H · sanctuary</x:v>
      </x:c>
      <x:c r="C217" s="8" t="str">
        <x:v>light</x:v>
      </x:c>
      <x:c r="D217" s="8" t="str">
        <x:v>DB2</x:v>
      </x:c>
      <x:c r="E217" s="8" t="str">
        <x:v>L7</x:v>
      </x:c>
      <x:c r="F217" s="11" t="n">
        <x:v>48.4</x:v>
      </x:c>
      <x:c r="G217" s="11" t="n">
        <x:v>6.47</x:v>
      </x:c>
      <x:c r="H217" s="11" t="n">
        <x:v>10.6</x:v>
      </x:c>
      <x:c r="I217" s="8" t="str">
        <x:v>floor</x:v>
      </x:c>
      <x:c r="J217" s="8" t="str">
        <x:v>Shown</x:v>
      </x:c>
      <x:c r="K217" s="8" t="str">
        <x:v>Off</x:v>
      </x:c>
      <x:c r="L217" s="8" t="str">
        <x:v>100 × 100 × 8987</x:v>
      </x:c>
      <x:c r="M217" s="8" t="str">
        <x:v>16 bulbs · 1 W/bulb assumed · lumen data needed · 2200 K · 8.9 m strand</x:v>
      </x:c>
      <x:c r="N217" s="11" t="n">
        <x:v>16</x:v>
      </x:c>
      <x:c r="O217" s="11" t="n">
        <x:v>90</x:v>
      </x:c>
      <x:c r="P217" s="11" t="n">
        <x:v>0</x:v>
      </x:c>
      <x:c r="Q217" s="9"/>
      <x:c r="R217" s="9"/>
      <x:c r="S217" s="9"/>
      <x:c r="T217" s="9"/>
      <x:c r="U217" s="9"/>
      <x:c r="V217" s="9"/>
      <x:c r="W217" s="13"/>
      <x:c r="X217" s="13"/>
      <x:c r="Y217" s="13"/>
      <x:c r="Z217" s="9"/>
      <x:c r="AA217" s="8" t="str">
        <x:v>Current</x:v>
      </x:c>
      <x:c r="AB217" s="8" t="str">
        <x:v>drop:DB2:L7:light:1:L211</x:v>
      </x:c>
      <x:c r="AC217" s="8" t="str">
        <x:v>{"length":8.9,"slope":0,"spacing":0.6,"dim":1}</x:v>
      </x:c>
    </x:row>
    <x:row r="218" ht="96" customHeight="1">
      <x:c r="A218" s="8" t="str">
        <x:v>L212</x:v>
      </x:c>
      <x:c r="B218" s="8" t="str">
        <x:v>Festival lights · rear gable H</x:v>
      </x:c>
      <x:c r="C218" s="8" t="str">
        <x:v>light</x:v>
      </x:c>
      <x:c r="D218" s="8" t="str">
        <x:v>DB2</x:v>
      </x:c>
      <x:c r="E218" s="8" t="str">
        <x:v>L7</x:v>
      </x:c>
      <x:c r="F218" s="11" t="n">
        <x:v>53.45</x:v>
      </x:c>
      <x:c r="G218" s="11" t="n">
        <x:v>10</x:v>
      </x:c>
      <x:c r="H218" s="11" t="n">
        <x:v>3.65</x:v>
      </x:c>
      <x:c r="I218" s="8" t="str">
        <x:v>floor</x:v>
      </x:c>
      <x:c r="J218" s="8" t="str">
        <x:v>Shown</x:v>
      </x:c>
      <x:c r="K218" s="8" t="str">
        <x:v>Off</x:v>
      </x:c>
      <x:c r="L218" s="8" t="str">
        <x:v>100 × 5482 × 7387</x:v>
      </x:c>
      <x:c r="M218" s="8" t="str">
        <x:v>16 bulbs · 1 W/bulb assumed · lumen data needed · 2200 K · 9.07 m strand</x:v>
      </x:c>
      <x:c r="N218" s="11" t="n">
        <x:v>16</x:v>
      </x:c>
      <x:c r="O218" s="11" t="n">
        <x:v>0</x:v>
      </x:c>
      <x:c r="P218" s="11" t="n">
        <x:v>0</x:v>
      </x:c>
      <x:c r="Q218" s="9"/>
      <x:c r="R218" s="9"/>
      <x:c r="S218" s="9"/>
      <x:c r="T218" s="9"/>
      <x:c r="U218" s="9"/>
      <x:c r="V218" s="9"/>
      <x:c r="W218" s="13"/>
      <x:c r="X218" s="13"/>
      <x:c r="Y218" s="13"/>
      <x:c r="Z218" s="9"/>
      <x:c r="AA218" s="8" t="str">
        <x:v>Current</x:v>
      </x:c>
      <x:c r="AB218" s="8" t="str">
        <x:v>drop:DB2:L7:light:1:L212</x:v>
      </x:c>
      <x:c r="AC218" s="8" t="str">
        <x:v>{"length":9.07,"slope":-36.4,"spacing":0.6,"dim":1}</x:v>
      </x:c>
    </x:row>
    <x:row r="219" ht="96" customHeight="1">
      <x:c r="A219" s="8" t="str">
        <x:v>L213</x:v>
      </x:c>
      <x:c r="B219" s="8" t="str">
        <x:v>Festival lights · tower H · stage 1 · inner corner</x:v>
      </x:c>
      <x:c r="C219" s="8" t="str">
        <x:v>light</x:v>
      </x:c>
      <x:c r="D219" s="8" t="str">
        <x:v>DB2</x:v>
      </x:c>
      <x:c r="E219" s="8" t="str">
        <x:v>L7</x:v>
      </x:c>
      <x:c r="F219" s="11" t="n">
        <x:v>-0.4</x:v>
      </x:c>
      <x:c r="G219" s="11" t="n">
        <x:v>4.195</x:v>
      </x:c>
      <x:c r="H219" s="11" t="n">
        <x:v>7.823</x:v>
      </x:c>
      <x:c r="I219" s="8" t="str">
        <x:v>wall</x:v>
      </x:c>
      <x:c r="J219" s="8" t="str">
        <x:v>Shown</x:v>
      </x:c>
      <x:c r="K219" s="8" t="str">
        <x:v>Off</x:v>
      </x:c>
      <x:c r="L219" s="8" t="str">
        <x:v>100 × 7890 × 87</x:v>
      </x:c>
      <x:c r="M219" s="8" t="str">
        <x:v>14 bulbs · 1 W/bulb assumed · lumen data needed · 2200 K · 7.790000000000001 m strand</x:v>
      </x:c>
      <x:c r="N219" s="11" t="n">
        <x:v>14</x:v>
      </x:c>
      <x:c r="O219" s="11" t="n">
        <x:v>0</x:v>
      </x:c>
      <x:c r="P219" s="11" t="n">
        <x:v>0</x:v>
      </x:c>
      <x:c r="Q219" s="9"/>
      <x:c r="R219" s="9"/>
      <x:c r="S219" s="9"/>
      <x:c r="T219" s="9"/>
      <x:c r="U219" s="9"/>
      <x:c r="V219" s="9"/>
      <x:c r="W219" s="13"/>
      <x:c r="X219" s="13"/>
      <x:c r="Y219" s="13"/>
      <x:c r="Z219" s="9"/>
      <x:c r="AA219" s="8" t="str">
        <x:v>Current</x:v>
      </x:c>
      <x:c r="AB219" s="8" t="str">
        <x:v>drop:DB2:L7:light:1:L213</x:v>
      </x:c>
      <x:c r="AC219" s="8" t="str">
        <x:v>{"length":7.790000000000001,"slope":90,"spacing":0.6,"dim":1}</x:v>
      </x:c>
    </x:row>
    <x:row r="220" ht="96" customHeight="1">
      <x:c r="A220" s="8" t="str">
        <x:v>L214</x:v>
      </x:c>
      <x:c r="B220" s="8" t="str">
        <x:v>Festival lights · tower H · stage 1 · outer corner</x:v>
      </x:c>
      <x:c r="C220" s="8" t="str">
        <x:v>light</x:v>
      </x:c>
      <x:c r="D220" s="8" t="str">
        <x:v>DB2</x:v>
      </x:c>
      <x:c r="E220" s="8" t="str">
        <x:v>L7</x:v>
      </x:c>
      <x:c r="F220" s="11" t="n">
        <x:v>-0.4</x:v>
      </x:c>
      <x:c r="G220" s="11" t="n">
        <x:v>4.195</x:v>
      </x:c>
      <x:c r="H220" s="11" t="n">
        <x:v>12.483</x:v>
      </x:c>
      <x:c r="I220" s="8" t="str">
        <x:v>wall</x:v>
      </x:c>
      <x:c r="J220" s="8" t="str">
        <x:v>Shown</x:v>
      </x:c>
      <x:c r="K220" s="8" t="str">
        <x:v>Off</x:v>
      </x:c>
      <x:c r="L220" s="8" t="str">
        <x:v>100 × 7890 × 87</x:v>
      </x:c>
      <x:c r="M220" s="8" t="str">
        <x:v>14 bulbs · 1 W/bulb assumed · lumen data needed · 2200 K · 7.790000000000001 m strand</x:v>
      </x:c>
      <x:c r="N220" s="11" t="n">
        <x:v>14</x:v>
      </x:c>
      <x:c r="O220" s="11" t="n">
        <x:v>0</x:v>
      </x:c>
      <x:c r="P220" s="11" t="n">
        <x:v>0</x:v>
      </x:c>
      <x:c r="Q220" s="9"/>
      <x:c r="R220" s="9"/>
      <x:c r="S220" s="9"/>
      <x:c r="T220" s="9"/>
      <x:c r="U220" s="9"/>
      <x:c r="V220" s="9"/>
      <x:c r="W220" s="13"/>
      <x:c r="X220" s="13"/>
      <x:c r="Y220" s="13"/>
      <x:c r="Z220" s="9"/>
      <x:c r="AA220" s="8" t="str">
        <x:v>Current</x:v>
      </x:c>
      <x:c r="AB220" s="8" t="str">
        <x:v>drop:DB2:L7:light:1:L214</x:v>
      </x:c>
      <x:c r="AC220" s="8" t="str">
        <x:v>{"length":7.790000000000001,"slope":90,"spacing":0.6,"dim":1}</x:v>
      </x:c>
    </x:row>
    <x:row r="221" ht="96" customHeight="1">
      <x:c r="A221" s="8" t="str">
        <x:v>L215</x:v>
      </x:c>
      <x:c r="B221" s="8" t="str">
        <x:v>Festival lights · tower H · stage 2 · inner corner</x:v>
      </x:c>
      <x:c r="C221" s="8" t="str">
        <x:v>light</x:v>
      </x:c>
      <x:c r="D221" s="8" t="str">
        <x:v>DB2</x:v>
      </x:c>
      <x:c r="E221" s="8" t="str">
        <x:v>L7</x:v>
      </x:c>
      <x:c r="F221" s="11" t="n">
        <x:v>-0.3099999999999997</x:v>
      </x:c>
      <x:c r="G221" s="11" t="n">
        <x:v>12.115</x:v>
      </x:c>
      <x:c r="H221" s="11" t="n">
        <x:v>7.948</x:v>
      </x:c>
      <x:c r="I221" s="8" t="str">
        <x:v>wall</x:v>
      </x:c>
      <x:c r="J221" s="8" t="str">
        <x:v>Shown</x:v>
      </x:c>
      <x:c r="K221" s="8" t="str">
        <x:v>Off</x:v>
      </x:c>
      <x:c r="L221" s="8" t="str">
        <x:v>100 × 6950 × 87</x:v>
      </x:c>
      <x:c r="M221" s="8" t="str">
        <x:v>12 bulbs · 1 W/bulb assumed · lumen data needed · 2200 K · 6.85 m strand</x:v>
      </x:c>
      <x:c r="N221" s="11" t="n">
        <x:v>12</x:v>
      </x:c>
      <x:c r="O221" s="11" t="n">
        <x:v>0</x:v>
      </x:c>
      <x:c r="P221" s="11" t="n">
        <x:v>0</x:v>
      </x:c>
      <x:c r="Q221" s="9"/>
      <x:c r="R221" s="9"/>
      <x:c r="S221" s="9"/>
      <x:c r="T221" s="9"/>
      <x:c r="U221" s="9"/>
      <x:c r="V221" s="9"/>
      <x:c r="W221" s="13"/>
      <x:c r="X221" s="13"/>
      <x:c r="Y221" s="13"/>
      <x:c r="Z221" s="9"/>
      <x:c r="AA221" s="8" t="str">
        <x:v>Current</x:v>
      </x:c>
      <x:c r="AB221" s="8" t="str">
        <x:v>drop:DB2:L7:light:1:L215</x:v>
      </x:c>
      <x:c r="AC221" s="8" t="str">
        <x:v>{"length":6.85,"slope":90,"spacing":0.6,"dim":1}</x:v>
      </x:c>
    </x:row>
    <x:row r="222" ht="96" customHeight="1">
      <x:c r="A222" s="8" t="str">
        <x:v>L216</x:v>
      </x:c>
      <x:c r="B222" s="8" t="str">
        <x:v>Festival lights · tower H · stage 2 · outer corner</x:v>
      </x:c>
      <x:c r="C222" s="8" t="str">
        <x:v>light</x:v>
      </x:c>
      <x:c r="D222" s="8" t="str">
        <x:v>DB2</x:v>
      </x:c>
      <x:c r="E222" s="8" t="str">
        <x:v>L7</x:v>
      </x:c>
      <x:c r="F222" s="11" t="n">
        <x:v>-0.3099999999999997</x:v>
      </x:c>
      <x:c r="G222" s="11" t="n">
        <x:v>12.115</x:v>
      </x:c>
      <x:c r="H222" s="11" t="n">
        <x:v>12.358</x:v>
      </x:c>
      <x:c r="I222" s="8" t="str">
        <x:v>wall</x:v>
      </x:c>
      <x:c r="J222" s="8" t="str">
        <x:v>Shown</x:v>
      </x:c>
      <x:c r="K222" s="8" t="str">
        <x:v>Off</x:v>
      </x:c>
      <x:c r="L222" s="8" t="str">
        <x:v>100 × 6950 × 87</x:v>
      </x:c>
      <x:c r="M222" s="8" t="str">
        <x:v>12 bulbs · 1 W/bulb assumed · lumen data needed · 2200 K · 6.85 m strand</x:v>
      </x:c>
      <x:c r="N222" s="11" t="n">
        <x:v>12</x:v>
      </x:c>
      <x:c r="O222" s="11" t="n">
        <x:v>0</x:v>
      </x:c>
      <x:c r="P222" s="11" t="n">
        <x:v>0</x:v>
      </x:c>
      <x:c r="Q222" s="9"/>
      <x:c r="R222" s="9"/>
      <x:c r="S222" s="9"/>
      <x:c r="T222" s="9"/>
      <x:c r="U222" s="9"/>
      <x:c r="V222" s="9"/>
      <x:c r="W222" s="13"/>
      <x:c r="X222" s="13"/>
      <x:c r="Y222" s="13"/>
      <x:c r="Z222" s="9"/>
      <x:c r="AA222" s="8" t="str">
        <x:v>Current</x:v>
      </x:c>
      <x:c r="AB222" s="8" t="str">
        <x:v>drop:DB2:L7:light:1:L216</x:v>
      </x:c>
      <x:c r="AC222" s="8" t="str">
        <x:v>{"length":6.85,"slope":90,"spacing":0.6,"dim":1}</x:v>
      </x:c>
    </x:row>
    <x:row r="223" ht="96" customHeight="1">
      <x:c r="A223" s="8" t="str">
        <x:v>L217</x:v>
      </x:c>
      <x:c r="B223" s="8" t="str">
        <x:v>Festival lights · tower H · stage 3 · inner corner</x:v>
      </x:c>
      <x:c r="C223" s="8" t="str">
        <x:v>light</x:v>
      </x:c>
      <x:c r="D223" s="8" t="str">
        <x:v>DB2</x:v>
      </x:c>
      <x:c r="E223" s="8" t="str">
        <x:v>L7</x:v>
      </x:c>
      <x:c r="F223" s="11" t="n">
        <x:v>-0.20999999999999963</x:v>
      </x:c>
      <x:c r="G223" s="11" t="n">
        <x:v>19.490000000000002</x:v>
      </x:c>
      <x:c r="H223" s="11" t="n">
        <x:v>8.048</x:v>
      </x:c>
      <x:c r="I223" s="8" t="str">
        <x:v>wall</x:v>
      </x:c>
      <x:c r="J223" s="8" t="str">
        <x:v>Shown</x:v>
      </x:c>
      <x:c r="K223" s="8" t="str">
        <x:v>Off</x:v>
      </x:c>
      <x:c r="L223" s="8" t="str">
        <x:v>100 × 6800 × 87</x:v>
      </x:c>
      <x:c r="M223" s="8" t="str">
        <x:v>12 bulbs · 1 W/bulb assumed · lumen data needed · 2200 K · 6.700000000000001 m strand</x:v>
      </x:c>
      <x:c r="N223" s="11" t="n">
        <x:v>12</x:v>
      </x:c>
      <x:c r="O223" s="11" t="n">
        <x:v>0</x:v>
      </x:c>
      <x:c r="P223" s="11" t="n">
        <x:v>0</x:v>
      </x:c>
      <x:c r="Q223" s="9"/>
      <x:c r="R223" s="9"/>
      <x:c r="S223" s="9"/>
      <x:c r="T223" s="9"/>
      <x:c r="U223" s="9"/>
      <x:c r="V223" s="9"/>
      <x:c r="W223" s="13"/>
      <x:c r="X223" s="13"/>
      <x:c r="Y223" s="13"/>
      <x:c r="Z223" s="9"/>
      <x:c r="AA223" s="8" t="str">
        <x:v>Current</x:v>
      </x:c>
      <x:c r="AB223" s="8" t="str">
        <x:v>drop:DB2:L7:light:1:L217</x:v>
      </x:c>
      <x:c r="AC223" s="8" t="str">
        <x:v>{"length":6.700000000000001,"slope":90,"spacing":0.6,"dim":1}</x:v>
      </x:c>
    </x:row>
    <x:row r="224" ht="96" customHeight="1">
      <x:c r="A224" s="8" t="str">
        <x:v>L218</x:v>
      </x:c>
      <x:c r="B224" s="8" t="str">
        <x:v>Festival lights · tower H · stage 3 · outer corner</x:v>
      </x:c>
      <x:c r="C224" s="8" t="str">
        <x:v>light</x:v>
      </x:c>
      <x:c r="D224" s="8" t="str">
        <x:v>DB2</x:v>
      </x:c>
      <x:c r="E224" s="8" t="str">
        <x:v>L7</x:v>
      </x:c>
      <x:c r="F224" s="11" t="n">
        <x:v>-0.20999999999999963</x:v>
      </x:c>
      <x:c r="G224" s="11" t="n">
        <x:v>19.490000000000002</x:v>
      </x:c>
      <x:c r="H224" s="11" t="n">
        <x:v>12.258000000000001</x:v>
      </x:c>
      <x:c r="I224" s="8" t="str">
        <x:v>wall</x:v>
      </x:c>
      <x:c r="J224" s="8" t="str">
        <x:v>Shown</x:v>
      </x:c>
      <x:c r="K224" s="8" t="str">
        <x:v>Off</x:v>
      </x:c>
      <x:c r="L224" s="8" t="str">
        <x:v>100 × 6800 × 87</x:v>
      </x:c>
      <x:c r="M224" s="8" t="str">
        <x:v>12 bulbs · 1 W/bulb assumed · lumen data needed · 2200 K · 6.700000000000001 m strand</x:v>
      </x:c>
      <x:c r="N224" s="11" t="n">
        <x:v>12</x:v>
      </x:c>
      <x:c r="O224" s="11" t="n">
        <x:v>0</x:v>
      </x:c>
      <x:c r="P224" s="11" t="n">
        <x:v>0</x:v>
      </x:c>
      <x:c r="Q224" s="9"/>
      <x:c r="R224" s="9"/>
      <x:c r="S224" s="9"/>
      <x:c r="T224" s="9"/>
      <x:c r="U224" s="9"/>
      <x:c r="V224" s="9"/>
      <x:c r="W224" s="13"/>
      <x:c r="X224" s="13"/>
      <x:c r="Y224" s="13"/>
      <x:c r="Z224" s="9"/>
      <x:c r="AA224" s="8" t="str">
        <x:v>Current</x:v>
      </x:c>
      <x:c r="AB224" s="8" t="str">
        <x:v>drop:DB2:L7:light:1:L218</x:v>
      </x:c>
      <x:c r="AC224" s="8" t="str">
        <x:v>{"length":6.700000000000001,"slope":90,"spacing":0.6,"dim":1}</x:v>
      </x:c>
    </x:row>
    <x:row r="225" ht="96" customHeight="1">
      <x:c r="A225" s="8" t="str">
        <x:v>L219</x:v>
      </x:c>
      <x:c r="B225" s="8" t="str">
        <x:v>Festival lights · front terrace between the towers</x:v>
      </x:c>
      <x:c r="C225" s="8" t="str">
        <x:v>light</x:v>
      </x:c>
      <x:c r="D225" s="8" t="str">
        <x:v>DB2</x:v>
      </x:c>
      <x:c r="E225" s="8" t="str">
        <x:v>L7</x:v>
      </x:c>
      <x:c r="F225" s="11" t="n">
        <x:v>2.15</x:v>
      </x:c>
      <x:c r="G225" s="11" t="n">
        <x:v>8.5</x:v>
      </x:c>
      <x:c r="H225" s="11" t="n">
        <x:v>0</x:v>
      </x:c>
      <x:c r="I225" s="8" t="str">
        <x:v>floor</x:v>
      </x:c>
      <x:c r="J225" s="8" t="str">
        <x:v>Shown</x:v>
      </x:c>
      <x:c r="K225" s="8" t="str">
        <x:v>Off</x:v>
      </x:c>
      <x:c r="L225" s="8" t="str">
        <x:v>100 × 100 × 14887</x:v>
      </x:c>
      <x:c r="M225" s="8" t="str">
        <x:v>26 bulbs · 1 W/bulb assumed · lumen data needed · 2200 K · 14.8 m strand</x:v>
      </x:c>
      <x:c r="N225" s="11" t="n">
        <x:v>26</x:v>
      </x:c>
      <x:c r="O225" s="11" t="n">
        <x:v>0</x:v>
      </x:c>
      <x:c r="P225" s="11" t="n">
        <x:v>0</x:v>
      </x:c>
      <x:c r="Q225" s="9"/>
      <x:c r="R225" s="9"/>
      <x:c r="S225" s="9"/>
      <x:c r="T225" s="9"/>
      <x:c r="U225" s="9"/>
      <x:c r="V225" s="9"/>
      <x:c r="W225" s="13"/>
      <x:c r="X225" s="13"/>
      <x:c r="Y225" s="13"/>
      <x:c r="Z225" s="9"/>
      <x:c r="AA225" s="8" t="str">
        <x:v>Current</x:v>
      </x:c>
      <x:c r="AB225" s="8" t="str">
        <x:v>drop:DB2:L7:light:-1:L219</x:v>
      </x:c>
      <x:c r="AC225" s="8" t="str">
        <x:v>{"length":14.8,"slope":0,"spacing":0.6,"dim":1}</x:v>
      </x:c>
    </x:row>
    <x:row r="226" ht="96" customHeight="1">
      <x:c r="A226" s="8" t="str">
        <x:v>L220</x:v>
      </x:c>
      <x:c r="B226" s="8" t="str">
        <x:v>Festival flood · rear gable B</x:v>
      </x:c>
      <x:c r="C226" s="8" t="str">
        <x:v>light</x:v>
      </x:c>
      <x:c r="D226" s="8" t="str">
        <x:v>DB2</x:v>
      </x:c>
      <x:c r="E226" s="8" t="str">
        <x:v>L7</x:v>
      </x:c>
      <x:c r="F226" s="11" t="n">
        <x:v>52.6</x:v>
      </x:c>
      <x:c r="G226" s="11" t="n">
        <x:v>6.55</x:v>
      </x:c>
      <x:c r="H226" s="11" t="n">
        <x:v>-9.8</x:v>
      </x:c>
      <x:c r="I226" s="8" t="str">
        <x:v>floor</x:v>
      </x:c>
      <x:c r="J226" s="8" t="str">
        <x:v>Shown</x:v>
      </x:c>
      <x:c r="K226" s="8" t="str">
        <x:v>Off</x:v>
      </x:c>
      <x:c r="L226" s="8" t="str">
        <x:v>215 × 535 × 340</x:v>
      </x:c>
      <x:c r="M226" s="8" t="str">
        <x:v>9000 lm · 3000 K · 40° beam</x:v>
      </x:c>
      <x:c r="N226" s="11" t="n">
        <x:v>70</x:v>
      </x:c>
      <x:c r="O226" s="11" t="n">
        <x:v>85.17923392190738</x:v>
      </x:c>
      <x:c r="P226" s="11" t="n">
        <x:v>34.05529935113207</x:v>
      </x:c>
      <x:c r="Q226" s="9"/>
      <x:c r="R226" s="9"/>
      <x:c r="S226" s="9"/>
      <x:c r="T226" s="9"/>
      <x:c r="U226" s="9"/>
      <x:c r="V226" s="9"/>
      <x:c r="W226" s="13"/>
      <x:c r="X226" s="13"/>
      <x:c r="Y226" s="13"/>
      <x:c r="Z226" s="9"/>
      <x:c r="AA226" s="8" t="str">
        <x:v>Current</x:v>
      </x:c>
      <x:c r="AB226" s="8" t="str">
        <x:v>drop:DB2:L7:light:-1:L220</x:v>
      </x:c>
      <x:c r="AC226" s="8" t="str">
        <x:v>{"lumens":9000,"dim":1}</x:v>
      </x:c>
    </x:row>
    <x:row r="227" ht="96" customHeight="1">
      <x:c r="A227" s="8" t="str">
        <x:v>L221</x:v>
      </x:c>
      <x:c r="B227" s="8" t="str">
        <x:v>Festival flood · rear gable H</x:v>
      </x:c>
      <x:c r="C227" s="8" t="str">
        <x:v>light</x:v>
      </x:c>
      <x:c r="D227" s="8" t="str">
        <x:v>DB2</x:v>
      </x:c>
      <x:c r="E227" s="8" t="str">
        <x:v>L7</x:v>
      </x:c>
      <x:c r="F227" s="11" t="n">
        <x:v>52.6</x:v>
      </x:c>
      <x:c r="G227" s="11" t="n">
        <x:v>6.55</x:v>
      </x:c>
      <x:c r="H227" s="11" t="n">
        <x:v>9.8</x:v>
      </x:c>
      <x:c r="I227" s="8" t="str">
        <x:v>floor</x:v>
      </x:c>
      <x:c r="J227" s="8" t="str">
        <x:v>Shown</x:v>
      </x:c>
      <x:c r="K227" s="8" t="str">
        <x:v>Off</x:v>
      </x:c>
      <x:c r="L227" s="8" t="str">
        <x:v>215 × 535 × 340</x:v>
      </x:c>
      <x:c r="M227" s="8" t="str">
        <x:v>9000 lm · 3000 K · 40° beam</x:v>
      </x:c>
      <x:c r="N227" s="11" t="n">
        <x:v>70</x:v>
      </x:c>
      <x:c r="O227" s="11" t="n">
        <x:v>-85.17923392190738</x:v>
      </x:c>
      <x:c r="P227" s="11" t="n">
        <x:v>34.05529935113207</x:v>
      </x:c>
      <x:c r="Q227" s="9"/>
      <x:c r="R227" s="9"/>
      <x:c r="S227" s="9"/>
      <x:c r="T227" s="9"/>
      <x:c r="U227" s="9"/>
      <x:c r="V227" s="9"/>
      <x:c r="W227" s="13"/>
      <x:c r="X227" s="13"/>
      <x:c r="Y227" s="13"/>
      <x:c r="Z227" s="9"/>
      <x:c r="AA227" s="8" t="str">
        <x:v>Current</x:v>
      </x:c>
      <x:c r="AB227" s="8" t="str">
        <x:v>drop:DB2:L7:light:1:L221</x:v>
      </x:c>
      <x:c r="AC227" s="8" t="str">
        <x:v>{"lumens":9000,"dim":1}</x:v>
      </x:c>
    </x:row>
    <x:row r="228" ht="96" customHeight="1">
      <x:c r="A228" s="8" t="str">
        <x:v>L222</x:v>
      </x:c>
      <x:c r="B228" s="8" t="str">
        <x:v>Central gable flood · B</x:v>
      </x:c>
      <x:c r="C228" s="8" t="str">
        <x:v>light</x:v>
      </x:c>
      <x:c r="D228" s="8" t="str">
        <x:v>DB2</x:v>
      </x:c>
      <x:c r="E228" s="8" t="str">
        <x:v>L6</x:v>
      </x:c>
      <x:c r="F228" s="11" t="n">
        <x:v>-0.0750000000000001</x:v>
      </x:c>
      <x:c r="G228" s="11" t="n">
        <x:v>8.4</x:v>
      </x:c>
      <x:c r="H228" s="11" t="n">
        <x:v>-7.75</x:v>
      </x:c>
      <x:c r="I228" s="8" t="str">
        <x:v>floor</x:v>
      </x:c>
      <x:c r="J228" s="8" t="str">
        <x:v>Shown</x:v>
      </x:c>
      <x:c r="K228" s="8" t="str">
        <x:v>On</x:v>
      </x:c>
      <x:c r="L228" s="8" t="str">
        <x:v>215 × 535 × 340</x:v>
      </x:c>
      <x:c r="M228" s="8" t="str">
        <x:v>6500 lm · 3000 K · 60° beam</x:v>
      </x:c>
      <x:c r="N228" s="11" t="n">
        <x:v>50.55555555555556</x:v>
      </x:c>
      <x:c r="O228" s="11" t="n">
        <x:v>75.09986919271344</x:v>
      </x:c>
      <x:c r="P228" s="11" t="n">
        <x:v>24.756675995120084</x:v>
      </x:c>
      <x:c r="Q228" s="9"/>
      <x:c r="R228" s="9"/>
      <x:c r="S228" s="9"/>
      <x:c r="T228" s="9"/>
      <x:c r="U228" s="9"/>
      <x:c r="V228" s="9"/>
      <x:c r="W228" s="13"/>
      <x:c r="X228" s="13"/>
      <x:c r="Y228" s="13"/>
      <x:c r="Z228" s="9"/>
      <x:c r="AA228" s="8" t="str">
        <x:v>Current</x:v>
      </x:c>
      <x:c r="AB228" s="8" t="str">
        <x:v>drop:DB2:L6:light:-1:L222</x:v>
      </x:c>
      <x:c r="AC228" s="8" t="str">
        <x:v>{"lumens":6500,"dim":1}</x:v>
      </x:c>
    </x:row>
    <x:row r="229" ht="96" customHeight="1">
      <x:c r="A229" s="8" t="str">
        <x:v>L223</x:v>
      </x:c>
      <x:c r="B229" s="8" t="str">
        <x:v>Central crown wash · B</x:v>
      </x:c>
      <x:c r="C229" s="8" t="str">
        <x:v>light</x:v>
      </x:c>
      <x:c r="D229" s="8" t="str">
        <x:v>DB2</x:v>
      </x:c>
      <x:c r="E229" s="8" t="str">
        <x:v>L6</x:v>
      </x:c>
      <x:c r="F229" s="11" t="n">
        <x:v>-0.035</x:v>
      </x:c>
      <x:c r="G229" s="11" t="n">
        <x:v>15.88</x:v>
      </x:c>
      <x:c r="H229" s="11" t="n">
        <x:v>-7.9</x:v>
      </x:c>
      <x:c r="I229" s="8" t="str">
        <x:v>floor</x:v>
      </x:c>
      <x:c r="J229" s="8" t="str">
        <x:v>Shown</x:v>
      </x:c>
      <x:c r="K229" s="8" t="str">
        <x:v>On</x:v>
      </x:c>
      <x:c r="L229" s="8" t="str">
        <x:v>215 × 535 × 340</x:v>
      </x:c>
      <x:c r="M229" s="8" t="str">
        <x:v>6000 lm · 3000 K · 55° beam</x:v>
      </x:c>
      <x:c r="N229" s="11" t="n">
        <x:v>46.666666666666664</x:v>
      </x:c>
      <x:c r="O229" s="11" t="n">
        <x:v>74.20318743380196</x:v>
      </x:c>
      <x:c r="P229" s="11" t="n">
        <x:v>16.294907825298242</x:v>
      </x:c>
      <x:c r="Q229" s="9"/>
      <x:c r="R229" s="9"/>
      <x:c r="S229" s="9"/>
      <x:c r="T229" s="9"/>
      <x:c r="U229" s="9"/>
      <x:c r="V229" s="9"/>
      <x:c r="W229" s="13"/>
      <x:c r="X229" s="13"/>
      <x:c r="Y229" s="13"/>
      <x:c r="Z229" s="9"/>
      <x:c r="AA229" s="8" t="str">
        <x:v>Current</x:v>
      </x:c>
      <x:c r="AB229" s="8" t="str">
        <x:v>drop:DB2:L6:light:-1:L223</x:v>
      </x:c>
      <x:c r="AC229" s="8" t="str">
        <x:v>{"lumens":6000,"dim":1}</x:v>
      </x:c>
    </x:row>
    <x:row r="230" ht="96" customHeight="1">
      <x:c r="A230" s="8" t="str">
        <x:v>L224</x:v>
      </x:c>
      <x:c r="B230" s="8" t="str">
        <x:v>Central gable flood · H</x:v>
      </x:c>
      <x:c r="C230" s="8" t="str">
        <x:v>light</x:v>
      </x:c>
      <x:c r="D230" s="8" t="str">
        <x:v>DB2</x:v>
      </x:c>
      <x:c r="E230" s="8" t="str">
        <x:v>L6</x:v>
      </x:c>
      <x:c r="F230" s="11" t="n">
        <x:v>-0.0750000000000001</x:v>
      </x:c>
      <x:c r="G230" s="11" t="n">
        <x:v>8.4</x:v>
      </x:c>
      <x:c r="H230" s="11" t="n">
        <x:v>7.75</x:v>
      </x:c>
      <x:c r="I230" s="8" t="str">
        <x:v>floor</x:v>
      </x:c>
      <x:c r="J230" s="8" t="str">
        <x:v>Shown</x:v>
      </x:c>
      <x:c r="K230" s="8" t="str">
        <x:v>On</x:v>
      </x:c>
      <x:c r="L230" s="8" t="str">
        <x:v>215 × 535 × 340</x:v>
      </x:c>
      <x:c r="M230" s="8" t="str">
        <x:v>6500 lm · 3000 K · 60° beam</x:v>
      </x:c>
      <x:c r="N230" s="11" t="n">
        <x:v>50.55555555555556</x:v>
      </x:c>
      <x:c r="O230" s="11" t="n">
        <x:v>-75.09986919271344</x:v>
      </x:c>
      <x:c r="P230" s="11" t="n">
        <x:v>24.756675995120084</x:v>
      </x:c>
      <x:c r="Q230" s="9"/>
      <x:c r="R230" s="9"/>
      <x:c r="S230" s="9"/>
      <x:c r="T230" s="9"/>
      <x:c r="U230" s="9"/>
      <x:c r="V230" s="9"/>
      <x:c r="W230" s="13"/>
      <x:c r="X230" s="13"/>
      <x:c r="Y230" s="13"/>
      <x:c r="Z230" s="9"/>
      <x:c r="AA230" s="8" t="str">
        <x:v>Current</x:v>
      </x:c>
      <x:c r="AB230" s="8" t="str">
        <x:v>drop:DB2:L6:light:1:L224</x:v>
      </x:c>
      <x:c r="AC230" s="8" t="str">
        <x:v>{"lumens":6500,"dim":1}</x:v>
      </x:c>
    </x:row>
    <x:row r="231" ht="96" customHeight="1">
      <x:c r="A231" s="8" t="str">
        <x:v>L225</x:v>
      </x:c>
      <x:c r="B231" s="8" t="str">
        <x:v>Central crown wash · H</x:v>
      </x:c>
      <x:c r="C231" s="8" t="str">
        <x:v>light</x:v>
      </x:c>
      <x:c r="D231" s="8" t="str">
        <x:v>DB2</x:v>
      </x:c>
      <x:c r="E231" s="8" t="str">
        <x:v>L6</x:v>
      </x:c>
      <x:c r="F231" s="11" t="n">
        <x:v>-0.035</x:v>
      </x:c>
      <x:c r="G231" s="11" t="n">
        <x:v>15.88</x:v>
      </x:c>
      <x:c r="H231" s="11" t="n">
        <x:v>7.9</x:v>
      </x:c>
      <x:c r="I231" s="8" t="str">
        <x:v>floor</x:v>
      </x:c>
      <x:c r="J231" s="8" t="str">
        <x:v>Shown</x:v>
      </x:c>
      <x:c r="K231" s="8" t="str">
        <x:v>On</x:v>
      </x:c>
      <x:c r="L231" s="8" t="str">
        <x:v>215 × 535 × 340</x:v>
      </x:c>
      <x:c r="M231" s="8" t="str">
        <x:v>6000 lm · 3000 K · 55° beam</x:v>
      </x:c>
      <x:c r="N231" s="11" t="n">
        <x:v>46.666666666666664</x:v>
      </x:c>
      <x:c r="O231" s="11" t="n">
        <x:v>-74.20318743380196</x:v>
      </x:c>
      <x:c r="P231" s="11" t="n">
        <x:v>16.294907825298242</x:v>
      </x:c>
      <x:c r="Q231" s="9"/>
      <x:c r="R231" s="9"/>
      <x:c r="S231" s="9"/>
      <x:c r="T231" s="9"/>
      <x:c r="U231" s="9"/>
      <x:c r="V231" s="9"/>
      <x:c r="W231" s="13"/>
      <x:c r="X231" s="13"/>
      <x:c r="Y231" s="13"/>
      <x:c r="Z231" s="9"/>
      <x:c r="AA231" s="8" t="str">
        <x:v>Current</x:v>
      </x:c>
      <x:c r="AB231" s="8" t="str">
        <x:v>drop:DB2:L6:light:1:L225</x:v>
      </x:c>
      <x:c r="AC231" s="8" t="str">
        <x:v>{"lumens":6000,"dim":1}</x:v>
      </x:c>
    </x:row>
    <x:row r="232" ht="96" customHeight="1">
      <x:c r="A232" s="8" t="str">
        <x:v>F226</x:v>
      </x:c>
      <x:c r="B232" s="8" t="str">
        <x:v>Ceiling fan · bay 2′–3 · B aisle</x:v>
      </x:c>
      <x:c r="C232" s="8" t="str">
        <x:v>fan</x:v>
      </x:c>
      <x:c r="D232" s="8" t="str">
        <x:v>DB1</x:v>
      </x:c>
      <x:c r="E232" s="8" t="str">
        <x:v>F1</x:v>
      </x:c>
      <x:c r="F232" s="11" t="n">
        <x:v>7.725</x:v>
      </x:c>
      <x:c r="G232" s="11" t="n">
        <x:v>3.9</x:v>
      </x:c>
      <x:c r="H232" s="11" t="n">
        <x:v>-4.4</x:v>
      </x:c>
      <x:c r="I232" s="8" t="str">
        <x:v>pendant</x:v>
      </x:c>
      <x:c r="J232" s="8" t="str">
        <x:v>Shown</x:v>
      </x:c>
      <x:c r="K232" s="8" t="str">
        <x:v>On</x:v>
      </x:c>
      <x:c r="L232" s="8" t="str">
        <x:v>1323 × 255 × 1391</x:v>
      </x:c>
      <x:c r="M232" s="8" t="str">
        <x:v>1.42 m diameter · 60 W at maximum speed. Speed steps: 1: 1.3 m3/s, 18 W, 32 dBA, 110 rpm; 2: 2 m3/s, 34 W, 38 dBA, 170 rpm; 3: 2.8 m3/s, 60 W, 45 dBA, 240 rpm</x:v>
      </x:c>
      <x:c r="N232" s="11" t="n">
        <x:v>60</x:v>
      </x:c>
      <x:c r="O232" s="11" t="n">
        <x:v>0</x:v>
      </x:c>
      <x:c r="P232" s="11" t="n">
        <x:v>0</x:v>
      </x:c>
      <x:c r="Q232" s="9"/>
      <x:c r="R232" s="9"/>
      <x:c r="S232" s="9"/>
      <x:c r="T232" s="9"/>
      <x:c r="U232" s="9"/>
      <x:c r="V232" s="9"/>
      <x:c r="W232" s="13"/>
      <x:c r="X232" s="13"/>
      <x:c r="Y232" s="13"/>
      <x:c r="Z232" s="9"/>
      <x:c r="AA232" s="8" t="str">
        <x:v>Current</x:v>
      </x:c>
      <x:c r="AB232" s="8" t="str">
        <x:v>drop:FC1:F1:fan:-1:F226</x:v>
      </x:c>
      <x:c r="AC232" s="8" t="str">
        <x:v>{"dim":1,"speed":2,"anchorY":9.028413043478261,"note":"Long downrod from a purlin bracket with an anti-sway restraint; structural engineer to verify."}</x:v>
      </x:c>
    </x:row>
    <x:row r="233" ht="96" customHeight="1">
      <x:c r="A233" s="8" t="str">
        <x:v>F227</x:v>
      </x:c>
      <x:c r="B233" s="8" t="str">
        <x:v>Ceiling fan · bay 2′–3 · H aisle</x:v>
      </x:c>
      <x:c r="C233" s="8" t="str">
        <x:v>fan</x:v>
      </x:c>
      <x:c r="D233" s="8" t="str">
        <x:v>DB1</x:v>
      </x:c>
      <x:c r="E233" s="8" t="str">
        <x:v>F1</x:v>
      </x:c>
      <x:c r="F233" s="11" t="n">
        <x:v>7.725</x:v>
      </x:c>
      <x:c r="G233" s="11" t="n">
        <x:v>3.9</x:v>
      </x:c>
      <x:c r="H233" s="11" t="n">
        <x:v>4.4</x:v>
      </x:c>
      <x:c r="I233" s="8" t="str">
        <x:v>pendant</x:v>
      </x:c>
      <x:c r="J233" s="8" t="str">
        <x:v>Shown</x:v>
      </x:c>
      <x:c r="K233" s="8" t="str">
        <x:v>On</x:v>
      </x:c>
      <x:c r="L233" s="8" t="str">
        <x:v>1323 × 255 × 1391</x:v>
      </x:c>
      <x:c r="M233" s="8" t="str">
        <x:v>1.42 m diameter · 60 W at maximum speed. Speed steps: 1: 1.3 m3/s, 18 W, 32 dBA, 110 rpm; 2: 2 m3/s, 34 W, 38 dBA, 170 rpm; 3: 2.8 m3/s, 60 W, 45 dBA, 240 rpm</x:v>
      </x:c>
      <x:c r="N233" s="11" t="n">
        <x:v>60</x:v>
      </x:c>
      <x:c r="O233" s="11" t="n">
        <x:v>0</x:v>
      </x:c>
      <x:c r="P233" s="11" t="n">
        <x:v>0</x:v>
      </x:c>
      <x:c r="Q233" s="9"/>
      <x:c r="R233" s="9"/>
      <x:c r="S233" s="9"/>
      <x:c r="T233" s="9"/>
      <x:c r="U233" s="9"/>
      <x:c r="V233" s="9"/>
      <x:c r="W233" s="13"/>
      <x:c r="X233" s="13"/>
      <x:c r="Y233" s="13"/>
      <x:c r="Z233" s="9"/>
      <x:c r="AA233" s="8" t="str">
        <x:v>Current</x:v>
      </x:c>
      <x:c r="AB233" s="8" t="str">
        <x:v>drop:FC1:F1:fan:1:F227</x:v>
      </x:c>
      <x:c r="AC233" s="8" t="str">
        <x:v>{"dim":1,"speed":2,"anchorY":9.028413043478261,"note":"Long downrod from a purlin bracket with an anti-sway restraint; structural engineer to verify."}</x:v>
      </x:c>
    </x:row>
    <x:row r="234" ht="96" customHeight="1">
      <x:c r="A234" s="8" t="str">
        <x:v>F228</x:v>
      </x:c>
      <x:c r="B234" s="8" t="str">
        <x:v>Ceiling fan · bay 3–4 · B aisle</x:v>
      </x:c>
      <x:c r="C234" s="8" t="str">
        <x:v>fan</x:v>
      </x:c>
      <x:c r="D234" s="8" t="str">
        <x:v>DB1</x:v>
      </x:c>
      <x:c r="E234" s="8" t="str">
        <x:v>F1</x:v>
      </x:c>
      <x:c r="F234" s="11" t="n">
        <x:v>12.225</x:v>
      </x:c>
      <x:c r="G234" s="11" t="n">
        <x:v>3.9</x:v>
      </x:c>
      <x:c r="H234" s="11" t="n">
        <x:v>-4.4</x:v>
      </x:c>
      <x:c r="I234" s="8" t="str">
        <x:v>pendant</x:v>
      </x:c>
      <x:c r="J234" s="8" t="str">
        <x:v>Shown</x:v>
      </x:c>
      <x:c r="K234" s="8" t="str">
        <x:v>On</x:v>
      </x:c>
      <x:c r="L234" s="8" t="str">
        <x:v>1323 × 255 × 1391</x:v>
      </x:c>
      <x:c r="M234" s="8" t="str">
        <x:v>1.42 m diameter · 60 W at maximum speed. Speed steps: 1: 1.3 m3/s, 18 W, 32 dBA, 110 rpm; 2: 2 m3/s, 34 W, 38 dBA, 170 rpm; 3: 2.8 m3/s, 60 W, 45 dBA, 240 rpm</x:v>
      </x:c>
      <x:c r="N234" s="11" t="n">
        <x:v>60</x:v>
      </x:c>
      <x:c r="O234" s="11" t="n">
        <x:v>0</x:v>
      </x:c>
      <x:c r="P234" s="11" t="n">
        <x:v>0</x:v>
      </x:c>
      <x:c r="Q234" s="9"/>
      <x:c r="R234" s="9"/>
      <x:c r="S234" s="9"/>
      <x:c r="T234" s="9"/>
      <x:c r="U234" s="9"/>
      <x:c r="V234" s="9"/>
      <x:c r="W234" s="13"/>
      <x:c r="X234" s="13"/>
      <x:c r="Y234" s="13"/>
      <x:c r="Z234" s="9"/>
      <x:c r="AA234" s="8" t="str">
        <x:v>Current</x:v>
      </x:c>
      <x:c r="AB234" s="8" t="str">
        <x:v>drop:FC1:F1:fan:-1:F228</x:v>
      </x:c>
      <x:c r="AC234" s="8" t="str">
        <x:v>{"dim":1,"speed":2,"anchorY":9.028413043478261,"note":"Long downrod from a purlin bracket with an anti-sway restraint; structural engineer to verify."}</x:v>
      </x:c>
    </x:row>
    <x:row r="235" ht="96" customHeight="1">
      <x:c r="A235" s="8" t="str">
        <x:v>F229</x:v>
      </x:c>
      <x:c r="B235" s="8" t="str">
        <x:v>Ceiling fan · bay 3–4 · H aisle</x:v>
      </x:c>
      <x:c r="C235" s="8" t="str">
        <x:v>fan</x:v>
      </x:c>
      <x:c r="D235" s="8" t="str">
        <x:v>DB1</x:v>
      </x:c>
      <x:c r="E235" s="8" t="str">
        <x:v>F1</x:v>
      </x:c>
      <x:c r="F235" s="11" t="n">
        <x:v>12.225</x:v>
      </x:c>
      <x:c r="G235" s="11" t="n">
        <x:v>3.9</x:v>
      </x:c>
      <x:c r="H235" s="11" t="n">
        <x:v>4.4</x:v>
      </x:c>
      <x:c r="I235" s="8" t="str">
        <x:v>pendant</x:v>
      </x:c>
      <x:c r="J235" s="8" t="str">
        <x:v>Shown</x:v>
      </x:c>
      <x:c r="K235" s="8" t="str">
        <x:v>On</x:v>
      </x:c>
      <x:c r="L235" s="8" t="str">
        <x:v>1323 × 255 × 1391</x:v>
      </x:c>
      <x:c r="M235" s="8" t="str">
        <x:v>1.42 m diameter · 60 W at maximum speed. Speed steps: 1: 1.3 m3/s, 18 W, 32 dBA, 110 rpm; 2: 2 m3/s, 34 W, 38 dBA, 170 rpm; 3: 2.8 m3/s, 60 W, 45 dBA, 240 rpm</x:v>
      </x:c>
      <x:c r="N235" s="11" t="n">
        <x:v>60</x:v>
      </x:c>
      <x:c r="O235" s="11" t="n">
        <x:v>0</x:v>
      </x:c>
      <x:c r="P235" s="11" t="n">
        <x:v>0</x:v>
      </x:c>
      <x:c r="Q235" s="9"/>
      <x:c r="R235" s="9"/>
      <x:c r="S235" s="9"/>
      <x:c r="T235" s="9"/>
      <x:c r="U235" s="9"/>
      <x:c r="V235" s="9"/>
      <x:c r="W235" s="13"/>
      <x:c r="X235" s="13"/>
      <x:c r="Y235" s="13"/>
      <x:c r="Z235" s="9"/>
      <x:c r="AA235" s="8" t="str">
        <x:v>Current</x:v>
      </x:c>
      <x:c r="AB235" s="8" t="str">
        <x:v>drop:FC1:F1:fan:1:F229</x:v>
      </x:c>
      <x:c r="AC235" s="8" t="str">
        <x:v>{"dim":1,"speed":2,"anchorY":9.028413043478261,"note":"Long downrod from a purlin bracket with an anti-sway restraint; structural engineer to verify."}</x:v>
      </x:c>
    </x:row>
    <x:row r="236" ht="96" customHeight="1">
      <x:c r="A236" s="8" t="str">
        <x:v>F230</x:v>
      </x:c>
      <x:c r="B236" s="8" t="str">
        <x:v>Ceiling fan · bay 4–5 · B aisle</x:v>
      </x:c>
      <x:c r="C236" s="8" t="str">
        <x:v>fan</x:v>
      </x:c>
      <x:c r="D236" s="8" t="str">
        <x:v>DB1</x:v>
      </x:c>
      <x:c r="E236" s="8" t="str">
        <x:v>F1</x:v>
      </x:c>
      <x:c r="F236" s="11" t="n">
        <x:v>16.725</x:v>
      </x:c>
      <x:c r="G236" s="11" t="n">
        <x:v>3.9</x:v>
      </x:c>
      <x:c r="H236" s="11" t="n">
        <x:v>-4.4</x:v>
      </x:c>
      <x:c r="I236" s="8" t="str">
        <x:v>pendant</x:v>
      </x:c>
      <x:c r="J236" s="8" t="str">
        <x:v>Shown</x:v>
      </x:c>
      <x:c r="K236" s="8" t="str">
        <x:v>On</x:v>
      </x:c>
      <x:c r="L236" s="8" t="str">
        <x:v>1323 × 255 × 1391</x:v>
      </x:c>
      <x:c r="M236" s="8" t="str">
        <x:v>1.42 m diameter · 60 W at maximum speed. Speed steps: 1: 1.3 m3/s, 18 W, 32 dBA, 110 rpm; 2: 2 m3/s, 34 W, 38 dBA, 170 rpm; 3: 2.8 m3/s, 60 W, 45 dBA, 240 rpm</x:v>
      </x:c>
      <x:c r="N236" s="11" t="n">
        <x:v>60</x:v>
      </x:c>
      <x:c r="O236" s="11" t="n">
        <x:v>0</x:v>
      </x:c>
      <x:c r="P236" s="11" t="n">
        <x:v>0</x:v>
      </x:c>
      <x:c r="Q236" s="9"/>
      <x:c r="R236" s="9"/>
      <x:c r="S236" s="9"/>
      <x:c r="T236" s="9"/>
      <x:c r="U236" s="9"/>
      <x:c r="V236" s="9"/>
      <x:c r="W236" s="13"/>
      <x:c r="X236" s="13"/>
      <x:c r="Y236" s="13"/>
      <x:c r="Z236" s="9"/>
      <x:c r="AA236" s="8" t="str">
        <x:v>Current</x:v>
      </x:c>
      <x:c r="AB236" s="8" t="str">
        <x:v>drop:FC1:F1:fan:-1:F230</x:v>
      </x:c>
      <x:c r="AC236" s="8" t="str">
        <x:v>{"dim":1,"speed":2,"anchorY":9.028413043478261,"note":"Long downrod from a purlin bracket with an anti-sway restraint; structural engineer to verify."}</x:v>
      </x:c>
    </x:row>
    <x:row r="237" ht="96" customHeight="1">
      <x:c r="A237" s="8" t="str">
        <x:v>F231</x:v>
      </x:c>
      <x:c r="B237" s="8" t="str">
        <x:v>Ceiling fan · bay 4–5 · H aisle</x:v>
      </x:c>
      <x:c r="C237" s="8" t="str">
        <x:v>fan</x:v>
      </x:c>
      <x:c r="D237" s="8" t="str">
        <x:v>DB1</x:v>
      </x:c>
      <x:c r="E237" s="8" t="str">
        <x:v>F1</x:v>
      </x:c>
      <x:c r="F237" s="11" t="n">
        <x:v>16.725</x:v>
      </x:c>
      <x:c r="G237" s="11" t="n">
        <x:v>3.9</x:v>
      </x:c>
      <x:c r="H237" s="11" t="n">
        <x:v>4.4</x:v>
      </x:c>
      <x:c r="I237" s="8" t="str">
        <x:v>pendant</x:v>
      </x:c>
      <x:c r="J237" s="8" t="str">
        <x:v>Shown</x:v>
      </x:c>
      <x:c r="K237" s="8" t="str">
        <x:v>On</x:v>
      </x:c>
      <x:c r="L237" s="8" t="str">
        <x:v>1323 × 255 × 1391</x:v>
      </x:c>
      <x:c r="M237" s="8" t="str">
        <x:v>1.42 m diameter · 60 W at maximum speed. Speed steps: 1: 1.3 m3/s, 18 W, 32 dBA, 110 rpm; 2: 2 m3/s, 34 W, 38 dBA, 170 rpm; 3: 2.8 m3/s, 60 W, 45 dBA, 240 rpm</x:v>
      </x:c>
      <x:c r="N237" s="11" t="n">
        <x:v>60</x:v>
      </x:c>
      <x:c r="O237" s="11" t="n">
        <x:v>0</x:v>
      </x:c>
      <x:c r="P237" s="11" t="n">
        <x:v>0</x:v>
      </x:c>
      <x:c r="Q237" s="9"/>
      <x:c r="R237" s="9"/>
      <x:c r="S237" s="9"/>
      <x:c r="T237" s="9"/>
      <x:c r="U237" s="9"/>
      <x:c r="V237" s="9"/>
      <x:c r="W237" s="13"/>
      <x:c r="X237" s="13"/>
      <x:c r="Y237" s="13"/>
      <x:c r="Z237" s="9"/>
      <x:c r="AA237" s="8" t="str">
        <x:v>Current</x:v>
      </x:c>
      <x:c r="AB237" s="8" t="str">
        <x:v>drop:FC1:F1:fan:1:F231</x:v>
      </x:c>
      <x:c r="AC237" s="8" t="str">
        <x:v>{"dim":1,"speed":2,"anchorY":9.028413043478261,"note":"Long downrod from a purlin bracket with an anti-sway restraint; structural engineer to verify."}</x:v>
      </x:c>
    </x:row>
    <x:row r="238" ht="96" customHeight="1">
      <x:c r="A238" s="8" t="str">
        <x:v>F232</x:v>
      </x:c>
      <x:c r="B238" s="8" t="str">
        <x:v>Ceiling fan · bay 5–6 · B aisle</x:v>
      </x:c>
      <x:c r="C238" s="8" t="str">
        <x:v>fan</x:v>
      </x:c>
      <x:c r="D238" s="8" t="str">
        <x:v>DB1</x:v>
      </x:c>
      <x:c r="E238" s="8" t="str">
        <x:v>F1</x:v>
      </x:c>
      <x:c r="F238" s="11" t="n">
        <x:v>21.225</x:v>
      </x:c>
      <x:c r="G238" s="11" t="n">
        <x:v>3.9</x:v>
      </x:c>
      <x:c r="H238" s="11" t="n">
        <x:v>-4.4</x:v>
      </x:c>
      <x:c r="I238" s="8" t="str">
        <x:v>pendant</x:v>
      </x:c>
      <x:c r="J238" s="8" t="str">
        <x:v>Shown</x:v>
      </x:c>
      <x:c r="K238" s="8" t="str">
        <x:v>On</x:v>
      </x:c>
      <x:c r="L238" s="8" t="str">
        <x:v>1323 × 255 × 1391</x:v>
      </x:c>
      <x:c r="M238" s="8" t="str">
        <x:v>1.42 m diameter · 60 W at maximum speed. Speed steps: 1: 1.3 m3/s, 18 W, 32 dBA, 110 rpm; 2: 2 m3/s, 34 W, 38 dBA, 170 rpm; 3: 2.8 m3/s, 60 W, 45 dBA, 240 rpm</x:v>
      </x:c>
      <x:c r="N238" s="11" t="n">
        <x:v>60</x:v>
      </x:c>
      <x:c r="O238" s="11" t="n">
        <x:v>0</x:v>
      </x:c>
      <x:c r="P238" s="11" t="n">
        <x:v>0</x:v>
      </x:c>
      <x:c r="Q238" s="9"/>
      <x:c r="R238" s="9"/>
      <x:c r="S238" s="9"/>
      <x:c r="T238" s="9"/>
      <x:c r="U238" s="9"/>
      <x:c r="V238" s="9"/>
      <x:c r="W238" s="13"/>
      <x:c r="X238" s="13"/>
      <x:c r="Y238" s="13"/>
      <x:c r="Z238" s="9"/>
      <x:c r="AA238" s="8" t="str">
        <x:v>Current</x:v>
      </x:c>
      <x:c r="AB238" s="8" t="str">
        <x:v>drop:FC1:F1:fan:-1:F232</x:v>
      </x:c>
      <x:c r="AC238" s="8" t="str">
        <x:v>{"dim":1,"speed":2,"anchorY":9.028413043478261,"note":"Long downrod from a purlin bracket with an anti-sway restraint; structural engineer to verify."}</x:v>
      </x:c>
    </x:row>
    <x:row r="239" ht="96" customHeight="1">
      <x:c r="A239" s="8" t="str">
        <x:v>F233</x:v>
      </x:c>
      <x:c r="B239" s="8" t="str">
        <x:v>Ceiling fan · bay 5–6 · H aisle</x:v>
      </x:c>
      <x:c r="C239" s="8" t="str">
        <x:v>fan</x:v>
      </x:c>
      <x:c r="D239" s="8" t="str">
        <x:v>DB1</x:v>
      </x:c>
      <x:c r="E239" s="8" t="str">
        <x:v>F1</x:v>
      </x:c>
      <x:c r="F239" s="11" t="n">
        <x:v>21.225</x:v>
      </x:c>
      <x:c r="G239" s="11" t="n">
        <x:v>3.9</x:v>
      </x:c>
      <x:c r="H239" s="11" t="n">
        <x:v>4.4</x:v>
      </x:c>
      <x:c r="I239" s="8" t="str">
        <x:v>pendant</x:v>
      </x:c>
      <x:c r="J239" s="8" t="str">
        <x:v>Shown</x:v>
      </x:c>
      <x:c r="K239" s="8" t="str">
        <x:v>On</x:v>
      </x:c>
      <x:c r="L239" s="8" t="str">
        <x:v>1323 × 255 × 1391</x:v>
      </x:c>
      <x:c r="M239" s="8" t="str">
        <x:v>1.42 m diameter · 60 W at maximum speed. Speed steps: 1: 1.3 m3/s, 18 W, 32 dBA, 110 rpm; 2: 2 m3/s, 34 W, 38 dBA, 170 rpm; 3: 2.8 m3/s, 60 W, 45 dBA, 240 rpm</x:v>
      </x:c>
      <x:c r="N239" s="11" t="n">
        <x:v>60</x:v>
      </x:c>
      <x:c r="O239" s="11" t="n">
        <x:v>0</x:v>
      </x:c>
      <x:c r="P239" s="11" t="n">
        <x:v>0</x:v>
      </x:c>
      <x:c r="Q239" s="9"/>
      <x:c r="R239" s="9"/>
      <x:c r="S239" s="9"/>
      <x:c r="T239" s="9"/>
      <x:c r="U239" s="9"/>
      <x:c r="V239" s="9"/>
      <x:c r="W239" s="13"/>
      <x:c r="X239" s="13"/>
      <x:c r="Y239" s="13"/>
      <x:c r="Z239" s="9"/>
      <x:c r="AA239" s="8" t="str">
        <x:v>Current</x:v>
      </x:c>
      <x:c r="AB239" s="8" t="str">
        <x:v>drop:FC1:F1:fan:1:F233</x:v>
      </x:c>
      <x:c r="AC239" s="8" t="str">
        <x:v>{"dim":1,"speed":2,"anchorY":9.028413043478261,"note":"Long downrod from a purlin bracket with an anti-sway restraint; structural engineer to verify."}</x:v>
      </x:c>
    </x:row>
    <x:row r="240" ht="96" customHeight="1">
      <x:c r="A240" s="8" t="str">
        <x:v>F234</x:v>
      </x:c>
      <x:c r="B240" s="8" t="str">
        <x:v>Ceiling fan · bay 6–7 · B aisle</x:v>
      </x:c>
      <x:c r="C240" s="8" t="str">
        <x:v>fan</x:v>
      </x:c>
      <x:c r="D240" s="8" t="str">
        <x:v>DB1</x:v>
      </x:c>
      <x:c r="E240" s="8" t="str">
        <x:v>F1</x:v>
      </x:c>
      <x:c r="F240" s="11" t="n">
        <x:v>25.725</x:v>
      </x:c>
      <x:c r="G240" s="11" t="n">
        <x:v>3.9</x:v>
      </x:c>
      <x:c r="H240" s="11" t="n">
        <x:v>-4.4</x:v>
      </x:c>
      <x:c r="I240" s="8" t="str">
        <x:v>pendant</x:v>
      </x:c>
      <x:c r="J240" s="8" t="str">
        <x:v>Shown</x:v>
      </x:c>
      <x:c r="K240" s="8" t="str">
        <x:v>On</x:v>
      </x:c>
      <x:c r="L240" s="8" t="str">
        <x:v>1323 × 255 × 1391</x:v>
      </x:c>
      <x:c r="M240" s="8" t="str">
        <x:v>1.42 m diameter · 60 W at maximum speed. Speed steps: 1: 1.3 m3/s, 18 W, 32 dBA, 110 rpm; 2: 2 m3/s, 34 W, 38 dBA, 170 rpm; 3: 2.8 m3/s, 60 W, 45 dBA, 240 rpm</x:v>
      </x:c>
      <x:c r="N240" s="11" t="n">
        <x:v>60</x:v>
      </x:c>
      <x:c r="O240" s="11" t="n">
        <x:v>0</x:v>
      </x:c>
      <x:c r="P240" s="11" t="n">
        <x:v>0</x:v>
      </x:c>
      <x:c r="Q240" s="9"/>
      <x:c r="R240" s="9"/>
      <x:c r="S240" s="9"/>
      <x:c r="T240" s="9"/>
      <x:c r="U240" s="9"/>
      <x:c r="V240" s="9"/>
      <x:c r="W240" s="13"/>
      <x:c r="X240" s="13"/>
      <x:c r="Y240" s="13"/>
      <x:c r="Z240" s="9"/>
      <x:c r="AA240" s="8" t="str">
        <x:v>Current</x:v>
      </x:c>
      <x:c r="AB240" s="8" t="str">
        <x:v>drop:FC1:F1:fan:-1:F234</x:v>
      </x:c>
      <x:c r="AC240" s="8" t="str">
        <x:v>{"dim":1,"speed":2,"anchorY":9.028413043478261,"note":"Long downrod from a purlin bracket with an anti-sway restraint; structural engineer to verify."}</x:v>
      </x:c>
    </x:row>
    <x:row r="241" ht="96" customHeight="1">
      <x:c r="A241" s="8" t="str">
        <x:v>F235</x:v>
      </x:c>
      <x:c r="B241" s="8" t="str">
        <x:v>Ceiling fan · bay 6–7 · H aisle</x:v>
      </x:c>
      <x:c r="C241" s="8" t="str">
        <x:v>fan</x:v>
      </x:c>
      <x:c r="D241" s="8" t="str">
        <x:v>DB1</x:v>
      </x:c>
      <x:c r="E241" s="8" t="str">
        <x:v>F1</x:v>
      </x:c>
      <x:c r="F241" s="11" t="n">
        <x:v>25.725</x:v>
      </x:c>
      <x:c r="G241" s="11" t="n">
        <x:v>3.9</x:v>
      </x:c>
      <x:c r="H241" s="11" t="n">
        <x:v>4.4</x:v>
      </x:c>
      <x:c r="I241" s="8" t="str">
        <x:v>pendant</x:v>
      </x:c>
      <x:c r="J241" s="8" t="str">
        <x:v>Shown</x:v>
      </x:c>
      <x:c r="K241" s="8" t="str">
        <x:v>On</x:v>
      </x:c>
      <x:c r="L241" s="8" t="str">
        <x:v>1323 × 255 × 1391</x:v>
      </x:c>
      <x:c r="M241" s="8" t="str">
        <x:v>1.42 m diameter · 60 W at maximum speed. Speed steps: 1: 1.3 m3/s, 18 W, 32 dBA, 110 rpm; 2: 2 m3/s, 34 W, 38 dBA, 170 rpm; 3: 2.8 m3/s, 60 W, 45 dBA, 240 rpm</x:v>
      </x:c>
      <x:c r="N241" s="11" t="n">
        <x:v>60</x:v>
      </x:c>
      <x:c r="O241" s="11" t="n">
        <x:v>0</x:v>
      </x:c>
      <x:c r="P241" s="11" t="n">
        <x:v>0</x:v>
      </x:c>
      <x:c r="Q241" s="9"/>
      <x:c r="R241" s="9"/>
      <x:c r="S241" s="9"/>
      <x:c r="T241" s="9"/>
      <x:c r="U241" s="9"/>
      <x:c r="V241" s="9"/>
      <x:c r="W241" s="13"/>
      <x:c r="X241" s="13"/>
      <x:c r="Y241" s="13"/>
      <x:c r="Z241" s="9"/>
      <x:c r="AA241" s="8" t="str">
        <x:v>Current</x:v>
      </x:c>
      <x:c r="AB241" s="8" t="str">
        <x:v>drop:FC1:F1:fan:1:F235</x:v>
      </x:c>
      <x:c r="AC241" s="8" t="str">
        <x:v>{"dim":1,"speed":2,"anchorY":9.028413043478261,"note":"Long downrod from a purlin bracket with an anti-sway restraint; structural engineer to verify."}</x:v>
      </x:c>
    </x:row>
    <x:row r="242" ht="96" customHeight="1">
      <x:c r="A242" s="8" t="str">
        <x:v>F236</x:v>
      </x:c>
      <x:c r="B242" s="8" t="str">
        <x:v>Ceiling fan · bay 7–8 · B aisle</x:v>
      </x:c>
      <x:c r="C242" s="8" t="str">
        <x:v>fan</x:v>
      </x:c>
      <x:c r="D242" s="8" t="str">
        <x:v>DB1</x:v>
      </x:c>
      <x:c r="E242" s="8" t="str">
        <x:v>F1</x:v>
      </x:c>
      <x:c r="F242" s="11" t="n">
        <x:v>30.225</x:v>
      </x:c>
      <x:c r="G242" s="11" t="n">
        <x:v>3.9</x:v>
      </x:c>
      <x:c r="H242" s="11" t="n">
        <x:v>-4.4</x:v>
      </x:c>
      <x:c r="I242" s="8" t="str">
        <x:v>pendant</x:v>
      </x:c>
      <x:c r="J242" s="8" t="str">
        <x:v>Shown</x:v>
      </x:c>
      <x:c r="K242" s="8" t="str">
        <x:v>On</x:v>
      </x:c>
      <x:c r="L242" s="8" t="str">
        <x:v>1323 × 255 × 1391</x:v>
      </x:c>
      <x:c r="M242" s="8" t="str">
        <x:v>1.42 m diameter · 60 W at maximum speed. Speed steps: 1: 1.3 m3/s, 18 W, 32 dBA, 110 rpm; 2: 2 m3/s, 34 W, 38 dBA, 170 rpm; 3: 2.8 m3/s, 60 W, 45 dBA, 240 rpm</x:v>
      </x:c>
      <x:c r="N242" s="11" t="n">
        <x:v>60</x:v>
      </x:c>
      <x:c r="O242" s="11" t="n">
        <x:v>0</x:v>
      </x:c>
      <x:c r="P242" s="11" t="n">
        <x:v>0</x:v>
      </x:c>
      <x:c r="Q242" s="9"/>
      <x:c r="R242" s="9"/>
      <x:c r="S242" s="9"/>
      <x:c r="T242" s="9"/>
      <x:c r="U242" s="9"/>
      <x:c r="V242" s="9"/>
      <x:c r="W242" s="13"/>
      <x:c r="X242" s="13"/>
      <x:c r="Y242" s="13"/>
      <x:c r="Z242" s="9"/>
      <x:c r="AA242" s="8" t="str">
        <x:v>Current</x:v>
      </x:c>
      <x:c r="AB242" s="8" t="str">
        <x:v>drop:FC1:F1:fan:-1:F236</x:v>
      </x:c>
      <x:c r="AC242" s="8" t="str">
        <x:v>{"dim":1,"speed":2,"anchorY":9.028413043478261,"note":"Long downrod from a purlin bracket with an anti-sway restraint; structural engineer to verify."}</x:v>
      </x:c>
    </x:row>
    <x:row r="243" ht="96" customHeight="1">
      <x:c r="A243" s="8" t="str">
        <x:v>F237</x:v>
      </x:c>
      <x:c r="B243" s="8" t="str">
        <x:v>Ceiling fan · bay 7–8 · H aisle</x:v>
      </x:c>
      <x:c r="C243" s="8" t="str">
        <x:v>fan</x:v>
      </x:c>
      <x:c r="D243" s="8" t="str">
        <x:v>DB1</x:v>
      </x:c>
      <x:c r="E243" s="8" t="str">
        <x:v>F1</x:v>
      </x:c>
      <x:c r="F243" s="11" t="n">
        <x:v>30.225</x:v>
      </x:c>
      <x:c r="G243" s="11" t="n">
        <x:v>3.9</x:v>
      </x:c>
      <x:c r="H243" s="11" t="n">
        <x:v>4.4</x:v>
      </x:c>
      <x:c r="I243" s="8" t="str">
        <x:v>pendant</x:v>
      </x:c>
      <x:c r="J243" s="8" t="str">
        <x:v>Shown</x:v>
      </x:c>
      <x:c r="K243" s="8" t="str">
        <x:v>On</x:v>
      </x:c>
      <x:c r="L243" s="8" t="str">
        <x:v>1323 × 255 × 1391</x:v>
      </x:c>
      <x:c r="M243" s="8" t="str">
        <x:v>1.42 m diameter · 60 W at maximum speed. Speed steps: 1: 1.3 m3/s, 18 W, 32 dBA, 110 rpm; 2: 2 m3/s, 34 W, 38 dBA, 170 rpm; 3: 2.8 m3/s, 60 W, 45 dBA, 240 rpm</x:v>
      </x:c>
      <x:c r="N243" s="11" t="n">
        <x:v>60</x:v>
      </x:c>
      <x:c r="O243" s="11" t="n">
        <x:v>0</x:v>
      </x:c>
      <x:c r="P243" s="11" t="n">
        <x:v>0</x:v>
      </x:c>
      <x:c r="Q243" s="9"/>
      <x:c r="R243" s="9"/>
      <x:c r="S243" s="9"/>
      <x:c r="T243" s="9"/>
      <x:c r="U243" s="9"/>
      <x:c r="V243" s="9"/>
      <x:c r="W243" s="13"/>
      <x:c r="X243" s="13"/>
      <x:c r="Y243" s="13"/>
      <x:c r="Z243" s="9"/>
      <x:c r="AA243" s="8" t="str">
        <x:v>Current</x:v>
      </x:c>
      <x:c r="AB243" s="8" t="str">
        <x:v>drop:FC1:F1:fan:1:F237</x:v>
      </x:c>
      <x:c r="AC243" s="8" t="str">
        <x:v>{"dim":1,"speed":2,"anchorY":9.028413043478261,"note":"Long downrod from a purlin bracket with an anti-sway restraint; structural engineer to verify."}</x:v>
      </x:c>
    </x:row>
    <x:row r="244" ht="96" customHeight="1">
      <x:c r="A244" s="8" t="str">
        <x:v>F238</x:v>
      </x:c>
      <x:c r="B244" s="8" t="str">
        <x:v>Ceiling fan · bay 8–9 · B aisle</x:v>
      </x:c>
      <x:c r="C244" s="8" t="str">
        <x:v>fan</x:v>
      </x:c>
      <x:c r="D244" s="8" t="str">
        <x:v>DB1</x:v>
      </x:c>
      <x:c r="E244" s="8" t="str">
        <x:v>F1</x:v>
      </x:c>
      <x:c r="F244" s="11" t="n">
        <x:v>34.725</x:v>
      </x:c>
      <x:c r="G244" s="11" t="n">
        <x:v>3.9</x:v>
      </x:c>
      <x:c r="H244" s="11" t="n">
        <x:v>-4.4</x:v>
      </x:c>
      <x:c r="I244" s="8" t="str">
        <x:v>pendant</x:v>
      </x:c>
      <x:c r="J244" s="8" t="str">
        <x:v>Shown</x:v>
      </x:c>
      <x:c r="K244" s="8" t="str">
        <x:v>On</x:v>
      </x:c>
      <x:c r="L244" s="8" t="str">
        <x:v>1323 × 255 × 1391</x:v>
      </x:c>
      <x:c r="M244" s="8" t="str">
        <x:v>1.42 m diameter · 60 W at maximum speed. Speed steps: 1: 1.3 m3/s, 18 W, 32 dBA, 110 rpm; 2: 2 m3/s, 34 W, 38 dBA, 170 rpm; 3: 2.8 m3/s, 60 W, 45 dBA, 240 rpm</x:v>
      </x:c>
      <x:c r="N244" s="11" t="n">
        <x:v>60</x:v>
      </x:c>
      <x:c r="O244" s="11" t="n">
        <x:v>0</x:v>
      </x:c>
      <x:c r="P244" s="11" t="n">
        <x:v>0</x:v>
      </x:c>
      <x:c r="Q244" s="9"/>
      <x:c r="R244" s="9"/>
      <x:c r="S244" s="9"/>
      <x:c r="T244" s="9"/>
      <x:c r="U244" s="9"/>
      <x:c r="V244" s="9"/>
      <x:c r="W244" s="13"/>
      <x:c r="X244" s="13"/>
      <x:c r="Y244" s="13"/>
      <x:c r="Z244" s="9"/>
      <x:c r="AA244" s="8" t="str">
        <x:v>Current</x:v>
      </x:c>
      <x:c r="AB244" s="8" t="str">
        <x:v>drop:FC1:F1:fan:-1:F238</x:v>
      </x:c>
      <x:c r="AC244" s="8" t="str">
        <x:v>{"dim":1,"speed":2,"anchorY":9.028413043478261,"note":"Long downrod from a purlin bracket with an anti-sway restraint; structural engineer to verify."}</x:v>
      </x:c>
    </x:row>
    <x:row r="245" ht="96" customHeight="1">
      <x:c r="A245" s="8" t="str">
        <x:v>F239</x:v>
      </x:c>
      <x:c r="B245" s="8" t="str">
        <x:v>Ceiling fan · bay 8–9 · H aisle</x:v>
      </x:c>
      <x:c r="C245" s="8" t="str">
        <x:v>fan</x:v>
      </x:c>
      <x:c r="D245" s="8" t="str">
        <x:v>DB1</x:v>
      </x:c>
      <x:c r="E245" s="8" t="str">
        <x:v>F1</x:v>
      </x:c>
      <x:c r="F245" s="11" t="n">
        <x:v>34.725</x:v>
      </x:c>
      <x:c r="G245" s="11" t="n">
        <x:v>3.9</x:v>
      </x:c>
      <x:c r="H245" s="11" t="n">
        <x:v>4.4</x:v>
      </x:c>
      <x:c r="I245" s="8" t="str">
        <x:v>pendant</x:v>
      </x:c>
      <x:c r="J245" s="8" t="str">
        <x:v>Shown</x:v>
      </x:c>
      <x:c r="K245" s="8" t="str">
        <x:v>On</x:v>
      </x:c>
      <x:c r="L245" s="8" t="str">
        <x:v>1323 × 255 × 1391</x:v>
      </x:c>
      <x:c r="M245" s="8" t="str">
        <x:v>1.42 m diameter · 60 W at maximum speed. Speed steps: 1: 1.3 m3/s, 18 W, 32 dBA, 110 rpm; 2: 2 m3/s, 34 W, 38 dBA, 170 rpm; 3: 2.8 m3/s, 60 W, 45 dBA, 240 rpm</x:v>
      </x:c>
      <x:c r="N245" s="11" t="n">
        <x:v>60</x:v>
      </x:c>
      <x:c r="O245" s="11" t="n">
        <x:v>0</x:v>
      </x:c>
      <x:c r="P245" s="11" t="n">
        <x:v>0</x:v>
      </x:c>
      <x:c r="Q245" s="9"/>
      <x:c r="R245" s="9"/>
      <x:c r="S245" s="9"/>
      <x:c r="T245" s="9"/>
      <x:c r="U245" s="9"/>
      <x:c r="V245" s="9"/>
      <x:c r="W245" s="13"/>
      <x:c r="X245" s="13"/>
      <x:c r="Y245" s="13"/>
      <x:c r="Z245" s="9"/>
      <x:c r="AA245" s="8" t="str">
        <x:v>Current</x:v>
      </x:c>
      <x:c r="AB245" s="8" t="str">
        <x:v>drop:FC1:F1:fan:1:F239</x:v>
      </x:c>
      <x:c r="AC245" s="8" t="str">
        <x:v>{"dim":1,"speed":2,"anchorY":9.028413043478261,"note":"Long downrod from a purlin bracket with an anti-sway restraint; structural engineer to verify."}</x:v>
      </x:c>
    </x:row>
    <x:row r="246" ht="96" customHeight="1">
      <x:c r="A246" s="8" t="str">
        <x:v>F240</x:v>
      </x:c>
      <x:c r="B246" s="8" t="str">
        <x:v>Ceiling fan · wing B · front</x:v>
      </x:c>
      <x:c r="C246" s="8" t="str">
        <x:v>fan</x:v>
      </x:c>
      <x:c r="D246" s="8" t="str">
        <x:v>DB1</x:v>
      </x:c>
      <x:c r="E246" s="8" t="str">
        <x:v>F1</x:v>
      </x:c>
      <x:c r="F246" s="11" t="n">
        <x:v>39.3</x:v>
      </x:c>
      <x:c r="G246" s="11" t="n">
        <x:v>3.3</x:v>
      </x:c>
      <x:c r="H246" s="11" t="n">
        <x:v>-10.15</x:v>
      </x:c>
      <x:c r="I246" s="8" t="str">
        <x:v>pendant</x:v>
      </x:c>
      <x:c r="J246" s="8" t="str">
        <x:v>Shown</x:v>
      </x:c>
      <x:c r="K246" s="8" t="str">
        <x:v>On</x:v>
      </x:c>
      <x:c r="L246" s="8" t="str">
        <x:v>1323 × 255 × 1391</x:v>
      </x:c>
      <x:c r="M246" s="8" t="str">
        <x:v>1.42 m diameter · 60 W at maximum speed. Speed steps: 1: 1.3 m3/s, 18 W, 32 dBA, 110 rpm; 2: 2 m3/s, 34 W, 38 dBA, 170 rpm; 3: 2.8 m3/s, 60 W, 45 dBA, 240 rpm</x:v>
      </x:c>
      <x:c r="N246" s="11" t="n">
        <x:v>60</x:v>
      </x:c>
      <x:c r="O246" s="11" t="n">
        <x:v>0</x:v>
      </x:c>
      <x:c r="P246" s="11" t="n">
        <x:v>0</x:v>
      </x:c>
      <x:c r="Q246" s="9"/>
      <x:c r="R246" s="9"/>
      <x:c r="S246" s="9"/>
      <x:c r="T246" s="9"/>
      <x:c r="U246" s="9"/>
      <x:c r="V246" s="9"/>
      <x:c r="W246" s="13"/>
      <x:c r="X246" s="13"/>
      <x:c r="Y246" s="13"/>
      <x:c r="Z246" s="9"/>
      <x:c r="AA246" s="8" t="str">
        <x:v>Current</x:v>
      </x:c>
      <x:c r="AB246" s="8" t="str">
        <x:v>drop:FC1:F1:fan:-1:F240</x:v>
      </x:c>
      <x:c r="AC246" s="8" t="str">
        <x:v>{"dim":1,"speed":2,"anchorY":8.398379999999996}</x:v>
      </x:c>
    </x:row>
    <x:row r="247" ht="96" customHeight="1">
      <x:c r="A247" s="8" t="str">
        <x:v>F241</x:v>
      </x:c>
      <x:c r="B247" s="8" t="str">
        <x:v>Ceiling fan · wing B · rear</x:v>
      </x:c>
      <x:c r="C247" s="8" t="str">
        <x:v>fan</x:v>
      </x:c>
      <x:c r="D247" s="8" t="str">
        <x:v>DB1</x:v>
      </x:c>
      <x:c r="E247" s="8" t="str">
        <x:v>F1</x:v>
      </x:c>
      <x:c r="F247" s="11" t="n">
        <x:v>41.85</x:v>
      </x:c>
      <x:c r="G247" s="11" t="n">
        <x:v>3.3</x:v>
      </x:c>
      <x:c r="H247" s="11" t="n">
        <x:v>-10.15</x:v>
      </x:c>
      <x:c r="I247" s="8" t="str">
        <x:v>pendant</x:v>
      </x:c>
      <x:c r="J247" s="8" t="str">
        <x:v>Shown</x:v>
      </x:c>
      <x:c r="K247" s="8" t="str">
        <x:v>On</x:v>
      </x:c>
      <x:c r="L247" s="8" t="str">
        <x:v>1323 × 255 × 1391</x:v>
      </x:c>
      <x:c r="M247" s="8" t="str">
        <x:v>1.42 m diameter · 60 W at maximum speed. Speed steps: 1: 1.3 m3/s, 18 W, 32 dBA, 110 rpm; 2: 2 m3/s, 34 W, 38 dBA, 170 rpm; 3: 2.8 m3/s, 60 W, 45 dBA, 240 rpm</x:v>
      </x:c>
      <x:c r="N247" s="11" t="n">
        <x:v>60</x:v>
      </x:c>
      <x:c r="O247" s="11" t="n">
        <x:v>0</x:v>
      </x:c>
      <x:c r="P247" s="11" t="n">
        <x:v>0</x:v>
      </x:c>
      <x:c r="Q247" s="9"/>
      <x:c r="R247" s="9"/>
      <x:c r="S247" s="9"/>
      <x:c r="T247" s="9"/>
      <x:c r="U247" s="9"/>
      <x:c r="V247" s="9"/>
      <x:c r="W247" s="13"/>
      <x:c r="X247" s="13"/>
      <x:c r="Y247" s="13"/>
      <x:c r="Z247" s="9"/>
      <x:c r="AA247" s="8" t="str">
        <x:v>Current</x:v>
      </x:c>
      <x:c r="AB247" s="8" t="str">
        <x:v>drop:FC1:F1:fan:-1:F241</x:v>
      </x:c>
      <x:c r="AC247" s="8" t="str">
        <x:v>{"dim":1,"speed":2,"anchorY":8.374770000000002}</x:v>
      </x:c>
    </x:row>
    <x:row r="248" ht="96" customHeight="1">
      <x:c r="A248" s="8" t="str">
        <x:v>F242</x:v>
      </x:c>
      <x:c r="B248" s="8" t="str">
        <x:v>Ceiling fan · wing H · front</x:v>
      </x:c>
      <x:c r="C248" s="8" t="str">
        <x:v>fan</x:v>
      </x:c>
      <x:c r="D248" s="8" t="str">
        <x:v>DB1</x:v>
      </x:c>
      <x:c r="E248" s="8" t="str">
        <x:v>F1</x:v>
      </x:c>
      <x:c r="F248" s="11" t="n">
        <x:v>39.3</x:v>
      </x:c>
      <x:c r="G248" s="11" t="n">
        <x:v>3.3</x:v>
      </x:c>
      <x:c r="H248" s="11" t="n">
        <x:v>10.15</x:v>
      </x:c>
      <x:c r="I248" s="8" t="str">
        <x:v>pendant</x:v>
      </x:c>
      <x:c r="J248" s="8" t="str">
        <x:v>Shown</x:v>
      </x:c>
      <x:c r="K248" s="8" t="str">
        <x:v>On</x:v>
      </x:c>
      <x:c r="L248" s="8" t="str">
        <x:v>1323 × 255 × 1391</x:v>
      </x:c>
      <x:c r="M248" s="8" t="str">
        <x:v>1.42 m diameter · 60 W at maximum speed. Speed steps: 1: 1.3 m3/s, 18 W, 32 dBA, 110 rpm; 2: 2 m3/s, 34 W, 38 dBA, 170 rpm; 3: 2.8 m3/s, 60 W, 45 dBA, 240 rpm</x:v>
      </x:c>
      <x:c r="N248" s="11" t="n">
        <x:v>60</x:v>
      </x:c>
      <x:c r="O248" s="11" t="n">
        <x:v>0</x:v>
      </x:c>
      <x:c r="P248" s="11" t="n">
        <x:v>0</x:v>
      </x:c>
      <x:c r="Q248" s="9"/>
      <x:c r="R248" s="9"/>
      <x:c r="S248" s="9"/>
      <x:c r="T248" s="9"/>
      <x:c r="U248" s="9"/>
      <x:c r="V248" s="9"/>
      <x:c r="W248" s="13"/>
      <x:c r="X248" s="13"/>
      <x:c r="Y248" s="13"/>
      <x:c r="Z248" s="9"/>
      <x:c r="AA248" s="8" t="str">
        <x:v>Current</x:v>
      </x:c>
      <x:c r="AB248" s="8" t="str">
        <x:v>drop:FC1:F1:fan:1:F242</x:v>
      </x:c>
      <x:c r="AC248" s="8" t="str">
        <x:v>{"dim":1,"speed":2,"anchorY":8.398379999999996}</x:v>
      </x:c>
    </x:row>
    <x:row r="249" ht="96" customHeight="1">
      <x:c r="A249" s="8" t="str">
        <x:v>F243</x:v>
      </x:c>
      <x:c r="B249" s="8" t="str">
        <x:v>Ceiling fan · wing H · rear</x:v>
      </x:c>
      <x:c r="C249" s="8" t="str">
        <x:v>fan</x:v>
      </x:c>
      <x:c r="D249" s="8" t="str">
        <x:v>DB1</x:v>
      </x:c>
      <x:c r="E249" s="8" t="str">
        <x:v>F1</x:v>
      </x:c>
      <x:c r="F249" s="11" t="n">
        <x:v>41.85</x:v>
      </x:c>
      <x:c r="G249" s="11" t="n">
        <x:v>3.3</x:v>
      </x:c>
      <x:c r="H249" s="11" t="n">
        <x:v>10.15</x:v>
      </x:c>
      <x:c r="I249" s="8" t="str">
        <x:v>pendant</x:v>
      </x:c>
      <x:c r="J249" s="8" t="str">
        <x:v>Shown</x:v>
      </x:c>
      <x:c r="K249" s="8" t="str">
        <x:v>On</x:v>
      </x:c>
      <x:c r="L249" s="8" t="str">
        <x:v>1323 × 255 × 1391</x:v>
      </x:c>
      <x:c r="M249" s="8" t="str">
        <x:v>1.42 m diameter · 60 W at maximum speed. Speed steps: 1: 1.3 m3/s, 18 W, 32 dBA, 110 rpm; 2: 2 m3/s, 34 W, 38 dBA, 170 rpm; 3: 2.8 m3/s, 60 W, 45 dBA, 240 rpm</x:v>
      </x:c>
      <x:c r="N249" s="11" t="n">
        <x:v>60</x:v>
      </x:c>
      <x:c r="O249" s="11" t="n">
        <x:v>0</x:v>
      </x:c>
      <x:c r="P249" s="11" t="n">
        <x:v>0</x:v>
      </x:c>
      <x:c r="Q249" s="9"/>
      <x:c r="R249" s="9"/>
      <x:c r="S249" s="9"/>
      <x:c r="T249" s="9"/>
      <x:c r="U249" s="9"/>
      <x:c r="V249" s="9"/>
      <x:c r="W249" s="13"/>
      <x:c r="X249" s="13"/>
      <x:c r="Y249" s="13"/>
      <x:c r="Z249" s="9"/>
      <x:c r="AA249" s="8" t="str">
        <x:v>Current</x:v>
      </x:c>
      <x:c r="AB249" s="8" t="str">
        <x:v>drop:FC1:F1:fan:1:F243</x:v>
      </x:c>
      <x:c r="AC249" s="8" t="str">
        <x:v>{"dim":1,"speed":2,"anchorY":8.374770000000002}</x:v>
      </x:c>
    </x:row>
    <x:row r="250" ht="96" customHeight="1">
      <x:c r="A250" s="8" t="str">
        <x:v>F244</x:v>
      </x:c>
      <x:c r="B250" s="8" t="str">
        <x:v>Wall fan · axis 4 · B</x:v>
      </x:c>
      <x:c r="C250" s="8" t="str">
        <x:v>fan</x:v>
      </x:c>
      <x:c r="D250" s="8" t="str">
        <x:v>DB1</x:v>
      </x:c>
      <x:c r="E250" s="8" t="str">
        <x:v>F2</x:v>
      </x:c>
      <x:c r="F250" s="11" t="n">
        <x:v>14.475</x:v>
      </x:c>
      <x:c r="G250" s="11" t="n">
        <x:v>5.55</x:v>
      </x:c>
      <x:c r="H250" s="11" t="n">
        <x:v>-7.07</x:v>
      </x:c>
      <x:c r="I250" s="8" t="str">
        <x:v>wall</x:v>
      </x:c>
      <x:c r="J250" s="8" t="str">
        <x:v>Hidden alternative</x:v>
      </x:c>
      <x:c r="K250" s="8" t="str">
        <x:v>On</x:v>
      </x:c>
      <x:c r="L250" s="8" t="str">
        <x:v>460 × 490 × 490</x:v>
      </x:c>
      <x:c r="M250" s="8" t="str">
        <x:v>0.45 m diameter · 55 W at maximum speed. Speed steps: 1: 0.45 m3/s, 35 W, 47 dBA, 900 rpm; 2: 0.6 m3/s, 45 W, 52 dBA, 1100 rpm; 3: 0.75 m3/s, 55 W, 57 dBA, 1300 rpm</x:v>
      </x:c>
      <x:c r="N250" s="11" t="n">
        <x:v>0</x:v>
      </x:c>
      <x:c r="O250" s="11" t="n">
        <x:v>90</x:v>
      </x:c>
      <x:c r="P250" s="11" t="n">
        <x:v>-38</x:v>
      </x:c>
      <x:c r="Q250" s="9"/>
      <x:c r="R250" s="9"/>
      <x:c r="S250" s="9"/>
      <x:c r="T250" s="9"/>
      <x:c r="U250" s="9"/>
      <x:c r="V250" s="9"/>
      <x:c r="W250" s="13"/>
      <x:c r="X250" s="13"/>
      <x:c r="Y250" s="13"/>
      <x:c r="Z250" s="9"/>
      <x:c r="AA250" s="8" t="str">
        <x:v>Current</x:v>
      </x:c>
      <x:c r="AB250" s="8" t="str"/>
      <x:c r="AC250" s="8" t="str">
        <x:v>{"dim":1,"speed":2}</x:v>
      </x:c>
    </x:row>
    <x:row r="251" ht="96" customHeight="1">
      <x:c r="A251" s="8" t="str">
        <x:v>F245</x:v>
      </x:c>
      <x:c r="B251" s="8" t="str">
        <x:v>Wall fan · axis 4 · H</x:v>
      </x:c>
      <x:c r="C251" s="8" t="str">
        <x:v>fan</x:v>
      </x:c>
      <x:c r="D251" s="8" t="str">
        <x:v>DB1</x:v>
      </x:c>
      <x:c r="E251" s="8" t="str">
        <x:v>F2</x:v>
      </x:c>
      <x:c r="F251" s="11" t="n">
        <x:v>14.475</x:v>
      </x:c>
      <x:c r="G251" s="11" t="n">
        <x:v>5.55</x:v>
      </x:c>
      <x:c r="H251" s="11" t="n">
        <x:v>7.07</x:v>
      </x:c>
      <x:c r="I251" s="8" t="str">
        <x:v>wall</x:v>
      </x:c>
      <x:c r="J251" s="8" t="str">
        <x:v>Hidden alternative</x:v>
      </x:c>
      <x:c r="K251" s="8" t="str">
        <x:v>On</x:v>
      </x:c>
      <x:c r="L251" s="8" t="str">
        <x:v>460 × 490 × 490</x:v>
      </x:c>
      <x:c r="M251" s="8" t="str">
        <x:v>0.45 m diameter · 55 W at maximum speed. Speed steps: 1: 0.45 m3/s, 35 W, 47 dBA, 900 rpm; 2: 0.6 m3/s, 45 W, 52 dBA, 1100 rpm; 3: 0.75 m3/s, 55 W, 57 dBA, 1300 rpm</x:v>
      </x:c>
      <x:c r="N251" s="11" t="n">
        <x:v>0</x:v>
      </x:c>
      <x:c r="O251" s="11" t="n">
        <x:v>-90</x:v>
      </x:c>
      <x:c r="P251" s="11" t="n">
        <x:v>-38</x:v>
      </x:c>
      <x:c r="Q251" s="9"/>
      <x:c r="R251" s="9"/>
      <x:c r="S251" s="9"/>
      <x:c r="T251" s="9"/>
      <x:c r="U251" s="9"/>
      <x:c r="V251" s="9"/>
      <x:c r="W251" s="13"/>
      <x:c r="X251" s="13"/>
      <x:c r="Y251" s="13"/>
      <x:c r="Z251" s="9"/>
      <x:c r="AA251" s="8" t="str">
        <x:v>Current</x:v>
      </x:c>
      <x:c r="AB251" s="8" t="str"/>
      <x:c r="AC251" s="8" t="str">
        <x:v>{"dim":1,"speed":2}</x:v>
      </x:c>
    </x:row>
    <x:row r="252" ht="96" customHeight="1">
      <x:c r="A252" s="8" t="str">
        <x:v>F246</x:v>
      </x:c>
      <x:c r="B252" s="8" t="str">
        <x:v>Wall fan · axis 6 · B</x:v>
      </x:c>
      <x:c r="C252" s="8" t="str">
        <x:v>fan</x:v>
      </x:c>
      <x:c r="D252" s="8" t="str">
        <x:v>DB1</x:v>
      </x:c>
      <x:c r="E252" s="8" t="str">
        <x:v>F2</x:v>
      </x:c>
      <x:c r="F252" s="11" t="n">
        <x:v>23.475</x:v>
      </x:c>
      <x:c r="G252" s="11" t="n">
        <x:v>5.55</x:v>
      </x:c>
      <x:c r="H252" s="11" t="n">
        <x:v>-7.07</x:v>
      </x:c>
      <x:c r="I252" s="8" t="str">
        <x:v>wall</x:v>
      </x:c>
      <x:c r="J252" s="8" t="str">
        <x:v>Hidden alternative</x:v>
      </x:c>
      <x:c r="K252" s="8" t="str">
        <x:v>On</x:v>
      </x:c>
      <x:c r="L252" s="8" t="str">
        <x:v>460 × 490 × 490</x:v>
      </x:c>
      <x:c r="M252" s="8" t="str">
        <x:v>0.45 m diameter · 55 W at maximum speed. Speed steps: 1: 0.45 m3/s, 35 W, 47 dBA, 900 rpm; 2: 0.6 m3/s, 45 W, 52 dBA, 1100 rpm; 3: 0.75 m3/s, 55 W, 57 dBA, 1300 rpm</x:v>
      </x:c>
      <x:c r="N252" s="11" t="n">
        <x:v>0</x:v>
      </x:c>
      <x:c r="O252" s="11" t="n">
        <x:v>90</x:v>
      </x:c>
      <x:c r="P252" s="11" t="n">
        <x:v>-38</x:v>
      </x:c>
      <x:c r="Q252" s="9"/>
      <x:c r="R252" s="9"/>
      <x:c r="S252" s="9"/>
      <x:c r="T252" s="9"/>
      <x:c r="U252" s="9"/>
      <x:c r="V252" s="9"/>
      <x:c r="W252" s="13"/>
      <x:c r="X252" s="13"/>
      <x:c r="Y252" s="13"/>
      <x:c r="Z252" s="9"/>
      <x:c r="AA252" s="8" t="str">
        <x:v>Current</x:v>
      </x:c>
      <x:c r="AB252" s="8" t="str"/>
      <x:c r="AC252" s="8" t="str">
        <x:v>{"dim":1,"speed":2}</x:v>
      </x:c>
    </x:row>
    <x:row r="253" ht="96" customHeight="1">
      <x:c r="A253" s="8" t="str">
        <x:v>F247</x:v>
      </x:c>
      <x:c r="B253" s="8" t="str">
        <x:v>Wall fan · axis 6 · H</x:v>
      </x:c>
      <x:c r="C253" s="8" t="str">
        <x:v>fan</x:v>
      </x:c>
      <x:c r="D253" s="8" t="str">
        <x:v>DB1</x:v>
      </x:c>
      <x:c r="E253" s="8" t="str">
        <x:v>F2</x:v>
      </x:c>
      <x:c r="F253" s="11" t="n">
        <x:v>23.475</x:v>
      </x:c>
      <x:c r="G253" s="11" t="n">
        <x:v>5.55</x:v>
      </x:c>
      <x:c r="H253" s="11" t="n">
        <x:v>7.07</x:v>
      </x:c>
      <x:c r="I253" s="8" t="str">
        <x:v>wall</x:v>
      </x:c>
      <x:c r="J253" s="8" t="str">
        <x:v>Hidden alternative</x:v>
      </x:c>
      <x:c r="K253" s="8" t="str">
        <x:v>On</x:v>
      </x:c>
      <x:c r="L253" s="8" t="str">
        <x:v>460 × 490 × 490</x:v>
      </x:c>
      <x:c r="M253" s="8" t="str">
        <x:v>0.45 m diameter · 55 W at maximum speed. Speed steps: 1: 0.45 m3/s, 35 W, 47 dBA, 900 rpm; 2: 0.6 m3/s, 45 W, 52 dBA, 1100 rpm; 3: 0.75 m3/s, 55 W, 57 dBA, 1300 rpm</x:v>
      </x:c>
      <x:c r="N253" s="11" t="n">
        <x:v>0</x:v>
      </x:c>
      <x:c r="O253" s="11" t="n">
        <x:v>-90</x:v>
      </x:c>
      <x:c r="P253" s="11" t="n">
        <x:v>-38</x:v>
      </x:c>
      <x:c r="Q253" s="9"/>
      <x:c r="R253" s="9"/>
      <x:c r="S253" s="9"/>
      <x:c r="T253" s="9"/>
      <x:c r="U253" s="9"/>
      <x:c r="V253" s="9"/>
      <x:c r="W253" s="13"/>
      <x:c r="X253" s="13"/>
      <x:c r="Y253" s="13"/>
      <x:c r="Z253" s="9"/>
      <x:c r="AA253" s="8" t="str">
        <x:v>Current</x:v>
      </x:c>
      <x:c r="AB253" s="8" t="str"/>
      <x:c r="AC253" s="8" t="str">
        <x:v>{"dim":1,"speed":2}</x:v>
      </x:c>
    </x:row>
    <x:row r="254" ht="96" customHeight="1">
      <x:c r="A254" s="8" t="str">
        <x:v>F248</x:v>
      </x:c>
      <x:c r="B254" s="8" t="str">
        <x:v>Wall fan · axis 8 · B</x:v>
      </x:c>
      <x:c r="C254" s="8" t="str">
        <x:v>fan</x:v>
      </x:c>
      <x:c r="D254" s="8" t="str">
        <x:v>DB1</x:v>
      </x:c>
      <x:c r="E254" s="8" t="str">
        <x:v>F2</x:v>
      </x:c>
      <x:c r="F254" s="11" t="n">
        <x:v>32.475</x:v>
      </x:c>
      <x:c r="G254" s="11" t="n">
        <x:v>5.55</x:v>
      </x:c>
      <x:c r="H254" s="11" t="n">
        <x:v>-7.07</x:v>
      </x:c>
      <x:c r="I254" s="8" t="str">
        <x:v>wall</x:v>
      </x:c>
      <x:c r="J254" s="8" t="str">
        <x:v>Hidden alternative</x:v>
      </x:c>
      <x:c r="K254" s="8" t="str">
        <x:v>On</x:v>
      </x:c>
      <x:c r="L254" s="8" t="str">
        <x:v>460 × 490 × 490</x:v>
      </x:c>
      <x:c r="M254" s="8" t="str">
        <x:v>0.45 m diameter · 55 W at maximum speed. Speed steps: 1: 0.45 m3/s, 35 W, 47 dBA, 900 rpm; 2: 0.6 m3/s, 45 W, 52 dBA, 1100 rpm; 3: 0.75 m3/s, 55 W, 57 dBA, 1300 rpm</x:v>
      </x:c>
      <x:c r="N254" s="11" t="n">
        <x:v>0</x:v>
      </x:c>
      <x:c r="O254" s="11" t="n">
        <x:v>90</x:v>
      </x:c>
      <x:c r="P254" s="11" t="n">
        <x:v>-38</x:v>
      </x:c>
      <x:c r="Q254" s="9"/>
      <x:c r="R254" s="9"/>
      <x:c r="S254" s="9"/>
      <x:c r="T254" s="9"/>
      <x:c r="U254" s="9"/>
      <x:c r="V254" s="9"/>
      <x:c r="W254" s="13"/>
      <x:c r="X254" s="13"/>
      <x:c r="Y254" s="13"/>
      <x:c r="Z254" s="9"/>
      <x:c r="AA254" s="8" t="str">
        <x:v>Current</x:v>
      </x:c>
      <x:c r="AB254" s="8" t="str"/>
      <x:c r="AC254" s="8" t="str">
        <x:v>{"dim":1,"speed":2}</x:v>
      </x:c>
    </x:row>
    <x:row r="255" ht="96" customHeight="1">
      <x:c r="A255" s="8" t="str">
        <x:v>F249</x:v>
      </x:c>
      <x:c r="B255" s="8" t="str">
        <x:v>Wall fan · axis 8 · H</x:v>
      </x:c>
      <x:c r="C255" s="8" t="str">
        <x:v>fan</x:v>
      </x:c>
      <x:c r="D255" s="8" t="str">
        <x:v>DB1</x:v>
      </x:c>
      <x:c r="E255" s="8" t="str">
        <x:v>F2</x:v>
      </x:c>
      <x:c r="F255" s="11" t="n">
        <x:v>32.475</x:v>
      </x:c>
      <x:c r="G255" s="11" t="n">
        <x:v>5.55</x:v>
      </x:c>
      <x:c r="H255" s="11" t="n">
        <x:v>7.07</x:v>
      </x:c>
      <x:c r="I255" s="8" t="str">
        <x:v>wall</x:v>
      </x:c>
      <x:c r="J255" s="8" t="str">
        <x:v>Hidden alternative</x:v>
      </x:c>
      <x:c r="K255" s="8" t="str">
        <x:v>On</x:v>
      </x:c>
      <x:c r="L255" s="8" t="str">
        <x:v>460 × 490 × 490</x:v>
      </x:c>
      <x:c r="M255" s="8" t="str">
        <x:v>0.45 m diameter · 55 W at maximum speed. Speed steps: 1: 0.45 m3/s, 35 W, 47 dBA, 900 rpm; 2: 0.6 m3/s, 45 W, 52 dBA, 1100 rpm; 3: 0.75 m3/s, 55 W, 57 dBA, 1300 rpm</x:v>
      </x:c>
      <x:c r="N255" s="11" t="n">
        <x:v>0</x:v>
      </x:c>
      <x:c r="O255" s="11" t="n">
        <x:v>-90</x:v>
      </x:c>
      <x:c r="P255" s="11" t="n">
        <x:v>-38</x:v>
      </x:c>
      <x:c r="Q255" s="9"/>
      <x:c r="R255" s="9"/>
      <x:c r="S255" s="9"/>
      <x:c r="T255" s="9"/>
      <x:c r="U255" s="9"/>
      <x:c r="V255" s="9"/>
      <x:c r="W255" s="13"/>
      <x:c r="X255" s="13"/>
      <x:c r="Y255" s="13"/>
      <x:c r="Z255" s="9"/>
      <x:c r="AA255" s="8" t="str">
        <x:v>Current</x:v>
      </x:c>
      <x:c r="AB255" s="8" t="str"/>
      <x:c r="AC255" s="8" t="str">
        <x:v>{"dim":1,"speed":2}</x:v>
      </x:c>
    </x:row>
    <x:row r="256" ht="96" customHeight="1">
      <x:c r="A256" s="8" t="str">
        <x:v>F250</x:v>
      </x:c>
      <x:c r="B256" s="8" t="str">
        <x:v>Entrance circulator · B</x:v>
      </x:c>
      <x:c r="C256" s="8" t="str">
        <x:v>fan</x:v>
      </x:c>
      <x:c r="D256" s="8" t="str">
        <x:v>DB2</x:v>
      </x:c>
      <x:c r="E256" s="8" t="str">
        <x:v>F4</x:v>
      </x:c>
      <x:c r="F256" s="11" t="n">
        <x:v>2.655</x:v>
      </x:c>
      <x:c r="G256" s="11" t="n">
        <x:v>6</x:v>
      </x:c>
      <x:c r="H256" s="11" t="n">
        <x:v>-3.05</x:v>
      </x:c>
      <x:c r="I256" s="8" t="str">
        <x:v>wall</x:v>
      </x:c>
      <x:c r="J256" s="8" t="str">
        <x:v>Shown</x:v>
      </x:c>
      <x:c r="K256" s="8" t="str">
        <x:v>Off</x:v>
      </x:c>
      <x:c r="L256" s="8" t="str">
        <x:v>769 × 958 × 958</x:v>
      </x:c>
      <x:c r="M256" s="8" t="str">
        <x:v>0.9 m diameter · 380 W at maximum speed. Speed steps: 1: 2.2 m3/s, 160 W, 52 dBA, 450 rpm; 2: 3.2 m3/s, 260 W, 58 dBA, 650 rpm; 3: 4.2 m3/s, 380 W, 64 dBA, 850 rpm</x:v>
      </x:c>
      <x:c r="N256" s="11" t="n">
        <x:v>380</x:v>
      </x:c>
      <x:c r="O256" s="11" t="n">
        <x:v>8</x:v>
      </x:c>
      <x:c r="P256" s="11" t="n">
        <x:v>-14</x:v>
      </x:c>
      <x:c r="Q256" s="9"/>
      <x:c r="R256" s="9"/>
      <x:c r="S256" s="9"/>
      <x:c r="T256" s="9"/>
      <x:c r="U256" s="9"/>
      <x:c r="V256" s="9"/>
      <x:c r="W256" s="13"/>
      <x:c r="X256" s="13"/>
      <x:c r="Y256" s="13"/>
      <x:c r="Z256" s="9"/>
      <x:c r="AA256" s="8" t="str">
        <x:v>Current</x:v>
      </x:c>
      <x:c r="AB256" s="8" t="str">
        <x:v>drop:DB2:F4:fan:-1:F250</x:v>
      </x:c>
      <x:c r="AC256" s="8" t="str">
        <x:v>{"dim":1,"speed":2}</x:v>
      </x:c>
    </x:row>
    <x:row r="257" ht="96" customHeight="1">
      <x:c r="A257" s="8" t="str">
        <x:v>F251</x:v>
      </x:c>
      <x:c r="B257" s="8" t="str">
        <x:v>Entrance circulator · H</x:v>
      </x:c>
      <x:c r="C257" s="8" t="str">
        <x:v>fan</x:v>
      </x:c>
      <x:c r="D257" s="8" t="str">
        <x:v>DB2</x:v>
      </x:c>
      <x:c r="E257" s="8" t="str">
        <x:v>F4</x:v>
      </x:c>
      <x:c r="F257" s="11" t="n">
        <x:v>2.655</x:v>
      </x:c>
      <x:c r="G257" s="11" t="n">
        <x:v>6</x:v>
      </x:c>
      <x:c r="H257" s="11" t="n">
        <x:v>3.05</x:v>
      </x:c>
      <x:c r="I257" s="8" t="str">
        <x:v>wall</x:v>
      </x:c>
      <x:c r="J257" s="8" t="str">
        <x:v>Shown</x:v>
      </x:c>
      <x:c r="K257" s="8" t="str">
        <x:v>Off</x:v>
      </x:c>
      <x:c r="L257" s="8" t="str">
        <x:v>769 × 958 × 958</x:v>
      </x:c>
      <x:c r="M257" s="8" t="str">
        <x:v>0.9 m diameter · 380 W at maximum speed. Speed steps: 1: 2.2 m3/s, 160 W, 52 dBA, 450 rpm; 2: 3.2 m3/s, 260 W, 58 dBA, 650 rpm; 3: 4.2 m3/s, 380 W, 64 dBA, 850 rpm</x:v>
      </x:c>
      <x:c r="N257" s="11" t="n">
        <x:v>380</x:v>
      </x:c>
      <x:c r="O257" s="11" t="n">
        <x:v>-8</x:v>
      </x:c>
      <x:c r="P257" s="11" t="n">
        <x:v>-14</x:v>
      </x:c>
      <x:c r="Q257" s="9"/>
      <x:c r="R257" s="9"/>
      <x:c r="S257" s="9"/>
      <x:c r="T257" s="9"/>
      <x:c r="U257" s="9"/>
      <x:c r="V257" s="9"/>
      <x:c r="W257" s="13"/>
      <x:c r="X257" s="13"/>
      <x:c r="Y257" s="13"/>
      <x:c r="Z257" s="9"/>
      <x:c r="AA257" s="8" t="str">
        <x:v>Current</x:v>
      </x:c>
      <x:c r="AB257" s="8" t="str">
        <x:v>drop:DB2:F4:fan:1:F251</x:v>
      </x:c>
      <x:c r="AC257" s="8" t="str">
        <x:v>{"dim":1,"speed":2}</x:v>
      </x:c>
    </x:row>
    <x:row r="258" ht="96" customHeight="1">
      <x:c r="A258" s="8" t="str">
        <x:v>F252</x:v>
      </x:c>
      <x:c r="B258" s="8" t="str">
        <x:v>Exhaust fan · front gable · B outer</x:v>
      </x:c>
      <x:c r="C258" s="8" t="str">
        <x:v>fan</x:v>
      </x:c>
      <x:c r="D258" s="8" t="str">
        <x:v>DB1</x:v>
      </x:c>
      <x:c r="E258" s="8" t="str">
        <x:v>V1</x:v>
      </x:c>
      <x:c r="F258" s="11" t="n">
        <x:v>5.48</x:v>
      </x:c>
      <x:c r="G258" s="11" t="n">
        <x:v>9.4</x:v>
      </x:c>
      <x:c r="H258" s="11" t="n">
        <x:v>-2.4</x:v>
      </x:c>
      <x:c r="I258" s="8" t="str">
        <x:v>wall</x:v>
      </x:c>
      <x:c r="J258" s="8" t="str">
        <x:v>Shown</x:v>
      </x:c>
      <x:c r="K258" s="8" t="str">
        <x:v>On</x:v>
      </x:c>
      <x:c r="L258" s="8" t="str">
        <x:v>112 × 620 × 620</x:v>
      </x:c>
      <x:c r="M258" s="8" t="str">
        <x:v>0.5 m diameter · 170 W at maximum speed. Speed steps: 1: 0.8 m3/s, 60 W, 40 dBA, 900 rpm; 2: 1.2 m3/s, 110 W, 46 dBA, 1300 rpm; 3: 1.6 m3/s, 170 W, 52 dBA, 1700 rpm</x:v>
      </x:c>
      <x:c r="N258" s="11" t="n">
        <x:v>170</x:v>
      </x:c>
      <x:c r="O258" s="11" t="n">
        <x:v>0</x:v>
      </x:c>
      <x:c r="P258" s="11" t="n">
        <x:v>0</x:v>
      </x:c>
      <x:c r="Q258" s="9"/>
      <x:c r="R258" s="9"/>
      <x:c r="S258" s="9"/>
      <x:c r="T258" s="9"/>
      <x:c r="U258" s="9"/>
      <x:c r="V258" s="9"/>
      <x:c r="W258" s="13"/>
      <x:c r="X258" s="13"/>
      <x:c r="Y258" s="13"/>
      <x:c r="Z258" s="9"/>
      <x:c r="AA258" s="8" t="str">
        <x:v>Current</x:v>
      </x:c>
      <x:c r="AB258" s="8" t="str">
        <x:v>drop:FC1:V1:fan:-1:F252</x:v>
      </x:c>
      <x:c r="AC258" s="8" t="str">
        <x:v>{"dim":1,"speed":1}</x:v>
      </x:c>
    </x:row>
    <x:row r="259" ht="96" customHeight="1">
      <x:c r="A259" s="8" t="str">
        <x:v>F253</x:v>
      </x:c>
      <x:c r="B259" s="8" t="str">
        <x:v>Exhaust fan · front gable · B inner</x:v>
      </x:c>
      <x:c r="C259" s="8" t="str">
        <x:v>fan</x:v>
      </x:c>
      <x:c r="D259" s="8" t="str">
        <x:v>DB1</x:v>
      </x:c>
      <x:c r="E259" s="8" t="str">
        <x:v>V1</x:v>
      </x:c>
      <x:c r="F259" s="11" t="n">
        <x:v>5.48</x:v>
      </x:c>
      <x:c r="G259" s="11" t="n">
        <x:v>9.4</x:v>
      </x:c>
      <x:c r="H259" s="11" t="n">
        <x:v>-0.8</x:v>
      </x:c>
      <x:c r="I259" s="8" t="str">
        <x:v>wall</x:v>
      </x:c>
      <x:c r="J259" s="8" t="str">
        <x:v>Shown</x:v>
      </x:c>
      <x:c r="K259" s="8" t="str">
        <x:v>On</x:v>
      </x:c>
      <x:c r="L259" s="8" t="str">
        <x:v>112 × 620 × 620</x:v>
      </x:c>
      <x:c r="M259" s="8" t="str">
        <x:v>0.5 m diameter · 170 W at maximum speed. Speed steps: 1: 0.8 m3/s, 60 W, 40 dBA, 900 rpm; 2: 1.2 m3/s, 110 W, 46 dBA, 1300 rpm; 3: 1.6 m3/s, 170 W, 52 dBA, 1700 rpm</x:v>
      </x:c>
      <x:c r="N259" s="11" t="n">
        <x:v>170</x:v>
      </x:c>
      <x:c r="O259" s="11" t="n">
        <x:v>0</x:v>
      </x:c>
      <x:c r="P259" s="11" t="n">
        <x:v>0</x:v>
      </x:c>
      <x:c r="Q259" s="9"/>
      <x:c r="R259" s="9"/>
      <x:c r="S259" s="9"/>
      <x:c r="T259" s="9"/>
      <x:c r="U259" s="9"/>
      <x:c r="V259" s="9"/>
      <x:c r="W259" s="13"/>
      <x:c r="X259" s="13"/>
      <x:c r="Y259" s="13"/>
      <x:c r="Z259" s="9"/>
      <x:c r="AA259" s="8" t="str">
        <x:v>Current</x:v>
      </x:c>
      <x:c r="AB259" s="8" t="str">
        <x:v>drop:FC1:V1:fan:-1:F253</x:v>
      </x:c>
      <x:c r="AC259" s="8" t="str">
        <x:v>{"dim":1,"speed":1}</x:v>
      </x:c>
    </x:row>
    <x:row r="260" ht="96" customHeight="1">
      <x:c r="A260" s="8" t="str">
        <x:v>F254</x:v>
      </x:c>
      <x:c r="B260" s="8" t="str">
        <x:v>Exhaust fan · front gable · H inner</x:v>
      </x:c>
      <x:c r="C260" s="8" t="str">
        <x:v>fan</x:v>
      </x:c>
      <x:c r="D260" s="8" t="str">
        <x:v>DB1</x:v>
      </x:c>
      <x:c r="E260" s="8" t="str">
        <x:v>V1</x:v>
      </x:c>
      <x:c r="F260" s="11" t="n">
        <x:v>5.48</x:v>
      </x:c>
      <x:c r="G260" s="11" t="n">
        <x:v>9.4</x:v>
      </x:c>
      <x:c r="H260" s="11" t="n">
        <x:v>0.8</x:v>
      </x:c>
      <x:c r="I260" s="8" t="str">
        <x:v>wall</x:v>
      </x:c>
      <x:c r="J260" s="8" t="str">
        <x:v>Shown</x:v>
      </x:c>
      <x:c r="K260" s="8" t="str">
        <x:v>On</x:v>
      </x:c>
      <x:c r="L260" s="8" t="str">
        <x:v>112 × 620 × 620</x:v>
      </x:c>
      <x:c r="M260" s="8" t="str">
        <x:v>0.5 m diameter · 170 W at maximum speed. Speed steps: 1: 0.8 m3/s, 60 W, 40 dBA, 900 rpm; 2: 1.2 m3/s, 110 W, 46 dBA, 1300 rpm; 3: 1.6 m3/s, 170 W, 52 dBA, 1700 rpm</x:v>
      </x:c>
      <x:c r="N260" s="11" t="n">
        <x:v>170</x:v>
      </x:c>
      <x:c r="O260" s="11" t="n">
        <x:v>0</x:v>
      </x:c>
      <x:c r="P260" s="11" t="n">
        <x:v>0</x:v>
      </x:c>
      <x:c r="Q260" s="9"/>
      <x:c r="R260" s="9"/>
      <x:c r="S260" s="9"/>
      <x:c r="T260" s="9"/>
      <x:c r="U260" s="9"/>
      <x:c r="V260" s="9"/>
      <x:c r="W260" s="13"/>
      <x:c r="X260" s="13"/>
      <x:c r="Y260" s="13"/>
      <x:c r="Z260" s="9"/>
      <x:c r="AA260" s="8" t="str">
        <x:v>Current</x:v>
      </x:c>
      <x:c r="AB260" s="8" t="str">
        <x:v>drop:FC1:V1:fan:1:F254</x:v>
      </x:c>
      <x:c r="AC260" s="8" t="str">
        <x:v>{"dim":1,"speed":1}</x:v>
      </x:c>
    </x:row>
    <x:row r="261" ht="96" customHeight="1">
      <x:c r="A261" s="8" t="str">
        <x:v>F255</x:v>
      </x:c>
      <x:c r="B261" s="8" t="str">
        <x:v>Exhaust fan · front gable · H outer</x:v>
      </x:c>
      <x:c r="C261" s="8" t="str">
        <x:v>fan</x:v>
      </x:c>
      <x:c r="D261" s="8" t="str">
        <x:v>DB1</x:v>
      </x:c>
      <x:c r="E261" s="8" t="str">
        <x:v>V1</x:v>
      </x:c>
      <x:c r="F261" s="11" t="n">
        <x:v>5.48</x:v>
      </x:c>
      <x:c r="G261" s="11" t="n">
        <x:v>9.4</x:v>
      </x:c>
      <x:c r="H261" s="11" t="n">
        <x:v>2.4</x:v>
      </x:c>
      <x:c r="I261" s="8" t="str">
        <x:v>wall</x:v>
      </x:c>
      <x:c r="J261" s="8" t="str">
        <x:v>Shown</x:v>
      </x:c>
      <x:c r="K261" s="8" t="str">
        <x:v>On</x:v>
      </x:c>
      <x:c r="L261" s="8" t="str">
        <x:v>112 × 620 × 620</x:v>
      </x:c>
      <x:c r="M261" s="8" t="str">
        <x:v>0.5 m diameter · 170 W at maximum speed. Speed steps: 1: 0.8 m3/s, 60 W, 40 dBA, 900 rpm; 2: 1.2 m3/s, 110 W, 46 dBA, 1300 rpm; 3: 1.6 m3/s, 170 W, 52 dBA, 1700 rpm</x:v>
      </x:c>
      <x:c r="N261" s="11" t="n">
        <x:v>170</x:v>
      </x:c>
      <x:c r="O261" s="11" t="n">
        <x:v>0</x:v>
      </x:c>
      <x:c r="P261" s="11" t="n">
        <x:v>0</x:v>
      </x:c>
      <x:c r="Q261" s="9"/>
      <x:c r="R261" s="9"/>
      <x:c r="S261" s="9"/>
      <x:c r="T261" s="9"/>
      <x:c r="U261" s="9"/>
      <x:c r="V261" s="9"/>
      <x:c r="W261" s="13"/>
      <x:c r="X261" s="13"/>
      <x:c r="Y261" s="13"/>
      <x:c r="Z261" s="9"/>
      <x:c r="AA261" s="8" t="str">
        <x:v>Current</x:v>
      </x:c>
      <x:c r="AB261" s="8" t="str">
        <x:v>drop:FC1:V1:fan:1:F255</x:v>
      </x:c>
      <x:c r="AC261" s="8" t="str">
        <x:v>{"dim":1,"speed":1}</x:v>
      </x:c>
    </x:row>
    <x:row r="262" ht="96" customHeight="1">
      <x:c r="A262" s="8" t="str">
        <x:v>F256</x:v>
      </x:c>
      <x:c r="B262" s="8" t="str">
        <x:v>Exhaust fan · wing gable B · front</x:v>
      </x:c>
      <x:c r="C262" s="8" t="str">
        <x:v>fan</x:v>
      </x:c>
      <x:c r="D262" s="8" t="str">
        <x:v>DB1</x:v>
      </x:c>
      <x:c r="E262" s="8" t="str">
        <x:v>V1</x:v>
      </x:c>
      <x:c r="F262" s="11" t="n">
        <x:v>39.7</x:v>
      </x:c>
      <x:c r="G262" s="11" t="n">
        <x:v>7.6</x:v>
      </x:c>
      <x:c r="H262" s="11" t="n">
        <x:v>-13.13</x:v>
      </x:c>
      <x:c r="I262" s="8" t="str">
        <x:v>wall</x:v>
      </x:c>
      <x:c r="J262" s="8" t="str">
        <x:v>Shown</x:v>
      </x:c>
      <x:c r="K262" s="8" t="str">
        <x:v>On</x:v>
      </x:c>
      <x:c r="L262" s="8" t="str">
        <x:v>112 × 620 × 620</x:v>
      </x:c>
      <x:c r="M262" s="8" t="str">
        <x:v>0.5 m diameter · 170 W at maximum speed. Speed steps: 1: 0.8 m3/s, 60 W, 40 dBA, 900 rpm; 2: 1.2 m3/s, 110 W, 46 dBA, 1300 rpm; 3: 1.6 m3/s, 170 W, 52 dBA, 1700 rpm</x:v>
      </x:c>
      <x:c r="N262" s="11" t="n">
        <x:v>170</x:v>
      </x:c>
      <x:c r="O262" s="11" t="n">
        <x:v>90</x:v>
      </x:c>
      <x:c r="P262" s="11" t="n">
        <x:v>0</x:v>
      </x:c>
      <x:c r="Q262" s="9"/>
      <x:c r="R262" s="9"/>
      <x:c r="S262" s="9"/>
      <x:c r="T262" s="9"/>
      <x:c r="U262" s="9"/>
      <x:c r="V262" s="9"/>
      <x:c r="W262" s="13"/>
      <x:c r="X262" s="13"/>
      <x:c r="Y262" s="13"/>
      <x:c r="Z262" s="9"/>
      <x:c r="AA262" s="8" t="str">
        <x:v>Current</x:v>
      </x:c>
      <x:c r="AB262" s="8" t="str">
        <x:v>drop:FC1:V1:fan:-1:F256</x:v>
      </x:c>
      <x:c r="AC262" s="8" t="str">
        <x:v>{"dim":1,"speed":1}</x:v>
      </x:c>
    </x:row>
    <x:row r="263" ht="96" customHeight="1">
      <x:c r="A263" s="8" t="str">
        <x:v>F257</x:v>
      </x:c>
      <x:c r="B263" s="8" t="str">
        <x:v>Exhaust fan · wing gable B · rear</x:v>
      </x:c>
      <x:c r="C263" s="8" t="str">
        <x:v>fan</x:v>
      </x:c>
      <x:c r="D263" s="8" t="str">
        <x:v>DB1</x:v>
      </x:c>
      <x:c r="E263" s="8" t="str">
        <x:v>V1</x:v>
      </x:c>
      <x:c r="F263" s="11" t="n">
        <x:v>41.45</x:v>
      </x:c>
      <x:c r="G263" s="11" t="n">
        <x:v>7.6</x:v>
      </x:c>
      <x:c r="H263" s="11" t="n">
        <x:v>-13.13</x:v>
      </x:c>
      <x:c r="I263" s="8" t="str">
        <x:v>wall</x:v>
      </x:c>
      <x:c r="J263" s="8" t="str">
        <x:v>Shown</x:v>
      </x:c>
      <x:c r="K263" s="8" t="str">
        <x:v>On</x:v>
      </x:c>
      <x:c r="L263" s="8" t="str">
        <x:v>112 × 620 × 620</x:v>
      </x:c>
      <x:c r="M263" s="8" t="str">
        <x:v>0.5 m diameter · 170 W at maximum speed. Speed steps: 1: 0.8 m3/s, 60 W, 40 dBA, 900 rpm; 2: 1.2 m3/s, 110 W, 46 dBA, 1300 rpm; 3: 1.6 m3/s, 170 W, 52 dBA, 1700 rpm</x:v>
      </x:c>
      <x:c r="N263" s="11" t="n">
        <x:v>170</x:v>
      </x:c>
      <x:c r="O263" s="11" t="n">
        <x:v>90</x:v>
      </x:c>
      <x:c r="P263" s="11" t="n">
        <x:v>0</x:v>
      </x:c>
      <x:c r="Q263" s="9"/>
      <x:c r="R263" s="9"/>
      <x:c r="S263" s="9"/>
      <x:c r="T263" s="9"/>
      <x:c r="U263" s="9"/>
      <x:c r="V263" s="9"/>
      <x:c r="W263" s="13"/>
      <x:c r="X263" s="13"/>
      <x:c r="Y263" s="13"/>
      <x:c r="Z263" s="9"/>
      <x:c r="AA263" s="8" t="str">
        <x:v>Current</x:v>
      </x:c>
      <x:c r="AB263" s="8" t="str">
        <x:v>drop:FC1:V1:fan:-1:F257</x:v>
      </x:c>
      <x:c r="AC263" s="8" t="str">
        <x:v>{"dim":1,"speed":1}</x:v>
      </x:c>
    </x:row>
    <x:row r="264" ht="96" customHeight="1">
      <x:c r="A264" s="8" t="str">
        <x:v>F258</x:v>
      </x:c>
      <x:c r="B264" s="8" t="str">
        <x:v>Exhaust fan · wing gable H · front</x:v>
      </x:c>
      <x:c r="C264" s="8" t="str">
        <x:v>fan</x:v>
      </x:c>
      <x:c r="D264" s="8" t="str">
        <x:v>DB1</x:v>
      </x:c>
      <x:c r="E264" s="8" t="str">
        <x:v>V1</x:v>
      </x:c>
      <x:c r="F264" s="11" t="n">
        <x:v>39.7</x:v>
      </x:c>
      <x:c r="G264" s="11" t="n">
        <x:v>7.6</x:v>
      </x:c>
      <x:c r="H264" s="11" t="n">
        <x:v>13.13</x:v>
      </x:c>
      <x:c r="I264" s="8" t="str">
        <x:v>wall</x:v>
      </x:c>
      <x:c r="J264" s="8" t="str">
        <x:v>Shown</x:v>
      </x:c>
      <x:c r="K264" s="8" t="str">
        <x:v>On</x:v>
      </x:c>
      <x:c r="L264" s="8" t="str">
        <x:v>112 × 620 × 620</x:v>
      </x:c>
      <x:c r="M264" s="8" t="str">
        <x:v>0.5 m diameter · 170 W at maximum speed. Speed steps: 1: 0.8 m3/s, 60 W, 40 dBA, 900 rpm; 2: 1.2 m3/s, 110 W, 46 dBA, 1300 rpm; 3: 1.6 m3/s, 170 W, 52 dBA, 1700 rpm</x:v>
      </x:c>
      <x:c r="N264" s="11" t="n">
        <x:v>170</x:v>
      </x:c>
      <x:c r="O264" s="11" t="n">
        <x:v>-90</x:v>
      </x:c>
      <x:c r="P264" s="11" t="n">
        <x:v>0</x:v>
      </x:c>
      <x:c r="Q264" s="9"/>
      <x:c r="R264" s="9"/>
      <x:c r="S264" s="9"/>
      <x:c r="T264" s="9"/>
      <x:c r="U264" s="9"/>
      <x:c r="V264" s="9"/>
      <x:c r="W264" s="13"/>
      <x:c r="X264" s="13"/>
      <x:c r="Y264" s="13"/>
      <x:c r="Z264" s="9"/>
      <x:c r="AA264" s="8" t="str">
        <x:v>Current</x:v>
      </x:c>
      <x:c r="AB264" s="8" t="str">
        <x:v>drop:FC1:V1:fan:1:F258</x:v>
      </x:c>
      <x:c r="AC264" s="8" t="str">
        <x:v>{"dim":1,"speed":1}</x:v>
      </x:c>
    </x:row>
    <x:row r="265" ht="96" customHeight="1">
      <x:c r="A265" s="8" t="str">
        <x:v>F259</x:v>
      </x:c>
      <x:c r="B265" s="8" t="str">
        <x:v>Exhaust fan · wing gable H · rear</x:v>
      </x:c>
      <x:c r="C265" s="8" t="str">
        <x:v>fan</x:v>
      </x:c>
      <x:c r="D265" s="8" t="str">
        <x:v>DB1</x:v>
      </x:c>
      <x:c r="E265" s="8" t="str">
        <x:v>V1</x:v>
      </x:c>
      <x:c r="F265" s="11" t="n">
        <x:v>41.45</x:v>
      </x:c>
      <x:c r="G265" s="11" t="n">
        <x:v>7.6</x:v>
      </x:c>
      <x:c r="H265" s="11" t="n">
        <x:v>13.13</x:v>
      </x:c>
      <x:c r="I265" s="8" t="str">
        <x:v>wall</x:v>
      </x:c>
      <x:c r="J265" s="8" t="str">
        <x:v>Shown</x:v>
      </x:c>
      <x:c r="K265" s="8" t="str">
        <x:v>On</x:v>
      </x:c>
      <x:c r="L265" s="8" t="str">
        <x:v>112 × 620 × 620</x:v>
      </x:c>
      <x:c r="M265" s="8" t="str">
        <x:v>0.5 m diameter · 170 W at maximum speed. Speed steps: 1: 0.8 m3/s, 60 W, 40 dBA, 900 rpm; 2: 1.2 m3/s, 110 W, 46 dBA, 1300 rpm; 3: 1.6 m3/s, 170 W, 52 dBA, 1700 rpm</x:v>
      </x:c>
      <x:c r="N265" s="11" t="n">
        <x:v>170</x:v>
      </x:c>
      <x:c r="O265" s="11" t="n">
        <x:v>-90</x:v>
      </x:c>
      <x:c r="P265" s="11" t="n">
        <x:v>0</x:v>
      </x:c>
      <x:c r="Q265" s="9"/>
      <x:c r="R265" s="9"/>
      <x:c r="S265" s="9"/>
      <x:c r="T265" s="9"/>
      <x:c r="U265" s="9"/>
      <x:c r="V265" s="9"/>
      <x:c r="W265" s="13"/>
      <x:c r="X265" s="13"/>
      <x:c r="Y265" s="13"/>
      <x:c r="Z265" s="9"/>
      <x:c r="AA265" s="8" t="str">
        <x:v>Current</x:v>
      </x:c>
      <x:c r="AB265" s="8" t="str">
        <x:v>drop:FC1:V1:fan:1:F259</x:v>
      </x:c>
      <x:c r="AC265" s="8" t="str">
        <x:v>{"dim":1,"speed":1}</x:v>
      </x:c>
    </x:row>
    <x:row r="266" ht="96" customHeight="1">
      <x:c r="A266" s="8" t="str">
        <x:v>F260</x:v>
      </x:c>
      <x:c r="B266" s="8" t="str">
        <x:v>Exhaust fan · service room</x:v>
      </x:c>
      <x:c r="C266" s="8" t="str">
        <x:v>fan</x:v>
      </x:c>
      <x:c r="D266" s="8" t="str">
        <x:v>DB1</x:v>
      </x:c>
      <x:c r="E266" s="8" t="str">
        <x:v>V1</x:v>
      </x:c>
      <x:c r="F266" s="11" t="n">
        <x:v>53.12</x:v>
      </x:c>
      <x:c r="G266" s="11" t="n">
        <x:v>3.3</x:v>
      </x:c>
      <x:c r="H266" s="11" t="n">
        <x:v>0</x:v>
      </x:c>
      <x:c r="I266" s="8" t="str">
        <x:v>wall</x:v>
      </x:c>
      <x:c r="J266" s="8" t="str">
        <x:v>Shown</x:v>
      </x:c>
      <x:c r="K266" s="8" t="str">
        <x:v>On</x:v>
      </x:c>
      <x:c r="L266" s="8" t="str">
        <x:v>112 × 620 × 620</x:v>
      </x:c>
      <x:c r="M266" s="8" t="str">
        <x:v>0.5 m diameter · 170 W at maximum speed. Speed steps: 1: 0.8 m3/s, 60 W, 40 dBA, 900 rpm; 2: 1.2 m3/s, 110 W, 46 dBA, 1300 rpm; 3: 1.6 m3/s, 170 W, 52 dBA, 1700 rpm</x:v>
      </x:c>
      <x:c r="N266" s="11" t="n">
        <x:v>170</x:v>
      </x:c>
      <x:c r="O266" s="11" t="n">
        <x:v>180</x:v>
      </x:c>
      <x:c r="P266" s="11" t="n">
        <x:v>0</x:v>
      </x:c>
      <x:c r="Q266" s="9"/>
      <x:c r="R266" s="9"/>
      <x:c r="S266" s="9"/>
      <x:c r="T266" s="9"/>
      <x:c r="U266" s="9"/>
      <x:c r="V266" s="9"/>
      <x:c r="W266" s="13"/>
      <x:c r="X266" s="13"/>
      <x:c r="Y266" s="13"/>
      <x:c r="Z266" s="9"/>
      <x:c r="AA266" s="8" t="str">
        <x:v>Current</x:v>
      </x:c>
      <x:c r="AB266" s="8" t="str">
        <x:v>drop:FC1:V1:fan:-1:F260</x:v>
      </x:c>
      <x:c r="AC266" s="8" t="str">
        <x:v>{"dim":1,"speed":1}</x:v>
      </x:c>
    </x:row>
    <x:row r="267" ht="96" customHeight="1">
      <x:c r="A267" s="8" t="str">
        <x:v>S261</x:v>
      </x:c>
      <x:c r="B267" s="8" t="str">
        <x:v>Wall speaker · axis 4 · B</x:v>
      </x:c>
      <x:c r="C267" s="8" t="str">
        <x:v>speaker</x:v>
      </x:c>
      <x:c r="D267" s="8" t="str">
        <x:v>DB1</x:v>
      </x:c>
      <x:c r="E267" s="8" t="str">
        <x:v>A1</x:v>
      </x:c>
      <x:c r="F267" s="11" t="n">
        <x:v>14.475</x:v>
      </x:c>
      <x:c r="G267" s="11" t="n">
        <x:v>3.45</x:v>
      </x:c>
      <x:c r="H267" s="11" t="n">
        <x:v>-7.07</x:v>
      </x:c>
      <x:c r="I267" s="8" t="str">
        <x:v>wall</x:v>
      </x:c>
      <x:c r="J267" s="8" t="str">
        <x:v>Shown</x:v>
      </x:c>
      <x:c r="K267" s="8" t="str">
        <x:v>On</x:v>
      </x:c>
      <x:c r="L267" s="8" t="str">
        <x:v>146 × 600 × 60</x:v>
      </x:c>
      <x:c r="M267" s="8" t="str">
        <x:v>60 W audio rating · Passive / amplifier output · 85.1 ms delay. Passive speaker; audio rating is not mains demand</x:v>
      </x:c>
      <x:c r="N267" s="11" t="n">
        <x:v>20</x:v>
      </x:c>
      <x:c r="O267" s="11" t="n">
        <x:v>140</x:v>
      </x:c>
      <x:c r="P267" s="11" t="n">
        <x:v>-18</x:v>
      </x:c>
      <x:c r="Q267" s="9"/>
      <x:c r="R267" s="9"/>
      <x:c r="S267" s="9"/>
      <x:c r="T267" s="9"/>
      <x:c r="U267" s="9"/>
      <x:c r="V267" s="9"/>
      <x:c r="W267" s="13"/>
      <x:c r="X267" s="13"/>
      <x:c r="Y267" s="13"/>
      <x:c r="Z267" s="9"/>
      <x:c r="AA267" s="8" t="str">
        <x:v>Current</x:v>
      </x:c>
      <x:c r="AB267" s="8" t="str">
        <x:v>drop:AV1:A1:audio:-1:S261</x:v>
      </x:c>
      <x:c r="AC267" s="8" t="str">
        <x:v>{"dim":1,"level":-6,"delayMs":85.1}</x:v>
      </x:c>
    </x:row>
    <x:row r="268" ht="96" customHeight="1">
      <x:c r="A268" s="8" t="str">
        <x:v>S262</x:v>
      </x:c>
      <x:c r="B268" s="8" t="str">
        <x:v>Wall speaker · axis 4 · H</x:v>
      </x:c>
      <x:c r="C268" s="8" t="str">
        <x:v>speaker</x:v>
      </x:c>
      <x:c r="D268" s="8" t="str">
        <x:v>DB1</x:v>
      </x:c>
      <x:c r="E268" s="8" t="str">
        <x:v>A1</x:v>
      </x:c>
      <x:c r="F268" s="11" t="n">
        <x:v>14.475</x:v>
      </x:c>
      <x:c r="G268" s="11" t="n">
        <x:v>3.45</x:v>
      </x:c>
      <x:c r="H268" s="11" t="n">
        <x:v>7.07</x:v>
      </x:c>
      <x:c r="I268" s="8" t="str">
        <x:v>wall</x:v>
      </x:c>
      <x:c r="J268" s="8" t="str">
        <x:v>Shown</x:v>
      </x:c>
      <x:c r="K268" s="8" t="str">
        <x:v>On</x:v>
      </x:c>
      <x:c r="L268" s="8" t="str">
        <x:v>146 × 600 × 60</x:v>
      </x:c>
      <x:c r="M268" s="8" t="str">
        <x:v>60 W audio rating · Passive / amplifier output · 86.2 ms delay. Passive speaker; audio rating is not mains demand</x:v>
      </x:c>
      <x:c r="N268" s="11" t="n">
        <x:v>20</x:v>
      </x:c>
      <x:c r="O268" s="11" t="n">
        <x:v>-140</x:v>
      </x:c>
      <x:c r="P268" s="11" t="n">
        <x:v>-18</x:v>
      </x:c>
      <x:c r="Q268" s="9"/>
      <x:c r="R268" s="9"/>
      <x:c r="S268" s="9"/>
      <x:c r="T268" s="9"/>
      <x:c r="U268" s="9"/>
      <x:c r="V268" s="9"/>
      <x:c r="W268" s="13"/>
      <x:c r="X268" s="13"/>
      <x:c r="Y268" s="13"/>
      <x:c r="Z268" s="9"/>
      <x:c r="AA268" s="8" t="str">
        <x:v>Current</x:v>
      </x:c>
      <x:c r="AB268" s="8" t="str">
        <x:v>drop:AV1:A1:audio:1:S262</x:v>
      </x:c>
      <x:c r="AC268" s="8" t="str">
        <x:v>{"dim":1,"level":-6,"delayMs":86.2}</x:v>
      </x:c>
    </x:row>
    <x:row r="269" ht="96" customHeight="1">
      <x:c r="A269" s="8" t="str">
        <x:v>S263</x:v>
      </x:c>
      <x:c r="B269" s="8" t="str">
        <x:v>Wall speaker · axis 5 · B</x:v>
      </x:c>
      <x:c r="C269" s="8" t="str">
        <x:v>speaker</x:v>
      </x:c>
      <x:c r="D269" s="8" t="str">
        <x:v>DB1</x:v>
      </x:c>
      <x:c r="E269" s="8" t="str">
        <x:v>A1</x:v>
      </x:c>
      <x:c r="F269" s="11" t="n">
        <x:v>18.975</x:v>
      </x:c>
      <x:c r="G269" s="11" t="n">
        <x:v>3.45</x:v>
      </x:c>
      <x:c r="H269" s="11" t="n">
        <x:v>-7.07</x:v>
      </x:c>
      <x:c r="I269" s="8" t="str">
        <x:v>wall</x:v>
      </x:c>
      <x:c r="J269" s="8" t="str">
        <x:v>Shown</x:v>
      </x:c>
      <x:c r="K269" s="8" t="str">
        <x:v>On</x:v>
      </x:c>
      <x:c r="L269" s="8" t="str">
        <x:v>146 × 600 × 60</x:v>
      </x:c>
      <x:c r="M269" s="8" t="str">
        <x:v>60 W audio rating · Passive / amplifier output · 72.2 ms delay. Passive speaker; audio rating is not mains demand</x:v>
      </x:c>
      <x:c r="N269" s="11" t="n">
        <x:v>20</x:v>
      </x:c>
      <x:c r="O269" s="11" t="n">
        <x:v>140</x:v>
      </x:c>
      <x:c r="P269" s="11" t="n">
        <x:v>-18</x:v>
      </x:c>
      <x:c r="Q269" s="9"/>
      <x:c r="R269" s="9"/>
      <x:c r="S269" s="9"/>
      <x:c r="T269" s="9"/>
      <x:c r="U269" s="9"/>
      <x:c r="V269" s="9"/>
      <x:c r="W269" s="13"/>
      <x:c r="X269" s="13"/>
      <x:c r="Y269" s="13"/>
      <x:c r="Z269" s="9"/>
      <x:c r="AA269" s="8" t="str">
        <x:v>Current</x:v>
      </x:c>
      <x:c r="AB269" s="8" t="str">
        <x:v>drop:AV1:A1:audio:-1:S263</x:v>
      </x:c>
      <x:c r="AC269" s="8" t="str">
        <x:v>{"dim":1,"level":-6,"delayMs":72.2}</x:v>
      </x:c>
    </x:row>
    <x:row r="270" ht="96" customHeight="1">
      <x:c r="A270" s="8" t="str">
        <x:v>S264</x:v>
      </x:c>
      <x:c r="B270" s="8" t="str">
        <x:v>Wall speaker · axis 5 · H</x:v>
      </x:c>
      <x:c r="C270" s="8" t="str">
        <x:v>speaker</x:v>
      </x:c>
      <x:c r="D270" s="8" t="str">
        <x:v>DB1</x:v>
      </x:c>
      <x:c r="E270" s="8" t="str">
        <x:v>A1</x:v>
      </x:c>
      <x:c r="F270" s="11" t="n">
        <x:v>18.975</x:v>
      </x:c>
      <x:c r="G270" s="11" t="n">
        <x:v>3.45</x:v>
      </x:c>
      <x:c r="H270" s="11" t="n">
        <x:v>7.07</x:v>
      </x:c>
      <x:c r="I270" s="8" t="str">
        <x:v>wall</x:v>
      </x:c>
      <x:c r="J270" s="8" t="str">
        <x:v>Shown</x:v>
      </x:c>
      <x:c r="K270" s="8" t="str">
        <x:v>On</x:v>
      </x:c>
      <x:c r="L270" s="8" t="str">
        <x:v>146 × 600 × 60</x:v>
      </x:c>
      <x:c r="M270" s="8" t="str">
        <x:v>60 W audio rating · Passive / amplifier output · 73.5 ms delay. Passive speaker; audio rating is not mains demand</x:v>
      </x:c>
      <x:c r="N270" s="11" t="n">
        <x:v>20</x:v>
      </x:c>
      <x:c r="O270" s="11" t="n">
        <x:v>-140</x:v>
      </x:c>
      <x:c r="P270" s="11" t="n">
        <x:v>-18</x:v>
      </x:c>
      <x:c r="Q270" s="9"/>
      <x:c r="R270" s="9"/>
      <x:c r="S270" s="9"/>
      <x:c r="T270" s="9"/>
      <x:c r="U270" s="9"/>
      <x:c r="V270" s="9"/>
      <x:c r="W270" s="13"/>
      <x:c r="X270" s="13"/>
      <x:c r="Y270" s="13"/>
      <x:c r="Z270" s="9"/>
      <x:c r="AA270" s="8" t="str">
        <x:v>Current</x:v>
      </x:c>
      <x:c r="AB270" s="8" t="str">
        <x:v>drop:AV1:A1:audio:1:S264</x:v>
      </x:c>
      <x:c r="AC270" s="8" t="str">
        <x:v>{"dim":1,"level":-6,"delayMs":73.5}</x:v>
      </x:c>
    </x:row>
    <x:row r="271" ht="96" customHeight="1">
      <x:c r="A271" s="8" t="str">
        <x:v>S265</x:v>
      </x:c>
      <x:c r="B271" s="8" t="str">
        <x:v>Wall speaker · axis 6 · B</x:v>
      </x:c>
      <x:c r="C271" s="8" t="str">
        <x:v>speaker</x:v>
      </x:c>
      <x:c r="D271" s="8" t="str">
        <x:v>DB1</x:v>
      </x:c>
      <x:c r="E271" s="8" t="str">
        <x:v>A1</x:v>
      </x:c>
      <x:c r="F271" s="11" t="n">
        <x:v>23.475</x:v>
      </x:c>
      <x:c r="G271" s="11" t="n">
        <x:v>3.45</x:v>
      </x:c>
      <x:c r="H271" s="11" t="n">
        <x:v>-7.07</x:v>
      </x:c>
      <x:c r="I271" s="8" t="str">
        <x:v>wall</x:v>
      </x:c>
      <x:c r="J271" s="8" t="str">
        <x:v>Shown</x:v>
      </x:c>
      <x:c r="K271" s="8" t="str">
        <x:v>On</x:v>
      </x:c>
      <x:c r="L271" s="8" t="str">
        <x:v>146 × 600 × 60</x:v>
      </x:c>
      <x:c r="M271" s="8" t="str">
        <x:v>60 W audio rating · Passive / amplifier output · 59.2 ms delay. Passive speaker; audio rating is not mains demand</x:v>
      </x:c>
      <x:c r="N271" s="11" t="n">
        <x:v>20</x:v>
      </x:c>
      <x:c r="O271" s="11" t="n">
        <x:v>140</x:v>
      </x:c>
      <x:c r="P271" s="11" t="n">
        <x:v>-18</x:v>
      </x:c>
      <x:c r="Q271" s="9"/>
      <x:c r="R271" s="9"/>
      <x:c r="S271" s="9"/>
      <x:c r="T271" s="9"/>
      <x:c r="U271" s="9"/>
      <x:c r="V271" s="9"/>
      <x:c r="W271" s="13"/>
      <x:c r="X271" s="13"/>
      <x:c r="Y271" s="13"/>
      <x:c r="Z271" s="9"/>
      <x:c r="AA271" s="8" t="str">
        <x:v>Current</x:v>
      </x:c>
      <x:c r="AB271" s="8" t="str">
        <x:v>drop:AV1:A1:audio:-1:S265</x:v>
      </x:c>
      <x:c r="AC271" s="8" t="str">
        <x:v>{"dim":1,"level":-6,"delayMs":59.2}</x:v>
      </x:c>
    </x:row>
    <x:row r="272" ht="96" customHeight="1">
      <x:c r="A272" s="8" t="str">
        <x:v>S266</x:v>
      </x:c>
      <x:c r="B272" s="8" t="str">
        <x:v>Wall speaker · axis 6 · H</x:v>
      </x:c>
      <x:c r="C272" s="8" t="str">
        <x:v>speaker</x:v>
      </x:c>
      <x:c r="D272" s="8" t="str">
        <x:v>DB1</x:v>
      </x:c>
      <x:c r="E272" s="8" t="str">
        <x:v>A1</x:v>
      </x:c>
      <x:c r="F272" s="11" t="n">
        <x:v>23.475</x:v>
      </x:c>
      <x:c r="G272" s="11" t="n">
        <x:v>3.45</x:v>
      </x:c>
      <x:c r="H272" s="11" t="n">
        <x:v>7.07</x:v>
      </x:c>
      <x:c r="I272" s="8" t="str">
        <x:v>wall</x:v>
      </x:c>
      <x:c r="J272" s="8" t="str">
        <x:v>Shown</x:v>
      </x:c>
      <x:c r="K272" s="8" t="str">
        <x:v>On</x:v>
      </x:c>
      <x:c r="L272" s="8" t="str">
        <x:v>146 × 600 × 60</x:v>
      </x:c>
      <x:c r="M272" s="8" t="str">
        <x:v>60 W audio rating · Passive / amplifier output · 60.8 ms delay. Passive speaker; audio rating is not mains demand</x:v>
      </x:c>
      <x:c r="N272" s="11" t="n">
        <x:v>20</x:v>
      </x:c>
      <x:c r="O272" s="11" t="n">
        <x:v>-140</x:v>
      </x:c>
      <x:c r="P272" s="11" t="n">
        <x:v>-18</x:v>
      </x:c>
      <x:c r="Q272" s="9"/>
      <x:c r="R272" s="9"/>
      <x:c r="S272" s="9"/>
      <x:c r="T272" s="9"/>
      <x:c r="U272" s="9"/>
      <x:c r="V272" s="9"/>
      <x:c r="W272" s="13"/>
      <x:c r="X272" s="13"/>
      <x:c r="Y272" s="13"/>
      <x:c r="Z272" s="9"/>
      <x:c r="AA272" s="8" t="str">
        <x:v>Current</x:v>
      </x:c>
      <x:c r="AB272" s="8" t="str">
        <x:v>drop:AV1:A1:audio:1:S266</x:v>
      </x:c>
      <x:c r="AC272" s="8" t="str">
        <x:v>{"dim":1,"level":-6,"delayMs":60.8}</x:v>
      </x:c>
    </x:row>
    <x:row r="273" ht="96" customHeight="1">
      <x:c r="A273" s="8" t="str">
        <x:v>S267</x:v>
      </x:c>
      <x:c r="B273" s="8" t="str">
        <x:v>Wall speaker · axis 7 · B</x:v>
      </x:c>
      <x:c r="C273" s="8" t="str">
        <x:v>speaker</x:v>
      </x:c>
      <x:c r="D273" s="8" t="str">
        <x:v>DB1</x:v>
      </x:c>
      <x:c r="E273" s="8" t="str">
        <x:v>A1</x:v>
      </x:c>
      <x:c r="F273" s="11" t="n">
        <x:v>27.975</x:v>
      </x:c>
      <x:c r="G273" s="11" t="n">
        <x:v>3.45</x:v>
      </x:c>
      <x:c r="H273" s="11" t="n">
        <x:v>-7.07</x:v>
      </x:c>
      <x:c r="I273" s="8" t="str">
        <x:v>wall</x:v>
      </x:c>
      <x:c r="J273" s="8" t="str">
        <x:v>Shown</x:v>
      </x:c>
      <x:c r="K273" s="8" t="str">
        <x:v>On</x:v>
      </x:c>
      <x:c r="L273" s="8" t="str">
        <x:v>146 × 600 × 60</x:v>
      </x:c>
      <x:c r="M273" s="8" t="str">
        <x:v>60 W audio rating · Passive / amplifier output · 46.3 ms delay. Passive speaker; audio rating is not mains demand</x:v>
      </x:c>
      <x:c r="N273" s="11" t="n">
        <x:v>20</x:v>
      </x:c>
      <x:c r="O273" s="11" t="n">
        <x:v>140</x:v>
      </x:c>
      <x:c r="P273" s="11" t="n">
        <x:v>-18</x:v>
      </x:c>
      <x:c r="Q273" s="9"/>
      <x:c r="R273" s="9"/>
      <x:c r="S273" s="9"/>
      <x:c r="T273" s="9"/>
      <x:c r="U273" s="9"/>
      <x:c r="V273" s="9"/>
      <x:c r="W273" s="13"/>
      <x:c r="X273" s="13"/>
      <x:c r="Y273" s="13"/>
      <x:c r="Z273" s="9"/>
      <x:c r="AA273" s="8" t="str">
        <x:v>Current</x:v>
      </x:c>
      <x:c r="AB273" s="8" t="str">
        <x:v>drop:AV1:A1:audio:-1:S267</x:v>
      </x:c>
      <x:c r="AC273" s="8" t="str">
        <x:v>{"dim":1,"level":-6,"delayMs":46.3}</x:v>
      </x:c>
    </x:row>
    <x:row r="274" ht="96" customHeight="1">
      <x:c r="A274" s="8" t="str">
        <x:v>S268</x:v>
      </x:c>
      <x:c r="B274" s="8" t="str">
        <x:v>Wall speaker · axis 7 · H</x:v>
      </x:c>
      <x:c r="C274" s="8" t="str">
        <x:v>speaker</x:v>
      </x:c>
      <x:c r="D274" s="8" t="str">
        <x:v>DB1</x:v>
      </x:c>
      <x:c r="E274" s="8" t="str">
        <x:v>A1</x:v>
      </x:c>
      <x:c r="F274" s="11" t="n">
        <x:v>27.975</x:v>
      </x:c>
      <x:c r="G274" s="11" t="n">
        <x:v>3.45</x:v>
      </x:c>
      <x:c r="H274" s="11" t="n">
        <x:v>7.07</x:v>
      </x:c>
      <x:c r="I274" s="8" t="str">
        <x:v>wall</x:v>
      </x:c>
      <x:c r="J274" s="8" t="str">
        <x:v>Shown</x:v>
      </x:c>
      <x:c r="K274" s="8" t="str">
        <x:v>On</x:v>
      </x:c>
      <x:c r="L274" s="8" t="str">
        <x:v>146 × 600 × 60</x:v>
      </x:c>
      <x:c r="M274" s="8" t="str">
        <x:v>60 W audio rating · Passive / amplifier output · 48.3 ms delay. Passive speaker; audio rating is not mains demand</x:v>
      </x:c>
      <x:c r="N274" s="11" t="n">
        <x:v>20</x:v>
      </x:c>
      <x:c r="O274" s="11" t="n">
        <x:v>-140</x:v>
      </x:c>
      <x:c r="P274" s="11" t="n">
        <x:v>-18</x:v>
      </x:c>
      <x:c r="Q274" s="9"/>
      <x:c r="R274" s="9"/>
      <x:c r="S274" s="9"/>
      <x:c r="T274" s="9"/>
      <x:c r="U274" s="9"/>
      <x:c r="V274" s="9"/>
      <x:c r="W274" s="13"/>
      <x:c r="X274" s="13"/>
      <x:c r="Y274" s="13"/>
      <x:c r="Z274" s="9"/>
      <x:c r="AA274" s="8" t="str">
        <x:v>Current</x:v>
      </x:c>
      <x:c r="AB274" s="8" t="str">
        <x:v>drop:AV1:A1:audio:1:S268</x:v>
      </x:c>
      <x:c r="AC274" s="8" t="str">
        <x:v>{"dim":1,"level":-6,"delayMs":48.3}</x:v>
      </x:c>
    </x:row>
    <x:row r="275" ht="96" customHeight="1">
      <x:c r="A275" s="8" t="str">
        <x:v>S269</x:v>
      </x:c>
      <x:c r="B275" s="8" t="str">
        <x:v>Wall speaker · axis 8 · B</x:v>
      </x:c>
      <x:c r="C275" s="8" t="str">
        <x:v>speaker</x:v>
      </x:c>
      <x:c r="D275" s="8" t="str">
        <x:v>DB1</x:v>
      </x:c>
      <x:c r="E275" s="8" t="str">
        <x:v>A1</x:v>
      </x:c>
      <x:c r="F275" s="11" t="n">
        <x:v>32.475</x:v>
      </x:c>
      <x:c r="G275" s="11" t="n">
        <x:v>3.45</x:v>
      </x:c>
      <x:c r="H275" s="11" t="n">
        <x:v>-7.07</x:v>
      </x:c>
      <x:c r="I275" s="8" t="str">
        <x:v>wall</x:v>
      </x:c>
      <x:c r="J275" s="8" t="str">
        <x:v>Shown</x:v>
      </x:c>
      <x:c r="K275" s="8" t="str">
        <x:v>On</x:v>
      </x:c>
      <x:c r="L275" s="8" t="str">
        <x:v>146 × 600 × 60</x:v>
      </x:c>
      <x:c r="M275" s="8" t="str">
        <x:v>60 W audio rating · Passive / amplifier output · 33.5 ms delay. Passive speaker; audio rating is not mains demand</x:v>
      </x:c>
      <x:c r="N275" s="11" t="n">
        <x:v>20</x:v>
      </x:c>
      <x:c r="O275" s="11" t="n">
        <x:v>140</x:v>
      </x:c>
      <x:c r="P275" s="11" t="n">
        <x:v>-18</x:v>
      </x:c>
      <x:c r="Q275" s="9"/>
      <x:c r="R275" s="9"/>
      <x:c r="S275" s="9"/>
      <x:c r="T275" s="9"/>
      <x:c r="U275" s="9"/>
      <x:c r="V275" s="9"/>
      <x:c r="W275" s="13"/>
      <x:c r="X275" s="13"/>
      <x:c r="Y275" s="13"/>
      <x:c r="Z275" s="9"/>
      <x:c r="AA275" s="8" t="str">
        <x:v>Current</x:v>
      </x:c>
      <x:c r="AB275" s="8" t="str">
        <x:v>drop:AV1:A1:audio:-1:S269</x:v>
      </x:c>
      <x:c r="AC275" s="8" t="str">
        <x:v>{"dim":1,"level":-6,"delayMs":33.5}</x:v>
      </x:c>
    </x:row>
    <x:row r="276" ht="96" customHeight="1">
      <x:c r="A276" s="8" t="str">
        <x:v>S270</x:v>
      </x:c>
      <x:c r="B276" s="8" t="str">
        <x:v>Wall speaker · axis 8 · H</x:v>
      </x:c>
      <x:c r="C276" s="8" t="str">
        <x:v>speaker</x:v>
      </x:c>
      <x:c r="D276" s="8" t="str">
        <x:v>DB1</x:v>
      </x:c>
      <x:c r="E276" s="8" t="str">
        <x:v>A1</x:v>
      </x:c>
      <x:c r="F276" s="11" t="n">
        <x:v>32.475</x:v>
      </x:c>
      <x:c r="G276" s="11" t="n">
        <x:v>3.45</x:v>
      </x:c>
      <x:c r="H276" s="11" t="n">
        <x:v>7.07</x:v>
      </x:c>
      <x:c r="I276" s="8" t="str">
        <x:v>wall</x:v>
      </x:c>
      <x:c r="J276" s="8" t="str">
        <x:v>Shown</x:v>
      </x:c>
      <x:c r="K276" s="8" t="str">
        <x:v>On</x:v>
      </x:c>
      <x:c r="L276" s="8" t="str">
        <x:v>146 × 600 × 60</x:v>
      </x:c>
      <x:c r="M276" s="8" t="str">
        <x:v>60 W audio rating · Passive / amplifier output · 36 ms delay. Passive speaker; audio rating is not mains demand</x:v>
      </x:c>
      <x:c r="N276" s="11" t="n">
        <x:v>20</x:v>
      </x:c>
      <x:c r="O276" s="11" t="n">
        <x:v>-140</x:v>
      </x:c>
      <x:c r="P276" s="11" t="n">
        <x:v>-18</x:v>
      </x:c>
      <x:c r="Q276" s="9"/>
      <x:c r="R276" s="9"/>
      <x:c r="S276" s="9"/>
      <x:c r="T276" s="9"/>
      <x:c r="U276" s="9"/>
      <x:c r="V276" s="9"/>
      <x:c r="W276" s="13"/>
      <x:c r="X276" s="13"/>
      <x:c r="Y276" s="13"/>
      <x:c r="Z276" s="9"/>
      <x:c r="AA276" s="8" t="str">
        <x:v>Current</x:v>
      </x:c>
      <x:c r="AB276" s="8" t="str">
        <x:v>drop:AV1:A1:audio:1:S270</x:v>
      </x:c>
      <x:c r="AC276" s="8" t="str">
        <x:v>{"dim":1,"level":-6,"delayMs":36}</x:v>
      </x:c>
    </x:row>
    <x:row r="277" ht="96" customHeight="1">
      <x:c r="A277" s="8" t="str">
        <x:v>S271</x:v>
      </x:c>
      <x:c r="B277" s="8" t="str">
        <x:v>Wall speaker · axis 9 · B</x:v>
      </x:c>
      <x:c r="C277" s="8" t="str">
        <x:v>speaker</x:v>
      </x:c>
      <x:c r="D277" s="8" t="str">
        <x:v>DB1</x:v>
      </x:c>
      <x:c r="E277" s="8" t="str">
        <x:v>A1</x:v>
      </x:c>
      <x:c r="F277" s="11" t="n">
        <x:v>36.975</x:v>
      </x:c>
      <x:c r="G277" s="11" t="n">
        <x:v>3.45</x:v>
      </x:c>
      <x:c r="H277" s="11" t="n">
        <x:v>-7.07</x:v>
      </x:c>
      <x:c r="I277" s="8" t="str">
        <x:v>wall</x:v>
      </x:c>
      <x:c r="J277" s="8" t="str">
        <x:v>Shown</x:v>
      </x:c>
      <x:c r="K277" s="8" t="str">
        <x:v>On</x:v>
      </x:c>
      <x:c r="L277" s="8" t="str">
        <x:v>146 × 600 × 60</x:v>
      </x:c>
      <x:c r="M277" s="8" t="str">
        <x:v>60 W audio rating · Passive / amplifier output · 20.6 ms delay. Passive speaker; audio rating is not mains demand</x:v>
      </x:c>
      <x:c r="N277" s="11" t="n">
        <x:v>20</x:v>
      </x:c>
      <x:c r="O277" s="11" t="n">
        <x:v>140</x:v>
      </x:c>
      <x:c r="P277" s="11" t="n">
        <x:v>-18</x:v>
      </x:c>
      <x:c r="Q277" s="9"/>
      <x:c r="R277" s="9"/>
      <x:c r="S277" s="9"/>
      <x:c r="T277" s="9"/>
      <x:c r="U277" s="9"/>
      <x:c r="V277" s="9"/>
      <x:c r="W277" s="13"/>
      <x:c r="X277" s="13"/>
      <x:c r="Y277" s="13"/>
      <x:c r="Z277" s="9"/>
      <x:c r="AA277" s="8" t="str">
        <x:v>Current</x:v>
      </x:c>
      <x:c r="AB277" s="8" t="str">
        <x:v>drop:AV1:A1:audio:-1:S271</x:v>
      </x:c>
      <x:c r="AC277" s="8" t="str">
        <x:v>{"dim":1,"level":-6,"delayMs":20.6}</x:v>
      </x:c>
    </x:row>
    <x:row r="278" ht="96" customHeight="1">
      <x:c r="A278" s="8" t="str">
        <x:v>S272</x:v>
      </x:c>
      <x:c r="B278" s="8" t="str">
        <x:v>Wall speaker · axis 9 · H</x:v>
      </x:c>
      <x:c r="C278" s="8" t="str">
        <x:v>speaker</x:v>
      </x:c>
      <x:c r="D278" s="8" t="str">
        <x:v>DB1</x:v>
      </x:c>
      <x:c r="E278" s="8" t="str">
        <x:v>A1</x:v>
      </x:c>
      <x:c r="F278" s="11" t="n">
        <x:v>36.975</x:v>
      </x:c>
      <x:c r="G278" s="11" t="n">
        <x:v>3.45</x:v>
      </x:c>
      <x:c r="H278" s="11" t="n">
        <x:v>7.07</x:v>
      </x:c>
      <x:c r="I278" s="8" t="str">
        <x:v>wall</x:v>
      </x:c>
      <x:c r="J278" s="8" t="str">
        <x:v>Shown</x:v>
      </x:c>
      <x:c r="K278" s="8" t="str">
        <x:v>On</x:v>
      </x:c>
      <x:c r="L278" s="8" t="str">
        <x:v>146 × 600 × 60</x:v>
      </x:c>
      <x:c r="M278" s="8" t="str">
        <x:v>60 W audio rating · Passive / amplifier output · 24.1 ms delay. Passive speaker; audio rating is not mains demand</x:v>
      </x:c>
      <x:c r="N278" s="11" t="n">
        <x:v>20</x:v>
      </x:c>
      <x:c r="O278" s="11" t="n">
        <x:v>-140</x:v>
      </x:c>
      <x:c r="P278" s="11" t="n">
        <x:v>-18</x:v>
      </x:c>
      <x:c r="Q278" s="9"/>
      <x:c r="R278" s="9"/>
      <x:c r="S278" s="9"/>
      <x:c r="T278" s="9"/>
      <x:c r="U278" s="9"/>
      <x:c r="V278" s="9"/>
      <x:c r="W278" s="13"/>
      <x:c r="X278" s="13"/>
      <x:c r="Y278" s="13"/>
      <x:c r="Z278" s="9"/>
      <x:c r="AA278" s="8" t="str">
        <x:v>Current</x:v>
      </x:c>
      <x:c r="AB278" s="8" t="str">
        <x:v>drop:AV1:A1:audio:1:S272</x:v>
      </x:c>
      <x:c r="AC278" s="8" t="str">
        <x:v>{"dim":1,"level":-6,"delayMs":24.1}</x:v>
      </x:c>
    </x:row>
    <x:row r="279" ht="96" customHeight="1">
      <x:c r="A279" s="8" t="str">
        <x:v>S273</x:v>
      </x:c>
      <x:c r="B279" s="8" t="str">
        <x:v>Wall speaker · entrance hall · B</x:v>
      </x:c>
      <x:c r="C279" s="8" t="str">
        <x:v>speaker</x:v>
      </x:c>
      <x:c r="D279" s="8" t="str">
        <x:v>DB1</x:v>
      </x:c>
      <x:c r="E279" s="8" t="str">
        <x:v>A5</x:v>
      </x:c>
      <x:c r="F279" s="11" t="n">
        <x:v>2.655</x:v>
      </x:c>
      <x:c r="G279" s="11" t="n">
        <x:v>3.6</x:v>
      </x:c>
      <x:c r="H279" s="11" t="n">
        <x:v>-3.05</x:v>
      </x:c>
      <x:c r="I279" s="8" t="str">
        <x:v>wall</x:v>
      </x:c>
      <x:c r="J279" s="8" t="str">
        <x:v>Shown</x:v>
      </x:c>
      <x:c r="K279" s="8" t="str">
        <x:v>Off</x:v>
      </x:c>
      <x:c r="L279" s="8" t="str">
        <x:v>146 × 600 × 60</x:v>
      </x:c>
      <x:c r="M279" s="8" t="str">
        <x:v>60 W audio rating · Passive / amplifier output · 94.9 ms delay. Passive speaker; audio rating is not mains demand</x:v>
      </x:c>
      <x:c r="N279" s="11" t="n">
        <x:v>20</x:v>
      </x:c>
      <x:c r="O279" s="11" t="n">
        <x:v>-6.476440087185079</x:v>
      </x:c>
      <x:c r="P279" s="11" t="n">
        <x:v>-26.206172946093037</x:v>
      </x:c>
      <x:c r="Q279" s="9"/>
      <x:c r="R279" s="9"/>
      <x:c r="S279" s="9"/>
      <x:c r="T279" s="9"/>
      <x:c r="U279" s="9"/>
      <x:c r="V279" s="9"/>
      <x:c r="W279" s="13"/>
      <x:c r="X279" s="13"/>
      <x:c r="Y279" s="13"/>
      <x:c r="Z279" s="9"/>
      <x:c r="AA279" s="8" t="str">
        <x:v>Current</x:v>
      </x:c>
      <x:c r="AB279" s="8" t="str">
        <x:v>drop:AV1:A5:audio:-1:S273</x:v>
      </x:c>
      <x:c r="AC279" s="8" t="str">
        <x:v>{"dim":1,"level":-9,"delayMs":94.9}</x:v>
      </x:c>
    </x:row>
    <x:row r="280" ht="96" customHeight="1">
      <x:c r="A280" s="8" t="str">
        <x:v>S274</x:v>
      </x:c>
      <x:c r="B280" s="8" t="str">
        <x:v>Wall speaker · entrance hall · H</x:v>
      </x:c>
      <x:c r="C280" s="8" t="str">
        <x:v>speaker</x:v>
      </x:c>
      <x:c r="D280" s="8" t="str">
        <x:v>DB1</x:v>
      </x:c>
      <x:c r="E280" s="8" t="str">
        <x:v>A5</x:v>
      </x:c>
      <x:c r="F280" s="11" t="n">
        <x:v>2.655</x:v>
      </x:c>
      <x:c r="G280" s="11" t="n">
        <x:v>3.6</x:v>
      </x:c>
      <x:c r="H280" s="11" t="n">
        <x:v>3.05</x:v>
      </x:c>
      <x:c r="I280" s="8" t="str">
        <x:v>wall</x:v>
      </x:c>
      <x:c r="J280" s="8" t="str">
        <x:v>Shown</x:v>
      </x:c>
      <x:c r="K280" s="8" t="str">
        <x:v>Off</x:v>
      </x:c>
      <x:c r="L280" s="8" t="str">
        <x:v>146 × 600 × 60</x:v>
      </x:c>
      <x:c r="M280" s="8" t="str">
        <x:v>60 W audio rating · Passive / amplifier output · 96.5 ms delay. Passive speaker; audio rating is not mains demand</x:v>
      </x:c>
      <x:c r="N280" s="11" t="n">
        <x:v>20</x:v>
      </x:c>
      <x:c r="O280" s="11" t="n">
        <x:v>6.476440087185079</x:v>
      </x:c>
      <x:c r="P280" s="11" t="n">
        <x:v>-26.206172946093037</x:v>
      </x:c>
      <x:c r="Q280" s="9"/>
      <x:c r="R280" s="9"/>
      <x:c r="S280" s="9"/>
      <x:c r="T280" s="9"/>
      <x:c r="U280" s="9"/>
      <x:c r="V280" s="9"/>
      <x:c r="W280" s="13"/>
      <x:c r="X280" s="13"/>
      <x:c r="Y280" s="13"/>
      <x:c r="Z280" s="9"/>
      <x:c r="AA280" s="8" t="str">
        <x:v>Current</x:v>
      </x:c>
      <x:c r="AB280" s="8" t="str">
        <x:v>drop:AV1:A5:audio:1:S274</x:v>
      </x:c>
      <x:c r="AC280" s="8" t="str">
        <x:v>{"dim":1,"level":-9,"delayMs":96.5}</x:v>
      </x:c>
    </x:row>
    <x:row r="281" ht="96" customHeight="1">
      <x:c r="A281" s="8" t="str">
        <x:v>S275</x:v>
      </x:c>
      <x:c r="B281" s="8" t="str">
        <x:v>Wing speaker · B · front block</x:v>
      </x:c>
      <x:c r="C281" s="8" t="str">
        <x:v>speaker</x:v>
      </x:c>
      <x:c r="D281" s="8" t="str">
        <x:v>DB1</x:v>
      </x:c>
      <x:c r="E281" s="8" t="str">
        <x:v>A1</x:v>
      </x:c>
      <x:c r="F281" s="11" t="n">
        <x:v>38.94</x:v>
      </x:c>
      <x:c r="G281" s="11" t="n">
        <x:v>3</x:v>
      </x:c>
      <x:c r="H281" s="11" t="n">
        <x:v>-11.6</x:v>
      </x:c>
      <x:c r="I281" s="8" t="str">
        <x:v>pendant</x:v>
      </x:c>
      <x:c r="J281" s="8" t="str">
        <x:v>Shown</x:v>
      </x:c>
      <x:c r="K281" s="8" t="str">
        <x:v>On</x:v>
      </x:c>
      <x:c r="L281" s="8" t="str">
        <x:v>367 × 257 × 260</x:v>
      </x:c>
      <x:c r="M281" s="8" t="str">
        <x:v>30 W audio rating · Passive / amplifier output · 25.2 ms delay. Passive speaker; audio rating is not mains demand</x:v>
      </x:c>
      <x:c r="N281" s="11" t="n">
        <x:v>10</x:v>
      </x:c>
      <x:c r="O281" s="11" t="n">
        <x:v>90</x:v>
      </x:c>
      <x:c r="P281" s="11" t="n">
        <x:v>-46.39718102729638</x:v>
      </x:c>
      <x:c r="Q281" s="9"/>
      <x:c r="R281" s="9"/>
      <x:c r="S281" s="9"/>
      <x:c r="T281" s="9"/>
      <x:c r="U281" s="9"/>
      <x:c r="V281" s="9"/>
      <x:c r="W281" s="13"/>
      <x:c r="X281" s="13"/>
      <x:c r="Y281" s="13"/>
      <x:c r="Z281" s="9"/>
      <x:c r="AA281" s="8" t="str">
        <x:v>Current</x:v>
      </x:c>
      <x:c r="AB281" s="8" t="str">
        <x:v>drop:AV1:A1:audio:-1:S275</x:v>
      </x:c>
      <x:c r="AC281" s="8" t="str">
        <x:v>{"dim":1,"level":-10,"delayMs":25.2,"anchorY":8.115059999999996}</x:v>
      </x:c>
    </x:row>
    <x:row r="282" ht="96" customHeight="1">
      <x:c r="A282" s="8" t="str">
        <x:v>S276</x:v>
      </x:c>
      <x:c r="B282" s="8" t="str">
        <x:v>Wing speaker · B · rear block</x:v>
      </x:c>
      <x:c r="C282" s="8" t="str">
        <x:v>speaker</x:v>
      </x:c>
      <x:c r="D282" s="8" t="str">
        <x:v>DB1</x:v>
      </x:c>
      <x:c r="E282" s="8" t="str">
        <x:v>A1</x:v>
      </x:c>
      <x:c r="F282" s="11" t="n">
        <x:v>42.22</x:v>
      </x:c>
      <x:c r="G282" s="11" t="n">
        <x:v>3</x:v>
      </x:c>
      <x:c r="H282" s="11" t="n">
        <x:v>-11.6</x:v>
      </x:c>
      <x:c r="I282" s="8" t="str">
        <x:v>pendant</x:v>
      </x:c>
      <x:c r="J282" s="8" t="str">
        <x:v>Shown</x:v>
      </x:c>
      <x:c r="K282" s="8" t="str">
        <x:v>On</x:v>
      </x:c>
      <x:c r="L282" s="8" t="str">
        <x:v>367 × 257 × 260</x:v>
      </x:c>
      <x:c r="M282" s="8" t="str">
        <x:v>30 W audio rating · Passive / amplifier output · 23.7 ms delay. Passive speaker; audio rating is not mains demand</x:v>
      </x:c>
      <x:c r="N282" s="11" t="n">
        <x:v>10</x:v>
      </x:c>
      <x:c r="O282" s="11" t="n">
        <x:v>90</x:v>
      </x:c>
      <x:c r="P282" s="11" t="n">
        <x:v>-46.39718102729638</x:v>
      </x:c>
      <x:c r="Q282" s="9"/>
      <x:c r="R282" s="9"/>
      <x:c r="S282" s="9"/>
      <x:c r="T282" s="9"/>
      <x:c r="U282" s="9"/>
      <x:c r="V282" s="9"/>
      <x:c r="W282" s="13"/>
      <x:c r="X282" s="13"/>
      <x:c r="Y282" s="13"/>
      <x:c r="Z282" s="9"/>
      <x:c r="AA282" s="8" t="str">
        <x:v>Current</x:v>
      </x:c>
      <x:c r="AB282" s="8" t="str">
        <x:v>drop:AV1:A1:audio:-1:S276</x:v>
      </x:c>
      <x:c r="AC282" s="8" t="str">
        <x:v>{"dim":1,"level":-10,"delayMs":23.7,"anchorY":8.083580000000003}</x:v>
      </x:c>
    </x:row>
    <x:row r="283" ht="96" customHeight="1">
      <x:c r="A283" s="8" t="str">
        <x:v>S277</x:v>
      </x:c>
      <x:c r="B283" s="8" t="str">
        <x:v>Wing speaker · H · front block</x:v>
      </x:c>
      <x:c r="C283" s="8" t="str">
        <x:v>speaker</x:v>
      </x:c>
      <x:c r="D283" s="8" t="str">
        <x:v>DB1</x:v>
      </x:c>
      <x:c r="E283" s="8" t="str">
        <x:v>A1</x:v>
      </x:c>
      <x:c r="F283" s="11" t="n">
        <x:v>38.94</x:v>
      </x:c>
      <x:c r="G283" s="11" t="n">
        <x:v>3</x:v>
      </x:c>
      <x:c r="H283" s="11" t="n">
        <x:v>11.6</x:v>
      </x:c>
      <x:c r="I283" s="8" t="str">
        <x:v>pendant</x:v>
      </x:c>
      <x:c r="J283" s="8" t="str">
        <x:v>Shown</x:v>
      </x:c>
      <x:c r="K283" s="8" t="str">
        <x:v>On</x:v>
      </x:c>
      <x:c r="L283" s="8" t="str">
        <x:v>367 × 257 × 260</x:v>
      </x:c>
      <x:c r="M283" s="8" t="str">
        <x:v>30 W audio rating · Passive / amplifier output · 39.4 ms delay. Passive speaker; audio rating is not mains demand</x:v>
      </x:c>
      <x:c r="N283" s="11" t="n">
        <x:v>10</x:v>
      </x:c>
      <x:c r="O283" s="11" t="n">
        <x:v>-90</x:v>
      </x:c>
      <x:c r="P283" s="11" t="n">
        <x:v>-46.39718102729638</x:v>
      </x:c>
      <x:c r="Q283" s="9"/>
      <x:c r="R283" s="9"/>
      <x:c r="S283" s="9"/>
      <x:c r="T283" s="9"/>
      <x:c r="U283" s="9"/>
      <x:c r="V283" s="9"/>
      <x:c r="W283" s="13"/>
      <x:c r="X283" s="13"/>
      <x:c r="Y283" s="13"/>
      <x:c r="Z283" s="9"/>
      <x:c r="AA283" s="8" t="str">
        <x:v>Current</x:v>
      </x:c>
      <x:c r="AB283" s="8" t="str">
        <x:v>drop:AV1:A1:audio:1:S277</x:v>
      </x:c>
      <x:c r="AC283" s="8" t="str">
        <x:v>{"dim":1,"level":-10,"delayMs":39.4,"anchorY":8.115059999999996}</x:v>
      </x:c>
    </x:row>
    <x:row r="284" ht="96" customHeight="1">
      <x:c r="A284" s="8" t="str">
        <x:v>S278</x:v>
      </x:c>
      <x:c r="B284" s="8" t="str">
        <x:v>Wing speaker · H · rear block</x:v>
      </x:c>
      <x:c r="C284" s="8" t="str">
        <x:v>speaker</x:v>
      </x:c>
      <x:c r="D284" s="8" t="str">
        <x:v>DB1</x:v>
      </x:c>
      <x:c r="E284" s="8" t="str">
        <x:v>A1</x:v>
      </x:c>
      <x:c r="F284" s="11" t="n">
        <x:v>42.22</x:v>
      </x:c>
      <x:c r="G284" s="11" t="n">
        <x:v>3</x:v>
      </x:c>
      <x:c r="H284" s="11" t="n">
        <x:v>11.6</x:v>
      </x:c>
      <x:c r="I284" s="8" t="str">
        <x:v>pendant</x:v>
      </x:c>
      <x:c r="J284" s="8" t="str">
        <x:v>Shown</x:v>
      </x:c>
      <x:c r="K284" s="8" t="str">
        <x:v>On</x:v>
      </x:c>
      <x:c r="L284" s="8" t="str">
        <x:v>367 × 257 × 260</x:v>
      </x:c>
      <x:c r="M284" s="8" t="str">
        <x:v>30 W audio rating · Passive / amplifier output · 38.5 ms delay. Passive speaker; audio rating is not mains demand</x:v>
      </x:c>
      <x:c r="N284" s="11" t="n">
        <x:v>10</x:v>
      </x:c>
      <x:c r="O284" s="11" t="n">
        <x:v>-90</x:v>
      </x:c>
      <x:c r="P284" s="11" t="n">
        <x:v>-46.39718102729638</x:v>
      </x:c>
      <x:c r="Q284" s="9"/>
      <x:c r="R284" s="9"/>
      <x:c r="S284" s="9"/>
      <x:c r="T284" s="9"/>
      <x:c r="U284" s="9"/>
      <x:c r="V284" s="9"/>
      <x:c r="W284" s="13"/>
      <x:c r="X284" s="13"/>
      <x:c r="Y284" s="13"/>
      <x:c r="Z284" s="9"/>
      <x:c r="AA284" s="8" t="str">
        <x:v>Current</x:v>
      </x:c>
      <x:c r="AB284" s="8" t="str">
        <x:v>drop:AV1:A1:audio:1:S278</x:v>
      </x:c>
      <x:c r="AC284" s="8" t="str">
        <x:v>{"dim":1,"level":-10,"delayMs":38.5,"anchorY":8.083580000000003}</x:v>
      </x:c>
    </x:row>
    <x:row r="285" ht="96" customHeight="1">
      <x:c r="A285" s="8" t="str">
        <x:v>S279</x:v>
      </x:c>
      <x:c r="B285" s="8" t="str">
        <x:v>Veranda fill · B · 12.2</x:v>
      </x:c>
      <x:c r="C285" s="8" t="str">
        <x:v>speaker</x:v>
      </x:c>
      <x:c r="D285" s="8" t="str">
        <x:v>DB1</x:v>
      </x:c>
      <x:c r="E285" s="8" t="str">
        <x:v>A2</x:v>
      </x:c>
      <x:c r="F285" s="11" t="n">
        <x:v>12.225</x:v>
      </x:c>
      <x:c r="G285" s="11" t="n">
        <x:v>3.9</x:v>
      </x:c>
      <x:c r="H285" s="11" t="n">
        <x:v>-8.85</x:v>
      </x:c>
      <x:c r="I285" s="8" t="str">
        <x:v>pendant</x:v>
      </x:c>
      <x:c r="J285" s="8" t="str">
        <x:v>Shown</x:v>
      </x:c>
      <x:c r="K285" s="8" t="str">
        <x:v>On</x:v>
      </x:c>
      <x:c r="L285" s="8" t="str">
        <x:v>367 × 257 × 260</x:v>
      </x:c>
      <x:c r="M285" s="8" t="str">
        <x:v>30 W audio rating · Passive / amplifier output · 88.8 ms delay. Passive speaker; audio rating is not mains demand</x:v>
      </x:c>
      <x:c r="N285" s="11" t="n">
        <x:v>10</x:v>
      </x:c>
      <x:c r="O285" s="11" t="n">
        <x:v>0</x:v>
      </x:c>
      <x:c r="P285" s="11" t="n">
        <x:v>-90</x:v>
      </x:c>
      <x:c r="Q285" s="9"/>
      <x:c r="R285" s="9"/>
      <x:c r="S285" s="9"/>
      <x:c r="T285" s="9"/>
      <x:c r="U285" s="9"/>
      <x:c r="V285" s="9"/>
      <x:c r="W285" s="13"/>
      <x:c r="X285" s="13"/>
      <x:c r="Y285" s="13"/>
      <x:c r="Z285" s="9"/>
      <x:c r="AA285" s="8" t="str">
        <x:v>Current</x:v>
      </x:c>
      <x:c r="AB285" s="8" t="str">
        <x:v>drop:AV1:A2:audio:-1:S279</x:v>
      </x:c>
      <x:c r="AC285" s="8" t="str">
        <x:v>{"dim":1,"level":-7,"delayMs":88.8,"anchorY":6.798875000000001}</x:v>
      </x:c>
    </x:row>
    <x:row r="286" ht="96" customHeight="1">
      <x:c r="A286" s="8" t="str">
        <x:v>S280</x:v>
      </x:c>
      <x:c r="B286" s="8" t="str">
        <x:v>Veranda fill · B · 25.7</x:v>
      </x:c>
      <x:c r="C286" s="8" t="str">
        <x:v>speaker</x:v>
      </x:c>
      <x:c r="D286" s="8" t="str">
        <x:v>DB1</x:v>
      </x:c>
      <x:c r="E286" s="8" t="str">
        <x:v>A2</x:v>
      </x:c>
      <x:c r="F286" s="11" t="n">
        <x:v>25.725</x:v>
      </x:c>
      <x:c r="G286" s="11" t="n">
        <x:v>3.9</x:v>
      </x:c>
      <x:c r="H286" s="11" t="n">
        <x:v>-8.85</x:v>
      </x:c>
      <x:c r="I286" s="8" t="str">
        <x:v>pendant</x:v>
      </x:c>
      <x:c r="J286" s="8" t="str">
        <x:v>Shown</x:v>
      </x:c>
      <x:c r="K286" s="8" t="str">
        <x:v>On</x:v>
      </x:c>
      <x:c r="L286" s="8" t="str">
        <x:v>367 × 257 × 260</x:v>
      </x:c>
      <x:c r="M286" s="8" t="str">
        <x:v>30 W audio rating · Passive / amplifier output · 50.9 ms delay. Passive speaker; audio rating is not mains demand</x:v>
      </x:c>
      <x:c r="N286" s="11" t="n">
        <x:v>10</x:v>
      </x:c>
      <x:c r="O286" s="11" t="n">
        <x:v>0</x:v>
      </x:c>
      <x:c r="P286" s="11" t="n">
        <x:v>-90</x:v>
      </x:c>
      <x:c r="Q286" s="9"/>
      <x:c r="R286" s="9"/>
      <x:c r="S286" s="9"/>
      <x:c r="T286" s="9"/>
      <x:c r="U286" s="9"/>
      <x:c r="V286" s="9"/>
      <x:c r="W286" s="13"/>
      <x:c r="X286" s="13"/>
      <x:c r="Y286" s="13"/>
      <x:c r="Z286" s="9"/>
      <x:c r="AA286" s="8" t="str">
        <x:v>Current</x:v>
      </x:c>
      <x:c r="AB286" s="8" t="str">
        <x:v>drop:AV1:A2:audio:-1:S280</x:v>
      </x:c>
      <x:c r="AC286" s="8" t="str">
        <x:v>{"dim":1,"level":-7,"delayMs":50.9,"anchorY":6.798875000000001}</x:v>
      </x:c>
    </x:row>
    <x:row r="287" ht="96" customHeight="1">
      <x:c r="A287" s="8" t="str">
        <x:v>S281</x:v>
      </x:c>
      <x:c r="B287" s="8" t="str">
        <x:v>Veranda fill · H · 12.2</x:v>
      </x:c>
      <x:c r="C287" s="8" t="str">
        <x:v>speaker</x:v>
      </x:c>
      <x:c r="D287" s="8" t="str">
        <x:v>DB1</x:v>
      </x:c>
      <x:c r="E287" s="8" t="str">
        <x:v>A2</x:v>
      </x:c>
      <x:c r="F287" s="11" t="n">
        <x:v>12.225</x:v>
      </x:c>
      <x:c r="G287" s="11" t="n">
        <x:v>3.9</x:v>
      </x:c>
      <x:c r="H287" s="11" t="n">
        <x:v>8.85</x:v>
      </x:c>
      <x:c r="I287" s="8" t="str">
        <x:v>pendant</x:v>
      </x:c>
      <x:c r="J287" s="8" t="str">
        <x:v>Shown</x:v>
      </x:c>
      <x:c r="K287" s="8" t="str">
        <x:v>On</x:v>
      </x:c>
      <x:c r="L287" s="8" t="str">
        <x:v>367 × 257 × 260</x:v>
      </x:c>
      <x:c r="M287" s="8" t="str">
        <x:v>30 W audio rating · Passive / amplifier output · 92.3 ms delay. Passive speaker; audio rating is not mains demand</x:v>
      </x:c>
      <x:c r="N287" s="11" t="n">
        <x:v>10</x:v>
      </x:c>
      <x:c r="O287" s="11" t="n">
        <x:v>0</x:v>
      </x:c>
      <x:c r="P287" s="11" t="n">
        <x:v>-90</x:v>
      </x:c>
      <x:c r="Q287" s="9"/>
      <x:c r="R287" s="9"/>
      <x:c r="S287" s="9"/>
      <x:c r="T287" s="9"/>
      <x:c r="U287" s="9"/>
      <x:c r="V287" s="9"/>
      <x:c r="W287" s="13"/>
      <x:c r="X287" s="13"/>
      <x:c r="Y287" s="13"/>
      <x:c r="Z287" s="9"/>
      <x:c r="AA287" s="8" t="str">
        <x:v>Current</x:v>
      </x:c>
      <x:c r="AB287" s="8" t="str">
        <x:v>drop:AV1:A2:audio:1:S281</x:v>
      </x:c>
      <x:c r="AC287" s="8" t="str">
        <x:v>{"dim":1,"level":-7,"delayMs":92.3,"anchorY":6.798875000000001}</x:v>
      </x:c>
    </x:row>
    <x:row r="288" ht="96" customHeight="1">
      <x:c r="A288" s="8" t="str">
        <x:v>S282</x:v>
      </x:c>
      <x:c r="B288" s="8" t="str">
        <x:v>Veranda fill · H · 25.7</x:v>
      </x:c>
      <x:c r="C288" s="8" t="str">
        <x:v>speaker</x:v>
      </x:c>
      <x:c r="D288" s="8" t="str">
        <x:v>DB1</x:v>
      </x:c>
      <x:c r="E288" s="8" t="str">
        <x:v>A2</x:v>
      </x:c>
      <x:c r="F288" s="11" t="n">
        <x:v>25.725</x:v>
      </x:c>
      <x:c r="G288" s="11" t="n">
        <x:v>3.9</x:v>
      </x:c>
      <x:c r="H288" s="11" t="n">
        <x:v>8.85</x:v>
      </x:c>
      <x:c r="I288" s="8" t="str">
        <x:v>pendant</x:v>
      </x:c>
      <x:c r="J288" s="8" t="str">
        <x:v>Shown</x:v>
      </x:c>
      <x:c r="K288" s="8" t="str">
        <x:v>On</x:v>
      </x:c>
      <x:c r="L288" s="8" t="str">
        <x:v>367 × 257 × 260</x:v>
      </x:c>
      <x:c r="M288" s="8" t="str">
        <x:v>30 W audio rating · Passive / amplifier output · 56.8 ms delay. Passive speaker; audio rating is not mains demand</x:v>
      </x:c>
      <x:c r="N288" s="11" t="n">
        <x:v>10</x:v>
      </x:c>
      <x:c r="O288" s="11" t="n">
        <x:v>0</x:v>
      </x:c>
      <x:c r="P288" s="11" t="n">
        <x:v>-90</x:v>
      </x:c>
      <x:c r="Q288" s="9"/>
      <x:c r="R288" s="9"/>
      <x:c r="S288" s="9"/>
      <x:c r="T288" s="9"/>
      <x:c r="U288" s="9"/>
      <x:c r="V288" s="9"/>
      <x:c r="W288" s="13"/>
      <x:c r="X288" s="13"/>
      <x:c r="Y288" s="13"/>
      <x:c r="Z288" s="9"/>
      <x:c r="AA288" s="8" t="str">
        <x:v>Current</x:v>
      </x:c>
      <x:c r="AB288" s="8" t="str">
        <x:v>drop:AV1:A2:audio:1:S282</x:v>
      </x:c>
      <x:c r="AC288" s="8" t="str">
        <x:v>{"dim":1,"level":-7,"delayMs":56.8,"anchorY":6.798875000000001}</x:v>
      </x:c>
    </x:row>
    <x:row r="289" ht="96" customHeight="1">
      <x:c r="A289" s="8" t="str">
        <x:v>S283</x:v>
      </x:c>
      <x:c r="B289" s="8" t="str">
        <x:v>Courtyard horn · B</x:v>
      </x:c>
      <x:c r="C289" s="8" t="str">
        <x:v>speaker</x:v>
      </x:c>
      <x:c r="D289" s="8" t="str">
        <x:v>DB1</x:v>
      </x:c>
      <x:c r="E289" s="8" t="str">
        <x:v>A3</x:v>
      </x:c>
      <x:c r="F289" s="11" t="n">
        <x:v>-0.14</x:v>
      </x:c>
      <x:c r="G289" s="11" t="n">
        <x:v>6.2</x:v>
      </x:c>
      <x:c r="H289" s="11" t="n">
        <x:v>-8.3</x:v>
      </x:c>
      <x:c r="I289" s="8" t="str">
        <x:v>wall</x:v>
      </x:c>
      <x:c r="J289" s="8" t="str">
        <x:v>Shown</x:v>
      </x:c>
      <x:c r="K289" s="8" t="str">
        <x:v>Off</x:v>
      </x:c>
      <x:c r="L289" s="8" t="str">
        <x:v>420 × 400 × 400</x:v>
      </x:c>
      <x:c r="M289" s="8" t="str">
        <x:v>30 W audio rating · Passive / amplifier output · 99.4 ms delay. Passive speaker; audio rating is not mains demand</x:v>
      </x:c>
      <x:c r="N289" s="11" t="n">
        <x:v>10</x:v>
      </x:c>
      <x:c r="O289" s="11" t="n">
        <x:v>172.12556053584365</x:v>
      </x:c>
      <x:c r="P289" s="11" t="n">
        <x:v>-14.434533639083444</x:v>
      </x:c>
      <x:c r="Q289" s="9"/>
      <x:c r="R289" s="9"/>
      <x:c r="S289" s="9"/>
      <x:c r="T289" s="9"/>
      <x:c r="U289" s="9"/>
      <x:c r="V289" s="9"/>
      <x:c r="W289" s="13"/>
      <x:c r="X289" s="13"/>
      <x:c r="Y289" s="13"/>
      <x:c r="Z289" s="9"/>
      <x:c r="AA289" s="8" t="str">
        <x:v>Current</x:v>
      </x:c>
      <x:c r="AB289" s="8" t="str">
        <x:v>drop:AV1:A3:audio:-1:S283</x:v>
      </x:c>
      <x:c r="AC289" s="8" t="str">
        <x:v>{"dim":1,"level":-4,"delayMs":99.4}</x:v>
      </x:c>
    </x:row>
    <x:row r="290" ht="96" customHeight="1">
      <x:c r="A290" s="8" t="str">
        <x:v>S284</x:v>
      </x:c>
      <x:c r="B290" s="8" t="str">
        <x:v>Tower horn · B · outer</x:v>
      </x:c>
      <x:c r="C290" s="8" t="str">
        <x:v>speaker</x:v>
      </x:c>
      <x:c r="D290" s="8" t="str">
        <x:v>DB1</x:v>
      </x:c>
      <x:c r="E290" s="8" t="str">
        <x:v>A3</x:v>
      </x:c>
      <x:c r="F290" s="11" t="n">
        <x:v>-0.14</x:v>
      </x:c>
      <x:c r="G290" s="11" t="n">
        <x:v>6.2</x:v>
      </x:c>
      <x:c r="H290" s="11" t="n">
        <x:v>-11.9</x:v>
      </x:c>
      <x:c r="I290" s="8" t="str">
        <x:v>wall</x:v>
      </x:c>
      <x:c r="J290" s="8" t="str">
        <x:v>Shown</x:v>
      </x:c>
      <x:c r="K290" s="8" t="str">
        <x:v>Off</x:v>
      </x:c>
      <x:c r="L290" s="8" t="str">
        <x:v>420 × 400 × 400</x:v>
      </x:c>
      <x:c r="M290" s="8" t="str">
        <x:v>30 W audio rating · Passive / amplifier output · 91.3 ms delay. Passive speaker; audio rating is not mains demand</x:v>
      </x:c>
      <x:c r="N290" s="11" t="n">
        <x:v>10</x:v>
      </x:c>
      <x:c r="O290" s="11" t="n">
        <x:v>-172.59733847542574</x:v>
      </x:c>
      <x:c r="P290" s="11" t="n">
        <x:v>-14.449815214476747</x:v>
      </x:c>
      <x:c r="Q290" s="9"/>
      <x:c r="R290" s="9"/>
      <x:c r="S290" s="9"/>
      <x:c r="T290" s="9"/>
      <x:c r="U290" s="9"/>
      <x:c r="V290" s="9"/>
      <x:c r="W290" s="13"/>
      <x:c r="X290" s="13"/>
      <x:c r="Y290" s="13"/>
      <x:c r="Z290" s="9"/>
      <x:c r="AA290" s="8" t="str">
        <x:v>Current</x:v>
      </x:c>
      <x:c r="AB290" s="8" t="str">
        <x:v>drop:AV1:A3:audio:-1:S284</x:v>
      </x:c>
      <x:c r="AC290" s="8" t="str">
        <x:v>{"dim":1,"level":-4,"delayMs":91.3}</x:v>
      </x:c>
    </x:row>
    <x:row r="291" ht="96" customHeight="1">
      <x:c r="A291" s="8" t="str">
        <x:v>S285</x:v>
      </x:c>
      <x:c r="B291" s="8" t="str">
        <x:v>Side courtyard horn · axis 5 · B</x:v>
      </x:c>
      <x:c r="C291" s="8" t="str">
        <x:v>speaker</x:v>
      </x:c>
      <x:c r="D291" s="8" t="str">
        <x:v>DB1</x:v>
      </x:c>
      <x:c r="E291" s="8" t="str">
        <x:v>A3</x:v>
      </x:c>
      <x:c r="F291" s="11" t="n">
        <x:v>18.975</x:v>
      </x:c>
      <x:c r="G291" s="11" t="n">
        <x:v>5.6</x:v>
      </x:c>
      <x:c r="H291" s="11" t="n">
        <x:v>-10.75</x:v>
      </x:c>
      <x:c r="I291" s="8" t="str">
        <x:v>wall</x:v>
      </x:c>
      <x:c r="J291" s="8" t="str">
        <x:v>Shown</x:v>
      </x:c>
      <x:c r="K291" s="8" t="str">
        <x:v>Off</x:v>
      </x:c>
      <x:c r="L291" s="8" t="str">
        <x:v>420 × 400 × 400</x:v>
      </x:c>
      <x:c r="M291" s="8" t="str">
        <x:v>30 W audio rating · Passive / amplifier output · 62 ms delay. Passive speaker; audio rating is not mains demand</x:v>
      </x:c>
      <x:c r="N291" s="11" t="n">
        <x:v>10</x:v>
      </x:c>
      <x:c r="O291" s="11" t="n">
        <x:v>-90</x:v>
      </x:c>
      <x:c r="P291" s="11" t="n">
        <x:v>-26.463101499062404</x:v>
      </x:c>
      <x:c r="Q291" s="9"/>
      <x:c r="R291" s="9"/>
      <x:c r="S291" s="9"/>
      <x:c r="T291" s="9"/>
      <x:c r="U291" s="9"/>
      <x:c r="V291" s="9"/>
      <x:c r="W291" s="13"/>
      <x:c r="X291" s="13"/>
      <x:c r="Y291" s="13"/>
      <x:c r="Z291" s="9"/>
      <x:c r="AA291" s="8" t="str">
        <x:v>Current</x:v>
      </x:c>
      <x:c r="AB291" s="8" t="str">
        <x:v>drop:AV1:A3:audio:-1:S285</x:v>
      </x:c>
      <x:c r="AC291" s="8" t="str">
        <x:v>{"dim":1,"level":-6,"delayMs":62}</x:v>
      </x:c>
    </x:row>
    <x:row r="292" ht="96" customHeight="1">
      <x:c r="A292" s="8" t="str">
        <x:v>S286</x:v>
      </x:c>
      <x:c r="B292" s="8" t="str">
        <x:v>Side courtyard horn · axis 8 · B</x:v>
      </x:c>
      <x:c r="C292" s="8" t="str">
        <x:v>speaker</x:v>
      </x:c>
      <x:c r="D292" s="8" t="str">
        <x:v>DB1</x:v>
      </x:c>
      <x:c r="E292" s="8" t="str">
        <x:v>A3</x:v>
      </x:c>
      <x:c r="F292" s="11" t="n">
        <x:v>32.475</x:v>
      </x:c>
      <x:c r="G292" s="11" t="n">
        <x:v>5.6</x:v>
      </x:c>
      <x:c r="H292" s="11" t="n">
        <x:v>-10.75</x:v>
      </x:c>
      <x:c r="I292" s="8" t="str">
        <x:v>wall</x:v>
      </x:c>
      <x:c r="J292" s="8" t="str">
        <x:v>Shown</x:v>
      </x:c>
      <x:c r="K292" s="8" t="str">
        <x:v>Off</x:v>
      </x:c>
      <x:c r="L292" s="8" t="str">
        <x:v>420 × 400 × 400</x:v>
      </x:c>
      <x:c r="M292" s="8" t="str">
        <x:v>30 W audio rating · Passive / amplifier output · 25 ms delay. Passive speaker; audio rating is not mains demand</x:v>
      </x:c>
      <x:c r="N292" s="11" t="n">
        <x:v>10</x:v>
      </x:c>
      <x:c r="O292" s="11" t="n">
        <x:v>-90</x:v>
      </x:c>
      <x:c r="P292" s="11" t="n">
        <x:v>-26.463101499062404</x:v>
      </x:c>
      <x:c r="Q292" s="9"/>
      <x:c r="R292" s="9"/>
      <x:c r="S292" s="9"/>
      <x:c r="T292" s="9"/>
      <x:c r="U292" s="9"/>
      <x:c r="V292" s="9"/>
      <x:c r="W292" s="13"/>
      <x:c r="X292" s="13"/>
      <x:c r="Y292" s="13"/>
      <x:c r="Z292" s="9"/>
      <x:c r="AA292" s="8" t="str">
        <x:v>Current</x:v>
      </x:c>
      <x:c r="AB292" s="8" t="str">
        <x:v>drop:AV1:A3:audio:-1:S286</x:v>
      </x:c>
      <x:c r="AC292" s="8" t="str">
        <x:v>{"dim":1,"level":-6,"delayMs":25}</x:v>
      </x:c>
    </x:row>
    <x:row r="293" ht="96" customHeight="1">
      <x:c r="A293" s="8" t="str">
        <x:v>S287</x:v>
      </x:c>
      <x:c r="B293" s="8" t="str">
        <x:v>Courtyard horn · H</x:v>
      </x:c>
      <x:c r="C293" s="8" t="str">
        <x:v>speaker</x:v>
      </x:c>
      <x:c r="D293" s="8" t="str">
        <x:v>DB1</x:v>
      </x:c>
      <x:c r="E293" s="8" t="str">
        <x:v>A3</x:v>
      </x:c>
      <x:c r="F293" s="11" t="n">
        <x:v>-0.14</x:v>
      </x:c>
      <x:c r="G293" s="11" t="n">
        <x:v>6.2</x:v>
      </x:c>
      <x:c r="H293" s="11" t="n">
        <x:v>8.3</x:v>
      </x:c>
      <x:c r="I293" s="8" t="str">
        <x:v>wall</x:v>
      </x:c>
      <x:c r="J293" s="8" t="str">
        <x:v>Shown</x:v>
      </x:c>
      <x:c r="K293" s="8" t="str">
        <x:v>Off</x:v>
      </x:c>
      <x:c r="L293" s="8" t="str">
        <x:v>420 × 400 × 400</x:v>
      </x:c>
      <x:c r="M293" s="8" t="str">
        <x:v>30 W audio rating · Passive / amplifier output · 100.3 ms delay. Passive speaker; audio rating is not mains demand</x:v>
      </x:c>
      <x:c r="N293" s="11" t="n">
        <x:v>10</x:v>
      </x:c>
      <x:c r="O293" s="11" t="n">
        <x:v>-172.12556053584365</x:v>
      </x:c>
      <x:c r="P293" s="11" t="n">
        <x:v>-14.434533639083444</x:v>
      </x:c>
      <x:c r="Q293" s="9"/>
      <x:c r="R293" s="9"/>
      <x:c r="S293" s="9"/>
      <x:c r="T293" s="9"/>
      <x:c r="U293" s="9"/>
      <x:c r="V293" s="9"/>
      <x:c r="W293" s="13"/>
      <x:c r="X293" s="13"/>
      <x:c r="Y293" s="13"/>
      <x:c r="Z293" s="9"/>
      <x:c r="AA293" s="8" t="str">
        <x:v>Current</x:v>
      </x:c>
      <x:c r="AB293" s="8" t="str">
        <x:v>drop:AV1:A3:audio:1:S287</x:v>
      </x:c>
      <x:c r="AC293" s="8" t="str">
        <x:v>{"dim":1,"level":-4,"delayMs":100.3}</x:v>
      </x:c>
    </x:row>
    <x:row r="294" ht="96" customHeight="1">
      <x:c r="A294" s="8" t="str">
        <x:v>S288</x:v>
      </x:c>
      <x:c r="B294" s="8" t="str">
        <x:v>Tower horn · H · outer</x:v>
      </x:c>
      <x:c r="C294" s="8" t="str">
        <x:v>speaker</x:v>
      </x:c>
      <x:c r="D294" s="8" t="str">
        <x:v>DB1</x:v>
      </x:c>
      <x:c r="E294" s="8" t="str">
        <x:v>A3</x:v>
      </x:c>
      <x:c r="F294" s="11" t="n">
        <x:v>-0.14</x:v>
      </x:c>
      <x:c r="G294" s="11" t="n">
        <x:v>6.2</x:v>
      </x:c>
      <x:c r="H294" s="11" t="n">
        <x:v>11.9</x:v>
      </x:c>
      <x:c r="I294" s="8" t="str">
        <x:v>wall</x:v>
      </x:c>
      <x:c r="J294" s="8" t="str">
        <x:v>Shown</x:v>
      </x:c>
      <x:c r="K294" s="8" t="str">
        <x:v>Off</x:v>
      </x:c>
      <x:c r="L294" s="8" t="str">
        <x:v>420 × 400 × 400</x:v>
      </x:c>
      <x:c r="M294" s="8" t="str">
        <x:v>30 W audio rating · Passive / amplifier output · 92.2 ms delay. Passive speaker; audio rating is not mains demand</x:v>
      </x:c>
      <x:c r="N294" s="11" t="n">
        <x:v>10</x:v>
      </x:c>
      <x:c r="O294" s="11" t="n">
        <x:v>172.59733847542574</x:v>
      </x:c>
      <x:c r="P294" s="11" t="n">
        <x:v>-14.449815214476747</x:v>
      </x:c>
      <x:c r="Q294" s="9"/>
      <x:c r="R294" s="9"/>
      <x:c r="S294" s="9"/>
      <x:c r="T294" s="9"/>
      <x:c r="U294" s="9"/>
      <x:c r="V294" s="9"/>
      <x:c r="W294" s="13"/>
      <x:c r="X294" s="13"/>
      <x:c r="Y294" s="13"/>
      <x:c r="Z294" s="9"/>
      <x:c r="AA294" s="8" t="str">
        <x:v>Current</x:v>
      </x:c>
      <x:c r="AB294" s="8" t="str">
        <x:v>drop:AV1:A3:audio:1:S288</x:v>
      </x:c>
      <x:c r="AC294" s="8" t="str">
        <x:v>{"dim":1,"level":-4,"delayMs":92.2}</x:v>
      </x:c>
    </x:row>
    <x:row r="295" ht="96" customHeight="1">
      <x:c r="A295" s="8" t="str">
        <x:v>S289</x:v>
      </x:c>
      <x:c r="B295" s="8" t="str">
        <x:v>Side courtyard horn · axis 5 · H</x:v>
      </x:c>
      <x:c r="C295" s="8" t="str">
        <x:v>speaker</x:v>
      </x:c>
      <x:c r="D295" s="8" t="str">
        <x:v>DB1</x:v>
      </x:c>
      <x:c r="E295" s="8" t="str">
        <x:v>A3</x:v>
      </x:c>
      <x:c r="F295" s="11" t="n">
        <x:v>18.975</x:v>
      </x:c>
      <x:c r="G295" s="11" t="n">
        <x:v>5.6</x:v>
      </x:c>
      <x:c r="H295" s="11" t="n">
        <x:v>10.75</x:v>
      </x:c>
      <x:c r="I295" s="8" t="str">
        <x:v>wall</x:v>
      </x:c>
      <x:c r="J295" s="8" t="str">
        <x:v>Shown</x:v>
      </x:c>
      <x:c r="K295" s="8" t="str">
        <x:v>Off</x:v>
      </x:c>
      <x:c r="L295" s="8" t="str">
        <x:v>420 × 400 × 400</x:v>
      </x:c>
      <x:c r="M295" s="8" t="str">
        <x:v>30 W audio rating · Passive / amplifier output · 66.4 ms delay. Passive speaker; audio rating is not mains demand</x:v>
      </x:c>
      <x:c r="N295" s="11" t="n">
        <x:v>10</x:v>
      </x:c>
      <x:c r="O295" s="11" t="n">
        <x:v>90</x:v>
      </x:c>
      <x:c r="P295" s="11" t="n">
        <x:v>-26.463101499062404</x:v>
      </x:c>
      <x:c r="Q295" s="9"/>
      <x:c r="R295" s="9"/>
      <x:c r="S295" s="9"/>
      <x:c r="T295" s="9"/>
      <x:c r="U295" s="9"/>
      <x:c r="V295" s="9"/>
      <x:c r="W295" s="13"/>
      <x:c r="X295" s="13"/>
      <x:c r="Y295" s="13"/>
      <x:c r="Z295" s="9"/>
      <x:c r="AA295" s="8" t="str">
        <x:v>Current</x:v>
      </x:c>
      <x:c r="AB295" s="8" t="str">
        <x:v>drop:AV1:A3:audio:1:S289</x:v>
      </x:c>
      <x:c r="AC295" s="8" t="str">
        <x:v>{"dim":1,"level":-6,"delayMs":66.4}</x:v>
      </x:c>
    </x:row>
    <x:row r="296" ht="96" customHeight="1">
      <x:c r="A296" s="8" t="str">
        <x:v>S290</x:v>
      </x:c>
      <x:c r="B296" s="8" t="str">
        <x:v>Side courtyard horn · axis 8 · H</x:v>
      </x:c>
      <x:c r="C296" s="8" t="str">
        <x:v>speaker</x:v>
      </x:c>
      <x:c r="D296" s="8" t="str">
        <x:v>DB1</x:v>
      </x:c>
      <x:c r="E296" s="8" t="str">
        <x:v>A3</x:v>
      </x:c>
      <x:c r="F296" s="11" t="n">
        <x:v>32.475</x:v>
      </x:c>
      <x:c r="G296" s="11" t="n">
        <x:v>5.6</x:v>
      </x:c>
      <x:c r="H296" s="11" t="n">
        <x:v>10.75</x:v>
      </x:c>
      <x:c r="I296" s="8" t="str">
        <x:v>wall</x:v>
      </x:c>
      <x:c r="J296" s="8" t="str">
        <x:v>Shown</x:v>
      </x:c>
      <x:c r="K296" s="8" t="str">
        <x:v>Off</x:v>
      </x:c>
      <x:c r="L296" s="8" t="str">
        <x:v>420 × 400 × 400</x:v>
      </x:c>
      <x:c r="M296" s="8" t="str">
        <x:v>30 W audio rating · Passive / amplifier output · 33.6 ms delay. Passive speaker; audio rating is not mains demand</x:v>
      </x:c>
      <x:c r="N296" s="11" t="n">
        <x:v>10</x:v>
      </x:c>
      <x:c r="O296" s="11" t="n">
        <x:v>90</x:v>
      </x:c>
      <x:c r="P296" s="11" t="n">
        <x:v>-26.463101499062404</x:v>
      </x:c>
      <x:c r="Q296" s="9"/>
      <x:c r="R296" s="9"/>
      <x:c r="S296" s="9"/>
      <x:c r="T296" s="9"/>
      <x:c r="U296" s="9"/>
      <x:c r="V296" s="9"/>
      <x:c r="W296" s="13"/>
      <x:c r="X296" s="13"/>
      <x:c r="Y296" s="13"/>
      <x:c r="Z296" s="9"/>
      <x:c r="AA296" s="8" t="str">
        <x:v>Current</x:v>
      </x:c>
      <x:c r="AB296" s="8" t="str">
        <x:v>drop:AV1:A3:audio:1:S290</x:v>
      </x:c>
      <x:c r="AC296" s="8" t="str">
        <x:v>{"dim":1,"level":-6,"delayMs":33.6}</x:v>
      </x:c>
    </x:row>
    <x:row r="297" ht="96" customHeight="1">
      <x:c r="A297" s="8" t="str">
        <x:v>S291</x:v>
      </x:c>
      <x:c r="B297" s="8" t="str">
        <x:v>Ambo microphone</x:v>
      </x:c>
      <x:c r="C297" s="8" t="str">
        <x:v>speaker</x:v>
      </x:c>
      <x:c r="D297" s="8" t="str">
        <x:v>DB1</x:v>
      </x:c>
      <x:c r="E297" s="8" t="str">
        <x:v>MIC</x:v>
      </x:c>
      <x:c r="F297" s="11" t="n">
        <x:v>41.08</x:v>
      </x:c>
      <x:c r="G297" s="11" t="n">
        <x:v>1.9</x:v>
      </x:c>
      <x:c r="H297" s="11" t="n">
        <x:v>-2.62</x:v>
      </x:c>
      <x:c r="I297" s="8" t="str">
        <x:v>floor</x:v>
      </x:c>
      <x:c r="J297" s="8" t="str">
        <x:v>Shown</x:v>
      </x:c>
      <x:c r="K297" s="8" t="str">
        <x:v>On</x:v>
      </x:c>
      <x:c r="L297" s="8" t="str">
        <x:v>362 × 374 × 120</x:v>
      </x:c>
      <x:c r="M297" s="8" t="str">
        <x:v>Microphone signal → mixer input</x:v>
      </x:c>
      <x:c r="N297" s="11" t="n">
        <x:v>0</x:v>
      </x:c>
      <x:c r="O297" s="11" t="n">
        <x:v>0</x:v>
      </x:c>
      <x:c r="P297" s="11" t="n">
        <x:v>0</x:v>
      </x:c>
      <x:c r="Q297" s="9"/>
      <x:c r="R297" s="9"/>
      <x:c r="S297" s="9"/>
      <x:c r="T297" s="9"/>
      <x:c r="U297" s="9"/>
      <x:c r="V297" s="9"/>
      <x:c r="W297" s="13"/>
      <x:c r="X297" s="13"/>
      <x:c r="Y297" s="13"/>
      <x:c r="Z297" s="9"/>
      <x:c r="AA297" s="8" t="str">
        <x:v>Current</x:v>
      </x:c>
      <x:c r="AB297" s="8" t="str">
        <x:v>drop:AV1:MIC:mic:-1:S291</x:v>
      </x:c>
      <x:c r="AC297" s="8" t="str">
        <x:v>{"dim":1}</x:v>
      </x:c>
    </x:row>
    <x:row r="298" ht="96" customHeight="1">
      <x:c r="A298" s="8" t="str">
        <x:v>S292</x:v>
      </x:c>
      <x:c r="B298" s="8" t="str">
        <x:v>Altar microphone</x:v>
      </x:c>
      <x:c r="C298" s="8" t="str">
        <x:v>speaker</x:v>
      </x:c>
      <x:c r="D298" s="8" t="str">
        <x:v>DB1</x:v>
      </x:c>
      <x:c r="E298" s="8" t="str">
        <x:v>MIC</x:v>
      </x:c>
      <x:c r="F298" s="11" t="n">
        <x:v>44.45</x:v>
      </x:c>
      <x:c r="G298" s="11" t="n">
        <x:v>1.88</x:v>
      </x:c>
      <x:c r="H298" s="11" t="n">
        <x:v>0.45</x:v>
      </x:c>
      <x:c r="I298" s="8" t="str">
        <x:v>floor</x:v>
      </x:c>
      <x:c r="J298" s="8" t="str">
        <x:v>Shown</x:v>
      </x:c>
      <x:c r="K298" s="8" t="str">
        <x:v>On</x:v>
      </x:c>
      <x:c r="L298" s="8" t="str">
        <x:v>362 × 374 × 120</x:v>
      </x:c>
      <x:c r="M298" s="8" t="str">
        <x:v>Microphone signal → mixer input</x:v>
      </x:c>
      <x:c r="N298" s="11" t="n">
        <x:v>0</x:v>
      </x:c>
      <x:c r="O298" s="11" t="n">
        <x:v>0</x:v>
      </x:c>
      <x:c r="P298" s="11" t="n">
        <x:v>0</x:v>
      </x:c>
      <x:c r="Q298" s="9"/>
      <x:c r="R298" s="9"/>
      <x:c r="S298" s="9"/>
      <x:c r="T298" s="9"/>
      <x:c r="U298" s="9"/>
      <x:c r="V298" s="9"/>
      <x:c r="W298" s="13"/>
      <x:c r="X298" s="13"/>
      <x:c r="Y298" s="13"/>
      <x:c r="Z298" s="9"/>
      <x:c r="AA298" s="8" t="str">
        <x:v>Current</x:v>
      </x:c>
      <x:c r="AB298" s="8" t="str">
        <x:v>drop:AV1:MIC:mic:1:S292</x:v>
      </x:c>
      <x:c r="AC298" s="8" t="str">
        <x:v>{"dim":1}</x:v>
      </x:c>
    </x:row>
    <x:row r="299" ht="96" customHeight="1">
      <x:c r="A299" s="8" t="str">
        <x:v>D293</x:v>
      </x:c>
      <x:c r="B299" s="8" t="str">
        <x:v>Statue · Our Lady</x:v>
      </x:c>
      <x:c r="C299" s="8" t="str">
        <x:v>decor</x:v>
      </x:c>
      <x:c r="D299" s="8"/>
      <x:c r="E299" s="8" t="str">
        <x:v>DECOR</x:v>
      </x:c>
      <x:c r="F299" s="11" t="n">
        <x:v>44.275</x:v>
      </x:c>
      <x:c r="G299" s="11" t="n">
        <x:v>2.85</x:v>
      </x:c>
      <x:c r="H299" s="11" t="n">
        <x:v>-5.5</x:v>
      </x:c>
      <x:c r="I299" s="8" t="str">
        <x:v>floor</x:v>
      </x:c>
      <x:c r="J299" s="8" t="str">
        <x:v>Shown</x:v>
      </x:c>
      <x:c r="K299" s="8" t="str">
        <x:v>On</x:v>
      </x:c>
      <x:c r="L299" s="8" t="str">
        <x:v>See model parameters</x:v>
      </x:c>
      <x:c r="M299" s="8" t="str">
        <x:v>Statue · Our Lady (Đức Mẹ)</x:v>
      </x:c>
      <x:c r="N299" s="11"/>
      <x:c r="O299" s="11" t="n">
        <x:v>180</x:v>
      </x:c>
      <x:c r="P299" s="11" t="n">
        <x:v>0</x:v>
      </x:c>
      <x:c r="Q299" s="9"/>
      <x:c r="R299" s="9"/>
      <x:c r="S299" s="9"/>
      <x:c r="T299" s="9"/>
      <x:c r="U299" s="9"/>
      <x:c r="V299" s="9"/>
      <x:c r="W299" s="13"/>
      <x:c r="X299" s="13"/>
      <x:c r="Y299" s="13"/>
      <x:c r="Z299" s="9"/>
      <x:c r="AA299" s="8" t="str">
        <x:v>Current</x:v>
      </x:c>
      <x:c r="AB299" s="8" t="str"/>
      <x:c r="AC299" s="8" t="str">
        <x:v>{"dim":1}</x:v>
      </x:c>
    </x:row>
    <x:row r="300" ht="96" customHeight="1">
      <x:c r="A300" s="8" t="str">
        <x:v>D294</x:v>
      </x:c>
      <x:c r="B300" s="8" t="str">
        <x:v>Statue · Saint Joseph</x:v>
      </x:c>
      <x:c r="C300" s="8" t="str">
        <x:v>decor</x:v>
      </x:c>
      <x:c r="D300" s="8"/>
      <x:c r="E300" s="8" t="str">
        <x:v>DECOR</x:v>
      </x:c>
      <x:c r="F300" s="11" t="n">
        <x:v>44.275</x:v>
      </x:c>
      <x:c r="G300" s="11" t="n">
        <x:v>2.85</x:v>
      </x:c>
      <x:c r="H300" s="11" t="n">
        <x:v>5.5</x:v>
      </x:c>
      <x:c r="I300" s="8" t="str">
        <x:v>floor</x:v>
      </x:c>
      <x:c r="J300" s="8" t="str">
        <x:v>Shown</x:v>
      </x:c>
      <x:c r="K300" s="8" t="str">
        <x:v>On</x:v>
      </x:c>
      <x:c r="L300" s="8" t="str">
        <x:v>See model parameters</x:v>
      </x:c>
      <x:c r="M300" s="8" t="str">
        <x:v>Statue · Saint Joseph</x:v>
      </x:c>
      <x:c r="N300" s="11"/>
      <x:c r="O300" s="11" t="n">
        <x:v>180</x:v>
      </x:c>
      <x:c r="P300" s="11" t="n">
        <x:v>0</x:v>
      </x:c>
      <x:c r="Q300" s="9"/>
      <x:c r="R300" s="9"/>
      <x:c r="S300" s="9"/>
      <x:c r="T300" s="9"/>
      <x:c r="U300" s="9"/>
      <x:c r="V300" s="9"/>
      <x:c r="W300" s="13"/>
      <x:c r="X300" s="13"/>
      <x:c r="Y300" s="13"/>
      <x:c r="Z300" s="9"/>
      <x:c r="AA300" s="8" t="str">
        <x:v>Current</x:v>
      </x:c>
      <x:c r="AB300" s="8" t="str"/>
      <x:c r="AC300" s="8" t="str">
        <x:v>{"dim":1}</x:v>
      </x:c>
    </x:row>
    <x:row r="301" ht="96" customHeight="1">
      <x:c r="A301" s="8" t="str">
        <x:v>D295</x:v>
      </x:c>
      <x:c r="B301" s="8" t="str">
        <x:v>Flower stand · tabernacle B</x:v>
      </x:c>
      <x:c r="C301" s="8" t="str">
        <x:v>decor</x:v>
      </x:c>
      <x:c r="D301" s="8"/>
      <x:c r="E301" s="8" t="str">
        <x:v>DECOR</x:v>
      </x:c>
      <x:c r="F301" s="11" t="n">
        <x:v>47.2</x:v>
      </x:c>
      <x:c r="G301" s="11" t="n">
        <x:v>0.75</x:v>
      </x:c>
      <x:c r="H301" s="11" t="n">
        <x:v>-1.15</x:v>
      </x:c>
      <x:c r="I301" s="8" t="str">
        <x:v>floor</x:v>
      </x:c>
      <x:c r="J301" s="8" t="str">
        <x:v>Shown</x:v>
      </x:c>
      <x:c r="K301" s="8" t="str">
        <x:v>On</x:v>
      </x:c>
      <x:c r="L301" s="8" t="str">
        <x:v>See model parameters</x:v>
      </x:c>
      <x:c r="M301" s="8" t="str">
        <x:v>Tall flower stand · white lilies</x:v>
      </x:c>
      <x:c r="N301" s="11"/>
      <x:c r="O301" s="11" t="n">
        <x:v>180</x:v>
      </x:c>
      <x:c r="P301" s="11" t="n">
        <x:v>0</x:v>
      </x:c>
      <x:c r="Q301" s="9"/>
      <x:c r="R301" s="9"/>
      <x:c r="S301" s="9"/>
      <x:c r="T301" s="9"/>
      <x:c r="U301" s="9"/>
      <x:c r="V301" s="9"/>
      <x:c r="W301" s="13"/>
      <x:c r="X301" s="13"/>
      <x:c r="Y301" s="13"/>
      <x:c r="Z301" s="9"/>
      <x:c r="AA301" s="8" t="str">
        <x:v>Current</x:v>
      </x:c>
      <x:c r="AB301" s="8" t="str"/>
      <x:c r="AC301" s="8" t="str">
        <x:v>{"dim":1}</x:v>
      </x:c>
    </x:row>
    <x:row r="302" ht="96" customHeight="1">
      <x:c r="A302" s="8" t="str">
        <x:v>D296</x:v>
      </x:c>
      <x:c r="B302" s="8" t="str">
        <x:v>Palm · sanctuary B</x:v>
      </x:c>
      <x:c r="C302" s="8" t="str">
        <x:v>decor</x:v>
      </x:c>
      <x:c r="D302" s="8"/>
      <x:c r="E302" s="8" t="str">
        <x:v>DECOR</x:v>
      </x:c>
      <x:c r="F302" s="11" t="n">
        <x:v>45.15</x:v>
      </x:c>
      <x:c r="G302" s="11" t="n">
        <x:v>0.75</x:v>
      </x:c>
      <x:c r="H302" s="11" t="n">
        <x:v>-2.9</x:v>
      </x:c>
      <x:c r="I302" s="8" t="str">
        <x:v>floor</x:v>
      </x:c>
      <x:c r="J302" s="8" t="str">
        <x:v>Shown</x:v>
      </x:c>
      <x:c r="K302" s="8" t="str">
        <x:v>On</x:v>
      </x:c>
      <x:c r="L302" s="8" t="str">
        <x:v>See model parameters</x:v>
      </x:c>
      <x:c r="M302" s="8" t="str">
        <x:v>Potted palm</x:v>
      </x:c>
      <x:c r="N302" s="11"/>
      <x:c r="O302" s="11" t="n">
        <x:v>0</x:v>
      </x:c>
      <x:c r="P302" s="11" t="n">
        <x:v>0</x:v>
      </x:c>
      <x:c r="Q302" s="9"/>
      <x:c r="R302" s="9"/>
      <x:c r="S302" s="9"/>
      <x:c r="T302" s="9"/>
      <x:c r="U302" s="9"/>
      <x:c r="V302" s="9"/>
      <x:c r="W302" s="13"/>
      <x:c r="X302" s="13"/>
      <x:c r="Y302" s="13"/>
      <x:c r="Z302" s="9"/>
      <x:c r="AA302" s="8" t="str">
        <x:v>Current</x:v>
      </x:c>
      <x:c r="AB302" s="8" t="str"/>
      <x:c r="AC302" s="8" t="str">
        <x:v>{"dim":1}</x:v>
      </x:c>
    </x:row>
    <x:row r="303" ht="96" customHeight="1">
      <x:c r="A303" s="8" t="str">
        <x:v>D297</x:v>
      </x:c>
      <x:c r="B303" s="8" t="str">
        <x:v>Shrine flowers · B · outer</x:v>
      </x:c>
      <x:c r="C303" s="8" t="str">
        <x:v>decor</x:v>
      </x:c>
      <x:c r="D303" s="8"/>
      <x:c r="E303" s="8" t="str">
        <x:v>DECOR</x:v>
      </x:c>
      <x:c r="F303" s="11" t="n">
        <x:v>44.225</x:v>
      </x:c>
      <x:c r="G303" s="11" t="n">
        <x:v>2.85</x:v>
      </x:c>
      <x:c r="H303" s="11" t="n">
        <x:v>-6.2</x:v>
      </x:c>
      <x:c r="I303" s="8" t="str">
        <x:v>floor</x:v>
      </x:c>
      <x:c r="J303" s="8" t="str">
        <x:v>Shown</x:v>
      </x:c>
      <x:c r="K303" s="8" t="str">
        <x:v>On</x:v>
      </x:c>
      <x:c r="L303" s="8" t="str">
        <x:v>See model parameters</x:v>
      </x:c>
      <x:c r="M303" s="8" t="str">
        <x:v>Low flower arrangement</x:v>
      </x:c>
      <x:c r="N303" s="11"/>
      <x:c r="O303" s="11" t="n">
        <x:v>180</x:v>
      </x:c>
      <x:c r="P303" s="11" t="n">
        <x:v>0</x:v>
      </x:c>
      <x:c r="Q303" s="9"/>
      <x:c r="R303" s="9"/>
      <x:c r="S303" s="9"/>
      <x:c r="T303" s="9"/>
      <x:c r="U303" s="9"/>
      <x:c r="V303" s="9"/>
      <x:c r="W303" s="13"/>
      <x:c r="X303" s="13"/>
      <x:c r="Y303" s="13"/>
      <x:c r="Z303" s="9"/>
      <x:c r="AA303" s="8" t="str">
        <x:v>Current</x:v>
      </x:c>
      <x:c r="AB303" s="8" t="str"/>
      <x:c r="AC303" s="8" t="str">
        <x:v>{"dim":1}</x:v>
      </x:c>
    </x:row>
    <x:row r="304" ht="96" customHeight="1">
      <x:c r="A304" s="8" t="str">
        <x:v>D298</x:v>
      </x:c>
      <x:c r="B304" s="8" t="str">
        <x:v>Shrine flowers · B · inner</x:v>
      </x:c>
      <x:c r="C304" s="8" t="str">
        <x:v>decor</x:v>
      </x:c>
      <x:c r="D304" s="8"/>
      <x:c r="E304" s="8" t="str">
        <x:v>DECOR</x:v>
      </x:c>
      <x:c r="F304" s="11" t="n">
        <x:v>44.225</x:v>
      </x:c>
      <x:c r="G304" s="11" t="n">
        <x:v>2.85</x:v>
      </x:c>
      <x:c r="H304" s="11" t="n">
        <x:v>-4.8</x:v>
      </x:c>
      <x:c r="I304" s="8" t="str">
        <x:v>floor</x:v>
      </x:c>
      <x:c r="J304" s="8" t="str">
        <x:v>Shown</x:v>
      </x:c>
      <x:c r="K304" s="8" t="str">
        <x:v>On</x:v>
      </x:c>
      <x:c r="L304" s="8" t="str">
        <x:v>See model parameters</x:v>
      </x:c>
      <x:c r="M304" s="8" t="str">
        <x:v>Low flower arrangement</x:v>
      </x:c>
      <x:c r="N304" s="11"/>
      <x:c r="O304" s="11" t="n">
        <x:v>180</x:v>
      </x:c>
      <x:c r="P304" s="11" t="n">
        <x:v>0</x:v>
      </x:c>
      <x:c r="Q304" s="9"/>
      <x:c r="R304" s="9"/>
      <x:c r="S304" s="9"/>
      <x:c r="T304" s="9"/>
      <x:c r="U304" s="9"/>
      <x:c r="V304" s="9"/>
      <x:c r="W304" s="13"/>
      <x:c r="X304" s="13"/>
      <x:c r="Y304" s="13"/>
      <x:c r="Z304" s="9"/>
      <x:c r="AA304" s="8" t="str">
        <x:v>Current</x:v>
      </x:c>
      <x:c r="AB304" s="8" t="str"/>
      <x:c r="AC304" s="8" t="str">
        <x:v>{"dim":1}</x:v>
      </x:c>
    </x:row>
    <x:row r="305" ht="96" customHeight="1">
      <x:c r="A305" s="8" t="str">
        <x:v>D299</x:v>
      </x:c>
      <x:c r="B305" s="8" t="str">
        <x:v>Palm · entrance B</x:v>
      </x:c>
      <x:c r="C305" s="8" t="str">
        <x:v>decor</x:v>
      </x:c>
      <x:c r="D305" s="8"/>
      <x:c r="E305" s="8" t="str">
        <x:v>DECOR</x:v>
      </x:c>
      <x:c r="F305" s="11" t="n">
        <x:v>6.3</x:v>
      </x:c>
      <x:c r="G305" s="11" t="n">
        <x:v>0</x:v>
      </x:c>
      <x:c r="H305" s="11" t="n">
        <x:v>-6.55</x:v>
      </x:c>
      <x:c r="I305" s="8" t="str">
        <x:v>floor</x:v>
      </x:c>
      <x:c r="J305" s="8" t="str">
        <x:v>Shown</x:v>
      </x:c>
      <x:c r="K305" s="8" t="str">
        <x:v>On</x:v>
      </x:c>
      <x:c r="L305" s="8" t="str">
        <x:v>See model parameters</x:v>
      </x:c>
      <x:c r="M305" s="8" t="str">
        <x:v>Potted palm</x:v>
      </x:c>
      <x:c r="N305" s="11"/>
      <x:c r="O305" s="11" t="n">
        <x:v>0</x:v>
      </x:c>
      <x:c r="P305" s="11" t="n">
        <x:v>0</x:v>
      </x:c>
      <x:c r="Q305" s="9"/>
      <x:c r="R305" s="9"/>
      <x:c r="S305" s="9"/>
      <x:c r="T305" s="9"/>
      <x:c r="U305" s="9"/>
      <x:c r="V305" s="9"/>
      <x:c r="W305" s="13"/>
      <x:c r="X305" s="13"/>
      <x:c r="Y305" s="13"/>
      <x:c r="Z305" s="9"/>
      <x:c r="AA305" s="8" t="str">
        <x:v>Current</x:v>
      </x:c>
      <x:c r="AB305" s="8" t="str"/>
      <x:c r="AC305" s="8" t="str">
        <x:v>{"dim":1}</x:v>
      </x:c>
    </x:row>
    <x:row r="306" ht="96" customHeight="1">
      <x:c r="A306" s="8" t="str">
        <x:v>D300</x:v>
      </x:c>
      <x:c r="B306" s="8" t="str">
        <x:v>Banner · axis 9 · B</x:v>
      </x:c>
      <x:c r="C306" s="8" t="str">
        <x:v>decor</x:v>
      </x:c>
      <x:c r="D306" s="8"/>
      <x:c r="E306" s="8" t="str">
        <x:v>DECOR</x:v>
      </x:c>
      <x:c r="F306" s="11" t="n">
        <x:v>36.660000000000004</x:v>
      </x:c>
      <x:c r="G306" s="11" t="n">
        <x:v>6.6</x:v>
      </x:c>
      <x:c r="H306" s="11" t="n">
        <x:v>-3.6</x:v>
      </x:c>
      <x:c r="I306" s="8" t="str">
        <x:v>wall</x:v>
      </x:c>
      <x:c r="J306" s="8" t="str">
        <x:v>Shown</x:v>
      </x:c>
      <x:c r="K306" s="8" t="str">
        <x:v>On</x:v>
      </x:c>
      <x:c r="L306" s="8" t="str">
        <x:v>See model parameters</x:v>
      </x:c>
      <x:c r="M306" s="8" t="str">
        <x:v>Liturgical banner</x:v>
      </x:c>
      <x:c r="N306" s="11"/>
      <x:c r="O306" s="11" t="n">
        <x:v>180</x:v>
      </x:c>
      <x:c r="P306" s="11" t="n">
        <x:v>0</x:v>
      </x:c>
      <x:c r="Q306" s="9"/>
      <x:c r="R306" s="9"/>
      <x:c r="S306" s="9"/>
      <x:c r="T306" s="9"/>
      <x:c r="U306" s="9"/>
      <x:c r="V306" s="9"/>
      <x:c r="W306" s="13"/>
      <x:c r="X306" s="13"/>
      <x:c r="Y306" s="13"/>
      <x:c r="Z306" s="9"/>
      <x:c r="AA306" s="8" t="str">
        <x:v>Current</x:v>
      </x:c>
      <x:c r="AB306" s="8" t="str"/>
      <x:c r="AC306" s="8" t="str">
        <x:v>{"colour":"fabricWhite","dim":1}</x:v>
      </x:c>
    </x:row>
    <x:row r="307" ht="96" customHeight="1">
      <x:c r="A307" s="8" t="str">
        <x:v>D301</x:v>
      </x:c>
      <x:c r="B307" s="8" t="str">
        <x:v>Flower stand · tabernacle H</x:v>
      </x:c>
      <x:c r="C307" s="8" t="str">
        <x:v>decor</x:v>
      </x:c>
      <x:c r="D307" s="8"/>
      <x:c r="E307" s="8" t="str">
        <x:v>DECOR</x:v>
      </x:c>
      <x:c r="F307" s="11" t="n">
        <x:v>47.2</x:v>
      </x:c>
      <x:c r="G307" s="11" t="n">
        <x:v>0.75</x:v>
      </x:c>
      <x:c r="H307" s="11" t="n">
        <x:v>1.15</x:v>
      </x:c>
      <x:c r="I307" s="8" t="str">
        <x:v>floor</x:v>
      </x:c>
      <x:c r="J307" s="8" t="str">
        <x:v>Shown</x:v>
      </x:c>
      <x:c r="K307" s="8" t="str">
        <x:v>On</x:v>
      </x:c>
      <x:c r="L307" s="8" t="str">
        <x:v>See model parameters</x:v>
      </x:c>
      <x:c r="M307" s="8" t="str">
        <x:v>Tall flower stand · white lilies</x:v>
      </x:c>
      <x:c r="N307" s="11"/>
      <x:c r="O307" s="11" t="n">
        <x:v>180</x:v>
      </x:c>
      <x:c r="P307" s="11" t="n">
        <x:v>0</x:v>
      </x:c>
      <x:c r="Q307" s="9"/>
      <x:c r="R307" s="9"/>
      <x:c r="S307" s="9"/>
      <x:c r="T307" s="9"/>
      <x:c r="U307" s="9"/>
      <x:c r="V307" s="9"/>
      <x:c r="W307" s="13"/>
      <x:c r="X307" s="13"/>
      <x:c r="Y307" s="13"/>
      <x:c r="Z307" s="9"/>
      <x:c r="AA307" s="8" t="str">
        <x:v>Current</x:v>
      </x:c>
      <x:c r="AB307" s="8" t="str"/>
      <x:c r="AC307" s="8" t="str">
        <x:v>{"dim":1}</x:v>
      </x:c>
    </x:row>
    <x:row r="308" ht="96" customHeight="1">
      <x:c r="A308" s="8" t="str">
        <x:v>D302</x:v>
      </x:c>
      <x:c r="B308" s="8" t="str">
        <x:v>Palm · sanctuary H</x:v>
      </x:c>
      <x:c r="C308" s="8" t="str">
        <x:v>decor</x:v>
      </x:c>
      <x:c r="D308" s="8"/>
      <x:c r="E308" s="8" t="str">
        <x:v>DECOR</x:v>
      </x:c>
      <x:c r="F308" s="11" t="n">
        <x:v>45.15</x:v>
      </x:c>
      <x:c r="G308" s="11" t="n">
        <x:v>0.75</x:v>
      </x:c>
      <x:c r="H308" s="11" t="n">
        <x:v>2.9</x:v>
      </x:c>
      <x:c r="I308" s="8" t="str">
        <x:v>floor</x:v>
      </x:c>
      <x:c r="J308" s="8" t="str">
        <x:v>Shown</x:v>
      </x:c>
      <x:c r="K308" s="8" t="str">
        <x:v>On</x:v>
      </x:c>
      <x:c r="L308" s="8" t="str">
        <x:v>See model parameters</x:v>
      </x:c>
      <x:c r="M308" s="8" t="str">
        <x:v>Potted palm</x:v>
      </x:c>
      <x:c r="N308" s="11"/>
      <x:c r="O308" s="11" t="n">
        <x:v>0</x:v>
      </x:c>
      <x:c r="P308" s="11" t="n">
        <x:v>0</x:v>
      </x:c>
      <x:c r="Q308" s="9"/>
      <x:c r="R308" s="9"/>
      <x:c r="S308" s="9"/>
      <x:c r="T308" s="9"/>
      <x:c r="U308" s="9"/>
      <x:c r="V308" s="9"/>
      <x:c r="W308" s="13"/>
      <x:c r="X308" s="13"/>
      <x:c r="Y308" s="13"/>
      <x:c r="Z308" s="9"/>
      <x:c r="AA308" s="8" t="str">
        <x:v>Current</x:v>
      </x:c>
      <x:c r="AB308" s="8" t="str"/>
      <x:c r="AC308" s="8" t="str">
        <x:v>{"dim":1}</x:v>
      </x:c>
    </x:row>
    <x:row r="309" ht="96" customHeight="1">
      <x:c r="A309" s="8" t="str">
        <x:v>D303</x:v>
      </x:c>
      <x:c r="B309" s="8" t="str">
        <x:v>Shrine flowers · H · inner</x:v>
      </x:c>
      <x:c r="C309" s="8" t="str">
        <x:v>decor</x:v>
      </x:c>
      <x:c r="D309" s="8"/>
      <x:c r="E309" s="8" t="str">
        <x:v>DECOR</x:v>
      </x:c>
      <x:c r="F309" s="11" t="n">
        <x:v>44.225</x:v>
      </x:c>
      <x:c r="G309" s="11" t="n">
        <x:v>2.85</x:v>
      </x:c>
      <x:c r="H309" s="11" t="n">
        <x:v>4.8</x:v>
      </x:c>
      <x:c r="I309" s="8" t="str">
        <x:v>floor</x:v>
      </x:c>
      <x:c r="J309" s="8" t="str">
        <x:v>Shown</x:v>
      </x:c>
      <x:c r="K309" s="8" t="str">
        <x:v>On</x:v>
      </x:c>
      <x:c r="L309" s="8" t="str">
        <x:v>See model parameters</x:v>
      </x:c>
      <x:c r="M309" s="8" t="str">
        <x:v>Low flower arrangement</x:v>
      </x:c>
      <x:c r="N309" s="11"/>
      <x:c r="O309" s="11" t="n">
        <x:v>180</x:v>
      </x:c>
      <x:c r="P309" s="11" t="n">
        <x:v>0</x:v>
      </x:c>
      <x:c r="Q309" s="9"/>
      <x:c r="R309" s="9"/>
      <x:c r="S309" s="9"/>
      <x:c r="T309" s="9"/>
      <x:c r="U309" s="9"/>
      <x:c r="V309" s="9"/>
      <x:c r="W309" s="13"/>
      <x:c r="X309" s="13"/>
      <x:c r="Y309" s="13"/>
      <x:c r="Z309" s="9"/>
      <x:c r="AA309" s="8" t="str">
        <x:v>Current</x:v>
      </x:c>
      <x:c r="AB309" s="8" t="str"/>
      <x:c r="AC309" s="8" t="str">
        <x:v>{"dim":1}</x:v>
      </x:c>
    </x:row>
    <x:row r="310" ht="96" customHeight="1">
      <x:c r="A310" s="8" t="str">
        <x:v>D304</x:v>
      </x:c>
      <x:c r="B310" s="8" t="str">
        <x:v>Shrine flowers · H · outer</x:v>
      </x:c>
      <x:c r="C310" s="8" t="str">
        <x:v>decor</x:v>
      </x:c>
      <x:c r="D310" s="8"/>
      <x:c r="E310" s="8" t="str">
        <x:v>DECOR</x:v>
      </x:c>
      <x:c r="F310" s="11" t="n">
        <x:v>44.225</x:v>
      </x:c>
      <x:c r="G310" s="11" t="n">
        <x:v>2.85</x:v>
      </x:c>
      <x:c r="H310" s="11" t="n">
        <x:v>6.2</x:v>
      </x:c>
      <x:c r="I310" s="8" t="str">
        <x:v>floor</x:v>
      </x:c>
      <x:c r="J310" s="8" t="str">
        <x:v>Shown</x:v>
      </x:c>
      <x:c r="K310" s="8" t="str">
        <x:v>On</x:v>
      </x:c>
      <x:c r="L310" s="8" t="str">
        <x:v>See model parameters</x:v>
      </x:c>
      <x:c r="M310" s="8" t="str">
        <x:v>Low flower arrangement</x:v>
      </x:c>
      <x:c r="N310" s="11"/>
      <x:c r="O310" s="11" t="n">
        <x:v>180</x:v>
      </x:c>
      <x:c r="P310" s="11" t="n">
        <x:v>0</x:v>
      </x:c>
      <x:c r="Q310" s="9"/>
      <x:c r="R310" s="9"/>
      <x:c r="S310" s="9"/>
      <x:c r="T310" s="9"/>
      <x:c r="U310" s="9"/>
      <x:c r="V310" s="9"/>
      <x:c r="W310" s="13"/>
      <x:c r="X310" s="13"/>
      <x:c r="Y310" s="13"/>
      <x:c r="Z310" s="9"/>
      <x:c r="AA310" s="8" t="str">
        <x:v>Current</x:v>
      </x:c>
      <x:c r="AB310" s="8" t="str"/>
      <x:c r="AC310" s="8" t="str">
        <x:v>{"dim":1}</x:v>
      </x:c>
    </x:row>
    <x:row r="311" ht="96" customHeight="1">
      <x:c r="A311" s="8" t="str">
        <x:v>D305</x:v>
      </x:c>
      <x:c r="B311" s="8" t="str">
        <x:v>Palm · entrance H</x:v>
      </x:c>
      <x:c r="C311" s="8" t="str">
        <x:v>decor</x:v>
      </x:c>
      <x:c r="D311" s="8"/>
      <x:c r="E311" s="8" t="str">
        <x:v>DECOR</x:v>
      </x:c>
      <x:c r="F311" s="11" t="n">
        <x:v>6.3</x:v>
      </x:c>
      <x:c r="G311" s="11" t="n">
        <x:v>0</x:v>
      </x:c>
      <x:c r="H311" s="11" t="n">
        <x:v>6.55</x:v>
      </x:c>
      <x:c r="I311" s="8" t="str">
        <x:v>floor</x:v>
      </x:c>
      <x:c r="J311" s="8" t="str">
        <x:v>Shown</x:v>
      </x:c>
      <x:c r="K311" s="8" t="str">
        <x:v>On</x:v>
      </x:c>
      <x:c r="L311" s="8" t="str">
        <x:v>See model parameters</x:v>
      </x:c>
      <x:c r="M311" s="8" t="str">
        <x:v>Potted palm</x:v>
      </x:c>
      <x:c r="N311" s="11"/>
      <x:c r="O311" s="11" t="n">
        <x:v>0</x:v>
      </x:c>
      <x:c r="P311" s="11" t="n">
        <x:v>0</x:v>
      </x:c>
      <x:c r="Q311" s="9"/>
      <x:c r="R311" s="9"/>
      <x:c r="S311" s="9"/>
      <x:c r="T311" s="9"/>
      <x:c r="U311" s="9"/>
      <x:c r="V311" s="9"/>
      <x:c r="W311" s="13"/>
      <x:c r="X311" s="13"/>
      <x:c r="Y311" s="13"/>
      <x:c r="Z311" s="9"/>
      <x:c r="AA311" s="8" t="str">
        <x:v>Current</x:v>
      </x:c>
      <x:c r="AB311" s="8" t="str"/>
      <x:c r="AC311" s="8" t="str">
        <x:v>{"dim":1}</x:v>
      </x:c>
    </x:row>
    <x:row r="312" ht="96" customHeight="1">
      <x:c r="A312" s="8" t="str">
        <x:v>D306</x:v>
      </x:c>
      <x:c r="B312" s="8" t="str">
        <x:v>Banner · axis 9 · H</x:v>
      </x:c>
      <x:c r="C312" s="8" t="str">
        <x:v>decor</x:v>
      </x:c>
      <x:c r="D312" s="8"/>
      <x:c r="E312" s="8" t="str">
        <x:v>DECOR</x:v>
      </x:c>
      <x:c r="F312" s="11" t="n">
        <x:v>36.660000000000004</x:v>
      </x:c>
      <x:c r="G312" s="11" t="n">
        <x:v>6.6</x:v>
      </x:c>
      <x:c r="H312" s="11" t="n">
        <x:v>3.6</x:v>
      </x:c>
      <x:c r="I312" s="8" t="str">
        <x:v>wall</x:v>
      </x:c>
      <x:c r="J312" s="8" t="str">
        <x:v>Shown</x:v>
      </x:c>
      <x:c r="K312" s="8" t="str">
        <x:v>On</x:v>
      </x:c>
      <x:c r="L312" s="8" t="str">
        <x:v>See model parameters</x:v>
      </x:c>
      <x:c r="M312" s="8" t="str">
        <x:v>Liturgical banner</x:v>
      </x:c>
      <x:c r="N312" s="11"/>
      <x:c r="O312" s="11" t="n">
        <x:v>180</x:v>
      </x:c>
      <x:c r="P312" s="11" t="n">
        <x:v>0</x:v>
      </x:c>
      <x:c r="Q312" s="9"/>
      <x:c r="R312" s="9"/>
      <x:c r="S312" s="9"/>
      <x:c r="T312" s="9"/>
      <x:c r="U312" s="9"/>
      <x:c r="V312" s="9"/>
      <x:c r="W312" s="13"/>
      <x:c r="X312" s="13"/>
      <x:c r="Y312" s="13"/>
      <x:c r="Z312" s="9"/>
      <x:c r="AA312" s="8" t="str">
        <x:v>Current</x:v>
      </x:c>
      <x:c r="AB312" s="8" t="str"/>
      <x:c r="AC312" s="8" t="str">
        <x:v>{"colour":"fabricWhite","dim":1}</x:v>
      </x:c>
    </x:row>
    <x:row r="313" ht="96" customHeight="1">
      <x:c r="A313" s="8" t="str">
        <x:v>D307</x:v>
      </x:c>
      <x:c r="B313" s="8" t="str">
        <x:v>Paschal candle</x:v>
      </x:c>
      <x:c r="C313" s="8" t="str">
        <x:v>decor</x:v>
      </x:c>
      <x:c r="D313" s="8"/>
      <x:c r="E313" s="8" t="str">
        <x:v>DECOR</x:v>
      </x:c>
      <x:c r="F313" s="11" t="n">
        <x:v>40.769999999999996</x:v>
      </x:c>
      <x:c r="G313" s="11" t="n">
        <x:v>0.75</x:v>
      </x:c>
      <x:c r="H313" s="11" t="n">
        <x:v>-1.55</x:v>
      </x:c>
      <x:c r="I313" s="8" t="str">
        <x:v>floor</x:v>
      </x:c>
      <x:c r="J313" s="8" t="str">
        <x:v>Shown</x:v>
      </x:c>
      <x:c r="K313" s="8" t="str">
        <x:v>On</x:v>
      </x:c>
      <x:c r="L313" s="8" t="str">
        <x:v>See model parameters</x:v>
      </x:c>
      <x:c r="M313" s="8" t="str">
        <x:v>Paschal candle</x:v>
      </x:c>
      <x:c r="N313" s="11"/>
      <x:c r="O313" s="11" t="n">
        <x:v>180</x:v>
      </x:c>
      <x:c r="P313" s="11" t="n">
        <x:v>0</x:v>
      </x:c>
      <x:c r="Q313" s="9"/>
      <x:c r="R313" s="9"/>
      <x:c r="S313" s="9"/>
      <x:c r="T313" s="9"/>
      <x:c r="U313" s="9"/>
      <x:c r="V313" s="9"/>
      <x:c r="W313" s="13"/>
      <x:c r="X313" s="13"/>
      <x:c r="Y313" s="13"/>
      <x:c r="Z313" s="9"/>
      <x:c r="AA313" s="8" t="str">
        <x:v>Current</x:v>
      </x:c>
      <x:c r="AB313" s="8" t="str"/>
      <x:c r="AC313" s="8" t="str">
        <x:v>{"dim":1}</x:v>
      </x:c>
    </x:row>
    <x:row r="314" ht="96" customHeight="1">
      <x:c r="A314" s="8" t="str">
        <x:v>D308</x:v>
      </x:c>
      <x:c r="B314" s="8" t="str">
        <x:v>Aisle carpet (weddings &amp; feasts)</x:v>
      </x:c>
      <x:c r="C314" s="8" t="str">
        <x:v>decor</x:v>
      </x:c>
      <x:c r="D314" s="8"/>
      <x:c r="E314" s="8" t="str">
        <x:v>DECOR</x:v>
      </x:c>
      <x:c r="F314" s="11" t="n">
        <x:v>6.2</x:v>
      </x:c>
      <x:c r="G314" s="11" t="n">
        <x:v>0</x:v>
      </x:c>
      <x:c r="H314" s="11" t="n">
        <x:v>0</x:v>
      </x:c>
      <x:c r="I314" s="8" t="str">
        <x:v>floor</x:v>
      </x:c>
      <x:c r="J314" s="8" t="str">
        <x:v>Hidden alternative</x:v>
      </x:c>
      <x:c r="K314" s="8" t="str">
        <x:v>On</x:v>
      </x:c>
      <x:c r="L314" s="8" t="str">
        <x:v>See model parameters</x:v>
      </x:c>
      <x:c r="M314" s="8" t="str">
        <x:v>Aisle carpet runner</x:v>
      </x:c>
      <x:c r="N314" s="11"/>
      <x:c r="O314" s="11" t="n">
        <x:v>0</x:v>
      </x:c>
      <x:c r="P314" s="11" t="n">
        <x:v>0</x:v>
      </x:c>
      <x:c r="Q314" s="9"/>
      <x:c r="R314" s="9"/>
      <x:c r="S314" s="9"/>
      <x:c r="T314" s="9"/>
      <x:c r="U314" s="9"/>
      <x:c r="V314" s="9"/>
      <x:c r="W314" s="13"/>
      <x:c r="X314" s="13"/>
      <x:c r="Y314" s="13"/>
      <x:c r="Z314" s="9"/>
      <x:c r="AA314" s="8" t="str">
        <x:v>Current</x:v>
      </x:c>
      <x:c r="AB314" s="8" t="str"/>
      <x:c r="AC314" s="8" t="str">
        <x:v>{"length":32,"dim":1}</x:v>
      </x:c>
    </x:row>
    <x:row r="315" ht="96" customHeight="1">
      <x:c r="A315" s="8" t="str">
        <x:v>D309</x:v>
      </x:c>
      <x:c r="B315" s="8" t="str">
        <x:v>Christmas tree · front stage</x:v>
      </x:c>
      <x:c r="C315" s="8" t="str">
        <x:v>decor</x:v>
      </x:c>
      <x:c r="D315" s="8" t="str">
        <x:v>DB1</x:v>
      </x:c>
      <x:c r="E315" s="8" t="str">
        <x:v>X1</x:v>
      </x:c>
      <x:c r="F315" s="11" t="n">
        <x:v>-4.2</x:v>
      </x:c>
      <x:c r="G315" s="11" t="n">
        <x:v>-0.48</x:v>
      </x:c>
      <x:c r="H315" s="11" t="n">
        <x:v>-5.6</x:v>
      </x:c>
      <x:c r="I315" s="8" t="str">
        <x:v>floor</x:v>
      </x:c>
      <x:c r="J315" s="8" t="str">
        <x:v>Hidden alternative</x:v>
      </x:c>
      <x:c r="K315" s="8" t="str">
        <x:v>Off</x:v>
      </x:c>
      <x:c r="L315" s="8" t="str">
        <x:v>1871 × 3350 × 1900</x:v>
      </x:c>
      <x:c r="M315" s="8" t="str">
        <x:v>350 lm · 2400 K</x:v>
      </x:c>
      <x:c r="N315" s="11" t="n">
        <x:v>0</x:v>
      </x:c>
      <x:c r="O315" s="11" t="n">
        <x:v>180</x:v>
      </x:c>
      <x:c r="P315" s="11" t="n">
        <x:v>0</x:v>
      </x:c>
      <x:c r="Q315" s="9"/>
      <x:c r="R315" s="9"/>
      <x:c r="S315" s="9"/>
      <x:c r="T315" s="9"/>
      <x:c r="U315" s="9"/>
      <x:c r="V315" s="9"/>
      <x:c r="W315" s="13"/>
      <x:c r="X315" s="13"/>
      <x:c r="Y315" s="13"/>
      <x:c r="Z315" s="9"/>
      <x:c r="AA315" s="8" t="str">
        <x:v>Current</x:v>
      </x:c>
      <x:c r="AB315" s="8" t="str"/>
      <x:c r="AC315" s="8" t="str">
        <x:v>{"dim":1}</x:v>
      </x:c>
    </x:row>
    <x:row r="316" ht="96" customHeight="1">
      <x:c r="A316" s="8" t="str">
        <x:v>D310</x:v>
      </x:c>
      <x:c r="B316" s="8" t="str">
        <x:v>Nativity grotto (hang đá) · front stage</x:v>
      </x:c>
      <x:c r="C316" s="8" t="str">
        <x:v>decor</x:v>
      </x:c>
      <x:c r="D316" s="8" t="str">
        <x:v>DB1</x:v>
      </x:c>
      <x:c r="E316" s="8" t="str">
        <x:v>X1</x:v>
      </x:c>
      <x:c r="F316" s="11" t="n">
        <x:v>-4.2</x:v>
      </x:c>
      <x:c r="G316" s="11" t="n">
        <x:v>-0.48</x:v>
      </x:c>
      <x:c r="H316" s="11" t="n">
        <x:v>5.6</x:v>
      </x:c>
      <x:c r="I316" s="8" t="str">
        <x:v>floor</x:v>
      </x:c>
      <x:c r="J316" s="8" t="str">
        <x:v>Hidden alternative</x:v>
      </x:c>
      <x:c r="K316" s="8" t="str">
        <x:v>Off</x:v>
      </x:c>
      <x:c r="L316" s="8" t="str">
        <x:v>2005 × 2858 × 3347</x:v>
      </x:c>
      <x:c r="M316" s="8" t="str">
        <x:v>400 lm · 3000 K</x:v>
      </x:c>
      <x:c r="N316" s="11" t="n">
        <x:v>0</x:v>
      </x:c>
      <x:c r="O316" s="11" t="n">
        <x:v>180</x:v>
      </x:c>
      <x:c r="P316" s="11" t="n">
        <x:v>0</x:v>
      </x:c>
      <x:c r="Q316" s="9"/>
      <x:c r="R316" s="9"/>
      <x:c r="S316" s="9"/>
      <x:c r="T316" s="9"/>
      <x:c r="U316" s="9"/>
      <x:c r="V316" s="9"/>
      <x:c r="W316" s="13"/>
      <x:c r="X316" s="13"/>
      <x:c r="Y316" s="13"/>
      <x:c r="Z316" s="9"/>
      <x:c r="AA316" s="8" t="str">
        <x:v>Current</x:v>
      </x:c>
      <x:c r="AB316" s="8" t="str"/>
      <x:c r="AC316" s="8" t="str">
        <x:v>{"dim":1}</x:v>
      </x:c>
    </x:row>
    <x:row r="317" ht="96" customHeight="1">
      <x:c r="A317" s="8" t="str">
        <x:v>D311</x:v>
      </x:c>
      <x:c r="B317" s="8" t="str">
        <x:v>Star over the crossing</x:v>
      </x:c>
      <x:c r="C317" s="8" t="str">
        <x:v>decor</x:v>
      </x:c>
      <x:c r="D317" s="8" t="str">
        <x:v>DB1</x:v>
      </x:c>
      <x:c r="E317" s="8" t="str">
        <x:v>X1</x:v>
      </x:c>
      <x:c r="F317" s="11" t="n">
        <x:v>40.575</x:v>
      </x:c>
      <x:c r="G317" s="11" t="n">
        <x:v>9.4</x:v>
      </x:c>
      <x:c r="H317" s="11" t="n">
        <x:v>0</x:v>
      </x:c>
      <x:c r="I317" s="8" t="str">
        <x:v>pendant</x:v>
      </x:c>
      <x:c r="J317" s="8" t="str">
        <x:v>Hidden alternative</x:v>
      </x:c>
      <x:c r="K317" s="8" t="str">
        <x:v>Off</x:v>
      </x:c>
      <x:c r="L317" s="8" t="str">
        <x:v>60 × 1595 × 1046</x:v>
      </x:c>
      <x:c r="M317" s="8" t="str">
        <x:v>500 lm · 5000 K</x:v>
      </x:c>
      <x:c r="N317" s="11" t="n">
        <x:v>0</x:v>
      </x:c>
      <x:c r="O317" s="11" t="n">
        <x:v>90</x:v>
      </x:c>
      <x:c r="P317" s="11" t="n">
        <x:v>0</x:v>
      </x:c>
      <x:c r="Q317" s="9"/>
      <x:c r="R317" s="9"/>
      <x:c r="S317" s="9"/>
      <x:c r="T317" s="9"/>
      <x:c r="U317" s="9"/>
      <x:c r="V317" s="9"/>
      <x:c r="W317" s="13"/>
      <x:c r="X317" s="13"/>
      <x:c r="Y317" s="13"/>
      <x:c r="Z317" s="9"/>
      <x:c r="AA317" s="8" t="str">
        <x:v>Current</x:v>
      </x:c>
      <x:c r="AB317" s="8" t="str"/>
      <x:c r="AC317" s="8" t="str">
        <x:v>{"dim":1,"anchorY":12.152}</x:v>
      </x:c>
    </x:row>
    <x:row r="318" ht="96" customHeight="1">
      <x:c r="A318" s="8" t="str">
        <x:v>D312</x:v>
      </x:c>
      <x:c r="B318" s="8" t="str">
        <x:v>Red lanterns · veranda B · bay 4–5</x:v>
      </x:c>
      <x:c r="C318" s="8" t="str">
        <x:v>decor</x:v>
      </x:c>
      <x:c r="D318" s="8" t="str">
        <x:v>DB1</x:v>
      </x:c>
      <x:c r="E318" s="8" t="str">
        <x:v>X1</x:v>
      </x:c>
      <x:c r="F318" s="11" t="n">
        <x:v>16.725</x:v>
      </x:c>
      <x:c r="G318" s="11" t="n">
        <x:v>5.6</x:v>
      </x:c>
      <x:c r="H318" s="11" t="n">
        <x:v>-8.85</x:v>
      </x:c>
      <x:c r="I318" s="8" t="str">
        <x:v>pendant</x:v>
      </x:c>
      <x:c r="J318" s="8" t="str">
        <x:v>Hidden alternative</x:v>
      </x:c>
      <x:c r="K318" s="8" t="str">
        <x:v>Off</x:v>
      </x:c>
      <x:c r="L318" s="8" t="str">
        <x:v>320 × 1043 × 3405</x:v>
      </x:c>
      <x:c r="M318" s="8" t="str">
        <x:v>240 lm · 2200 K · 3.4 m strand</x:v>
      </x:c>
      <x:c r="N318" s="11" t="n">
        <x:v>0</x:v>
      </x:c>
      <x:c r="O318" s="11" t="n">
        <x:v>90</x:v>
      </x:c>
      <x:c r="P318" s="11" t="n">
        <x:v>0</x:v>
      </x:c>
      <x:c r="Q318" s="9"/>
      <x:c r="R318" s="9"/>
      <x:c r="S318" s="9"/>
      <x:c r="T318" s="9"/>
      <x:c r="U318" s="9"/>
      <x:c r="V318" s="9"/>
      <x:c r="W318" s="13"/>
      <x:c r="X318" s="13"/>
      <x:c r="Y318" s="13"/>
      <x:c r="Z318" s="9"/>
      <x:c r="AA318" s="8" t="str">
        <x:v>Current</x:v>
      </x:c>
      <x:c r="AB318" s="8" t="str"/>
      <x:c r="AC318" s="8" t="str">
        <x:v>{"length":3.4,"dim":1,"anchorY":6.798875000000001}</x:v>
      </x:c>
    </x:row>
    <x:row r="319" ht="96" customHeight="1">
      <x:c r="A319" s="8" t="str">
        <x:v>D313</x:v>
      </x:c>
      <x:c r="B319" s="8" t="str">
        <x:v>Red lanterns · veranda H · bay 4–5</x:v>
      </x:c>
      <x:c r="C319" s="8" t="str">
        <x:v>decor</x:v>
      </x:c>
      <x:c r="D319" s="8" t="str">
        <x:v>DB1</x:v>
      </x:c>
      <x:c r="E319" s="8" t="str">
        <x:v>X1</x:v>
      </x:c>
      <x:c r="F319" s="11" t="n">
        <x:v>16.725</x:v>
      </x:c>
      <x:c r="G319" s="11" t="n">
        <x:v>5.6</x:v>
      </x:c>
      <x:c r="H319" s="11" t="n">
        <x:v>8.85</x:v>
      </x:c>
      <x:c r="I319" s="8" t="str">
        <x:v>pendant</x:v>
      </x:c>
      <x:c r="J319" s="8" t="str">
        <x:v>Hidden alternative</x:v>
      </x:c>
      <x:c r="K319" s="8" t="str">
        <x:v>Off</x:v>
      </x:c>
      <x:c r="L319" s="8" t="str">
        <x:v>320 × 1043 × 3405</x:v>
      </x:c>
      <x:c r="M319" s="8" t="str">
        <x:v>240 lm · 2200 K · 3.4 m strand</x:v>
      </x:c>
      <x:c r="N319" s="11" t="n">
        <x:v>0</x:v>
      </x:c>
      <x:c r="O319" s="11" t="n">
        <x:v>90</x:v>
      </x:c>
      <x:c r="P319" s="11" t="n">
        <x:v>0</x:v>
      </x:c>
      <x:c r="Q319" s="9"/>
      <x:c r="R319" s="9"/>
      <x:c r="S319" s="9"/>
      <x:c r="T319" s="9"/>
      <x:c r="U319" s="9"/>
      <x:c r="V319" s="9"/>
      <x:c r="W319" s="13"/>
      <x:c r="X319" s="13"/>
      <x:c r="Y319" s="13"/>
      <x:c r="Z319" s="9"/>
      <x:c r="AA319" s="8" t="str">
        <x:v>Current</x:v>
      </x:c>
      <x:c r="AB319" s="8" t="str"/>
      <x:c r="AC319" s="8" t="str">
        <x:v>{"length":3.4,"dim":1,"anchorY":6.798875000000001}</x:v>
      </x:c>
    </x:row>
    <x:row r="320" ht="96" customHeight="1">
      <x:c r="A320" s="8" t="str">
        <x:v>D314</x:v>
      </x:c>
      <x:c r="B320" s="8" t="str">
        <x:v>Red lanterns · veranda B · bay 5–6</x:v>
      </x:c>
      <x:c r="C320" s="8" t="str">
        <x:v>decor</x:v>
      </x:c>
      <x:c r="D320" s="8" t="str">
        <x:v>DB1</x:v>
      </x:c>
      <x:c r="E320" s="8" t="str">
        <x:v>X1</x:v>
      </x:c>
      <x:c r="F320" s="11" t="n">
        <x:v>21.225</x:v>
      </x:c>
      <x:c r="G320" s="11" t="n">
        <x:v>5.6</x:v>
      </x:c>
      <x:c r="H320" s="11" t="n">
        <x:v>-8.85</x:v>
      </x:c>
      <x:c r="I320" s="8" t="str">
        <x:v>pendant</x:v>
      </x:c>
      <x:c r="J320" s="8" t="str">
        <x:v>Hidden alternative</x:v>
      </x:c>
      <x:c r="K320" s="8" t="str">
        <x:v>Off</x:v>
      </x:c>
      <x:c r="L320" s="8" t="str">
        <x:v>320 × 1043 × 3405</x:v>
      </x:c>
      <x:c r="M320" s="8" t="str">
        <x:v>240 lm · 2200 K · 3.4 m strand</x:v>
      </x:c>
      <x:c r="N320" s="11" t="n">
        <x:v>0</x:v>
      </x:c>
      <x:c r="O320" s="11" t="n">
        <x:v>90</x:v>
      </x:c>
      <x:c r="P320" s="11" t="n">
        <x:v>0</x:v>
      </x:c>
      <x:c r="Q320" s="9"/>
      <x:c r="R320" s="9"/>
      <x:c r="S320" s="9"/>
      <x:c r="T320" s="9"/>
      <x:c r="U320" s="9"/>
      <x:c r="V320" s="9"/>
      <x:c r="W320" s="13"/>
      <x:c r="X320" s="13"/>
      <x:c r="Y320" s="13"/>
      <x:c r="Z320" s="9"/>
      <x:c r="AA320" s="8" t="str">
        <x:v>Current</x:v>
      </x:c>
      <x:c r="AB320" s="8" t="str"/>
      <x:c r="AC320" s="8" t="str">
        <x:v>{"length":3.4,"dim":1,"anchorY":6.798875000000001}</x:v>
      </x:c>
    </x:row>
    <x:row r="321" ht="96" customHeight="1">
      <x:c r="A321" s="8" t="str">
        <x:v>D315</x:v>
      </x:c>
      <x:c r="B321" s="8" t="str">
        <x:v>Red lanterns · veranda H · bay 5–6</x:v>
      </x:c>
      <x:c r="C321" s="8" t="str">
        <x:v>decor</x:v>
      </x:c>
      <x:c r="D321" s="8" t="str">
        <x:v>DB1</x:v>
      </x:c>
      <x:c r="E321" s="8" t="str">
        <x:v>X1</x:v>
      </x:c>
      <x:c r="F321" s="11" t="n">
        <x:v>21.225</x:v>
      </x:c>
      <x:c r="G321" s="11" t="n">
        <x:v>5.6</x:v>
      </x:c>
      <x:c r="H321" s="11" t="n">
        <x:v>8.85</x:v>
      </x:c>
      <x:c r="I321" s="8" t="str">
        <x:v>pendant</x:v>
      </x:c>
      <x:c r="J321" s="8" t="str">
        <x:v>Hidden alternative</x:v>
      </x:c>
      <x:c r="K321" s="8" t="str">
        <x:v>Off</x:v>
      </x:c>
      <x:c r="L321" s="8" t="str">
        <x:v>320 × 1043 × 3405</x:v>
      </x:c>
      <x:c r="M321" s="8" t="str">
        <x:v>240 lm · 2200 K · 3.4 m strand</x:v>
      </x:c>
      <x:c r="N321" s="11" t="n">
        <x:v>0</x:v>
      </x:c>
      <x:c r="O321" s="11" t="n">
        <x:v>90</x:v>
      </x:c>
      <x:c r="P321" s="11" t="n">
        <x:v>0</x:v>
      </x:c>
      <x:c r="Q321" s="9"/>
      <x:c r="R321" s="9"/>
      <x:c r="S321" s="9"/>
      <x:c r="T321" s="9"/>
      <x:c r="U321" s="9"/>
      <x:c r="V321" s="9"/>
      <x:c r="W321" s="13"/>
      <x:c r="X321" s="13"/>
      <x:c r="Y321" s="13"/>
      <x:c r="Z321" s="9"/>
      <x:c r="AA321" s="8" t="str">
        <x:v>Current</x:v>
      </x:c>
      <x:c r="AB321" s="8" t="str"/>
      <x:c r="AC321" s="8" t="str">
        <x:v>{"length":3.4,"dim":1,"anchorY":6.798875000000001}</x:v>
      </x:c>
    </x:row>
    <x:row r="322" ht="96" customHeight="1">
      <x:c r="A322" s="8" t="str">
        <x:v>D316</x:v>
      </x:c>
      <x:c r="B322" s="8" t="str">
        <x:v>Red lanterns · veranda B · bay 7–8</x:v>
      </x:c>
      <x:c r="C322" s="8" t="str">
        <x:v>decor</x:v>
      </x:c>
      <x:c r="D322" s="8" t="str">
        <x:v>DB1</x:v>
      </x:c>
      <x:c r="E322" s="8" t="str">
        <x:v>X1</x:v>
      </x:c>
      <x:c r="F322" s="11" t="n">
        <x:v>30.225</x:v>
      </x:c>
      <x:c r="G322" s="11" t="n">
        <x:v>5.6</x:v>
      </x:c>
      <x:c r="H322" s="11" t="n">
        <x:v>-8.85</x:v>
      </x:c>
      <x:c r="I322" s="8" t="str">
        <x:v>pendant</x:v>
      </x:c>
      <x:c r="J322" s="8" t="str">
        <x:v>Hidden alternative</x:v>
      </x:c>
      <x:c r="K322" s="8" t="str">
        <x:v>Off</x:v>
      </x:c>
      <x:c r="L322" s="8" t="str">
        <x:v>320 × 1043 × 3405</x:v>
      </x:c>
      <x:c r="M322" s="8" t="str">
        <x:v>240 lm · 2200 K · 3.4 m strand</x:v>
      </x:c>
      <x:c r="N322" s="11" t="n">
        <x:v>0</x:v>
      </x:c>
      <x:c r="O322" s="11" t="n">
        <x:v>90</x:v>
      </x:c>
      <x:c r="P322" s="11" t="n">
        <x:v>0</x:v>
      </x:c>
      <x:c r="Q322" s="9"/>
      <x:c r="R322" s="9"/>
      <x:c r="S322" s="9"/>
      <x:c r="T322" s="9"/>
      <x:c r="U322" s="9"/>
      <x:c r="V322" s="9"/>
      <x:c r="W322" s="13"/>
      <x:c r="X322" s="13"/>
      <x:c r="Y322" s="13"/>
      <x:c r="Z322" s="9"/>
      <x:c r="AA322" s="8" t="str">
        <x:v>Current</x:v>
      </x:c>
      <x:c r="AB322" s="8" t="str"/>
      <x:c r="AC322" s="8" t="str">
        <x:v>{"length":3.4,"dim":1,"anchorY":6.798875000000001}</x:v>
      </x:c>
    </x:row>
    <x:row r="323" ht="96" customHeight="1">
      <x:c r="A323" s="8" t="str">
        <x:v>D317</x:v>
      </x:c>
      <x:c r="B323" s="8" t="str">
        <x:v>Red lanterns · veranda H · bay 7–8</x:v>
      </x:c>
      <x:c r="C323" s="8" t="str">
        <x:v>decor</x:v>
      </x:c>
      <x:c r="D323" s="8" t="str">
        <x:v>DB1</x:v>
      </x:c>
      <x:c r="E323" s="8" t="str">
        <x:v>X1</x:v>
      </x:c>
      <x:c r="F323" s="11" t="n">
        <x:v>30.225</x:v>
      </x:c>
      <x:c r="G323" s="11" t="n">
        <x:v>5.6</x:v>
      </x:c>
      <x:c r="H323" s="11" t="n">
        <x:v>8.85</x:v>
      </x:c>
      <x:c r="I323" s="8" t="str">
        <x:v>pendant</x:v>
      </x:c>
      <x:c r="J323" s="8" t="str">
        <x:v>Hidden alternative</x:v>
      </x:c>
      <x:c r="K323" s="8" t="str">
        <x:v>Off</x:v>
      </x:c>
      <x:c r="L323" s="8" t="str">
        <x:v>320 × 1043 × 3405</x:v>
      </x:c>
      <x:c r="M323" s="8" t="str">
        <x:v>240 lm · 2200 K · 3.4 m strand</x:v>
      </x:c>
      <x:c r="N323" s="11" t="n">
        <x:v>0</x:v>
      </x:c>
      <x:c r="O323" s="11" t="n">
        <x:v>90</x:v>
      </x:c>
      <x:c r="P323" s="11" t="n">
        <x:v>0</x:v>
      </x:c>
      <x:c r="Q323" s="9"/>
      <x:c r="R323" s="9"/>
      <x:c r="S323" s="9"/>
      <x:c r="T323" s="9"/>
      <x:c r="U323" s="9"/>
      <x:c r="V323" s="9"/>
      <x:c r="W323" s="13"/>
      <x:c r="X323" s="13"/>
      <x:c r="Y323" s="13"/>
      <x:c r="Z323" s="9"/>
      <x:c r="AA323" s="8" t="str">
        <x:v>Current</x:v>
      </x:c>
      <x:c r="AB323" s="8" t="str"/>
      <x:c r="AC323" s="8" t="str">
        <x:v>{"length":3.4,"dim":1,"anchorY":6.798875000000001}</x:v>
      </x:c>
    </x:row>
    <x:row r="324" ht="96" customHeight="1">
      <x:c r="A324" s="8" t="str">
        <x:v>D318</x:v>
      </x:c>
      <x:c r="B324" s="8" t="str">
        <x:v>Red lanterns · veranda B · bay 8–9</x:v>
      </x:c>
      <x:c r="C324" s="8" t="str">
        <x:v>decor</x:v>
      </x:c>
      <x:c r="D324" s="8" t="str">
        <x:v>DB1</x:v>
      </x:c>
      <x:c r="E324" s="8" t="str">
        <x:v>X1</x:v>
      </x:c>
      <x:c r="F324" s="11" t="n">
        <x:v>34.725</x:v>
      </x:c>
      <x:c r="G324" s="11" t="n">
        <x:v>5.6</x:v>
      </x:c>
      <x:c r="H324" s="11" t="n">
        <x:v>-8.85</x:v>
      </x:c>
      <x:c r="I324" s="8" t="str">
        <x:v>pendant</x:v>
      </x:c>
      <x:c r="J324" s="8" t="str">
        <x:v>Hidden alternative</x:v>
      </x:c>
      <x:c r="K324" s="8" t="str">
        <x:v>Off</x:v>
      </x:c>
      <x:c r="L324" s="8" t="str">
        <x:v>320 × 1043 × 3405</x:v>
      </x:c>
      <x:c r="M324" s="8" t="str">
        <x:v>240 lm · 2200 K · 3.4 m strand</x:v>
      </x:c>
      <x:c r="N324" s="11" t="n">
        <x:v>0</x:v>
      </x:c>
      <x:c r="O324" s="11" t="n">
        <x:v>90</x:v>
      </x:c>
      <x:c r="P324" s="11" t="n">
        <x:v>0</x:v>
      </x:c>
      <x:c r="Q324" s="9"/>
      <x:c r="R324" s="9"/>
      <x:c r="S324" s="9"/>
      <x:c r="T324" s="9"/>
      <x:c r="U324" s="9"/>
      <x:c r="V324" s="9"/>
      <x:c r="W324" s="13"/>
      <x:c r="X324" s="13"/>
      <x:c r="Y324" s="13"/>
      <x:c r="Z324" s="9"/>
      <x:c r="AA324" s="8" t="str">
        <x:v>Current</x:v>
      </x:c>
      <x:c r="AB324" s="8" t="str"/>
      <x:c r="AC324" s="8" t="str">
        <x:v>{"length":3.4,"dim":1,"anchorY":6.798875000000001}</x:v>
      </x:c>
    </x:row>
    <x:row r="325" ht="96" customHeight="1">
      <x:c r="A325" s="8" t="str">
        <x:v>D319</x:v>
      </x:c>
      <x:c r="B325" s="8" t="str">
        <x:v>Red lanterns · veranda H · bay 8–9</x:v>
      </x:c>
      <x:c r="C325" s="8" t="str">
        <x:v>decor</x:v>
      </x:c>
      <x:c r="D325" s="8" t="str">
        <x:v>DB1</x:v>
      </x:c>
      <x:c r="E325" s="8" t="str">
        <x:v>X1</x:v>
      </x:c>
      <x:c r="F325" s="11" t="n">
        <x:v>34.725</x:v>
      </x:c>
      <x:c r="G325" s="11" t="n">
        <x:v>5.6</x:v>
      </x:c>
      <x:c r="H325" s="11" t="n">
        <x:v>8.85</x:v>
      </x:c>
      <x:c r="I325" s="8" t="str">
        <x:v>pendant</x:v>
      </x:c>
      <x:c r="J325" s="8" t="str">
        <x:v>Hidden alternative</x:v>
      </x:c>
      <x:c r="K325" s="8" t="str">
        <x:v>Off</x:v>
      </x:c>
      <x:c r="L325" s="8" t="str">
        <x:v>320 × 1043 × 3405</x:v>
      </x:c>
      <x:c r="M325" s="8" t="str">
        <x:v>240 lm · 2200 K · 3.4 m strand</x:v>
      </x:c>
      <x:c r="N325" s="11" t="n">
        <x:v>0</x:v>
      </x:c>
      <x:c r="O325" s="11" t="n">
        <x:v>90</x:v>
      </x:c>
      <x:c r="P325" s="11" t="n">
        <x:v>0</x:v>
      </x:c>
      <x:c r="Q325" s="9"/>
      <x:c r="R325" s="9"/>
      <x:c r="S325" s="9"/>
      <x:c r="T325" s="9"/>
      <x:c r="U325" s="9"/>
      <x:c r="V325" s="9"/>
      <x:c r="W325" s="13"/>
      <x:c r="X325" s="13"/>
      <x:c r="Y325" s="13"/>
      <x:c r="Z325" s="9"/>
      <x:c r="AA325" s="8" t="str">
        <x:v>Current</x:v>
      </x:c>
      <x:c r="AB325" s="8" t="str"/>
      <x:c r="AC325" s="8" t="str">
        <x:v>{"length":3.4,"dim":1,"anchorY":6.798875000000001}</x:v>
      </x:c>
    </x:row>
    <x:row r="326" ht="96" customHeight="1">
      <x:c r="A326" s="8" t="str">
        <x:v>D320</x:v>
      </x:c>
      <x:c r="B326" s="8" t="str">
        <x:v>Festival pennants · axis 4</x:v>
      </x:c>
      <x:c r="C326" s="8" t="str">
        <x:v>decor</x:v>
      </x:c>
      <x:c r="D326" s="8"/>
      <x:c r="E326" s="8" t="str">
        <x:v>DECOR</x:v>
      </x:c>
      <x:c r="F326" s="11" t="n">
        <x:v>14.475</x:v>
      </x:c>
      <x:c r="G326" s="11" t="n">
        <x:v>7.2</x:v>
      </x:c>
      <x:c r="H326" s="11" t="n">
        <x:v>0</x:v>
      </x:c>
      <x:c r="I326" s="8" t="str">
        <x:v>pendant</x:v>
      </x:c>
      <x:c r="J326" s="8" t="str">
        <x:v>Hidden alternative</x:v>
      </x:c>
      <x:c r="K326" s="8" t="str">
        <x:v>On</x:v>
      </x:c>
      <x:c r="L326" s="8" t="str">
        <x:v>See model parameters</x:v>
      </x:c>
      <x:c r="M326" s="8" t="str">
        <x:v>Festival pennants (cờ đuôi nheo)</x:v>
      </x:c>
      <x:c r="N326" s="11"/>
      <x:c r="O326" s="11" t="n">
        <x:v>0</x:v>
      </x:c>
      <x:c r="P326" s="11" t="n">
        <x:v>0</x:v>
      </x:c>
      <x:c r="Q326" s="9"/>
      <x:c r="R326" s="9"/>
      <x:c r="S326" s="9"/>
      <x:c r="T326" s="9"/>
      <x:c r="U326" s="9"/>
      <x:c r="V326" s="9"/>
      <x:c r="W326" s="13"/>
      <x:c r="X326" s="13"/>
      <x:c r="Y326" s="13"/>
      <x:c r="Z326" s="9"/>
      <x:c r="AA326" s="8" t="str">
        <x:v>Current</x:v>
      </x:c>
      <x:c r="AB326" s="8" t="str"/>
      <x:c r="AC326" s="8" t="str">
        <x:v>{"length":7,"dim":1,"anchorY":7.2}</x:v>
      </x:c>
    </x:row>
    <x:row r="327" ht="96" customHeight="1">
      <x:c r="A327" s="8" t="str">
        <x:v>D321</x:v>
      </x:c>
      <x:c r="B327" s="8" t="str">
        <x:v>Festival pennants · axis 6</x:v>
      </x:c>
      <x:c r="C327" s="8" t="str">
        <x:v>decor</x:v>
      </x:c>
      <x:c r="D327" s="8"/>
      <x:c r="E327" s="8" t="str">
        <x:v>DECOR</x:v>
      </x:c>
      <x:c r="F327" s="11" t="n">
        <x:v>23.475</x:v>
      </x:c>
      <x:c r="G327" s="11" t="n">
        <x:v>7.2</x:v>
      </x:c>
      <x:c r="H327" s="11" t="n">
        <x:v>0</x:v>
      </x:c>
      <x:c r="I327" s="8" t="str">
        <x:v>pendant</x:v>
      </x:c>
      <x:c r="J327" s="8" t="str">
        <x:v>Hidden alternative</x:v>
      </x:c>
      <x:c r="K327" s="8" t="str">
        <x:v>On</x:v>
      </x:c>
      <x:c r="L327" s="8" t="str">
        <x:v>See model parameters</x:v>
      </x:c>
      <x:c r="M327" s="8" t="str">
        <x:v>Festival pennants (cờ đuôi nheo)</x:v>
      </x:c>
      <x:c r="N327" s="11"/>
      <x:c r="O327" s="11" t="n">
        <x:v>0</x:v>
      </x:c>
      <x:c r="P327" s="11" t="n">
        <x:v>0</x:v>
      </x:c>
      <x:c r="Q327" s="9"/>
      <x:c r="R327" s="9"/>
      <x:c r="S327" s="9"/>
      <x:c r="T327" s="9"/>
      <x:c r="U327" s="9"/>
      <x:c r="V327" s="9"/>
      <x:c r="W327" s="13"/>
      <x:c r="X327" s="13"/>
      <x:c r="Y327" s="13"/>
      <x:c r="Z327" s="9"/>
      <x:c r="AA327" s="8" t="str">
        <x:v>Current</x:v>
      </x:c>
      <x:c r="AB327" s="8" t="str"/>
      <x:c r="AC327" s="8" t="str">
        <x:v>{"length":7,"dim":1,"anchorY":7.2}</x:v>
      </x:c>
    </x:row>
    <x:row r="328" ht="96" customHeight="1">
      <x:c r="A328" s="8" t="str">
        <x:v>D322</x:v>
      </x:c>
      <x:c r="B328" s="8" t="str">
        <x:v>Festival pennants · axis 8</x:v>
      </x:c>
      <x:c r="C328" s="8" t="str">
        <x:v>decor</x:v>
      </x:c>
      <x:c r="D328" s="8"/>
      <x:c r="E328" s="8" t="str">
        <x:v>DECOR</x:v>
      </x:c>
      <x:c r="F328" s="11" t="n">
        <x:v>32.475</x:v>
      </x:c>
      <x:c r="G328" s="11" t="n">
        <x:v>7.2</x:v>
      </x:c>
      <x:c r="H328" s="11" t="n">
        <x:v>0</x:v>
      </x:c>
      <x:c r="I328" s="8" t="str">
        <x:v>pendant</x:v>
      </x:c>
      <x:c r="J328" s="8" t="str">
        <x:v>Hidden alternative</x:v>
      </x:c>
      <x:c r="K328" s="8" t="str">
        <x:v>On</x:v>
      </x:c>
      <x:c r="L328" s="8" t="str">
        <x:v>See model parameters</x:v>
      </x:c>
      <x:c r="M328" s="8" t="str">
        <x:v>Festival pennants (cờ đuôi nheo)</x:v>
      </x:c>
      <x:c r="N328" s="11"/>
      <x:c r="O328" s="11" t="n">
        <x:v>0</x:v>
      </x:c>
      <x:c r="P328" s="11" t="n">
        <x:v>0</x:v>
      </x:c>
      <x:c r="Q328" s="9"/>
      <x:c r="R328" s="9"/>
      <x:c r="S328" s="9"/>
      <x:c r="T328" s="9"/>
      <x:c r="U328" s="9"/>
      <x:c r="V328" s="9"/>
      <x:c r="W328" s="13"/>
      <x:c r="X328" s="13"/>
      <x:c r="Y328" s="13"/>
      <x:c r="Z328" s="9"/>
      <x:c r="AA328" s="8" t="str">
        <x:v>Current</x:v>
      </x:c>
      <x:c r="AB328" s="8" t="str"/>
      <x:c r="AC328" s="8" t="str">
        <x:v>{"length":7,"dim":1,"anchorY":7.2}</x:v>
      </x:c>
    </x:row>
    <x:row r="329" ht="96" customHeight="1">
      <x:c r="A329" s="8" t="str">
        <x:v>DB1</x:v>
      </x:c>
      <x:c r="B329" s="8" t="str">
        <x:v>DB-1 · Main board</x:v>
      </x:c>
      <x:c r="C329" s="8" t="str">
        <x:v>enclosure</x:v>
      </x:c>
      <x:c r="D329" s="8" t="str">
        <x:v>DB1</x:v>
      </x:c>
      <x:c r="E329" s="8"/>
      <x:c r="F329" s="11" t="n">
        <x:v>48.895</x:v>
      </x:c>
      <x:c r="G329" s="11" t="n">
        <x:v>1.75</x:v>
      </x:c>
      <x:c r="H329" s="11" t="n">
        <x:v>-1.55</x:v>
      </x:c>
      <x:c r="I329" s="8" t="str">
        <x:v>Model enclosure</x:v>
      </x:c>
      <x:c r="J329" s="8" t="str">
        <x:v>Shown</x:v>
      </x:c>
      <x:c r="K329" s="8" t="str">
        <x:v>n.a.</x:v>
      </x:c>
      <x:c r="L329" s="8" t="str">
        <x:v>200 × 1100 × 800</x:v>
      </x:c>
      <x:c r="M329" s="8" t="str">
        <x:v>Service room behind the altar · existing back-wall enclosure. Procedural enclosure; internal arrangement and hardware pending.</x:v>
      </x:c>
      <x:c r="N329" s="11"/>
      <x:c r="O329" s="11"/>
      <x:c r="P329" s="11"/>
      <x:c r="Q329" s="9"/>
      <x:c r="R329" s="9"/>
      <x:c r="S329" s="9"/>
      <x:c r="T329" s="9"/>
      <x:c r="U329" s="9"/>
      <x:c r="V329" s="9"/>
      <x:c r="W329" s="13"/>
      <x:c r="X329" s="13"/>
      <x:c r="Y329" s="13"/>
      <x:c r="Z329" s="9"/>
      <x:c r="AA329" s="8" t="str">
        <x:v>Current</x:v>
      </x:c>
      <x:c r="AB329" s="8"/>
      <x:c r="AC329" s="8"/>
    </x:row>
    <x:row r="330" ht="96" customHeight="1">
      <x:c r="A330" s="8" t="str">
        <x:v>DB2</x:v>
      </x:c>
      <x:c r="B330" s="8" t="str">
        <x:v>DB-2 · Towers &amp; entrance</x:v>
      </x:c>
      <x:c r="C330" s="8" t="str">
        <x:v>enclosure</x:v>
      </x:c>
      <x:c r="D330" s="8" t="str">
        <x:v>DB2</x:v>
      </x:c>
      <x:c r="E330" s="8"/>
      <x:c r="F330" s="11" t="n">
        <x:v>2.73</x:v>
      </x:c>
      <x:c r="G330" s="11" t="n">
        <x:v>1.5</x:v>
      </x:c>
      <x:c r="H330" s="11" t="n">
        <x:v>-3.3</x:v>
      </x:c>
      <x:c r="I330" s="8" t="str">
        <x:v>Model enclosure</x:v>
      </x:c>
      <x:c r="J330" s="8" t="str">
        <x:v>Shown</x:v>
      </x:c>
      <x:c r="K330" s="8" t="str">
        <x:v>n.a.</x:v>
      </x:c>
      <x:c r="L330" s="8" t="str">
        <x:v>160 × 620 × 460</x:v>
      </x:c>
      <x:c r="M330" s="8" t="str">
        <x:v>Inside the main doors, left of the main door. Procedural enclosure; internal arrangement and hardware pending.</x:v>
      </x:c>
      <x:c r="N330" s="11"/>
      <x:c r="O330" s="11"/>
      <x:c r="P330" s="11"/>
      <x:c r="Q330" s="9"/>
      <x:c r="R330" s="9"/>
      <x:c r="S330" s="9"/>
      <x:c r="T330" s="9"/>
      <x:c r="U330" s="9"/>
      <x:c r="V330" s="9"/>
      <x:c r="W330" s="13"/>
      <x:c r="X330" s="13"/>
      <x:c r="Y330" s="13"/>
      <x:c r="Z330" s="9"/>
      <x:c r="AA330" s="8" t="str">
        <x:v>Current</x:v>
      </x:c>
      <x:c r="AB330" s="8"/>
      <x:c r="AC330" s="8"/>
    </x:row>
    <x:row r="331" ht="96" customHeight="1">
      <x:c r="A331" s="8" t="str">
        <x:v>LC1</x:v>
      </x:c>
      <x:c r="B331" s="8" t="str">
        <x:v>LC-1 · Lighting &amp; scene controls</x:v>
      </x:c>
      <x:c r="C331" s="8" t="str">
        <x:v>enclosure</x:v>
      </x:c>
      <x:c r="D331" s="8" t="str">
        <x:v>DB1</x:v>
      </x:c>
      <x:c r="E331" s="8"/>
      <x:c r="F331" s="11" t="n">
        <x:v>48.895</x:v>
      </x:c>
      <x:c r="G331" s="11" t="n">
        <x:v>1.85</x:v>
      </x:c>
      <x:c r="H331" s="11" t="n">
        <x:v>-0.55</x:v>
      </x:c>
      <x:c r="I331" s="8" t="str">
        <x:v>Model enclosure</x:v>
      </x:c>
      <x:c r="J331" s="8" t="str">
        <x:v>Shown</x:v>
      </x:c>
      <x:c r="K331" s="8" t="str">
        <x:v>n.a.</x:v>
      </x:c>
      <x:c r="L331" s="8" t="str">
        <x:v>200 × 900 × 800</x:v>
      </x:c>
      <x:c r="M331" s="8" t="str">
        <x:v>Existing service-room lighting enclosure. Procedural enclosure; internal arrangement and hardware pending.</x:v>
      </x:c>
      <x:c r="N331" s="11"/>
      <x:c r="O331" s="11"/>
      <x:c r="P331" s="11"/>
      <x:c r="Q331" s="9"/>
      <x:c r="R331" s="9"/>
      <x:c r="S331" s="9"/>
      <x:c r="T331" s="9"/>
      <x:c r="U331" s="9"/>
      <x:c r="V331" s="9"/>
      <x:c r="W331" s="13"/>
      <x:c r="X331" s="13"/>
      <x:c r="Y331" s="13"/>
      <x:c r="Z331" s="9"/>
      <x:c r="AA331" s="8" t="str">
        <x:v>Current</x:v>
      </x:c>
      <x:c r="AB331" s="8"/>
      <x:c r="AC331" s="8"/>
    </x:row>
    <x:row r="332" ht="96" customHeight="1">
      <x:c r="A332" s="8" t="str">
        <x:v>FC1</x:v>
      </x:c>
      <x:c r="B332" s="8" t="str">
        <x:v>FC-1 · Fan speed controls</x:v>
      </x:c>
      <x:c r="C332" s="8" t="str">
        <x:v>enclosure</x:v>
      </x:c>
      <x:c r="D332" s="8" t="str">
        <x:v>DB1</x:v>
      </x:c>
      <x:c r="E332" s="8"/>
      <x:c r="F332" s="11" t="n">
        <x:v>48.895</x:v>
      </x:c>
      <x:c r="G332" s="11" t="n">
        <x:v>1.95</x:v>
      </x:c>
      <x:c r="H332" s="11" t="n">
        <x:v>0.4</x:v>
      </x:c>
      <x:c r="I332" s="8" t="str">
        <x:v>Model enclosure</x:v>
      </x:c>
      <x:c r="J332" s="8" t="str">
        <x:v>Shown</x:v>
      </x:c>
      <x:c r="K332" s="8" t="str">
        <x:v>n.a.</x:v>
      </x:c>
      <x:c r="L332" s="8" t="str">
        <x:v>200 × 700 × 600</x:v>
      </x:c>
      <x:c r="M332" s="8" t="str">
        <x:v>Existing service-room fan enclosure. Procedural enclosure; internal arrangement and hardware pending.</x:v>
      </x:c>
      <x:c r="N332" s="11"/>
      <x:c r="O332" s="11"/>
      <x:c r="P332" s="11"/>
      <x:c r="Q332" s="9"/>
      <x:c r="R332" s="9"/>
      <x:c r="S332" s="9"/>
      <x:c r="T332" s="9"/>
      <x:c r="U332" s="9"/>
      <x:c r="V332" s="9"/>
      <x:c r="W332" s="13"/>
      <x:c r="X332" s="13"/>
      <x:c r="Y332" s="13"/>
      <x:c r="Z332" s="9"/>
      <x:c r="AA332" s="8" t="str">
        <x:v>Current</x:v>
      </x:c>
      <x:c r="AB332" s="8"/>
      <x:c r="AC332" s="8"/>
    </x:row>
    <x:row r="333" ht="96" customHeight="1">
      <x:c r="A333" s="8" t="str">
        <x:v>AV1</x:v>
      </x:c>
      <x:c r="B333" s="8" t="str">
        <x:v>AV-1 · Mixer / amplifier rack</x:v>
      </x:c>
      <x:c r="C333" s="8" t="str">
        <x:v>enclosure</x:v>
      </x:c>
      <x:c r="D333" s="8" t="str">
        <x:v>DB1</x:v>
      </x:c>
      <x:c r="E333" s="8"/>
      <x:c r="F333" s="11" t="n">
        <x:v>49.275</x:v>
      </x:c>
      <x:c r="G333" s="11" t="n">
        <x:v>0.95</x:v>
      </x:c>
      <x:c r="H333" s="11" t="n">
        <x:v>1.4</x:v>
      </x:c>
      <x:c r="I333" s="8" t="str">
        <x:v>Model enclosure</x:v>
      </x:c>
      <x:c r="J333" s="8" t="str">
        <x:v>Shown</x:v>
      </x:c>
      <x:c r="K333" s="8" t="str">
        <x:v>n.a.</x:v>
      </x:c>
      <x:c r="L333" s="8" t="str">
        <x:v>800 × 1600 × 620</x:v>
      </x:c>
      <x:c r="M333" s="8" t="str">
        <x:v>Existing service-room sound rack. Procedural enclosure; internal arrangement and hardware pending.</x:v>
      </x:c>
      <x:c r="N333" s="11"/>
      <x:c r="O333" s="11"/>
      <x:c r="P333" s="11"/>
      <x:c r="Q333" s="9"/>
      <x:c r="R333" s="9"/>
      <x:c r="S333" s="9"/>
      <x:c r="T333" s="9"/>
      <x:c r="U333" s="9"/>
      <x:c r="V333" s="9"/>
      <x:c r="W333" s="13"/>
      <x:c r="X333" s="13"/>
      <x:c r="Y333" s="13"/>
      <x:c r="Z333" s="9"/>
      <x:c r="AA333" s="8" t="str">
        <x:v>Current</x:v>
      </x:c>
      <x:c r="AB333" s="8"/>
      <x:c r="AC333" s="8"/>
    </x:row>
  </x:sheetData>
  <x:conditionalFormatting sqref="AA7:AA333">
    <x:cfRule type="containsText" dxfId="0" priority="1" operator="containsText" text="Retired"/>
  </x:conditionalFormatting>
  <x:dataValidations count="3">
    <x:dataValidation type="decimal" operator="between" sqref="W7:W333">
      <x:formula1>-1000</x:formula1>
      <x:formula2>1000</x:formula2>
    </x:dataValidation>
    <x:dataValidation type="decimal" operator="between" sqref="X7:X333">
      <x:formula1>-1000</x:formula1>
      <x:formula2>1000</x:formula2>
    </x:dataValidation>
    <x:dataValidation type="decimal" operator="between" sqref="Y7:Y333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35716e4ea34f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feeder:DB2</x:v>
      </x:c>
      <x:c r="B7" s="8" t="str">
        <x:v>DB-1 → DB-2 feeder</x:v>
      </x:c>
      <x:c r="C7" s="8" t="str">
        <x:v>DB1</x:v>
      </x:c>
      <x:c r="D7" s="8" t="str"/>
      <x:c r="E7" s="8" t="str">
        <x:v>DB2</x:v>
      </x:c>
      <x:c r="F7" s="8" t="str">
        <x:v>DB2-FEED</x:v>
      </x:c>
      <x:c r="G7" s="8" t="str">
        <x:v>feeder</x:v>
      </x:c>
      <x:c r="H7" s="8" t="str">
        <x:v>feeder</x:v>
      </x:c>
      <x:c r="I7" s="11" t="n">
        <x:f>SUMIF('Route Points'!$A$7:$A$1910,A7,'Route Points'!$F$7:$F$1910)</x:f>
        <x:v>89.235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IF(OR(M7="",L7="Shared bundle"),"",IF(L7="Full home run",K7,I7)+M7)</x:f>
      </x:c>
      <x:c r="O7" s="8" t="str">
        <x:v>Cable type / conductors / cross-section / conduit: pending electrical design</x:v>
      </x:c>
      <x:c r="P7" s="8" t="str">
        <x:v>Wall bands, wing perimeter containment, entrance wall riser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feeder:AV1</x:v>
      </x:c>
      <x:c r="B8" s="8" t="str">
        <x:v>DB-1 → AV1 equipment supply</x:v>
      </x:c>
      <x:c r="C8" s="8" t="str">
        <x:v>DB1</x:v>
      </x:c>
      <x:c r="D8" s="8" t="str"/>
      <x:c r="E8" s="8" t="str">
        <x:v>DB1</x:v>
      </x:c>
      <x:c r="F8" s="8" t="str">
        <x:v>AV1-SUPPLY</x:v>
      </x:c>
      <x:c r="G8" s="8" t="str">
        <x:v>feeder</x:v>
      </x:c>
      <x:c r="H8" s="8" t="str">
        <x:v>feeder</x:v>
      </x:c>
      <x:c r="I8" s="11" t="n">
        <x:f>SUMIF('Route Points'!$A$7:$A$1910,A8,'Route Points'!$F$7:$F$1910)</x:f>
        <x:v>5.790000000000003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IF(OR(M8="",L8="Shared bundle"),"",IF(L8="Full home run",K8,I8)+M8)</x:f>
      </x:c>
      <x:c r="O8" s="8" t="str">
        <x:v>Cable type / conductors / cross-section / conduit: pending electrical design</x:v>
      </x:c>
      <x:c r="P8" s="8" t="str">
        <x:v>Existing service-room wall tray / local equipment connection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/>
    </x:row>
    <x:row r="9" ht="90" customHeight="1">
      <x:c r="A9" s="8" t="str">
        <x:v>feeder:LC1</x:v>
      </x:c>
      <x:c r="B9" s="8" t="str">
        <x:v>DB-1 → LC1 equipment supply</x:v>
      </x:c>
      <x:c r="C9" s="8" t="str">
        <x:v>DB1</x:v>
      </x:c>
      <x:c r="D9" s="8" t="str"/>
      <x:c r="E9" s="8" t="str">
        <x:v>DB1</x:v>
      </x:c>
      <x:c r="F9" s="8" t="str">
        <x:v>LC1-SUPPLY</x:v>
      </x:c>
      <x:c r="G9" s="8" t="str">
        <x:v>feeder</x:v>
      </x:c>
      <x:c r="H9" s="8" t="str">
        <x:v>feeder</x:v>
      </x:c>
      <x:c r="I9" s="11" t="n">
        <x:f>SUMIF('Route Points'!$A$7:$A$1910,A9,'Route Points'!$F$7:$F$1910)</x:f>
        <x:v>2.560000000000007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IF(OR(M9="",L9="Shared bundle"),"",IF(L9="Full home run",K9,I9)+M9)</x:f>
      </x:c>
      <x:c r="O9" s="8" t="str">
        <x:v>Cable type / conductors / cross-section / conduit: pending electrical design</x:v>
      </x:c>
      <x:c r="P9" s="8" t="str">
        <x:v>Existing service-room wall tray / local equipment connection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/>
    </x:row>
    <x:row r="10" ht="90" customHeight="1">
      <x:c r="A10" s="8" t="str">
        <x:v>feeder:FC1</x:v>
      </x:c>
      <x:c r="B10" s="8" t="str">
        <x:v>DB-1 → FC1 equipment supply</x:v>
      </x:c>
      <x:c r="C10" s="8" t="str">
        <x:v>DB1</x:v>
      </x:c>
      <x:c r="D10" s="8" t="str"/>
      <x:c r="E10" s="8" t="str">
        <x:v>DB1</x:v>
      </x:c>
      <x:c r="F10" s="8" t="str">
        <x:v>FC1-SUPPLY</x:v>
      </x:c>
      <x:c r="G10" s="8" t="str">
        <x:v>feeder</x:v>
      </x:c>
      <x:c r="H10" s="8" t="str">
        <x:v>feeder</x:v>
      </x:c>
      <x:c r="I10" s="11" t="n">
        <x:f>SUMIF('Route Points'!$A$7:$A$1910,A10,'Route Points'!$F$7:$F$1910)</x:f>
        <x:v>3.4100000000000072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IF(OR(M10="",L10="Shared bundle"),"",IF(L10="Full home run",K10,I10)+M10)</x:f>
      </x:c>
      <x:c r="O10" s="8" t="str">
        <x:v>Cable type / conductors / cross-section / conduit: pending electrical design</x:v>
      </x:c>
      <x:c r="P10" s="8" t="str">
        <x:v>Existing service-room wall tray / local equipment connection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/>
    </x:row>
    <x:row r="11" ht="90" customHeight="1">
      <x:c r="A11" s="8" t="str">
        <x:v>local:L1</x:v>
      </x:c>
      <x:c r="B11" s="8" t="str">
        <x:v>L3 → Service-room ceiling panel · 50.0 m</x:v>
      </x:c>
      <x:c r="C11" s="8" t="str">
        <x:v>LC1</x:v>
      </x:c>
      <x:c r="D11" s="8" t="str">
        <x:v>L1</x:v>
      </x:c>
      <x:c r="E11" s="8" t="str">
        <x:v>DB1</x:v>
      </x:c>
      <x:c r="F11" s="8" t="str">
        <x:v>L3</x:v>
      </x:c>
      <x:c r="G11" s="8" t="str">
        <x:v>light</x:v>
      </x:c>
      <x:c r="H11" s="8" t="str">
        <x:v>local</x:v>
      </x:c>
      <x:c r="I11" s="11" t="n">
        <x:f>SUMIF('Route Points'!$A$7:$A$1910,A11,'Route Points'!$F$7:$F$1910)</x:f>
        <x:v>7.645000000000004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IF(OR(M11="",L11="Shared bundle"),"",IF(L11="Full home run",K11,I11)+M11)</x:f>
      </x:c>
      <x:c r="O11" s="8" t="str">
        <x:v>Cable type / conductors / cross-section / conduit: pending electrical design</x:v>
      </x:c>
      <x:c r="P11" s="8" t="str">
        <x:v>Local service-room wall riser and ceiling conduit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/>
    </x:row>
    <x:row r="12" ht="90" customHeight="1">
      <x:c r="A12" s="8" t="str">
        <x:v>local:L2</x:v>
      </x:c>
      <x:c r="B12" s="8" t="str">
        <x:v>L3 → Service-room ceiling panel · 51.9 m</x:v>
      </x:c>
      <x:c r="C12" s="8" t="str">
        <x:v>LC1</x:v>
      </x:c>
      <x:c r="D12" s="8" t="str">
        <x:v>L2</x:v>
      </x:c>
      <x:c r="E12" s="8" t="str">
        <x:v>DB1</x:v>
      </x:c>
      <x:c r="F12" s="8" t="str">
        <x:v>L3</x:v>
      </x:c>
      <x:c r="G12" s="8" t="str">
        <x:v>light</x:v>
      </x:c>
      <x:c r="H12" s="8" t="str">
        <x:v>local</x:v>
      </x:c>
      <x:c r="I12" s="11" t="n">
        <x:f>SUMIF('Route Points'!$A$7:$A$1910,A12,'Route Points'!$F$7:$F$1910)</x:f>
        <x:v>9.545000000000002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IF(OR(M12="",L12="Shared bundle"),"",IF(L12="Full home run",K12,I12)+M12)</x:f>
      </x:c>
      <x:c r="O12" s="8" t="str">
        <x:v>Cable type / conductors / cross-section / conduit: pending electrical design</x:v>
      </x:c>
      <x:c r="P12" s="8" t="str">
        <x:v>Local service-room wall riser and ceiling conduit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/>
    </x:row>
    <x:row r="13" ht="220" customHeight="1">
      <x:c r="A13" s="8" t="str">
        <x:v>trunk:LC1:L1:light:-1</x:v>
      </x:c>
      <x:c r="B13" s="8" t="str">
        <x:v>L1 · B · circuit trunk</x:v>
      </x:c>
      <x:c r="C13" s="8" t="str">
        <x:v>LC1</x:v>
      </x:c>
      <x:c r="D13" s="8" t="str">
        <x:v>L3
L4
L7
L8
L11
L12
L15
L16
L19
L20
L23
L24
L27
L28
L59
L60</x:v>
      </x:c>
      <x:c r="E13" s="8" t="str">
        <x:v>DB1</x:v>
      </x:c>
      <x:c r="F13" s="8" t="str">
        <x:v>L1</x:v>
      </x:c>
      <x:c r="G13" s="8" t="str">
        <x:v>light</x:v>
      </x:c>
      <x:c r="H13" s="8" t="str">
        <x:v>trunk</x:v>
      </x:c>
      <x:c r="I13" s="11" t="n">
        <x:f>SUMIF('Route Points'!$A$7:$A$1910,A13,'Route Points'!$F$7:$F$1910)</x:f>
        <x:v>77.94500000000001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IF(OR(M13="",L13="Shared bundle"),"",IF(L13="Full home run",K13,I13)+M13)</x:f>
      </x:c>
      <x:c r="O13" s="8" t="str">
        <x:v>Cable type / conductors / cross-section / conduit: pending electrical design</x:v>
      </x:c>
      <x:c r="P13" s="8" t="str">
        <x:v>Concealed wall band above openings; ceiling containment at wing returns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/>
    </x:row>
    <x:row r="14" ht="90" customHeight="1">
      <x:c r="A14" s="8" t="str">
        <x:v>drop:LC1:L1:light:-1:L3</x:v>
      </x:c>
      <x:c r="B14" s="8" t="str">
        <x:v>L1 → Reading light · axis 3 · B central</x:v>
      </x:c>
      <x:c r="C14" s="8" t="str">
        <x:v>LC1</x:v>
      </x:c>
      <x:c r="D14" s="8" t="str">
        <x:v>L3</x:v>
      </x:c>
      <x:c r="E14" s="8" t="str">
        <x:v>DB1</x:v>
      </x:c>
      <x:c r="F14" s="8" t="str">
        <x:v>L1</x:v>
      </x:c>
      <x:c r="G14" s="8" t="str">
        <x:v>light</x:v>
      </x:c>
      <x:c r="H14" s="8" t="str">
        <x:v>drop</x:v>
      </x:c>
      <x:c r="I14" s="11" t="n">
        <x:f>SUMIF('Route Points'!$A$7:$A$1910,A14,'Route Points'!$F$7:$F$1910)</x:f>
        <x:v>8.3917306647131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IF(OR(M14="",L14="Shared bundle"),"",IF(L14="Full home run",K14,I14)+M14)</x:f>
      </x:c>
      <x:c r="O14" s="8" t="str">
        <x:v>Cable type / conductors / cross-section / conduit: pending electrical design</x:v>
      </x:c>
      <x:c r="P14" s="8" t="str">
        <x:v>Wall / beam or roof containment, then pendant connection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trunk:LC1:L1:light:-1</x:v>
      </x:c>
    </x:row>
    <x:row r="15" ht="90" customHeight="1">
      <x:c r="A15" s="8" t="str">
        <x:v>drop:LC1:L1:light:-1:L4</x:v>
      </x:c>
      <x:c r="B15" s="8" t="str">
        <x:v>L1 → Reading light · axis 3 · B central · twin</x:v>
      </x:c>
      <x:c r="C15" s="8" t="str">
        <x:v>LC1</x:v>
      </x:c>
      <x:c r="D15" s="8" t="str">
        <x:v>L4</x:v>
      </x:c>
      <x:c r="E15" s="8" t="str">
        <x:v>DB1</x:v>
      </x:c>
      <x:c r="F15" s="8" t="str">
        <x:v>L1</x:v>
      </x:c>
      <x:c r="G15" s="8" t="str">
        <x:v>light</x:v>
      </x:c>
      <x:c r="H15" s="8" t="str">
        <x:v>drop</x:v>
      </x:c>
      <x:c r="I15" s="11" t="n">
        <x:f>SUMIF('Route Points'!$A$7:$A$1910,A15,'Route Points'!$F$7:$F$1910)</x:f>
        <x:v>7.005000000000001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IF(OR(M15="",L15="Shared bundle"),"",IF(L15="Full home run",K15,I15)+M15)</x:f>
      </x:c>
      <x:c r="O15" s="8" t="str">
        <x:v>Cable type / conductors / cross-section / conduit: pending electrical design</x:v>
      </x:c>
      <x:c r="P15" s="8" t="str">
        <x:v>Wall / beam or roof containment, then pendant connection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 t="str">
        <x:v>trunk:LC1:L1:light:-1</x:v>
      </x:c>
    </x:row>
    <x:row r="16" ht="90" customHeight="1">
      <x:c r="A16" s="8" t="str">
        <x:v>drop:LC1:L1:light:-1:L7</x:v>
      </x:c>
      <x:c r="B16" s="8" t="str">
        <x:v>L1 → Reading light · axis 4 · B central</x:v>
      </x:c>
      <x:c r="C16" s="8" t="str">
        <x:v>LC1</x:v>
      </x:c>
      <x:c r="D16" s="8" t="str">
        <x:v>L7</x:v>
      </x:c>
      <x:c r="E16" s="8" t="str">
        <x:v>DB1</x:v>
      </x:c>
      <x:c r="F16" s="8" t="str">
        <x:v>L1</x:v>
      </x:c>
      <x:c r="G16" s="8" t="str">
        <x:v>light</x:v>
      </x:c>
      <x:c r="H16" s="8" t="str">
        <x:v>drop</x:v>
      </x:c>
      <x:c r="I16" s="11" t="n">
        <x:f>SUMIF('Route Points'!$A$7:$A$1910,A16,'Route Points'!$F$7:$F$1910)</x:f>
        <x:v>7.005000000000001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IF(OR(M16="",L16="Shared bundle"),"",IF(L16="Full home run",K16,I16)+M16)</x:f>
      </x:c>
      <x:c r="O16" s="8" t="str">
        <x:v>Cable type / conductors / cross-section / conduit: pending electrical design</x:v>
      </x:c>
      <x:c r="P16" s="8" t="str">
        <x:v>Wall / beam or roof containment, then pendant connection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trunk:LC1:L1:light:-1</x:v>
      </x:c>
    </x:row>
    <x:row r="17" ht="90" customHeight="1">
      <x:c r="A17" s="8" t="str">
        <x:v>drop:LC1:L1:light:-1:L8</x:v>
      </x:c>
      <x:c r="B17" s="8" t="str">
        <x:v>L1 → Reading light · axis 4 · B central · twin</x:v>
      </x:c>
      <x:c r="C17" s="8" t="str">
        <x:v>LC1</x:v>
      </x:c>
      <x:c r="D17" s="8" t="str">
        <x:v>L8</x:v>
      </x:c>
      <x:c r="E17" s="8" t="str">
        <x:v>DB1</x:v>
      </x:c>
      <x:c r="F17" s="8" t="str">
        <x:v>L1</x:v>
      </x:c>
      <x:c r="G17" s="8" t="str">
        <x:v>light</x:v>
      </x:c>
      <x:c r="H17" s="8" t="str">
        <x:v>drop</x:v>
      </x:c>
      <x:c r="I17" s="11" t="n">
        <x:f>SUMIF('Route Points'!$A$7:$A$1910,A17,'Route Points'!$F$7:$F$1910)</x:f>
        <x:v>7.005000000000001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IF(OR(M17="",L17="Shared bundle"),"",IF(L17="Full home run",K17,I17)+M17)</x:f>
      </x:c>
      <x:c r="O17" s="8" t="str">
        <x:v>Cable type / conductors / cross-section / conduit: pending electrical design</x:v>
      </x:c>
      <x:c r="P17" s="8" t="str">
        <x:v>Wall / beam or roof containment, then pendant connection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trunk:LC1:L1:light:-1</x:v>
      </x:c>
    </x:row>
    <x:row r="18" ht="90" customHeight="1">
      <x:c r="A18" s="8" t="str">
        <x:v>drop:LC1:L1:light:-1:L11</x:v>
      </x:c>
      <x:c r="B18" s="8" t="str">
        <x:v>L1 → Reading light · axis 5 · B central</x:v>
      </x:c>
      <x:c r="C18" s="8" t="str">
        <x:v>LC1</x:v>
      </x:c>
      <x:c r="D18" s="8" t="str">
        <x:v>L11</x:v>
      </x:c>
      <x:c r="E18" s="8" t="str">
        <x:v>DB1</x:v>
      </x:c>
      <x:c r="F18" s="8" t="str">
        <x:v>L1</x:v>
      </x:c>
      <x:c r="G18" s="8" t="str">
        <x:v>light</x:v>
      </x:c>
      <x:c r="H18" s="8" t="str">
        <x:v>drop</x:v>
      </x:c>
      <x:c r="I18" s="11" t="n">
        <x:f>SUMIF('Route Points'!$A$7:$A$1910,A18,'Route Points'!$F$7:$F$1910)</x:f>
        <x:v>7.005000000000001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IF(OR(M18="",L18="Shared bundle"),"",IF(L18="Full home run",K18,I18)+M18)</x:f>
      </x:c>
      <x:c r="O18" s="8" t="str">
        <x:v>Cable type / conductors / cross-section / conduit: pending electrical design</x:v>
      </x:c>
      <x:c r="P18" s="8" t="str">
        <x:v>Wall / beam or roof containment, then pendant connection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trunk:LC1:L1:light:-1</x:v>
      </x:c>
    </x:row>
    <x:row r="19" ht="90" customHeight="1">
      <x:c r="A19" s="8" t="str">
        <x:v>drop:LC1:L1:light:-1:L12</x:v>
      </x:c>
      <x:c r="B19" s="8" t="str">
        <x:v>L1 → Reading light · axis 5 · B central · twin</x:v>
      </x:c>
      <x:c r="C19" s="8" t="str">
        <x:v>LC1</x:v>
      </x:c>
      <x:c r="D19" s="8" t="str">
        <x:v>L12</x:v>
      </x:c>
      <x:c r="E19" s="8" t="str">
        <x:v>DB1</x:v>
      </x:c>
      <x:c r="F19" s="8" t="str">
        <x:v>L1</x:v>
      </x:c>
      <x:c r="G19" s="8" t="str">
        <x:v>light</x:v>
      </x:c>
      <x:c r="H19" s="8" t="str">
        <x:v>drop</x:v>
      </x:c>
      <x:c r="I19" s="11" t="n">
        <x:f>SUMIF('Route Points'!$A$7:$A$1910,A19,'Route Points'!$F$7:$F$1910)</x:f>
        <x:v>7.005000000000001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IF(OR(M19="",L19="Shared bundle"),"",IF(L19="Full home run",K19,I19)+M19)</x:f>
      </x:c>
      <x:c r="O19" s="8" t="str">
        <x:v>Cable type / conductors / cross-section / conduit: pending electrical design</x:v>
      </x:c>
      <x:c r="P19" s="8" t="str">
        <x:v>Wall / beam or roof containment, then pendant connection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trunk:LC1:L1:light:-1</x:v>
      </x:c>
    </x:row>
    <x:row r="20" ht="90" customHeight="1">
      <x:c r="A20" s="8" t="str">
        <x:v>drop:LC1:L1:light:-1:L15</x:v>
      </x:c>
      <x:c r="B20" s="8" t="str">
        <x:v>L1 → Reading light · axis 6 · B central</x:v>
      </x:c>
      <x:c r="C20" s="8" t="str">
        <x:v>LC1</x:v>
      </x:c>
      <x:c r="D20" s="8" t="str">
        <x:v>L15</x:v>
      </x:c>
      <x:c r="E20" s="8" t="str">
        <x:v>DB1</x:v>
      </x:c>
      <x:c r="F20" s="8" t="str">
        <x:v>L1</x:v>
      </x:c>
      <x:c r="G20" s="8" t="str">
        <x:v>light</x:v>
      </x:c>
      <x:c r="H20" s="8" t="str">
        <x:v>drop</x:v>
      </x:c>
      <x:c r="I20" s="11" t="n">
        <x:f>SUMIF('Route Points'!$A$7:$A$1910,A20,'Route Points'!$F$7:$F$1910)</x:f>
        <x:v>7.005000000000001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IF(OR(M20="",L20="Shared bundle"),"",IF(L20="Full home run",K20,I20)+M20)</x:f>
      </x:c>
      <x:c r="O20" s="8" t="str">
        <x:v>Cable type / conductors / cross-section / conduit: pending electrical design</x:v>
      </x:c>
      <x:c r="P20" s="8" t="str">
        <x:v>Wall / beam or roof containment, then pendant connection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trunk:LC1:L1:light:-1</x:v>
      </x:c>
    </x:row>
    <x:row r="21" ht="90" customHeight="1">
      <x:c r="A21" s="8" t="str">
        <x:v>drop:LC1:L1:light:-1:L16</x:v>
      </x:c>
      <x:c r="B21" s="8" t="str">
        <x:v>L1 → Reading light · axis 6 · B central · twin</x:v>
      </x:c>
      <x:c r="C21" s="8" t="str">
        <x:v>LC1</x:v>
      </x:c>
      <x:c r="D21" s="8" t="str">
        <x:v>L16</x:v>
      </x:c>
      <x:c r="E21" s="8" t="str">
        <x:v>DB1</x:v>
      </x:c>
      <x:c r="F21" s="8" t="str">
        <x:v>L1</x:v>
      </x:c>
      <x:c r="G21" s="8" t="str">
        <x:v>light</x:v>
      </x:c>
      <x:c r="H21" s="8" t="str">
        <x:v>drop</x:v>
      </x:c>
      <x:c r="I21" s="11" t="n">
        <x:f>SUMIF('Route Points'!$A$7:$A$1910,A21,'Route Points'!$F$7:$F$1910)</x:f>
        <x:v>7.005000000000001</x:v>
      </x:c>
      <x:c r="J21" s="11"/>
      <x:c r="K21" s="11" t="str">
        <x:f>IF(L21="Full home run",I21+J21,"")</x:f>
      </x:c>
      <x:c r="L21" s="8" t="str">
        <x:v>Route segment</x:v>
      </x:c>
      <x:c r="M21" s="13"/>
      <x:c r="N21" s="11" t="str">
        <x:f>IF(OR(M21="",L21="Shared bundle"),"",IF(L21="Full home run",K21,I21)+M21)</x:f>
      </x:c>
      <x:c r="O21" s="8" t="str">
        <x:v>Cable type / conductors / cross-section / conduit: pending electrical design</x:v>
      </x:c>
      <x:c r="P21" s="8" t="str">
        <x:v>Wall / beam or roof containment, then pendant connection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trunk:LC1:L1:light:-1</x:v>
      </x:c>
    </x:row>
    <x:row r="22" ht="90" customHeight="1">
      <x:c r="A22" s="8" t="str">
        <x:v>drop:LC1:L1:light:-1:L19</x:v>
      </x:c>
      <x:c r="B22" s="8" t="str">
        <x:v>L1 → Reading light · axis 7 · B central</x:v>
      </x:c>
      <x:c r="C22" s="8" t="str">
        <x:v>LC1</x:v>
      </x:c>
      <x:c r="D22" s="8" t="str">
        <x:v>L19</x:v>
      </x:c>
      <x:c r="E22" s="8" t="str">
        <x:v>DB1</x:v>
      </x:c>
      <x:c r="F22" s="8" t="str">
        <x:v>L1</x:v>
      </x:c>
      <x:c r="G22" s="8" t="str">
        <x:v>light</x:v>
      </x:c>
      <x:c r="H22" s="8" t="str">
        <x:v>drop</x:v>
      </x:c>
      <x:c r="I22" s="11" t="n">
        <x:f>SUMIF('Route Points'!$A$7:$A$1910,A22,'Route Points'!$F$7:$F$1910)</x:f>
        <x:v>7.005000000000001</x:v>
      </x:c>
      <x:c r="J22" s="11"/>
      <x:c r="K22" s="11" t="str">
        <x:f>IF(L22="Full home run",I22+J22,"")</x:f>
      </x:c>
      <x:c r="L22" s="8" t="str">
        <x:v>Route segment</x:v>
      </x:c>
      <x:c r="M22" s="13"/>
      <x:c r="N22" s="11" t="str">
        <x:f>IF(OR(M22="",L22="Shared bundle"),"",IF(L22="Full home run",K22,I22)+M22)</x:f>
      </x:c>
      <x:c r="O22" s="8" t="str">
        <x:v>Cable type / conductors / cross-section / conduit: pending electrical design</x:v>
      </x:c>
      <x:c r="P22" s="8" t="str">
        <x:v>Wall / beam or roof containment, then pendant connection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trunk:LC1:L1:light:-1</x:v>
      </x:c>
    </x:row>
    <x:row r="23" ht="90" customHeight="1">
      <x:c r="A23" s="8" t="str">
        <x:v>drop:LC1:L1:light:-1:L20</x:v>
      </x:c>
      <x:c r="B23" s="8" t="str">
        <x:v>L1 → Reading light · axis 7 · B central · twin</x:v>
      </x:c>
      <x:c r="C23" s="8" t="str">
        <x:v>LC1</x:v>
      </x:c>
      <x:c r="D23" s="8" t="str">
        <x:v>L20</x:v>
      </x:c>
      <x:c r="E23" s="8" t="str">
        <x:v>DB1</x:v>
      </x:c>
      <x:c r="F23" s="8" t="str">
        <x:v>L1</x:v>
      </x:c>
      <x:c r="G23" s="8" t="str">
        <x:v>light</x:v>
      </x:c>
      <x:c r="H23" s="8" t="str">
        <x:v>drop</x:v>
      </x:c>
      <x:c r="I23" s="11" t="n">
        <x:f>SUMIF('Route Points'!$A$7:$A$1910,A23,'Route Points'!$F$7:$F$1910)</x:f>
        <x:v>7.005000000000001</x:v>
      </x:c>
      <x:c r="J23" s="11"/>
      <x:c r="K23" s="11" t="str">
        <x:f>IF(L23="Full home run",I23+J23,"")</x:f>
      </x:c>
      <x:c r="L23" s="8" t="str">
        <x:v>Route segment</x:v>
      </x:c>
      <x:c r="M23" s="13"/>
      <x:c r="N23" s="11" t="str">
        <x:f>IF(OR(M23="",L23="Shared bundle"),"",IF(L23="Full home run",K23,I23)+M23)</x:f>
      </x:c>
      <x:c r="O23" s="8" t="str">
        <x:v>Cable type / conductors / cross-section / conduit: pending electrical design</x:v>
      </x:c>
      <x:c r="P23" s="8" t="str">
        <x:v>Wall / beam or roof containment, then pendant connection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 t="str">
        <x:v>trunk:LC1:L1:light:-1</x:v>
      </x:c>
    </x:row>
    <x:row r="24" ht="90" customHeight="1">
      <x:c r="A24" s="8" t="str">
        <x:v>drop:LC1:L1:light:-1:L23</x:v>
      </x:c>
      <x:c r="B24" s="8" t="str">
        <x:v>L1 → Reading light · axis 8 · B central</x:v>
      </x:c>
      <x:c r="C24" s="8" t="str">
        <x:v>LC1</x:v>
      </x:c>
      <x:c r="D24" s="8" t="str">
        <x:v>L23</x:v>
      </x:c>
      <x:c r="E24" s="8" t="str">
        <x:v>DB1</x:v>
      </x:c>
      <x:c r="F24" s="8" t="str">
        <x:v>L1</x:v>
      </x:c>
      <x:c r="G24" s="8" t="str">
        <x:v>light</x:v>
      </x:c>
      <x:c r="H24" s="8" t="str">
        <x:v>drop</x:v>
      </x:c>
      <x:c r="I24" s="11" t="n">
        <x:f>SUMIF('Route Points'!$A$7:$A$1910,A24,'Route Points'!$F$7:$F$1910)</x:f>
        <x:v>7.005000000000001</x:v>
      </x:c>
      <x:c r="J24" s="11"/>
      <x:c r="K24" s="11" t="str">
        <x:f>IF(L24="Full home run",I24+J24,"")</x:f>
      </x:c>
      <x:c r="L24" s="8" t="str">
        <x:v>Route segment</x:v>
      </x:c>
      <x:c r="M24" s="13"/>
      <x:c r="N24" s="11" t="str">
        <x:f>IF(OR(M24="",L24="Shared bundle"),"",IF(L24="Full home run",K24,I24)+M24)</x:f>
      </x:c>
      <x:c r="O24" s="8" t="str">
        <x:v>Cable type / conductors / cross-section / conduit: pending electrical design</x:v>
      </x:c>
      <x:c r="P24" s="8" t="str">
        <x:v>Wall / beam or roof containment, then pendant connection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trunk:LC1:L1:light:-1</x:v>
      </x:c>
    </x:row>
    <x:row r="25" ht="90" customHeight="1">
      <x:c r="A25" s="8" t="str">
        <x:v>drop:LC1:L1:light:-1:L24</x:v>
      </x:c>
      <x:c r="B25" s="8" t="str">
        <x:v>L1 → Reading light · axis 8 · B central · twin</x:v>
      </x:c>
      <x:c r="C25" s="8" t="str">
        <x:v>LC1</x:v>
      </x:c>
      <x:c r="D25" s="8" t="str">
        <x:v>L24</x:v>
      </x:c>
      <x:c r="E25" s="8" t="str">
        <x:v>DB1</x:v>
      </x:c>
      <x:c r="F25" s="8" t="str">
        <x:v>L1</x:v>
      </x:c>
      <x:c r="G25" s="8" t="str">
        <x:v>light</x:v>
      </x:c>
      <x:c r="H25" s="8" t="str">
        <x:v>drop</x:v>
      </x:c>
      <x:c r="I25" s="11" t="n">
        <x:f>SUMIF('Route Points'!$A$7:$A$1910,A25,'Route Points'!$F$7:$F$1910)</x:f>
        <x:v>7.005000000000001</x:v>
      </x:c>
      <x:c r="J25" s="11"/>
      <x:c r="K25" s="11" t="str">
        <x:f>IF(L25="Full home run",I25+J25,"")</x:f>
      </x:c>
      <x:c r="L25" s="8" t="str">
        <x:v>Route segment</x:v>
      </x:c>
      <x:c r="M25" s="13"/>
      <x:c r="N25" s="11" t="str">
        <x:f>IF(OR(M25="",L25="Shared bundle"),"",IF(L25="Full home run",K25,I25)+M25)</x:f>
      </x:c>
      <x:c r="O25" s="8" t="str">
        <x:v>Cable type / conductors / cross-section / conduit: pending electrical design</x:v>
      </x:c>
      <x:c r="P25" s="8" t="str">
        <x:v>Wall / beam or roof containment, then pendant connection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 t="str">
        <x:v>trunk:LC1:L1:light:-1</x:v>
      </x:c>
    </x:row>
    <x:row r="26" ht="90" customHeight="1">
      <x:c r="A26" s="8" t="str">
        <x:v>drop:LC1:L1:light:-1:L27</x:v>
      </x:c>
      <x:c r="B26" s="8" t="str">
        <x:v>L1 → Reading light · axis 9 · B central</x:v>
      </x:c>
      <x:c r="C26" s="8" t="str">
        <x:v>LC1</x:v>
      </x:c>
      <x:c r="D26" s="8" t="str">
        <x:v>L27</x:v>
      </x:c>
      <x:c r="E26" s="8" t="str">
        <x:v>DB1</x:v>
      </x:c>
      <x:c r="F26" s="8" t="str">
        <x:v>L1</x:v>
      </x:c>
      <x:c r="G26" s="8" t="str">
        <x:v>light</x:v>
      </x:c>
      <x:c r="H26" s="8" t="str">
        <x:v>drop</x:v>
      </x:c>
      <x:c r="I26" s="11" t="n">
        <x:f>SUMIF('Route Points'!$A$7:$A$1910,A26,'Route Points'!$F$7:$F$1910)</x:f>
        <x:v>12.885000000000002</x:v>
      </x:c>
      <x:c r="J26" s="11"/>
      <x:c r="K26" s="11" t="str">
        <x:f>IF(L26="Full home run",I26+J26,"")</x:f>
      </x:c>
      <x:c r="L26" s="8" t="str">
        <x:v>Route segment</x:v>
      </x:c>
      <x:c r="M26" s="13"/>
      <x:c r="N26" s="11" t="str">
        <x:f>IF(OR(M26="",L26="Shared bundle"),"",IF(L26="Full home run",K26,I26)+M26)</x:f>
      </x:c>
      <x:c r="O26" s="8" t="str">
        <x:v>Cable type / conductors / cross-section / conduit: pending electrical design</x:v>
      </x:c>
      <x:c r="P26" s="8" t="str">
        <x:v>Wall / beam or roof containment, then pendant connection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 t="str">
        <x:v>trunk:LC1:L1:light:-1</x:v>
      </x:c>
    </x:row>
    <x:row r="27" ht="90" customHeight="1">
      <x:c r="A27" s="8" t="str">
        <x:v>drop:LC1:L1:light:-1:L28</x:v>
      </x:c>
      <x:c r="B27" s="8" t="str">
        <x:v>L1 → Reading light · axis 9 · B central · twin</x:v>
      </x:c>
      <x:c r="C27" s="8" t="str">
        <x:v>LC1</x:v>
      </x:c>
      <x:c r="D27" s="8" t="str">
        <x:v>L28</x:v>
      </x:c>
      <x:c r="E27" s="8" t="str">
        <x:v>DB1</x:v>
      </x:c>
      <x:c r="F27" s="8" t="str">
        <x:v>L1</x:v>
      </x:c>
      <x:c r="G27" s="8" t="str">
        <x:v>light</x:v>
      </x:c>
      <x:c r="H27" s="8" t="str">
        <x:v>drop</x:v>
      </x:c>
      <x:c r="I27" s="11" t="n">
        <x:f>SUMIF('Route Points'!$A$7:$A$1910,A27,'Route Points'!$F$7:$F$1910)</x:f>
        <x:v>12.885000000000002</x:v>
      </x:c>
      <x:c r="J27" s="11"/>
      <x:c r="K27" s="11" t="str">
        <x:f>IF(L27="Full home run",I27+J27,"")</x:f>
      </x:c>
      <x:c r="L27" s="8" t="str">
        <x:v>Route segment</x:v>
      </x:c>
      <x:c r="M27" s="13"/>
      <x:c r="N27" s="11" t="str">
        <x:f>IF(OR(M27="",L27="Shared bundle"),"",IF(L27="Full home run",K27,I27)+M27)</x:f>
      </x:c>
      <x:c r="O27" s="8" t="str">
        <x:v>Cable type / conductors / cross-section / conduit: pending electrical design</x:v>
      </x:c>
      <x:c r="P27" s="8" t="str">
        <x:v>Wall / beam or roof containment, then pendant connection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 t="str">
        <x:v>trunk:LC1:L1:light:-1</x:v>
      </x:c>
    </x:row>
    <x:row r="28" ht="90" customHeight="1">
      <x:c r="A28" s="8" t="str">
        <x:v>drop:LC1:L1:light:-1:L59</x:v>
      </x:c>
      <x:c r="B28" s="8" t="str">
        <x:v>L1 → Rear rows light · entrance façade · B</x:v>
      </x:c>
      <x:c r="C28" s="8" t="str">
        <x:v>LC1</x:v>
      </x:c>
      <x:c r="D28" s="8" t="str">
        <x:v>L59</x:v>
      </x:c>
      <x:c r="E28" s="8" t="str">
        <x:v>DB1</x:v>
      </x:c>
      <x:c r="F28" s="8" t="str">
        <x:v>L1</x:v>
      </x:c>
      <x:c r="G28" s="8" t="str">
        <x:v>light</x:v>
      </x:c>
      <x:c r="H28" s="8" t="str">
        <x:v>drop</x:v>
      </x:c>
      <x:c r="I28" s="11" t="n">
        <x:f>SUMIF('Route Points'!$A$7:$A$1910,A28,'Route Points'!$F$7:$F$1910)</x:f>
        <x:v>8.994166406412635</x:v>
      </x:c>
      <x:c r="J28" s="11"/>
      <x:c r="K28" s="11" t="str">
        <x:f>IF(L28="Full home run",I28+J28,"")</x:f>
      </x:c>
      <x:c r="L28" s="8" t="str">
        <x:v>Route segment</x:v>
      </x:c>
      <x:c r="M28" s="13"/>
      <x:c r="N28" s="11" t="str">
        <x:f>IF(OR(M28="",L28="Shared bundle"),"",IF(L28="Full home run",K28,I28)+M28)</x:f>
      </x:c>
      <x:c r="O28" s="8" t="str">
        <x:v>Cable type / conductors / cross-section / conduit: pending electrical design</x:v>
      </x:c>
      <x:c r="P28" s="8" t="str">
        <x:v>Concealed pier / wall drop, local termination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trunk:LC1:L1:light:-1</x:v>
      </x:c>
    </x:row>
    <x:row r="29" ht="90" customHeight="1">
      <x:c r="A29" s="8" t="str">
        <x:v>drop:LC1:L1:light:-1:L60</x:v>
      </x:c>
      <x:c r="B29" s="8" t="str">
        <x:v>L1 → Rear centre light · entrance façade · B</x:v>
      </x:c>
      <x:c r="C29" s="8" t="str">
        <x:v>LC1</x:v>
      </x:c>
      <x:c r="D29" s="8" t="str">
        <x:v>L60</x:v>
      </x:c>
      <x:c r="E29" s="8" t="str">
        <x:v>DB1</x:v>
      </x:c>
      <x:c r="F29" s="8" t="str">
        <x:v>L1</x:v>
      </x:c>
      <x:c r="G29" s="8" t="str">
        <x:v>light</x:v>
      </x:c>
      <x:c r="H29" s="8" t="str">
        <x:v>drop</x:v>
      </x:c>
      <x:c r="I29" s="11" t="n">
        <x:f>SUMIF('Route Points'!$A$7:$A$1910,A29,'Route Points'!$F$7:$F$1910)</x:f>
        <x:v>6.494166406412634</x:v>
      </x:c>
      <x:c r="J29" s="11"/>
      <x:c r="K29" s="11" t="str">
        <x:f>IF(L29="Full home run",I29+J29,"")</x:f>
      </x:c>
      <x:c r="L29" s="8" t="str">
        <x:v>Route segment</x:v>
      </x:c>
      <x:c r="M29" s="13"/>
      <x:c r="N29" s="11" t="str">
        <x:f>IF(OR(M29="",L29="Shared bundle"),"",IF(L29="Full home run",K29,I29)+M29)</x:f>
      </x:c>
      <x:c r="O29" s="8" t="str">
        <x:v>Cable type / conductors / cross-section / conduit: pending electrical design</x:v>
      </x:c>
      <x:c r="P29" s="8" t="str">
        <x:v>Concealed pier / wall drop, local termination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 t="str">
        <x:v>trunk:LC1:L1:light:-1</x:v>
      </x:c>
    </x:row>
    <x:row r="30" ht="220" customHeight="1">
      <x:c r="A30" s="8" t="str">
        <x:v>trunk:LC1:L1:light:1</x:v>
      </x:c>
      <x:c r="B30" s="8" t="str">
        <x:v>L1 · H · circuit trunk</x:v>
      </x:c>
      <x:c r="C30" s="8" t="str">
        <x:v>LC1</x:v>
      </x:c>
      <x:c r="D30" s="8" t="str">
        <x:v>L5
L6
L9
L10
L13
L14
L17
L18
L21
L22
L25
L26
L29
L30
L61
L62</x:v>
      </x:c>
      <x:c r="E30" s="8" t="str">
        <x:v>DB1</x:v>
      </x:c>
      <x:c r="F30" s="8" t="str">
        <x:v>L1</x:v>
      </x:c>
      <x:c r="G30" s="8" t="str">
        <x:v>light</x:v>
      </x:c>
      <x:c r="H30" s="8" t="str">
        <x:v>trunk</x:v>
      </x:c>
      <x:c r="I30" s="11" t="n">
        <x:f>SUMIF('Route Points'!$A$7:$A$1910,A30,'Route Points'!$F$7:$F$1910)</x:f>
        <x:v>85.145</x:v>
      </x:c>
      <x:c r="J30" s="11"/>
      <x:c r="K30" s="11" t="str">
        <x:f>IF(L30="Full home run",I30+J30,"")</x:f>
      </x:c>
      <x:c r="L30" s="8" t="str">
        <x:v>Route segment</x:v>
      </x:c>
      <x:c r="M30" s="13"/>
      <x:c r="N30" s="11" t="str">
        <x:f>IF(OR(M30="",L30="Shared bundle"),"",IF(L30="Full home run",K30,I30)+M30)</x:f>
      </x:c>
      <x:c r="O30" s="8" t="str">
        <x:v>Cable type / conductors / cross-section / conduit: pending electrical design</x:v>
      </x:c>
      <x:c r="P30" s="8" t="str">
        <x:v>Concealed wall band above openings; ceiling containment at wing returns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/>
    </x:row>
    <x:row r="31" ht="90" customHeight="1">
      <x:c r="A31" s="8" t="str">
        <x:v>drop:LC1:L1:light:1:L5</x:v>
      </x:c>
      <x:c r="B31" s="8" t="str">
        <x:v>L1 → Reading light · axis 3 · H central</x:v>
      </x:c>
      <x:c r="C31" s="8" t="str">
        <x:v>LC1</x:v>
      </x:c>
      <x:c r="D31" s="8" t="str">
        <x:v>L5</x:v>
      </x:c>
      <x:c r="E31" s="8" t="str">
        <x:v>DB1</x:v>
      </x:c>
      <x:c r="F31" s="8" t="str">
        <x:v>L1</x:v>
      </x:c>
      <x:c r="G31" s="8" t="str">
        <x:v>light</x:v>
      </x:c>
      <x:c r="H31" s="8" t="str">
        <x:v>drop</x:v>
      </x:c>
      <x:c r="I31" s="11" t="n">
        <x:f>SUMIF('Route Points'!$A$7:$A$1910,A31,'Route Points'!$F$7:$F$1910)</x:f>
        <x:v>7.005000000000001</x:v>
      </x:c>
      <x:c r="J31" s="11"/>
      <x:c r="K31" s="11" t="str">
        <x:f>IF(L31="Full home run",I31+J31,"")</x:f>
      </x:c>
      <x:c r="L31" s="8" t="str">
        <x:v>Route segment</x:v>
      </x:c>
      <x:c r="M31" s="13"/>
      <x:c r="N31" s="11" t="str">
        <x:f>IF(OR(M31="",L31="Shared bundle"),"",IF(L31="Full home run",K31,I31)+M31)</x:f>
      </x:c>
      <x:c r="O31" s="8" t="str">
        <x:v>Cable type / conductors / cross-section / conduit: pending electrical design</x:v>
      </x:c>
      <x:c r="P31" s="8" t="str">
        <x:v>Wall / beam or roof containment, then pendant connection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trunk:LC1:L1:light:1</x:v>
      </x:c>
    </x:row>
    <x:row r="32" ht="90" customHeight="1">
      <x:c r="A32" s="8" t="str">
        <x:v>drop:LC1:L1:light:1:L6</x:v>
      </x:c>
      <x:c r="B32" s="8" t="str">
        <x:v>L1 → Reading light · axis 3 · H central · twin</x:v>
      </x:c>
      <x:c r="C32" s="8" t="str">
        <x:v>LC1</x:v>
      </x:c>
      <x:c r="D32" s="8" t="str">
        <x:v>L6</x:v>
      </x:c>
      <x:c r="E32" s="8" t="str">
        <x:v>DB1</x:v>
      </x:c>
      <x:c r="F32" s="8" t="str">
        <x:v>L1</x:v>
      </x:c>
      <x:c r="G32" s="8" t="str">
        <x:v>light</x:v>
      </x:c>
      <x:c r="H32" s="8" t="str">
        <x:v>drop</x:v>
      </x:c>
      <x:c r="I32" s="11" t="n">
        <x:f>SUMIF('Route Points'!$A$7:$A$1910,A32,'Route Points'!$F$7:$F$1910)</x:f>
        <x:v>7.005000000000001</x:v>
      </x:c>
      <x:c r="J32" s="11"/>
      <x:c r="K32" s="11" t="str">
        <x:f>IF(L32="Full home run",I32+J32,"")</x:f>
      </x:c>
      <x:c r="L32" s="8" t="str">
        <x:v>Route segment</x:v>
      </x:c>
      <x:c r="M32" s="13"/>
      <x:c r="N32" s="11" t="str">
        <x:f>IF(OR(M32="",L32="Shared bundle"),"",IF(L32="Full home run",K32,I32)+M32)</x:f>
      </x:c>
      <x:c r="O32" s="8" t="str">
        <x:v>Cable type / conductors / cross-section / conduit: pending electrical design</x:v>
      </x:c>
      <x:c r="P32" s="8" t="str">
        <x:v>Wall / beam or roof containment, then pendant connection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trunk:LC1:L1:light:1</x:v>
      </x:c>
    </x:row>
    <x:row r="33" ht="90" customHeight="1">
      <x:c r="A33" s="8" t="str">
        <x:v>drop:LC1:L1:light:1:L9</x:v>
      </x:c>
      <x:c r="B33" s="8" t="str">
        <x:v>L1 → Reading light · axis 4 · H central</x:v>
      </x:c>
      <x:c r="C33" s="8" t="str">
        <x:v>LC1</x:v>
      </x:c>
      <x:c r="D33" s="8" t="str">
        <x:v>L9</x:v>
      </x:c>
      <x:c r="E33" s="8" t="str">
        <x:v>DB1</x:v>
      </x:c>
      <x:c r="F33" s="8" t="str">
        <x:v>L1</x:v>
      </x:c>
      <x:c r="G33" s="8" t="str">
        <x:v>light</x:v>
      </x:c>
      <x:c r="H33" s="8" t="str">
        <x:v>drop</x:v>
      </x:c>
      <x:c r="I33" s="11" t="n">
        <x:f>SUMIF('Route Points'!$A$7:$A$1910,A33,'Route Points'!$F$7:$F$1910)</x:f>
        <x:v>7.005000000000001</x:v>
      </x:c>
      <x:c r="J33" s="11"/>
      <x:c r="K33" s="11" t="str">
        <x:f>IF(L33="Full home run",I33+J33,"")</x:f>
      </x:c>
      <x:c r="L33" s="8" t="str">
        <x:v>Route segment</x:v>
      </x:c>
      <x:c r="M33" s="13"/>
      <x:c r="N33" s="11" t="str">
        <x:f>IF(OR(M33="",L33="Shared bundle"),"",IF(L33="Full home run",K33,I33)+M33)</x:f>
      </x:c>
      <x:c r="O33" s="8" t="str">
        <x:v>Cable type / conductors / cross-section / conduit: pending electrical design</x:v>
      </x:c>
      <x:c r="P33" s="8" t="str">
        <x:v>Wall / beam or roof containment, then pendant connection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 t="str">
        <x:v>trunk:LC1:L1:light:1</x:v>
      </x:c>
    </x:row>
    <x:row r="34" ht="90" customHeight="1">
      <x:c r="A34" s="8" t="str">
        <x:v>drop:LC1:L1:light:1:L10</x:v>
      </x:c>
      <x:c r="B34" s="8" t="str">
        <x:v>L1 → Reading light · axis 4 · H central · twin</x:v>
      </x:c>
      <x:c r="C34" s="8" t="str">
        <x:v>LC1</x:v>
      </x:c>
      <x:c r="D34" s="8" t="str">
        <x:v>L10</x:v>
      </x:c>
      <x:c r="E34" s="8" t="str">
        <x:v>DB1</x:v>
      </x:c>
      <x:c r="F34" s="8" t="str">
        <x:v>L1</x:v>
      </x:c>
      <x:c r="G34" s="8" t="str">
        <x:v>light</x:v>
      </x:c>
      <x:c r="H34" s="8" t="str">
        <x:v>drop</x:v>
      </x:c>
      <x:c r="I34" s="11" t="n">
        <x:f>SUMIF('Route Points'!$A$7:$A$1910,A34,'Route Points'!$F$7:$F$1910)</x:f>
        <x:v>7.005000000000001</x:v>
      </x:c>
      <x:c r="J34" s="11"/>
      <x:c r="K34" s="11" t="str">
        <x:f>IF(L34="Full home run",I34+J34,"")</x:f>
      </x:c>
      <x:c r="L34" s="8" t="str">
        <x:v>Route segment</x:v>
      </x:c>
      <x:c r="M34" s="13"/>
      <x:c r="N34" s="11" t="str">
        <x:f>IF(OR(M34="",L34="Shared bundle"),"",IF(L34="Full home run",K34,I34)+M34)</x:f>
      </x:c>
      <x:c r="O34" s="8" t="str">
        <x:v>Cable type / conductors / cross-section / conduit: pending electrical design</x:v>
      </x:c>
      <x:c r="P34" s="8" t="str">
        <x:v>Wall / beam or roof containment, then pendant connection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trunk:LC1:L1:light:1</x:v>
      </x:c>
    </x:row>
    <x:row r="35" ht="90" customHeight="1">
      <x:c r="A35" s="8" t="str">
        <x:v>drop:LC1:L1:light:1:L13</x:v>
      </x:c>
      <x:c r="B35" s="8" t="str">
        <x:v>L1 → Reading light · axis 5 · H central</x:v>
      </x:c>
      <x:c r="C35" s="8" t="str">
        <x:v>LC1</x:v>
      </x:c>
      <x:c r="D35" s="8" t="str">
        <x:v>L13</x:v>
      </x:c>
      <x:c r="E35" s="8" t="str">
        <x:v>DB1</x:v>
      </x:c>
      <x:c r="F35" s="8" t="str">
        <x:v>L1</x:v>
      </x:c>
      <x:c r="G35" s="8" t="str">
        <x:v>light</x:v>
      </x:c>
      <x:c r="H35" s="8" t="str">
        <x:v>drop</x:v>
      </x:c>
      <x:c r="I35" s="11" t="n">
        <x:f>SUMIF('Route Points'!$A$7:$A$1910,A35,'Route Points'!$F$7:$F$1910)</x:f>
        <x:v>7.005000000000001</x:v>
      </x:c>
      <x:c r="J35" s="11"/>
      <x:c r="K35" s="11" t="str">
        <x:f>IF(L35="Full home run",I35+J35,"")</x:f>
      </x:c>
      <x:c r="L35" s="8" t="str">
        <x:v>Route segment</x:v>
      </x:c>
      <x:c r="M35" s="13"/>
      <x:c r="N35" s="11" t="str">
        <x:f>IF(OR(M35="",L35="Shared bundle"),"",IF(L35="Full home run",K35,I35)+M35)</x:f>
      </x:c>
      <x:c r="O35" s="8" t="str">
        <x:v>Cable type / conductors / cross-section / conduit: pending electrical design</x:v>
      </x:c>
      <x:c r="P35" s="8" t="str">
        <x:v>Wall / beam or roof containment, then pendant connection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trunk:LC1:L1:light:1</x:v>
      </x:c>
    </x:row>
    <x:row r="36" ht="90" customHeight="1">
      <x:c r="A36" s="8" t="str">
        <x:v>drop:LC1:L1:light:1:L14</x:v>
      </x:c>
      <x:c r="B36" s="8" t="str">
        <x:v>L1 → Reading light · axis 5 · H central · twin</x:v>
      </x:c>
      <x:c r="C36" s="8" t="str">
        <x:v>LC1</x:v>
      </x:c>
      <x:c r="D36" s="8" t="str">
        <x:v>L14</x:v>
      </x:c>
      <x:c r="E36" s="8" t="str">
        <x:v>DB1</x:v>
      </x:c>
      <x:c r="F36" s="8" t="str">
        <x:v>L1</x:v>
      </x:c>
      <x:c r="G36" s="8" t="str">
        <x:v>light</x:v>
      </x:c>
      <x:c r="H36" s="8" t="str">
        <x:v>drop</x:v>
      </x:c>
      <x:c r="I36" s="11" t="n">
        <x:f>SUMIF('Route Points'!$A$7:$A$1910,A36,'Route Points'!$F$7:$F$1910)</x:f>
        <x:v>7.005000000000001</x:v>
      </x:c>
      <x:c r="J36" s="11"/>
      <x:c r="K36" s="11" t="str">
        <x:f>IF(L36="Full home run",I36+J36,"")</x:f>
      </x:c>
      <x:c r="L36" s="8" t="str">
        <x:v>Route segment</x:v>
      </x:c>
      <x:c r="M36" s="13"/>
      <x:c r="N36" s="11" t="str">
        <x:f>IF(OR(M36="",L36="Shared bundle"),"",IF(L36="Full home run",K36,I36)+M36)</x:f>
      </x:c>
      <x:c r="O36" s="8" t="str">
        <x:v>Cable type / conductors / cross-section / conduit: pending electrical design</x:v>
      </x:c>
      <x:c r="P36" s="8" t="str">
        <x:v>Wall / beam or roof containment, then pendant connection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trunk:LC1:L1:light:1</x:v>
      </x:c>
    </x:row>
    <x:row r="37" ht="90" customHeight="1">
      <x:c r="A37" s="8" t="str">
        <x:v>drop:LC1:L1:light:1:L17</x:v>
      </x:c>
      <x:c r="B37" s="8" t="str">
        <x:v>L1 → Reading light · axis 6 · H central</x:v>
      </x:c>
      <x:c r="C37" s="8" t="str">
        <x:v>LC1</x:v>
      </x:c>
      <x:c r="D37" s="8" t="str">
        <x:v>L17</x:v>
      </x:c>
      <x:c r="E37" s="8" t="str">
        <x:v>DB1</x:v>
      </x:c>
      <x:c r="F37" s="8" t="str">
        <x:v>L1</x:v>
      </x:c>
      <x:c r="G37" s="8" t="str">
        <x:v>light</x:v>
      </x:c>
      <x:c r="H37" s="8" t="str">
        <x:v>drop</x:v>
      </x:c>
      <x:c r="I37" s="11" t="n">
        <x:f>SUMIF('Route Points'!$A$7:$A$1910,A37,'Route Points'!$F$7:$F$1910)</x:f>
        <x:v>7.005000000000001</x:v>
      </x:c>
      <x:c r="J37" s="11"/>
      <x:c r="K37" s="11" t="str">
        <x:f>IF(L37="Full home run",I37+J37,"")</x:f>
      </x:c>
      <x:c r="L37" s="8" t="str">
        <x:v>Route segment</x:v>
      </x:c>
      <x:c r="M37" s="13"/>
      <x:c r="N37" s="11" t="str">
        <x:f>IF(OR(M37="",L37="Shared bundle"),"",IF(L37="Full home run",K37,I37)+M37)</x:f>
      </x:c>
      <x:c r="O37" s="8" t="str">
        <x:v>Cable type / conductors / cross-section / conduit: pending electrical design</x:v>
      </x:c>
      <x:c r="P37" s="8" t="str">
        <x:v>Wall / beam or roof containment, then pendant connection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trunk:LC1:L1:light:1</x:v>
      </x:c>
    </x:row>
    <x:row r="38" ht="90" customHeight="1">
      <x:c r="A38" s="8" t="str">
        <x:v>drop:LC1:L1:light:1:L18</x:v>
      </x:c>
      <x:c r="B38" s="8" t="str">
        <x:v>L1 → Reading light · axis 6 · H central · twin</x:v>
      </x:c>
      <x:c r="C38" s="8" t="str">
        <x:v>LC1</x:v>
      </x:c>
      <x:c r="D38" s="8" t="str">
        <x:v>L18</x:v>
      </x:c>
      <x:c r="E38" s="8" t="str">
        <x:v>DB1</x:v>
      </x:c>
      <x:c r="F38" s="8" t="str">
        <x:v>L1</x:v>
      </x:c>
      <x:c r="G38" s="8" t="str">
        <x:v>light</x:v>
      </x:c>
      <x:c r="H38" s="8" t="str">
        <x:v>drop</x:v>
      </x:c>
      <x:c r="I38" s="11" t="n">
        <x:f>SUMIF('Route Points'!$A$7:$A$1910,A38,'Route Points'!$F$7:$F$1910)</x:f>
        <x:v>7.005000000000001</x:v>
      </x:c>
      <x:c r="J38" s="11"/>
      <x:c r="K38" s="11" t="str">
        <x:f>IF(L38="Full home run",I38+J38,"")</x:f>
      </x:c>
      <x:c r="L38" s="8" t="str">
        <x:v>Route segment</x:v>
      </x:c>
      <x:c r="M38" s="13"/>
      <x:c r="N38" s="11" t="str">
        <x:f>IF(OR(M38="",L38="Shared bundle"),"",IF(L38="Full home run",K38,I38)+M38)</x:f>
      </x:c>
      <x:c r="O38" s="8" t="str">
        <x:v>Cable type / conductors / cross-section / conduit: pending electrical design</x:v>
      </x:c>
      <x:c r="P38" s="8" t="str">
        <x:v>Wall / beam or roof containment, then pendant connection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 t="str">
        <x:v>trunk:LC1:L1:light:1</x:v>
      </x:c>
    </x:row>
    <x:row r="39" ht="90" customHeight="1">
      <x:c r="A39" s="8" t="str">
        <x:v>drop:LC1:L1:light:1:L21</x:v>
      </x:c>
      <x:c r="B39" s="8" t="str">
        <x:v>L1 → Reading light · axis 7 · H central</x:v>
      </x:c>
      <x:c r="C39" s="8" t="str">
        <x:v>LC1</x:v>
      </x:c>
      <x:c r="D39" s="8" t="str">
        <x:v>L21</x:v>
      </x:c>
      <x:c r="E39" s="8" t="str">
        <x:v>DB1</x:v>
      </x:c>
      <x:c r="F39" s="8" t="str">
        <x:v>L1</x:v>
      </x:c>
      <x:c r="G39" s="8" t="str">
        <x:v>light</x:v>
      </x:c>
      <x:c r="H39" s="8" t="str">
        <x:v>drop</x:v>
      </x:c>
      <x:c r="I39" s="11" t="n">
        <x:f>SUMIF('Route Points'!$A$7:$A$1910,A39,'Route Points'!$F$7:$F$1910)</x:f>
        <x:v>7.005000000000001</x:v>
      </x:c>
      <x:c r="J39" s="11"/>
      <x:c r="K39" s="11" t="str">
        <x:f>IF(L39="Full home run",I39+J39,"")</x:f>
      </x:c>
      <x:c r="L39" s="8" t="str">
        <x:v>Route segment</x:v>
      </x:c>
      <x:c r="M39" s="13"/>
      <x:c r="N39" s="11" t="str">
        <x:f>IF(OR(M39="",L39="Shared bundle"),"",IF(L39="Full home run",K39,I39)+M39)</x:f>
      </x:c>
      <x:c r="O39" s="8" t="str">
        <x:v>Cable type / conductors / cross-section / conduit: pending electrical design</x:v>
      </x:c>
      <x:c r="P39" s="8" t="str">
        <x:v>Wall / beam or roof containment, then pendant connection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trunk:LC1:L1:light:1</x:v>
      </x:c>
    </x:row>
    <x:row r="40" ht="90" customHeight="1">
      <x:c r="A40" s="8" t="str">
        <x:v>drop:LC1:L1:light:1:L22</x:v>
      </x:c>
      <x:c r="B40" s="8" t="str">
        <x:v>L1 → Reading light · axis 7 · H central · twin</x:v>
      </x:c>
      <x:c r="C40" s="8" t="str">
        <x:v>LC1</x:v>
      </x:c>
      <x:c r="D40" s="8" t="str">
        <x:v>L22</x:v>
      </x:c>
      <x:c r="E40" s="8" t="str">
        <x:v>DB1</x:v>
      </x:c>
      <x:c r="F40" s="8" t="str">
        <x:v>L1</x:v>
      </x:c>
      <x:c r="G40" s="8" t="str">
        <x:v>light</x:v>
      </x:c>
      <x:c r="H40" s="8" t="str">
        <x:v>drop</x:v>
      </x:c>
      <x:c r="I40" s="11" t="n">
        <x:f>SUMIF('Route Points'!$A$7:$A$1910,A40,'Route Points'!$F$7:$F$1910)</x:f>
        <x:v>7.005000000000001</x:v>
      </x:c>
      <x:c r="J40" s="11"/>
      <x:c r="K40" s="11" t="str">
        <x:f>IF(L40="Full home run",I40+J40,"")</x:f>
      </x:c>
      <x:c r="L40" s="8" t="str">
        <x:v>Route segment</x:v>
      </x:c>
      <x:c r="M40" s="13"/>
      <x:c r="N40" s="11" t="str">
        <x:f>IF(OR(M40="",L40="Shared bundle"),"",IF(L40="Full home run",K40,I40)+M40)</x:f>
      </x:c>
      <x:c r="O40" s="8" t="str">
        <x:v>Cable type / conductors / cross-section / conduit: pending electrical design</x:v>
      </x:c>
      <x:c r="P40" s="8" t="str">
        <x:v>Wall / beam or roof containment, then pendant connection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trunk:LC1:L1:light:1</x:v>
      </x:c>
    </x:row>
    <x:row r="41" ht="90" customHeight="1">
      <x:c r="A41" s="8" t="str">
        <x:v>drop:LC1:L1:light:1:L25</x:v>
      </x:c>
      <x:c r="B41" s="8" t="str">
        <x:v>L1 → Reading light · axis 8 · H central</x:v>
      </x:c>
      <x:c r="C41" s="8" t="str">
        <x:v>LC1</x:v>
      </x:c>
      <x:c r="D41" s="8" t="str">
        <x:v>L25</x:v>
      </x:c>
      <x:c r="E41" s="8" t="str">
        <x:v>DB1</x:v>
      </x:c>
      <x:c r="F41" s="8" t="str">
        <x:v>L1</x:v>
      </x:c>
      <x:c r="G41" s="8" t="str">
        <x:v>light</x:v>
      </x:c>
      <x:c r="H41" s="8" t="str">
        <x:v>drop</x:v>
      </x:c>
      <x:c r="I41" s="11" t="n">
        <x:f>SUMIF('Route Points'!$A$7:$A$1910,A41,'Route Points'!$F$7:$F$1910)</x:f>
        <x:v>7.005000000000001</x:v>
      </x:c>
      <x:c r="J41" s="11"/>
      <x:c r="K41" s="11" t="str">
        <x:f>IF(L41="Full home run",I41+J41,"")</x:f>
      </x:c>
      <x:c r="L41" s="8" t="str">
        <x:v>Route segment</x:v>
      </x:c>
      <x:c r="M41" s="13"/>
      <x:c r="N41" s="11" t="str">
        <x:f>IF(OR(M41="",L41="Shared bundle"),"",IF(L41="Full home run",K41,I41)+M41)</x:f>
      </x:c>
      <x:c r="O41" s="8" t="str">
        <x:v>Cable type / conductors / cross-section / conduit: pending electrical design</x:v>
      </x:c>
      <x:c r="P41" s="8" t="str">
        <x:v>Wall / beam or roof containment, then pendant connection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trunk:LC1:L1:light:1</x:v>
      </x:c>
    </x:row>
    <x:row r="42" ht="90" customHeight="1">
      <x:c r="A42" s="8" t="str">
        <x:v>drop:LC1:L1:light:1:L26</x:v>
      </x:c>
      <x:c r="B42" s="8" t="str">
        <x:v>L1 → Reading light · axis 8 · H central · twin</x:v>
      </x:c>
      <x:c r="C42" s="8" t="str">
        <x:v>LC1</x:v>
      </x:c>
      <x:c r="D42" s="8" t="str">
        <x:v>L26</x:v>
      </x:c>
      <x:c r="E42" s="8" t="str">
        <x:v>DB1</x:v>
      </x:c>
      <x:c r="F42" s="8" t="str">
        <x:v>L1</x:v>
      </x:c>
      <x:c r="G42" s="8" t="str">
        <x:v>light</x:v>
      </x:c>
      <x:c r="H42" s="8" t="str">
        <x:v>drop</x:v>
      </x:c>
      <x:c r="I42" s="11" t="n">
        <x:f>SUMIF('Route Points'!$A$7:$A$1910,A42,'Route Points'!$F$7:$F$1910)</x:f>
        <x:v>7.005000000000001</x:v>
      </x:c>
      <x:c r="J42" s="11"/>
      <x:c r="K42" s="11" t="str">
        <x:f>IF(L42="Full home run",I42+J42,"")</x:f>
      </x:c>
      <x:c r="L42" s="8" t="str">
        <x:v>Route segment</x:v>
      </x:c>
      <x:c r="M42" s="13"/>
      <x:c r="N42" s="11" t="str">
        <x:f>IF(OR(M42="",L42="Shared bundle"),"",IF(L42="Full home run",K42,I42)+M42)</x:f>
      </x:c>
      <x:c r="O42" s="8" t="str">
        <x:v>Cable type / conductors / cross-section / conduit: pending electrical design</x:v>
      </x:c>
      <x:c r="P42" s="8" t="str">
        <x:v>Wall / beam or roof containment, then pendant connection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trunk:LC1:L1:light:1</x:v>
      </x:c>
    </x:row>
    <x:row r="43" ht="90" customHeight="1">
      <x:c r="A43" s="8" t="str">
        <x:v>drop:LC1:L1:light:1:L29</x:v>
      </x:c>
      <x:c r="B43" s="8" t="str">
        <x:v>L1 → Reading light · axis 9 · H central</x:v>
      </x:c>
      <x:c r="C43" s="8" t="str">
        <x:v>LC1</x:v>
      </x:c>
      <x:c r="D43" s="8" t="str">
        <x:v>L29</x:v>
      </x:c>
      <x:c r="E43" s="8" t="str">
        <x:v>DB1</x:v>
      </x:c>
      <x:c r="F43" s="8" t="str">
        <x:v>L1</x:v>
      </x:c>
      <x:c r="G43" s="8" t="str">
        <x:v>light</x:v>
      </x:c>
      <x:c r="H43" s="8" t="str">
        <x:v>drop</x:v>
      </x:c>
      <x:c r="I43" s="11" t="n">
        <x:f>SUMIF('Route Points'!$A$7:$A$1910,A43,'Route Points'!$F$7:$F$1910)</x:f>
        <x:v>12.885000000000002</x:v>
      </x:c>
      <x:c r="J43" s="11"/>
      <x:c r="K43" s="11" t="str">
        <x:f>IF(L43="Full home run",I43+J43,"")</x:f>
      </x:c>
      <x:c r="L43" s="8" t="str">
        <x:v>Route segment</x:v>
      </x:c>
      <x:c r="M43" s="13"/>
      <x:c r="N43" s="11" t="str">
        <x:f>IF(OR(M43="",L43="Shared bundle"),"",IF(L43="Full home run",K43,I43)+M43)</x:f>
      </x:c>
      <x:c r="O43" s="8" t="str">
        <x:v>Cable type / conductors / cross-section / conduit: pending electrical design</x:v>
      </x:c>
      <x:c r="P43" s="8" t="str">
        <x:v>Wall / beam or roof containment, then pendant connection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 t="str">
        <x:v>trunk:LC1:L1:light:1</x:v>
      </x:c>
    </x:row>
    <x:row r="44" ht="90" customHeight="1">
      <x:c r="A44" s="8" t="str">
        <x:v>drop:LC1:L1:light:1:L30</x:v>
      </x:c>
      <x:c r="B44" s="8" t="str">
        <x:v>L1 → Reading light · axis 9 · H central · twin</x:v>
      </x:c>
      <x:c r="C44" s="8" t="str">
        <x:v>LC1</x:v>
      </x:c>
      <x:c r="D44" s="8" t="str">
        <x:v>L30</x:v>
      </x:c>
      <x:c r="E44" s="8" t="str">
        <x:v>DB1</x:v>
      </x:c>
      <x:c r="F44" s="8" t="str">
        <x:v>L1</x:v>
      </x:c>
      <x:c r="G44" s="8" t="str">
        <x:v>light</x:v>
      </x:c>
      <x:c r="H44" s="8" t="str">
        <x:v>drop</x:v>
      </x:c>
      <x:c r="I44" s="11" t="n">
        <x:f>SUMIF('Route Points'!$A$7:$A$1910,A44,'Route Points'!$F$7:$F$1910)</x:f>
        <x:v>12.885000000000002</x:v>
      </x:c>
      <x:c r="J44" s="11"/>
      <x:c r="K44" s="11" t="str">
        <x:f>IF(L44="Full home run",I44+J44,"")</x:f>
      </x:c>
      <x:c r="L44" s="8" t="str">
        <x:v>Route segment</x:v>
      </x:c>
      <x:c r="M44" s="13"/>
      <x:c r="N44" s="11" t="str">
        <x:f>IF(OR(M44="",L44="Shared bundle"),"",IF(L44="Full home run",K44,I44)+M44)</x:f>
      </x:c>
      <x:c r="O44" s="8" t="str">
        <x:v>Cable type / conductors / cross-section / conduit: pending electrical design</x:v>
      </x:c>
      <x:c r="P44" s="8" t="str">
        <x:v>Wall / beam or roof containment, then pendant connection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trunk:LC1:L1:light:1</x:v>
      </x:c>
    </x:row>
    <x:row r="45" ht="90" customHeight="1">
      <x:c r="A45" s="8" t="str">
        <x:v>drop:LC1:L1:light:1:L61</x:v>
      </x:c>
      <x:c r="B45" s="8" t="str">
        <x:v>L1 → Rear rows light · entrance façade · H</x:v>
      </x:c>
      <x:c r="C45" s="8" t="str">
        <x:v>LC1</x:v>
      </x:c>
      <x:c r="D45" s="8" t="str">
        <x:v>L61</x:v>
      </x:c>
      <x:c r="E45" s="8" t="str">
        <x:v>DB1</x:v>
      </x:c>
      <x:c r="F45" s="8" t="str">
        <x:v>L1</x:v>
      </x:c>
      <x:c r="G45" s="8" t="str">
        <x:v>light</x:v>
      </x:c>
      <x:c r="H45" s="8" t="str">
        <x:v>drop</x:v>
      </x:c>
      <x:c r="I45" s="11" t="n">
        <x:f>SUMIF('Route Points'!$A$7:$A$1910,A45,'Route Points'!$F$7:$F$1910)</x:f>
        <x:v>8.994166406412635</x:v>
      </x:c>
      <x:c r="J45" s="11"/>
      <x:c r="K45" s="11" t="str">
        <x:f>IF(L45="Full home run",I45+J45,"")</x:f>
      </x:c>
      <x:c r="L45" s="8" t="str">
        <x:v>Route segment</x:v>
      </x:c>
      <x:c r="M45" s="13"/>
      <x:c r="N45" s="11" t="str">
        <x:f>IF(OR(M45="",L45="Shared bundle"),"",IF(L45="Full home run",K45,I45)+M45)</x:f>
      </x:c>
      <x:c r="O45" s="8" t="str">
        <x:v>Cable type / conductors / cross-section / conduit: pending electrical design</x:v>
      </x:c>
      <x:c r="P45" s="8" t="str">
        <x:v>Concealed pier / wall drop, local termination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 t="str">
        <x:v>trunk:LC1:L1:light:1</x:v>
      </x:c>
    </x:row>
    <x:row r="46" ht="90" customHeight="1">
      <x:c r="A46" s="8" t="str">
        <x:v>drop:LC1:L1:light:1:L62</x:v>
      </x:c>
      <x:c r="B46" s="8" t="str">
        <x:v>L1 → Rear centre light · entrance façade · H</x:v>
      </x:c>
      <x:c r="C46" s="8" t="str">
        <x:v>LC1</x:v>
      </x:c>
      <x:c r="D46" s="8" t="str">
        <x:v>L62</x:v>
      </x:c>
      <x:c r="E46" s="8" t="str">
        <x:v>DB1</x:v>
      </x:c>
      <x:c r="F46" s="8" t="str">
        <x:v>L1</x:v>
      </x:c>
      <x:c r="G46" s="8" t="str">
        <x:v>light</x:v>
      </x:c>
      <x:c r="H46" s="8" t="str">
        <x:v>drop</x:v>
      </x:c>
      <x:c r="I46" s="11" t="n">
        <x:f>SUMIF('Route Points'!$A$7:$A$1910,A46,'Route Points'!$F$7:$F$1910)</x:f>
        <x:v>6.494166406412634</x:v>
      </x:c>
      <x:c r="J46" s="11"/>
      <x:c r="K46" s="11" t="str">
        <x:f>IF(L46="Full home run",I46+J46,"")</x:f>
      </x:c>
      <x:c r="L46" s="8" t="str">
        <x:v>Route segment</x:v>
      </x:c>
      <x:c r="M46" s="13"/>
      <x:c r="N46" s="11" t="str">
        <x:f>IF(OR(M46="",L46="Shared bundle"),"",IF(L46="Full home run",K46,I46)+M46)</x:f>
      </x:c>
      <x:c r="O46" s="8" t="str">
        <x:v>Cable type / conductors / cross-section / conduit: pending electrical design</x:v>
      </x:c>
      <x:c r="P46" s="8" t="str">
        <x:v>Concealed pier / wall drop, local termination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trunk:LC1:L1:light:1</x:v>
      </x:c>
    </x:row>
    <x:row r="47" ht="194" customHeight="1">
      <x:c r="A47" s="8" t="str">
        <x:v>trunk:LC1:L2:light:-1</x:v>
      </x:c>
      <x:c r="B47" s="8" t="str">
        <x:v>L2 · B · circuit trunk</x:v>
      </x:c>
      <x:c r="C47" s="8" t="str">
        <x:v>LC1</x:v>
      </x:c>
      <x:c r="D47" s="8" t="str">
        <x:v>L31
L32
L35
L36
L39
L40
L43
L44
L47
L48
L51
L52
L55
L56</x:v>
      </x:c>
      <x:c r="E47" s="8" t="str">
        <x:v>DB1</x:v>
      </x:c>
      <x:c r="F47" s="8" t="str">
        <x:v>L2</x:v>
      </x:c>
      <x:c r="G47" s="8" t="str">
        <x:v>light</x:v>
      </x:c>
      <x:c r="H47" s="8" t="str">
        <x:v>trunk</x:v>
      </x:c>
      <x:c r="I47" s="11" t="n">
        <x:f>SUMIF('Route Points'!$A$7:$A$1910,A47,'Route Points'!$F$7:$F$1910)</x:f>
        <x:v>70.63399999999999</x:v>
      </x:c>
      <x:c r="J47" s="11"/>
      <x:c r="K47" s="11" t="str">
        <x:f>IF(L47="Full home run",I47+J47,"")</x:f>
      </x:c>
      <x:c r="L47" s="8" t="str">
        <x:v>Route segment</x:v>
      </x:c>
      <x:c r="M47" s="13"/>
      <x:c r="N47" s="11" t="str">
        <x:f>IF(OR(M47="",L47="Shared bundle"),"",IF(L47="Full home run",K47,I47)+M47)</x:f>
      </x:c>
      <x:c r="O47" s="8" t="str">
        <x:v>Cable type / conductors / cross-section / conduit: pending electrical design</x:v>
      </x:c>
      <x:c r="P47" s="8" t="str">
        <x:v>Concealed wall band above openings; ceiling containment at wing returns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Current</x:v>
      </x:c>
      <x:c r="Z47" s="8"/>
    </x:row>
    <x:row r="48" ht="90" customHeight="1">
      <x:c r="A48" s="8" t="str">
        <x:v>drop:LC1:L2:light:-1:L31</x:v>
      </x:c>
      <x:c r="B48" s="8" t="str">
        <x:v>L2 → Reading light · axis 3 · B outer</x:v>
      </x:c>
      <x:c r="C48" s="8" t="str">
        <x:v>LC1</x:v>
      </x:c>
      <x:c r="D48" s="8" t="str">
        <x:v>L31</x:v>
      </x:c>
      <x:c r="E48" s="8" t="str">
        <x:v>DB1</x:v>
      </x:c>
      <x:c r="F48" s="8" t="str">
        <x:v>L2</x:v>
      </x:c>
      <x:c r="G48" s="8" t="str">
        <x:v>light</x:v>
      </x:c>
      <x:c r="H48" s="8" t="str">
        <x:v>drop</x:v>
      </x:c>
      <x:c r="I48" s="11" t="n">
        <x:f>SUMIF('Route Points'!$A$7:$A$1910,A48,'Route Points'!$F$7:$F$1910)</x:f>
        <x:v>2.061000000000001</x:v>
      </x:c>
      <x:c r="J48" s="11"/>
      <x:c r="K48" s="11" t="str">
        <x:f>IF(L48="Full home run",I48+J48,"")</x:f>
      </x:c>
      <x:c r="L48" s="8" t="str">
        <x:v>Route segment</x:v>
      </x:c>
      <x:c r="M48" s="13"/>
      <x:c r="N48" s="11" t="str">
        <x:f>IF(OR(M48="",L48="Shared bundle"),"",IF(L48="Full home run",K48,I48)+M48)</x:f>
      </x:c>
      <x:c r="O48" s="8" t="str">
        <x:v>Cable type / conductors / cross-section / conduit: pending electrical design</x:v>
      </x:c>
      <x:c r="P48" s="8" t="str">
        <x:v>Wall / beam or roof containment, then pendant connection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Current</x:v>
      </x:c>
      <x:c r="Z48" s="8" t="str">
        <x:v>trunk:LC1:L2:light:-1</x:v>
      </x:c>
    </x:row>
    <x:row r="49" ht="90" customHeight="1">
      <x:c r="A49" s="8" t="str">
        <x:v>drop:LC1:L2:light:-1:L32</x:v>
      </x:c>
      <x:c r="B49" s="8" t="str">
        <x:v>L2 → Reading light · axis 3 · B outer · twin</x:v>
      </x:c>
      <x:c r="C49" s="8" t="str">
        <x:v>LC1</x:v>
      </x:c>
      <x:c r="D49" s="8" t="str">
        <x:v>L32</x:v>
      </x:c>
      <x:c r="E49" s="8" t="str">
        <x:v>DB1</x:v>
      </x:c>
      <x:c r="F49" s="8" t="str">
        <x:v>L2</x:v>
      </x:c>
      <x:c r="G49" s="8" t="str">
        <x:v>light</x:v>
      </x:c>
      <x:c r="H49" s="8" t="str">
        <x:v>drop</x:v>
      </x:c>
      <x:c r="I49" s="11" t="n">
        <x:f>SUMIF('Route Points'!$A$7:$A$1910,A49,'Route Points'!$F$7:$F$1910)</x:f>
        <x:v>2.061000000000001</x:v>
      </x:c>
      <x:c r="J49" s="11"/>
      <x:c r="K49" s="11" t="str">
        <x:f>IF(L49="Full home run",I49+J49,"")</x:f>
      </x:c>
      <x:c r="L49" s="8" t="str">
        <x:v>Route segment</x:v>
      </x:c>
      <x:c r="M49" s="13"/>
      <x:c r="N49" s="11" t="str">
        <x:f>IF(OR(M49="",L49="Shared bundle"),"",IF(L49="Full home run",K49,I49)+M49)</x:f>
      </x:c>
      <x:c r="O49" s="8" t="str">
        <x:v>Cable type / conductors / cross-section / conduit: pending electrical design</x:v>
      </x:c>
      <x:c r="P49" s="8" t="str">
        <x:v>Wall / beam or roof containment, then pendant connection</x:v>
      </x:c>
      <x:c r="Q49" s="9"/>
      <x:c r="R49" s="9"/>
      <x:c r="S49" s="13"/>
      <x:c r="T49" s="9"/>
      <x:c r="U49" s="9"/>
      <x:c r="V49" s="9"/>
      <x:c r="W49" s="9"/>
      <x:c r="X49" s="9"/>
      <x:c r="Y49" s="8" t="str">
        <x:v>Current</x:v>
      </x:c>
      <x:c r="Z49" s="8" t="str">
        <x:v>trunk:LC1:L2:light:-1</x:v>
      </x:c>
    </x:row>
    <x:row r="50" ht="90" customHeight="1">
      <x:c r="A50" s="8" t="str">
        <x:v>drop:LC1:L2:light:-1:L35</x:v>
      </x:c>
      <x:c r="B50" s="8" t="str">
        <x:v>L2 → Reading light · axis 4 · B outer</x:v>
      </x:c>
      <x:c r="C50" s="8" t="str">
        <x:v>LC1</x:v>
      </x:c>
      <x:c r="D50" s="8" t="str">
        <x:v>L35</x:v>
      </x:c>
      <x:c r="E50" s="8" t="str">
        <x:v>DB1</x:v>
      </x:c>
      <x:c r="F50" s="8" t="str">
        <x:v>L2</x:v>
      </x:c>
      <x:c r="G50" s="8" t="str">
        <x:v>light</x:v>
      </x:c>
      <x:c r="H50" s="8" t="str">
        <x:v>drop</x:v>
      </x:c>
      <x:c r="I50" s="11" t="n">
        <x:f>SUMIF('Route Points'!$A$7:$A$1910,A50,'Route Points'!$F$7:$F$1910)</x:f>
        <x:v>2.061000000000001</x:v>
      </x:c>
      <x:c r="J50" s="11"/>
      <x:c r="K50" s="11" t="str">
        <x:f>IF(L50="Full home run",I50+J50,"")</x:f>
      </x:c>
      <x:c r="L50" s="8" t="str">
        <x:v>Route segment</x:v>
      </x:c>
      <x:c r="M50" s="13"/>
      <x:c r="N50" s="11" t="str">
        <x:f>IF(OR(M50="",L50="Shared bundle"),"",IF(L50="Full home run",K50,I50)+M50)</x:f>
      </x:c>
      <x:c r="O50" s="8" t="str">
        <x:v>Cable type / conductors / cross-section / conduit: pending electrical design</x:v>
      </x:c>
      <x:c r="P50" s="8" t="str">
        <x:v>Wall / beam or roof containment, then pendant connection</x:v>
      </x:c>
      <x:c r="Q50" s="9"/>
      <x:c r="R50" s="9"/>
      <x:c r="S50" s="13"/>
      <x:c r="T50" s="9"/>
      <x:c r="U50" s="9"/>
      <x:c r="V50" s="9"/>
      <x:c r="W50" s="9"/>
      <x:c r="X50" s="9"/>
      <x:c r="Y50" s="8" t="str">
        <x:v>Current</x:v>
      </x:c>
      <x:c r="Z50" s="8" t="str">
        <x:v>trunk:LC1:L2:light:-1</x:v>
      </x:c>
    </x:row>
    <x:row r="51" ht="90" customHeight="1">
      <x:c r="A51" s="8" t="str">
        <x:v>drop:LC1:L2:light:-1:L36</x:v>
      </x:c>
      <x:c r="B51" s="8" t="str">
        <x:v>L2 → Reading light · axis 4 · B outer · twin</x:v>
      </x:c>
      <x:c r="C51" s="8" t="str">
        <x:v>LC1</x:v>
      </x:c>
      <x:c r="D51" s="8" t="str">
        <x:v>L36</x:v>
      </x:c>
      <x:c r="E51" s="8" t="str">
        <x:v>DB1</x:v>
      </x:c>
      <x:c r="F51" s="8" t="str">
        <x:v>L2</x:v>
      </x:c>
      <x:c r="G51" s="8" t="str">
        <x:v>light</x:v>
      </x:c>
      <x:c r="H51" s="8" t="str">
        <x:v>drop</x:v>
      </x:c>
      <x:c r="I51" s="11" t="n">
        <x:f>SUMIF('Route Points'!$A$7:$A$1910,A51,'Route Points'!$F$7:$F$1910)</x:f>
        <x:v>2.061000000000001</x:v>
      </x:c>
      <x:c r="J51" s="11"/>
      <x:c r="K51" s="11" t="str">
        <x:f>IF(L51="Full home run",I51+J51,"")</x:f>
      </x:c>
      <x:c r="L51" s="8" t="str">
        <x:v>Route segment</x:v>
      </x:c>
      <x:c r="M51" s="13"/>
      <x:c r="N51" s="11" t="str">
        <x:f>IF(OR(M51="",L51="Shared bundle"),"",IF(L51="Full home run",K51,I51)+M51)</x:f>
      </x:c>
      <x:c r="O51" s="8" t="str">
        <x:v>Cable type / conductors / cross-section / conduit: pending electrical design</x:v>
      </x:c>
      <x:c r="P51" s="8" t="str">
        <x:v>Wall / beam or roof containment, then pendant connection</x:v>
      </x:c>
      <x:c r="Q51" s="9"/>
      <x:c r="R51" s="9"/>
      <x:c r="S51" s="13"/>
      <x:c r="T51" s="9"/>
      <x:c r="U51" s="9"/>
      <x:c r="V51" s="9"/>
      <x:c r="W51" s="9"/>
      <x:c r="X51" s="9"/>
      <x:c r="Y51" s="8" t="str">
        <x:v>Current</x:v>
      </x:c>
      <x:c r="Z51" s="8" t="str">
        <x:v>trunk:LC1:L2:light:-1</x:v>
      </x:c>
    </x:row>
    <x:row r="52" ht="90" customHeight="1">
      <x:c r="A52" s="8" t="str">
        <x:v>drop:LC1:L2:light:-1:L39</x:v>
      </x:c>
      <x:c r="B52" s="8" t="str">
        <x:v>L2 → Reading light · axis 5 · B outer</x:v>
      </x:c>
      <x:c r="C52" s="8" t="str">
        <x:v>LC1</x:v>
      </x:c>
      <x:c r="D52" s="8" t="str">
        <x:v>L39</x:v>
      </x:c>
      <x:c r="E52" s="8" t="str">
        <x:v>DB1</x:v>
      </x:c>
      <x:c r="F52" s="8" t="str">
        <x:v>L2</x:v>
      </x:c>
      <x:c r="G52" s="8" t="str">
        <x:v>light</x:v>
      </x:c>
      <x:c r="H52" s="8" t="str">
        <x:v>drop</x:v>
      </x:c>
      <x:c r="I52" s="11" t="n">
        <x:f>SUMIF('Route Points'!$A$7:$A$1910,A52,'Route Points'!$F$7:$F$1910)</x:f>
        <x:v>2.061000000000001</x:v>
      </x:c>
      <x:c r="J52" s="11"/>
      <x:c r="K52" s="11" t="str">
        <x:f>IF(L52="Full home run",I52+J52,"")</x:f>
      </x:c>
      <x:c r="L52" s="8" t="str">
        <x:v>Route segment</x:v>
      </x:c>
      <x:c r="M52" s="13"/>
      <x:c r="N52" s="11" t="str">
        <x:f>IF(OR(M52="",L52="Shared bundle"),"",IF(L52="Full home run",K52,I52)+M52)</x:f>
      </x:c>
      <x:c r="O52" s="8" t="str">
        <x:v>Cable type / conductors / cross-section / conduit: pending electrical design</x:v>
      </x:c>
      <x:c r="P52" s="8" t="str">
        <x:v>Wall / beam or roof containment, then pendant connection</x:v>
      </x:c>
      <x:c r="Q52" s="9"/>
      <x:c r="R52" s="9"/>
      <x:c r="S52" s="13"/>
      <x:c r="T52" s="9"/>
      <x:c r="U52" s="9"/>
      <x:c r="V52" s="9"/>
      <x:c r="W52" s="9"/>
      <x:c r="X52" s="9"/>
      <x:c r="Y52" s="8" t="str">
        <x:v>Current</x:v>
      </x:c>
      <x:c r="Z52" s="8" t="str">
        <x:v>trunk:LC1:L2:light:-1</x:v>
      </x:c>
    </x:row>
    <x:row r="53" ht="90" customHeight="1">
      <x:c r="A53" s="8" t="str">
        <x:v>drop:LC1:L2:light:-1:L40</x:v>
      </x:c>
      <x:c r="B53" s="8" t="str">
        <x:v>L2 → Reading light · axis 5 · B outer · twin</x:v>
      </x:c>
      <x:c r="C53" s="8" t="str">
        <x:v>LC1</x:v>
      </x:c>
      <x:c r="D53" s="8" t="str">
        <x:v>L40</x:v>
      </x:c>
      <x:c r="E53" s="8" t="str">
        <x:v>DB1</x:v>
      </x:c>
      <x:c r="F53" s="8" t="str">
        <x:v>L2</x:v>
      </x:c>
      <x:c r="G53" s="8" t="str">
        <x:v>light</x:v>
      </x:c>
      <x:c r="H53" s="8" t="str">
        <x:v>drop</x:v>
      </x:c>
      <x:c r="I53" s="11" t="n">
        <x:f>SUMIF('Route Points'!$A$7:$A$1910,A53,'Route Points'!$F$7:$F$1910)</x:f>
        <x:v>2.061000000000001</x:v>
      </x:c>
      <x:c r="J53" s="11"/>
      <x:c r="K53" s="11" t="str">
        <x:f>IF(L53="Full home run",I53+J53,"")</x:f>
      </x:c>
      <x:c r="L53" s="8" t="str">
        <x:v>Route segment</x:v>
      </x:c>
      <x:c r="M53" s="13"/>
      <x:c r="N53" s="11" t="str">
        <x:f>IF(OR(M53="",L53="Shared bundle"),"",IF(L53="Full home run",K53,I53)+M53)</x:f>
      </x:c>
      <x:c r="O53" s="8" t="str">
        <x:v>Cable type / conductors / cross-section / conduit: pending electrical design</x:v>
      </x:c>
      <x:c r="P53" s="8" t="str">
        <x:v>Wall / beam or roof containment, then pendant connection</x:v>
      </x:c>
      <x:c r="Q53" s="9"/>
      <x:c r="R53" s="9"/>
      <x:c r="S53" s="13"/>
      <x:c r="T53" s="9"/>
      <x:c r="U53" s="9"/>
      <x:c r="V53" s="9"/>
      <x:c r="W53" s="9"/>
      <x:c r="X53" s="9"/>
      <x:c r="Y53" s="8" t="str">
        <x:v>Current</x:v>
      </x:c>
      <x:c r="Z53" s="8" t="str">
        <x:v>trunk:LC1:L2:light:-1</x:v>
      </x:c>
    </x:row>
    <x:row r="54" ht="90" customHeight="1">
      <x:c r="A54" s="8" t="str">
        <x:v>drop:LC1:L2:light:-1:L43</x:v>
      </x:c>
      <x:c r="B54" s="8" t="str">
        <x:v>L2 → Reading light · axis 6 · B outer</x:v>
      </x:c>
      <x:c r="C54" s="8" t="str">
        <x:v>LC1</x:v>
      </x:c>
      <x:c r="D54" s="8" t="str">
        <x:v>L43</x:v>
      </x:c>
      <x:c r="E54" s="8" t="str">
        <x:v>DB1</x:v>
      </x:c>
      <x:c r="F54" s="8" t="str">
        <x:v>L2</x:v>
      </x:c>
      <x:c r="G54" s="8" t="str">
        <x:v>light</x:v>
      </x:c>
      <x:c r="H54" s="8" t="str">
        <x:v>drop</x:v>
      </x:c>
      <x:c r="I54" s="11" t="n">
        <x:f>SUMIF('Route Points'!$A$7:$A$1910,A54,'Route Points'!$F$7:$F$1910)</x:f>
        <x:v>2.061000000000001</x:v>
      </x:c>
      <x:c r="J54" s="11"/>
      <x:c r="K54" s="11" t="str">
        <x:f>IF(L54="Full home run",I54+J54,"")</x:f>
      </x:c>
      <x:c r="L54" s="8" t="str">
        <x:v>Route segment</x:v>
      </x:c>
      <x:c r="M54" s="13"/>
      <x:c r="N54" s="11" t="str">
        <x:f>IF(OR(M54="",L54="Shared bundle"),"",IF(L54="Full home run",K54,I54)+M54)</x:f>
      </x:c>
      <x:c r="O54" s="8" t="str">
        <x:v>Cable type / conductors / cross-section / conduit: pending electrical design</x:v>
      </x:c>
      <x:c r="P54" s="8" t="str">
        <x:v>Wall / beam or roof containment, then pendant connection</x:v>
      </x:c>
      <x:c r="Q54" s="9"/>
      <x:c r="R54" s="9"/>
      <x:c r="S54" s="13"/>
      <x:c r="T54" s="9"/>
      <x:c r="U54" s="9"/>
      <x:c r="V54" s="9"/>
      <x:c r="W54" s="9"/>
      <x:c r="X54" s="9"/>
      <x:c r="Y54" s="8" t="str">
        <x:v>Current</x:v>
      </x:c>
      <x:c r="Z54" s="8" t="str">
        <x:v>trunk:LC1:L2:light:-1</x:v>
      </x:c>
    </x:row>
    <x:row r="55" ht="90" customHeight="1">
      <x:c r="A55" s="8" t="str">
        <x:v>drop:LC1:L2:light:-1:L44</x:v>
      </x:c>
      <x:c r="B55" s="8" t="str">
        <x:v>L2 → Reading light · axis 6 · B outer · twin</x:v>
      </x:c>
      <x:c r="C55" s="8" t="str">
        <x:v>LC1</x:v>
      </x:c>
      <x:c r="D55" s="8" t="str">
        <x:v>L44</x:v>
      </x:c>
      <x:c r="E55" s="8" t="str">
        <x:v>DB1</x:v>
      </x:c>
      <x:c r="F55" s="8" t="str">
        <x:v>L2</x:v>
      </x:c>
      <x:c r="G55" s="8" t="str">
        <x:v>light</x:v>
      </x:c>
      <x:c r="H55" s="8" t="str">
        <x:v>drop</x:v>
      </x:c>
      <x:c r="I55" s="11" t="n">
        <x:f>SUMIF('Route Points'!$A$7:$A$1910,A55,'Route Points'!$F$7:$F$1910)</x:f>
        <x:v>2.061000000000001</x:v>
      </x:c>
      <x:c r="J55" s="11"/>
      <x:c r="K55" s="11" t="str">
        <x:f>IF(L55="Full home run",I55+J55,"")</x:f>
      </x:c>
      <x:c r="L55" s="8" t="str">
        <x:v>Route segment</x:v>
      </x:c>
      <x:c r="M55" s="13"/>
      <x:c r="N55" s="11" t="str">
        <x:f>IF(OR(M55="",L55="Shared bundle"),"",IF(L55="Full home run",K55,I55)+M55)</x:f>
      </x:c>
      <x:c r="O55" s="8" t="str">
        <x:v>Cable type / conductors / cross-section / conduit: pending electrical design</x:v>
      </x:c>
      <x:c r="P55" s="8" t="str">
        <x:v>Wall / beam or roof containment, then pendant connection</x:v>
      </x:c>
      <x:c r="Q55" s="9"/>
      <x:c r="R55" s="9"/>
      <x:c r="S55" s="13"/>
      <x:c r="T55" s="9"/>
      <x:c r="U55" s="9"/>
      <x:c r="V55" s="9"/>
      <x:c r="W55" s="9"/>
      <x:c r="X55" s="9"/>
      <x:c r="Y55" s="8" t="str">
        <x:v>Current</x:v>
      </x:c>
      <x:c r="Z55" s="8" t="str">
        <x:v>trunk:LC1:L2:light:-1</x:v>
      </x:c>
    </x:row>
    <x:row r="56" ht="90" customHeight="1">
      <x:c r="A56" s="8" t="str">
        <x:v>drop:LC1:L2:light:-1:L47</x:v>
      </x:c>
      <x:c r="B56" s="8" t="str">
        <x:v>L2 → Reading light · axis 7 · B outer</x:v>
      </x:c>
      <x:c r="C56" s="8" t="str">
        <x:v>LC1</x:v>
      </x:c>
      <x:c r="D56" s="8" t="str">
        <x:v>L47</x:v>
      </x:c>
      <x:c r="E56" s="8" t="str">
        <x:v>DB1</x:v>
      </x:c>
      <x:c r="F56" s="8" t="str">
        <x:v>L2</x:v>
      </x:c>
      <x:c r="G56" s="8" t="str">
        <x:v>light</x:v>
      </x:c>
      <x:c r="H56" s="8" t="str">
        <x:v>drop</x:v>
      </x:c>
      <x:c r="I56" s="11" t="n">
        <x:f>SUMIF('Route Points'!$A$7:$A$1910,A56,'Route Points'!$F$7:$F$1910)</x:f>
        <x:v>2.061000000000001</x:v>
      </x:c>
      <x:c r="J56" s="11"/>
      <x:c r="K56" s="11" t="str">
        <x:f>IF(L56="Full home run",I56+J56,"")</x:f>
      </x:c>
      <x:c r="L56" s="8" t="str">
        <x:v>Route segment</x:v>
      </x:c>
      <x:c r="M56" s="13"/>
      <x:c r="N56" s="11" t="str">
        <x:f>IF(OR(M56="",L56="Shared bundle"),"",IF(L56="Full home run",K56,I56)+M56)</x:f>
      </x:c>
      <x:c r="O56" s="8" t="str">
        <x:v>Cable type / conductors / cross-section / conduit: pending electrical design</x:v>
      </x:c>
      <x:c r="P56" s="8" t="str">
        <x:v>Wall / beam or roof containment, then pendant connection</x:v>
      </x:c>
      <x:c r="Q56" s="9"/>
      <x:c r="R56" s="9"/>
      <x:c r="S56" s="13"/>
      <x:c r="T56" s="9"/>
      <x:c r="U56" s="9"/>
      <x:c r="V56" s="9"/>
      <x:c r="W56" s="9"/>
      <x:c r="X56" s="9"/>
      <x:c r="Y56" s="8" t="str">
        <x:v>Current</x:v>
      </x:c>
      <x:c r="Z56" s="8" t="str">
        <x:v>trunk:LC1:L2:light:-1</x:v>
      </x:c>
    </x:row>
    <x:row r="57" ht="90" customHeight="1">
      <x:c r="A57" s="8" t="str">
        <x:v>drop:LC1:L2:light:-1:L48</x:v>
      </x:c>
      <x:c r="B57" s="8" t="str">
        <x:v>L2 → Reading light · axis 7 · B outer · twin</x:v>
      </x:c>
      <x:c r="C57" s="8" t="str">
        <x:v>LC1</x:v>
      </x:c>
      <x:c r="D57" s="8" t="str">
        <x:v>L48</x:v>
      </x:c>
      <x:c r="E57" s="8" t="str">
        <x:v>DB1</x:v>
      </x:c>
      <x:c r="F57" s="8" t="str">
        <x:v>L2</x:v>
      </x:c>
      <x:c r="G57" s="8" t="str">
        <x:v>light</x:v>
      </x:c>
      <x:c r="H57" s="8" t="str">
        <x:v>drop</x:v>
      </x:c>
      <x:c r="I57" s="11" t="n">
        <x:f>SUMIF('Route Points'!$A$7:$A$1910,A57,'Route Points'!$F$7:$F$1910)</x:f>
        <x:v>2.061000000000001</x:v>
      </x:c>
      <x:c r="J57" s="11"/>
      <x:c r="K57" s="11" t="str">
        <x:f>IF(L57="Full home run",I57+J57,"")</x:f>
      </x:c>
      <x:c r="L57" s="8" t="str">
        <x:v>Route segment</x:v>
      </x:c>
      <x:c r="M57" s="13"/>
      <x:c r="N57" s="11" t="str">
        <x:f>IF(OR(M57="",L57="Shared bundle"),"",IF(L57="Full home run",K57,I57)+M57)</x:f>
      </x:c>
      <x:c r="O57" s="8" t="str">
        <x:v>Cable type / conductors / cross-section / conduit: pending electrical design</x:v>
      </x:c>
      <x:c r="P57" s="8" t="str">
        <x:v>Wall / beam or roof containment, then pendant connection</x:v>
      </x:c>
      <x:c r="Q57" s="9"/>
      <x:c r="R57" s="9"/>
      <x:c r="S57" s="13"/>
      <x:c r="T57" s="9"/>
      <x:c r="U57" s="9"/>
      <x:c r="V57" s="9"/>
      <x:c r="W57" s="9"/>
      <x:c r="X57" s="9"/>
      <x:c r="Y57" s="8" t="str">
        <x:v>Current</x:v>
      </x:c>
      <x:c r="Z57" s="8" t="str">
        <x:v>trunk:LC1:L2:light:-1</x:v>
      </x:c>
    </x:row>
    <x:row r="58" ht="90" customHeight="1">
      <x:c r="A58" s="8" t="str">
        <x:v>drop:LC1:L2:light:-1:L51</x:v>
      </x:c>
      <x:c r="B58" s="8" t="str">
        <x:v>L2 → Reading light · axis 8 · B outer</x:v>
      </x:c>
      <x:c r="C58" s="8" t="str">
        <x:v>LC1</x:v>
      </x:c>
      <x:c r="D58" s="8" t="str">
        <x:v>L51</x:v>
      </x:c>
      <x:c r="E58" s="8" t="str">
        <x:v>DB1</x:v>
      </x:c>
      <x:c r="F58" s="8" t="str">
        <x:v>L2</x:v>
      </x:c>
      <x:c r="G58" s="8" t="str">
        <x:v>light</x:v>
      </x:c>
      <x:c r="H58" s="8" t="str">
        <x:v>drop</x:v>
      </x:c>
      <x:c r="I58" s="11" t="n">
        <x:f>SUMIF('Route Points'!$A$7:$A$1910,A58,'Route Points'!$F$7:$F$1910)</x:f>
        <x:v>2.061000000000001</x:v>
      </x:c>
      <x:c r="J58" s="11"/>
      <x:c r="K58" s="11" t="str">
        <x:f>IF(L58="Full home run",I58+J58,"")</x:f>
      </x:c>
      <x:c r="L58" s="8" t="str">
        <x:v>Route segment</x:v>
      </x:c>
      <x:c r="M58" s="13"/>
      <x:c r="N58" s="11" t="str">
        <x:f>IF(OR(M58="",L58="Shared bundle"),"",IF(L58="Full home run",K58,I58)+M58)</x:f>
      </x:c>
      <x:c r="O58" s="8" t="str">
        <x:v>Cable type / conductors / cross-section / conduit: pending electrical design</x:v>
      </x:c>
      <x:c r="P58" s="8" t="str">
        <x:v>Wall / beam or roof containment, then pendant connection</x:v>
      </x:c>
      <x:c r="Q58" s="9"/>
      <x:c r="R58" s="9"/>
      <x:c r="S58" s="13"/>
      <x:c r="T58" s="9"/>
      <x:c r="U58" s="9"/>
      <x:c r="V58" s="9"/>
      <x:c r="W58" s="9"/>
      <x:c r="X58" s="9"/>
      <x:c r="Y58" s="8" t="str">
        <x:v>Current</x:v>
      </x:c>
      <x:c r="Z58" s="8" t="str">
        <x:v>trunk:LC1:L2:light:-1</x:v>
      </x:c>
    </x:row>
    <x:row r="59" ht="90" customHeight="1">
      <x:c r="A59" s="8" t="str">
        <x:v>drop:LC1:L2:light:-1:L52</x:v>
      </x:c>
      <x:c r="B59" s="8" t="str">
        <x:v>L2 → Reading light · axis 8 · B outer · twin</x:v>
      </x:c>
      <x:c r="C59" s="8" t="str">
        <x:v>LC1</x:v>
      </x:c>
      <x:c r="D59" s="8" t="str">
        <x:v>L52</x:v>
      </x:c>
      <x:c r="E59" s="8" t="str">
        <x:v>DB1</x:v>
      </x:c>
      <x:c r="F59" s="8" t="str">
        <x:v>L2</x:v>
      </x:c>
      <x:c r="G59" s="8" t="str">
        <x:v>light</x:v>
      </x:c>
      <x:c r="H59" s="8" t="str">
        <x:v>drop</x:v>
      </x:c>
      <x:c r="I59" s="11" t="n">
        <x:f>SUMIF('Route Points'!$A$7:$A$1910,A59,'Route Points'!$F$7:$F$1910)</x:f>
        <x:v>2.061000000000001</x:v>
      </x:c>
      <x:c r="J59" s="11"/>
      <x:c r="K59" s="11" t="str">
        <x:f>IF(L59="Full home run",I59+J59,"")</x:f>
      </x:c>
      <x:c r="L59" s="8" t="str">
        <x:v>Route segment</x:v>
      </x:c>
      <x:c r="M59" s="13"/>
      <x:c r="N59" s="11" t="str">
        <x:f>IF(OR(M59="",L59="Shared bundle"),"",IF(L59="Full home run",K59,I59)+M59)</x:f>
      </x:c>
      <x:c r="O59" s="8" t="str">
        <x:v>Cable type / conductors / cross-section / conduit: pending electrical design</x:v>
      </x:c>
      <x:c r="P59" s="8" t="str">
        <x:v>Wall / beam or roof containment, then pendant connection</x:v>
      </x:c>
      <x:c r="Q59" s="9"/>
      <x:c r="R59" s="9"/>
      <x:c r="S59" s="13"/>
      <x:c r="T59" s="9"/>
      <x:c r="U59" s="9"/>
      <x:c r="V59" s="9"/>
      <x:c r="W59" s="9"/>
      <x:c r="X59" s="9"/>
      <x:c r="Y59" s="8" t="str">
        <x:v>Current</x:v>
      </x:c>
      <x:c r="Z59" s="8" t="str">
        <x:v>trunk:LC1:L2:light:-1</x:v>
      </x:c>
    </x:row>
    <x:row r="60" ht="90" customHeight="1">
      <x:c r="A60" s="8" t="str">
        <x:v>drop:LC1:L2:light:-1:L55</x:v>
      </x:c>
      <x:c r="B60" s="8" t="str">
        <x:v>L2 → Reading light · axis 9 · B outer</x:v>
      </x:c>
      <x:c r="C60" s="8" t="str">
        <x:v>LC1</x:v>
      </x:c>
      <x:c r="D60" s="8" t="str">
        <x:v>L55</x:v>
      </x:c>
      <x:c r="E60" s="8" t="str">
        <x:v>DB1</x:v>
      </x:c>
      <x:c r="F60" s="8" t="str">
        <x:v>L2</x:v>
      </x:c>
      <x:c r="G60" s="8" t="str">
        <x:v>light</x:v>
      </x:c>
      <x:c r="H60" s="8" t="str">
        <x:v>drop</x:v>
      </x:c>
      <x:c r="I60" s="11" t="n">
        <x:f>SUMIF('Route Points'!$A$7:$A$1910,A60,'Route Points'!$F$7:$F$1910)</x:f>
        <x:v>7.941000000000001</x:v>
      </x:c>
      <x:c r="J60" s="11"/>
      <x:c r="K60" s="11" t="str">
        <x:f>IF(L60="Full home run",I60+J60,"")</x:f>
      </x:c>
      <x:c r="L60" s="8" t="str">
        <x:v>Route segment</x:v>
      </x:c>
      <x:c r="M60" s="13"/>
      <x:c r="N60" s="11" t="str">
        <x:f>IF(OR(M60="",L60="Shared bundle"),"",IF(L60="Full home run",K60,I60)+M60)</x:f>
      </x:c>
      <x:c r="O60" s="8" t="str">
        <x:v>Cable type / conductors / cross-section / conduit: pending electrical design</x:v>
      </x:c>
      <x:c r="P60" s="8" t="str">
        <x:v>Wall / beam or roof containment, then pendant connection</x:v>
      </x:c>
      <x:c r="Q60" s="9"/>
      <x:c r="R60" s="9"/>
      <x:c r="S60" s="13"/>
      <x:c r="T60" s="9"/>
      <x:c r="U60" s="9"/>
      <x:c r="V60" s="9"/>
      <x:c r="W60" s="9"/>
      <x:c r="X60" s="9"/>
      <x:c r="Y60" s="8" t="str">
        <x:v>Current</x:v>
      </x:c>
      <x:c r="Z60" s="8" t="str">
        <x:v>trunk:LC1:L2:light:-1</x:v>
      </x:c>
    </x:row>
    <x:row r="61" ht="90" customHeight="1">
      <x:c r="A61" s="8" t="str">
        <x:v>drop:LC1:L2:light:-1:L56</x:v>
      </x:c>
      <x:c r="B61" s="8" t="str">
        <x:v>L2 → Reading light · axis 9 · B outer · twin</x:v>
      </x:c>
      <x:c r="C61" s="8" t="str">
        <x:v>LC1</x:v>
      </x:c>
      <x:c r="D61" s="8" t="str">
        <x:v>L56</x:v>
      </x:c>
      <x:c r="E61" s="8" t="str">
        <x:v>DB1</x:v>
      </x:c>
      <x:c r="F61" s="8" t="str">
        <x:v>L2</x:v>
      </x:c>
      <x:c r="G61" s="8" t="str">
        <x:v>light</x:v>
      </x:c>
      <x:c r="H61" s="8" t="str">
        <x:v>drop</x:v>
      </x:c>
      <x:c r="I61" s="11" t="n">
        <x:f>SUMIF('Route Points'!$A$7:$A$1910,A61,'Route Points'!$F$7:$F$1910)</x:f>
        <x:v>7.941000000000001</x:v>
      </x:c>
      <x:c r="J61" s="11"/>
      <x:c r="K61" s="11" t="str">
        <x:f>IF(L61="Full home run",I61+J61,"")</x:f>
      </x:c>
      <x:c r="L61" s="8" t="str">
        <x:v>Route segment</x:v>
      </x:c>
      <x:c r="M61" s="13"/>
      <x:c r="N61" s="11" t="str">
        <x:f>IF(OR(M61="",L61="Shared bundle"),"",IF(L61="Full home run",K61,I61)+M61)</x:f>
      </x:c>
      <x:c r="O61" s="8" t="str">
        <x:v>Cable type / conductors / cross-section / conduit: pending electrical design</x:v>
      </x:c>
      <x:c r="P61" s="8" t="str">
        <x:v>Wall / beam or roof containment, then pendant connection</x:v>
      </x:c>
      <x:c r="Q61" s="9"/>
      <x:c r="R61" s="9"/>
      <x:c r="S61" s="13"/>
      <x:c r="T61" s="9"/>
      <x:c r="U61" s="9"/>
      <x:c r="V61" s="9"/>
      <x:c r="W61" s="9"/>
      <x:c r="X61" s="9"/>
      <x:c r="Y61" s="8" t="str">
        <x:v>Current</x:v>
      </x:c>
      <x:c r="Z61" s="8" t="str">
        <x:v>trunk:LC1:L2:light:-1</x:v>
      </x:c>
    </x:row>
    <x:row r="62" ht="194" customHeight="1">
      <x:c r="A62" s="8" t="str">
        <x:v>trunk:LC1:L2:light:1</x:v>
      </x:c>
      <x:c r="B62" s="8" t="str">
        <x:v>L2 · H · circuit trunk</x:v>
      </x:c>
      <x:c r="C62" s="8" t="str">
        <x:v>LC1</x:v>
      </x:c>
      <x:c r="D62" s="8" t="str">
        <x:v>L33
L34
L37
L38
L41
L42
L45
L46
L49
L50
L53
L54
L57
L58</x:v>
      </x:c>
      <x:c r="E62" s="8" t="str">
        <x:v>DB1</x:v>
      </x:c>
      <x:c r="F62" s="8" t="str">
        <x:v>L2</x:v>
      </x:c>
      <x:c r="G62" s="8" t="str">
        <x:v>light</x:v>
      </x:c>
      <x:c r="H62" s="8" t="str">
        <x:v>trunk</x:v>
      </x:c>
      <x:c r="I62" s="11" t="n">
        <x:f>SUMIF('Route Points'!$A$7:$A$1910,A62,'Route Points'!$F$7:$F$1910)</x:f>
        <x:v>77.834</x:v>
      </x:c>
      <x:c r="J62" s="11"/>
      <x:c r="K62" s="11" t="str">
        <x:f>IF(L62="Full home run",I62+J62,"")</x:f>
      </x:c>
      <x:c r="L62" s="8" t="str">
        <x:v>Route segment</x:v>
      </x:c>
      <x:c r="M62" s="13"/>
      <x:c r="N62" s="11" t="str">
        <x:f>IF(OR(M62="",L62="Shared bundle"),"",IF(L62="Full home run",K62,I62)+M62)</x:f>
      </x:c>
      <x:c r="O62" s="8" t="str">
        <x:v>Cable type / conductors / cross-section / conduit: pending electrical design</x:v>
      </x:c>
      <x:c r="P62" s="8" t="str">
        <x:v>Concealed wall band above openings; ceiling containment at wing returns</x:v>
      </x:c>
      <x:c r="Q62" s="9"/>
      <x:c r="R62" s="9"/>
      <x:c r="S62" s="13"/>
      <x:c r="T62" s="9"/>
      <x:c r="U62" s="9"/>
      <x:c r="V62" s="9"/>
      <x:c r="W62" s="9"/>
      <x:c r="X62" s="9"/>
      <x:c r="Y62" s="8" t="str">
        <x:v>Current</x:v>
      </x:c>
      <x:c r="Z62" s="8"/>
    </x:row>
    <x:row r="63" ht="90" customHeight="1">
      <x:c r="A63" s="8" t="str">
        <x:v>drop:LC1:L2:light:1:L33</x:v>
      </x:c>
      <x:c r="B63" s="8" t="str">
        <x:v>L2 → Reading light · axis 3 · H outer</x:v>
      </x:c>
      <x:c r="C63" s="8" t="str">
        <x:v>LC1</x:v>
      </x:c>
      <x:c r="D63" s="8" t="str">
        <x:v>L33</x:v>
      </x:c>
      <x:c r="E63" s="8" t="str">
        <x:v>DB1</x:v>
      </x:c>
      <x:c r="F63" s="8" t="str">
        <x:v>L2</x:v>
      </x:c>
      <x:c r="G63" s="8" t="str">
        <x:v>light</x:v>
      </x:c>
      <x:c r="H63" s="8" t="str">
        <x:v>drop</x:v>
      </x:c>
      <x:c r="I63" s="11" t="n">
        <x:f>SUMIF('Route Points'!$A$7:$A$1910,A63,'Route Points'!$F$7:$F$1910)</x:f>
        <x:v>2.061000000000001</x:v>
      </x:c>
      <x:c r="J63" s="11"/>
      <x:c r="K63" s="11" t="str">
        <x:f>IF(L63="Full home run",I63+J63,"")</x:f>
      </x:c>
      <x:c r="L63" s="8" t="str">
        <x:v>Route segment</x:v>
      </x:c>
      <x:c r="M63" s="13"/>
      <x:c r="N63" s="11" t="str">
        <x:f>IF(OR(M63="",L63="Shared bundle"),"",IF(L63="Full home run",K63,I63)+M63)</x:f>
      </x:c>
      <x:c r="O63" s="8" t="str">
        <x:v>Cable type / conductors / cross-section / conduit: pending electrical design</x:v>
      </x:c>
      <x:c r="P63" s="8" t="str">
        <x:v>Wall / beam or roof containment, then pendant connection</x:v>
      </x:c>
      <x:c r="Q63" s="9"/>
      <x:c r="R63" s="9"/>
      <x:c r="S63" s="13"/>
      <x:c r="T63" s="9"/>
      <x:c r="U63" s="9"/>
      <x:c r="V63" s="9"/>
      <x:c r="W63" s="9"/>
      <x:c r="X63" s="9"/>
      <x:c r="Y63" s="8" t="str">
        <x:v>Current</x:v>
      </x:c>
      <x:c r="Z63" s="8" t="str">
        <x:v>trunk:LC1:L2:light:1</x:v>
      </x:c>
    </x:row>
    <x:row r="64" ht="90" customHeight="1">
      <x:c r="A64" s="8" t="str">
        <x:v>drop:LC1:L2:light:1:L34</x:v>
      </x:c>
      <x:c r="B64" s="8" t="str">
        <x:v>L2 → Reading light · axis 3 · H outer · twin</x:v>
      </x:c>
      <x:c r="C64" s="8" t="str">
        <x:v>LC1</x:v>
      </x:c>
      <x:c r="D64" s="8" t="str">
        <x:v>L34</x:v>
      </x:c>
      <x:c r="E64" s="8" t="str">
        <x:v>DB1</x:v>
      </x:c>
      <x:c r="F64" s="8" t="str">
        <x:v>L2</x:v>
      </x:c>
      <x:c r="G64" s="8" t="str">
        <x:v>light</x:v>
      </x:c>
      <x:c r="H64" s="8" t="str">
        <x:v>drop</x:v>
      </x:c>
      <x:c r="I64" s="11" t="n">
        <x:f>SUMIF('Route Points'!$A$7:$A$1910,A64,'Route Points'!$F$7:$F$1910)</x:f>
        <x:v>2.061000000000001</x:v>
      </x:c>
      <x:c r="J64" s="11"/>
      <x:c r="K64" s="11" t="str">
        <x:f>IF(L64="Full home run",I64+J64,"")</x:f>
      </x:c>
      <x:c r="L64" s="8" t="str">
        <x:v>Route segment</x:v>
      </x:c>
      <x:c r="M64" s="13"/>
      <x:c r="N64" s="11" t="str">
        <x:f>IF(OR(M64="",L64="Shared bundle"),"",IF(L64="Full home run",K64,I64)+M64)</x:f>
      </x:c>
      <x:c r="O64" s="8" t="str">
        <x:v>Cable type / conductors / cross-section / conduit: pending electrical design</x:v>
      </x:c>
      <x:c r="P64" s="8" t="str">
        <x:v>Wall / beam or roof containment, then pendant connection</x:v>
      </x:c>
      <x:c r="Q64" s="9"/>
      <x:c r="R64" s="9"/>
      <x:c r="S64" s="13"/>
      <x:c r="T64" s="9"/>
      <x:c r="U64" s="9"/>
      <x:c r="V64" s="9"/>
      <x:c r="W64" s="9"/>
      <x:c r="X64" s="9"/>
      <x:c r="Y64" s="8" t="str">
        <x:v>Current</x:v>
      </x:c>
      <x:c r="Z64" s="8" t="str">
        <x:v>trunk:LC1:L2:light:1</x:v>
      </x:c>
    </x:row>
    <x:row r="65" ht="90" customHeight="1">
      <x:c r="A65" s="8" t="str">
        <x:v>drop:LC1:L2:light:1:L37</x:v>
      </x:c>
      <x:c r="B65" s="8" t="str">
        <x:v>L2 → Reading light · axis 4 · H outer</x:v>
      </x:c>
      <x:c r="C65" s="8" t="str">
        <x:v>LC1</x:v>
      </x:c>
      <x:c r="D65" s="8" t="str">
        <x:v>L37</x:v>
      </x:c>
      <x:c r="E65" s="8" t="str">
        <x:v>DB1</x:v>
      </x:c>
      <x:c r="F65" s="8" t="str">
        <x:v>L2</x:v>
      </x:c>
      <x:c r="G65" s="8" t="str">
        <x:v>light</x:v>
      </x:c>
      <x:c r="H65" s="8" t="str">
        <x:v>drop</x:v>
      </x:c>
      <x:c r="I65" s="11" t="n">
        <x:f>SUMIF('Route Points'!$A$7:$A$1910,A65,'Route Points'!$F$7:$F$1910)</x:f>
        <x:v>2.061000000000001</x:v>
      </x:c>
      <x:c r="J65" s="11"/>
      <x:c r="K65" s="11" t="str">
        <x:f>IF(L65="Full home run",I65+J65,"")</x:f>
      </x:c>
      <x:c r="L65" s="8" t="str">
        <x:v>Route segment</x:v>
      </x:c>
      <x:c r="M65" s="13"/>
      <x:c r="N65" s="11" t="str">
        <x:f>IF(OR(M65="",L65="Shared bundle"),"",IF(L65="Full home run",K65,I65)+M65)</x:f>
      </x:c>
      <x:c r="O65" s="8" t="str">
        <x:v>Cable type / conductors / cross-section / conduit: pending electrical design</x:v>
      </x:c>
      <x:c r="P65" s="8" t="str">
        <x:v>Wall / beam or roof containment, then pendant connection</x:v>
      </x:c>
      <x:c r="Q65" s="9"/>
      <x:c r="R65" s="9"/>
      <x:c r="S65" s="13"/>
      <x:c r="T65" s="9"/>
      <x:c r="U65" s="9"/>
      <x:c r="V65" s="9"/>
      <x:c r="W65" s="9"/>
      <x:c r="X65" s="9"/>
      <x:c r="Y65" s="8" t="str">
        <x:v>Current</x:v>
      </x:c>
      <x:c r="Z65" s="8" t="str">
        <x:v>trunk:LC1:L2:light:1</x:v>
      </x:c>
    </x:row>
    <x:row r="66" ht="90" customHeight="1">
      <x:c r="A66" s="8" t="str">
        <x:v>drop:LC1:L2:light:1:L38</x:v>
      </x:c>
      <x:c r="B66" s="8" t="str">
        <x:v>L2 → Reading light · axis 4 · H outer · twin</x:v>
      </x:c>
      <x:c r="C66" s="8" t="str">
        <x:v>LC1</x:v>
      </x:c>
      <x:c r="D66" s="8" t="str">
        <x:v>L38</x:v>
      </x:c>
      <x:c r="E66" s="8" t="str">
        <x:v>DB1</x:v>
      </x:c>
      <x:c r="F66" s="8" t="str">
        <x:v>L2</x:v>
      </x:c>
      <x:c r="G66" s="8" t="str">
        <x:v>light</x:v>
      </x:c>
      <x:c r="H66" s="8" t="str">
        <x:v>drop</x:v>
      </x:c>
      <x:c r="I66" s="11" t="n">
        <x:f>SUMIF('Route Points'!$A$7:$A$1910,A66,'Route Points'!$F$7:$F$1910)</x:f>
        <x:v>2.061000000000001</x:v>
      </x:c>
      <x:c r="J66" s="11"/>
      <x:c r="K66" s="11" t="str">
        <x:f>IF(L66="Full home run",I66+J66,"")</x:f>
      </x:c>
      <x:c r="L66" s="8" t="str">
        <x:v>Route segment</x:v>
      </x:c>
      <x:c r="M66" s="13"/>
      <x:c r="N66" s="11" t="str">
        <x:f>IF(OR(M66="",L66="Shared bundle"),"",IF(L66="Full home run",K66,I66)+M66)</x:f>
      </x:c>
      <x:c r="O66" s="8" t="str">
        <x:v>Cable type / conductors / cross-section / conduit: pending electrical design</x:v>
      </x:c>
      <x:c r="P66" s="8" t="str">
        <x:v>Wall / beam or roof containment, then pendant connection</x:v>
      </x:c>
      <x:c r="Q66" s="9"/>
      <x:c r="R66" s="9"/>
      <x:c r="S66" s="13"/>
      <x:c r="T66" s="9"/>
      <x:c r="U66" s="9"/>
      <x:c r="V66" s="9"/>
      <x:c r="W66" s="9"/>
      <x:c r="X66" s="9"/>
      <x:c r="Y66" s="8" t="str">
        <x:v>Current</x:v>
      </x:c>
      <x:c r="Z66" s="8" t="str">
        <x:v>trunk:LC1:L2:light:1</x:v>
      </x:c>
    </x:row>
    <x:row r="67" ht="90" customHeight="1">
      <x:c r="A67" s="8" t="str">
        <x:v>drop:LC1:L2:light:1:L41</x:v>
      </x:c>
      <x:c r="B67" s="8" t="str">
        <x:v>L2 → Reading light · axis 5 · H outer</x:v>
      </x:c>
      <x:c r="C67" s="8" t="str">
        <x:v>LC1</x:v>
      </x:c>
      <x:c r="D67" s="8" t="str">
        <x:v>L41</x:v>
      </x:c>
      <x:c r="E67" s="8" t="str">
        <x:v>DB1</x:v>
      </x:c>
      <x:c r="F67" s="8" t="str">
        <x:v>L2</x:v>
      </x:c>
      <x:c r="G67" s="8" t="str">
        <x:v>light</x:v>
      </x:c>
      <x:c r="H67" s="8" t="str">
        <x:v>drop</x:v>
      </x:c>
      <x:c r="I67" s="11" t="n">
        <x:f>SUMIF('Route Points'!$A$7:$A$1910,A67,'Route Points'!$F$7:$F$1910)</x:f>
        <x:v>2.061000000000001</x:v>
      </x:c>
      <x:c r="J67" s="11"/>
      <x:c r="K67" s="11" t="str">
        <x:f>IF(L67="Full home run",I67+J67,"")</x:f>
      </x:c>
      <x:c r="L67" s="8" t="str">
        <x:v>Route segment</x:v>
      </x:c>
      <x:c r="M67" s="13"/>
      <x:c r="N67" s="11" t="str">
        <x:f>IF(OR(M67="",L67="Shared bundle"),"",IF(L67="Full home run",K67,I67)+M67)</x:f>
      </x:c>
      <x:c r="O67" s="8" t="str">
        <x:v>Cable type / conductors / cross-section / conduit: pending electrical design</x:v>
      </x:c>
      <x:c r="P67" s="8" t="str">
        <x:v>Wall / beam or roof containment, then pendant connection</x:v>
      </x:c>
      <x:c r="Q67" s="9"/>
      <x:c r="R67" s="9"/>
      <x:c r="S67" s="13"/>
      <x:c r="T67" s="9"/>
      <x:c r="U67" s="9"/>
      <x:c r="V67" s="9"/>
      <x:c r="W67" s="9"/>
      <x:c r="X67" s="9"/>
      <x:c r="Y67" s="8" t="str">
        <x:v>Current</x:v>
      </x:c>
      <x:c r="Z67" s="8" t="str">
        <x:v>trunk:LC1:L2:light:1</x:v>
      </x:c>
    </x:row>
    <x:row r="68" ht="90" customHeight="1">
      <x:c r="A68" s="8" t="str">
        <x:v>drop:LC1:L2:light:1:L42</x:v>
      </x:c>
      <x:c r="B68" s="8" t="str">
        <x:v>L2 → Reading light · axis 5 · H outer · twin</x:v>
      </x:c>
      <x:c r="C68" s="8" t="str">
        <x:v>LC1</x:v>
      </x:c>
      <x:c r="D68" s="8" t="str">
        <x:v>L42</x:v>
      </x:c>
      <x:c r="E68" s="8" t="str">
        <x:v>DB1</x:v>
      </x:c>
      <x:c r="F68" s="8" t="str">
        <x:v>L2</x:v>
      </x:c>
      <x:c r="G68" s="8" t="str">
        <x:v>light</x:v>
      </x:c>
      <x:c r="H68" s="8" t="str">
        <x:v>drop</x:v>
      </x:c>
      <x:c r="I68" s="11" t="n">
        <x:f>SUMIF('Route Points'!$A$7:$A$1910,A68,'Route Points'!$F$7:$F$1910)</x:f>
        <x:v>2.061000000000001</x:v>
      </x:c>
      <x:c r="J68" s="11"/>
      <x:c r="K68" s="11" t="str">
        <x:f>IF(L68="Full home run",I68+J68,"")</x:f>
      </x:c>
      <x:c r="L68" s="8" t="str">
        <x:v>Route segment</x:v>
      </x:c>
      <x:c r="M68" s="13"/>
      <x:c r="N68" s="11" t="str">
        <x:f>IF(OR(M68="",L68="Shared bundle"),"",IF(L68="Full home run",K68,I68)+M68)</x:f>
      </x:c>
      <x:c r="O68" s="8" t="str">
        <x:v>Cable type / conductors / cross-section / conduit: pending electrical design</x:v>
      </x:c>
      <x:c r="P68" s="8" t="str">
        <x:v>Wall / beam or roof containment, then pendant connection</x:v>
      </x:c>
      <x:c r="Q68" s="9"/>
      <x:c r="R68" s="9"/>
      <x:c r="S68" s="13"/>
      <x:c r="T68" s="9"/>
      <x:c r="U68" s="9"/>
      <x:c r="V68" s="9"/>
      <x:c r="W68" s="9"/>
      <x:c r="X68" s="9"/>
      <x:c r="Y68" s="8" t="str">
        <x:v>Current</x:v>
      </x:c>
      <x:c r="Z68" s="8" t="str">
        <x:v>trunk:LC1:L2:light:1</x:v>
      </x:c>
    </x:row>
    <x:row r="69" ht="90" customHeight="1">
      <x:c r="A69" s="8" t="str">
        <x:v>drop:LC1:L2:light:1:L45</x:v>
      </x:c>
      <x:c r="B69" s="8" t="str">
        <x:v>L2 → Reading light · axis 6 · H outer</x:v>
      </x:c>
      <x:c r="C69" s="8" t="str">
        <x:v>LC1</x:v>
      </x:c>
      <x:c r="D69" s="8" t="str">
        <x:v>L45</x:v>
      </x:c>
      <x:c r="E69" s="8" t="str">
        <x:v>DB1</x:v>
      </x:c>
      <x:c r="F69" s="8" t="str">
        <x:v>L2</x:v>
      </x:c>
      <x:c r="G69" s="8" t="str">
        <x:v>light</x:v>
      </x:c>
      <x:c r="H69" s="8" t="str">
        <x:v>drop</x:v>
      </x:c>
      <x:c r="I69" s="11" t="n">
        <x:f>SUMIF('Route Points'!$A$7:$A$1910,A69,'Route Points'!$F$7:$F$1910)</x:f>
        <x:v>2.061000000000001</x:v>
      </x:c>
      <x:c r="J69" s="11"/>
      <x:c r="K69" s="11" t="str">
        <x:f>IF(L69="Full home run",I69+J69,"")</x:f>
      </x:c>
      <x:c r="L69" s="8" t="str">
        <x:v>Route segment</x:v>
      </x:c>
      <x:c r="M69" s="13"/>
      <x:c r="N69" s="11" t="str">
        <x:f>IF(OR(M69="",L69="Shared bundle"),"",IF(L69="Full home run",K69,I69)+M69)</x:f>
      </x:c>
      <x:c r="O69" s="8" t="str">
        <x:v>Cable type / conductors / cross-section / conduit: pending electrical design</x:v>
      </x:c>
      <x:c r="P69" s="8" t="str">
        <x:v>Wall / beam or roof containment, then pendant connection</x:v>
      </x:c>
      <x:c r="Q69" s="9"/>
      <x:c r="R69" s="9"/>
      <x:c r="S69" s="13"/>
      <x:c r="T69" s="9"/>
      <x:c r="U69" s="9"/>
      <x:c r="V69" s="9"/>
      <x:c r="W69" s="9"/>
      <x:c r="X69" s="9"/>
      <x:c r="Y69" s="8" t="str">
        <x:v>Current</x:v>
      </x:c>
      <x:c r="Z69" s="8" t="str">
        <x:v>trunk:LC1:L2:light:1</x:v>
      </x:c>
    </x:row>
    <x:row r="70" ht="90" customHeight="1">
      <x:c r="A70" s="8" t="str">
        <x:v>drop:LC1:L2:light:1:L46</x:v>
      </x:c>
      <x:c r="B70" s="8" t="str">
        <x:v>L2 → Reading light · axis 6 · H outer · twin</x:v>
      </x:c>
      <x:c r="C70" s="8" t="str">
        <x:v>LC1</x:v>
      </x:c>
      <x:c r="D70" s="8" t="str">
        <x:v>L46</x:v>
      </x:c>
      <x:c r="E70" s="8" t="str">
        <x:v>DB1</x:v>
      </x:c>
      <x:c r="F70" s="8" t="str">
        <x:v>L2</x:v>
      </x:c>
      <x:c r="G70" s="8" t="str">
        <x:v>light</x:v>
      </x:c>
      <x:c r="H70" s="8" t="str">
        <x:v>drop</x:v>
      </x:c>
      <x:c r="I70" s="11" t="n">
        <x:f>SUMIF('Route Points'!$A$7:$A$1910,A70,'Route Points'!$F$7:$F$1910)</x:f>
        <x:v>2.061000000000001</x:v>
      </x:c>
      <x:c r="J70" s="11"/>
      <x:c r="K70" s="11" t="str">
        <x:f>IF(L70="Full home run",I70+J70,"")</x:f>
      </x:c>
      <x:c r="L70" s="8" t="str">
        <x:v>Route segment</x:v>
      </x:c>
      <x:c r="M70" s="13"/>
      <x:c r="N70" s="11" t="str">
        <x:f>IF(OR(M70="",L70="Shared bundle"),"",IF(L70="Full home run",K70,I70)+M70)</x:f>
      </x:c>
      <x:c r="O70" s="8" t="str">
        <x:v>Cable type / conductors / cross-section / conduit: pending electrical design</x:v>
      </x:c>
      <x:c r="P70" s="8" t="str">
        <x:v>Wall / beam or roof containment, then pendant connection</x:v>
      </x:c>
      <x:c r="Q70" s="9"/>
      <x:c r="R70" s="9"/>
      <x:c r="S70" s="13"/>
      <x:c r="T70" s="9"/>
      <x:c r="U70" s="9"/>
      <x:c r="V70" s="9"/>
      <x:c r="W70" s="9"/>
      <x:c r="X70" s="9"/>
      <x:c r="Y70" s="8" t="str">
        <x:v>Current</x:v>
      </x:c>
      <x:c r="Z70" s="8" t="str">
        <x:v>trunk:LC1:L2:light:1</x:v>
      </x:c>
    </x:row>
    <x:row r="71" ht="90" customHeight="1">
      <x:c r="A71" s="8" t="str">
        <x:v>drop:LC1:L2:light:1:L49</x:v>
      </x:c>
      <x:c r="B71" s="8" t="str">
        <x:v>L2 → Reading light · axis 7 · H outer</x:v>
      </x:c>
      <x:c r="C71" s="8" t="str">
        <x:v>LC1</x:v>
      </x:c>
      <x:c r="D71" s="8" t="str">
        <x:v>L49</x:v>
      </x:c>
      <x:c r="E71" s="8" t="str">
        <x:v>DB1</x:v>
      </x:c>
      <x:c r="F71" s="8" t="str">
        <x:v>L2</x:v>
      </x:c>
      <x:c r="G71" s="8" t="str">
        <x:v>light</x:v>
      </x:c>
      <x:c r="H71" s="8" t="str">
        <x:v>drop</x:v>
      </x:c>
      <x:c r="I71" s="11" t="n">
        <x:f>SUMIF('Route Points'!$A$7:$A$1910,A71,'Route Points'!$F$7:$F$1910)</x:f>
        <x:v>2.061000000000001</x:v>
      </x:c>
      <x:c r="J71" s="11"/>
      <x:c r="K71" s="11" t="str">
        <x:f>IF(L71="Full home run",I71+J71,"")</x:f>
      </x:c>
      <x:c r="L71" s="8" t="str">
        <x:v>Route segment</x:v>
      </x:c>
      <x:c r="M71" s="13"/>
      <x:c r="N71" s="11" t="str">
        <x:f>IF(OR(M71="",L71="Shared bundle"),"",IF(L71="Full home run",K71,I71)+M71)</x:f>
      </x:c>
      <x:c r="O71" s="8" t="str">
        <x:v>Cable type / conductors / cross-section / conduit: pending electrical design</x:v>
      </x:c>
      <x:c r="P71" s="8" t="str">
        <x:v>Wall / beam or roof containment, then pendant connection</x:v>
      </x:c>
      <x:c r="Q71" s="9"/>
      <x:c r="R71" s="9"/>
      <x:c r="S71" s="13"/>
      <x:c r="T71" s="9"/>
      <x:c r="U71" s="9"/>
      <x:c r="V71" s="9"/>
      <x:c r="W71" s="9"/>
      <x:c r="X71" s="9"/>
      <x:c r="Y71" s="8" t="str">
        <x:v>Current</x:v>
      </x:c>
      <x:c r="Z71" s="8" t="str">
        <x:v>trunk:LC1:L2:light:1</x:v>
      </x:c>
    </x:row>
    <x:row r="72" ht="90" customHeight="1">
      <x:c r="A72" s="8" t="str">
        <x:v>drop:LC1:L2:light:1:L50</x:v>
      </x:c>
      <x:c r="B72" s="8" t="str">
        <x:v>L2 → Reading light · axis 7 · H outer · twin</x:v>
      </x:c>
      <x:c r="C72" s="8" t="str">
        <x:v>LC1</x:v>
      </x:c>
      <x:c r="D72" s="8" t="str">
        <x:v>L50</x:v>
      </x:c>
      <x:c r="E72" s="8" t="str">
        <x:v>DB1</x:v>
      </x:c>
      <x:c r="F72" s="8" t="str">
        <x:v>L2</x:v>
      </x:c>
      <x:c r="G72" s="8" t="str">
        <x:v>light</x:v>
      </x:c>
      <x:c r="H72" s="8" t="str">
        <x:v>drop</x:v>
      </x:c>
      <x:c r="I72" s="11" t="n">
        <x:f>SUMIF('Route Points'!$A$7:$A$1910,A72,'Route Points'!$F$7:$F$1910)</x:f>
        <x:v>2.061000000000001</x:v>
      </x:c>
      <x:c r="J72" s="11"/>
      <x:c r="K72" s="11" t="str">
        <x:f>IF(L72="Full home run",I72+J72,"")</x:f>
      </x:c>
      <x:c r="L72" s="8" t="str">
        <x:v>Route segment</x:v>
      </x:c>
      <x:c r="M72" s="13"/>
      <x:c r="N72" s="11" t="str">
        <x:f>IF(OR(M72="",L72="Shared bundle"),"",IF(L72="Full home run",K72,I72)+M72)</x:f>
      </x:c>
      <x:c r="O72" s="8" t="str">
        <x:v>Cable type / conductors / cross-section / conduit: pending electrical design</x:v>
      </x:c>
      <x:c r="P72" s="8" t="str">
        <x:v>Wall / beam or roof containment, then pendant connection</x:v>
      </x:c>
      <x:c r="Q72" s="9"/>
      <x:c r="R72" s="9"/>
      <x:c r="S72" s="13"/>
      <x:c r="T72" s="9"/>
      <x:c r="U72" s="9"/>
      <x:c r="V72" s="9"/>
      <x:c r="W72" s="9"/>
      <x:c r="X72" s="9"/>
      <x:c r="Y72" s="8" t="str">
        <x:v>Current</x:v>
      </x:c>
      <x:c r="Z72" s="8" t="str">
        <x:v>trunk:LC1:L2:light:1</x:v>
      </x:c>
    </x:row>
    <x:row r="73" ht="90" customHeight="1">
      <x:c r="A73" s="8" t="str">
        <x:v>drop:LC1:L2:light:1:L53</x:v>
      </x:c>
      <x:c r="B73" s="8" t="str">
        <x:v>L2 → Reading light · axis 8 · H outer</x:v>
      </x:c>
      <x:c r="C73" s="8" t="str">
        <x:v>LC1</x:v>
      </x:c>
      <x:c r="D73" s="8" t="str">
        <x:v>L53</x:v>
      </x:c>
      <x:c r="E73" s="8" t="str">
        <x:v>DB1</x:v>
      </x:c>
      <x:c r="F73" s="8" t="str">
        <x:v>L2</x:v>
      </x:c>
      <x:c r="G73" s="8" t="str">
        <x:v>light</x:v>
      </x:c>
      <x:c r="H73" s="8" t="str">
        <x:v>drop</x:v>
      </x:c>
      <x:c r="I73" s="11" t="n">
        <x:f>SUMIF('Route Points'!$A$7:$A$1910,A73,'Route Points'!$F$7:$F$1910)</x:f>
        <x:v>2.061000000000001</x:v>
      </x:c>
      <x:c r="J73" s="11"/>
      <x:c r="K73" s="11" t="str">
        <x:f>IF(L73="Full home run",I73+J73,"")</x:f>
      </x:c>
      <x:c r="L73" s="8" t="str">
        <x:v>Route segment</x:v>
      </x:c>
      <x:c r="M73" s="13"/>
      <x:c r="N73" s="11" t="str">
        <x:f>IF(OR(M73="",L73="Shared bundle"),"",IF(L73="Full home run",K73,I73)+M73)</x:f>
      </x:c>
      <x:c r="O73" s="8" t="str">
        <x:v>Cable type / conductors / cross-section / conduit: pending electrical design</x:v>
      </x:c>
      <x:c r="P73" s="8" t="str">
        <x:v>Wall / beam or roof containment, then pendant connection</x:v>
      </x:c>
      <x:c r="Q73" s="9"/>
      <x:c r="R73" s="9"/>
      <x:c r="S73" s="13"/>
      <x:c r="T73" s="9"/>
      <x:c r="U73" s="9"/>
      <x:c r="V73" s="9"/>
      <x:c r="W73" s="9"/>
      <x:c r="X73" s="9"/>
      <x:c r="Y73" s="8" t="str">
        <x:v>Current</x:v>
      </x:c>
      <x:c r="Z73" s="8" t="str">
        <x:v>trunk:LC1:L2:light:1</x:v>
      </x:c>
    </x:row>
    <x:row r="74" ht="90" customHeight="1">
      <x:c r="A74" s="8" t="str">
        <x:v>drop:LC1:L2:light:1:L54</x:v>
      </x:c>
      <x:c r="B74" s="8" t="str">
        <x:v>L2 → Reading light · axis 8 · H outer · twin</x:v>
      </x:c>
      <x:c r="C74" s="8" t="str">
        <x:v>LC1</x:v>
      </x:c>
      <x:c r="D74" s="8" t="str">
        <x:v>L54</x:v>
      </x:c>
      <x:c r="E74" s="8" t="str">
        <x:v>DB1</x:v>
      </x:c>
      <x:c r="F74" s="8" t="str">
        <x:v>L2</x:v>
      </x:c>
      <x:c r="G74" s="8" t="str">
        <x:v>light</x:v>
      </x:c>
      <x:c r="H74" s="8" t="str">
        <x:v>drop</x:v>
      </x:c>
      <x:c r="I74" s="11" t="n">
        <x:f>SUMIF('Route Points'!$A$7:$A$1910,A74,'Route Points'!$F$7:$F$1910)</x:f>
        <x:v>2.061000000000001</x:v>
      </x:c>
      <x:c r="J74" s="11"/>
      <x:c r="K74" s="11" t="str">
        <x:f>IF(L74="Full home run",I74+J74,"")</x:f>
      </x:c>
      <x:c r="L74" s="8" t="str">
        <x:v>Route segment</x:v>
      </x:c>
      <x:c r="M74" s="13"/>
      <x:c r="N74" s="11" t="str">
        <x:f>IF(OR(M74="",L74="Shared bundle"),"",IF(L74="Full home run",K74,I74)+M74)</x:f>
      </x:c>
      <x:c r="O74" s="8" t="str">
        <x:v>Cable type / conductors / cross-section / conduit: pending electrical design</x:v>
      </x:c>
      <x:c r="P74" s="8" t="str">
        <x:v>Wall / beam or roof containment, then pendant connection</x:v>
      </x:c>
      <x:c r="Q74" s="9"/>
      <x:c r="R74" s="9"/>
      <x:c r="S74" s="13"/>
      <x:c r="T74" s="9"/>
      <x:c r="U74" s="9"/>
      <x:c r="V74" s="9"/>
      <x:c r="W74" s="9"/>
      <x:c r="X74" s="9"/>
      <x:c r="Y74" s="8" t="str">
        <x:v>Current</x:v>
      </x:c>
      <x:c r="Z74" s="8" t="str">
        <x:v>trunk:LC1:L2:light:1</x:v>
      </x:c>
    </x:row>
    <x:row r="75" ht="90" customHeight="1">
      <x:c r="A75" s="8" t="str">
        <x:v>drop:LC1:L2:light:1:L57</x:v>
      </x:c>
      <x:c r="B75" s="8" t="str">
        <x:v>L2 → Reading light · axis 9 · H outer</x:v>
      </x:c>
      <x:c r="C75" s="8" t="str">
        <x:v>LC1</x:v>
      </x:c>
      <x:c r="D75" s="8" t="str">
        <x:v>L57</x:v>
      </x:c>
      <x:c r="E75" s="8" t="str">
        <x:v>DB1</x:v>
      </x:c>
      <x:c r="F75" s="8" t="str">
        <x:v>L2</x:v>
      </x:c>
      <x:c r="G75" s="8" t="str">
        <x:v>light</x:v>
      </x:c>
      <x:c r="H75" s="8" t="str">
        <x:v>drop</x:v>
      </x:c>
      <x:c r="I75" s="11" t="n">
        <x:f>SUMIF('Route Points'!$A$7:$A$1910,A75,'Route Points'!$F$7:$F$1910)</x:f>
        <x:v>7.941000000000001</x:v>
      </x:c>
      <x:c r="J75" s="11"/>
      <x:c r="K75" s="11" t="str">
        <x:f>IF(L75="Full home run",I75+J75,"")</x:f>
      </x:c>
      <x:c r="L75" s="8" t="str">
        <x:v>Route segment</x:v>
      </x:c>
      <x:c r="M75" s="13"/>
      <x:c r="N75" s="11" t="str">
        <x:f>IF(OR(M75="",L75="Shared bundle"),"",IF(L75="Full home run",K75,I75)+M75)</x:f>
      </x:c>
      <x:c r="O75" s="8" t="str">
        <x:v>Cable type / conductors / cross-section / conduit: pending electrical design</x:v>
      </x:c>
      <x:c r="P75" s="8" t="str">
        <x:v>Wall / beam or roof containment, then pendant connection</x:v>
      </x:c>
      <x:c r="Q75" s="9"/>
      <x:c r="R75" s="9"/>
      <x:c r="S75" s="13"/>
      <x:c r="T75" s="9"/>
      <x:c r="U75" s="9"/>
      <x:c r="V75" s="9"/>
      <x:c r="W75" s="9"/>
      <x:c r="X75" s="9"/>
      <x:c r="Y75" s="8" t="str">
        <x:v>Current</x:v>
      </x:c>
      <x:c r="Z75" s="8" t="str">
        <x:v>trunk:LC1:L2:light:1</x:v>
      </x:c>
    </x:row>
    <x:row r="76" ht="90" customHeight="1">
      <x:c r="A76" s="8" t="str">
        <x:v>drop:LC1:L2:light:1:L58</x:v>
      </x:c>
      <x:c r="B76" s="8" t="str">
        <x:v>L2 → Reading light · axis 9 · H outer · twin</x:v>
      </x:c>
      <x:c r="C76" s="8" t="str">
        <x:v>LC1</x:v>
      </x:c>
      <x:c r="D76" s="8" t="str">
        <x:v>L58</x:v>
      </x:c>
      <x:c r="E76" s="8" t="str">
        <x:v>DB1</x:v>
      </x:c>
      <x:c r="F76" s="8" t="str">
        <x:v>L2</x:v>
      </x:c>
      <x:c r="G76" s="8" t="str">
        <x:v>light</x:v>
      </x:c>
      <x:c r="H76" s="8" t="str">
        <x:v>drop</x:v>
      </x:c>
      <x:c r="I76" s="11" t="n">
        <x:f>SUMIF('Route Points'!$A$7:$A$1910,A76,'Route Points'!$F$7:$F$1910)</x:f>
        <x:v>7.941000000000001</x:v>
      </x:c>
      <x:c r="J76" s="11"/>
      <x:c r="K76" s="11" t="str">
        <x:f>IF(L76="Full home run",I76+J76,"")</x:f>
      </x:c>
      <x:c r="L76" s="8" t="str">
        <x:v>Route segment</x:v>
      </x:c>
      <x:c r="M76" s="13"/>
      <x:c r="N76" s="11" t="str">
        <x:f>IF(OR(M76="",L76="Shared bundle"),"",IF(L76="Full home run",K76,I76)+M76)</x:f>
      </x:c>
      <x:c r="O76" s="8" t="str">
        <x:v>Cable type / conductors / cross-section / conduit: pending electrical design</x:v>
      </x:c>
      <x:c r="P76" s="8" t="str">
        <x:v>Wall / beam or roof containment, then pendant connection</x:v>
      </x:c>
      <x:c r="Q76" s="9"/>
      <x:c r="R76" s="9"/>
      <x:c r="S76" s="13"/>
      <x:c r="T76" s="9"/>
      <x:c r="U76" s="9"/>
      <x:c r="V76" s="9"/>
      <x:c r="W76" s="9"/>
      <x:c r="X76" s="9"/>
      <x:c r="Y76" s="8" t="str">
        <x:v>Current</x:v>
      </x:c>
      <x:c r="Z76" s="8" t="str">
        <x:v>trunk:LC1:L2:light:1</x:v>
      </x:c>
    </x:row>
    <x:row r="77" ht="90" customHeight="1">
      <x:c r="A77" s="8" t="str">
        <x:v>trunk:LC1:L8:light:-1</x:v>
      </x:c>
      <x:c r="B77" s="8" t="str">
        <x:v>L8 · B · circuit trunk</x:v>
      </x:c>
      <x:c r="C77" s="8" t="str">
        <x:v>LC1</x:v>
      </x:c>
      <x:c r="D77" s="8" t="str">
        <x:v>L63
L64
L65
L66</x:v>
      </x:c>
      <x:c r="E77" s="8" t="str">
        <x:v>DB1</x:v>
      </x:c>
      <x:c r="F77" s="8" t="str">
        <x:v>L8</x:v>
      </x:c>
      <x:c r="G77" s="8" t="str">
        <x:v>light</x:v>
      </x:c>
      <x:c r="H77" s="8" t="str">
        <x:v>trunk</x:v>
      </x:c>
      <x:c r="I77" s="11" t="n">
        <x:f>SUMIF('Route Points'!$A$7:$A$1910,A77,'Route Points'!$F$7:$F$1910)</x:f>
        <x:v>34.553</x:v>
      </x:c>
      <x:c r="J77" s="11"/>
      <x:c r="K77" s="11" t="str">
        <x:f>IF(L77="Full home run",I77+J77,"")</x:f>
      </x:c>
      <x:c r="L77" s="8" t="str">
        <x:v>Route segment</x:v>
      </x:c>
      <x:c r="M77" s="13"/>
      <x:c r="N77" s="11" t="str">
        <x:f>IF(OR(M77="",L77="Shared bundle"),"",IF(L77="Full home run",K77,I77)+M77)</x:f>
      </x:c>
      <x:c r="O77" s="8" t="str">
        <x:v>Cable type / conductors / cross-section / conduit: pending electrical design</x:v>
      </x:c>
      <x:c r="P77" s="8" t="str">
        <x:v>Concealed wall band above openings; ceiling containment at wing returns</x:v>
      </x:c>
      <x:c r="Q77" s="9"/>
      <x:c r="R77" s="9"/>
      <x:c r="S77" s="13"/>
      <x:c r="T77" s="9"/>
      <x:c r="U77" s="9"/>
      <x:c r="V77" s="9"/>
      <x:c r="W77" s="9"/>
      <x:c r="X77" s="9"/>
      <x:c r="Y77" s="8" t="str">
        <x:v>Current</x:v>
      </x:c>
      <x:c r="Z77" s="8"/>
    </x:row>
    <x:row r="78" ht="90" customHeight="1">
      <x:c r="A78" s="8" t="str">
        <x:v>drop:LC1:L8:light:-1:L63</x:v>
      </x:c>
      <x:c r="B78" s="8" t="str">
        <x:v>L8 → Wing light · B · front block · back rows</x:v>
      </x:c>
      <x:c r="C78" s="8" t="str">
        <x:v>LC1</x:v>
      </x:c>
      <x:c r="D78" s="8" t="str">
        <x:v>L63</x:v>
      </x:c>
      <x:c r="E78" s="8" t="str">
        <x:v>DB1</x:v>
      </x:c>
      <x:c r="F78" s="8" t="str">
        <x:v>L8</x:v>
      </x:c>
      <x:c r="G78" s="8" t="str">
        <x:v>light</x:v>
      </x:c>
      <x:c r="H78" s="8" t="str">
        <x:v>drop</x:v>
      </x:c>
      <x:c r="I78" s="11" t="n">
        <x:f>SUMIF('Route Points'!$A$7:$A$1910,A78,'Route Points'!$F$7:$F$1910)</x:f>
        <x:v>2.477999999999999</x:v>
      </x:c>
      <x:c r="J78" s="11"/>
      <x:c r="K78" s="11" t="str">
        <x:f>IF(L78="Full home run",I78+J78,"")</x:f>
      </x:c>
      <x:c r="L78" s="8" t="str">
        <x:v>Route segment</x:v>
      </x:c>
      <x:c r="M78" s="13"/>
      <x:c r="N78" s="11" t="str">
        <x:f>IF(OR(M78="",L78="Shared bundle"),"",IF(L78="Full home run",K78,I78)+M78)</x:f>
      </x:c>
      <x:c r="O78" s="8" t="str">
        <x:v>Cable type / conductors / cross-section / conduit: pending electrical design</x:v>
      </x:c>
      <x:c r="P78" s="8" t="str">
        <x:v>Concealed pier / wall drop, local termination</x:v>
      </x:c>
      <x:c r="Q78" s="9"/>
      <x:c r="R78" s="9"/>
      <x:c r="S78" s="13"/>
      <x:c r="T78" s="9"/>
      <x:c r="U78" s="9"/>
      <x:c r="V78" s="9"/>
      <x:c r="W78" s="9"/>
      <x:c r="X78" s="9"/>
      <x:c r="Y78" s="8" t="str">
        <x:v>Current</x:v>
      </x:c>
      <x:c r="Z78" s="8" t="str">
        <x:v>trunk:LC1:L8:light:-1</x:v>
      </x:c>
    </x:row>
    <x:row r="79" ht="90" customHeight="1">
      <x:c r="A79" s="8" t="str">
        <x:v>drop:LC1:L8:light:-1:L64</x:v>
      </x:c>
      <x:c r="B79" s="8" t="str">
        <x:v>L8 → Wing light · B · front block · front rows</x:v>
      </x:c>
      <x:c r="C79" s="8" t="str">
        <x:v>LC1</x:v>
      </x:c>
      <x:c r="D79" s="8" t="str">
        <x:v>L64</x:v>
      </x:c>
      <x:c r="E79" s="8" t="str">
        <x:v>DB1</x:v>
      </x:c>
      <x:c r="F79" s="8" t="str">
        <x:v>L8</x:v>
      </x:c>
      <x:c r="G79" s="8" t="str">
        <x:v>light</x:v>
      </x:c>
      <x:c r="H79" s="8" t="str">
        <x:v>drop</x:v>
      </x:c>
      <x:c r="I79" s="11" t="n">
        <x:f>SUMIF('Route Points'!$A$7:$A$1910,A79,'Route Points'!$F$7:$F$1910)</x:f>
        <x:v>3.7079999999999993</x:v>
      </x:c>
      <x:c r="J79" s="11"/>
      <x:c r="K79" s="11" t="str">
        <x:f>IF(L79="Full home run",I79+J79,"")</x:f>
      </x:c>
      <x:c r="L79" s="8" t="str">
        <x:v>Route segment</x:v>
      </x:c>
      <x:c r="M79" s="13"/>
      <x:c r="N79" s="11" t="str">
        <x:f>IF(OR(M79="",L79="Shared bundle"),"",IF(L79="Full home run",K79,I79)+M79)</x:f>
      </x:c>
      <x:c r="O79" s="8" t="str">
        <x:v>Cable type / conductors / cross-section / conduit: pending electrical design</x:v>
      </x:c>
      <x:c r="P79" s="8" t="str">
        <x:v>Concealed pier / wall drop, local termination</x:v>
      </x:c>
      <x:c r="Q79" s="9"/>
      <x:c r="R79" s="9"/>
      <x:c r="S79" s="13"/>
      <x:c r="T79" s="9"/>
      <x:c r="U79" s="9"/>
      <x:c r="V79" s="9"/>
      <x:c r="W79" s="9"/>
      <x:c r="X79" s="9"/>
      <x:c r="Y79" s="8" t="str">
        <x:v>Current</x:v>
      </x:c>
      <x:c r="Z79" s="8" t="str">
        <x:v>trunk:LC1:L8:light:-1</x:v>
      </x:c>
    </x:row>
    <x:row r="80" ht="90" customHeight="1">
      <x:c r="A80" s="8" t="str">
        <x:v>drop:LC1:L8:light:-1:L65</x:v>
      </x:c>
      <x:c r="B80" s="8" t="str">
        <x:v>L8 → Wing light · B · rear block · back rows</x:v>
      </x:c>
      <x:c r="C80" s="8" t="str">
        <x:v>LC1</x:v>
      </x:c>
      <x:c r="D80" s="8" t="str">
        <x:v>L65</x:v>
      </x:c>
      <x:c r="E80" s="8" t="str">
        <x:v>DB1</x:v>
      </x:c>
      <x:c r="F80" s="8" t="str">
        <x:v>L8</x:v>
      </x:c>
      <x:c r="G80" s="8" t="str">
        <x:v>light</x:v>
      </x:c>
      <x:c r="H80" s="8" t="str">
        <x:v>drop</x:v>
      </x:c>
      <x:c r="I80" s="11" t="n">
        <x:f>SUMIF('Route Points'!$A$7:$A$1910,A80,'Route Points'!$F$7:$F$1910)</x:f>
        <x:v>2.477999999999999</x:v>
      </x:c>
      <x:c r="J80" s="11"/>
      <x:c r="K80" s="11" t="str">
        <x:f>IF(L80="Full home run",I80+J80,"")</x:f>
      </x:c>
      <x:c r="L80" s="8" t="str">
        <x:v>Route segment</x:v>
      </x:c>
      <x:c r="M80" s="13"/>
      <x:c r="N80" s="11" t="str">
        <x:f>IF(OR(M80="",L80="Shared bundle"),"",IF(L80="Full home run",K80,I80)+M80)</x:f>
      </x:c>
      <x:c r="O80" s="8" t="str">
        <x:v>Cable type / conductors / cross-section / conduit: pending electrical design</x:v>
      </x:c>
      <x:c r="P80" s="8" t="str">
        <x:v>Concealed pier / wall drop, local termination</x:v>
      </x:c>
      <x:c r="Q80" s="9"/>
      <x:c r="R80" s="9"/>
      <x:c r="S80" s="13"/>
      <x:c r="T80" s="9"/>
      <x:c r="U80" s="9"/>
      <x:c r="V80" s="9"/>
      <x:c r="W80" s="9"/>
      <x:c r="X80" s="9"/>
      <x:c r="Y80" s="8" t="str">
        <x:v>Current</x:v>
      </x:c>
      <x:c r="Z80" s="8" t="str">
        <x:v>trunk:LC1:L8:light:-1</x:v>
      </x:c>
    </x:row>
    <x:row r="81" ht="90" customHeight="1">
      <x:c r="A81" s="8" t="str">
        <x:v>drop:LC1:L8:light:-1:L66</x:v>
      </x:c>
      <x:c r="B81" s="8" t="str">
        <x:v>L8 → Wing light · B · rear block · front rows</x:v>
      </x:c>
      <x:c r="C81" s="8" t="str">
        <x:v>LC1</x:v>
      </x:c>
      <x:c r="D81" s="8" t="str">
        <x:v>L66</x:v>
      </x:c>
      <x:c r="E81" s="8" t="str">
        <x:v>DB1</x:v>
      </x:c>
      <x:c r="F81" s="8" t="str">
        <x:v>L8</x:v>
      </x:c>
      <x:c r="G81" s="8" t="str">
        <x:v>light</x:v>
      </x:c>
      <x:c r="H81" s="8" t="str">
        <x:v>drop</x:v>
      </x:c>
      <x:c r="I81" s="11" t="n">
        <x:f>SUMIF('Route Points'!$A$7:$A$1910,A81,'Route Points'!$F$7:$F$1910)</x:f>
        <x:v>3.7079999999999993</x:v>
      </x:c>
      <x:c r="J81" s="11"/>
      <x:c r="K81" s="11" t="str">
        <x:f>IF(L81="Full home run",I81+J81,"")</x:f>
      </x:c>
      <x:c r="L81" s="8" t="str">
        <x:v>Route segment</x:v>
      </x:c>
      <x:c r="M81" s="13"/>
      <x:c r="N81" s="11" t="str">
        <x:f>IF(OR(M81="",L81="Shared bundle"),"",IF(L81="Full home run",K81,I81)+M81)</x:f>
      </x:c>
      <x:c r="O81" s="8" t="str">
        <x:v>Cable type / conductors / cross-section / conduit: pending electrical design</x:v>
      </x:c>
      <x:c r="P81" s="8" t="str">
        <x:v>Concealed pier / wall drop, local termination</x:v>
      </x:c>
      <x:c r="Q81" s="9"/>
      <x:c r="R81" s="9"/>
      <x:c r="S81" s="13"/>
      <x:c r="T81" s="9"/>
      <x:c r="U81" s="9"/>
      <x:c r="V81" s="9"/>
      <x:c r="W81" s="9"/>
      <x:c r="X81" s="9"/>
      <x:c r="Y81" s="8" t="str">
        <x:v>Current</x:v>
      </x:c>
      <x:c r="Z81" s="8" t="str">
        <x:v>trunk:LC1:L8:light:-1</x:v>
      </x:c>
    </x:row>
    <x:row r="82" ht="90" customHeight="1">
      <x:c r="A82" s="8" t="str">
        <x:v>trunk:LC1:L8:light:1</x:v>
      </x:c>
      <x:c r="B82" s="8" t="str">
        <x:v>L8 · H · circuit trunk</x:v>
      </x:c>
      <x:c r="C82" s="8" t="str">
        <x:v>LC1</x:v>
      </x:c>
      <x:c r="D82" s="8" t="str">
        <x:v>L67
L68
L69
L70</x:v>
      </x:c>
      <x:c r="E82" s="8" t="str">
        <x:v>DB1</x:v>
      </x:c>
      <x:c r="F82" s="8" t="str">
        <x:v>L8</x:v>
      </x:c>
      <x:c r="G82" s="8" t="str">
        <x:v>light</x:v>
      </x:c>
      <x:c r="H82" s="8" t="str">
        <x:v>trunk</x:v>
      </x:c>
      <x:c r="I82" s="11" t="n">
        <x:f>SUMIF('Route Points'!$A$7:$A$1910,A82,'Route Points'!$F$7:$F$1910)</x:f>
        <x:v>41.753</x:v>
      </x:c>
      <x:c r="J82" s="11"/>
      <x:c r="K82" s="11" t="str">
        <x:f>IF(L82="Full home run",I82+J82,"")</x:f>
      </x:c>
      <x:c r="L82" s="8" t="str">
        <x:v>Route segment</x:v>
      </x:c>
      <x:c r="M82" s="13"/>
      <x:c r="N82" s="11" t="str">
        <x:f>IF(OR(M82="",L82="Shared bundle"),"",IF(L82="Full home run",K82,I82)+M82)</x:f>
      </x:c>
      <x:c r="O82" s="8" t="str">
        <x:v>Cable type / conductors / cross-section / conduit: pending electrical design</x:v>
      </x:c>
      <x:c r="P82" s="8" t="str">
        <x:v>Concealed wall band above openings; ceiling containment at wing returns</x:v>
      </x:c>
      <x:c r="Q82" s="9"/>
      <x:c r="R82" s="9"/>
      <x:c r="S82" s="13"/>
      <x:c r="T82" s="9"/>
      <x:c r="U82" s="9"/>
      <x:c r="V82" s="9"/>
      <x:c r="W82" s="9"/>
      <x:c r="X82" s="9"/>
      <x:c r="Y82" s="8" t="str">
        <x:v>Current</x:v>
      </x:c>
      <x:c r="Z82" s="8"/>
    </x:row>
    <x:row r="83" ht="90" customHeight="1">
      <x:c r="A83" s="8" t="str">
        <x:v>drop:LC1:L8:light:1:L67</x:v>
      </x:c>
      <x:c r="B83" s="8" t="str">
        <x:v>L8 → Wing light · H · front block · back rows</x:v>
      </x:c>
      <x:c r="C83" s="8" t="str">
        <x:v>LC1</x:v>
      </x:c>
      <x:c r="D83" s="8" t="str">
        <x:v>L67</x:v>
      </x:c>
      <x:c r="E83" s="8" t="str">
        <x:v>DB1</x:v>
      </x:c>
      <x:c r="F83" s="8" t="str">
        <x:v>L8</x:v>
      </x:c>
      <x:c r="G83" s="8" t="str">
        <x:v>light</x:v>
      </x:c>
      <x:c r="H83" s="8" t="str">
        <x:v>drop</x:v>
      </x:c>
      <x:c r="I83" s="11" t="n">
        <x:f>SUMIF('Route Points'!$A$7:$A$1910,A83,'Route Points'!$F$7:$F$1910)</x:f>
        <x:v>2.477999999999999</x:v>
      </x:c>
      <x:c r="J83" s="11"/>
      <x:c r="K83" s="11" t="str">
        <x:f>IF(L83="Full home run",I83+J83,"")</x:f>
      </x:c>
      <x:c r="L83" s="8" t="str">
        <x:v>Route segment</x:v>
      </x:c>
      <x:c r="M83" s="13"/>
      <x:c r="N83" s="11" t="str">
        <x:f>IF(OR(M83="",L83="Shared bundle"),"",IF(L83="Full home run",K83,I83)+M83)</x:f>
      </x:c>
      <x:c r="O83" s="8" t="str">
        <x:v>Cable type / conductors / cross-section / conduit: pending electrical design</x:v>
      </x:c>
      <x:c r="P83" s="8" t="str">
        <x:v>Concealed pier / wall drop, local termination</x:v>
      </x:c>
      <x:c r="Q83" s="9"/>
      <x:c r="R83" s="9"/>
      <x:c r="S83" s="13"/>
      <x:c r="T83" s="9"/>
      <x:c r="U83" s="9"/>
      <x:c r="V83" s="9"/>
      <x:c r="W83" s="9"/>
      <x:c r="X83" s="9"/>
      <x:c r="Y83" s="8" t="str">
        <x:v>Current</x:v>
      </x:c>
      <x:c r="Z83" s="8" t="str">
        <x:v>trunk:LC1:L8:light:1</x:v>
      </x:c>
    </x:row>
    <x:row r="84" ht="90" customHeight="1">
      <x:c r="A84" s="8" t="str">
        <x:v>drop:LC1:L8:light:1:L68</x:v>
      </x:c>
      <x:c r="B84" s="8" t="str">
        <x:v>L8 → Wing light · H · front block · front rows</x:v>
      </x:c>
      <x:c r="C84" s="8" t="str">
        <x:v>LC1</x:v>
      </x:c>
      <x:c r="D84" s="8" t="str">
        <x:v>L68</x:v>
      </x:c>
      <x:c r="E84" s="8" t="str">
        <x:v>DB1</x:v>
      </x:c>
      <x:c r="F84" s="8" t="str">
        <x:v>L8</x:v>
      </x:c>
      <x:c r="G84" s="8" t="str">
        <x:v>light</x:v>
      </x:c>
      <x:c r="H84" s="8" t="str">
        <x:v>drop</x:v>
      </x:c>
      <x:c r="I84" s="11" t="n">
        <x:f>SUMIF('Route Points'!$A$7:$A$1910,A84,'Route Points'!$F$7:$F$1910)</x:f>
        <x:v>3.7079999999999993</x:v>
      </x:c>
      <x:c r="J84" s="11"/>
      <x:c r="K84" s="11" t="str">
        <x:f>IF(L84="Full home run",I84+J84,"")</x:f>
      </x:c>
      <x:c r="L84" s="8" t="str">
        <x:v>Route segment</x:v>
      </x:c>
      <x:c r="M84" s="13"/>
      <x:c r="N84" s="11" t="str">
        <x:f>IF(OR(M84="",L84="Shared bundle"),"",IF(L84="Full home run",K84,I84)+M84)</x:f>
      </x:c>
      <x:c r="O84" s="8" t="str">
        <x:v>Cable type / conductors / cross-section / conduit: pending electrical design</x:v>
      </x:c>
      <x:c r="P84" s="8" t="str">
        <x:v>Concealed pier / wall drop, local termination</x:v>
      </x:c>
      <x:c r="Q84" s="9"/>
      <x:c r="R84" s="9"/>
      <x:c r="S84" s="13"/>
      <x:c r="T84" s="9"/>
      <x:c r="U84" s="9"/>
      <x:c r="V84" s="9"/>
      <x:c r="W84" s="9"/>
      <x:c r="X84" s="9"/>
      <x:c r="Y84" s="8" t="str">
        <x:v>Current</x:v>
      </x:c>
      <x:c r="Z84" s="8" t="str">
        <x:v>trunk:LC1:L8:light:1</x:v>
      </x:c>
    </x:row>
    <x:row r="85" ht="90" customHeight="1">
      <x:c r="A85" s="8" t="str">
        <x:v>drop:LC1:L8:light:1:L69</x:v>
      </x:c>
      <x:c r="B85" s="8" t="str">
        <x:v>L8 → Wing light · H · rear block · back rows</x:v>
      </x:c>
      <x:c r="C85" s="8" t="str">
        <x:v>LC1</x:v>
      </x:c>
      <x:c r="D85" s="8" t="str">
        <x:v>L69</x:v>
      </x:c>
      <x:c r="E85" s="8" t="str">
        <x:v>DB1</x:v>
      </x:c>
      <x:c r="F85" s="8" t="str">
        <x:v>L8</x:v>
      </x:c>
      <x:c r="G85" s="8" t="str">
        <x:v>light</x:v>
      </x:c>
      <x:c r="H85" s="8" t="str">
        <x:v>drop</x:v>
      </x:c>
      <x:c r="I85" s="11" t="n">
        <x:f>SUMIF('Route Points'!$A$7:$A$1910,A85,'Route Points'!$F$7:$F$1910)</x:f>
        <x:v>2.477999999999999</x:v>
      </x:c>
      <x:c r="J85" s="11"/>
      <x:c r="K85" s="11" t="str">
        <x:f>IF(L85="Full home run",I85+J85,"")</x:f>
      </x:c>
      <x:c r="L85" s="8" t="str">
        <x:v>Route segment</x:v>
      </x:c>
      <x:c r="M85" s="13"/>
      <x:c r="N85" s="11" t="str">
        <x:f>IF(OR(M85="",L85="Shared bundle"),"",IF(L85="Full home run",K85,I85)+M85)</x:f>
      </x:c>
      <x:c r="O85" s="8" t="str">
        <x:v>Cable type / conductors / cross-section / conduit: pending electrical design</x:v>
      </x:c>
      <x:c r="P85" s="8" t="str">
        <x:v>Concealed pier / wall drop, local termination</x:v>
      </x:c>
      <x:c r="Q85" s="9"/>
      <x:c r="R85" s="9"/>
      <x:c r="S85" s="13"/>
      <x:c r="T85" s="9"/>
      <x:c r="U85" s="9"/>
      <x:c r="V85" s="9"/>
      <x:c r="W85" s="9"/>
      <x:c r="X85" s="9"/>
      <x:c r="Y85" s="8" t="str">
        <x:v>Current</x:v>
      </x:c>
      <x:c r="Z85" s="8" t="str">
        <x:v>trunk:LC1:L8:light:1</x:v>
      </x:c>
    </x:row>
    <x:row r="86" ht="90" customHeight="1">
      <x:c r="A86" s="8" t="str">
        <x:v>drop:LC1:L8:light:1:L70</x:v>
      </x:c>
      <x:c r="B86" s="8" t="str">
        <x:v>L8 → Wing light · H · rear block · front rows</x:v>
      </x:c>
      <x:c r="C86" s="8" t="str">
        <x:v>LC1</x:v>
      </x:c>
      <x:c r="D86" s="8" t="str">
        <x:v>L70</x:v>
      </x:c>
      <x:c r="E86" s="8" t="str">
        <x:v>DB1</x:v>
      </x:c>
      <x:c r="F86" s="8" t="str">
        <x:v>L8</x:v>
      </x:c>
      <x:c r="G86" s="8" t="str">
        <x:v>light</x:v>
      </x:c>
      <x:c r="H86" s="8" t="str">
        <x:v>drop</x:v>
      </x:c>
      <x:c r="I86" s="11" t="n">
        <x:f>SUMIF('Route Points'!$A$7:$A$1910,A86,'Route Points'!$F$7:$F$1910)</x:f>
        <x:v>3.7079999999999993</x:v>
      </x:c>
      <x:c r="J86" s="11"/>
      <x:c r="K86" s="11" t="str">
        <x:f>IF(L86="Full home run",I86+J86,"")</x:f>
      </x:c>
      <x:c r="L86" s="8" t="str">
        <x:v>Route segment</x:v>
      </x:c>
      <x:c r="M86" s="13"/>
      <x:c r="N86" s="11" t="str">
        <x:f>IF(OR(M86="",L86="Shared bundle"),"",IF(L86="Full home run",K86,I86)+M86)</x:f>
      </x:c>
      <x:c r="O86" s="8" t="str">
        <x:v>Cable type / conductors / cross-section / conduit: pending electrical design</x:v>
      </x:c>
      <x:c r="P86" s="8" t="str">
        <x:v>Concealed pier / wall drop, local termination</x:v>
      </x:c>
      <x:c r="Q86" s="9"/>
      <x:c r="R86" s="9"/>
      <x:c r="S86" s="13"/>
      <x:c r="T86" s="9"/>
      <x:c r="U86" s="9"/>
      <x:c r="V86" s="9"/>
      <x:c r="W86" s="9"/>
      <x:c r="X86" s="9"/>
      <x:c r="Y86" s="8" t="str">
        <x:v>Current</x:v>
      </x:c>
      <x:c r="Z86" s="8" t="str">
        <x:v>trunk:LC1:L8:light:1</x:v>
      </x:c>
    </x:row>
    <x:row r="87" ht="103" customHeight="1">
      <x:c r="A87" s="8" t="str">
        <x:v>trunk:LC1:LA:light:-1</x:v>
      </x:c>
      <x:c r="B87" s="8" t="str">
        <x:v>LA · B · circuit trunk</x:v>
      </x:c>
      <x:c r="C87" s="8" t="str">
        <x:v>LC1</x:v>
      </x:c>
      <x:c r="D87" s="8" t="str">
        <x:v>L71
L72
L73
L74
L75
L76
L77</x:v>
      </x:c>
      <x:c r="E87" s="8" t="str">
        <x:v>DB1</x:v>
      </x:c>
      <x:c r="F87" s="8" t="str">
        <x:v>LA</x:v>
      </x:c>
      <x:c r="G87" s="8" t="str">
        <x:v>light</x:v>
      </x:c>
      <x:c r="H87" s="8" t="str">
        <x:v>trunk</x:v>
      </x:c>
      <x:c r="I87" s="11" t="n">
        <x:f>SUMIF('Route Points'!$A$7:$A$1910,A87,'Route Points'!$F$7:$F$1910)</x:f>
        <x:v>70.67599999999999</x:v>
      </x:c>
      <x:c r="J87" s="11"/>
      <x:c r="K87" s="11" t="str">
        <x:f>IF(L87="Full home run",I87+J87,"")</x:f>
      </x:c>
      <x:c r="L87" s="8" t="str">
        <x:v>Route segment</x:v>
      </x:c>
      <x:c r="M87" s="13"/>
      <x:c r="N87" s="11" t="str">
        <x:f>IF(OR(M87="",L87="Shared bundle"),"",IF(L87="Full home run",K87,I87)+M87)</x:f>
      </x:c>
      <x:c r="O87" s="8" t="str">
        <x:v>Cable type / conductors / cross-section / conduit: pending electrical design</x:v>
      </x:c>
      <x:c r="P87" s="8" t="str">
        <x:v>Concealed wall band above openings; ceiling containment at wing returns</x:v>
      </x:c>
      <x:c r="Q87" s="9"/>
      <x:c r="R87" s="9"/>
      <x:c r="S87" s="13"/>
      <x:c r="T87" s="9"/>
      <x:c r="U87" s="9"/>
      <x:c r="V87" s="9"/>
      <x:c r="W87" s="9"/>
      <x:c r="X87" s="9"/>
      <x:c r="Y87" s="8" t="str">
        <x:v>Current</x:v>
      </x:c>
      <x:c r="Z87" s="8"/>
    </x:row>
    <x:row r="88" ht="90" customHeight="1">
      <x:c r="A88" s="8" t="str">
        <x:v>drop:LC1:LA:light:-1:L71</x:v>
      </x:c>
      <x:c r="B88" s="8" t="str">
        <x:v>LA → Roof uplight · axis 3</x:v>
      </x:c>
      <x:c r="C88" s="8" t="str">
        <x:v>LC1</x:v>
      </x:c>
      <x:c r="D88" s="8" t="str">
        <x:v>L71</x:v>
      </x:c>
      <x:c r="E88" s="8" t="str">
        <x:v>DB1</x:v>
      </x:c>
      <x:c r="F88" s="8" t="str">
        <x:v>LA</x:v>
      </x:c>
      <x:c r="G88" s="8" t="str">
        <x:v>light</x:v>
      </x:c>
      <x:c r="H88" s="8" t="str">
        <x:v>drop</x:v>
      </x:c>
      <x:c r="I88" s="11" t="n">
        <x:f>SUMIF('Route Points'!$A$7:$A$1910,A88,'Route Points'!$F$7:$F$1910)</x:f>
        <x:v>10.134</x:v>
      </x:c>
      <x:c r="J88" s="11"/>
      <x:c r="K88" s="11" t="str">
        <x:f>IF(L88="Full home run",I88+J88,"")</x:f>
      </x:c>
      <x:c r="L88" s="8" t="str">
        <x:v>Route segment</x:v>
      </x:c>
      <x:c r="M88" s="13"/>
      <x:c r="N88" s="11" t="str">
        <x:f>IF(OR(M88="",L88="Shared bundle"),"",IF(L88="Full home run",K88,I88)+M88)</x:f>
      </x:c>
      <x:c r="O88" s="8" t="str">
        <x:v>Cable type / conductors / cross-section / conduit: pending electrical design</x:v>
      </x:c>
      <x:c r="P88" s="8" t="str">
        <x:v>Concealed pier / wall drop, local termination</x:v>
      </x:c>
      <x:c r="Q88" s="9"/>
      <x:c r="R88" s="9"/>
      <x:c r="S88" s="13"/>
      <x:c r="T88" s="9"/>
      <x:c r="U88" s="9"/>
      <x:c r="V88" s="9"/>
      <x:c r="W88" s="9"/>
      <x:c r="X88" s="9"/>
      <x:c r="Y88" s="8" t="str">
        <x:v>Current</x:v>
      </x:c>
      <x:c r="Z88" s="8" t="str">
        <x:v>trunk:LC1:LA:light:-1</x:v>
      </x:c>
    </x:row>
    <x:row r="89" ht="90" customHeight="1">
      <x:c r="A89" s="8" t="str">
        <x:v>drop:LC1:LA:light:-1:L72</x:v>
      </x:c>
      <x:c r="B89" s="8" t="str">
        <x:v>LA → Roof uplight · axis 4</x:v>
      </x:c>
      <x:c r="C89" s="8" t="str">
        <x:v>LC1</x:v>
      </x:c>
      <x:c r="D89" s="8" t="str">
        <x:v>L72</x:v>
      </x:c>
      <x:c r="E89" s="8" t="str">
        <x:v>DB1</x:v>
      </x:c>
      <x:c r="F89" s="8" t="str">
        <x:v>LA</x:v>
      </x:c>
      <x:c r="G89" s="8" t="str">
        <x:v>light</x:v>
      </x:c>
      <x:c r="H89" s="8" t="str">
        <x:v>drop</x:v>
      </x:c>
      <x:c r="I89" s="11" t="n">
        <x:f>SUMIF('Route Points'!$A$7:$A$1910,A89,'Route Points'!$F$7:$F$1910)</x:f>
        <x:v>10.134</x:v>
      </x:c>
      <x:c r="J89" s="11"/>
      <x:c r="K89" s="11" t="str">
        <x:f>IF(L89="Full home run",I89+J89,"")</x:f>
      </x:c>
      <x:c r="L89" s="8" t="str">
        <x:v>Route segment</x:v>
      </x:c>
      <x:c r="M89" s="13"/>
      <x:c r="N89" s="11" t="str">
        <x:f>IF(OR(M89="",L89="Shared bundle"),"",IF(L89="Full home run",K89,I89)+M89)</x:f>
      </x:c>
      <x:c r="O89" s="8" t="str">
        <x:v>Cable type / conductors / cross-section / conduit: pending electrical design</x:v>
      </x:c>
      <x:c r="P89" s="8" t="str">
        <x:v>Concealed pier / wall drop, local termination</x:v>
      </x:c>
      <x:c r="Q89" s="9"/>
      <x:c r="R89" s="9"/>
      <x:c r="S89" s="13"/>
      <x:c r="T89" s="9"/>
      <x:c r="U89" s="9"/>
      <x:c r="V89" s="9"/>
      <x:c r="W89" s="9"/>
      <x:c r="X89" s="9"/>
      <x:c r="Y89" s="8" t="str">
        <x:v>Current</x:v>
      </x:c>
      <x:c r="Z89" s="8" t="str">
        <x:v>trunk:LC1:LA:light:-1</x:v>
      </x:c>
    </x:row>
    <x:row r="90" ht="90" customHeight="1">
      <x:c r="A90" s="8" t="str">
        <x:v>drop:LC1:LA:light:-1:L73</x:v>
      </x:c>
      <x:c r="B90" s="8" t="str">
        <x:v>LA → Roof uplight · axis 5</x:v>
      </x:c>
      <x:c r="C90" s="8" t="str">
        <x:v>LC1</x:v>
      </x:c>
      <x:c r="D90" s="8" t="str">
        <x:v>L73</x:v>
      </x:c>
      <x:c r="E90" s="8" t="str">
        <x:v>DB1</x:v>
      </x:c>
      <x:c r="F90" s="8" t="str">
        <x:v>LA</x:v>
      </x:c>
      <x:c r="G90" s="8" t="str">
        <x:v>light</x:v>
      </x:c>
      <x:c r="H90" s="8" t="str">
        <x:v>drop</x:v>
      </x:c>
      <x:c r="I90" s="11" t="n">
        <x:f>SUMIF('Route Points'!$A$7:$A$1910,A90,'Route Points'!$F$7:$F$1910)</x:f>
        <x:v>10.134</x:v>
      </x:c>
      <x:c r="J90" s="11"/>
      <x:c r="K90" s="11" t="str">
        <x:f>IF(L90="Full home run",I90+J90,"")</x:f>
      </x:c>
      <x:c r="L90" s="8" t="str">
        <x:v>Route segment</x:v>
      </x:c>
      <x:c r="M90" s="13"/>
      <x:c r="N90" s="11" t="str">
        <x:f>IF(OR(M90="",L90="Shared bundle"),"",IF(L90="Full home run",K90,I90)+M90)</x:f>
      </x:c>
      <x:c r="O90" s="8" t="str">
        <x:v>Cable type / conductors / cross-section / conduit: pending electrical design</x:v>
      </x:c>
      <x:c r="P90" s="8" t="str">
        <x:v>Concealed pier / wall drop, local termination</x:v>
      </x:c>
      <x:c r="Q90" s="9"/>
      <x:c r="R90" s="9"/>
      <x:c r="S90" s="13"/>
      <x:c r="T90" s="9"/>
      <x:c r="U90" s="9"/>
      <x:c r="V90" s="9"/>
      <x:c r="W90" s="9"/>
      <x:c r="X90" s="9"/>
      <x:c r="Y90" s="8" t="str">
        <x:v>Current</x:v>
      </x:c>
      <x:c r="Z90" s="8" t="str">
        <x:v>trunk:LC1:LA:light:-1</x:v>
      </x:c>
    </x:row>
    <x:row r="91" ht="90" customHeight="1">
      <x:c r="A91" s="8" t="str">
        <x:v>drop:LC1:LA:light:-1:L74</x:v>
      </x:c>
      <x:c r="B91" s="8" t="str">
        <x:v>LA → Roof uplight · axis 6</x:v>
      </x:c>
      <x:c r="C91" s="8" t="str">
        <x:v>LC1</x:v>
      </x:c>
      <x:c r="D91" s="8" t="str">
        <x:v>L74</x:v>
      </x:c>
      <x:c r="E91" s="8" t="str">
        <x:v>DB1</x:v>
      </x:c>
      <x:c r="F91" s="8" t="str">
        <x:v>LA</x:v>
      </x:c>
      <x:c r="G91" s="8" t="str">
        <x:v>light</x:v>
      </x:c>
      <x:c r="H91" s="8" t="str">
        <x:v>drop</x:v>
      </x:c>
      <x:c r="I91" s="11" t="n">
        <x:f>SUMIF('Route Points'!$A$7:$A$1910,A91,'Route Points'!$F$7:$F$1910)</x:f>
        <x:v>10.134</x:v>
      </x:c>
      <x:c r="J91" s="11"/>
      <x:c r="K91" s="11" t="str">
        <x:f>IF(L91="Full home run",I91+J91,"")</x:f>
      </x:c>
      <x:c r="L91" s="8" t="str">
        <x:v>Route segment</x:v>
      </x:c>
      <x:c r="M91" s="13"/>
      <x:c r="N91" s="11" t="str">
        <x:f>IF(OR(M91="",L91="Shared bundle"),"",IF(L91="Full home run",K91,I91)+M91)</x:f>
      </x:c>
      <x:c r="O91" s="8" t="str">
        <x:v>Cable type / conductors / cross-section / conduit: pending electrical design</x:v>
      </x:c>
      <x:c r="P91" s="8" t="str">
        <x:v>Concealed pier / wall drop, local termination</x:v>
      </x:c>
      <x:c r="Q91" s="9"/>
      <x:c r="R91" s="9"/>
      <x:c r="S91" s="13"/>
      <x:c r="T91" s="9"/>
      <x:c r="U91" s="9"/>
      <x:c r="V91" s="9"/>
      <x:c r="W91" s="9"/>
      <x:c r="X91" s="9"/>
      <x:c r="Y91" s="8" t="str">
        <x:v>Current</x:v>
      </x:c>
      <x:c r="Z91" s="8" t="str">
        <x:v>trunk:LC1:LA:light:-1</x:v>
      </x:c>
    </x:row>
    <x:row r="92" ht="90" customHeight="1">
      <x:c r="A92" s="8" t="str">
        <x:v>drop:LC1:LA:light:-1:L75</x:v>
      </x:c>
      <x:c r="B92" s="8" t="str">
        <x:v>LA → Roof uplight · axis 7</x:v>
      </x:c>
      <x:c r="C92" s="8" t="str">
        <x:v>LC1</x:v>
      </x:c>
      <x:c r="D92" s="8" t="str">
        <x:v>L75</x:v>
      </x:c>
      <x:c r="E92" s="8" t="str">
        <x:v>DB1</x:v>
      </x:c>
      <x:c r="F92" s="8" t="str">
        <x:v>LA</x:v>
      </x:c>
      <x:c r="G92" s="8" t="str">
        <x:v>light</x:v>
      </x:c>
      <x:c r="H92" s="8" t="str">
        <x:v>drop</x:v>
      </x:c>
      <x:c r="I92" s="11" t="n">
        <x:f>SUMIF('Route Points'!$A$7:$A$1910,A92,'Route Points'!$F$7:$F$1910)</x:f>
        <x:v>10.134</x:v>
      </x:c>
      <x:c r="J92" s="11"/>
      <x:c r="K92" s="11" t="str">
        <x:f>IF(L92="Full home run",I92+J92,"")</x:f>
      </x:c>
      <x:c r="L92" s="8" t="str">
        <x:v>Route segment</x:v>
      </x:c>
      <x:c r="M92" s="13"/>
      <x:c r="N92" s="11" t="str">
        <x:f>IF(OR(M92="",L92="Shared bundle"),"",IF(L92="Full home run",K92,I92)+M92)</x:f>
      </x:c>
      <x:c r="O92" s="8" t="str">
        <x:v>Cable type / conductors / cross-section / conduit: pending electrical design</x:v>
      </x:c>
      <x:c r="P92" s="8" t="str">
        <x:v>Concealed pier / wall drop, local termination</x:v>
      </x:c>
      <x:c r="Q92" s="9"/>
      <x:c r="R92" s="9"/>
      <x:c r="S92" s="13"/>
      <x:c r="T92" s="9"/>
      <x:c r="U92" s="9"/>
      <x:c r="V92" s="9"/>
      <x:c r="W92" s="9"/>
      <x:c r="X92" s="9"/>
      <x:c r="Y92" s="8" t="str">
        <x:v>Current</x:v>
      </x:c>
      <x:c r="Z92" s="8" t="str">
        <x:v>trunk:LC1:LA:light:-1</x:v>
      </x:c>
    </x:row>
    <x:row r="93" ht="90" customHeight="1">
      <x:c r="A93" s="8" t="str">
        <x:v>drop:LC1:LA:light:-1:L76</x:v>
      </x:c>
      <x:c r="B93" s="8" t="str">
        <x:v>LA → Roof uplight · axis 8</x:v>
      </x:c>
      <x:c r="C93" s="8" t="str">
        <x:v>LC1</x:v>
      </x:c>
      <x:c r="D93" s="8" t="str">
        <x:v>L76</x:v>
      </x:c>
      <x:c r="E93" s="8" t="str">
        <x:v>DB1</x:v>
      </x:c>
      <x:c r="F93" s="8" t="str">
        <x:v>LA</x:v>
      </x:c>
      <x:c r="G93" s="8" t="str">
        <x:v>light</x:v>
      </x:c>
      <x:c r="H93" s="8" t="str">
        <x:v>drop</x:v>
      </x:c>
      <x:c r="I93" s="11" t="n">
        <x:f>SUMIF('Route Points'!$A$7:$A$1910,A93,'Route Points'!$F$7:$F$1910)</x:f>
        <x:v>10.134</x:v>
      </x:c>
      <x:c r="J93" s="11"/>
      <x:c r="K93" s="11" t="str">
        <x:f>IF(L93="Full home run",I93+J93,"")</x:f>
      </x:c>
      <x:c r="L93" s="8" t="str">
        <x:v>Route segment</x:v>
      </x:c>
      <x:c r="M93" s="13"/>
      <x:c r="N93" s="11" t="str">
        <x:f>IF(OR(M93="",L93="Shared bundle"),"",IF(L93="Full home run",K93,I93)+M93)</x:f>
      </x:c>
      <x:c r="O93" s="8" t="str">
        <x:v>Cable type / conductors / cross-section / conduit: pending electrical design</x:v>
      </x:c>
      <x:c r="P93" s="8" t="str">
        <x:v>Concealed pier / wall drop, local termination</x:v>
      </x:c>
      <x:c r="Q93" s="9"/>
      <x:c r="R93" s="9"/>
      <x:c r="S93" s="13"/>
      <x:c r="T93" s="9"/>
      <x:c r="U93" s="9"/>
      <x:c r="V93" s="9"/>
      <x:c r="W93" s="9"/>
      <x:c r="X93" s="9"/>
      <x:c r="Y93" s="8" t="str">
        <x:v>Current</x:v>
      </x:c>
      <x:c r="Z93" s="8" t="str">
        <x:v>trunk:LC1:LA:light:-1</x:v>
      </x:c>
    </x:row>
    <x:row r="94" ht="90" customHeight="1">
      <x:c r="A94" s="8" t="str">
        <x:v>drop:LC1:LA:light:-1:L77</x:v>
      </x:c>
      <x:c r="B94" s="8" t="str">
        <x:v>LA → Roof uplight · axis 9</x:v>
      </x:c>
      <x:c r="C94" s="8" t="str">
        <x:v>LC1</x:v>
      </x:c>
      <x:c r="D94" s="8" t="str">
        <x:v>L77</x:v>
      </x:c>
      <x:c r="E94" s="8" t="str">
        <x:v>DB1</x:v>
      </x:c>
      <x:c r="F94" s="8" t="str">
        <x:v>LA</x:v>
      </x:c>
      <x:c r="G94" s="8" t="str">
        <x:v>light</x:v>
      </x:c>
      <x:c r="H94" s="8" t="str">
        <x:v>drop</x:v>
      </x:c>
      <x:c r="I94" s="11" t="n">
        <x:f>SUMIF('Route Points'!$A$7:$A$1910,A94,'Route Points'!$F$7:$F$1910)</x:f>
        <x:v>16.014</x:v>
      </x:c>
      <x:c r="J94" s="11"/>
      <x:c r="K94" s="11" t="str">
        <x:f>IF(L94="Full home run",I94+J94,"")</x:f>
      </x:c>
      <x:c r="L94" s="8" t="str">
        <x:v>Route segment</x:v>
      </x:c>
      <x:c r="M94" s="13"/>
      <x:c r="N94" s="11" t="str">
        <x:f>IF(OR(M94="",L94="Shared bundle"),"",IF(L94="Full home run",K94,I94)+M94)</x:f>
      </x:c>
      <x:c r="O94" s="8" t="str">
        <x:v>Cable type / conductors / cross-section / conduit: pending electrical design</x:v>
      </x:c>
      <x:c r="P94" s="8" t="str">
        <x:v>Concealed pier / wall drop, local termination</x:v>
      </x:c>
      <x:c r="Q94" s="9"/>
      <x:c r="R94" s="9"/>
      <x:c r="S94" s="13"/>
      <x:c r="T94" s="9"/>
      <x:c r="U94" s="9"/>
      <x:c r="V94" s="9"/>
      <x:c r="W94" s="9"/>
      <x:c r="X94" s="9"/>
      <x:c r="Y94" s="8" t="str">
        <x:v>Current</x:v>
      </x:c>
      <x:c r="Z94" s="8" t="str">
        <x:v>trunk:LC1:LA:light:-1</x:v>
      </x:c>
    </x:row>
    <x:row r="95" ht="168" customHeight="1">
      <x:c r="A95" s="8" t="str">
        <x:v>trunk:LC1:LD:light:-1</x:v>
      </x:c>
      <x:c r="B95" s="8" t="str">
        <x:v>LD · B · circuit trunk</x:v>
      </x:c>
      <x:c r="C95" s="8" t="str">
        <x:v>LC1</x:v>
      </x:c>
      <x:c r="D95" s="8" t="str">
        <x:v>L78
L79
L80
L81
L82
L84
L86
L88
L90
L92
L94
L96</x:v>
      </x:c>
      <x:c r="E95" s="8" t="str">
        <x:v>DB1</x:v>
      </x:c>
      <x:c r="F95" s="8" t="str">
        <x:v>LD</x:v>
      </x:c>
      <x:c r="G95" s="8" t="str">
        <x:v>light</x:v>
      </x:c>
      <x:c r="H95" s="8" t="str">
        <x:v>trunk</x:v>
      </x:c>
      <x:c r="I95" s="11" t="n">
        <x:f>SUMIF('Route Points'!$A$7:$A$1910,A95,'Route Points'!$F$7:$F$1910)</x:f>
        <x:v>70.69</x:v>
      </x:c>
      <x:c r="J95" s="11"/>
      <x:c r="K95" s="11" t="str">
        <x:f>IF(L95="Full home run",I95+J95,"")</x:f>
      </x:c>
      <x:c r="L95" s="8" t="str">
        <x:v>Route segment</x:v>
      </x:c>
      <x:c r="M95" s="13"/>
      <x:c r="N95" s="11" t="str">
        <x:f>IF(OR(M95="",L95="Shared bundle"),"",IF(L95="Full home run",K95,I95)+M95)</x:f>
      </x:c>
      <x:c r="O95" s="8" t="str">
        <x:v>Cable type / conductors / cross-section / conduit: pending electrical design</x:v>
      </x:c>
      <x:c r="P95" s="8" t="str">
        <x:v>Concealed wall band above openings; ceiling containment at wing returns</x:v>
      </x:c>
      <x:c r="Q95" s="9"/>
      <x:c r="R95" s="9"/>
      <x:c r="S95" s="13"/>
      <x:c r="T95" s="9"/>
      <x:c r="U95" s="9"/>
      <x:c r="V95" s="9"/>
      <x:c r="W95" s="9"/>
      <x:c r="X95" s="9"/>
      <x:c r="Y95" s="8" t="str">
        <x:v>Current</x:v>
      </x:c>
      <x:c r="Z95" s="8"/>
    </x:row>
    <x:row r="96" ht="90" customHeight="1">
      <x:c r="A96" s="8" t="str">
        <x:v>drop:LC1:LD:light:-1:L78</x:v>
      </x:c>
      <x:c r="B96" s="8" t="str">
        <x:v>LD → Chandelier · bay 4–5</x:v>
      </x:c>
      <x:c r="C96" s="8" t="str">
        <x:v>LC1</x:v>
      </x:c>
      <x:c r="D96" s="8" t="str">
        <x:v>L78</x:v>
      </x:c>
      <x:c r="E96" s="8" t="str">
        <x:v>DB1</x:v>
      </x:c>
      <x:c r="F96" s="8" t="str">
        <x:v>LD</x:v>
      </x:c>
      <x:c r="G96" s="8" t="str">
        <x:v>light</x:v>
      </x:c>
      <x:c r="H96" s="8" t="str">
        <x:v>drop</x:v>
      </x:c>
      <x:c r="I96" s="11" t="n">
        <x:f>SUMIF('Route Points'!$A$7:$A$1910,A96,'Route Points'!$F$7:$F$1910)</x:f>
        <x:v>15.506515829308409</x:v>
      </x:c>
      <x:c r="J96" s="11"/>
      <x:c r="K96" s="11" t="str">
        <x:f>IF(L96="Full home run",I96+J96,"")</x:f>
      </x:c>
      <x:c r="L96" s="8" t="str">
        <x:v>Route segment</x:v>
      </x:c>
      <x:c r="M96" s="13"/>
      <x:c r="N96" s="11" t="str">
        <x:f>IF(OR(M96="",L96="Shared bundle"),"",IF(L96="Full home run",K96,I96)+M96)</x:f>
      </x:c>
      <x:c r="O96" s="8" t="str">
        <x:v>Cable type / conductors / cross-section / conduit: pending electrical design</x:v>
      </x:c>
      <x:c r="P96" s="8" t="str">
        <x:v>Wall / beam or roof containment, then pendant connection</x:v>
      </x:c>
      <x:c r="Q96" s="9"/>
      <x:c r="R96" s="9"/>
      <x:c r="S96" s="13"/>
      <x:c r="T96" s="9"/>
      <x:c r="U96" s="9"/>
      <x:c r="V96" s="9"/>
      <x:c r="W96" s="9"/>
      <x:c r="X96" s="9"/>
      <x:c r="Y96" s="8" t="str">
        <x:v>Current</x:v>
      </x:c>
      <x:c r="Z96" s="8" t="str">
        <x:v>trunk:LC1:LD:light:-1</x:v>
      </x:c>
    </x:row>
    <x:row r="97" ht="90" customHeight="1">
      <x:c r="A97" s="8" t="str">
        <x:v>drop:LC1:LD:light:-1:L79</x:v>
      </x:c>
      <x:c r="B97" s="8" t="str">
        <x:v>LD → Chandelier · bay 6–7</x:v>
      </x:c>
      <x:c r="C97" s="8" t="str">
        <x:v>LC1</x:v>
      </x:c>
      <x:c r="D97" s="8" t="str">
        <x:v>L79</x:v>
      </x:c>
      <x:c r="E97" s="8" t="str">
        <x:v>DB1</x:v>
      </x:c>
      <x:c r="F97" s="8" t="str">
        <x:v>LD</x:v>
      </x:c>
      <x:c r="G97" s="8" t="str">
        <x:v>light</x:v>
      </x:c>
      <x:c r="H97" s="8" t="str">
        <x:v>drop</x:v>
      </x:c>
      <x:c r="I97" s="11" t="n">
        <x:f>SUMIF('Route Points'!$A$7:$A$1910,A97,'Route Points'!$F$7:$F$1910)</x:f>
        <x:v>15.506515829308409</x:v>
      </x:c>
      <x:c r="J97" s="11"/>
      <x:c r="K97" s="11" t="str">
        <x:f>IF(L97="Full home run",I97+J97,"")</x:f>
      </x:c>
      <x:c r="L97" s="8" t="str">
        <x:v>Route segment</x:v>
      </x:c>
      <x:c r="M97" s="13"/>
      <x:c r="N97" s="11" t="str">
        <x:f>IF(OR(M97="",L97="Shared bundle"),"",IF(L97="Full home run",K97,I97)+M97)</x:f>
      </x:c>
      <x:c r="O97" s="8" t="str">
        <x:v>Cable type / conductors / cross-section / conduit: pending electrical design</x:v>
      </x:c>
      <x:c r="P97" s="8" t="str">
        <x:v>Wall / beam or roof containment, then pendant connection</x:v>
      </x:c>
      <x:c r="Q97" s="9"/>
      <x:c r="R97" s="9"/>
      <x:c r="S97" s="13"/>
      <x:c r="T97" s="9"/>
      <x:c r="U97" s="9"/>
      <x:c r="V97" s="9"/>
      <x:c r="W97" s="9"/>
      <x:c r="X97" s="9"/>
      <x:c r="Y97" s="8" t="str">
        <x:v>Current</x:v>
      </x:c>
      <x:c r="Z97" s="8" t="str">
        <x:v>trunk:LC1:LD:light:-1</x:v>
      </x:c>
    </x:row>
    <x:row r="98" ht="90" customHeight="1">
      <x:c r="A98" s="8" t="str">
        <x:v>drop:LC1:LD:light:-1:L80</x:v>
      </x:c>
      <x:c r="B98" s="8" t="str">
        <x:v>LD → Chandelier · bay 8–9</x:v>
      </x:c>
      <x:c r="C98" s="8" t="str">
        <x:v>LC1</x:v>
      </x:c>
      <x:c r="D98" s="8" t="str">
        <x:v>L80</x:v>
      </x:c>
      <x:c r="E98" s="8" t="str">
        <x:v>DB1</x:v>
      </x:c>
      <x:c r="F98" s="8" t="str">
        <x:v>LD</x:v>
      </x:c>
      <x:c r="G98" s="8" t="str">
        <x:v>light</x:v>
      </x:c>
      <x:c r="H98" s="8" t="str">
        <x:v>drop</x:v>
      </x:c>
      <x:c r="I98" s="11" t="n">
        <x:f>SUMIF('Route Points'!$A$7:$A$1910,A98,'Route Points'!$F$7:$F$1910)</x:f>
        <x:v>15.506515829308409</x:v>
      </x:c>
      <x:c r="J98" s="11"/>
      <x:c r="K98" s="11" t="str">
        <x:f>IF(L98="Full home run",I98+J98,"")</x:f>
      </x:c>
      <x:c r="L98" s="8" t="str">
        <x:v>Route segment</x:v>
      </x:c>
      <x:c r="M98" s="13"/>
      <x:c r="N98" s="11" t="str">
        <x:f>IF(OR(M98="",L98="Shared bundle"),"",IF(L98="Full home run",K98,I98)+M98)</x:f>
      </x:c>
      <x:c r="O98" s="8" t="str">
        <x:v>Cable type / conductors / cross-section / conduit: pending electrical design</x:v>
      </x:c>
      <x:c r="P98" s="8" t="str">
        <x:v>Wall / beam or roof containment, then pendant connection</x:v>
      </x:c>
      <x:c r="Q98" s="9"/>
      <x:c r="R98" s="9"/>
      <x:c r="S98" s="13"/>
      <x:c r="T98" s="9"/>
      <x:c r="U98" s="9"/>
      <x:c r="V98" s="9"/>
      <x:c r="W98" s="9"/>
      <x:c r="X98" s="9"/>
      <x:c r="Y98" s="8" t="str">
        <x:v>Current</x:v>
      </x:c>
      <x:c r="Z98" s="8" t="str">
        <x:v>trunk:LC1:LD:light:-1</x:v>
      </x:c>
    </x:row>
    <x:row r="99" ht="90" customHeight="1">
      <x:c r="A99" s="8" t="str">
        <x:v>drop:LC1:LD:light:-1:L81</x:v>
      </x:c>
      <x:c r="B99" s="8" t="str">
        <x:v>LD → Grand chandelier · crossing 9–10</x:v>
      </x:c>
      <x:c r="C99" s="8" t="str">
        <x:v>LC1</x:v>
      </x:c>
      <x:c r="D99" s="8" t="str">
        <x:v>L81</x:v>
      </x:c>
      <x:c r="E99" s="8" t="str">
        <x:v>DB1</x:v>
      </x:c>
      <x:c r="F99" s="8" t="str">
        <x:v>LD</x:v>
      </x:c>
      <x:c r="G99" s="8" t="str">
        <x:v>light</x:v>
      </x:c>
      <x:c r="H99" s="8" t="str">
        <x:v>drop</x:v>
      </x:c>
      <x:c r="I99" s="11" t="n">
        <x:f>SUMIF('Route Points'!$A$7:$A$1910,A99,'Route Points'!$F$7:$F$1910)</x:f>
        <x:v>21.924</x:v>
      </x:c>
      <x:c r="J99" s="11"/>
      <x:c r="K99" s="11" t="str">
        <x:f>IF(L99="Full home run",I99+J99,"")</x:f>
      </x:c>
      <x:c r="L99" s="8" t="str">
        <x:v>Route segment</x:v>
      </x:c>
      <x:c r="M99" s="13"/>
      <x:c r="N99" s="11" t="str">
        <x:f>IF(OR(M99="",L99="Shared bundle"),"",IF(L99="Full home run",K99,I99)+M99)</x:f>
      </x:c>
      <x:c r="O99" s="8" t="str">
        <x:v>Cable type / conductors / cross-section / conduit: pending electrical design</x:v>
      </x:c>
      <x:c r="P99" s="8" t="str">
        <x:v>Wall / beam or roof containment, then pendant connection</x:v>
      </x:c>
      <x:c r="Q99" s="9"/>
      <x:c r="R99" s="9"/>
      <x:c r="S99" s="13"/>
      <x:c r="T99" s="9"/>
      <x:c r="U99" s="9"/>
      <x:c r="V99" s="9"/>
      <x:c r="W99" s="9"/>
      <x:c r="X99" s="9"/>
      <x:c r="Y99" s="8" t="str">
        <x:v>Current</x:v>
      </x:c>
      <x:c r="Z99" s="8" t="str">
        <x:v>trunk:LC1:LD:light:-1</x:v>
      </x:c>
    </x:row>
    <x:row r="100" ht="90" customHeight="1">
      <x:c r="A100" s="8" t="str">
        <x:v>drop:LC1:LD:light:-1:L82</x:v>
      </x:c>
      <x:c r="B100" s="8" t="str">
        <x:v>LD → Sconce · axis 3 · B</x:v>
      </x:c>
      <x:c r="C100" s="8" t="str">
        <x:v>LC1</x:v>
      </x:c>
      <x:c r="D100" s="8" t="str">
        <x:v>L82</x:v>
      </x:c>
      <x:c r="E100" s="8" t="str">
        <x:v>DB1</x:v>
      </x:c>
      <x:c r="F100" s="8" t="str">
        <x:v>LD</x:v>
      </x:c>
      <x:c r="G100" s="8" t="str">
        <x:v>light</x:v>
      </x:c>
      <x:c r="H100" s="8" t="str">
        <x:v>drop</x:v>
      </x:c>
      <x:c r="I100" s="11" t="n">
        <x:f>SUMIF('Route Points'!$A$7:$A$1910,A100,'Route Points'!$F$7:$F$1910)</x:f>
        <x:v>2.1100000000000003</x:v>
      </x:c>
      <x:c r="J100" s="11"/>
      <x:c r="K100" s="11" t="str">
        <x:f>IF(L100="Full home run",I100+J100,"")</x:f>
      </x:c>
      <x:c r="L100" s="8" t="str">
        <x:v>Route segment</x:v>
      </x:c>
      <x:c r="M100" s="13"/>
      <x:c r="N100" s="11" t="str">
        <x:f>IF(OR(M100="",L100="Shared bundle"),"",IF(L100="Full home run",K100,I100)+M100)</x:f>
      </x:c>
      <x:c r="O100" s="8" t="str">
        <x:v>Cable type / conductors / cross-section / conduit: pending electrical design</x:v>
      </x:c>
      <x:c r="P100" s="8" t="str">
        <x:v>Concealed pier / wall drop, local termination</x:v>
      </x:c>
      <x:c r="Q100" s="9"/>
      <x:c r="R100" s="9"/>
      <x:c r="S100" s="13"/>
      <x:c r="T100" s="9"/>
      <x:c r="U100" s="9"/>
      <x:c r="V100" s="9"/>
      <x:c r="W100" s="9"/>
      <x:c r="X100" s="9"/>
      <x:c r="Y100" s="8" t="str">
        <x:v>Current</x:v>
      </x:c>
      <x:c r="Z100" s="8" t="str">
        <x:v>trunk:LC1:LD:light:-1</x:v>
      </x:c>
    </x:row>
    <x:row r="101" ht="90" customHeight="1">
      <x:c r="A101" s="8" t="str">
        <x:v>drop:LC1:LD:light:-1:L84</x:v>
      </x:c>
      <x:c r="B101" s="8" t="str">
        <x:v>LD → Sconce · axis 4 · B</x:v>
      </x:c>
      <x:c r="C101" s="8" t="str">
        <x:v>LC1</x:v>
      </x:c>
      <x:c r="D101" s="8" t="str">
        <x:v>L84</x:v>
      </x:c>
      <x:c r="E101" s="8" t="str">
        <x:v>DB1</x:v>
      </x:c>
      <x:c r="F101" s="8" t="str">
        <x:v>LD</x:v>
      </x:c>
      <x:c r="G101" s="8" t="str">
        <x:v>light</x:v>
      </x:c>
      <x:c r="H101" s="8" t="str">
        <x:v>drop</x:v>
      </x:c>
      <x:c r="I101" s="11" t="n">
        <x:f>SUMIF('Route Points'!$A$7:$A$1910,A101,'Route Points'!$F$7:$F$1910)</x:f>
        <x:v>2.1100000000000003</x:v>
      </x:c>
      <x:c r="J101" s="11"/>
      <x:c r="K101" s="11" t="str">
        <x:f>IF(L101="Full home run",I101+J101,"")</x:f>
      </x:c>
      <x:c r="L101" s="8" t="str">
        <x:v>Route segment</x:v>
      </x:c>
      <x:c r="M101" s="13"/>
      <x:c r="N101" s="11" t="str">
        <x:f>IF(OR(M101="",L101="Shared bundle"),"",IF(L101="Full home run",K101,I101)+M101)</x:f>
      </x:c>
      <x:c r="O101" s="8" t="str">
        <x:v>Cable type / conductors / cross-section / conduit: pending electrical design</x:v>
      </x:c>
      <x:c r="P101" s="8" t="str">
        <x:v>Concealed pier / wall drop, local termination</x:v>
      </x:c>
      <x:c r="Q101" s="9"/>
      <x:c r="R101" s="9"/>
      <x:c r="S101" s="13"/>
      <x:c r="T101" s="9"/>
      <x:c r="U101" s="9"/>
      <x:c r="V101" s="9"/>
      <x:c r="W101" s="9"/>
      <x:c r="X101" s="9"/>
      <x:c r="Y101" s="8" t="str">
        <x:v>Current</x:v>
      </x:c>
      <x:c r="Z101" s="8" t="str">
        <x:v>trunk:LC1:LD:light:-1</x:v>
      </x:c>
    </x:row>
    <x:row r="102" ht="90" customHeight="1">
      <x:c r="A102" s="8" t="str">
        <x:v>drop:LC1:LD:light:-1:L86</x:v>
      </x:c>
      <x:c r="B102" s="8" t="str">
        <x:v>LD → Sconce · axis 5 · B</x:v>
      </x:c>
      <x:c r="C102" s="8" t="str">
        <x:v>LC1</x:v>
      </x:c>
      <x:c r="D102" s="8" t="str">
        <x:v>L86</x:v>
      </x:c>
      <x:c r="E102" s="8" t="str">
        <x:v>DB1</x:v>
      </x:c>
      <x:c r="F102" s="8" t="str">
        <x:v>LD</x:v>
      </x:c>
      <x:c r="G102" s="8" t="str">
        <x:v>light</x:v>
      </x:c>
      <x:c r="H102" s="8" t="str">
        <x:v>drop</x:v>
      </x:c>
      <x:c r="I102" s="11" t="n">
        <x:f>SUMIF('Route Points'!$A$7:$A$1910,A102,'Route Points'!$F$7:$F$1910)</x:f>
        <x:v>2.1100000000000003</x:v>
      </x:c>
      <x:c r="J102" s="11"/>
      <x:c r="K102" s="11" t="str">
        <x:f>IF(L102="Full home run",I102+J102,"")</x:f>
      </x:c>
      <x:c r="L102" s="8" t="str">
        <x:v>Route segment</x:v>
      </x:c>
      <x:c r="M102" s="13"/>
      <x:c r="N102" s="11" t="str">
        <x:f>IF(OR(M102="",L102="Shared bundle"),"",IF(L102="Full home run",K102,I102)+M102)</x:f>
      </x:c>
      <x:c r="O102" s="8" t="str">
        <x:v>Cable type / conductors / cross-section / conduit: pending electrical design</x:v>
      </x:c>
      <x:c r="P102" s="8" t="str">
        <x:v>Concealed pier / wall drop, local termination</x:v>
      </x:c>
      <x:c r="Q102" s="9"/>
      <x:c r="R102" s="9"/>
      <x:c r="S102" s="13"/>
      <x:c r="T102" s="9"/>
      <x:c r="U102" s="9"/>
      <x:c r="V102" s="9"/>
      <x:c r="W102" s="9"/>
      <x:c r="X102" s="9"/>
      <x:c r="Y102" s="8" t="str">
        <x:v>Current</x:v>
      </x:c>
      <x:c r="Z102" s="8" t="str">
        <x:v>trunk:LC1:LD:light:-1</x:v>
      </x:c>
    </x:row>
    <x:row r="103" ht="90" customHeight="1">
      <x:c r="A103" s="8" t="str">
        <x:v>drop:LC1:LD:light:-1:L88</x:v>
      </x:c>
      <x:c r="B103" s="8" t="str">
        <x:v>LD → Sconce · axis 6 · B</x:v>
      </x:c>
      <x:c r="C103" s="8" t="str">
        <x:v>LC1</x:v>
      </x:c>
      <x:c r="D103" s="8" t="str">
        <x:v>L88</x:v>
      </x:c>
      <x:c r="E103" s="8" t="str">
        <x:v>DB1</x:v>
      </x:c>
      <x:c r="F103" s="8" t="str">
        <x:v>LD</x:v>
      </x:c>
      <x:c r="G103" s="8" t="str">
        <x:v>light</x:v>
      </x:c>
      <x:c r="H103" s="8" t="str">
        <x:v>drop</x:v>
      </x:c>
      <x:c r="I103" s="11" t="n">
        <x:f>SUMIF('Route Points'!$A$7:$A$1910,A103,'Route Points'!$F$7:$F$1910)</x:f>
        <x:v>2.1100000000000003</x:v>
      </x:c>
      <x:c r="J103" s="11"/>
      <x:c r="K103" s="11" t="str">
        <x:f>IF(L103="Full home run",I103+J103,"")</x:f>
      </x:c>
      <x:c r="L103" s="8" t="str">
        <x:v>Route segment</x:v>
      </x:c>
      <x:c r="M103" s="13"/>
      <x:c r="N103" s="11" t="str">
        <x:f>IF(OR(M103="",L103="Shared bundle"),"",IF(L103="Full home run",K103,I103)+M103)</x:f>
      </x:c>
      <x:c r="O103" s="8" t="str">
        <x:v>Cable type / conductors / cross-section / conduit: pending electrical design</x:v>
      </x:c>
      <x:c r="P103" s="8" t="str">
        <x:v>Concealed pier / wall drop, local termination</x:v>
      </x:c>
      <x:c r="Q103" s="9"/>
      <x:c r="R103" s="9"/>
      <x:c r="S103" s="13"/>
      <x:c r="T103" s="9"/>
      <x:c r="U103" s="9"/>
      <x:c r="V103" s="9"/>
      <x:c r="W103" s="9"/>
      <x:c r="X103" s="9"/>
      <x:c r="Y103" s="8" t="str">
        <x:v>Current</x:v>
      </x:c>
      <x:c r="Z103" s="8" t="str">
        <x:v>trunk:LC1:LD:light:-1</x:v>
      </x:c>
    </x:row>
    <x:row r="104" ht="90" customHeight="1">
      <x:c r="A104" s="8" t="str">
        <x:v>drop:LC1:LD:light:-1:L90</x:v>
      </x:c>
      <x:c r="B104" s="8" t="str">
        <x:v>LD → Sconce · axis 7 · B</x:v>
      </x:c>
      <x:c r="C104" s="8" t="str">
        <x:v>LC1</x:v>
      </x:c>
      <x:c r="D104" s="8" t="str">
        <x:v>L90</x:v>
      </x:c>
      <x:c r="E104" s="8" t="str">
        <x:v>DB1</x:v>
      </x:c>
      <x:c r="F104" s="8" t="str">
        <x:v>LD</x:v>
      </x:c>
      <x:c r="G104" s="8" t="str">
        <x:v>light</x:v>
      </x:c>
      <x:c r="H104" s="8" t="str">
        <x:v>drop</x:v>
      </x:c>
      <x:c r="I104" s="11" t="n">
        <x:f>SUMIF('Route Points'!$A$7:$A$1910,A104,'Route Points'!$F$7:$F$1910)</x:f>
        <x:v>2.1100000000000003</x:v>
      </x:c>
      <x:c r="J104" s="11"/>
      <x:c r="K104" s="11" t="str">
        <x:f>IF(L104="Full home run",I104+J104,"")</x:f>
      </x:c>
      <x:c r="L104" s="8" t="str">
        <x:v>Route segment</x:v>
      </x:c>
      <x:c r="M104" s="13"/>
      <x:c r="N104" s="11" t="str">
        <x:f>IF(OR(M104="",L104="Shared bundle"),"",IF(L104="Full home run",K104,I104)+M104)</x:f>
      </x:c>
      <x:c r="O104" s="8" t="str">
        <x:v>Cable type / conductors / cross-section / conduit: pending electrical design</x:v>
      </x:c>
      <x:c r="P104" s="8" t="str">
        <x:v>Concealed pier / wall drop, local termination</x:v>
      </x:c>
      <x:c r="Q104" s="9"/>
      <x:c r="R104" s="9"/>
      <x:c r="S104" s="13"/>
      <x:c r="T104" s="9"/>
      <x:c r="U104" s="9"/>
      <x:c r="V104" s="9"/>
      <x:c r="W104" s="9"/>
      <x:c r="X104" s="9"/>
      <x:c r="Y104" s="8" t="str">
        <x:v>Current</x:v>
      </x:c>
      <x:c r="Z104" s="8" t="str">
        <x:v>trunk:LC1:LD:light:-1</x:v>
      </x:c>
    </x:row>
    <x:row r="105" ht="90" customHeight="1">
      <x:c r="A105" s="8" t="str">
        <x:v>drop:LC1:LD:light:-1:L92</x:v>
      </x:c>
      <x:c r="B105" s="8" t="str">
        <x:v>LD → Sconce · axis 8 · B</x:v>
      </x:c>
      <x:c r="C105" s="8" t="str">
        <x:v>LC1</x:v>
      </x:c>
      <x:c r="D105" s="8" t="str">
        <x:v>L92</x:v>
      </x:c>
      <x:c r="E105" s="8" t="str">
        <x:v>DB1</x:v>
      </x:c>
      <x:c r="F105" s="8" t="str">
        <x:v>LD</x:v>
      </x:c>
      <x:c r="G105" s="8" t="str">
        <x:v>light</x:v>
      </x:c>
      <x:c r="H105" s="8" t="str">
        <x:v>drop</x:v>
      </x:c>
      <x:c r="I105" s="11" t="n">
        <x:f>SUMIF('Route Points'!$A$7:$A$1910,A105,'Route Points'!$F$7:$F$1910)</x:f>
        <x:v>2.1100000000000003</x:v>
      </x:c>
      <x:c r="J105" s="11"/>
      <x:c r="K105" s="11" t="str">
        <x:f>IF(L105="Full home run",I105+J105,"")</x:f>
      </x:c>
      <x:c r="L105" s="8" t="str">
        <x:v>Route segment</x:v>
      </x:c>
      <x:c r="M105" s="13"/>
      <x:c r="N105" s="11" t="str">
        <x:f>IF(OR(M105="",L105="Shared bundle"),"",IF(L105="Full home run",K105,I105)+M105)</x:f>
      </x:c>
      <x:c r="O105" s="8" t="str">
        <x:v>Cable type / conductors / cross-section / conduit: pending electrical design</x:v>
      </x:c>
      <x:c r="P105" s="8" t="str">
        <x:v>Concealed pier / wall drop, local termination</x:v>
      </x:c>
      <x:c r="Q105" s="9"/>
      <x:c r="R105" s="9"/>
      <x:c r="S105" s="13"/>
      <x:c r="T105" s="9"/>
      <x:c r="U105" s="9"/>
      <x:c r="V105" s="9"/>
      <x:c r="W105" s="9"/>
      <x:c r="X105" s="9"/>
      <x:c r="Y105" s="8" t="str">
        <x:v>Current</x:v>
      </x:c>
      <x:c r="Z105" s="8" t="str">
        <x:v>trunk:LC1:LD:light:-1</x:v>
      </x:c>
    </x:row>
    <x:row r="106" ht="90" customHeight="1">
      <x:c r="A106" s="8" t="str">
        <x:v>drop:LC1:LD:light:-1:L94</x:v>
      </x:c>
      <x:c r="B106" s="8" t="str">
        <x:v>LD → Sconce · axis 9 · B</x:v>
      </x:c>
      <x:c r="C106" s="8" t="str">
        <x:v>LC1</x:v>
      </x:c>
      <x:c r="D106" s="8" t="str">
        <x:v>L94</x:v>
      </x:c>
      <x:c r="E106" s="8" t="str">
        <x:v>DB1</x:v>
      </x:c>
      <x:c r="F106" s="8" t="str">
        <x:v>LD</x:v>
      </x:c>
      <x:c r="G106" s="8" t="str">
        <x:v>light</x:v>
      </x:c>
      <x:c r="H106" s="8" t="str">
        <x:v>drop</x:v>
      </x:c>
      <x:c r="I106" s="11" t="n">
        <x:f>SUMIF('Route Points'!$A$7:$A$1910,A106,'Route Points'!$F$7:$F$1910)</x:f>
        <x:v>7.99</x:v>
      </x:c>
      <x:c r="J106" s="11"/>
      <x:c r="K106" s="11" t="str">
        <x:f>IF(L106="Full home run",I106+J106,"")</x:f>
      </x:c>
      <x:c r="L106" s="8" t="str">
        <x:v>Route segment</x:v>
      </x:c>
      <x:c r="M106" s="13"/>
      <x:c r="N106" s="11" t="str">
        <x:f>IF(OR(M106="",L106="Shared bundle"),"",IF(L106="Full home run",K106,I106)+M106)</x:f>
      </x:c>
      <x:c r="O106" s="8" t="str">
        <x:v>Cable type / conductors / cross-section / conduit: pending electrical design</x:v>
      </x:c>
      <x:c r="P106" s="8" t="str">
        <x:v>Concealed pier / wall drop, local termination</x:v>
      </x:c>
      <x:c r="Q106" s="9"/>
      <x:c r="R106" s="9"/>
      <x:c r="S106" s="13"/>
      <x:c r="T106" s="9"/>
      <x:c r="U106" s="9"/>
      <x:c r="V106" s="9"/>
      <x:c r="W106" s="9"/>
      <x:c r="X106" s="9"/>
      <x:c r="Y106" s="8" t="str">
        <x:v>Current</x:v>
      </x:c>
      <x:c r="Z106" s="8" t="str">
        <x:v>trunk:LC1:LD:light:-1</x:v>
      </x:c>
    </x:row>
    <x:row r="107" ht="90" customHeight="1">
      <x:c r="A107" s="8" t="str">
        <x:v>drop:LC1:LD:light:-1:L96</x:v>
      </x:c>
      <x:c r="B107" s="8" t="str">
        <x:v>LD → Sconce · sanctuary pier · B</x:v>
      </x:c>
      <x:c r="C107" s="8" t="str">
        <x:v>LC1</x:v>
      </x:c>
      <x:c r="D107" s="8" t="str">
        <x:v>L96</x:v>
      </x:c>
      <x:c r="E107" s="8" t="str">
        <x:v>DB1</x:v>
      </x:c>
      <x:c r="F107" s="8" t="str">
        <x:v>LD</x:v>
      </x:c>
      <x:c r="G107" s="8" t="str">
        <x:v>light</x:v>
      </x:c>
      <x:c r="H107" s="8" t="str">
        <x:v>drop</x:v>
      </x:c>
      <x:c r="I107" s="11" t="n">
        <x:f>SUMIF('Route Points'!$A$7:$A$1910,A107,'Route Points'!$F$7:$F$1910)</x:f>
        <x:v>7.505000000000002</x:v>
      </x:c>
      <x:c r="J107" s="11"/>
      <x:c r="K107" s="11" t="str">
        <x:f>IF(L107="Full home run",I107+J107,"")</x:f>
      </x:c>
      <x:c r="L107" s="8" t="str">
        <x:v>Route segment</x:v>
      </x:c>
      <x:c r="M107" s="13"/>
      <x:c r="N107" s="11" t="str">
        <x:f>IF(OR(M107="",L107="Shared bundle"),"",IF(L107="Full home run",K107,I107)+M107)</x:f>
      </x:c>
      <x:c r="O107" s="8" t="str">
        <x:v>Cable type / conductors / cross-section / conduit: pending electrical design</x:v>
      </x:c>
      <x:c r="P107" s="8" t="str">
        <x:v>Concealed pier / wall drop, local termination</x:v>
      </x:c>
      <x:c r="Q107" s="9"/>
      <x:c r="R107" s="9"/>
      <x:c r="S107" s="13"/>
      <x:c r="T107" s="9"/>
      <x:c r="U107" s="9"/>
      <x:c r="V107" s="9"/>
      <x:c r="W107" s="9"/>
      <x:c r="X107" s="9"/>
      <x:c r="Y107" s="8" t="str">
        <x:v>Current</x:v>
      </x:c>
      <x:c r="Z107" s="8" t="str">
        <x:v>trunk:LC1:LD:light:-1</x:v>
      </x:c>
    </x:row>
    <x:row r="108" ht="116" customHeight="1">
      <x:c r="A108" s="8" t="str">
        <x:v>trunk:LC1:LD:light:1</x:v>
      </x:c>
      <x:c r="B108" s="8" t="str">
        <x:v>LD · H · circuit trunk</x:v>
      </x:c>
      <x:c r="C108" s="8" t="str">
        <x:v>LC1</x:v>
      </x:c>
      <x:c r="D108" s="8" t="str">
        <x:v>L83
L85
L87
L89
L91
L93
L95
L97</x:v>
      </x:c>
      <x:c r="E108" s="8" t="str">
        <x:v>DB1</x:v>
      </x:c>
      <x:c r="F108" s="8" t="str">
        <x:v>LD</x:v>
      </x:c>
      <x:c r="G108" s="8" t="str">
        <x:v>light</x:v>
      </x:c>
      <x:c r="H108" s="8" t="str">
        <x:v>trunk</x:v>
      </x:c>
      <x:c r="I108" s="11" t="n">
        <x:f>SUMIF('Route Points'!$A$7:$A$1910,A108,'Route Points'!$F$7:$F$1910)</x:f>
        <x:v>77.89</x:v>
      </x:c>
      <x:c r="J108" s="11"/>
      <x:c r="K108" s="11" t="str">
        <x:f>IF(L108="Full home run",I108+J108,"")</x:f>
      </x:c>
      <x:c r="L108" s="8" t="str">
        <x:v>Route segment</x:v>
      </x:c>
      <x:c r="M108" s="13"/>
      <x:c r="N108" s="11" t="str">
        <x:f>IF(OR(M108="",L108="Shared bundle"),"",IF(L108="Full home run",K108,I108)+M108)</x:f>
      </x:c>
      <x:c r="O108" s="8" t="str">
        <x:v>Cable type / conductors / cross-section / conduit: pending electrical design</x:v>
      </x:c>
      <x:c r="P108" s="8" t="str">
        <x:v>Concealed wall band above openings; ceiling containment at wing returns</x:v>
      </x:c>
      <x:c r="Q108" s="9"/>
      <x:c r="R108" s="9"/>
      <x:c r="S108" s="13"/>
      <x:c r="T108" s="9"/>
      <x:c r="U108" s="9"/>
      <x:c r="V108" s="9"/>
      <x:c r="W108" s="9"/>
      <x:c r="X108" s="9"/>
      <x:c r="Y108" s="8" t="str">
        <x:v>Current</x:v>
      </x:c>
      <x:c r="Z108" s="8"/>
    </x:row>
    <x:row r="109" ht="90" customHeight="1">
      <x:c r="A109" s="8" t="str">
        <x:v>drop:LC1:LD:light:1:L83</x:v>
      </x:c>
      <x:c r="B109" s="8" t="str">
        <x:v>LD → Sconce · axis 3 · H</x:v>
      </x:c>
      <x:c r="C109" s="8" t="str">
        <x:v>LC1</x:v>
      </x:c>
      <x:c r="D109" s="8" t="str">
        <x:v>L83</x:v>
      </x:c>
      <x:c r="E109" s="8" t="str">
        <x:v>DB1</x:v>
      </x:c>
      <x:c r="F109" s="8" t="str">
        <x:v>LD</x:v>
      </x:c>
      <x:c r="G109" s="8" t="str">
        <x:v>light</x:v>
      </x:c>
      <x:c r="H109" s="8" t="str">
        <x:v>drop</x:v>
      </x:c>
      <x:c r="I109" s="11" t="n">
        <x:f>SUMIF('Route Points'!$A$7:$A$1910,A109,'Route Points'!$F$7:$F$1910)</x:f>
        <x:v>2.1100000000000003</x:v>
      </x:c>
      <x:c r="J109" s="11"/>
      <x:c r="K109" s="11" t="str">
        <x:f>IF(L109="Full home run",I109+J109,"")</x:f>
      </x:c>
      <x:c r="L109" s="8" t="str">
        <x:v>Route segment</x:v>
      </x:c>
      <x:c r="M109" s="13"/>
      <x:c r="N109" s="11" t="str">
        <x:f>IF(OR(M109="",L109="Shared bundle"),"",IF(L109="Full home run",K109,I109)+M109)</x:f>
      </x:c>
      <x:c r="O109" s="8" t="str">
        <x:v>Cable type / conductors / cross-section / conduit: pending electrical design</x:v>
      </x:c>
      <x:c r="P109" s="8" t="str">
        <x:v>Concealed pier / wall drop, local termination</x:v>
      </x:c>
      <x:c r="Q109" s="9"/>
      <x:c r="R109" s="9"/>
      <x:c r="S109" s="13"/>
      <x:c r="T109" s="9"/>
      <x:c r="U109" s="9"/>
      <x:c r="V109" s="9"/>
      <x:c r="W109" s="9"/>
      <x:c r="X109" s="9"/>
      <x:c r="Y109" s="8" t="str">
        <x:v>Current</x:v>
      </x:c>
      <x:c r="Z109" s="8" t="str">
        <x:v>trunk:LC1:LD:light:1</x:v>
      </x:c>
    </x:row>
    <x:row r="110" ht="90" customHeight="1">
      <x:c r="A110" s="8" t="str">
        <x:v>drop:LC1:LD:light:1:L85</x:v>
      </x:c>
      <x:c r="B110" s="8" t="str">
        <x:v>LD → Sconce · axis 4 · H</x:v>
      </x:c>
      <x:c r="C110" s="8" t="str">
        <x:v>LC1</x:v>
      </x:c>
      <x:c r="D110" s="8" t="str">
        <x:v>L85</x:v>
      </x:c>
      <x:c r="E110" s="8" t="str">
        <x:v>DB1</x:v>
      </x:c>
      <x:c r="F110" s="8" t="str">
        <x:v>LD</x:v>
      </x:c>
      <x:c r="G110" s="8" t="str">
        <x:v>light</x:v>
      </x:c>
      <x:c r="H110" s="8" t="str">
        <x:v>drop</x:v>
      </x:c>
      <x:c r="I110" s="11" t="n">
        <x:f>SUMIF('Route Points'!$A$7:$A$1910,A110,'Route Points'!$F$7:$F$1910)</x:f>
        <x:v>2.1100000000000003</x:v>
      </x:c>
      <x:c r="J110" s="11"/>
      <x:c r="K110" s="11" t="str">
        <x:f>IF(L110="Full home run",I110+J110,"")</x:f>
      </x:c>
      <x:c r="L110" s="8" t="str">
        <x:v>Route segment</x:v>
      </x:c>
      <x:c r="M110" s="13"/>
      <x:c r="N110" s="11" t="str">
        <x:f>IF(OR(M110="",L110="Shared bundle"),"",IF(L110="Full home run",K110,I110)+M110)</x:f>
      </x:c>
      <x:c r="O110" s="8" t="str">
        <x:v>Cable type / conductors / cross-section / conduit: pending electrical design</x:v>
      </x:c>
      <x:c r="P110" s="8" t="str">
        <x:v>Concealed pier / wall drop, local termination</x:v>
      </x:c>
      <x:c r="Q110" s="9"/>
      <x:c r="R110" s="9"/>
      <x:c r="S110" s="13"/>
      <x:c r="T110" s="9"/>
      <x:c r="U110" s="9"/>
      <x:c r="V110" s="9"/>
      <x:c r="W110" s="9"/>
      <x:c r="X110" s="9"/>
      <x:c r="Y110" s="8" t="str">
        <x:v>Current</x:v>
      </x:c>
      <x:c r="Z110" s="8" t="str">
        <x:v>trunk:LC1:LD:light:1</x:v>
      </x:c>
    </x:row>
    <x:row r="111" ht="90" customHeight="1">
      <x:c r="A111" s="8" t="str">
        <x:v>drop:LC1:LD:light:1:L87</x:v>
      </x:c>
      <x:c r="B111" s="8" t="str">
        <x:v>LD → Sconce · axis 5 · H</x:v>
      </x:c>
      <x:c r="C111" s="8" t="str">
        <x:v>LC1</x:v>
      </x:c>
      <x:c r="D111" s="8" t="str">
        <x:v>L87</x:v>
      </x:c>
      <x:c r="E111" s="8" t="str">
        <x:v>DB1</x:v>
      </x:c>
      <x:c r="F111" s="8" t="str">
        <x:v>LD</x:v>
      </x:c>
      <x:c r="G111" s="8" t="str">
        <x:v>light</x:v>
      </x:c>
      <x:c r="H111" s="8" t="str">
        <x:v>drop</x:v>
      </x:c>
      <x:c r="I111" s="11" t="n">
        <x:f>SUMIF('Route Points'!$A$7:$A$1910,A111,'Route Points'!$F$7:$F$1910)</x:f>
        <x:v>2.1100000000000003</x:v>
      </x:c>
      <x:c r="J111" s="11"/>
      <x:c r="K111" s="11" t="str">
        <x:f>IF(L111="Full home run",I111+J111,"")</x:f>
      </x:c>
      <x:c r="L111" s="8" t="str">
        <x:v>Route segment</x:v>
      </x:c>
      <x:c r="M111" s="13"/>
      <x:c r="N111" s="11" t="str">
        <x:f>IF(OR(M111="",L111="Shared bundle"),"",IF(L111="Full home run",K111,I111)+M111)</x:f>
      </x:c>
      <x:c r="O111" s="8" t="str">
        <x:v>Cable type / conductors / cross-section / conduit: pending electrical design</x:v>
      </x:c>
      <x:c r="P111" s="8" t="str">
        <x:v>Concealed pier / wall drop, local termination</x:v>
      </x:c>
      <x:c r="Q111" s="9"/>
      <x:c r="R111" s="9"/>
      <x:c r="S111" s="13"/>
      <x:c r="T111" s="9"/>
      <x:c r="U111" s="9"/>
      <x:c r="V111" s="9"/>
      <x:c r="W111" s="9"/>
      <x:c r="X111" s="9"/>
      <x:c r="Y111" s="8" t="str">
        <x:v>Current</x:v>
      </x:c>
      <x:c r="Z111" s="8" t="str">
        <x:v>trunk:LC1:LD:light:1</x:v>
      </x:c>
    </x:row>
    <x:row r="112" ht="90" customHeight="1">
      <x:c r="A112" s="8" t="str">
        <x:v>drop:LC1:LD:light:1:L89</x:v>
      </x:c>
      <x:c r="B112" s="8" t="str">
        <x:v>LD → Sconce · axis 6 · H</x:v>
      </x:c>
      <x:c r="C112" s="8" t="str">
        <x:v>LC1</x:v>
      </x:c>
      <x:c r="D112" s="8" t="str">
        <x:v>L89</x:v>
      </x:c>
      <x:c r="E112" s="8" t="str">
        <x:v>DB1</x:v>
      </x:c>
      <x:c r="F112" s="8" t="str">
        <x:v>LD</x:v>
      </x:c>
      <x:c r="G112" s="8" t="str">
        <x:v>light</x:v>
      </x:c>
      <x:c r="H112" s="8" t="str">
        <x:v>drop</x:v>
      </x:c>
      <x:c r="I112" s="11" t="n">
        <x:f>SUMIF('Route Points'!$A$7:$A$1910,A112,'Route Points'!$F$7:$F$1910)</x:f>
        <x:v>2.1100000000000003</x:v>
      </x:c>
      <x:c r="J112" s="11"/>
      <x:c r="K112" s="11" t="str">
        <x:f>IF(L112="Full home run",I112+J112,"")</x:f>
      </x:c>
      <x:c r="L112" s="8" t="str">
        <x:v>Route segment</x:v>
      </x:c>
      <x:c r="M112" s="13"/>
      <x:c r="N112" s="11" t="str">
        <x:f>IF(OR(M112="",L112="Shared bundle"),"",IF(L112="Full home run",K112,I112)+M112)</x:f>
      </x:c>
      <x:c r="O112" s="8" t="str">
        <x:v>Cable type / conductors / cross-section / conduit: pending electrical design</x:v>
      </x:c>
      <x:c r="P112" s="8" t="str">
        <x:v>Concealed pier / wall drop, local termination</x:v>
      </x:c>
      <x:c r="Q112" s="9"/>
      <x:c r="R112" s="9"/>
      <x:c r="S112" s="13"/>
      <x:c r="T112" s="9"/>
      <x:c r="U112" s="9"/>
      <x:c r="V112" s="9"/>
      <x:c r="W112" s="9"/>
      <x:c r="X112" s="9"/>
      <x:c r="Y112" s="8" t="str">
        <x:v>Current</x:v>
      </x:c>
      <x:c r="Z112" s="8" t="str">
        <x:v>trunk:LC1:LD:light:1</x:v>
      </x:c>
    </x:row>
    <x:row r="113" ht="90" customHeight="1">
      <x:c r="A113" s="8" t="str">
        <x:v>drop:LC1:LD:light:1:L91</x:v>
      </x:c>
      <x:c r="B113" s="8" t="str">
        <x:v>LD → Sconce · axis 7 · H</x:v>
      </x:c>
      <x:c r="C113" s="8" t="str">
        <x:v>LC1</x:v>
      </x:c>
      <x:c r="D113" s="8" t="str">
        <x:v>L91</x:v>
      </x:c>
      <x:c r="E113" s="8" t="str">
        <x:v>DB1</x:v>
      </x:c>
      <x:c r="F113" s="8" t="str">
        <x:v>LD</x:v>
      </x:c>
      <x:c r="G113" s="8" t="str">
        <x:v>light</x:v>
      </x:c>
      <x:c r="H113" s="8" t="str">
        <x:v>drop</x:v>
      </x:c>
      <x:c r="I113" s="11" t="n">
        <x:f>SUMIF('Route Points'!$A$7:$A$1910,A113,'Route Points'!$F$7:$F$1910)</x:f>
        <x:v>2.1100000000000003</x:v>
      </x:c>
      <x:c r="J113" s="11"/>
      <x:c r="K113" s="11" t="str">
        <x:f>IF(L113="Full home run",I113+J113,"")</x:f>
      </x:c>
      <x:c r="L113" s="8" t="str">
        <x:v>Route segment</x:v>
      </x:c>
      <x:c r="M113" s="13"/>
      <x:c r="N113" s="11" t="str">
        <x:f>IF(OR(M113="",L113="Shared bundle"),"",IF(L113="Full home run",K113,I113)+M113)</x:f>
      </x:c>
      <x:c r="O113" s="8" t="str">
        <x:v>Cable type / conductors / cross-section / conduit: pending electrical design</x:v>
      </x:c>
      <x:c r="P113" s="8" t="str">
        <x:v>Concealed pier / wall drop, local termination</x:v>
      </x:c>
      <x:c r="Q113" s="9"/>
      <x:c r="R113" s="9"/>
      <x:c r="S113" s="13"/>
      <x:c r="T113" s="9"/>
      <x:c r="U113" s="9"/>
      <x:c r="V113" s="9"/>
      <x:c r="W113" s="9"/>
      <x:c r="X113" s="9"/>
      <x:c r="Y113" s="8" t="str">
        <x:v>Current</x:v>
      </x:c>
      <x:c r="Z113" s="8" t="str">
        <x:v>trunk:LC1:LD:light:1</x:v>
      </x:c>
    </x:row>
    <x:row r="114" ht="90" customHeight="1">
      <x:c r="A114" s="8" t="str">
        <x:v>drop:LC1:LD:light:1:L93</x:v>
      </x:c>
      <x:c r="B114" s="8" t="str">
        <x:v>LD → Sconce · axis 8 · H</x:v>
      </x:c>
      <x:c r="C114" s="8" t="str">
        <x:v>LC1</x:v>
      </x:c>
      <x:c r="D114" s="8" t="str">
        <x:v>L93</x:v>
      </x:c>
      <x:c r="E114" s="8" t="str">
        <x:v>DB1</x:v>
      </x:c>
      <x:c r="F114" s="8" t="str">
        <x:v>LD</x:v>
      </x:c>
      <x:c r="G114" s="8" t="str">
        <x:v>light</x:v>
      </x:c>
      <x:c r="H114" s="8" t="str">
        <x:v>drop</x:v>
      </x:c>
      <x:c r="I114" s="11" t="n">
        <x:f>SUMIF('Route Points'!$A$7:$A$1910,A114,'Route Points'!$F$7:$F$1910)</x:f>
        <x:v>2.1100000000000003</x:v>
      </x:c>
      <x:c r="J114" s="11"/>
      <x:c r="K114" s="11" t="str">
        <x:f>IF(L114="Full home run",I114+J114,"")</x:f>
      </x:c>
      <x:c r="L114" s="8" t="str">
        <x:v>Route segment</x:v>
      </x:c>
      <x:c r="M114" s="13"/>
      <x:c r="N114" s="11" t="str">
        <x:f>IF(OR(M114="",L114="Shared bundle"),"",IF(L114="Full home run",K114,I114)+M114)</x:f>
      </x:c>
      <x:c r="O114" s="8" t="str">
        <x:v>Cable type / conductors / cross-section / conduit: pending electrical design</x:v>
      </x:c>
      <x:c r="P114" s="8" t="str">
        <x:v>Concealed pier / wall drop, local termination</x:v>
      </x:c>
      <x:c r="Q114" s="9"/>
      <x:c r="R114" s="9"/>
      <x:c r="S114" s="13"/>
      <x:c r="T114" s="9"/>
      <x:c r="U114" s="9"/>
      <x:c r="V114" s="9"/>
      <x:c r="W114" s="9"/>
      <x:c r="X114" s="9"/>
      <x:c r="Y114" s="8" t="str">
        <x:v>Current</x:v>
      </x:c>
      <x:c r="Z114" s="8" t="str">
        <x:v>trunk:LC1:LD:light:1</x:v>
      </x:c>
    </x:row>
    <x:row r="115" ht="90" customHeight="1">
      <x:c r="A115" s="8" t="str">
        <x:v>drop:LC1:LD:light:1:L95</x:v>
      </x:c>
      <x:c r="B115" s="8" t="str">
        <x:v>LD → Sconce · axis 9 · H</x:v>
      </x:c>
      <x:c r="C115" s="8" t="str">
        <x:v>LC1</x:v>
      </x:c>
      <x:c r="D115" s="8" t="str">
        <x:v>L95</x:v>
      </x:c>
      <x:c r="E115" s="8" t="str">
        <x:v>DB1</x:v>
      </x:c>
      <x:c r="F115" s="8" t="str">
        <x:v>LD</x:v>
      </x:c>
      <x:c r="G115" s="8" t="str">
        <x:v>light</x:v>
      </x:c>
      <x:c r="H115" s="8" t="str">
        <x:v>drop</x:v>
      </x:c>
      <x:c r="I115" s="11" t="n">
        <x:f>SUMIF('Route Points'!$A$7:$A$1910,A115,'Route Points'!$F$7:$F$1910)</x:f>
        <x:v>7.99</x:v>
      </x:c>
      <x:c r="J115" s="11"/>
      <x:c r="K115" s="11" t="str">
        <x:f>IF(L115="Full home run",I115+J115,"")</x:f>
      </x:c>
      <x:c r="L115" s="8" t="str">
        <x:v>Route segment</x:v>
      </x:c>
      <x:c r="M115" s="13"/>
      <x:c r="N115" s="11" t="str">
        <x:f>IF(OR(M115="",L115="Shared bundle"),"",IF(L115="Full home run",K115,I115)+M115)</x:f>
      </x:c>
      <x:c r="O115" s="8" t="str">
        <x:v>Cable type / conductors / cross-section / conduit: pending electrical design</x:v>
      </x:c>
      <x:c r="P115" s="8" t="str">
        <x:v>Concealed pier / wall drop, local termination</x:v>
      </x:c>
      <x:c r="Q115" s="9"/>
      <x:c r="R115" s="9"/>
      <x:c r="S115" s="13"/>
      <x:c r="T115" s="9"/>
      <x:c r="U115" s="9"/>
      <x:c r="V115" s="9"/>
      <x:c r="W115" s="9"/>
      <x:c r="X115" s="9"/>
      <x:c r="Y115" s="8" t="str">
        <x:v>Current</x:v>
      </x:c>
      <x:c r="Z115" s="8" t="str">
        <x:v>trunk:LC1:LD:light:1</x:v>
      </x:c>
    </x:row>
    <x:row r="116" ht="90" customHeight="1">
      <x:c r="A116" s="8" t="str">
        <x:v>drop:LC1:LD:light:1:L97</x:v>
      </x:c>
      <x:c r="B116" s="8" t="str">
        <x:v>LD → Sconce · sanctuary pier · H</x:v>
      </x:c>
      <x:c r="C116" s="8" t="str">
        <x:v>LC1</x:v>
      </x:c>
      <x:c r="D116" s="8" t="str">
        <x:v>L97</x:v>
      </x:c>
      <x:c r="E116" s="8" t="str">
        <x:v>DB1</x:v>
      </x:c>
      <x:c r="F116" s="8" t="str">
        <x:v>LD</x:v>
      </x:c>
      <x:c r="G116" s="8" t="str">
        <x:v>light</x:v>
      </x:c>
      <x:c r="H116" s="8" t="str">
        <x:v>drop</x:v>
      </x:c>
      <x:c r="I116" s="11" t="n">
        <x:f>SUMIF('Route Points'!$A$7:$A$1910,A116,'Route Points'!$F$7:$F$1910)</x:f>
        <x:v>7.505000000000002</x:v>
      </x:c>
      <x:c r="J116" s="11"/>
      <x:c r="K116" s="11" t="str">
        <x:f>IF(L116="Full home run",I116+J116,"")</x:f>
      </x:c>
      <x:c r="L116" s="8" t="str">
        <x:v>Route segment</x:v>
      </x:c>
      <x:c r="M116" s="13"/>
      <x:c r="N116" s="11" t="str">
        <x:f>IF(OR(M116="",L116="Shared bundle"),"",IF(L116="Full home run",K116,I116)+M116)</x:f>
      </x:c>
      <x:c r="O116" s="8" t="str">
        <x:v>Cable type / conductors / cross-section / conduit: pending electrical design</x:v>
      </x:c>
      <x:c r="P116" s="8" t="str">
        <x:v>Concealed pier / wall drop, local termination</x:v>
      </x:c>
      <x:c r="Q116" s="9"/>
      <x:c r="R116" s="9"/>
      <x:c r="S116" s="13"/>
      <x:c r="T116" s="9"/>
      <x:c r="U116" s="9"/>
      <x:c r="V116" s="9"/>
      <x:c r="W116" s="9"/>
      <x:c r="X116" s="9"/>
      <x:c r="Y116" s="8" t="str">
        <x:v>Current</x:v>
      </x:c>
      <x:c r="Z116" s="8" t="str">
        <x:v>trunk:LC1:LD:light:1</x:v>
      </x:c>
    </x:row>
    <x:row r="117" ht="181" customHeight="1">
      <x:c r="A117" s="8" t="str">
        <x:v>trunk:LC1:L3:light:-1</x:v>
      </x:c>
      <x:c r="B117" s="8" t="str">
        <x:v>L3 · B · circuit trunk</x:v>
      </x:c>
      <x:c r="C117" s="8" t="str">
        <x:v>LC1</x:v>
      </x:c>
      <x:c r="D117" s="8" t="str">
        <x:v>L98
L100
L101
L104
L106
L107
L108
L109
L114
L115
L116
L151
L152</x:v>
      </x:c>
      <x:c r="E117" s="8" t="str">
        <x:v>DB1</x:v>
      </x:c>
      <x:c r="F117" s="8" t="str">
        <x:v>L3</x:v>
      </x:c>
      <x:c r="G117" s="8" t="str">
        <x:v>light</x:v>
      </x:c>
      <x:c r="H117" s="8" t="str">
        <x:v>trunk</x:v>
      </x:c>
      <x:c r="I117" s="11" t="n">
        <x:f>SUMIF('Route Points'!$A$7:$A$1910,A117,'Route Points'!$F$7:$F$1910)</x:f>
        <x:v>37.768</x:v>
      </x:c>
      <x:c r="J117" s="11"/>
      <x:c r="K117" s="11" t="str">
        <x:f>IF(L117="Full home run",I117+J117,"")</x:f>
      </x:c>
      <x:c r="L117" s="8" t="str">
        <x:v>Route segment</x:v>
      </x:c>
      <x:c r="M117" s="13"/>
      <x:c r="N117" s="11" t="str">
        <x:f>IF(OR(M117="",L117="Shared bundle"),"",IF(L117="Full home run",K117,I117)+M117)</x:f>
      </x:c>
      <x:c r="O117" s="8" t="str">
        <x:v>Cable type / conductors / cross-section / conduit: pending electrical design</x:v>
      </x:c>
      <x:c r="P117" s="8" t="str">
        <x:v>Concealed wall band above openings; ceiling containment at wing returns</x:v>
      </x:c>
      <x:c r="Q117" s="9"/>
      <x:c r="R117" s="9"/>
      <x:c r="S117" s="13"/>
      <x:c r="T117" s="9"/>
      <x:c r="U117" s="9"/>
      <x:c r="V117" s="9"/>
      <x:c r="W117" s="9"/>
      <x:c r="X117" s="9"/>
      <x:c r="Y117" s="8" t="str">
        <x:v>Current</x:v>
      </x:c>
      <x:c r="Z117" s="8"/>
    </x:row>
    <x:row r="118" ht="90" customHeight="1">
      <x:c r="A118" s="8" t="str">
        <x:v>drop:LC1:L3:light:-1:L98</x:v>
      </x:c>
      <x:c r="B118" s="8" t="str">
        <x:v>L3 → Altar key light · B</x:v>
      </x:c>
      <x:c r="C118" s="8" t="str">
        <x:v>LC1</x:v>
      </x:c>
      <x:c r="D118" s="8" t="str">
        <x:v>L98</x:v>
      </x:c>
      <x:c r="E118" s="8" t="str">
        <x:v>DB1</x:v>
      </x:c>
      <x:c r="F118" s="8" t="str">
        <x:v>L3</x:v>
      </x:c>
      <x:c r="G118" s="8" t="str">
        <x:v>light</x:v>
      </x:c>
      <x:c r="H118" s="8" t="str">
        <x:v>drop</x:v>
      </x:c>
      <x:c r="I118" s="11" t="n">
        <x:f>SUMIF('Route Points'!$A$7:$A$1910,A118,'Route Points'!$F$7:$F$1910)</x:f>
        <x:v>14.057</x:v>
      </x:c>
      <x:c r="J118" s="11"/>
      <x:c r="K118" s="11" t="str">
        <x:f>IF(L118="Full home run",I118+J118,"")</x:f>
      </x:c>
      <x:c r="L118" s="8" t="str">
        <x:v>Route segment</x:v>
      </x:c>
      <x:c r="M118" s="13"/>
      <x:c r="N118" s="11" t="str">
        <x:f>IF(OR(M118="",L118="Shared bundle"),"",IF(L118="Full home run",K118,I118)+M118)</x:f>
      </x:c>
      <x:c r="O118" s="8" t="str">
        <x:v>Cable type / conductors / cross-section / conduit: pending electrical design</x:v>
      </x:c>
      <x:c r="P118" s="8" t="str">
        <x:v>Wall / beam or roof containment, then pendant connection</x:v>
      </x:c>
      <x:c r="Q118" s="9"/>
      <x:c r="R118" s="9"/>
      <x:c r="S118" s="13"/>
      <x:c r="T118" s="9"/>
      <x:c r="U118" s="9"/>
      <x:c r="V118" s="9"/>
      <x:c r="W118" s="9"/>
      <x:c r="X118" s="9"/>
      <x:c r="Y118" s="8" t="str">
        <x:v>Current</x:v>
      </x:c>
      <x:c r="Z118" s="8" t="str">
        <x:v>trunk:LC1:L3:light:-1</x:v>
      </x:c>
    </x:row>
    <x:row r="119" ht="90" customHeight="1">
      <x:c r="A119" s="8" t="str">
        <x:v>drop:LC1:L3:light:-1:L100</x:v>
      </x:c>
      <x:c r="B119" s="8" t="str">
        <x:v>L3 → Ambo key light</x:v>
      </x:c>
      <x:c r="C119" s="8" t="str">
        <x:v>LC1</x:v>
      </x:c>
      <x:c r="D119" s="8" t="str">
        <x:v>L100</x:v>
      </x:c>
      <x:c r="E119" s="8" t="str">
        <x:v>DB1</x:v>
      </x:c>
      <x:c r="F119" s="8" t="str">
        <x:v>L3</x:v>
      </x:c>
      <x:c r="G119" s="8" t="str">
        <x:v>light</x:v>
      </x:c>
      <x:c r="H119" s="8" t="str">
        <x:v>drop</x:v>
      </x:c>
      <x:c r="I119" s="11" t="n">
        <x:f>SUMIF('Route Points'!$A$7:$A$1910,A119,'Route Points'!$F$7:$F$1910)</x:f>
        <x:v>12.307</x:v>
      </x:c>
      <x:c r="J119" s="11"/>
      <x:c r="K119" s="11" t="str">
        <x:f>IF(L119="Full home run",I119+J119,"")</x:f>
      </x:c>
      <x:c r="L119" s="8" t="str">
        <x:v>Route segment</x:v>
      </x:c>
      <x:c r="M119" s="13"/>
      <x:c r="N119" s="11" t="str">
        <x:f>IF(OR(M119="",L119="Shared bundle"),"",IF(L119="Full home run",K119,I119)+M119)</x:f>
      </x:c>
      <x:c r="O119" s="8" t="str">
        <x:v>Cable type / conductors / cross-section / conduit: pending electrical design</x:v>
      </x:c>
      <x:c r="P119" s="8" t="str">
        <x:v>Wall / beam or roof containment, then pendant connection</x:v>
      </x:c>
      <x:c r="Q119" s="9"/>
      <x:c r="R119" s="9"/>
      <x:c r="S119" s="13"/>
      <x:c r="T119" s="9"/>
      <x:c r="U119" s="9"/>
      <x:c r="V119" s="9"/>
      <x:c r="W119" s="9"/>
      <x:c r="X119" s="9"/>
      <x:c r="Y119" s="8" t="str">
        <x:v>Current</x:v>
      </x:c>
      <x:c r="Z119" s="8" t="str">
        <x:v>trunk:LC1:L3:light:-1</x:v>
      </x:c>
    </x:row>
    <x:row r="120" ht="90" customHeight="1">
      <x:c r="A120" s="8" t="str">
        <x:v>drop:LC1:L3:light:-1:L101</x:v>
      </x:c>
      <x:c r="B120" s="8" t="str">
        <x:v>L3 → Sanctuary step fill · B</x:v>
      </x:c>
      <x:c r="C120" s="8" t="str">
        <x:v>LC1</x:v>
      </x:c>
      <x:c r="D120" s="8" t="str">
        <x:v>L101</x:v>
      </x:c>
      <x:c r="E120" s="8" t="str">
        <x:v>DB1</x:v>
      </x:c>
      <x:c r="F120" s="8" t="str">
        <x:v>L3</x:v>
      </x:c>
      <x:c r="G120" s="8" t="str">
        <x:v>light</x:v>
      </x:c>
      <x:c r="H120" s="8" t="str">
        <x:v>drop</x:v>
      </x:c>
      <x:c r="I120" s="11" t="n">
        <x:f>SUMIF('Route Points'!$A$7:$A$1910,A120,'Route Points'!$F$7:$F$1910)</x:f>
        <x:v>13.557</x:v>
      </x:c>
      <x:c r="J120" s="11"/>
      <x:c r="K120" s="11" t="str">
        <x:f>IF(L120="Full home run",I120+J120,"")</x:f>
      </x:c>
      <x:c r="L120" s="8" t="str">
        <x:v>Route segment</x:v>
      </x:c>
      <x:c r="M120" s="13"/>
      <x:c r="N120" s="11" t="str">
        <x:f>IF(OR(M120="",L120="Shared bundle"),"",IF(L120="Full home run",K120,I120)+M120)</x:f>
      </x:c>
      <x:c r="O120" s="8" t="str">
        <x:v>Cable type / conductors / cross-section / conduit: pending electrical design</x:v>
      </x:c>
      <x:c r="P120" s="8" t="str">
        <x:v>Wall / beam or roof containment, then pendant connection</x:v>
      </x:c>
      <x:c r="Q120" s="9"/>
      <x:c r="R120" s="9"/>
      <x:c r="S120" s="13"/>
      <x:c r="T120" s="9"/>
      <x:c r="U120" s="9"/>
      <x:c r="V120" s="9"/>
      <x:c r="W120" s="9"/>
      <x:c r="X120" s="9"/>
      <x:c r="Y120" s="8" t="str">
        <x:v>Current</x:v>
      </x:c>
      <x:c r="Z120" s="8" t="str">
        <x:v>trunk:LC1:L3:light:-1</x:v>
      </x:c>
    </x:row>
    <x:row r="121" ht="90" customHeight="1">
      <x:c r="A121" s="8" t="str">
        <x:v>drop:LC1:L3:light:-1:L104</x:v>
      </x:c>
      <x:c r="B121" s="8" t="str">
        <x:v>L3 → Sanctuary frame wash · B</x:v>
      </x:c>
      <x:c r="C121" s="8" t="str">
        <x:v>LC1</x:v>
      </x:c>
      <x:c r="D121" s="8" t="str">
        <x:v>L104</x:v>
      </x:c>
      <x:c r="E121" s="8" t="str">
        <x:v>DB1</x:v>
      </x:c>
      <x:c r="F121" s="8" t="str">
        <x:v>L3</x:v>
      </x:c>
      <x:c r="G121" s="8" t="str">
        <x:v>light</x:v>
      </x:c>
      <x:c r="H121" s="8" t="str">
        <x:v>drop</x:v>
      </x:c>
      <x:c r="I121" s="11" t="n">
        <x:f>SUMIF('Route Points'!$A$7:$A$1910,A121,'Route Points'!$F$7:$F$1910)</x:f>
        <x:v>14.857000000000001</x:v>
      </x:c>
      <x:c r="J121" s="11"/>
      <x:c r="K121" s="11" t="str">
        <x:f>IF(L121="Full home run",I121+J121,"")</x:f>
      </x:c>
      <x:c r="L121" s="8" t="str">
        <x:v>Route segment</x:v>
      </x:c>
      <x:c r="M121" s="13"/>
      <x:c r="N121" s="11" t="str">
        <x:f>IF(OR(M121="",L121="Shared bundle"),"",IF(L121="Full home run",K121,I121)+M121)</x:f>
      </x:c>
      <x:c r="O121" s="8" t="str">
        <x:v>Cable type / conductors / cross-section / conduit: pending electrical design</x:v>
      </x:c>
      <x:c r="P121" s="8" t="str">
        <x:v>Wall / beam or roof containment, then pendant connection</x:v>
      </x:c>
      <x:c r="Q121" s="9"/>
      <x:c r="R121" s="9"/>
      <x:c r="S121" s="13"/>
      <x:c r="T121" s="9"/>
      <x:c r="U121" s="9"/>
      <x:c r="V121" s="9"/>
      <x:c r="W121" s="9"/>
      <x:c r="X121" s="9"/>
      <x:c r="Y121" s="8" t="str">
        <x:v>Current</x:v>
      </x:c>
      <x:c r="Z121" s="8" t="str">
        <x:v>trunk:LC1:L3:light:-1</x:v>
      </x:c>
    </x:row>
    <x:row r="122" ht="90" customHeight="1">
      <x:c r="A122" s="8" t="str">
        <x:v>drop:LC1:L3:light:-1:L106</x:v>
      </x:c>
      <x:c r="B122" s="8" t="str">
        <x:v>L3 → Crucifix accent · B</x:v>
      </x:c>
      <x:c r="C122" s="8" t="str">
        <x:v>LC1</x:v>
      </x:c>
      <x:c r="D122" s="8" t="str">
        <x:v>L106</x:v>
      </x:c>
      <x:c r="E122" s="8" t="str">
        <x:v>DB1</x:v>
      </x:c>
      <x:c r="F122" s="8" t="str">
        <x:v>L3</x:v>
      </x:c>
      <x:c r="G122" s="8" t="str">
        <x:v>light</x:v>
      </x:c>
      <x:c r="H122" s="8" t="str">
        <x:v>drop</x:v>
      </x:c>
      <x:c r="I122" s="11" t="n">
        <x:f>SUMIF('Route Points'!$A$7:$A$1910,A122,'Route Points'!$F$7:$F$1910)</x:f>
        <x:v>7.8933989318896405</x:v>
      </x:c>
      <x:c r="J122" s="11"/>
      <x:c r="K122" s="11" t="str">
        <x:f>IF(L122="Full home run",I122+J122,"")</x:f>
      </x:c>
      <x:c r="L122" s="8" t="str">
        <x:v>Route segment</x:v>
      </x:c>
      <x:c r="M122" s="13"/>
      <x:c r="N122" s="11" t="str">
        <x:f>IF(OR(M122="",L122="Shared bundle"),"",IF(L122="Full home run",K122,I122)+M122)</x:f>
      </x:c>
      <x:c r="O122" s="8" t="str">
        <x:v>Cable type / conductors / cross-section / conduit: pending electrical design</x:v>
      </x:c>
      <x:c r="P122" s="8" t="str">
        <x:v>Concealed pier / wall drop, local termination</x:v>
      </x:c>
      <x:c r="Q122" s="9"/>
      <x:c r="R122" s="9"/>
      <x:c r="S122" s="13"/>
      <x:c r="T122" s="9"/>
      <x:c r="U122" s="9"/>
      <x:c r="V122" s="9"/>
      <x:c r="W122" s="9"/>
      <x:c r="X122" s="9"/>
      <x:c r="Y122" s="8" t="str">
        <x:v>Current</x:v>
      </x:c>
      <x:c r="Z122" s="8" t="str">
        <x:v>trunk:LC1:L3:light:-1</x:v>
      </x:c>
    </x:row>
    <x:row r="123" ht="90" customHeight="1">
      <x:c r="A123" s="8" t="str">
        <x:v>drop:LC1:L3:light:-1:L107</x:v>
      </x:c>
      <x:c r="B123" s="8" t="str">
        <x:v>L3 → Reredos wash · B</x:v>
      </x:c>
      <x:c r="C123" s="8" t="str">
        <x:v>LC1</x:v>
      </x:c>
      <x:c r="D123" s="8" t="str">
        <x:v>L107</x:v>
      </x:c>
      <x:c r="E123" s="8" t="str">
        <x:v>DB1</x:v>
      </x:c>
      <x:c r="F123" s="8" t="str">
        <x:v>L3</x:v>
      </x:c>
      <x:c r="G123" s="8" t="str">
        <x:v>light</x:v>
      </x:c>
      <x:c r="H123" s="8" t="str">
        <x:v>drop</x:v>
      </x:c>
      <x:c r="I123" s="11" t="n">
        <x:f>SUMIF('Route Points'!$A$7:$A$1910,A123,'Route Points'!$F$7:$F$1910)</x:f>
        <x:v>4.442000000000002</x:v>
      </x:c>
      <x:c r="J123" s="11"/>
      <x:c r="K123" s="11" t="str">
        <x:f>IF(L123="Full home run",I123+J123,"")</x:f>
      </x:c>
      <x:c r="L123" s="8" t="str">
        <x:v>Route segment</x:v>
      </x:c>
      <x:c r="M123" s="13"/>
      <x:c r="N123" s="11" t="str">
        <x:f>IF(OR(M123="",L123="Shared bundle"),"",IF(L123="Full home run",K123,I123)+M123)</x:f>
      </x:c>
      <x:c r="O123" s="8" t="str">
        <x:v>Cable type / conductors / cross-section / conduit: pending electrical design</x:v>
      </x:c>
      <x:c r="P123" s="8" t="str">
        <x:v>Concealed pier / wall drop, local termination</x:v>
      </x:c>
      <x:c r="Q123" s="9"/>
      <x:c r="R123" s="9"/>
      <x:c r="S123" s="13"/>
      <x:c r="T123" s="9"/>
      <x:c r="U123" s="9"/>
      <x:c r="V123" s="9"/>
      <x:c r="W123" s="9"/>
      <x:c r="X123" s="9"/>
      <x:c r="Y123" s="8" t="str">
        <x:v>Current</x:v>
      </x:c>
      <x:c r="Z123" s="8" t="str">
        <x:v>trunk:LC1:L3:light:-1</x:v>
      </x:c>
    </x:row>
    <x:row r="124" ht="90" customHeight="1">
      <x:c r="A124" s="8" t="str">
        <x:v>drop:LC1:L3:light:-1:L108</x:v>
      </x:c>
      <x:c r="B124" s="8" t="str">
        <x:v>L3 → Reredos base wash · B</x:v>
      </x:c>
      <x:c r="C124" s="8" t="str">
        <x:v>LC1</x:v>
      </x:c>
      <x:c r="D124" s="8" t="str">
        <x:v>L108</x:v>
      </x:c>
      <x:c r="E124" s="8" t="str">
        <x:v>DB1</x:v>
      </x:c>
      <x:c r="F124" s="8" t="str">
        <x:v>L3</x:v>
      </x:c>
      <x:c r="G124" s="8" t="str">
        <x:v>light</x:v>
      </x:c>
      <x:c r="H124" s="8" t="str">
        <x:v>drop</x:v>
      </x:c>
      <x:c r="I124" s="11" t="n">
        <x:f>SUMIF('Route Points'!$A$7:$A$1910,A124,'Route Points'!$F$7:$F$1910)</x:f>
        <x:v>5.098</x:v>
      </x:c>
      <x:c r="J124" s="11"/>
      <x:c r="K124" s="11" t="str">
        <x:f>IF(L124="Full home run",I124+J124,"")</x:f>
      </x:c>
      <x:c r="L124" s="8" t="str">
        <x:v>Route segment</x:v>
      </x:c>
      <x:c r="M124" s="13"/>
      <x:c r="N124" s="11" t="str">
        <x:f>IF(OR(M124="",L124="Shared bundle"),"",IF(L124="Full home run",K124,I124)+M124)</x:f>
      </x:c>
      <x:c r="O124" s="8" t="str">
        <x:v>Cable type / conductors / cross-section / conduit: pending electrical design</x:v>
      </x:c>
      <x:c r="P124" s="8" t="str">
        <x:v>Concealed pier / wall drop, local termination</x:v>
      </x:c>
      <x:c r="Q124" s="9"/>
      <x:c r="R124" s="9"/>
      <x:c r="S124" s="13"/>
      <x:c r="T124" s="9"/>
      <x:c r="U124" s="9"/>
      <x:c r="V124" s="9"/>
      <x:c r="W124" s="9"/>
      <x:c r="X124" s="9"/>
      <x:c r="Y124" s="8" t="str">
        <x:v>Current</x:v>
      </x:c>
      <x:c r="Z124" s="8" t="str">
        <x:v>trunk:LC1:L3:light:-1</x:v>
      </x:c>
    </x:row>
    <x:row r="125" ht="90" customHeight="1">
      <x:c r="A125" s="8" t="str">
        <x:v>drop:LC1:L3:light:-1:L109</x:v>
      </x:c>
      <x:c r="B125" s="8" t="str">
        <x:v>L3 → Sanctuary vault uplight · B</x:v>
      </x:c>
      <x:c r="C125" s="8" t="str">
        <x:v>LC1</x:v>
      </x:c>
      <x:c r="D125" s="8" t="str">
        <x:v>L109</x:v>
      </x:c>
      <x:c r="E125" s="8" t="str">
        <x:v>DB1</x:v>
      </x:c>
      <x:c r="F125" s="8" t="str">
        <x:v>L3</x:v>
      </x:c>
      <x:c r="G125" s="8" t="str">
        <x:v>light</x:v>
      </x:c>
      <x:c r="H125" s="8" t="str">
        <x:v>drop</x:v>
      </x:c>
      <x:c r="I125" s="11" t="n">
        <x:f>SUMIF('Route Points'!$A$7:$A$1910,A125,'Route Points'!$F$7:$F$1910)</x:f>
        <x:v>6.802000000000001</x:v>
      </x:c>
      <x:c r="J125" s="11"/>
      <x:c r="K125" s="11" t="str">
        <x:f>IF(L125="Full home run",I125+J125,"")</x:f>
      </x:c>
      <x:c r="L125" s="8" t="str">
        <x:v>Route segment</x:v>
      </x:c>
      <x:c r="M125" s="13"/>
      <x:c r="N125" s="11" t="str">
        <x:f>IF(OR(M125="",L125="Shared bundle"),"",IF(L125="Full home run",K125,I125)+M125)</x:f>
      </x:c>
      <x:c r="O125" s="8" t="str">
        <x:v>Cable type / conductors / cross-section / conduit: pending electrical design</x:v>
      </x:c>
      <x:c r="P125" s="8" t="str">
        <x:v>Concealed pier / wall drop, local termination</x:v>
      </x:c>
      <x:c r="Q125" s="9"/>
      <x:c r="R125" s="9"/>
      <x:c r="S125" s="13"/>
      <x:c r="T125" s="9"/>
      <x:c r="U125" s="9"/>
      <x:c r="V125" s="9"/>
      <x:c r="W125" s="9"/>
      <x:c r="X125" s="9"/>
      <x:c r="Y125" s="8" t="str">
        <x:v>Current</x:v>
      </x:c>
      <x:c r="Z125" s="8" t="str">
        <x:v>trunk:LC1:L3:light:-1</x:v>
      </x:c>
    </x:row>
    <x:row r="126" ht="90" customHeight="1">
      <x:c r="A126" s="8" t="str">
        <x:v>drop:LC1:L3:light:-1:L114</x:v>
      </x:c>
      <x:c r="B126" s="8" t="str">
        <x:v>L3 → Tabernacle accent</x:v>
      </x:c>
      <x:c r="C126" s="8" t="str">
        <x:v>LC1</x:v>
      </x:c>
      <x:c r="D126" s="8" t="str">
        <x:v>L114</x:v>
      </x:c>
      <x:c r="E126" s="8" t="str">
        <x:v>DB1</x:v>
      </x:c>
      <x:c r="F126" s="8" t="str">
        <x:v>L3</x:v>
      </x:c>
      <x:c r="G126" s="8" t="str">
        <x:v>light</x:v>
      </x:c>
      <x:c r="H126" s="8" t="str">
        <x:v>drop</x:v>
      </x:c>
      <x:c r="I126" s="11" t="n">
        <x:f>SUMIF('Route Points'!$A$7:$A$1910,A126,'Route Points'!$F$7:$F$1910)</x:f>
        <x:v>5.598</x:v>
      </x:c>
      <x:c r="J126" s="11"/>
      <x:c r="K126" s="11" t="str">
        <x:f>IF(L126="Full home run",I126+J126,"")</x:f>
      </x:c>
      <x:c r="L126" s="8" t="str">
        <x:v>Route segment</x:v>
      </x:c>
      <x:c r="M126" s="13"/>
      <x:c r="N126" s="11" t="str">
        <x:f>IF(OR(M126="",L126="Shared bundle"),"",IF(L126="Full home run",K126,I126)+M126)</x:f>
      </x:c>
      <x:c r="O126" s="8" t="str">
        <x:v>Cable type / conductors / cross-section / conduit: pending electrical design</x:v>
      </x:c>
      <x:c r="P126" s="8" t="str">
        <x:v>Concealed pier / wall drop, local termination</x:v>
      </x:c>
      <x:c r="Q126" s="9"/>
      <x:c r="R126" s="9"/>
      <x:c r="S126" s="13"/>
      <x:c r="T126" s="9"/>
      <x:c r="U126" s="9"/>
      <x:c r="V126" s="9"/>
      <x:c r="W126" s="9"/>
      <x:c r="X126" s="9"/>
      <x:c r="Y126" s="8" t="str">
        <x:v>Current</x:v>
      </x:c>
      <x:c r="Z126" s="8" t="str">
        <x:v>trunk:LC1:L3:light:-1</x:v>
      </x:c>
    </x:row>
    <x:row r="127" ht="90" customHeight="1">
      <x:c r="A127" s="8" t="str">
        <x:v>drop:LC1:L3:light:-1:L115</x:v>
      </x:c>
      <x:c r="B127" s="8" t="str">
        <x:v>L3 → Statue accent · B</x:v>
      </x:c>
      <x:c r="C127" s="8" t="str">
        <x:v>LC1</x:v>
      </x:c>
      <x:c r="D127" s="8" t="str">
        <x:v>L115</x:v>
      </x:c>
      <x:c r="E127" s="8" t="str">
        <x:v>DB1</x:v>
      </x:c>
      <x:c r="F127" s="8" t="str">
        <x:v>L3</x:v>
      </x:c>
      <x:c r="G127" s="8" t="str">
        <x:v>light</x:v>
      </x:c>
      <x:c r="H127" s="8" t="str">
        <x:v>drop</x:v>
      </x:c>
      <x:c r="I127" s="11" t="n">
        <x:f>SUMIF('Route Points'!$A$7:$A$1910,A127,'Route Points'!$F$7:$F$1910)</x:f>
        <x:v>8.277000000000001</x:v>
      </x:c>
      <x:c r="J127" s="11"/>
      <x:c r="K127" s="11" t="str">
        <x:f>IF(L127="Full home run",I127+J127,"")</x:f>
      </x:c>
      <x:c r="L127" s="8" t="str">
        <x:v>Route segment</x:v>
      </x:c>
      <x:c r="M127" s="13"/>
      <x:c r="N127" s="11" t="str">
        <x:f>IF(OR(M127="",L127="Shared bundle"),"",IF(L127="Full home run",K127,I127)+M127)</x:f>
      </x:c>
      <x:c r="O127" s="8" t="str">
        <x:v>Cable type / conductors / cross-section / conduit: pending electrical design</x:v>
      </x:c>
      <x:c r="P127" s="8" t="str">
        <x:v>Wall / beam or roof containment, then pendant connection</x:v>
      </x:c>
      <x:c r="Q127" s="9"/>
      <x:c r="R127" s="9"/>
      <x:c r="S127" s="13"/>
      <x:c r="T127" s="9"/>
      <x:c r="U127" s="9"/>
      <x:c r="V127" s="9"/>
      <x:c r="W127" s="9"/>
      <x:c r="X127" s="9"/>
      <x:c r="Y127" s="8" t="str">
        <x:v>Current</x:v>
      </x:c>
      <x:c r="Z127" s="8" t="str">
        <x:v>trunk:LC1:L3:light:-1</x:v>
      </x:c>
    </x:row>
    <x:row r="128" ht="90" customHeight="1">
      <x:c r="A128" s="8" t="str">
        <x:v>drop:LC1:L3:light:-1:L116</x:v>
      </x:c>
      <x:c r="B128" s="8" t="str">
        <x:v>L3 → Shrine wash · B</x:v>
      </x:c>
      <x:c r="C128" s="8" t="str">
        <x:v>LC1</x:v>
      </x:c>
      <x:c r="D128" s="8" t="str">
        <x:v>L116</x:v>
      </x:c>
      <x:c r="E128" s="8" t="str">
        <x:v>DB1</x:v>
      </x:c>
      <x:c r="F128" s="8" t="str">
        <x:v>L3</x:v>
      </x:c>
      <x:c r="G128" s="8" t="str">
        <x:v>light</x:v>
      </x:c>
      <x:c r="H128" s="8" t="str">
        <x:v>drop</x:v>
      </x:c>
      <x:c r="I128" s="11" t="n">
        <x:f>SUMIF('Route Points'!$A$7:$A$1910,A128,'Route Points'!$F$7:$F$1910)</x:f>
        <x:v>8.626999999999999</x:v>
      </x:c>
      <x:c r="J128" s="11"/>
      <x:c r="K128" s="11" t="str">
        <x:f>IF(L128="Full home run",I128+J128,"")</x:f>
      </x:c>
      <x:c r="L128" s="8" t="str">
        <x:v>Route segment</x:v>
      </x:c>
      <x:c r="M128" s="13"/>
      <x:c r="N128" s="11" t="str">
        <x:f>IF(OR(M128="",L128="Shared bundle"),"",IF(L128="Full home run",K128,I128)+M128)</x:f>
      </x:c>
      <x:c r="O128" s="8" t="str">
        <x:v>Cable type / conductors / cross-section / conduit: pending electrical design</x:v>
      </x:c>
      <x:c r="P128" s="8" t="str">
        <x:v>Wall / beam or roof containment, then pendant connection</x:v>
      </x:c>
      <x:c r="Q128" s="9"/>
      <x:c r="R128" s="9"/>
      <x:c r="S128" s="13"/>
      <x:c r="T128" s="9"/>
      <x:c r="U128" s="9"/>
      <x:c r="V128" s="9"/>
      <x:c r="W128" s="9"/>
      <x:c r="X128" s="9"/>
      <x:c r="Y128" s="8" t="str">
        <x:v>Current</x:v>
      </x:c>
      <x:c r="Z128" s="8" t="str">
        <x:v>trunk:LC1:L3:light:-1</x:v>
      </x:c>
    </x:row>
    <x:row r="129" ht="90" customHeight="1">
      <x:c r="A129" s="8" t="str">
        <x:v>drop:LC1:L3:light:-1:L151</x:v>
      </x:c>
      <x:c r="B129" s="8" t="str">
        <x:v>L3 → Service door lantern · B · front</x:v>
      </x:c>
      <x:c r="C129" s="8" t="str">
        <x:v>LC1</x:v>
      </x:c>
      <x:c r="D129" s="8" t="str">
        <x:v>L151</x:v>
      </x:c>
      <x:c r="E129" s="8" t="str">
        <x:v>DB1</x:v>
      </x:c>
      <x:c r="F129" s="8" t="str">
        <x:v>L3</x:v>
      </x:c>
      <x:c r="G129" s="8" t="str">
        <x:v>light</x:v>
      </x:c>
      <x:c r="H129" s="8" t="str">
        <x:v>drop</x:v>
      </x:c>
      <x:c r="I129" s="11" t="n">
        <x:f>SUMIF('Route Points'!$A$7:$A$1910,A129,'Route Points'!$F$7:$F$1910)</x:f>
        <x:v>6.957999999999999</x:v>
      </x:c>
      <x:c r="J129" s="11"/>
      <x:c r="K129" s="11" t="str">
        <x:f>IF(L129="Full home run",I129+J129,"")</x:f>
      </x:c>
      <x:c r="L129" s="8" t="str">
        <x:v>Route segment</x:v>
      </x:c>
      <x:c r="M129" s="13"/>
      <x:c r="N129" s="11" t="str">
        <x:f>IF(OR(M129="",L129="Shared bundle"),"",IF(L129="Full home run",K129,I129)+M129)</x:f>
      </x:c>
      <x:c r="O129" s="8" t="str">
        <x:v>Cable type / conductors / cross-section / conduit: pending electrical design</x:v>
      </x:c>
      <x:c r="P129" s="8" t="str">
        <x:v>Concealed pier / wall drop, local termination</x:v>
      </x:c>
      <x:c r="Q129" s="9"/>
      <x:c r="R129" s="9"/>
      <x:c r="S129" s="13"/>
      <x:c r="T129" s="9"/>
      <x:c r="U129" s="9"/>
      <x:c r="V129" s="9"/>
      <x:c r="W129" s="9"/>
      <x:c r="X129" s="9"/>
      <x:c r="Y129" s="8" t="str">
        <x:v>Current</x:v>
      </x:c>
      <x:c r="Z129" s="8" t="str">
        <x:v>trunk:LC1:L3:light:-1</x:v>
      </x:c>
    </x:row>
    <x:row r="130" ht="90" customHeight="1">
      <x:c r="A130" s="8" t="str">
        <x:v>drop:LC1:L3:light:-1:L152</x:v>
      </x:c>
      <x:c r="B130" s="8" t="str">
        <x:v>L3 → Service door lantern · B · rear</x:v>
      </x:c>
      <x:c r="C130" s="8" t="str">
        <x:v>LC1</x:v>
      </x:c>
      <x:c r="D130" s="8" t="str">
        <x:v>L152</x:v>
      </x:c>
      <x:c r="E130" s="8" t="str">
        <x:v>DB1</x:v>
      </x:c>
      <x:c r="F130" s="8" t="str">
        <x:v>L3</x:v>
      </x:c>
      <x:c r="G130" s="8" t="str">
        <x:v>light</x:v>
      </x:c>
      <x:c r="H130" s="8" t="str">
        <x:v>drop</x:v>
      </x:c>
      <x:c r="I130" s="11" t="n">
        <x:f>SUMIF('Route Points'!$A$7:$A$1910,A130,'Route Points'!$F$7:$F$1910)</x:f>
        <x:v>4.957999999999999</x:v>
      </x:c>
      <x:c r="J130" s="11"/>
      <x:c r="K130" s="11" t="str">
        <x:f>IF(L130="Full home run",I130+J130,"")</x:f>
      </x:c>
      <x:c r="L130" s="8" t="str">
        <x:v>Route segment</x:v>
      </x:c>
      <x:c r="M130" s="13"/>
      <x:c r="N130" s="11" t="str">
        <x:f>IF(OR(M130="",L130="Shared bundle"),"",IF(L130="Full home run",K130,I130)+M130)</x:f>
      </x:c>
      <x:c r="O130" s="8" t="str">
        <x:v>Cable type / conductors / cross-section / conduit: pending electrical design</x:v>
      </x:c>
      <x:c r="P130" s="8" t="str">
        <x:v>Concealed pier / wall drop, local termination</x:v>
      </x:c>
      <x:c r="Q130" s="9"/>
      <x:c r="R130" s="9"/>
      <x:c r="S130" s="13"/>
      <x:c r="T130" s="9"/>
      <x:c r="U130" s="9"/>
      <x:c r="V130" s="9"/>
      <x:c r="W130" s="9"/>
      <x:c r="X130" s="9"/>
      <x:c r="Y130" s="8" t="str">
        <x:v>Current</x:v>
      </x:c>
      <x:c r="Z130" s="8" t="str">
        <x:v>trunk:LC1:L3:light:-1</x:v>
      </x:c>
    </x:row>
    <x:row r="131" ht="168" customHeight="1">
      <x:c r="A131" s="8" t="str">
        <x:v>trunk:LC1:L3:light:1</x:v>
      </x:c>
      <x:c r="B131" s="8" t="str">
        <x:v>L3 · H · circuit trunk</x:v>
      </x:c>
      <x:c r="C131" s="8" t="str">
        <x:v>LC1</x:v>
      </x:c>
      <x:c r="D131" s="8" t="str">
        <x:v>L99
L102
L103
L105
L110
L111
L112
L113
L117
L118
L153
L154</x:v>
      </x:c>
      <x:c r="E131" s="8" t="str">
        <x:v>DB1</x:v>
      </x:c>
      <x:c r="F131" s="8" t="str">
        <x:v>L3</x:v>
      </x:c>
      <x:c r="G131" s="8" t="str">
        <x:v>light</x:v>
      </x:c>
      <x:c r="H131" s="8" t="str">
        <x:v>trunk</x:v>
      </x:c>
      <x:c r="I131" s="11" t="n">
        <x:f>SUMIF('Route Points'!$A$7:$A$1910,A131,'Route Points'!$F$7:$F$1910)</x:f>
        <x:v>44.967999999999996</x:v>
      </x:c>
      <x:c r="J131" s="11"/>
      <x:c r="K131" s="11" t="str">
        <x:f>IF(L131="Full home run",I131+J131,"")</x:f>
      </x:c>
      <x:c r="L131" s="8" t="str">
        <x:v>Route segment</x:v>
      </x:c>
      <x:c r="M131" s="13"/>
      <x:c r="N131" s="11" t="str">
        <x:f>IF(OR(M131="",L131="Shared bundle"),"",IF(L131="Full home run",K131,I131)+M131)</x:f>
      </x:c>
      <x:c r="O131" s="8" t="str">
        <x:v>Cable type / conductors / cross-section / conduit: pending electrical design</x:v>
      </x:c>
      <x:c r="P131" s="8" t="str">
        <x:v>Concealed wall band above openings; ceiling containment at wing returns</x:v>
      </x:c>
      <x:c r="Q131" s="9"/>
      <x:c r="R131" s="9"/>
      <x:c r="S131" s="13"/>
      <x:c r="T131" s="9"/>
      <x:c r="U131" s="9"/>
      <x:c r="V131" s="9"/>
      <x:c r="W131" s="9"/>
      <x:c r="X131" s="9"/>
      <x:c r="Y131" s="8" t="str">
        <x:v>Current</x:v>
      </x:c>
      <x:c r="Z131" s="8"/>
    </x:row>
    <x:row r="132" ht="90" customHeight="1">
      <x:c r="A132" s="8" t="str">
        <x:v>drop:LC1:L3:light:1:L99</x:v>
      </x:c>
      <x:c r="B132" s="8" t="str">
        <x:v>L3 → Altar key light · H</x:v>
      </x:c>
      <x:c r="C132" s="8" t="str">
        <x:v>LC1</x:v>
      </x:c>
      <x:c r="D132" s="8" t="str">
        <x:v>L99</x:v>
      </x:c>
      <x:c r="E132" s="8" t="str">
        <x:v>DB1</x:v>
      </x:c>
      <x:c r="F132" s="8" t="str">
        <x:v>L3</x:v>
      </x:c>
      <x:c r="G132" s="8" t="str">
        <x:v>light</x:v>
      </x:c>
      <x:c r="H132" s="8" t="str">
        <x:v>drop</x:v>
      </x:c>
      <x:c r="I132" s="11" t="n">
        <x:f>SUMIF('Route Points'!$A$7:$A$1910,A132,'Route Points'!$F$7:$F$1910)</x:f>
        <x:v>14.057</x:v>
      </x:c>
      <x:c r="J132" s="11"/>
      <x:c r="K132" s="11" t="str">
        <x:f>IF(L132="Full home run",I132+J132,"")</x:f>
      </x:c>
      <x:c r="L132" s="8" t="str">
        <x:v>Route segment</x:v>
      </x:c>
      <x:c r="M132" s="13"/>
      <x:c r="N132" s="11" t="str">
        <x:f>IF(OR(M132="",L132="Shared bundle"),"",IF(L132="Full home run",K132,I132)+M132)</x:f>
      </x:c>
      <x:c r="O132" s="8" t="str">
        <x:v>Cable type / conductors / cross-section / conduit: pending electrical design</x:v>
      </x:c>
      <x:c r="P132" s="8" t="str">
        <x:v>Wall / beam or roof containment, then pendant connection</x:v>
      </x:c>
      <x:c r="Q132" s="9"/>
      <x:c r="R132" s="9"/>
      <x:c r="S132" s="13"/>
      <x:c r="T132" s="9"/>
      <x:c r="U132" s="9"/>
      <x:c r="V132" s="9"/>
      <x:c r="W132" s="9"/>
      <x:c r="X132" s="9"/>
      <x:c r="Y132" s="8" t="str">
        <x:v>Current</x:v>
      </x:c>
      <x:c r="Z132" s="8" t="str">
        <x:v>trunk:LC1:L3:light:1</x:v>
      </x:c>
    </x:row>
    <x:row r="133" ht="90" customHeight="1">
      <x:c r="A133" s="8" t="str">
        <x:v>drop:LC1:L3:light:1:L102</x:v>
      </x:c>
      <x:c r="B133" s="8" t="str">
        <x:v>L3 → Sanctuary step fill · H</x:v>
      </x:c>
      <x:c r="C133" s="8" t="str">
        <x:v>LC1</x:v>
      </x:c>
      <x:c r="D133" s="8" t="str">
        <x:v>L102</x:v>
      </x:c>
      <x:c r="E133" s="8" t="str">
        <x:v>DB1</x:v>
      </x:c>
      <x:c r="F133" s="8" t="str">
        <x:v>L3</x:v>
      </x:c>
      <x:c r="G133" s="8" t="str">
        <x:v>light</x:v>
      </x:c>
      <x:c r="H133" s="8" t="str">
        <x:v>drop</x:v>
      </x:c>
      <x:c r="I133" s="11" t="n">
        <x:f>SUMIF('Route Points'!$A$7:$A$1910,A133,'Route Points'!$F$7:$F$1910)</x:f>
        <x:v>13.557</x:v>
      </x:c>
      <x:c r="J133" s="11"/>
      <x:c r="K133" s="11" t="str">
        <x:f>IF(L133="Full home run",I133+J133,"")</x:f>
      </x:c>
      <x:c r="L133" s="8" t="str">
        <x:v>Route segment</x:v>
      </x:c>
      <x:c r="M133" s="13"/>
      <x:c r="N133" s="11" t="str">
        <x:f>IF(OR(M133="",L133="Shared bundle"),"",IF(L133="Full home run",K133,I133)+M133)</x:f>
      </x:c>
      <x:c r="O133" s="8" t="str">
        <x:v>Cable type / conductors / cross-section / conduit: pending electrical design</x:v>
      </x:c>
      <x:c r="P133" s="8" t="str">
        <x:v>Wall / beam or roof containment, then pendant connection</x:v>
      </x:c>
      <x:c r="Q133" s="9"/>
      <x:c r="R133" s="9"/>
      <x:c r="S133" s="13"/>
      <x:c r="T133" s="9"/>
      <x:c r="U133" s="9"/>
      <x:c r="V133" s="9"/>
      <x:c r="W133" s="9"/>
      <x:c r="X133" s="9"/>
      <x:c r="Y133" s="8" t="str">
        <x:v>Current</x:v>
      </x:c>
      <x:c r="Z133" s="8" t="str">
        <x:v>trunk:LC1:L3:light:1</x:v>
      </x:c>
    </x:row>
    <x:row r="134" ht="90" customHeight="1">
      <x:c r="A134" s="8" t="str">
        <x:v>drop:LC1:L3:light:1:L103</x:v>
      </x:c>
      <x:c r="B134" s="8" t="str">
        <x:v>L3 → Presider chair light</x:v>
      </x:c>
      <x:c r="C134" s="8" t="str">
        <x:v>LC1</x:v>
      </x:c>
      <x:c r="D134" s="8" t="str">
        <x:v>L103</x:v>
      </x:c>
      <x:c r="E134" s="8" t="str">
        <x:v>DB1</x:v>
      </x:c>
      <x:c r="F134" s="8" t="str">
        <x:v>L3</x:v>
      </x:c>
      <x:c r="G134" s="8" t="str">
        <x:v>light</x:v>
      </x:c>
      <x:c r="H134" s="8" t="str">
        <x:v>drop</x:v>
      </x:c>
      <x:c r="I134" s="11" t="n">
        <x:f>SUMIF('Route Points'!$A$7:$A$1910,A134,'Route Points'!$F$7:$F$1910)</x:f>
        <x:v>12.457000000000003</x:v>
      </x:c>
      <x:c r="J134" s="11"/>
      <x:c r="K134" s="11" t="str">
        <x:f>IF(L134="Full home run",I134+J134,"")</x:f>
      </x:c>
      <x:c r="L134" s="8" t="str">
        <x:v>Route segment</x:v>
      </x:c>
      <x:c r="M134" s="13"/>
      <x:c r="N134" s="11" t="str">
        <x:f>IF(OR(M134="",L134="Shared bundle"),"",IF(L134="Full home run",K134,I134)+M134)</x:f>
      </x:c>
      <x:c r="O134" s="8" t="str">
        <x:v>Cable type / conductors / cross-section / conduit: pending electrical design</x:v>
      </x:c>
      <x:c r="P134" s="8" t="str">
        <x:v>Wall / beam or roof containment, then pendant connection</x:v>
      </x:c>
      <x:c r="Q134" s="9"/>
      <x:c r="R134" s="9"/>
      <x:c r="S134" s="13"/>
      <x:c r="T134" s="9"/>
      <x:c r="U134" s="9"/>
      <x:c r="V134" s="9"/>
      <x:c r="W134" s="9"/>
      <x:c r="X134" s="9"/>
      <x:c r="Y134" s="8" t="str">
        <x:v>Current</x:v>
      </x:c>
      <x:c r="Z134" s="8" t="str">
        <x:v>trunk:LC1:L3:light:1</x:v>
      </x:c>
    </x:row>
    <x:row r="135" ht="90" customHeight="1">
      <x:c r="A135" s="8" t="str">
        <x:v>drop:LC1:L3:light:1:L105</x:v>
      </x:c>
      <x:c r="B135" s="8" t="str">
        <x:v>L3 → Sanctuary frame wash · H</x:v>
      </x:c>
      <x:c r="C135" s="8" t="str">
        <x:v>LC1</x:v>
      </x:c>
      <x:c r="D135" s="8" t="str">
        <x:v>L105</x:v>
      </x:c>
      <x:c r="E135" s="8" t="str">
        <x:v>DB1</x:v>
      </x:c>
      <x:c r="F135" s="8" t="str">
        <x:v>L3</x:v>
      </x:c>
      <x:c r="G135" s="8" t="str">
        <x:v>light</x:v>
      </x:c>
      <x:c r="H135" s="8" t="str">
        <x:v>drop</x:v>
      </x:c>
      <x:c r="I135" s="11" t="n">
        <x:f>SUMIF('Route Points'!$A$7:$A$1910,A135,'Route Points'!$F$7:$F$1910)</x:f>
        <x:v>14.857000000000001</x:v>
      </x:c>
      <x:c r="J135" s="11"/>
      <x:c r="K135" s="11" t="str">
        <x:f>IF(L135="Full home run",I135+J135,"")</x:f>
      </x:c>
      <x:c r="L135" s="8" t="str">
        <x:v>Route segment</x:v>
      </x:c>
      <x:c r="M135" s="13"/>
      <x:c r="N135" s="11" t="str">
        <x:f>IF(OR(M135="",L135="Shared bundle"),"",IF(L135="Full home run",K135,I135)+M135)</x:f>
      </x:c>
      <x:c r="O135" s="8" t="str">
        <x:v>Cable type / conductors / cross-section / conduit: pending electrical design</x:v>
      </x:c>
      <x:c r="P135" s="8" t="str">
        <x:v>Wall / beam or roof containment, then pendant connection</x:v>
      </x:c>
      <x:c r="Q135" s="9"/>
      <x:c r="R135" s="9"/>
      <x:c r="S135" s="13"/>
      <x:c r="T135" s="9"/>
      <x:c r="U135" s="9"/>
      <x:c r="V135" s="9"/>
      <x:c r="W135" s="9"/>
      <x:c r="X135" s="9"/>
      <x:c r="Y135" s="8" t="str">
        <x:v>Current</x:v>
      </x:c>
      <x:c r="Z135" s="8" t="str">
        <x:v>trunk:LC1:L3:light:1</x:v>
      </x:c>
    </x:row>
    <x:row r="136" ht="90" customHeight="1">
      <x:c r="A136" s="8" t="str">
        <x:v>drop:LC1:L3:light:1:L110</x:v>
      </x:c>
      <x:c r="B136" s="8" t="str">
        <x:v>L3 → Crucifix accent · H</x:v>
      </x:c>
      <x:c r="C136" s="8" t="str">
        <x:v>LC1</x:v>
      </x:c>
      <x:c r="D136" s="8" t="str">
        <x:v>L110</x:v>
      </x:c>
      <x:c r="E136" s="8" t="str">
        <x:v>DB1</x:v>
      </x:c>
      <x:c r="F136" s="8" t="str">
        <x:v>L3</x:v>
      </x:c>
      <x:c r="G136" s="8" t="str">
        <x:v>light</x:v>
      </x:c>
      <x:c r="H136" s="8" t="str">
        <x:v>drop</x:v>
      </x:c>
      <x:c r="I136" s="11" t="n">
        <x:f>SUMIF('Route Points'!$A$7:$A$1910,A136,'Route Points'!$F$7:$F$1910)</x:f>
        <x:v>7.8933989318896405</x:v>
      </x:c>
      <x:c r="J136" s="11"/>
      <x:c r="K136" s="11" t="str">
        <x:f>IF(L136="Full home run",I136+J136,"")</x:f>
      </x:c>
      <x:c r="L136" s="8" t="str">
        <x:v>Route segment</x:v>
      </x:c>
      <x:c r="M136" s="13"/>
      <x:c r="N136" s="11" t="str">
        <x:f>IF(OR(M136="",L136="Shared bundle"),"",IF(L136="Full home run",K136,I136)+M136)</x:f>
      </x:c>
      <x:c r="O136" s="8" t="str">
        <x:v>Cable type / conductors / cross-section / conduit: pending electrical design</x:v>
      </x:c>
      <x:c r="P136" s="8" t="str">
        <x:v>Concealed pier / wall drop, local termination</x:v>
      </x:c>
      <x:c r="Q136" s="9"/>
      <x:c r="R136" s="9"/>
      <x:c r="S136" s="13"/>
      <x:c r="T136" s="9"/>
      <x:c r="U136" s="9"/>
      <x:c r="V136" s="9"/>
      <x:c r="W136" s="9"/>
      <x:c r="X136" s="9"/>
      <x:c r="Y136" s="8" t="str">
        <x:v>Current</x:v>
      </x:c>
      <x:c r="Z136" s="8" t="str">
        <x:v>trunk:LC1:L3:light:1</x:v>
      </x:c>
    </x:row>
    <x:row r="137" ht="90" customHeight="1">
      <x:c r="A137" s="8" t="str">
        <x:v>drop:LC1:L3:light:1:L111</x:v>
      </x:c>
      <x:c r="B137" s="8" t="str">
        <x:v>L3 → Reredos wash · H</x:v>
      </x:c>
      <x:c r="C137" s="8" t="str">
        <x:v>LC1</x:v>
      </x:c>
      <x:c r="D137" s="8" t="str">
        <x:v>L111</x:v>
      </x:c>
      <x:c r="E137" s="8" t="str">
        <x:v>DB1</x:v>
      </x:c>
      <x:c r="F137" s="8" t="str">
        <x:v>L3</x:v>
      </x:c>
      <x:c r="G137" s="8" t="str">
        <x:v>light</x:v>
      </x:c>
      <x:c r="H137" s="8" t="str">
        <x:v>drop</x:v>
      </x:c>
      <x:c r="I137" s="11" t="n">
        <x:f>SUMIF('Route Points'!$A$7:$A$1910,A137,'Route Points'!$F$7:$F$1910)</x:f>
        <x:v>4.442000000000002</x:v>
      </x:c>
      <x:c r="J137" s="11"/>
      <x:c r="K137" s="11" t="str">
        <x:f>IF(L137="Full home run",I137+J137,"")</x:f>
      </x:c>
      <x:c r="L137" s="8" t="str">
        <x:v>Route segment</x:v>
      </x:c>
      <x:c r="M137" s="13"/>
      <x:c r="N137" s="11" t="str">
        <x:f>IF(OR(M137="",L137="Shared bundle"),"",IF(L137="Full home run",K137,I137)+M137)</x:f>
      </x:c>
      <x:c r="O137" s="8" t="str">
        <x:v>Cable type / conductors / cross-section / conduit: pending electrical design</x:v>
      </x:c>
      <x:c r="P137" s="8" t="str">
        <x:v>Concealed pier / wall drop, local termination</x:v>
      </x:c>
      <x:c r="Q137" s="9"/>
      <x:c r="R137" s="9"/>
      <x:c r="S137" s="13"/>
      <x:c r="T137" s="9"/>
      <x:c r="U137" s="9"/>
      <x:c r="V137" s="9"/>
      <x:c r="W137" s="9"/>
      <x:c r="X137" s="9"/>
      <x:c r="Y137" s="8" t="str">
        <x:v>Current</x:v>
      </x:c>
      <x:c r="Z137" s="8" t="str">
        <x:v>trunk:LC1:L3:light:1</x:v>
      </x:c>
    </x:row>
    <x:row r="138" ht="90" customHeight="1">
      <x:c r="A138" s="8" t="str">
        <x:v>drop:LC1:L3:light:1:L112</x:v>
      </x:c>
      <x:c r="B138" s="8" t="str">
        <x:v>L3 → Reredos base wash · H</x:v>
      </x:c>
      <x:c r="C138" s="8" t="str">
        <x:v>LC1</x:v>
      </x:c>
      <x:c r="D138" s="8" t="str">
        <x:v>L112</x:v>
      </x:c>
      <x:c r="E138" s="8" t="str">
        <x:v>DB1</x:v>
      </x:c>
      <x:c r="F138" s="8" t="str">
        <x:v>L3</x:v>
      </x:c>
      <x:c r="G138" s="8" t="str">
        <x:v>light</x:v>
      </x:c>
      <x:c r="H138" s="8" t="str">
        <x:v>drop</x:v>
      </x:c>
      <x:c r="I138" s="11" t="n">
        <x:f>SUMIF('Route Points'!$A$7:$A$1910,A138,'Route Points'!$F$7:$F$1910)</x:f>
        <x:v>5.098</x:v>
      </x:c>
      <x:c r="J138" s="11"/>
      <x:c r="K138" s="11" t="str">
        <x:f>IF(L138="Full home run",I138+J138,"")</x:f>
      </x:c>
      <x:c r="L138" s="8" t="str">
        <x:v>Route segment</x:v>
      </x:c>
      <x:c r="M138" s="13"/>
      <x:c r="N138" s="11" t="str">
        <x:f>IF(OR(M138="",L138="Shared bundle"),"",IF(L138="Full home run",K138,I138)+M138)</x:f>
      </x:c>
      <x:c r="O138" s="8" t="str">
        <x:v>Cable type / conductors / cross-section / conduit: pending electrical design</x:v>
      </x:c>
      <x:c r="P138" s="8" t="str">
        <x:v>Concealed pier / wall drop, local termination</x:v>
      </x:c>
      <x:c r="Q138" s="9"/>
      <x:c r="R138" s="9"/>
      <x:c r="S138" s="13"/>
      <x:c r="T138" s="9"/>
      <x:c r="U138" s="9"/>
      <x:c r="V138" s="9"/>
      <x:c r="W138" s="9"/>
      <x:c r="X138" s="9"/>
      <x:c r="Y138" s="8" t="str">
        <x:v>Current</x:v>
      </x:c>
      <x:c r="Z138" s="8" t="str">
        <x:v>trunk:LC1:L3:light:1</x:v>
      </x:c>
    </x:row>
    <x:row r="139" ht="90" customHeight="1">
      <x:c r="A139" s="8" t="str">
        <x:v>drop:LC1:L3:light:1:L113</x:v>
      </x:c>
      <x:c r="B139" s="8" t="str">
        <x:v>L3 → Sanctuary vault uplight · H</x:v>
      </x:c>
      <x:c r="C139" s="8" t="str">
        <x:v>LC1</x:v>
      </x:c>
      <x:c r="D139" s="8" t="str">
        <x:v>L113</x:v>
      </x:c>
      <x:c r="E139" s="8" t="str">
        <x:v>DB1</x:v>
      </x:c>
      <x:c r="F139" s="8" t="str">
        <x:v>L3</x:v>
      </x:c>
      <x:c r="G139" s="8" t="str">
        <x:v>light</x:v>
      </x:c>
      <x:c r="H139" s="8" t="str">
        <x:v>drop</x:v>
      </x:c>
      <x:c r="I139" s="11" t="n">
        <x:f>SUMIF('Route Points'!$A$7:$A$1910,A139,'Route Points'!$F$7:$F$1910)</x:f>
        <x:v>6.802000000000001</x:v>
      </x:c>
      <x:c r="J139" s="11"/>
      <x:c r="K139" s="11" t="str">
        <x:f>IF(L139="Full home run",I139+J139,"")</x:f>
      </x:c>
      <x:c r="L139" s="8" t="str">
        <x:v>Route segment</x:v>
      </x:c>
      <x:c r="M139" s="13"/>
      <x:c r="N139" s="11" t="str">
        <x:f>IF(OR(M139="",L139="Shared bundle"),"",IF(L139="Full home run",K139,I139)+M139)</x:f>
      </x:c>
      <x:c r="O139" s="8" t="str">
        <x:v>Cable type / conductors / cross-section / conduit: pending electrical design</x:v>
      </x:c>
      <x:c r="P139" s="8" t="str">
        <x:v>Concealed pier / wall drop, local termination</x:v>
      </x:c>
      <x:c r="Q139" s="9"/>
      <x:c r="R139" s="9"/>
      <x:c r="S139" s="13"/>
      <x:c r="T139" s="9"/>
      <x:c r="U139" s="9"/>
      <x:c r="V139" s="9"/>
      <x:c r="W139" s="9"/>
      <x:c r="X139" s="9"/>
      <x:c r="Y139" s="8" t="str">
        <x:v>Current</x:v>
      </x:c>
      <x:c r="Z139" s="8" t="str">
        <x:v>trunk:LC1:L3:light:1</x:v>
      </x:c>
    </x:row>
    <x:row r="140" ht="90" customHeight="1">
      <x:c r="A140" s="8" t="str">
        <x:v>drop:LC1:L3:light:1:L117</x:v>
      </x:c>
      <x:c r="B140" s="8" t="str">
        <x:v>L3 → Statue accent · H</x:v>
      </x:c>
      <x:c r="C140" s="8" t="str">
        <x:v>LC1</x:v>
      </x:c>
      <x:c r="D140" s="8" t="str">
        <x:v>L117</x:v>
      </x:c>
      <x:c r="E140" s="8" t="str">
        <x:v>DB1</x:v>
      </x:c>
      <x:c r="F140" s="8" t="str">
        <x:v>L3</x:v>
      </x:c>
      <x:c r="G140" s="8" t="str">
        <x:v>light</x:v>
      </x:c>
      <x:c r="H140" s="8" t="str">
        <x:v>drop</x:v>
      </x:c>
      <x:c r="I140" s="11" t="n">
        <x:f>SUMIF('Route Points'!$A$7:$A$1910,A140,'Route Points'!$F$7:$F$1910)</x:f>
        <x:v>8.277000000000001</x:v>
      </x:c>
      <x:c r="J140" s="11"/>
      <x:c r="K140" s="11" t="str">
        <x:f>IF(L140="Full home run",I140+J140,"")</x:f>
      </x:c>
      <x:c r="L140" s="8" t="str">
        <x:v>Route segment</x:v>
      </x:c>
      <x:c r="M140" s="13"/>
      <x:c r="N140" s="11" t="str">
        <x:f>IF(OR(M140="",L140="Shared bundle"),"",IF(L140="Full home run",K140,I140)+M140)</x:f>
      </x:c>
      <x:c r="O140" s="8" t="str">
        <x:v>Cable type / conductors / cross-section / conduit: pending electrical design</x:v>
      </x:c>
      <x:c r="P140" s="8" t="str">
        <x:v>Wall / beam or roof containment, then pendant connection</x:v>
      </x:c>
      <x:c r="Q140" s="9"/>
      <x:c r="R140" s="9"/>
      <x:c r="S140" s="13"/>
      <x:c r="T140" s="9"/>
      <x:c r="U140" s="9"/>
      <x:c r="V140" s="9"/>
      <x:c r="W140" s="9"/>
      <x:c r="X140" s="9"/>
      <x:c r="Y140" s="8" t="str">
        <x:v>Current</x:v>
      </x:c>
      <x:c r="Z140" s="8" t="str">
        <x:v>trunk:LC1:L3:light:1</x:v>
      </x:c>
    </x:row>
    <x:row r="141" ht="90" customHeight="1">
      <x:c r="A141" s="8" t="str">
        <x:v>drop:LC1:L3:light:1:L118</x:v>
      </x:c>
      <x:c r="B141" s="8" t="str">
        <x:v>L3 → Shrine wash · H</x:v>
      </x:c>
      <x:c r="C141" s="8" t="str">
        <x:v>LC1</x:v>
      </x:c>
      <x:c r="D141" s="8" t="str">
        <x:v>L118</x:v>
      </x:c>
      <x:c r="E141" s="8" t="str">
        <x:v>DB1</x:v>
      </x:c>
      <x:c r="F141" s="8" t="str">
        <x:v>L3</x:v>
      </x:c>
      <x:c r="G141" s="8" t="str">
        <x:v>light</x:v>
      </x:c>
      <x:c r="H141" s="8" t="str">
        <x:v>drop</x:v>
      </x:c>
      <x:c r="I141" s="11" t="n">
        <x:f>SUMIF('Route Points'!$A$7:$A$1910,A141,'Route Points'!$F$7:$F$1910)</x:f>
        <x:v>8.626999999999999</x:v>
      </x:c>
      <x:c r="J141" s="11"/>
      <x:c r="K141" s="11" t="str">
        <x:f>IF(L141="Full home run",I141+J141,"")</x:f>
      </x:c>
      <x:c r="L141" s="8" t="str">
        <x:v>Route segment</x:v>
      </x:c>
      <x:c r="M141" s="13"/>
      <x:c r="N141" s="11" t="str">
        <x:f>IF(OR(M141="",L141="Shared bundle"),"",IF(L141="Full home run",K141,I141)+M141)</x:f>
      </x:c>
      <x:c r="O141" s="8" t="str">
        <x:v>Cable type / conductors / cross-section / conduit: pending electrical design</x:v>
      </x:c>
      <x:c r="P141" s="8" t="str">
        <x:v>Wall / beam or roof containment, then pendant connection</x:v>
      </x:c>
      <x:c r="Q141" s="9"/>
      <x:c r="R141" s="9"/>
      <x:c r="S141" s="13"/>
      <x:c r="T141" s="9"/>
      <x:c r="U141" s="9"/>
      <x:c r="V141" s="9"/>
      <x:c r="W141" s="9"/>
      <x:c r="X141" s="9"/>
      <x:c r="Y141" s="8" t="str">
        <x:v>Current</x:v>
      </x:c>
      <x:c r="Z141" s="8" t="str">
        <x:v>trunk:LC1:L3:light:1</x:v>
      </x:c>
    </x:row>
    <x:row r="142" ht="90" customHeight="1">
      <x:c r="A142" s="8" t="str">
        <x:v>drop:LC1:L3:light:1:L153</x:v>
      </x:c>
      <x:c r="B142" s="8" t="str">
        <x:v>L3 → Service door lantern · H · front</x:v>
      </x:c>
      <x:c r="C142" s="8" t="str">
        <x:v>LC1</x:v>
      </x:c>
      <x:c r="D142" s="8" t="str">
        <x:v>L153</x:v>
      </x:c>
      <x:c r="E142" s="8" t="str">
        <x:v>DB1</x:v>
      </x:c>
      <x:c r="F142" s="8" t="str">
        <x:v>L3</x:v>
      </x:c>
      <x:c r="G142" s="8" t="str">
        <x:v>light</x:v>
      </x:c>
      <x:c r="H142" s="8" t="str">
        <x:v>drop</x:v>
      </x:c>
      <x:c r="I142" s="11" t="n">
        <x:f>SUMIF('Route Points'!$A$7:$A$1910,A142,'Route Points'!$F$7:$F$1910)</x:f>
        <x:v>6.957999999999999</x:v>
      </x:c>
      <x:c r="J142" s="11"/>
      <x:c r="K142" s="11" t="str">
        <x:f>IF(L142="Full home run",I142+J142,"")</x:f>
      </x:c>
      <x:c r="L142" s="8" t="str">
        <x:v>Route segment</x:v>
      </x:c>
      <x:c r="M142" s="13"/>
      <x:c r="N142" s="11" t="str">
        <x:f>IF(OR(M142="",L142="Shared bundle"),"",IF(L142="Full home run",K142,I142)+M142)</x:f>
      </x:c>
      <x:c r="O142" s="8" t="str">
        <x:v>Cable type / conductors / cross-section / conduit: pending electrical design</x:v>
      </x:c>
      <x:c r="P142" s="8" t="str">
        <x:v>Concealed pier / wall drop, local termination</x:v>
      </x:c>
      <x:c r="Q142" s="9"/>
      <x:c r="R142" s="9"/>
      <x:c r="S142" s="13"/>
      <x:c r="T142" s="9"/>
      <x:c r="U142" s="9"/>
      <x:c r="V142" s="9"/>
      <x:c r="W142" s="9"/>
      <x:c r="X142" s="9"/>
      <x:c r="Y142" s="8" t="str">
        <x:v>Current</x:v>
      </x:c>
      <x:c r="Z142" s="8" t="str">
        <x:v>trunk:LC1:L3:light:1</x:v>
      </x:c>
    </x:row>
    <x:row r="143" ht="90" customHeight="1">
      <x:c r="A143" s="8" t="str">
        <x:v>drop:LC1:L3:light:1:L154</x:v>
      </x:c>
      <x:c r="B143" s="8" t="str">
        <x:v>L3 → Service door lantern · H · rear</x:v>
      </x:c>
      <x:c r="C143" s="8" t="str">
        <x:v>LC1</x:v>
      </x:c>
      <x:c r="D143" s="8" t="str">
        <x:v>L154</x:v>
      </x:c>
      <x:c r="E143" s="8" t="str">
        <x:v>DB1</x:v>
      </x:c>
      <x:c r="F143" s="8" t="str">
        <x:v>L3</x:v>
      </x:c>
      <x:c r="G143" s="8" t="str">
        <x:v>light</x:v>
      </x:c>
      <x:c r="H143" s="8" t="str">
        <x:v>drop</x:v>
      </x:c>
      <x:c r="I143" s="11" t="n">
        <x:f>SUMIF('Route Points'!$A$7:$A$1910,A143,'Route Points'!$F$7:$F$1910)</x:f>
        <x:v>4.957999999999999</x:v>
      </x:c>
      <x:c r="J143" s="11"/>
      <x:c r="K143" s="11" t="str">
        <x:f>IF(L143="Full home run",I143+J143,"")</x:f>
      </x:c>
      <x:c r="L143" s="8" t="str">
        <x:v>Route segment</x:v>
      </x:c>
      <x:c r="M143" s="13"/>
      <x:c r="N143" s="11" t="str">
        <x:f>IF(OR(M143="",L143="Shared bundle"),"",IF(L143="Full home run",K143,I143)+M143)</x:f>
      </x:c>
      <x:c r="O143" s="8" t="str">
        <x:v>Cable type / conductors / cross-section / conduit: pending electrical design</x:v>
      </x:c>
      <x:c r="P143" s="8" t="str">
        <x:v>Concealed pier / wall drop, local termination</x:v>
      </x:c>
      <x:c r="Q143" s="9"/>
      <x:c r="R143" s="9"/>
      <x:c r="S143" s="13"/>
      <x:c r="T143" s="9"/>
      <x:c r="U143" s="9"/>
      <x:c r="V143" s="9"/>
      <x:c r="W143" s="9"/>
      <x:c r="X143" s="9"/>
      <x:c r="Y143" s="8" t="str">
        <x:v>Current</x:v>
      </x:c>
      <x:c r="Z143" s="8" t="str">
        <x:v>trunk:LC1:L3:light:1</x:v>
      </x:c>
    </x:row>
    <x:row r="144" ht="129" customHeight="1">
      <x:c r="A144" s="8" t="str">
        <x:v>trunk:LC1:L4:light:-1</x:v>
      </x:c>
      <x:c r="B144" s="8" t="str">
        <x:v>L4 · B · circuit trunk</x:v>
      </x:c>
      <x:c r="C144" s="8" t="str">
        <x:v>LC1</x:v>
      </x:c>
      <x:c r="D144" s="8" t="str">
        <x:v>L119
L120
L121
L122
L123
L124
L125
L126
L127</x:v>
      </x:c>
      <x:c r="E144" s="8" t="str">
        <x:v>DB1</x:v>
      </x:c>
      <x:c r="F144" s="8" t="str">
        <x:v>L4</x:v>
      </x:c>
      <x:c r="G144" s="8" t="str">
        <x:v>light</x:v>
      </x:c>
      <x:c r="H144" s="8" t="str">
        <x:v>trunk</x:v>
      </x:c>
      <x:c r="I144" s="11" t="n">
        <x:f>SUMIF('Route Points'!$A$7:$A$1910,A144,'Route Points'!$F$7:$F$1910)</x:f>
        <x:v>70.662</x:v>
      </x:c>
      <x:c r="J144" s="11"/>
      <x:c r="K144" s="11" t="str">
        <x:f>IF(L144="Full home run",I144+J144,"")</x:f>
      </x:c>
      <x:c r="L144" s="8" t="str">
        <x:v>Route segment</x:v>
      </x:c>
      <x:c r="M144" s="13"/>
      <x:c r="N144" s="11" t="str">
        <x:f>IF(OR(M144="",L144="Shared bundle"),"",IF(L144="Full home run",K144,I144)+M144)</x:f>
      </x:c>
      <x:c r="O144" s="8" t="str">
        <x:v>Cable type / conductors / cross-section / conduit: pending electrical design</x:v>
      </x:c>
      <x:c r="P144" s="8" t="str">
        <x:v>Concealed wall band above openings; ceiling containment at wing returns</x:v>
      </x:c>
      <x:c r="Q144" s="9"/>
      <x:c r="R144" s="9"/>
      <x:c r="S144" s="13"/>
      <x:c r="T144" s="9"/>
      <x:c r="U144" s="9"/>
      <x:c r="V144" s="9"/>
      <x:c r="W144" s="9"/>
      <x:c r="X144" s="9"/>
      <x:c r="Y144" s="8" t="str">
        <x:v>Current</x:v>
      </x:c>
      <x:c r="Z144" s="8"/>
    </x:row>
    <x:row r="145" ht="90" customHeight="1">
      <x:c r="A145" s="8" t="str">
        <x:v>drop:LC1:L4:light:-1:L119</x:v>
      </x:c>
      <x:c r="B145" s="8" t="str">
        <x:v>L4 → Veranda lantern · B · axis 3</x:v>
      </x:c>
      <x:c r="C145" s="8" t="str">
        <x:v>LC1</x:v>
      </x:c>
      <x:c r="D145" s="8" t="str">
        <x:v>L119</x:v>
      </x:c>
      <x:c r="E145" s="8" t="str">
        <x:v>DB1</x:v>
      </x:c>
      <x:c r="F145" s="8" t="str">
        <x:v>L4</x:v>
      </x:c>
      <x:c r="G145" s="8" t="str">
        <x:v>light</x:v>
      </x:c>
      <x:c r="H145" s="8" t="str">
        <x:v>drop</x:v>
      </x:c>
      <x:c r="I145" s="11" t="n">
        <x:f>SUMIF('Route Points'!$A$7:$A$1910,A145,'Route Points'!$F$7:$F$1910)</x:f>
        <x:v>4.145750000000001</x:v>
      </x:c>
      <x:c r="J145" s="11"/>
      <x:c r="K145" s="11" t="str">
        <x:f>IF(L145="Full home run",I145+J145,"")</x:f>
      </x:c>
      <x:c r="L145" s="8" t="str">
        <x:v>Route segment</x:v>
      </x:c>
      <x:c r="M145" s="13"/>
      <x:c r="N145" s="11" t="str">
        <x:f>IF(OR(M145="",L145="Shared bundle"),"",IF(L145="Full home run",K145,I145)+M145)</x:f>
      </x:c>
      <x:c r="O145" s="8" t="str">
        <x:v>Cable type / conductors / cross-section / conduit: pending electrical design</x:v>
      </x:c>
      <x:c r="P145" s="8" t="str">
        <x:v>Wall / beam or roof containment, then pendant connection</x:v>
      </x:c>
      <x:c r="Q145" s="9"/>
      <x:c r="R145" s="9"/>
      <x:c r="S145" s="13"/>
      <x:c r="T145" s="9"/>
      <x:c r="U145" s="9"/>
      <x:c r="V145" s="9"/>
      <x:c r="W145" s="9"/>
      <x:c r="X145" s="9"/>
      <x:c r="Y145" s="8" t="str">
        <x:v>Current</x:v>
      </x:c>
      <x:c r="Z145" s="8" t="str">
        <x:v>trunk:LC1:L4:light:-1</x:v>
      </x:c>
    </x:row>
    <x:row r="146" ht="90" customHeight="1">
      <x:c r="A146" s="8" t="str">
        <x:v>drop:LC1:L4:light:-1:L120</x:v>
      </x:c>
      <x:c r="B146" s="8" t="str">
        <x:v>L4 → Veranda lantern · B · axis 4</x:v>
      </x:c>
      <x:c r="C146" s="8" t="str">
        <x:v>LC1</x:v>
      </x:c>
      <x:c r="D146" s="8" t="str">
        <x:v>L120</x:v>
      </x:c>
      <x:c r="E146" s="8" t="str">
        <x:v>DB1</x:v>
      </x:c>
      <x:c r="F146" s="8" t="str">
        <x:v>L4</x:v>
      </x:c>
      <x:c r="G146" s="8" t="str">
        <x:v>light</x:v>
      </x:c>
      <x:c r="H146" s="8" t="str">
        <x:v>drop</x:v>
      </x:c>
      <x:c r="I146" s="11" t="n">
        <x:f>SUMIF('Route Points'!$A$7:$A$1910,A146,'Route Points'!$F$7:$F$1910)</x:f>
        <x:v>4.145750000000001</x:v>
      </x:c>
      <x:c r="J146" s="11"/>
      <x:c r="K146" s="11" t="str">
        <x:f>IF(L146="Full home run",I146+J146,"")</x:f>
      </x:c>
      <x:c r="L146" s="8" t="str">
        <x:v>Route segment</x:v>
      </x:c>
      <x:c r="M146" s="13"/>
      <x:c r="N146" s="11" t="str">
        <x:f>IF(OR(M146="",L146="Shared bundle"),"",IF(L146="Full home run",K146,I146)+M146)</x:f>
      </x:c>
      <x:c r="O146" s="8" t="str">
        <x:v>Cable type / conductors / cross-section / conduit: pending electrical design</x:v>
      </x:c>
      <x:c r="P146" s="8" t="str">
        <x:v>Wall / beam or roof containment, then pendant connection</x:v>
      </x:c>
      <x:c r="Q146" s="9"/>
      <x:c r="R146" s="9"/>
      <x:c r="S146" s="13"/>
      <x:c r="T146" s="9"/>
      <x:c r="U146" s="9"/>
      <x:c r="V146" s="9"/>
      <x:c r="W146" s="9"/>
      <x:c r="X146" s="9"/>
      <x:c r="Y146" s="8" t="str">
        <x:v>Current</x:v>
      </x:c>
      <x:c r="Z146" s="8" t="str">
        <x:v>trunk:LC1:L4:light:-1</x:v>
      </x:c>
    </x:row>
    <x:row r="147" ht="90" customHeight="1">
      <x:c r="A147" s="8" t="str">
        <x:v>drop:LC1:L4:light:-1:L121</x:v>
      </x:c>
      <x:c r="B147" s="8" t="str">
        <x:v>L4 → Veranda lantern · B · axis 5</x:v>
      </x:c>
      <x:c r="C147" s="8" t="str">
        <x:v>LC1</x:v>
      </x:c>
      <x:c r="D147" s="8" t="str">
        <x:v>L121</x:v>
      </x:c>
      <x:c r="E147" s="8" t="str">
        <x:v>DB1</x:v>
      </x:c>
      <x:c r="F147" s="8" t="str">
        <x:v>L4</x:v>
      </x:c>
      <x:c r="G147" s="8" t="str">
        <x:v>light</x:v>
      </x:c>
      <x:c r="H147" s="8" t="str">
        <x:v>drop</x:v>
      </x:c>
      <x:c r="I147" s="11" t="n">
        <x:f>SUMIF('Route Points'!$A$7:$A$1910,A147,'Route Points'!$F$7:$F$1910)</x:f>
        <x:v>4.145750000000001</x:v>
      </x:c>
      <x:c r="J147" s="11"/>
      <x:c r="K147" s="11" t="str">
        <x:f>IF(L147="Full home run",I147+J147,"")</x:f>
      </x:c>
      <x:c r="L147" s="8" t="str">
        <x:v>Route segment</x:v>
      </x:c>
      <x:c r="M147" s="13"/>
      <x:c r="N147" s="11" t="str">
        <x:f>IF(OR(M147="",L147="Shared bundle"),"",IF(L147="Full home run",K147,I147)+M147)</x:f>
      </x:c>
      <x:c r="O147" s="8" t="str">
        <x:v>Cable type / conductors / cross-section / conduit: pending electrical design</x:v>
      </x:c>
      <x:c r="P147" s="8" t="str">
        <x:v>Wall / beam or roof containment, then pendant connection</x:v>
      </x:c>
      <x:c r="Q147" s="9"/>
      <x:c r="R147" s="9"/>
      <x:c r="S147" s="13"/>
      <x:c r="T147" s="9"/>
      <x:c r="U147" s="9"/>
      <x:c r="V147" s="9"/>
      <x:c r="W147" s="9"/>
      <x:c r="X147" s="9"/>
      <x:c r="Y147" s="8" t="str">
        <x:v>Current</x:v>
      </x:c>
      <x:c r="Z147" s="8" t="str">
        <x:v>trunk:LC1:L4:light:-1</x:v>
      </x:c>
    </x:row>
    <x:row r="148" ht="90" customHeight="1">
      <x:c r="A148" s="8" t="str">
        <x:v>drop:LC1:L4:light:-1:L122</x:v>
      </x:c>
      <x:c r="B148" s="8" t="str">
        <x:v>L4 → Veranda lantern · B · axis 6</x:v>
      </x:c>
      <x:c r="C148" s="8" t="str">
        <x:v>LC1</x:v>
      </x:c>
      <x:c r="D148" s="8" t="str">
        <x:v>L122</x:v>
      </x:c>
      <x:c r="E148" s="8" t="str">
        <x:v>DB1</x:v>
      </x:c>
      <x:c r="F148" s="8" t="str">
        <x:v>L4</x:v>
      </x:c>
      <x:c r="G148" s="8" t="str">
        <x:v>light</x:v>
      </x:c>
      <x:c r="H148" s="8" t="str">
        <x:v>drop</x:v>
      </x:c>
      <x:c r="I148" s="11" t="n">
        <x:f>SUMIF('Route Points'!$A$7:$A$1910,A148,'Route Points'!$F$7:$F$1910)</x:f>
        <x:v>4.145750000000001</x:v>
      </x:c>
      <x:c r="J148" s="11"/>
      <x:c r="K148" s="11" t="str">
        <x:f>IF(L148="Full home run",I148+J148,"")</x:f>
      </x:c>
      <x:c r="L148" s="8" t="str">
        <x:v>Route segment</x:v>
      </x:c>
      <x:c r="M148" s="13"/>
      <x:c r="N148" s="11" t="str">
        <x:f>IF(OR(M148="",L148="Shared bundle"),"",IF(L148="Full home run",K148,I148)+M148)</x:f>
      </x:c>
      <x:c r="O148" s="8" t="str">
        <x:v>Cable type / conductors / cross-section / conduit: pending electrical design</x:v>
      </x:c>
      <x:c r="P148" s="8" t="str">
        <x:v>Wall / beam or roof containment, then pendant connection</x:v>
      </x:c>
      <x:c r="Q148" s="9"/>
      <x:c r="R148" s="9"/>
      <x:c r="S148" s="13"/>
      <x:c r="T148" s="9"/>
      <x:c r="U148" s="9"/>
      <x:c r="V148" s="9"/>
      <x:c r="W148" s="9"/>
      <x:c r="X148" s="9"/>
      <x:c r="Y148" s="8" t="str">
        <x:v>Current</x:v>
      </x:c>
      <x:c r="Z148" s="8" t="str">
        <x:v>trunk:LC1:L4:light:-1</x:v>
      </x:c>
    </x:row>
    <x:row r="149" ht="90" customHeight="1">
      <x:c r="A149" s="8" t="str">
        <x:v>drop:LC1:L4:light:-1:L123</x:v>
      </x:c>
      <x:c r="B149" s="8" t="str">
        <x:v>L4 → Veranda lantern · B · axis 7</x:v>
      </x:c>
      <x:c r="C149" s="8" t="str">
        <x:v>LC1</x:v>
      </x:c>
      <x:c r="D149" s="8" t="str">
        <x:v>L123</x:v>
      </x:c>
      <x:c r="E149" s="8" t="str">
        <x:v>DB1</x:v>
      </x:c>
      <x:c r="F149" s="8" t="str">
        <x:v>L4</x:v>
      </x:c>
      <x:c r="G149" s="8" t="str">
        <x:v>light</x:v>
      </x:c>
      <x:c r="H149" s="8" t="str">
        <x:v>drop</x:v>
      </x:c>
      <x:c r="I149" s="11" t="n">
        <x:f>SUMIF('Route Points'!$A$7:$A$1910,A149,'Route Points'!$F$7:$F$1910)</x:f>
        <x:v>4.145750000000001</x:v>
      </x:c>
      <x:c r="J149" s="11"/>
      <x:c r="K149" s="11" t="str">
        <x:f>IF(L149="Full home run",I149+J149,"")</x:f>
      </x:c>
      <x:c r="L149" s="8" t="str">
        <x:v>Route segment</x:v>
      </x:c>
      <x:c r="M149" s="13"/>
      <x:c r="N149" s="11" t="str">
        <x:f>IF(OR(M149="",L149="Shared bundle"),"",IF(L149="Full home run",K149,I149)+M149)</x:f>
      </x:c>
      <x:c r="O149" s="8" t="str">
        <x:v>Cable type / conductors / cross-section / conduit: pending electrical design</x:v>
      </x:c>
      <x:c r="P149" s="8" t="str">
        <x:v>Wall / beam or roof containment, then pendant connection</x:v>
      </x:c>
      <x:c r="Q149" s="9"/>
      <x:c r="R149" s="9"/>
      <x:c r="S149" s="13"/>
      <x:c r="T149" s="9"/>
      <x:c r="U149" s="9"/>
      <x:c r="V149" s="9"/>
      <x:c r="W149" s="9"/>
      <x:c r="X149" s="9"/>
      <x:c r="Y149" s="8" t="str">
        <x:v>Current</x:v>
      </x:c>
      <x:c r="Z149" s="8" t="str">
        <x:v>trunk:LC1:L4:light:-1</x:v>
      </x:c>
    </x:row>
    <x:row r="150" ht="90" customHeight="1">
      <x:c r="A150" s="8" t="str">
        <x:v>drop:LC1:L4:light:-1:L124</x:v>
      </x:c>
      <x:c r="B150" s="8" t="str">
        <x:v>L4 → Veranda lantern · B · axis 8</x:v>
      </x:c>
      <x:c r="C150" s="8" t="str">
        <x:v>LC1</x:v>
      </x:c>
      <x:c r="D150" s="8" t="str">
        <x:v>L124</x:v>
      </x:c>
      <x:c r="E150" s="8" t="str">
        <x:v>DB1</x:v>
      </x:c>
      <x:c r="F150" s="8" t="str">
        <x:v>L4</x:v>
      </x:c>
      <x:c r="G150" s="8" t="str">
        <x:v>light</x:v>
      </x:c>
      <x:c r="H150" s="8" t="str">
        <x:v>drop</x:v>
      </x:c>
      <x:c r="I150" s="11" t="n">
        <x:f>SUMIF('Route Points'!$A$7:$A$1910,A150,'Route Points'!$F$7:$F$1910)</x:f>
        <x:v>4.145750000000001</x:v>
      </x:c>
      <x:c r="J150" s="11"/>
      <x:c r="K150" s="11" t="str">
        <x:f>IF(L150="Full home run",I150+J150,"")</x:f>
      </x:c>
      <x:c r="L150" s="8" t="str">
        <x:v>Route segment</x:v>
      </x:c>
      <x:c r="M150" s="13"/>
      <x:c r="N150" s="11" t="str">
        <x:f>IF(OR(M150="",L150="Shared bundle"),"",IF(L150="Full home run",K150,I150)+M150)</x:f>
      </x:c>
      <x:c r="O150" s="8" t="str">
        <x:v>Cable type / conductors / cross-section / conduit: pending electrical design</x:v>
      </x:c>
      <x:c r="P150" s="8" t="str">
        <x:v>Wall / beam or roof containment, then pendant connection</x:v>
      </x:c>
      <x:c r="Q150" s="9"/>
      <x:c r="R150" s="9"/>
      <x:c r="S150" s="13"/>
      <x:c r="T150" s="9"/>
      <x:c r="U150" s="9"/>
      <x:c r="V150" s="9"/>
      <x:c r="W150" s="9"/>
      <x:c r="X150" s="9"/>
      <x:c r="Y150" s="8" t="str">
        <x:v>Current</x:v>
      </x:c>
      <x:c r="Z150" s="8" t="str">
        <x:v>trunk:LC1:L4:light:-1</x:v>
      </x:c>
    </x:row>
    <x:row r="151" ht="90" customHeight="1">
      <x:c r="A151" s="8" t="str">
        <x:v>drop:LC1:L4:light:-1:L125</x:v>
      </x:c>
      <x:c r="B151" s="8" t="str">
        <x:v>L4 → Veranda lantern · B · axis 9</x:v>
      </x:c>
      <x:c r="C151" s="8" t="str">
        <x:v>LC1</x:v>
      </x:c>
      <x:c r="D151" s="8" t="str">
        <x:v>L125</x:v>
      </x:c>
      <x:c r="E151" s="8" t="str">
        <x:v>DB1</x:v>
      </x:c>
      <x:c r="F151" s="8" t="str">
        <x:v>L4</x:v>
      </x:c>
      <x:c r="G151" s="8" t="str">
        <x:v>light</x:v>
      </x:c>
      <x:c r="H151" s="8" t="str">
        <x:v>drop</x:v>
      </x:c>
      <x:c r="I151" s="11" t="n">
        <x:f>SUMIF('Route Points'!$A$7:$A$1910,A151,'Route Points'!$F$7:$F$1910)</x:f>
        <x:v>7.045750000000003</x:v>
      </x:c>
      <x:c r="J151" s="11"/>
      <x:c r="K151" s="11" t="str">
        <x:f>IF(L151="Full home run",I151+J151,"")</x:f>
      </x:c>
      <x:c r="L151" s="8" t="str">
        <x:v>Route segment</x:v>
      </x:c>
      <x:c r="M151" s="13"/>
      <x:c r="N151" s="11" t="str">
        <x:f>IF(OR(M151="",L151="Shared bundle"),"",IF(L151="Full home run",K151,I151)+M151)</x:f>
      </x:c>
      <x:c r="O151" s="8" t="str">
        <x:v>Cable type / conductors / cross-section / conduit: pending electrical design</x:v>
      </x:c>
      <x:c r="P151" s="8" t="str">
        <x:v>Wall / beam or roof containment, then pendant connection</x:v>
      </x:c>
      <x:c r="Q151" s="9"/>
      <x:c r="R151" s="9"/>
      <x:c r="S151" s="13"/>
      <x:c r="T151" s="9"/>
      <x:c r="U151" s="9"/>
      <x:c r="V151" s="9"/>
      <x:c r="W151" s="9"/>
      <x:c r="X151" s="9"/>
      <x:c r="Y151" s="8" t="str">
        <x:v>Current</x:v>
      </x:c>
      <x:c r="Z151" s="8" t="str">
        <x:v>trunk:LC1:L4:light:-1</x:v>
      </x:c>
    </x:row>
    <x:row r="152" ht="90" customHeight="1">
      <x:c r="A152" s="8" t="str">
        <x:v>drop:LC1:L4:light:-1:L126</x:v>
      </x:c>
      <x:c r="B152" s="8" t="str">
        <x:v>L4 → Veranda lantern · B · axis 10</x:v>
      </x:c>
      <x:c r="C152" s="8" t="str">
        <x:v>LC1</x:v>
      </x:c>
      <x:c r="D152" s="8" t="str">
        <x:v>L126</x:v>
      </x:c>
      <x:c r="E152" s="8" t="str">
        <x:v>DB1</x:v>
      </x:c>
      <x:c r="F152" s="8" t="str">
        <x:v>L4</x:v>
      </x:c>
      <x:c r="G152" s="8" t="str">
        <x:v>light</x:v>
      </x:c>
      <x:c r="H152" s="8" t="str">
        <x:v>drop</x:v>
      </x:c>
      <x:c r="I152" s="11" t="n">
        <x:f>SUMIF('Route Points'!$A$7:$A$1910,A152,'Route Points'!$F$7:$F$1910)</x:f>
        <x:v>4.145750000000001</x:v>
      </x:c>
      <x:c r="J152" s="11"/>
      <x:c r="K152" s="11" t="str">
        <x:f>IF(L152="Full home run",I152+J152,"")</x:f>
      </x:c>
      <x:c r="L152" s="8" t="str">
        <x:v>Route segment</x:v>
      </x:c>
      <x:c r="M152" s="13"/>
      <x:c r="N152" s="11" t="str">
        <x:f>IF(OR(M152="",L152="Shared bundle"),"",IF(L152="Full home run",K152,I152)+M152)</x:f>
      </x:c>
      <x:c r="O152" s="8" t="str">
        <x:v>Cable type / conductors / cross-section / conduit: pending electrical design</x:v>
      </x:c>
      <x:c r="P152" s="8" t="str">
        <x:v>Wall / beam or roof containment, then pendant connection</x:v>
      </x:c>
      <x:c r="Q152" s="9"/>
      <x:c r="R152" s="9"/>
      <x:c r="S152" s="13"/>
      <x:c r="T152" s="9"/>
      <x:c r="U152" s="9"/>
      <x:c r="V152" s="9"/>
      <x:c r="W152" s="9"/>
      <x:c r="X152" s="9"/>
      <x:c r="Y152" s="8" t="str">
        <x:v>Current</x:v>
      </x:c>
      <x:c r="Z152" s="8" t="str">
        <x:v>trunk:LC1:L4:light:-1</x:v>
      </x:c>
    </x:row>
    <x:row r="153" ht="90" customHeight="1">
      <x:c r="A153" s="8" t="str">
        <x:v>drop:LC1:L4:light:-1:L127</x:v>
      </x:c>
      <x:c r="B153" s="8" t="str">
        <x:v>L4 → Veranda lantern · B · axis 11</x:v>
      </x:c>
      <x:c r="C153" s="8" t="str">
        <x:v>LC1</x:v>
      </x:c>
      <x:c r="D153" s="8" t="str">
        <x:v>L127</x:v>
      </x:c>
      <x:c r="E153" s="8" t="str">
        <x:v>DB1</x:v>
      </x:c>
      <x:c r="F153" s="8" t="str">
        <x:v>L4</x:v>
      </x:c>
      <x:c r="G153" s="8" t="str">
        <x:v>light</x:v>
      </x:c>
      <x:c r="H153" s="8" t="str">
        <x:v>drop</x:v>
      </x:c>
      <x:c r="I153" s="11" t="n">
        <x:f>SUMIF('Route Points'!$A$7:$A$1910,A153,'Route Points'!$F$7:$F$1910)</x:f>
        <x:v>4.145750000000001</x:v>
      </x:c>
      <x:c r="J153" s="11"/>
      <x:c r="K153" s="11" t="str">
        <x:f>IF(L153="Full home run",I153+J153,"")</x:f>
      </x:c>
      <x:c r="L153" s="8" t="str">
        <x:v>Route segment</x:v>
      </x:c>
      <x:c r="M153" s="13"/>
      <x:c r="N153" s="11" t="str">
        <x:f>IF(OR(M153="",L153="Shared bundle"),"",IF(L153="Full home run",K153,I153)+M153)</x:f>
      </x:c>
      <x:c r="O153" s="8" t="str">
        <x:v>Cable type / conductors / cross-section / conduit: pending electrical design</x:v>
      </x:c>
      <x:c r="P153" s="8" t="str">
        <x:v>Wall / beam or roof containment, then pendant connection</x:v>
      </x:c>
      <x:c r="Q153" s="9"/>
      <x:c r="R153" s="9"/>
      <x:c r="S153" s="13"/>
      <x:c r="T153" s="9"/>
      <x:c r="U153" s="9"/>
      <x:c r="V153" s="9"/>
      <x:c r="W153" s="9"/>
      <x:c r="X153" s="9"/>
      <x:c r="Y153" s="8" t="str">
        <x:v>Current</x:v>
      </x:c>
      <x:c r="Z153" s="8" t="str">
        <x:v>trunk:LC1:L4:light:-1</x:v>
      </x:c>
    </x:row>
    <x:row r="154" ht="129" customHeight="1">
      <x:c r="A154" s="8" t="str">
        <x:v>trunk:LC1:L4:light:1</x:v>
      </x:c>
      <x:c r="B154" s="8" t="str">
        <x:v>L4 · H · circuit trunk</x:v>
      </x:c>
      <x:c r="C154" s="8" t="str">
        <x:v>LC1</x:v>
      </x:c>
      <x:c r="D154" s="8" t="str">
        <x:v>L128
L129
L130
L131
L132
L133
L134
L135
L136</x:v>
      </x:c>
      <x:c r="E154" s="8" t="str">
        <x:v>DB1</x:v>
      </x:c>
      <x:c r="F154" s="8" t="str">
        <x:v>L4</x:v>
      </x:c>
      <x:c r="G154" s="8" t="str">
        <x:v>light</x:v>
      </x:c>
      <x:c r="H154" s="8" t="str">
        <x:v>trunk</x:v>
      </x:c>
      <x:c r="I154" s="11" t="n">
        <x:f>SUMIF('Route Points'!$A$7:$A$1910,A154,'Route Points'!$F$7:$F$1910)</x:f>
        <x:v>77.862</x:v>
      </x:c>
      <x:c r="J154" s="11"/>
      <x:c r="K154" s="11" t="str">
        <x:f>IF(L154="Full home run",I154+J154,"")</x:f>
      </x:c>
      <x:c r="L154" s="8" t="str">
        <x:v>Route segment</x:v>
      </x:c>
      <x:c r="M154" s="13"/>
      <x:c r="N154" s="11" t="str">
        <x:f>IF(OR(M154="",L154="Shared bundle"),"",IF(L154="Full home run",K154,I154)+M154)</x:f>
      </x:c>
      <x:c r="O154" s="8" t="str">
        <x:v>Cable type / conductors / cross-section / conduit: pending electrical design</x:v>
      </x:c>
      <x:c r="P154" s="8" t="str">
        <x:v>Concealed wall band above openings; ceiling containment at wing returns</x:v>
      </x:c>
      <x:c r="Q154" s="9"/>
      <x:c r="R154" s="9"/>
      <x:c r="S154" s="13"/>
      <x:c r="T154" s="9"/>
      <x:c r="U154" s="9"/>
      <x:c r="V154" s="9"/>
      <x:c r="W154" s="9"/>
      <x:c r="X154" s="9"/>
      <x:c r="Y154" s="8" t="str">
        <x:v>Current</x:v>
      </x:c>
      <x:c r="Z154" s="8"/>
    </x:row>
    <x:row r="155" ht="90" customHeight="1">
      <x:c r="A155" s="8" t="str">
        <x:v>drop:LC1:L4:light:1:L128</x:v>
      </x:c>
      <x:c r="B155" s="8" t="str">
        <x:v>L4 → Veranda lantern · H · axis 3</x:v>
      </x:c>
      <x:c r="C155" s="8" t="str">
        <x:v>LC1</x:v>
      </x:c>
      <x:c r="D155" s="8" t="str">
        <x:v>L128</x:v>
      </x:c>
      <x:c r="E155" s="8" t="str">
        <x:v>DB1</x:v>
      </x:c>
      <x:c r="F155" s="8" t="str">
        <x:v>L4</x:v>
      </x:c>
      <x:c r="G155" s="8" t="str">
        <x:v>light</x:v>
      </x:c>
      <x:c r="H155" s="8" t="str">
        <x:v>drop</x:v>
      </x:c>
      <x:c r="I155" s="11" t="n">
        <x:f>SUMIF('Route Points'!$A$7:$A$1910,A155,'Route Points'!$F$7:$F$1910)</x:f>
        <x:v>4.145750000000001</x:v>
      </x:c>
      <x:c r="J155" s="11"/>
      <x:c r="K155" s="11" t="str">
        <x:f>IF(L155="Full home run",I155+J155,"")</x:f>
      </x:c>
      <x:c r="L155" s="8" t="str">
        <x:v>Route segment</x:v>
      </x:c>
      <x:c r="M155" s="13"/>
      <x:c r="N155" s="11" t="str">
        <x:f>IF(OR(M155="",L155="Shared bundle"),"",IF(L155="Full home run",K155,I155)+M155)</x:f>
      </x:c>
      <x:c r="O155" s="8" t="str">
        <x:v>Cable type / conductors / cross-section / conduit: pending electrical design</x:v>
      </x:c>
      <x:c r="P155" s="8" t="str">
        <x:v>Wall / beam or roof containment, then pendant connection</x:v>
      </x:c>
      <x:c r="Q155" s="9"/>
      <x:c r="R155" s="9"/>
      <x:c r="S155" s="13"/>
      <x:c r="T155" s="9"/>
      <x:c r="U155" s="9"/>
      <x:c r="V155" s="9"/>
      <x:c r="W155" s="9"/>
      <x:c r="X155" s="9"/>
      <x:c r="Y155" s="8" t="str">
        <x:v>Current</x:v>
      </x:c>
      <x:c r="Z155" s="8" t="str">
        <x:v>trunk:LC1:L4:light:1</x:v>
      </x:c>
    </x:row>
    <x:row r="156" ht="90" customHeight="1">
      <x:c r="A156" s="8" t="str">
        <x:v>drop:LC1:L4:light:1:L129</x:v>
      </x:c>
      <x:c r="B156" s="8" t="str">
        <x:v>L4 → Veranda lantern · H · axis 4</x:v>
      </x:c>
      <x:c r="C156" s="8" t="str">
        <x:v>LC1</x:v>
      </x:c>
      <x:c r="D156" s="8" t="str">
        <x:v>L129</x:v>
      </x:c>
      <x:c r="E156" s="8" t="str">
        <x:v>DB1</x:v>
      </x:c>
      <x:c r="F156" s="8" t="str">
        <x:v>L4</x:v>
      </x:c>
      <x:c r="G156" s="8" t="str">
        <x:v>light</x:v>
      </x:c>
      <x:c r="H156" s="8" t="str">
        <x:v>drop</x:v>
      </x:c>
      <x:c r="I156" s="11" t="n">
        <x:f>SUMIF('Route Points'!$A$7:$A$1910,A156,'Route Points'!$F$7:$F$1910)</x:f>
        <x:v>4.145750000000001</x:v>
      </x:c>
      <x:c r="J156" s="11"/>
      <x:c r="K156" s="11" t="str">
        <x:f>IF(L156="Full home run",I156+J156,"")</x:f>
      </x:c>
      <x:c r="L156" s="8" t="str">
        <x:v>Route segment</x:v>
      </x:c>
      <x:c r="M156" s="13"/>
      <x:c r="N156" s="11" t="str">
        <x:f>IF(OR(M156="",L156="Shared bundle"),"",IF(L156="Full home run",K156,I156)+M156)</x:f>
      </x:c>
      <x:c r="O156" s="8" t="str">
        <x:v>Cable type / conductors / cross-section / conduit: pending electrical design</x:v>
      </x:c>
      <x:c r="P156" s="8" t="str">
        <x:v>Wall / beam or roof containment, then pendant connection</x:v>
      </x:c>
      <x:c r="Q156" s="9"/>
      <x:c r="R156" s="9"/>
      <x:c r="S156" s="13"/>
      <x:c r="T156" s="9"/>
      <x:c r="U156" s="9"/>
      <x:c r="V156" s="9"/>
      <x:c r="W156" s="9"/>
      <x:c r="X156" s="9"/>
      <x:c r="Y156" s="8" t="str">
        <x:v>Current</x:v>
      </x:c>
      <x:c r="Z156" s="8" t="str">
        <x:v>trunk:LC1:L4:light:1</x:v>
      </x:c>
    </x:row>
    <x:row r="157" ht="90" customHeight="1">
      <x:c r="A157" s="8" t="str">
        <x:v>drop:LC1:L4:light:1:L130</x:v>
      </x:c>
      <x:c r="B157" s="8" t="str">
        <x:v>L4 → Veranda lantern · H · axis 5</x:v>
      </x:c>
      <x:c r="C157" s="8" t="str">
        <x:v>LC1</x:v>
      </x:c>
      <x:c r="D157" s="8" t="str">
        <x:v>L130</x:v>
      </x:c>
      <x:c r="E157" s="8" t="str">
        <x:v>DB1</x:v>
      </x:c>
      <x:c r="F157" s="8" t="str">
        <x:v>L4</x:v>
      </x:c>
      <x:c r="G157" s="8" t="str">
        <x:v>light</x:v>
      </x:c>
      <x:c r="H157" s="8" t="str">
        <x:v>drop</x:v>
      </x:c>
      <x:c r="I157" s="11" t="n">
        <x:f>SUMIF('Route Points'!$A$7:$A$1910,A157,'Route Points'!$F$7:$F$1910)</x:f>
        <x:v>4.145750000000001</x:v>
      </x:c>
      <x:c r="J157" s="11"/>
      <x:c r="K157" s="11" t="str">
        <x:f>IF(L157="Full home run",I157+J157,"")</x:f>
      </x:c>
      <x:c r="L157" s="8" t="str">
        <x:v>Route segment</x:v>
      </x:c>
      <x:c r="M157" s="13"/>
      <x:c r="N157" s="11" t="str">
        <x:f>IF(OR(M157="",L157="Shared bundle"),"",IF(L157="Full home run",K157,I157)+M157)</x:f>
      </x:c>
      <x:c r="O157" s="8" t="str">
        <x:v>Cable type / conductors / cross-section / conduit: pending electrical design</x:v>
      </x:c>
      <x:c r="P157" s="8" t="str">
        <x:v>Wall / beam or roof containment, then pendant connection</x:v>
      </x:c>
      <x:c r="Q157" s="9"/>
      <x:c r="R157" s="9"/>
      <x:c r="S157" s="13"/>
      <x:c r="T157" s="9"/>
      <x:c r="U157" s="9"/>
      <x:c r="V157" s="9"/>
      <x:c r="W157" s="9"/>
      <x:c r="X157" s="9"/>
      <x:c r="Y157" s="8" t="str">
        <x:v>Current</x:v>
      </x:c>
      <x:c r="Z157" s="8" t="str">
        <x:v>trunk:LC1:L4:light:1</x:v>
      </x:c>
    </x:row>
    <x:row r="158" ht="90" customHeight="1">
      <x:c r="A158" s="8" t="str">
        <x:v>drop:LC1:L4:light:1:L131</x:v>
      </x:c>
      <x:c r="B158" s="8" t="str">
        <x:v>L4 → Veranda lantern · H · axis 6</x:v>
      </x:c>
      <x:c r="C158" s="8" t="str">
        <x:v>LC1</x:v>
      </x:c>
      <x:c r="D158" s="8" t="str">
        <x:v>L131</x:v>
      </x:c>
      <x:c r="E158" s="8" t="str">
        <x:v>DB1</x:v>
      </x:c>
      <x:c r="F158" s="8" t="str">
        <x:v>L4</x:v>
      </x:c>
      <x:c r="G158" s="8" t="str">
        <x:v>light</x:v>
      </x:c>
      <x:c r="H158" s="8" t="str">
        <x:v>drop</x:v>
      </x:c>
      <x:c r="I158" s="11" t="n">
        <x:f>SUMIF('Route Points'!$A$7:$A$1910,A158,'Route Points'!$F$7:$F$1910)</x:f>
        <x:v>4.145750000000001</x:v>
      </x:c>
      <x:c r="J158" s="11"/>
      <x:c r="K158" s="11" t="str">
        <x:f>IF(L158="Full home run",I158+J158,"")</x:f>
      </x:c>
      <x:c r="L158" s="8" t="str">
        <x:v>Route segment</x:v>
      </x:c>
      <x:c r="M158" s="13"/>
      <x:c r="N158" s="11" t="str">
        <x:f>IF(OR(M158="",L158="Shared bundle"),"",IF(L158="Full home run",K158,I158)+M158)</x:f>
      </x:c>
      <x:c r="O158" s="8" t="str">
        <x:v>Cable type / conductors / cross-section / conduit: pending electrical design</x:v>
      </x:c>
      <x:c r="P158" s="8" t="str">
        <x:v>Wall / beam or roof containment, then pendant connection</x:v>
      </x:c>
      <x:c r="Q158" s="9"/>
      <x:c r="R158" s="9"/>
      <x:c r="S158" s="13"/>
      <x:c r="T158" s="9"/>
      <x:c r="U158" s="9"/>
      <x:c r="V158" s="9"/>
      <x:c r="W158" s="9"/>
      <x:c r="X158" s="9"/>
      <x:c r="Y158" s="8" t="str">
        <x:v>Current</x:v>
      </x:c>
      <x:c r="Z158" s="8" t="str">
        <x:v>trunk:LC1:L4:light:1</x:v>
      </x:c>
    </x:row>
    <x:row r="159" ht="90" customHeight="1">
      <x:c r="A159" s="8" t="str">
        <x:v>drop:LC1:L4:light:1:L132</x:v>
      </x:c>
      <x:c r="B159" s="8" t="str">
        <x:v>L4 → Veranda lantern · H · axis 7</x:v>
      </x:c>
      <x:c r="C159" s="8" t="str">
        <x:v>LC1</x:v>
      </x:c>
      <x:c r="D159" s="8" t="str">
        <x:v>L132</x:v>
      </x:c>
      <x:c r="E159" s="8" t="str">
        <x:v>DB1</x:v>
      </x:c>
      <x:c r="F159" s="8" t="str">
        <x:v>L4</x:v>
      </x:c>
      <x:c r="G159" s="8" t="str">
        <x:v>light</x:v>
      </x:c>
      <x:c r="H159" s="8" t="str">
        <x:v>drop</x:v>
      </x:c>
      <x:c r="I159" s="11" t="n">
        <x:f>SUMIF('Route Points'!$A$7:$A$1910,A159,'Route Points'!$F$7:$F$1910)</x:f>
        <x:v>4.145750000000001</x:v>
      </x:c>
      <x:c r="J159" s="11"/>
      <x:c r="K159" s="11" t="str">
        <x:f>IF(L159="Full home run",I159+J159,"")</x:f>
      </x:c>
      <x:c r="L159" s="8" t="str">
        <x:v>Route segment</x:v>
      </x:c>
      <x:c r="M159" s="13"/>
      <x:c r="N159" s="11" t="str">
        <x:f>IF(OR(M159="",L159="Shared bundle"),"",IF(L159="Full home run",K159,I159)+M159)</x:f>
      </x:c>
      <x:c r="O159" s="8" t="str">
        <x:v>Cable type / conductors / cross-section / conduit: pending electrical design</x:v>
      </x:c>
      <x:c r="P159" s="8" t="str">
        <x:v>Wall / beam or roof containment, then pendant connection</x:v>
      </x:c>
      <x:c r="Q159" s="9"/>
      <x:c r="R159" s="9"/>
      <x:c r="S159" s="13"/>
      <x:c r="T159" s="9"/>
      <x:c r="U159" s="9"/>
      <x:c r="V159" s="9"/>
      <x:c r="W159" s="9"/>
      <x:c r="X159" s="9"/>
      <x:c r="Y159" s="8" t="str">
        <x:v>Current</x:v>
      </x:c>
      <x:c r="Z159" s="8" t="str">
        <x:v>trunk:LC1:L4:light:1</x:v>
      </x:c>
    </x:row>
    <x:row r="160" ht="90" customHeight="1">
      <x:c r="A160" s="8" t="str">
        <x:v>drop:LC1:L4:light:1:L133</x:v>
      </x:c>
      <x:c r="B160" s="8" t="str">
        <x:v>L4 → Veranda lantern · H · axis 8</x:v>
      </x:c>
      <x:c r="C160" s="8" t="str">
        <x:v>LC1</x:v>
      </x:c>
      <x:c r="D160" s="8" t="str">
        <x:v>L133</x:v>
      </x:c>
      <x:c r="E160" s="8" t="str">
        <x:v>DB1</x:v>
      </x:c>
      <x:c r="F160" s="8" t="str">
        <x:v>L4</x:v>
      </x:c>
      <x:c r="G160" s="8" t="str">
        <x:v>light</x:v>
      </x:c>
      <x:c r="H160" s="8" t="str">
        <x:v>drop</x:v>
      </x:c>
      <x:c r="I160" s="11" t="n">
        <x:f>SUMIF('Route Points'!$A$7:$A$1910,A160,'Route Points'!$F$7:$F$1910)</x:f>
        <x:v>4.145750000000001</x:v>
      </x:c>
      <x:c r="J160" s="11"/>
      <x:c r="K160" s="11" t="str">
        <x:f>IF(L160="Full home run",I160+J160,"")</x:f>
      </x:c>
      <x:c r="L160" s="8" t="str">
        <x:v>Route segment</x:v>
      </x:c>
      <x:c r="M160" s="13"/>
      <x:c r="N160" s="11" t="str">
        <x:f>IF(OR(M160="",L160="Shared bundle"),"",IF(L160="Full home run",K160,I160)+M160)</x:f>
      </x:c>
      <x:c r="O160" s="8" t="str">
        <x:v>Cable type / conductors / cross-section / conduit: pending electrical design</x:v>
      </x:c>
      <x:c r="P160" s="8" t="str">
        <x:v>Wall / beam or roof containment, then pendant connection</x:v>
      </x:c>
      <x:c r="Q160" s="9"/>
      <x:c r="R160" s="9"/>
      <x:c r="S160" s="13"/>
      <x:c r="T160" s="9"/>
      <x:c r="U160" s="9"/>
      <x:c r="V160" s="9"/>
      <x:c r="W160" s="9"/>
      <x:c r="X160" s="9"/>
      <x:c r="Y160" s="8" t="str">
        <x:v>Current</x:v>
      </x:c>
      <x:c r="Z160" s="8" t="str">
        <x:v>trunk:LC1:L4:light:1</x:v>
      </x:c>
    </x:row>
    <x:row r="161" ht="90" customHeight="1">
      <x:c r="A161" s="8" t="str">
        <x:v>drop:LC1:L4:light:1:L134</x:v>
      </x:c>
      <x:c r="B161" s="8" t="str">
        <x:v>L4 → Veranda lantern · H · axis 9</x:v>
      </x:c>
      <x:c r="C161" s="8" t="str">
        <x:v>LC1</x:v>
      </x:c>
      <x:c r="D161" s="8" t="str">
        <x:v>L134</x:v>
      </x:c>
      <x:c r="E161" s="8" t="str">
        <x:v>DB1</x:v>
      </x:c>
      <x:c r="F161" s="8" t="str">
        <x:v>L4</x:v>
      </x:c>
      <x:c r="G161" s="8" t="str">
        <x:v>light</x:v>
      </x:c>
      <x:c r="H161" s="8" t="str">
        <x:v>drop</x:v>
      </x:c>
      <x:c r="I161" s="11" t="n">
        <x:f>SUMIF('Route Points'!$A$7:$A$1910,A161,'Route Points'!$F$7:$F$1910)</x:f>
        <x:v>7.045750000000003</x:v>
      </x:c>
      <x:c r="J161" s="11"/>
      <x:c r="K161" s="11" t="str">
        <x:f>IF(L161="Full home run",I161+J161,"")</x:f>
      </x:c>
      <x:c r="L161" s="8" t="str">
        <x:v>Route segment</x:v>
      </x:c>
      <x:c r="M161" s="13"/>
      <x:c r="N161" s="11" t="str">
        <x:f>IF(OR(M161="",L161="Shared bundle"),"",IF(L161="Full home run",K161,I161)+M161)</x:f>
      </x:c>
      <x:c r="O161" s="8" t="str">
        <x:v>Cable type / conductors / cross-section / conduit: pending electrical design</x:v>
      </x:c>
      <x:c r="P161" s="8" t="str">
        <x:v>Wall / beam or roof containment, then pendant connection</x:v>
      </x:c>
      <x:c r="Q161" s="9"/>
      <x:c r="R161" s="9"/>
      <x:c r="S161" s="13"/>
      <x:c r="T161" s="9"/>
      <x:c r="U161" s="9"/>
      <x:c r="V161" s="9"/>
      <x:c r="W161" s="9"/>
      <x:c r="X161" s="9"/>
      <x:c r="Y161" s="8" t="str">
        <x:v>Current</x:v>
      </x:c>
      <x:c r="Z161" s="8" t="str">
        <x:v>trunk:LC1:L4:light:1</x:v>
      </x:c>
    </x:row>
    <x:row r="162" ht="90" customHeight="1">
      <x:c r="A162" s="8" t="str">
        <x:v>drop:LC1:L4:light:1:L135</x:v>
      </x:c>
      <x:c r="B162" s="8" t="str">
        <x:v>L4 → Veranda lantern · H · axis 10</x:v>
      </x:c>
      <x:c r="C162" s="8" t="str">
        <x:v>LC1</x:v>
      </x:c>
      <x:c r="D162" s="8" t="str">
        <x:v>L135</x:v>
      </x:c>
      <x:c r="E162" s="8" t="str">
        <x:v>DB1</x:v>
      </x:c>
      <x:c r="F162" s="8" t="str">
        <x:v>L4</x:v>
      </x:c>
      <x:c r="G162" s="8" t="str">
        <x:v>light</x:v>
      </x:c>
      <x:c r="H162" s="8" t="str">
        <x:v>drop</x:v>
      </x:c>
      <x:c r="I162" s="11" t="n">
        <x:f>SUMIF('Route Points'!$A$7:$A$1910,A162,'Route Points'!$F$7:$F$1910)</x:f>
        <x:v>4.145750000000001</x:v>
      </x:c>
      <x:c r="J162" s="11"/>
      <x:c r="K162" s="11" t="str">
        <x:f>IF(L162="Full home run",I162+J162,"")</x:f>
      </x:c>
      <x:c r="L162" s="8" t="str">
        <x:v>Route segment</x:v>
      </x:c>
      <x:c r="M162" s="13"/>
      <x:c r="N162" s="11" t="str">
        <x:f>IF(OR(M162="",L162="Shared bundle"),"",IF(L162="Full home run",K162,I162)+M162)</x:f>
      </x:c>
      <x:c r="O162" s="8" t="str">
        <x:v>Cable type / conductors / cross-section / conduit: pending electrical design</x:v>
      </x:c>
      <x:c r="P162" s="8" t="str">
        <x:v>Wall / beam or roof containment, then pendant connection</x:v>
      </x:c>
      <x:c r="Q162" s="9"/>
      <x:c r="R162" s="9"/>
      <x:c r="S162" s="13"/>
      <x:c r="T162" s="9"/>
      <x:c r="U162" s="9"/>
      <x:c r="V162" s="9"/>
      <x:c r="W162" s="9"/>
      <x:c r="X162" s="9"/>
      <x:c r="Y162" s="8" t="str">
        <x:v>Current</x:v>
      </x:c>
      <x:c r="Z162" s="8" t="str">
        <x:v>trunk:LC1:L4:light:1</x:v>
      </x:c>
    </x:row>
    <x:row r="163" ht="90" customHeight="1">
      <x:c r="A163" s="8" t="str">
        <x:v>drop:LC1:L4:light:1:L136</x:v>
      </x:c>
      <x:c r="B163" s="8" t="str">
        <x:v>L4 → Veranda lantern · H · axis 11</x:v>
      </x:c>
      <x:c r="C163" s="8" t="str">
        <x:v>LC1</x:v>
      </x:c>
      <x:c r="D163" s="8" t="str">
        <x:v>L136</x:v>
      </x:c>
      <x:c r="E163" s="8" t="str">
        <x:v>DB1</x:v>
      </x:c>
      <x:c r="F163" s="8" t="str">
        <x:v>L4</x:v>
      </x:c>
      <x:c r="G163" s="8" t="str">
        <x:v>light</x:v>
      </x:c>
      <x:c r="H163" s="8" t="str">
        <x:v>drop</x:v>
      </x:c>
      <x:c r="I163" s="11" t="n">
        <x:f>SUMIF('Route Points'!$A$7:$A$1910,A163,'Route Points'!$F$7:$F$1910)</x:f>
        <x:v>4.145750000000001</x:v>
      </x:c>
      <x:c r="J163" s="11"/>
      <x:c r="K163" s="11" t="str">
        <x:f>IF(L163="Full home run",I163+J163,"")</x:f>
      </x:c>
      <x:c r="L163" s="8" t="str">
        <x:v>Route segment</x:v>
      </x:c>
      <x:c r="M163" s="13"/>
      <x:c r="N163" s="11" t="str">
        <x:f>IF(OR(M163="",L163="Shared bundle"),"",IF(L163="Full home run",K163,I163)+M163)</x:f>
      </x:c>
      <x:c r="O163" s="8" t="str">
        <x:v>Cable type / conductors / cross-section / conduit: pending electrical design</x:v>
      </x:c>
      <x:c r="P163" s="8" t="str">
        <x:v>Wall / beam or roof containment, then pendant connection</x:v>
      </x:c>
      <x:c r="Q163" s="9"/>
      <x:c r="R163" s="9"/>
      <x:c r="S163" s="13"/>
      <x:c r="T163" s="9"/>
      <x:c r="U163" s="9"/>
      <x:c r="V163" s="9"/>
      <x:c r="W163" s="9"/>
      <x:c r="X163" s="9"/>
      <x:c r="Y163" s="8" t="str">
        <x:v>Current</x:v>
      </x:c>
      <x:c r="Z163" s="8" t="str">
        <x:v>trunk:LC1:L4:light:1</x:v>
      </x:c>
    </x:row>
    <x:row r="164" ht="90" customHeight="1">
      <x:c r="A164" s="8" t="str">
        <x:v>trunk:DB2:L9:light:-1</x:v>
      </x:c>
      <x:c r="B164" s="8" t="str">
        <x:v>L9 · B · circuit trunk</x:v>
      </x:c>
      <x:c r="C164" s="8" t="str">
        <x:v>DB2</x:v>
      </x:c>
      <x:c r="D164" s="8" t="str">
        <x:v>L137
L182
L183</x:v>
      </x:c>
      <x:c r="E164" s="8" t="str">
        <x:v>DB2</x:v>
      </x:c>
      <x:c r="F164" s="8" t="str">
        <x:v>L9</x:v>
      </x:c>
      <x:c r="G164" s="8" t="str">
        <x:v>light</x:v>
      </x:c>
      <x:c r="H164" s="8" t="str">
        <x:v>trunk</x:v>
      </x:c>
      <x:c r="I164" s="11" t="n">
        <x:f>SUMIF('Route Points'!$A$7:$A$1910,A164,'Route Points'!$F$7:$F$1910)</x:f>
        <x:v>11.764</x:v>
      </x:c>
      <x:c r="J164" s="11"/>
      <x:c r="K164" s="11" t="str">
        <x:f>IF(L164="Full home run",I164+J164,"")</x:f>
      </x:c>
      <x:c r="L164" s="8" t="str">
        <x:v>Route segment</x:v>
      </x:c>
      <x:c r="M164" s="13"/>
      <x:c r="N164" s="11" t="str">
        <x:f>IF(OR(M164="",L164="Shared bundle"),"",IF(L164="Full home run",K164,I164)+M164)</x:f>
      </x:c>
      <x:c r="O164" s="8" t="str">
        <x:v>Cable type / conductors / cross-section / conduit: pending electrical design</x:v>
      </x:c>
      <x:c r="P164" s="8" t="str">
        <x:v>Concealed wall band above openings; ceiling containment at wing returns</x:v>
      </x:c>
      <x:c r="Q164" s="9"/>
      <x:c r="R164" s="9"/>
      <x:c r="S164" s="13"/>
      <x:c r="T164" s="9"/>
      <x:c r="U164" s="9"/>
      <x:c r="V164" s="9"/>
      <x:c r="W164" s="9"/>
      <x:c r="X164" s="9"/>
      <x:c r="Y164" s="8" t="str">
        <x:v>Current</x:v>
      </x:c>
      <x:c r="Z164" s="8"/>
    </x:row>
    <x:row r="165" ht="90" customHeight="1">
      <x:c r="A165" s="8" t="str">
        <x:v>drop:DB2:L9:light:-1:L137</x:v>
      </x:c>
      <x:c r="B165" s="8" t="str">
        <x:v>L9 → Central front door lantern · B</x:v>
      </x:c>
      <x:c r="C165" s="8" t="str">
        <x:v>DB2</x:v>
      </x:c>
      <x:c r="D165" s="8" t="str">
        <x:v>L137</x:v>
      </x:c>
      <x:c r="E165" s="8" t="str">
        <x:v>DB2</x:v>
      </x:c>
      <x:c r="F165" s="8" t="str">
        <x:v>L9</x:v>
      </x:c>
      <x:c r="G165" s="8" t="str">
        <x:v>light</x:v>
      </x:c>
      <x:c r="H165" s="8" t="str">
        <x:v>drop</x:v>
      </x:c>
      <x:c r="I165" s="11" t="n">
        <x:f>SUMIF('Route Points'!$A$7:$A$1910,A165,'Route Points'!$F$7:$F$1910)</x:f>
        <x:v>10.934000000000003</x:v>
      </x:c>
      <x:c r="J165" s="11"/>
      <x:c r="K165" s="11" t="str">
        <x:f>IF(L165="Full home run",I165+J165,"")</x:f>
      </x:c>
      <x:c r="L165" s="8" t="str">
        <x:v>Route segment</x:v>
      </x:c>
      <x:c r="M165" s="13"/>
      <x:c r="N165" s="11" t="str">
        <x:f>IF(OR(M165="",L165="Shared bundle"),"",IF(L165="Full home run",K165,I165)+M165)</x:f>
      </x:c>
      <x:c r="O165" s="8" t="str">
        <x:v>Cable type / conductors / cross-section / conduit: pending electrical design</x:v>
      </x:c>
      <x:c r="P165" s="8" t="str">
        <x:v>Concealed pier / wall drop, local termination</x:v>
      </x:c>
      <x:c r="Q165" s="9"/>
      <x:c r="R165" s="9"/>
      <x:c r="S165" s="13"/>
      <x:c r="T165" s="9"/>
      <x:c r="U165" s="9"/>
      <x:c r="V165" s="9"/>
      <x:c r="W165" s="9"/>
      <x:c r="X165" s="9"/>
      <x:c r="Y165" s="8" t="str">
        <x:v>Current</x:v>
      </x:c>
      <x:c r="Z165" s="8" t="str">
        <x:v>trunk:DB2:L9:light:-1</x:v>
      </x:c>
    </x:row>
    <x:row r="166" ht="90" customHeight="1">
      <x:c r="A166" s="8" t="str">
        <x:v>drop:DB2:L9:light:-1:L182</x:v>
      </x:c>
      <x:c r="B166" s="8" t="str">
        <x:v>L9 → Stage flood · tower B · outer</x:v>
      </x:c>
      <x:c r="C166" s="8" t="str">
        <x:v>DB2</x:v>
      </x:c>
      <x:c r="D166" s="8" t="str">
        <x:v>L182</x:v>
      </x:c>
      <x:c r="E166" s="8" t="str">
        <x:v>DB2</x:v>
      </x:c>
      <x:c r="F166" s="8" t="str">
        <x:v>L9</x:v>
      </x:c>
      <x:c r="G166" s="8" t="str">
        <x:v>light</x:v>
      </x:c>
      <x:c r="H166" s="8" t="str">
        <x:v>drop</x:v>
      </x:c>
      <x:c r="I166" s="11" t="n">
        <x:f>SUMIF('Route Points'!$A$7:$A$1910,A166,'Route Points'!$F$7:$F$1910)</x:f>
        <x:v>8.842</x:v>
      </x:c>
      <x:c r="J166" s="11"/>
      <x:c r="K166" s="11" t="str">
        <x:f>IF(L166="Full home run",I166+J166,"")</x:f>
      </x:c>
      <x:c r="L166" s="8" t="str">
        <x:v>Route segment</x:v>
      </x:c>
      <x:c r="M166" s="13"/>
      <x:c r="N166" s="11" t="str">
        <x:f>IF(OR(M166="",L166="Shared bundle"),"",IF(L166="Full home run",K166,I166)+M166)</x:f>
      </x:c>
      <x:c r="O166" s="8" t="str">
        <x:v>Cable type / conductors / cross-section / conduit: pending electrical design</x:v>
      </x:c>
      <x:c r="P166" s="8" t="str">
        <x:v>Concealed pier / wall drop, local termination</x:v>
      </x:c>
      <x:c r="Q166" s="9"/>
      <x:c r="R166" s="9"/>
      <x:c r="S166" s="13"/>
      <x:c r="T166" s="9"/>
      <x:c r="U166" s="9"/>
      <x:c r="V166" s="9"/>
      <x:c r="W166" s="9"/>
      <x:c r="X166" s="9"/>
      <x:c r="Y166" s="8" t="str">
        <x:v>Current</x:v>
      </x:c>
      <x:c r="Z166" s="8" t="str">
        <x:v>trunk:DB2:L9:light:-1</x:v>
      </x:c>
    </x:row>
    <x:row r="167" ht="90" customHeight="1">
      <x:c r="A167" s="8" t="str">
        <x:v>drop:DB2:L9:light:-1:L183</x:v>
      </x:c>
      <x:c r="B167" s="8" t="str">
        <x:v>L9 → Stage flood · tower B · inner</x:v>
      </x:c>
      <x:c r="C167" s="8" t="str">
        <x:v>DB2</x:v>
      </x:c>
      <x:c r="D167" s="8" t="str">
        <x:v>L183</x:v>
      </x:c>
      <x:c r="E167" s="8" t="str">
        <x:v>DB2</x:v>
      </x:c>
      <x:c r="F167" s="8" t="str">
        <x:v>L9</x:v>
      </x:c>
      <x:c r="G167" s="8" t="str">
        <x:v>light</x:v>
      </x:c>
      <x:c r="H167" s="8" t="str">
        <x:v>drop</x:v>
      </x:c>
      <x:c r="I167" s="11" t="n">
        <x:f>SUMIF('Route Points'!$A$7:$A$1910,A167,'Route Points'!$F$7:$F$1910)</x:f>
        <x:v>8.842</x:v>
      </x:c>
      <x:c r="J167" s="11"/>
      <x:c r="K167" s="11" t="str">
        <x:f>IF(L167="Full home run",I167+J167,"")</x:f>
      </x:c>
      <x:c r="L167" s="8" t="str">
        <x:v>Route segment</x:v>
      </x:c>
      <x:c r="M167" s="13"/>
      <x:c r="N167" s="11" t="str">
        <x:f>IF(OR(M167="",L167="Shared bundle"),"",IF(L167="Full home run",K167,I167)+M167)</x:f>
      </x:c>
      <x:c r="O167" s="8" t="str">
        <x:v>Cable type / conductors / cross-section / conduit: pending electrical design</x:v>
      </x:c>
      <x:c r="P167" s="8" t="str">
        <x:v>Concealed pier / wall drop, local termination</x:v>
      </x:c>
      <x:c r="Q167" s="9"/>
      <x:c r="R167" s="9"/>
      <x:c r="S167" s="13"/>
      <x:c r="T167" s="9"/>
      <x:c r="U167" s="9"/>
      <x:c r="V167" s="9"/>
      <x:c r="W167" s="9"/>
      <x:c r="X167" s="9"/>
      <x:c r="Y167" s="8" t="str">
        <x:v>Current</x:v>
      </x:c>
      <x:c r="Z167" s="8" t="str">
        <x:v>trunk:DB2:L9:light:-1</x:v>
      </x:c>
    </x:row>
    <x:row r="168" ht="90" customHeight="1">
      <x:c r="A168" s="8" t="str">
        <x:v>trunk:DB2:L9:light:1</x:v>
      </x:c>
      <x:c r="B168" s="8" t="str">
        <x:v>L9 · H · circuit trunk</x:v>
      </x:c>
      <x:c r="C168" s="8" t="str">
        <x:v>DB2</x:v>
      </x:c>
      <x:c r="D168" s="8" t="str">
        <x:v>L138
L189
L190</x:v>
      </x:c>
      <x:c r="E168" s="8" t="str">
        <x:v>DB2</x:v>
      </x:c>
      <x:c r="F168" s="8" t="str">
        <x:v>L9</x:v>
      </x:c>
      <x:c r="G168" s="8" t="str">
        <x:v>light</x:v>
      </x:c>
      <x:c r="H168" s="8" t="str">
        <x:v>trunk</x:v>
      </x:c>
      <x:c r="I168" s="11" t="n">
        <x:f>SUMIF('Route Points'!$A$7:$A$1910,A168,'Route Points'!$F$7:$F$1910)</x:f>
        <x:v>18.364</x:v>
      </x:c>
      <x:c r="J168" s="11"/>
      <x:c r="K168" s="11" t="str">
        <x:f>IF(L168="Full home run",I168+J168,"")</x:f>
      </x:c>
      <x:c r="L168" s="8" t="str">
        <x:v>Route segment</x:v>
      </x:c>
      <x:c r="M168" s="13"/>
      <x:c r="N168" s="11" t="str">
        <x:f>IF(OR(M168="",L168="Shared bundle"),"",IF(L168="Full home run",K168,I168)+M168)</x:f>
      </x:c>
      <x:c r="O168" s="8" t="str">
        <x:v>Cable type / conductors / cross-section / conduit: pending electrical design</x:v>
      </x:c>
      <x:c r="P168" s="8" t="str">
        <x:v>Concealed wall band above openings; ceiling containment at wing returns</x:v>
      </x:c>
      <x:c r="Q168" s="9"/>
      <x:c r="R168" s="9"/>
      <x:c r="S168" s="13"/>
      <x:c r="T168" s="9"/>
      <x:c r="U168" s="9"/>
      <x:c r="V168" s="9"/>
      <x:c r="W168" s="9"/>
      <x:c r="X168" s="9"/>
      <x:c r="Y168" s="8" t="str">
        <x:v>Current</x:v>
      </x:c>
      <x:c r="Z168" s="8"/>
    </x:row>
    <x:row r="169" ht="90" customHeight="1">
      <x:c r="A169" s="8" t="str">
        <x:v>drop:DB2:L9:light:1:L138</x:v>
      </x:c>
      <x:c r="B169" s="8" t="str">
        <x:v>L9 → Central front door lantern · H</x:v>
      </x:c>
      <x:c r="C169" s="8" t="str">
        <x:v>DB2</x:v>
      </x:c>
      <x:c r="D169" s="8" t="str">
        <x:v>L138</x:v>
      </x:c>
      <x:c r="E169" s="8" t="str">
        <x:v>DB2</x:v>
      </x:c>
      <x:c r="F169" s="8" t="str">
        <x:v>L9</x:v>
      </x:c>
      <x:c r="G169" s="8" t="str">
        <x:v>light</x:v>
      </x:c>
      <x:c r="H169" s="8" t="str">
        <x:v>drop</x:v>
      </x:c>
      <x:c r="I169" s="11" t="n">
        <x:f>SUMIF('Route Points'!$A$7:$A$1910,A169,'Route Points'!$F$7:$F$1910)</x:f>
        <x:v>10.934000000000003</x:v>
      </x:c>
      <x:c r="J169" s="11"/>
      <x:c r="K169" s="11" t="str">
        <x:f>IF(L169="Full home run",I169+J169,"")</x:f>
      </x:c>
      <x:c r="L169" s="8" t="str">
        <x:v>Route segment</x:v>
      </x:c>
      <x:c r="M169" s="13"/>
      <x:c r="N169" s="11" t="str">
        <x:f>IF(OR(M169="",L169="Shared bundle"),"",IF(L169="Full home run",K169,I169)+M169)</x:f>
      </x:c>
      <x:c r="O169" s="8" t="str">
        <x:v>Cable type / conductors / cross-section / conduit: pending electrical design</x:v>
      </x:c>
      <x:c r="P169" s="8" t="str">
        <x:v>Concealed pier / wall drop, local termination</x:v>
      </x:c>
      <x:c r="Q169" s="9"/>
      <x:c r="R169" s="9"/>
      <x:c r="S169" s="13"/>
      <x:c r="T169" s="9"/>
      <x:c r="U169" s="9"/>
      <x:c r="V169" s="9"/>
      <x:c r="W169" s="9"/>
      <x:c r="X169" s="9"/>
      <x:c r="Y169" s="8" t="str">
        <x:v>Current</x:v>
      </x:c>
      <x:c r="Z169" s="8" t="str">
        <x:v>trunk:DB2:L9:light:1</x:v>
      </x:c>
    </x:row>
    <x:row r="170" ht="90" customHeight="1">
      <x:c r="A170" s="8" t="str">
        <x:v>drop:DB2:L9:light:1:L189</x:v>
      </x:c>
      <x:c r="B170" s="8" t="str">
        <x:v>L9 → Stage flood · tower H · inner</x:v>
      </x:c>
      <x:c r="C170" s="8" t="str">
        <x:v>DB2</x:v>
      </x:c>
      <x:c r="D170" s="8" t="str">
        <x:v>L189</x:v>
      </x:c>
      <x:c r="E170" s="8" t="str">
        <x:v>DB2</x:v>
      </x:c>
      <x:c r="F170" s="8" t="str">
        <x:v>L9</x:v>
      </x:c>
      <x:c r="G170" s="8" t="str">
        <x:v>light</x:v>
      </x:c>
      <x:c r="H170" s="8" t="str">
        <x:v>drop</x:v>
      </x:c>
      <x:c r="I170" s="11" t="n">
        <x:f>SUMIF('Route Points'!$A$7:$A$1910,A170,'Route Points'!$F$7:$F$1910)</x:f>
        <x:v>8.842</x:v>
      </x:c>
      <x:c r="J170" s="11"/>
      <x:c r="K170" s="11" t="str">
        <x:f>IF(L170="Full home run",I170+J170,"")</x:f>
      </x:c>
      <x:c r="L170" s="8" t="str">
        <x:v>Route segment</x:v>
      </x:c>
      <x:c r="M170" s="13"/>
      <x:c r="N170" s="11" t="str">
        <x:f>IF(OR(M170="",L170="Shared bundle"),"",IF(L170="Full home run",K170,I170)+M170)</x:f>
      </x:c>
      <x:c r="O170" s="8" t="str">
        <x:v>Cable type / conductors / cross-section / conduit: pending electrical design</x:v>
      </x:c>
      <x:c r="P170" s="8" t="str">
        <x:v>Concealed pier / wall drop, local termination</x:v>
      </x:c>
      <x:c r="Q170" s="9"/>
      <x:c r="R170" s="9"/>
      <x:c r="S170" s="13"/>
      <x:c r="T170" s="9"/>
      <x:c r="U170" s="9"/>
      <x:c r="V170" s="9"/>
      <x:c r="W170" s="9"/>
      <x:c r="X170" s="9"/>
      <x:c r="Y170" s="8" t="str">
        <x:v>Current</x:v>
      </x:c>
      <x:c r="Z170" s="8" t="str">
        <x:v>trunk:DB2:L9:light:1</x:v>
      </x:c>
    </x:row>
    <x:row r="171" ht="90" customHeight="1">
      <x:c r="A171" s="8" t="str">
        <x:v>drop:DB2:L9:light:1:L190</x:v>
      </x:c>
      <x:c r="B171" s="8" t="str">
        <x:v>L9 → Stage flood · tower H · outer</x:v>
      </x:c>
      <x:c r="C171" s="8" t="str">
        <x:v>DB2</x:v>
      </x:c>
      <x:c r="D171" s="8" t="str">
        <x:v>L190</x:v>
      </x:c>
      <x:c r="E171" s="8" t="str">
        <x:v>DB2</x:v>
      </x:c>
      <x:c r="F171" s="8" t="str">
        <x:v>L9</x:v>
      </x:c>
      <x:c r="G171" s="8" t="str">
        <x:v>light</x:v>
      </x:c>
      <x:c r="H171" s="8" t="str">
        <x:v>drop</x:v>
      </x:c>
      <x:c r="I171" s="11" t="n">
        <x:f>SUMIF('Route Points'!$A$7:$A$1910,A171,'Route Points'!$F$7:$F$1910)</x:f>
        <x:v>8.842</x:v>
      </x:c>
      <x:c r="J171" s="11"/>
      <x:c r="K171" s="11" t="str">
        <x:f>IF(L171="Full home run",I171+J171,"")</x:f>
      </x:c>
      <x:c r="L171" s="8" t="str">
        <x:v>Route segment</x:v>
      </x:c>
      <x:c r="M171" s="13"/>
      <x:c r="N171" s="11" t="str">
        <x:f>IF(OR(M171="",L171="Shared bundle"),"",IF(L171="Full home run",K171,I171)+M171)</x:f>
      </x:c>
      <x:c r="O171" s="8" t="str">
        <x:v>Cable type / conductors / cross-section / conduit: pending electrical design</x:v>
      </x:c>
      <x:c r="P171" s="8" t="str">
        <x:v>Concealed pier / wall drop, local termination</x:v>
      </x:c>
      <x:c r="Q171" s="9"/>
      <x:c r="R171" s="9"/>
      <x:c r="S171" s="13"/>
      <x:c r="T171" s="9"/>
      <x:c r="U171" s="9"/>
      <x:c r="V171" s="9"/>
      <x:c r="W171" s="9"/>
      <x:c r="X171" s="9"/>
      <x:c r="Y171" s="8" t="str">
        <x:v>Current</x:v>
      </x:c>
      <x:c r="Z171" s="8" t="str">
        <x:v>trunk:DB2:L9:light:1</x:v>
      </x:c>
    </x:row>
    <x:row r="172" ht="155" customHeight="1">
      <x:c r="A172" s="8" t="str">
        <x:v>trunk:LC1:L5:light:-1</x:v>
      </x:c>
      <x:c r="B172" s="8" t="str">
        <x:v>L5 · B · circuit trunk</x:v>
      </x:c>
      <x:c r="C172" s="8" t="str">
        <x:v>LC1</x:v>
      </x:c>
      <x:c r="D172" s="8" t="str">
        <x:v>L139
L140
L141
L142
L143
L144
L184
L185
L186
L187
L188</x:v>
      </x:c>
      <x:c r="E172" s="8" t="str">
        <x:v>DB1</x:v>
      </x:c>
      <x:c r="F172" s="8" t="str">
        <x:v>L5</x:v>
      </x:c>
      <x:c r="G172" s="8" t="str">
        <x:v>light</x:v>
      </x:c>
      <x:c r="H172" s="8" t="str">
        <x:v>trunk</x:v>
      </x:c>
      <x:c r="I172" s="11" t="n">
        <x:f>SUMIF('Route Points'!$A$7:$A$1910,A172,'Route Points'!$F$7:$F$1910)</x:f>
        <x:v>66.20400000000001</x:v>
      </x:c>
      <x:c r="J172" s="11"/>
      <x:c r="K172" s="11" t="str">
        <x:f>IF(L172="Full home run",I172+J172,"")</x:f>
      </x:c>
      <x:c r="L172" s="8" t="str">
        <x:v>Route segment</x:v>
      </x:c>
      <x:c r="M172" s="13"/>
      <x:c r="N172" s="11" t="str">
        <x:f>IF(OR(M172="",L172="Shared bundle"),"",IF(L172="Full home run",K172,I172)+M172)</x:f>
      </x:c>
      <x:c r="O172" s="8" t="str">
        <x:v>Cable type / conductors / cross-section / conduit: pending electrical design</x:v>
      </x:c>
      <x:c r="P172" s="8" t="str">
        <x:v>Concealed wall band above openings; ceiling containment at wing returns</x:v>
      </x:c>
      <x:c r="Q172" s="9"/>
      <x:c r="R172" s="9"/>
      <x:c r="S172" s="13"/>
      <x:c r="T172" s="9"/>
      <x:c r="U172" s="9"/>
      <x:c r="V172" s="9"/>
      <x:c r="W172" s="9"/>
      <x:c r="X172" s="9"/>
      <x:c r="Y172" s="8" t="str">
        <x:v>Current</x:v>
      </x:c>
      <x:c r="Z172" s="8"/>
    </x:row>
    <x:row r="173" ht="90" customHeight="1">
      <x:c r="A173" s="8" t="str">
        <x:v>drop:LC1:L5:light:-1:L139</x:v>
      </x:c>
      <x:c r="B173" s="8" t="str">
        <x:v>L5 → Side door lantern · B · 16.725 · front</x:v>
      </x:c>
      <x:c r="C173" s="8" t="str">
        <x:v>LC1</x:v>
      </x:c>
      <x:c r="D173" s="8" t="str">
        <x:v>L139</x:v>
      </x:c>
      <x:c r="E173" s="8" t="str">
        <x:v>DB1</x:v>
      </x:c>
      <x:c r="F173" s="8" t="str">
        <x:v>L5</x:v>
      </x:c>
      <x:c r="G173" s="8" t="str">
        <x:v>light</x:v>
      </x:c>
      <x:c r="H173" s="8" t="str">
        <x:v>drop</x:v>
      </x:c>
      <x:c r="I173" s="11" t="n">
        <x:f>SUMIF('Route Points'!$A$7:$A$1910,A173,'Route Points'!$F$7:$F$1910)</x:f>
        <x:v>7.023999999999999</x:v>
      </x:c>
      <x:c r="J173" s="11"/>
      <x:c r="K173" s="11" t="str">
        <x:f>IF(L173="Full home run",I173+J173,"")</x:f>
      </x:c>
      <x:c r="L173" s="8" t="str">
        <x:v>Route segment</x:v>
      </x:c>
      <x:c r="M173" s="13"/>
      <x:c r="N173" s="11" t="str">
        <x:f>IF(OR(M173="",L173="Shared bundle"),"",IF(L173="Full home run",K173,I173)+M173)</x:f>
      </x:c>
      <x:c r="O173" s="8" t="str">
        <x:v>Cable type / conductors / cross-section / conduit: pending electrical design</x:v>
      </x:c>
      <x:c r="P173" s="8" t="str">
        <x:v>Concealed pier / wall drop, local termination</x:v>
      </x:c>
      <x:c r="Q173" s="9"/>
      <x:c r="R173" s="9"/>
      <x:c r="S173" s="13"/>
      <x:c r="T173" s="9"/>
      <x:c r="U173" s="9"/>
      <x:c r="V173" s="9"/>
      <x:c r="W173" s="9"/>
      <x:c r="X173" s="9"/>
      <x:c r="Y173" s="8" t="str">
        <x:v>Current</x:v>
      </x:c>
      <x:c r="Z173" s="8" t="str">
        <x:v>trunk:LC1:L5:light:-1</x:v>
      </x:c>
    </x:row>
    <x:row r="174" ht="90" customHeight="1">
      <x:c r="A174" s="8" t="str">
        <x:v>drop:LC1:L5:light:-1:L140</x:v>
      </x:c>
      <x:c r="B174" s="8" t="str">
        <x:v>L5 → Side door lantern · B · 16.725 · rear</x:v>
      </x:c>
      <x:c r="C174" s="8" t="str">
        <x:v>LC1</x:v>
      </x:c>
      <x:c r="D174" s="8" t="str">
        <x:v>L140</x:v>
      </x:c>
      <x:c r="E174" s="8" t="str">
        <x:v>DB1</x:v>
      </x:c>
      <x:c r="F174" s="8" t="str">
        <x:v>L5</x:v>
      </x:c>
      <x:c r="G174" s="8" t="str">
        <x:v>light</x:v>
      </x:c>
      <x:c r="H174" s="8" t="str">
        <x:v>drop</x:v>
      </x:c>
      <x:c r="I174" s="11" t="n">
        <x:f>SUMIF('Route Points'!$A$7:$A$1910,A174,'Route Points'!$F$7:$F$1910)</x:f>
        <x:v>7.023999999999999</x:v>
      </x:c>
      <x:c r="J174" s="11"/>
      <x:c r="K174" s="11" t="str">
        <x:f>IF(L174="Full home run",I174+J174,"")</x:f>
      </x:c>
      <x:c r="L174" s="8" t="str">
        <x:v>Route segment</x:v>
      </x:c>
      <x:c r="M174" s="13"/>
      <x:c r="N174" s="11" t="str">
        <x:f>IF(OR(M174="",L174="Shared bundle"),"",IF(L174="Full home run",K174,I174)+M174)</x:f>
      </x:c>
      <x:c r="O174" s="8" t="str">
        <x:v>Cable type / conductors / cross-section / conduit: pending electrical design</x:v>
      </x:c>
      <x:c r="P174" s="8" t="str">
        <x:v>Concealed pier / wall drop, local termination</x:v>
      </x:c>
      <x:c r="Q174" s="9"/>
      <x:c r="R174" s="9"/>
      <x:c r="S174" s="13"/>
      <x:c r="T174" s="9"/>
      <x:c r="U174" s="9"/>
      <x:c r="V174" s="9"/>
      <x:c r="W174" s="9"/>
      <x:c r="X174" s="9"/>
      <x:c r="Y174" s="8" t="str">
        <x:v>Current</x:v>
      </x:c>
      <x:c r="Z174" s="8" t="str">
        <x:v>trunk:LC1:L5:light:-1</x:v>
      </x:c>
    </x:row>
    <x:row r="175" ht="90" customHeight="1">
      <x:c r="A175" s="8" t="str">
        <x:v>drop:LC1:L5:light:-1:L141</x:v>
      </x:c>
      <x:c r="B175" s="8" t="str">
        <x:v>L5 → Side door lantern · B · 34.725 · front</x:v>
      </x:c>
      <x:c r="C175" s="8" t="str">
        <x:v>LC1</x:v>
      </x:c>
      <x:c r="D175" s="8" t="str">
        <x:v>L141</x:v>
      </x:c>
      <x:c r="E175" s="8" t="str">
        <x:v>DB1</x:v>
      </x:c>
      <x:c r="F175" s="8" t="str">
        <x:v>L5</x:v>
      </x:c>
      <x:c r="G175" s="8" t="str">
        <x:v>light</x:v>
      </x:c>
      <x:c r="H175" s="8" t="str">
        <x:v>drop</x:v>
      </x:c>
      <x:c r="I175" s="11" t="n">
        <x:f>SUMIF('Route Points'!$A$7:$A$1910,A175,'Route Points'!$F$7:$F$1910)</x:f>
        <x:v>7.023999999999999</x:v>
      </x:c>
      <x:c r="J175" s="11"/>
      <x:c r="K175" s="11" t="str">
        <x:f>IF(L175="Full home run",I175+J175,"")</x:f>
      </x:c>
      <x:c r="L175" s="8" t="str">
        <x:v>Route segment</x:v>
      </x:c>
      <x:c r="M175" s="13"/>
      <x:c r="N175" s="11" t="str">
        <x:f>IF(OR(M175="",L175="Shared bundle"),"",IF(L175="Full home run",K175,I175)+M175)</x:f>
      </x:c>
      <x:c r="O175" s="8" t="str">
        <x:v>Cable type / conductors / cross-section / conduit: pending electrical design</x:v>
      </x:c>
      <x:c r="P175" s="8" t="str">
        <x:v>Concealed pier / wall drop, local termination</x:v>
      </x:c>
      <x:c r="Q175" s="9"/>
      <x:c r="R175" s="9"/>
      <x:c r="S175" s="13"/>
      <x:c r="T175" s="9"/>
      <x:c r="U175" s="9"/>
      <x:c r="V175" s="9"/>
      <x:c r="W175" s="9"/>
      <x:c r="X175" s="9"/>
      <x:c r="Y175" s="8" t="str">
        <x:v>Current</x:v>
      </x:c>
      <x:c r="Z175" s="8" t="str">
        <x:v>trunk:LC1:L5:light:-1</x:v>
      </x:c>
    </x:row>
    <x:row r="176" ht="90" customHeight="1">
      <x:c r="A176" s="8" t="str">
        <x:v>drop:LC1:L5:light:-1:L142</x:v>
      </x:c>
      <x:c r="B176" s="8" t="str">
        <x:v>L5 → Side door lantern · B · 34.725 · rear</x:v>
      </x:c>
      <x:c r="C176" s="8" t="str">
        <x:v>LC1</x:v>
      </x:c>
      <x:c r="D176" s="8" t="str">
        <x:v>L142</x:v>
      </x:c>
      <x:c r="E176" s="8" t="str">
        <x:v>DB1</x:v>
      </x:c>
      <x:c r="F176" s="8" t="str">
        <x:v>L5</x:v>
      </x:c>
      <x:c r="G176" s="8" t="str">
        <x:v>light</x:v>
      </x:c>
      <x:c r="H176" s="8" t="str">
        <x:v>drop</x:v>
      </x:c>
      <x:c r="I176" s="11" t="n">
        <x:f>SUMIF('Route Points'!$A$7:$A$1910,A176,'Route Points'!$F$7:$F$1910)</x:f>
        <x:v>7.023999999999999</x:v>
      </x:c>
      <x:c r="J176" s="11"/>
      <x:c r="K176" s="11" t="str">
        <x:f>IF(L176="Full home run",I176+J176,"")</x:f>
      </x:c>
      <x:c r="L176" s="8" t="str">
        <x:v>Route segment</x:v>
      </x:c>
      <x:c r="M176" s="13"/>
      <x:c r="N176" s="11" t="str">
        <x:f>IF(OR(M176="",L176="Shared bundle"),"",IF(L176="Full home run",K176,I176)+M176)</x:f>
      </x:c>
      <x:c r="O176" s="8" t="str">
        <x:v>Cable type / conductors / cross-section / conduit: pending electrical design</x:v>
      </x:c>
      <x:c r="P176" s="8" t="str">
        <x:v>Concealed pier / wall drop, local termination</x:v>
      </x:c>
      <x:c r="Q176" s="9"/>
      <x:c r="R176" s="9"/>
      <x:c r="S176" s="13"/>
      <x:c r="T176" s="9"/>
      <x:c r="U176" s="9"/>
      <x:c r="V176" s="9"/>
      <x:c r="W176" s="9"/>
      <x:c r="X176" s="9"/>
      <x:c r="Y176" s="8" t="str">
        <x:v>Current</x:v>
      </x:c>
      <x:c r="Z176" s="8" t="str">
        <x:v>trunk:LC1:L5:light:-1</x:v>
      </x:c>
    </x:row>
    <x:row r="177" ht="90" customHeight="1">
      <x:c r="A177" s="8" t="str">
        <x:v>drop:LC1:L5:light:-1:L143</x:v>
      </x:c>
      <x:c r="B177" s="8" t="str">
        <x:v>L5 → Side door lantern · B · 46.425 · front</x:v>
      </x:c>
      <x:c r="C177" s="8" t="str">
        <x:v>LC1</x:v>
      </x:c>
      <x:c r="D177" s="8" t="str">
        <x:v>L143</x:v>
      </x:c>
      <x:c r="E177" s="8" t="str">
        <x:v>DB1</x:v>
      </x:c>
      <x:c r="F177" s="8" t="str">
        <x:v>L5</x:v>
      </x:c>
      <x:c r="G177" s="8" t="str">
        <x:v>light</x:v>
      </x:c>
      <x:c r="H177" s="8" t="str">
        <x:v>drop</x:v>
      </x:c>
      <x:c r="I177" s="11" t="n">
        <x:f>SUMIF('Route Points'!$A$7:$A$1910,A177,'Route Points'!$F$7:$F$1910)</x:f>
        <x:v>7.023999999999999</x:v>
      </x:c>
      <x:c r="J177" s="11"/>
      <x:c r="K177" s="11" t="str">
        <x:f>IF(L177="Full home run",I177+J177,"")</x:f>
      </x:c>
      <x:c r="L177" s="8" t="str">
        <x:v>Route segment</x:v>
      </x:c>
      <x:c r="M177" s="13"/>
      <x:c r="N177" s="11" t="str">
        <x:f>IF(OR(M177="",L177="Shared bundle"),"",IF(L177="Full home run",K177,I177)+M177)</x:f>
      </x:c>
      <x:c r="O177" s="8" t="str">
        <x:v>Cable type / conductors / cross-section / conduit: pending electrical design</x:v>
      </x:c>
      <x:c r="P177" s="8" t="str">
        <x:v>Concealed pier / wall drop, local termination</x:v>
      </x:c>
      <x:c r="Q177" s="9"/>
      <x:c r="R177" s="9"/>
      <x:c r="S177" s="13"/>
      <x:c r="T177" s="9"/>
      <x:c r="U177" s="9"/>
      <x:c r="V177" s="9"/>
      <x:c r="W177" s="9"/>
      <x:c r="X177" s="9"/>
      <x:c r="Y177" s="8" t="str">
        <x:v>Current</x:v>
      </x:c>
      <x:c r="Z177" s="8" t="str">
        <x:v>trunk:LC1:L5:light:-1</x:v>
      </x:c>
    </x:row>
    <x:row r="178" ht="90" customHeight="1">
      <x:c r="A178" s="8" t="str">
        <x:v>drop:LC1:L5:light:-1:L144</x:v>
      </x:c>
      <x:c r="B178" s="8" t="str">
        <x:v>L5 → Side door lantern · B · 46.425 · rear</x:v>
      </x:c>
      <x:c r="C178" s="8" t="str">
        <x:v>LC1</x:v>
      </x:c>
      <x:c r="D178" s="8" t="str">
        <x:v>L144</x:v>
      </x:c>
      <x:c r="E178" s="8" t="str">
        <x:v>DB1</x:v>
      </x:c>
      <x:c r="F178" s="8" t="str">
        <x:v>L5</x:v>
      </x:c>
      <x:c r="G178" s="8" t="str">
        <x:v>light</x:v>
      </x:c>
      <x:c r="H178" s="8" t="str">
        <x:v>drop</x:v>
      </x:c>
      <x:c r="I178" s="11" t="n">
        <x:f>SUMIF('Route Points'!$A$7:$A$1910,A178,'Route Points'!$F$7:$F$1910)</x:f>
        <x:v>7.023999999999999</x:v>
      </x:c>
      <x:c r="J178" s="11"/>
      <x:c r="K178" s="11" t="str">
        <x:f>IF(L178="Full home run",I178+J178,"")</x:f>
      </x:c>
      <x:c r="L178" s="8" t="str">
        <x:v>Route segment</x:v>
      </x:c>
      <x:c r="M178" s="13"/>
      <x:c r="N178" s="11" t="str">
        <x:f>IF(OR(M178="",L178="Shared bundle"),"",IF(L178="Full home run",K178,I178)+M178)</x:f>
      </x:c>
      <x:c r="O178" s="8" t="str">
        <x:v>Cable type / conductors / cross-section / conduit: pending electrical design</x:v>
      </x:c>
      <x:c r="P178" s="8" t="str">
        <x:v>Concealed pier / wall drop, local termination</x:v>
      </x:c>
      <x:c r="Q178" s="9"/>
      <x:c r="R178" s="9"/>
      <x:c r="S178" s="13"/>
      <x:c r="T178" s="9"/>
      <x:c r="U178" s="9"/>
      <x:c r="V178" s="9"/>
      <x:c r="W178" s="9"/>
      <x:c r="X178" s="9"/>
      <x:c r="Y178" s="8" t="str">
        <x:v>Current</x:v>
      </x:c>
      <x:c r="Z178" s="8" t="str">
        <x:v>trunk:LC1:L5:light:-1</x:v>
      </x:c>
    </x:row>
    <x:row r="179" ht="90" customHeight="1">
      <x:c r="A179" s="8" t="str">
        <x:v>drop:LC1:L5:light:-1:L184</x:v>
      </x:c>
      <x:c r="B179" s="8" t="str">
        <x:v>L5 → Path light · axis 4 · B</x:v>
      </x:c>
      <x:c r="C179" s="8" t="str">
        <x:v>LC1</x:v>
      </x:c>
      <x:c r="D179" s="8" t="str">
        <x:v>L184</x:v>
      </x:c>
      <x:c r="E179" s="8" t="str">
        <x:v>DB1</x:v>
      </x:c>
      <x:c r="F179" s="8" t="str">
        <x:v>L5</x:v>
      </x:c>
      <x:c r="G179" s="8" t="str">
        <x:v>light</x:v>
      </x:c>
      <x:c r="H179" s="8" t="str">
        <x:v>drop</x:v>
      </x:c>
      <x:c r="I179" s="11" t="n">
        <x:f>SUMIF('Route Points'!$A$7:$A$1910,A179,'Route Points'!$F$7:$F$1910)</x:f>
        <x:v>3.9239999999999986</x:v>
      </x:c>
      <x:c r="J179" s="11"/>
      <x:c r="K179" s="11" t="str">
        <x:f>IF(L179="Full home run",I179+J179,"")</x:f>
      </x:c>
      <x:c r="L179" s="8" t="str">
        <x:v>Route segment</x:v>
      </x:c>
      <x:c r="M179" s="13"/>
      <x:c r="N179" s="11" t="str">
        <x:f>IF(OR(M179="",L179="Shared bundle"),"",IF(L179="Full home run",K179,I179)+M179)</x:f>
      </x:c>
      <x:c r="O179" s="8" t="str">
        <x:v>Cable type / conductors / cross-section / conduit: pending electrical design</x:v>
      </x:c>
      <x:c r="P179" s="8" t="str">
        <x:v>Concealed pier / wall drop, local termination</x:v>
      </x:c>
      <x:c r="Q179" s="9"/>
      <x:c r="R179" s="9"/>
      <x:c r="S179" s="13"/>
      <x:c r="T179" s="9"/>
      <x:c r="U179" s="9"/>
      <x:c r="V179" s="9"/>
      <x:c r="W179" s="9"/>
      <x:c r="X179" s="9"/>
      <x:c r="Y179" s="8" t="str">
        <x:v>Current</x:v>
      </x:c>
      <x:c r="Z179" s="8" t="str">
        <x:v>trunk:LC1:L5:light:-1</x:v>
      </x:c>
    </x:row>
    <x:row r="180" ht="90" customHeight="1">
      <x:c r="A180" s="8" t="str">
        <x:v>drop:LC1:L5:light:-1:L185</x:v>
      </x:c>
      <x:c r="B180" s="8" t="str">
        <x:v>L5 → Path light · axis 6 · B</x:v>
      </x:c>
      <x:c r="C180" s="8" t="str">
        <x:v>LC1</x:v>
      </x:c>
      <x:c r="D180" s="8" t="str">
        <x:v>L185</x:v>
      </x:c>
      <x:c r="E180" s="8" t="str">
        <x:v>DB1</x:v>
      </x:c>
      <x:c r="F180" s="8" t="str">
        <x:v>L5</x:v>
      </x:c>
      <x:c r="G180" s="8" t="str">
        <x:v>light</x:v>
      </x:c>
      <x:c r="H180" s="8" t="str">
        <x:v>drop</x:v>
      </x:c>
      <x:c r="I180" s="11" t="n">
        <x:f>SUMIF('Route Points'!$A$7:$A$1910,A180,'Route Points'!$F$7:$F$1910)</x:f>
        <x:v>3.9239999999999986</x:v>
      </x:c>
      <x:c r="J180" s="11"/>
      <x:c r="K180" s="11" t="str">
        <x:f>IF(L180="Full home run",I180+J180,"")</x:f>
      </x:c>
      <x:c r="L180" s="8" t="str">
        <x:v>Route segment</x:v>
      </x:c>
      <x:c r="M180" s="13"/>
      <x:c r="N180" s="11" t="str">
        <x:f>IF(OR(M180="",L180="Shared bundle"),"",IF(L180="Full home run",K180,I180)+M180)</x:f>
      </x:c>
      <x:c r="O180" s="8" t="str">
        <x:v>Cable type / conductors / cross-section / conduit: pending electrical design</x:v>
      </x:c>
      <x:c r="P180" s="8" t="str">
        <x:v>Concealed pier / wall drop, local termination</x:v>
      </x:c>
      <x:c r="Q180" s="9"/>
      <x:c r="R180" s="9"/>
      <x:c r="S180" s="13"/>
      <x:c r="T180" s="9"/>
      <x:c r="U180" s="9"/>
      <x:c r="V180" s="9"/>
      <x:c r="W180" s="9"/>
      <x:c r="X180" s="9"/>
      <x:c r="Y180" s="8" t="str">
        <x:v>Current</x:v>
      </x:c>
      <x:c r="Z180" s="8" t="str">
        <x:v>trunk:LC1:L5:light:-1</x:v>
      </x:c>
    </x:row>
    <x:row r="181" ht="90" customHeight="1">
      <x:c r="A181" s="8" t="str">
        <x:v>drop:LC1:L5:light:-1:L186</x:v>
      </x:c>
      <x:c r="B181" s="8" t="str">
        <x:v>L5 → Path light · axis 11 · B</x:v>
      </x:c>
      <x:c r="C181" s="8" t="str">
        <x:v>LC1</x:v>
      </x:c>
      <x:c r="D181" s="8" t="str">
        <x:v>L186</x:v>
      </x:c>
      <x:c r="E181" s="8" t="str">
        <x:v>DB1</x:v>
      </x:c>
      <x:c r="F181" s="8" t="str">
        <x:v>L5</x:v>
      </x:c>
      <x:c r="G181" s="8" t="str">
        <x:v>light</x:v>
      </x:c>
      <x:c r="H181" s="8" t="str">
        <x:v>drop</x:v>
      </x:c>
      <x:c r="I181" s="11" t="n">
        <x:f>SUMIF('Route Points'!$A$7:$A$1910,A181,'Route Points'!$F$7:$F$1910)</x:f>
        <x:v>3.9239999999999986</x:v>
      </x:c>
      <x:c r="J181" s="11"/>
      <x:c r="K181" s="11" t="str">
        <x:f>IF(L181="Full home run",I181+J181,"")</x:f>
      </x:c>
      <x:c r="L181" s="8" t="str">
        <x:v>Route segment</x:v>
      </x:c>
      <x:c r="M181" s="13"/>
      <x:c r="N181" s="11" t="str">
        <x:f>IF(OR(M181="",L181="Shared bundle"),"",IF(L181="Full home run",K181,I181)+M181)</x:f>
      </x:c>
      <x:c r="O181" s="8" t="str">
        <x:v>Cable type / conductors / cross-section / conduit: pending electrical design</x:v>
      </x:c>
      <x:c r="P181" s="8" t="str">
        <x:v>Concealed pier / wall drop, local termination</x:v>
      </x:c>
      <x:c r="Q181" s="9"/>
      <x:c r="R181" s="9"/>
      <x:c r="S181" s="13"/>
      <x:c r="T181" s="9"/>
      <x:c r="U181" s="9"/>
      <x:c r="V181" s="9"/>
      <x:c r="W181" s="9"/>
      <x:c r="X181" s="9"/>
      <x:c r="Y181" s="8" t="str">
        <x:v>Current</x:v>
      </x:c>
      <x:c r="Z181" s="8" t="str">
        <x:v>trunk:LC1:L5:light:-1</x:v>
      </x:c>
    </x:row>
    <x:row r="182" ht="90" customHeight="1">
      <x:c r="A182" s="8" t="str">
        <x:v>drop:LC1:L5:light:-1:L187</x:v>
      </x:c>
      <x:c r="B182" s="8" t="str">
        <x:v>L5 → Path light · wing gable B</x:v>
      </x:c>
      <x:c r="C182" s="8" t="str">
        <x:v>LC1</x:v>
      </x:c>
      <x:c r="D182" s="8" t="str">
        <x:v>L187</x:v>
      </x:c>
      <x:c r="E182" s="8" t="str">
        <x:v>DB1</x:v>
      </x:c>
      <x:c r="F182" s="8" t="str">
        <x:v>L5</x:v>
      </x:c>
      <x:c r="G182" s="8" t="str">
        <x:v>light</x:v>
      </x:c>
      <x:c r="H182" s="8" t="str">
        <x:v>drop</x:v>
      </x:c>
      <x:c r="I182" s="11" t="n">
        <x:f>SUMIF('Route Points'!$A$7:$A$1910,A182,'Route Points'!$F$7:$F$1910)</x:f>
        <x:v>0.34399999999999853</x:v>
      </x:c>
      <x:c r="J182" s="11"/>
      <x:c r="K182" s="11" t="str">
        <x:f>IF(L182="Full home run",I182+J182,"")</x:f>
      </x:c>
      <x:c r="L182" s="8" t="str">
        <x:v>Route segment</x:v>
      </x:c>
      <x:c r="M182" s="13"/>
      <x:c r="N182" s="11" t="str">
        <x:f>IF(OR(M182="",L182="Shared bundle"),"",IF(L182="Full home run",K182,I182)+M182)</x:f>
      </x:c>
      <x:c r="O182" s="8" t="str">
        <x:v>Cable type / conductors / cross-section / conduit: pending electrical design</x:v>
      </x:c>
      <x:c r="P182" s="8" t="str">
        <x:v>Concealed pier / wall drop, local termination</x:v>
      </x:c>
      <x:c r="Q182" s="9"/>
      <x:c r="R182" s="9"/>
      <x:c r="S182" s="13"/>
      <x:c r="T182" s="9"/>
      <x:c r="U182" s="9"/>
      <x:c r="V182" s="9"/>
      <x:c r="W182" s="9"/>
      <x:c r="X182" s="9"/>
      <x:c r="Y182" s="8" t="str">
        <x:v>Current</x:v>
      </x:c>
      <x:c r="Z182" s="8" t="str">
        <x:v>trunk:LC1:L5:light:-1</x:v>
      </x:c>
    </x:row>
    <x:row r="183" ht="90" customHeight="1">
      <x:c r="A183" s="8" t="str">
        <x:v>drop:LC1:L5:light:-1:L188</x:v>
      </x:c>
      <x:c r="B183" s="8" t="str">
        <x:v>L5 → Path light · rear · B</x:v>
      </x:c>
      <x:c r="C183" s="8" t="str">
        <x:v>LC1</x:v>
      </x:c>
      <x:c r="D183" s="8" t="str">
        <x:v>L188</x:v>
      </x:c>
      <x:c r="E183" s="8" t="str">
        <x:v>DB1</x:v>
      </x:c>
      <x:c r="F183" s="8" t="str">
        <x:v>L5</x:v>
      </x:c>
      <x:c r="G183" s="8" t="str">
        <x:v>light</x:v>
      </x:c>
      <x:c r="H183" s="8" t="str">
        <x:v>drop</x:v>
      </x:c>
      <x:c r="I183" s="11" t="n">
        <x:f>SUMIF('Route Points'!$A$7:$A$1910,A183,'Route Points'!$F$7:$F$1910)</x:f>
        <x:v>4.244000000000005</x:v>
      </x:c>
      <x:c r="J183" s="11"/>
      <x:c r="K183" s="11" t="str">
        <x:f>IF(L183="Full home run",I183+J183,"")</x:f>
      </x:c>
      <x:c r="L183" s="8" t="str">
        <x:v>Route segment</x:v>
      </x:c>
      <x:c r="M183" s="13"/>
      <x:c r="N183" s="11" t="str">
        <x:f>IF(OR(M183="",L183="Shared bundle"),"",IF(L183="Full home run",K183,I183)+M183)</x:f>
      </x:c>
      <x:c r="O183" s="8" t="str">
        <x:v>Cable type / conductors / cross-section / conduit: pending electrical design</x:v>
      </x:c>
      <x:c r="P183" s="8" t="str">
        <x:v>Concealed pier / wall drop, local termination</x:v>
      </x:c>
      <x:c r="Q183" s="9"/>
      <x:c r="R183" s="9"/>
      <x:c r="S183" s="13"/>
      <x:c r="T183" s="9"/>
      <x:c r="U183" s="9"/>
      <x:c r="V183" s="9"/>
      <x:c r="W183" s="9"/>
      <x:c r="X183" s="9"/>
      <x:c r="Y183" s="8" t="str">
        <x:v>Current</x:v>
      </x:c>
      <x:c r="Z183" s="8" t="str">
        <x:v>trunk:LC1:L5:light:-1</x:v>
      </x:c>
    </x:row>
    <x:row r="184" ht="155" customHeight="1">
      <x:c r="A184" s="8" t="str">
        <x:v>trunk:LC1:L5:light:1</x:v>
      </x:c>
      <x:c r="B184" s="8" t="str">
        <x:v>L5 · H · circuit trunk</x:v>
      </x:c>
      <x:c r="C184" s="8" t="str">
        <x:v>LC1</x:v>
      </x:c>
      <x:c r="D184" s="8" t="str">
        <x:v>L145
L146
L147
L148
L149
L150
L191
L192
L193
L194
L195</x:v>
      </x:c>
      <x:c r="E184" s="8" t="str">
        <x:v>DB1</x:v>
      </x:c>
      <x:c r="F184" s="8" t="str">
        <x:v>L5</x:v>
      </x:c>
      <x:c r="G184" s="8" t="str">
        <x:v>light</x:v>
      </x:c>
      <x:c r="H184" s="8" t="str">
        <x:v>trunk</x:v>
      </x:c>
      <x:c r="I184" s="11" t="n">
        <x:f>SUMIF('Route Points'!$A$7:$A$1910,A184,'Route Points'!$F$7:$F$1910)</x:f>
        <x:v>73.404</x:v>
      </x:c>
      <x:c r="J184" s="11"/>
      <x:c r="K184" s="11" t="str">
        <x:f>IF(L184="Full home run",I184+J184,"")</x:f>
      </x:c>
      <x:c r="L184" s="8" t="str">
        <x:v>Route segment</x:v>
      </x:c>
      <x:c r="M184" s="13"/>
      <x:c r="N184" s="11" t="str">
        <x:f>IF(OR(M184="",L184="Shared bundle"),"",IF(L184="Full home run",K184,I184)+M184)</x:f>
      </x:c>
      <x:c r="O184" s="8" t="str">
        <x:v>Cable type / conductors / cross-section / conduit: pending electrical design</x:v>
      </x:c>
      <x:c r="P184" s="8" t="str">
        <x:v>Concealed wall band above openings; ceiling containment at wing returns</x:v>
      </x:c>
      <x:c r="Q184" s="9"/>
      <x:c r="R184" s="9"/>
      <x:c r="S184" s="13"/>
      <x:c r="T184" s="9"/>
      <x:c r="U184" s="9"/>
      <x:c r="V184" s="9"/>
      <x:c r="W184" s="9"/>
      <x:c r="X184" s="9"/>
      <x:c r="Y184" s="8" t="str">
        <x:v>Current</x:v>
      </x:c>
      <x:c r="Z184" s="8"/>
    </x:row>
    <x:row r="185" ht="90" customHeight="1">
      <x:c r="A185" s="8" t="str">
        <x:v>drop:LC1:L5:light:1:L145</x:v>
      </x:c>
      <x:c r="B185" s="8" t="str">
        <x:v>L5 → Side door lantern · H · 16.725 · front</x:v>
      </x:c>
      <x:c r="C185" s="8" t="str">
        <x:v>LC1</x:v>
      </x:c>
      <x:c r="D185" s="8" t="str">
        <x:v>L145</x:v>
      </x:c>
      <x:c r="E185" s="8" t="str">
        <x:v>DB1</x:v>
      </x:c>
      <x:c r="F185" s="8" t="str">
        <x:v>L5</x:v>
      </x:c>
      <x:c r="G185" s="8" t="str">
        <x:v>light</x:v>
      </x:c>
      <x:c r="H185" s="8" t="str">
        <x:v>drop</x:v>
      </x:c>
      <x:c r="I185" s="11" t="n">
        <x:f>SUMIF('Route Points'!$A$7:$A$1910,A185,'Route Points'!$F$7:$F$1910)</x:f>
        <x:v>7.023999999999999</x:v>
      </x:c>
      <x:c r="J185" s="11"/>
      <x:c r="K185" s="11" t="str">
        <x:f>IF(L185="Full home run",I185+J185,"")</x:f>
      </x:c>
      <x:c r="L185" s="8" t="str">
        <x:v>Route segment</x:v>
      </x:c>
      <x:c r="M185" s="13"/>
      <x:c r="N185" s="11" t="str">
        <x:f>IF(OR(M185="",L185="Shared bundle"),"",IF(L185="Full home run",K185,I185)+M185)</x:f>
      </x:c>
      <x:c r="O185" s="8" t="str">
        <x:v>Cable type / conductors / cross-section / conduit: pending electrical design</x:v>
      </x:c>
      <x:c r="P185" s="8" t="str">
        <x:v>Concealed pier / wall drop, local termination</x:v>
      </x:c>
      <x:c r="Q185" s="9"/>
      <x:c r="R185" s="9"/>
      <x:c r="S185" s="13"/>
      <x:c r="T185" s="9"/>
      <x:c r="U185" s="9"/>
      <x:c r="V185" s="9"/>
      <x:c r="W185" s="9"/>
      <x:c r="X185" s="9"/>
      <x:c r="Y185" s="8" t="str">
        <x:v>Current</x:v>
      </x:c>
      <x:c r="Z185" s="8" t="str">
        <x:v>trunk:LC1:L5:light:1</x:v>
      </x:c>
    </x:row>
    <x:row r="186" ht="90" customHeight="1">
      <x:c r="A186" s="8" t="str">
        <x:v>drop:LC1:L5:light:1:L146</x:v>
      </x:c>
      <x:c r="B186" s="8" t="str">
        <x:v>L5 → Side door lantern · H · 16.725 · rear</x:v>
      </x:c>
      <x:c r="C186" s="8" t="str">
        <x:v>LC1</x:v>
      </x:c>
      <x:c r="D186" s="8" t="str">
        <x:v>L146</x:v>
      </x:c>
      <x:c r="E186" s="8" t="str">
        <x:v>DB1</x:v>
      </x:c>
      <x:c r="F186" s="8" t="str">
        <x:v>L5</x:v>
      </x:c>
      <x:c r="G186" s="8" t="str">
        <x:v>light</x:v>
      </x:c>
      <x:c r="H186" s="8" t="str">
        <x:v>drop</x:v>
      </x:c>
      <x:c r="I186" s="11" t="n">
        <x:f>SUMIF('Route Points'!$A$7:$A$1910,A186,'Route Points'!$F$7:$F$1910)</x:f>
        <x:v>7.023999999999999</x:v>
      </x:c>
      <x:c r="J186" s="11"/>
      <x:c r="K186" s="11" t="str">
        <x:f>IF(L186="Full home run",I186+J186,"")</x:f>
      </x:c>
      <x:c r="L186" s="8" t="str">
        <x:v>Route segment</x:v>
      </x:c>
      <x:c r="M186" s="13"/>
      <x:c r="N186" s="11" t="str">
        <x:f>IF(OR(M186="",L186="Shared bundle"),"",IF(L186="Full home run",K186,I186)+M186)</x:f>
      </x:c>
      <x:c r="O186" s="8" t="str">
        <x:v>Cable type / conductors / cross-section / conduit: pending electrical design</x:v>
      </x:c>
      <x:c r="P186" s="8" t="str">
        <x:v>Concealed pier / wall drop, local termination</x:v>
      </x:c>
      <x:c r="Q186" s="9"/>
      <x:c r="R186" s="9"/>
      <x:c r="S186" s="13"/>
      <x:c r="T186" s="9"/>
      <x:c r="U186" s="9"/>
      <x:c r="V186" s="9"/>
      <x:c r="W186" s="9"/>
      <x:c r="X186" s="9"/>
      <x:c r="Y186" s="8" t="str">
        <x:v>Current</x:v>
      </x:c>
      <x:c r="Z186" s="8" t="str">
        <x:v>trunk:LC1:L5:light:1</x:v>
      </x:c>
    </x:row>
    <x:row r="187" ht="90" customHeight="1">
      <x:c r="A187" s="8" t="str">
        <x:v>drop:LC1:L5:light:1:L147</x:v>
      </x:c>
      <x:c r="B187" s="8" t="str">
        <x:v>L5 → Side door lantern · H · 34.725 · front</x:v>
      </x:c>
      <x:c r="C187" s="8" t="str">
        <x:v>LC1</x:v>
      </x:c>
      <x:c r="D187" s="8" t="str">
        <x:v>L147</x:v>
      </x:c>
      <x:c r="E187" s="8" t="str">
        <x:v>DB1</x:v>
      </x:c>
      <x:c r="F187" s="8" t="str">
        <x:v>L5</x:v>
      </x:c>
      <x:c r="G187" s="8" t="str">
        <x:v>light</x:v>
      </x:c>
      <x:c r="H187" s="8" t="str">
        <x:v>drop</x:v>
      </x:c>
      <x:c r="I187" s="11" t="n">
        <x:f>SUMIF('Route Points'!$A$7:$A$1910,A187,'Route Points'!$F$7:$F$1910)</x:f>
        <x:v>7.023999999999999</x:v>
      </x:c>
      <x:c r="J187" s="11"/>
      <x:c r="K187" s="11" t="str">
        <x:f>IF(L187="Full home run",I187+J187,"")</x:f>
      </x:c>
      <x:c r="L187" s="8" t="str">
        <x:v>Route segment</x:v>
      </x:c>
      <x:c r="M187" s="13"/>
      <x:c r="N187" s="11" t="str">
        <x:f>IF(OR(M187="",L187="Shared bundle"),"",IF(L187="Full home run",K187,I187)+M187)</x:f>
      </x:c>
      <x:c r="O187" s="8" t="str">
        <x:v>Cable type / conductors / cross-section / conduit: pending electrical design</x:v>
      </x:c>
      <x:c r="P187" s="8" t="str">
        <x:v>Concealed pier / wall drop, local termination</x:v>
      </x:c>
      <x:c r="Q187" s="9"/>
      <x:c r="R187" s="9"/>
      <x:c r="S187" s="13"/>
      <x:c r="T187" s="9"/>
      <x:c r="U187" s="9"/>
      <x:c r="V187" s="9"/>
      <x:c r="W187" s="9"/>
      <x:c r="X187" s="9"/>
      <x:c r="Y187" s="8" t="str">
        <x:v>Current</x:v>
      </x:c>
      <x:c r="Z187" s="8" t="str">
        <x:v>trunk:LC1:L5:light:1</x:v>
      </x:c>
    </x:row>
    <x:row r="188" ht="90" customHeight="1">
      <x:c r="A188" s="8" t="str">
        <x:v>drop:LC1:L5:light:1:L148</x:v>
      </x:c>
      <x:c r="B188" s="8" t="str">
        <x:v>L5 → Side door lantern · H · 34.725 · rear</x:v>
      </x:c>
      <x:c r="C188" s="8" t="str">
        <x:v>LC1</x:v>
      </x:c>
      <x:c r="D188" s="8" t="str">
        <x:v>L148</x:v>
      </x:c>
      <x:c r="E188" s="8" t="str">
        <x:v>DB1</x:v>
      </x:c>
      <x:c r="F188" s="8" t="str">
        <x:v>L5</x:v>
      </x:c>
      <x:c r="G188" s="8" t="str">
        <x:v>light</x:v>
      </x:c>
      <x:c r="H188" s="8" t="str">
        <x:v>drop</x:v>
      </x:c>
      <x:c r="I188" s="11" t="n">
        <x:f>SUMIF('Route Points'!$A$7:$A$1910,A188,'Route Points'!$F$7:$F$1910)</x:f>
        <x:v>7.023999999999999</x:v>
      </x:c>
      <x:c r="J188" s="11"/>
      <x:c r="K188" s="11" t="str">
        <x:f>IF(L188="Full home run",I188+J188,"")</x:f>
      </x:c>
      <x:c r="L188" s="8" t="str">
        <x:v>Route segment</x:v>
      </x:c>
      <x:c r="M188" s="13"/>
      <x:c r="N188" s="11" t="str">
        <x:f>IF(OR(M188="",L188="Shared bundle"),"",IF(L188="Full home run",K188,I188)+M188)</x:f>
      </x:c>
      <x:c r="O188" s="8" t="str">
        <x:v>Cable type / conductors / cross-section / conduit: pending electrical design</x:v>
      </x:c>
      <x:c r="P188" s="8" t="str">
        <x:v>Concealed pier / wall drop, local termination</x:v>
      </x:c>
      <x:c r="Q188" s="9"/>
      <x:c r="R188" s="9"/>
      <x:c r="S188" s="13"/>
      <x:c r="T188" s="9"/>
      <x:c r="U188" s="9"/>
      <x:c r="V188" s="9"/>
      <x:c r="W188" s="9"/>
      <x:c r="X188" s="9"/>
      <x:c r="Y188" s="8" t="str">
        <x:v>Current</x:v>
      </x:c>
      <x:c r="Z188" s="8" t="str">
        <x:v>trunk:LC1:L5:light:1</x:v>
      </x:c>
    </x:row>
    <x:row r="189" ht="90" customHeight="1">
      <x:c r="A189" s="8" t="str">
        <x:v>drop:LC1:L5:light:1:L149</x:v>
      </x:c>
      <x:c r="B189" s="8" t="str">
        <x:v>L5 → Side door lantern · H · 46.425 · front</x:v>
      </x:c>
      <x:c r="C189" s="8" t="str">
        <x:v>LC1</x:v>
      </x:c>
      <x:c r="D189" s="8" t="str">
        <x:v>L149</x:v>
      </x:c>
      <x:c r="E189" s="8" t="str">
        <x:v>DB1</x:v>
      </x:c>
      <x:c r="F189" s="8" t="str">
        <x:v>L5</x:v>
      </x:c>
      <x:c r="G189" s="8" t="str">
        <x:v>light</x:v>
      </x:c>
      <x:c r="H189" s="8" t="str">
        <x:v>drop</x:v>
      </x:c>
      <x:c r="I189" s="11" t="n">
        <x:f>SUMIF('Route Points'!$A$7:$A$1910,A189,'Route Points'!$F$7:$F$1910)</x:f>
        <x:v>7.023999999999999</x:v>
      </x:c>
      <x:c r="J189" s="11"/>
      <x:c r="K189" s="11" t="str">
        <x:f>IF(L189="Full home run",I189+J189,"")</x:f>
      </x:c>
      <x:c r="L189" s="8" t="str">
        <x:v>Route segment</x:v>
      </x:c>
      <x:c r="M189" s="13"/>
      <x:c r="N189" s="11" t="str">
        <x:f>IF(OR(M189="",L189="Shared bundle"),"",IF(L189="Full home run",K189,I189)+M189)</x:f>
      </x:c>
      <x:c r="O189" s="8" t="str">
        <x:v>Cable type / conductors / cross-section / conduit: pending electrical design</x:v>
      </x:c>
      <x:c r="P189" s="8" t="str">
        <x:v>Concealed pier / wall drop, local termination</x:v>
      </x:c>
      <x:c r="Q189" s="9"/>
      <x:c r="R189" s="9"/>
      <x:c r="S189" s="13"/>
      <x:c r="T189" s="9"/>
      <x:c r="U189" s="9"/>
      <x:c r="V189" s="9"/>
      <x:c r="W189" s="9"/>
      <x:c r="X189" s="9"/>
      <x:c r="Y189" s="8" t="str">
        <x:v>Current</x:v>
      </x:c>
      <x:c r="Z189" s="8" t="str">
        <x:v>trunk:LC1:L5:light:1</x:v>
      </x:c>
    </x:row>
    <x:row r="190" ht="90" customHeight="1">
      <x:c r="A190" s="8" t="str">
        <x:v>drop:LC1:L5:light:1:L150</x:v>
      </x:c>
      <x:c r="B190" s="8" t="str">
        <x:v>L5 → Side door lantern · H · 46.425 · rear</x:v>
      </x:c>
      <x:c r="C190" s="8" t="str">
        <x:v>LC1</x:v>
      </x:c>
      <x:c r="D190" s="8" t="str">
        <x:v>L150</x:v>
      </x:c>
      <x:c r="E190" s="8" t="str">
        <x:v>DB1</x:v>
      </x:c>
      <x:c r="F190" s="8" t="str">
        <x:v>L5</x:v>
      </x:c>
      <x:c r="G190" s="8" t="str">
        <x:v>light</x:v>
      </x:c>
      <x:c r="H190" s="8" t="str">
        <x:v>drop</x:v>
      </x:c>
      <x:c r="I190" s="11" t="n">
        <x:f>SUMIF('Route Points'!$A$7:$A$1910,A190,'Route Points'!$F$7:$F$1910)</x:f>
        <x:v>7.023999999999999</x:v>
      </x:c>
      <x:c r="J190" s="11"/>
      <x:c r="K190" s="11" t="str">
        <x:f>IF(L190="Full home run",I190+J190,"")</x:f>
      </x:c>
      <x:c r="L190" s="8" t="str">
        <x:v>Route segment</x:v>
      </x:c>
      <x:c r="M190" s="13"/>
      <x:c r="N190" s="11" t="str">
        <x:f>IF(OR(M190="",L190="Shared bundle"),"",IF(L190="Full home run",K190,I190)+M190)</x:f>
      </x:c>
      <x:c r="O190" s="8" t="str">
        <x:v>Cable type / conductors / cross-section / conduit: pending electrical design</x:v>
      </x:c>
      <x:c r="P190" s="8" t="str">
        <x:v>Concealed pier / wall drop, local termination</x:v>
      </x:c>
      <x:c r="Q190" s="9"/>
      <x:c r="R190" s="9"/>
      <x:c r="S190" s="13"/>
      <x:c r="T190" s="9"/>
      <x:c r="U190" s="9"/>
      <x:c r="V190" s="9"/>
      <x:c r="W190" s="9"/>
      <x:c r="X190" s="9"/>
      <x:c r="Y190" s="8" t="str">
        <x:v>Current</x:v>
      </x:c>
      <x:c r="Z190" s="8" t="str">
        <x:v>trunk:LC1:L5:light:1</x:v>
      </x:c>
    </x:row>
    <x:row r="191" ht="90" customHeight="1">
      <x:c r="A191" s="8" t="str">
        <x:v>drop:LC1:L5:light:1:L191</x:v>
      </x:c>
      <x:c r="B191" s="8" t="str">
        <x:v>L5 → Path light · axis 4 · H</x:v>
      </x:c>
      <x:c r="C191" s="8" t="str">
        <x:v>LC1</x:v>
      </x:c>
      <x:c r="D191" s="8" t="str">
        <x:v>L191</x:v>
      </x:c>
      <x:c r="E191" s="8" t="str">
        <x:v>DB1</x:v>
      </x:c>
      <x:c r="F191" s="8" t="str">
        <x:v>L5</x:v>
      </x:c>
      <x:c r="G191" s="8" t="str">
        <x:v>light</x:v>
      </x:c>
      <x:c r="H191" s="8" t="str">
        <x:v>drop</x:v>
      </x:c>
      <x:c r="I191" s="11" t="n">
        <x:f>SUMIF('Route Points'!$A$7:$A$1910,A191,'Route Points'!$F$7:$F$1910)</x:f>
        <x:v>3.9239999999999986</x:v>
      </x:c>
      <x:c r="J191" s="11"/>
      <x:c r="K191" s="11" t="str">
        <x:f>IF(L191="Full home run",I191+J191,"")</x:f>
      </x:c>
      <x:c r="L191" s="8" t="str">
        <x:v>Route segment</x:v>
      </x:c>
      <x:c r="M191" s="13"/>
      <x:c r="N191" s="11" t="str">
        <x:f>IF(OR(M191="",L191="Shared bundle"),"",IF(L191="Full home run",K191,I191)+M191)</x:f>
      </x:c>
      <x:c r="O191" s="8" t="str">
        <x:v>Cable type / conductors / cross-section / conduit: pending electrical design</x:v>
      </x:c>
      <x:c r="P191" s="8" t="str">
        <x:v>Concealed pier / wall drop, local termination</x:v>
      </x:c>
      <x:c r="Q191" s="9"/>
      <x:c r="R191" s="9"/>
      <x:c r="S191" s="13"/>
      <x:c r="T191" s="9"/>
      <x:c r="U191" s="9"/>
      <x:c r="V191" s="9"/>
      <x:c r="W191" s="9"/>
      <x:c r="X191" s="9"/>
      <x:c r="Y191" s="8" t="str">
        <x:v>Current</x:v>
      </x:c>
      <x:c r="Z191" s="8" t="str">
        <x:v>trunk:LC1:L5:light:1</x:v>
      </x:c>
    </x:row>
    <x:row r="192" ht="90" customHeight="1">
      <x:c r="A192" s="8" t="str">
        <x:v>drop:LC1:L5:light:1:L192</x:v>
      </x:c>
      <x:c r="B192" s="8" t="str">
        <x:v>L5 → Path light · axis 6 · H</x:v>
      </x:c>
      <x:c r="C192" s="8" t="str">
        <x:v>LC1</x:v>
      </x:c>
      <x:c r="D192" s="8" t="str">
        <x:v>L192</x:v>
      </x:c>
      <x:c r="E192" s="8" t="str">
        <x:v>DB1</x:v>
      </x:c>
      <x:c r="F192" s="8" t="str">
        <x:v>L5</x:v>
      </x:c>
      <x:c r="G192" s="8" t="str">
        <x:v>light</x:v>
      </x:c>
      <x:c r="H192" s="8" t="str">
        <x:v>drop</x:v>
      </x:c>
      <x:c r="I192" s="11" t="n">
        <x:f>SUMIF('Route Points'!$A$7:$A$1910,A192,'Route Points'!$F$7:$F$1910)</x:f>
        <x:v>3.9239999999999986</x:v>
      </x:c>
      <x:c r="J192" s="11"/>
      <x:c r="K192" s="11" t="str">
        <x:f>IF(L192="Full home run",I192+J192,"")</x:f>
      </x:c>
      <x:c r="L192" s="8" t="str">
        <x:v>Route segment</x:v>
      </x:c>
      <x:c r="M192" s="13"/>
      <x:c r="N192" s="11" t="str">
        <x:f>IF(OR(M192="",L192="Shared bundle"),"",IF(L192="Full home run",K192,I192)+M192)</x:f>
      </x:c>
      <x:c r="O192" s="8" t="str">
        <x:v>Cable type / conductors / cross-section / conduit: pending electrical design</x:v>
      </x:c>
      <x:c r="P192" s="8" t="str">
        <x:v>Concealed pier / wall drop, local termination</x:v>
      </x:c>
      <x:c r="Q192" s="9"/>
      <x:c r="R192" s="9"/>
      <x:c r="S192" s="13"/>
      <x:c r="T192" s="9"/>
      <x:c r="U192" s="9"/>
      <x:c r="V192" s="9"/>
      <x:c r="W192" s="9"/>
      <x:c r="X192" s="9"/>
      <x:c r="Y192" s="8" t="str">
        <x:v>Current</x:v>
      </x:c>
      <x:c r="Z192" s="8" t="str">
        <x:v>trunk:LC1:L5:light:1</x:v>
      </x:c>
    </x:row>
    <x:row r="193" ht="90" customHeight="1">
      <x:c r="A193" s="8" t="str">
        <x:v>drop:LC1:L5:light:1:L193</x:v>
      </x:c>
      <x:c r="B193" s="8" t="str">
        <x:v>L5 → Path light · axis 11 · H</x:v>
      </x:c>
      <x:c r="C193" s="8" t="str">
        <x:v>LC1</x:v>
      </x:c>
      <x:c r="D193" s="8" t="str">
        <x:v>L193</x:v>
      </x:c>
      <x:c r="E193" s="8" t="str">
        <x:v>DB1</x:v>
      </x:c>
      <x:c r="F193" s="8" t="str">
        <x:v>L5</x:v>
      </x:c>
      <x:c r="G193" s="8" t="str">
        <x:v>light</x:v>
      </x:c>
      <x:c r="H193" s="8" t="str">
        <x:v>drop</x:v>
      </x:c>
      <x:c r="I193" s="11" t="n">
        <x:f>SUMIF('Route Points'!$A$7:$A$1910,A193,'Route Points'!$F$7:$F$1910)</x:f>
        <x:v>3.9239999999999986</x:v>
      </x:c>
      <x:c r="J193" s="11"/>
      <x:c r="K193" s="11" t="str">
        <x:f>IF(L193="Full home run",I193+J193,"")</x:f>
      </x:c>
      <x:c r="L193" s="8" t="str">
        <x:v>Route segment</x:v>
      </x:c>
      <x:c r="M193" s="13"/>
      <x:c r="N193" s="11" t="str">
        <x:f>IF(OR(M193="",L193="Shared bundle"),"",IF(L193="Full home run",K193,I193)+M193)</x:f>
      </x:c>
      <x:c r="O193" s="8" t="str">
        <x:v>Cable type / conductors / cross-section / conduit: pending electrical design</x:v>
      </x:c>
      <x:c r="P193" s="8" t="str">
        <x:v>Concealed pier / wall drop, local termination</x:v>
      </x:c>
      <x:c r="Q193" s="9"/>
      <x:c r="R193" s="9"/>
      <x:c r="S193" s="13"/>
      <x:c r="T193" s="9"/>
      <x:c r="U193" s="9"/>
      <x:c r="V193" s="9"/>
      <x:c r="W193" s="9"/>
      <x:c r="X193" s="9"/>
      <x:c r="Y193" s="8" t="str">
        <x:v>Current</x:v>
      </x:c>
      <x:c r="Z193" s="8" t="str">
        <x:v>trunk:LC1:L5:light:1</x:v>
      </x:c>
    </x:row>
    <x:row r="194" ht="90" customHeight="1">
      <x:c r="A194" s="8" t="str">
        <x:v>drop:LC1:L5:light:1:L194</x:v>
      </x:c>
      <x:c r="B194" s="8" t="str">
        <x:v>L5 → Path light · wing gable H</x:v>
      </x:c>
      <x:c r="C194" s="8" t="str">
        <x:v>LC1</x:v>
      </x:c>
      <x:c r="D194" s="8" t="str">
        <x:v>L194</x:v>
      </x:c>
      <x:c r="E194" s="8" t="str">
        <x:v>DB1</x:v>
      </x:c>
      <x:c r="F194" s="8" t="str">
        <x:v>L5</x:v>
      </x:c>
      <x:c r="G194" s="8" t="str">
        <x:v>light</x:v>
      </x:c>
      <x:c r="H194" s="8" t="str">
        <x:v>drop</x:v>
      </x:c>
      <x:c r="I194" s="11" t="n">
        <x:f>SUMIF('Route Points'!$A$7:$A$1910,A194,'Route Points'!$F$7:$F$1910)</x:f>
        <x:v>0.34399999999999853</x:v>
      </x:c>
      <x:c r="J194" s="11"/>
      <x:c r="K194" s="11" t="str">
        <x:f>IF(L194="Full home run",I194+J194,"")</x:f>
      </x:c>
      <x:c r="L194" s="8" t="str">
        <x:v>Route segment</x:v>
      </x:c>
      <x:c r="M194" s="13"/>
      <x:c r="N194" s="11" t="str">
        <x:f>IF(OR(M194="",L194="Shared bundle"),"",IF(L194="Full home run",K194,I194)+M194)</x:f>
      </x:c>
      <x:c r="O194" s="8" t="str">
        <x:v>Cable type / conductors / cross-section / conduit: pending electrical design</x:v>
      </x:c>
      <x:c r="P194" s="8" t="str">
        <x:v>Concealed pier / wall drop, local termination</x:v>
      </x:c>
      <x:c r="Q194" s="9"/>
      <x:c r="R194" s="9"/>
      <x:c r="S194" s="13"/>
      <x:c r="T194" s="9"/>
      <x:c r="U194" s="9"/>
      <x:c r="V194" s="9"/>
      <x:c r="W194" s="9"/>
      <x:c r="X194" s="9"/>
      <x:c r="Y194" s="8" t="str">
        <x:v>Current</x:v>
      </x:c>
      <x:c r="Z194" s="8" t="str">
        <x:v>trunk:LC1:L5:light:1</x:v>
      </x:c>
    </x:row>
    <x:row r="195" ht="90" customHeight="1">
      <x:c r="A195" s="8" t="str">
        <x:v>drop:LC1:L5:light:1:L195</x:v>
      </x:c>
      <x:c r="B195" s="8" t="str">
        <x:v>L5 → Path light · rear · H</x:v>
      </x:c>
      <x:c r="C195" s="8" t="str">
        <x:v>LC1</x:v>
      </x:c>
      <x:c r="D195" s="8" t="str">
        <x:v>L195</x:v>
      </x:c>
      <x:c r="E195" s="8" t="str">
        <x:v>DB1</x:v>
      </x:c>
      <x:c r="F195" s="8" t="str">
        <x:v>L5</x:v>
      </x:c>
      <x:c r="G195" s="8" t="str">
        <x:v>light</x:v>
      </x:c>
      <x:c r="H195" s="8" t="str">
        <x:v>drop</x:v>
      </x:c>
      <x:c r="I195" s="11" t="n">
        <x:f>SUMIF('Route Points'!$A$7:$A$1910,A195,'Route Points'!$F$7:$F$1910)</x:f>
        <x:v>4.244000000000005</x:v>
      </x:c>
      <x:c r="J195" s="11"/>
      <x:c r="K195" s="11" t="str">
        <x:f>IF(L195="Full home run",I195+J195,"")</x:f>
      </x:c>
      <x:c r="L195" s="8" t="str">
        <x:v>Route segment</x:v>
      </x:c>
      <x:c r="M195" s="13"/>
      <x:c r="N195" s="11" t="str">
        <x:f>IF(OR(M195="",L195="Shared bundle"),"",IF(L195="Full home run",K195,I195)+M195)</x:f>
      </x:c>
      <x:c r="O195" s="8" t="str">
        <x:v>Cable type / conductors / cross-section / conduit: pending electrical design</x:v>
      </x:c>
      <x:c r="P195" s="8" t="str">
        <x:v>Concealed pier / wall drop, local termination</x:v>
      </x:c>
      <x:c r="Q195" s="9"/>
      <x:c r="R195" s="9"/>
      <x:c r="S195" s="13"/>
      <x:c r="T195" s="9"/>
      <x:c r="U195" s="9"/>
      <x:c r="V195" s="9"/>
      <x:c r="W195" s="9"/>
      <x:c r="X195" s="9"/>
      <x:c r="Y195" s="8" t="str">
        <x:v>Current</x:v>
      </x:c>
      <x:c r="Z195" s="8" t="str">
        <x:v>trunk:LC1:L5:light:1</x:v>
      </x:c>
    </x:row>
    <x:row r="196" ht="90" customHeight="1">
      <x:c r="A196" s="8" t="str">
        <x:v>trunk:LC1:E1:light:-1</x:v>
      </x:c>
      <x:c r="B196" s="8" t="str">
        <x:v>E1 · B · circuit trunk</x:v>
      </x:c>
      <x:c r="C196" s="8" t="str">
        <x:v>LC1</x:v>
      </x:c>
      <x:c r="D196" s="8" t="str">
        <x:v>L155
L156
L158</x:v>
      </x:c>
      <x:c r="E196" s="8" t="str">
        <x:v>DB1</x:v>
      </x:c>
      <x:c r="F196" s="8" t="str">
        <x:v>E1</x:v>
      </x:c>
      <x:c r="G196" s="8" t="str">
        <x:v>light</x:v>
      </x:c>
      <x:c r="H196" s="8" t="str">
        <x:v>trunk</x:v>
      </x:c>
      <x:c r="I196" s="11" t="n">
        <x:f>SUMIF('Route Points'!$A$7:$A$1910,A196,'Route Points'!$F$7:$F$1910)</x:f>
        <x:v>78.099</x:v>
      </x:c>
      <x:c r="J196" s="11"/>
      <x:c r="K196" s="11" t="str">
        <x:f>IF(L196="Full home run",I196+J196,"")</x:f>
      </x:c>
      <x:c r="L196" s="8" t="str">
        <x:v>Route segment</x:v>
      </x:c>
      <x:c r="M196" s="13"/>
      <x:c r="N196" s="11" t="str">
        <x:f>IF(OR(M196="",L196="Shared bundle"),"",IF(L196="Full home run",K196,I196)+M196)</x:f>
      </x:c>
      <x:c r="O196" s="8" t="str">
        <x:v>Cable type / conductors / cross-section / conduit: pending electrical design</x:v>
      </x:c>
      <x:c r="P196" s="8" t="str">
        <x:v>Concealed wall band above openings; ceiling containment at wing returns</x:v>
      </x:c>
      <x:c r="Q196" s="9"/>
      <x:c r="R196" s="9"/>
      <x:c r="S196" s="13"/>
      <x:c r="T196" s="9"/>
      <x:c r="U196" s="9"/>
      <x:c r="V196" s="9"/>
      <x:c r="W196" s="9"/>
      <x:c r="X196" s="9"/>
      <x:c r="Y196" s="8" t="str">
        <x:v>Current</x:v>
      </x:c>
      <x:c r="Z196" s="8"/>
    </x:row>
    <x:row r="197" ht="90" customHeight="1">
      <x:c r="A197" s="8" t="str">
        <x:v>drop:LC1:E1:light:-1:L155</x:v>
      </x:c>
      <x:c r="B197" s="8" t="str">
        <x:v>E1 → Exit sign · main doors</x:v>
      </x:c>
      <x:c r="C197" s="8" t="str">
        <x:v>LC1</x:v>
      </x:c>
      <x:c r="D197" s="8" t="str">
        <x:v>L155</x:v>
      </x:c>
      <x:c r="E197" s="8" t="str">
        <x:v>DB1</x:v>
      </x:c>
      <x:c r="F197" s="8" t="str">
        <x:v>E1</x:v>
      </x:c>
      <x:c r="G197" s="8" t="str">
        <x:v>light</x:v>
      </x:c>
      <x:c r="H197" s="8" t="str">
        <x:v>drop</x:v>
      </x:c>
      <x:c r="I197" s="11" t="n">
        <x:f>SUMIF('Route Points'!$A$7:$A$1910,A197,'Route Points'!$F$7:$F$1910)</x:f>
        <x:v>9.544616393605967</x:v>
      </x:c>
      <x:c r="J197" s="11"/>
      <x:c r="K197" s="11" t="str">
        <x:f>IF(L197="Full home run",I197+J197,"")</x:f>
      </x:c>
      <x:c r="L197" s="8" t="str">
        <x:v>Route segment</x:v>
      </x:c>
      <x:c r="M197" s="13"/>
      <x:c r="N197" s="11" t="str">
        <x:f>IF(OR(M197="",L197="Shared bundle"),"",IF(L197="Full home run",K197,I197)+M197)</x:f>
      </x:c>
      <x:c r="O197" s="8" t="str">
        <x:v>Cable type / conductors / cross-section / conduit: pending electrical design</x:v>
      </x:c>
      <x:c r="P197" s="8" t="str">
        <x:v>Concealed pier / wall drop, local termination</x:v>
      </x:c>
      <x:c r="Q197" s="9"/>
      <x:c r="R197" s="9"/>
      <x:c r="S197" s="13"/>
      <x:c r="T197" s="9"/>
      <x:c r="U197" s="9"/>
      <x:c r="V197" s="9"/>
      <x:c r="W197" s="9"/>
      <x:c r="X197" s="9"/>
      <x:c r="Y197" s="8" t="str">
        <x:v>Current</x:v>
      </x:c>
      <x:c r="Z197" s="8" t="str">
        <x:v>trunk:LC1:E1:light:-1</x:v>
      </x:c>
    </x:row>
    <x:row r="198" ht="90" customHeight="1">
      <x:c r="A198" s="8" t="str">
        <x:v>drop:LC1:E1:light:-1:L156</x:v>
      </x:c>
      <x:c r="B198" s="8" t="str">
        <x:v>E1 → Exit sign · side door 16.7 · B</x:v>
      </x:c>
      <x:c r="C198" s="8" t="str">
        <x:v>LC1</x:v>
      </x:c>
      <x:c r="D198" s="8" t="str">
        <x:v>L156</x:v>
      </x:c>
      <x:c r="E198" s="8" t="str">
        <x:v>DB1</x:v>
      </x:c>
      <x:c r="F198" s="8" t="str">
        <x:v>E1</x:v>
      </x:c>
      <x:c r="G198" s="8" t="str">
        <x:v>light</x:v>
      </x:c>
      <x:c r="H198" s="8" t="str">
        <x:v>drop</x:v>
      </x:c>
      <x:c r="I198" s="11" t="n">
        <x:f>SUMIF('Route Points'!$A$7:$A$1910,A198,'Route Points'!$F$7:$F$1910)</x:f>
        <x:v>2.019</x:v>
      </x:c>
      <x:c r="J198" s="11"/>
      <x:c r="K198" s="11" t="str">
        <x:f>IF(L198="Full home run",I198+J198,"")</x:f>
      </x:c>
      <x:c r="L198" s="8" t="str">
        <x:v>Route segment</x:v>
      </x:c>
      <x:c r="M198" s="13"/>
      <x:c r="N198" s="11" t="str">
        <x:f>IF(OR(M198="",L198="Shared bundle"),"",IF(L198="Full home run",K198,I198)+M198)</x:f>
      </x:c>
      <x:c r="O198" s="8" t="str">
        <x:v>Cable type / conductors / cross-section / conduit: pending electrical design</x:v>
      </x:c>
      <x:c r="P198" s="8" t="str">
        <x:v>Concealed pier / wall drop, local termination</x:v>
      </x:c>
      <x:c r="Q198" s="9"/>
      <x:c r="R198" s="9"/>
      <x:c r="S198" s="13"/>
      <x:c r="T198" s="9"/>
      <x:c r="U198" s="9"/>
      <x:c r="V198" s="9"/>
      <x:c r="W198" s="9"/>
      <x:c r="X198" s="9"/>
      <x:c r="Y198" s="8" t="str">
        <x:v>Current</x:v>
      </x:c>
      <x:c r="Z198" s="8" t="str">
        <x:v>trunk:LC1:E1:light:-1</x:v>
      </x:c>
    </x:row>
    <x:row r="199" ht="90" customHeight="1">
      <x:c r="A199" s="8" t="str">
        <x:v>drop:LC1:E1:light:-1:L158</x:v>
      </x:c>
      <x:c r="B199" s="8" t="str">
        <x:v>E1 → Exit sign · side door 34.7 · B</x:v>
      </x:c>
      <x:c r="C199" s="8" t="str">
        <x:v>LC1</x:v>
      </x:c>
      <x:c r="D199" s="8" t="str">
        <x:v>L158</x:v>
      </x:c>
      <x:c r="E199" s="8" t="str">
        <x:v>DB1</x:v>
      </x:c>
      <x:c r="F199" s="8" t="str">
        <x:v>E1</x:v>
      </x:c>
      <x:c r="G199" s="8" t="str">
        <x:v>light</x:v>
      </x:c>
      <x:c r="H199" s="8" t="str">
        <x:v>drop</x:v>
      </x:c>
      <x:c r="I199" s="11" t="n">
        <x:f>SUMIF('Route Points'!$A$7:$A$1910,A199,'Route Points'!$F$7:$F$1910)</x:f>
        <x:v>2.019</x:v>
      </x:c>
      <x:c r="J199" s="11"/>
      <x:c r="K199" s="11" t="str">
        <x:f>IF(L199="Full home run",I199+J199,"")</x:f>
      </x:c>
      <x:c r="L199" s="8" t="str">
        <x:v>Route segment</x:v>
      </x:c>
      <x:c r="M199" s="13"/>
      <x:c r="N199" s="11" t="str">
        <x:f>IF(OR(M199="",L199="Shared bundle"),"",IF(L199="Full home run",K199,I199)+M199)</x:f>
      </x:c>
      <x:c r="O199" s="8" t="str">
        <x:v>Cable type / conductors / cross-section / conduit: pending electrical design</x:v>
      </x:c>
      <x:c r="P199" s="8" t="str">
        <x:v>Concealed pier / wall drop, local termination</x:v>
      </x:c>
      <x:c r="Q199" s="9"/>
      <x:c r="R199" s="9"/>
      <x:c r="S199" s="13"/>
      <x:c r="T199" s="9"/>
      <x:c r="U199" s="9"/>
      <x:c r="V199" s="9"/>
      <x:c r="W199" s="9"/>
      <x:c r="X199" s="9"/>
      <x:c r="Y199" s="8" t="str">
        <x:v>Current</x:v>
      </x:c>
      <x:c r="Z199" s="8" t="str">
        <x:v>trunk:LC1:E1:light:-1</x:v>
      </x:c>
    </x:row>
    <x:row r="200" ht="90" customHeight="1">
      <x:c r="A200" s="8" t="str">
        <x:v>trunk:LC1:E1:light:1</x:v>
      </x:c>
      <x:c r="B200" s="8" t="str">
        <x:v>E1 · H · circuit trunk</x:v>
      </x:c>
      <x:c r="C200" s="8" t="str">
        <x:v>LC1</x:v>
      </x:c>
      <x:c r="D200" s="8" t="str">
        <x:v>L157
L159</x:v>
      </x:c>
      <x:c r="E200" s="8" t="str">
        <x:v>DB1</x:v>
      </x:c>
      <x:c r="F200" s="8" t="str">
        <x:v>E1</x:v>
      </x:c>
      <x:c r="G200" s="8" t="str">
        <x:v>light</x:v>
      </x:c>
      <x:c r="H200" s="8" t="str">
        <x:v>trunk</x:v>
      </x:c>
      <x:c r="I200" s="11" t="n">
        <x:f>SUMIF('Route Points'!$A$7:$A$1910,A200,'Route Points'!$F$7:$F$1910)</x:f>
        <x:v>71.224</x:v>
      </x:c>
      <x:c r="J200" s="11"/>
      <x:c r="K200" s="11" t="str">
        <x:f>IF(L200="Full home run",I200+J200,"")</x:f>
      </x:c>
      <x:c r="L200" s="8" t="str">
        <x:v>Route segment</x:v>
      </x:c>
      <x:c r="M200" s="13"/>
      <x:c r="N200" s="11" t="str">
        <x:f>IF(OR(M200="",L200="Shared bundle"),"",IF(L200="Full home run",K200,I200)+M200)</x:f>
      </x:c>
      <x:c r="O200" s="8" t="str">
        <x:v>Cable type / conductors / cross-section / conduit: pending electrical design</x:v>
      </x:c>
      <x:c r="P200" s="8" t="str">
        <x:v>Concealed wall band above openings; ceiling containment at wing returns</x:v>
      </x:c>
      <x:c r="Q200" s="9"/>
      <x:c r="R200" s="9"/>
      <x:c r="S200" s="13"/>
      <x:c r="T200" s="9"/>
      <x:c r="U200" s="9"/>
      <x:c r="V200" s="9"/>
      <x:c r="W200" s="9"/>
      <x:c r="X200" s="9"/>
      <x:c r="Y200" s="8" t="str">
        <x:v>Current</x:v>
      </x:c>
      <x:c r="Z200" s="8"/>
    </x:row>
    <x:row r="201" ht="90" customHeight="1">
      <x:c r="A201" s="8" t="str">
        <x:v>drop:LC1:E1:light:1:L157</x:v>
      </x:c>
      <x:c r="B201" s="8" t="str">
        <x:v>E1 → Exit sign · side door 16.7 · H</x:v>
      </x:c>
      <x:c r="C201" s="8" t="str">
        <x:v>LC1</x:v>
      </x:c>
      <x:c r="D201" s="8" t="str">
        <x:v>L157</x:v>
      </x:c>
      <x:c r="E201" s="8" t="str">
        <x:v>DB1</x:v>
      </x:c>
      <x:c r="F201" s="8" t="str">
        <x:v>E1</x:v>
      </x:c>
      <x:c r="G201" s="8" t="str">
        <x:v>light</x:v>
      </x:c>
      <x:c r="H201" s="8" t="str">
        <x:v>drop</x:v>
      </x:c>
      <x:c r="I201" s="11" t="n">
        <x:f>SUMIF('Route Points'!$A$7:$A$1910,A201,'Route Points'!$F$7:$F$1910)</x:f>
        <x:v>2.019</x:v>
      </x:c>
      <x:c r="J201" s="11"/>
      <x:c r="K201" s="11" t="str">
        <x:f>IF(L201="Full home run",I201+J201,"")</x:f>
      </x:c>
      <x:c r="L201" s="8" t="str">
        <x:v>Route segment</x:v>
      </x:c>
      <x:c r="M201" s="13"/>
      <x:c r="N201" s="11" t="str">
        <x:f>IF(OR(M201="",L201="Shared bundle"),"",IF(L201="Full home run",K201,I201)+M201)</x:f>
      </x:c>
      <x:c r="O201" s="8" t="str">
        <x:v>Cable type / conductors / cross-section / conduit: pending electrical design</x:v>
      </x:c>
      <x:c r="P201" s="8" t="str">
        <x:v>Concealed pier / wall drop, local termination</x:v>
      </x:c>
      <x:c r="Q201" s="9"/>
      <x:c r="R201" s="9"/>
      <x:c r="S201" s="13"/>
      <x:c r="T201" s="9"/>
      <x:c r="U201" s="9"/>
      <x:c r="V201" s="9"/>
      <x:c r="W201" s="9"/>
      <x:c r="X201" s="9"/>
      <x:c r="Y201" s="8" t="str">
        <x:v>Current</x:v>
      </x:c>
      <x:c r="Z201" s="8" t="str">
        <x:v>trunk:LC1:E1:light:1</x:v>
      </x:c>
    </x:row>
    <x:row r="202" ht="90" customHeight="1">
      <x:c r="A202" s="8" t="str">
        <x:v>drop:LC1:E1:light:1:L159</x:v>
      </x:c>
      <x:c r="B202" s="8" t="str">
        <x:v>E1 → Exit sign · side door 34.7 · H</x:v>
      </x:c>
      <x:c r="C202" s="8" t="str">
        <x:v>LC1</x:v>
      </x:c>
      <x:c r="D202" s="8" t="str">
        <x:v>L159</x:v>
      </x:c>
      <x:c r="E202" s="8" t="str">
        <x:v>DB1</x:v>
      </x:c>
      <x:c r="F202" s="8" t="str">
        <x:v>E1</x:v>
      </x:c>
      <x:c r="G202" s="8" t="str">
        <x:v>light</x:v>
      </x:c>
      <x:c r="H202" s="8" t="str">
        <x:v>drop</x:v>
      </x:c>
      <x:c r="I202" s="11" t="n">
        <x:f>SUMIF('Route Points'!$A$7:$A$1910,A202,'Route Points'!$F$7:$F$1910)</x:f>
        <x:v>2.019</x:v>
      </x:c>
      <x:c r="J202" s="11"/>
      <x:c r="K202" s="11" t="str">
        <x:f>IF(L202="Full home run",I202+J202,"")</x:f>
      </x:c>
      <x:c r="L202" s="8" t="str">
        <x:v>Route segment</x:v>
      </x:c>
      <x:c r="M202" s="13"/>
      <x:c r="N202" s="11" t="str">
        <x:f>IF(OR(M202="",L202="Shared bundle"),"",IF(L202="Full home run",K202,I202)+M202)</x:f>
      </x:c>
      <x:c r="O202" s="8" t="str">
        <x:v>Cable type / conductors / cross-section / conduit: pending electrical design</x:v>
      </x:c>
      <x:c r="P202" s="8" t="str">
        <x:v>Concealed pier / wall drop, local termination</x:v>
      </x:c>
      <x:c r="Q202" s="9"/>
      <x:c r="R202" s="9"/>
      <x:c r="S202" s="13"/>
      <x:c r="T202" s="9"/>
      <x:c r="U202" s="9"/>
      <x:c r="V202" s="9"/>
      <x:c r="W202" s="9"/>
      <x:c r="X202" s="9"/>
      <x:c r="Y202" s="8" t="str">
        <x:v>Current</x:v>
      </x:c>
      <x:c r="Z202" s="8" t="str">
        <x:v>trunk:LC1:E1:light:1</x:v>
      </x:c>
    </x:row>
    <x:row r="203" ht="181" customHeight="1">
      <x:c r="A203" s="8" t="str">
        <x:v>trunk:DB2:L6:light:-1</x:v>
      </x:c>
      <x:c r="B203" s="8" t="str">
        <x:v>L6 · B · circuit trunk</x:v>
      </x:c>
      <x:c r="C203" s="8" t="str">
        <x:v>DB2</x:v>
      </x:c>
      <x:c r="D203" s="8" t="str">
        <x:v>L160
L161
L162
L163
L164
L165
L166
L167
L168
L169
L170
L222
L223</x:v>
      </x:c>
      <x:c r="E203" s="8" t="str">
        <x:v>DB2</x:v>
      </x:c>
      <x:c r="F203" s="8" t="str">
        <x:v>L6</x:v>
      </x:c>
      <x:c r="G203" s="8" t="str">
        <x:v>light</x:v>
      </x:c>
      <x:c r="H203" s="8" t="str">
        <x:v>trunk</x:v>
      </x:c>
      <x:c r="I203" s="11" t="n">
        <x:f>SUMIF('Route Points'!$A$7:$A$1910,A203,'Route Points'!$F$7:$F$1910)</x:f>
        <x:v>12.478000000000002</x:v>
      </x:c>
      <x:c r="J203" s="11"/>
      <x:c r="K203" s="11" t="str">
        <x:f>IF(L203="Full home run",I203+J203,"")</x:f>
      </x:c>
      <x:c r="L203" s="8" t="str">
        <x:v>Route segment</x:v>
      </x:c>
      <x:c r="M203" s="13"/>
      <x:c r="N203" s="11" t="str">
        <x:f>IF(OR(M203="",L203="Shared bundle"),"",IF(L203="Full home run",K203,I203)+M203)</x:f>
      </x:c>
      <x:c r="O203" s="8" t="str">
        <x:v>Cable type / conductors / cross-section / conduit: pending electrical design</x:v>
      </x:c>
      <x:c r="P203" s="8" t="str">
        <x:v>Concealed wall band above openings; ceiling containment at wing returns</x:v>
      </x:c>
      <x:c r="Q203" s="9"/>
      <x:c r="R203" s="9"/>
      <x:c r="S203" s="13"/>
      <x:c r="T203" s="9"/>
      <x:c r="U203" s="9"/>
      <x:c r="V203" s="9"/>
      <x:c r="W203" s="9"/>
      <x:c r="X203" s="9"/>
      <x:c r="Y203" s="8" t="str">
        <x:v>Current</x:v>
      </x:c>
      <x:c r="Z203" s="8"/>
    </x:row>
    <x:row r="204" ht="90" customHeight="1">
      <x:c r="A204" s="8" t="str">
        <x:v>drop:DB2:L6:light:-1:L160</x:v>
      </x:c>
      <x:c r="B204" s="8" t="str">
        <x:v>L6 → Tower lower front wash · B</x:v>
      </x:c>
      <x:c r="C204" s="8" t="str">
        <x:v>DB2</x:v>
      </x:c>
      <x:c r="D204" s="8" t="str">
        <x:v>L160</x:v>
      </x:c>
      <x:c r="E204" s="8" t="str">
        <x:v>DB2</x:v>
      </x:c>
      <x:c r="F204" s="8" t="str">
        <x:v>L6</x:v>
      </x:c>
      <x:c r="G204" s="8" t="str">
        <x:v>light</x:v>
      </x:c>
      <x:c r="H204" s="8" t="str">
        <x:v>drop</x:v>
      </x:c>
      <x:c r="I204" s="11" t="n">
        <x:f>SUMIF('Route Points'!$A$7:$A$1910,A204,'Route Points'!$F$7:$F$1910)</x:f>
        <x:v>7.906</x:v>
      </x:c>
      <x:c r="J204" s="11"/>
      <x:c r="K204" s="11" t="str">
        <x:f>IF(L204="Full home run",I204+J204,"")</x:f>
      </x:c>
      <x:c r="L204" s="8" t="str">
        <x:v>Route segment</x:v>
      </x:c>
      <x:c r="M204" s="13"/>
      <x:c r="N204" s="11" t="str">
        <x:f>IF(OR(M204="",L204="Shared bundle"),"",IF(L204="Full home run",K204,I204)+M204)</x:f>
      </x:c>
      <x:c r="O204" s="8" t="str">
        <x:v>Cable type / conductors / cross-section / conduit: pending electrical design</x:v>
      </x:c>
      <x:c r="P204" s="8" t="str">
        <x:v>Concealed pier / wall drop, local termination</x:v>
      </x:c>
      <x:c r="Q204" s="9"/>
      <x:c r="R204" s="9"/>
      <x:c r="S204" s="13"/>
      <x:c r="T204" s="9"/>
      <x:c r="U204" s="9"/>
      <x:c r="V204" s="9"/>
      <x:c r="W204" s="9"/>
      <x:c r="X204" s="9"/>
      <x:c r="Y204" s="8" t="str">
        <x:v>Current</x:v>
      </x:c>
      <x:c r="Z204" s="8" t="str">
        <x:v>trunk:DB2:L6:light:-1</x:v>
      </x:c>
    </x:row>
    <x:row r="205" ht="90" customHeight="1">
      <x:c r="A205" s="8" t="str">
        <x:v>drop:DB2:L6:light:-1:L161</x:v>
      </x:c>
      <x:c r="B205" s="8" t="str">
        <x:v>L6 → Tower stage 2 flood · B</x:v>
      </x:c>
      <x:c r="C205" s="8" t="str">
        <x:v>DB2</x:v>
      </x:c>
      <x:c r="D205" s="8" t="str">
        <x:v>L161</x:v>
      </x:c>
      <x:c r="E205" s="8" t="str">
        <x:v>DB2</x:v>
      </x:c>
      <x:c r="F205" s="8" t="str">
        <x:v>L6</x:v>
      </x:c>
      <x:c r="G205" s="8" t="str">
        <x:v>light</x:v>
      </x:c>
      <x:c r="H205" s="8" t="str">
        <x:v>drop</x:v>
      </x:c>
      <x:c r="I205" s="11" t="n">
        <x:f>SUMIF('Route Points'!$A$7:$A$1910,A205,'Route Points'!$F$7:$F$1910)</x:f>
        <x:v>7.206</x:v>
      </x:c>
      <x:c r="J205" s="11"/>
      <x:c r="K205" s="11" t="str">
        <x:f>IF(L205="Full home run",I205+J205,"")</x:f>
      </x:c>
      <x:c r="L205" s="8" t="str">
        <x:v>Route segment</x:v>
      </x:c>
      <x:c r="M205" s="13"/>
      <x:c r="N205" s="11" t="str">
        <x:f>IF(OR(M205="",L205="Shared bundle"),"",IF(L205="Full home run",K205,I205)+M205)</x:f>
      </x:c>
      <x:c r="O205" s="8" t="str">
        <x:v>Cable type / conductors / cross-section / conduit: pending electrical design</x:v>
      </x:c>
      <x:c r="P205" s="8" t="str">
        <x:v>Concealed pier / wall drop, local termination</x:v>
      </x:c>
      <x:c r="Q205" s="9"/>
      <x:c r="R205" s="9"/>
      <x:c r="S205" s="13"/>
      <x:c r="T205" s="9"/>
      <x:c r="U205" s="9"/>
      <x:c r="V205" s="9"/>
      <x:c r="W205" s="9"/>
      <x:c r="X205" s="9"/>
      <x:c r="Y205" s="8" t="str">
        <x:v>Current</x:v>
      </x:c>
      <x:c r="Z205" s="8" t="str">
        <x:v>trunk:DB2:L6:light:-1</x:v>
      </x:c>
    </x:row>
    <x:row r="206" ht="90" customHeight="1">
      <x:c r="A206" s="8" t="str">
        <x:v>drop:DB2:L6:light:-1:L162</x:v>
      </x:c>
      <x:c r="B206" s="8" t="str">
        <x:v>L6 → Tower stage 3 flood · B</x:v>
      </x:c>
      <x:c r="C206" s="8" t="str">
        <x:v>DB2</x:v>
      </x:c>
      <x:c r="D206" s="8" t="str">
        <x:v>L162</x:v>
      </x:c>
      <x:c r="E206" s="8" t="str">
        <x:v>DB2</x:v>
      </x:c>
      <x:c r="F206" s="8" t="str">
        <x:v>L6</x:v>
      </x:c>
      <x:c r="G206" s="8" t="str">
        <x:v>light</x:v>
      </x:c>
      <x:c r="H206" s="8" t="str">
        <x:v>drop</x:v>
      </x:c>
      <x:c r="I206" s="11" t="n">
        <x:f>SUMIF('Route Points'!$A$7:$A$1910,A206,'Route Points'!$F$7:$F$1910)</x:f>
        <x:v>14.676</x:v>
      </x:c>
      <x:c r="J206" s="11"/>
      <x:c r="K206" s="11" t="str">
        <x:f>IF(L206="Full home run",I206+J206,"")</x:f>
      </x:c>
      <x:c r="L206" s="8" t="str">
        <x:v>Route segment</x:v>
      </x:c>
      <x:c r="M206" s="13"/>
      <x:c r="N206" s="11" t="str">
        <x:f>IF(OR(M206="",L206="Shared bundle"),"",IF(L206="Full home run",K206,I206)+M206)</x:f>
      </x:c>
      <x:c r="O206" s="8" t="str">
        <x:v>Cable type / conductors / cross-section / conduit: pending electrical design</x:v>
      </x:c>
      <x:c r="P206" s="8" t="str">
        <x:v>Concealed pier / wall drop, local termination</x:v>
      </x:c>
      <x:c r="Q206" s="9"/>
      <x:c r="R206" s="9"/>
      <x:c r="S206" s="13"/>
      <x:c r="T206" s="9"/>
      <x:c r="U206" s="9"/>
      <x:c r="V206" s="9"/>
      <x:c r="W206" s="9"/>
      <x:c r="X206" s="9"/>
      <x:c r="Y206" s="8" t="str">
        <x:v>Current</x:v>
      </x:c>
      <x:c r="Z206" s="8" t="str">
        <x:v>trunk:DB2:L6:light:-1</x:v>
      </x:c>
    </x:row>
    <x:row r="207" ht="90" customHeight="1">
      <x:c r="A207" s="8" t="str">
        <x:v>drop:DB2:L6:light:-1:L163</x:v>
      </x:c>
      <x:c r="B207" s="8" t="str">
        <x:v>L6 → Belfry front wash · B</x:v>
      </x:c>
      <x:c r="C207" s="8" t="str">
        <x:v>DB2</x:v>
      </x:c>
      <x:c r="D207" s="8" t="str">
        <x:v>L163</x:v>
      </x:c>
      <x:c r="E207" s="8" t="str">
        <x:v>DB2</x:v>
      </x:c>
      <x:c r="F207" s="8" t="str">
        <x:v>L6</x:v>
      </x:c>
      <x:c r="G207" s="8" t="str">
        <x:v>light</x:v>
      </x:c>
      <x:c r="H207" s="8" t="str">
        <x:v>drop</x:v>
      </x:c>
      <x:c r="I207" s="11" t="n">
        <x:f>SUMIF('Route Points'!$A$7:$A$1910,A207,'Route Points'!$F$7:$F$1910)</x:f>
        <x:v>22.096</x:v>
      </x:c>
      <x:c r="J207" s="11"/>
      <x:c r="K207" s="11" t="str">
        <x:f>IF(L207="Full home run",I207+J207,"")</x:f>
      </x:c>
      <x:c r="L207" s="8" t="str">
        <x:v>Route segment</x:v>
      </x:c>
      <x:c r="M207" s="13"/>
      <x:c r="N207" s="11" t="str">
        <x:f>IF(OR(M207="",L207="Shared bundle"),"",IF(L207="Full home run",K207,I207)+M207)</x:f>
      </x:c>
      <x:c r="O207" s="8" t="str">
        <x:v>Cable type / conductors / cross-section / conduit: pending electrical design</x:v>
      </x:c>
      <x:c r="P207" s="8" t="str">
        <x:v>Concealed pier / wall drop, local termination</x:v>
      </x:c>
      <x:c r="Q207" s="9"/>
      <x:c r="R207" s="9"/>
      <x:c r="S207" s="13"/>
      <x:c r="T207" s="9"/>
      <x:c r="U207" s="9"/>
      <x:c r="V207" s="9"/>
      <x:c r="W207" s="9"/>
      <x:c r="X207" s="9"/>
      <x:c r="Y207" s="8" t="str">
        <x:v>Current</x:v>
      </x:c>
      <x:c r="Z207" s="8" t="str">
        <x:v>trunk:DB2:L6:light:-1</x:v>
      </x:c>
    </x:row>
    <x:row r="208" ht="90" customHeight="1">
      <x:c r="A208" s="8" t="str">
        <x:v>drop:DB2:L6:light:-1:L164</x:v>
      </x:c>
      <x:c r="B208" s="8" t="str">
        <x:v>L6 → Dome front wash · B</x:v>
      </x:c>
      <x:c r="C208" s="8" t="str">
        <x:v>DB2</x:v>
      </x:c>
      <x:c r="D208" s="8" t="str">
        <x:v>L164</x:v>
      </x:c>
      <x:c r="E208" s="8" t="str">
        <x:v>DB2</x:v>
      </x:c>
      <x:c r="F208" s="8" t="str">
        <x:v>L6</x:v>
      </x:c>
      <x:c r="G208" s="8" t="str">
        <x:v>light</x:v>
      </x:c>
      <x:c r="H208" s="8" t="str">
        <x:v>drop</x:v>
      </x:c>
      <x:c r="I208" s="11" t="n">
        <x:f>SUMIF('Route Points'!$A$7:$A$1910,A208,'Route Points'!$F$7:$F$1910)</x:f>
        <x:v>28.191000000000003</x:v>
      </x:c>
      <x:c r="J208" s="11"/>
      <x:c r="K208" s="11" t="str">
        <x:f>IF(L208="Full home run",I208+J208,"")</x:f>
      </x:c>
      <x:c r="L208" s="8" t="str">
        <x:v>Route segment</x:v>
      </x:c>
      <x:c r="M208" s="13"/>
      <x:c r="N208" s="11" t="str">
        <x:f>IF(OR(M208="",L208="Shared bundle"),"",IF(L208="Full home run",K208,I208)+M208)</x:f>
      </x:c>
      <x:c r="O208" s="8" t="str">
        <x:v>Cable type / conductors / cross-section / conduit: pending electrical design</x:v>
      </x:c>
      <x:c r="P208" s="8" t="str">
        <x:v>Concealed pier / wall drop, local termination</x:v>
      </x:c>
      <x:c r="Q208" s="9"/>
      <x:c r="R208" s="9"/>
      <x:c r="S208" s="13"/>
      <x:c r="T208" s="9"/>
      <x:c r="U208" s="9"/>
      <x:c r="V208" s="9"/>
      <x:c r="W208" s="9"/>
      <x:c r="X208" s="9"/>
      <x:c r="Y208" s="8" t="str">
        <x:v>Current</x:v>
      </x:c>
      <x:c r="Z208" s="8" t="str">
        <x:v>trunk:DB2:L6:light:-1</x:v>
      </x:c>
    </x:row>
    <x:row r="209" ht="90" customHeight="1">
      <x:c r="A209" s="8" t="str">
        <x:v>drop:DB2:L6:light:-1:L165</x:v>
      </x:c>
      <x:c r="B209" s="8" t="str">
        <x:v>L6 → Belfry glow · B</x:v>
      </x:c>
      <x:c r="C209" s="8" t="str">
        <x:v>DB2</x:v>
      </x:c>
      <x:c r="D209" s="8" t="str">
        <x:v>L165</x:v>
      </x:c>
      <x:c r="E209" s="8" t="str">
        <x:v>DB2</x:v>
      </x:c>
      <x:c r="F209" s="8" t="str">
        <x:v>L6</x:v>
      </x:c>
      <x:c r="G209" s="8" t="str">
        <x:v>light</x:v>
      </x:c>
      <x:c r="H209" s="8" t="str">
        <x:v>drop</x:v>
      </x:c>
      <x:c r="I209" s="11" t="n">
        <x:f>SUMIF('Route Points'!$A$7:$A$1910,A209,'Route Points'!$F$7:$F$1910)</x:f>
        <x:v>24.235201325280258</x:v>
      </x:c>
      <x:c r="J209" s="11"/>
      <x:c r="K209" s="11" t="str">
        <x:f>IF(L209="Full home run",I209+J209,"")</x:f>
      </x:c>
      <x:c r="L209" s="8" t="str">
        <x:v>Route segment</x:v>
      </x:c>
      <x:c r="M209" s="13"/>
      <x:c r="N209" s="11" t="str">
        <x:f>IF(OR(M209="",L209="Shared bundle"),"",IF(L209="Full home run",K209,I209)+M209)</x:f>
      </x:c>
      <x:c r="O209" s="8" t="str">
        <x:v>Cable type / conductors / cross-section / conduit: pending electrical design</x:v>
      </x:c>
      <x:c r="P209" s="8" t="str">
        <x:v>Concealed pier / wall drop, local termination</x:v>
      </x:c>
      <x:c r="Q209" s="9"/>
      <x:c r="R209" s="9"/>
      <x:c r="S209" s="13"/>
      <x:c r="T209" s="9"/>
      <x:c r="U209" s="9"/>
      <x:c r="V209" s="9"/>
      <x:c r="W209" s="9"/>
      <x:c r="X209" s="9"/>
      <x:c r="Y209" s="8" t="str">
        <x:v>Current</x:v>
      </x:c>
      <x:c r="Z209" s="8" t="str">
        <x:v>trunk:DB2:L6:light:-1</x:v>
      </x:c>
    </x:row>
    <x:row r="210" ht="90" customHeight="1">
      <x:c r="A210" s="8" t="str">
        <x:v>drop:DB2:L6:light:-1:L166</x:v>
      </x:c>
      <x:c r="B210" s="8" t="str">
        <x:v>L6 → Tower lower side wash · B</x:v>
      </x:c>
      <x:c r="C210" s="8" t="str">
        <x:v>DB2</x:v>
      </x:c>
      <x:c r="D210" s="8" t="str">
        <x:v>L166</x:v>
      </x:c>
      <x:c r="E210" s="8" t="str">
        <x:v>DB2</x:v>
      </x:c>
      <x:c r="F210" s="8" t="str">
        <x:v>L6</x:v>
      </x:c>
      <x:c r="G210" s="8" t="str">
        <x:v>light</x:v>
      </x:c>
      <x:c r="H210" s="8" t="str">
        <x:v>drop</x:v>
      </x:c>
      <x:c r="I210" s="11" t="n">
        <x:f>SUMIF('Route Points'!$A$7:$A$1910,A210,'Route Points'!$F$7:$F$1910)</x:f>
        <x:v>12.806892309065505</x:v>
      </x:c>
      <x:c r="J210" s="11"/>
      <x:c r="K210" s="11" t="str">
        <x:f>IF(L210="Full home run",I210+J210,"")</x:f>
      </x:c>
      <x:c r="L210" s="8" t="str">
        <x:v>Route segment</x:v>
      </x:c>
      <x:c r="M210" s="13"/>
      <x:c r="N210" s="11" t="str">
        <x:f>IF(OR(M210="",L210="Shared bundle"),"",IF(L210="Full home run",K210,I210)+M210)</x:f>
      </x:c>
      <x:c r="O210" s="8" t="str">
        <x:v>Cable type / conductors / cross-section / conduit: pending electrical design</x:v>
      </x:c>
      <x:c r="P210" s="8" t="str">
        <x:v>Concealed pier / wall drop, local termination</x:v>
      </x:c>
      <x:c r="Q210" s="9"/>
      <x:c r="R210" s="9"/>
      <x:c r="S210" s="13"/>
      <x:c r="T210" s="9"/>
      <x:c r="U210" s="9"/>
      <x:c r="V210" s="9"/>
      <x:c r="W210" s="9"/>
      <x:c r="X210" s="9"/>
      <x:c r="Y210" s="8" t="str">
        <x:v>Current</x:v>
      </x:c>
      <x:c r="Z210" s="8" t="str">
        <x:v>trunk:DB2:L6:light:-1</x:v>
      </x:c>
    </x:row>
    <x:row r="211" ht="90" customHeight="1">
      <x:c r="A211" s="8" t="str">
        <x:v>drop:DB2:L6:light:-1:L167</x:v>
      </x:c>
      <x:c r="B211" s="8" t="str">
        <x:v>L6 → Tower stage 2 side wash · B</x:v>
      </x:c>
      <x:c r="C211" s="8" t="str">
        <x:v>DB2</x:v>
      </x:c>
      <x:c r="D211" s="8" t="str">
        <x:v>L167</x:v>
      </x:c>
      <x:c r="E211" s="8" t="str">
        <x:v>DB2</x:v>
      </x:c>
      <x:c r="F211" s="8" t="str">
        <x:v>L6</x:v>
      </x:c>
      <x:c r="G211" s="8" t="str">
        <x:v>light</x:v>
      </x:c>
      <x:c r="H211" s="8" t="str">
        <x:v>drop</x:v>
      </x:c>
      <x:c r="I211" s="11" t="n">
        <x:f>SUMIF('Route Points'!$A$7:$A$1910,A211,'Route Points'!$F$7:$F$1910)</x:f>
        <x:v>12.020201325280256</x:v>
      </x:c>
      <x:c r="J211" s="11"/>
      <x:c r="K211" s="11" t="str">
        <x:f>IF(L211="Full home run",I211+J211,"")</x:f>
      </x:c>
      <x:c r="L211" s="8" t="str">
        <x:v>Route segment</x:v>
      </x:c>
      <x:c r="M211" s="13"/>
      <x:c r="N211" s="11" t="str">
        <x:f>IF(OR(M211="",L211="Shared bundle"),"",IF(L211="Full home run",K211,I211)+M211)</x:f>
      </x:c>
      <x:c r="O211" s="8" t="str">
        <x:v>Cable type / conductors / cross-section / conduit: pending electrical design</x:v>
      </x:c>
      <x:c r="P211" s="8" t="str">
        <x:v>Concealed pier / wall drop, local termination</x:v>
      </x:c>
      <x:c r="Q211" s="9"/>
      <x:c r="R211" s="9"/>
      <x:c r="S211" s="13"/>
      <x:c r="T211" s="9"/>
      <x:c r="U211" s="9"/>
      <x:c r="V211" s="9"/>
      <x:c r="W211" s="9"/>
      <x:c r="X211" s="9"/>
      <x:c r="Y211" s="8" t="str">
        <x:v>Current</x:v>
      </x:c>
      <x:c r="Z211" s="8" t="str">
        <x:v>trunk:DB2:L6:light:-1</x:v>
      </x:c>
    </x:row>
    <x:row r="212" ht="90" customHeight="1">
      <x:c r="A212" s="8" t="str">
        <x:v>drop:DB2:L6:light:-1:L168</x:v>
      </x:c>
      <x:c r="B212" s="8" t="str">
        <x:v>L6 → Tower stage 3 side wash · B</x:v>
      </x:c>
      <x:c r="C212" s="8" t="str">
        <x:v>DB2</x:v>
      </x:c>
      <x:c r="D212" s="8" t="str">
        <x:v>L168</x:v>
      </x:c>
      <x:c r="E212" s="8" t="str">
        <x:v>DB2</x:v>
      </x:c>
      <x:c r="F212" s="8" t="str">
        <x:v>L6</x:v>
      </x:c>
      <x:c r="G212" s="8" t="str">
        <x:v>light</x:v>
      </x:c>
      <x:c r="H212" s="8" t="str">
        <x:v>drop</x:v>
      </x:c>
      <x:c r="I212" s="11" t="n">
        <x:f>SUMIF('Route Points'!$A$7:$A$1910,A212,'Route Points'!$F$7:$F$1910)</x:f>
        <x:v>19.37520132528026</x:v>
      </x:c>
      <x:c r="J212" s="11"/>
      <x:c r="K212" s="11" t="str">
        <x:f>IF(L212="Full home run",I212+J212,"")</x:f>
      </x:c>
      <x:c r="L212" s="8" t="str">
        <x:v>Route segment</x:v>
      </x:c>
      <x:c r="M212" s="13"/>
      <x:c r="N212" s="11" t="str">
        <x:f>IF(OR(M212="",L212="Shared bundle"),"",IF(L212="Full home run",K212,I212)+M212)</x:f>
      </x:c>
      <x:c r="O212" s="8" t="str">
        <x:v>Cable type / conductors / cross-section / conduit: pending electrical design</x:v>
      </x:c>
      <x:c r="P212" s="8" t="str">
        <x:v>Concealed pier / wall drop, local termination</x:v>
      </x:c>
      <x:c r="Q212" s="9"/>
      <x:c r="R212" s="9"/>
      <x:c r="S212" s="13"/>
      <x:c r="T212" s="9"/>
      <x:c r="U212" s="9"/>
      <x:c r="V212" s="9"/>
      <x:c r="W212" s="9"/>
      <x:c r="X212" s="9"/>
      <x:c r="Y212" s="8" t="str">
        <x:v>Current</x:v>
      </x:c>
      <x:c r="Z212" s="8" t="str">
        <x:v>trunk:DB2:L6:light:-1</x:v>
      </x:c>
    </x:row>
    <x:row r="213" ht="90" customHeight="1">
      <x:c r="A213" s="8" t="str">
        <x:v>drop:DB2:L6:light:-1:L169</x:v>
      </x:c>
      <x:c r="B213" s="8" t="str">
        <x:v>L6 → Belfry side wash · B</x:v>
      </x:c>
      <x:c r="C213" s="8" t="str">
        <x:v>DB2</x:v>
      </x:c>
      <x:c r="D213" s="8" t="str">
        <x:v>L169</x:v>
      </x:c>
      <x:c r="E213" s="8" t="str">
        <x:v>DB2</x:v>
      </x:c>
      <x:c r="F213" s="8" t="str">
        <x:v>L6</x:v>
      </x:c>
      <x:c r="G213" s="8" t="str">
        <x:v>light</x:v>
      </x:c>
      <x:c r="H213" s="8" t="str">
        <x:v>drop</x:v>
      </x:c>
      <x:c r="I213" s="11" t="n">
        <x:f>SUMIF('Route Points'!$A$7:$A$1910,A213,'Route Points'!$F$7:$F$1910)</x:f>
        <x:v>26.595201325280257</x:v>
      </x:c>
      <x:c r="J213" s="11"/>
      <x:c r="K213" s="11" t="str">
        <x:f>IF(L213="Full home run",I213+J213,"")</x:f>
      </x:c>
      <x:c r="L213" s="8" t="str">
        <x:v>Route segment</x:v>
      </x:c>
      <x:c r="M213" s="13"/>
      <x:c r="N213" s="11" t="str">
        <x:f>IF(OR(M213="",L213="Shared bundle"),"",IF(L213="Full home run",K213,I213)+M213)</x:f>
      </x:c>
      <x:c r="O213" s="8" t="str">
        <x:v>Cable type / conductors / cross-section / conduit: pending electrical design</x:v>
      </x:c>
      <x:c r="P213" s="8" t="str">
        <x:v>Concealed pier / wall drop, local termination</x:v>
      </x:c>
      <x:c r="Q213" s="9"/>
      <x:c r="R213" s="9"/>
      <x:c r="S213" s="13"/>
      <x:c r="T213" s="9"/>
      <x:c r="U213" s="9"/>
      <x:c r="V213" s="9"/>
      <x:c r="W213" s="9"/>
      <x:c r="X213" s="9"/>
      <x:c r="Y213" s="8" t="str">
        <x:v>Current</x:v>
      </x:c>
      <x:c r="Z213" s="8" t="str">
        <x:v>trunk:DB2:L6:light:-1</x:v>
      </x:c>
    </x:row>
    <x:row r="214" ht="90" customHeight="1">
      <x:c r="A214" s="8" t="str">
        <x:v>drop:DB2:L6:light:-1:L170</x:v>
      </x:c>
      <x:c r="B214" s="8" t="str">
        <x:v>L6 → Façade wash · B</x:v>
      </x:c>
      <x:c r="C214" s="8" t="str">
        <x:v>DB2</x:v>
      </x:c>
      <x:c r="D214" s="8" t="str">
        <x:v>L170</x:v>
      </x:c>
      <x:c r="E214" s="8" t="str">
        <x:v>DB2</x:v>
      </x:c>
      <x:c r="F214" s="8" t="str">
        <x:v>L6</x:v>
      </x:c>
      <x:c r="G214" s="8" t="str">
        <x:v>light</x:v>
      </x:c>
      <x:c r="H214" s="8" t="str">
        <x:v>drop</x:v>
      </x:c>
      <x:c r="I214" s="11" t="n">
        <x:f>SUMIF('Route Points'!$A$7:$A$1910,A214,'Route Points'!$F$7:$F$1910)</x:f>
        <x:v>9.409</x:v>
      </x:c>
      <x:c r="J214" s="11"/>
      <x:c r="K214" s="11" t="str">
        <x:f>IF(L214="Full home run",I214+J214,"")</x:f>
      </x:c>
      <x:c r="L214" s="8" t="str">
        <x:v>Route segment</x:v>
      </x:c>
      <x:c r="M214" s="13"/>
      <x:c r="N214" s="11" t="str">
        <x:f>IF(OR(M214="",L214="Shared bundle"),"",IF(L214="Full home run",K214,I214)+M214)</x:f>
      </x:c>
      <x:c r="O214" s="8" t="str">
        <x:v>Cable type / conductors / cross-section / conduit: pending electrical design</x:v>
      </x:c>
      <x:c r="P214" s="8" t="str">
        <x:v>Concealed pier / wall drop, local termination</x:v>
      </x:c>
      <x:c r="Q214" s="9"/>
      <x:c r="R214" s="9"/>
      <x:c r="S214" s="13"/>
      <x:c r="T214" s="9"/>
      <x:c r="U214" s="9"/>
      <x:c r="V214" s="9"/>
      <x:c r="W214" s="9"/>
      <x:c r="X214" s="9"/>
      <x:c r="Y214" s="8" t="str">
        <x:v>Current</x:v>
      </x:c>
      <x:c r="Z214" s="8" t="str">
        <x:v>trunk:DB2:L6:light:-1</x:v>
      </x:c>
    </x:row>
    <x:row r="215" ht="90" customHeight="1">
      <x:c r="A215" s="8" t="str">
        <x:v>drop:DB2:L6:light:-1:L222</x:v>
      </x:c>
      <x:c r="B215" s="8" t="str">
        <x:v>L6 → Central gable flood · B</x:v>
      </x:c>
      <x:c r="C215" s="8" t="str">
        <x:v>DB2</x:v>
      </x:c>
      <x:c r="D215" s="8" t="str">
        <x:v>L222</x:v>
      </x:c>
      <x:c r="E215" s="8" t="str">
        <x:v>DB2</x:v>
      </x:c>
      <x:c r="F215" s="8" t="str">
        <x:v>L6</x:v>
      </x:c>
      <x:c r="G215" s="8" t="str">
        <x:v>light</x:v>
      </x:c>
      <x:c r="H215" s="8" t="str">
        <x:v>drop</x:v>
      </x:c>
      <x:c r="I215" s="11" t="n">
        <x:f>SUMIF('Route Points'!$A$7:$A$1910,A215,'Route Points'!$F$7:$F$1910)</x:f>
        <x:v>9.559000000000001</x:v>
      </x:c>
      <x:c r="J215" s="11"/>
      <x:c r="K215" s="11" t="str">
        <x:f>IF(L215="Full home run",I215+J215,"")</x:f>
      </x:c>
      <x:c r="L215" s="8" t="str">
        <x:v>Route segment</x:v>
      </x:c>
      <x:c r="M215" s="13"/>
      <x:c r="N215" s="11" t="str">
        <x:f>IF(OR(M215="",L215="Shared bundle"),"",IF(L215="Full home run",K215,I215)+M215)</x:f>
      </x:c>
      <x:c r="O215" s="8" t="str">
        <x:v>Cable type / conductors / cross-section / conduit: pending electrical design</x:v>
      </x:c>
      <x:c r="P215" s="8" t="str">
        <x:v>Concealed pier / wall drop, local termination</x:v>
      </x:c>
      <x:c r="Q215" s="9"/>
      <x:c r="R215" s="9"/>
      <x:c r="S215" s="13"/>
      <x:c r="T215" s="9"/>
      <x:c r="U215" s="9"/>
      <x:c r="V215" s="9"/>
      <x:c r="W215" s="9"/>
      <x:c r="X215" s="9"/>
      <x:c r="Y215" s="8" t="str">
        <x:v>Current</x:v>
      </x:c>
      <x:c r="Z215" s="8" t="str">
        <x:v>trunk:DB2:L6:light:-1</x:v>
      </x:c>
    </x:row>
    <x:row r="216" ht="90" customHeight="1">
      <x:c r="A216" s="8" t="str">
        <x:v>drop:DB2:L6:light:-1:L223</x:v>
      </x:c>
      <x:c r="B216" s="8" t="str">
        <x:v>L6 → Central crown wash · B</x:v>
      </x:c>
      <x:c r="C216" s="8" t="str">
        <x:v>DB2</x:v>
      </x:c>
      <x:c r="D216" s="8" t="str">
        <x:v>L223</x:v>
      </x:c>
      <x:c r="E216" s="8" t="str">
        <x:v>DB2</x:v>
      </x:c>
      <x:c r="F216" s="8" t="str">
        <x:v>L6</x:v>
      </x:c>
      <x:c r="G216" s="8" t="str">
        <x:v>light</x:v>
      </x:c>
      <x:c r="H216" s="8" t="str">
        <x:v>drop</x:v>
      </x:c>
      <x:c r="I216" s="11" t="n">
        <x:f>SUMIF('Route Points'!$A$7:$A$1910,A216,'Route Points'!$F$7:$F$1910)</x:f>
        <x:v>16.929000000000002</x:v>
      </x:c>
      <x:c r="J216" s="11"/>
      <x:c r="K216" s="11" t="str">
        <x:f>IF(L216="Full home run",I216+J216,"")</x:f>
      </x:c>
      <x:c r="L216" s="8" t="str">
        <x:v>Route segment</x:v>
      </x:c>
      <x:c r="M216" s="13"/>
      <x:c r="N216" s="11" t="str">
        <x:f>IF(OR(M216="",L216="Shared bundle"),"",IF(L216="Full home run",K216,I216)+M216)</x:f>
      </x:c>
      <x:c r="O216" s="8" t="str">
        <x:v>Cable type / conductors / cross-section / conduit: pending electrical design</x:v>
      </x:c>
      <x:c r="P216" s="8" t="str">
        <x:v>Concealed pier / wall drop, local termination</x:v>
      </x:c>
      <x:c r="Q216" s="9"/>
      <x:c r="R216" s="9"/>
      <x:c r="S216" s="13"/>
      <x:c r="T216" s="9"/>
      <x:c r="U216" s="9"/>
      <x:c r="V216" s="9"/>
      <x:c r="W216" s="9"/>
      <x:c r="X216" s="9"/>
      <x:c r="Y216" s="8" t="str">
        <x:v>Current</x:v>
      </x:c>
      <x:c r="Z216" s="8" t="str">
        <x:v>trunk:DB2:L6:light:-1</x:v>
      </x:c>
    </x:row>
    <x:row r="217" ht="181" customHeight="1">
      <x:c r="A217" s="8" t="str">
        <x:v>trunk:DB2:L6:light:1</x:v>
      </x:c>
      <x:c r="B217" s="8" t="str">
        <x:v>L6 · H · circuit trunk</x:v>
      </x:c>
      <x:c r="C217" s="8" t="str">
        <x:v>DB2</x:v>
      </x:c>
      <x:c r="D217" s="8" t="str">
        <x:v>L171
L172
L173
L174
L175
L176
L177
L178
L179
L180
L181
L224
L225</x:v>
      </x:c>
      <x:c r="E217" s="8" t="str">
        <x:v>DB2</x:v>
      </x:c>
      <x:c r="F217" s="8" t="str">
        <x:v>L6</x:v>
      </x:c>
      <x:c r="G217" s="8" t="str">
        <x:v>light</x:v>
      </x:c>
      <x:c r="H217" s="8" t="str">
        <x:v>trunk</x:v>
      </x:c>
      <x:c r="I217" s="11" t="n">
        <x:f>SUMIF('Route Points'!$A$7:$A$1910,A217,'Route Points'!$F$7:$F$1910)</x:f>
        <x:v>19.078</x:v>
      </x:c>
      <x:c r="J217" s="11"/>
      <x:c r="K217" s="11" t="str">
        <x:f>IF(L217="Full home run",I217+J217,"")</x:f>
      </x:c>
      <x:c r="L217" s="8" t="str">
        <x:v>Route segment</x:v>
      </x:c>
      <x:c r="M217" s="13"/>
      <x:c r="N217" s="11" t="str">
        <x:f>IF(OR(M217="",L217="Shared bundle"),"",IF(L217="Full home run",K217,I217)+M217)</x:f>
      </x:c>
      <x:c r="O217" s="8" t="str">
        <x:v>Cable type / conductors / cross-section / conduit: pending electrical design</x:v>
      </x:c>
      <x:c r="P217" s="8" t="str">
        <x:v>Concealed wall band above openings; ceiling containment at wing returns</x:v>
      </x:c>
      <x:c r="Q217" s="9"/>
      <x:c r="R217" s="9"/>
      <x:c r="S217" s="13"/>
      <x:c r="T217" s="9"/>
      <x:c r="U217" s="9"/>
      <x:c r="V217" s="9"/>
      <x:c r="W217" s="9"/>
      <x:c r="X217" s="9"/>
      <x:c r="Y217" s="8" t="str">
        <x:v>Current</x:v>
      </x:c>
      <x:c r="Z217" s="8"/>
    </x:row>
    <x:row r="218" ht="90" customHeight="1">
      <x:c r="A218" s="8" t="str">
        <x:v>drop:DB2:L6:light:1:L171</x:v>
      </x:c>
      <x:c r="B218" s="8" t="str">
        <x:v>L6 → Tower lower front wash · H</x:v>
      </x:c>
      <x:c r="C218" s="8" t="str">
        <x:v>DB2</x:v>
      </x:c>
      <x:c r="D218" s="8" t="str">
        <x:v>L171</x:v>
      </x:c>
      <x:c r="E218" s="8" t="str">
        <x:v>DB2</x:v>
      </x:c>
      <x:c r="F218" s="8" t="str">
        <x:v>L6</x:v>
      </x:c>
      <x:c r="G218" s="8" t="str">
        <x:v>light</x:v>
      </x:c>
      <x:c r="H218" s="8" t="str">
        <x:v>drop</x:v>
      </x:c>
      <x:c r="I218" s="11" t="n">
        <x:f>SUMIF('Route Points'!$A$7:$A$1910,A218,'Route Points'!$F$7:$F$1910)</x:f>
        <x:v>7.906</x:v>
      </x:c>
      <x:c r="J218" s="11"/>
      <x:c r="K218" s="11" t="str">
        <x:f>IF(L218="Full home run",I218+J218,"")</x:f>
      </x:c>
      <x:c r="L218" s="8" t="str">
        <x:v>Route segment</x:v>
      </x:c>
      <x:c r="M218" s="13"/>
      <x:c r="N218" s="11" t="str">
        <x:f>IF(OR(M218="",L218="Shared bundle"),"",IF(L218="Full home run",K218,I218)+M218)</x:f>
      </x:c>
      <x:c r="O218" s="8" t="str">
        <x:v>Cable type / conductors / cross-section / conduit: pending electrical design</x:v>
      </x:c>
      <x:c r="P218" s="8" t="str">
        <x:v>Concealed pier / wall drop, local termination</x:v>
      </x:c>
      <x:c r="Q218" s="9"/>
      <x:c r="R218" s="9"/>
      <x:c r="S218" s="13"/>
      <x:c r="T218" s="9"/>
      <x:c r="U218" s="9"/>
      <x:c r="V218" s="9"/>
      <x:c r="W218" s="9"/>
      <x:c r="X218" s="9"/>
      <x:c r="Y218" s="8" t="str">
        <x:v>Current</x:v>
      </x:c>
      <x:c r="Z218" s="8" t="str">
        <x:v>trunk:DB2:L6:light:1</x:v>
      </x:c>
    </x:row>
    <x:row r="219" ht="90" customHeight="1">
      <x:c r="A219" s="8" t="str">
        <x:v>drop:DB2:L6:light:1:L172</x:v>
      </x:c>
      <x:c r="B219" s="8" t="str">
        <x:v>L6 → Tower stage 2 flood · H</x:v>
      </x:c>
      <x:c r="C219" s="8" t="str">
        <x:v>DB2</x:v>
      </x:c>
      <x:c r="D219" s="8" t="str">
        <x:v>L172</x:v>
      </x:c>
      <x:c r="E219" s="8" t="str">
        <x:v>DB2</x:v>
      </x:c>
      <x:c r="F219" s="8" t="str">
        <x:v>L6</x:v>
      </x:c>
      <x:c r="G219" s="8" t="str">
        <x:v>light</x:v>
      </x:c>
      <x:c r="H219" s="8" t="str">
        <x:v>drop</x:v>
      </x:c>
      <x:c r="I219" s="11" t="n">
        <x:f>SUMIF('Route Points'!$A$7:$A$1910,A219,'Route Points'!$F$7:$F$1910)</x:f>
        <x:v>7.206</x:v>
      </x:c>
      <x:c r="J219" s="11"/>
      <x:c r="K219" s="11" t="str">
        <x:f>IF(L219="Full home run",I219+J219,"")</x:f>
      </x:c>
      <x:c r="L219" s="8" t="str">
        <x:v>Route segment</x:v>
      </x:c>
      <x:c r="M219" s="13"/>
      <x:c r="N219" s="11" t="str">
        <x:f>IF(OR(M219="",L219="Shared bundle"),"",IF(L219="Full home run",K219,I219)+M219)</x:f>
      </x:c>
      <x:c r="O219" s="8" t="str">
        <x:v>Cable type / conductors / cross-section / conduit: pending electrical design</x:v>
      </x:c>
      <x:c r="P219" s="8" t="str">
        <x:v>Concealed pier / wall drop, local termination</x:v>
      </x:c>
      <x:c r="Q219" s="9"/>
      <x:c r="R219" s="9"/>
      <x:c r="S219" s="13"/>
      <x:c r="T219" s="9"/>
      <x:c r="U219" s="9"/>
      <x:c r="V219" s="9"/>
      <x:c r="W219" s="9"/>
      <x:c r="X219" s="9"/>
      <x:c r="Y219" s="8" t="str">
        <x:v>Current</x:v>
      </x:c>
      <x:c r="Z219" s="8" t="str">
        <x:v>trunk:DB2:L6:light:1</x:v>
      </x:c>
    </x:row>
    <x:row r="220" ht="90" customHeight="1">
      <x:c r="A220" s="8" t="str">
        <x:v>drop:DB2:L6:light:1:L173</x:v>
      </x:c>
      <x:c r="B220" s="8" t="str">
        <x:v>L6 → Tower stage 3 flood · H</x:v>
      </x:c>
      <x:c r="C220" s="8" t="str">
        <x:v>DB2</x:v>
      </x:c>
      <x:c r="D220" s="8" t="str">
        <x:v>L173</x:v>
      </x:c>
      <x:c r="E220" s="8" t="str">
        <x:v>DB2</x:v>
      </x:c>
      <x:c r="F220" s="8" t="str">
        <x:v>L6</x:v>
      </x:c>
      <x:c r="G220" s="8" t="str">
        <x:v>light</x:v>
      </x:c>
      <x:c r="H220" s="8" t="str">
        <x:v>drop</x:v>
      </x:c>
      <x:c r="I220" s="11" t="n">
        <x:f>SUMIF('Route Points'!$A$7:$A$1910,A220,'Route Points'!$F$7:$F$1910)</x:f>
        <x:v>14.676</x:v>
      </x:c>
      <x:c r="J220" s="11"/>
      <x:c r="K220" s="11" t="str">
        <x:f>IF(L220="Full home run",I220+J220,"")</x:f>
      </x:c>
      <x:c r="L220" s="8" t="str">
        <x:v>Route segment</x:v>
      </x:c>
      <x:c r="M220" s="13"/>
      <x:c r="N220" s="11" t="str">
        <x:f>IF(OR(M220="",L220="Shared bundle"),"",IF(L220="Full home run",K220,I220)+M220)</x:f>
      </x:c>
      <x:c r="O220" s="8" t="str">
        <x:v>Cable type / conductors / cross-section / conduit: pending electrical design</x:v>
      </x:c>
      <x:c r="P220" s="8" t="str">
        <x:v>Concealed pier / wall drop, local termination</x:v>
      </x:c>
      <x:c r="Q220" s="9"/>
      <x:c r="R220" s="9"/>
      <x:c r="S220" s="13"/>
      <x:c r="T220" s="9"/>
      <x:c r="U220" s="9"/>
      <x:c r="V220" s="9"/>
      <x:c r="W220" s="9"/>
      <x:c r="X220" s="9"/>
      <x:c r="Y220" s="8" t="str">
        <x:v>Current</x:v>
      </x:c>
      <x:c r="Z220" s="8" t="str">
        <x:v>trunk:DB2:L6:light:1</x:v>
      </x:c>
    </x:row>
    <x:row r="221" ht="90" customHeight="1">
      <x:c r="A221" s="8" t="str">
        <x:v>drop:DB2:L6:light:1:L174</x:v>
      </x:c>
      <x:c r="B221" s="8" t="str">
        <x:v>L6 → Belfry front wash · H</x:v>
      </x:c>
      <x:c r="C221" s="8" t="str">
        <x:v>DB2</x:v>
      </x:c>
      <x:c r="D221" s="8" t="str">
        <x:v>L174</x:v>
      </x:c>
      <x:c r="E221" s="8" t="str">
        <x:v>DB2</x:v>
      </x:c>
      <x:c r="F221" s="8" t="str">
        <x:v>L6</x:v>
      </x:c>
      <x:c r="G221" s="8" t="str">
        <x:v>light</x:v>
      </x:c>
      <x:c r="H221" s="8" t="str">
        <x:v>drop</x:v>
      </x:c>
      <x:c r="I221" s="11" t="n">
        <x:f>SUMIF('Route Points'!$A$7:$A$1910,A221,'Route Points'!$F$7:$F$1910)</x:f>
        <x:v>22.096</x:v>
      </x:c>
      <x:c r="J221" s="11"/>
      <x:c r="K221" s="11" t="str">
        <x:f>IF(L221="Full home run",I221+J221,"")</x:f>
      </x:c>
      <x:c r="L221" s="8" t="str">
        <x:v>Route segment</x:v>
      </x:c>
      <x:c r="M221" s="13"/>
      <x:c r="N221" s="11" t="str">
        <x:f>IF(OR(M221="",L221="Shared bundle"),"",IF(L221="Full home run",K221,I221)+M221)</x:f>
      </x:c>
      <x:c r="O221" s="8" t="str">
        <x:v>Cable type / conductors / cross-section / conduit: pending electrical design</x:v>
      </x:c>
      <x:c r="P221" s="8" t="str">
        <x:v>Concealed pier / wall drop, local termination</x:v>
      </x:c>
      <x:c r="Q221" s="9"/>
      <x:c r="R221" s="9"/>
      <x:c r="S221" s="13"/>
      <x:c r="T221" s="9"/>
      <x:c r="U221" s="9"/>
      <x:c r="V221" s="9"/>
      <x:c r="W221" s="9"/>
      <x:c r="X221" s="9"/>
      <x:c r="Y221" s="8" t="str">
        <x:v>Current</x:v>
      </x:c>
      <x:c r="Z221" s="8" t="str">
        <x:v>trunk:DB2:L6:light:1</x:v>
      </x:c>
    </x:row>
    <x:row r="222" ht="90" customHeight="1">
      <x:c r="A222" s="8" t="str">
        <x:v>drop:DB2:L6:light:1:L175</x:v>
      </x:c>
      <x:c r="B222" s="8" t="str">
        <x:v>L6 → Dome front wash · H</x:v>
      </x:c>
      <x:c r="C222" s="8" t="str">
        <x:v>DB2</x:v>
      </x:c>
      <x:c r="D222" s="8" t="str">
        <x:v>L175</x:v>
      </x:c>
      <x:c r="E222" s="8" t="str">
        <x:v>DB2</x:v>
      </x:c>
      <x:c r="F222" s="8" t="str">
        <x:v>L6</x:v>
      </x:c>
      <x:c r="G222" s="8" t="str">
        <x:v>light</x:v>
      </x:c>
      <x:c r="H222" s="8" t="str">
        <x:v>drop</x:v>
      </x:c>
      <x:c r="I222" s="11" t="n">
        <x:f>SUMIF('Route Points'!$A$7:$A$1910,A222,'Route Points'!$F$7:$F$1910)</x:f>
        <x:v>28.191000000000003</x:v>
      </x:c>
      <x:c r="J222" s="11"/>
      <x:c r="K222" s="11" t="str">
        <x:f>IF(L222="Full home run",I222+J222,"")</x:f>
      </x:c>
      <x:c r="L222" s="8" t="str">
        <x:v>Route segment</x:v>
      </x:c>
      <x:c r="M222" s="13"/>
      <x:c r="N222" s="11" t="str">
        <x:f>IF(OR(M222="",L222="Shared bundle"),"",IF(L222="Full home run",K222,I222)+M222)</x:f>
      </x:c>
      <x:c r="O222" s="8" t="str">
        <x:v>Cable type / conductors / cross-section / conduit: pending electrical design</x:v>
      </x:c>
      <x:c r="P222" s="8" t="str">
        <x:v>Concealed pier / wall drop, local termination</x:v>
      </x:c>
      <x:c r="Q222" s="9"/>
      <x:c r="R222" s="9"/>
      <x:c r="S222" s="13"/>
      <x:c r="T222" s="9"/>
      <x:c r="U222" s="9"/>
      <x:c r="V222" s="9"/>
      <x:c r="W222" s="9"/>
      <x:c r="X222" s="9"/>
      <x:c r="Y222" s="8" t="str">
        <x:v>Current</x:v>
      </x:c>
      <x:c r="Z222" s="8" t="str">
        <x:v>trunk:DB2:L6:light:1</x:v>
      </x:c>
    </x:row>
    <x:row r="223" ht="90" customHeight="1">
      <x:c r="A223" s="8" t="str">
        <x:v>drop:DB2:L6:light:1:L176</x:v>
      </x:c>
      <x:c r="B223" s="8" t="str">
        <x:v>L6 → Belfry glow · H</x:v>
      </x:c>
      <x:c r="C223" s="8" t="str">
        <x:v>DB2</x:v>
      </x:c>
      <x:c r="D223" s="8" t="str">
        <x:v>L176</x:v>
      </x:c>
      <x:c r="E223" s="8" t="str">
        <x:v>DB2</x:v>
      </x:c>
      <x:c r="F223" s="8" t="str">
        <x:v>L6</x:v>
      </x:c>
      <x:c r="G223" s="8" t="str">
        <x:v>light</x:v>
      </x:c>
      <x:c r="H223" s="8" t="str">
        <x:v>drop</x:v>
      </x:c>
      <x:c r="I223" s="11" t="n">
        <x:f>SUMIF('Route Points'!$A$7:$A$1910,A223,'Route Points'!$F$7:$F$1910)</x:f>
        <x:v>24.235201325280258</x:v>
      </x:c>
      <x:c r="J223" s="11"/>
      <x:c r="K223" s="11" t="str">
        <x:f>IF(L223="Full home run",I223+J223,"")</x:f>
      </x:c>
      <x:c r="L223" s="8" t="str">
        <x:v>Route segment</x:v>
      </x:c>
      <x:c r="M223" s="13"/>
      <x:c r="N223" s="11" t="str">
        <x:f>IF(OR(M223="",L223="Shared bundle"),"",IF(L223="Full home run",K223,I223)+M223)</x:f>
      </x:c>
      <x:c r="O223" s="8" t="str">
        <x:v>Cable type / conductors / cross-section / conduit: pending electrical design</x:v>
      </x:c>
      <x:c r="P223" s="8" t="str">
        <x:v>Concealed pier / wall drop, local termination</x:v>
      </x:c>
      <x:c r="Q223" s="9"/>
      <x:c r="R223" s="9"/>
      <x:c r="S223" s="13"/>
      <x:c r="T223" s="9"/>
      <x:c r="U223" s="9"/>
      <x:c r="V223" s="9"/>
      <x:c r="W223" s="9"/>
      <x:c r="X223" s="9"/>
      <x:c r="Y223" s="8" t="str">
        <x:v>Current</x:v>
      </x:c>
      <x:c r="Z223" s="8" t="str">
        <x:v>trunk:DB2:L6:light:1</x:v>
      </x:c>
    </x:row>
    <x:row r="224" ht="90" customHeight="1">
      <x:c r="A224" s="8" t="str">
        <x:v>drop:DB2:L6:light:1:L177</x:v>
      </x:c>
      <x:c r="B224" s="8" t="str">
        <x:v>L6 → Tower lower side wash · H</x:v>
      </x:c>
      <x:c r="C224" s="8" t="str">
        <x:v>DB2</x:v>
      </x:c>
      <x:c r="D224" s="8" t="str">
        <x:v>L177</x:v>
      </x:c>
      <x:c r="E224" s="8" t="str">
        <x:v>DB2</x:v>
      </x:c>
      <x:c r="F224" s="8" t="str">
        <x:v>L6</x:v>
      </x:c>
      <x:c r="G224" s="8" t="str">
        <x:v>light</x:v>
      </x:c>
      <x:c r="H224" s="8" t="str">
        <x:v>drop</x:v>
      </x:c>
      <x:c r="I224" s="11" t="n">
        <x:f>SUMIF('Route Points'!$A$7:$A$1910,A224,'Route Points'!$F$7:$F$1910)</x:f>
        <x:v>12.806892309065505</x:v>
      </x:c>
      <x:c r="J224" s="11"/>
      <x:c r="K224" s="11" t="str">
        <x:f>IF(L224="Full home run",I224+J224,"")</x:f>
      </x:c>
      <x:c r="L224" s="8" t="str">
        <x:v>Route segment</x:v>
      </x:c>
      <x:c r="M224" s="13"/>
      <x:c r="N224" s="11" t="str">
        <x:f>IF(OR(M224="",L224="Shared bundle"),"",IF(L224="Full home run",K224,I224)+M224)</x:f>
      </x:c>
      <x:c r="O224" s="8" t="str">
        <x:v>Cable type / conductors / cross-section / conduit: pending electrical design</x:v>
      </x:c>
      <x:c r="P224" s="8" t="str">
        <x:v>Concealed pier / wall drop, local termination</x:v>
      </x:c>
      <x:c r="Q224" s="9"/>
      <x:c r="R224" s="9"/>
      <x:c r="S224" s="13"/>
      <x:c r="T224" s="9"/>
      <x:c r="U224" s="9"/>
      <x:c r="V224" s="9"/>
      <x:c r="W224" s="9"/>
      <x:c r="X224" s="9"/>
      <x:c r="Y224" s="8" t="str">
        <x:v>Current</x:v>
      </x:c>
      <x:c r="Z224" s="8" t="str">
        <x:v>trunk:DB2:L6:light:1</x:v>
      </x:c>
    </x:row>
    <x:row r="225" ht="90" customHeight="1">
      <x:c r="A225" s="8" t="str">
        <x:v>drop:DB2:L6:light:1:L178</x:v>
      </x:c>
      <x:c r="B225" s="8" t="str">
        <x:v>L6 → Tower stage 2 side wash · H</x:v>
      </x:c>
      <x:c r="C225" s="8" t="str">
        <x:v>DB2</x:v>
      </x:c>
      <x:c r="D225" s="8" t="str">
        <x:v>L178</x:v>
      </x:c>
      <x:c r="E225" s="8" t="str">
        <x:v>DB2</x:v>
      </x:c>
      <x:c r="F225" s="8" t="str">
        <x:v>L6</x:v>
      </x:c>
      <x:c r="G225" s="8" t="str">
        <x:v>light</x:v>
      </x:c>
      <x:c r="H225" s="8" t="str">
        <x:v>drop</x:v>
      </x:c>
      <x:c r="I225" s="11" t="n">
        <x:f>SUMIF('Route Points'!$A$7:$A$1910,A225,'Route Points'!$F$7:$F$1910)</x:f>
        <x:v>12.020201325280256</x:v>
      </x:c>
      <x:c r="J225" s="11"/>
      <x:c r="K225" s="11" t="str">
        <x:f>IF(L225="Full home run",I225+J225,"")</x:f>
      </x:c>
      <x:c r="L225" s="8" t="str">
        <x:v>Route segment</x:v>
      </x:c>
      <x:c r="M225" s="13"/>
      <x:c r="N225" s="11" t="str">
        <x:f>IF(OR(M225="",L225="Shared bundle"),"",IF(L225="Full home run",K225,I225)+M225)</x:f>
      </x:c>
      <x:c r="O225" s="8" t="str">
        <x:v>Cable type / conductors / cross-section / conduit: pending electrical design</x:v>
      </x:c>
      <x:c r="P225" s="8" t="str">
        <x:v>Concealed pier / wall drop, local termination</x:v>
      </x:c>
      <x:c r="Q225" s="9"/>
      <x:c r="R225" s="9"/>
      <x:c r="S225" s="13"/>
      <x:c r="T225" s="9"/>
      <x:c r="U225" s="9"/>
      <x:c r="V225" s="9"/>
      <x:c r="W225" s="9"/>
      <x:c r="X225" s="9"/>
      <x:c r="Y225" s="8" t="str">
        <x:v>Current</x:v>
      </x:c>
      <x:c r="Z225" s="8" t="str">
        <x:v>trunk:DB2:L6:light:1</x:v>
      </x:c>
    </x:row>
    <x:row r="226" ht="90" customHeight="1">
      <x:c r="A226" s="8" t="str">
        <x:v>drop:DB2:L6:light:1:L179</x:v>
      </x:c>
      <x:c r="B226" s="8" t="str">
        <x:v>L6 → Tower stage 3 side wash · H</x:v>
      </x:c>
      <x:c r="C226" s="8" t="str">
        <x:v>DB2</x:v>
      </x:c>
      <x:c r="D226" s="8" t="str">
        <x:v>L179</x:v>
      </x:c>
      <x:c r="E226" s="8" t="str">
        <x:v>DB2</x:v>
      </x:c>
      <x:c r="F226" s="8" t="str">
        <x:v>L6</x:v>
      </x:c>
      <x:c r="G226" s="8" t="str">
        <x:v>light</x:v>
      </x:c>
      <x:c r="H226" s="8" t="str">
        <x:v>drop</x:v>
      </x:c>
      <x:c r="I226" s="11" t="n">
        <x:f>SUMIF('Route Points'!$A$7:$A$1910,A226,'Route Points'!$F$7:$F$1910)</x:f>
        <x:v>19.37520132528026</x:v>
      </x:c>
      <x:c r="J226" s="11"/>
      <x:c r="K226" s="11" t="str">
        <x:f>IF(L226="Full home run",I226+J226,"")</x:f>
      </x:c>
      <x:c r="L226" s="8" t="str">
        <x:v>Route segment</x:v>
      </x:c>
      <x:c r="M226" s="13"/>
      <x:c r="N226" s="11" t="str">
        <x:f>IF(OR(M226="",L226="Shared bundle"),"",IF(L226="Full home run",K226,I226)+M226)</x:f>
      </x:c>
      <x:c r="O226" s="8" t="str">
        <x:v>Cable type / conductors / cross-section / conduit: pending electrical design</x:v>
      </x:c>
      <x:c r="P226" s="8" t="str">
        <x:v>Concealed pier / wall drop, local termination</x:v>
      </x:c>
      <x:c r="Q226" s="9"/>
      <x:c r="R226" s="9"/>
      <x:c r="S226" s="13"/>
      <x:c r="T226" s="9"/>
      <x:c r="U226" s="9"/>
      <x:c r="V226" s="9"/>
      <x:c r="W226" s="9"/>
      <x:c r="X226" s="9"/>
      <x:c r="Y226" s="8" t="str">
        <x:v>Current</x:v>
      </x:c>
      <x:c r="Z226" s="8" t="str">
        <x:v>trunk:DB2:L6:light:1</x:v>
      </x:c>
    </x:row>
    <x:row r="227" ht="90" customHeight="1">
      <x:c r="A227" s="8" t="str">
        <x:v>drop:DB2:L6:light:1:L180</x:v>
      </x:c>
      <x:c r="B227" s="8" t="str">
        <x:v>L6 → Belfry side wash · H</x:v>
      </x:c>
      <x:c r="C227" s="8" t="str">
        <x:v>DB2</x:v>
      </x:c>
      <x:c r="D227" s="8" t="str">
        <x:v>L180</x:v>
      </x:c>
      <x:c r="E227" s="8" t="str">
        <x:v>DB2</x:v>
      </x:c>
      <x:c r="F227" s="8" t="str">
        <x:v>L6</x:v>
      </x:c>
      <x:c r="G227" s="8" t="str">
        <x:v>light</x:v>
      </x:c>
      <x:c r="H227" s="8" t="str">
        <x:v>drop</x:v>
      </x:c>
      <x:c r="I227" s="11" t="n">
        <x:f>SUMIF('Route Points'!$A$7:$A$1910,A227,'Route Points'!$F$7:$F$1910)</x:f>
        <x:v>26.595201325280257</x:v>
      </x:c>
      <x:c r="J227" s="11"/>
      <x:c r="K227" s="11" t="str">
        <x:f>IF(L227="Full home run",I227+J227,"")</x:f>
      </x:c>
      <x:c r="L227" s="8" t="str">
        <x:v>Route segment</x:v>
      </x:c>
      <x:c r="M227" s="13"/>
      <x:c r="N227" s="11" t="str">
        <x:f>IF(OR(M227="",L227="Shared bundle"),"",IF(L227="Full home run",K227,I227)+M227)</x:f>
      </x:c>
      <x:c r="O227" s="8" t="str">
        <x:v>Cable type / conductors / cross-section / conduit: pending electrical design</x:v>
      </x:c>
      <x:c r="P227" s="8" t="str">
        <x:v>Concealed pier / wall drop, local termination</x:v>
      </x:c>
      <x:c r="Q227" s="9"/>
      <x:c r="R227" s="9"/>
      <x:c r="S227" s="13"/>
      <x:c r="T227" s="9"/>
      <x:c r="U227" s="9"/>
      <x:c r="V227" s="9"/>
      <x:c r="W227" s="9"/>
      <x:c r="X227" s="9"/>
      <x:c r="Y227" s="8" t="str">
        <x:v>Current</x:v>
      </x:c>
      <x:c r="Z227" s="8" t="str">
        <x:v>trunk:DB2:L6:light:1</x:v>
      </x:c>
    </x:row>
    <x:row r="228" ht="90" customHeight="1">
      <x:c r="A228" s="8" t="str">
        <x:v>drop:DB2:L6:light:1:L181</x:v>
      </x:c>
      <x:c r="B228" s="8" t="str">
        <x:v>L6 → Façade wash · H</x:v>
      </x:c>
      <x:c r="C228" s="8" t="str">
        <x:v>DB2</x:v>
      </x:c>
      <x:c r="D228" s="8" t="str">
        <x:v>L181</x:v>
      </x:c>
      <x:c r="E228" s="8" t="str">
        <x:v>DB2</x:v>
      </x:c>
      <x:c r="F228" s="8" t="str">
        <x:v>L6</x:v>
      </x:c>
      <x:c r="G228" s="8" t="str">
        <x:v>light</x:v>
      </x:c>
      <x:c r="H228" s="8" t="str">
        <x:v>drop</x:v>
      </x:c>
      <x:c r="I228" s="11" t="n">
        <x:f>SUMIF('Route Points'!$A$7:$A$1910,A228,'Route Points'!$F$7:$F$1910)</x:f>
        <x:v>9.409</x:v>
      </x:c>
      <x:c r="J228" s="11"/>
      <x:c r="K228" s="11" t="str">
        <x:f>IF(L228="Full home run",I228+J228,"")</x:f>
      </x:c>
      <x:c r="L228" s="8" t="str">
        <x:v>Route segment</x:v>
      </x:c>
      <x:c r="M228" s="13"/>
      <x:c r="N228" s="11" t="str">
        <x:f>IF(OR(M228="",L228="Shared bundle"),"",IF(L228="Full home run",K228,I228)+M228)</x:f>
      </x:c>
      <x:c r="O228" s="8" t="str">
        <x:v>Cable type / conductors / cross-section / conduit: pending electrical design</x:v>
      </x:c>
      <x:c r="P228" s="8" t="str">
        <x:v>Concealed pier / wall drop, local termination</x:v>
      </x:c>
      <x:c r="Q228" s="9"/>
      <x:c r="R228" s="9"/>
      <x:c r="S228" s="13"/>
      <x:c r="T228" s="9"/>
      <x:c r="U228" s="9"/>
      <x:c r="V228" s="9"/>
      <x:c r="W228" s="9"/>
      <x:c r="X228" s="9"/>
      <x:c r="Y228" s="8" t="str">
        <x:v>Current</x:v>
      </x:c>
      <x:c r="Z228" s="8" t="str">
        <x:v>trunk:DB2:L6:light:1</x:v>
      </x:c>
    </x:row>
    <x:row r="229" ht="90" customHeight="1">
      <x:c r="A229" s="8" t="str">
        <x:v>drop:DB2:L6:light:1:L224</x:v>
      </x:c>
      <x:c r="B229" s="8" t="str">
        <x:v>L6 → Central gable flood · H</x:v>
      </x:c>
      <x:c r="C229" s="8" t="str">
        <x:v>DB2</x:v>
      </x:c>
      <x:c r="D229" s="8" t="str">
        <x:v>L224</x:v>
      </x:c>
      <x:c r="E229" s="8" t="str">
        <x:v>DB2</x:v>
      </x:c>
      <x:c r="F229" s="8" t="str">
        <x:v>L6</x:v>
      </x:c>
      <x:c r="G229" s="8" t="str">
        <x:v>light</x:v>
      </x:c>
      <x:c r="H229" s="8" t="str">
        <x:v>drop</x:v>
      </x:c>
      <x:c r="I229" s="11" t="n">
        <x:f>SUMIF('Route Points'!$A$7:$A$1910,A229,'Route Points'!$F$7:$F$1910)</x:f>
        <x:v>9.559000000000001</x:v>
      </x:c>
      <x:c r="J229" s="11"/>
      <x:c r="K229" s="11" t="str">
        <x:f>IF(L229="Full home run",I229+J229,"")</x:f>
      </x:c>
      <x:c r="L229" s="8" t="str">
        <x:v>Route segment</x:v>
      </x:c>
      <x:c r="M229" s="13"/>
      <x:c r="N229" s="11" t="str">
        <x:f>IF(OR(M229="",L229="Shared bundle"),"",IF(L229="Full home run",K229,I229)+M229)</x:f>
      </x:c>
      <x:c r="O229" s="8" t="str">
        <x:v>Cable type / conductors / cross-section / conduit: pending electrical design</x:v>
      </x:c>
      <x:c r="P229" s="8" t="str">
        <x:v>Concealed pier / wall drop, local termination</x:v>
      </x:c>
      <x:c r="Q229" s="9"/>
      <x:c r="R229" s="9"/>
      <x:c r="S229" s="13"/>
      <x:c r="T229" s="9"/>
      <x:c r="U229" s="9"/>
      <x:c r="V229" s="9"/>
      <x:c r="W229" s="9"/>
      <x:c r="X229" s="9"/>
      <x:c r="Y229" s="8" t="str">
        <x:v>Current</x:v>
      </x:c>
      <x:c r="Z229" s="8" t="str">
        <x:v>trunk:DB2:L6:light:1</x:v>
      </x:c>
    </x:row>
    <x:row r="230" ht="90" customHeight="1">
      <x:c r="A230" s="8" t="str">
        <x:v>drop:DB2:L6:light:1:L225</x:v>
      </x:c>
      <x:c r="B230" s="8" t="str">
        <x:v>L6 → Central crown wash · H</x:v>
      </x:c>
      <x:c r="C230" s="8" t="str">
        <x:v>DB2</x:v>
      </x:c>
      <x:c r="D230" s="8" t="str">
        <x:v>L225</x:v>
      </x:c>
      <x:c r="E230" s="8" t="str">
        <x:v>DB2</x:v>
      </x:c>
      <x:c r="F230" s="8" t="str">
        <x:v>L6</x:v>
      </x:c>
      <x:c r="G230" s="8" t="str">
        <x:v>light</x:v>
      </x:c>
      <x:c r="H230" s="8" t="str">
        <x:v>drop</x:v>
      </x:c>
      <x:c r="I230" s="11" t="n">
        <x:f>SUMIF('Route Points'!$A$7:$A$1910,A230,'Route Points'!$F$7:$F$1910)</x:f>
        <x:v>16.929000000000002</x:v>
      </x:c>
      <x:c r="J230" s="11"/>
      <x:c r="K230" s="11" t="str">
        <x:f>IF(L230="Full home run",I230+J230,"")</x:f>
      </x:c>
      <x:c r="L230" s="8" t="str">
        <x:v>Route segment</x:v>
      </x:c>
      <x:c r="M230" s="13"/>
      <x:c r="N230" s="11" t="str">
        <x:f>IF(OR(M230="",L230="Shared bundle"),"",IF(L230="Full home run",K230,I230)+M230)</x:f>
      </x:c>
      <x:c r="O230" s="8" t="str">
        <x:v>Cable type / conductors / cross-section / conduit: pending electrical design</x:v>
      </x:c>
      <x:c r="P230" s="8" t="str">
        <x:v>Concealed pier / wall drop, local termination</x:v>
      </x:c>
      <x:c r="Q230" s="9"/>
      <x:c r="R230" s="9"/>
      <x:c r="S230" s="13"/>
      <x:c r="T230" s="9"/>
      <x:c r="U230" s="9"/>
      <x:c r="V230" s="9"/>
      <x:c r="W230" s="9"/>
      <x:c r="X230" s="9"/>
      <x:c r="Y230" s="8" t="str">
        <x:v>Current</x:v>
      </x:c>
      <x:c r="Z230" s="8" t="str">
        <x:v>trunk:DB2:L6:light:1</x:v>
      </x:c>
    </x:row>
    <x:row r="231" ht="194" customHeight="1">
      <x:c r="A231" s="8" t="str">
        <x:v>trunk:DB2:L7:light:-1</x:v>
      </x:c>
      <x:c r="B231" s="8" t="str">
        <x:v>L7 · B · circuit trunk</x:v>
      </x:c>
      <x:c r="C231" s="8" t="str">
        <x:v>DB2</x:v>
      </x:c>
      <x:c r="D231" s="8" t="str">
        <x:v>L196
L197
L198
L199
L200
L201
L202
L203
L204
L205
L206
L207
L219
L220</x:v>
      </x:c>
      <x:c r="E231" s="8" t="str">
        <x:v>DB2</x:v>
      </x:c>
      <x:c r="F231" s="8" t="str">
        <x:v>L7</x:v>
      </x:c>
      <x:c r="G231" s="8" t="str">
        <x:v>light</x:v>
      </x:c>
      <x:c r="H231" s="8" t="str">
        <x:v>trunk</x:v>
      </x:c>
      <x:c r="I231" s="11" t="n">
        <x:f>SUMIF('Route Points'!$A$7:$A$1910,A231,'Route Points'!$F$7:$F$1910)</x:f>
        <x:v>74.21</x:v>
      </x:c>
      <x:c r="J231" s="11"/>
      <x:c r="K231" s="11" t="str">
        <x:f>IF(L231="Full home run",I231+J231,"")</x:f>
      </x:c>
      <x:c r="L231" s="8" t="str">
        <x:v>Route segment</x:v>
      </x:c>
      <x:c r="M231" s="13"/>
      <x:c r="N231" s="11" t="str">
        <x:f>IF(OR(M231="",L231="Shared bundle"),"",IF(L231="Full home run",K231,I231)+M231)</x:f>
      </x:c>
      <x:c r="O231" s="8" t="str">
        <x:v>Cable type / conductors / cross-section / conduit: pending electrical design</x:v>
      </x:c>
      <x:c r="P231" s="8" t="str">
        <x:v>Concealed wall band above openings; ceiling containment at wing returns</x:v>
      </x:c>
      <x:c r="Q231" s="9"/>
      <x:c r="R231" s="9"/>
      <x:c r="S231" s="13"/>
      <x:c r="T231" s="9"/>
      <x:c r="U231" s="9"/>
      <x:c r="V231" s="9"/>
      <x:c r="W231" s="9"/>
      <x:c r="X231" s="9"/>
      <x:c r="Y231" s="8" t="str">
        <x:v>Current</x:v>
      </x:c>
      <x:c r="Z231" s="8"/>
    </x:row>
    <x:row r="232" ht="90" customHeight="1">
      <x:c r="A232" s="8" t="str">
        <x:v>drop:DB2:L7:light:-1:L196</x:v>
      </x:c>
      <x:c r="B232" s="8" t="str">
        <x:v>L7 → Festival lights · roof ridge</x:v>
      </x:c>
      <x:c r="C232" s="8" t="str">
        <x:v>DB2</x:v>
      </x:c>
      <x:c r="D232" s="8" t="str">
        <x:v>L196</x:v>
      </x:c>
      <x:c r="E232" s="8" t="str">
        <x:v>DB2</x:v>
      </x:c>
      <x:c r="F232" s="8" t="str">
        <x:v>L7</x:v>
      </x:c>
      <x:c r="G232" s="8" t="str">
        <x:v>light</x:v>
      </x:c>
      <x:c r="H232" s="8" t="str">
        <x:v>drop</x:v>
      </x:c>
      <x:c r="I232" s="11" t="n">
        <x:f>SUMIF('Route Points'!$A$7:$A$1910,A232,'Route Points'!$F$7:$F$1910)</x:f>
        <x:v>10.062515829308408</x:v>
      </x:c>
      <x:c r="J232" s="11"/>
      <x:c r="K232" s="11" t="str">
        <x:f>IF(L232="Full home run",I232+J232,"")</x:f>
      </x:c>
      <x:c r="L232" s="8" t="str">
        <x:v>Route segment</x:v>
      </x:c>
      <x:c r="M232" s="13"/>
      <x:c r="N232" s="11" t="str">
        <x:f>IF(OR(M232="",L232="Shared bundle"),"",IF(L232="Full home run",K232,I232)+M232)</x:f>
      </x:c>
      <x:c r="O232" s="8" t="str">
        <x:v>Cable type / conductors / cross-section / conduit: pending electrical design</x:v>
      </x:c>
      <x:c r="P232" s="8" t="str">
        <x:v>Concealed pier / wall drop, local termination</x:v>
      </x:c>
      <x:c r="Q232" s="9"/>
      <x:c r="R232" s="9"/>
      <x:c r="S232" s="13"/>
      <x:c r="T232" s="9"/>
      <x:c r="U232" s="9"/>
      <x:c r="V232" s="9"/>
      <x:c r="W232" s="9"/>
      <x:c r="X232" s="9"/>
      <x:c r="Y232" s="8" t="str">
        <x:v>Current</x:v>
      </x:c>
      <x:c r="Z232" s="8" t="str">
        <x:v>trunk:DB2:L7:light:-1</x:v>
      </x:c>
    </x:row>
    <x:row r="233" ht="90" customHeight="1">
      <x:c r="A233" s="8" t="str">
        <x:v>drop:DB2:L7:light:-1:L197</x:v>
      </x:c>
      <x:c r="B233" s="8" t="str">
        <x:v>L7 → Festival lights · main eave B · nave</x:v>
      </x:c>
      <x:c r="C233" s="8" t="str">
        <x:v>DB2</x:v>
      </x:c>
      <x:c r="D233" s="8" t="str">
        <x:v>L197</x:v>
      </x:c>
      <x:c r="E233" s="8" t="str">
        <x:v>DB2</x:v>
      </x:c>
      <x:c r="F233" s="8" t="str">
        <x:v>L7</x:v>
      </x:c>
      <x:c r="G233" s="8" t="str">
        <x:v>light</x:v>
      </x:c>
      <x:c r="H233" s="8" t="str">
        <x:v>drop</x:v>
      </x:c>
      <x:c r="I233" s="11" t="n">
        <x:f>SUMIF('Route Points'!$A$7:$A$1910,A233,'Route Points'!$F$7:$F$1910)</x:f>
        <x:v>0.8900000000000015</x:v>
      </x:c>
      <x:c r="J233" s="11"/>
      <x:c r="K233" s="11" t="str">
        <x:f>IF(L233="Full home run",I233+J233,"")</x:f>
      </x:c>
      <x:c r="L233" s="8" t="str">
        <x:v>Route segment</x:v>
      </x:c>
      <x:c r="M233" s="13"/>
      <x:c r="N233" s="11" t="str">
        <x:f>IF(OR(M233="",L233="Shared bundle"),"",IF(L233="Full home run",K233,I233)+M233)</x:f>
      </x:c>
      <x:c r="O233" s="8" t="str">
        <x:v>Cable type / conductors / cross-section / conduit: pending electrical design</x:v>
      </x:c>
      <x:c r="P233" s="8" t="str">
        <x:v>Concealed pier / wall drop, local termination</x:v>
      </x:c>
      <x:c r="Q233" s="9"/>
      <x:c r="R233" s="9"/>
      <x:c r="S233" s="13"/>
      <x:c r="T233" s="9"/>
      <x:c r="U233" s="9"/>
      <x:c r="V233" s="9"/>
      <x:c r="W233" s="9"/>
      <x:c r="X233" s="9"/>
      <x:c r="Y233" s="8" t="str">
        <x:v>Current</x:v>
      </x:c>
      <x:c r="Z233" s="8" t="str">
        <x:v>trunk:DB2:L7:light:-1</x:v>
      </x:c>
    </x:row>
    <x:row r="234" ht="90" customHeight="1">
      <x:c r="A234" s="8" t="str">
        <x:v>drop:DB2:L7:light:-1:L198</x:v>
      </x:c>
      <x:c r="B234" s="8" t="str">
        <x:v>L7 → Festival lights · main eave B · sanctuary</x:v>
      </x:c>
      <x:c r="C234" s="8" t="str">
        <x:v>DB2</x:v>
      </x:c>
      <x:c r="D234" s="8" t="str">
        <x:v>L198</x:v>
      </x:c>
      <x:c r="E234" s="8" t="str">
        <x:v>DB2</x:v>
      </x:c>
      <x:c r="F234" s="8" t="str">
        <x:v>L7</x:v>
      </x:c>
      <x:c r="G234" s="8" t="str">
        <x:v>light</x:v>
      </x:c>
      <x:c r="H234" s="8" t="str">
        <x:v>drop</x:v>
      </x:c>
      <x:c r="I234" s="11" t="n">
        <x:f>SUMIF('Route Points'!$A$7:$A$1910,A234,'Route Points'!$F$7:$F$1910)</x:f>
        <x:v>0.8900000000000015</x:v>
      </x:c>
      <x:c r="J234" s="11"/>
      <x:c r="K234" s="11" t="str">
        <x:f>IF(L234="Full home run",I234+J234,"")</x:f>
      </x:c>
      <x:c r="L234" s="8" t="str">
        <x:v>Route segment</x:v>
      </x:c>
      <x:c r="M234" s="13"/>
      <x:c r="N234" s="11" t="str">
        <x:f>IF(OR(M234="",L234="Shared bundle"),"",IF(L234="Full home run",K234,I234)+M234)</x:f>
      </x:c>
      <x:c r="O234" s="8" t="str">
        <x:v>Cable type / conductors / cross-section / conduit: pending electrical design</x:v>
      </x:c>
      <x:c r="P234" s="8" t="str">
        <x:v>Concealed pier / wall drop, local termination</x:v>
      </x:c>
      <x:c r="Q234" s="9"/>
      <x:c r="R234" s="9"/>
      <x:c r="S234" s="13"/>
      <x:c r="T234" s="9"/>
      <x:c r="U234" s="9"/>
      <x:c r="V234" s="9"/>
      <x:c r="W234" s="9"/>
      <x:c r="X234" s="9"/>
      <x:c r="Y234" s="8" t="str">
        <x:v>Current</x:v>
      </x:c>
      <x:c r="Z234" s="8" t="str">
        <x:v>trunk:DB2:L7:light:-1</x:v>
      </x:c>
    </x:row>
    <x:row r="235" ht="90" customHeight="1">
      <x:c r="A235" s="8" t="str">
        <x:v>drop:DB2:L7:light:-1:L199</x:v>
      </x:c>
      <x:c r="B235" s="8" t="str">
        <x:v>L7 → Festival lights · veranda eave B · nave</x:v>
      </x:c>
      <x:c r="C235" s="8" t="str">
        <x:v>DB2</x:v>
      </x:c>
      <x:c r="D235" s="8" t="str">
        <x:v>L199</x:v>
      </x:c>
      <x:c r="E235" s="8" t="str">
        <x:v>DB2</x:v>
      </x:c>
      <x:c r="F235" s="8" t="str">
        <x:v>L7</x:v>
      </x:c>
      <x:c r="G235" s="8" t="str">
        <x:v>light</x:v>
      </x:c>
      <x:c r="H235" s="8" t="str">
        <x:v>drop</x:v>
      </x:c>
      <x:c r="I235" s="11" t="n">
        <x:f>SUMIF('Route Points'!$A$7:$A$1910,A235,'Route Points'!$F$7:$F$1910)</x:f>
        <x:v>3.259999999999999</x:v>
      </x:c>
      <x:c r="J235" s="11"/>
      <x:c r="K235" s="11" t="str">
        <x:f>IF(L235="Full home run",I235+J235,"")</x:f>
      </x:c>
      <x:c r="L235" s="8" t="str">
        <x:v>Route segment</x:v>
      </x:c>
      <x:c r="M235" s="13"/>
      <x:c r="N235" s="11" t="str">
        <x:f>IF(OR(M235="",L235="Shared bundle"),"",IF(L235="Full home run",K235,I235)+M235)</x:f>
      </x:c>
      <x:c r="O235" s="8" t="str">
        <x:v>Cable type / conductors / cross-section / conduit: pending electrical design</x:v>
      </x:c>
      <x:c r="P235" s="8" t="str">
        <x:v>Concealed pier / wall drop, local termination</x:v>
      </x:c>
      <x:c r="Q235" s="9"/>
      <x:c r="R235" s="9"/>
      <x:c r="S235" s="13"/>
      <x:c r="T235" s="9"/>
      <x:c r="U235" s="9"/>
      <x:c r="V235" s="9"/>
      <x:c r="W235" s="9"/>
      <x:c r="X235" s="9"/>
      <x:c r="Y235" s="8" t="str">
        <x:v>Current</x:v>
      </x:c>
      <x:c r="Z235" s="8" t="str">
        <x:v>trunk:DB2:L7:light:-1</x:v>
      </x:c>
    </x:row>
    <x:row r="236" ht="90" customHeight="1">
      <x:c r="A236" s="8" t="str">
        <x:v>drop:DB2:L7:light:-1:L200</x:v>
      </x:c>
      <x:c r="B236" s="8" t="str">
        <x:v>L7 → Festival lights · veranda eave B · sanctuary</x:v>
      </x:c>
      <x:c r="C236" s="8" t="str">
        <x:v>DB2</x:v>
      </x:c>
      <x:c r="D236" s="8" t="str">
        <x:v>L200</x:v>
      </x:c>
      <x:c r="E236" s="8" t="str">
        <x:v>DB2</x:v>
      </x:c>
      <x:c r="F236" s="8" t="str">
        <x:v>L7</x:v>
      </x:c>
      <x:c r="G236" s="8" t="str">
        <x:v>light</x:v>
      </x:c>
      <x:c r="H236" s="8" t="str">
        <x:v>drop</x:v>
      </x:c>
      <x:c r="I236" s="11" t="n">
        <x:f>SUMIF('Route Points'!$A$7:$A$1910,A236,'Route Points'!$F$7:$F$1910)</x:f>
        <x:v>3.259999999999999</x:v>
      </x:c>
      <x:c r="J236" s="11"/>
      <x:c r="K236" s="11" t="str">
        <x:f>IF(L236="Full home run",I236+J236,"")</x:f>
      </x:c>
      <x:c r="L236" s="8" t="str">
        <x:v>Route segment</x:v>
      </x:c>
      <x:c r="M236" s="13"/>
      <x:c r="N236" s="11" t="str">
        <x:f>IF(OR(M236="",L236="Shared bundle"),"",IF(L236="Full home run",K236,I236)+M236)</x:f>
      </x:c>
      <x:c r="O236" s="8" t="str">
        <x:v>Cable type / conductors / cross-section / conduit: pending electrical design</x:v>
      </x:c>
      <x:c r="P236" s="8" t="str">
        <x:v>Concealed pier / wall drop, local termination</x:v>
      </x:c>
      <x:c r="Q236" s="9"/>
      <x:c r="R236" s="9"/>
      <x:c r="S236" s="13"/>
      <x:c r="T236" s="9"/>
      <x:c r="U236" s="9"/>
      <x:c r="V236" s="9"/>
      <x:c r="W236" s="9"/>
      <x:c r="X236" s="9"/>
      <x:c r="Y236" s="8" t="str">
        <x:v>Current</x:v>
      </x:c>
      <x:c r="Z236" s="8" t="str">
        <x:v>trunk:DB2:L7:light:-1</x:v>
      </x:c>
    </x:row>
    <x:row r="237" ht="90" customHeight="1">
      <x:c r="A237" s="8" t="str">
        <x:v>drop:DB2:L7:light:-1:L201</x:v>
      </x:c>
      <x:c r="B237" s="8" t="str">
        <x:v>L7 → Festival lights · rear gable B</x:v>
      </x:c>
      <x:c r="C237" s="8" t="str">
        <x:v>DB2</x:v>
      </x:c>
      <x:c r="D237" s="8" t="str">
        <x:v>L201</x:v>
      </x:c>
      <x:c r="E237" s="8" t="str">
        <x:v>DB2</x:v>
      </x:c>
      <x:c r="F237" s="8" t="str">
        <x:v>L7</x:v>
      </x:c>
      <x:c r="G237" s="8" t="str">
        <x:v>light</x:v>
      </x:c>
      <x:c r="H237" s="8" t="str">
        <x:v>drop</x:v>
      </x:c>
      <x:c r="I237" s="11" t="n">
        <x:f>SUMIF('Route Points'!$A$7:$A$1910,A237,'Route Points'!$F$7:$F$1910)</x:f>
        <x:v>7.620000000000006</x:v>
      </x:c>
      <x:c r="J237" s="11"/>
      <x:c r="K237" s="11" t="str">
        <x:f>IF(L237="Full home run",I237+J237,"")</x:f>
      </x:c>
      <x:c r="L237" s="8" t="str">
        <x:v>Route segment</x:v>
      </x:c>
      <x:c r="M237" s="13"/>
      <x:c r="N237" s="11" t="str">
        <x:f>IF(OR(M237="",L237="Shared bundle"),"",IF(L237="Full home run",K237,I237)+M237)</x:f>
      </x:c>
      <x:c r="O237" s="8" t="str">
        <x:v>Cable type / conductors / cross-section / conduit: pending electrical design</x:v>
      </x:c>
      <x:c r="P237" s="8" t="str">
        <x:v>Concealed pier / wall drop, local termination</x:v>
      </x:c>
      <x:c r="Q237" s="9"/>
      <x:c r="R237" s="9"/>
      <x:c r="S237" s="13"/>
      <x:c r="T237" s="9"/>
      <x:c r="U237" s="9"/>
      <x:c r="V237" s="9"/>
      <x:c r="W237" s="9"/>
      <x:c r="X237" s="9"/>
      <x:c r="Y237" s="8" t="str">
        <x:v>Current</x:v>
      </x:c>
      <x:c r="Z237" s="8" t="str">
        <x:v>trunk:DB2:L7:light:-1</x:v>
      </x:c>
    </x:row>
    <x:row r="238" ht="90" customHeight="1">
      <x:c r="A238" s="8" t="str">
        <x:v>drop:DB2:L7:light:-1:L202</x:v>
      </x:c>
      <x:c r="B238" s="8" t="str">
        <x:v>L7 → Festival lights · tower B · stage 1 · inner corner</x:v>
      </x:c>
      <x:c r="C238" s="8" t="str">
        <x:v>DB2</x:v>
      </x:c>
      <x:c r="D238" s="8" t="str">
        <x:v>L202</x:v>
      </x:c>
      <x:c r="E238" s="8" t="str">
        <x:v>DB2</x:v>
      </x:c>
      <x:c r="F238" s="8" t="str">
        <x:v>L7</x:v>
      </x:c>
      <x:c r="G238" s="8" t="str">
        <x:v>light</x:v>
      </x:c>
      <x:c r="H238" s="8" t="str">
        <x:v>drop</x:v>
      </x:c>
      <x:c r="I238" s="11" t="n">
        <x:f>SUMIF('Route Points'!$A$7:$A$1910,A238,'Route Points'!$F$7:$F$1910)</x:f>
        <x:v>12.488000000000001</x:v>
      </x:c>
      <x:c r="J238" s="11"/>
      <x:c r="K238" s="11" t="str">
        <x:f>IF(L238="Full home run",I238+J238,"")</x:f>
      </x:c>
      <x:c r="L238" s="8" t="str">
        <x:v>Route segment</x:v>
      </x:c>
      <x:c r="M238" s="13"/>
      <x:c r="N238" s="11" t="str">
        <x:f>IF(OR(M238="",L238="Shared bundle"),"",IF(L238="Full home run",K238,I238)+M238)</x:f>
      </x:c>
      <x:c r="O238" s="8" t="str">
        <x:v>Cable type / conductors / cross-section / conduit: pending electrical design</x:v>
      </x:c>
      <x:c r="P238" s="8" t="str">
        <x:v>Concealed pier / wall drop, local termination</x:v>
      </x:c>
      <x:c r="Q238" s="9"/>
      <x:c r="R238" s="9"/>
      <x:c r="S238" s="13"/>
      <x:c r="T238" s="9"/>
      <x:c r="U238" s="9"/>
      <x:c r="V238" s="9"/>
      <x:c r="W238" s="9"/>
      <x:c r="X238" s="9"/>
      <x:c r="Y238" s="8" t="str">
        <x:v>Current</x:v>
      </x:c>
      <x:c r="Z238" s="8" t="str">
        <x:v>trunk:DB2:L7:light:-1</x:v>
      </x:c>
    </x:row>
    <x:row r="239" ht="90" customHeight="1">
      <x:c r="A239" s="8" t="str">
        <x:v>drop:DB2:L7:light:-1:L203</x:v>
      </x:c>
      <x:c r="B239" s="8" t="str">
        <x:v>L7 → Festival lights · tower B · stage 1 · outer corner</x:v>
      </x:c>
      <x:c r="C239" s="8" t="str">
        <x:v>DB2</x:v>
      </x:c>
      <x:c r="D239" s="8" t="str">
        <x:v>L203</x:v>
      </x:c>
      <x:c r="E239" s="8" t="str">
        <x:v>DB2</x:v>
      </x:c>
      <x:c r="F239" s="8" t="str">
        <x:v>L7</x:v>
      </x:c>
      <x:c r="G239" s="8" t="str">
        <x:v>light</x:v>
      </x:c>
      <x:c r="H239" s="8" t="str">
        <x:v>drop</x:v>
      </x:c>
      <x:c r="I239" s="11" t="n">
        <x:f>SUMIF('Route Points'!$A$7:$A$1910,A239,'Route Points'!$F$7:$F$1910)</x:f>
        <x:v>12.488000000000001</x:v>
      </x:c>
      <x:c r="J239" s="11"/>
      <x:c r="K239" s="11" t="str">
        <x:f>IF(L239="Full home run",I239+J239,"")</x:f>
      </x:c>
      <x:c r="L239" s="8" t="str">
        <x:v>Route segment</x:v>
      </x:c>
      <x:c r="M239" s="13"/>
      <x:c r="N239" s="11" t="str">
        <x:f>IF(OR(M239="",L239="Shared bundle"),"",IF(L239="Full home run",K239,I239)+M239)</x:f>
      </x:c>
      <x:c r="O239" s="8" t="str">
        <x:v>Cable type / conductors / cross-section / conduit: pending electrical design</x:v>
      </x:c>
      <x:c r="P239" s="8" t="str">
        <x:v>Concealed pier / wall drop, local termination</x:v>
      </x:c>
      <x:c r="Q239" s="9"/>
      <x:c r="R239" s="9"/>
      <x:c r="S239" s="13"/>
      <x:c r="T239" s="9"/>
      <x:c r="U239" s="9"/>
      <x:c r="V239" s="9"/>
      <x:c r="W239" s="9"/>
      <x:c r="X239" s="9"/>
      <x:c r="Y239" s="8" t="str">
        <x:v>Current</x:v>
      </x:c>
      <x:c r="Z239" s="8" t="str">
        <x:v>trunk:DB2:L7:light:-1</x:v>
      </x:c>
    </x:row>
    <x:row r="240" ht="90" customHeight="1">
      <x:c r="A240" s="8" t="str">
        <x:v>drop:DB2:L7:light:-1:L204</x:v>
      </x:c>
      <x:c r="B240" s="8" t="str">
        <x:v>L7 → Festival lights · tower B · stage 2 · inner corner</x:v>
      </x:c>
      <x:c r="C240" s="8" t="str">
        <x:v>DB2</x:v>
      </x:c>
      <x:c r="D240" s="8" t="str">
        <x:v>L204</x:v>
      </x:c>
      <x:c r="E240" s="8" t="str">
        <x:v>DB2</x:v>
      </x:c>
      <x:c r="F240" s="8" t="str">
        <x:v>L7</x:v>
      </x:c>
      <x:c r="G240" s="8" t="str">
        <x:v>light</x:v>
      </x:c>
      <x:c r="H240" s="8" t="str">
        <x:v>drop</x:v>
      </x:c>
      <x:c r="I240" s="11" t="n">
        <x:f>SUMIF('Route Points'!$A$7:$A$1910,A240,'Route Points'!$F$7:$F$1910)</x:f>
        <x:v>13.283000000000001</x:v>
      </x:c>
      <x:c r="J240" s="11"/>
      <x:c r="K240" s="11" t="str">
        <x:f>IF(L240="Full home run",I240+J240,"")</x:f>
      </x:c>
      <x:c r="L240" s="8" t="str">
        <x:v>Route segment</x:v>
      </x:c>
      <x:c r="M240" s="13"/>
      <x:c r="N240" s="11" t="str">
        <x:f>IF(OR(M240="",L240="Shared bundle"),"",IF(L240="Full home run",K240,I240)+M240)</x:f>
      </x:c>
      <x:c r="O240" s="8" t="str">
        <x:v>Cable type / conductors / cross-section / conduit: pending electrical design</x:v>
      </x:c>
      <x:c r="P240" s="8" t="str">
        <x:v>Concealed pier / wall drop, local termination</x:v>
      </x:c>
      <x:c r="Q240" s="9"/>
      <x:c r="R240" s="9"/>
      <x:c r="S240" s="13"/>
      <x:c r="T240" s="9"/>
      <x:c r="U240" s="9"/>
      <x:c r="V240" s="9"/>
      <x:c r="W240" s="9"/>
      <x:c r="X240" s="9"/>
      <x:c r="Y240" s="8" t="str">
        <x:v>Current</x:v>
      </x:c>
      <x:c r="Z240" s="8" t="str">
        <x:v>trunk:DB2:L7:light:-1</x:v>
      </x:c>
    </x:row>
    <x:row r="241" ht="90" customHeight="1">
      <x:c r="A241" s="8" t="str">
        <x:v>drop:DB2:L7:light:-1:L205</x:v>
      </x:c>
      <x:c r="B241" s="8" t="str">
        <x:v>L7 → Festival lights · tower B · stage 2 · outer corner</x:v>
      </x:c>
      <x:c r="C241" s="8" t="str">
        <x:v>DB2</x:v>
      </x:c>
      <x:c r="D241" s="8" t="str">
        <x:v>L205</x:v>
      </x:c>
      <x:c r="E241" s="8" t="str">
        <x:v>DB2</x:v>
      </x:c>
      <x:c r="F241" s="8" t="str">
        <x:v>L7</x:v>
      </x:c>
      <x:c r="G241" s="8" t="str">
        <x:v>light</x:v>
      </x:c>
      <x:c r="H241" s="8" t="str">
        <x:v>drop</x:v>
      </x:c>
      <x:c r="I241" s="11" t="n">
        <x:f>SUMIF('Route Points'!$A$7:$A$1910,A241,'Route Points'!$F$7:$F$1910)</x:f>
        <x:v>13.283000000000001</x:v>
      </x:c>
      <x:c r="J241" s="11"/>
      <x:c r="K241" s="11" t="str">
        <x:f>IF(L241="Full home run",I241+J241,"")</x:f>
      </x:c>
      <x:c r="L241" s="8" t="str">
        <x:v>Route segment</x:v>
      </x:c>
      <x:c r="M241" s="13"/>
      <x:c r="N241" s="11" t="str">
        <x:f>IF(OR(M241="",L241="Shared bundle"),"",IF(L241="Full home run",K241,I241)+M241)</x:f>
      </x:c>
      <x:c r="O241" s="8" t="str">
        <x:v>Cable type / conductors / cross-section / conduit: pending electrical design</x:v>
      </x:c>
      <x:c r="P241" s="8" t="str">
        <x:v>Concealed pier / wall drop, local termination</x:v>
      </x:c>
      <x:c r="Q241" s="9"/>
      <x:c r="R241" s="9"/>
      <x:c r="S241" s="13"/>
      <x:c r="T241" s="9"/>
      <x:c r="U241" s="9"/>
      <x:c r="V241" s="9"/>
      <x:c r="W241" s="9"/>
      <x:c r="X241" s="9"/>
      <x:c r="Y241" s="8" t="str">
        <x:v>Current</x:v>
      </x:c>
      <x:c r="Z241" s="8" t="str">
        <x:v>trunk:DB2:L7:light:-1</x:v>
      </x:c>
    </x:row>
    <x:row r="242" ht="90" customHeight="1">
      <x:c r="A242" s="8" t="str">
        <x:v>drop:DB2:L7:light:-1:L206</x:v>
      </x:c>
      <x:c r="B242" s="8" t="str">
        <x:v>L7 → Festival lights · tower B · stage 3 · inner corner</x:v>
      </x:c>
      <x:c r="C242" s="8" t="str">
        <x:v>DB2</x:v>
      </x:c>
      <x:c r="D242" s="8" t="str">
        <x:v>L206</x:v>
      </x:c>
      <x:c r="E242" s="8" t="str">
        <x:v>DB2</x:v>
      </x:c>
      <x:c r="F242" s="8" t="str">
        <x:v>L7</x:v>
      </x:c>
      <x:c r="G242" s="8" t="str">
        <x:v>light</x:v>
      </x:c>
      <x:c r="H242" s="8" t="str">
        <x:v>drop</x:v>
      </x:c>
      <x:c r="I242" s="11" t="n">
        <x:f>SUMIF('Route Points'!$A$7:$A$1910,A242,'Route Points'!$F$7:$F$1910)</x:f>
        <x:v>20.538000000000004</x:v>
      </x:c>
      <x:c r="J242" s="11"/>
      <x:c r="K242" s="11" t="str">
        <x:f>IF(L242="Full home run",I242+J242,"")</x:f>
      </x:c>
      <x:c r="L242" s="8" t="str">
        <x:v>Route segment</x:v>
      </x:c>
      <x:c r="M242" s="13"/>
      <x:c r="N242" s="11" t="str">
        <x:f>IF(OR(M242="",L242="Shared bundle"),"",IF(L242="Full home run",K242,I242)+M242)</x:f>
      </x:c>
      <x:c r="O242" s="8" t="str">
        <x:v>Cable type / conductors / cross-section / conduit: pending electrical design</x:v>
      </x:c>
      <x:c r="P242" s="8" t="str">
        <x:v>Concealed pier / wall drop, local termination</x:v>
      </x:c>
      <x:c r="Q242" s="9"/>
      <x:c r="R242" s="9"/>
      <x:c r="S242" s="13"/>
      <x:c r="T242" s="9"/>
      <x:c r="U242" s="9"/>
      <x:c r="V242" s="9"/>
      <x:c r="W242" s="9"/>
      <x:c r="X242" s="9"/>
      <x:c r="Y242" s="8" t="str">
        <x:v>Current</x:v>
      </x:c>
      <x:c r="Z242" s="8" t="str">
        <x:v>trunk:DB2:L7:light:-1</x:v>
      </x:c>
    </x:row>
    <x:row r="243" ht="90" customHeight="1">
      <x:c r="A243" s="8" t="str">
        <x:v>drop:DB2:L7:light:-1:L207</x:v>
      </x:c>
      <x:c r="B243" s="8" t="str">
        <x:v>L7 → Festival lights · tower B · stage 3 · outer corner</x:v>
      </x:c>
      <x:c r="C243" s="8" t="str">
        <x:v>DB2</x:v>
      </x:c>
      <x:c r="D243" s="8" t="str">
        <x:v>L207</x:v>
      </x:c>
      <x:c r="E243" s="8" t="str">
        <x:v>DB2</x:v>
      </x:c>
      <x:c r="F243" s="8" t="str">
        <x:v>L7</x:v>
      </x:c>
      <x:c r="G243" s="8" t="str">
        <x:v>light</x:v>
      </x:c>
      <x:c r="H243" s="8" t="str">
        <x:v>drop</x:v>
      </x:c>
      <x:c r="I243" s="11" t="n">
        <x:f>SUMIF('Route Points'!$A$7:$A$1910,A243,'Route Points'!$F$7:$F$1910)</x:f>
        <x:v>20.538000000000004</x:v>
      </x:c>
      <x:c r="J243" s="11"/>
      <x:c r="K243" s="11" t="str">
        <x:f>IF(L243="Full home run",I243+J243,"")</x:f>
      </x:c>
      <x:c r="L243" s="8" t="str">
        <x:v>Route segment</x:v>
      </x:c>
      <x:c r="M243" s="13"/>
      <x:c r="N243" s="11" t="str">
        <x:f>IF(OR(M243="",L243="Shared bundle"),"",IF(L243="Full home run",K243,I243)+M243)</x:f>
      </x:c>
      <x:c r="O243" s="8" t="str">
        <x:v>Cable type / conductors / cross-section / conduit: pending electrical design</x:v>
      </x:c>
      <x:c r="P243" s="8" t="str">
        <x:v>Concealed pier / wall drop, local termination</x:v>
      </x:c>
      <x:c r="Q243" s="9"/>
      <x:c r="R243" s="9"/>
      <x:c r="S243" s="13"/>
      <x:c r="T243" s="9"/>
      <x:c r="U243" s="9"/>
      <x:c r="V243" s="9"/>
      <x:c r="W243" s="9"/>
      <x:c r="X243" s="9"/>
      <x:c r="Y243" s="8" t="str">
        <x:v>Current</x:v>
      </x:c>
      <x:c r="Z243" s="8" t="str">
        <x:v>trunk:DB2:L7:light:-1</x:v>
      </x:c>
    </x:row>
    <x:row r="244" ht="90" customHeight="1">
      <x:c r="A244" s="8" t="str">
        <x:v>drop:DB2:L7:light:-1:L219</x:v>
      </x:c>
      <x:c r="B244" s="8" t="str">
        <x:v>L7 → Festival lights · front terrace between the towers</x:v>
      </x:c>
      <x:c r="C244" s="8" t="str">
        <x:v>DB2</x:v>
      </x:c>
      <x:c r="D244" s="8" t="str">
        <x:v>L219</x:v>
      </x:c>
      <x:c r="E244" s="8" t="str">
        <x:v>DB2</x:v>
      </x:c>
      <x:c r="F244" s="8" t="str">
        <x:v>L7</x:v>
      </x:c>
      <x:c r="G244" s="8" t="str">
        <x:v>light</x:v>
      </x:c>
      <x:c r="H244" s="8" t="str">
        <x:v>drop</x:v>
      </x:c>
      <x:c r="I244" s="11" t="n">
        <x:f>SUMIF('Route Points'!$A$7:$A$1910,A244,'Route Points'!$F$7:$F$1910)</x:f>
        <x:v>9.57</x:v>
      </x:c>
      <x:c r="J244" s="11"/>
      <x:c r="K244" s="11" t="str">
        <x:f>IF(L244="Full home run",I244+J244,"")</x:f>
      </x:c>
      <x:c r="L244" s="8" t="str">
        <x:v>Route segment</x:v>
      </x:c>
      <x:c r="M244" s="13"/>
      <x:c r="N244" s="11" t="str">
        <x:f>IF(OR(M244="",L244="Shared bundle"),"",IF(L244="Full home run",K244,I244)+M244)</x:f>
      </x:c>
      <x:c r="O244" s="8" t="str">
        <x:v>Cable type / conductors / cross-section / conduit: pending electrical design</x:v>
      </x:c>
      <x:c r="P244" s="8" t="str">
        <x:v>Concealed pier / wall drop, local termination</x:v>
      </x:c>
      <x:c r="Q244" s="9"/>
      <x:c r="R244" s="9"/>
      <x:c r="S244" s="13"/>
      <x:c r="T244" s="9"/>
      <x:c r="U244" s="9"/>
      <x:c r="V244" s="9"/>
      <x:c r="W244" s="9"/>
      <x:c r="X244" s="9"/>
      <x:c r="Y244" s="8" t="str">
        <x:v>Current</x:v>
      </x:c>
      <x:c r="Z244" s="8" t="str">
        <x:v>trunk:DB2:L7:light:-1</x:v>
      </x:c>
    </x:row>
    <x:row r="245" ht="90" customHeight="1">
      <x:c r="A245" s="8" t="str">
        <x:v>drop:DB2:L7:light:-1:L220</x:v>
      </x:c>
      <x:c r="B245" s="8" t="str">
        <x:v>L7 → Festival flood · rear gable B</x:v>
      </x:c>
      <x:c r="C245" s="8" t="str">
        <x:v>DB2</x:v>
      </x:c>
      <x:c r="D245" s="8" t="str">
        <x:v>L220</x:v>
      </x:c>
      <x:c r="E245" s="8" t="str">
        <x:v>DB2</x:v>
      </x:c>
      <x:c r="F245" s="8" t="str">
        <x:v>L7</x:v>
      </x:c>
      <x:c r="G245" s="8" t="str">
        <x:v>light</x:v>
      </x:c>
      <x:c r="H245" s="8" t="str">
        <x:v>drop</x:v>
      </x:c>
      <x:c r="I245" s="11" t="n">
        <x:f>SUMIF('Route Points'!$A$7:$A$1910,A245,'Route Points'!$F$7:$F$1910)</x:f>
        <x:v>2.500000000000001</x:v>
      </x:c>
      <x:c r="J245" s="11"/>
      <x:c r="K245" s="11" t="str">
        <x:f>IF(L245="Full home run",I245+J245,"")</x:f>
      </x:c>
      <x:c r="L245" s="8" t="str">
        <x:v>Route segment</x:v>
      </x:c>
      <x:c r="M245" s="13"/>
      <x:c r="N245" s="11" t="str">
        <x:f>IF(OR(M245="",L245="Shared bundle"),"",IF(L245="Full home run",K245,I245)+M245)</x:f>
      </x:c>
      <x:c r="O245" s="8" t="str">
        <x:v>Cable type / conductors / cross-section / conduit: pending electrical design</x:v>
      </x:c>
      <x:c r="P245" s="8" t="str">
        <x:v>Concealed pier / wall drop, local termination</x:v>
      </x:c>
      <x:c r="Q245" s="9"/>
      <x:c r="R245" s="9"/>
      <x:c r="S245" s="13"/>
      <x:c r="T245" s="9"/>
      <x:c r="U245" s="9"/>
      <x:c r="V245" s="9"/>
      <x:c r="W245" s="9"/>
      <x:c r="X245" s="9"/>
      <x:c r="Y245" s="8" t="str">
        <x:v>Current</x:v>
      </x:c>
      <x:c r="Z245" s="8" t="str">
        <x:v>trunk:DB2:L7:light:-1</x:v>
      </x:c>
    </x:row>
    <x:row r="246" ht="168" customHeight="1">
      <x:c r="A246" s="8" t="str">
        <x:v>trunk:DB2:L7:light:1</x:v>
      </x:c>
      <x:c r="B246" s="8" t="str">
        <x:v>L7 · H · circuit trunk</x:v>
      </x:c>
      <x:c r="C246" s="8" t="str">
        <x:v>DB2</x:v>
      </x:c>
      <x:c r="D246" s="8" t="str">
        <x:v>L208
L209
L210
L211
L212
L213
L214
L215
L216
L217
L218
L221</x:v>
      </x:c>
      <x:c r="E246" s="8" t="str">
        <x:v>DB2</x:v>
      </x:c>
      <x:c r="F246" s="8" t="str">
        <x:v>L7</x:v>
      </x:c>
      <x:c r="G246" s="8" t="str">
        <x:v>light</x:v>
      </x:c>
      <x:c r="H246" s="8" t="str">
        <x:v>trunk</x:v>
      </x:c>
      <x:c r="I246" s="11" t="n">
        <x:f>SUMIF('Route Points'!$A$7:$A$1910,A246,'Route Points'!$F$7:$F$1910)</x:f>
        <x:v>80.81</x:v>
      </x:c>
      <x:c r="J246" s="11"/>
      <x:c r="K246" s="11" t="str">
        <x:f>IF(L246="Full home run",I246+J246,"")</x:f>
      </x:c>
      <x:c r="L246" s="8" t="str">
        <x:v>Route segment</x:v>
      </x:c>
      <x:c r="M246" s="13"/>
      <x:c r="N246" s="11" t="str">
        <x:f>IF(OR(M246="",L246="Shared bundle"),"",IF(L246="Full home run",K246,I246)+M246)</x:f>
      </x:c>
      <x:c r="O246" s="8" t="str">
        <x:v>Cable type / conductors / cross-section / conduit: pending electrical design</x:v>
      </x:c>
      <x:c r="P246" s="8" t="str">
        <x:v>Concealed wall band above openings; ceiling containment at wing returns</x:v>
      </x:c>
      <x:c r="Q246" s="9"/>
      <x:c r="R246" s="9"/>
      <x:c r="S246" s="13"/>
      <x:c r="T246" s="9"/>
      <x:c r="U246" s="9"/>
      <x:c r="V246" s="9"/>
      <x:c r="W246" s="9"/>
      <x:c r="X246" s="9"/>
      <x:c r="Y246" s="8" t="str">
        <x:v>Current</x:v>
      </x:c>
      <x:c r="Z246" s="8"/>
    </x:row>
    <x:row r="247" ht="90" customHeight="1">
      <x:c r="A247" s="8" t="str">
        <x:v>drop:DB2:L7:light:1:L208</x:v>
      </x:c>
      <x:c r="B247" s="8" t="str">
        <x:v>L7 → Festival lights · main eave H · nave</x:v>
      </x:c>
      <x:c r="C247" s="8" t="str">
        <x:v>DB2</x:v>
      </x:c>
      <x:c r="D247" s="8" t="str">
        <x:v>L208</x:v>
      </x:c>
      <x:c r="E247" s="8" t="str">
        <x:v>DB2</x:v>
      </x:c>
      <x:c r="F247" s="8" t="str">
        <x:v>L7</x:v>
      </x:c>
      <x:c r="G247" s="8" t="str">
        <x:v>light</x:v>
      </x:c>
      <x:c r="H247" s="8" t="str">
        <x:v>drop</x:v>
      </x:c>
      <x:c r="I247" s="11" t="n">
        <x:f>SUMIF('Route Points'!$A$7:$A$1910,A247,'Route Points'!$F$7:$F$1910)</x:f>
        <x:v>0.8900000000000015</x:v>
      </x:c>
      <x:c r="J247" s="11"/>
      <x:c r="K247" s="11" t="str">
        <x:f>IF(L247="Full home run",I247+J247,"")</x:f>
      </x:c>
      <x:c r="L247" s="8" t="str">
        <x:v>Route segment</x:v>
      </x:c>
      <x:c r="M247" s="13"/>
      <x:c r="N247" s="11" t="str">
        <x:f>IF(OR(M247="",L247="Shared bundle"),"",IF(L247="Full home run",K247,I247)+M247)</x:f>
      </x:c>
      <x:c r="O247" s="8" t="str">
        <x:v>Cable type / conductors / cross-section / conduit: pending electrical design</x:v>
      </x:c>
      <x:c r="P247" s="8" t="str">
        <x:v>Concealed pier / wall drop, local termination</x:v>
      </x:c>
      <x:c r="Q247" s="9"/>
      <x:c r="R247" s="9"/>
      <x:c r="S247" s="13"/>
      <x:c r="T247" s="9"/>
      <x:c r="U247" s="9"/>
      <x:c r="V247" s="9"/>
      <x:c r="W247" s="9"/>
      <x:c r="X247" s="9"/>
      <x:c r="Y247" s="8" t="str">
        <x:v>Current</x:v>
      </x:c>
      <x:c r="Z247" s="8" t="str">
        <x:v>trunk:DB2:L7:light:1</x:v>
      </x:c>
    </x:row>
    <x:row r="248" ht="90" customHeight="1">
      <x:c r="A248" s="8" t="str">
        <x:v>drop:DB2:L7:light:1:L209</x:v>
      </x:c>
      <x:c r="B248" s="8" t="str">
        <x:v>L7 → Festival lights · main eave H · sanctuary</x:v>
      </x:c>
      <x:c r="C248" s="8" t="str">
        <x:v>DB2</x:v>
      </x:c>
      <x:c r="D248" s="8" t="str">
        <x:v>L209</x:v>
      </x:c>
      <x:c r="E248" s="8" t="str">
        <x:v>DB2</x:v>
      </x:c>
      <x:c r="F248" s="8" t="str">
        <x:v>L7</x:v>
      </x:c>
      <x:c r="G248" s="8" t="str">
        <x:v>light</x:v>
      </x:c>
      <x:c r="H248" s="8" t="str">
        <x:v>drop</x:v>
      </x:c>
      <x:c r="I248" s="11" t="n">
        <x:f>SUMIF('Route Points'!$A$7:$A$1910,A248,'Route Points'!$F$7:$F$1910)</x:f>
        <x:v>0.8900000000000015</x:v>
      </x:c>
      <x:c r="J248" s="11"/>
      <x:c r="K248" s="11" t="str">
        <x:f>IF(L248="Full home run",I248+J248,"")</x:f>
      </x:c>
      <x:c r="L248" s="8" t="str">
        <x:v>Route segment</x:v>
      </x:c>
      <x:c r="M248" s="13"/>
      <x:c r="N248" s="11" t="str">
        <x:f>IF(OR(M248="",L248="Shared bundle"),"",IF(L248="Full home run",K248,I248)+M248)</x:f>
      </x:c>
      <x:c r="O248" s="8" t="str">
        <x:v>Cable type / conductors / cross-section / conduit: pending electrical design</x:v>
      </x:c>
      <x:c r="P248" s="8" t="str">
        <x:v>Concealed pier / wall drop, local termination</x:v>
      </x:c>
      <x:c r="Q248" s="9"/>
      <x:c r="R248" s="9"/>
      <x:c r="S248" s="13"/>
      <x:c r="T248" s="9"/>
      <x:c r="U248" s="9"/>
      <x:c r="V248" s="9"/>
      <x:c r="W248" s="9"/>
      <x:c r="X248" s="9"/>
      <x:c r="Y248" s="8" t="str">
        <x:v>Current</x:v>
      </x:c>
      <x:c r="Z248" s="8" t="str">
        <x:v>trunk:DB2:L7:light:1</x:v>
      </x:c>
    </x:row>
    <x:row r="249" ht="90" customHeight="1">
      <x:c r="A249" s="8" t="str">
        <x:v>drop:DB2:L7:light:1:L210</x:v>
      </x:c>
      <x:c r="B249" s="8" t="str">
        <x:v>L7 → Festival lights · veranda eave H · nave</x:v>
      </x:c>
      <x:c r="C249" s="8" t="str">
        <x:v>DB2</x:v>
      </x:c>
      <x:c r="D249" s="8" t="str">
        <x:v>L210</x:v>
      </x:c>
      <x:c r="E249" s="8" t="str">
        <x:v>DB2</x:v>
      </x:c>
      <x:c r="F249" s="8" t="str">
        <x:v>L7</x:v>
      </x:c>
      <x:c r="G249" s="8" t="str">
        <x:v>light</x:v>
      </x:c>
      <x:c r="H249" s="8" t="str">
        <x:v>drop</x:v>
      </x:c>
      <x:c r="I249" s="11" t="n">
        <x:f>SUMIF('Route Points'!$A$7:$A$1910,A249,'Route Points'!$F$7:$F$1910)</x:f>
        <x:v>3.259999999999999</x:v>
      </x:c>
      <x:c r="J249" s="11"/>
      <x:c r="K249" s="11" t="str">
        <x:f>IF(L249="Full home run",I249+J249,"")</x:f>
      </x:c>
      <x:c r="L249" s="8" t="str">
        <x:v>Route segment</x:v>
      </x:c>
      <x:c r="M249" s="13"/>
      <x:c r="N249" s="11" t="str">
        <x:f>IF(OR(M249="",L249="Shared bundle"),"",IF(L249="Full home run",K249,I249)+M249)</x:f>
      </x:c>
      <x:c r="O249" s="8" t="str">
        <x:v>Cable type / conductors / cross-section / conduit: pending electrical design</x:v>
      </x:c>
      <x:c r="P249" s="8" t="str">
        <x:v>Concealed pier / wall drop, local termination</x:v>
      </x:c>
      <x:c r="Q249" s="9"/>
      <x:c r="R249" s="9"/>
      <x:c r="S249" s="13"/>
      <x:c r="T249" s="9"/>
      <x:c r="U249" s="9"/>
      <x:c r="V249" s="9"/>
      <x:c r="W249" s="9"/>
      <x:c r="X249" s="9"/>
      <x:c r="Y249" s="8" t="str">
        <x:v>Current</x:v>
      </x:c>
      <x:c r="Z249" s="8" t="str">
        <x:v>trunk:DB2:L7:light:1</x:v>
      </x:c>
    </x:row>
    <x:row r="250" ht="90" customHeight="1">
      <x:c r="A250" s="8" t="str">
        <x:v>drop:DB2:L7:light:1:L211</x:v>
      </x:c>
      <x:c r="B250" s="8" t="str">
        <x:v>L7 → Festival lights · veranda eave H · sanctuary</x:v>
      </x:c>
      <x:c r="C250" s="8" t="str">
        <x:v>DB2</x:v>
      </x:c>
      <x:c r="D250" s="8" t="str">
        <x:v>L211</x:v>
      </x:c>
      <x:c r="E250" s="8" t="str">
        <x:v>DB2</x:v>
      </x:c>
      <x:c r="F250" s="8" t="str">
        <x:v>L7</x:v>
      </x:c>
      <x:c r="G250" s="8" t="str">
        <x:v>light</x:v>
      </x:c>
      <x:c r="H250" s="8" t="str">
        <x:v>drop</x:v>
      </x:c>
      <x:c r="I250" s="11" t="n">
        <x:f>SUMIF('Route Points'!$A$7:$A$1910,A250,'Route Points'!$F$7:$F$1910)</x:f>
        <x:v>3.259999999999999</x:v>
      </x:c>
      <x:c r="J250" s="11"/>
      <x:c r="K250" s="11" t="str">
        <x:f>IF(L250="Full home run",I250+J250,"")</x:f>
      </x:c>
      <x:c r="L250" s="8" t="str">
        <x:v>Route segment</x:v>
      </x:c>
      <x:c r="M250" s="13"/>
      <x:c r="N250" s="11" t="str">
        <x:f>IF(OR(M250="",L250="Shared bundle"),"",IF(L250="Full home run",K250,I250)+M250)</x:f>
      </x:c>
      <x:c r="O250" s="8" t="str">
        <x:v>Cable type / conductors / cross-section / conduit: pending electrical design</x:v>
      </x:c>
      <x:c r="P250" s="8" t="str">
        <x:v>Concealed pier / wall drop, local termination</x:v>
      </x:c>
      <x:c r="Q250" s="9"/>
      <x:c r="R250" s="9"/>
      <x:c r="S250" s="13"/>
      <x:c r="T250" s="9"/>
      <x:c r="U250" s="9"/>
      <x:c r="V250" s="9"/>
      <x:c r="W250" s="9"/>
      <x:c r="X250" s="9"/>
      <x:c r="Y250" s="8" t="str">
        <x:v>Current</x:v>
      </x:c>
      <x:c r="Z250" s="8" t="str">
        <x:v>trunk:DB2:L7:light:1</x:v>
      </x:c>
    </x:row>
    <x:row r="251" ht="90" customHeight="1">
      <x:c r="A251" s="8" t="str">
        <x:v>drop:DB2:L7:light:1:L212</x:v>
      </x:c>
      <x:c r="B251" s="8" t="str">
        <x:v>L7 → Festival lights · rear gable H</x:v>
      </x:c>
      <x:c r="C251" s="8" t="str">
        <x:v>DB2</x:v>
      </x:c>
      <x:c r="D251" s="8" t="str">
        <x:v>L212</x:v>
      </x:c>
      <x:c r="E251" s="8" t="str">
        <x:v>DB2</x:v>
      </x:c>
      <x:c r="F251" s="8" t="str">
        <x:v>L7</x:v>
      </x:c>
      <x:c r="G251" s="8" t="str">
        <x:v>light</x:v>
      </x:c>
      <x:c r="H251" s="8" t="str">
        <x:v>drop</x:v>
      </x:c>
      <x:c r="I251" s="11" t="n">
        <x:f>SUMIF('Route Points'!$A$7:$A$1910,A251,'Route Points'!$F$7:$F$1910)</x:f>
        <x:v>7.620000000000006</x:v>
      </x:c>
      <x:c r="J251" s="11"/>
      <x:c r="K251" s="11" t="str">
        <x:f>IF(L251="Full home run",I251+J251,"")</x:f>
      </x:c>
      <x:c r="L251" s="8" t="str">
        <x:v>Route segment</x:v>
      </x:c>
      <x:c r="M251" s="13"/>
      <x:c r="N251" s="11" t="str">
        <x:f>IF(OR(M251="",L251="Shared bundle"),"",IF(L251="Full home run",K251,I251)+M251)</x:f>
      </x:c>
      <x:c r="O251" s="8" t="str">
        <x:v>Cable type / conductors / cross-section / conduit: pending electrical design</x:v>
      </x:c>
      <x:c r="P251" s="8" t="str">
        <x:v>Concealed pier / wall drop, local termination</x:v>
      </x:c>
      <x:c r="Q251" s="9"/>
      <x:c r="R251" s="9"/>
      <x:c r="S251" s="13"/>
      <x:c r="T251" s="9"/>
      <x:c r="U251" s="9"/>
      <x:c r="V251" s="9"/>
      <x:c r="W251" s="9"/>
      <x:c r="X251" s="9"/>
      <x:c r="Y251" s="8" t="str">
        <x:v>Current</x:v>
      </x:c>
      <x:c r="Z251" s="8" t="str">
        <x:v>trunk:DB2:L7:light:1</x:v>
      </x:c>
    </x:row>
    <x:row r="252" ht="90" customHeight="1">
      <x:c r="A252" s="8" t="str">
        <x:v>drop:DB2:L7:light:1:L213</x:v>
      </x:c>
      <x:c r="B252" s="8" t="str">
        <x:v>L7 → Festival lights · tower H · stage 1 · inner corner</x:v>
      </x:c>
      <x:c r="C252" s="8" t="str">
        <x:v>DB2</x:v>
      </x:c>
      <x:c r="D252" s="8" t="str">
        <x:v>L213</x:v>
      </x:c>
      <x:c r="E252" s="8" t="str">
        <x:v>DB2</x:v>
      </x:c>
      <x:c r="F252" s="8" t="str">
        <x:v>L7</x:v>
      </x:c>
      <x:c r="G252" s="8" t="str">
        <x:v>light</x:v>
      </x:c>
      <x:c r="H252" s="8" t="str">
        <x:v>drop</x:v>
      </x:c>
      <x:c r="I252" s="11" t="n">
        <x:f>SUMIF('Route Points'!$A$7:$A$1910,A252,'Route Points'!$F$7:$F$1910)</x:f>
        <x:v>12.488000000000001</x:v>
      </x:c>
      <x:c r="J252" s="11"/>
      <x:c r="K252" s="11" t="str">
        <x:f>IF(L252="Full home run",I252+J252,"")</x:f>
      </x:c>
      <x:c r="L252" s="8" t="str">
        <x:v>Route segment</x:v>
      </x:c>
      <x:c r="M252" s="13"/>
      <x:c r="N252" s="11" t="str">
        <x:f>IF(OR(M252="",L252="Shared bundle"),"",IF(L252="Full home run",K252,I252)+M252)</x:f>
      </x:c>
      <x:c r="O252" s="8" t="str">
        <x:v>Cable type / conductors / cross-section / conduit: pending electrical design</x:v>
      </x:c>
      <x:c r="P252" s="8" t="str">
        <x:v>Concealed pier / wall drop, local termination</x:v>
      </x:c>
      <x:c r="Q252" s="9"/>
      <x:c r="R252" s="9"/>
      <x:c r="S252" s="13"/>
      <x:c r="T252" s="9"/>
      <x:c r="U252" s="9"/>
      <x:c r="V252" s="9"/>
      <x:c r="W252" s="9"/>
      <x:c r="X252" s="9"/>
      <x:c r="Y252" s="8" t="str">
        <x:v>Current</x:v>
      </x:c>
      <x:c r="Z252" s="8" t="str">
        <x:v>trunk:DB2:L7:light:1</x:v>
      </x:c>
    </x:row>
    <x:row r="253" ht="90" customHeight="1">
      <x:c r="A253" s="8" t="str">
        <x:v>drop:DB2:L7:light:1:L214</x:v>
      </x:c>
      <x:c r="B253" s="8" t="str">
        <x:v>L7 → Festival lights · tower H · stage 1 · outer corner</x:v>
      </x:c>
      <x:c r="C253" s="8" t="str">
        <x:v>DB2</x:v>
      </x:c>
      <x:c r="D253" s="8" t="str">
        <x:v>L214</x:v>
      </x:c>
      <x:c r="E253" s="8" t="str">
        <x:v>DB2</x:v>
      </x:c>
      <x:c r="F253" s="8" t="str">
        <x:v>L7</x:v>
      </x:c>
      <x:c r="G253" s="8" t="str">
        <x:v>light</x:v>
      </x:c>
      <x:c r="H253" s="8" t="str">
        <x:v>drop</x:v>
      </x:c>
      <x:c r="I253" s="11" t="n">
        <x:f>SUMIF('Route Points'!$A$7:$A$1910,A253,'Route Points'!$F$7:$F$1910)</x:f>
        <x:v>12.488000000000001</x:v>
      </x:c>
      <x:c r="J253" s="11"/>
      <x:c r="K253" s="11" t="str">
        <x:f>IF(L253="Full home run",I253+J253,"")</x:f>
      </x:c>
      <x:c r="L253" s="8" t="str">
        <x:v>Route segment</x:v>
      </x:c>
      <x:c r="M253" s="13"/>
      <x:c r="N253" s="11" t="str">
        <x:f>IF(OR(M253="",L253="Shared bundle"),"",IF(L253="Full home run",K253,I253)+M253)</x:f>
      </x:c>
      <x:c r="O253" s="8" t="str">
        <x:v>Cable type / conductors / cross-section / conduit: pending electrical design</x:v>
      </x:c>
      <x:c r="P253" s="8" t="str">
        <x:v>Concealed pier / wall drop, local termination</x:v>
      </x:c>
      <x:c r="Q253" s="9"/>
      <x:c r="R253" s="9"/>
      <x:c r="S253" s="13"/>
      <x:c r="T253" s="9"/>
      <x:c r="U253" s="9"/>
      <x:c r="V253" s="9"/>
      <x:c r="W253" s="9"/>
      <x:c r="X253" s="9"/>
      <x:c r="Y253" s="8" t="str">
        <x:v>Current</x:v>
      </x:c>
      <x:c r="Z253" s="8" t="str">
        <x:v>trunk:DB2:L7:light:1</x:v>
      </x:c>
    </x:row>
    <x:row r="254" ht="90" customHeight="1">
      <x:c r="A254" s="8" t="str">
        <x:v>drop:DB2:L7:light:1:L215</x:v>
      </x:c>
      <x:c r="B254" s="8" t="str">
        <x:v>L7 → Festival lights · tower H · stage 2 · inner corner</x:v>
      </x:c>
      <x:c r="C254" s="8" t="str">
        <x:v>DB2</x:v>
      </x:c>
      <x:c r="D254" s="8" t="str">
        <x:v>L215</x:v>
      </x:c>
      <x:c r="E254" s="8" t="str">
        <x:v>DB2</x:v>
      </x:c>
      <x:c r="F254" s="8" t="str">
        <x:v>L7</x:v>
      </x:c>
      <x:c r="G254" s="8" t="str">
        <x:v>light</x:v>
      </x:c>
      <x:c r="H254" s="8" t="str">
        <x:v>drop</x:v>
      </x:c>
      <x:c r="I254" s="11" t="n">
        <x:f>SUMIF('Route Points'!$A$7:$A$1910,A254,'Route Points'!$F$7:$F$1910)</x:f>
        <x:v>13.283000000000001</x:v>
      </x:c>
      <x:c r="J254" s="11"/>
      <x:c r="K254" s="11" t="str">
        <x:f>IF(L254="Full home run",I254+J254,"")</x:f>
      </x:c>
      <x:c r="L254" s="8" t="str">
        <x:v>Route segment</x:v>
      </x:c>
      <x:c r="M254" s="13"/>
      <x:c r="N254" s="11" t="str">
        <x:f>IF(OR(M254="",L254="Shared bundle"),"",IF(L254="Full home run",K254,I254)+M254)</x:f>
      </x:c>
      <x:c r="O254" s="8" t="str">
        <x:v>Cable type / conductors / cross-section / conduit: pending electrical design</x:v>
      </x:c>
      <x:c r="P254" s="8" t="str">
        <x:v>Concealed pier / wall drop, local termination</x:v>
      </x:c>
      <x:c r="Q254" s="9"/>
      <x:c r="R254" s="9"/>
      <x:c r="S254" s="13"/>
      <x:c r="T254" s="9"/>
      <x:c r="U254" s="9"/>
      <x:c r="V254" s="9"/>
      <x:c r="W254" s="9"/>
      <x:c r="X254" s="9"/>
      <x:c r="Y254" s="8" t="str">
        <x:v>Current</x:v>
      </x:c>
      <x:c r="Z254" s="8" t="str">
        <x:v>trunk:DB2:L7:light:1</x:v>
      </x:c>
    </x:row>
    <x:row r="255" ht="90" customHeight="1">
      <x:c r="A255" s="8" t="str">
        <x:v>drop:DB2:L7:light:1:L216</x:v>
      </x:c>
      <x:c r="B255" s="8" t="str">
        <x:v>L7 → Festival lights · tower H · stage 2 · outer corner</x:v>
      </x:c>
      <x:c r="C255" s="8" t="str">
        <x:v>DB2</x:v>
      </x:c>
      <x:c r="D255" s="8" t="str">
        <x:v>L216</x:v>
      </x:c>
      <x:c r="E255" s="8" t="str">
        <x:v>DB2</x:v>
      </x:c>
      <x:c r="F255" s="8" t="str">
        <x:v>L7</x:v>
      </x:c>
      <x:c r="G255" s="8" t="str">
        <x:v>light</x:v>
      </x:c>
      <x:c r="H255" s="8" t="str">
        <x:v>drop</x:v>
      </x:c>
      <x:c r="I255" s="11" t="n">
        <x:f>SUMIF('Route Points'!$A$7:$A$1910,A255,'Route Points'!$F$7:$F$1910)</x:f>
        <x:v>13.283000000000001</x:v>
      </x:c>
      <x:c r="J255" s="11"/>
      <x:c r="K255" s="11" t="str">
        <x:f>IF(L255="Full home run",I255+J255,"")</x:f>
      </x:c>
      <x:c r="L255" s="8" t="str">
        <x:v>Route segment</x:v>
      </x:c>
      <x:c r="M255" s="13"/>
      <x:c r="N255" s="11" t="str">
        <x:f>IF(OR(M255="",L255="Shared bundle"),"",IF(L255="Full home run",K255,I255)+M255)</x:f>
      </x:c>
      <x:c r="O255" s="8" t="str">
        <x:v>Cable type / conductors / cross-section / conduit: pending electrical design</x:v>
      </x:c>
      <x:c r="P255" s="8" t="str">
        <x:v>Concealed pier / wall drop, local termination</x:v>
      </x:c>
      <x:c r="Q255" s="9"/>
      <x:c r="R255" s="9"/>
      <x:c r="S255" s="13"/>
      <x:c r="T255" s="9"/>
      <x:c r="U255" s="9"/>
      <x:c r="V255" s="9"/>
      <x:c r="W255" s="9"/>
      <x:c r="X255" s="9"/>
      <x:c r="Y255" s="8" t="str">
        <x:v>Current</x:v>
      </x:c>
      <x:c r="Z255" s="8" t="str">
        <x:v>trunk:DB2:L7:light:1</x:v>
      </x:c>
    </x:row>
    <x:row r="256" ht="90" customHeight="1">
      <x:c r="A256" s="8" t="str">
        <x:v>drop:DB2:L7:light:1:L217</x:v>
      </x:c>
      <x:c r="B256" s="8" t="str">
        <x:v>L7 → Festival lights · tower H · stage 3 · inner corner</x:v>
      </x:c>
      <x:c r="C256" s="8" t="str">
        <x:v>DB2</x:v>
      </x:c>
      <x:c r="D256" s="8" t="str">
        <x:v>L217</x:v>
      </x:c>
      <x:c r="E256" s="8" t="str">
        <x:v>DB2</x:v>
      </x:c>
      <x:c r="F256" s="8" t="str">
        <x:v>L7</x:v>
      </x:c>
      <x:c r="G256" s="8" t="str">
        <x:v>light</x:v>
      </x:c>
      <x:c r="H256" s="8" t="str">
        <x:v>drop</x:v>
      </x:c>
      <x:c r="I256" s="11" t="n">
        <x:f>SUMIF('Route Points'!$A$7:$A$1910,A256,'Route Points'!$F$7:$F$1910)</x:f>
        <x:v>20.538000000000004</x:v>
      </x:c>
      <x:c r="J256" s="11"/>
      <x:c r="K256" s="11" t="str">
        <x:f>IF(L256="Full home run",I256+J256,"")</x:f>
      </x:c>
      <x:c r="L256" s="8" t="str">
        <x:v>Route segment</x:v>
      </x:c>
      <x:c r="M256" s="13"/>
      <x:c r="N256" s="11" t="str">
        <x:f>IF(OR(M256="",L256="Shared bundle"),"",IF(L256="Full home run",K256,I256)+M256)</x:f>
      </x:c>
      <x:c r="O256" s="8" t="str">
        <x:v>Cable type / conductors / cross-section / conduit: pending electrical design</x:v>
      </x:c>
      <x:c r="P256" s="8" t="str">
        <x:v>Concealed pier / wall drop, local termination</x:v>
      </x:c>
      <x:c r="Q256" s="9"/>
      <x:c r="R256" s="9"/>
      <x:c r="S256" s="13"/>
      <x:c r="T256" s="9"/>
      <x:c r="U256" s="9"/>
      <x:c r="V256" s="9"/>
      <x:c r="W256" s="9"/>
      <x:c r="X256" s="9"/>
      <x:c r="Y256" s="8" t="str">
        <x:v>Current</x:v>
      </x:c>
      <x:c r="Z256" s="8" t="str">
        <x:v>trunk:DB2:L7:light:1</x:v>
      </x:c>
    </x:row>
    <x:row r="257" ht="90" customHeight="1">
      <x:c r="A257" s="8" t="str">
        <x:v>drop:DB2:L7:light:1:L218</x:v>
      </x:c>
      <x:c r="B257" s="8" t="str">
        <x:v>L7 → Festival lights · tower H · stage 3 · outer corner</x:v>
      </x:c>
      <x:c r="C257" s="8" t="str">
        <x:v>DB2</x:v>
      </x:c>
      <x:c r="D257" s="8" t="str">
        <x:v>L218</x:v>
      </x:c>
      <x:c r="E257" s="8" t="str">
        <x:v>DB2</x:v>
      </x:c>
      <x:c r="F257" s="8" t="str">
        <x:v>L7</x:v>
      </x:c>
      <x:c r="G257" s="8" t="str">
        <x:v>light</x:v>
      </x:c>
      <x:c r="H257" s="8" t="str">
        <x:v>drop</x:v>
      </x:c>
      <x:c r="I257" s="11" t="n">
        <x:f>SUMIF('Route Points'!$A$7:$A$1910,A257,'Route Points'!$F$7:$F$1910)</x:f>
        <x:v>20.538000000000004</x:v>
      </x:c>
      <x:c r="J257" s="11"/>
      <x:c r="K257" s="11" t="str">
        <x:f>IF(L257="Full home run",I257+J257,"")</x:f>
      </x:c>
      <x:c r="L257" s="8" t="str">
        <x:v>Route segment</x:v>
      </x:c>
      <x:c r="M257" s="13"/>
      <x:c r="N257" s="11" t="str">
        <x:f>IF(OR(M257="",L257="Shared bundle"),"",IF(L257="Full home run",K257,I257)+M257)</x:f>
      </x:c>
      <x:c r="O257" s="8" t="str">
        <x:v>Cable type / conductors / cross-section / conduit: pending electrical design</x:v>
      </x:c>
      <x:c r="P257" s="8" t="str">
        <x:v>Concealed pier / wall drop, local termination</x:v>
      </x:c>
      <x:c r="Q257" s="9"/>
      <x:c r="R257" s="9"/>
      <x:c r="S257" s="13"/>
      <x:c r="T257" s="9"/>
      <x:c r="U257" s="9"/>
      <x:c r="V257" s="9"/>
      <x:c r="W257" s="9"/>
      <x:c r="X257" s="9"/>
      <x:c r="Y257" s="8" t="str">
        <x:v>Current</x:v>
      </x:c>
      <x:c r="Z257" s="8" t="str">
        <x:v>trunk:DB2:L7:light:1</x:v>
      </x:c>
    </x:row>
    <x:row r="258" ht="90" customHeight="1">
      <x:c r="A258" s="8" t="str">
        <x:v>drop:DB2:L7:light:1:L221</x:v>
      </x:c>
      <x:c r="B258" s="8" t="str">
        <x:v>L7 → Festival flood · rear gable H</x:v>
      </x:c>
      <x:c r="C258" s="8" t="str">
        <x:v>DB2</x:v>
      </x:c>
      <x:c r="D258" s="8" t="str">
        <x:v>L221</x:v>
      </x:c>
      <x:c r="E258" s="8" t="str">
        <x:v>DB2</x:v>
      </x:c>
      <x:c r="F258" s="8" t="str">
        <x:v>L7</x:v>
      </x:c>
      <x:c r="G258" s="8" t="str">
        <x:v>light</x:v>
      </x:c>
      <x:c r="H258" s="8" t="str">
        <x:v>drop</x:v>
      </x:c>
      <x:c r="I258" s="11" t="n">
        <x:f>SUMIF('Route Points'!$A$7:$A$1910,A258,'Route Points'!$F$7:$F$1910)</x:f>
        <x:v>2.500000000000001</x:v>
      </x:c>
      <x:c r="J258" s="11"/>
      <x:c r="K258" s="11" t="str">
        <x:f>IF(L258="Full home run",I258+J258,"")</x:f>
      </x:c>
      <x:c r="L258" s="8" t="str">
        <x:v>Route segment</x:v>
      </x:c>
      <x:c r="M258" s="13"/>
      <x:c r="N258" s="11" t="str">
        <x:f>IF(OR(M258="",L258="Shared bundle"),"",IF(L258="Full home run",K258,I258)+M258)</x:f>
      </x:c>
      <x:c r="O258" s="8" t="str">
        <x:v>Cable type / conductors / cross-section / conduit: pending electrical design</x:v>
      </x:c>
      <x:c r="P258" s="8" t="str">
        <x:v>Concealed pier / wall drop, local termination</x:v>
      </x:c>
      <x:c r="Q258" s="9"/>
      <x:c r="R258" s="9"/>
      <x:c r="S258" s="13"/>
      <x:c r="T258" s="9"/>
      <x:c r="U258" s="9"/>
      <x:c r="V258" s="9"/>
      <x:c r="W258" s="9"/>
      <x:c r="X258" s="9"/>
      <x:c r="Y258" s="8" t="str">
        <x:v>Current</x:v>
      </x:c>
      <x:c r="Z258" s="8" t="str">
        <x:v>trunk:DB2:L7:light:1</x:v>
      </x:c>
    </x:row>
    <x:row r="259" ht="129" customHeight="1">
      <x:c r="A259" s="8" t="str">
        <x:v>trunk:FC1:F1:fan:-1</x:v>
      </x:c>
      <x:c r="B259" s="8" t="str">
        <x:v>F1 · B · circuit trunk</x:v>
      </x:c>
      <x:c r="C259" s="8" t="str">
        <x:v>FC1</x:v>
      </x:c>
      <x:c r="D259" s="8" t="str">
        <x:v>F226
F228
F230
F232
F234
F236
F238
F240
F241</x:v>
      </x:c>
      <x:c r="E259" s="8" t="str">
        <x:v>DB1</x:v>
      </x:c>
      <x:c r="F259" s="8" t="str">
        <x:v>F1</x:v>
      </x:c>
      <x:c r="G259" s="8" t="str">
        <x:v>fan</x:v>
      </x:c>
      <x:c r="H259" s="8" t="str">
        <x:v>trunk</x:v>
      </x:c>
      <x:c r="I259" s="11" t="n">
        <x:f>SUMIF('Route Points'!$A$7:$A$1910,A259,'Route Points'!$F$7:$F$1910)</x:f>
        <x:v>72.597</x:v>
      </x:c>
      <x:c r="J259" s="11"/>
      <x:c r="K259" s="11" t="str">
        <x:f>IF(L259="Full home run",I259+J259,"")</x:f>
      </x:c>
      <x:c r="L259" s="8" t="str">
        <x:v>Route segment</x:v>
      </x:c>
      <x:c r="M259" s="13"/>
      <x:c r="N259" s="11" t="str">
        <x:f>IF(OR(M259="",L259="Shared bundle"),"",IF(L259="Full home run",K259,I259)+M259)</x:f>
      </x:c>
      <x:c r="O259" s="8" t="str">
        <x:v>Cable type / conductors / cross-section / conduit: pending electrical design</x:v>
      </x:c>
      <x:c r="P259" s="8" t="str">
        <x:v>Concealed wall band above openings; ceiling containment at wing returns</x:v>
      </x:c>
      <x:c r="Q259" s="9"/>
      <x:c r="R259" s="9"/>
      <x:c r="S259" s="13"/>
      <x:c r="T259" s="9"/>
      <x:c r="U259" s="9"/>
      <x:c r="V259" s="9"/>
      <x:c r="W259" s="9"/>
      <x:c r="X259" s="9"/>
      <x:c r="Y259" s="8" t="str">
        <x:v>Current</x:v>
      </x:c>
      <x:c r="Z259" s="8"/>
    </x:row>
    <x:row r="260" ht="90" customHeight="1">
      <x:c r="A260" s="8" t="str">
        <x:v>drop:FC1:F1:fan:-1:F226</x:v>
      </x:c>
      <x:c r="B260" s="8" t="str">
        <x:v>F1 → Ceiling fan · bay 2′–3 · B aisle</x:v>
      </x:c>
      <x:c r="C260" s="8" t="str">
        <x:v>FC1</x:v>
      </x:c>
      <x:c r="D260" s="8" t="str">
        <x:v>F226</x:v>
      </x:c>
      <x:c r="E260" s="8" t="str">
        <x:v>DB1</x:v>
      </x:c>
      <x:c r="F260" s="8" t="str">
        <x:v>F1</x:v>
      </x:c>
      <x:c r="G260" s="8" t="str">
        <x:v>fan</x:v>
      </x:c>
      <x:c r="H260" s="8" t="str">
        <x:v>drop</x:v>
      </x:c>
      <x:c r="I260" s="11" t="n">
        <x:f>SUMIF('Route Points'!$A$7:$A$1910,A260,'Route Points'!$F$7:$F$1910)</x:f>
        <x:v>10.549110166147116</x:v>
      </x:c>
      <x:c r="J260" s="11"/>
      <x:c r="K260" s="11" t="str">
        <x:f>IF(L260="Full home run",I260+J260,"")</x:f>
      </x:c>
      <x:c r="L260" s="8" t="str">
        <x:v>Route segment</x:v>
      </x:c>
      <x:c r="M260" s="13"/>
      <x:c r="N260" s="11" t="str">
        <x:f>IF(OR(M260="",L260="Shared bundle"),"",IF(L260="Full home run",K260,I260)+M260)</x:f>
      </x:c>
      <x:c r="O260" s="8" t="str">
        <x:v>Cable type / conductors / cross-section / conduit: pending electrical design</x:v>
      </x:c>
      <x:c r="P260" s="8" t="str">
        <x:v>Wall / beam or roof containment, then pendant connection</x:v>
      </x:c>
      <x:c r="Q260" s="9"/>
      <x:c r="R260" s="9"/>
      <x:c r="S260" s="13"/>
      <x:c r="T260" s="9"/>
      <x:c r="U260" s="9"/>
      <x:c r="V260" s="9"/>
      <x:c r="W260" s="9"/>
      <x:c r="X260" s="9"/>
      <x:c r="Y260" s="8" t="str">
        <x:v>Current</x:v>
      </x:c>
      <x:c r="Z260" s="8" t="str">
        <x:v>trunk:FC1:F1:fan:-1</x:v>
      </x:c>
    </x:row>
    <x:row r="261" ht="90" customHeight="1">
      <x:c r="A261" s="8" t="str">
        <x:v>drop:FC1:F1:fan:-1:F228</x:v>
      </x:c>
      <x:c r="B261" s="8" t="str">
        <x:v>F1 → Ceiling fan · bay 3–4 · B aisle</x:v>
      </x:c>
      <x:c r="C261" s="8" t="str">
        <x:v>FC1</x:v>
      </x:c>
      <x:c r="D261" s="8" t="str">
        <x:v>F228</x:v>
      </x:c>
      <x:c r="E261" s="8" t="str">
        <x:v>DB1</x:v>
      </x:c>
      <x:c r="F261" s="8" t="str">
        <x:v>F1</x:v>
      </x:c>
      <x:c r="G261" s="8" t="str">
        <x:v>fan</x:v>
      </x:c>
      <x:c r="H261" s="8" t="str">
        <x:v>drop</x:v>
      </x:c>
      <x:c r="I261" s="11" t="n">
        <x:f>SUMIF('Route Points'!$A$7:$A$1910,A261,'Route Points'!$F$7:$F$1910)</x:f>
        <x:v>10.549110166147116</x:v>
      </x:c>
      <x:c r="J261" s="11"/>
      <x:c r="K261" s="11" t="str">
        <x:f>IF(L261="Full home run",I261+J261,"")</x:f>
      </x:c>
      <x:c r="L261" s="8" t="str">
        <x:v>Route segment</x:v>
      </x:c>
      <x:c r="M261" s="13"/>
      <x:c r="N261" s="11" t="str">
        <x:f>IF(OR(M261="",L261="Shared bundle"),"",IF(L261="Full home run",K261,I261)+M261)</x:f>
      </x:c>
      <x:c r="O261" s="8" t="str">
        <x:v>Cable type / conductors / cross-section / conduit: pending electrical design</x:v>
      </x:c>
      <x:c r="P261" s="8" t="str">
        <x:v>Wall / beam or roof containment, then pendant connection</x:v>
      </x:c>
      <x:c r="Q261" s="9"/>
      <x:c r="R261" s="9"/>
      <x:c r="S261" s="13"/>
      <x:c r="T261" s="9"/>
      <x:c r="U261" s="9"/>
      <x:c r="V261" s="9"/>
      <x:c r="W261" s="9"/>
      <x:c r="X261" s="9"/>
      <x:c r="Y261" s="8" t="str">
        <x:v>Current</x:v>
      </x:c>
      <x:c r="Z261" s="8" t="str">
        <x:v>trunk:FC1:F1:fan:-1</x:v>
      </x:c>
    </x:row>
    <x:row r="262" ht="90" customHeight="1">
      <x:c r="A262" s="8" t="str">
        <x:v>drop:FC1:F1:fan:-1:F230</x:v>
      </x:c>
      <x:c r="B262" s="8" t="str">
        <x:v>F1 → Ceiling fan · bay 4–5 · B aisle</x:v>
      </x:c>
      <x:c r="C262" s="8" t="str">
        <x:v>FC1</x:v>
      </x:c>
      <x:c r="D262" s="8" t="str">
        <x:v>F230</x:v>
      </x:c>
      <x:c r="E262" s="8" t="str">
        <x:v>DB1</x:v>
      </x:c>
      <x:c r="F262" s="8" t="str">
        <x:v>F1</x:v>
      </x:c>
      <x:c r="G262" s="8" t="str">
        <x:v>fan</x:v>
      </x:c>
      <x:c r="H262" s="8" t="str">
        <x:v>drop</x:v>
      </x:c>
      <x:c r="I262" s="11" t="n">
        <x:f>SUMIF('Route Points'!$A$7:$A$1910,A262,'Route Points'!$F$7:$F$1910)</x:f>
        <x:v>10.539110166147115</x:v>
      </x:c>
      <x:c r="J262" s="11"/>
      <x:c r="K262" s="11" t="str">
        <x:f>IF(L262="Full home run",I262+J262,"")</x:f>
      </x:c>
      <x:c r="L262" s="8" t="str">
        <x:v>Route segment</x:v>
      </x:c>
      <x:c r="M262" s="13"/>
      <x:c r="N262" s="11" t="str">
        <x:f>IF(OR(M262="",L262="Shared bundle"),"",IF(L262="Full home run",K262,I262)+M262)</x:f>
      </x:c>
      <x:c r="O262" s="8" t="str">
        <x:v>Cable type / conductors / cross-section / conduit: pending electrical design</x:v>
      </x:c>
      <x:c r="P262" s="8" t="str">
        <x:v>Wall / beam or roof containment, then pendant connection</x:v>
      </x:c>
      <x:c r="Q262" s="9"/>
      <x:c r="R262" s="9"/>
      <x:c r="S262" s="13"/>
      <x:c r="T262" s="9"/>
      <x:c r="U262" s="9"/>
      <x:c r="V262" s="9"/>
      <x:c r="W262" s="9"/>
      <x:c r="X262" s="9"/>
      <x:c r="Y262" s="8" t="str">
        <x:v>Current</x:v>
      </x:c>
      <x:c r="Z262" s="8" t="str">
        <x:v>trunk:FC1:F1:fan:-1</x:v>
      </x:c>
    </x:row>
    <x:row r="263" ht="90" customHeight="1">
      <x:c r="A263" s="8" t="str">
        <x:v>drop:FC1:F1:fan:-1:F232</x:v>
      </x:c>
      <x:c r="B263" s="8" t="str">
        <x:v>F1 → Ceiling fan · bay 5–6 · B aisle</x:v>
      </x:c>
      <x:c r="C263" s="8" t="str">
        <x:v>FC1</x:v>
      </x:c>
      <x:c r="D263" s="8" t="str">
        <x:v>F232</x:v>
      </x:c>
      <x:c r="E263" s="8" t="str">
        <x:v>DB1</x:v>
      </x:c>
      <x:c r="F263" s="8" t="str">
        <x:v>F1</x:v>
      </x:c>
      <x:c r="G263" s="8" t="str">
        <x:v>fan</x:v>
      </x:c>
      <x:c r="H263" s="8" t="str">
        <x:v>drop</x:v>
      </x:c>
      <x:c r="I263" s="11" t="n">
        <x:f>SUMIF('Route Points'!$A$7:$A$1910,A263,'Route Points'!$F$7:$F$1910)</x:f>
        <x:v>10.549110166147116</x:v>
      </x:c>
      <x:c r="J263" s="11"/>
      <x:c r="K263" s="11" t="str">
        <x:f>IF(L263="Full home run",I263+J263,"")</x:f>
      </x:c>
      <x:c r="L263" s="8" t="str">
        <x:v>Route segment</x:v>
      </x:c>
      <x:c r="M263" s="13"/>
      <x:c r="N263" s="11" t="str">
        <x:f>IF(OR(M263="",L263="Shared bundle"),"",IF(L263="Full home run",K263,I263)+M263)</x:f>
      </x:c>
      <x:c r="O263" s="8" t="str">
        <x:v>Cable type / conductors / cross-section / conduit: pending electrical design</x:v>
      </x:c>
      <x:c r="P263" s="8" t="str">
        <x:v>Wall / beam or roof containment, then pendant connection</x:v>
      </x:c>
      <x:c r="Q263" s="9"/>
      <x:c r="R263" s="9"/>
      <x:c r="S263" s="13"/>
      <x:c r="T263" s="9"/>
      <x:c r="U263" s="9"/>
      <x:c r="V263" s="9"/>
      <x:c r="W263" s="9"/>
      <x:c r="X263" s="9"/>
      <x:c r="Y263" s="8" t="str">
        <x:v>Current</x:v>
      </x:c>
      <x:c r="Z263" s="8" t="str">
        <x:v>trunk:FC1:F1:fan:-1</x:v>
      </x:c>
    </x:row>
    <x:row r="264" ht="90" customHeight="1">
      <x:c r="A264" s="8" t="str">
        <x:v>drop:FC1:F1:fan:-1:F234</x:v>
      </x:c>
      <x:c r="B264" s="8" t="str">
        <x:v>F1 → Ceiling fan · bay 6–7 · B aisle</x:v>
      </x:c>
      <x:c r="C264" s="8" t="str">
        <x:v>FC1</x:v>
      </x:c>
      <x:c r="D264" s="8" t="str">
        <x:v>F234</x:v>
      </x:c>
      <x:c r="E264" s="8" t="str">
        <x:v>DB1</x:v>
      </x:c>
      <x:c r="F264" s="8" t="str">
        <x:v>F1</x:v>
      </x:c>
      <x:c r="G264" s="8" t="str">
        <x:v>fan</x:v>
      </x:c>
      <x:c r="H264" s="8" t="str">
        <x:v>drop</x:v>
      </x:c>
      <x:c r="I264" s="11" t="n">
        <x:f>SUMIF('Route Points'!$A$7:$A$1910,A264,'Route Points'!$F$7:$F$1910)</x:f>
        <x:v>10.549110166147116</x:v>
      </x:c>
      <x:c r="J264" s="11"/>
      <x:c r="K264" s="11" t="str">
        <x:f>IF(L264="Full home run",I264+J264,"")</x:f>
      </x:c>
      <x:c r="L264" s="8" t="str">
        <x:v>Route segment</x:v>
      </x:c>
      <x:c r="M264" s="13"/>
      <x:c r="N264" s="11" t="str">
        <x:f>IF(OR(M264="",L264="Shared bundle"),"",IF(L264="Full home run",K264,I264)+M264)</x:f>
      </x:c>
      <x:c r="O264" s="8" t="str">
        <x:v>Cable type / conductors / cross-section / conduit: pending electrical design</x:v>
      </x:c>
      <x:c r="P264" s="8" t="str">
        <x:v>Wall / beam or roof containment, then pendant connection</x:v>
      </x:c>
      <x:c r="Q264" s="9"/>
      <x:c r="R264" s="9"/>
      <x:c r="S264" s="13"/>
      <x:c r="T264" s="9"/>
      <x:c r="U264" s="9"/>
      <x:c r="V264" s="9"/>
      <x:c r="W264" s="9"/>
      <x:c r="X264" s="9"/>
      <x:c r="Y264" s="8" t="str">
        <x:v>Current</x:v>
      </x:c>
      <x:c r="Z264" s="8" t="str">
        <x:v>trunk:FC1:F1:fan:-1</x:v>
      </x:c>
    </x:row>
    <x:row r="265" ht="90" customHeight="1">
      <x:c r="A265" s="8" t="str">
        <x:v>drop:FC1:F1:fan:-1:F236</x:v>
      </x:c>
      <x:c r="B265" s="8" t="str">
        <x:v>F1 → Ceiling fan · bay 7–8 · B aisle</x:v>
      </x:c>
      <x:c r="C265" s="8" t="str">
        <x:v>FC1</x:v>
      </x:c>
      <x:c r="D265" s="8" t="str">
        <x:v>F236</x:v>
      </x:c>
      <x:c r="E265" s="8" t="str">
        <x:v>DB1</x:v>
      </x:c>
      <x:c r="F265" s="8" t="str">
        <x:v>F1</x:v>
      </x:c>
      <x:c r="G265" s="8" t="str">
        <x:v>fan</x:v>
      </x:c>
      <x:c r="H265" s="8" t="str">
        <x:v>drop</x:v>
      </x:c>
      <x:c r="I265" s="11" t="n">
        <x:f>SUMIF('Route Points'!$A$7:$A$1910,A265,'Route Points'!$F$7:$F$1910)</x:f>
        <x:v>10.549110166147116</x:v>
      </x:c>
      <x:c r="J265" s="11"/>
      <x:c r="K265" s="11" t="str">
        <x:f>IF(L265="Full home run",I265+J265,"")</x:f>
      </x:c>
      <x:c r="L265" s="8" t="str">
        <x:v>Route segment</x:v>
      </x:c>
      <x:c r="M265" s="13"/>
      <x:c r="N265" s="11" t="str">
        <x:f>IF(OR(M265="",L265="Shared bundle"),"",IF(L265="Full home run",K265,I265)+M265)</x:f>
      </x:c>
      <x:c r="O265" s="8" t="str">
        <x:v>Cable type / conductors / cross-section / conduit: pending electrical design</x:v>
      </x:c>
      <x:c r="P265" s="8" t="str">
        <x:v>Wall / beam or roof containment, then pendant connection</x:v>
      </x:c>
      <x:c r="Q265" s="9"/>
      <x:c r="R265" s="9"/>
      <x:c r="S265" s="13"/>
      <x:c r="T265" s="9"/>
      <x:c r="U265" s="9"/>
      <x:c r="V265" s="9"/>
      <x:c r="W265" s="9"/>
      <x:c r="X265" s="9"/>
      <x:c r="Y265" s="8" t="str">
        <x:v>Current</x:v>
      </x:c>
      <x:c r="Z265" s="8" t="str">
        <x:v>trunk:FC1:F1:fan:-1</x:v>
      </x:c>
    </x:row>
    <x:row r="266" ht="90" customHeight="1">
      <x:c r="A266" s="8" t="str">
        <x:v>drop:FC1:F1:fan:-1:F238</x:v>
      </x:c>
      <x:c r="B266" s="8" t="str">
        <x:v>F1 → Ceiling fan · bay 8–9 · B aisle</x:v>
      </x:c>
      <x:c r="C266" s="8" t="str">
        <x:v>FC1</x:v>
      </x:c>
      <x:c r="D266" s="8" t="str">
        <x:v>F238</x:v>
      </x:c>
      <x:c r="E266" s="8" t="str">
        <x:v>DB1</x:v>
      </x:c>
      <x:c r="F266" s="8" t="str">
        <x:v>F1</x:v>
      </x:c>
      <x:c r="G266" s="8" t="str">
        <x:v>fan</x:v>
      </x:c>
      <x:c r="H266" s="8" t="str">
        <x:v>drop</x:v>
      </x:c>
      <x:c r="I266" s="11" t="n">
        <x:f>SUMIF('Route Points'!$A$7:$A$1910,A266,'Route Points'!$F$7:$F$1910)</x:f>
        <x:v>10.539110166147118</x:v>
      </x:c>
      <x:c r="J266" s="11"/>
      <x:c r="K266" s="11" t="str">
        <x:f>IF(L266="Full home run",I266+J266,"")</x:f>
      </x:c>
      <x:c r="L266" s="8" t="str">
        <x:v>Route segment</x:v>
      </x:c>
      <x:c r="M266" s="13"/>
      <x:c r="N266" s="11" t="str">
        <x:f>IF(OR(M266="",L266="Shared bundle"),"",IF(L266="Full home run",K266,I266)+M266)</x:f>
      </x:c>
      <x:c r="O266" s="8" t="str">
        <x:v>Cable type / conductors / cross-section / conduit: pending electrical design</x:v>
      </x:c>
      <x:c r="P266" s="8" t="str">
        <x:v>Wall / beam or roof containment, then pendant connection</x:v>
      </x:c>
      <x:c r="Q266" s="9"/>
      <x:c r="R266" s="9"/>
      <x:c r="S266" s="13"/>
      <x:c r="T266" s="9"/>
      <x:c r="U266" s="9"/>
      <x:c r="V266" s="9"/>
      <x:c r="W266" s="9"/>
      <x:c r="X266" s="9"/>
      <x:c r="Y266" s="8" t="str">
        <x:v>Current</x:v>
      </x:c>
      <x:c r="Z266" s="8" t="str">
        <x:v>trunk:FC1:F1:fan:-1</x:v>
      </x:c>
    </x:row>
    <x:row r="267" ht="90" customHeight="1">
      <x:c r="A267" s="8" t="str">
        <x:v>drop:FC1:F1:fan:-1:F240</x:v>
      </x:c>
      <x:c r="B267" s="8" t="str">
        <x:v>F1 → Ceiling fan · wing B · front</x:v>
      </x:c>
      <x:c r="C267" s="8" t="str">
        <x:v>FC1</x:v>
      </x:c>
      <x:c r="D267" s="8" t="str">
        <x:v>F240</x:v>
      </x:c>
      <x:c r="E267" s="8" t="str">
        <x:v>DB1</x:v>
      </x:c>
      <x:c r="F267" s="8" t="str">
        <x:v>F1</x:v>
      </x:c>
      <x:c r="G267" s="8" t="str">
        <x:v>fan</x:v>
      </x:c>
      <x:c r="H267" s="8" t="str">
        <x:v>drop</x:v>
      </x:c>
      <x:c r="I267" s="11" t="n">
        <x:f>SUMIF('Route Points'!$A$7:$A$1910,A267,'Route Points'!$F$7:$F$1910)</x:f>
        <x:v>10.054759999999991</x:v>
      </x:c>
      <x:c r="J267" s="11"/>
      <x:c r="K267" s="11" t="str">
        <x:f>IF(L267="Full home run",I267+J267,"")</x:f>
      </x:c>
      <x:c r="L267" s="8" t="str">
        <x:v>Route segment</x:v>
      </x:c>
      <x:c r="M267" s="13"/>
      <x:c r="N267" s="11" t="str">
        <x:f>IF(OR(M267="",L267="Shared bundle"),"",IF(L267="Full home run",K267,I267)+M267)</x:f>
      </x:c>
      <x:c r="O267" s="8" t="str">
        <x:v>Cable type / conductors / cross-section / conduit: pending electrical design</x:v>
      </x:c>
      <x:c r="P267" s="8" t="str">
        <x:v>Wall / beam or roof containment, then pendant connection</x:v>
      </x:c>
      <x:c r="Q267" s="9"/>
      <x:c r="R267" s="9"/>
      <x:c r="S267" s="13"/>
      <x:c r="T267" s="9"/>
      <x:c r="U267" s="9"/>
      <x:c r="V267" s="9"/>
      <x:c r="W267" s="9"/>
      <x:c r="X267" s="9"/>
      <x:c r="Y267" s="8" t="str">
        <x:v>Current</x:v>
      </x:c>
      <x:c r="Z267" s="8" t="str">
        <x:v>trunk:FC1:F1:fan:-1</x:v>
      </x:c>
    </x:row>
    <x:row r="268" ht="90" customHeight="1">
      <x:c r="A268" s="8" t="str">
        <x:v>drop:FC1:F1:fan:-1:F241</x:v>
      </x:c>
      <x:c r="B268" s="8" t="str">
        <x:v>F1 → Ceiling fan · wing B · rear</x:v>
      </x:c>
      <x:c r="C268" s="8" t="str">
        <x:v>FC1</x:v>
      </x:c>
      <x:c r="D268" s="8" t="str">
        <x:v>F241</x:v>
      </x:c>
      <x:c r="E268" s="8" t="str">
        <x:v>DB1</x:v>
      </x:c>
      <x:c r="F268" s="8" t="str">
        <x:v>F1</x:v>
      </x:c>
      <x:c r="G268" s="8" t="str">
        <x:v>fan</x:v>
      </x:c>
      <x:c r="H268" s="8" t="str">
        <x:v>drop</x:v>
      </x:c>
      <x:c r="I268" s="11" t="n">
        <x:f>SUMIF('Route Points'!$A$7:$A$1910,A268,'Route Points'!$F$7:$F$1910)</x:f>
        <x:v>10.007540000000002</x:v>
      </x:c>
      <x:c r="J268" s="11"/>
      <x:c r="K268" s="11" t="str">
        <x:f>IF(L268="Full home run",I268+J268,"")</x:f>
      </x:c>
      <x:c r="L268" s="8" t="str">
        <x:v>Route segment</x:v>
      </x:c>
      <x:c r="M268" s="13"/>
      <x:c r="N268" s="11" t="str">
        <x:f>IF(OR(M268="",L268="Shared bundle"),"",IF(L268="Full home run",K268,I268)+M268)</x:f>
      </x:c>
      <x:c r="O268" s="8" t="str">
        <x:v>Cable type / conductors / cross-section / conduit: pending electrical design</x:v>
      </x:c>
      <x:c r="P268" s="8" t="str">
        <x:v>Wall / beam or roof containment, then pendant connection</x:v>
      </x:c>
      <x:c r="Q268" s="9"/>
      <x:c r="R268" s="9"/>
      <x:c r="S268" s="13"/>
      <x:c r="T268" s="9"/>
      <x:c r="U268" s="9"/>
      <x:c r="V268" s="9"/>
      <x:c r="W268" s="9"/>
      <x:c r="X268" s="9"/>
      <x:c r="Y268" s="8" t="str">
        <x:v>Current</x:v>
      </x:c>
      <x:c r="Z268" s="8" t="str">
        <x:v>trunk:FC1:F1:fan:-1</x:v>
      </x:c>
    </x:row>
    <x:row r="269" ht="129" customHeight="1">
      <x:c r="A269" s="8" t="str">
        <x:v>trunk:FC1:F1:fan:1</x:v>
      </x:c>
      <x:c r="B269" s="8" t="str">
        <x:v>F1 · H · circuit trunk</x:v>
      </x:c>
      <x:c r="C269" s="8" t="str">
        <x:v>FC1</x:v>
      </x:c>
      <x:c r="D269" s="8" t="str">
        <x:v>F227
F229
F231
F233
F235
F237
F239
F242
F243</x:v>
      </x:c>
      <x:c r="E269" s="8" t="str">
        <x:v>DB1</x:v>
      </x:c>
      <x:c r="F269" s="8" t="str">
        <x:v>F1</x:v>
      </x:c>
      <x:c r="G269" s="8" t="str">
        <x:v>fan</x:v>
      </x:c>
      <x:c r="H269" s="8" t="str">
        <x:v>trunk</x:v>
      </x:c>
      <x:c r="I269" s="11" t="n">
        <x:f>SUMIF('Route Points'!$A$7:$A$1910,A269,'Route Points'!$F$7:$F$1910)</x:f>
        <x:v>79.797</x:v>
      </x:c>
      <x:c r="J269" s="11"/>
      <x:c r="K269" s="11" t="str">
        <x:f>IF(L269="Full home run",I269+J269,"")</x:f>
      </x:c>
      <x:c r="L269" s="8" t="str">
        <x:v>Route segment</x:v>
      </x:c>
      <x:c r="M269" s="13"/>
      <x:c r="N269" s="11" t="str">
        <x:f>IF(OR(M269="",L269="Shared bundle"),"",IF(L269="Full home run",K269,I269)+M269)</x:f>
      </x:c>
      <x:c r="O269" s="8" t="str">
        <x:v>Cable type / conductors / cross-section / conduit: pending electrical design</x:v>
      </x:c>
      <x:c r="P269" s="8" t="str">
        <x:v>Concealed wall band above openings; ceiling containment at wing returns</x:v>
      </x:c>
      <x:c r="Q269" s="9"/>
      <x:c r="R269" s="9"/>
      <x:c r="S269" s="13"/>
      <x:c r="T269" s="9"/>
      <x:c r="U269" s="9"/>
      <x:c r="V269" s="9"/>
      <x:c r="W269" s="9"/>
      <x:c r="X269" s="9"/>
      <x:c r="Y269" s="8" t="str">
        <x:v>Current</x:v>
      </x:c>
      <x:c r="Z269" s="8"/>
    </x:row>
    <x:row r="270" ht="90" customHeight="1">
      <x:c r="A270" s="8" t="str">
        <x:v>drop:FC1:F1:fan:1:F227</x:v>
      </x:c>
      <x:c r="B270" s="8" t="str">
        <x:v>F1 → Ceiling fan · bay 2′–3 · H aisle</x:v>
      </x:c>
      <x:c r="C270" s="8" t="str">
        <x:v>FC1</x:v>
      </x:c>
      <x:c r="D270" s="8" t="str">
        <x:v>F227</x:v>
      </x:c>
      <x:c r="E270" s="8" t="str">
        <x:v>DB1</x:v>
      </x:c>
      <x:c r="F270" s="8" t="str">
        <x:v>F1</x:v>
      </x:c>
      <x:c r="G270" s="8" t="str">
        <x:v>fan</x:v>
      </x:c>
      <x:c r="H270" s="8" t="str">
        <x:v>drop</x:v>
      </x:c>
      <x:c r="I270" s="11" t="n">
        <x:f>SUMIF('Route Points'!$A$7:$A$1910,A270,'Route Points'!$F$7:$F$1910)</x:f>
        <x:v>10.549110166147116</x:v>
      </x:c>
      <x:c r="J270" s="11"/>
      <x:c r="K270" s="11" t="str">
        <x:f>IF(L270="Full home run",I270+J270,"")</x:f>
      </x:c>
      <x:c r="L270" s="8" t="str">
        <x:v>Route segment</x:v>
      </x:c>
      <x:c r="M270" s="13"/>
      <x:c r="N270" s="11" t="str">
        <x:f>IF(OR(M270="",L270="Shared bundle"),"",IF(L270="Full home run",K270,I270)+M270)</x:f>
      </x:c>
      <x:c r="O270" s="8" t="str">
        <x:v>Cable type / conductors / cross-section / conduit: pending electrical design</x:v>
      </x:c>
      <x:c r="P270" s="8" t="str">
        <x:v>Wall / beam or roof containment, then pendant connection</x:v>
      </x:c>
      <x:c r="Q270" s="9"/>
      <x:c r="R270" s="9"/>
      <x:c r="S270" s="13"/>
      <x:c r="T270" s="9"/>
      <x:c r="U270" s="9"/>
      <x:c r="V270" s="9"/>
      <x:c r="W270" s="9"/>
      <x:c r="X270" s="9"/>
      <x:c r="Y270" s="8" t="str">
        <x:v>Current</x:v>
      </x:c>
      <x:c r="Z270" s="8" t="str">
        <x:v>trunk:FC1:F1:fan:1</x:v>
      </x:c>
    </x:row>
    <x:row r="271" ht="90" customHeight="1">
      <x:c r="A271" s="8" t="str">
        <x:v>drop:FC1:F1:fan:1:F229</x:v>
      </x:c>
      <x:c r="B271" s="8" t="str">
        <x:v>F1 → Ceiling fan · bay 3–4 · H aisle</x:v>
      </x:c>
      <x:c r="C271" s="8" t="str">
        <x:v>FC1</x:v>
      </x:c>
      <x:c r="D271" s="8" t="str">
        <x:v>F229</x:v>
      </x:c>
      <x:c r="E271" s="8" t="str">
        <x:v>DB1</x:v>
      </x:c>
      <x:c r="F271" s="8" t="str">
        <x:v>F1</x:v>
      </x:c>
      <x:c r="G271" s="8" t="str">
        <x:v>fan</x:v>
      </x:c>
      <x:c r="H271" s="8" t="str">
        <x:v>drop</x:v>
      </x:c>
      <x:c r="I271" s="11" t="n">
        <x:f>SUMIF('Route Points'!$A$7:$A$1910,A271,'Route Points'!$F$7:$F$1910)</x:f>
        <x:v>10.549110166147116</x:v>
      </x:c>
      <x:c r="J271" s="11"/>
      <x:c r="K271" s="11" t="str">
        <x:f>IF(L271="Full home run",I271+J271,"")</x:f>
      </x:c>
      <x:c r="L271" s="8" t="str">
        <x:v>Route segment</x:v>
      </x:c>
      <x:c r="M271" s="13"/>
      <x:c r="N271" s="11" t="str">
        <x:f>IF(OR(M271="",L271="Shared bundle"),"",IF(L271="Full home run",K271,I271)+M271)</x:f>
      </x:c>
      <x:c r="O271" s="8" t="str">
        <x:v>Cable type / conductors / cross-section / conduit: pending electrical design</x:v>
      </x:c>
      <x:c r="P271" s="8" t="str">
        <x:v>Wall / beam or roof containment, then pendant connection</x:v>
      </x:c>
      <x:c r="Q271" s="9"/>
      <x:c r="R271" s="9"/>
      <x:c r="S271" s="13"/>
      <x:c r="T271" s="9"/>
      <x:c r="U271" s="9"/>
      <x:c r="V271" s="9"/>
      <x:c r="W271" s="9"/>
      <x:c r="X271" s="9"/>
      <x:c r="Y271" s="8" t="str">
        <x:v>Current</x:v>
      </x:c>
      <x:c r="Z271" s="8" t="str">
        <x:v>trunk:FC1:F1:fan:1</x:v>
      </x:c>
    </x:row>
    <x:row r="272" ht="90" customHeight="1">
      <x:c r="A272" s="8" t="str">
        <x:v>drop:FC1:F1:fan:1:F231</x:v>
      </x:c>
      <x:c r="B272" s="8" t="str">
        <x:v>F1 → Ceiling fan · bay 4–5 · H aisle</x:v>
      </x:c>
      <x:c r="C272" s="8" t="str">
        <x:v>FC1</x:v>
      </x:c>
      <x:c r="D272" s="8" t="str">
        <x:v>F231</x:v>
      </x:c>
      <x:c r="E272" s="8" t="str">
        <x:v>DB1</x:v>
      </x:c>
      <x:c r="F272" s="8" t="str">
        <x:v>F1</x:v>
      </x:c>
      <x:c r="G272" s="8" t="str">
        <x:v>fan</x:v>
      </x:c>
      <x:c r="H272" s="8" t="str">
        <x:v>drop</x:v>
      </x:c>
      <x:c r="I272" s="11" t="n">
        <x:f>SUMIF('Route Points'!$A$7:$A$1910,A272,'Route Points'!$F$7:$F$1910)</x:f>
        <x:v>10.539110166147115</x:v>
      </x:c>
      <x:c r="J272" s="11"/>
      <x:c r="K272" s="11" t="str">
        <x:f>IF(L272="Full home run",I272+J272,"")</x:f>
      </x:c>
      <x:c r="L272" s="8" t="str">
        <x:v>Route segment</x:v>
      </x:c>
      <x:c r="M272" s="13"/>
      <x:c r="N272" s="11" t="str">
        <x:f>IF(OR(M272="",L272="Shared bundle"),"",IF(L272="Full home run",K272,I272)+M272)</x:f>
      </x:c>
      <x:c r="O272" s="8" t="str">
        <x:v>Cable type / conductors / cross-section / conduit: pending electrical design</x:v>
      </x:c>
      <x:c r="P272" s="8" t="str">
        <x:v>Wall / beam or roof containment, then pendant connection</x:v>
      </x:c>
      <x:c r="Q272" s="9"/>
      <x:c r="R272" s="9"/>
      <x:c r="S272" s="13"/>
      <x:c r="T272" s="9"/>
      <x:c r="U272" s="9"/>
      <x:c r="V272" s="9"/>
      <x:c r="W272" s="9"/>
      <x:c r="X272" s="9"/>
      <x:c r="Y272" s="8" t="str">
        <x:v>Current</x:v>
      </x:c>
      <x:c r="Z272" s="8" t="str">
        <x:v>trunk:FC1:F1:fan:1</x:v>
      </x:c>
    </x:row>
    <x:row r="273" ht="90" customHeight="1">
      <x:c r="A273" s="8" t="str">
        <x:v>drop:FC1:F1:fan:1:F233</x:v>
      </x:c>
      <x:c r="B273" s="8" t="str">
        <x:v>F1 → Ceiling fan · bay 5–6 · H aisle</x:v>
      </x:c>
      <x:c r="C273" s="8" t="str">
        <x:v>FC1</x:v>
      </x:c>
      <x:c r="D273" s="8" t="str">
        <x:v>F233</x:v>
      </x:c>
      <x:c r="E273" s="8" t="str">
        <x:v>DB1</x:v>
      </x:c>
      <x:c r="F273" s="8" t="str">
        <x:v>F1</x:v>
      </x:c>
      <x:c r="G273" s="8" t="str">
        <x:v>fan</x:v>
      </x:c>
      <x:c r="H273" s="8" t="str">
        <x:v>drop</x:v>
      </x:c>
      <x:c r="I273" s="11" t="n">
        <x:f>SUMIF('Route Points'!$A$7:$A$1910,A273,'Route Points'!$F$7:$F$1910)</x:f>
        <x:v>10.549110166147116</x:v>
      </x:c>
      <x:c r="J273" s="11"/>
      <x:c r="K273" s="11" t="str">
        <x:f>IF(L273="Full home run",I273+J273,"")</x:f>
      </x:c>
      <x:c r="L273" s="8" t="str">
        <x:v>Route segment</x:v>
      </x:c>
      <x:c r="M273" s="13"/>
      <x:c r="N273" s="11" t="str">
        <x:f>IF(OR(M273="",L273="Shared bundle"),"",IF(L273="Full home run",K273,I273)+M273)</x:f>
      </x:c>
      <x:c r="O273" s="8" t="str">
        <x:v>Cable type / conductors / cross-section / conduit: pending electrical design</x:v>
      </x:c>
      <x:c r="P273" s="8" t="str">
        <x:v>Wall / beam or roof containment, then pendant connection</x:v>
      </x:c>
      <x:c r="Q273" s="9"/>
      <x:c r="R273" s="9"/>
      <x:c r="S273" s="13"/>
      <x:c r="T273" s="9"/>
      <x:c r="U273" s="9"/>
      <x:c r="V273" s="9"/>
      <x:c r="W273" s="9"/>
      <x:c r="X273" s="9"/>
      <x:c r="Y273" s="8" t="str">
        <x:v>Current</x:v>
      </x:c>
      <x:c r="Z273" s="8" t="str">
        <x:v>trunk:FC1:F1:fan:1</x:v>
      </x:c>
    </x:row>
    <x:row r="274" ht="90" customHeight="1">
      <x:c r="A274" s="8" t="str">
        <x:v>drop:FC1:F1:fan:1:F235</x:v>
      </x:c>
      <x:c r="B274" s="8" t="str">
        <x:v>F1 → Ceiling fan · bay 6–7 · H aisle</x:v>
      </x:c>
      <x:c r="C274" s="8" t="str">
        <x:v>FC1</x:v>
      </x:c>
      <x:c r="D274" s="8" t="str">
        <x:v>F235</x:v>
      </x:c>
      <x:c r="E274" s="8" t="str">
        <x:v>DB1</x:v>
      </x:c>
      <x:c r="F274" s="8" t="str">
        <x:v>F1</x:v>
      </x:c>
      <x:c r="G274" s="8" t="str">
        <x:v>fan</x:v>
      </x:c>
      <x:c r="H274" s="8" t="str">
        <x:v>drop</x:v>
      </x:c>
      <x:c r="I274" s="11" t="n">
        <x:f>SUMIF('Route Points'!$A$7:$A$1910,A274,'Route Points'!$F$7:$F$1910)</x:f>
        <x:v>10.549110166147116</x:v>
      </x:c>
      <x:c r="J274" s="11"/>
      <x:c r="K274" s="11" t="str">
        <x:f>IF(L274="Full home run",I274+J274,"")</x:f>
      </x:c>
      <x:c r="L274" s="8" t="str">
        <x:v>Route segment</x:v>
      </x:c>
      <x:c r="M274" s="13"/>
      <x:c r="N274" s="11" t="str">
        <x:f>IF(OR(M274="",L274="Shared bundle"),"",IF(L274="Full home run",K274,I274)+M274)</x:f>
      </x:c>
      <x:c r="O274" s="8" t="str">
        <x:v>Cable type / conductors / cross-section / conduit: pending electrical design</x:v>
      </x:c>
      <x:c r="P274" s="8" t="str">
        <x:v>Wall / beam or roof containment, then pendant connection</x:v>
      </x:c>
      <x:c r="Q274" s="9"/>
      <x:c r="R274" s="9"/>
      <x:c r="S274" s="13"/>
      <x:c r="T274" s="9"/>
      <x:c r="U274" s="9"/>
      <x:c r="V274" s="9"/>
      <x:c r="W274" s="9"/>
      <x:c r="X274" s="9"/>
      <x:c r="Y274" s="8" t="str">
        <x:v>Current</x:v>
      </x:c>
      <x:c r="Z274" s="8" t="str">
        <x:v>trunk:FC1:F1:fan:1</x:v>
      </x:c>
    </x:row>
    <x:row r="275" ht="90" customHeight="1">
      <x:c r="A275" s="8" t="str">
        <x:v>drop:FC1:F1:fan:1:F237</x:v>
      </x:c>
      <x:c r="B275" s="8" t="str">
        <x:v>F1 → Ceiling fan · bay 7–8 · H aisle</x:v>
      </x:c>
      <x:c r="C275" s="8" t="str">
        <x:v>FC1</x:v>
      </x:c>
      <x:c r="D275" s="8" t="str">
        <x:v>F237</x:v>
      </x:c>
      <x:c r="E275" s="8" t="str">
        <x:v>DB1</x:v>
      </x:c>
      <x:c r="F275" s="8" t="str">
        <x:v>F1</x:v>
      </x:c>
      <x:c r="G275" s="8" t="str">
        <x:v>fan</x:v>
      </x:c>
      <x:c r="H275" s="8" t="str">
        <x:v>drop</x:v>
      </x:c>
      <x:c r="I275" s="11" t="n">
        <x:f>SUMIF('Route Points'!$A$7:$A$1910,A275,'Route Points'!$F$7:$F$1910)</x:f>
        <x:v>10.549110166147116</x:v>
      </x:c>
      <x:c r="J275" s="11"/>
      <x:c r="K275" s="11" t="str">
        <x:f>IF(L275="Full home run",I275+J275,"")</x:f>
      </x:c>
      <x:c r="L275" s="8" t="str">
        <x:v>Route segment</x:v>
      </x:c>
      <x:c r="M275" s="13"/>
      <x:c r="N275" s="11" t="str">
        <x:f>IF(OR(M275="",L275="Shared bundle"),"",IF(L275="Full home run",K275,I275)+M275)</x:f>
      </x:c>
      <x:c r="O275" s="8" t="str">
        <x:v>Cable type / conductors / cross-section / conduit: pending electrical design</x:v>
      </x:c>
      <x:c r="P275" s="8" t="str">
        <x:v>Wall / beam or roof containment, then pendant connection</x:v>
      </x:c>
      <x:c r="Q275" s="9"/>
      <x:c r="R275" s="9"/>
      <x:c r="S275" s="13"/>
      <x:c r="T275" s="9"/>
      <x:c r="U275" s="9"/>
      <x:c r="V275" s="9"/>
      <x:c r="W275" s="9"/>
      <x:c r="X275" s="9"/>
      <x:c r="Y275" s="8" t="str">
        <x:v>Current</x:v>
      </x:c>
      <x:c r="Z275" s="8" t="str">
        <x:v>trunk:FC1:F1:fan:1</x:v>
      </x:c>
    </x:row>
    <x:row r="276" ht="90" customHeight="1">
      <x:c r="A276" s="8" t="str">
        <x:v>drop:FC1:F1:fan:1:F239</x:v>
      </x:c>
      <x:c r="B276" s="8" t="str">
        <x:v>F1 → Ceiling fan · bay 8–9 · H aisle</x:v>
      </x:c>
      <x:c r="C276" s="8" t="str">
        <x:v>FC1</x:v>
      </x:c>
      <x:c r="D276" s="8" t="str">
        <x:v>F239</x:v>
      </x:c>
      <x:c r="E276" s="8" t="str">
        <x:v>DB1</x:v>
      </x:c>
      <x:c r="F276" s="8" t="str">
        <x:v>F1</x:v>
      </x:c>
      <x:c r="G276" s="8" t="str">
        <x:v>fan</x:v>
      </x:c>
      <x:c r="H276" s="8" t="str">
        <x:v>drop</x:v>
      </x:c>
      <x:c r="I276" s="11" t="n">
        <x:f>SUMIF('Route Points'!$A$7:$A$1910,A276,'Route Points'!$F$7:$F$1910)</x:f>
        <x:v>10.539110166147118</x:v>
      </x:c>
      <x:c r="J276" s="11"/>
      <x:c r="K276" s="11" t="str">
        <x:f>IF(L276="Full home run",I276+J276,"")</x:f>
      </x:c>
      <x:c r="L276" s="8" t="str">
        <x:v>Route segment</x:v>
      </x:c>
      <x:c r="M276" s="13"/>
      <x:c r="N276" s="11" t="str">
        <x:f>IF(OR(M276="",L276="Shared bundle"),"",IF(L276="Full home run",K276,I276)+M276)</x:f>
      </x:c>
      <x:c r="O276" s="8" t="str">
        <x:v>Cable type / conductors / cross-section / conduit: pending electrical design</x:v>
      </x:c>
      <x:c r="P276" s="8" t="str">
        <x:v>Wall / beam or roof containment, then pendant connection</x:v>
      </x:c>
      <x:c r="Q276" s="9"/>
      <x:c r="R276" s="9"/>
      <x:c r="S276" s="13"/>
      <x:c r="T276" s="9"/>
      <x:c r="U276" s="9"/>
      <x:c r="V276" s="9"/>
      <x:c r="W276" s="9"/>
      <x:c r="X276" s="9"/>
      <x:c r="Y276" s="8" t="str">
        <x:v>Current</x:v>
      </x:c>
      <x:c r="Z276" s="8" t="str">
        <x:v>trunk:FC1:F1:fan:1</x:v>
      </x:c>
    </x:row>
    <x:row r="277" ht="90" customHeight="1">
      <x:c r="A277" s="8" t="str">
        <x:v>drop:FC1:F1:fan:1:F242</x:v>
      </x:c>
      <x:c r="B277" s="8" t="str">
        <x:v>F1 → Ceiling fan · wing H · front</x:v>
      </x:c>
      <x:c r="C277" s="8" t="str">
        <x:v>FC1</x:v>
      </x:c>
      <x:c r="D277" s="8" t="str">
        <x:v>F242</x:v>
      </x:c>
      <x:c r="E277" s="8" t="str">
        <x:v>DB1</x:v>
      </x:c>
      <x:c r="F277" s="8" t="str">
        <x:v>F1</x:v>
      </x:c>
      <x:c r="G277" s="8" t="str">
        <x:v>fan</x:v>
      </x:c>
      <x:c r="H277" s="8" t="str">
        <x:v>drop</x:v>
      </x:c>
      <x:c r="I277" s="11" t="n">
        <x:f>SUMIF('Route Points'!$A$7:$A$1910,A277,'Route Points'!$F$7:$F$1910)</x:f>
        <x:v>10.054759999999991</x:v>
      </x:c>
      <x:c r="J277" s="11"/>
      <x:c r="K277" s="11" t="str">
        <x:f>IF(L277="Full home run",I277+J277,"")</x:f>
      </x:c>
      <x:c r="L277" s="8" t="str">
        <x:v>Route segment</x:v>
      </x:c>
      <x:c r="M277" s="13"/>
      <x:c r="N277" s="11" t="str">
        <x:f>IF(OR(M277="",L277="Shared bundle"),"",IF(L277="Full home run",K277,I277)+M277)</x:f>
      </x:c>
      <x:c r="O277" s="8" t="str">
        <x:v>Cable type / conductors / cross-section / conduit: pending electrical design</x:v>
      </x:c>
      <x:c r="P277" s="8" t="str">
        <x:v>Wall / beam or roof containment, then pendant connection</x:v>
      </x:c>
      <x:c r="Q277" s="9"/>
      <x:c r="R277" s="9"/>
      <x:c r="S277" s="13"/>
      <x:c r="T277" s="9"/>
      <x:c r="U277" s="9"/>
      <x:c r="V277" s="9"/>
      <x:c r="W277" s="9"/>
      <x:c r="X277" s="9"/>
      <x:c r="Y277" s="8" t="str">
        <x:v>Current</x:v>
      </x:c>
      <x:c r="Z277" s="8" t="str">
        <x:v>trunk:FC1:F1:fan:1</x:v>
      </x:c>
    </x:row>
    <x:row r="278" ht="90" customHeight="1">
      <x:c r="A278" s="8" t="str">
        <x:v>drop:FC1:F1:fan:1:F243</x:v>
      </x:c>
      <x:c r="B278" s="8" t="str">
        <x:v>F1 → Ceiling fan · wing H · rear</x:v>
      </x:c>
      <x:c r="C278" s="8" t="str">
        <x:v>FC1</x:v>
      </x:c>
      <x:c r="D278" s="8" t="str">
        <x:v>F243</x:v>
      </x:c>
      <x:c r="E278" s="8" t="str">
        <x:v>DB1</x:v>
      </x:c>
      <x:c r="F278" s="8" t="str">
        <x:v>F1</x:v>
      </x:c>
      <x:c r="G278" s="8" t="str">
        <x:v>fan</x:v>
      </x:c>
      <x:c r="H278" s="8" t="str">
        <x:v>drop</x:v>
      </x:c>
      <x:c r="I278" s="11" t="n">
        <x:f>SUMIF('Route Points'!$A$7:$A$1910,A278,'Route Points'!$F$7:$F$1910)</x:f>
        <x:v>10.007540000000002</x:v>
      </x:c>
      <x:c r="J278" s="11"/>
      <x:c r="K278" s="11" t="str">
        <x:f>IF(L278="Full home run",I278+J278,"")</x:f>
      </x:c>
      <x:c r="L278" s="8" t="str">
        <x:v>Route segment</x:v>
      </x:c>
      <x:c r="M278" s="13"/>
      <x:c r="N278" s="11" t="str">
        <x:f>IF(OR(M278="",L278="Shared bundle"),"",IF(L278="Full home run",K278,I278)+M278)</x:f>
      </x:c>
      <x:c r="O278" s="8" t="str">
        <x:v>Cable type / conductors / cross-section / conduit: pending electrical design</x:v>
      </x:c>
      <x:c r="P278" s="8" t="str">
        <x:v>Wall / beam or roof containment, then pendant connection</x:v>
      </x:c>
      <x:c r="Q278" s="9"/>
      <x:c r="R278" s="9"/>
      <x:c r="S278" s="13"/>
      <x:c r="T278" s="9"/>
      <x:c r="U278" s="9"/>
      <x:c r="V278" s="9"/>
      <x:c r="W278" s="9"/>
      <x:c r="X278" s="9"/>
      <x:c r="Y278" s="8" t="str">
        <x:v>Current</x:v>
      </x:c>
      <x:c r="Z278" s="8" t="str">
        <x:v>trunk:FC1:F1:fan:1</x:v>
      </x:c>
    </x:row>
    <x:row r="279" ht="90" customHeight="1">
      <x:c r="A279" s="8" t="str">
        <x:v>trunk:DB2:F4:fan:-1</x:v>
      </x:c>
      <x:c r="B279" s="8" t="str">
        <x:v>F4 · B · circuit trunk</x:v>
      </x:c>
      <x:c r="C279" s="8" t="str">
        <x:v>DB2</x:v>
      </x:c>
      <x:c r="D279" s="8" t="str">
        <x:v>F250</x:v>
      </x:c>
      <x:c r="E279" s="8" t="str">
        <x:v>DB2</x:v>
      </x:c>
      <x:c r="F279" s="8" t="str">
        <x:v>F4</x:v>
      </x:c>
      <x:c r="G279" s="8" t="str">
        <x:v>fan</x:v>
      </x:c>
      <x:c r="H279" s="8" t="str">
        <x:v>trunk</x:v>
      </x:c>
      <x:c r="I279" s="11" t="n">
        <x:f>SUMIF('Route Points'!$A$7:$A$1910,A279,'Route Points'!$F$7:$F$1910)</x:f>
        <x:v>11.971</x:v>
      </x:c>
      <x:c r="J279" s="11"/>
      <x:c r="K279" s="11" t="str">
        <x:f>IF(L279="Full home run",I279+J279,"")</x:f>
      </x:c>
      <x:c r="L279" s="8" t="str">
        <x:v>Route segment</x:v>
      </x:c>
      <x:c r="M279" s="13"/>
      <x:c r="N279" s="11" t="str">
        <x:f>IF(OR(M279="",L279="Shared bundle"),"",IF(L279="Full home run",K279,I279)+M279)</x:f>
      </x:c>
      <x:c r="O279" s="8" t="str">
        <x:v>Cable type / conductors / cross-section / conduit: pending electrical design</x:v>
      </x:c>
      <x:c r="P279" s="8" t="str">
        <x:v>Concealed wall band above openings; ceiling containment at wing returns</x:v>
      </x:c>
      <x:c r="Q279" s="9"/>
      <x:c r="R279" s="9"/>
      <x:c r="S279" s="13"/>
      <x:c r="T279" s="9"/>
      <x:c r="U279" s="9"/>
      <x:c r="V279" s="9"/>
      <x:c r="W279" s="9"/>
      <x:c r="X279" s="9"/>
      <x:c r="Y279" s="8" t="str">
        <x:v>Current</x:v>
      </x:c>
      <x:c r="Z279" s="8"/>
    </x:row>
    <x:row r="280" ht="90" customHeight="1">
      <x:c r="A280" s="8" t="str">
        <x:v>drop:DB2:F4:fan:-1:F250</x:v>
      </x:c>
      <x:c r="B280" s="8" t="str">
        <x:v>F4 → Entrance circulator · B</x:v>
      </x:c>
      <x:c r="C280" s="8" t="str">
        <x:v>DB2</x:v>
      </x:c>
      <x:c r="D280" s="8" t="str">
        <x:v>F250</x:v>
      </x:c>
      <x:c r="E280" s="8" t="str">
        <x:v>DB2</x:v>
      </x:c>
      <x:c r="F280" s="8" t="str">
        <x:v>F4</x:v>
      </x:c>
      <x:c r="G280" s="8" t="str">
        <x:v>fan</x:v>
      </x:c>
      <x:c r="H280" s="8" t="str">
        <x:v>drop</x:v>
      </x:c>
      <x:c r="I280" s="11" t="n">
        <x:f>SUMIF('Route Points'!$A$7:$A$1910,A280,'Route Points'!$F$7:$F$1910)</x:f>
        <x:v>7.3833921494717325</x:v>
      </x:c>
      <x:c r="J280" s="11"/>
      <x:c r="K280" s="11" t="str">
        <x:f>IF(L280="Full home run",I280+J280,"")</x:f>
      </x:c>
      <x:c r="L280" s="8" t="str">
        <x:v>Route segment</x:v>
      </x:c>
      <x:c r="M280" s="13"/>
      <x:c r="N280" s="11" t="str">
        <x:f>IF(OR(M280="",L280="Shared bundle"),"",IF(L280="Full home run",K280,I280)+M280)</x:f>
      </x:c>
      <x:c r="O280" s="8" t="str">
        <x:v>Cable type / conductors / cross-section / conduit: pending electrical design</x:v>
      </x:c>
      <x:c r="P280" s="8" t="str">
        <x:v>Concealed pier / wall drop, local termination</x:v>
      </x:c>
      <x:c r="Q280" s="9"/>
      <x:c r="R280" s="9"/>
      <x:c r="S280" s="13"/>
      <x:c r="T280" s="9"/>
      <x:c r="U280" s="9"/>
      <x:c r="V280" s="9"/>
      <x:c r="W280" s="9"/>
      <x:c r="X280" s="9"/>
      <x:c r="Y280" s="8" t="str">
        <x:v>Current</x:v>
      </x:c>
      <x:c r="Z280" s="8" t="str">
        <x:v>trunk:DB2:F4:fan:-1</x:v>
      </x:c>
    </x:row>
    <x:row r="281" ht="90" customHeight="1">
      <x:c r="A281" s="8" t="str">
        <x:v>trunk:DB2:F4:fan:1</x:v>
      </x:c>
      <x:c r="B281" s="8" t="str">
        <x:v>F4 · H · circuit trunk</x:v>
      </x:c>
      <x:c r="C281" s="8" t="str">
        <x:v>DB2</x:v>
      </x:c>
      <x:c r="D281" s="8" t="str">
        <x:v>F251</x:v>
      </x:c>
      <x:c r="E281" s="8" t="str">
        <x:v>DB2</x:v>
      </x:c>
      <x:c r="F281" s="8" t="str">
        <x:v>F4</x:v>
      </x:c>
      <x:c r="G281" s="8" t="str">
        <x:v>fan</x:v>
      </x:c>
      <x:c r="H281" s="8" t="str">
        <x:v>trunk</x:v>
      </x:c>
      <x:c r="I281" s="11" t="n">
        <x:f>SUMIF('Route Points'!$A$7:$A$1910,A281,'Route Points'!$F$7:$F$1910)</x:f>
        <x:v>18.571</x:v>
      </x:c>
      <x:c r="J281" s="11"/>
      <x:c r="K281" s="11" t="str">
        <x:f>IF(L281="Full home run",I281+J281,"")</x:f>
      </x:c>
      <x:c r="L281" s="8" t="str">
        <x:v>Route segment</x:v>
      </x:c>
      <x:c r="M281" s="13"/>
      <x:c r="N281" s="11" t="str">
        <x:f>IF(OR(M281="",L281="Shared bundle"),"",IF(L281="Full home run",K281,I281)+M281)</x:f>
      </x:c>
      <x:c r="O281" s="8" t="str">
        <x:v>Cable type / conductors / cross-section / conduit: pending electrical design</x:v>
      </x:c>
      <x:c r="P281" s="8" t="str">
        <x:v>Concealed wall band above openings; ceiling containment at wing returns</x:v>
      </x:c>
      <x:c r="Q281" s="9"/>
      <x:c r="R281" s="9"/>
      <x:c r="S281" s="13"/>
      <x:c r="T281" s="9"/>
      <x:c r="U281" s="9"/>
      <x:c r="V281" s="9"/>
      <x:c r="W281" s="9"/>
      <x:c r="X281" s="9"/>
      <x:c r="Y281" s="8" t="str">
        <x:v>Current</x:v>
      </x:c>
      <x:c r="Z281" s="8"/>
    </x:row>
    <x:row r="282" ht="90" customHeight="1">
      <x:c r="A282" s="8" t="str">
        <x:v>drop:DB2:F4:fan:1:F251</x:v>
      </x:c>
      <x:c r="B282" s="8" t="str">
        <x:v>F4 → Entrance circulator · H</x:v>
      </x:c>
      <x:c r="C282" s="8" t="str">
        <x:v>DB2</x:v>
      </x:c>
      <x:c r="D282" s="8" t="str">
        <x:v>F251</x:v>
      </x:c>
      <x:c r="E282" s="8" t="str">
        <x:v>DB2</x:v>
      </x:c>
      <x:c r="F282" s="8" t="str">
        <x:v>F4</x:v>
      </x:c>
      <x:c r="G282" s="8" t="str">
        <x:v>fan</x:v>
      </x:c>
      <x:c r="H282" s="8" t="str">
        <x:v>drop</x:v>
      </x:c>
      <x:c r="I282" s="11" t="n">
        <x:f>SUMIF('Route Points'!$A$7:$A$1910,A282,'Route Points'!$F$7:$F$1910)</x:f>
        <x:v>7.3833921494717325</x:v>
      </x:c>
      <x:c r="J282" s="11"/>
      <x:c r="K282" s="11" t="str">
        <x:f>IF(L282="Full home run",I282+J282,"")</x:f>
      </x:c>
      <x:c r="L282" s="8" t="str">
        <x:v>Route segment</x:v>
      </x:c>
      <x:c r="M282" s="13"/>
      <x:c r="N282" s="11" t="str">
        <x:f>IF(OR(M282="",L282="Shared bundle"),"",IF(L282="Full home run",K282,I282)+M282)</x:f>
      </x:c>
      <x:c r="O282" s="8" t="str">
        <x:v>Cable type / conductors / cross-section / conduit: pending electrical design</x:v>
      </x:c>
      <x:c r="P282" s="8" t="str">
        <x:v>Concealed pier / wall drop, local termination</x:v>
      </x:c>
      <x:c r="Q282" s="9"/>
      <x:c r="R282" s="9"/>
      <x:c r="S282" s="13"/>
      <x:c r="T282" s="9"/>
      <x:c r="U282" s="9"/>
      <x:c r="V282" s="9"/>
      <x:c r="W282" s="9"/>
      <x:c r="X282" s="9"/>
      <x:c r="Y282" s="8" t="str">
        <x:v>Current</x:v>
      </x:c>
      <x:c r="Z282" s="8" t="str">
        <x:v>trunk:DB2:F4:fan:1</x:v>
      </x:c>
    </x:row>
    <x:row r="283" ht="90" customHeight="1">
      <x:c r="A283" s="8" t="str">
        <x:v>trunk:FC1:V1:fan:-1</x:v>
      </x:c>
      <x:c r="B283" s="8" t="str">
        <x:v>V1 · B · circuit trunk</x:v>
      </x:c>
      <x:c r="C283" s="8" t="str">
        <x:v>FC1</x:v>
      </x:c>
      <x:c r="D283" s="8" t="str">
        <x:v>F252
F253
F256
F257
F260</x:v>
      </x:c>
      <x:c r="E283" s="8" t="str">
        <x:v>DB1</x:v>
      </x:c>
      <x:c r="F283" s="8" t="str">
        <x:v>V1</x:v>
      </x:c>
      <x:c r="G283" s="8" t="str">
        <x:v>fan</x:v>
      </x:c>
      <x:c r="H283" s="8" t="str">
        <x:v>trunk</x:v>
      </x:c>
      <x:c r="I283" s="11" t="n">
        <x:f>SUMIF('Route Points'!$A$7:$A$1910,A283,'Route Points'!$F$7:$F$1910)</x:f>
        <x:v>76.203</x:v>
      </x:c>
      <x:c r="J283" s="11"/>
      <x:c r="K283" s="11" t="str">
        <x:f>IF(L283="Full home run",I283+J283,"")</x:f>
      </x:c>
      <x:c r="L283" s="8" t="str">
        <x:v>Route segment</x:v>
      </x:c>
      <x:c r="M283" s="13"/>
      <x:c r="N283" s="11" t="str">
        <x:f>IF(OR(M283="",L283="Shared bundle"),"",IF(L283="Full home run",K283,I283)+M283)</x:f>
      </x:c>
      <x:c r="O283" s="8" t="str">
        <x:v>Cable type / conductors / cross-section / conduit: pending electrical design</x:v>
      </x:c>
      <x:c r="P283" s="8" t="str">
        <x:v>Concealed wall band above openings; ceiling containment at wing returns</x:v>
      </x:c>
      <x:c r="Q283" s="9"/>
      <x:c r="R283" s="9"/>
      <x:c r="S283" s="13"/>
      <x:c r="T283" s="9"/>
      <x:c r="U283" s="9"/>
      <x:c r="V283" s="9"/>
      <x:c r="W283" s="9"/>
      <x:c r="X283" s="9"/>
      <x:c r="Y283" s="8" t="str">
        <x:v>Current</x:v>
      </x:c>
      <x:c r="Z283" s="8"/>
    </x:row>
    <x:row r="284" ht="90" customHeight="1">
      <x:c r="A284" s="8" t="str">
        <x:v>drop:FC1:V1:fan:-1:F252</x:v>
      </x:c>
      <x:c r="B284" s="8" t="str">
        <x:v>V1 → Exhaust fan · front gable · B outer</x:v>
      </x:c>
      <x:c r="C284" s="8" t="str">
        <x:v>FC1</x:v>
      </x:c>
      <x:c r="D284" s="8" t="str">
        <x:v>F252</x:v>
      </x:c>
      <x:c r="E284" s="8" t="str">
        <x:v>DB1</x:v>
      </x:c>
      <x:c r="F284" s="8" t="str">
        <x:v>V1</x:v>
      </x:c>
      <x:c r="G284" s="8" t="str">
        <x:v>fan</x:v>
      </x:c>
      <x:c r="H284" s="8" t="str">
        <x:v>drop</x:v>
      </x:c>
      <x:c r="I284" s="11" t="n">
        <x:f>SUMIF('Route Points'!$A$7:$A$1910,A284,'Route Points'!$F$7:$F$1910)</x:f>
        <x:v>7.782000000000003</x:v>
      </x:c>
      <x:c r="J284" s="11"/>
      <x:c r="K284" s="11" t="str">
        <x:f>IF(L284="Full home run",I284+J284,"")</x:f>
      </x:c>
      <x:c r="L284" s="8" t="str">
        <x:v>Route segment</x:v>
      </x:c>
      <x:c r="M284" s="13"/>
      <x:c r="N284" s="11" t="str">
        <x:f>IF(OR(M284="",L284="Shared bundle"),"",IF(L284="Full home run",K284,I284)+M284)</x:f>
      </x:c>
      <x:c r="O284" s="8" t="str">
        <x:v>Cable type / conductors / cross-section / conduit: pending electrical design</x:v>
      </x:c>
      <x:c r="P284" s="8" t="str">
        <x:v>Concealed pier / wall drop, local termination</x:v>
      </x:c>
      <x:c r="Q284" s="9"/>
      <x:c r="R284" s="9"/>
      <x:c r="S284" s="13"/>
      <x:c r="T284" s="9"/>
      <x:c r="U284" s="9"/>
      <x:c r="V284" s="9"/>
      <x:c r="W284" s="9"/>
      <x:c r="X284" s="9"/>
      <x:c r="Y284" s="8" t="str">
        <x:v>Current</x:v>
      </x:c>
      <x:c r="Z284" s="8" t="str">
        <x:v>trunk:FC1:V1:fan:-1</x:v>
      </x:c>
    </x:row>
    <x:row r="285" ht="90" customHeight="1">
      <x:c r="A285" s="8" t="str">
        <x:v>drop:FC1:V1:fan:-1:F253</x:v>
      </x:c>
      <x:c r="B285" s="8" t="str">
        <x:v>V1 → Exhaust fan · front gable · B inner</x:v>
      </x:c>
      <x:c r="C285" s="8" t="str">
        <x:v>FC1</x:v>
      </x:c>
      <x:c r="D285" s="8" t="str">
        <x:v>F253</x:v>
      </x:c>
      <x:c r="E285" s="8" t="str">
        <x:v>DB1</x:v>
      </x:c>
      <x:c r="F285" s="8" t="str">
        <x:v>V1</x:v>
      </x:c>
      <x:c r="G285" s="8" t="str">
        <x:v>fan</x:v>
      </x:c>
      <x:c r="H285" s="8" t="str">
        <x:v>drop</x:v>
      </x:c>
      <x:c r="I285" s="11" t="n">
        <x:f>SUMIF('Route Points'!$A$7:$A$1910,A285,'Route Points'!$F$7:$F$1910)</x:f>
        <x:v>9.382000000000003</x:v>
      </x:c>
      <x:c r="J285" s="11"/>
      <x:c r="K285" s="11" t="str">
        <x:f>IF(L285="Full home run",I285+J285,"")</x:f>
      </x:c>
      <x:c r="L285" s="8" t="str">
        <x:v>Route segment</x:v>
      </x:c>
      <x:c r="M285" s="13"/>
      <x:c r="N285" s="11" t="str">
        <x:f>IF(OR(M285="",L285="Shared bundle"),"",IF(L285="Full home run",K285,I285)+M285)</x:f>
      </x:c>
      <x:c r="O285" s="8" t="str">
        <x:v>Cable type / conductors / cross-section / conduit: pending electrical design</x:v>
      </x:c>
      <x:c r="P285" s="8" t="str">
        <x:v>Concealed pier / wall drop, local termination</x:v>
      </x:c>
      <x:c r="Q285" s="9"/>
      <x:c r="R285" s="9"/>
      <x:c r="S285" s="13"/>
      <x:c r="T285" s="9"/>
      <x:c r="U285" s="9"/>
      <x:c r="V285" s="9"/>
      <x:c r="W285" s="9"/>
      <x:c r="X285" s="9"/>
      <x:c r="Y285" s="8" t="str">
        <x:v>Current</x:v>
      </x:c>
      <x:c r="Z285" s="8" t="str">
        <x:v>trunk:FC1:V1:fan:-1</x:v>
      </x:c>
    </x:row>
    <x:row r="286" ht="90" customHeight="1">
      <x:c r="A286" s="8" t="str">
        <x:v>drop:FC1:V1:fan:-1:F256</x:v>
      </x:c>
      <x:c r="B286" s="8" t="str">
        <x:v>V1 → Exhaust fan · wing gable B · front</x:v>
      </x:c>
      <x:c r="C286" s="8" t="str">
        <x:v>FC1</x:v>
      </x:c>
      <x:c r="D286" s="8" t="str">
        <x:v>F256</x:v>
      </x:c>
      <x:c r="E286" s="8" t="str">
        <x:v>DB1</x:v>
      </x:c>
      <x:c r="F286" s="8" t="str">
        <x:v>V1</x:v>
      </x:c>
      <x:c r="G286" s="8" t="str">
        <x:v>fan</x:v>
      </x:c>
      <x:c r="H286" s="8" t="str">
        <x:v>drop</x:v>
      </x:c>
      <x:c r="I286" s="11" t="n">
        <x:f>SUMIF('Route Points'!$A$7:$A$1910,A286,'Route Points'!$F$7:$F$1910)</x:f>
        <x:v>1.121999999999999</x:v>
      </x:c>
      <x:c r="J286" s="11"/>
      <x:c r="K286" s="11" t="str">
        <x:f>IF(L286="Full home run",I286+J286,"")</x:f>
      </x:c>
      <x:c r="L286" s="8" t="str">
        <x:v>Route segment</x:v>
      </x:c>
      <x:c r="M286" s="13"/>
      <x:c r="N286" s="11" t="str">
        <x:f>IF(OR(M286="",L286="Shared bundle"),"",IF(L286="Full home run",K286,I286)+M286)</x:f>
      </x:c>
      <x:c r="O286" s="8" t="str">
        <x:v>Cable type / conductors / cross-section / conduit: pending electrical design</x:v>
      </x:c>
      <x:c r="P286" s="8" t="str">
        <x:v>Concealed pier / wall drop, local termination</x:v>
      </x:c>
      <x:c r="Q286" s="9"/>
      <x:c r="R286" s="9"/>
      <x:c r="S286" s="13"/>
      <x:c r="T286" s="9"/>
      <x:c r="U286" s="9"/>
      <x:c r="V286" s="9"/>
      <x:c r="W286" s="9"/>
      <x:c r="X286" s="9"/>
      <x:c r="Y286" s="8" t="str">
        <x:v>Current</x:v>
      </x:c>
      <x:c r="Z286" s="8" t="str">
        <x:v>trunk:FC1:V1:fan:-1</x:v>
      </x:c>
    </x:row>
    <x:row r="287" ht="90" customHeight="1">
      <x:c r="A287" s="8" t="str">
        <x:v>drop:FC1:V1:fan:-1:F257</x:v>
      </x:c>
      <x:c r="B287" s="8" t="str">
        <x:v>V1 → Exhaust fan · wing gable B · rear</x:v>
      </x:c>
      <x:c r="C287" s="8" t="str">
        <x:v>FC1</x:v>
      </x:c>
      <x:c r="D287" s="8" t="str">
        <x:v>F257</x:v>
      </x:c>
      <x:c r="E287" s="8" t="str">
        <x:v>DB1</x:v>
      </x:c>
      <x:c r="F287" s="8" t="str">
        <x:v>V1</x:v>
      </x:c>
      <x:c r="G287" s="8" t="str">
        <x:v>fan</x:v>
      </x:c>
      <x:c r="H287" s="8" t="str">
        <x:v>drop</x:v>
      </x:c>
      <x:c r="I287" s="11" t="n">
        <x:f>SUMIF('Route Points'!$A$7:$A$1910,A287,'Route Points'!$F$7:$F$1910)</x:f>
        <x:v>1.121999999999999</x:v>
      </x:c>
      <x:c r="J287" s="11"/>
      <x:c r="K287" s="11" t="str">
        <x:f>IF(L287="Full home run",I287+J287,"")</x:f>
      </x:c>
      <x:c r="L287" s="8" t="str">
        <x:v>Route segment</x:v>
      </x:c>
      <x:c r="M287" s="13"/>
      <x:c r="N287" s="11" t="str">
        <x:f>IF(OR(M287="",L287="Shared bundle"),"",IF(L287="Full home run",K287,I287)+M287)</x:f>
      </x:c>
      <x:c r="O287" s="8" t="str">
        <x:v>Cable type / conductors / cross-section / conduit: pending electrical design</x:v>
      </x:c>
      <x:c r="P287" s="8" t="str">
        <x:v>Concealed pier / wall drop, local termination</x:v>
      </x:c>
      <x:c r="Q287" s="9"/>
      <x:c r="R287" s="9"/>
      <x:c r="S287" s="13"/>
      <x:c r="T287" s="9"/>
      <x:c r="U287" s="9"/>
      <x:c r="V287" s="9"/>
      <x:c r="W287" s="9"/>
      <x:c r="X287" s="9"/>
      <x:c r="Y287" s="8" t="str">
        <x:v>Current</x:v>
      </x:c>
      <x:c r="Z287" s="8" t="str">
        <x:v>trunk:FC1:V1:fan:-1</x:v>
      </x:c>
    </x:row>
    <x:row r="288" ht="90" customHeight="1">
      <x:c r="A288" s="8" t="str">
        <x:v>drop:FC1:V1:fan:-1:F260</x:v>
      </x:c>
      <x:c r="B288" s="8" t="str">
        <x:v>V1 → Exhaust fan · service room</x:v>
      </x:c>
      <x:c r="C288" s="8" t="str">
        <x:v>FC1</x:v>
      </x:c>
      <x:c r="D288" s="8" t="str">
        <x:v>F260</x:v>
      </x:c>
      <x:c r="E288" s="8" t="str">
        <x:v>DB1</x:v>
      </x:c>
      <x:c r="F288" s="8" t="str">
        <x:v>V1</x:v>
      </x:c>
      <x:c r="G288" s="8" t="str">
        <x:v>fan</x:v>
      </x:c>
      <x:c r="H288" s="8" t="str">
        <x:v>drop</x:v>
      </x:c>
      <x:c r="I288" s="11" t="n">
        <x:f>SUMIF('Route Points'!$A$7:$A$1910,A288,'Route Points'!$F$7:$F$1910)</x:f>
        <x:v>10.718</x:v>
      </x:c>
      <x:c r="J288" s="11"/>
      <x:c r="K288" s="11" t="str">
        <x:f>IF(L288="Full home run",I288+J288,"")</x:f>
      </x:c>
      <x:c r="L288" s="8" t="str">
        <x:v>Route segment</x:v>
      </x:c>
      <x:c r="M288" s="13"/>
      <x:c r="N288" s="11" t="str">
        <x:f>IF(OR(M288="",L288="Shared bundle"),"",IF(L288="Full home run",K288,I288)+M288)</x:f>
      </x:c>
      <x:c r="O288" s="8" t="str">
        <x:v>Cable type / conductors / cross-section / conduit: pending electrical design</x:v>
      </x:c>
      <x:c r="P288" s="8" t="str">
        <x:v>Concealed pier / wall drop, local termination</x:v>
      </x:c>
      <x:c r="Q288" s="9"/>
      <x:c r="R288" s="9"/>
      <x:c r="S288" s="13"/>
      <x:c r="T288" s="9"/>
      <x:c r="U288" s="9"/>
      <x:c r="V288" s="9"/>
      <x:c r="W288" s="9"/>
      <x:c r="X288" s="9"/>
      <x:c r="Y288" s="8" t="str">
        <x:v>Current</x:v>
      </x:c>
      <x:c r="Z288" s="8" t="str">
        <x:v>trunk:FC1:V1:fan:-1</x:v>
      </x:c>
    </x:row>
    <x:row r="289" ht="90" customHeight="1">
      <x:c r="A289" s="8" t="str">
        <x:v>trunk:FC1:V1:fan:1</x:v>
      </x:c>
      <x:c r="B289" s="8" t="str">
        <x:v>V1 · H · circuit trunk</x:v>
      </x:c>
      <x:c r="C289" s="8" t="str">
        <x:v>FC1</x:v>
      </x:c>
      <x:c r="D289" s="8" t="str">
        <x:v>F254
F255
F258
F259</x:v>
      </x:c>
      <x:c r="E289" s="8" t="str">
        <x:v>DB1</x:v>
      </x:c>
      <x:c r="F289" s="8" t="str">
        <x:v>V1</x:v>
      </x:c>
      <x:c r="G289" s="8" t="str">
        <x:v>fan</x:v>
      </x:c>
      <x:c r="H289" s="8" t="str">
        <x:v>trunk</x:v>
      </x:c>
      <x:c r="I289" s="11" t="n">
        <x:f>SUMIF('Route Points'!$A$7:$A$1910,A289,'Route Points'!$F$7:$F$1910)</x:f>
        <x:v>83.403</x:v>
      </x:c>
      <x:c r="J289" s="11"/>
      <x:c r="K289" s="11" t="str">
        <x:f>IF(L289="Full home run",I289+J289,"")</x:f>
      </x:c>
      <x:c r="L289" s="8" t="str">
        <x:v>Route segment</x:v>
      </x:c>
      <x:c r="M289" s="13"/>
      <x:c r="N289" s="11" t="str">
        <x:f>IF(OR(M289="",L289="Shared bundle"),"",IF(L289="Full home run",K289,I289)+M289)</x:f>
      </x:c>
      <x:c r="O289" s="8" t="str">
        <x:v>Cable type / conductors / cross-section / conduit: pending electrical design</x:v>
      </x:c>
      <x:c r="P289" s="8" t="str">
        <x:v>Concealed wall band above openings; ceiling containment at wing returns</x:v>
      </x:c>
      <x:c r="Q289" s="9"/>
      <x:c r="R289" s="9"/>
      <x:c r="S289" s="13"/>
      <x:c r="T289" s="9"/>
      <x:c r="U289" s="9"/>
      <x:c r="V289" s="9"/>
      <x:c r="W289" s="9"/>
      <x:c r="X289" s="9"/>
      <x:c r="Y289" s="8" t="str">
        <x:v>Current</x:v>
      </x:c>
      <x:c r="Z289" s="8"/>
    </x:row>
    <x:row r="290" ht="90" customHeight="1">
      <x:c r="A290" s="8" t="str">
        <x:v>drop:FC1:V1:fan:1:F254</x:v>
      </x:c>
      <x:c r="B290" s="8" t="str">
        <x:v>V1 → Exhaust fan · front gable · H inner</x:v>
      </x:c>
      <x:c r="C290" s="8" t="str">
        <x:v>FC1</x:v>
      </x:c>
      <x:c r="D290" s="8" t="str">
        <x:v>F254</x:v>
      </x:c>
      <x:c r="E290" s="8" t="str">
        <x:v>DB1</x:v>
      </x:c>
      <x:c r="F290" s="8" t="str">
        <x:v>V1</x:v>
      </x:c>
      <x:c r="G290" s="8" t="str">
        <x:v>fan</x:v>
      </x:c>
      <x:c r="H290" s="8" t="str">
        <x:v>drop</x:v>
      </x:c>
      <x:c r="I290" s="11" t="n">
        <x:f>SUMIF('Route Points'!$A$7:$A$1910,A290,'Route Points'!$F$7:$F$1910)</x:f>
        <x:v>9.382000000000003</x:v>
      </x:c>
      <x:c r="J290" s="11"/>
      <x:c r="K290" s="11" t="str">
        <x:f>IF(L290="Full home run",I290+J290,"")</x:f>
      </x:c>
      <x:c r="L290" s="8" t="str">
        <x:v>Route segment</x:v>
      </x:c>
      <x:c r="M290" s="13"/>
      <x:c r="N290" s="11" t="str">
        <x:f>IF(OR(M290="",L290="Shared bundle"),"",IF(L290="Full home run",K290,I290)+M290)</x:f>
      </x:c>
      <x:c r="O290" s="8" t="str">
        <x:v>Cable type / conductors / cross-section / conduit: pending electrical design</x:v>
      </x:c>
      <x:c r="P290" s="8" t="str">
        <x:v>Concealed pier / wall drop, local termination</x:v>
      </x:c>
      <x:c r="Q290" s="9"/>
      <x:c r="R290" s="9"/>
      <x:c r="S290" s="13"/>
      <x:c r="T290" s="9"/>
      <x:c r="U290" s="9"/>
      <x:c r="V290" s="9"/>
      <x:c r="W290" s="9"/>
      <x:c r="X290" s="9"/>
      <x:c r="Y290" s="8" t="str">
        <x:v>Current</x:v>
      </x:c>
      <x:c r="Z290" s="8" t="str">
        <x:v>trunk:FC1:V1:fan:1</x:v>
      </x:c>
    </x:row>
    <x:row r="291" ht="90" customHeight="1">
      <x:c r="A291" s="8" t="str">
        <x:v>drop:FC1:V1:fan:1:F255</x:v>
      </x:c>
      <x:c r="B291" s="8" t="str">
        <x:v>V1 → Exhaust fan · front gable · H outer</x:v>
      </x:c>
      <x:c r="C291" s="8" t="str">
        <x:v>FC1</x:v>
      </x:c>
      <x:c r="D291" s="8" t="str">
        <x:v>F255</x:v>
      </x:c>
      <x:c r="E291" s="8" t="str">
        <x:v>DB1</x:v>
      </x:c>
      <x:c r="F291" s="8" t="str">
        <x:v>V1</x:v>
      </x:c>
      <x:c r="G291" s="8" t="str">
        <x:v>fan</x:v>
      </x:c>
      <x:c r="H291" s="8" t="str">
        <x:v>drop</x:v>
      </x:c>
      <x:c r="I291" s="11" t="n">
        <x:f>SUMIF('Route Points'!$A$7:$A$1910,A291,'Route Points'!$F$7:$F$1910)</x:f>
        <x:v>7.782000000000003</x:v>
      </x:c>
      <x:c r="J291" s="11"/>
      <x:c r="K291" s="11" t="str">
        <x:f>IF(L291="Full home run",I291+J291,"")</x:f>
      </x:c>
      <x:c r="L291" s="8" t="str">
        <x:v>Route segment</x:v>
      </x:c>
      <x:c r="M291" s="13"/>
      <x:c r="N291" s="11" t="str">
        <x:f>IF(OR(M291="",L291="Shared bundle"),"",IF(L291="Full home run",K291,I291)+M291)</x:f>
      </x:c>
      <x:c r="O291" s="8" t="str">
        <x:v>Cable type / conductors / cross-section / conduit: pending electrical design</x:v>
      </x:c>
      <x:c r="P291" s="8" t="str">
        <x:v>Concealed pier / wall drop, local termination</x:v>
      </x:c>
      <x:c r="Q291" s="9"/>
      <x:c r="R291" s="9"/>
      <x:c r="S291" s="13"/>
      <x:c r="T291" s="9"/>
      <x:c r="U291" s="9"/>
      <x:c r="V291" s="9"/>
      <x:c r="W291" s="9"/>
      <x:c r="X291" s="9"/>
      <x:c r="Y291" s="8" t="str">
        <x:v>Current</x:v>
      </x:c>
      <x:c r="Z291" s="8" t="str">
        <x:v>trunk:FC1:V1:fan:1</x:v>
      </x:c>
    </x:row>
    <x:row r="292" ht="90" customHeight="1">
      <x:c r="A292" s="8" t="str">
        <x:v>drop:FC1:V1:fan:1:F258</x:v>
      </x:c>
      <x:c r="B292" s="8" t="str">
        <x:v>V1 → Exhaust fan · wing gable H · front</x:v>
      </x:c>
      <x:c r="C292" s="8" t="str">
        <x:v>FC1</x:v>
      </x:c>
      <x:c r="D292" s="8" t="str">
        <x:v>F258</x:v>
      </x:c>
      <x:c r="E292" s="8" t="str">
        <x:v>DB1</x:v>
      </x:c>
      <x:c r="F292" s="8" t="str">
        <x:v>V1</x:v>
      </x:c>
      <x:c r="G292" s="8" t="str">
        <x:v>fan</x:v>
      </x:c>
      <x:c r="H292" s="8" t="str">
        <x:v>drop</x:v>
      </x:c>
      <x:c r="I292" s="11" t="n">
        <x:f>SUMIF('Route Points'!$A$7:$A$1910,A292,'Route Points'!$F$7:$F$1910)</x:f>
        <x:v>1.121999999999999</x:v>
      </x:c>
      <x:c r="J292" s="11"/>
      <x:c r="K292" s="11" t="str">
        <x:f>IF(L292="Full home run",I292+J292,"")</x:f>
      </x:c>
      <x:c r="L292" s="8" t="str">
        <x:v>Route segment</x:v>
      </x:c>
      <x:c r="M292" s="13"/>
      <x:c r="N292" s="11" t="str">
        <x:f>IF(OR(M292="",L292="Shared bundle"),"",IF(L292="Full home run",K292,I292)+M292)</x:f>
      </x:c>
      <x:c r="O292" s="8" t="str">
        <x:v>Cable type / conductors / cross-section / conduit: pending electrical design</x:v>
      </x:c>
      <x:c r="P292" s="8" t="str">
        <x:v>Concealed pier / wall drop, local termination</x:v>
      </x:c>
      <x:c r="Q292" s="9"/>
      <x:c r="R292" s="9"/>
      <x:c r="S292" s="13"/>
      <x:c r="T292" s="9"/>
      <x:c r="U292" s="9"/>
      <x:c r="V292" s="9"/>
      <x:c r="W292" s="9"/>
      <x:c r="X292" s="9"/>
      <x:c r="Y292" s="8" t="str">
        <x:v>Current</x:v>
      </x:c>
      <x:c r="Z292" s="8" t="str">
        <x:v>trunk:FC1:V1:fan:1</x:v>
      </x:c>
    </x:row>
    <x:row r="293" ht="90" customHeight="1">
      <x:c r="A293" s="8" t="str">
        <x:v>drop:FC1:V1:fan:1:F259</x:v>
      </x:c>
      <x:c r="B293" s="8" t="str">
        <x:v>V1 → Exhaust fan · wing gable H · rear</x:v>
      </x:c>
      <x:c r="C293" s="8" t="str">
        <x:v>FC1</x:v>
      </x:c>
      <x:c r="D293" s="8" t="str">
        <x:v>F259</x:v>
      </x:c>
      <x:c r="E293" s="8" t="str">
        <x:v>DB1</x:v>
      </x:c>
      <x:c r="F293" s="8" t="str">
        <x:v>V1</x:v>
      </x:c>
      <x:c r="G293" s="8" t="str">
        <x:v>fan</x:v>
      </x:c>
      <x:c r="H293" s="8" t="str">
        <x:v>drop</x:v>
      </x:c>
      <x:c r="I293" s="11" t="n">
        <x:f>SUMIF('Route Points'!$A$7:$A$1910,A293,'Route Points'!$F$7:$F$1910)</x:f>
        <x:v>1.121999999999999</x:v>
      </x:c>
      <x:c r="J293" s="11"/>
      <x:c r="K293" s="11" t="str">
        <x:f>IF(L293="Full home run",I293+J293,"")</x:f>
      </x:c>
      <x:c r="L293" s="8" t="str">
        <x:v>Route segment</x:v>
      </x:c>
      <x:c r="M293" s="13"/>
      <x:c r="N293" s="11" t="str">
        <x:f>IF(OR(M293="",L293="Shared bundle"),"",IF(L293="Full home run",K293,I293)+M293)</x:f>
      </x:c>
      <x:c r="O293" s="8" t="str">
        <x:v>Cable type / conductors / cross-section / conduit: pending electrical design</x:v>
      </x:c>
      <x:c r="P293" s="8" t="str">
        <x:v>Concealed pier / wall drop, local termination</x:v>
      </x:c>
      <x:c r="Q293" s="9"/>
      <x:c r="R293" s="9"/>
      <x:c r="S293" s="13"/>
      <x:c r="T293" s="9"/>
      <x:c r="U293" s="9"/>
      <x:c r="V293" s="9"/>
      <x:c r="W293" s="9"/>
      <x:c r="X293" s="9"/>
      <x:c r="Y293" s="8" t="str">
        <x:v>Current</x:v>
      </x:c>
      <x:c r="Z293" s="8" t="str">
        <x:v>trunk:FC1:V1:fan:1</x:v>
      </x:c>
    </x:row>
    <x:row r="294" ht="116" customHeight="1">
      <x:c r="A294" s="8" t="str">
        <x:v>trunk:AV1:A1:audio:-1</x:v>
      </x:c>
      <x:c r="B294" s="8" t="str">
        <x:v>A1 · B · audio home-run bundle</x:v>
      </x:c>
      <x:c r="C294" s="8" t="str">
        <x:v>AV1</x:v>
      </x:c>
      <x:c r="D294" s="8" t="str">
        <x:v>S261
S263
S265
S267
S269
S271
S275
S276</x:v>
      </x:c>
      <x:c r="E294" s="8" t="str">
        <x:v>DB1</x:v>
      </x:c>
      <x:c r="F294" s="8" t="str">
        <x:v>A1</x:v>
      </x:c>
      <x:c r="G294" s="8" t="str">
        <x:v>audio</x:v>
      </x:c>
      <x:c r="H294" s="8" t="str">
        <x:v>trunk</x:v>
      </x:c>
      <x:c r="I294" s="11" t="n">
        <x:f>SUMIF('Route Points'!$A$7:$A$1910,A294,'Route Points'!$F$7:$F$1910)</x:f>
        <x:v>69.05199999999999</x:v>
      </x:c>
      <x:c r="J294" s="11"/>
      <x:c r="K294" s="11" t="str">
        <x:f>IF(L294="Full home run",I294+J294,"")</x:f>
      </x:c>
      <x:c r="L294" s="8" t="str">
        <x:v>Shared bundle</x:v>
      </x:c>
      <x:c r="M294" s="13"/>
      <x:c r="N294" s="11" t="str">
        <x:f>IF(OR(M294="",L294="Shared bundle"),"",IF(L294="Full home run",K294,I294)+M294)</x:f>
      </x:c>
      <x:c r="O294" s="8" t="str">
        <x:v>Cable type / conductors / cross-section / conduit: pending electrical design</x:v>
      </x:c>
      <x:c r="P294" s="8" t="str">
        <x:v>Concealed wall band above openings; ceiling containment at wing returns</x:v>
      </x:c>
      <x:c r="Q294" s="9"/>
      <x:c r="R294" s="9"/>
      <x:c r="S294" s="13"/>
      <x:c r="T294" s="9"/>
      <x:c r="U294" s="9"/>
      <x:c r="V294" s="9"/>
      <x:c r="W294" s="9"/>
      <x:c r="X294" s="9"/>
      <x:c r="Y294" s="8" t="str">
        <x:v>Current</x:v>
      </x:c>
      <x:c r="Z294" s="8"/>
    </x:row>
    <x:row r="295" ht="90" customHeight="1">
      <x:c r="A295" s="8" t="str">
        <x:v>drop:AV1:A1:audio:-1:S261</x:v>
      </x:c>
      <x:c r="B295" s="8" t="str">
        <x:v>A1 → Wall speaker · axis 4 · B</x:v>
      </x:c>
      <x:c r="C295" s="8" t="str">
        <x:v>AV1</x:v>
      </x:c>
      <x:c r="D295" s="8" t="str">
        <x:v>S261</x:v>
      </x:c>
      <x:c r="E295" s="8" t="str">
        <x:v>DB1</x:v>
      </x:c>
      <x:c r="F295" s="8" t="str">
        <x:v>A1</x:v>
      </x:c>
      <x:c r="G295" s="8" t="str">
        <x:v>audio</x:v>
      </x:c>
      <x:c r="H295" s="8" t="str">
        <x:v>drop</x:v>
      </x:c>
      <x:c r="I295" s="11" t="n">
        <x:f>SUMIF('Route Points'!$A$7:$A$1910,A295,'Route Points'!$F$7:$F$1910)</x:f>
        <x:v>2.8919999999999995</x:v>
      </x:c>
      <x:c r="J295" s="11" t="n">
        <x:v>69.05199999999999</x:v>
      </x:c>
      <x:c r="K295" s="11" t="n">
        <x:f>IF(L295="Full home run",I295+J295,"")</x:f>
        <x:v>71.94399999999999</x:v>
      </x:c>
      <x:c r="L295" s="8" t="str">
        <x:v>Full home run</x:v>
      </x:c>
      <x:c r="M295" s="13"/>
      <x:c r="N295" s="11" t="str">
        <x:f>IF(OR(M295="",L295="Shared bundle"),"",IF(L295="Full home run",K295,I295)+M295)</x:f>
      </x:c>
      <x:c r="O295" s="8" t="str">
        <x:v>Cable type / conductors / cross-section / conduit: pending electrical design</x:v>
      </x:c>
      <x:c r="P295" s="8" t="str">
        <x:v>Concealed pier / wall drop, local termination</x:v>
      </x:c>
      <x:c r="Q295" s="9"/>
      <x:c r="R295" s="9"/>
      <x:c r="S295" s="13"/>
      <x:c r="T295" s="9"/>
      <x:c r="U295" s="9"/>
      <x:c r="V295" s="9"/>
      <x:c r="W295" s="9"/>
      <x:c r="X295" s="9"/>
      <x:c r="Y295" s="8" t="str">
        <x:v>Current</x:v>
      </x:c>
      <x:c r="Z295" s="8" t="str">
        <x:v>trunk:AV1:A1:audio:-1</x:v>
      </x:c>
    </x:row>
    <x:row r="296" ht="90" customHeight="1">
      <x:c r="A296" s="8" t="str">
        <x:v>drop:AV1:A1:audio:-1:S263</x:v>
      </x:c>
      <x:c r="B296" s="8" t="str">
        <x:v>A1 → Wall speaker · axis 5 · B</x:v>
      </x:c>
      <x:c r="C296" s="8" t="str">
        <x:v>AV1</x:v>
      </x:c>
      <x:c r="D296" s="8" t="str">
        <x:v>S263</x:v>
      </x:c>
      <x:c r="E296" s="8" t="str">
        <x:v>DB1</x:v>
      </x:c>
      <x:c r="F296" s="8" t="str">
        <x:v>A1</x:v>
      </x:c>
      <x:c r="G296" s="8" t="str">
        <x:v>audio</x:v>
      </x:c>
      <x:c r="H296" s="8" t="str">
        <x:v>drop</x:v>
      </x:c>
      <x:c r="I296" s="11" t="n">
        <x:f>SUMIF('Route Points'!$A$7:$A$1910,A296,'Route Points'!$F$7:$F$1910)</x:f>
        <x:v>2.8919999999999995</x:v>
      </x:c>
      <x:c r="J296" s="11" t="n">
        <x:v>64.55199999999999</x:v>
      </x:c>
      <x:c r="K296" s="11" t="n">
        <x:f>IF(L296="Full home run",I296+J296,"")</x:f>
        <x:v>67.44399999999999</x:v>
      </x:c>
      <x:c r="L296" s="8" t="str">
        <x:v>Full home run</x:v>
      </x:c>
      <x:c r="M296" s="13"/>
      <x:c r="N296" s="11" t="str">
        <x:f>IF(OR(M296="",L296="Shared bundle"),"",IF(L296="Full home run",K296,I296)+M296)</x:f>
      </x:c>
      <x:c r="O296" s="8" t="str">
        <x:v>Cable type / conductors / cross-section / conduit: pending electrical design</x:v>
      </x:c>
      <x:c r="P296" s="8" t="str">
        <x:v>Concealed pier / wall drop, local termination</x:v>
      </x:c>
      <x:c r="Q296" s="9"/>
      <x:c r="R296" s="9"/>
      <x:c r="S296" s="13"/>
      <x:c r="T296" s="9"/>
      <x:c r="U296" s="9"/>
      <x:c r="V296" s="9"/>
      <x:c r="W296" s="9"/>
      <x:c r="X296" s="9"/>
      <x:c r="Y296" s="8" t="str">
        <x:v>Current</x:v>
      </x:c>
      <x:c r="Z296" s="8" t="str">
        <x:v>trunk:AV1:A1:audio:-1</x:v>
      </x:c>
    </x:row>
    <x:row r="297" ht="90" customHeight="1">
      <x:c r="A297" s="8" t="str">
        <x:v>drop:AV1:A1:audio:-1:S265</x:v>
      </x:c>
      <x:c r="B297" s="8" t="str">
        <x:v>A1 → Wall speaker · axis 6 · B</x:v>
      </x:c>
      <x:c r="C297" s="8" t="str">
        <x:v>AV1</x:v>
      </x:c>
      <x:c r="D297" s="8" t="str">
        <x:v>S265</x:v>
      </x:c>
      <x:c r="E297" s="8" t="str">
        <x:v>DB1</x:v>
      </x:c>
      <x:c r="F297" s="8" t="str">
        <x:v>A1</x:v>
      </x:c>
      <x:c r="G297" s="8" t="str">
        <x:v>audio</x:v>
      </x:c>
      <x:c r="H297" s="8" t="str">
        <x:v>drop</x:v>
      </x:c>
      <x:c r="I297" s="11" t="n">
        <x:f>SUMIF('Route Points'!$A$7:$A$1910,A297,'Route Points'!$F$7:$F$1910)</x:f>
        <x:v>2.8919999999999995</x:v>
      </x:c>
      <x:c r="J297" s="11" t="n">
        <x:v>60.052</x:v>
      </x:c>
      <x:c r="K297" s="11" t="n">
        <x:f>IF(L297="Full home run",I297+J297,"")</x:f>
        <x:v>62.944</x:v>
      </x:c>
      <x:c r="L297" s="8" t="str">
        <x:v>Full home run</x:v>
      </x:c>
      <x:c r="M297" s="13"/>
      <x:c r="N297" s="11" t="str">
        <x:f>IF(OR(M297="",L297="Shared bundle"),"",IF(L297="Full home run",K297,I297)+M297)</x:f>
      </x:c>
      <x:c r="O297" s="8" t="str">
        <x:v>Cable type / conductors / cross-section / conduit: pending electrical design</x:v>
      </x:c>
      <x:c r="P297" s="8" t="str">
        <x:v>Concealed pier / wall drop, local termination</x:v>
      </x:c>
      <x:c r="Q297" s="9"/>
      <x:c r="R297" s="9"/>
      <x:c r="S297" s="13"/>
      <x:c r="T297" s="9"/>
      <x:c r="U297" s="9"/>
      <x:c r="V297" s="9"/>
      <x:c r="W297" s="9"/>
      <x:c r="X297" s="9"/>
      <x:c r="Y297" s="8" t="str">
        <x:v>Current</x:v>
      </x:c>
      <x:c r="Z297" s="8" t="str">
        <x:v>trunk:AV1:A1:audio:-1</x:v>
      </x:c>
    </x:row>
    <x:row r="298" ht="90" customHeight="1">
      <x:c r="A298" s="8" t="str">
        <x:v>drop:AV1:A1:audio:-1:S267</x:v>
      </x:c>
      <x:c r="B298" s="8" t="str">
        <x:v>A1 → Wall speaker · axis 7 · B</x:v>
      </x:c>
      <x:c r="C298" s="8" t="str">
        <x:v>AV1</x:v>
      </x:c>
      <x:c r="D298" s="8" t="str">
        <x:v>S267</x:v>
      </x:c>
      <x:c r="E298" s="8" t="str">
        <x:v>DB1</x:v>
      </x:c>
      <x:c r="F298" s="8" t="str">
        <x:v>A1</x:v>
      </x:c>
      <x:c r="G298" s="8" t="str">
        <x:v>audio</x:v>
      </x:c>
      <x:c r="H298" s="8" t="str">
        <x:v>drop</x:v>
      </x:c>
      <x:c r="I298" s="11" t="n">
        <x:f>SUMIF('Route Points'!$A$7:$A$1910,A298,'Route Points'!$F$7:$F$1910)</x:f>
        <x:v>2.8919999999999995</x:v>
      </x:c>
      <x:c r="J298" s="11" t="n">
        <x:v>55.552</x:v>
      </x:c>
      <x:c r="K298" s="11" t="n">
        <x:f>IF(L298="Full home run",I298+J298,"")</x:f>
        <x:v>58.444</x:v>
      </x:c>
      <x:c r="L298" s="8" t="str">
        <x:v>Full home run</x:v>
      </x:c>
      <x:c r="M298" s="13"/>
      <x:c r="N298" s="11" t="str">
        <x:f>IF(OR(M298="",L298="Shared bundle"),"",IF(L298="Full home run",K298,I298)+M298)</x:f>
      </x:c>
      <x:c r="O298" s="8" t="str">
        <x:v>Cable type / conductors / cross-section / conduit: pending electrical design</x:v>
      </x:c>
      <x:c r="P298" s="8" t="str">
        <x:v>Concealed pier / wall drop, local termination</x:v>
      </x:c>
      <x:c r="Q298" s="9"/>
      <x:c r="R298" s="9"/>
      <x:c r="S298" s="13"/>
      <x:c r="T298" s="9"/>
      <x:c r="U298" s="9"/>
      <x:c r="V298" s="9"/>
      <x:c r="W298" s="9"/>
      <x:c r="X298" s="9"/>
      <x:c r="Y298" s="8" t="str">
        <x:v>Current</x:v>
      </x:c>
      <x:c r="Z298" s="8" t="str">
        <x:v>trunk:AV1:A1:audio:-1</x:v>
      </x:c>
    </x:row>
    <x:row r="299" ht="90" customHeight="1">
      <x:c r="A299" s="8" t="str">
        <x:v>drop:AV1:A1:audio:-1:S269</x:v>
      </x:c>
      <x:c r="B299" s="8" t="str">
        <x:v>A1 → Wall speaker · axis 8 · B</x:v>
      </x:c>
      <x:c r="C299" s="8" t="str">
        <x:v>AV1</x:v>
      </x:c>
      <x:c r="D299" s="8" t="str">
        <x:v>S269</x:v>
      </x:c>
      <x:c r="E299" s="8" t="str">
        <x:v>DB1</x:v>
      </x:c>
      <x:c r="F299" s="8" t="str">
        <x:v>A1</x:v>
      </x:c>
      <x:c r="G299" s="8" t="str">
        <x:v>audio</x:v>
      </x:c>
      <x:c r="H299" s="8" t="str">
        <x:v>drop</x:v>
      </x:c>
      <x:c r="I299" s="11" t="n">
        <x:f>SUMIF('Route Points'!$A$7:$A$1910,A299,'Route Points'!$F$7:$F$1910)</x:f>
        <x:v>2.8919999999999995</x:v>
      </x:c>
      <x:c r="J299" s="11" t="n">
        <x:v>51.052</x:v>
      </x:c>
      <x:c r="K299" s="11" t="n">
        <x:f>IF(L299="Full home run",I299+J299,"")</x:f>
        <x:v>53.944</x:v>
      </x:c>
      <x:c r="L299" s="8" t="str">
        <x:v>Full home run</x:v>
      </x:c>
      <x:c r="M299" s="13"/>
      <x:c r="N299" s="11" t="str">
        <x:f>IF(OR(M299="",L299="Shared bundle"),"",IF(L299="Full home run",K299,I299)+M299)</x:f>
      </x:c>
      <x:c r="O299" s="8" t="str">
        <x:v>Cable type / conductors / cross-section / conduit: pending electrical design</x:v>
      </x:c>
      <x:c r="P299" s="8" t="str">
        <x:v>Concealed pier / wall drop, local termination</x:v>
      </x:c>
      <x:c r="Q299" s="9"/>
      <x:c r="R299" s="9"/>
      <x:c r="S299" s="13"/>
      <x:c r="T299" s="9"/>
      <x:c r="U299" s="9"/>
      <x:c r="V299" s="9"/>
      <x:c r="W299" s="9"/>
      <x:c r="X299" s="9"/>
      <x:c r="Y299" s="8" t="str">
        <x:v>Current</x:v>
      </x:c>
      <x:c r="Z299" s="8" t="str">
        <x:v>trunk:AV1:A1:audio:-1</x:v>
      </x:c>
    </x:row>
    <x:row r="300" ht="90" customHeight="1">
      <x:c r="A300" s="8" t="str">
        <x:v>drop:AV1:A1:audio:-1:S271</x:v>
      </x:c>
      <x:c r="B300" s="8" t="str">
        <x:v>A1 → Wall speaker · axis 9 · B</x:v>
      </x:c>
      <x:c r="C300" s="8" t="str">
        <x:v>AV1</x:v>
      </x:c>
      <x:c r="D300" s="8" t="str">
        <x:v>S271</x:v>
      </x:c>
      <x:c r="E300" s="8" t="str">
        <x:v>DB1</x:v>
      </x:c>
      <x:c r="F300" s="8" t="str">
        <x:v>A1</x:v>
      </x:c>
      <x:c r="G300" s="8" t="str">
        <x:v>audio</x:v>
      </x:c>
      <x:c r="H300" s="8" t="str">
        <x:v>drop</x:v>
      </x:c>
      <x:c r="I300" s="11" t="n">
        <x:f>SUMIF('Route Points'!$A$7:$A$1910,A300,'Route Points'!$F$7:$F$1910)</x:f>
        <x:v>8.771999999999998</x:v>
      </x:c>
      <x:c r="J300" s="11" t="n">
        <x:v>40.672</x:v>
      </x:c>
      <x:c r="K300" s="11" t="n">
        <x:f>IF(L300="Full home run",I300+J300,"")</x:f>
        <x:v>49.443999999999996</x:v>
      </x:c>
      <x:c r="L300" s="8" t="str">
        <x:v>Full home run</x:v>
      </x:c>
      <x:c r="M300" s="13"/>
      <x:c r="N300" s="11" t="str">
        <x:f>IF(OR(M300="",L300="Shared bundle"),"",IF(L300="Full home run",K300,I300)+M300)</x:f>
      </x:c>
      <x:c r="O300" s="8" t="str">
        <x:v>Cable type / conductors / cross-section / conduit: pending electrical design</x:v>
      </x:c>
      <x:c r="P300" s="8" t="str">
        <x:v>Concealed pier / wall drop, local termination</x:v>
      </x:c>
      <x:c r="Q300" s="9"/>
      <x:c r="R300" s="9"/>
      <x:c r="S300" s="13"/>
      <x:c r="T300" s="9"/>
      <x:c r="U300" s="9"/>
      <x:c r="V300" s="9"/>
      <x:c r="W300" s="9"/>
      <x:c r="X300" s="9"/>
      <x:c r="Y300" s="8" t="str">
        <x:v>Current</x:v>
      </x:c>
      <x:c r="Z300" s="8" t="str">
        <x:v>trunk:AV1:A1:audio:-1</x:v>
      </x:c>
    </x:row>
    <x:row r="301" ht="90" customHeight="1">
      <x:c r="A301" s="8" t="str">
        <x:v>drop:AV1:A1:audio:-1:S275</x:v>
      </x:c>
      <x:c r="B301" s="8" t="str">
        <x:v>A1 → Wing speaker · B · front block</x:v>
      </x:c>
      <x:c r="C301" s="8" t="str">
        <x:v>AV1</x:v>
      </x:c>
      <x:c r="D301" s="8" t="str">
        <x:v>S275</x:v>
      </x:c>
      <x:c r="E301" s="8" t="str">
        <x:v>DB1</x:v>
      </x:c>
      <x:c r="F301" s="8" t="str">
        <x:v>A1</x:v>
      </x:c>
      <x:c r="G301" s="8" t="str">
        <x:v>audio</x:v>
      </x:c>
      <x:c r="H301" s="8" t="str">
        <x:v>drop</x:v>
      </x:c>
      <x:c r="I301" s="11" t="n">
        <x:f>SUMIF('Route Points'!$A$7:$A$1910,A301,'Route Points'!$F$7:$F$1910)</x:f>
        <x:v>8.818119999999993</x:v>
      </x:c>
      <x:c r="J301" s="11" t="n">
        <x:v>38.707</x:v>
      </x:c>
      <x:c r="K301" s="11" t="n">
        <x:f>IF(L301="Full home run",I301+J301,"")</x:f>
        <x:v>47.525119999999994</x:v>
      </x:c>
      <x:c r="L301" s="8" t="str">
        <x:v>Full home run</x:v>
      </x:c>
      <x:c r="M301" s="13"/>
      <x:c r="N301" s="11" t="str">
        <x:f>IF(OR(M301="",L301="Shared bundle"),"",IF(L301="Full home run",K301,I301)+M301)</x:f>
      </x:c>
      <x:c r="O301" s="8" t="str">
        <x:v>Cable type / conductors / cross-section / conduit: pending electrical design</x:v>
      </x:c>
      <x:c r="P301" s="8" t="str">
        <x:v>Wall / beam or roof containment, then pendant connection</x:v>
      </x:c>
      <x:c r="Q301" s="9"/>
      <x:c r="R301" s="9"/>
      <x:c r="S301" s="13"/>
      <x:c r="T301" s="9"/>
      <x:c r="U301" s="9"/>
      <x:c r="V301" s="9"/>
      <x:c r="W301" s="9"/>
      <x:c r="X301" s="9"/>
      <x:c r="Y301" s="8" t="str">
        <x:v>Current</x:v>
      </x:c>
      <x:c r="Z301" s="8" t="str">
        <x:v>trunk:AV1:A1:audio:-1</x:v>
      </x:c>
    </x:row>
    <x:row r="302" ht="90" customHeight="1">
      <x:c r="A302" s="8" t="str">
        <x:v>drop:AV1:A1:audio:-1:S276</x:v>
      </x:c>
      <x:c r="B302" s="8" t="str">
        <x:v>A1 → Wing speaker · B · rear block</x:v>
      </x:c>
      <x:c r="C302" s="8" t="str">
        <x:v>AV1</x:v>
      </x:c>
      <x:c r="D302" s="8" t="str">
        <x:v>S276</x:v>
      </x:c>
      <x:c r="E302" s="8" t="str">
        <x:v>DB1</x:v>
      </x:c>
      <x:c r="F302" s="8" t="str">
        <x:v>A1</x:v>
      </x:c>
      <x:c r="G302" s="8" t="str">
        <x:v>audio</x:v>
      </x:c>
      <x:c r="H302" s="8" t="str">
        <x:v>drop</x:v>
      </x:c>
      <x:c r="I302" s="11" t="n">
        <x:f>SUMIF('Route Points'!$A$7:$A$1910,A302,'Route Points'!$F$7:$F$1910)</x:f>
        <x:v>8.755160000000007</x:v>
      </x:c>
      <x:c r="J302" s="11" t="n">
        <x:v>35.427</x:v>
      </x:c>
      <x:c r="K302" s="11" t="n">
        <x:f>IF(L302="Full home run",I302+J302,"")</x:f>
        <x:v>44.18216000000001</x:v>
      </x:c>
      <x:c r="L302" s="8" t="str">
        <x:v>Full home run</x:v>
      </x:c>
      <x:c r="M302" s="13"/>
      <x:c r="N302" s="11" t="str">
        <x:f>IF(OR(M302="",L302="Shared bundle"),"",IF(L302="Full home run",K302,I302)+M302)</x:f>
      </x:c>
      <x:c r="O302" s="8" t="str">
        <x:v>Cable type / conductors / cross-section / conduit: pending electrical design</x:v>
      </x:c>
      <x:c r="P302" s="8" t="str">
        <x:v>Wall / beam or roof containment, then pendant connection</x:v>
      </x:c>
      <x:c r="Q302" s="9"/>
      <x:c r="R302" s="9"/>
      <x:c r="S302" s="13"/>
      <x:c r="T302" s="9"/>
      <x:c r="U302" s="9"/>
      <x:c r="V302" s="9"/>
      <x:c r="W302" s="9"/>
      <x:c r="X302" s="9"/>
      <x:c r="Y302" s="8" t="str">
        <x:v>Current</x:v>
      </x:c>
      <x:c r="Z302" s="8" t="str">
        <x:v>trunk:AV1:A1:audio:-1</x:v>
      </x:c>
    </x:row>
    <x:row r="303" ht="116" customHeight="1">
      <x:c r="A303" s="8" t="str">
        <x:v>trunk:AV1:A1:audio:1</x:v>
      </x:c>
      <x:c r="B303" s="8" t="str">
        <x:v>A1 · H · audio home-run bundle</x:v>
      </x:c>
      <x:c r="C303" s="8" t="str">
        <x:v>AV1</x:v>
      </x:c>
      <x:c r="D303" s="8" t="str">
        <x:v>S262
S264
S266
S268
S270
S272
S277
S278</x:v>
      </x:c>
      <x:c r="E303" s="8" t="str">
        <x:v>DB1</x:v>
      </x:c>
      <x:c r="F303" s="8" t="str">
        <x:v>A1</x:v>
      </x:c>
      <x:c r="G303" s="8" t="str">
        <x:v>audio</x:v>
      </x:c>
      <x:c r="H303" s="8" t="str">
        <x:v>trunk</x:v>
      </x:c>
      <x:c r="I303" s="11" t="n">
        <x:f>SUMIF('Route Points'!$A$7:$A$1910,A303,'Route Points'!$F$7:$F$1910)</x:f>
        <x:v>76.25200000000001</x:v>
      </x:c>
      <x:c r="J303" s="11"/>
      <x:c r="K303" s="11" t="str">
        <x:f>IF(L303="Full home run",I303+J303,"")</x:f>
      </x:c>
      <x:c r="L303" s="8" t="str">
        <x:v>Shared bundle</x:v>
      </x:c>
      <x:c r="M303" s="13"/>
      <x:c r="N303" s="11" t="str">
        <x:f>IF(OR(M303="",L303="Shared bundle"),"",IF(L303="Full home run",K303,I303)+M303)</x:f>
      </x:c>
      <x:c r="O303" s="8" t="str">
        <x:v>Cable type / conductors / cross-section / conduit: pending electrical design</x:v>
      </x:c>
      <x:c r="P303" s="8" t="str">
        <x:v>Concealed wall band above openings; ceiling containment at wing returns</x:v>
      </x:c>
      <x:c r="Q303" s="9"/>
      <x:c r="R303" s="9"/>
      <x:c r="S303" s="13"/>
      <x:c r="T303" s="9"/>
      <x:c r="U303" s="9"/>
      <x:c r="V303" s="9"/>
      <x:c r="W303" s="9"/>
      <x:c r="X303" s="9"/>
      <x:c r="Y303" s="8" t="str">
        <x:v>Current</x:v>
      </x:c>
      <x:c r="Z303" s="8"/>
    </x:row>
    <x:row r="304" ht="90" customHeight="1">
      <x:c r="A304" s="8" t="str">
        <x:v>drop:AV1:A1:audio:1:S262</x:v>
      </x:c>
      <x:c r="B304" s="8" t="str">
        <x:v>A1 → Wall speaker · axis 4 · H</x:v>
      </x:c>
      <x:c r="C304" s="8" t="str">
        <x:v>AV1</x:v>
      </x:c>
      <x:c r="D304" s="8" t="str">
        <x:v>S262</x:v>
      </x:c>
      <x:c r="E304" s="8" t="str">
        <x:v>DB1</x:v>
      </x:c>
      <x:c r="F304" s="8" t="str">
        <x:v>A1</x:v>
      </x:c>
      <x:c r="G304" s="8" t="str">
        <x:v>audio</x:v>
      </x:c>
      <x:c r="H304" s="8" t="str">
        <x:v>drop</x:v>
      </x:c>
      <x:c r="I304" s="11" t="n">
        <x:f>SUMIF('Route Points'!$A$7:$A$1910,A304,'Route Points'!$F$7:$F$1910)</x:f>
        <x:v>2.8919999999999995</x:v>
      </x:c>
      <x:c r="J304" s="11" t="n">
        <x:v>76.25200000000001</x:v>
      </x:c>
      <x:c r="K304" s="11" t="n">
        <x:f>IF(L304="Full home run",I304+J304,"")</x:f>
        <x:v>79.144</x:v>
      </x:c>
      <x:c r="L304" s="8" t="str">
        <x:v>Full home run</x:v>
      </x:c>
      <x:c r="M304" s="13"/>
      <x:c r="N304" s="11" t="str">
        <x:f>IF(OR(M304="",L304="Shared bundle"),"",IF(L304="Full home run",K304,I304)+M304)</x:f>
      </x:c>
      <x:c r="O304" s="8" t="str">
        <x:v>Cable type / conductors / cross-section / conduit: pending electrical design</x:v>
      </x:c>
      <x:c r="P304" s="8" t="str">
        <x:v>Concealed pier / wall drop, local termination</x:v>
      </x:c>
      <x:c r="Q304" s="9"/>
      <x:c r="R304" s="9"/>
      <x:c r="S304" s="13"/>
      <x:c r="T304" s="9"/>
      <x:c r="U304" s="9"/>
      <x:c r="V304" s="9"/>
      <x:c r="W304" s="9"/>
      <x:c r="X304" s="9"/>
      <x:c r="Y304" s="8" t="str">
        <x:v>Current</x:v>
      </x:c>
      <x:c r="Z304" s="8" t="str">
        <x:v>trunk:AV1:A1:audio:1</x:v>
      </x:c>
    </x:row>
    <x:row r="305" ht="90" customHeight="1">
      <x:c r="A305" s="8" t="str">
        <x:v>drop:AV1:A1:audio:1:S264</x:v>
      </x:c>
      <x:c r="B305" s="8" t="str">
        <x:v>A1 → Wall speaker · axis 5 · H</x:v>
      </x:c>
      <x:c r="C305" s="8" t="str">
        <x:v>AV1</x:v>
      </x:c>
      <x:c r="D305" s="8" t="str">
        <x:v>S264</x:v>
      </x:c>
      <x:c r="E305" s="8" t="str">
        <x:v>DB1</x:v>
      </x:c>
      <x:c r="F305" s="8" t="str">
        <x:v>A1</x:v>
      </x:c>
      <x:c r="G305" s="8" t="str">
        <x:v>audio</x:v>
      </x:c>
      <x:c r="H305" s="8" t="str">
        <x:v>drop</x:v>
      </x:c>
      <x:c r="I305" s="11" t="n">
        <x:f>SUMIF('Route Points'!$A$7:$A$1910,A305,'Route Points'!$F$7:$F$1910)</x:f>
        <x:v>2.8919999999999995</x:v>
      </x:c>
      <x:c r="J305" s="11" t="n">
        <x:v>71.75200000000001</x:v>
      </x:c>
      <x:c r="K305" s="11" t="n">
        <x:f>IF(L305="Full home run",I305+J305,"")</x:f>
        <x:v>74.644</x:v>
      </x:c>
      <x:c r="L305" s="8" t="str">
        <x:v>Full home run</x:v>
      </x:c>
      <x:c r="M305" s="13"/>
      <x:c r="N305" s="11" t="str">
        <x:f>IF(OR(M305="",L305="Shared bundle"),"",IF(L305="Full home run",K305,I305)+M305)</x:f>
      </x:c>
      <x:c r="O305" s="8" t="str">
        <x:v>Cable type / conductors / cross-section / conduit: pending electrical design</x:v>
      </x:c>
      <x:c r="P305" s="8" t="str">
        <x:v>Concealed pier / wall drop, local termination</x:v>
      </x:c>
      <x:c r="Q305" s="9"/>
      <x:c r="R305" s="9"/>
      <x:c r="S305" s="13"/>
      <x:c r="T305" s="9"/>
      <x:c r="U305" s="9"/>
      <x:c r="V305" s="9"/>
      <x:c r="W305" s="9"/>
      <x:c r="X305" s="9"/>
      <x:c r="Y305" s="8" t="str">
        <x:v>Current</x:v>
      </x:c>
      <x:c r="Z305" s="8" t="str">
        <x:v>trunk:AV1:A1:audio:1</x:v>
      </x:c>
    </x:row>
    <x:row r="306" ht="90" customHeight="1">
      <x:c r="A306" s="8" t="str">
        <x:v>drop:AV1:A1:audio:1:S266</x:v>
      </x:c>
      <x:c r="B306" s="8" t="str">
        <x:v>A1 → Wall speaker · axis 6 · H</x:v>
      </x:c>
      <x:c r="C306" s="8" t="str">
        <x:v>AV1</x:v>
      </x:c>
      <x:c r="D306" s="8" t="str">
        <x:v>S266</x:v>
      </x:c>
      <x:c r="E306" s="8" t="str">
        <x:v>DB1</x:v>
      </x:c>
      <x:c r="F306" s="8" t="str">
        <x:v>A1</x:v>
      </x:c>
      <x:c r="G306" s="8" t="str">
        <x:v>audio</x:v>
      </x:c>
      <x:c r="H306" s="8" t="str">
        <x:v>drop</x:v>
      </x:c>
      <x:c r="I306" s="11" t="n">
        <x:f>SUMIF('Route Points'!$A$7:$A$1910,A306,'Route Points'!$F$7:$F$1910)</x:f>
        <x:v>2.8919999999999995</x:v>
      </x:c>
      <x:c r="J306" s="11" t="n">
        <x:v>67.25200000000001</x:v>
      </x:c>
      <x:c r="K306" s="11" t="n">
        <x:f>IF(L306="Full home run",I306+J306,"")</x:f>
        <x:v>70.144</x:v>
      </x:c>
      <x:c r="L306" s="8" t="str">
        <x:v>Full home run</x:v>
      </x:c>
      <x:c r="M306" s="13"/>
      <x:c r="N306" s="11" t="str">
        <x:f>IF(OR(M306="",L306="Shared bundle"),"",IF(L306="Full home run",K306,I306)+M306)</x:f>
      </x:c>
      <x:c r="O306" s="8" t="str">
        <x:v>Cable type / conductors / cross-section / conduit: pending electrical design</x:v>
      </x:c>
      <x:c r="P306" s="8" t="str">
        <x:v>Concealed pier / wall drop, local termination</x:v>
      </x:c>
      <x:c r="Q306" s="9"/>
      <x:c r="R306" s="9"/>
      <x:c r="S306" s="13"/>
      <x:c r="T306" s="9"/>
      <x:c r="U306" s="9"/>
      <x:c r="V306" s="9"/>
      <x:c r="W306" s="9"/>
      <x:c r="X306" s="9"/>
      <x:c r="Y306" s="8" t="str">
        <x:v>Current</x:v>
      </x:c>
      <x:c r="Z306" s="8" t="str">
        <x:v>trunk:AV1:A1:audio:1</x:v>
      </x:c>
    </x:row>
    <x:row r="307" ht="90" customHeight="1">
      <x:c r="A307" s="8" t="str">
        <x:v>drop:AV1:A1:audio:1:S268</x:v>
      </x:c>
      <x:c r="B307" s="8" t="str">
        <x:v>A1 → Wall speaker · axis 7 · H</x:v>
      </x:c>
      <x:c r="C307" s="8" t="str">
        <x:v>AV1</x:v>
      </x:c>
      <x:c r="D307" s="8" t="str">
        <x:v>S268</x:v>
      </x:c>
      <x:c r="E307" s="8" t="str">
        <x:v>DB1</x:v>
      </x:c>
      <x:c r="F307" s="8" t="str">
        <x:v>A1</x:v>
      </x:c>
      <x:c r="G307" s="8" t="str">
        <x:v>audio</x:v>
      </x:c>
      <x:c r="H307" s="8" t="str">
        <x:v>drop</x:v>
      </x:c>
      <x:c r="I307" s="11" t="n">
        <x:f>SUMIF('Route Points'!$A$7:$A$1910,A307,'Route Points'!$F$7:$F$1910)</x:f>
        <x:v>2.8919999999999995</x:v>
      </x:c>
      <x:c r="J307" s="11" t="n">
        <x:v>62.752</x:v>
      </x:c>
      <x:c r="K307" s="11" t="n">
        <x:f>IF(L307="Full home run",I307+J307,"")</x:f>
        <x:v>65.644</x:v>
      </x:c>
      <x:c r="L307" s="8" t="str">
        <x:v>Full home run</x:v>
      </x:c>
      <x:c r="M307" s="13"/>
      <x:c r="N307" s="11" t="str">
        <x:f>IF(OR(M307="",L307="Shared bundle"),"",IF(L307="Full home run",K307,I307)+M307)</x:f>
      </x:c>
      <x:c r="O307" s="8" t="str">
        <x:v>Cable type / conductors / cross-section / conduit: pending electrical design</x:v>
      </x:c>
      <x:c r="P307" s="8" t="str">
        <x:v>Concealed pier / wall drop, local termination</x:v>
      </x:c>
      <x:c r="Q307" s="9"/>
      <x:c r="R307" s="9"/>
      <x:c r="S307" s="13"/>
      <x:c r="T307" s="9"/>
      <x:c r="U307" s="9"/>
      <x:c r="V307" s="9"/>
      <x:c r="W307" s="9"/>
      <x:c r="X307" s="9"/>
      <x:c r="Y307" s="8" t="str">
        <x:v>Current</x:v>
      </x:c>
      <x:c r="Z307" s="8" t="str">
        <x:v>trunk:AV1:A1:audio:1</x:v>
      </x:c>
    </x:row>
    <x:row r="308" ht="90" customHeight="1">
      <x:c r="A308" s="8" t="str">
        <x:v>drop:AV1:A1:audio:1:S270</x:v>
      </x:c>
      <x:c r="B308" s="8" t="str">
        <x:v>A1 → Wall speaker · axis 8 · H</x:v>
      </x:c>
      <x:c r="C308" s="8" t="str">
        <x:v>AV1</x:v>
      </x:c>
      <x:c r="D308" s="8" t="str">
        <x:v>S270</x:v>
      </x:c>
      <x:c r="E308" s="8" t="str">
        <x:v>DB1</x:v>
      </x:c>
      <x:c r="F308" s="8" t="str">
        <x:v>A1</x:v>
      </x:c>
      <x:c r="G308" s="8" t="str">
        <x:v>audio</x:v>
      </x:c>
      <x:c r="H308" s="8" t="str">
        <x:v>drop</x:v>
      </x:c>
      <x:c r="I308" s="11" t="n">
        <x:f>SUMIF('Route Points'!$A$7:$A$1910,A308,'Route Points'!$F$7:$F$1910)</x:f>
        <x:v>2.8919999999999995</x:v>
      </x:c>
      <x:c r="J308" s="11" t="n">
        <x:v>58.252</x:v>
      </x:c>
      <x:c r="K308" s="11" t="n">
        <x:f>IF(L308="Full home run",I308+J308,"")</x:f>
        <x:v>61.144000000000005</x:v>
      </x:c>
      <x:c r="L308" s="8" t="str">
        <x:v>Full home run</x:v>
      </x:c>
      <x:c r="M308" s="13"/>
      <x:c r="N308" s="11" t="str">
        <x:f>IF(OR(M308="",L308="Shared bundle"),"",IF(L308="Full home run",K308,I308)+M308)</x:f>
      </x:c>
      <x:c r="O308" s="8" t="str">
        <x:v>Cable type / conductors / cross-section / conduit: pending electrical design</x:v>
      </x:c>
      <x:c r="P308" s="8" t="str">
        <x:v>Concealed pier / wall drop, local termination</x:v>
      </x:c>
      <x:c r="Q308" s="9"/>
      <x:c r="R308" s="9"/>
      <x:c r="S308" s="13"/>
      <x:c r="T308" s="9"/>
      <x:c r="U308" s="9"/>
      <x:c r="V308" s="9"/>
      <x:c r="W308" s="9"/>
      <x:c r="X308" s="9"/>
      <x:c r="Y308" s="8" t="str">
        <x:v>Current</x:v>
      </x:c>
      <x:c r="Z308" s="8" t="str">
        <x:v>trunk:AV1:A1:audio:1</x:v>
      </x:c>
    </x:row>
    <x:row r="309" ht="90" customHeight="1">
      <x:c r="A309" s="8" t="str">
        <x:v>drop:AV1:A1:audio:1:S272</x:v>
      </x:c>
      <x:c r="B309" s="8" t="str">
        <x:v>A1 → Wall speaker · axis 9 · H</x:v>
      </x:c>
      <x:c r="C309" s="8" t="str">
        <x:v>AV1</x:v>
      </x:c>
      <x:c r="D309" s="8" t="str">
        <x:v>S272</x:v>
      </x:c>
      <x:c r="E309" s="8" t="str">
        <x:v>DB1</x:v>
      </x:c>
      <x:c r="F309" s="8" t="str">
        <x:v>A1</x:v>
      </x:c>
      <x:c r="G309" s="8" t="str">
        <x:v>audio</x:v>
      </x:c>
      <x:c r="H309" s="8" t="str">
        <x:v>drop</x:v>
      </x:c>
      <x:c r="I309" s="11" t="n">
        <x:f>SUMIF('Route Points'!$A$7:$A$1910,A309,'Route Points'!$F$7:$F$1910)</x:f>
        <x:v>8.771999999999998</x:v>
      </x:c>
      <x:c r="J309" s="11" t="n">
        <x:v>47.872</x:v>
      </x:c>
      <x:c r="K309" s="11" t="n">
        <x:f>IF(L309="Full home run",I309+J309,"")</x:f>
        <x:v>56.644</x:v>
      </x:c>
      <x:c r="L309" s="8" t="str">
        <x:v>Full home run</x:v>
      </x:c>
      <x:c r="M309" s="13"/>
      <x:c r="N309" s="11" t="str">
        <x:f>IF(OR(M309="",L309="Shared bundle"),"",IF(L309="Full home run",K309,I309)+M309)</x:f>
      </x:c>
      <x:c r="O309" s="8" t="str">
        <x:v>Cable type / conductors / cross-section / conduit: pending electrical design</x:v>
      </x:c>
      <x:c r="P309" s="8" t="str">
        <x:v>Concealed pier / wall drop, local termination</x:v>
      </x:c>
      <x:c r="Q309" s="9"/>
      <x:c r="R309" s="9"/>
      <x:c r="S309" s="13"/>
      <x:c r="T309" s="9"/>
      <x:c r="U309" s="9"/>
      <x:c r="V309" s="9"/>
      <x:c r="W309" s="9"/>
      <x:c r="X309" s="9"/>
      <x:c r="Y309" s="8" t="str">
        <x:v>Current</x:v>
      </x:c>
      <x:c r="Z309" s="8" t="str">
        <x:v>trunk:AV1:A1:audio:1</x:v>
      </x:c>
    </x:row>
    <x:row r="310" ht="90" customHeight="1">
      <x:c r="A310" s="8" t="str">
        <x:v>drop:AV1:A1:audio:1:S277</x:v>
      </x:c>
      <x:c r="B310" s="8" t="str">
        <x:v>A1 → Wing speaker · H · front block</x:v>
      </x:c>
      <x:c r="C310" s="8" t="str">
        <x:v>AV1</x:v>
      </x:c>
      <x:c r="D310" s="8" t="str">
        <x:v>S277</x:v>
      </x:c>
      <x:c r="E310" s="8" t="str">
        <x:v>DB1</x:v>
      </x:c>
      <x:c r="F310" s="8" t="str">
        <x:v>A1</x:v>
      </x:c>
      <x:c r="G310" s="8" t="str">
        <x:v>audio</x:v>
      </x:c>
      <x:c r="H310" s="8" t="str">
        <x:v>drop</x:v>
      </x:c>
      <x:c r="I310" s="11" t="n">
        <x:f>SUMIF('Route Points'!$A$7:$A$1910,A310,'Route Points'!$F$7:$F$1910)</x:f>
        <x:v>8.818119999999993</x:v>
      </x:c>
      <x:c r="J310" s="11" t="n">
        <x:v>45.907000000000004</x:v>
      </x:c>
      <x:c r="K310" s="11" t="n">
        <x:f>IF(L310="Full home run",I310+J310,"")</x:f>
        <x:v>54.72512</x:v>
      </x:c>
      <x:c r="L310" s="8" t="str">
        <x:v>Full home run</x:v>
      </x:c>
      <x:c r="M310" s="13"/>
      <x:c r="N310" s="11" t="str">
        <x:f>IF(OR(M310="",L310="Shared bundle"),"",IF(L310="Full home run",K310,I310)+M310)</x:f>
      </x:c>
      <x:c r="O310" s="8" t="str">
        <x:v>Cable type / conductors / cross-section / conduit: pending electrical design</x:v>
      </x:c>
      <x:c r="P310" s="8" t="str">
        <x:v>Wall / beam or roof containment, then pendant connection</x:v>
      </x:c>
      <x:c r="Q310" s="9"/>
      <x:c r="R310" s="9"/>
      <x:c r="S310" s="13"/>
      <x:c r="T310" s="9"/>
      <x:c r="U310" s="9"/>
      <x:c r="V310" s="9"/>
      <x:c r="W310" s="9"/>
      <x:c r="X310" s="9"/>
      <x:c r="Y310" s="8" t="str">
        <x:v>Current</x:v>
      </x:c>
      <x:c r="Z310" s="8" t="str">
        <x:v>trunk:AV1:A1:audio:1</x:v>
      </x:c>
    </x:row>
    <x:row r="311" ht="90" customHeight="1">
      <x:c r="A311" s="8" t="str">
        <x:v>drop:AV1:A1:audio:1:S278</x:v>
      </x:c>
      <x:c r="B311" s="8" t="str">
        <x:v>A1 → Wing speaker · H · rear block</x:v>
      </x:c>
      <x:c r="C311" s="8" t="str">
        <x:v>AV1</x:v>
      </x:c>
      <x:c r="D311" s="8" t="str">
        <x:v>S278</x:v>
      </x:c>
      <x:c r="E311" s="8" t="str">
        <x:v>DB1</x:v>
      </x:c>
      <x:c r="F311" s="8" t="str">
        <x:v>A1</x:v>
      </x:c>
      <x:c r="G311" s="8" t="str">
        <x:v>audio</x:v>
      </x:c>
      <x:c r="H311" s="8" t="str">
        <x:v>drop</x:v>
      </x:c>
      <x:c r="I311" s="11" t="n">
        <x:f>SUMIF('Route Points'!$A$7:$A$1910,A311,'Route Points'!$F$7:$F$1910)</x:f>
        <x:v>8.755160000000007</x:v>
      </x:c>
      <x:c r="J311" s="11" t="n">
        <x:v>42.627</x:v>
      </x:c>
      <x:c r="K311" s="11" t="n">
        <x:f>IF(L311="Full home run",I311+J311,"")</x:f>
        <x:v>51.38216000000001</x:v>
      </x:c>
      <x:c r="L311" s="8" t="str">
        <x:v>Full home run</x:v>
      </x:c>
      <x:c r="M311" s="13"/>
      <x:c r="N311" s="11" t="str">
        <x:f>IF(OR(M311="",L311="Shared bundle"),"",IF(L311="Full home run",K311,I311)+M311)</x:f>
      </x:c>
      <x:c r="O311" s="8" t="str">
        <x:v>Cable type / conductors / cross-section / conduit: pending electrical design</x:v>
      </x:c>
      <x:c r="P311" s="8" t="str">
        <x:v>Wall / beam or roof containment, then pendant connection</x:v>
      </x:c>
      <x:c r="Q311" s="9"/>
      <x:c r="R311" s="9"/>
      <x:c r="S311" s="13"/>
      <x:c r="T311" s="9"/>
      <x:c r="U311" s="9"/>
      <x:c r="V311" s="9"/>
      <x:c r="W311" s="9"/>
      <x:c r="X311" s="9"/>
      <x:c r="Y311" s="8" t="str">
        <x:v>Current</x:v>
      </x:c>
      <x:c r="Z311" s="8" t="str">
        <x:v>trunk:AV1:A1:audio:1</x:v>
      </x:c>
    </x:row>
    <x:row r="312" ht="90" customHeight="1">
      <x:c r="A312" s="8" t="str">
        <x:v>trunk:AV1:A5:audio:-1</x:v>
      </x:c>
      <x:c r="B312" s="8" t="str">
        <x:v>A5 · B · audio home-run bundle</x:v>
      </x:c>
      <x:c r="C312" s="8" t="str">
        <x:v>AV1</x:v>
      </x:c>
      <x:c r="D312" s="8" t="str">
        <x:v>S273</x:v>
      </x:c>
      <x:c r="E312" s="8" t="str">
        <x:v>DB1</x:v>
      </x:c>
      <x:c r="F312" s="8" t="str">
        <x:v>A5</x:v>
      </x:c>
      <x:c r="G312" s="8" t="str">
        <x:v>audio</x:v>
      </x:c>
      <x:c r="H312" s="8" t="str">
        <x:v>trunk</x:v>
      </x:c>
      <x:c r="I312" s="11" t="n">
        <x:f>SUMIF('Route Points'!$A$7:$A$1910,A312,'Route Points'!$F$7:$F$1910)</x:f>
        <x:v>80.928</x:v>
      </x:c>
      <x:c r="J312" s="11"/>
      <x:c r="K312" s="11" t="str">
        <x:f>IF(L312="Full home run",I312+J312,"")</x:f>
      </x:c>
      <x:c r="L312" s="8" t="str">
        <x:v>Shared bundle</x:v>
      </x:c>
      <x:c r="M312" s="13"/>
      <x:c r="N312" s="11" t="str">
        <x:f>IF(OR(M312="",L312="Shared bundle"),"",IF(L312="Full home run",K312,I312)+M312)</x:f>
      </x:c>
      <x:c r="O312" s="8" t="str">
        <x:v>Cable type / conductors / cross-section / conduit: pending electrical design</x:v>
      </x:c>
      <x:c r="P312" s="8" t="str">
        <x:v>Concealed wall band above openings; ceiling containment at wing returns</x:v>
      </x:c>
      <x:c r="Q312" s="9"/>
      <x:c r="R312" s="9"/>
      <x:c r="S312" s="13"/>
      <x:c r="T312" s="9"/>
      <x:c r="U312" s="9"/>
      <x:c r="V312" s="9"/>
      <x:c r="W312" s="9"/>
      <x:c r="X312" s="9"/>
      <x:c r="Y312" s="8" t="str">
        <x:v>Current</x:v>
      </x:c>
      <x:c r="Z312" s="8"/>
    </x:row>
    <x:row r="313" ht="90" customHeight="1">
      <x:c r="A313" s="8" t="str">
        <x:v>drop:AV1:A5:audio:-1:S273</x:v>
      </x:c>
      <x:c r="B313" s="8" t="str">
        <x:v>A5 → Wall speaker · entrance hall · B</x:v>
      </x:c>
      <x:c r="C313" s="8" t="str">
        <x:v>AV1</x:v>
      </x:c>
      <x:c r="D313" s="8" t="str">
        <x:v>S273</x:v>
      </x:c>
      <x:c r="E313" s="8" t="str">
        <x:v>DB1</x:v>
      </x:c>
      <x:c r="F313" s="8" t="str">
        <x:v>A5</x:v>
      </x:c>
      <x:c r="G313" s="8" t="str">
        <x:v>audio</x:v>
      </x:c>
      <x:c r="H313" s="8" t="str">
        <x:v>drop</x:v>
      </x:c>
      <x:c r="I313" s="11" t="n">
        <x:f>SUMIF('Route Points'!$A$7:$A$1910,A313,'Route Points'!$F$7:$F$1910)</x:f>
        <x:v>10.236874358846789</x:v>
      </x:c>
      <x:c r="J313" s="11" t="n">
        <x:v>80.928</x:v>
      </x:c>
      <x:c r="K313" s="11" t="n">
        <x:f>IF(L313="Full home run",I313+J313,"")</x:f>
        <x:v>91.16487435884679</x:v>
      </x:c>
      <x:c r="L313" s="8" t="str">
        <x:v>Full home run</x:v>
      </x:c>
      <x:c r="M313" s="13"/>
      <x:c r="N313" s="11" t="str">
        <x:f>IF(OR(M313="",L313="Shared bundle"),"",IF(L313="Full home run",K313,I313)+M313)</x:f>
      </x:c>
      <x:c r="O313" s="8" t="str">
        <x:v>Cable type / conductors / cross-section / conduit: pending electrical design</x:v>
      </x:c>
      <x:c r="P313" s="8" t="str">
        <x:v>Concealed pier / wall drop, local termination</x:v>
      </x:c>
      <x:c r="Q313" s="9"/>
      <x:c r="R313" s="9"/>
      <x:c r="S313" s="13"/>
      <x:c r="T313" s="9"/>
      <x:c r="U313" s="9"/>
      <x:c r="V313" s="9"/>
      <x:c r="W313" s="9"/>
      <x:c r="X313" s="9"/>
      <x:c r="Y313" s="8" t="str">
        <x:v>Current</x:v>
      </x:c>
      <x:c r="Z313" s="8" t="str">
        <x:v>trunk:AV1:A5:audio:-1</x:v>
      </x:c>
    </x:row>
    <x:row r="314" ht="90" customHeight="1">
      <x:c r="A314" s="8" t="str">
        <x:v>trunk:AV1:A5:audio:1</x:v>
      </x:c>
      <x:c r="B314" s="8" t="str">
        <x:v>A5 · H · audio home-run bundle</x:v>
      </x:c>
      <x:c r="C314" s="8" t="str">
        <x:v>AV1</x:v>
      </x:c>
      <x:c r="D314" s="8" t="str">
        <x:v>S274</x:v>
      </x:c>
      <x:c r="E314" s="8" t="str">
        <x:v>DB1</x:v>
      </x:c>
      <x:c r="F314" s="8" t="str">
        <x:v>A5</x:v>
      </x:c>
      <x:c r="G314" s="8" t="str">
        <x:v>audio</x:v>
      </x:c>
      <x:c r="H314" s="8" t="str">
        <x:v>trunk</x:v>
      </x:c>
      <x:c r="I314" s="11" t="n">
        <x:f>SUMIF('Route Points'!$A$7:$A$1910,A314,'Route Points'!$F$7:$F$1910)</x:f>
        <x:v>88.12799999999999</x:v>
      </x:c>
      <x:c r="J314" s="11"/>
      <x:c r="K314" s="11" t="str">
        <x:f>IF(L314="Full home run",I314+J314,"")</x:f>
      </x:c>
      <x:c r="L314" s="8" t="str">
        <x:v>Shared bundle</x:v>
      </x:c>
      <x:c r="M314" s="13"/>
      <x:c r="N314" s="11" t="str">
        <x:f>IF(OR(M314="",L314="Shared bundle"),"",IF(L314="Full home run",K314,I314)+M314)</x:f>
      </x:c>
      <x:c r="O314" s="8" t="str">
        <x:v>Cable type / conductors / cross-section / conduit: pending electrical design</x:v>
      </x:c>
      <x:c r="P314" s="8" t="str">
        <x:v>Concealed wall band above openings; ceiling containment at wing returns</x:v>
      </x:c>
      <x:c r="Q314" s="9"/>
      <x:c r="R314" s="9"/>
      <x:c r="S314" s="13"/>
      <x:c r="T314" s="9"/>
      <x:c r="U314" s="9"/>
      <x:c r="V314" s="9"/>
      <x:c r="W314" s="9"/>
      <x:c r="X314" s="9"/>
      <x:c r="Y314" s="8" t="str">
        <x:v>Current</x:v>
      </x:c>
      <x:c r="Z314" s="8"/>
    </x:row>
    <x:row r="315" ht="90" customHeight="1">
      <x:c r="A315" s="8" t="str">
        <x:v>drop:AV1:A5:audio:1:S274</x:v>
      </x:c>
      <x:c r="B315" s="8" t="str">
        <x:v>A5 → Wall speaker · entrance hall · H</x:v>
      </x:c>
      <x:c r="C315" s="8" t="str">
        <x:v>AV1</x:v>
      </x:c>
      <x:c r="D315" s="8" t="str">
        <x:v>S274</x:v>
      </x:c>
      <x:c r="E315" s="8" t="str">
        <x:v>DB1</x:v>
      </x:c>
      <x:c r="F315" s="8" t="str">
        <x:v>A5</x:v>
      </x:c>
      <x:c r="G315" s="8" t="str">
        <x:v>audio</x:v>
      </x:c>
      <x:c r="H315" s="8" t="str">
        <x:v>drop</x:v>
      </x:c>
      <x:c r="I315" s="11" t="n">
        <x:f>SUMIF('Route Points'!$A$7:$A$1910,A315,'Route Points'!$F$7:$F$1910)</x:f>
        <x:v>10.236874358846789</x:v>
      </x:c>
      <x:c r="J315" s="11" t="n">
        <x:v>88.12799999999999</x:v>
      </x:c>
      <x:c r="K315" s="11" t="n">
        <x:f>IF(L315="Full home run",I315+J315,"")</x:f>
        <x:v>98.36487435884678</x:v>
      </x:c>
      <x:c r="L315" s="8" t="str">
        <x:v>Full home run</x:v>
      </x:c>
      <x:c r="M315" s="13"/>
      <x:c r="N315" s="11" t="str">
        <x:f>IF(OR(M315="",L315="Shared bundle"),"",IF(L315="Full home run",K315,I315)+M315)</x:f>
      </x:c>
      <x:c r="O315" s="8" t="str">
        <x:v>Cable type / conductors / cross-section / conduit: pending electrical design</x:v>
      </x:c>
      <x:c r="P315" s="8" t="str">
        <x:v>Concealed pier / wall drop, local termination</x:v>
      </x:c>
      <x:c r="Q315" s="9"/>
      <x:c r="R315" s="9"/>
      <x:c r="S315" s="13"/>
      <x:c r="T315" s="9"/>
      <x:c r="U315" s="9"/>
      <x:c r="V315" s="9"/>
      <x:c r="W315" s="9"/>
      <x:c r="X315" s="9"/>
      <x:c r="Y315" s="8" t="str">
        <x:v>Current</x:v>
      </x:c>
      <x:c r="Z315" s="8" t="str">
        <x:v>trunk:AV1:A5:audio:1</x:v>
      </x:c>
    </x:row>
    <x:row r="316" ht="90" customHeight="1">
      <x:c r="A316" s="8" t="str">
        <x:v>trunk:AV1:A2:audio:-1</x:v>
      </x:c>
      <x:c r="B316" s="8" t="str">
        <x:v>A2 · B · audio home-run bundle</x:v>
      </x:c>
      <x:c r="C316" s="8" t="str">
        <x:v>AV1</x:v>
      </x:c>
      <x:c r="D316" s="8" t="str">
        <x:v>S279
S280</x:v>
      </x:c>
      <x:c r="E316" s="8" t="str">
        <x:v>DB1</x:v>
      </x:c>
      <x:c r="F316" s="8" t="str">
        <x:v>A2</x:v>
      </x:c>
      <x:c r="G316" s="8" t="str">
        <x:v>audio</x:v>
      </x:c>
      <x:c r="H316" s="8" t="str">
        <x:v>trunk</x:v>
      </x:c>
      <x:c r="I316" s="11" t="n">
        <x:f>SUMIF('Route Points'!$A$7:$A$1910,A316,'Route Points'!$F$7:$F$1910)</x:f>
        <x:v>70.011</x:v>
      </x:c>
      <x:c r="J316" s="11"/>
      <x:c r="K316" s="11" t="str">
        <x:f>IF(L316="Full home run",I316+J316,"")</x:f>
      </x:c>
      <x:c r="L316" s="8" t="str">
        <x:v>Shared bundle</x:v>
      </x:c>
      <x:c r="M316" s="13"/>
      <x:c r="N316" s="11" t="str">
        <x:f>IF(OR(M316="",L316="Shared bundle"),"",IF(L316="Full home run",K316,I316)+M316)</x:f>
      </x:c>
      <x:c r="O316" s="8" t="str">
        <x:v>Cable type / conductors / cross-section / conduit: pending electrical design</x:v>
      </x:c>
      <x:c r="P316" s="8" t="str">
        <x:v>Concealed wall band above openings; ceiling containment at wing returns</x:v>
      </x:c>
      <x:c r="Q316" s="9"/>
      <x:c r="R316" s="9"/>
      <x:c r="S316" s="13"/>
      <x:c r="T316" s="9"/>
      <x:c r="U316" s="9"/>
      <x:c r="V316" s="9"/>
      <x:c r="W316" s="9"/>
      <x:c r="X316" s="9"/>
      <x:c r="Y316" s="8" t="str">
        <x:v>Current</x:v>
      </x:c>
      <x:c r="Z316" s="8"/>
    </x:row>
    <x:row r="317" ht="90" customHeight="1">
      <x:c r="A317" s="8" t="str">
        <x:v>drop:AV1:A2:audio:-1:S279</x:v>
      </x:c>
      <x:c r="B317" s="8" t="str">
        <x:v>A2 → Veranda fill · B · 12.2</x:v>
      </x:c>
      <x:c r="C317" s="8" t="str">
        <x:v>AV1</x:v>
      </x:c>
      <x:c r="D317" s="8" t="str">
        <x:v>S279</x:v>
      </x:c>
      <x:c r="E317" s="8" t="str">
        <x:v>DB1</x:v>
      </x:c>
      <x:c r="F317" s="8" t="str">
        <x:v>A2</x:v>
      </x:c>
      <x:c r="G317" s="8" t="str">
        <x:v>audio</x:v>
      </x:c>
      <x:c r="H317" s="8" t="str">
        <x:v>drop</x:v>
      </x:c>
      <x:c r="I317" s="11" t="n">
        <x:f>SUMIF('Route Points'!$A$7:$A$1910,A317,'Route Points'!$F$7:$F$1910)</x:f>
        <x:v>6.42675</x:v>
      </x:c>
      <x:c r="J317" s="11" t="n">
        <x:v>70.011</x:v>
      </x:c>
      <x:c r="K317" s="11" t="n">
        <x:f>IF(L317="Full home run",I317+J317,"")</x:f>
        <x:v>76.43775</x:v>
      </x:c>
      <x:c r="L317" s="8" t="str">
        <x:v>Full home run</x:v>
      </x:c>
      <x:c r="M317" s="13"/>
      <x:c r="N317" s="11" t="str">
        <x:f>IF(OR(M317="",L317="Shared bundle"),"",IF(L317="Full home run",K317,I317)+M317)</x:f>
      </x:c>
      <x:c r="O317" s="8" t="str">
        <x:v>Cable type / conductors / cross-section / conduit: pending electrical design</x:v>
      </x:c>
      <x:c r="P317" s="8" t="str">
        <x:v>Wall / beam or roof containment, then pendant connection</x:v>
      </x:c>
      <x:c r="Q317" s="9"/>
      <x:c r="R317" s="9"/>
      <x:c r="S317" s="13"/>
      <x:c r="T317" s="9"/>
      <x:c r="U317" s="9"/>
      <x:c r="V317" s="9"/>
      <x:c r="W317" s="9"/>
      <x:c r="X317" s="9"/>
      <x:c r="Y317" s="8" t="str">
        <x:v>Current</x:v>
      </x:c>
      <x:c r="Z317" s="8" t="str">
        <x:v>trunk:AV1:A2:audio:-1</x:v>
      </x:c>
    </x:row>
    <x:row r="318" ht="90" customHeight="1">
      <x:c r="A318" s="8" t="str">
        <x:v>drop:AV1:A2:audio:-1:S280</x:v>
      </x:c>
      <x:c r="B318" s="8" t="str">
        <x:v>A2 → Veranda fill · B · 25.7</x:v>
      </x:c>
      <x:c r="C318" s="8" t="str">
        <x:v>AV1</x:v>
      </x:c>
      <x:c r="D318" s="8" t="str">
        <x:v>S280</x:v>
      </x:c>
      <x:c r="E318" s="8" t="str">
        <x:v>DB1</x:v>
      </x:c>
      <x:c r="F318" s="8" t="str">
        <x:v>A2</x:v>
      </x:c>
      <x:c r="G318" s="8" t="str">
        <x:v>audio</x:v>
      </x:c>
      <x:c r="H318" s="8" t="str">
        <x:v>drop</x:v>
      </x:c>
      <x:c r="I318" s="11" t="n">
        <x:f>SUMIF('Route Points'!$A$7:$A$1910,A318,'Route Points'!$F$7:$F$1910)</x:f>
        <x:v>6.42675</x:v>
      </x:c>
      <x:c r="J318" s="11" t="n">
        <x:v>56.510999999999996</x:v>
      </x:c>
      <x:c r="K318" s="11" t="n">
        <x:f>IF(L318="Full home run",I318+J318,"")</x:f>
        <x:v>62.937749999999994</x:v>
      </x:c>
      <x:c r="L318" s="8" t="str">
        <x:v>Full home run</x:v>
      </x:c>
      <x:c r="M318" s="13"/>
      <x:c r="N318" s="11" t="str">
        <x:f>IF(OR(M318="",L318="Shared bundle"),"",IF(L318="Full home run",K318,I318)+M318)</x:f>
      </x:c>
      <x:c r="O318" s="8" t="str">
        <x:v>Cable type / conductors / cross-section / conduit: pending electrical design</x:v>
      </x:c>
      <x:c r="P318" s="8" t="str">
        <x:v>Wall / beam or roof containment, then pendant connection</x:v>
      </x:c>
      <x:c r="Q318" s="9"/>
      <x:c r="R318" s="9"/>
      <x:c r="S318" s="13"/>
      <x:c r="T318" s="9"/>
      <x:c r="U318" s="9"/>
      <x:c r="V318" s="9"/>
      <x:c r="W318" s="9"/>
      <x:c r="X318" s="9"/>
      <x:c r="Y318" s="8" t="str">
        <x:v>Current</x:v>
      </x:c>
      <x:c r="Z318" s="8" t="str">
        <x:v>trunk:AV1:A2:audio:-1</x:v>
      </x:c>
    </x:row>
    <x:row r="319" ht="90" customHeight="1">
      <x:c r="A319" s="8" t="str">
        <x:v>trunk:AV1:A2:audio:1</x:v>
      </x:c>
      <x:c r="B319" s="8" t="str">
        <x:v>A2 · H · audio home-run bundle</x:v>
      </x:c>
      <x:c r="C319" s="8" t="str">
        <x:v>AV1</x:v>
      </x:c>
      <x:c r="D319" s="8" t="str">
        <x:v>S281
S282</x:v>
      </x:c>
      <x:c r="E319" s="8" t="str">
        <x:v>DB1</x:v>
      </x:c>
      <x:c r="F319" s="8" t="str">
        <x:v>A2</x:v>
      </x:c>
      <x:c r="G319" s="8" t="str">
        <x:v>audio</x:v>
      </x:c>
      <x:c r="H319" s="8" t="str">
        <x:v>trunk</x:v>
      </x:c>
      <x:c r="I319" s="11" t="n">
        <x:f>SUMIF('Route Points'!$A$7:$A$1910,A319,'Route Points'!$F$7:$F$1910)</x:f>
        <x:v>77.211</x:v>
      </x:c>
      <x:c r="J319" s="11"/>
      <x:c r="K319" s="11" t="str">
        <x:f>IF(L319="Full home run",I319+J319,"")</x:f>
      </x:c>
      <x:c r="L319" s="8" t="str">
        <x:v>Shared bundle</x:v>
      </x:c>
      <x:c r="M319" s="13"/>
      <x:c r="N319" s="11" t="str">
        <x:f>IF(OR(M319="",L319="Shared bundle"),"",IF(L319="Full home run",K319,I319)+M319)</x:f>
      </x:c>
      <x:c r="O319" s="8" t="str">
        <x:v>Cable type / conductors / cross-section / conduit: pending electrical design</x:v>
      </x:c>
      <x:c r="P319" s="8" t="str">
        <x:v>Concealed wall band above openings; ceiling containment at wing returns</x:v>
      </x:c>
      <x:c r="Q319" s="9"/>
      <x:c r="R319" s="9"/>
      <x:c r="S319" s="13"/>
      <x:c r="T319" s="9"/>
      <x:c r="U319" s="9"/>
      <x:c r="V319" s="9"/>
      <x:c r="W319" s="9"/>
      <x:c r="X319" s="9"/>
      <x:c r="Y319" s="8" t="str">
        <x:v>Current</x:v>
      </x:c>
      <x:c r="Z319" s="8"/>
    </x:row>
    <x:row r="320" ht="90" customHeight="1">
      <x:c r="A320" s="8" t="str">
        <x:v>drop:AV1:A2:audio:1:S281</x:v>
      </x:c>
      <x:c r="B320" s="8" t="str">
        <x:v>A2 → Veranda fill · H · 12.2</x:v>
      </x:c>
      <x:c r="C320" s="8" t="str">
        <x:v>AV1</x:v>
      </x:c>
      <x:c r="D320" s="8" t="str">
        <x:v>S281</x:v>
      </x:c>
      <x:c r="E320" s="8" t="str">
        <x:v>DB1</x:v>
      </x:c>
      <x:c r="F320" s="8" t="str">
        <x:v>A2</x:v>
      </x:c>
      <x:c r="G320" s="8" t="str">
        <x:v>audio</x:v>
      </x:c>
      <x:c r="H320" s="8" t="str">
        <x:v>drop</x:v>
      </x:c>
      <x:c r="I320" s="11" t="n">
        <x:f>SUMIF('Route Points'!$A$7:$A$1910,A320,'Route Points'!$F$7:$F$1910)</x:f>
        <x:v>6.42675</x:v>
      </x:c>
      <x:c r="J320" s="11" t="n">
        <x:v>77.211</x:v>
      </x:c>
      <x:c r="K320" s="11" t="n">
        <x:f>IF(L320="Full home run",I320+J320,"")</x:f>
        <x:v>83.63775</x:v>
      </x:c>
      <x:c r="L320" s="8" t="str">
        <x:v>Full home run</x:v>
      </x:c>
      <x:c r="M320" s="13"/>
      <x:c r="N320" s="11" t="str">
        <x:f>IF(OR(M320="",L320="Shared bundle"),"",IF(L320="Full home run",K320,I320)+M320)</x:f>
      </x:c>
      <x:c r="O320" s="8" t="str">
        <x:v>Cable type / conductors / cross-section / conduit: pending electrical design</x:v>
      </x:c>
      <x:c r="P320" s="8" t="str">
        <x:v>Wall / beam or roof containment, then pendant connection</x:v>
      </x:c>
      <x:c r="Q320" s="9"/>
      <x:c r="R320" s="9"/>
      <x:c r="S320" s="13"/>
      <x:c r="T320" s="9"/>
      <x:c r="U320" s="9"/>
      <x:c r="V320" s="9"/>
      <x:c r="W320" s="9"/>
      <x:c r="X320" s="9"/>
      <x:c r="Y320" s="8" t="str">
        <x:v>Current</x:v>
      </x:c>
      <x:c r="Z320" s="8" t="str">
        <x:v>trunk:AV1:A2:audio:1</x:v>
      </x:c>
    </x:row>
    <x:row r="321" ht="90" customHeight="1">
      <x:c r="A321" s="8" t="str">
        <x:v>drop:AV1:A2:audio:1:S282</x:v>
      </x:c>
      <x:c r="B321" s="8" t="str">
        <x:v>A2 → Veranda fill · H · 25.7</x:v>
      </x:c>
      <x:c r="C321" s="8" t="str">
        <x:v>AV1</x:v>
      </x:c>
      <x:c r="D321" s="8" t="str">
        <x:v>S282</x:v>
      </x:c>
      <x:c r="E321" s="8" t="str">
        <x:v>DB1</x:v>
      </x:c>
      <x:c r="F321" s="8" t="str">
        <x:v>A2</x:v>
      </x:c>
      <x:c r="G321" s="8" t="str">
        <x:v>audio</x:v>
      </x:c>
      <x:c r="H321" s="8" t="str">
        <x:v>drop</x:v>
      </x:c>
      <x:c r="I321" s="11" t="n">
        <x:f>SUMIF('Route Points'!$A$7:$A$1910,A321,'Route Points'!$F$7:$F$1910)</x:f>
        <x:v>6.42675</x:v>
      </x:c>
      <x:c r="J321" s="11" t="n">
        <x:v>63.711</x:v>
      </x:c>
      <x:c r="K321" s="11" t="n">
        <x:f>IF(L321="Full home run",I321+J321,"")</x:f>
        <x:v>70.13775</x:v>
      </x:c>
      <x:c r="L321" s="8" t="str">
        <x:v>Full home run</x:v>
      </x:c>
      <x:c r="M321" s="13"/>
      <x:c r="N321" s="11" t="str">
        <x:f>IF(OR(M321="",L321="Shared bundle"),"",IF(L321="Full home run",K321,I321)+M321)</x:f>
      </x:c>
      <x:c r="O321" s="8" t="str">
        <x:v>Cable type / conductors / cross-section / conduit: pending electrical design</x:v>
      </x:c>
      <x:c r="P321" s="8" t="str">
        <x:v>Wall / beam or roof containment, then pendant connection</x:v>
      </x:c>
      <x:c r="Q321" s="9"/>
      <x:c r="R321" s="9"/>
      <x:c r="S321" s="13"/>
      <x:c r="T321" s="9"/>
      <x:c r="U321" s="9"/>
      <x:c r="V321" s="9"/>
      <x:c r="W321" s="9"/>
      <x:c r="X321" s="9"/>
      <x:c r="Y321" s="8" t="str">
        <x:v>Current</x:v>
      </x:c>
      <x:c r="Z321" s="8" t="str">
        <x:v>trunk:AV1:A2:audio:1</x:v>
      </x:c>
    </x:row>
    <x:row r="322" ht="90" customHeight="1">
      <x:c r="A322" s="8" t="str">
        <x:v>trunk:AV1:A3:audio:-1</x:v>
      </x:c>
      <x:c r="B322" s="8" t="str">
        <x:v>A3 · B · audio home-run bundle</x:v>
      </x:c>
      <x:c r="C322" s="8" t="str">
        <x:v>AV1</x:v>
      </x:c>
      <x:c r="D322" s="8" t="str">
        <x:v>S283
S284
S285
S286</x:v>
      </x:c>
      <x:c r="E322" s="8" t="str">
        <x:v>DB1</x:v>
      </x:c>
      <x:c r="F322" s="8" t="str">
        <x:v>A3</x:v>
      </x:c>
      <x:c r="G322" s="8" t="str">
        <x:v>audio</x:v>
      </x:c>
      <x:c r="H322" s="8" t="str">
        <x:v>trunk</x:v>
      </x:c>
      <x:c r="I322" s="11" t="n">
        <x:f>SUMIF('Route Points'!$A$7:$A$1910,A322,'Route Points'!$F$7:$F$1910)</x:f>
        <x:v>81.205</x:v>
      </x:c>
      <x:c r="J322" s="11"/>
      <x:c r="K322" s="11" t="str">
        <x:f>IF(L322="Full home run",I322+J322,"")</x:f>
      </x:c>
      <x:c r="L322" s="8" t="str">
        <x:v>Shared bundle</x:v>
      </x:c>
      <x:c r="M322" s="13"/>
      <x:c r="N322" s="11" t="str">
        <x:f>IF(OR(M322="",L322="Shared bundle"),"",IF(L322="Full home run",K322,I322)+M322)</x:f>
      </x:c>
      <x:c r="O322" s="8" t="str">
        <x:v>Cable type / conductors / cross-section / conduit: pending electrical design</x:v>
      </x:c>
      <x:c r="P322" s="8" t="str">
        <x:v>Concealed wall band above openings; ceiling containment at wing returns</x:v>
      </x:c>
      <x:c r="Q322" s="9"/>
      <x:c r="R322" s="9"/>
      <x:c r="S322" s="13"/>
      <x:c r="T322" s="9"/>
      <x:c r="U322" s="9"/>
      <x:c r="V322" s="9"/>
      <x:c r="W322" s="9"/>
      <x:c r="X322" s="9"/>
      <x:c r="Y322" s="8" t="str">
        <x:v>Current</x:v>
      </x:c>
      <x:c r="Z322" s="8"/>
    </x:row>
    <x:row r="323" ht="90" customHeight="1">
      <x:c r="A323" s="8" t="str">
        <x:v>drop:AV1:A3:audio:-1:S283</x:v>
      </x:c>
      <x:c r="B323" s="8" t="str">
        <x:v>A3 → Courtyard horn · B</x:v>
      </x:c>
      <x:c r="C323" s="8" t="str">
        <x:v>AV1</x:v>
      </x:c>
      <x:c r="D323" s="8" t="str">
        <x:v>S283</x:v>
      </x:c>
      <x:c r="E323" s="8" t="str">
        <x:v>DB1</x:v>
      </x:c>
      <x:c r="F323" s="8" t="str">
        <x:v>A3</x:v>
      </x:c>
      <x:c r="G323" s="8" t="str">
        <x:v>audio</x:v>
      </x:c>
      <x:c r="H323" s="8" t="str">
        <x:v>drop</x:v>
      </x:c>
      <x:c r="I323" s="11" t="n">
        <x:f>SUMIF('Route Points'!$A$7:$A$1910,A323,'Route Points'!$F$7:$F$1910)</x:f>
        <x:v>10.155999999999999</x:v>
      </x:c>
      <x:c r="J323" s="11" t="n">
        <x:v>81.205</x:v>
      </x:c>
      <x:c r="K323" s="11" t="n">
        <x:f>IF(L323="Full home run",I323+J323,"")</x:f>
        <x:v>91.36099999999999</x:v>
      </x:c>
      <x:c r="L323" s="8" t="str">
        <x:v>Full home run</x:v>
      </x:c>
      <x:c r="M323" s="13"/>
      <x:c r="N323" s="11" t="str">
        <x:f>IF(OR(M323="",L323="Shared bundle"),"",IF(L323="Full home run",K323,I323)+M323)</x:f>
      </x:c>
      <x:c r="O323" s="8" t="str">
        <x:v>Cable type / conductors / cross-section / conduit: pending electrical design</x:v>
      </x:c>
      <x:c r="P323" s="8" t="str">
        <x:v>Concealed pier / wall drop, local termination</x:v>
      </x:c>
      <x:c r="Q323" s="9"/>
      <x:c r="R323" s="9"/>
      <x:c r="S323" s="13"/>
      <x:c r="T323" s="9"/>
      <x:c r="U323" s="9"/>
      <x:c r="V323" s="9"/>
      <x:c r="W323" s="9"/>
      <x:c r="X323" s="9"/>
      <x:c r="Y323" s="8" t="str">
        <x:v>Current</x:v>
      </x:c>
      <x:c r="Z323" s="8" t="str">
        <x:v>trunk:AV1:A3:audio:-1</x:v>
      </x:c>
    </x:row>
    <x:row r="324" ht="90" customHeight="1">
      <x:c r="A324" s="8" t="str">
        <x:v>drop:AV1:A3:audio:-1:S284</x:v>
      </x:c>
      <x:c r="B324" s="8" t="str">
        <x:v>A3 → Tower horn · B · outer</x:v>
      </x:c>
      <x:c r="C324" s="8" t="str">
        <x:v>AV1</x:v>
      </x:c>
      <x:c r="D324" s="8" t="str">
        <x:v>S284</x:v>
      </x:c>
      <x:c r="E324" s="8" t="str">
        <x:v>DB1</x:v>
      </x:c>
      <x:c r="F324" s="8" t="str">
        <x:v>A3</x:v>
      </x:c>
      <x:c r="G324" s="8" t="str">
        <x:v>audio</x:v>
      </x:c>
      <x:c r="H324" s="8" t="str">
        <x:v>drop</x:v>
      </x:c>
      <x:c r="I324" s="11" t="n">
        <x:f>SUMIF('Route Points'!$A$7:$A$1910,A324,'Route Points'!$F$7:$F$1910)</x:f>
        <x:v>10.049999999999999</x:v>
      </x:c>
      <x:c r="J324" s="11" t="n">
        <x:v>81.205</x:v>
      </x:c>
      <x:c r="K324" s="11" t="n">
        <x:f>IF(L324="Full home run",I324+J324,"")</x:f>
        <x:v>91.255</x:v>
      </x:c>
      <x:c r="L324" s="8" t="str">
        <x:v>Full home run</x:v>
      </x:c>
      <x:c r="M324" s="13"/>
      <x:c r="N324" s="11" t="str">
        <x:f>IF(OR(M324="",L324="Shared bundle"),"",IF(L324="Full home run",K324,I324)+M324)</x:f>
      </x:c>
      <x:c r="O324" s="8" t="str">
        <x:v>Cable type / conductors / cross-section / conduit: pending electrical design</x:v>
      </x:c>
      <x:c r="P324" s="8" t="str">
        <x:v>Concealed pier / wall drop, local termination</x:v>
      </x:c>
      <x:c r="Q324" s="9"/>
      <x:c r="R324" s="9"/>
      <x:c r="S324" s="13"/>
      <x:c r="T324" s="9"/>
      <x:c r="U324" s="9"/>
      <x:c r="V324" s="9"/>
      <x:c r="W324" s="9"/>
      <x:c r="X324" s="9"/>
      <x:c r="Y324" s="8" t="str">
        <x:v>Current</x:v>
      </x:c>
      <x:c r="Z324" s="8" t="str">
        <x:v>trunk:AV1:A3:audio:-1</x:v>
      </x:c>
    </x:row>
    <x:row r="325" ht="90" customHeight="1">
      <x:c r="A325" s="8" t="str">
        <x:v>drop:AV1:A3:audio:-1:S285</x:v>
      </x:c>
      <x:c r="B325" s="8" t="str">
        <x:v>A3 → Side courtyard horn · axis 5 · B</x:v>
      </x:c>
      <x:c r="C325" s="8" t="str">
        <x:v>AV1</x:v>
      </x:c>
      <x:c r="D325" s="8" t="str">
        <x:v>S285</x:v>
      </x:c>
      <x:c r="E325" s="8" t="str">
        <x:v>DB1</x:v>
      </x:c>
      <x:c r="F325" s="8" t="str">
        <x:v>A3</x:v>
      </x:c>
      <x:c r="G325" s="8" t="str">
        <x:v>audio</x:v>
      </x:c>
      <x:c r="H325" s="8" t="str">
        <x:v>drop</x:v>
      </x:c>
      <x:c r="I325" s="11" t="n">
        <x:f>SUMIF('Route Points'!$A$7:$A$1910,A325,'Route Points'!$F$7:$F$1910)</x:f>
        <x:v>3.87</x:v>
      </x:c>
      <x:c r="J325" s="11" t="n">
        <x:v>64.58</x:v>
      </x:c>
      <x:c r="K325" s="11" t="n">
        <x:f>IF(L325="Full home run",I325+J325,"")</x:f>
        <x:v>68.45</x:v>
      </x:c>
      <x:c r="L325" s="8" t="str">
        <x:v>Full home run</x:v>
      </x:c>
      <x:c r="M325" s="13"/>
      <x:c r="N325" s="11" t="str">
        <x:f>IF(OR(M325="",L325="Shared bundle"),"",IF(L325="Full home run",K325,I325)+M325)</x:f>
      </x:c>
      <x:c r="O325" s="8" t="str">
        <x:v>Cable type / conductors / cross-section / conduit: pending electrical design</x:v>
      </x:c>
      <x:c r="P325" s="8" t="str">
        <x:v>Concealed pier / wall drop, local termination</x:v>
      </x:c>
      <x:c r="Q325" s="9"/>
      <x:c r="R325" s="9"/>
      <x:c r="S325" s="13"/>
      <x:c r="T325" s="9"/>
      <x:c r="U325" s="9"/>
      <x:c r="V325" s="9"/>
      <x:c r="W325" s="9"/>
      <x:c r="X325" s="9"/>
      <x:c r="Y325" s="8" t="str">
        <x:v>Current</x:v>
      </x:c>
      <x:c r="Z325" s="8" t="str">
        <x:v>trunk:AV1:A3:audio:-1</x:v>
      </x:c>
    </x:row>
    <x:row r="326" ht="90" customHeight="1">
      <x:c r="A326" s="8" t="str">
        <x:v>drop:AV1:A3:audio:-1:S286</x:v>
      </x:c>
      <x:c r="B326" s="8" t="str">
        <x:v>A3 → Side courtyard horn · axis 8 · B</x:v>
      </x:c>
      <x:c r="C326" s="8" t="str">
        <x:v>AV1</x:v>
      </x:c>
      <x:c r="D326" s="8" t="str">
        <x:v>S286</x:v>
      </x:c>
      <x:c r="E326" s="8" t="str">
        <x:v>DB1</x:v>
      </x:c>
      <x:c r="F326" s="8" t="str">
        <x:v>A3</x:v>
      </x:c>
      <x:c r="G326" s="8" t="str">
        <x:v>audio</x:v>
      </x:c>
      <x:c r="H326" s="8" t="str">
        <x:v>drop</x:v>
      </x:c>
      <x:c r="I326" s="11" t="n">
        <x:f>SUMIF('Route Points'!$A$7:$A$1910,A326,'Route Points'!$F$7:$F$1910)</x:f>
        <x:v>3.87</x:v>
      </x:c>
      <x:c r="J326" s="11" t="n">
        <x:v>51.08</x:v>
      </x:c>
      <x:c r="K326" s="11" t="n">
        <x:f>IF(L326="Full home run",I326+J326,"")</x:f>
        <x:v>54.949999999999996</x:v>
      </x:c>
      <x:c r="L326" s="8" t="str">
        <x:v>Full home run</x:v>
      </x:c>
      <x:c r="M326" s="13"/>
      <x:c r="N326" s="11" t="str">
        <x:f>IF(OR(M326="",L326="Shared bundle"),"",IF(L326="Full home run",K326,I326)+M326)</x:f>
      </x:c>
      <x:c r="O326" s="8" t="str">
        <x:v>Cable type / conductors / cross-section / conduit: pending electrical design</x:v>
      </x:c>
      <x:c r="P326" s="8" t="str">
        <x:v>Concealed pier / wall drop, local termination</x:v>
      </x:c>
      <x:c r="Q326" s="9"/>
      <x:c r="R326" s="9"/>
      <x:c r="S326" s="13"/>
      <x:c r="T326" s="9"/>
      <x:c r="U326" s="9"/>
      <x:c r="V326" s="9"/>
      <x:c r="W326" s="9"/>
      <x:c r="X326" s="9"/>
      <x:c r="Y326" s="8" t="str">
        <x:v>Current</x:v>
      </x:c>
      <x:c r="Z326" s="8" t="str">
        <x:v>trunk:AV1:A3:audio:-1</x:v>
      </x:c>
    </x:row>
    <x:row r="327" ht="90" customHeight="1">
      <x:c r="A327" s="8" t="str">
        <x:v>trunk:AV1:A3:audio:1</x:v>
      </x:c>
      <x:c r="B327" s="8" t="str">
        <x:v>A3 · H · audio home-run bundle</x:v>
      </x:c>
      <x:c r="C327" s="8" t="str">
        <x:v>AV1</x:v>
      </x:c>
      <x:c r="D327" s="8" t="str">
        <x:v>S287
S288
S289
S290</x:v>
      </x:c>
      <x:c r="E327" s="8" t="str">
        <x:v>DB1</x:v>
      </x:c>
      <x:c r="F327" s="8" t="str">
        <x:v>A3</x:v>
      </x:c>
      <x:c r="G327" s="8" t="str">
        <x:v>audio</x:v>
      </x:c>
      <x:c r="H327" s="8" t="str">
        <x:v>trunk</x:v>
      </x:c>
      <x:c r="I327" s="11" t="n">
        <x:f>SUMIF('Route Points'!$A$7:$A$1910,A327,'Route Points'!$F$7:$F$1910)</x:f>
        <x:v>88.405</x:v>
      </x:c>
      <x:c r="J327" s="11"/>
      <x:c r="K327" s="11" t="str">
        <x:f>IF(L327="Full home run",I327+J327,"")</x:f>
      </x:c>
      <x:c r="L327" s="8" t="str">
        <x:v>Shared bundle</x:v>
      </x:c>
      <x:c r="M327" s="13"/>
      <x:c r="N327" s="11" t="str">
        <x:f>IF(OR(M327="",L327="Shared bundle"),"",IF(L327="Full home run",K327,I327)+M327)</x:f>
      </x:c>
      <x:c r="O327" s="8" t="str">
        <x:v>Cable type / conductors / cross-section / conduit: pending electrical design</x:v>
      </x:c>
      <x:c r="P327" s="8" t="str">
        <x:v>Concealed wall band above openings; ceiling containment at wing returns</x:v>
      </x:c>
      <x:c r="Q327" s="9"/>
      <x:c r="R327" s="9"/>
      <x:c r="S327" s="13"/>
      <x:c r="T327" s="9"/>
      <x:c r="U327" s="9"/>
      <x:c r="V327" s="9"/>
      <x:c r="W327" s="9"/>
      <x:c r="X327" s="9"/>
      <x:c r="Y327" s="8" t="str">
        <x:v>Current</x:v>
      </x:c>
      <x:c r="Z327" s="8"/>
    </x:row>
    <x:row r="328" ht="90" customHeight="1">
      <x:c r="A328" s="8" t="str">
        <x:v>drop:AV1:A3:audio:1:S287</x:v>
      </x:c>
      <x:c r="B328" s="8" t="str">
        <x:v>A3 → Courtyard horn · H</x:v>
      </x:c>
      <x:c r="C328" s="8" t="str">
        <x:v>AV1</x:v>
      </x:c>
      <x:c r="D328" s="8" t="str">
        <x:v>S287</x:v>
      </x:c>
      <x:c r="E328" s="8" t="str">
        <x:v>DB1</x:v>
      </x:c>
      <x:c r="F328" s="8" t="str">
        <x:v>A3</x:v>
      </x:c>
      <x:c r="G328" s="8" t="str">
        <x:v>audio</x:v>
      </x:c>
      <x:c r="H328" s="8" t="str">
        <x:v>drop</x:v>
      </x:c>
      <x:c r="I328" s="11" t="n">
        <x:f>SUMIF('Route Points'!$A$7:$A$1910,A328,'Route Points'!$F$7:$F$1910)</x:f>
        <x:v>10.155999999999999</x:v>
      </x:c>
      <x:c r="J328" s="11" t="n">
        <x:v>88.405</x:v>
      </x:c>
      <x:c r="K328" s="11" t="n">
        <x:f>IF(L328="Full home run",I328+J328,"")</x:f>
        <x:v>98.561</x:v>
      </x:c>
      <x:c r="L328" s="8" t="str">
        <x:v>Full home run</x:v>
      </x:c>
      <x:c r="M328" s="13"/>
      <x:c r="N328" s="11" t="str">
        <x:f>IF(OR(M328="",L328="Shared bundle"),"",IF(L328="Full home run",K328,I328)+M328)</x:f>
      </x:c>
      <x:c r="O328" s="8" t="str">
        <x:v>Cable type / conductors / cross-section / conduit: pending electrical design</x:v>
      </x:c>
      <x:c r="P328" s="8" t="str">
        <x:v>Concealed pier / wall drop, local termination</x:v>
      </x:c>
      <x:c r="Q328" s="9"/>
      <x:c r="R328" s="9"/>
      <x:c r="S328" s="13"/>
      <x:c r="T328" s="9"/>
      <x:c r="U328" s="9"/>
      <x:c r="V328" s="9"/>
      <x:c r="W328" s="9"/>
      <x:c r="X328" s="9"/>
      <x:c r="Y328" s="8" t="str">
        <x:v>Current</x:v>
      </x:c>
      <x:c r="Z328" s="8" t="str">
        <x:v>trunk:AV1:A3:audio:1</x:v>
      </x:c>
    </x:row>
    <x:row r="329" ht="90" customHeight="1">
      <x:c r="A329" s="8" t="str">
        <x:v>drop:AV1:A3:audio:1:S288</x:v>
      </x:c>
      <x:c r="B329" s="8" t="str">
        <x:v>A3 → Tower horn · H · outer</x:v>
      </x:c>
      <x:c r="C329" s="8" t="str">
        <x:v>AV1</x:v>
      </x:c>
      <x:c r="D329" s="8" t="str">
        <x:v>S288</x:v>
      </x:c>
      <x:c r="E329" s="8" t="str">
        <x:v>DB1</x:v>
      </x:c>
      <x:c r="F329" s="8" t="str">
        <x:v>A3</x:v>
      </x:c>
      <x:c r="G329" s="8" t="str">
        <x:v>audio</x:v>
      </x:c>
      <x:c r="H329" s="8" t="str">
        <x:v>drop</x:v>
      </x:c>
      <x:c r="I329" s="11" t="n">
        <x:f>SUMIF('Route Points'!$A$7:$A$1910,A329,'Route Points'!$F$7:$F$1910)</x:f>
        <x:v>10.049999999999999</x:v>
      </x:c>
      <x:c r="J329" s="11" t="n">
        <x:v>88.405</x:v>
      </x:c>
      <x:c r="K329" s="11" t="n">
        <x:f>IF(L329="Full home run",I329+J329,"")</x:f>
        <x:v>98.455</x:v>
      </x:c>
      <x:c r="L329" s="8" t="str">
        <x:v>Full home run</x:v>
      </x:c>
      <x:c r="M329" s="13"/>
      <x:c r="N329" s="11" t="str">
        <x:f>IF(OR(M329="",L329="Shared bundle"),"",IF(L329="Full home run",K329,I329)+M329)</x:f>
      </x:c>
      <x:c r="O329" s="8" t="str">
        <x:v>Cable type / conductors / cross-section / conduit: pending electrical design</x:v>
      </x:c>
      <x:c r="P329" s="8" t="str">
        <x:v>Concealed pier / wall drop, local termination</x:v>
      </x:c>
      <x:c r="Q329" s="9"/>
      <x:c r="R329" s="9"/>
      <x:c r="S329" s="13"/>
      <x:c r="T329" s="9"/>
      <x:c r="U329" s="9"/>
      <x:c r="V329" s="9"/>
      <x:c r="W329" s="9"/>
      <x:c r="X329" s="9"/>
      <x:c r="Y329" s="8" t="str">
        <x:v>Current</x:v>
      </x:c>
      <x:c r="Z329" s="8" t="str">
        <x:v>trunk:AV1:A3:audio:1</x:v>
      </x:c>
    </x:row>
    <x:row r="330" ht="90" customHeight="1">
      <x:c r="A330" s="8" t="str">
        <x:v>drop:AV1:A3:audio:1:S289</x:v>
      </x:c>
      <x:c r="B330" s="8" t="str">
        <x:v>A3 → Side courtyard horn · axis 5 · H</x:v>
      </x:c>
      <x:c r="C330" s="8" t="str">
        <x:v>AV1</x:v>
      </x:c>
      <x:c r="D330" s="8" t="str">
        <x:v>S289</x:v>
      </x:c>
      <x:c r="E330" s="8" t="str">
        <x:v>DB1</x:v>
      </x:c>
      <x:c r="F330" s="8" t="str">
        <x:v>A3</x:v>
      </x:c>
      <x:c r="G330" s="8" t="str">
        <x:v>audio</x:v>
      </x:c>
      <x:c r="H330" s="8" t="str">
        <x:v>drop</x:v>
      </x:c>
      <x:c r="I330" s="11" t="n">
        <x:f>SUMIF('Route Points'!$A$7:$A$1910,A330,'Route Points'!$F$7:$F$1910)</x:f>
        <x:v>3.87</x:v>
      </x:c>
      <x:c r="J330" s="11" t="n">
        <x:v>71.78</x:v>
      </x:c>
      <x:c r="K330" s="11" t="n">
        <x:f>IF(L330="Full home run",I330+J330,"")</x:f>
        <x:v>75.65</x:v>
      </x:c>
      <x:c r="L330" s="8" t="str">
        <x:v>Full home run</x:v>
      </x:c>
      <x:c r="M330" s="13"/>
      <x:c r="N330" s="11" t="str">
        <x:f>IF(OR(M330="",L330="Shared bundle"),"",IF(L330="Full home run",K330,I330)+M330)</x:f>
      </x:c>
      <x:c r="O330" s="8" t="str">
        <x:v>Cable type / conductors / cross-section / conduit: pending electrical design</x:v>
      </x:c>
      <x:c r="P330" s="8" t="str">
        <x:v>Concealed pier / wall drop, local termination</x:v>
      </x:c>
      <x:c r="Q330" s="9"/>
      <x:c r="R330" s="9"/>
      <x:c r="S330" s="13"/>
      <x:c r="T330" s="9"/>
      <x:c r="U330" s="9"/>
      <x:c r="V330" s="9"/>
      <x:c r="W330" s="9"/>
      <x:c r="X330" s="9"/>
      <x:c r="Y330" s="8" t="str">
        <x:v>Current</x:v>
      </x:c>
      <x:c r="Z330" s="8" t="str">
        <x:v>trunk:AV1:A3:audio:1</x:v>
      </x:c>
    </x:row>
    <x:row r="331" ht="90" customHeight="1">
      <x:c r="A331" s="8" t="str">
        <x:v>drop:AV1:A3:audio:1:S290</x:v>
      </x:c>
      <x:c r="B331" s="8" t="str">
        <x:v>A3 → Side courtyard horn · axis 8 · H</x:v>
      </x:c>
      <x:c r="C331" s="8" t="str">
        <x:v>AV1</x:v>
      </x:c>
      <x:c r="D331" s="8" t="str">
        <x:v>S290</x:v>
      </x:c>
      <x:c r="E331" s="8" t="str">
        <x:v>DB1</x:v>
      </x:c>
      <x:c r="F331" s="8" t="str">
        <x:v>A3</x:v>
      </x:c>
      <x:c r="G331" s="8" t="str">
        <x:v>audio</x:v>
      </x:c>
      <x:c r="H331" s="8" t="str">
        <x:v>drop</x:v>
      </x:c>
      <x:c r="I331" s="11" t="n">
        <x:f>SUMIF('Route Points'!$A$7:$A$1910,A331,'Route Points'!$F$7:$F$1910)</x:f>
        <x:v>3.87</x:v>
      </x:c>
      <x:c r="J331" s="11" t="n">
        <x:v>58.28</x:v>
      </x:c>
      <x:c r="K331" s="11" t="n">
        <x:f>IF(L331="Full home run",I331+J331,"")</x:f>
        <x:v>62.15</x:v>
      </x:c>
      <x:c r="L331" s="8" t="str">
        <x:v>Full home run</x:v>
      </x:c>
      <x:c r="M331" s="13"/>
      <x:c r="N331" s="11" t="str">
        <x:f>IF(OR(M331="",L331="Shared bundle"),"",IF(L331="Full home run",K331,I331)+M331)</x:f>
      </x:c>
      <x:c r="O331" s="8" t="str">
        <x:v>Cable type / conductors / cross-section / conduit: pending electrical design</x:v>
      </x:c>
      <x:c r="P331" s="8" t="str">
        <x:v>Concealed pier / wall drop, local termination</x:v>
      </x:c>
      <x:c r="Q331" s="9"/>
      <x:c r="R331" s="9"/>
      <x:c r="S331" s="13"/>
      <x:c r="T331" s="9"/>
      <x:c r="U331" s="9"/>
      <x:c r="V331" s="9"/>
      <x:c r="W331" s="9"/>
      <x:c r="X331" s="9"/>
      <x:c r="Y331" s="8" t="str">
        <x:v>Current</x:v>
      </x:c>
      <x:c r="Z331" s="8" t="str">
        <x:v>trunk:AV1:A3:audio:1</x:v>
      </x:c>
    </x:row>
    <x:row r="332" ht="90" customHeight="1">
      <x:c r="A332" s="8" t="str">
        <x:v>trunk:AV1:MIC:mic:-1</x:v>
      </x:c>
      <x:c r="B332" s="8" t="str">
        <x:v>MIC · B · audio home-run bundle</x:v>
      </x:c>
      <x:c r="C332" s="8" t="str">
        <x:v>AV1</x:v>
      </x:c>
      <x:c r="D332" s="8" t="str">
        <x:v>S291</x:v>
      </x:c>
      <x:c r="E332" s="8" t="str">
        <x:v>DB1</x:v>
      </x:c>
      <x:c r="F332" s="8" t="str">
        <x:v>MIC</x:v>
      </x:c>
      <x:c r="G332" s="8" t="str">
        <x:v>mic</x:v>
      </x:c>
      <x:c r="H332" s="8" t="str">
        <x:v>trunk</x:v>
      </x:c>
      <x:c r="I332" s="11" t="n">
        <x:f>SUMIF('Route Points'!$A$7:$A$1910,A332,'Route Points'!$F$7:$F$1910)</x:f>
        <x:v>36.637</x:v>
      </x:c>
      <x:c r="J332" s="11"/>
      <x:c r="K332" s="11" t="str">
        <x:f>IF(L332="Full home run",I332+J332,"")</x:f>
      </x:c>
      <x:c r="L332" s="8" t="str">
        <x:v>Shared bundle</x:v>
      </x:c>
      <x:c r="M332" s="13"/>
      <x:c r="N332" s="11" t="str">
        <x:f>IF(OR(M332="",L332="Shared bundle"),"",IF(L332="Full home run",K332,I332)+M332)</x:f>
      </x:c>
      <x:c r="O332" s="8" t="str">
        <x:v>Cable type / conductors / cross-section / conduit: pending electrical design</x:v>
      </x:c>
      <x:c r="P332" s="8" t="str">
        <x:v>Concealed wall band above openings; ceiling containment at wing returns</x:v>
      </x:c>
      <x:c r="Q332" s="9"/>
      <x:c r="R332" s="9"/>
      <x:c r="S332" s="13"/>
      <x:c r="T332" s="9"/>
      <x:c r="U332" s="9"/>
      <x:c r="V332" s="9"/>
      <x:c r="W332" s="9"/>
      <x:c r="X332" s="9"/>
      <x:c r="Y332" s="8" t="str">
        <x:v>Current</x:v>
      </x:c>
      <x:c r="Z332" s="8"/>
    </x:row>
    <x:row r="333" ht="90" customHeight="1">
      <x:c r="A333" s="8" t="str">
        <x:v>drop:AV1:MIC:mic:-1:S291</x:v>
      </x:c>
      <x:c r="B333" s="8" t="str">
        <x:v>MIC → Ambo microphone</x:v>
      </x:c>
      <x:c r="C333" s="8" t="str">
        <x:v>AV1</x:v>
      </x:c>
      <x:c r="D333" s="8" t="str">
        <x:v>S291</x:v>
      </x:c>
      <x:c r="E333" s="8" t="str">
        <x:v>DB1</x:v>
      </x:c>
      <x:c r="F333" s="8" t="str">
        <x:v>MIC</x:v>
      </x:c>
      <x:c r="G333" s="8" t="str">
        <x:v>mic</x:v>
      </x:c>
      <x:c r="H333" s="8" t="str">
        <x:v>drop</x:v>
      </x:c>
      <x:c r="I333" s="11" t="n">
        <x:f>SUMIF('Route Points'!$A$7:$A$1910,A333,'Route Points'!$F$7:$F$1910)</x:f>
        <x:v>14.842</x:v>
      </x:c>
      <x:c r="J333" s="11" t="n">
        <x:v>36.637</x:v>
      </x:c>
      <x:c r="K333" s="11" t="n">
        <x:f>IF(L333="Full home run",I333+J333,"")</x:f>
        <x:v>51.479</x:v>
      </x:c>
      <x:c r="L333" s="8" t="str">
        <x:v>Full home run</x:v>
      </x:c>
      <x:c r="M333" s="13"/>
      <x:c r="N333" s="11" t="str">
        <x:f>IF(OR(M333="",L333="Shared bundle"),"",IF(L333="Full home run",K333,I333)+M333)</x:f>
      </x:c>
      <x:c r="O333" s="8" t="str">
        <x:v>Cable type / conductors / cross-section / conduit: pending electrical design</x:v>
      </x:c>
      <x:c r="P333" s="8" t="str">
        <x:v>Concealed pier / wall drop, local termination</x:v>
      </x:c>
      <x:c r="Q333" s="9"/>
      <x:c r="R333" s="9"/>
      <x:c r="S333" s="13"/>
      <x:c r="T333" s="9"/>
      <x:c r="U333" s="9"/>
      <x:c r="V333" s="9"/>
      <x:c r="W333" s="9"/>
      <x:c r="X333" s="9"/>
      <x:c r="Y333" s="8" t="str">
        <x:v>Current</x:v>
      </x:c>
      <x:c r="Z333" s="8" t="str">
        <x:v>trunk:AV1:MIC:mic:-1</x:v>
      </x:c>
    </x:row>
    <x:row r="334" ht="90" customHeight="1">
      <x:c r="A334" s="8" t="str">
        <x:v>trunk:AV1:MIC:mic:1</x:v>
      </x:c>
      <x:c r="B334" s="8" t="str">
        <x:v>MIC · H · audio home-run bundle</x:v>
      </x:c>
      <x:c r="C334" s="8" t="str">
        <x:v>AV1</x:v>
      </x:c>
      <x:c r="D334" s="8" t="str">
        <x:v>S292</x:v>
      </x:c>
      <x:c r="E334" s="8" t="str">
        <x:v>DB1</x:v>
      </x:c>
      <x:c r="F334" s="8" t="str">
        <x:v>MIC</x:v>
      </x:c>
      <x:c r="G334" s="8" t="str">
        <x:v>mic</x:v>
      </x:c>
      <x:c r="H334" s="8" t="str">
        <x:v>trunk</x:v>
      </x:c>
      <x:c r="I334" s="11" t="n">
        <x:f>SUMIF('Route Points'!$A$7:$A$1910,A334,'Route Points'!$F$7:$F$1910)</x:f>
        <x:v>34.58699999999999</x:v>
      </x:c>
      <x:c r="J334" s="11"/>
      <x:c r="K334" s="11" t="str">
        <x:f>IF(L334="Full home run",I334+J334,"")</x:f>
      </x:c>
      <x:c r="L334" s="8" t="str">
        <x:v>Shared bundle</x:v>
      </x:c>
      <x:c r="M334" s="13"/>
      <x:c r="N334" s="11" t="str">
        <x:f>IF(OR(M334="",L334="Shared bundle"),"",IF(L334="Full home run",K334,I334)+M334)</x:f>
      </x:c>
      <x:c r="O334" s="8" t="str">
        <x:v>Cable type / conductors / cross-section / conduit: pending electrical design</x:v>
      </x:c>
      <x:c r="P334" s="8" t="str">
        <x:v>Concealed wall band above openings; ceiling containment at wing returns</x:v>
      </x:c>
      <x:c r="Q334" s="9"/>
      <x:c r="R334" s="9"/>
      <x:c r="S334" s="13"/>
      <x:c r="T334" s="9"/>
      <x:c r="U334" s="9"/>
      <x:c r="V334" s="9"/>
      <x:c r="W334" s="9"/>
      <x:c r="X334" s="9"/>
      <x:c r="Y334" s="8" t="str">
        <x:v>Current</x:v>
      </x:c>
      <x:c r="Z334" s="8"/>
    </x:row>
    <x:row r="335" ht="90" customHeight="1">
      <x:c r="A335" s="8" t="str">
        <x:v>drop:AV1:MIC:mic:1:S292</x:v>
      </x:c>
      <x:c r="B335" s="8" t="str">
        <x:v>MIC → Altar microphone</x:v>
      </x:c>
      <x:c r="C335" s="8" t="str">
        <x:v>AV1</x:v>
      </x:c>
      <x:c r="D335" s="8" t="str">
        <x:v>S292</x:v>
      </x:c>
      <x:c r="E335" s="8" t="str">
        <x:v>DB1</x:v>
      </x:c>
      <x:c r="F335" s="8" t="str">
        <x:v>MIC</x:v>
      </x:c>
      <x:c r="G335" s="8" t="str">
        <x:v>mic</x:v>
      </x:c>
      <x:c r="H335" s="8" t="str">
        <x:v>drop</x:v>
      </x:c>
      <x:c r="I335" s="11" t="n">
        <x:f>SUMIF('Route Points'!$A$7:$A$1910,A335,'Route Points'!$F$7:$F$1910)</x:f>
        <x:v>11.152000000000001</x:v>
      </x:c>
      <x:c r="J335" s="11" t="n">
        <x:v>34.58699999999999</x:v>
      </x:c>
      <x:c r="K335" s="11" t="n">
        <x:f>IF(L335="Full home run",I335+J335,"")</x:f>
        <x:v>45.73899999999999</x:v>
      </x:c>
      <x:c r="L335" s="8" t="str">
        <x:v>Full home run</x:v>
      </x:c>
      <x:c r="M335" s="13"/>
      <x:c r="N335" s="11" t="str">
        <x:f>IF(OR(M335="",L335="Shared bundle"),"",IF(L335="Full home run",K335,I335)+M335)</x:f>
      </x:c>
      <x:c r="O335" s="8" t="str">
        <x:v>Cable type / conductors / cross-section / conduit: pending electrical design</x:v>
      </x:c>
      <x:c r="P335" s="8" t="str">
        <x:v>Concealed pier / wall drop, local termination</x:v>
      </x:c>
      <x:c r="Q335" s="9"/>
      <x:c r="R335" s="9"/>
      <x:c r="S335" s="13"/>
      <x:c r="T335" s="9"/>
      <x:c r="U335" s="9"/>
      <x:c r="V335" s="9"/>
      <x:c r="W335" s="9"/>
      <x:c r="X335" s="9"/>
      <x:c r="Y335" s="8" t="str">
        <x:v>Current</x:v>
      </x:c>
      <x:c r="Z335" s="8" t="str">
        <x:v>trunk:AV1:MIC:mic:1</x:v>
      </x:c>
    </x:row>
  </x:sheetData>
  <x:conditionalFormatting sqref="Y7:Y335">
    <x:cfRule type="containsText" dxfId="1" priority="1" operator="containsText" text="Retired"/>
  </x:conditionalFormatting>
  <x:dataValidations count="3">
    <x:dataValidation type="decimal" operator="greaterThanOrEqual" sqref="M7:M335">
      <x:formula1>0</x:formula1>
    </x:dataValidation>
    <x:dataValidation type="decimal" operator="greaterThanOrEqual" sqref="R7:R335">
      <x:formula1>0</x:formula1>
    </x:dataValidation>
    <x:dataValidation type="decimal" operator="greaterThanOrEqual" sqref="S7:S33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10f9f463b34a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feeder:DB2</x:v>
      </x:c>
      <x:c r="B7" s="8" t="n">
        <x:v>1</x:v>
      </x:c>
      <x:c r="C7" s="11" t="n">
        <x:v>48.895</x:v>
      </x:c>
      <x:c r="D7" s="11" t="n">
        <x:v>1.75</x:v>
      </x:c>
      <x:c r="E7" s="11" t="n">
        <x:v>-1.55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feeder:DB2</x:v>
      </x:c>
      <x:c r="B8" s="8" t="n">
        <x:v>2</x:v>
      </x:c>
      <x:c r="C8" s="11" t="n">
        <x:v>48.735</x:v>
      </x:c>
      <x:c r="D8" s="11" t="n">
        <x:v>1.75</x:v>
      </x:c>
      <x:c r="E8" s="11" t="n">
        <x:v>-1.55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feeder:DB2</x:v>
      </x:c>
      <x:c r="B9" s="8" t="n">
        <x:v>3</x:v>
      </x:c>
      <x:c r="C9" s="11" t="n">
        <x:v>48.735</x:v>
      </x:c>
      <x:c r="D9" s="11" t="n">
        <x:v>1.75</x:v>
      </x:c>
      <x:c r="E9" s="11" t="n">
        <x:v>-2.24</x:v>
      </x:c>
      <x:c r="F9" s="11" t="n">
        <x:f>SQRT((C9-C8)^2+(D9-D8)^2+(E9-E8)^2)</x:f>
        <x:v>0.6900000000000002</x:v>
      </x:c>
      <x:c r="G9" s="8" t="str">
        <x:v>Current</x:v>
      </x:c>
    </x:row>
    <x:row r="10" ht="32" customHeight="1">
      <x:c r="A10" s="8" t="str">
        <x:v>feeder:DB2</x:v>
      </x:c>
      <x:c r="B10" s="8" t="n">
        <x:v>4</x:v>
      </x:c>
      <x:c r="C10" s="11" t="n">
        <x:v>48.735</x:v>
      </x:c>
      <x:c r="D10" s="11" t="n">
        <x:v>4.02</x:v>
      </x:c>
      <x:c r="E10" s="11" t="n">
        <x:v>-2.24</x:v>
      </x:c>
      <x:c r="F10" s="11" t="n">
        <x:f>SQRT((C10-C9)^2+(D10-D9)^2+(E10-E9)^2)</x:f>
        <x:v>2.2699999999999996</x:v>
      </x:c>
      <x:c r="G10" s="8" t="str">
        <x:v>Current</x:v>
      </x:c>
    </x:row>
    <x:row r="11" ht="32" customHeight="1">
      <x:c r="A11" s="8" t="str">
        <x:v>feeder:DB2</x:v>
      </x:c>
      <x:c r="B11" s="8" t="n">
        <x:v>5</x:v>
      </x:c>
      <x:c r="C11" s="11" t="n">
        <x:v>48.735</x:v>
      </x:c>
      <x:c r="D11" s="11" t="n">
        <x:v>4.02</x:v>
      </x:c>
      <x:c r="E11" s="11" t="n">
        <x:v>-3.6</x:v>
      </x:c>
      <x:c r="F11" s="11" t="n">
        <x:f>SQRT((C11-C10)^2+(D11-D10)^2+(E11-E10)^2)</x:f>
        <x:v>1.3599999999999999</x:v>
      </x:c>
      <x:c r="G11" s="8" t="str">
        <x:v>Current</x:v>
      </x:c>
    </x:row>
    <x:row r="12" ht="32" customHeight="1">
      <x:c r="A12" s="8" t="str">
        <x:v>feeder:DB2</x:v>
      </x:c>
      <x:c r="B12" s="8" t="n">
        <x:v>6</x:v>
      </x:c>
      <x:c r="C12" s="11" t="n">
        <x:v>53.05</x:v>
      </x:c>
      <x:c r="D12" s="11" t="n">
        <x:v>4.02</x:v>
      </x:c>
      <x:c r="E12" s="11" t="n">
        <x:v>-3.6</x:v>
      </x:c>
      <x:c r="F12" s="11" t="n">
        <x:f>SQRT((C12-C11)^2+(D12-D11)^2+(E12-E11)^2)</x:f>
        <x:v>4.314999999999998</x:v>
      </x:c>
      <x:c r="G12" s="8" t="str">
        <x:v>Current</x:v>
      </x:c>
    </x:row>
    <x:row r="13" ht="32" customHeight="1">
      <x:c r="A13" s="8" t="str">
        <x:v>feeder:DB2</x:v>
      </x:c>
      <x:c r="B13" s="8" t="n">
        <x:v>7</x:v>
      </x:c>
      <x:c r="C13" s="11" t="n">
        <x:v>53.05</x:v>
      </x:c>
      <x:c r="D13" s="11" t="n">
        <x:v>6.26</x:v>
      </x:c>
      <x:c r="E13" s="11" t="n">
        <x:v>-3.6</x:v>
      </x:c>
      <x:c r="F13" s="11" t="n">
        <x:f>SQRT((C13-C12)^2+(D13-D12)^2+(E13-E12)^2)</x:f>
        <x:v>2.24</x:v>
      </x:c>
      <x:c r="G13" s="8" t="str">
        <x:v>Current</x:v>
      </x:c>
    </x:row>
    <x:row r="14" ht="32" customHeight="1">
      <x:c r="A14" s="8" t="str">
        <x:v>feeder:DB2</x:v>
      </x:c>
      <x:c r="B14" s="8" t="n">
        <x:v>8</x:v>
      </x:c>
      <x:c r="C14" s="11" t="n">
        <x:v>53.05</x:v>
      </x:c>
      <x:c r="D14" s="11" t="n">
        <x:v>6.26</x:v>
      </x:c>
      <x:c r="E14" s="11" t="n">
        <x:v>-7.36</x:v>
      </x:c>
      <x:c r="F14" s="11" t="n">
        <x:f>SQRT((C14-C13)^2+(D14-D13)^2+(E14-E13)^2)</x:f>
        <x:v>3.7600000000000002</x:v>
      </x:c>
      <x:c r="G14" s="8" t="str">
        <x:v>Current</x:v>
      </x:c>
    </x:row>
    <x:row r="15" ht="32" customHeight="1">
      <x:c r="A15" s="8" t="str">
        <x:v>feeder:DB2</x:v>
      </x:c>
      <x:c r="B15" s="8" t="n">
        <x:v>9</x:v>
      </x:c>
      <x:c r="C15" s="11" t="n">
        <x:v>44.175</x:v>
      </x:c>
      <x:c r="D15" s="11" t="n">
        <x:v>6.26</x:v>
      </x:c>
      <x:c r="E15" s="11" t="n">
        <x:v>-7.36</x:v>
      </x:c>
      <x:c r="F15" s="11" t="n">
        <x:f>SQRT((C15-C14)^2+(D15-D14)^2+(E15-E14)^2)</x:f>
        <x:v>8.875</x:v>
      </x:c>
      <x:c r="G15" s="8" t="str">
        <x:v>Current</x:v>
      </x:c>
    </x:row>
    <x:row r="16" ht="32" customHeight="1">
      <x:c r="A16" s="8" t="str">
        <x:v>feeder:DB2</x:v>
      </x:c>
      <x:c r="B16" s="8" t="n">
        <x:v>10</x:v>
      </x:c>
      <x:c r="C16" s="11" t="n">
        <x:v>44.175</x:v>
      </x:c>
      <x:c r="D16" s="11" t="n">
        <x:v>6.26</x:v>
      </x:c>
      <x:c r="E16" s="11" t="n">
        <x:v>-13.24</x:v>
      </x:c>
      <x:c r="F16" s="11" t="n">
        <x:f>SQRT((C16-C15)^2+(D16-D15)^2+(E16-E15)^2)</x:f>
        <x:v>5.88</x:v>
      </x:c>
      <x:c r="G16" s="8" t="str">
        <x:v>Current</x:v>
      </x:c>
    </x:row>
    <x:row r="17" ht="32" customHeight="1">
      <x:c r="A17" s="8" t="str">
        <x:v>feeder:DB2</x:v>
      </x:c>
      <x:c r="B17" s="8" t="n">
        <x:v>11</x:v>
      </x:c>
      <x:c r="C17" s="11" t="n">
        <x:v>36.975</x:v>
      </x:c>
      <x:c r="D17" s="11" t="n">
        <x:v>6.26</x:v>
      </x:c>
      <x:c r="E17" s="11" t="n">
        <x:v>-13.24</x:v>
      </x:c>
      <x:c r="F17" s="11" t="n">
        <x:f>SQRT((C17-C16)^2+(D17-D16)^2+(E17-E16)^2)</x:f>
        <x:v>7.199999999999996</x:v>
      </x:c>
      <x:c r="G17" s="8" t="str">
        <x:v>Current</x:v>
      </x:c>
    </x:row>
    <x:row r="18" ht="32" customHeight="1">
      <x:c r="A18" s="8" t="str">
        <x:v>feeder:DB2</x:v>
      </x:c>
      <x:c r="B18" s="8" t="n">
        <x:v>12</x:v>
      </x:c>
      <x:c r="C18" s="11" t="n">
        <x:v>36.975</x:v>
      </x:c>
      <x:c r="D18" s="11" t="n">
        <x:v>6.26</x:v>
      </x:c>
      <x:c r="E18" s="11" t="n">
        <x:v>-7.36</x:v>
      </x:c>
      <x:c r="F18" s="11" t="n">
        <x:f>SQRT((C18-C17)^2+(D18-D17)^2+(E18-E17)^2)</x:f>
        <x:v>5.88</x:v>
      </x:c>
      <x:c r="G18" s="8" t="str">
        <x:v>Current</x:v>
      </x:c>
    </x:row>
    <x:row r="19" ht="32" customHeight="1">
      <x:c r="A19" s="8" t="str">
        <x:v>feeder:DB2</x:v>
      </x:c>
      <x:c r="B19" s="8" t="n">
        <x:v>13</x:v>
      </x:c>
      <x:c r="C19" s="11" t="n">
        <x:v>5.475</x:v>
      </x:c>
      <x:c r="D19" s="11" t="n">
        <x:v>6.26</x:v>
      </x:c>
      <x:c r="E19" s="11" t="n">
        <x:v>-7.36</x:v>
      </x:c>
      <x:c r="F19" s="11" t="n">
        <x:f>SQRT((C19-C18)^2+(D19-D18)^2+(E19-E18)^2)</x:f>
        <x:v>31.5</x:v>
      </x:c>
      <x:c r="G19" s="8" t="str">
        <x:v>Current</x:v>
      </x:c>
    </x:row>
    <x:row r="20" ht="32" customHeight="1">
      <x:c r="A20" s="8" t="str">
        <x:v>feeder:DB2</x:v>
      </x:c>
      <x:c r="B20" s="8" t="n">
        <x:v>14</x:v>
      </x:c>
      <x:c r="C20" s="11" t="n">
        <x:v>2.35</x:v>
      </x:c>
      <x:c r="D20" s="11" t="n">
        <x:v>6.26</x:v>
      </x:c>
      <x:c r="E20" s="11" t="n">
        <x:v>-7.36</x:v>
      </x:c>
      <x:c r="F20" s="11" t="n">
        <x:f>SQRT((C20-C19)^2+(D20-D19)^2+(E20-E19)^2)</x:f>
        <x:v>3.1249999999999996</x:v>
      </x:c>
      <x:c r="G20" s="8" t="str">
        <x:v>Current</x:v>
      </x:c>
    </x:row>
    <x:row r="21" ht="32" customHeight="1">
      <x:c r="A21" s="8" t="str">
        <x:v>feeder:DB2</x:v>
      </x:c>
      <x:c r="B21" s="8" t="n">
        <x:v>15</x:v>
      </x:c>
      <x:c r="C21" s="11" t="n">
        <x:v>2.35</x:v>
      </x:c>
      <x:c r="D21" s="11" t="n">
        <x:v>7.65</x:v>
      </x:c>
      <x:c r="E21" s="11" t="n">
        <x:v>-7.36</x:v>
      </x:c>
      <x:c r="F21" s="11" t="n">
        <x:f>SQRT((C21-C20)^2+(D21-D20)^2+(E21-E20)^2)</x:f>
        <x:v>1.3900000000000006</x:v>
      </x:c>
      <x:c r="G21" s="8" t="str">
        <x:v>Current</x:v>
      </x:c>
    </x:row>
    <x:row r="22" ht="32" customHeight="1">
      <x:c r="A22" s="8" t="str">
        <x:v>feeder:DB2</x:v>
      </x:c>
      <x:c r="B22" s="8" t="n">
        <x:v>16</x:v>
      </x:c>
      <x:c r="C22" s="11" t="n">
        <x:v>2.35</x:v>
      </x:c>
      <x:c r="D22" s="11" t="n">
        <x:v>7.65</x:v>
      </x:c>
      <x:c r="E22" s="11" t="n">
        <x:v>-3.3</x:v>
      </x:c>
      <x:c r="F22" s="11" t="n">
        <x:f>SQRT((C22-C21)^2+(D22-D21)^2+(E22-E21)^2)</x:f>
        <x:v>4.0600000000000005</x:v>
      </x:c>
      <x:c r="G22" s="8" t="str">
        <x:v>Current</x:v>
      </x:c>
    </x:row>
    <x:row r="23" ht="32" customHeight="1">
      <x:c r="A23" s="8" t="str">
        <x:v>feeder:DB2</x:v>
      </x:c>
      <x:c r="B23" s="8" t="n">
        <x:v>17</x:v>
      </x:c>
      <x:c r="C23" s="11" t="n">
        <x:v>2.35</x:v>
      </x:c>
      <x:c r="D23" s="11" t="n">
        <x:v>1.5</x:v>
      </x:c>
      <x:c r="E23" s="11" t="n">
        <x:v>-3.3</x:v>
      </x:c>
      <x:c r="F23" s="11" t="n">
        <x:f>SQRT((C23-C22)^2+(D23-D22)^2+(E23-E22)^2)</x:f>
        <x:v>6.15</x:v>
      </x:c>
      <x:c r="G23" s="8" t="str">
        <x:v>Current</x:v>
      </x:c>
    </x:row>
    <x:row r="24" ht="32" customHeight="1">
      <x:c r="A24" s="8" t="str">
        <x:v>feeder:DB2</x:v>
      </x:c>
      <x:c r="B24" s="8" t="n">
        <x:v>18</x:v>
      </x:c>
      <x:c r="C24" s="11" t="n">
        <x:v>2.73</x:v>
      </x:c>
      <x:c r="D24" s="11" t="n">
        <x:v>1.5</x:v>
      </x:c>
      <x:c r="E24" s="11" t="n">
        <x:v>-3.3</x:v>
      </x:c>
      <x:c r="F24" s="11" t="n">
        <x:f>SQRT((C24-C23)^2+(D24-D23)^2+(E24-E23)^2)</x:f>
        <x:v>0.3799999999999999</x:v>
      </x:c>
      <x:c r="G24" s="8" t="str">
        <x:v>Current</x:v>
      </x:c>
    </x:row>
    <x:row r="25" ht="32" customHeight="1">
      <x:c r="A25" s="8" t="str">
        <x:v>feeder:AV1</x:v>
      </x:c>
      <x:c r="B25" s="8" t="n">
        <x:v>1</x:v>
      </x:c>
      <x:c r="C25" s="11" t="n">
        <x:v>48.895</x:v>
      </x:c>
      <x:c r="D25" s="11" t="n">
        <x:v>1.75</x:v>
      </x:c>
      <x:c r="E25" s="11" t="n">
        <x:v>-1.55</x:v>
      </x:c>
      <x:c r="F25" s="11" t="n">
        <x:f>0</x:f>
        <x:v>0</x:v>
      </x:c>
      <x:c r="G25" s="8" t="str">
        <x:v>Current</x:v>
      </x:c>
    </x:row>
    <x:row r="26" ht="32" customHeight="1">
      <x:c r="A26" s="8" t="str">
        <x:v>feeder:AV1</x:v>
      </x:c>
      <x:c r="B26" s="8" t="n">
        <x:v>2</x:v>
      </x:c>
      <x:c r="C26" s="11" t="n">
        <x:v>48.735</x:v>
      </x:c>
      <x:c r="D26" s="11" t="n">
        <x:v>1.75</x:v>
      </x:c>
      <x:c r="E26" s="11" t="n">
        <x:v>-1.55</x:v>
      </x:c>
      <x:c r="F26" s="11" t="n">
        <x:f>SQRT((C26-C25)^2+(D26-D25)^2+(E26-E25)^2)</x:f>
        <x:v>0.1600000000000037</x:v>
      </x:c>
      <x:c r="G26" s="8" t="str">
        <x:v>Current</x:v>
      </x:c>
    </x:row>
    <x:row r="27" ht="32" customHeight="1">
      <x:c r="A27" s="8" t="str">
        <x:v>feeder:AV1</x:v>
      </x:c>
      <x:c r="B27" s="8" t="n">
        <x:v>3</x:v>
      </x:c>
      <x:c r="C27" s="11" t="n">
        <x:v>48.735</x:v>
      </x:c>
      <x:c r="D27" s="11" t="n">
        <x:v>2.42</x:v>
      </x:c>
      <x:c r="E27" s="11" t="n">
        <x:v>-1.55</x:v>
      </x:c>
      <x:c r="F27" s="11" t="n">
        <x:f>SQRT((C27-C26)^2+(D27-D26)^2+(E27-E26)^2)</x:f>
        <x:v>0.6699999999999999</x:v>
      </x:c>
      <x:c r="G27" s="8" t="str">
        <x:v>Current</x:v>
      </x:c>
    </x:row>
    <x:row r="28" ht="32" customHeight="1">
      <x:c r="A28" s="8" t="str">
        <x:v>feeder:AV1</x:v>
      </x:c>
      <x:c r="B28" s="8" t="n">
        <x:v>4</x:v>
      </x:c>
      <x:c r="C28" s="11" t="n">
        <x:v>48.735</x:v>
      </x:c>
      <x:c r="D28" s="11" t="n">
        <x:v>2.42</x:v>
      </x:c>
      <x:c r="E28" s="11" t="n">
        <x:v>1.4</x:v>
      </x:c>
      <x:c r="F28" s="11" t="n">
        <x:f>SQRT((C28-C27)^2+(D28-D27)^2+(E28-E27)^2)</x:f>
        <x:v>2.95</x:v>
      </x:c>
      <x:c r="G28" s="8" t="str">
        <x:v>Current</x:v>
      </x:c>
    </x:row>
    <x:row r="29" ht="32" customHeight="1">
      <x:c r="A29" s="8" t="str">
        <x:v>feeder:AV1</x:v>
      </x:c>
      <x:c r="B29" s="8" t="n">
        <x:v>5</x:v>
      </x:c>
      <x:c r="C29" s="11" t="n">
        <x:v>48.735</x:v>
      </x:c>
      <x:c r="D29" s="11" t="n">
        <x:v>0.95</x:v>
      </x:c>
      <x:c r="E29" s="11" t="n">
        <x:v>1.4</x:v>
      </x:c>
      <x:c r="F29" s="11" t="n">
        <x:f>SQRT((C29-C28)^2+(D29-D28)^2+(E29-E28)^2)</x:f>
        <x:v>1.47</x:v>
      </x:c>
      <x:c r="G29" s="8" t="str">
        <x:v>Current</x:v>
      </x:c>
    </x:row>
    <x:row r="30" ht="32" customHeight="1">
      <x:c r="A30" s="8" t="str">
        <x:v>feeder:AV1</x:v>
      </x:c>
      <x:c r="B30" s="8" t="n">
        <x:v>6</x:v>
      </x:c>
      <x:c r="C30" s="11" t="n">
        <x:v>49.275</x:v>
      </x:c>
      <x:c r="D30" s="11" t="n">
        <x:v>0.95</x:v>
      </x:c>
      <x:c r="E30" s="11" t="n">
        <x:v>1.4</x:v>
      </x:c>
      <x:c r="F30" s="11" t="n">
        <x:f>SQRT((C30-C29)^2+(D30-D29)^2+(E30-E29)^2)</x:f>
        <x:v>0.5399999999999991</x:v>
      </x:c>
      <x:c r="G30" s="8" t="str">
        <x:v>Current</x:v>
      </x:c>
    </x:row>
    <x:row r="31" ht="32" customHeight="1">
      <x:c r="A31" s="8" t="str">
        <x:v>feeder:LC1</x:v>
      </x:c>
      <x:c r="B31" s="8" t="n">
        <x:v>1</x:v>
      </x:c>
      <x:c r="C31" s="11" t="n">
        <x:v>48.895</x:v>
      </x:c>
      <x:c r="D31" s="11" t="n">
        <x:v>1.75</x:v>
      </x:c>
      <x:c r="E31" s="11" t="n">
        <x:v>-1.55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feeder:LC1</x:v>
      </x:c>
      <x:c r="B32" s="8" t="n">
        <x:v>2</x:v>
      </x:c>
      <x:c r="C32" s="11" t="n">
        <x:v>48.735</x:v>
      </x:c>
      <x:c r="D32" s="11" t="n">
        <x:v>1.75</x:v>
      </x:c>
      <x:c r="E32" s="11" t="n">
        <x:v>-1.55</x:v>
      </x:c>
      <x:c r="F32" s="11" t="n">
        <x:f>SQRT((C32-C31)^2+(D32-D31)^2+(E32-E31)^2)</x:f>
        <x:v>0.1600000000000037</x:v>
      </x:c>
      <x:c r="G32" s="8" t="str">
        <x:v>Current</x:v>
      </x:c>
    </x:row>
    <x:row r="33" ht="32" customHeight="1">
      <x:c r="A33" s="8" t="str">
        <x:v>feeder:LC1</x:v>
      </x:c>
      <x:c r="B33" s="8" t="n">
        <x:v>3</x:v>
      </x:c>
      <x:c r="C33" s="11" t="n">
        <x:v>48.735</x:v>
      </x:c>
      <x:c r="D33" s="11" t="n">
        <x:v>2.42</x:v>
      </x:c>
      <x:c r="E33" s="11" t="n">
        <x:v>-1.55</x:v>
      </x:c>
      <x:c r="F33" s="11" t="n">
        <x:f>SQRT((C33-C32)^2+(D33-D32)^2+(E33-E32)^2)</x:f>
        <x:v>0.6699999999999999</x:v>
      </x:c>
      <x:c r="G33" s="8" t="str">
        <x:v>Current</x:v>
      </x:c>
    </x:row>
    <x:row r="34" ht="32" customHeight="1">
      <x:c r="A34" s="8" t="str">
        <x:v>feeder:LC1</x:v>
      </x:c>
      <x:c r="B34" s="8" t="n">
        <x:v>4</x:v>
      </x:c>
      <x:c r="C34" s="11" t="n">
        <x:v>48.735</x:v>
      </x:c>
      <x:c r="D34" s="11" t="n">
        <x:v>2.42</x:v>
      </x:c>
      <x:c r="E34" s="11" t="n">
        <x:v>-0.55</x:v>
      </x:c>
      <x:c r="F34" s="11" t="n">
        <x:f>SQRT((C34-C33)^2+(D34-D33)^2+(E34-E33)^2)</x:f>
        <x:v>1</x:v>
      </x:c>
      <x:c r="G34" s="8" t="str">
        <x:v>Current</x:v>
      </x:c>
    </x:row>
    <x:row r="35" ht="32" customHeight="1">
      <x:c r="A35" s="8" t="str">
        <x:v>feeder:LC1</x:v>
      </x:c>
      <x:c r="B35" s="8" t="n">
        <x:v>5</x:v>
      </x:c>
      <x:c r="C35" s="11" t="n">
        <x:v>48.735</x:v>
      </x:c>
      <x:c r="D35" s="11" t="n">
        <x:v>1.85</x:v>
      </x:c>
      <x:c r="E35" s="11" t="n">
        <x:v>-0.55</x:v>
      </x:c>
      <x:c r="F35" s="11" t="n">
        <x:f>SQRT((C35-C34)^2+(D35-D34)^2+(E35-E34)^2)</x:f>
        <x:v>0.5699999999999998</x:v>
      </x:c>
      <x:c r="G35" s="8" t="str">
        <x:v>Current</x:v>
      </x:c>
    </x:row>
    <x:row r="36" ht="32" customHeight="1">
      <x:c r="A36" s="8" t="str">
        <x:v>feeder:LC1</x:v>
      </x:c>
      <x:c r="B36" s="8" t="n">
        <x:v>6</x:v>
      </x:c>
      <x:c r="C36" s="11" t="n">
        <x:v>48.895</x:v>
      </x:c>
      <x:c r="D36" s="11" t="n">
        <x:v>1.85</x:v>
      </x:c>
      <x:c r="E36" s="11" t="n">
        <x:v>-0.55</x:v>
      </x:c>
      <x:c r="F36" s="11" t="n">
        <x:f>SQRT((C36-C35)^2+(D36-D35)^2+(E36-E35)^2)</x:f>
        <x:v>0.1600000000000037</x:v>
      </x:c>
      <x:c r="G36" s="8" t="str">
        <x:v>Current</x:v>
      </x:c>
    </x:row>
    <x:row r="37" ht="32" customHeight="1">
      <x:c r="A37" s="8" t="str">
        <x:v>feeder:FC1</x:v>
      </x:c>
      <x:c r="B37" s="8" t="n">
        <x:v>1</x:v>
      </x:c>
      <x:c r="C37" s="11" t="n">
        <x:v>48.895</x:v>
      </x:c>
      <x:c r="D37" s="11" t="n">
        <x:v>1.75</x:v>
      </x:c>
      <x:c r="E37" s="11" t="n">
        <x:v>-1.55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feeder:FC1</x:v>
      </x:c>
      <x:c r="B38" s="8" t="n">
        <x:v>2</x:v>
      </x:c>
      <x:c r="C38" s="11" t="n">
        <x:v>48.735</x:v>
      </x:c>
      <x:c r="D38" s="11" t="n">
        <x:v>1.75</x:v>
      </x:c>
      <x:c r="E38" s="11" t="n">
        <x:v>-1.55</x:v>
      </x:c>
      <x:c r="F38" s="11" t="n">
        <x:f>SQRT((C38-C37)^2+(D38-D37)^2+(E38-E37)^2)</x:f>
        <x:v>0.1600000000000037</x:v>
      </x:c>
      <x:c r="G38" s="8" t="str">
        <x:v>Current</x:v>
      </x:c>
    </x:row>
    <x:row r="39" ht="32" customHeight="1">
      <x:c r="A39" s="8" t="str">
        <x:v>feeder:FC1</x:v>
      </x:c>
      <x:c r="B39" s="8" t="n">
        <x:v>3</x:v>
      </x:c>
      <x:c r="C39" s="11" t="n">
        <x:v>48.735</x:v>
      </x:c>
      <x:c r="D39" s="11" t="n">
        <x:v>2.42</x:v>
      </x:c>
      <x:c r="E39" s="11" t="n">
        <x:v>-1.55</x:v>
      </x:c>
      <x:c r="F39" s="11" t="n">
        <x:f>SQRT((C39-C38)^2+(D39-D38)^2+(E39-E38)^2)</x:f>
        <x:v>0.6699999999999999</x:v>
      </x:c>
      <x:c r="G39" s="8" t="str">
        <x:v>Current</x:v>
      </x:c>
    </x:row>
    <x:row r="40" ht="32" customHeight="1">
      <x:c r="A40" s="8" t="str">
        <x:v>feeder:FC1</x:v>
      </x:c>
      <x:c r="B40" s="8" t="n">
        <x:v>4</x:v>
      </x:c>
      <x:c r="C40" s="11" t="n">
        <x:v>48.735</x:v>
      </x:c>
      <x:c r="D40" s="11" t="n">
        <x:v>2.42</x:v>
      </x:c>
      <x:c r="E40" s="11" t="n">
        <x:v>0.4</x:v>
      </x:c>
      <x:c r="F40" s="11" t="n">
        <x:f>SQRT((C40-C39)^2+(D40-D39)^2+(E40-E39)^2)</x:f>
        <x:v>1.9500000000000002</x:v>
      </x:c>
      <x:c r="G40" s="8" t="str">
        <x:v>Current</x:v>
      </x:c>
    </x:row>
    <x:row r="41" ht="32" customHeight="1">
      <x:c r="A41" s="8" t="str">
        <x:v>feeder:FC1</x:v>
      </x:c>
      <x:c r="B41" s="8" t="n">
        <x:v>5</x:v>
      </x:c>
      <x:c r="C41" s="11" t="n">
        <x:v>48.735</x:v>
      </x:c>
      <x:c r="D41" s="11" t="n">
        <x:v>1.95</x:v>
      </x:c>
      <x:c r="E41" s="11" t="n">
        <x:v>0.4</x:v>
      </x:c>
      <x:c r="F41" s="11" t="n">
        <x:f>SQRT((C41-C40)^2+(D41-D40)^2+(E41-E40)^2)</x:f>
        <x:v>0.47</x:v>
      </x:c>
      <x:c r="G41" s="8" t="str">
        <x:v>Current</x:v>
      </x:c>
    </x:row>
    <x:row r="42" ht="32" customHeight="1">
      <x:c r="A42" s="8" t="str">
        <x:v>feeder:FC1</x:v>
      </x:c>
      <x:c r="B42" s="8" t="n">
        <x:v>6</x:v>
      </x:c>
      <x:c r="C42" s="11" t="n">
        <x:v>48.895</x:v>
      </x:c>
      <x:c r="D42" s="11" t="n">
        <x:v>1.95</x:v>
      </x:c>
      <x:c r="E42" s="11" t="n">
        <x:v>0.4</x:v>
      </x:c>
      <x:c r="F42" s="11" t="n">
        <x:f>SQRT((C42-C41)^2+(D42-D41)^2+(E42-E41)^2)</x:f>
        <x:v>0.1600000000000037</x:v>
      </x:c>
      <x:c r="G42" s="8" t="str">
        <x:v>Current</x:v>
      </x:c>
    </x:row>
    <x:row r="43" ht="32" customHeight="1">
      <x:c r="A43" s="8" t="str">
        <x:v>local:L1</x:v>
      </x:c>
      <x:c r="B43" s="8" t="n">
        <x:v>1</x:v>
      </x:c>
      <x:c r="C43" s="11" t="n">
        <x:v>48.895</x:v>
      </x:c>
      <x:c r="D43" s="11" t="n">
        <x:v>1.85</x:v>
      </x:c>
      <x:c r="E43" s="11" t="n">
        <x:v>-0.55</x:v>
      </x:c>
      <x:c r="F43" s="11" t="n">
        <x:f>0</x:f>
        <x:v>0</x:v>
      </x:c>
      <x:c r="G43" s="8" t="str">
        <x:v>Current</x:v>
      </x:c>
    </x:row>
    <x:row r="44" ht="32" customHeight="1">
      <x:c r="A44" s="8" t="str">
        <x:v>local:L1</x:v>
      </x:c>
      <x:c r="B44" s="8" t="n">
        <x:v>2</x:v>
      </x:c>
      <x:c r="C44" s="11" t="n">
        <x:v>48.735</x:v>
      </x:c>
      <x:c r="D44" s="11" t="n">
        <x:v>1.85</x:v>
      </x:c>
      <x:c r="E44" s="11" t="n">
        <x:v>-0.55</x:v>
      </x:c>
      <x:c r="F44" s="11" t="n">
        <x:f>SQRT((C44-C43)^2+(D44-D43)^2+(E44-E43)^2)</x:f>
        <x:v>0.1600000000000037</x:v>
      </x:c>
      <x:c r="G44" s="8" t="str">
        <x:v>Current</x:v>
      </x:c>
    </x:row>
    <x:row r="45" ht="32" customHeight="1">
      <x:c r="A45" s="8" t="str">
        <x:v>local:L1</x:v>
      </x:c>
      <x:c r="B45" s="8" t="n">
        <x:v>3</x:v>
      </x:c>
      <x:c r="C45" s="11" t="n">
        <x:v>48.735</x:v>
      </x:c>
      <x:c r="D45" s="11" t="n">
        <x:v>1.85</x:v>
      </x:c>
      <x:c r="E45" s="11" t="n">
        <x:v>-2.24</x:v>
      </x:c>
      <x:c r="F45" s="11" t="n">
        <x:f>SQRT((C45-C44)^2+(D45-D44)^2+(E45-E44)^2)</x:f>
        <x:v>1.6900000000000002</x:v>
      </x:c>
      <x:c r="G45" s="8" t="str">
        <x:v>Current</x:v>
      </x:c>
    </x:row>
    <x:row r="46" ht="32" customHeight="1">
      <x:c r="A46" s="8" t="str">
        <x:v>local:L1</x:v>
      </x:c>
      <x:c r="B46" s="8" t="n">
        <x:v>4</x:v>
      </x:c>
      <x:c r="C46" s="11" t="n">
        <x:v>48.735</x:v>
      </x:c>
      <x:c r="D46" s="11" t="n">
        <x:v>4.02</x:v>
      </x:c>
      <x:c r="E46" s="11" t="n">
        <x:v>-2.24</x:v>
      </x:c>
      <x:c r="F46" s="11" t="n">
        <x:f>SQRT((C46-C45)^2+(D46-D45)^2+(E46-E45)^2)</x:f>
        <x:v>2.1699999999999995</x:v>
      </x:c>
      <x:c r="G46" s="8" t="str">
        <x:v>Current</x:v>
      </x:c>
    </x:row>
    <x:row r="47" ht="32" customHeight="1">
      <x:c r="A47" s="8" t="str">
        <x:v>local:L1</x:v>
      </x:c>
      <x:c r="B47" s="8" t="n">
        <x:v>5</x:v>
      </x:c>
      <x:c r="C47" s="11" t="n">
        <x:v>50</x:v>
      </x:c>
      <x:c r="D47" s="11" t="n">
        <x:v>4.02</x:v>
      </x:c>
      <x:c r="E47" s="11" t="n">
        <x:v>-2.24</x:v>
      </x:c>
      <x:c r="F47" s="11" t="n">
        <x:f>SQRT((C47-C46)^2+(D47-D46)^2+(E47-E46)^2)</x:f>
        <x:v>1.2650000000000006</x:v>
      </x:c>
      <x:c r="G47" s="8" t="str">
        <x:v>Current</x:v>
      </x:c>
    </x:row>
    <x:row r="48" ht="32" customHeight="1">
      <x:c r="A48" s="8" t="str">
        <x:v>local:L1</x:v>
      </x:c>
      <x:c r="B48" s="8" t="n">
        <x:v>6</x:v>
      </x:c>
      <x:c r="C48" s="11" t="n">
        <x:v>50</x:v>
      </x:c>
      <x:c r="D48" s="11" t="n">
        <x:v>4.02</x:v>
      </x:c>
      <x:c r="E48" s="11" t="n">
        <x:v>0</x:v>
      </x:c>
      <x:c r="F48" s="11" t="n">
        <x:f>SQRT((C48-C47)^2+(D48-D47)^2+(E48-E47)^2)</x:f>
        <x:v>2.24</x:v>
      </x:c>
      <x:c r="G48" s="8" t="str">
        <x:v>Current</x:v>
      </x:c>
    </x:row>
    <x:row r="49" ht="32" customHeight="1">
      <x:c r="A49" s="8" t="str">
        <x:v>local:L1</x:v>
      </x:c>
      <x:c r="B49" s="8" t="n">
        <x:v>7</x:v>
      </x:c>
      <x:c r="C49" s="11" t="n">
        <x:v>50</x:v>
      </x:c>
      <x:c r="D49" s="11" t="n">
        <x:v>4.14</x:v>
      </x:c>
      <x:c r="E49" s="11" t="n">
        <x:v>0</x:v>
      </x:c>
      <x:c r="F49" s="11" t="n">
        <x:f>SQRT((C49-C48)^2+(D49-D48)^2+(E49-E48)^2)</x:f>
        <x:v>0.1200000000000001</x:v>
      </x:c>
      <x:c r="G49" s="8" t="str">
        <x:v>Current</x:v>
      </x:c>
    </x:row>
    <x:row r="50" ht="32" customHeight="1">
      <x:c r="A50" s="8" t="str">
        <x:v>local:L2</x:v>
      </x:c>
      <x:c r="B50" s="8" t="n">
        <x:v>1</x:v>
      </x:c>
      <x:c r="C50" s="11" t="n">
        <x:v>48.895</x:v>
      </x:c>
      <x:c r="D50" s="11" t="n">
        <x:v>1.85</x:v>
      </x:c>
      <x:c r="E50" s="11" t="n">
        <x:v>-0.55</x:v>
      </x:c>
      <x:c r="F50" s="11" t="n">
        <x:f>0</x:f>
        <x:v>0</x:v>
      </x:c>
      <x:c r="G50" s="8" t="str">
        <x:v>Current</x:v>
      </x:c>
    </x:row>
    <x:row r="51" ht="32" customHeight="1">
      <x:c r="A51" s="8" t="str">
        <x:v>local:L2</x:v>
      </x:c>
      <x:c r="B51" s="8" t="n">
        <x:v>2</x:v>
      </x:c>
      <x:c r="C51" s="11" t="n">
        <x:v>48.735</x:v>
      </x:c>
      <x:c r="D51" s="11" t="n">
        <x:v>1.85</x:v>
      </x:c>
      <x:c r="E51" s="11" t="n">
        <x:v>-0.55</x:v>
      </x:c>
      <x:c r="F51" s="11" t="n">
        <x:f>SQRT((C51-C50)^2+(D51-D50)^2+(E51-E50)^2)</x:f>
        <x:v>0.1600000000000037</x:v>
      </x:c>
      <x:c r="G51" s="8" t="str">
        <x:v>Current</x:v>
      </x:c>
    </x:row>
    <x:row r="52" ht="32" customHeight="1">
      <x:c r="A52" s="8" t="str">
        <x:v>local:L2</x:v>
      </x:c>
      <x:c r="B52" s="8" t="n">
        <x:v>3</x:v>
      </x:c>
      <x:c r="C52" s="11" t="n">
        <x:v>48.735</x:v>
      </x:c>
      <x:c r="D52" s="11" t="n">
        <x:v>1.85</x:v>
      </x:c>
      <x:c r="E52" s="11" t="n">
        <x:v>-2.24</x:v>
      </x:c>
      <x:c r="F52" s="11" t="n">
        <x:f>SQRT((C52-C51)^2+(D52-D51)^2+(E52-E51)^2)</x:f>
        <x:v>1.6900000000000002</x:v>
      </x:c>
      <x:c r="G52" s="8" t="str">
        <x:v>Current</x:v>
      </x:c>
    </x:row>
    <x:row r="53" ht="32" customHeight="1">
      <x:c r="A53" s="8" t="str">
        <x:v>local:L2</x:v>
      </x:c>
      <x:c r="B53" s="8" t="n">
        <x:v>4</x:v>
      </x:c>
      <x:c r="C53" s="11" t="n">
        <x:v>48.735</x:v>
      </x:c>
      <x:c r="D53" s="11" t="n">
        <x:v>4.02</x:v>
      </x:c>
      <x:c r="E53" s="11" t="n">
        <x:v>-2.24</x:v>
      </x:c>
      <x:c r="F53" s="11" t="n">
        <x:f>SQRT((C53-C52)^2+(D53-D52)^2+(E53-E52)^2)</x:f>
        <x:v>2.1699999999999995</x:v>
      </x:c>
      <x:c r="G53" s="8" t="str">
        <x:v>Current</x:v>
      </x:c>
    </x:row>
    <x:row r="54" ht="32" customHeight="1">
      <x:c r="A54" s="8" t="str">
        <x:v>local:L2</x:v>
      </x:c>
      <x:c r="B54" s="8" t="n">
        <x:v>5</x:v>
      </x:c>
      <x:c r="C54" s="11" t="n">
        <x:v>51.9</x:v>
      </x:c>
      <x:c r="D54" s="11" t="n">
        <x:v>4.02</x:v>
      </x:c>
      <x:c r="E54" s="11" t="n">
        <x:v>-2.24</x:v>
      </x:c>
      <x:c r="F54" s="11" t="n">
        <x:f>SQRT((C54-C53)^2+(D54-D53)^2+(E54-E53)^2)</x:f>
        <x:v>3.164999999999999</x:v>
      </x:c>
      <x:c r="G54" s="8" t="str">
        <x:v>Current</x:v>
      </x:c>
    </x:row>
    <x:row r="55" ht="32" customHeight="1">
      <x:c r="A55" s="8" t="str">
        <x:v>local:L2</x:v>
      </x:c>
      <x:c r="B55" s="8" t="n">
        <x:v>6</x:v>
      </x:c>
      <x:c r="C55" s="11" t="n">
        <x:v>51.9</x:v>
      </x:c>
      <x:c r="D55" s="11" t="n">
        <x:v>4.02</x:v>
      </x:c>
      <x:c r="E55" s="11" t="n">
        <x:v>0</x:v>
      </x:c>
      <x:c r="F55" s="11" t="n">
        <x:f>SQRT((C55-C54)^2+(D55-D54)^2+(E55-E54)^2)</x:f>
        <x:v>2.24</x:v>
      </x:c>
      <x:c r="G55" s="8" t="str">
        <x:v>Current</x:v>
      </x:c>
    </x:row>
    <x:row r="56" ht="32" customHeight="1">
      <x:c r="A56" s="8" t="str">
        <x:v>local:L2</x:v>
      </x:c>
      <x:c r="B56" s="8" t="n">
        <x:v>7</x:v>
      </x:c>
      <x:c r="C56" s="11" t="n">
        <x:v>51.9</x:v>
      </x:c>
      <x:c r="D56" s="11" t="n">
        <x:v>4.14</x:v>
      </x:c>
      <x:c r="E56" s="11" t="n">
        <x:v>0</x:v>
      </x:c>
      <x:c r="F56" s="11" t="n">
        <x:f>SQRT((C56-C55)^2+(D56-D55)^2+(E56-E55)^2)</x:f>
        <x:v>0.1200000000000001</x:v>
      </x:c>
      <x:c r="G56" s="8" t="str">
        <x:v>Current</x:v>
      </x:c>
    </x:row>
    <x:row r="57" ht="32" customHeight="1">
      <x:c r="A57" s="8" t="str">
        <x:v>trunk:LC1:L1:light:-1</x:v>
      </x:c>
      <x:c r="B57" s="8" t="n">
        <x:v>1</x:v>
      </x:c>
      <x:c r="C57" s="11" t="n">
        <x:v>48.895</x:v>
      </x:c>
      <x:c r="D57" s="11" t="n">
        <x:v>1.85</x:v>
      </x:c>
      <x:c r="E57" s="11" t="n">
        <x:v>-0.55</x:v>
      </x:c>
      <x:c r="F57" s="11" t="n">
        <x:f>0</x:f>
        <x:v>0</x:v>
      </x:c>
      <x:c r="G57" s="8" t="str">
        <x:v>Current</x:v>
      </x:c>
    </x:row>
    <x:row r="58" ht="32" customHeight="1">
      <x:c r="A58" s="8" t="str">
        <x:v>trunk:LC1:L1:light:-1</x:v>
      </x:c>
      <x:c r="B58" s="8" t="n">
        <x:v>2</x:v>
      </x:c>
      <x:c r="C58" s="11" t="n">
        <x:v>48.735</x:v>
      </x:c>
      <x:c r="D58" s="11" t="n">
        <x:v>1.85</x:v>
      </x:c>
      <x:c r="E58" s="11" t="n">
        <x:v>-0.55</x:v>
      </x:c>
      <x:c r="F58" s="11" t="n">
        <x:f>SQRT((C58-C57)^2+(D58-D57)^2+(E58-E57)^2)</x:f>
        <x:v>0.1600000000000037</x:v>
      </x:c>
      <x:c r="G58" s="8" t="str">
        <x:v>Current</x:v>
      </x:c>
    </x:row>
    <x:row r="59" ht="32" customHeight="1">
      <x:c r="A59" s="8" t="str">
        <x:v>trunk:LC1:L1:light:-1</x:v>
      </x:c>
      <x:c r="B59" s="8" t="n">
        <x:v>3</x:v>
      </x:c>
      <x:c r="C59" s="11" t="n">
        <x:v>48.735</x:v>
      </x:c>
      <x:c r="D59" s="11" t="n">
        <x:v>1.85</x:v>
      </x:c>
      <x:c r="E59" s="11" t="n">
        <x:v>-2.24</x:v>
      </x:c>
      <x:c r="F59" s="11" t="n">
        <x:f>SQRT((C59-C58)^2+(D59-D58)^2+(E59-E58)^2)</x:f>
        <x:v>1.6900000000000002</x:v>
      </x:c>
      <x:c r="G59" s="8" t="str">
        <x:v>Current</x:v>
      </x:c>
    </x:row>
    <x:row r="60" ht="32" customHeight="1">
      <x:c r="A60" s="8" t="str">
        <x:v>trunk:LC1:L1:light:-1</x:v>
      </x:c>
      <x:c r="B60" s="8" t="n">
        <x:v>4</x:v>
      </x:c>
      <x:c r="C60" s="11" t="n">
        <x:v>48.735</x:v>
      </x:c>
      <x:c r="D60" s="11" t="n">
        <x:v>4.02</x:v>
      </x:c>
      <x:c r="E60" s="11" t="n">
        <x:v>-2.24</x:v>
      </x:c>
      <x:c r="F60" s="11" t="n">
        <x:f>SQRT((C60-C59)^2+(D60-D59)^2+(E60-E59)^2)</x:f>
        <x:v>2.1699999999999995</x:v>
      </x:c>
      <x:c r="G60" s="8" t="str">
        <x:v>Current</x:v>
      </x:c>
    </x:row>
    <x:row r="61" ht="32" customHeight="1">
      <x:c r="A61" s="8" t="str">
        <x:v>trunk:LC1:L1:light:-1</x:v>
      </x:c>
      <x:c r="B61" s="8" t="n">
        <x:v>5</x:v>
      </x:c>
      <x:c r="C61" s="11" t="n">
        <x:v>48.735</x:v>
      </x:c>
      <x:c r="D61" s="11" t="n">
        <x:v>4.02</x:v>
      </x:c>
      <x:c r="E61" s="11" t="n">
        <x:v>-3.6</x:v>
      </x:c>
      <x:c r="F61" s="11" t="n">
        <x:f>SQRT((C61-C60)^2+(D61-D60)^2+(E61-E60)^2)</x:f>
        <x:v>1.3599999999999999</x:v>
      </x:c>
      <x:c r="G61" s="8" t="str">
        <x:v>Current</x:v>
      </x:c>
    </x:row>
    <x:row r="62" ht="32" customHeight="1">
      <x:c r="A62" s="8" t="str">
        <x:v>trunk:LC1:L1:light:-1</x:v>
      </x:c>
      <x:c r="B62" s="8" t="n">
        <x:v>6</x:v>
      </x:c>
      <x:c r="C62" s="11" t="n">
        <x:v>53.05</x:v>
      </x:c>
      <x:c r="D62" s="11" t="n">
        <x:v>4.02</x:v>
      </x:c>
      <x:c r="E62" s="11" t="n">
        <x:v>-3.6</x:v>
      </x:c>
      <x:c r="F62" s="11" t="n">
        <x:f>SQRT((C62-C61)^2+(D62-D61)^2+(E62-E61)^2)</x:f>
        <x:v>4.314999999999998</x:v>
      </x:c>
      <x:c r="G62" s="8" t="str">
        <x:v>Current</x:v>
      </x:c>
    </x:row>
    <x:row r="63" ht="32" customHeight="1">
      <x:c r="A63" s="8" t="str">
        <x:v>trunk:LC1:L1:light:-1</x:v>
      </x:c>
      <x:c r="B63" s="8" t="n">
        <x:v>7</x:v>
      </x:c>
      <x:c r="C63" s="11" t="n">
        <x:v>53.05</x:v>
      </x:c>
      <x:c r="D63" s="11" t="n">
        <x:v>6.35</x:v>
      </x:c>
      <x:c r="E63" s="11" t="n">
        <x:v>-3.6</x:v>
      </x:c>
      <x:c r="F63" s="11" t="n">
        <x:f>SQRT((C63-C62)^2+(D63-D62)^2+(E63-E62)^2)</x:f>
        <x:v>2.33</x:v>
      </x:c>
      <x:c r="G63" s="8" t="str">
        <x:v>Current</x:v>
      </x:c>
    </x:row>
    <x:row r="64" ht="32" customHeight="1">
      <x:c r="A64" s="8" t="str">
        <x:v>trunk:LC1:L1:light:-1</x:v>
      </x:c>
      <x:c r="B64" s="8" t="n">
        <x:v>8</x:v>
      </x:c>
      <x:c r="C64" s="11" t="n">
        <x:v>53.05</x:v>
      </x:c>
      <x:c r="D64" s="11" t="n">
        <x:v>6.35</x:v>
      </x:c>
      <x:c r="E64" s="11" t="n">
        <x:v>-7.36</x:v>
      </x:c>
      <x:c r="F64" s="11" t="n">
        <x:f>SQRT((C64-C63)^2+(D64-D63)^2+(E64-E63)^2)</x:f>
        <x:v>3.7600000000000002</x:v>
      </x:c>
      <x:c r="G64" s="8" t="str">
        <x:v>Current</x:v>
      </x:c>
    </x:row>
    <x:row r="65" ht="32" customHeight="1">
      <x:c r="A65" s="8" t="str">
        <x:v>trunk:LC1:L1:light:-1</x:v>
      </x:c>
      <x:c r="B65" s="8" t="n">
        <x:v>9</x:v>
      </x:c>
      <x:c r="C65" s="11" t="n">
        <x:v>44.175</x:v>
      </x:c>
      <x:c r="D65" s="11" t="n">
        <x:v>6.35</x:v>
      </x:c>
      <x:c r="E65" s="11" t="n">
        <x:v>-7.36</x:v>
      </x:c>
      <x:c r="F65" s="11" t="n">
        <x:f>SQRT((C65-C64)^2+(D65-D64)^2+(E65-E64)^2)</x:f>
        <x:v>8.875</x:v>
      </x:c>
      <x:c r="G65" s="8" t="str">
        <x:v>Current</x:v>
      </x:c>
    </x:row>
    <x:row r="66" ht="32" customHeight="1">
      <x:c r="A66" s="8" t="str">
        <x:v>trunk:LC1:L1:light:-1</x:v>
      </x:c>
      <x:c r="B66" s="8" t="n">
        <x:v>10</x:v>
      </x:c>
      <x:c r="C66" s="11" t="n">
        <x:v>44.175</x:v>
      </x:c>
      <x:c r="D66" s="11" t="n">
        <x:v>6.35</x:v>
      </x:c>
      <x:c r="E66" s="11" t="n">
        <x:v>-13.24</x:v>
      </x:c>
      <x:c r="F66" s="11" t="n">
        <x:f>SQRT((C66-C65)^2+(D66-D65)^2+(E66-E65)^2)</x:f>
        <x:v>5.88</x:v>
      </x:c>
      <x:c r="G66" s="8" t="str">
        <x:v>Current</x:v>
      </x:c>
    </x:row>
    <x:row r="67" ht="32" customHeight="1">
      <x:c r="A67" s="8" t="str">
        <x:v>trunk:LC1:L1:light:-1</x:v>
      </x:c>
      <x:c r="B67" s="8" t="n">
        <x:v>11</x:v>
      </x:c>
      <x:c r="C67" s="11" t="n">
        <x:v>36.975</x:v>
      </x:c>
      <x:c r="D67" s="11" t="n">
        <x:v>6.35</x:v>
      </x:c>
      <x:c r="E67" s="11" t="n">
        <x:v>-13.24</x:v>
      </x:c>
      <x:c r="F67" s="11" t="n">
        <x:f>SQRT((C67-C66)^2+(D67-D66)^2+(E67-E66)^2)</x:f>
        <x:v>7.199999999999996</x:v>
      </x:c>
      <x:c r="G67" s="8" t="str">
        <x:v>Current</x:v>
      </x:c>
    </x:row>
    <x:row r="68" ht="32" customHeight="1">
      <x:c r="A68" s="8" t="str">
        <x:v>trunk:LC1:L1:light:-1</x:v>
      </x:c>
      <x:c r="B68" s="8" t="n">
        <x:v>12</x:v>
      </x:c>
      <x:c r="C68" s="11" t="n">
        <x:v>36.975</x:v>
      </x:c>
      <x:c r="D68" s="11" t="n">
        <x:v>6.35</x:v>
      </x:c>
      <x:c r="E68" s="11" t="n">
        <x:v>-7.36</x:v>
      </x:c>
      <x:c r="F68" s="11" t="n">
        <x:f>SQRT((C68-C67)^2+(D68-D67)^2+(E68-E67)^2)</x:f>
        <x:v>5.88</x:v>
      </x:c>
      <x:c r="G68" s="8" t="str">
        <x:v>Current</x:v>
      </x:c>
    </x:row>
    <x:row r="69" ht="32" customHeight="1">
      <x:c r="A69" s="8" t="str">
        <x:v>trunk:LC1:L1:light:-1</x:v>
      </x:c>
      <x:c r="B69" s="8" t="n">
        <x:v>13</x:v>
      </x:c>
      <x:c r="C69" s="11" t="n">
        <x:v>5.475</x:v>
      </x:c>
      <x:c r="D69" s="11" t="n">
        <x:v>6.35</x:v>
      </x:c>
      <x:c r="E69" s="11" t="n">
        <x:v>-7.36</x:v>
      </x:c>
      <x:c r="F69" s="11" t="n">
        <x:f>SQRT((C69-C68)^2+(D69-D68)^2+(E69-E68)^2)</x:f>
        <x:v>31.5</x:v>
      </x:c>
      <x:c r="G69" s="8" t="str">
        <x:v>Current</x:v>
      </x:c>
    </x:row>
    <x:row r="70" ht="32" customHeight="1">
      <x:c r="A70" s="8" t="str">
        <x:v>trunk:LC1:L1:light:-1</x:v>
      </x:c>
      <x:c r="B70" s="8" t="n">
        <x:v>14</x:v>
      </x:c>
      <x:c r="C70" s="11" t="n">
        <x:v>2.65</x:v>
      </x:c>
      <x:c r="D70" s="11" t="n">
        <x:v>6.35</x:v>
      </x:c>
      <x:c r="E70" s="11" t="n">
        <x:v>-7.36</x:v>
      </x:c>
      <x:c r="F70" s="11" t="n">
        <x:f>SQRT((C70-C69)^2+(D70-D69)^2+(E70-E69)^2)</x:f>
        <x:v>2.8249999999999997</x:v>
      </x:c>
      <x:c r="G70" s="8" t="str">
        <x:v>Current</x:v>
      </x:c>
    </x:row>
    <x:row r="71" ht="32" customHeight="1">
      <x:c r="A71" s="8" t="str">
        <x:v>drop:LC1:L1:light:-1:L3</x:v>
      </x:c>
      <x:c r="B71" s="8" t="n">
        <x:v>1</x:v>
      </x:c>
      <x:c r="C71" s="11" t="n">
        <x:v>9.975</x:v>
      </x:c>
      <x:c r="D71" s="11" t="n">
        <x:v>6.35</x:v>
      </x:c>
      <x:c r="E71" s="11" t="n">
        <x:v>-7.36</x:v>
      </x:c>
      <x:c r="F71" s="11" t="n">
        <x:f>0</x:f>
        <x:v>0</x:v>
      </x:c>
      <x:c r="G71" s="8" t="str">
        <x:v>Current</x:v>
      </x:c>
    </x:row>
    <x:row r="72" ht="32" customHeight="1">
      <x:c r="A72" s="8" t="str">
        <x:v>drop:LC1:L1:light:-1:L3</x:v>
      </x:c>
      <x:c r="B72" s="8" t="n">
        <x:v>2</x:v>
      </x:c>
      <x:c r="C72" s="11" t="n">
        <x:v>9.975</x:v>
      </x:c>
      <x:c r="D72" s="11" t="n">
        <x:v>7.02</x:v>
      </x:c>
      <x:c r="E72" s="11" t="n">
        <x:v>-7.36</x:v>
      </x:c>
      <x:c r="F72" s="11" t="n">
        <x:f>SQRT((C72-C71)^2+(D72-D71)^2+(E72-E71)^2)</x:f>
        <x:v>0.6699999999999999</x:v>
      </x:c>
      <x:c r="G72" s="8" t="str">
        <x:v>Current</x:v>
      </x:c>
    </x:row>
    <x:row r="73" ht="32" customHeight="1">
      <x:c r="A73" s="8" t="str">
        <x:v>drop:LC1:L1:light:-1:L3</x:v>
      </x:c>
      <x:c r="B73" s="8" t="n">
        <x:v>3</x:v>
      </x:c>
      <x:c r="C73" s="11" t="n">
        <x:v>9.975</x:v>
      </x:c>
      <x:c r="D73" s="11" t="n">
        <x:v>7.065002717391305</x:v>
      </x:c>
      <x:c r="E73" s="11" t="n">
        <x:v>-7.05</x:v>
      </x:c>
      <x:c r="F73" s="11" t="n">
        <x:f>SQRT((C73-C72)^2+(D73-D72)^2+(E73-E72)^2)</x:f>
        <x:v>0.3132494925336704</x:v>
      </x:c>
      <x:c r="G73" s="8" t="str">
        <x:v>Current</x:v>
      </x:c>
    </x:row>
    <x:row r="74" ht="32" customHeight="1">
      <x:c r="A74" s="8" t="str">
        <x:v>drop:LC1:L1:light:-1:L3</x:v>
      </x:c>
      <x:c r="B74" s="8" t="n">
        <x:v>4</x:v>
      </x:c>
      <x:c r="C74" s="11" t="n">
        <x:v>9.975</x:v>
      </x:c>
      <x:c r="D74" s="11" t="n">
        <x:v>10.294880434782609</x:v>
      </x:c>
      <x:c r="E74" s="11" t="n">
        <x:v>-2.6</x:v>
      </x:c>
      <x:c r="F74" s="11" t="n">
        <x:f>SQRT((C74-C73)^2+(D74-D73)^2+(E74-E73)^2)</x:f>
        <x:v>5.49860073739682</x:v>
      </x:c>
      <x:c r="G74" s="8" t="str">
        <x:v>Current</x:v>
      </x:c>
    </x:row>
    <x:row r="75" ht="32" customHeight="1">
      <x:c r="A75" s="8" t="str">
        <x:v>drop:LC1:L1:light:-1:L3</x:v>
      </x:c>
      <x:c r="B75" s="8" t="n">
        <x:v>5</x:v>
      </x:c>
      <x:c r="C75" s="11" t="n">
        <x:v>9.975</x:v>
      </x:c>
      <x:c r="D75" s="11" t="n">
        <x:v>10.394880434782609</x:v>
      </x:c>
      <x:c r="E75" s="11" t="n">
        <x:v>-2.6</x:v>
      </x:c>
      <x:c r="F75" s="11" t="n">
        <x:f>SQRT((C75-C74)^2+(D75-D74)^2+(E75-E74)^2)</x:f>
        <x:v>0.09999999999999964</x:v>
      </x:c>
      <x:c r="G75" s="8" t="str">
        <x:v>Current</x:v>
      </x:c>
    </x:row>
    <x:row r="76" ht="32" customHeight="1">
      <x:c r="A76" s="8" t="str">
        <x:v>drop:LC1:L1:light:-1:L3</x:v>
      </x:c>
      <x:c r="B76" s="8" t="n">
        <x:v>6</x:v>
      </x:c>
      <x:c r="C76" s="11" t="n">
        <x:v>9.975</x:v>
      </x:c>
      <x:c r="D76" s="11" t="n">
        <x:v>8.584999999999999</x:v>
      </x:c>
      <x:c r="E76" s="11" t="n">
        <x:v>-2.6</x:v>
      </x:c>
      <x:c r="F76" s="11" t="n">
        <x:f>SQRT((C76-C75)^2+(D76-D75)^2+(E76-E75)^2)</x:f>
        <x:v>1.8098804347826096</x:v>
      </x:c>
      <x:c r="G76" s="8" t="str">
        <x:v>Current</x:v>
      </x:c>
    </x:row>
    <x:row r="77" ht="32" customHeight="1">
      <x:c r="A77" s="8" t="str">
        <x:v>drop:LC1:L1:light:-1:L4</x:v>
      </x:c>
      <x:c r="B77" s="8" t="n">
        <x:v>1</x:v>
      </x:c>
      <x:c r="C77" s="11" t="n">
        <x:v>9.975</x:v>
      </x:c>
      <x:c r="D77" s="11" t="n">
        <x:v>6.35</x:v>
      </x:c>
      <x:c r="E77" s="11" t="n">
        <x:v>-7.36</x:v>
      </x:c>
      <x:c r="F77" s="11" t="n">
        <x:f>0</x:f>
        <x:v>0</x:v>
      </x:c>
      <x:c r="G77" s="8" t="str">
        <x:v>Current</x:v>
      </x:c>
    </x:row>
    <x:row r="78" ht="32" customHeight="1">
      <x:c r="A78" s="8" t="str">
        <x:v>drop:LC1:L1:light:-1:L4</x:v>
      </x:c>
      <x:c r="B78" s="8" t="n">
        <x:v>2</x:v>
      </x:c>
      <x:c r="C78" s="11" t="n">
        <x:v>9.975</x:v>
      </x:c>
      <x:c r="D78" s="11" t="n">
        <x:v>6.83</x:v>
      </x:c>
      <x:c r="E78" s="11" t="n">
        <x:v>-7.36</x:v>
      </x:c>
      <x:c r="F78" s="11" t="n">
        <x:f>SQRT((C78-C77)^2+(D78-D77)^2+(E78-E77)^2)</x:f>
        <x:v>0.4800000000000004</x:v>
      </x:c>
      <x:c r="G78" s="8" t="str">
        <x:v>Current</x:v>
      </x:c>
    </x:row>
    <x:row r="79" ht="32" customHeight="1">
      <x:c r="A79" s="8" t="str">
        <x:v>drop:LC1:L1:light:-1:L4</x:v>
      </x:c>
      <x:c r="B79" s="8" t="n">
        <x:v>3</x:v>
      </x:c>
      <x:c r="C79" s="11" t="n">
        <x:v>9.975</x:v>
      </x:c>
      <x:c r="D79" s="11" t="n">
        <x:v>6.83</x:v>
      </x:c>
      <x:c r="E79" s="11" t="n">
        <x:v>-3.6</x:v>
      </x:c>
      <x:c r="F79" s="11" t="n">
        <x:f>SQRT((C79-C78)^2+(D79-D78)^2+(E79-E78)^2)</x:f>
        <x:v>3.7600000000000002</x:v>
      </x:c>
      <x:c r="G79" s="8" t="str">
        <x:v>Current</x:v>
      </x:c>
    </x:row>
    <x:row r="80" ht="32" customHeight="1">
      <x:c r="A80" s="8" t="str">
        <x:v>drop:LC1:L1:light:-1:L4</x:v>
      </x:c>
      <x:c r="B80" s="8" t="n">
        <x:v>4</x:v>
      </x:c>
      <x:c r="C80" s="11" t="n">
        <x:v>9.975</x:v>
      </x:c>
      <x:c r="D80" s="11" t="n">
        <x:v>8.59</x:v>
      </x:c>
      <x:c r="E80" s="11" t="n">
        <x:v>-3.6</x:v>
      </x:c>
      <x:c r="F80" s="11" t="n">
        <x:f>SQRT((C80-C79)^2+(D80-D79)^2+(E80-E79)^2)</x:f>
        <x:v>1.7599999999999998</x:v>
      </x:c>
      <x:c r="G80" s="8" t="str">
        <x:v>Current</x:v>
      </x:c>
    </x:row>
    <x:row r="81" ht="32" customHeight="1">
      <x:c r="A81" s="8" t="str">
        <x:v>drop:LC1:L1:light:-1:L4</x:v>
      </x:c>
      <x:c r="B81" s="8" t="n">
        <x:v>5</x:v>
      </x:c>
      <x:c r="C81" s="11" t="n">
        <x:v>9.975</x:v>
      </x:c>
      <x:c r="D81" s="11" t="n">
        <x:v>8.59</x:v>
      </x:c>
      <x:c r="E81" s="11" t="n">
        <x:v>-2.6</x:v>
      </x:c>
      <x:c r="F81" s="11" t="n">
        <x:f>SQRT((C81-C80)^2+(D81-D80)^2+(E81-E80)^2)</x:f>
        <x:v>1</x:v>
      </x:c>
      <x:c r="G81" s="8" t="str">
        <x:v>Current</x:v>
      </x:c>
    </x:row>
    <x:row r="82" ht="32" customHeight="1">
      <x:c r="A82" s="8" t="str">
        <x:v>drop:LC1:L1:light:-1:L4</x:v>
      </x:c>
      <x:c r="B82" s="8" t="n">
        <x:v>6</x:v>
      </x:c>
      <x:c r="C82" s="11" t="n">
        <x:v>9.975</x:v>
      </x:c>
      <x:c r="D82" s="11" t="n">
        <x:v>8.584999999999999</x:v>
      </x:c>
      <x:c r="E82" s="11" t="n">
        <x:v>-2.6</x:v>
      </x:c>
      <x:c r="F82" s="11" t="n">
        <x:f>SQRT((C82-C81)^2+(D82-D81)^2+(E82-E81)^2)</x:f>
        <x:v>0.005000000000000782</x:v>
      </x:c>
      <x:c r="G82" s="8" t="str">
        <x:v>Current</x:v>
      </x:c>
    </x:row>
    <x:row r="83" ht="32" customHeight="1">
      <x:c r="A83" s="8" t="str">
        <x:v>drop:LC1:L1:light:-1:L7</x:v>
      </x:c>
      <x:c r="B83" s="8" t="n">
        <x:v>1</x:v>
      </x:c>
      <x:c r="C83" s="11" t="n">
        <x:v>14.475</x:v>
      </x:c>
      <x:c r="D83" s="11" t="n">
        <x:v>6.35</x:v>
      </x:c>
      <x:c r="E83" s="11" t="n">
        <x:v>-7.36</x:v>
      </x:c>
      <x:c r="F83" s="11" t="n">
        <x:f>0</x:f>
        <x:v>0</x:v>
      </x:c>
      <x:c r="G83" s="8" t="str">
        <x:v>Current</x:v>
      </x:c>
    </x:row>
    <x:row r="84" ht="32" customHeight="1">
      <x:c r="A84" s="8" t="str">
        <x:v>drop:LC1:L1:light:-1:L7</x:v>
      </x:c>
      <x:c r="B84" s="8" t="n">
        <x:v>2</x:v>
      </x:c>
      <x:c r="C84" s="11" t="n">
        <x:v>14.475</x:v>
      </x:c>
      <x:c r="D84" s="11" t="n">
        <x:v>6.83</x:v>
      </x:c>
      <x:c r="E84" s="11" t="n">
        <x:v>-7.36</x:v>
      </x:c>
      <x:c r="F84" s="11" t="n">
        <x:f>SQRT((C84-C83)^2+(D84-D83)^2+(E84-E83)^2)</x:f>
        <x:v>0.4800000000000004</x:v>
      </x:c>
      <x:c r="G84" s="8" t="str">
        <x:v>Current</x:v>
      </x:c>
    </x:row>
    <x:row r="85" ht="32" customHeight="1">
      <x:c r="A85" s="8" t="str">
        <x:v>drop:LC1:L1:light:-1:L7</x:v>
      </x:c>
      <x:c r="B85" s="8" t="n">
        <x:v>3</x:v>
      </x:c>
      <x:c r="C85" s="11" t="n">
        <x:v>14.475</x:v>
      </x:c>
      <x:c r="D85" s="11" t="n">
        <x:v>6.83</x:v>
      </x:c>
      <x:c r="E85" s="11" t="n">
        <x:v>-3.6</x:v>
      </x:c>
      <x:c r="F85" s="11" t="n">
        <x:f>SQRT((C85-C84)^2+(D85-D84)^2+(E85-E84)^2)</x:f>
        <x:v>3.7600000000000002</x:v>
      </x:c>
      <x:c r="G85" s="8" t="str">
        <x:v>Current</x:v>
      </x:c>
    </x:row>
    <x:row r="86" ht="32" customHeight="1">
      <x:c r="A86" s="8" t="str">
        <x:v>drop:LC1:L1:light:-1:L7</x:v>
      </x:c>
      <x:c r="B86" s="8" t="n">
        <x:v>4</x:v>
      </x:c>
      <x:c r="C86" s="11" t="n">
        <x:v>14.475</x:v>
      </x:c>
      <x:c r="D86" s="11" t="n">
        <x:v>8.59</x:v>
      </x:c>
      <x:c r="E86" s="11" t="n">
        <x:v>-3.6</x:v>
      </x:c>
      <x:c r="F86" s="11" t="n">
        <x:f>SQRT((C86-C85)^2+(D86-D85)^2+(E86-E85)^2)</x:f>
        <x:v>1.7599999999999998</x:v>
      </x:c>
      <x:c r="G86" s="8" t="str">
        <x:v>Current</x:v>
      </x:c>
    </x:row>
    <x:row r="87" ht="32" customHeight="1">
      <x:c r="A87" s="8" t="str">
        <x:v>drop:LC1:L1:light:-1:L7</x:v>
      </x:c>
      <x:c r="B87" s="8" t="n">
        <x:v>5</x:v>
      </x:c>
      <x:c r="C87" s="11" t="n">
        <x:v>14.475</x:v>
      </x:c>
      <x:c r="D87" s="11" t="n">
        <x:v>8.59</x:v>
      </x:c>
      <x:c r="E87" s="11" t="n">
        <x:v>-2.6</x:v>
      </x:c>
      <x:c r="F87" s="11" t="n">
        <x:f>SQRT((C87-C86)^2+(D87-D86)^2+(E87-E86)^2)</x:f>
        <x:v>1</x:v>
      </x:c>
      <x:c r="G87" s="8" t="str">
        <x:v>Current</x:v>
      </x:c>
    </x:row>
    <x:row r="88" ht="32" customHeight="1">
      <x:c r="A88" s="8" t="str">
        <x:v>drop:LC1:L1:light:-1:L7</x:v>
      </x:c>
      <x:c r="B88" s="8" t="n">
        <x:v>6</x:v>
      </x:c>
      <x:c r="C88" s="11" t="n">
        <x:v>14.475</x:v>
      </x:c>
      <x:c r="D88" s="11" t="n">
        <x:v>8.584999999999999</x:v>
      </x:c>
      <x:c r="E88" s="11" t="n">
        <x:v>-2.6</x:v>
      </x:c>
      <x:c r="F88" s="11" t="n">
        <x:f>SQRT((C88-C87)^2+(D88-D87)^2+(E88-E87)^2)</x:f>
        <x:v>0.005000000000000782</x:v>
      </x:c>
      <x:c r="G88" s="8" t="str">
        <x:v>Current</x:v>
      </x:c>
    </x:row>
    <x:row r="89" ht="32" customHeight="1">
      <x:c r="A89" s="8" t="str">
        <x:v>drop:LC1:L1:light:-1:L8</x:v>
      </x:c>
      <x:c r="B89" s="8" t="n">
        <x:v>1</x:v>
      </x:c>
      <x:c r="C89" s="11" t="n">
        <x:v>14.475</x:v>
      </x:c>
      <x:c r="D89" s="11" t="n">
        <x:v>6.35</x:v>
      </x:c>
      <x:c r="E89" s="11" t="n">
        <x:v>-7.36</x:v>
      </x:c>
      <x:c r="F89" s="11" t="n">
        <x:f>0</x:f>
        <x:v>0</x:v>
      </x:c>
      <x:c r="G89" s="8" t="str">
        <x:v>Current</x:v>
      </x:c>
    </x:row>
    <x:row r="90" ht="32" customHeight="1">
      <x:c r="A90" s="8" t="str">
        <x:v>drop:LC1:L1:light:-1:L8</x:v>
      </x:c>
      <x:c r="B90" s="8" t="n">
        <x:v>2</x:v>
      </x:c>
      <x:c r="C90" s="11" t="n">
        <x:v>14.475</x:v>
      </x:c>
      <x:c r="D90" s="11" t="n">
        <x:v>6.83</x:v>
      </x:c>
      <x:c r="E90" s="11" t="n">
        <x:v>-7.36</x:v>
      </x:c>
      <x:c r="F90" s="11" t="n">
        <x:f>SQRT((C90-C89)^2+(D90-D89)^2+(E90-E89)^2)</x:f>
        <x:v>0.4800000000000004</x:v>
      </x:c>
      <x:c r="G90" s="8" t="str">
        <x:v>Current</x:v>
      </x:c>
    </x:row>
    <x:row r="91" ht="32" customHeight="1">
      <x:c r="A91" s="8" t="str">
        <x:v>drop:LC1:L1:light:-1:L8</x:v>
      </x:c>
      <x:c r="B91" s="8" t="n">
        <x:v>3</x:v>
      </x:c>
      <x:c r="C91" s="11" t="n">
        <x:v>14.475</x:v>
      </x:c>
      <x:c r="D91" s="11" t="n">
        <x:v>6.83</x:v>
      </x:c>
      <x:c r="E91" s="11" t="n">
        <x:v>-3.6</x:v>
      </x:c>
      <x:c r="F91" s="11" t="n">
        <x:f>SQRT((C91-C90)^2+(D91-D90)^2+(E91-E90)^2)</x:f>
        <x:v>3.7600000000000002</x:v>
      </x:c>
      <x:c r="G91" s="8" t="str">
        <x:v>Current</x:v>
      </x:c>
    </x:row>
    <x:row r="92" ht="32" customHeight="1">
      <x:c r="A92" s="8" t="str">
        <x:v>drop:LC1:L1:light:-1:L8</x:v>
      </x:c>
      <x:c r="B92" s="8" t="n">
        <x:v>4</x:v>
      </x:c>
      <x:c r="C92" s="11" t="n">
        <x:v>14.475</x:v>
      </x:c>
      <x:c r="D92" s="11" t="n">
        <x:v>8.59</x:v>
      </x:c>
      <x:c r="E92" s="11" t="n">
        <x:v>-3.6</x:v>
      </x:c>
      <x:c r="F92" s="11" t="n">
        <x:f>SQRT((C92-C91)^2+(D92-D91)^2+(E92-E91)^2)</x:f>
        <x:v>1.7599999999999998</x:v>
      </x:c>
      <x:c r="G92" s="8" t="str">
        <x:v>Current</x:v>
      </x:c>
    </x:row>
    <x:row r="93" ht="32" customHeight="1">
      <x:c r="A93" s="8" t="str">
        <x:v>drop:LC1:L1:light:-1:L8</x:v>
      </x:c>
      <x:c r="B93" s="8" t="n">
        <x:v>5</x:v>
      </x:c>
      <x:c r="C93" s="11" t="n">
        <x:v>14.475</x:v>
      </x:c>
      <x:c r="D93" s="11" t="n">
        <x:v>8.59</x:v>
      </x:c>
      <x:c r="E93" s="11" t="n">
        <x:v>-2.6</x:v>
      </x:c>
      <x:c r="F93" s="11" t="n">
        <x:f>SQRT((C93-C92)^2+(D93-D92)^2+(E93-E92)^2)</x:f>
        <x:v>1</x:v>
      </x:c>
      <x:c r="G93" s="8" t="str">
        <x:v>Current</x:v>
      </x:c>
    </x:row>
    <x:row r="94" ht="32" customHeight="1">
      <x:c r="A94" s="8" t="str">
        <x:v>drop:LC1:L1:light:-1:L8</x:v>
      </x:c>
      <x:c r="B94" s="8" t="n">
        <x:v>6</x:v>
      </x:c>
      <x:c r="C94" s="11" t="n">
        <x:v>14.475</x:v>
      </x:c>
      <x:c r="D94" s="11" t="n">
        <x:v>8.584999999999999</x:v>
      </x:c>
      <x:c r="E94" s="11" t="n">
        <x:v>-2.6</x:v>
      </x:c>
      <x:c r="F94" s="11" t="n">
        <x:f>SQRT((C94-C93)^2+(D94-D93)^2+(E94-E93)^2)</x:f>
        <x:v>0.005000000000000782</x:v>
      </x:c>
      <x:c r="G94" s="8" t="str">
        <x:v>Current</x:v>
      </x:c>
    </x:row>
    <x:row r="95" ht="32" customHeight="1">
      <x:c r="A95" s="8" t="str">
        <x:v>drop:LC1:L1:light:-1:L11</x:v>
      </x:c>
      <x:c r="B95" s="8" t="n">
        <x:v>1</x:v>
      </x:c>
      <x:c r="C95" s="11" t="n">
        <x:v>18.975</x:v>
      </x:c>
      <x:c r="D95" s="11" t="n">
        <x:v>6.35</x:v>
      </x:c>
      <x:c r="E95" s="11" t="n">
        <x:v>-7.36</x:v>
      </x:c>
      <x:c r="F95" s="11" t="n">
        <x:f>0</x:f>
        <x:v>0</x:v>
      </x:c>
      <x:c r="G95" s="8" t="str">
        <x:v>Current</x:v>
      </x:c>
    </x:row>
    <x:row r="96" ht="32" customHeight="1">
      <x:c r="A96" s="8" t="str">
        <x:v>drop:LC1:L1:light:-1:L11</x:v>
      </x:c>
      <x:c r="B96" s="8" t="n">
        <x:v>2</x:v>
      </x:c>
      <x:c r="C96" s="11" t="n">
        <x:v>18.975</x:v>
      </x:c>
      <x:c r="D96" s="11" t="n">
        <x:v>6.83</x:v>
      </x:c>
      <x:c r="E96" s="11" t="n">
        <x:v>-7.36</x:v>
      </x:c>
      <x:c r="F96" s="11" t="n">
        <x:f>SQRT((C96-C95)^2+(D96-D95)^2+(E96-E95)^2)</x:f>
        <x:v>0.4800000000000004</x:v>
      </x:c>
      <x:c r="G96" s="8" t="str">
        <x:v>Current</x:v>
      </x:c>
    </x:row>
    <x:row r="97" ht="32" customHeight="1">
      <x:c r="A97" s="8" t="str">
        <x:v>drop:LC1:L1:light:-1:L11</x:v>
      </x:c>
      <x:c r="B97" s="8" t="n">
        <x:v>3</x:v>
      </x:c>
      <x:c r="C97" s="11" t="n">
        <x:v>18.975</x:v>
      </x:c>
      <x:c r="D97" s="11" t="n">
        <x:v>6.83</x:v>
      </x:c>
      <x:c r="E97" s="11" t="n">
        <x:v>-3.6</x:v>
      </x:c>
      <x:c r="F97" s="11" t="n">
        <x:f>SQRT((C97-C96)^2+(D97-D96)^2+(E97-E96)^2)</x:f>
        <x:v>3.7600000000000002</x:v>
      </x:c>
      <x:c r="G97" s="8" t="str">
        <x:v>Current</x:v>
      </x:c>
    </x:row>
    <x:row r="98" ht="32" customHeight="1">
      <x:c r="A98" s="8" t="str">
        <x:v>drop:LC1:L1:light:-1:L11</x:v>
      </x:c>
      <x:c r="B98" s="8" t="n">
        <x:v>4</x:v>
      </x:c>
      <x:c r="C98" s="11" t="n">
        <x:v>18.975</x:v>
      </x:c>
      <x:c r="D98" s="11" t="n">
        <x:v>8.59</x:v>
      </x:c>
      <x:c r="E98" s="11" t="n">
        <x:v>-3.6</x:v>
      </x:c>
      <x:c r="F98" s="11" t="n">
        <x:f>SQRT((C98-C97)^2+(D98-D97)^2+(E98-E97)^2)</x:f>
        <x:v>1.7599999999999998</x:v>
      </x:c>
      <x:c r="G98" s="8" t="str">
        <x:v>Current</x:v>
      </x:c>
    </x:row>
    <x:row r="99" ht="32" customHeight="1">
      <x:c r="A99" s="8" t="str">
        <x:v>drop:LC1:L1:light:-1:L11</x:v>
      </x:c>
      <x:c r="B99" s="8" t="n">
        <x:v>5</x:v>
      </x:c>
      <x:c r="C99" s="11" t="n">
        <x:v>18.975</x:v>
      </x:c>
      <x:c r="D99" s="11" t="n">
        <x:v>8.59</x:v>
      </x:c>
      <x:c r="E99" s="11" t="n">
        <x:v>-2.6</x:v>
      </x:c>
      <x:c r="F99" s="11" t="n">
        <x:f>SQRT((C99-C98)^2+(D99-D98)^2+(E99-E98)^2)</x:f>
        <x:v>1</x:v>
      </x:c>
      <x:c r="G99" s="8" t="str">
        <x:v>Current</x:v>
      </x:c>
    </x:row>
    <x:row r="100" ht="32" customHeight="1">
      <x:c r="A100" s="8" t="str">
        <x:v>drop:LC1:L1:light:-1:L11</x:v>
      </x:c>
      <x:c r="B100" s="8" t="n">
        <x:v>6</x:v>
      </x:c>
      <x:c r="C100" s="11" t="n">
        <x:v>18.975</x:v>
      </x:c>
      <x:c r="D100" s="11" t="n">
        <x:v>8.584999999999999</x:v>
      </x:c>
      <x:c r="E100" s="11" t="n">
        <x:v>-2.6</x:v>
      </x:c>
      <x:c r="F100" s="11" t="n">
        <x:f>SQRT((C100-C99)^2+(D100-D99)^2+(E100-E99)^2)</x:f>
        <x:v>0.005000000000000782</x:v>
      </x:c>
      <x:c r="G100" s="8" t="str">
        <x:v>Current</x:v>
      </x:c>
    </x:row>
    <x:row r="101" ht="32" customHeight="1">
      <x:c r="A101" s="8" t="str">
        <x:v>drop:LC1:L1:light:-1:L12</x:v>
      </x:c>
      <x:c r="B101" s="8" t="n">
        <x:v>1</x:v>
      </x:c>
      <x:c r="C101" s="11" t="n">
        <x:v>18.975</x:v>
      </x:c>
      <x:c r="D101" s="11" t="n">
        <x:v>6.35</x:v>
      </x:c>
      <x:c r="E101" s="11" t="n">
        <x:v>-7.36</x:v>
      </x:c>
      <x:c r="F101" s="11" t="n">
        <x:f>0</x:f>
        <x:v>0</x:v>
      </x:c>
      <x:c r="G101" s="8" t="str">
        <x:v>Current</x:v>
      </x:c>
    </x:row>
    <x:row r="102" ht="32" customHeight="1">
      <x:c r="A102" s="8" t="str">
        <x:v>drop:LC1:L1:light:-1:L12</x:v>
      </x:c>
      <x:c r="B102" s="8" t="n">
        <x:v>2</x:v>
      </x:c>
      <x:c r="C102" s="11" t="n">
        <x:v>18.975</x:v>
      </x:c>
      <x:c r="D102" s="11" t="n">
        <x:v>6.83</x:v>
      </x:c>
      <x:c r="E102" s="11" t="n">
        <x:v>-7.36</x:v>
      </x:c>
      <x:c r="F102" s="11" t="n">
        <x:f>SQRT((C102-C101)^2+(D102-D101)^2+(E102-E101)^2)</x:f>
        <x:v>0.4800000000000004</x:v>
      </x:c>
      <x:c r="G102" s="8" t="str">
        <x:v>Current</x:v>
      </x:c>
    </x:row>
    <x:row r="103" ht="32" customHeight="1">
      <x:c r="A103" s="8" t="str">
        <x:v>drop:LC1:L1:light:-1:L12</x:v>
      </x:c>
      <x:c r="B103" s="8" t="n">
        <x:v>3</x:v>
      </x:c>
      <x:c r="C103" s="11" t="n">
        <x:v>18.975</x:v>
      </x:c>
      <x:c r="D103" s="11" t="n">
        <x:v>6.83</x:v>
      </x:c>
      <x:c r="E103" s="11" t="n">
        <x:v>-3.6</x:v>
      </x:c>
      <x:c r="F103" s="11" t="n">
        <x:f>SQRT((C103-C102)^2+(D103-D102)^2+(E103-E102)^2)</x:f>
        <x:v>3.7600000000000002</x:v>
      </x:c>
      <x:c r="G103" s="8" t="str">
        <x:v>Current</x:v>
      </x:c>
    </x:row>
    <x:row r="104" ht="32" customHeight="1">
      <x:c r="A104" s="8" t="str">
        <x:v>drop:LC1:L1:light:-1:L12</x:v>
      </x:c>
      <x:c r="B104" s="8" t="n">
        <x:v>4</x:v>
      </x:c>
      <x:c r="C104" s="11" t="n">
        <x:v>18.975</x:v>
      </x:c>
      <x:c r="D104" s="11" t="n">
        <x:v>8.59</x:v>
      </x:c>
      <x:c r="E104" s="11" t="n">
        <x:v>-3.6</x:v>
      </x:c>
      <x:c r="F104" s="11" t="n">
        <x:f>SQRT((C104-C103)^2+(D104-D103)^2+(E104-E103)^2)</x:f>
        <x:v>1.7599999999999998</x:v>
      </x:c>
      <x:c r="G104" s="8" t="str">
        <x:v>Current</x:v>
      </x:c>
    </x:row>
    <x:row r="105" ht="32" customHeight="1">
      <x:c r="A105" s="8" t="str">
        <x:v>drop:LC1:L1:light:-1:L12</x:v>
      </x:c>
      <x:c r="B105" s="8" t="n">
        <x:v>5</x:v>
      </x:c>
      <x:c r="C105" s="11" t="n">
        <x:v>18.975</x:v>
      </x:c>
      <x:c r="D105" s="11" t="n">
        <x:v>8.59</x:v>
      </x:c>
      <x:c r="E105" s="11" t="n">
        <x:v>-2.6</x:v>
      </x:c>
      <x:c r="F105" s="11" t="n">
        <x:f>SQRT((C105-C104)^2+(D105-D104)^2+(E105-E104)^2)</x:f>
        <x:v>1</x:v>
      </x:c>
      <x:c r="G105" s="8" t="str">
        <x:v>Current</x:v>
      </x:c>
    </x:row>
    <x:row r="106" ht="32" customHeight="1">
      <x:c r="A106" s="8" t="str">
        <x:v>drop:LC1:L1:light:-1:L12</x:v>
      </x:c>
      <x:c r="B106" s="8" t="n">
        <x:v>6</x:v>
      </x:c>
      <x:c r="C106" s="11" t="n">
        <x:v>18.975</x:v>
      </x:c>
      <x:c r="D106" s="11" t="n">
        <x:v>8.584999999999999</x:v>
      </x:c>
      <x:c r="E106" s="11" t="n">
        <x:v>-2.6</x:v>
      </x:c>
      <x:c r="F106" s="11" t="n">
        <x:f>SQRT((C106-C105)^2+(D106-D105)^2+(E106-E105)^2)</x:f>
        <x:v>0.005000000000000782</x:v>
      </x:c>
      <x:c r="G106" s="8" t="str">
        <x:v>Current</x:v>
      </x:c>
    </x:row>
    <x:row r="107" ht="32" customHeight="1">
      <x:c r="A107" s="8" t="str">
        <x:v>drop:LC1:L1:light:-1:L15</x:v>
      </x:c>
      <x:c r="B107" s="8" t="n">
        <x:v>1</x:v>
      </x:c>
      <x:c r="C107" s="11" t="n">
        <x:v>23.475</x:v>
      </x:c>
      <x:c r="D107" s="11" t="n">
        <x:v>6.35</x:v>
      </x:c>
      <x:c r="E107" s="11" t="n">
        <x:v>-7.36</x:v>
      </x:c>
      <x:c r="F107" s="11" t="n">
        <x:f>0</x:f>
        <x:v>0</x:v>
      </x:c>
      <x:c r="G107" s="8" t="str">
        <x:v>Current</x:v>
      </x:c>
    </x:row>
    <x:row r="108" ht="32" customHeight="1">
      <x:c r="A108" s="8" t="str">
        <x:v>drop:LC1:L1:light:-1:L15</x:v>
      </x:c>
      <x:c r="B108" s="8" t="n">
        <x:v>2</x:v>
      </x:c>
      <x:c r="C108" s="11" t="n">
        <x:v>23.475</x:v>
      </x:c>
      <x:c r="D108" s="11" t="n">
        <x:v>6.83</x:v>
      </x:c>
      <x:c r="E108" s="11" t="n">
        <x:v>-7.36</x:v>
      </x:c>
      <x:c r="F108" s="11" t="n">
        <x:f>SQRT((C108-C107)^2+(D108-D107)^2+(E108-E107)^2)</x:f>
        <x:v>0.4800000000000004</x:v>
      </x:c>
      <x:c r="G108" s="8" t="str">
        <x:v>Current</x:v>
      </x:c>
    </x:row>
    <x:row r="109" ht="32" customHeight="1">
      <x:c r="A109" s="8" t="str">
        <x:v>drop:LC1:L1:light:-1:L15</x:v>
      </x:c>
      <x:c r="B109" s="8" t="n">
        <x:v>3</x:v>
      </x:c>
      <x:c r="C109" s="11" t="n">
        <x:v>23.475</x:v>
      </x:c>
      <x:c r="D109" s="11" t="n">
        <x:v>6.83</x:v>
      </x:c>
      <x:c r="E109" s="11" t="n">
        <x:v>-3.6</x:v>
      </x:c>
      <x:c r="F109" s="11" t="n">
        <x:f>SQRT((C109-C108)^2+(D109-D108)^2+(E109-E108)^2)</x:f>
        <x:v>3.7600000000000002</x:v>
      </x:c>
      <x:c r="G109" s="8" t="str">
        <x:v>Current</x:v>
      </x:c>
    </x:row>
    <x:row r="110" ht="32" customHeight="1">
      <x:c r="A110" s="8" t="str">
        <x:v>drop:LC1:L1:light:-1:L15</x:v>
      </x:c>
      <x:c r="B110" s="8" t="n">
        <x:v>4</x:v>
      </x:c>
      <x:c r="C110" s="11" t="n">
        <x:v>23.475</x:v>
      </x:c>
      <x:c r="D110" s="11" t="n">
        <x:v>8.59</x:v>
      </x:c>
      <x:c r="E110" s="11" t="n">
        <x:v>-3.6</x:v>
      </x:c>
      <x:c r="F110" s="11" t="n">
        <x:f>SQRT((C110-C109)^2+(D110-D109)^2+(E110-E109)^2)</x:f>
        <x:v>1.7599999999999998</x:v>
      </x:c>
      <x:c r="G110" s="8" t="str">
        <x:v>Current</x:v>
      </x:c>
    </x:row>
    <x:row r="111" ht="32" customHeight="1">
      <x:c r="A111" s="8" t="str">
        <x:v>drop:LC1:L1:light:-1:L15</x:v>
      </x:c>
      <x:c r="B111" s="8" t="n">
        <x:v>5</x:v>
      </x:c>
      <x:c r="C111" s="11" t="n">
        <x:v>23.475</x:v>
      </x:c>
      <x:c r="D111" s="11" t="n">
        <x:v>8.59</x:v>
      </x:c>
      <x:c r="E111" s="11" t="n">
        <x:v>-2.6</x:v>
      </x:c>
      <x:c r="F111" s="11" t="n">
        <x:f>SQRT((C111-C110)^2+(D111-D110)^2+(E111-E110)^2)</x:f>
        <x:v>1</x:v>
      </x:c>
      <x:c r="G111" s="8" t="str">
        <x:v>Current</x:v>
      </x:c>
    </x:row>
    <x:row r="112" ht="32" customHeight="1">
      <x:c r="A112" s="8" t="str">
        <x:v>drop:LC1:L1:light:-1:L15</x:v>
      </x:c>
      <x:c r="B112" s="8" t="n">
        <x:v>6</x:v>
      </x:c>
      <x:c r="C112" s="11" t="n">
        <x:v>23.475</x:v>
      </x:c>
      <x:c r="D112" s="11" t="n">
        <x:v>8.584999999999999</x:v>
      </x:c>
      <x:c r="E112" s="11" t="n">
        <x:v>-2.6</x:v>
      </x:c>
      <x:c r="F112" s="11" t="n">
        <x:f>SQRT((C112-C111)^2+(D112-D111)^2+(E112-E111)^2)</x:f>
        <x:v>0.005000000000000782</x:v>
      </x:c>
      <x:c r="G112" s="8" t="str">
        <x:v>Current</x:v>
      </x:c>
    </x:row>
    <x:row r="113" ht="32" customHeight="1">
      <x:c r="A113" s="8" t="str">
        <x:v>drop:LC1:L1:light:-1:L16</x:v>
      </x:c>
      <x:c r="B113" s="8" t="n">
        <x:v>1</x:v>
      </x:c>
      <x:c r="C113" s="11" t="n">
        <x:v>23.475</x:v>
      </x:c>
      <x:c r="D113" s="11" t="n">
        <x:v>6.35</x:v>
      </x:c>
      <x:c r="E113" s="11" t="n">
        <x:v>-7.36</x:v>
      </x:c>
      <x:c r="F113" s="11" t="n">
        <x:f>0</x:f>
        <x:v>0</x:v>
      </x:c>
      <x:c r="G113" s="8" t="str">
        <x:v>Current</x:v>
      </x:c>
    </x:row>
    <x:row r="114" ht="32" customHeight="1">
      <x:c r="A114" s="8" t="str">
        <x:v>drop:LC1:L1:light:-1:L16</x:v>
      </x:c>
      <x:c r="B114" s="8" t="n">
        <x:v>2</x:v>
      </x:c>
      <x:c r="C114" s="11" t="n">
        <x:v>23.475</x:v>
      </x:c>
      <x:c r="D114" s="11" t="n">
        <x:v>6.83</x:v>
      </x:c>
      <x:c r="E114" s="11" t="n">
        <x:v>-7.36</x:v>
      </x:c>
      <x:c r="F114" s="11" t="n">
        <x:f>SQRT((C114-C113)^2+(D114-D113)^2+(E114-E113)^2)</x:f>
        <x:v>0.4800000000000004</x:v>
      </x:c>
      <x:c r="G114" s="8" t="str">
        <x:v>Current</x:v>
      </x:c>
    </x:row>
    <x:row r="115" ht="32" customHeight="1">
      <x:c r="A115" s="8" t="str">
        <x:v>drop:LC1:L1:light:-1:L16</x:v>
      </x:c>
      <x:c r="B115" s="8" t="n">
        <x:v>3</x:v>
      </x:c>
      <x:c r="C115" s="11" t="n">
        <x:v>23.475</x:v>
      </x:c>
      <x:c r="D115" s="11" t="n">
        <x:v>6.83</x:v>
      </x:c>
      <x:c r="E115" s="11" t="n">
        <x:v>-3.6</x:v>
      </x:c>
      <x:c r="F115" s="11" t="n">
        <x:f>SQRT((C115-C114)^2+(D115-D114)^2+(E115-E114)^2)</x:f>
        <x:v>3.7600000000000002</x:v>
      </x:c>
      <x:c r="G115" s="8" t="str">
        <x:v>Current</x:v>
      </x:c>
    </x:row>
    <x:row r="116" ht="32" customHeight="1">
      <x:c r="A116" s="8" t="str">
        <x:v>drop:LC1:L1:light:-1:L16</x:v>
      </x:c>
      <x:c r="B116" s="8" t="n">
        <x:v>4</x:v>
      </x:c>
      <x:c r="C116" s="11" t="n">
        <x:v>23.475</x:v>
      </x:c>
      <x:c r="D116" s="11" t="n">
        <x:v>8.59</x:v>
      </x:c>
      <x:c r="E116" s="11" t="n">
        <x:v>-3.6</x:v>
      </x:c>
      <x:c r="F116" s="11" t="n">
        <x:f>SQRT((C116-C115)^2+(D116-D115)^2+(E116-E115)^2)</x:f>
        <x:v>1.7599999999999998</x:v>
      </x:c>
      <x:c r="G116" s="8" t="str">
        <x:v>Current</x:v>
      </x:c>
    </x:row>
    <x:row r="117" ht="32" customHeight="1">
      <x:c r="A117" s="8" t="str">
        <x:v>drop:LC1:L1:light:-1:L16</x:v>
      </x:c>
      <x:c r="B117" s="8" t="n">
        <x:v>5</x:v>
      </x:c>
      <x:c r="C117" s="11" t="n">
        <x:v>23.475</x:v>
      </x:c>
      <x:c r="D117" s="11" t="n">
        <x:v>8.59</x:v>
      </x:c>
      <x:c r="E117" s="11" t="n">
        <x:v>-2.6</x:v>
      </x:c>
      <x:c r="F117" s="11" t="n">
        <x:f>SQRT((C117-C116)^2+(D117-D116)^2+(E117-E116)^2)</x:f>
        <x:v>1</x:v>
      </x:c>
      <x:c r="G117" s="8" t="str">
        <x:v>Current</x:v>
      </x:c>
    </x:row>
    <x:row r="118" ht="32" customHeight="1">
      <x:c r="A118" s="8" t="str">
        <x:v>drop:LC1:L1:light:-1:L16</x:v>
      </x:c>
      <x:c r="B118" s="8" t="n">
        <x:v>6</x:v>
      </x:c>
      <x:c r="C118" s="11" t="n">
        <x:v>23.475</x:v>
      </x:c>
      <x:c r="D118" s="11" t="n">
        <x:v>8.584999999999999</x:v>
      </x:c>
      <x:c r="E118" s="11" t="n">
        <x:v>-2.6</x:v>
      </x:c>
      <x:c r="F118" s="11" t="n">
        <x:f>SQRT((C118-C117)^2+(D118-D117)^2+(E118-E117)^2)</x:f>
        <x:v>0.005000000000000782</x:v>
      </x:c>
      <x:c r="G118" s="8" t="str">
        <x:v>Current</x:v>
      </x:c>
    </x:row>
    <x:row r="119" ht="32" customHeight="1">
      <x:c r="A119" s="8" t="str">
        <x:v>drop:LC1:L1:light:-1:L19</x:v>
      </x:c>
      <x:c r="B119" s="8" t="n">
        <x:v>1</x:v>
      </x:c>
      <x:c r="C119" s="11" t="n">
        <x:v>27.975</x:v>
      </x:c>
      <x:c r="D119" s="11" t="n">
        <x:v>6.35</x:v>
      </x:c>
      <x:c r="E119" s="11" t="n">
        <x:v>-7.36</x:v>
      </x:c>
      <x:c r="F119" s="11" t="n">
        <x:f>0</x:f>
        <x:v>0</x:v>
      </x:c>
      <x:c r="G119" s="8" t="str">
        <x:v>Current</x:v>
      </x:c>
    </x:row>
    <x:row r="120" ht="32" customHeight="1">
      <x:c r="A120" s="8" t="str">
        <x:v>drop:LC1:L1:light:-1:L19</x:v>
      </x:c>
      <x:c r="B120" s="8" t="n">
        <x:v>2</x:v>
      </x:c>
      <x:c r="C120" s="11" t="n">
        <x:v>27.975</x:v>
      </x:c>
      <x:c r="D120" s="11" t="n">
        <x:v>6.83</x:v>
      </x:c>
      <x:c r="E120" s="11" t="n">
        <x:v>-7.36</x:v>
      </x:c>
      <x:c r="F120" s="11" t="n">
        <x:f>SQRT((C120-C119)^2+(D120-D119)^2+(E120-E119)^2)</x:f>
        <x:v>0.4800000000000004</x:v>
      </x:c>
      <x:c r="G120" s="8" t="str">
        <x:v>Current</x:v>
      </x:c>
    </x:row>
    <x:row r="121" ht="32" customHeight="1">
      <x:c r="A121" s="8" t="str">
        <x:v>drop:LC1:L1:light:-1:L19</x:v>
      </x:c>
      <x:c r="B121" s="8" t="n">
        <x:v>3</x:v>
      </x:c>
      <x:c r="C121" s="11" t="n">
        <x:v>27.975</x:v>
      </x:c>
      <x:c r="D121" s="11" t="n">
        <x:v>6.83</x:v>
      </x:c>
      <x:c r="E121" s="11" t="n">
        <x:v>-3.6</x:v>
      </x:c>
      <x:c r="F121" s="11" t="n">
        <x:f>SQRT((C121-C120)^2+(D121-D120)^2+(E121-E120)^2)</x:f>
        <x:v>3.7600000000000002</x:v>
      </x:c>
      <x:c r="G121" s="8" t="str">
        <x:v>Current</x:v>
      </x:c>
    </x:row>
    <x:row r="122" ht="32" customHeight="1">
      <x:c r="A122" s="8" t="str">
        <x:v>drop:LC1:L1:light:-1:L19</x:v>
      </x:c>
      <x:c r="B122" s="8" t="n">
        <x:v>4</x:v>
      </x:c>
      <x:c r="C122" s="11" t="n">
        <x:v>27.975</x:v>
      </x:c>
      <x:c r="D122" s="11" t="n">
        <x:v>8.59</x:v>
      </x:c>
      <x:c r="E122" s="11" t="n">
        <x:v>-3.6</x:v>
      </x:c>
      <x:c r="F122" s="11" t="n">
        <x:f>SQRT((C122-C121)^2+(D122-D121)^2+(E122-E121)^2)</x:f>
        <x:v>1.7599999999999998</x:v>
      </x:c>
      <x:c r="G122" s="8" t="str">
        <x:v>Current</x:v>
      </x:c>
    </x:row>
    <x:row r="123" ht="32" customHeight="1">
      <x:c r="A123" s="8" t="str">
        <x:v>drop:LC1:L1:light:-1:L19</x:v>
      </x:c>
      <x:c r="B123" s="8" t="n">
        <x:v>5</x:v>
      </x:c>
      <x:c r="C123" s="11" t="n">
        <x:v>27.975</x:v>
      </x:c>
      <x:c r="D123" s="11" t="n">
        <x:v>8.59</x:v>
      </x:c>
      <x:c r="E123" s="11" t="n">
        <x:v>-2.6</x:v>
      </x:c>
      <x:c r="F123" s="11" t="n">
        <x:f>SQRT((C123-C122)^2+(D123-D122)^2+(E123-E122)^2)</x:f>
        <x:v>1</x:v>
      </x:c>
      <x:c r="G123" s="8" t="str">
        <x:v>Current</x:v>
      </x:c>
    </x:row>
    <x:row r="124" ht="32" customHeight="1">
      <x:c r="A124" s="8" t="str">
        <x:v>drop:LC1:L1:light:-1:L19</x:v>
      </x:c>
      <x:c r="B124" s="8" t="n">
        <x:v>6</x:v>
      </x:c>
      <x:c r="C124" s="11" t="n">
        <x:v>27.975</x:v>
      </x:c>
      <x:c r="D124" s="11" t="n">
        <x:v>8.584999999999999</x:v>
      </x:c>
      <x:c r="E124" s="11" t="n">
        <x:v>-2.6</x:v>
      </x:c>
      <x:c r="F124" s="11" t="n">
        <x:f>SQRT((C124-C123)^2+(D124-D123)^2+(E124-E123)^2)</x:f>
        <x:v>0.005000000000000782</x:v>
      </x:c>
      <x:c r="G124" s="8" t="str">
        <x:v>Current</x:v>
      </x:c>
    </x:row>
    <x:row r="125" ht="32" customHeight="1">
      <x:c r="A125" s="8" t="str">
        <x:v>drop:LC1:L1:light:-1:L20</x:v>
      </x:c>
      <x:c r="B125" s="8" t="n">
        <x:v>1</x:v>
      </x:c>
      <x:c r="C125" s="11" t="n">
        <x:v>27.975</x:v>
      </x:c>
      <x:c r="D125" s="11" t="n">
        <x:v>6.35</x:v>
      </x:c>
      <x:c r="E125" s="11" t="n">
        <x:v>-7.36</x:v>
      </x:c>
      <x:c r="F125" s="11" t="n">
        <x:f>0</x:f>
        <x:v>0</x:v>
      </x:c>
      <x:c r="G125" s="8" t="str">
        <x:v>Current</x:v>
      </x:c>
    </x:row>
    <x:row r="126" ht="32" customHeight="1">
      <x:c r="A126" s="8" t="str">
        <x:v>drop:LC1:L1:light:-1:L20</x:v>
      </x:c>
      <x:c r="B126" s="8" t="n">
        <x:v>2</x:v>
      </x:c>
      <x:c r="C126" s="11" t="n">
        <x:v>27.975</x:v>
      </x:c>
      <x:c r="D126" s="11" t="n">
        <x:v>6.83</x:v>
      </x:c>
      <x:c r="E126" s="11" t="n">
        <x:v>-7.36</x:v>
      </x:c>
      <x:c r="F126" s="11" t="n">
        <x:f>SQRT((C126-C125)^2+(D126-D125)^2+(E126-E125)^2)</x:f>
        <x:v>0.4800000000000004</x:v>
      </x:c>
      <x:c r="G126" s="8" t="str">
        <x:v>Current</x:v>
      </x:c>
    </x:row>
    <x:row r="127" ht="32" customHeight="1">
      <x:c r="A127" s="8" t="str">
        <x:v>drop:LC1:L1:light:-1:L20</x:v>
      </x:c>
      <x:c r="B127" s="8" t="n">
        <x:v>3</x:v>
      </x:c>
      <x:c r="C127" s="11" t="n">
        <x:v>27.975</x:v>
      </x:c>
      <x:c r="D127" s="11" t="n">
        <x:v>6.83</x:v>
      </x:c>
      <x:c r="E127" s="11" t="n">
        <x:v>-3.6</x:v>
      </x:c>
      <x:c r="F127" s="11" t="n">
        <x:f>SQRT((C127-C126)^2+(D127-D126)^2+(E127-E126)^2)</x:f>
        <x:v>3.7600000000000002</x:v>
      </x:c>
      <x:c r="G127" s="8" t="str">
        <x:v>Current</x:v>
      </x:c>
    </x:row>
    <x:row r="128" ht="32" customHeight="1">
      <x:c r="A128" s="8" t="str">
        <x:v>drop:LC1:L1:light:-1:L20</x:v>
      </x:c>
      <x:c r="B128" s="8" t="n">
        <x:v>4</x:v>
      </x:c>
      <x:c r="C128" s="11" t="n">
        <x:v>27.975</x:v>
      </x:c>
      <x:c r="D128" s="11" t="n">
        <x:v>8.59</x:v>
      </x:c>
      <x:c r="E128" s="11" t="n">
        <x:v>-3.6</x:v>
      </x:c>
      <x:c r="F128" s="11" t="n">
        <x:f>SQRT((C128-C127)^2+(D128-D127)^2+(E128-E127)^2)</x:f>
        <x:v>1.7599999999999998</x:v>
      </x:c>
      <x:c r="G128" s="8" t="str">
        <x:v>Current</x:v>
      </x:c>
    </x:row>
    <x:row r="129" ht="32" customHeight="1">
      <x:c r="A129" s="8" t="str">
        <x:v>drop:LC1:L1:light:-1:L20</x:v>
      </x:c>
      <x:c r="B129" s="8" t="n">
        <x:v>5</x:v>
      </x:c>
      <x:c r="C129" s="11" t="n">
        <x:v>27.975</x:v>
      </x:c>
      <x:c r="D129" s="11" t="n">
        <x:v>8.59</x:v>
      </x:c>
      <x:c r="E129" s="11" t="n">
        <x:v>-2.6</x:v>
      </x:c>
      <x:c r="F129" s="11" t="n">
        <x:f>SQRT((C129-C128)^2+(D129-D128)^2+(E129-E128)^2)</x:f>
        <x:v>1</x:v>
      </x:c>
      <x:c r="G129" s="8" t="str">
        <x:v>Current</x:v>
      </x:c>
    </x:row>
    <x:row r="130" ht="32" customHeight="1">
      <x:c r="A130" s="8" t="str">
        <x:v>drop:LC1:L1:light:-1:L20</x:v>
      </x:c>
      <x:c r="B130" s="8" t="n">
        <x:v>6</x:v>
      </x:c>
      <x:c r="C130" s="11" t="n">
        <x:v>27.975</x:v>
      </x:c>
      <x:c r="D130" s="11" t="n">
        <x:v>8.584999999999999</x:v>
      </x:c>
      <x:c r="E130" s="11" t="n">
        <x:v>-2.6</x:v>
      </x:c>
      <x:c r="F130" s="11" t="n">
        <x:f>SQRT((C130-C129)^2+(D130-D129)^2+(E130-E129)^2)</x:f>
        <x:v>0.005000000000000782</x:v>
      </x:c>
      <x:c r="G130" s="8" t="str">
        <x:v>Current</x:v>
      </x:c>
    </x:row>
    <x:row r="131" ht="32" customHeight="1">
      <x:c r="A131" s="8" t="str">
        <x:v>drop:LC1:L1:light:-1:L23</x:v>
      </x:c>
      <x:c r="B131" s="8" t="n">
        <x:v>1</x:v>
      </x:c>
      <x:c r="C131" s="11" t="n">
        <x:v>32.475</x:v>
      </x:c>
      <x:c r="D131" s="11" t="n">
        <x:v>6.35</x:v>
      </x:c>
      <x:c r="E131" s="11" t="n">
        <x:v>-7.36</x:v>
      </x:c>
      <x:c r="F131" s="11" t="n">
        <x:f>0</x:f>
        <x:v>0</x:v>
      </x:c>
      <x:c r="G131" s="8" t="str">
        <x:v>Current</x:v>
      </x:c>
    </x:row>
    <x:row r="132" ht="32" customHeight="1">
      <x:c r="A132" s="8" t="str">
        <x:v>drop:LC1:L1:light:-1:L23</x:v>
      </x:c>
      <x:c r="B132" s="8" t="n">
        <x:v>2</x:v>
      </x:c>
      <x:c r="C132" s="11" t="n">
        <x:v>32.475</x:v>
      </x:c>
      <x:c r="D132" s="11" t="n">
        <x:v>6.83</x:v>
      </x:c>
      <x:c r="E132" s="11" t="n">
        <x:v>-7.36</x:v>
      </x:c>
      <x:c r="F132" s="11" t="n">
        <x:f>SQRT((C132-C131)^2+(D132-D131)^2+(E132-E131)^2)</x:f>
        <x:v>0.4800000000000004</x:v>
      </x:c>
      <x:c r="G132" s="8" t="str">
        <x:v>Current</x:v>
      </x:c>
    </x:row>
    <x:row r="133" ht="32" customHeight="1">
      <x:c r="A133" s="8" t="str">
        <x:v>drop:LC1:L1:light:-1:L23</x:v>
      </x:c>
      <x:c r="B133" s="8" t="n">
        <x:v>3</x:v>
      </x:c>
      <x:c r="C133" s="11" t="n">
        <x:v>32.475</x:v>
      </x:c>
      <x:c r="D133" s="11" t="n">
        <x:v>6.83</x:v>
      </x:c>
      <x:c r="E133" s="11" t="n">
        <x:v>-3.6</x:v>
      </x:c>
      <x:c r="F133" s="11" t="n">
        <x:f>SQRT((C133-C132)^2+(D133-D132)^2+(E133-E132)^2)</x:f>
        <x:v>3.7600000000000002</x:v>
      </x:c>
      <x:c r="G133" s="8" t="str">
        <x:v>Current</x:v>
      </x:c>
    </x:row>
    <x:row r="134" ht="32" customHeight="1">
      <x:c r="A134" s="8" t="str">
        <x:v>drop:LC1:L1:light:-1:L23</x:v>
      </x:c>
      <x:c r="B134" s="8" t="n">
        <x:v>4</x:v>
      </x:c>
      <x:c r="C134" s="11" t="n">
        <x:v>32.475</x:v>
      </x:c>
      <x:c r="D134" s="11" t="n">
        <x:v>8.59</x:v>
      </x:c>
      <x:c r="E134" s="11" t="n">
        <x:v>-3.6</x:v>
      </x:c>
      <x:c r="F134" s="11" t="n">
        <x:f>SQRT((C134-C133)^2+(D134-D133)^2+(E134-E133)^2)</x:f>
        <x:v>1.7599999999999998</x:v>
      </x:c>
      <x:c r="G134" s="8" t="str">
        <x:v>Current</x:v>
      </x:c>
    </x:row>
    <x:row r="135" ht="32" customHeight="1">
      <x:c r="A135" s="8" t="str">
        <x:v>drop:LC1:L1:light:-1:L23</x:v>
      </x:c>
      <x:c r="B135" s="8" t="n">
        <x:v>5</x:v>
      </x:c>
      <x:c r="C135" s="11" t="n">
        <x:v>32.475</x:v>
      </x:c>
      <x:c r="D135" s="11" t="n">
        <x:v>8.59</x:v>
      </x:c>
      <x:c r="E135" s="11" t="n">
        <x:v>-2.6</x:v>
      </x:c>
      <x:c r="F135" s="11" t="n">
        <x:f>SQRT((C135-C134)^2+(D135-D134)^2+(E135-E134)^2)</x:f>
        <x:v>1</x:v>
      </x:c>
      <x:c r="G135" s="8" t="str">
        <x:v>Current</x:v>
      </x:c>
    </x:row>
    <x:row r="136" ht="32" customHeight="1">
      <x:c r="A136" s="8" t="str">
        <x:v>drop:LC1:L1:light:-1:L23</x:v>
      </x:c>
      <x:c r="B136" s="8" t="n">
        <x:v>6</x:v>
      </x:c>
      <x:c r="C136" s="11" t="n">
        <x:v>32.475</x:v>
      </x:c>
      <x:c r="D136" s="11" t="n">
        <x:v>8.584999999999999</x:v>
      </x:c>
      <x:c r="E136" s="11" t="n">
        <x:v>-2.6</x:v>
      </x:c>
      <x:c r="F136" s="11" t="n">
        <x:f>SQRT((C136-C135)^2+(D136-D135)^2+(E136-E135)^2)</x:f>
        <x:v>0.005000000000000782</x:v>
      </x:c>
      <x:c r="G136" s="8" t="str">
        <x:v>Current</x:v>
      </x:c>
    </x:row>
    <x:row r="137" ht="32" customHeight="1">
      <x:c r="A137" s="8" t="str">
        <x:v>drop:LC1:L1:light:-1:L24</x:v>
      </x:c>
      <x:c r="B137" s="8" t="n">
        <x:v>1</x:v>
      </x:c>
      <x:c r="C137" s="11" t="n">
        <x:v>32.475</x:v>
      </x:c>
      <x:c r="D137" s="11" t="n">
        <x:v>6.35</x:v>
      </x:c>
      <x:c r="E137" s="11" t="n">
        <x:v>-7.36</x:v>
      </x:c>
      <x:c r="F137" s="11" t="n">
        <x:f>0</x:f>
        <x:v>0</x:v>
      </x:c>
      <x:c r="G137" s="8" t="str">
        <x:v>Current</x:v>
      </x:c>
    </x:row>
    <x:row r="138" ht="32" customHeight="1">
      <x:c r="A138" s="8" t="str">
        <x:v>drop:LC1:L1:light:-1:L24</x:v>
      </x:c>
      <x:c r="B138" s="8" t="n">
        <x:v>2</x:v>
      </x:c>
      <x:c r="C138" s="11" t="n">
        <x:v>32.475</x:v>
      </x:c>
      <x:c r="D138" s="11" t="n">
        <x:v>6.83</x:v>
      </x:c>
      <x:c r="E138" s="11" t="n">
        <x:v>-7.36</x:v>
      </x:c>
      <x:c r="F138" s="11" t="n">
        <x:f>SQRT((C138-C137)^2+(D138-D137)^2+(E138-E137)^2)</x:f>
        <x:v>0.4800000000000004</x:v>
      </x:c>
      <x:c r="G138" s="8" t="str">
        <x:v>Current</x:v>
      </x:c>
    </x:row>
    <x:row r="139" ht="32" customHeight="1">
      <x:c r="A139" s="8" t="str">
        <x:v>drop:LC1:L1:light:-1:L24</x:v>
      </x:c>
      <x:c r="B139" s="8" t="n">
        <x:v>3</x:v>
      </x:c>
      <x:c r="C139" s="11" t="n">
        <x:v>32.475</x:v>
      </x:c>
      <x:c r="D139" s="11" t="n">
        <x:v>6.83</x:v>
      </x:c>
      <x:c r="E139" s="11" t="n">
        <x:v>-3.6</x:v>
      </x:c>
      <x:c r="F139" s="11" t="n">
        <x:f>SQRT((C139-C138)^2+(D139-D138)^2+(E139-E138)^2)</x:f>
        <x:v>3.7600000000000002</x:v>
      </x:c>
      <x:c r="G139" s="8" t="str">
        <x:v>Current</x:v>
      </x:c>
    </x:row>
    <x:row r="140" ht="32" customHeight="1">
      <x:c r="A140" s="8" t="str">
        <x:v>drop:LC1:L1:light:-1:L24</x:v>
      </x:c>
      <x:c r="B140" s="8" t="n">
        <x:v>4</x:v>
      </x:c>
      <x:c r="C140" s="11" t="n">
        <x:v>32.475</x:v>
      </x:c>
      <x:c r="D140" s="11" t="n">
        <x:v>8.59</x:v>
      </x:c>
      <x:c r="E140" s="11" t="n">
        <x:v>-3.6</x:v>
      </x:c>
      <x:c r="F140" s="11" t="n">
        <x:f>SQRT((C140-C139)^2+(D140-D139)^2+(E140-E139)^2)</x:f>
        <x:v>1.7599999999999998</x:v>
      </x:c>
      <x:c r="G140" s="8" t="str">
        <x:v>Current</x:v>
      </x:c>
    </x:row>
    <x:row r="141" ht="32" customHeight="1">
      <x:c r="A141" s="8" t="str">
        <x:v>drop:LC1:L1:light:-1:L24</x:v>
      </x:c>
      <x:c r="B141" s="8" t="n">
        <x:v>5</x:v>
      </x:c>
      <x:c r="C141" s="11" t="n">
        <x:v>32.475</x:v>
      </x:c>
      <x:c r="D141" s="11" t="n">
        <x:v>8.59</x:v>
      </x:c>
      <x:c r="E141" s="11" t="n">
        <x:v>-2.6</x:v>
      </x:c>
      <x:c r="F141" s="11" t="n">
        <x:f>SQRT((C141-C140)^2+(D141-D140)^2+(E141-E140)^2)</x:f>
        <x:v>1</x:v>
      </x:c>
      <x:c r="G141" s="8" t="str">
        <x:v>Current</x:v>
      </x:c>
    </x:row>
    <x:row r="142" ht="32" customHeight="1">
      <x:c r="A142" s="8" t="str">
        <x:v>drop:LC1:L1:light:-1:L24</x:v>
      </x:c>
      <x:c r="B142" s="8" t="n">
        <x:v>6</x:v>
      </x:c>
      <x:c r="C142" s="11" t="n">
        <x:v>32.475</x:v>
      </x:c>
      <x:c r="D142" s="11" t="n">
        <x:v>8.584999999999999</x:v>
      </x:c>
      <x:c r="E142" s="11" t="n">
        <x:v>-2.6</x:v>
      </x:c>
      <x:c r="F142" s="11" t="n">
        <x:f>SQRT((C142-C141)^2+(D142-D141)^2+(E142-E141)^2)</x:f>
        <x:v>0.005000000000000782</x:v>
      </x:c>
      <x:c r="G142" s="8" t="str">
        <x:v>Current</x:v>
      </x:c>
    </x:row>
    <x:row r="143" ht="32" customHeight="1">
      <x:c r="A143" s="8" t="str">
        <x:v>drop:LC1:L1:light:-1:L27</x:v>
      </x:c>
      <x:c r="B143" s="8" t="n">
        <x:v>1</x:v>
      </x:c>
      <x:c r="C143" s="11" t="n">
        <x:v>36.975</x:v>
      </x:c>
      <x:c r="D143" s="11" t="n">
        <x:v>6.35</x:v>
      </x:c>
      <x:c r="E143" s="11" t="n">
        <x:v>-13.24</x:v>
      </x:c>
      <x:c r="F143" s="11" t="n">
        <x:f>0</x:f>
        <x:v>0</x:v>
      </x:c>
      <x:c r="G143" s="8" t="str">
        <x:v>Current</x:v>
      </x:c>
    </x:row>
    <x:row r="144" ht="32" customHeight="1">
      <x:c r="A144" s="8" t="str">
        <x:v>drop:LC1:L1:light:-1:L27</x:v>
      </x:c>
      <x:c r="B144" s="8" t="n">
        <x:v>2</x:v>
      </x:c>
      <x:c r="C144" s="11" t="n">
        <x:v>36.975</x:v>
      </x:c>
      <x:c r="D144" s="11" t="n">
        <x:v>6.35</x:v>
      </x:c>
      <x:c r="E144" s="11" t="n">
        <x:v>-2.6</x:v>
      </x:c>
      <x:c r="F144" s="11" t="n">
        <x:f>SQRT((C144-C143)^2+(D144-D143)^2+(E144-E143)^2)</x:f>
        <x:v>10.64</x:v>
      </x:c>
      <x:c r="G144" s="8" t="str">
        <x:v>Current</x:v>
      </x:c>
    </x:row>
    <x:row r="145" ht="32" customHeight="1">
      <x:c r="A145" s="8" t="str">
        <x:v>drop:LC1:L1:light:-1:L27</x:v>
      </x:c>
      <x:c r="B145" s="8" t="n">
        <x:v>3</x:v>
      </x:c>
      <x:c r="C145" s="11" t="n">
        <x:v>36.975</x:v>
      </x:c>
      <x:c r="D145" s="11" t="n">
        <x:v>8.59</x:v>
      </x:c>
      <x:c r="E145" s="11" t="n">
        <x:v>-2.6</x:v>
      </x:c>
      <x:c r="F145" s="11" t="n">
        <x:f>SQRT((C145-C144)^2+(D145-D144)^2+(E145-E144)^2)</x:f>
        <x:v>2.24</x:v>
      </x:c>
      <x:c r="G145" s="8" t="str">
        <x:v>Current</x:v>
      </x:c>
    </x:row>
    <x:row r="146" ht="32" customHeight="1">
      <x:c r="A146" s="8" t="str">
        <x:v>drop:LC1:L1:light:-1:L27</x:v>
      </x:c>
      <x:c r="B146" s="8" t="n">
        <x:v>4</x:v>
      </x:c>
      <x:c r="C146" s="11" t="n">
        <x:v>36.975</x:v>
      </x:c>
      <x:c r="D146" s="11" t="n">
        <x:v>8.584999999999999</x:v>
      </x:c>
      <x:c r="E146" s="11" t="n">
        <x:v>-2.6</x:v>
      </x:c>
      <x:c r="F146" s="11" t="n">
        <x:f>SQRT((C146-C145)^2+(D146-D145)^2+(E146-E145)^2)</x:f>
        <x:v>0.005000000000000782</x:v>
      </x:c>
      <x:c r="G146" s="8" t="str">
        <x:v>Current</x:v>
      </x:c>
    </x:row>
    <x:row r="147" ht="32" customHeight="1">
      <x:c r="A147" s="8" t="str">
        <x:v>drop:LC1:L1:light:-1:L28</x:v>
      </x:c>
      <x:c r="B147" s="8" t="n">
        <x:v>1</x:v>
      </x:c>
      <x:c r="C147" s="11" t="n">
        <x:v>36.975</x:v>
      </x:c>
      <x:c r="D147" s="11" t="n">
        <x:v>6.35</x:v>
      </x:c>
      <x:c r="E147" s="11" t="n">
        <x:v>-13.24</x:v>
      </x:c>
      <x:c r="F147" s="11" t="n">
        <x:f>0</x:f>
        <x:v>0</x:v>
      </x:c>
      <x:c r="G147" s="8" t="str">
        <x:v>Current</x:v>
      </x:c>
    </x:row>
    <x:row r="148" ht="32" customHeight="1">
      <x:c r="A148" s="8" t="str">
        <x:v>drop:LC1:L1:light:-1:L28</x:v>
      </x:c>
      <x:c r="B148" s="8" t="n">
        <x:v>2</x:v>
      </x:c>
      <x:c r="C148" s="11" t="n">
        <x:v>36.975</x:v>
      </x:c>
      <x:c r="D148" s="11" t="n">
        <x:v>6.35</x:v>
      </x:c>
      <x:c r="E148" s="11" t="n">
        <x:v>-2.6</x:v>
      </x:c>
      <x:c r="F148" s="11" t="n">
        <x:f>SQRT((C148-C147)^2+(D148-D147)^2+(E148-E147)^2)</x:f>
        <x:v>10.64</x:v>
      </x:c>
      <x:c r="G148" s="8" t="str">
        <x:v>Current</x:v>
      </x:c>
    </x:row>
    <x:row r="149" ht="32" customHeight="1">
      <x:c r="A149" s="8" t="str">
        <x:v>drop:LC1:L1:light:-1:L28</x:v>
      </x:c>
      <x:c r="B149" s="8" t="n">
        <x:v>3</x:v>
      </x:c>
      <x:c r="C149" s="11" t="n">
        <x:v>36.975</x:v>
      </x:c>
      <x:c r="D149" s="11" t="n">
        <x:v>8.59</x:v>
      </x:c>
      <x:c r="E149" s="11" t="n">
        <x:v>-2.6</x:v>
      </x:c>
      <x:c r="F149" s="11" t="n">
        <x:f>SQRT((C149-C148)^2+(D149-D148)^2+(E149-E148)^2)</x:f>
        <x:v>2.24</x:v>
      </x:c>
      <x:c r="G149" s="8" t="str">
        <x:v>Current</x:v>
      </x:c>
    </x:row>
    <x:row r="150" ht="32" customHeight="1">
      <x:c r="A150" s="8" t="str">
        <x:v>drop:LC1:L1:light:-1:L28</x:v>
      </x:c>
      <x:c r="B150" s="8" t="n">
        <x:v>4</x:v>
      </x:c>
      <x:c r="C150" s="11" t="n">
        <x:v>36.975</x:v>
      </x:c>
      <x:c r="D150" s="11" t="n">
        <x:v>8.584999999999999</x:v>
      </x:c>
      <x:c r="E150" s="11" t="n">
        <x:v>-2.6</x:v>
      </x:c>
      <x:c r="F150" s="11" t="n">
        <x:f>SQRT((C150-C149)^2+(D150-D149)^2+(E150-E149)^2)</x:f>
        <x:v>0.005000000000000782</x:v>
      </x:c>
      <x:c r="G150" s="8" t="str">
        <x:v>Current</x:v>
      </x:c>
    </x:row>
    <x:row r="151" ht="32" customHeight="1">
      <x:c r="A151" s="8" t="str">
        <x:v>drop:LC1:L1:light:-1:L59</x:v>
      </x:c>
      <x:c r="B151" s="8" t="n">
        <x:v>1</x:v>
      </x:c>
      <x:c r="C151" s="11" t="n">
        <x:v>2.65</x:v>
      </x:c>
      <x:c r="D151" s="11" t="n">
        <x:v>6.35</x:v>
      </x:c>
      <x:c r="E151" s="11" t="n">
        <x:v>-7.36</x:v>
      </x:c>
      <x:c r="F151" s="11" t="n">
        <x:f>0</x:f>
        <x:v>0</x:v>
      </x:c>
      <x:c r="G151" s="8" t="str">
        <x:v>Current</x:v>
      </x:c>
    </x:row>
    <x:row r="152" ht="32" customHeight="1">
      <x:c r="A152" s="8" t="str">
        <x:v>drop:LC1:L1:light:-1:L59</x:v>
      </x:c>
      <x:c r="B152" s="8" t="n">
        <x:v>2</x:v>
      </x:c>
      <x:c r="C152" s="11" t="n">
        <x:v>2.35</x:v>
      </x:c>
      <x:c r="D152" s="11" t="n">
        <x:v>7.65</x:v>
      </x:c>
      <x:c r="E152" s="11" t="n">
        <x:v>-7.36</x:v>
      </x:c>
      <x:c r="F152" s="11" t="n">
        <x:f>SQRT((C152-C151)^2+(D152-D151)^2+(E152-E151)^2)</x:f>
        <x:v>1.334166406412634</x:v>
      </x:c>
      <x:c r="G152" s="8" t="str">
        <x:v>Current</x:v>
      </x:c>
    </x:row>
    <x:row r="153" ht="32" customHeight="1">
      <x:c r="A153" s="8" t="str">
        <x:v>drop:LC1:L1:light:-1:L59</x:v>
      </x:c>
      <x:c r="B153" s="8" t="n">
        <x:v>3</x:v>
      </x:c>
      <x:c r="C153" s="11" t="n">
        <x:v>2.35</x:v>
      </x:c>
      <x:c r="D153" s="11" t="n">
        <x:v>7.65</x:v>
      </x:c>
      <x:c r="E153" s="11" t="n">
        <x:v>-4.2</x:v>
      </x:c>
      <x:c r="F153" s="11" t="n">
        <x:f>SQRT((C153-C152)^2+(D153-D152)^2+(E153-E152)^2)</x:f>
        <x:v>3.16</x:v>
      </x:c>
      <x:c r="G153" s="8" t="str">
        <x:v>Current</x:v>
      </x:c>
    </x:row>
    <x:row r="154" ht="32" customHeight="1">
      <x:c r="A154" s="8" t="str">
        <x:v>drop:LC1:L1:light:-1:L59</x:v>
      </x:c>
      <x:c r="B154" s="8" t="n">
        <x:v>4</x:v>
      </x:c>
      <x:c r="C154" s="11" t="n">
        <x:v>2.35</x:v>
      </x:c>
      <x:c r="D154" s="11" t="n">
        <x:v>3.45</x:v>
      </x:c>
      <x:c r="E154" s="11" t="n">
        <x:v>-4.2</x:v>
      </x:c>
      <x:c r="F154" s="11" t="n">
        <x:f>SQRT((C154-C153)^2+(D154-D153)^2+(E154-E153)^2)</x:f>
        <x:v>4.2</x:v>
      </x:c>
      <x:c r="G154" s="8" t="str">
        <x:v>Current</x:v>
      </x:c>
    </x:row>
    <x:row r="155" ht="32" customHeight="1">
      <x:c r="A155" s="8" t="str">
        <x:v>drop:LC1:L1:light:-1:L59</x:v>
      </x:c>
      <x:c r="B155" s="8" t="n">
        <x:v>5</x:v>
      </x:c>
      <x:c r="C155" s="11" t="n">
        <x:v>2.65</x:v>
      </x:c>
      <x:c r="D155" s="11" t="n">
        <x:v>3.45</x:v>
      </x:c>
      <x:c r="E155" s="11" t="n">
        <x:v>-4.2</x:v>
      </x:c>
      <x:c r="F155" s="11" t="n">
        <x:f>SQRT((C155-C154)^2+(D155-D154)^2+(E155-E154)^2)</x:f>
        <x:v>0.2999999999999998</x:v>
      </x:c>
      <x:c r="G155" s="8" t="str">
        <x:v>Current</x:v>
      </x:c>
    </x:row>
    <x:row r="156" ht="32" customHeight="1">
      <x:c r="A156" s="8" t="str">
        <x:v>drop:LC1:L1:light:-1:L60</x:v>
      </x:c>
      <x:c r="B156" s="8" t="n">
        <x:v>1</x:v>
      </x:c>
      <x:c r="C156" s="11" t="n">
        <x:v>2.65</x:v>
      </x:c>
      <x:c r="D156" s="11" t="n">
        <x:v>6.35</x:v>
      </x:c>
      <x:c r="E156" s="11" t="n">
        <x:v>-7.36</x:v>
      </x:c>
      <x:c r="F156" s="11" t="n">
        <x:f>0</x:f>
        <x:v>0</x:v>
      </x:c>
      <x:c r="G156" s="8" t="str">
        <x:v>Current</x:v>
      </x:c>
    </x:row>
    <x:row r="157" ht="32" customHeight="1">
      <x:c r="A157" s="8" t="str">
        <x:v>drop:LC1:L1:light:-1:L60</x:v>
      </x:c>
      <x:c r="B157" s="8" t="n">
        <x:v>2</x:v>
      </x:c>
      <x:c r="C157" s="11" t="n">
        <x:v>2.35</x:v>
      </x:c>
      <x:c r="D157" s="11" t="n">
        <x:v>7.65</x:v>
      </x:c>
      <x:c r="E157" s="11" t="n">
        <x:v>-7.36</x:v>
      </x:c>
      <x:c r="F157" s="11" t="n">
        <x:f>SQRT((C157-C156)^2+(D157-D156)^2+(E157-E156)^2)</x:f>
        <x:v>1.334166406412634</x:v>
      </x:c>
      <x:c r="G157" s="8" t="str">
        <x:v>Current</x:v>
      </x:c>
    </x:row>
    <x:row r="158" ht="32" customHeight="1">
      <x:c r="A158" s="8" t="str">
        <x:v>drop:LC1:L1:light:-1:L60</x:v>
      </x:c>
      <x:c r="B158" s="8" t="n">
        <x:v>3</x:v>
      </x:c>
      <x:c r="C158" s="11" t="n">
        <x:v>2.35</x:v>
      </x:c>
      <x:c r="D158" s="11" t="n">
        <x:v>7.65</x:v>
      </x:c>
      <x:c r="E158" s="11" t="n">
        <x:v>-4.2</x:v>
      </x:c>
      <x:c r="F158" s="11" t="n">
        <x:f>SQRT((C158-C157)^2+(D158-D157)^2+(E158-E157)^2)</x:f>
        <x:v>3.16</x:v>
      </x:c>
      <x:c r="G158" s="8" t="str">
        <x:v>Current</x:v>
      </x:c>
    </x:row>
    <x:row r="159" ht="32" customHeight="1">
      <x:c r="A159" s="8" t="str">
        <x:v>drop:LC1:L1:light:-1:L60</x:v>
      </x:c>
      <x:c r="B159" s="8" t="n">
        <x:v>4</x:v>
      </x:c>
      <x:c r="C159" s="11" t="n">
        <x:v>2.35</x:v>
      </x:c>
      <x:c r="D159" s="11" t="n">
        <x:v>5.95</x:v>
      </x:c>
      <x:c r="E159" s="11" t="n">
        <x:v>-4.2</x:v>
      </x:c>
      <x:c r="F159" s="11" t="n">
        <x:f>SQRT((C159-C158)^2+(D159-D158)^2+(E159-E158)^2)</x:f>
        <x:v>1.7000000000000002</x:v>
      </x:c>
      <x:c r="G159" s="8" t="str">
        <x:v>Current</x:v>
      </x:c>
    </x:row>
    <x:row r="160" ht="32" customHeight="1">
      <x:c r="A160" s="8" t="str">
        <x:v>drop:LC1:L1:light:-1:L60</x:v>
      </x:c>
      <x:c r="B160" s="8" t="n">
        <x:v>5</x:v>
      </x:c>
      <x:c r="C160" s="11" t="n">
        <x:v>2.65</x:v>
      </x:c>
      <x:c r="D160" s="11" t="n">
        <x:v>5.95</x:v>
      </x:c>
      <x:c r="E160" s="11" t="n">
        <x:v>-4.2</x:v>
      </x:c>
      <x:c r="F160" s="11" t="n">
        <x:f>SQRT((C160-C159)^2+(D160-D159)^2+(E160-E159)^2)</x:f>
        <x:v>0.2999999999999998</x:v>
      </x:c>
      <x:c r="G160" s="8" t="str">
        <x:v>Current</x:v>
      </x:c>
    </x:row>
    <x:row r="161" ht="32" customHeight="1">
      <x:c r="A161" s="8" t="str">
        <x:v>trunk:LC1:L1:light:1</x:v>
      </x:c>
      <x:c r="B161" s="8" t="n">
        <x:v>1</x:v>
      </x:c>
      <x:c r="C161" s="11" t="n">
        <x:v>48.895</x:v>
      </x:c>
      <x:c r="D161" s="11" t="n">
        <x:v>1.85</x:v>
      </x:c>
      <x:c r="E161" s="11" t="n">
        <x:v>-0.55</x:v>
      </x:c>
      <x:c r="F161" s="11" t="n">
        <x:f>0</x:f>
        <x:v>0</x:v>
      </x:c>
      <x:c r="G161" s="8" t="str">
        <x:v>Current</x:v>
      </x:c>
    </x:row>
    <x:row r="162" ht="32" customHeight="1">
      <x:c r="A162" s="8" t="str">
        <x:v>trunk:LC1:L1:light:1</x:v>
      </x:c>
      <x:c r="B162" s="8" t="n">
        <x:v>2</x:v>
      </x:c>
      <x:c r="C162" s="11" t="n">
        <x:v>48.735</x:v>
      </x:c>
      <x:c r="D162" s="11" t="n">
        <x:v>1.85</x:v>
      </x:c>
      <x:c r="E162" s="11" t="n">
        <x:v>-0.55</x:v>
      </x:c>
      <x:c r="F162" s="11" t="n">
        <x:f>SQRT((C162-C161)^2+(D162-D161)^2+(E162-E161)^2)</x:f>
        <x:v>0.1600000000000037</x:v>
      </x:c>
      <x:c r="G162" s="8" t="str">
        <x:v>Current</x:v>
      </x:c>
    </x:row>
    <x:row r="163" ht="32" customHeight="1">
      <x:c r="A163" s="8" t="str">
        <x:v>trunk:LC1:L1:light:1</x:v>
      </x:c>
      <x:c r="B163" s="8" t="n">
        <x:v>3</x:v>
      </x:c>
      <x:c r="C163" s="11" t="n">
        <x:v>48.735</x:v>
      </x:c>
      <x:c r="D163" s="11" t="n">
        <x:v>1.85</x:v>
      </x:c>
      <x:c r="E163" s="11" t="n">
        <x:v>-2.24</x:v>
      </x:c>
      <x:c r="F163" s="11" t="n">
        <x:f>SQRT((C163-C162)^2+(D163-D162)^2+(E163-E162)^2)</x:f>
        <x:v>1.6900000000000002</x:v>
      </x:c>
      <x:c r="G163" s="8" t="str">
        <x:v>Current</x:v>
      </x:c>
    </x:row>
    <x:row r="164" ht="32" customHeight="1">
      <x:c r="A164" s="8" t="str">
        <x:v>trunk:LC1:L1:light:1</x:v>
      </x:c>
      <x:c r="B164" s="8" t="n">
        <x:v>4</x:v>
      </x:c>
      <x:c r="C164" s="11" t="n">
        <x:v>48.735</x:v>
      </x:c>
      <x:c r="D164" s="11" t="n">
        <x:v>4.02</x:v>
      </x:c>
      <x:c r="E164" s="11" t="n">
        <x:v>-2.24</x:v>
      </x:c>
      <x:c r="F164" s="11" t="n">
        <x:f>SQRT((C164-C163)^2+(D164-D163)^2+(E164-E163)^2)</x:f>
        <x:v>2.1699999999999995</x:v>
      </x:c>
      <x:c r="G164" s="8" t="str">
        <x:v>Current</x:v>
      </x:c>
    </x:row>
    <x:row r="165" ht="32" customHeight="1">
      <x:c r="A165" s="8" t="str">
        <x:v>trunk:LC1:L1:light:1</x:v>
      </x:c>
      <x:c r="B165" s="8" t="n">
        <x:v>5</x:v>
      </x:c>
      <x:c r="C165" s="11" t="n">
        <x:v>48.735</x:v>
      </x:c>
      <x:c r="D165" s="11" t="n">
        <x:v>4.02</x:v>
      </x:c>
      <x:c r="E165" s="11" t="n">
        <x:v>-3.6</x:v>
      </x:c>
      <x:c r="F165" s="11" t="n">
        <x:f>SQRT((C165-C164)^2+(D165-D164)^2+(E165-E164)^2)</x:f>
        <x:v>1.3599999999999999</x:v>
      </x:c>
      <x:c r="G165" s="8" t="str">
        <x:v>Current</x:v>
      </x:c>
    </x:row>
    <x:row r="166" ht="32" customHeight="1">
      <x:c r="A166" s="8" t="str">
        <x:v>trunk:LC1:L1:light:1</x:v>
      </x:c>
      <x:c r="B166" s="8" t="n">
        <x:v>6</x:v>
      </x:c>
      <x:c r="C166" s="11" t="n">
        <x:v>53.05</x:v>
      </x:c>
      <x:c r="D166" s="11" t="n">
        <x:v>4.02</x:v>
      </x:c>
      <x:c r="E166" s="11" t="n">
        <x:v>-3.6</x:v>
      </x:c>
      <x:c r="F166" s="11" t="n">
        <x:f>SQRT((C166-C165)^2+(D166-D165)^2+(E166-E165)^2)</x:f>
        <x:v>4.314999999999998</x:v>
      </x:c>
      <x:c r="G166" s="8" t="str">
        <x:v>Current</x:v>
      </x:c>
    </x:row>
    <x:row r="167" ht="32" customHeight="1">
      <x:c r="A167" s="8" t="str">
        <x:v>trunk:LC1:L1:light:1</x:v>
      </x:c>
      <x:c r="B167" s="8" t="n">
        <x:v>7</x:v>
      </x:c>
      <x:c r="C167" s="11" t="n">
        <x:v>53.05</x:v>
      </x:c>
      <x:c r="D167" s="11" t="n">
        <x:v>6.35</x:v>
      </x:c>
      <x:c r="E167" s="11" t="n">
        <x:v>-3.6</x:v>
      </x:c>
      <x:c r="F167" s="11" t="n">
        <x:f>SQRT((C167-C166)^2+(D167-D166)^2+(E167-E166)^2)</x:f>
        <x:v>2.33</x:v>
      </x:c>
      <x:c r="G167" s="8" t="str">
        <x:v>Current</x:v>
      </x:c>
    </x:row>
    <x:row r="168" ht="32" customHeight="1">
      <x:c r="A168" s="8" t="str">
        <x:v>trunk:LC1:L1:light:1</x:v>
      </x:c>
      <x:c r="B168" s="8" t="n">
        <x:v>8</x:v>
      </x:c>
      <x:c r="C168" s="11" t="n">
        <x:v>53.05</x:v>
      </x:c>
      <x:c r="D168" s="11" t="n">
        <x:v>6.35</x:v>
      </x:c>
      <x:c r="E168" s="11" t="n">
        <x:v>7.36</x:v>
      </x:c>
      <x:c r="F168" s="11" t="n">
        <x:f>SQRT((C168-C167)^2+(D168-D167)^2+(E168-E167)^2)</x:f>
        <x:v>10.96</x:v>
      </x:c>
      <x:c r="G168" s="8" t="str">
        <x:v>Current</x:v>
      </x:c>
    </x:row>
    <x:row r="169" ht="32" customHeight="1">
      <x:c r="A169" s="8" t="str">
        <x:v>trunk:LC1:L1:light:1</x:v>
      </x:c>
      <x:c r="B169" s="8" t="n">
        <x:v>9</x:v>
      </x:c>
      <x:c r="C169" s="11" t="n">
        <x:v>44.175</x:v>
      </x:c>
      <x:c r="D169" s="11" t="n">
        <x:v>6.35</x:v>
      </x:c>
      <x:c r="E169" s="11" t="n">
        <x:v>7.36</x:v>
      </x:c>
      <x:c r="F169" s="11" t="n">
        <x:f>SQRT((C169-C168)^2+(D169-D168)^2+(E169-E168)^2)</x:f>
        <x:v>8.875</x:v>
      </x:c>
      <x:c r="G169" s="8" t="str">
        <x:v>Current</x:v>
      </x:c>
    </x:row>
    <x:row r="170" ht="32" customHeight="1">
      <x:c r="A170" s="8" t="str">
        <x:v>trunk:LC1:L1:light:1</x:v>
      </x:c>
      <x:c r="B170" s="8" t="n">
        <x:v>10</x:v>
      </x:c>
      <x:c r="C170" s="11" t="n">
        <x:v>44.175</x:v>
      </x:c>
      <x:c r="D170" s="11" t="n">
        <x:v>6.35</x:v>
      </x:c>
      <x:c r="E170" s="11" t="n">
        <x:v>13.24</x:v>
      </x:c>
      <x:c r="F170" s="11" t="n">
        <x:f>SQRT((C170-C169)^2+(D170-D169)^2+(E170-E169)^2)</x:f>
        <x:v>5.88</x:v>
      </x:c>
      <x:c r="G170" s="8" t="str">
        <x:v>Current</x:v>
      </x:c>
    </x:row>
    <x:row r="171" ht="32" customHeight="1">
      <x:c r="A171" s="8" t="str">
        <x:v>trunk:LC1:L1:light:1</x:v>
      </x:c>
      <x:c r="B171" s="8" t="n">
        <x:v>11</x:v>
      </x:c>
      <x:c r="C171" s="11" t="n">
        <x:v>36.975</x:v>
      </x:c>
      <x:c r="D171" s="11" t="n">
        <x:v>6.35</x:v>
      </x:c>
      <x:c r="E171" s="11" t="n">
        <x:v>13.24</x:v>
      </x:c>
      <x:c r="F171" s="11" t="n">
        <x:f>SQRT((C171-C170)^2+(D171-D170)^2+(E171-E170)^2)</x:f>
        <x:v>7.199999999999996</x:v>
      </x:c>
      <x:c r="G171" s="8" t="str">
        <x:v>Current</x:v>
      </x:c>
    </x:row>
    <x:row r="172" ht="32" customHeight="1">
      <x:c r="A172" s="8" t="str">
        <x:v>trunk:LC1:L1:light:1</x:v>
      </x:c>
      <x:c r="B172" s="8" t="n">
        <x:v>12</x:v>
      </x:c>
      <x:c r="C172" s="11" t="n">
        <x:v>36.975</x:v>
      </x:c>
      <x:c r="D172" s="11" t="n">
        <x:v>6.35</x:v>
      </x:c>
      <x:c r="E172" s="11" t="n">
        <x:v>7.36</x:v>
      </x:c>
      <x:c r="F172" s="11" t="n">
        <x:f>SQRT((C172-C171)^2+(D172-D171)^2+(E172-E171)^2)</x:f>
        <x:v>5.88</x:v>
      </x:c>
      <x:c r="G172" s="8" t="str">
        <x:v>Current</x:v>
      </x:c>
    </x:row>
    <x:row r="173" ht="32" customHeight="1">
      <x:c r="A173" s="8" t="str">
        <x:v>trunk:LC1:L1:light:1</x:v>
      </x:c>
      <x:c r="B173" s="8" t="n">
        <x:v>13</x:v>
      </x:c>
      <x:c r="C173" s="11" t="n">
        <x:v>5.475</x:v>
      </x:c>
      <x:c r="D173" s="11" t="n">
        <x:v>6.35</x:v>
      </x:c>
      <x:c r="E173" s="11" t="n">
        <x:v>7.36</x:v>
      </x:c>
      <x:c r="F173" s="11" t="n">
        <x:f>SQRT((C173-C172)^2+(D173-D172)^2+(E173-E172)^2)</x:f>
        <x:v>31.5</x:v>
      </x:c>
      <x:c r="G173" s="8" t="str">
        <x:v>Current</x:v>
      </x:c>
    </x:row>
    <x:row r="174" ht="32" customHeight="1">
      <x:c r="A174" s="8" t="str">
        <x:v>trunk:LC1:L1:light:1</x:v>
      </x:c>
      <x:c r="B174" s="8" t="n">
        <x:v>14</x:v>
      </x:c>
      <x:c r="C174" s="11" t="n">
        <x:v>2.65</x:v>
      </x:c>
      <x:c r="D174" s="11" t="n">
        <x:v>6.35</x:v>
      </x:c>
      <x:c r="E174" s="11" t="n">
        <x:v>7.36</x:v>
      </x:c>
      <x:c r="F174" s="11" t="n">
        <x:f>SQRT((C174-C173)^2+(D174-D173)^2+(E174-E173)^2)</x:f>
        <x:v>2.8249999999999997</x:v>
      </x:c>
      <x:c r="G174" s="8" t="str">
        <x:v>Current</x:v>
      </x:c>
    </x:row>
    <x:row r="175" ht="32" customHeight="1">
      <x:c r="A175" s="8" t="str">
        <x:v>drop:LC1:L1:light:1:L5</x:v>
      </x:c>
      <x:c r="B175" s="8" t="n">
        <x:v>1</x:v>
      </x:c>
      <x:c r="C175" s="11" t="n">
        <x:v>9.975</x:v>
      </x:c>
      <x:c r="D175" s="11" t="n">
        <x:v>6.35</x:v>
      </x:c>
      <x:c r="E175" s="11" t="n">
        <x:v>7.36</x:v>
      </x:c>
      <x:c r="F175" s="11" t="n">
        <x:f>0</x:f>
        <x:v>0</x:v>
      </x:c>
      <x:c r="G175" s="8" t="str">
        <x:v>Current</x:v>
      </x:c>
    </x:row>
    <x:row r="176" ht="32" customHeight="1">
      <x:c r="A176" s="8" t="str">
        <x:v>drop:LC1:L1:light:1:L5</x:v>
      </x:c>
      <x:c r="B176" s="8" t="n">
        <x:v>2</x:v>
      </x:c>
      <x:c r="C176" s="11" t="n">
        <x:v>9.975</x:v>
      </x:c>
      <x:c r="D176" s="11" t="n">
        <x:v>6.83</x:v>
      </x:c>
      <x:c r="E176" s="11" t="n">
        <x:v>7.36</x:v>
      </x:c>
      <x:c r="F176" s="11" t="n">
        <x:f>SQRT((C176-C175)^2+(D176-D175)^2+(E176-E175)^2)</x:f>
        <x:v>0.4800000000000004</x:v>
      </x:c>
      <x:c r="G176" s="8" t="str">
        <x:v>Current</x:v>
      </x:c>
    </x:row>
    <x:row r="177" ht="32" customHeight="1">
      <x:c r="A177" s="8" t="str">
        <x:v>drop:LC1:L1:light:1:L5</x:v>
      </x:c>
      <x:c r="B177" s="8" t="n">
        <x:v>3</x:v>
      </x:c>
      <x:c r="C177" s="11" t="n">
        <x:v>9.975</x:v>
      </x:c>
      <x:c r="D177" s="11" t="n">
        <x:v>6.83</x:v>
      </x:c>
      <x:c r="E177" s="11" t="n">
        <x:v>3.6</x:v>
      </x:c>
      <x:c r="F177" s="11" t="n">
        <x:f>SQRT((C177-C176)^2+(D177-D176)^2+(E177-E176)^2)</x:f>
        <x:v>3.7600000000000002</x:v>
      </x:c>
      <x:c r="G177" s="8" t="str">
        <x:v>Current</x:v>
      </x:c>
    </x:row>
    <x:row r="178" ht="32" customHeight="1">
      <x:c r="A178" s="8" t="str">
        <x:v>drop:LC1:L1:light:1:L5</x:v>
      </x:c>
      <x:c r="B178" s="8" t="n">
        <x:v>4</x:v>
      </x:c>
      <x:c r="C178" s="11" t="n">
        <x:v>9.975</x:v>
      </x:c>
      <x:c r="D178" s="11" t="n">
        <x:v>8.59</x:v>
      </x:c>
      <x:c r="E178" s="11" t="n">
        <x:v>3.6</x:v>
      </x:c>
      <x:c r="F178" s="11" t="n">
        <x:f>SQRT((C178-C177)^2+(D178-D177)^2+(E178-E177)^2)</x:f>
        <x:v>1.7599999999999998</x:v>
      </x:c>
      <x:c r="G178" s="8" t="str">
        <x:v>Current</x:v>
      </x:c>
    </x:row>
    <x:row r="179" ht="32" customHeight="1">
      <x:c r="A179" s="8" t="str">
        <x:v>drop:LC1:L1:light:1:L5</x:v>
      </x:c>
      <x:c r="B179" s="8" t="n">
        <x:v>5</x:v>
      </x:c>
      <x:c r="C179" s="11" t="n">
        <x:v>9.975</x:v>
      </x:c>
      <x:c r="D179" s="11" t="n">
        <x:v>8.59</x:v>
      </x:c>
      <x:c r="E179" s="11" t="n">
        <x:v>2.6</x:v>
      </x:c>
      <x:c r="F179" s="11" t="n">
        <x:f>SQRT((C179-C178)^2+(D179-D178)^2+(E179-E178)^2)</x:f>
        <x:v>1</x:v>
      </x:c>
      <x:c r="G179" s="8" t="str">
        <x:v>Current</x:v>
      </x:c>
    </x:row>
    <x:row r="180" ht="32" customHeight="1">
      <x:c r="A180" s="8" t="str">
        <x:v>drop:LC1:L1:light:1:L5</x:v>
      </x:c>
      <x:c r="B180" s="8" t="n">
        <x:v>6</x:v>
      </x:c>
      <x:c r="C180" s="11" t="n">
        <x:v>9.975</x:v>
      </x:c>
      <x:c r="D180" s="11" t="n">
        <x:v>8.584999999999999</x:v>
      </x:c>
      <x:c r="E180" s="11" t="n">
        <x:v>2.6</x:v>
      </x:c>
      <x:c r="F180" s="11" t="n">
        <x:f>SQRT((C180-C179)^2+(D180-D179)^2+(E180-E179)^2)</x:f>
        <x:v>0.005000000000000782</x:v>
      </x:c>
      <x:c r="G180" s="8" t="str">
        <x:v>Current</x:v>
      </x:c>
    </x:row>
    <x:row r="181" ht="32" customHeight="1">
      <x:c r="A181" s="8" t="str">
        <x:v>drop:LC1:L1:light:1:L6</x:v>
      </x:c>
      <x:c r="B181" s="8" t="n">
        <x:v>1</x:v>
      </x:c>
      <x:c r="C181" s="11" t="n">
        <x:v>9.975</x:v>
      </x:c>
      <x:c r="D181" s="11" t="n">
        <x:v>6.35</x:v>
      </x:c>
      <x:c r="E181" s="11" t="n">
        <x:v>7.36</x:v>
      </x:c>
      <x:c r="F181" s="11" t="n">
        <x:f>0</x:f>
        <x:v>0</x:v>
      </x:c>
      <x:c r="G181" s="8" t="str">
        <x:v>Current</x:v>
      </x:c>
    </x:row>
    <x:row r="182" ht="32" customHeight="1">
      <x:c r="A182" s="8" t="str">
        <x:v>drop:LC1:L1:light:1:L6</x:v>
      </x:c>
      <x:c r="B182" s="8" t="n">
        <x:v>2</x:v>
      </x:c>
      <x:c r="C182" s="11" t="n">
        <x:v>9.975</x:v>
      </x:c>
      <x:c r="D182" s="11" t="n">
        <x:v>6.83</x:v>
      </x:c>
      <x:c r="E182" s="11" t="n">
        <x:v>7.36</x:v>
      </x:c>
      <x:c r="F182" s="11" t="n">
        <x:f>SQRT((C182-C181)^2+(D182-D181)^2+(E182-E181)^2)</x:f>
        <x:v>0.4800000000000004</x:v>
      </x:c>
      <x:c r="G182" s="8" t="str">
        <x:v>Current</x:v>
      </x:c>
    </x:row>
    <x:row r="183" ht="32" customHeight="1">
      <x:c r="A183" s="8" t="str">
        <x:v>drop:LC1:L1:light:1:L6</x:v>
      </x:c>
      <x:c r="B183" s="8" t="n">
        <x:v>3</x:v>
      </x:c>
      <x:c r="C183" s="11" t="n">
        <x:v>9.975</x:v>
      </x:c>
      <x:c r="D183" s="11" t="n">
        <x:v>6.83</x:v>
      </x:c>
      <x:c r="E183" s="11" t="n">
        <x:v>3.6</x:v>
      </x:c>
      <x:c r="F183" s="11" t="n">
        <x:f>SQRT((C183-C182)^2+(D183-D182)^2+(E183-E182)^2)</x:f>
        <x:v>3.7600000000000002</x:v>
      </x:c>
      <x:c r="G183" s="8" t="str">
        <x:v>Current</x:v>
      </x:c>
    </x:row>
    <x:row r="184" ht="32" customHeight="1">
      <x:c r="A184" s="8" t="str">
        <x:v>drop:LC1:L1:light:1:L6</x:v>
      </x:c>
      <x:c r="B184" s="8" t="n">
        <x:v>4</x:v>
      </x:c>
      <x:c r="C184" s="11" t="n">
        <x:v>9.975</x:v>
      </x:c>
      <x:c r="D184" s="11" t="n">
        <x:v>8.59</x:v>
      </x:c>
      <x:c r="E184" s="11" t="n">
        <x:v>3.6</x:v>
      </x:c>
      <x:c r="F184" s="11" t="n">
        <x:f>SQRT((C184-C183)^2+(D184-D183)^2+(E184-E183)^2)</x:f>
        <x:v>1.7599999999999998</x:v>
      </x:c>
      <x:c r="G184" s="8" t="str">
        <x:v>Current</x:v>
      </x:c>
    </x:row>
    <x:row r="185" ht="32" customHeight="1">
      <x:c r="A185" s="8" t="str">
        <x:v>drop:LC1:L1:light:1:L6</x:v>
      </x:c>
      <x:c r="B185" s="8" t="n">
        <x:v>5</x:v>
      </x:c>
      <x:c r="C185" s="11" t="n">
        <x:v>9.975</x:v>
      </x:c>
      <x:c r="D185" s="11" t="n">
        <x:v>8.59</x:v>
      </x:c>
      <x:c r="E185" s="11" t="n">
        <x:v>2.6</x:v>
      </x:c>
      <x:c r="F185" s="11" t="n">
        <x:f>SQRT((C185-C184)^2+(D185-D184)^2+(E185-E184)^2)</x:f>
        <x:v>1</x:v>
      </x:c>
      <x:c r="G185" s="8" t="str">
        <x:v>Current</x:v>
      </x:c>
    </x:row>
    <x:row r="186" ht="32" customHeight="1">
      <x:c r="A186" s="8" t="str">
        <x:v>drop:LC1:L1:light:1:L6</x:v>
      </x:c>
      <x:c r="B186" s="8" t="n">
        <x:v>6</x:v>
      </x:c>
      <x:c r="C186" s="11" t="n">
        <x:v>9.975</x:v>
      </x:c>
      <x:c r="D186" s="11" t="n">
        <x:v>8.584999999999999</x:v>
      </x:c>
      <x:c r="E186" s="11" t="n">
        <x:v>2.6</x:v>
      </x:c>
      <x:c r="F186" s="11" t="n">
        <x:f>SQRT((C186-C185)^2+(D186-D185)^2+(E186-E185)^2)</x:f>
        <x:v>0.005000000000000782</x:v>
      </x:c>
      <x:c r="G186" s="8" t="str">
        <x:v>Current</x:v>
      </x:c>
    </x:row>
    <x:row r="187" ht="32" customHeight="1">
      <x:c r="A187" s="8" t="str">
        <x:v>drop:LC1:L1:light:1:L9</x:v>
      </x:c>
      <x:c r="B187" s="8" t="n">
        <x:v>1</x:v>
      </x:c>
      <x:c r="C187" s="11" t="n">
        <x:v>14.475</x:v>
      </x:c>
      <x:c r="D187" s="11" t="n">
        <x:v>6.35</x:v>
      </x:c>
      <x:c r="E187" s="11" t="n">
        <x:v>7.36</x:v>
      </x:c>
      <x:c r="F187" s="11" t="n">
        <x:f>0</x:f>
        <x:v>0</x:v>
      </x:c>
      <x:c r="G187" s="8" t="str">
        <x:v>Current</x:v>
      </x:c>
    </x:row>
    <x:row r="188" ht="32" customHeight="1">
      <x:c r="A188" s="8" t="str">
        <x:v>drop:LC1:L1:light:1:L9</x:v>
      </x:c>
      <x:c r="B188" s="8" t="n">
        <x:v>2</x:v>
      </x:c>
      <x:c r="C188" s="11" t="n">
        <x:v>14.475</x:v>
      </x:c>
      <x:c r="D188" s="11" t="n">
        <x:v>6.83</x:v>
      </x:c>
      <x:c r="E188" s="11" t="n">
        <x:v>7.36</x:v>
      </x:c>
      <x:c r="F188" s="11" t="n">
        <x:f>SQRT((C188-C187)^2+(D188-D187)^2+(E188-E187)^2)</x:f>
        <x:v>0.4800000000000004</x:v>
      </x:c>
      <x:c r="G188" s="8" t="str">
        <x:v>Current</x:v>
      </x:c>
    </x:row>
    <x:row r="189" ht="32" customHeight="1">
      <x:c r="A189" s="8" t="str">
        <x:v>drop:LC1:L1:light:1:L9</x:v>
      </x:c>
      <x:c r="B189" s="8" t="n">
        <x:v>3</x:v>
      </x:c>
      <x:c r="C189" s="11" t="n">
        <x:v>14.475</x:v>
      </x:c>
      <x:c r="D189" s="11" t="n">
        <x:v>6.83</x:v>
      </x:c>
      <x:c r="E189" s="11" t="n">
        <x:v>3.6</x:v>
      </x:c>
      <x:c r="F189" s="11" t="n">
        <x:f>SQRT((C189-C188)^2+(D189-D188)^2+(E189-E188)^2)</x:f>
        <x:v>3.7600000000000002</x:v>
      </x:c>
      <x:c r="G189" s="8" t="str">
        <x:v>Current</x:v>
      </x:c>
    </x:row>
    <x:row r="190" ht="32" customHeight="1">
      <x:c r="A190" s="8" t="str">
        <x:v>drop:LC1:L1:light:1:L9</x:v>
      </x:c>
      <x:c r="B190" s="8" t="n">
        <x:v>4</x:v>
      </x:c>
      <x:c r="C190" s="11" t="n">
        <x:v>14.475</x:v>
      </x:c>
      <x:c r="D190" s="11" t="n">
        <x:v>8.59</x:v>
      </x:c>
      <x:c r="E190" s="11" t="n">
        <x:v>3.6</x:v>
      </x:c>
      <x:c r="F190" s="11" t="n">
        <x:f>SQRT((C190-C189)^2+(D190-D189)^2+(E190-E189)^2)</x:f>
        <x:v>1.7599999999999998</x:v>
      </x:c>
      <x:c r="G190" s="8" t="str">
        <x:v>Current</x:v>
      </x:c>
    </x:row>
    <x:row r="191" ht="32" customHeight="1">
      <x:c r="A191" s="8" t="str">
        <x:v>drop:LC1:L1:light:1:L9</x:v>
      </x:c>
      <x:c r="B191" s="8" t="n">
        <x:v>5</x:v>
      </x:c>
      <x:c r="C191" s="11" t="n">
        <x:v>14.475</x:v>
      </x:c>
      <x:c r="D191" s="11" t="n">
        <x:v>8.59</x:v>
      </x:c>
      <x:c r="E191" s="11" t="n">
        <x:v>2.6</x:v>
      </x:c>
      <x:c r="F191" s="11" t="n">
        <x:f>SQRT((C191-C190)^2+(D191-D190)^2+(E191-E190)^2)</x:f>
        <x:v>1</x:v>
      </x:c>
      <x:c r="G191" s="8" t="str">
        <x:v>Current</x:v>
      </x:c>
    </x:row>
    <x:row r="192" ht="32" customHeight="1">
      <x:c r="A192" s="8" t="str">
        <x:v>drop:LC1:L1:light:1:L9</x:v>
      </x:c>
      <x:c r="B192" s="8" t="n">
        <x:v>6</x:v>
      </x:c>
      <x:c r="C192" s="11" t="n">
        <x:v>14.475</x:v>
      </x:c>
      <x:c r="D192" s="11" t="n">
        <x:v>8.584999999999999</x:v>
      </x:c>
      <x:c r="E192" s="11" t="n">
        <x:v>2.6</x:v>
      </x:c>
      <x:c r="F192" s="11" t="n">
        <x:f>SQRT((C192-C191)^2+(D192-D191)^2+(E192-E191)^2)</x:f>
        <x:v>0.005000000000000782</x:v>
      </x:c>
      <x:c r="G192" s="8" t="str">
        <x:v>Current</x:v>
      </x:c>
    </x:row>
    <x:row r="193" ht="32" customHeight="1">
      <x:c r="A193" s="8" t="str">
        <x:v>drop:LC1:L1:light:1:L10</x:v>
      </x:c>
      <x:c r="B193" s="8" t="n">
        <x:v>1</x:v>
      </x:c>
      <x:c r="C193" s="11" t="n">
        <x:v>14.475</x:v>
      </x:c>
      <x:c r="D193" s="11" t="n">
        <x:v>6.35</x:v>
      </x:c>
      <x:c r="E193" s="11" t="n">
        <x:v>7.36</x:v>
      </x:c>
      <x:c r="F193" s="11" t="n">
        <x:f>0</x:f>
        <x:v>0</x:v>
      </x:c>
      <x:c r="G193" s="8" t="str">
        <x:v>Current</x:v>
      </x:c>
    </x:row>
    <x:row r="194" ht="32" customHeight="1">
      <x:c r="A194" s="8" t="str">
        <x:v>drop:LC1:L1:light:1:L10</x:v>
      </x:c>
      <x:c r="B194" s="8" t="n">
        <x:v>2</x:v>
      </x:c>
      <x:c r="C194" s="11" t="n">
        <x:v>14.475</x:v>
      </x:c>
      <x:c r="D194" s="11" t="n">
        <x:v>6.83</x:v>
      </x:c>
      <x:c r="E194" s="11" t="n">
        <x:v>7.36</x:v>
      </x:c>
      <x:c r="F194" s="11" t="n">
        <x:f>SQRT((C194-C193)^2+(D194-D193)^2+(E194-E193)^2)</x:f>
        <x:v>0.4800000000000004</x:v>
      </x:c>
      <x:c r="G194" s="8" t="str">
        <x:v>Current</x:v>
      </x:c>
    </x:row>
    <x:row r="195" ht="32" customHeight="1">
      <x:c r="A195" s="8" t="str">
        <x:v>drop:LC1:L1:light:1:L10</x:v>
      </x:c>
      <x:c r="B195" s="8" t="n">
        <x:v>3</x:v>
      </x:c>
      <x:c r="C195" s="11" t="n">
        <x:v>14.475</x:v>
      </x:c>
      <x:c r="D195" s="11" t="n">
        <x:v>6.83</x:v>
      </x:c>
      <x:c r="E195" s="11" t="n">
        <x:v>3.6</x:v>
      </x:c>
      <x:c r="F195" s="11" t="n">
        <x:f>SQRT((C195-C194)^2+(D195-D194)^2+(E195-E194)^2)</x:f>
        <x:v>3.7600000000000002</x:v>
      </x:c>
      <x:c r="G195" s="8" t="str">
        <x:v>Current</x:v>
      </x:c>
    </x:row>
    <x:row r="196" ht="32" customHeight="1">
      <x:c r="A196" s="8" t="str">
        <x:v>drop:LC1:L1:light:1:L10</x:v>
      </x:c>
      <x:c r="B196" s="8" t="n">
        <x:v>4</x:v>
      </x:c>
      <x:c r="C196" s="11" t="n">
        <x:v>14.475</x:v>
      </x:c>
      <x:c r="D196" s="11" t="n">
        <x:v>8.59</x:v>
      </x:c>
      <x:c r="E196" s="11" t="n">
        <x:v>3.6</x:v>
      </x:c>
      <x:c r="F196" s="11" t="n">
        <x:f>SQRT((C196-C195)^2+(D196-D195)^2+(E196-E195)^2)</x:f>
        <x:v>1.7599999999999998</x:v>
      </x:c>
      <x:c r="G196" s="8" t="str">
        <x:v>Current</x:v>
      </x:c>
    </x:row>
    <x:row r="197" ht="32" customHeight="1">
      <x:c r="A197" s="8" t="str">
        <x:v>drop:LC1:L1:light:1:L10</x:v>
      </x:c>
      <x:c r="B197" s="8" t="n">
        <x:v>5</x:v>
      </x:c>
      <x:c r="C197" s="11" t="n">
        <x:v>14.475</x:v>
      </x:c>
      <x:c r="D197" s="11" t="n">
        <x:v>8.59</x:v>
      </x:c>
      <x:c r="E197" s="11" t="n">
        <x:v>2.6</x:v>
      </x:c>
      <x:c r="F197" s="11" t="n">
        <x:f>SQRT((C197-C196)^2+(D197-D196)^2+(E197-E196)^2)</x:f>
        <x:v>1</x:v>
      </x:c>
      <x:c r="G197" s="8" t="str">
        <x:v>Current</x:v>
      </x:c>
    </x:row>
    <x:row r="198" ht="32" customHeight="1">
      <x:c r="A198" s="8" t="str">
        <x:v>drop:LC1:L1:light:1:L10</x:v>
      </x:c>
      <x:c r="B198" s="8" t="n">
        <x:v>6</x:v>
      </x:c>
      <x:c r="C198" s="11" t="n">
        <x:v>14.475</x:v>
      </x:c>
      <x:c r="D198" s="11" t="n">
        <x:v>8.584999999999999</x:v>
      </x:c>
      <x:c r="E198" s="11" t="n">
        <x:v>2.6</x:v>
      </x:c>
      <x:c r="F198" s="11" t="n">
        <x:f>SQRT((C198-C197)^2+(D198-D197)^2+(E198-E197)^2)</x:f>
        <x:v>0.005000000000000782</x:v>
      </x:c>
      <x:c r="G198" s="8" t="str">
        <x:v>Current</x:v>
      </x:c>
    </x:row>
    <x:row r="199" ht="32" customHeight="1">
      <x:c r="A199" s="8" t="str">
        <x:v>drop:LC1:L1:light:1:L13</x:v>
      </x:c>
      <x:c r="B199" s="8" t="n">
        <x:v>1</x:v>
      </x:c>
      <x:c r="C199" s="11" t="n">
        <x:v>18.975</x:v>
      </x:c>
      <x:c r="D199" s="11" t="n">
        <x:v>6.35</x:v>
      </x:c>
      <x:c r="E199" s="11" t="n">
        <x:v>7.36</x:v>
      </x:c>
      <x:c r="F199" s="11" t="n">
        <x:f>0</x:f>
        <x:v>0</x:v>
      </x:c>
      <x:c r="G199" s="8" t="str">
        <x:v>Current</x:v>
      </x:c>
    </x:row>
    <x:row r="200" ht="32" customHeight="1">
      <x:c r="A200" s="8" t="str">
        <x:v>drop:LC1:L1:light:1:L13</x:v>
      </x:c>
      <x:c r="B200" s="8" t="n">
        <x:v>2</x:v>
      </x:c>
      <x:c r="C200" s="11" t="n">
        <x:v>18.975</x:v>
      </x:c>
      <x:c r="D200" s="11" t="n">
        <x:v>6.83</x:v>
      </x:c>
      <x:c r="E200" s="11" t="n">
        <x:v>7.36</x:v>
      </x:c>
      <x:c r="F200" s="11" t="n">
        <x:f>SQRT((C200-C199)^2+(D200-D199)^2+(E200-E199)^2)</x:f>
        <x:v>0.4800000000000004</x:v>
      </x:c>
      <x:c r="G200" s="8" t="str">
        <x:v>Current</x:v>
      </x:c>
    </x:row>
    <x:row r="201" ht="32" customHeight="1">
      <x:c r="A201" s="8" t="str">
        <x:v>drop:LC1:L1:light:1:L13</x:v>
      </x:c>
      <x:c r="B201" s="8" t="n">
        <x:v>3</x:v>
      </x:c>
      <x:c r="C201" s="11" t="n">
        <x:v>18.975</x:v>
      </x:c>
      <x:c r="D201" s="11" t="n">
        <x:v>6.83</x:v>
      </x:c>
      <x:c r="E201" s="11" t="n">
        <x:v>3.6</x:v>
      </x:c>
      <x:c r="F201" s="11" t="n">
        <x:f>SQRT((C201-C200)^2+(D201-D200)^2+(E201-E200)^2)</x:f>
        <x:v>3.7600000000000002</x:v>
      </x:c>
      <x:c r="G201" s="8" t="str">
        <x:v>Current</x:v>
      </x:c>
    </x:row>
    <x:row r="202" ht="32" customHeight="1">
      <x:c r="A202" s="8" t="str">
        <x:v>drop:LC1:L1:light:1:L13</x:v>
      </x:c>
      <x:c r="B202" s="8" t="n">
        <x:v>4</x:v>
      </x:c>
      <x:c r="C202" s="11" t="n">
        <x:v>18.975</x:v>
      </x:c>
      <x:c r="D202" s="11" t="n">
        <x:v>8.59</x:v>
      </x:c>
      <x:c r="E202" s="11" t="n">
        <x:v>3.6</x:v>
      </x:c>
      <x:c r="F202" s="11" t="n">
        <x:f>SQRT((C202-C201)^2+(D202-D201)^2+(E202-E201)^2)</x:f>
        <x:v>1.7599999999999998</x:v>
      </x:c>
      <x:c r="G202" s="8" t="str">
        <x:v>Current</x:v>
      </x:c>
    </x:row>
    <x:row r="203" ht="32" customHeight="1">
      <x:c r="A203" s="8" t="str">
        <x:v>drop:LC1:L1:light:1:L13</x:v>
      </x:c>
      <x:c r="B203" s="8" t="n">
        <x:v>5</x:v>
      </x:c>
      <x:c r="C203" s="11" t="n">
        <x:v>18.975</x:v>
      </x:c>
      <x:c r="D203" s="11" t="n">
        <x:v>8.59</x:v>
      </x:c>
      <x:c r="E203" s="11" t="n">
        <x:v>2.6</x:v>
      </x:c>
      <x:c r="F203" s="11" t="n">
        <x:f>SQRT((C203-C202)^2+(D203-D202)^2+(E203-E202)^2)</x:f>
        <x:v>1</x:v>
      </x:c>
      <x:c r="G203" s="8" t="str">
        <x:v>Current</x:v>
      </x:c>
    </x:row>
    <x:row r="204" ht="32" customHeight="1">
      <x:c r="A204" s="8" t="str">
        <x:v>drop:LC1:L1:light:1:L13</x:v>
      </x:c>
      <x:c r="B204" s="8" t="n">
        <x:v>6</x:v>
      </x:c>
      <x:c r="C204" s="11" t="n">
        <x:v>18.975</x:v>
      </x:c>
      <x:c r="D204" s="11" t="n">
        <x:v>8.584999999999999</x:v>
      </x:c>
      <x:c r="E204" s="11" t="n">
        <x:v>2.6</x:v>
      </x:c>
      <x:c r="F204" s="11" t="n">
        <x:f>SQRT((C204-C203)^2+(D204-D203)^2+(E204-E203)^2)</x:f>
        <x:v>0.005000000000000782</x:v>
      </x:c>
      <x:c r="G204" s="8" t="str">
        <x:v>Current</x:v>
      </x:c>
    </x:row>
    <x:row r="205" ht="32" customHeight="1">
      <x:c r="A205" s="8" t="str">
        <x:v>drop:LC1:L1:light:1:L14</x:v>
      </x:c>
      <x:c r="B205" s="8" t="n">
        <x:v>1</x:v>
      </x:c>
      <x:c r="C205" s="11" t="n">
        <x:v>18.975</x:v>
      </x:c>
      <x:c r="D205" s="11" t="n">
        <x:v>6.35</x:v>
      </x:c>
      <x:c r="E205" s="11" t="n">
        <x:v>7.36</x:v>
      </x:c>
      <x:c r="F205" s="11" t="n">
        <x:f>0</x:f>
        <x:v>0</x:v>
      </x:c>
      <x:c r="G205" s="8" t="str">
        <x:v>Current</x:v>
      </x:c>
    </x:row>
    <x:row r="206" ht="32" customHeight="1">
      <x:c r="A206" s="8" t="str">
        <x:v>drop:LC1:L1:light:1:L14</x:v>
      </x:c>
      <x:c r="B206" s="8" t="n">
        <x:v>2</x:v>
      </x:c>
      <x:c r="C206" s="11" t="n">
        <x:v>18.975</x:v>
      </x:c>
      <x:c r="D206" s="11" t="n">
        <x:v>6.83</x:v>
      </x:c>
      <x:c r="E206" s="11" t="n">
        <x:v>7.36</x:v>
      </x:c>
      <x:c r="F206" s="11" t="n">
        <x:f>SQRT((C206-C205)^2+(D206-D205)^2+(E206-E205)^2)</x:f>
        <x:v>0.4800000000000004</x:v>
      </x:c>
      <x:c r="G206" s="8" t="str">
        <x:v>Current</x:v>
      </x:c>
    </x:row>
    <x:row r="207" ht="32" customHeight="1">
      <x:c r="A207" s="8" t="str">
        <x:v>drop:LC1:L1:light:1:L14</x:v>
      </x:c>
      <x:c r="B207" s="8" t="n">
        <x:v>3</x:v>
      </x:c>
      <x:c r="C207" s="11" t="n">
        <x:v>18.975</x:v>
      </x:c>
      <x:c r="D207" s="11" t="n">
        <x:v>6.83</x:v>
      </x:c>
      <x:c r="E207" s="11" t="n">
        <x:v>3.6</x:v>
      </x:c>
      <x:c r="F207" s="11" t="n">
        <x:f>SQRT((C207-C206)^2+(D207-D206)^2+(E207-E206)^2)</x:f>
        <x:v>3.7600000000000002</x:v>
      </x:c>
      <x:c r="G207" s="8" t="str">
        <x:v>Current</x:v>
      </x:c>
    </x:row>
    <x:row r="208" ht="32" customHeight="1">
      <x:c r="A208" s="8" t="str">
        <x:v>drop:LC1:L1:light:1:L14</x:v>
      </x:c>
      <x:c r="B208" s="8" t="n">
        <x:v>4</x:v>
      </x:c>
      <x:c r="C208" s="11" t="n">
        <x:v>18.975</x:v>
      </x:c>
      <x:c r="D208" s="11" t="n">
        <x:v>8.59</x:v>
      </x:c>
      <x:c r="E208" s="11" t="n">
        <x:v>3.6</x:v>
      </x:c>
      <x:c r="F208" s="11" t="n">
        <x:f>SQRT((C208-C207)^2+(D208-D207)^2+(E208-E207)^2)</x:f>
        <x:v>1.7599999999999998</x:v>
      </x:c>
      <x:c r="G208" s="8" t="str">
        <x:v>Current</x:v>
      </x:c>
    </x:row>
    <x:row r="209" ht="32" customHeight="1">
      <x:c r="A209" s="8" t="str">
        <x:v>drop:LC1:L1:light:1:L14</x:v>
      </x:c>
      <x:c r="B209" s="8" t="n">
        <x:v>5</x:v>
      </x:c>
      <x:c r="C209" s="11" t="n">
        <x:v>18.975</x:v>
      </x:c>
      <x:c r="D209" s="11" t="n">
        <x:v>8.59</x:v>
      </x:c>
      <x:c r="E209" s="11" t="n">
        <x:v>2.6</x:v>
      </x:c>
      <x:c r="F209" s="11" t="n">
        <x:f>SQRT((C209-C208)^2+(D209-D208)^2+(E209-E208)^2)</x:f>
        <x:v>1</x:v>
      </x:c>
      <x:c r="G209" s="8" t="str">
        <x:v>Current</x:v>
      </x:c>
    </x:row>
    <x:row r="210" ht="32" customHeight="1">
      <x:c r="A210" s="8" t="str">
        <x:v>drop:LC1:L1:light:1:L14</x:v>
      </x:c>
      <x:c r="B210" s="8" t="n">
        <x:v>6</x:v>
      </x:c>
      <x:c r="C210" s="11" t="n">
        <x:v>18.975</x:v>
      </x:c>
      <x:c r="D210" s="11" t="n">
        <x:v>8.584999999999999</x:v>
      </x:c>
      <x:c r="E210" s="11" t="n">
        <x:v>2.6</x:v>
      </x:c>
      <x:c r="F210" s="11" t="n">
        <x:f>SQRT((C210-C209)^2+(D210-D209)^2+(E210-E209)^2)</x:f>
        <x:v>0.005000000000000782</x:v>
      </x:c>
      <x:c r="G210" s="8" t="str">
        <x:v>Current</x:v>
      </x:c>
    </x:row>
    <x:row r="211" ht="32" customHeight="1">
      <x:c r="A211" s="8" t="str">
        <x:v>drop:LC1:L1:light:1:L17</x:v>
      </x:c>
      <x:c r="B211" s="8" t="n">
        <x:v>1</x:v>
      </x:c>
      <x:c r="C211" s="11" t="n">
        <x:v>23.475</x:v>
      </x:c>
      <x:c r="D211" s="11" t="n">
        <x:v>6.35</x:v>
      </x:c>
      <x:c r="E211" s="11" t="n">
        <x:v>7.36</x:v>
      </x:c>
      <x:c r="F211" s="11" t="n">
        <x:f>0</x:f>
        <x:v>0</x:v>
      </x:c>
      <x:c r="G211" s="8" t="str">
        <x:v>Current</x:v>
      </x:c>
    </x:row>
    <x:row r="212" ht="32" customHeight="1">
      <x:c r="A212" s="8" t="str">
        <x:v>drop:LC1:L1:light:1:L17</x:v>
      </x:c>
      <x:c r="B212" s="8" t="n">
        <x:v>2</x:v>
      </x:c>
      <x:c r="C212" s="11" t="n">
        <x:v>23.475</x:v>
      </x:c>
      <x:c r="D212" s="11" t="n">
        <x:v>6.83</x:v>
      </x:c>
      <x:c r="E212" s="11" t="n">
        <x:v>7.36</x:v>
      </x:c>
      <x:c r="F212" s="11" t="n">
        <x:f>SQRT((C212-C211)^2+(D212-D211)^2+(E212-E211)^2)</x:f>
        <x:v>0.4800000000000004</x:v>
      </x:c>
      <x:c r="G212" s="8" t="str">
        <x:v>Current</x:v>
      </x:c>
    </x:row>
    <x:row r="213" ht="32" customHeight="1">
      <x:c r="A213" s="8" t="str">
        <x:v>drop:LC1:L1:light:1:L17</x:v>
      </x:c>
      <x:c r="B213" s="8" t="n">
        <x:v>3</x:v>
      </x:c>
      <x:c r="C213" s="11" t="n">
        <x:v>23.475</x:v>
      </x:c>
      <x:c r="D213" s="11" t="n">
        <x:v>6.83</x:v>
      </x:c>
      <x:c r="E213" s="11" t="n">
        <x:v>3.6</x:v>
      </x:c>
      <x:c r="F213" s="11" t="n">
        <x:f>SQRT((C213-C212)^2+(D213-D212)^2+(E213-E212)^2)</x:f>
        <x:v>3.7600000000000002</x:v>
      </x:c>
      <x:c r="G213" s="8" t="str">
        <x:v>Current</x:v>
      </x:c>
    </x:row>
    <x:row r="214" ht="32" customHeight="1">
      <x:c r="A214" s="8" t="str">
        <x:v>drop:LC1:L1:light:1:L17</x:v>
      </x:c>
      <x:c r="B214" s="8" t="n">
        <x:v>4</x:v>
      </x:c>
      <x:c r="C214" s="11" t="n">
        <x:v>23.475</x:v>
      </x:c>
      <x:c r="D214" s="11" t="n">
        <x:v>8.59</x:v>
      </x:c>
      <x:c r="E214" s="11" t="n">
        <x:v>3.6</x:v>
      </x:c>
      <x:c r="F214" s="11" t="n">
        <x:f>SQRT((C214-C213)^2+(D214-D213)^2+(E214-E213)^2)</x:f>
        <x:v>1.7599999999999998</x:v>
      </x:c>
      <x:c r="G214" s="8" t="str">
        <x:v>Current</x:v>
      </x:c>
    </x:row>
    <x:row r="215" ht="32" customHeight="1">
      <x:c r="A215" s="8" t="str">
        <x:v>drop:LC1:L1:light:1:L17</x:v>
      </x:c>
      <x:c r="B215" s="8" t="n">
        <x:v>5</x:v>
      </x:c>
      <x:c r="C215" s="11" t="n">
        <x:v>23.475</x:v>
      </x:c>
      <x:c r="D215" s="11" t="n">
        <x:v>8.59</x:v>
      </x:c>
      <x:c r="E215" s="11" t="n">
        <x:v>2.6</x:v>
      </x:c>
      <x:c r="F215" s="11" t="n">
        <x:f>SQRT((C215-C214)^2+(D215-D214)^2+(E215-E214)^2)</x:f>
        <x:v>1</x:v>
      </x:c>
      <x:c r="G215" s="8" t="str">
        <x:v>Current</x:v>
      </x:c>
    </x:row>
    <x:row r="216" ht="32" customHeight="1">
      <x:c r="A216" s="8" t="str">
        <x:v>drop:LC1:L1:light:1:L17</x:v>
      </x:c>
      <x:c r="B216" s="8" t="n">
        <x:v>6</x:v>
      </x:c>
      <x:c r="C216" s="11" t="n">
        <x:v>23.475</x:v>
      </x:c>
      <x:c r="D216" s="11" t="n">
        <x:v>8.584999999999999</x:v>
      </x:c>
      <x:c r="E216" s="11" t="n">
        <x:v>2.6</x:v>
      </x:c>
      <x:c r="F216" s="11" t="n">
        <x:f>SQRT((C216-C215)^2+(D216-D215)^2+(E216-E215)^2)</x:f>
        <x:v>0.005000000000000782</x:v>
      </x:c>
      <x:c r="G216" s="8" t="str">
        <x:v>Current</x:v>
      </x:c>
    </x:row>
    <x:row r="217" ht="32" customHeight="1">
      <x:c r="A217" s="8" t="str">
        <x:v>drop:LC1:L1:light:1:L18</x:v>
      </x:c>
      <x:c r="B217" s="8" t="n">
        <x:v>1</x:v>
      </x:c>
      <x:c r="C217" s="11" t="n">
        <x:v>23.475</x:v>
      </x:c>
      <x:c r="D217" s="11" t="n">
        <x:v>6.35</x:v>
      </x:c>
      <x:c r="E217" s="11" t="n">
        <x:v>7.36</x:v>
      </x:c>
      <x:c r="F217" s="11" t="n">
        <x:f>0</x:f>
        <x:v>0</x:v>
      </x:c>
      <x:c r="G217" s="8" t="str">
        <x:v>Current</x:v>
      </x:c>
    </x:row>
    <x:row r="218" ht="32" customHeight="1">
      <x:c r="A218" s="8" t="str">
        <x:v>drop:LC1:L1:light:1:L18</x:v>
      </x:c>
      <x:c r="B218" s="8" t="n">
        <x:v>2</x:v>
      </x:c>
      <x:c r="C218" s="11" t="n">
        <x:v>23.475</x:v>
      </x:c>
      <x:c r="D218" s="11" t="n">
        <x:v>6.83</x:v>
      </x:c>
      <x:c r="E218" s="11" t="n">
        <x:v>7.36</x:v>
      </x:c>
      <x:c r="F218" s="11" t="n">
        <x:f>SQRT((C218-C217)^2+(D218-D217)^2+(E218-E217)^2)</x:f>
        <x:v>0.4800000000000004</x:v>
      </x:c>
      <x:c r="G218" s="8" t="str">
        <x:v>Current</x:v>
      </x:c>
    </x:row>
    <x:row r="219" ht="32" customHeight="1">
      <x:c r="A219" s="8" t="str">
        <x:v>drop:LC1:L1:light:1:L18</x:v>
      </x:c>
      <x:c r="B219" s="8" t="n">
        <x:v>3</x:v>
      </x:c>
      <x:c r="C219" s="11" t="n">
        <x:v>23.475</x:v>
      </x:c>
      <x:c r="D219" s="11" t="n">
        <x:v>6.83</x:v>
      </x:c>
      <x:c r="E219" s="11" t="n">
        <x:v>3.6</x:v>
      </x:c>
      <x:c r="F219" s="11" t="n">
        <x:f>SQRT((C219-C218)^2+(D219-D218)^2+(E219-E218)^2)</x:f>
        <x:v>3.7600000000000002</x:v>
      </x:c>
      <x:c r="G219" s="8" t="str">
        <x:v>Current</x:v>
      </x:c>
    </x:row>
    <x:row r="220" ht="32" customHeight="1">
      <x:c r="A220" s="8" t="str">
        <x:v>drop:LC1:L1:light:1:L18</x:v>
      </x:c>
      <x:c r="B220" s="8" t="n">
        <x:v>4</x:v>
      </x:c>
      <x:c r="C220" s="11" t="n">
        <x:v>23.475</x:v>
      </x:c>
      <x:c r="D220" s="11" t="n">
        <x:v>8.59</x:v>
      </x:c>
      <x:c r="E220" s="11" t="n">
        <x:v>3.6</x:v>
      </x:c>
      <x:c r="F220" s="11" t="n">
        <x:f>SQRT((C220-C219)^2+(D220-D219)^2+(E220-E219)^2)</x:f>
        <x:v>1.7599999999999998</x:v>
      </x:c>
      <x:c r="G220" s="8" t="str">
        <x:v>Current</x:v>
      </x:c>
    </x:row>
    <x:row r="221" ht="32" customHeight="1">
      <x:c r="A221" s="8" t="str">
        <x:v>drop:LC1:L1:light:1:L18</x:v>
      </x:c>
      <x:c r="B221" s="8" t="n">
        <x:v>5</x:v>
      </x:c>
      <x:c r="C221" s="11" t="n">
        <x:v>23.475</x:v>
      </x:c>
      <x:c r="D221" s="11" t="n">
        <x:v>8.59</x:v>
      </x:c>
      <x:c r="E221" s="11" t="n">
        <x:v>2.6</x:v>
      </x:c>
      <x:c r="F221" s="11" t="n">
        <x:f>SQRT((C221-C220)^2+(D221-D220)^2+(E221-E220)^2)</x:f>
        <x:v>1</x:v>
      </x:c>
      <x:c r="G221" s="8" t="str">
        <x:v>Current</x:v>
      </x:c>
    </x:row>
    <x:row r="222" ht="32" customHeight="1">
      <x:c r="A222" s="8" t="str">
        <x:v>drop:LC1:L1:light:1:L18</x:v>
      </x:c>
      <x:c r="B222" s="8" t="n">
        <x:v>6</x:v>
      </x:c>
      <x:c r="C222" s="11" t="n">
        <x:v>23.475</x:v>
      </x:c>
      <x:c r="D222" s="11" t="n">
        <x:v>8.584999999999999</x:v>
      </x:c>
      <x:c r="E222" s="11" t="n">
        <x:v>2.6</x:v>
      </x:c>
      <x:c r="F222" s="11" t="n">
        <x:f>SQRT((C222-C221)^2+(D222-D221)^2+(E222-E221)^2)</x:f>
        <x:v>0.005000000000000782</x:v>
      </x:c>
      <x:c r="G222" s="8" t="str">
        <x:v>Current</x:v>
      </x:c>
    </x:row>
    <x:row r="223" ht="32" customHeight="1">
      <x:c r="A223" s="8" t="str">
        <x:v>drop:LC1:L1:light:1:L21</x:v>
      </x:c>
      <x:c r="B223" s="8" t="n">
        <x:v>1</x:v>
      </x:c>
      <x:c r="C223" s="11" t="n">
        <x:v>27.975</x:v>
      </x:c>
      <x:c r="D223" s="11" t="n">
        <x:v>6.35</x:v>
      </x:c>
      <x:c r="E223" s="11" t="n">
        <x:v>7.36</x:v>
      </x:c>
      <x:c r="F223" s="11" t="n">
        <x:f>0</x:f>
        <x:v>0</x:v>
      </x:c>
      <x:c r="G223" s="8" t="str">
        <x:v>Current</x:v>
      </x:c>
    </x:row>
    <x:row r="224" ht="32" customHeight="1">
      <x:c r="A224" s="8" t="str">
        <x:v>drop:LC1:L1:light:1:L21</x:v>
      </x:c>
      <x:c r="B224" s="8" t="n">
        <x:v>2</x:v>
      </x:c>
      <x:c r="C224" s="11" t="n">
        <x:v>27.975</x:v>
      </x:c>
      <x:c r="D224" s="11" t="n">
        <x:v>6.83</x:v>
      </x:c>
      <x:c r="E224" s="11" t="n">
        <x:v>7.36</x:v>
      </x:c>
      <x:c r="F224" s="11" t="n">
        <x:f>SQRT((C224-C223)^2+(D224-D223)^2+(E224-E223)^2)</x:f>
        <x:v>0.4800000000000004</x:v>
      </x:c>
      <x:c r="G224" s="8" t="str">
        <x:v>Current</x:v>
      </x:c>
    </x:row>
    <x:row r="225" ht="32" customHeight="1">
      <x:c r="A225" s="8" t="str">
        <x:v>drop:LC1:L1:light:1:L21</x:v>
      </x:c>
      <x:c r="B225" s="8" t="n">
        <x:v>3</x:v>
      </x:c>
      <x:c r="C225" s="11" t="n">
        <x:v>27.975</x:v>
      </x:c>
      <x:c r="D225" s="11" t="n">
        <x:v>6.83</x:v>
      </x:c>
      <x:c r="E225" s="11" t="n">
        <x:v>3.6</x:v>
      </x:c>
      <x:c r="F225" s="11" t="n">
        <x:f>SQRT((C225-C224)^2+(D225-D224)^2+(E225-E224)^2)</x:f>
        <x:v>3.7600000000000002</x:v>
      </x:c>
      <x:c r="G225" s="8" t="str">
        <x:v>Current</x:v>
      </x:c>
    </x:row>
    <x:row r="226" ht="32" customHeight="1">
      <x:c r="A226" s="8" t="str">
        <x:v>drop:LC1:L1:light:1:L21</x:v>
      </x:c>
      <x:c r="B226" s="8" t="n">
        <x:v>4</x:v>
      </x:c>
      <x:c r="C226" s="11" t="n">
        <x:v>27.975</x:v>
      </x:c>
      <x:c r="D226" s="11" t="n">
        <x:v>8.59</x:v>
      </x:c>
      <x:c r="E226" s="11" t="n">
        <x:v>3.6</x:v>
      </x:c>
      <x:c r="F226" s="11" t="n">
        <x:f>SQRT((C226-C225)^2+(D226-D225)^2+(E226-E225)^2)</x:f>
        <x:v>1.7599999999999998</x:v>
      </x:c>
      <x:c r="G226" s="8" t="str">
        <x:v>Current</x:v>
      </x:c>
    </x:row>
    <x:row r="227" ht="32" customHeight="1">
      <x:c r="A227" s="8" t="str">
        <x:v>drop:LC1:L1:light:1:L21</x:v>
      </x:c>
      <x:c r="B227" s="8" t="n">
        <x:v>5</x:v>
      </x:c>
      <x:c r="C227" s="11" t="n">
        <x:v>27.975</x:v>
      </x:c>
      <x:c r="D227" s="11" t="n">
        <x:v>8.59</x:v>
      </x:c>
      <x:c r="E227" s="11" t="n">
        <x:v>2.6</x:v>
      </x:c>
      <x:c r="F227" s="11" t="n">
        <x:f>SQRT((C227-C226)^2+(D227-D226)^2+(E227-E226)^2)</x:f>
        <x:v>1</x:v>
      </x:c>
      <x:c r="G227" s="8" t="str">
        <x:v>Current</x:v>
      </x:c>
    </x:row>
    <x:row r="228" ht="32" customHeight="1">
      <x:c r="A228" s="8" t="str">
        <x:v>drop:LC1:L1:light:1:L21</x:v>
      </x:c>
      <x:c r="B228" s="8" t="n">
        <x:v>6</x:v>
      </x:c>
      <x:c r="C228" s="11" t="n">
        <x:v>27.975</x:v>
      </x:c>
      <x:c r="D228" s="11" t="n">
        <x:v>8.584999999999999</x:v>
      </x:c>
      <x:c r="E228" s="11" t="n">
        <x:v>2.6</x:v>
      </x:c>
      <x:c r="F228" s="11" t="n">
        <x:f>SQRT((C228-C227)^2+(D228-D227)^2+(E228-E227)^2)</x:f>
        <x:v>0.005000000000000782</x:v>
      </x:c>
      <x:c r="G228" s="8" t="str">
        <x:v>Current</x:v>
      </x:c>
    </x:row>
    <x:row r="229" ht="32" customHeight="1">
      <x:c r="A229" s="8" t="str">
        <x:v>drop:LC1:L1:light:1:L22</x:v>
      </x:c>
      <x:c r="B229" s="8" t="n">
        <x:v>1</x:v>
      </x:c>
      <x:c r="C229" s="11" t="n">
        <x:v>27.975</x:v>
      </x:c>
      <x:c r="D229" s="11" t="n">
        <x:v>6.35</x:v>
      </x:c>
      <x:c r="E229" s="11" t="n">
        <x:v>7.36</x:v>
      </x:c>
      <x:c r="F229" s="11" t="n">
        <x:f>0</x:f>
        <x:v>0</x:v>
      </x:c>
      <x:c r="G229" s="8" t="str">
        <x:v>Current</x:v>
      </x:c>
    </x:row>
    <x:row r="230" ht="32" customHeight="1">
      <x:c r="A230" s="8" t="str">
        <x:v>drop:LC1:L1:light:1:L22</x:v>
      </x:c>
      <x:c r="B230" s="8" t="n">
        <x:v>2</x:v>
      </x:c>
      <x:c r="C230" s="11" t="n">
        <x:v>27.975</x:v>
      </x:c>
      <x:c r="D230" s="11" t="n">
        <x:v>6.83</x:v>
      </x:c>
      <x:c r="E230" s="11" t="n">
        <x:v>7.36</x:v>
      </x:c>
      <x:c r="F230" s="11" t="n">
        <x:f>SQRT((C230-C229)^2+(D230-D229)^2+(E230-E229)^2)</x:f>
        <x:v>0.4800000000000004</x:v>
      </x:c>
      <x:c r="G230" s="8" t="str">
        <x:v>Current</x:v>
      </x:c>
    </x:row>
    <x:row r="231" ht="32" customHeight="1">
      <x:c r="A231" s="8" t="str">
        <x:v>drop:LC1:L1:light:1:L22</x:v>
      </x:c>
      <x:c r="B231" s="8" t="n">
        <x:v>3</x:v>
      </x:c>
      <x:c r="C231" s="11" t="n">
        <x:v>27.975</x:v>
      </x:c>
      <x:c r="D231" s="11" t="n">
        <x:v>6.83</x:v>
      </x:c>
      <x:c r="E231" s="11" t="n">
        <x:v>3.6</x:v>
      </x:c>
      <x:c r="F231" s="11" t="n">
        <x:f>SQRT((C231-C230)^2+(D231-D230)^2+(E231-E230)^2)</x:f>
        <x:v>3.7600000000000002</x:v>
      </x:c>
      <x:c r="G231" s="8" t="str">
        <x:v>Current</x:v>
      </x:c>
    </x:row>
    <x:row r="232" ht="32" customHeight="1">
      <x:c r="A232" s="8" t="str">
        <x:v>drop:LC1:L1:light:1:L22</x:v>
      </x:c>
      <x:c r="B232" s="8" t="n">
        <x:v>4</x:v>
      </x:c>
      <x:c r="C232" s="11" t="n">
        <x:v>27.975</x:v>
      </x:c>
      <x:c r="D232" s="11" t="n">
        <x:v>8.59</x:v>
      </x:c>
      <x:c r="E232" s="11" t="n">
        <x:v>3.6</x:v>
      </x:c>
      <x:c r="F232" s="11" t="n">
        <x:f>SQRT((C232-C231)^2+(D232-D231)^2+(E232-E231)^2)</x:f>
        <x:v>1.7599999999999998</x:v>
      </x:c>
      <x:c r="G232" s="8" t="str">
        <x:v>Current</x:v>
      </x:c>
    </x:row>
    <x:row r="233" ht="32" customHeight="1">
      <x:c r="A233" s="8" t="str">
        <x:v>drop:LC1:L1:light:1:L22</x:v>
      </x:c>
      <x:c r="B233" s="8" t="n">
        <x:v>5</x:v>
      </x:c>
      <x:c r="C233" s="11" t="n">
        <x:v>27.975</x:v>
      </x:c>
      <x:c r="D233" s="11" t="n">
        <x:v>8.59</x:v>
      </x:c>
      <x:c r="E233" s="11" t="n">
        <x:v>2.6</x:v>
      </x:c>
      <x:c r="F233" s="11" t="n">
        <x:f>SQRT((C233-C232)^2+(D233-D232)^2+(E233-E232)^2)</x:f>
        <x:v>1</x:v>
      </x:c>
      <x:c r="G233" s="8" t="str">
        <x:v>Current</x:v>
      </x:c>
    </x:row>
    <x:row r="234" ht="32" customHeight="1">
      <x:c r="A234" s="8" t="str">
        <x:v>drop:LC1:L1:light:1:L22</x:v>
      </x:c>
      <x:c r="B234" s="8" t="n">
        <x:v>6</x:v>
      </x:c>
      <x:c r="C234" s="11" t="n">
        <x:v>27.975</x:v>
      </x:c>
      <x:c r="D234" s="11" t="n">
        <x:v>8.584999999999999</x:v>
      </x:c>
      <x:c r="E234" s="11" t="n">
        <x:v>2.6</x:v>
      </x:c>
      <x:c r="F234" s="11" t="n">
        <x:f>SQRT((C234-C233)^2+(D234-D233)^2+(E234-E233)^2)</x:f>
        <x:v>0.005000000000000782</x:v>
      </x:c>
      <x:c r="G234" s="8" t="str">
        <x:v>Current</x:v>
      </x:c>
    </x:row>
    <x:row r="235" ht="32" customHeight="1">
      <x:c r="A235" s="8" t="str">
        <x:v>drop:LC1:L1:light:1:L25</x:v>
      </x:c>
      <x:c r="B235" s="8" t="n">
        <x:v>1</x:v>
      </x:c>
      <x:c r="C235" s="11" t="n">
        <x:v>32.475</x:v>
      </x:c>
      <x:c r="D235" s="11" t="n">
        <x:v>6.35</x:v>
      </x:c>
      <x:c r="E235" s="11" t="n">
        <x:v>7.36</x:v>
      </x:c>
      <x:c r="F235" s="11" t="n">
        <x:f>0</x:f>
        <x:v>0</x:v>
      </x:c>
      <x:c r="G235" s="8" t="str">
        <x:v>Current</x:v>
      </x:c>
    </x:row>
    <x:row r="236" ht="32" customHeight="1">
      <x:c r="A236" s="8" t="str">
        <x:v>drop:LC1:L1:light:1:L25</x:v>
      </x:c>
      <x:c r="B236" s="8" t="n">
        <x:v>2</x:v>
      </x:c>
      <x:c r="C236" s="11" t="n">
        <x:v>32.475</x:v>
      </x:c>
      <x:c r="D236" s="11" t="n">
        <x:v>6.83</x:v>
      </x:c>
      <x:c r="E236" s="11" t="n">
        <x:v>7.36</x:v>
      </x:c>
      <x:c r="F236" s="11" t="n">
        <x:f>SQRT((C236-C235)^2+(D236-D235)^2+(E236-E235)^2)</x:f>
        <x:v>0.4800000000000004</x:v>
      </x:c>
      <x:c r="G236" s="8" t="str">
        <x:v>Current</x:v>
      </x:c>
    </x:row>
    <x:row r="237" ht="32" customHeight="1">
      <x:c r="A237" s="8" t="str">
        <x:v>drop:LC1:L1:light:1:L25</x:v>
      </x:c>
      <x:c r="B237" s="8" t="n">
        <x:v>3</x:v>
      </x:c>
      <x:c r="C237" s="11" t="n">
        <x:v>32.475</x:v>
      </x:c>
      <x:c r="D237" s="11" t="n">
        <x:v>6.83</x:v>
      </x:c>
      <x:c r="E237" s="11" t="n">
        <x:v>3.6</x:v>
      </x:c>
      <x:c r="F237" s="11" t="n">
        <x:f>SQRT((C237-C236)^2+(D237-D236)^2+(E237-E236)^2)</x:f>
        <x:v>3.7600000000000002</x:v>
      </x:c>
      <x:c r="G237" s="8" t="str">
        <x:v>Current</x:v>
      </x:c>
    </x:row>
    <x:row r="238" ht="32" customHeight="1">
      <x:c r="A238" s="8" t="str">
        <x:v>drop:LC1:L1:light:1:L25</x:v>
      </x:c>
      <x:c r="B238" s="8" t="n">
        <x:v>4</x:v>
      </x:c>
      <x:c r="C238" s="11" t="n">
        <x:v>32.475</x:v>
      </x:c>
      <x:c r="D238" s="11" t="n">
        <x:v>8.59</x:v>
      </x:c>
      <x:c r="E238" s="11" t="n">
        <x:v>3.6</x:v>
      </x:c>
      <x:c r="F238" s="11" t="n">
        <x:f>SQRT((C238-C237)^2+(D238-D237)^2+(E238-E237)^2)</x:f>
        <x:v>1.7599999999999998</x:v>
      </x:c>
      <x:c r="G238" s="8" t="str">
        <x:v>Current</x:v>
      </x:c>
    </x:row>
    <x:row r="239" ht="32" customHeight="1">
      <x:c r="A239" s="8" t="str">
        <x:v>drop:LC1:L1:light:1:L25</x:v>
      </x:c>
      <x:c r="B239" s="8" t="n">
        <x:v>5</x:v>
      </x:c>
      <x:c r="C239" s="11" t="n">
        <x:v>32.475</x:v>
      </x:c>
      <x:c r="D239" s="11" t="n">
        <x:v>8.59</x:v>
      </x:c>
      <x:c r="E239" s="11" t="n">
        <x:v>2.6</x:v>
      </x:c>
      <x:c r="F239" s="11" t="n">
        <x:f>SQRT((C239-C238)^2+(D239-D238)^2+(E239-E238)^2)</x:f>
        <x:v>1</x:v>
      </x:c>
      <x:c r="G239" s="8" t="str">
        <x:v>Current</x:v>
      </x:c>
    </x:row>
    <x:row r="240" ht="32" customHeight="1">
      <x:c r="A240" s="8" t="str">
        <x:v>drop:LC1:L1:light:1:L25</x:v>
      </x:c>
      <x:c r="B240" s="8" t="n">
        <x:v>6</x:v>
      </x:c>
      <x:c r="C240" s="11" t="n">
        <x:v>32.475</x:v>
      </x:c>
      <x:c r="D240" s="11" t="n">
        <x:v>8.584999999999999</x:v>
      </x:c>
      <x:c r="E240" s="11" t="n">
        <x:v>2.6</x:v>
      </x:c>
      <x:c r="F240" s="11" t="n">
        <x:f>SQRT((C240-C239)^2+(D240-D239)^2+(E240-E239)^2)</x:f>
        <x:v>0.005000000000000782</x:v>
      </x:c>
      <x:c r="G240" s="8" t="str">
        <x:v>Current</x:v>
      </x:c>
    </x:row>
    <x:row r="241" ht="32" customHeight="1">
      <x:c r="A241" s="8" t="str">
        <x:v>drop:LC1:L1:light:1:L26</x:v>
      </x:c>
      <x:c r="B241" s="8" t="n">
        <x:v>1</x:v>
      </x:c>
      <x:c r="C241" s="11" t="n">
        <x:v>32.475</x:v>
      </x:c>
      <x:c r="D241" s="11" t="n">
        <x:v>6.35</x:v>
      </x:c>
      <x:c r="E241" s="11" t="n">
        <x:v>7.36</x:v>
      </x:c>
      <x:c r="F241" s="11" t="n">
        <x:f>0</x:f>
        <x:v>0</x:v>
      </x:c>
      <x:c r="G241" s="8" t="str">
        <x:v>Current</x:v>
      </x:c>
    </x:row>
    <x:row r="242" ht="32" customHeight="1">
      <x:c r="A242" s="8" t="str">
        <x:v>drop:LC1:L1:light:1:L26</x:v>
      </x:c>
      <x:c r="B242" s="8" t="n">
        <x:v>2</x:v>
      </x:c>
      <x:c r="C242" s="11" t="n">
        <x:v>32.475</x:v>
      </x:c>
      <x:c r="D242" s="11" t="n">
        <x:v>6.83</x:v>
      </x:c>
      <x:c r="E242" s="11" t="n">
        <x:v>7.36</x:v>
      </x:c>
      <x:c r="F242" s="11" t="n">
        <x:f>SQRT((C242-C241)^2+(D242-D241)^2+(E242-E241)^2)</x:f>
        <x:v>0.4800000000000004</x:v>
      </x:c>
      <x:c r="G242" s="8" t="str">
        <x:v>Current</x:v>
      </x:c>
    </x:row>
    <x:row r="243" ht="32" customHeight="1">
      <x:c r="A243" s="8" t="str">
        <x:v>drop:LC1:L1:light:1:L26</x:v>
      </x:c>
      <x:c r="B243" s="8" t="n">
        <x:v>3</x:v>
      </x:c>
      <x:c r="C243" s="11" t="n">
        <x:v>32.475</x:v>
      </x:c>
      <x:c r="D243" s="11" t="n">
        <x:v>6.83</x:v>
      </x:c>
      <x:c r="E243" s="11" t="n">
        <x:v>3.6</x:v>
      </x:c>
      <x:c r="F243" s="11" t="n">
        <x:f>SQRT((C243-C242)^2+(D243-D242)^2+(E243-E242)^2)</x:f>
        <x:v>3.7600000000000002</x:v>
      </x:c>
      <x:c r="G243" s="8" t="str">
        <x:v>Current</x:v>
      </x:c>
    </x:row>
    <x:row r="244" ht="32" customHeight="1">
      <x:c r="A244" s="8" t="str">
        <x:v>drop:LC1:L1:light:1:L26</x:v>
      </x:c>
      <x:c r="B244" s="8" t="n">
        <x:v>4</x:v>
      </x:c>
      <x:c r="C244" s="11" t="n">
        <x:v>32.475</x:v>
      </x:c>
      <x:c r="D244" s="11" t="n">
        <x:v>8.59</x:v>
      </x:c>
      <x:c r="E244" s="11" t="n">
        <x:v>3.6</x:v>
      </x:c>
      <x:c r="F244" s="11" t="n">
        <x:f>SQRT((C244-C243)^2+(D244-D243)^2+(E244-E243)^2)</x:f>
        <x:v>1.7599999999999998</x:v>
      </x:c>
      <x:c r="G244" s="8" t="str">
        <x:v>Current</x:v>
      </x:c>
    </x:row>
    <x:row r="245" ht="32" customHeight="1">
      <x:c r="A245" s="8" t="str">
        <x:v>drop:LC1:L1:light:1:L26</x:v>
      </x:c>
      <x:c r="B245" s="8" t="n">
        <x:v>5</x:v>
      </x:c>
      <x:c r="C245" s="11" t="n">
        <x:v>32.475</x:v>
      </x:c>
      <x:c r="D245" s="11" t="n">
        <x:v>8.59</x:v>
      </x:c>
      <x:c r="E245" s="11" t="n">
        <x:v>2.6</x:v>
      </x:c>
      <x:c r="F245" s="11" t="n">
        <x:f>SQRT((C245-C244)^2+(D245-D244)^2+(E245-E244)^2)</x:f>
        <x:v>1</x:v>
      </x:c>
      <x:c r="G245" s="8" t="str">
        <x:v>Current</x:v>
      </x:c>
    </x:row>
    <x:row r="246" ht="32" customHeight="1">
      <x:c r="A246" s="8" t="str">
        <x:v>drop:LC1:L1:light:1:L26</x:v>
      </x:c>
      <x:c r="B246" s="8" t="n">
        <x:v>6</x:v>
      </x:c>
      <x:c r="C246" s="11" t="n">
        <x:v>32.475</x:v>
      </x:c>
      <x:c r="D246" s="11" t="n">
        <x:v>8.584999999999999</x:v>
      </x:c>
      <x:c r="E246" s="11" t="n">
        <x:v>2.6</x:v>
      </x:c>
      <x:c r="F246" s="11" t="n">
        <x:f>SQRT((C246-C245)^2+(D246-D245)^2+(E246-E245)^2)</x:f>
        <x:v>0.005000000000000782</x:v>
      </x:c>
      <x:c r="G246" s="8" t="str">
        <x:v>Current</x:v>
      </x:c>
    </x:row>
    <x:row r="247" ht="32" customHeight="1">
      <x:c r="A247" s="8" t="str">
        <x:v>drop:LC1:L1:light:1:L29</x:v>
      </x:c>
      <x:c r="B247" s="8" t="n">
        <x:v>1</x:v>
      </x:c>
      <x:c r="C247" s="11" t="n">
        <x:v>36.975</x:v>
      </x:c>
      <x:c r="D247" s="11" t="n">
        <x:v>6.35</x:v>
      </x:c>
      <x:c r="E247" s="11" t="n">
        <x:v>13.24</x:v>
      </x:c>
      <x:c r="F247" s="11" t="n">
        <x:f>0</x:f>
        <x:v>0</x:v>
      </x:c>
      <x:c r="G247" s="8" t="str">
        <x:v>Current</x:v>
      </x:c>
    </x:row>
    <x:row r="248" ht="32" customHeight="1">
      <x:c r="A248" s="8" t="str">
        <x:v>drop:LC1:L1:light:1:L29</x:v>
      </x:c>
      <x:c r="B248" s="8" t="n">
        <x:v>2</x:v>
      </x:c>
      <x:c r="C248" s="11" t="n">
        <x:v>36.975</x:v>
      </x:c>
      <x:c r="D248" s="11" t="n">
        <x:v>6.35</x:v>
      </x:c>
      <x:c r="E248" s="11" t="n">
        <x:v>2.6</x:v>
      </x:c>
      <x:c r="F248" s="11" t="n">
        <x:f>SQRT((C248-C247)^2+(D248-D247)^2+(E248-E247)^2)</x:f>
        <x:v>10.64</x:v>
      </x:c>
      <x:c r="G248" s="8" t="str">
        <x:v>Current</x:v>
      </x:c>
    </x:row>
    <x:row r="249" ht="32" customHeight="1">
      <x:c r="A249" s="8" t="str">
        <x:v>drop:LC1:L1:light:1:L29</x:v>
      </x:c>
      <x:c r="B249" s="8" t="n">
        <x:v>3</x:v>
      </x:c>
      <x:c r="C249" s="11" t="n">
        <x:v>36.975</x:v>
      </x:c>
      <x:c r="D249" s="11" t="n">
        <x:v>8.59</x:v>
      </x:c>
      <x:c r="E249" s="11" t="n">
        <x:v>2.6</x:v>
      </x:c>
      <x:c r="F249" s="11" t="n">
        <x:f>SQRT((C249-C248)^2+(D249-D248)^2+(E249-E248)^2)</x:f>
        <x:v>2.24</x:v>
      </x:c>
      <x:c r="G249" s="8" t="str">
        <x:v>Current</x:v>
      </x:c>
    </x:row>
    <x:row r="250" ht="32" customHeight="1">
      <x:c r="A250" s="8" t="str">
        <x:v>drop:LC1:L1:light:1:L29</x:v>
      </x:c>
      <x:c r="B250" s="8" t="n">
        <x:v>4</x:v>
      </x:c>
      <x:c r="C250" s="11" t="n">
        <x:v>36.975</x:v>
      </x:c>
      <x:c r="D250" s="11" t="n">
        <x:v>8.584999999999999</x:v>
      </x:c>
      <x:c r="E250" s="11" t="n">
        <x:v>2.6</x:v>
      </x:c>
      <x:c r="F250" s="11" t="n">
        <x:f>SQRT((C250-C249)^2+(D250-D249)^2+(E250-E249)^2)</x:f>
        <x:v>0.005000000000000782</x:v>
      </x:c>
      <x:c r="G250" s="8" t="str">
        <x:v>Current</x:v>
      </x:c>
    </x:row>
    <x:row r="251" ht="32" customHeight="1">
      <x:c r="A251" s="8" t="str">
        <x:v>drop:LC1:L1:light:1:L30</x:v>
      </x:c>
      <x:c r="B251" s="8" t="n">
        <x:v>1</x:v>
      </x:c>
      <x:c r="C251" s="11" t="n">
        <x:v>36.975</x:v>
      </x:c>
      <x:c r="D251" s="11" t="n">
        <x:v>6.35</x:v>
      </x:c>
      <x:c r="E251" s="11" t="n">
        <x:v>13.24</x:v>
      </x:c>
      <x:c r="F251" s="11" t="n">
        <x:f>0</x:f>
        <x:v>0</x:v>
      </x:c>
      <x:c r="G251" s="8" t="str">
        <x:v>Current</x:v>
      </x:c>
    </x:row>
    <x:row r="252" ht="32" customHeight="1">
      <x:c r="A252" s="8" t="str">
        <x:v>drop:LC1:L1:light:1:L30</x:v>
      </x:c>
      <x:c r="B252" s="8" t="n">
        <x:v>2</x:v>
      </x:c>
      <x:c r="C252" s="11" t="n">
        <x:v>36.975</x:v>
      </x:c>
      <x:c r="D252" s="11" t="n">
        <x:v>6.35</x:v>
      </x:c>
      <x:c r="E252" s="11" t="n">
        <x:v>2.6</x:v>
      </x:c>
      <x:c r="F252" s="11" t="n">
        <x:f>SQRT((C252-C251)^2+(D252-D251)^2+(E252-E251)^2)</x:f>
        <x:v>10.64</x:v>
      </x:c>
      <x:c r="G252" s="8" t="str">
        <x:v>Current</x:v>
      </x:c>
    </x:row>
    <x:row r="253" ht="32" customHeight="1">
      <x:c r="A253" s="8" t="str">
        <x:v>drop:LC1:L1:light:1:L30</x:v>
      </x:c>
      <x:c r="B253" s="8" t="n">
        <x:v>3</x:v>
      </x:c>
      <x:c r="C253" s="11" t="n">
        <x:v>36.975</x:v>
      </x:c>
      <x:c r="D253" s="11" t="n">
        <x:v>8.59</x:v>
      </x:c>
      <x:c r="E253" s="11" t="n">
        <x:v>2.6</x:v>
      </x:c>
      <x:c r="F253" s="11" t="n">
        <x:f>SQRT((C253-C252)^2+(D253-D252)^2+(E253-E252)^2)</x:f>
        <x:v>2.24</x:v>
      </x:c>
      <x:c r="G253" s="8" t="str">
        <x:v>Current</x:v>
      </x:c>
    </x:row>
    <x:row r="254" ht="32" customHeight="1">
      <x:c r="A254" s="8" t="str">
        <x:v>drop:LC1:L1:light:1:L30</x:v>
      </x:c>
      <x:c r="B254" s="8" t="n">
        <x:v>4</x:v>
      </x:c>
      <x:c r="C254" s="11" t="n">
        <x:v>36.975</x:v>
      </x:c>
      <x:c r="D254" s="11" t="n">
        <x:v>8.584999999999999</x:v>
      </x:c>
      <x:c r="E254" s="11" t="n">
        <x:v>2.6</x:v>
      </x:c>
      <x:c r="F254" s="11" t="n">
        <x:f>SQRT((C254-C253)^2+(D254-D253)^2+(E254-E253)^2)</x:f>
        <x:v>0.005000000000000782</x:v>
      </x:c>
      <x:c r="G254" s="8" t="str">
        <x:v>Current</x:v>
      </x:c>
    </x:row>
    <x:row r="255" ht="32" customHeight="1">
      <x:c r="A255" s="8" t="str">
        <x:v>drop:LC1:L1:light:1:L61</x:v>
      </x:c>
      <x:c r="B255" s="8" t="n">
        <x:v>1</x:v>
      </x:c>
      <x:c r="C255" s="11" t="n">
        <x:v>2.65</x:v>
      </x:c>
      <x:c r="D255" s="11" t="n">
        <x:v>6.35</x:v>
      </x:c>
      <x:c r="E255" s="11" t="n">
        <x:v>7.36</x:v>
      </x:c>
      <x:c r="F255" s="11" t="n">
        <x:f>0</x:f>
        <x:v>0</x:v>
      </x:c>
      <x:c r="G255" s="8" t="str">
        <x:v>Current</x:v>
      </x:c>
    </x:row>
    <x:row r="256" ht="32" customHeight="1">
      <x:c r="A256" s="8" t="str">
        <x:v>drop:LC1:L1:light:1:L61</x:v>
      </x:c>
      <x:c r="B256" s="8" t="n">
        <x:v>2</x:v>
      </x:c>
      <x:c r="C256" s="11" t="n">
        <x:v>2.35</x:v>
      </x:c>
      <x:c r="D256" s="11" t="n">
        <x:v>7.65</x:v>
      </x:c>
      <x:c r="E256" s="11" t="n">
        <x:v>7.36</x:v>
      </x:c>
      <x:c r="F256" s="11" t="n">
        <x:f>SQRT((C256-C255)^2+(D256-D255)^2+(E256-E255)^2)</x:f>
        <x:v>1.334166406412634</x:v>
      </x:c>
      <x:c r="G256" s="8" t="str">
        <x:v>Current</x:v>
      </x:c>
    </x:row>
    <x:row r="257" ht="32" customHeight="1">
      <x:c r="A257" s="8" t="str">
        <x:v>drop:LC1:L1:light:1:L61</x:v>
      </x:c>
      <x:c r="B257" s="8" t="n">
        <x:v>3</x:v>
      </x:c>
      <x:c r="C257" s="11" t="n">
        <x:v>2.35</x:v>
      </x:c>
      <x:c r="D257" s="11" t="n">
        <x:v>7.65</x:v>
      </x:c>
      <x:c r="E257" s="11" t="n">
        <x:v>4.2</x:v>
      </x:c>
      <x:c r="F257" s="11" t="n">
        <x:f>SQRT((C257-C256)^2+(D257-D256)^2+(E257-E256)^2)</x:f>
        <x:v>3.16</x:v>
      </x:c>
      <x:c r="G257" s="8" t="str">
        <x:v>Current</x:v>
      </x:c>
    </x:row>
    <x:row r="258" ht="32" customHeight="1">
      <x:c r="A258" s="8" t="str">
        <x:v>drop:LC1:L1:light:1:L61</x:v>
      </x:c>
      <x:c r="B258" s="8" t="n">
        <x:v>4</x:v>
      </x:c>
      <x:c r="C258" s="11" t="n">
        <x:v>2.35</x:v>
      </x:c>
      <x:c r="D258" s="11" t="n">
        <x:v>3.45</x:v>
      </x:c>
      <x:c r="E258" s="11" t="n">
        <x:v>4.2</x:v>
      </x:c>
      <x:c r="F258" s="11" t="n">
        <x:f>SQRT((C258-C257)^2+(D258-D257)^2+(E258-E257)^2)</x:f>
        <x:v>4.2</x:v>
      </x:c>
      <x:c r="G258" s="8" t="str">
        <x:v>Current</x:v>
      </x:c>
    </x:row>
    <x:row r="259" ht="32" customHeight="1">
      <x:c r="A259" s="8" t="str">
        <x:v>drop:LC1:L1:light:1:L61</x:v>
      </x:c>
      <x:c r="B259" s="8" t="n">
        <x:v>5</x:v>
      </x:c>
      <x:c r="C259" s="11" t="n">
        <x:v>2.65</x:v>
      </x:c>
      <x:c r="D259" s="11" t="n">
        <x:v>3.45</x:v>
      </x:c>
      <x:c r="E259" s="11" t="n">
        <x:v>4.2</x:v>
      </x:c>
      <x:c r="F259" s="11" t="n">
        <x:f>SQRT((C259-C258)^2+(D259-D258)^2+(E259-E258)^2)</x:f>
        <x:v>0.2999999999999998</x:v>
      </x:c>
      <x:c r="G259" s="8" t="str">
        <x:v>Current</x:v>
      </x:c>
    </x:row>
    <x:row r="260" ht="32" customHeight="1">
      <x:c r="A260" s="8" t="str">
        <x:v>drop:LC1:L1:light:1:L62</x:v>
      </x:c>
      <x:c r="B260" s="8" t="n">
        <x:v>1</x:v>
      </x:c>
      <x:c r="C260" s="11" t="n">
        <x:v>2.65</x:v>
      </x:c>
      <x:c r="D260" s="11" t="n">
        <x:v>6.35</x:v>
      </x:c>
      <x:c r="E260" s="11" t="n">
        <x:v>7.36</x:v>
      </x:c>
      <x:c r="F260" s="11" t="n">
        <x:f>0</x:f>
        <x:v>0</x:v>
      </x:c>
      <x:c r="G260" s="8" t="str">
        <x:v>Current</x:v>
      </x:c>
    </x:row>
    <x:row r="261" ht="32" customHeight="1">
      <x:c r="A261" s="8" t="str">
        <x:v>drop:LC1:L1:light:1:L62</x:v>
      </x:c>
      <x:c r="B261" s="8" t="n">
        <x:v>2</x:v>
      </x:c>
      <x:c r="C261" s="11" t="n">
        <x:v>2.35</x:v>
      </x:c>
      <x:c r="D261" s="11" t="n">
        <x:v>7.65</x:v>
      </x:c>
      <x:c r="E261" s="11" t="n">
        <x:v>7.36</x:v>
      </x:c>
      <x:c r="F261" s="11" t="n">
        <x:f>SQRT((C261-C260)^2+(D261-D260)^2+(E261-E260)^2)</x:f>
        <x:v>1.334166406412634</x:v>
      </x:c>
      <x:c r="G261" s="8" t="str">
        <x:v>Current</x:v>
      </x:c>
    </x:row>
    <x:row r="262" ht="32" customHeight="1">
      <x:c r="A262" s="8" t="str">
        <x:v>drop:LC1:L1:light:1:L62</x:v>
      </x:c>
      <x:c r="B262" s="8" t="n">
        <x:v>3</x:v>
      </x:c>
      <x:c r="C262" s="11" t="n">
        <x:v>2.35</x:v>
      </x:c>
      <x:c r="D262" s="11" t="n">
        <x:v>7.65</x:v>
      </x:c>
      <x:c r="E262" s="11" t="n">
        <x:v>4.2</x:v>
      </x:c>
      <x:c r="F262" s="11" t="n">
        <x:f>SQRT((C262-C261)^2+(D262-D261)^2+(E262-E261)^2)</x:f>
        <x:v>3.16</x:v>
      </x:c>
      <x:c r="G262" s="8" t="str">
        <x:v>Current</x:v>
      </x:c>
    </x:row>
    <x:row r="263" ht="32" customHeight="1">
      <x:c r="A263" s="8" t="str">
        <x:v>drop:LC1:L1:light:1:L62</x:v>
      </x:c>
      <x:c r="B263" s="8" t="n">
        <x:v>4</x:v>
      </x:c>
      <x:c r="C263" s="11" t="n">
        <x:v>2.35</x:v>
      </x:c>
      <x:c r="D263" s="11" t="n">
        <x:v>5.95</x:v>
      </x:c>
      <x:c r="E263" s="11" t="n">
        <x:v>4.2</x:v>
      </x:c>
      <x:c r="F263" s="11" t="n">
        <x:f>SQRT((C263-C262)^2+(D263-D262)^2+(E263-E262)^2)</x:f>
        <x:v>1.7000000000000002</x:v>
      </x:c>
      <x:c r="G263" s="8" t="str">
        <x:v>Current</x:v>
      </x:c>
    </x:row>
    <x:row r="264" ht="32" customHeight="1">
      <x:c r="A264" s="8" t="str">
        <x:v>drop:LC1:L1:light:1:L62</x:v>
      </x:c>
      <x:c r="B264" s="8" t="n">
        <x:v>5</x:v>
      </x:c>
      <x:c r="C264" s="11" t="n">
        <x:v>2.65</x:v>
      </x:c>
      <x:c r="D264" s="11" t="n">
        <x:v>5.95</x:v>
      </x:c>
      <x:c r="E264" s="11" t="n">
        <x:v>4.2</x:v>
      </x:c>
      <x:c r="F264" s="11" t="n">
        <x:f>SQRT((C264-C263)^2+(D264-D263)^2+(E264-E263)^2)</x:f>
        <x:v>0.2999999999999998</x:v>
      </x:c>
      <x:c r="G264" s="8" t="str">
        <x:v>Current</x:v>
      </x:c>
    </x:row>
    <x:row r="265" ht="32" customHeight="1">
      <x:c r="A265" s="8" t="str">
        <x:v>trunk:LC1:L2:light:-1</x:v>
      </x:c>
      <x:c r="B265" s="8" t="n">
        <x:v>1</x:v>
      </x:c>
      <x:c r="C265" s="11" t="n">
        <x:v>48.895</x:v>
      </x:c>
      <x:c r="D265" s="11" t="n">
        <x:v>1.85</x:v>
      </x:c>
      <x:c r="E265" s="11" t="n">
        <x:v>-0.55</x:v>
      </x:c>
      <x:c r="F265" s="11" t="n">
        <x:f>0</x:f>
        <x:v>0</x:v>
      </x:c>
      <x:c r="G265" s="8" t="str">
        <x:v>Current</x:v>
      </x:c>
    </x:row>
    <x:row r="266" ht="32" customHeight="1">
      <x:c r="A266" s="8" t="str">
        <x:v>trunk:LC1:L2:light:-1</x:v>
      </x:c>
      <x:c r="B266" s="8" t="n">
        <x:v>2</x:v>
      </x:c>
      <x:c r="C266" s="11" t="n">
        <x:v>48.735</x:v>
      </x:c>
      <x:c r="D266" s="11" t="n">
        <x:v>1.85</x:v>
      </x:c>
      <x:c r="E266" s="11" t="n">
        <x:v>-0.55</x:v>
      </x:c>
      <x:c r="F266" s="11" t="n">
        <x:f>SQRT((C266-C265)^2+(D266-D265)^2+(E266-E265)^2)</x:f>
        <x:v>0.1600000000000037</x:v>
      </x:c>
      <x:c r="G266" s="8" t="str">
        <x:v>Current</x:v>
      </x:c>
    </x:row>
    <x:row r="267" ht="32" customHeight="1">
      <x:c r="A267" s="8" t="str">
        <x:v>trunk:LC1:L2:light:-1</x:v>
      </x:c>
      <x:c r="B267" s="8" t="n">
        <x:v>3</x:v>
      </x:c>
      <x:c r="C267" s="11" t="n">
        <x:v>48.735</x:v>
      </x:c>
      <x:c r="D267" s="11" t="n">
        <x:v>1.85</x:v>
      </x:c>
      <x:c r="E267" s="11" t="n">
        <x:v>-2.24</x:v>
      </x:c>
      <x:c r="F267" s="11" t="n">
        <x:f>SQRT((C267-C266)^2+(D267-D266)^2+(E267-E266)^2)</x:f>
        <x:v>1.6900000000000002</x:v>
      </x:c>
      <x:c r="G267" s="8" t="str">
        <x:v>Current</x:v>
      </x:c>
    </x:row>
    <x:row r="268" ht="32" customHeight="1">
      <x:c r="A268" s="8" t="str">
        <x:v>trunk:LC1:L2:light:-1</x:v>
      </x:c>
      <x:c r="B268" s="8" t="n">
        <x:v>4</x:v>
      </x:c>
      <x:c r="C268" s="11" t="n">
        <x:v>48.735</x:v>
      </x:c>
      <x:c r="D268" s="11" t="n">
        <x:v>4.02</x:v>
      </x:c>
      <x:c r="E268" s="11" t="n">
        <x:v>-2.24</x:v>
      </x:c>
      <x:c r="F268" s="11" t="n">
        <x:f>SQRT((C268-C267)^2+(D268-D267)^2+(E268-E267)^2)</x:f>
        <x:v>2.1699999999999995</x:v>
      </x:c>
      <x:c r="G268" s="8" t="str">
        <x:v>Current</x:v>
      </x:c>
    </x:row>
    <x:row r="269" ht="32" customHeight="1">
      <x:c r="A269" s="8" t="str">
        <x:v>trunk:LC1:L2:light:-1</x:v>
      </x:c>
      <x:c r="B269" s="8" t="n">
        <x:v>5</x:v>
      </x:c>
      <x:c r="C269" s="11" t="n">
        <x:v>48.735</x:v>
      </x:c>
      <x:c r="D269" s="11" t="n">
        <x:v>4.02</x:v>
      </x:c>
      <x:c r="E269" s="11" t="n">
        <x:v>-3.6</x:v>
      </x:c>
      <x:c r="F269" s="11" t="n">
        <x:f>SQRT((C269-C268)^2+(D269-D268)^2+(E269-E268)^2)</x:f>
        <x:v>1.3599999999999999</x:v>
      </x:c>
      <x:c r="G269" s="8" t="str">
        <x:v>Current</x:v>
      </x:c>
    </x:row>
    <x:row r="270" ht="32" customHeight="1">
      <x:c r="A270" s="8" t="str">
        <x:v>trunk:LC1:L2:light:-1</x:v>
      </x:c>
      <x:c r="B270" s="8" t="n">
        <x:v>6</x:v>
      </x:c>
      <x:c r="C270" s="11" t="n">
        <x:v>53.05</x:v>
      </x:c>
      <x:c r="D270" s="11" t="n">
        <x:v>4.02</x:v>
      </x:c>
      <x:c r="E270" s="11" t="n">
        <x:v>-3.6</x:v>
      </x:c>
      <x:c r="F270" s="11" t="n">
        <x:f>SQRT((C270-C269)^2+(D270-D269)^2+(E270-E269)^2)</x:f>
        <x:v>4.314999999999998</x:v>
      </x:c>
      <x:c r="G270" s="8" t="str">
        <x:v>Current</x:v>
      </x:c>
    </x:row>
    <x:row r="271" ht="32" customHeight="1">
      <x:c r="A271" s="8" t="str">
        <x:v>trunk:LC1:L2:light:-1</x:v>
      </x:c>
      <x:c r="B271" s="8" t="n">
        <x:v>7</x:v>
      </x:c>
      <x:c r="C271" s="11" t="n">
        <x:v>53.05</x:v>
      </x:c>
      <x:c r="D271" s="11" t="n">
        <x:v>6.364</x:v>
      </x:c>
      <x:c r="E271" s="11" t="n">
        <x:v>-3.6</x:v>
      </x:c>
      <x:c r="F271" s="11" t="n">
        <x:f>SQRT((C271-C270)^2+(D271-D270)^2+(E271-E270)^2)</x:f>
        <x:v>2.3440000000000003</x:v>
      </x:c>
      <x:c r="G271" s="8" t="str">
        <x:v>Current</x:v>
      </x:c>
    </x:row>
    <x:row r="272" ht="32" customHeight="1">
      <x:c r="A272" s="8" t="str">
        <x:v>trunk:LC1:L2:light:-1</x:v>
      </x:c>
      <x:c r="B272" s="8" t="n">
        <x:v>8</x:v>
      </x:c>
      <x:c r="C272" s="11" t="n">
        <x:v>53.05</x:v>
      </x:c>
      <x:c r="D272" s="11" t="n">
        <x:v>6.364</x:v>
      </x:c>
      <x:c r="E272" s="11" t="n">
        <x:v>-7.36</x:v>
      </x:c>
      <x:c r="F272" s="11" t="n">
        <x:f>SQRT((C272-C271)^2+(D272-D271)^2+(E272-E271)^2)</x:f>
        <x:v>3.7600000000000002</x:v>
      </x:c>
      <x:c r="G272" s="8" t="str">
        <x:v>Current</x:v>
      </x:c>
    </x:row>
    <x:row r="273" ht="32" customHeight="1">
      <x:c r="A273" s="8" t="str">
        <x:v>trunk:LC1:L2:light:-1</x:v>
      </x:c>
      <x:c r="B273" s="8" t="n">
        <x:v>9</x:v>
      </x:c>
      <x:c r="C273" s="11" t="n">
        <x:v>44.175</x:v>
      </x:c>
      <x:c r="D273" s="11" t="n">
        <x:v>6.364</x:v>
      </x:c>
      <x:c r="E273" s="11" t="n">
        <x:v>-7.36</x:v>
      </x:c>
      <x:c r="F273" s="11" t="n">
        <x:f>SQRT((C273-C272)^2+(D273-D272)^2+(E273-E272)^2)</x:f>
        <x:v>8.875</x:v>
      </x:c>
      <x:c r="G273" s="8" t="str">
        <x:v>Current</x:v>
      </x:c>
    </x:row>
    <x:row r="274" ht="32" customHeight="1">
      <x:c r="A274" s="8" t="str">
        <x:v>trunk:LC1:L2:light:-1</x:v>
      </x:c>
      <x:c r="B274" s="8" t="n">
        <x:v>10</x:v>
      </x:c>
      <x:c r="C274" s="11" t="n">
        <x:v>44.175</x:v>
      </x:c>
      <x:c r="D274" s="11" t="n">
        <x:v>6.364</x:v>
      </x:c>
      <x:c r="E274" s="11" t="n">
        <x:v>-13.24</x:v>
      </x:c>
      <x:c r="F274" s="11" t="n">
        <x:f>SQRT((C274-C273)^2+(D274-D273)^2+(E274-E273)^2)</x:f>
        <x:v>5.88</x:v>
      </x:c>
      <x:c r="G274" s="8" t="str">
        <x:v>Current</x:v>
      </x:c>
    </x:row>
    <x:row r="275" ht="32" customHeight="1">
      <x:c r="A275" s="8" t="str">
        <x:v>trunk:LC1:L2:light:-1</x:v>
      </x:c>
      <x:c r="B275" s="8" t="n">
        <x:v>11</x:v>
      </x:c>
      <x:c r="C275" s="11" t="n">
        <x:v>36.975</x:v>
      </x:c>
      <x:c r="D275" s="11" t="n">
        <x:v>6.364</x:v>
      </x:c>
      <x:c r="E275" s="11" t="n">
        <x:v>-13.24</x:v>
      </x:c>
      <x:c r="F275" s="11" t="n">
        <x:f>SQRT((C275-C274)^2+(D275-D274)^2+(E275-E274)^2)</x:f>
        <x:v>7.199999999999996</x:v>
      </x:c>
      <x:c r="G275" s="8" t="str">
        <x:v>Current</x:v>
      </x:c>
    </x:row>
    <x:row r="276" ht="32" customHeight="1">
      <x:c r="A276" s="8" t="str">
        <x:v>trunk:LC1:L2:light:-1</x:v>
      </x:c>
      <x:c r="B276" s="8" t="n">
        <x:v>12</x:v>
      </x:c>
      <x:c r="C276" s="11" t="n">
        <x:v>36.975</x:v>
      </x:c>
      <x:c r="D276" s="11" t="n">
        <x:v>6.364</x:v>
      </x:c>
      <x:c r="E276" s="11" t="n">
        <x:v>-7.36</x:v>
      </x:c>
      <x:c r="F276" s="11" t="n">
        <x:f>SQRT((C276-C275)^2+(D276-D275)^2+(E276-E275)^2)</x:f>
        <x:v>5.88</x:v>
      </x:c>
      <x:c r="G276" s="8" t="str">
        <x:v>Current</x:v>
      </x:c>
    </x:row>
    <x:row r="277" ht="32" customHeight="1">
      <x:c r="A277" s="8" t="str">
        <x:v>trunk:LC1:L2:light:-1</x:v>
      </x:c>
      <x:c r="B277" s="8" t="n">
        <x:v>13</x:v>
      </x:c>
      <x:c r="C277" s="11" t="n">
        <x:v>9.975</x:v>
      </x:c>
      <x:c r="D277" s="11" t="n">
        <x:v>6.364</x:v>
      </x:c>
      <x:c r="E277" s="11" t="n">
        <x:v>-7.36</x:v>
      </x:c>
      <x:c r="F277" s="11" t="n">
        <x:f>SQRT((C277-C276)^2+(D277-D276)^2+(E277-E276)^2)</x:f>
        <x:v>27</x:v>
      </x:c>
      <x:c r="G277" s="8" t="str">
        <x:v>Current</x:v>
      </x:c>
    </x:row>
    <x:row r="278" ht="32" customHeight="1">
      <x:c r="A278" s="8" t="str">
        <x:v>drop:LC1:L2:light:-1:L31</x:v>
      </x:c>
      <x:c r="B278" s="8" t="n">
        <x:v>1</x:v>
      </x:c>
      <x:c r="C278" s="11" t="n">
        <x:v>9.975</x:v>
      </x:c>
      <x:c r="D278" s="11" t="n">
        <x:v>6.364</x:v>
      </x:c>
      <x:c r="E278" s="11" t="n">
        <x:v>-7.36</x:v>
      </x:c>
      <x:c r="F278" s="11" t="n">
        <x:f>0</x:f>
        <x:v>0</x:v>
      </x:c>
      <x:c r="G278" s="8" t="str">
        <x:v>Current</x:v>
      </x:c>
    </x:row>
    <x:row r="279" ht="32" customHeight="1">
      <x:c r="A279" s="8" t="str">
        <x:v>drop:LC1:L2:light:-1:L31</x:v>
      </x:c>
      <x:c r="B279" s="8" t="n">
        <x:v>2</x:v>
      </x:c>
      <x:c r="C279" s="11" t="n">
        <x:v>9.975</x:v>
      </x:c>
      <x:c r="D279" s="11" t="n">
        <x:v>6.364</x:v>
      </x:c>
      <x:c r="E279" s="11" t="n">
        <x:v>-5.6</x:v>
      </x:c>
      <x:c r="F279" s="11" t="n">
        <x:f>SQRT((C279-C278)^2+(D279-D278)^2+(E279-E278)^2)</x:f>
        <x:v>1.7600000000000007</x:v>
      </x:c>
      <x:c r="G279" s="8" t="str">
        <x:v>Current</x:v>
      </x:c>
    </x:row>
    <x:row r="280" ht="32" customHeight="1">
      <x:c r="A280" s="8" t="str">
        <x:v>drop:LC1:L2:light:-1:L31</x:v>
      </x:c>
      <x:c r="B280" s="8" t="n">
        <x:v>3</x:v>
      </x:c>
      <x:c r="C280" s="11" t="n">
        <x:v>9.975</x:v>
      </x:c>
      <x:c r="D280" s="11" t="n">
        <x:v>6.66</x:v>
      </x:c>
      <x:c r="E280" s="11" t="n">
        <x:v>-5.6</x:v>
      </x:c>
      <x:c r="F280" s="11" t="n">
        <x:f>SQRT((C280-C279)^2+(D280-D279)^2+(E280-E279)^2)</x:f>
        <x:v>0.29600000000000026</x:v>
      </x:c>
      <x:c r="G280" s="8" t="str">
        <x:v>Current</x:v>
      </x:c>
    </x:row>
    <x:row r="281" ht="32" customHeight="1">
      <x:c r="A281" s="8" t="str">
        <x:v>drop:LC1:L2:light:-1:L31</x:v>
      </x:c>
      <x:c r="B281" s="8" t="n">
        <x:v>4</x:v>
      </x:c>
      <x:c r="C281" s="11" t="n">
        <x:v>9.975</x:v>
      </x:c>
      <x:c r="D281" s="11" t="n">
        <x:v>6.655</x:v>
      </x:c>
      <x:c r="E281" s="11" t="n">
        <x:v>-5.6</x:v>
      </x:c>
      <x:c r="F281" s="11" t="n">
        <x:f>SQRT((C281-C280)^2+(D281-D280)^2+(E281-E280)^2)</x:f>
        <x:v>0.004999999999999893</x:v>
      </x:c>
      <x:c r="G281" s="8" t="str">
        <x:v>Current</x:v>
      </x:c>
    </x:row>
    <x:row r="282" ht="32" customHeight="1">
      <x:c r="A282" s="8" t="str">
        <x:v>drop:LC1:L2:light:-1:L32</x:v>
      </x:c>
      <x:c r="B282" s="8" t="n">
        <x:v>1</x:v>
      </x:c>
      <x:c r="C282" s="11" t="n">
        <x:v>9.975</x:v>
      </x:c>
      <x:c r="D282" s="11" t="n">
        <x:v>6.364</x:v>
      </x:c>
      <x:c r="E282" s="11" t="n">
        <x:v>-7.36</x:v>
      </x:c>
      <x:c r="F282" s="11" t="n">
        <x:f>0</x:f>
        <x:v>0</x:v>
      </x:c>
      <x:c r="G282" s="8" t="str">
        <x:v>Current</x:v>
      </x:c>
    </x:row>
    <x:row r="283" ht="32" customHeight="1">
      <x:c r="A283" s="8" t="str">
        <x:v>drop:LC1:L2:light:-1:L32</x:v>
      </x:c>
      <x:c r="B283" s="8" t="n">
        <x:v>2</x:v>
      </x:c>
      <x:c r="C283" s="11" t="n">
        <x:v>9.975</x:v>
      </x:c>
      <x:c r="D283" s="11" t="n">
        <x:v>6.364</x:v>
      </x:c>
      <x:c r="E283" s="11" t="n">
        <x:v>-5.6</x:v>
      </x:c>
      <x:c r="F283" s="11" t="n">
        <x:f>SQRT((C283-C282)^2+(D283-D282)^2+(E283-E282)^2)</x:f>
        <x:v>1.7600000000000007</x:v>
      </x:c>
      <x:c r="G283" s="8" t="str">
        <x:v>Current</x:v>
      </x:c>
    </x:row>
    <x:row r="284" ht="32" customHeight="1">
      <x:c r="A284" s="8" t="str">
        <x:v>drop:LC1:L2:light:-1:L32</x:v>
      </x:c>
      <x:c r="B284" s="8" t="n">
        <x:v>3</x:v>
      </x:c>
      <x:c r="C284" s="11" t="n">
        <x:v>9.975</x:v>
      </x:c>
      <x:c r="D284" s="11" t="n">
        <x:v>6.66</x:v>
      </x:c>
      <x:c r="E284" s="11" t="n">
        <x:v>-5.6</x:v>
      </x:c>
      <x:c r="F284" s="11" t="n">
        <x:f>SQRT((C284-C283)^2+(D284-D283)^2+(E284-E283)^2)</x:f>
        <x:v>0.29600000000000026</x:v>
      </x:c>
      <x:c r="G284" s="8" t="str">
        <x:v>Current</x:v>
      </x:c>
    </x:row>
    <x:row r="285" ht="32" customHeight="1">
      <x:c r="A285" s="8" t="str">
        <x:v>drop:LC1:L2:light:-1:L32</x:v>
      </x:c>
      <x:c r="B285" s="8" t="n">
        <x:v>4</x:v>
      </x:c>
      <x:c r="C285" s="11" t="n">
        <x:v>9.975</x:v>
      </x:c>
      <x:c r="D285" s="11" t="n">
        <x:v>6.655</x:v>
      </x:c>
      <x:c r="E285" s="11" t="n">
        <x:v>-5.6</x:v>
      </x:c>
      <x:c r="F285" s="11" t="n">
        <x:f>SQRT((C285-C284)^2+(D285-D284)^2+(E285-E284)^2)</x:f>
        <x:v>0.004999999999999893</x:v>
      </x:c>
      <x:c r="G285" s="8" t="str">
        <x:v>Current</x:v>
      </x:c>
    </x:row>
    <x:row r="286" ht="32" customHeight="1">
      <x:c r="A286" s="8" t="str">
        <x:v>drop:LC1:L2:light:-1:L35</x:v>
      </x:c>
      <x:c r="B286" s="8" t="n">
        <x:v>1</x:v>
      </x:c>
      <x:c r="C286" s="11" t="n">
        <x:v>14.475</x:v>
      </x:c>
      <x:c r="D286" s="11" t="n">
        <x:v>6.364</x:v>
      </x:c>
      <x:c r="E286" s="11" t="n">
        <x:v>-7.36</x:v>
      </x:c>
      <x:c r="F286" s="11" t="n">
        <x:f>0</x:f>
        <x:v>0</x:v>
      </x:c>
      <x:c r="G286" s="8" t="str">
        <x:v>Current</x:v>
      </x:c>
    </x:row>
    <x:row r="287" ht="32" customHeight="1">
      <x:c r="A287" s="8" t="str">
        <x:v>drop:LC1:L2:light:-1:L35</x:v>
      </x:c>
      <x:c r="B287" s="8" t="n">
        <x:v>2</x:v>
      </x:c>
      <x:c r="C287" s="11" t="n">
        <x:v>14.475</x:v>
      </x:c>
      <x:c r="D287" s="11" t="n">
        <x:v>6.364</x:v>
      </x:c>
      <x:c r="E287" s="11" t="n">
        <x:v>-5.6</x:v>
      </x:c>
      <x:c r="F287" s="11" t="n">
        <x:f>SQRT((C287-C286)^2+(D287-D286)^2+(E287-E286)^2)</x:f>
        <x:v>1.7600000000000007</x:v>
      </x:c>
      <x:c r="G287" s="8" t="str">
        <x:v>Current</x:v>
      </x:c>
    </x:row>
    <x:row r="288" ht="32" customHeight="1">
      <x:c r="A288" s="8" t="str">
        <x:v>drop:LC1:L2:light:-1:L35</x:v>
      </x:c>
      <x:c r="B288" s="8" t="n">
        <x:v>3</x:v>
      </x:c>
      <x:c r="C288" s="11" t="n">
        <x:v>14.475</x:v>
      </x:c>
      <x:c r="D288" s="11" t="n">
        <x:v>6.66</x:v>
      </x:c>
      <x:c r="E288" s="11" t="n">
        <x:v>-5.6</x:v>
      </x:c>
      <x:c r="F288" s="11" t="n">
        <x:f>SQRT((C288-C287)^2+(D288-D287)^2+(E288-E287)^2)</x:f>
        <x:v>0.29600000000000026</x:v>
      </x:c>
      <x:c r="G288" s="8" t="str">
        <x:v>Current</x:v>
      </x:c>
    </x:row>
    <x:row r="289" ht="32" customHeight="1">
      <x:c r="A289" s="8" t="str">
        <x:v>drop:LC1:L2:light:-1:L35</x:v>
      </x:c>
      <x:c r="B289" s="8" t="n">
        <x:v>4</x:v>
      </x:c>
      <x:c r="C289" s="11" t="n">
        <x:v>14.475</x:v>
      </x:c>
      <x:c r="D289" s="11" t="n">
        <x:v>6.655</x:v>
      </x:c>
      <x:c r="E289" s="11" t="n">
        <x:v>-5.6</x:v>
      </x:c>
      <x:c r="F289" s="11" t="n">
        <x:f>SQRT((C289-C288)^2+(D289-D288)^2+(E289-E288)^2)</x:f>
        <x:v>0.004999999999999893</x:v>
      </x:c>
      <x:c r="G289" s="8" t="str">
        <x:v>Current</x:v>
      </x:c>
    </x:row>
    <x:row r="290" ht="32" customHeight="1">
      <x:c r="A290" s="8" t="str">
        <x:v>drop:LC1:L2:light:-1:L36</x:v>
      </x:c>
      <x:c r="B290" s="8" t="n">
        <x:v>1</x:v>
      </x:c>
      <x:c r="C290" s="11" t="n">
        <x:v>14.475</x:v>
      </x:c>
      <x:c r="D290" s="11" t="n">
        <x:v>6.364</x:v>
      </x:c>
      <x:c r="E290" s="11" t="n">
        <x:v>-7.36</x:v>
      </x:c>
      <x:c r="F290" s="11" t="n">
        <x:f>0</x:f>
        <x:v>0</x:v>
      </x:c>
      <x:c r="G290" s="8" t="str">
        <x:v>Current</x:v>
      </x:c>
    </x:row>
    <x:row r="291" ht="32" customHeight="1">
      <x:c r="A291" s="8" t="str">
        <x:v>drop:LC1:L2:light:-1:L36</x:v>
      </x:c>
      <x:c r="B291" s="8" t="n">
        <x:v>2</x:v>
      </x:c>
      <x:c r="C291" s="11" t="n">
        <x:v>14.475</x:v>
      </x:c>
      <x:c r="D291" s="11" t="n">
        <x:v>6.364</x:v>
      </x:c>
      <x:c r="E291" s="11" t="n">
        <x:v>-5.6</x:v>
      </x:c>
      <x:c r="F291" s="11" t="n">
        <x:f>SQRT((C291-C290)^2+(D291-D290)^2+(E291-E290)^2)</x:f>
        <x:v>1.7600000000000007</x:v>
      </x:c>
      <x:c r="G291" s="8" t="str">
        <x:v>Current</x:v>
      </x:c>
    </x:row>
    <x:row r="292" ht="32" customHeight="1">
      <x:c r="A292" s="8" t="str">
        <x:v>drop:LC1:L2:light:-1:L36</x:v>
      </x:c>
      <x:c r="B292" s="8" t="n">
        <x:v>3</x:v>
      </x:c>
      <x:c r="C292" s="11" t="n">
        <x:v>14.475</x:v>
      </x:c>
      <x:c r="D292" s="11" t="n">
        <x:v>6.66</x:v>
      </x:c>
      <x:c r="E292" s="11" t="n">
        <x:v>-5.6</x:v>
      </x:c>
      <x:c r="F292" s="11" t="n">
        <x:f>SQRT((C292-C291)^2+(D292-D291)^2+(E292-E291)^2)</x:f>
        <x:v>0.29600000000000026</x:v>
      </x:c>
      <x:c r="G292" s="8" t="str">
        <x:v>Current</x:v>
      </x:c>
    </x:row>
    <x:row r="293" ht="32" customHeight="1">
      <x:c r="A293" s="8" t="str">
        <x:v>drop:LC1:L2:light:-1:L36</x:v>
      </x:c>
      <x:c r="B293" s="8" t="n">
        <x:v>4</x:v>
      </x:c>
      <x:c r="C293" s="11" t="n">
        <x:v>14.475</x:v>
      </x:c>
      <x:c r="D293" s="11" t="n">
        <x:v>6.655</x:v>
      </x:c>
      <x:c r="E293" s="11" t="n">
        <x:v>-5.6</x:v>
      </x:c>
      <x:c r="F293" s="11" t="n">
        <x:f>SQRT((C293-C292)^2+(D293-D292)^2+(E293-E292)^2)</x:f>
        <x:v>0.004999999999999893</x:v>
      </x:c>
      <x:c r="G293" s="8" t="str">
        <x:v>Current</x:v>
      </x:c>
    </x:row>
    <x:row r="294" ht="32" customHeight="1">
      <x:c r="A294" s="8" t="str">
        <x:v>drop:LC1:L2:light:-1:L39</x:v>
      </x:c>
      <x:c r="B294" s="8" t="n">
        <x:v>1</x:v>
      </x:c>
      <x:c r="C294" s="11" t="n">
        <x:v>18.975</x:v>
      </x:c>
      <x:c r="D294" s="11" t="n">
        <x:v>6.364</x:v>
      </x:c>
      <x:c r="E294" s="11" t="n">
        <x:v>-7.36</x:v>
      </x:c>
      <x:c r="F294" s="11" t="n">
        <x:f>0</x:f>
        <x:v>0</x:v>
      </x:c>
      <x:c r="G294" s="8" t="str">
        <x:v>Current</x:v>
      </x:c>
    </x:row>
    <x:row r="295" ht="32" customHeight="1">
      <x:c r="A295" s="8" t="str">
        <x:v>drop:LC1:L2:light:-1:L39</x:v>
      </x:c>
      <x:c r="B295" s="8" t="n">
        <x:v>2</x:v>
      </x:c>
      <x:c r="C295" s="11" t="n">
        <x:v>18.975</x:v>
      </x:c>
      <x:c r="D295" s="11" t="n">
        <x:v>6.364</x:v>
      </x:c>
      <x:c r="E295" s="11" t="n">
        <x:v>-5.6</x:v>
      </x:c>
      <x:c r="F295" s="11" t="n">
        <x:f>SQRT((C295-C294)^2+(D295-D294)^2+(E295-E294)^2)</x:f>
        <x:v>1.7600000000000007</x:v>
      </x:c>
      <x:c r="G295" s="8" t="str">
        <x:v>Current</x:v>
      </x:c>
    </x:row>
    <x:row r="296" ht="32" customHeight="1">
      <x:c r="A296" s="8" t="str">
        <x:v>drop:LC1:L2:light:-1:L39</x:v>
      </x:c>
      <x:c r="B296" s="8" t="n">
        <x:v>3</x:v>
      </x:c>
      <x:c r="C296" s="11" t="n">
        <x:v>18.975</x:v>
      </x:c>
      <x:c r="D296" s="11" t="n">
        <x:v>6.66</x:v>
      </x:c>
      <x:c r="E296" s="11" t="n">
        <x:v>-5.6</x:v>
      </x:c>
      <x:c r="F296" s="11" t="n">
        <x:f>SQRT((C296-C295)^2+(D296-D295)^2+(E296-E295)^2)</x:f>
        <x:v>0.29600000000000026</x:v>
      </x:c>
      <x:c r="G296" s="8" t="str">
        <x:v>Current</x:v>
      </x:c>
    </x:row>
    <x:row r="297" ht="32" customHeight="1">
      <x:c r="A297" s="8" t="str">
        <x:v>drop:LC1:L2:light:-1:L39</x:v>
      </x:c>
      <x:c r="B297" s="8" t="n">
        <x:v>4</x:v>
      </x:c>
      <x:c r="C297" s="11" t="n">
        <x:v>18.975</x:v>
      </x:c>
      <x:c r="D297" s="11" t="n">
        <x:v>6.655</x:v>
      </x:c>
      <x:c r="E297" s="11" t="n">
        <x:v>-5.6</x:v>
      </x:c>
      <x:c r="F297" s="11" t="n">
        <x:f>SQRT((C297-C296)^2+(D297-D296)^2+(E297-E296)^2)</x:f>
        <x:v>0.004999999999999893</x:v>
      </x:c>
      <x:c r="G297" s="8" t="str">
        <x:v>Current</x:v>
      </x:c>
    </x:row>
    <x:row r="298" ht="32" customHeight="1">
      <x:c r="A298" s="8" t="str">
        <x:v>drop:LC1:L2:light:-1:L40</x:v>
      </x:c>
      <x:c r="B298" s="8" t="n">
        <x:v>1</x:v>
      </x:c>
      <x:c r="C298" s="11" t="n">
        <x:v>18.975</x:v>
      </x:c>
      <x:c r="D298" s="11" t="n">
        <x:v>6.364</x:v>
      </x:c>
      <x:c r="E298" s="11" t="n">
        <x:v>-7.36</x:v>
      </x:c>
      <x:c r="F298" s="11" t="n">
        <x:f>0</x:f>
        <x:v>0</x:v>
      </x:c>
      <x:c r="G298" s="8" t="str">
        <x:v>Current</x:v>
      </x:c>
    </x:row>
    <x:row r="299" ht="32" customHeight="1">
      <x:c r="A299" s="8" t="str">
        <x:v>drop:LC1:L2:light:-1:L40</x:v>
      </x:c>
      <x:c r="B299" s="8" t="n">
        <x:v>2</x:v>
      </x:c>
      <x:c r="C299" s="11" t="n">
        <x:v>18.975</x:v>
      </x:c>
      <x:c r="D299" s="11" t="n">
        <x:v>6.364</x:v>
      </x:c>
      <x:c r="E299" s="11" t="n">
        <x:v>-5.6</x:v>
      </x:c>
      <x:c r="F299" s="11" t="n">
        <x:f>SQRT((C299-C298)^2+(D299-D298)^2+(E299-E298)^2)</x:f>
        <x:v>1.7600000000000007</x:v>
      </x:c>
      <x:c r="G299" s="8" t="str">
        <x:v>Current</x:v>
      </x:c>
    </x:row>
    <x:row r="300" ht="32" customHeight="1">
      <x:c r="A300" s="8" t="str">
        <x:v>drop:LC1:L2:light:-1:L40</x:v>
      </x:c>
      <x:c r="B300" s="8" t="n">
        <x:v>3</x:v>
      </x:c>
      <x:c r="C300" s="11" t="n">
        <x:v>18.975</x:v>
      </x:c>
      <x:c r="D300" s="11" t="n">
        <x:v>6.66</x:v>
      </x:c>
      <x:c r="E300" s="11" t="n">
        <x:v>-5.6</x:v>
      </x:c>
      <x:c r="F300" s="11" t="n">
        <x:f>SQRT((C300-C299)^2+(D300-D299)^2+(E300-E299)^2)</x:f>
        <x:v>0.29600000000000026</x:v>
      </x:c>
      <x:c r="G300" s="8" t="str">
        <x:v>Current</x:v>
      </x:c>
    </x:row>
    <x:row r="301" ht="32" customHeight="1">
      <x:c r="A301" s="8" t="str">
        <x:v>drop:LC1:L2:light:-1:L40</x:v>
      </x:c>
      <x:c r="B301" s="8" t="n">
        <x:v>4</x:v>
      </x:c>
      <x:c r="C301" s="11" t="n">
        <x:v>18.975</x:v>
      </x:c>
      <x:c r="D301" s="11" t="n">
        <x:v>6.655</x:v>
      </x:c>
      <x:c r="E301" s="11" t="n">
        <x:v>-5.6</x:v>
      </x:c>
      <x:c r="F301" s="11" t="n">
        <x:f>SQRT((C301-C300)^2+(D301-D300)^2+(E301-E300)^2)</x:f>
        <x:v>0.004999999999999893</x:v>
      </x:c>
      <x:c r="G301" s="8" t="str">
        <x:v>Current</x:v>
      </x:c>
    </x:row>
    <x:row r="302" ht="32" customHeight="1">
      <x:c r="A302" s="8" t="str">
        <x:v>drop:LC1:L2:light:-1:L43</x:v>
      </x:c>
      <x:c r="B302" s="8" t="n">
        <x:v>1</x:v>
      </x:c>
      <x:c r="C302" s="11" t="n">
        <x:v>23.475</x:v>
      </x:c>
      <x:c r="D302" s="11" t="n">
        <x:v>6.364</x:v>
      </x:c>
      <x:c r="E302" s="11" t="n">
        <x:v>-7.36</x:v>
      </x:c>
      <x:c r="F302" s="11" t="n">
        <x:f>0</x:f>
        <x:v>0</x:v>
      </x:c>
      <x:c r="G302" s="8" t="str">
        <x:v>Current</x:v>
      </x:c>
    </x:row>
    <x:row r="303" ht="32" customHeight="1">
      <x:c r="A303" s="8" t="str">
        <x:v>drop:LC1:L2:light:-1:L43</x:v>
      </x:c>
      <x:c r="B303" s="8" t="n">
        <x:v>2</x:v>
      </x:c>
      <x:c r="C303" s="11" t="n">
        <x:v>23.475</x:v>
      </x:c>
      <x:c r="D303" s="11" t="n">
        <x:v>6.364</x:v>
      </x:c>
      <x:c r="E303" s="11" t="n">
        <x:v>-5.6</x:v>
      </x:c>
      <x:c r="F303" s="11" t="n">
        <x:f>SQRT((C303-C302)^2+(D303-D302)^2+(E303-E302)^2)</x:f>
        <x:v>1.7600000000000007</x:v>
      </x:c>
      <x:c r="G303" s="8" t="str">
        <x:v>Current</x:v>
      </x:c>
    </x:row>
    <x:row r="304" ht="32" customHeight="1">
      <x:c r="A304" s="8" t="str">
        <x:v>drop:LC1:L2:light:-1:L43</x:v>
      </x:c>
      <x:c r="B304" s="8" t="n">
        <x:v>3</x:v>
      </x:c>
      <x:c r="C304" s="11" t="n">
        <x:v>23.475</x:v>
      </x:c>
      <x:c r="D304" s="11" t="n">
        <x:v>6.66</x:v>
      </x:c>
      <x:c r="E304" s="11" t="n">
        <x:v>-5.6</x:v>
      </x:c>
      <x:c r="F304" s="11" t="n">
        <x:f>SQRT((C304-C303)^2+(D304-D303)^2+(E304-E303)^2)</x:f>
        <x:v>0.29600000000000026</x:v>
      </x:c>
      <x:c r="G304" s="8" t="str">
        <x:v>Current</x:v>
      </x:c>
    </x:row>
    <x:row r="305" ht="32" customHeight="1">
      <x:c r="A305" s="8" t="str">
        <x:v>drop:LC1:L2:light:-1:L43</x:v>
      </x:c>
      <x:c r="B305" s="8" t="n">
        <x:v>4</x:v>
      </x:c>
      <x:c r="C305" s="11" t="n">
        <x:v>23.475</x:v>
      </x:c>
      <x:c r="D305" s="11" t="n">
        <x:v>6.655</x:v>
      </x:c>
      <x:c r="E305" s="11" t="n">
        <x:v>-5.6</x:v>
      </x:c>
      <x:c r="F305" s="11" t="n">
        <x:f>SQRT((C305-C304)^2+(D305-D304)^2+(E305-E304)^2)</x:f>
        <x:v>0.004999999999999893</x:v>
      </x:c>
      <x:c r="G305" s="8" t="str">
        <x:v>Current</x:v>
      </x:c>
    </x:row>
    <x:row r="306" ht="32" customHeight="1">
      <x:c r="A306" s="8" t="str">
        <x:v>drop:LC1:L2:light:-1:L44</x:v>
      </x:c>
      <x:c r="B306" s="8" t="n">
        <x:v>1</x:v>
      </x:c>
      <x:c r="C306" s="11" t="n">
        <x:v>23.475</x:v>
      </x:c>
      <x:c r="D306" s="11" t="n">
        <x:v>6.364</x:v>
      </x:c>
      <x:c r="E306" s="11" t="n">
        <x:v>-7.36</x:v>
      </x:c>
      <x:c r="F306" s="11" t="n">
        <x:f>0</x:f>
        <x:v>0</x:v>
      </x:c>
      <x:c r="G306" s="8" t="str">
        <x:v>Current</x:v>
      </x:c>
    </x:row>
    <x:row r="307" ht="32" customHeight="1">
      <x:c r="A307" s="8" t="str">
        <x:v>drop:LC1:L2:light:-1:L44</x:v>
      </x:c>
      <x:c r="B307" s="8" t="n">
        <x:v>2</x:v>
      </x:c>
      <x:c r="C307" s="11" t="n">
        <x:v>23.475</x:v>
      </x:c>
      <x:c r="D307" s="11" t="n">
        <x:v>6.364</x:v>
      </x:c>
      <x:c r="E307" s="11" t="n">
        <x:v>-5.6</x:v>
      </x:c>
      <x:c r="F307" s="11" t="n">
        <x:f>SQRT((C307-C306)^2+(D307-D306)^2+(E307-E306)^2)</x:f>
        <x:v>1.7600000000000007</x:v>
      </x:c>
      <x:c r="G307" s="8" t="str">
        <x:v>Current</x:v>
      </x:c>
    </x:row>
    <x:row r="308" ht="32" customHeight="1">
      <x:c r="A308" s="8" t="str">
        <x:v>drop:LC1:L2:light:-1:L44</x:v>
      </x:c>
      <x:c r="B308" s="8" t="n">
        <x:v>3</x:v>
      </x:c>
      <x:c r="C308" s="11" t="n">
        <x:v>23.475</x:v>
      </x:c>
      <x:c r="D308" s="11" t="n">
        <x:v>6.66</x:v>
      </x:c>
      <x:c r="E308" s="11" t="n">
        <x:v>-5.6</x:v>
      </x:c>
      <x:c r="F308" s="11" t="n">
        <x:f>SQRT((C308-C307)^2+(D308-D307)^2+(E308-E307)^2)</x:f>
        <x:v>0.29600000000000026</x:v>
      </x:c>
      <x:c r="G308" s="8" t="str">
        <x:v>Current</x:v>
      </x:c>
    </x:row>
    <x:row r="309" ht="32" customHeight="1">
      <x:c r="A309" s="8" t="str">
        <x:v>drop:LC1:L2:light:-1:L44</x:v>
      </x:c>
      <x:c r="B309" s="8" t="n">
        <x:v>4</x:v>
      </x:c>
      <x:c r="C309" s="11" t="n">
        <x:v>23.475</x:v>
      </x:c>
      <x:c r="D309" s="11" t="n">
        <x:v>6.655</x:v>
      </x:c>
      <x:c r="E309" s="11" t="n">
        <x:v>-5.6</x:v>
      </x:c>
      <x:c r="F309" s="11" t="n">
        <x:f>SQRT((C309-C308)^2+(D309-D308)^2+(E309-E308)^2)</x:f>
        <x:v>0.004999999999999893</x:v>
      </x:c>
      <x:c r="G309" s="8" t="str">
        <x:v>Current</x:v>
      </x:c>
    </x:row>
    <x:row r="310" ht="32" customHeight="1">
      <x:c r="A310" s="8" t="str">
        <x:v>drop:LC1:L2:light:-1:L47</x:v>
      </x:c>
      <x:c r="B310" s="8" t="n">
        <x:v>1</x:v>
      </x:c>
      <x:c r="C310" s="11" t="n">
        <x:v>27.975</x:v>
      </x:c>
      <x:c r="D310" s="11" t="n">
        <x:v>6.364</x:v>
      </x:c>
      <x:c r="E310" s="11" t="n">
        <x:v>-7.36</x:v>
      </x:c>
      <x:c r="F310" s="11" t="n">
        <x:f>0</x:f>
        <x:v>0</x:v>
      </x:c>
      <x:c r="G310" s="8" t="str">
        <x:v>Current</x:v>
      </x:c>
    </x:row>
    <x:row r="311" ht="32" customHeight="1">
      <x:c r="A311" s="8" t="str">
        <x:v>drop:LC1:L2:light:-1:L47</x:v>
      </x:c>
      <x:c r="B311" s="8" t="n">
        <x:v>2</x:v>
      </x:c>
      <x:c r="C311" s="11" t="n">
        <x:v>27.975</x:v>
      </x:c>
      <x:c r="D311" s="11" t="n">
        <x:v>6.364</x:v>
      </x:c>
      <x:c r="E311" s="11" t="n">
        <x:v>-5.6</x:v>
      </x:c>
      <x:c r="F311" s="11" t="n">
        <x:f>SQRT((C311-C310)^2+(D311-D310)^2+(E311-E310)^2)</x:f>
        <x:v>1.7600000000000007</x:v>
      </x:c>
      <x:c r="G311" s="8" t="str">
        <x:v>Current</x:v>
      </x:c>
    </x:row>
    <x:row r="312" ht="32" customHeight="1">
      <x:c r="A312" s="8" t="str">
        <x:v>drop:LC1:L2:light:-1:L47</x:v>
      </x:c>
      <x:c r="B312" s="8" t="n">
        <x:v>3</x:v>
      </x:c>
      <x:c r="C312" s="11" t="n">
        <x:v>27.975</x:v>
      </x:c>
      <x:c r="D312" s="11" t="n">
        <x:v>6.66</x:v>
      </x:c>
      <x:c r="E312" s="11" t="n">
        <x:v>-5.6</x:v>
      </x:c>
      <x:c r="F312" s="11" t="n">
        <x:f>SQRT((C312-C311)^2+(D312-D311)^2+(E312-E311)^2)</x:f>
        <x:v>0.29600000000000026</x:v>
      </x:c>
      <x:c r="G312" s="8" t="str">
        <x:v>Current</x:v>
      </x:c>
    </x:row>
    <x:row r="313" ht="32" customHeight="1">
      <x:c r="A313" s="8" t="str">
        <x:v>drop:LC1:L2:light:-1:L47</x:v>
      </x:c>
      <x:c r="B313" s="8" t="n">
        <x:v>4</x:v>
      </x:c>
      <x:c r="C313" s="11" t="n">
        <x:v>27.975</x:v>
      </x:c>
      <x:c r="D313" s="11" t="n">
        <x:v>6.655</x:v>
      </x:c>
      <x:c r="E313" s="11" t="n">
        <x:v>-5.6</x:v>
      </x:c>
      <x:c r="F313" s="11" t="n">
        <x:f>SQRT((C313-C312)^2+(D313-D312)^2+(E313-E312)^2)</x:f>
        <x:v>0.004999999999999893</x:v>
      </x:c>
      <x:c r="G313" s="8" t="str">
        <x:v>Current</x:v>
      </x:c>
    </x:row>
    <x:row r="314" ht="32" customHeight="1">
      <x:c r="A314" s="8" t="str">
        <x:v>drop:LC1:L2:light:-1:L48</x:v>
      </x:c>
      <x:c r="B314" s="8" t="n">
        <x:v>1</x:v>
      </x:c>
      <x:c r="C314" s="11" t="n">
        <x:v>27.975</x:v>
      </x:c>
      <x:c r="D314" s="11" t="n">
        <x:v>6.364</x:v>
      </x:c>
      <x:c r="E314" s="11" t="n">
        <x:v>-7.36</x:v>
      </x:c>
      <x:c r="F314" s="11" t="n">
        <x:f>0</x:f>
        <x:v>0</x:v>
      </x:c>
      <x:c r="G314" s="8" t="str">
        <x:v>Current</x:v>
      </x:c>
    </x:row>
    <x:row r="315" ht="32" customHeight="1">
      <x:c r="A315" s="8" t="str">
        <x:v>drop:LC1:L2:light:-1:L48</x:v>
      </x:c>
      <x:c r="B315" s="8" t="n">
        <x:v>2</x:v>
      </x:c>
      <x:c r="C315" s="11" t="n">
        <x:v>27.975</x:v>
      </x:c>
      <x:c r="D315" s="11" t="n">
        <x:v>6.364</x:v>
      </x:c>
      <x:c r="E315" s="11" t="n">
        <x:v>-5.6</x:v>
      </x:c>
      <x:c r="F315" s="11" t="n">
        <x:f>SQRT((C315-C314)^2+(D315-D314)^2+(E315-E314)^2)</x:f>
        <x:v>1.7600000000000007</x:v>
      </x:c>
      <x:c r="G315" s="8" t="str">
        <x:v>Current</x:v>
      </x:c>
    </x:row>
    <x:row r="316" ht="32" customHeight="1">
      <x:c r="A316" s="8" t="str">
        <x:v>drop:LC1:L2:light:-1:L48</x:v>
      </x:c>
      <x:c r="B316" s="8" t="n">
        <x:v>3</x:v>
      </x:c>
      <x:c r="C316" s="11" t="n">
        <x:v>27.975</x:v>
      </x:c>
      <x:c r="D316" s="11" t="n">
        <x:v>6.66</x:v>
      </x:c>
      <x:c r="E316" s="11" t="n">
        <x:v>-5.6</x:v>
      </x:c>
      <x:c r="F316" s="11" t="n">
        <x:f>SQRT((C316-C315)^2+(D316-D315)^2+(E316-E315)^2)</x:f>
        <x:v>0.29600000000000026</x:v>
      </x:c>
      <x:c r="G316" s="8" t="str">
        <x:v>Current</x:v>
      </x:c>
    </x:row>
    <x:row r="317" ht="32" customHeight="1">
      <x:c r="A317" s="8" t="str">
        <x:v>drop:LC1:L2:light:-1:L48</x:v>
      </x:c>
      <x:c r="B317" s="8" t="n">
        <x:v>4</x:v>
      </x:c>
      <x:c r="C317" s="11" t="n">
        <x:v>27.975</x:v>
      </x:c>
      <x:c r="D317" s="11" t="n">
        <x:v>6.655</x:v>
      </x:c>
      <x:c r="E317" s="11" t="n">
        <x:v>-5.6</x:v>
      </x:c>
      <x:c r="F317" s="11" t="n">
        <x:f>SQRT((C317-C316)^2+(D317-D316)^2+(E317-E316)^2)</x:f>
        <x:v>0.004999999999999893</x:v>
      </x:c>
      <x:c r="G317" s="8" t="str">
        <x:v>Current</x:v>
      </x:c>
    </x:row>
    <x:row r="318" ht="32" customHeight="1">
      <x:c r="A318" s="8" t="str">
        <x:v>drop:LC1:L2:light:-1:L51</x:v>
      </x:c>
      <x:c r="B318" s="8" t="n">
        <x:v>1</x:v>
      </x:c>
      <x:c r="C318" s="11" t="n">
        <x:v>32.475</x:v>
      </x:c>
      <x:c r="D318" s="11" t="n">
        <x:v>6.364</x:v>
      </x:c>
      <x:c r="E318" s="11" t="n">
        <x:v>-7.36</x:v>
      </x:c>
      <x:c r="F318" s="11" t="n">
        <x:f>0</x:f>
        <x:v>0</x:v>
      </x:c>
      <x:c r="G318" s="8" t="str">
        <x:v>Current</x:v>
      </x:c>
    </x:row>
    <x:row r="319" ht="32" customHeight="1">
      <x:c r="A319" s="8" t="str">
        <x:v>drop:LC1:L2:light:-1:L51</x:v>
      </x:c>
      <x:c r="B319" s="8" t="n">
        <x:v>2</x:v>
      </x:c>
      <x:c r="C319" s="11" t="n">
        <x:v>32.475</x:v>
      </x:c>
      <x:c r="D319" s="11" t="n">
        <x:v>6.364</x:v>
      </x:c>
      <x:c r="E319" s="11" t="n">
        <x:v>-5.6</x:v>
      </x:c>
      <x:c r="F319" s="11" t="n">
        <x:f>SQRT((C319-C318)^2+(D319-D318)^2+(E319-E318)^2)</x:f>
        <x:v>1.7600000000000007</x:v>
      </x:c>
      <x:c r="G319" s="8" t="str">
        <x:v>Current</x:v>
      </x:c>
    </x:row>
    <x:row r="320" ht="32" customHeight="1">
      <x:c r="A320" s="8" t="str">
        <x:v>drop:LC1:L2:light:-1:L51</x:v>
      </x:c>
      <x:c r="B320" s="8" t="n">
        <x:v>3</x:v>
      </x:c>
      <x:c r="C320" s="11" t="n">
        <x:v>32.475</x:v>
      </x:c>
      <x:c r="D320" s="11" t="n">
        <x:v>6.66</x:v>
      </x:c>
      <x:c r="E320" s="11" t="n">
        <x:v>-5.6</x:v>
      </x:c>
      <x:c r="F320" s="11" t="n">
        <x:f>SQRT((C320-C319)^2+(D320-D319)^2+(E320-E319)^2)</x:f>
        <x:v>0.29600000000000026</x:v>
      </x:c>
      <x:c r="G320" s="8" t="str">
        <x:v>Current</x:v>
      </x:c>
    </x:row>
    <x:row r="321" ht="32" customHeight="1">
      <x:c r="A321" s="8" t="str">
        <x:v>drop:LC1:L2:light:-1:L51</x:v>
      </x:c>
      <x:c r="B321" s="8" t="n">
        <x:v>4</x:v>
      </x:c>
      <x:c r="C321" s="11" t="n">
        <x:v>32.475</x:v>
      </x:c>
      <x:c r="D321" s="11" t="n">
        <x:v>6.655</x:v>
      </x:c>
      <x:c r="E321" s="11" t="n">
        <x:v>-5.6</x:v>
      </x:c>
      <x:c r="F321" s="11" t="n">
        <x:f>SQRT((C321-C320)^2+(D321-D320)^2+(E321-E320)^2)</x:f>
        <x:v>0.004999999999999893</x:v>
      </x:c>
      <x:c r="G321" s="8" t="str">
        <x:v>Current</x:v>
      </x:c>
    </x:row>
    <x:row r="322" ht="32" customHeight="1">
      <x:c r="A322" s="8" t="str">
        <x:v>drop:LC1:L2:light:-1:L52</x:v>
      </x:c>
      <x:c r="B322" s="8" t="n">
        <x:v>1</x:v>
      </x:c>
      <x:c r="C322" s="11" t="n">
        <x:v>32.475</x:v>
      </x:c>
      <x:c r="D322" s="11" t="n">
        <x:v>6.364</x:v>
      </x:c>
      <x:c r="E322" s="11" t="n">
        <x:v>-7.36</x:v>
      </x:c>
      <x:c r="F322" s="11" t="n">
        <x:f>0</x:f>
        <x:v>0</x:v>
      </x:c>
      <x:c r="G322" s="8" t="str">
        <x:v>Current</x:v>
      </x:c>
    </x:row>
    <x:row r="323" ht="32" customHeight="1">
      <x:c r="A323" s="8" t="str">
        <x:v>drop:LC1:L2:light:-1:L52</x:v>
      </x:c>
      <x:c r="B323" s="8" t="n">
        <x:v>2</x:v>
      </x:c>
      <x:c r="C323" s="11" t="n">
        <x:v>32.475</x:v>
      </x:c>
      <x:c r="D323" s="11" t="n">
        <x:v>6.364</x:v>
      </x:c>
      <x:c r="E323" s="11" t="n">
        <x:v>-5.6</x:v>
      </x:c>
      <x:c r="F323" s="11" t="n">
        <x:f>SQRT((C323-C322)^2+(D323-D322)^2+(E323-E322)^2)</x:f>
        <x:v>1.7600000000000007</x:v>
      </x:c>
      <x:c r="G323" s="8" t="str">
        <x:v>Current</x:v>
      </x:c>
    </x:row>
    <x:row r="324" ht="32" customHeight="1">
      <x:c r="A324" s="8" t="str">
        <x:v>drop:LC1:L2:light:-1:L52</x:v>
      </x:c>
      <x:c r="B324" s="8" t="n">
        <x:v>3</x:v>
      </x:c>
      <x:c r="C324" s="11" t="n">
        <x:v>32.475</x:v>
      </x:c>
      <x:c r="D324" s="11" t="n">
        <x:v>6.66</x:v>
      </x:c>
      <x:c r="E324" s="11" t="n">
        <x:v>-5.6</x:v>
      </x:c>
      <x:c r="F324" s="11" t="n">
        <x:f>SQRT((C324-C323)^2+(D324-D323)^2+(E324-E323)^2)</x:f>
        <x:v>0.29600000000000026</x:v>
      </x:c>
      <x:c r="G324" s="8" t="str">
        <x:v>Current</x:v>
      </x:c>
    </x:row>
    <x:row r="325" ht="32" customHeight="1">
      <x:c r="A325" s="8" t="str">
        <x:v>drop:LC1:L2:light:-1:L52</x:v>
      </x:c>
      <x:c r="B325" s="8" t="n">
        <x:v>4</x:v>
      </x:c>
      <x:c r="C325" s="11" t="n">
        <x:v>32.475</x:v>
      </x:c>
      <x:c r="D325" s="11" t="n">
        <x:v>6.655</x:v>
      </x:c>
      <x:c r="E325" s="11" t="n">
        <x:v>-5.6</x:v>
      </x:c>
      <x:c r="F325" s="11" t="n">
        <x:f>SQRT((C325-C324)^2+(D325-D324)^2+(E325-E324)^2)</x:f>
        <x:v>0.004999999999999893</x:v>
      </x:c>
      <x:c r="G325" s="8" t="str">
        <x:v>Current</x:v>
      </x:c>
    </x:row>
    <x:row r="326" ht="32" customHeight="1">
      <x:c r="A326" s="8" t="str">
        <x:v>drop:LC1:L2:light:-1:L55</x:v>
      </x:c>
      <x:c r="B326" s="8" t="n">
        <x:v>1</x:v>
      </x:c>
      <x:c r="C326" s="11" t="n">
        <x:v>36.975</x:v>
      </x:c>
      <x:c r="D326" s="11" t="n">
        <x:v>6.364</x:v>
      </x:c>
      <x:c r="E326" s="11" t="n">
        <x:v>-13.24</x:v>
      </x:c>
      <x:c r="F326" s="11" t="n">
        <x:f>0</x:f>
        <x:v>0</x:v>
      </x:c>
      <x:c r="G326" s="8" t="str">
        <x:v>Current</x:v>
      </x:c>
    </x:row>
    <x:row r="327" ht="32" customHeight="1">
      <x:c r="A327" s="8" t="str">
        <x:v>drop:LC1:L2:light:-1:L55</x:v>
      </x:c>
      <x:c r="B327" s="8" t="n">
        <x:v>2</x:v>
      </x:c>
      <x:c r="C327" s="11" t="n">
        <x:v>36.975</x:v>
      </x:c>
      <x:c r="D327" s="11" t="n">
        <x:v>6.364</x:v>
      </x:c>
      <x:c r="E327" s="11" t="n">
        <x:v>-5.6</x:v>
      </x:c>
      <x:c r="F327" s="11" t="n">
        <x:f>SQRT((C327-C326)^2+(D327-D326)^2+(E327-E326)^2)</x:f>
        <x:v>7.640000000000001</x:v>
      </x:c>
      <x:c r="G327" s="8" t="str">
        <x:v>Current</x:v>
      </x:c>
    </x:row>
    <x:row r="328" ht="32" customHeight="1">
      <x:c r="A328" s="8" t="str">
        <x:v>drop:LC1:L2:light:-1:L55</x:v>
      </x:c>
      <x:c r="B328" s="8" t="n">
        <x:v>3</x:v>
      </x:c>
      <x:c r="C328" s="11" t="n">
        <x:v>36.975</x:v>
      </x:c>
      <x:c r="D328" s="11" t="n">
        <x:v>6.66</x:v>
      </x:c>
      <x:c r="E328" s="11" t="n">
        <x:v>-5.6</x:v>
      </x:c>
      <x:c r="F328" s="11" t="n">
        <x:f>SQRT((C328-C327)^2+(D328-D327)^2+(E328-E327)^2)</x:f>
        <x:v>0.29600000000000026</x:v>
      </x:c>
      <x:c r="G328" s="8" t="str">
        <x:v>Current</x:v>
      </x:c>
    </x:row>
    <x:row r="329" ht="32" customHeight="1">
      <x:c r="A329" s="8" t="str">
        <x:v>drop:LC1:L2:light:-1:L55</x:v>
      </x:c>
      <x:c r="B329" s="8" t="n">
        <x:v>4</x:v>
      </x:c>
      <x:c r="C329" s="11" t="n">
        <x:v>36.975</x:v>
      </x:c>
      <x:c r="D329" s="11" t="n">
        <x:v>6.655</x:v>
      </x:c>
      <x:c r="E329" s="11" t="n">
        <x:v>-5.6</x:v>
      </x:c>
      <x:c r="F329" s="11" t="n">
        <x:f>SQRT((C329-C328)^2+(D329-D328)^2+(E329-E328)^2)</x:f>
        <x:v>0.004999999999999893</x:v>
      </x:c>
      <x:c r="G329" s="8" t="str">
        <x:v>Current</x:v>
      </x:c>
    </x:row>
    <x:row r="330" ht="32" customHeight="1">
      <x:c r="A330" s="8" t="str">
        <x:v>drop:LC1:L2:light:-1:L56</x:v>
      </x:c>
      <x:c r="B330" s="8" t="n">
        <x:v>1</x:v>
      </x:c>
      <x:c r="C330" s="11" t="n">
        <x:v>36.975</x:v>
      </x:c>
      <x:c r="D330" s="11" t="n">
        <x:v>6.364</x:v>
      </x:c>
      <x:c r="E330" s="11" t="n">
        <x:v>-13.24</x:v>
      </x:c>
      <x:c r="F330" s="11" t="n">
        <x:f>0</x:f>
        <x:v>0</x:v>
      </x:c>
      <x:c r="G330" s="8" t="str">
        <x:v>Current</x:v>
      </x:c>
    </x:row>
    <x:row r="331" ht="32" customHeight="1">
      <x:c r="A331" s="8" t="str">
        <x:v>drop:LC1:L2:light:-1:L56</x:v>
      </x:c>
      <x:c r="B331" s="8" t="n">
        <x:v>2</x:v>
      </x:c>
      <x:c r="C331" s="11" t="n">
        <x:v>36.975</x:v>
      </x:c>
      <x:c r="D331" s="11" t="n">
        <x:v>6.364</x:v>
      </x:c>
      <x:c r="E331" s="11" t="n">
        <x:v>-5.6</x:v>
      </x:c>
      <x:c r="F331" s="11" t="n">
        <x:f>SQRT((C331-C330)^2+(D331-D330)^2+(E331-E330)^2)</x:f>
        <x:v>7.640000000000001</x:v>
      </x:c>
      <x:c r="G331" s="8" t="str">
        <x:v>Current</x:v>
      </x:c>
    </x:row>
    <x:row r="332" ht="32" customHeight="1">
      <x:c r="A332" s="8" t="str">
        <x:v>drop:LC1:L2:light:-1:L56</x:v>
      </x:c>
      <x:c r="B332" s="8" t="n">
        <x:v>3</x:v>
      </x:c>
      <x:c r="C332" s="11" t="n">
        <x:v>36.975</x:v>
      </x:c>
      <x:c r="D332" s="11" t="n">
        <x:v>6.66</x:v>
      </x:c>
      <x:c r="E332" s="11" t="n">
        <x:v>-5.6</x:v>
      </x:c>
      <x:c r="F332" s="11" t="n">
        <x:f>SQRT((C332-C331)^2+(D332-D331)^2+(E332-E331)^2)</x:f>
        <x:v>0.29600000000000026</x:v>
      </x:c>
      <x:c r="G332" s="8" t="str">
        <x:v>Current</x:v>
      </x:c>
    </x:row>
    <x:row r="333" ht="32" customHeight="1">
      <x:c r="A333" s="8" t="str">
        <x:v>drop:LC1:L2:light:-1:L56</x:v>
      </x:c>
      <x:c r="B333" s="8" t="n">
        <x:v>4</x:v>
      </x:c>
      <x:c r="C333" s="11" t="n">
        <x:v>36.975</x:v>
      </x:c>
      <x:c r="D333" s="11" t="n">
        <x:v>6.655</x:v>
      </x:c>
      <x:c r="E333" s="11" t="n">
        <x:v>-5.6</x:v>
      </x:c>
      <x:c r="F333" s="11" t="n">
        <x:f>SQRT((C333-C332)^2+(D333-D332)^2+(E333-E332)^2)</x:f>
        <x:v>0.004999999999999893</x:v>
      </x:c>
      <x:c r="G333" s="8" t="str">
        <x:v>Current</x:v>
      </x:c>
    </x:row>
    <x:row r="334" ht="32" customHeight="1">
      <x:c r="A334" s="8" t="str">
        <x:v>trunk:LC1:L2:light:1</x:v>
      </x:c>
      <x:c r="B334" s="8" t="n">
        <x:v>1</x:v>
      </x:c>
      <x:c r="C334" s="11" t="n">
        <x:v>48.895</x:v>
      </x:c>
      <x:c r="D334" s="11" t="n">
        <x:v>1.85</x:v>
      </x:c>
      <x:c r="E334" s="11" t="n">
        <x:v>-0.55</x:v>
      </x:c>
      <x:c r="F334" s="11" t="n">
        <x:f>0</x:f>
        <x:v>0</x:v>
      </x:c>
      <x:c r="G334" s="8" t="str">
        <x:v>Current</x:v>
      </x:c>
    </x:row>
    <x:row r="335" ht="32" customHeight="1">
      <x:c r="A335" s="8" t="str">
        <x:v>trunk:LC1:L2:light:1</x:v>
      </x:c>
      <x:c r="B335" s="8" t="n">
        <x:v>2</x:v>
      </x:c>
      <x:c r="C335" s="11" t="n">
        <x:v>48.735</x:v>
      </x:c>
      <x:c r="D335" s="11" t="n">
        <x:v>1.85</x:v>
      </x:c>
      <x:c r="E335" s="11" t="n">
        <x:v>-0.55</x:v>
      </x:c>
      <x:c r="F335" s="11" t="n">
        <x:f>SQRT((C335-C334)^2+(D335-D334)^2+(E335-E334)^2)</x:f>
        <x:v>0.1600000000000037</x:v>
      </x:c>
      <x:c r="G335" s="8" t="str">
        <x:v>Current</x:v>
      </x:c>
    </x:row>
    <x:row r="336" ht="32" customHeight="1">
      <x:c r="A336" s="8" t="str">
        <x:v>trunk:LC1:L2:light:1</x:v>
      </x:c>
      <x:c r="B336" s="8" t="n">
        <x:v>3</x:v>
      </x:c>
      <x:c r="C336" s="11" t="n">
        <x:v>48.735</x:v>
      </x:c>
      <x:c r="D336" s="11" t="n">
        <x:v>1.85</x:v>
      </x:c>
      <x:c r="E336" s="11" t="n">
        <x:v>-2.24</x:v>
      </x:c>
      <x:c r="F336" s="11" t="n">
        <x:f>SQRT((C336-C335)^2+(D336-D335)^2+(E336-E335)^2)</x:f>
        <x:v>1.6900000000000002</x:v>
      </x:c>
      <x:c r="G336" s="8" t="str">
        <x:v>Current</x:v>
      </x:c>
    </x:row>
    <x:row r="337" ht="32" customHeight="1">
      <x:c r="A337" s="8" t="str">
        <x:v>trunk:LC1:L2:light:1</x:v>
      </x:c>
      <x:c r="B337" s="8" t="n">
        <x:v>4</x:v>
      </x:c>
      <x:c r="C337" s="11" t="n">
        <x:v>48.735</x:v>
      </x:c>
      <x:c r="D337" s="11" t="n">
        <x:v>4.02</x:v>
      </x:c>
      <x:c r="E337" s="11" t="n">
        <x:v>-2.24</x:v>
      </x:c>
      <x:c r="F337" s="11" t="n">
        <x:f>SQRT((C337-C336)^2+(D337-D336)^2+(E337-E336)^2)</x:f>
        <x:v>2.1699999999999995</x:v>
      </x:c>
      <x:c r="G337" s="8" t="str">
        <x:v>Current</x:v>
      </x:c>
    </x:row>
    <x:row r="338" ht="32" customHeight="1">
      <x:c r="A338" s="8" t="str">
        <x:v>trunk:LC1:L2:light:1</x:v>
      </x:c>
      <x:c r="B338" s="8" t="n">
        <x:v>5</x:v>
      </x:c>
      <x:c r="C338" s="11" t="n">
        <x:v>48.735</x:v>
      </x:c>
      <x:c r="D338" s="11" t="n">
        <x:v>4.02</x:v>
      </x:c>
      <x:c r="E338" s="11" t="n">
        <x:v>-3.6</x:v>
      </x:c>
      <x:c r="F338" s="11" t="n">
        <x:f>SQRT((C338-C337)^2+(D338-D337)^2+(E338-E337)^2)</x:f>
        <x:v>1.3599999999999999</x:v>
      </x:c>
      <x:c r="G338" s="8" t="str">
        <x:v>Current</x:v>
      </x:c>
    </x:row>
    <x:row r="339" ht="32" customHeight="1">
      <x:c r="A339" s="8" t="str">
        <x:v>trunk:LC1:L2:light:1</x:v>
      </x:c>
      <x:c r="B339" s="8" t="n">
        <x:v>6</x:v>
      </x:c>
      <x:c r="C339" s="11" t="n">
        <x:v>53.05</x:v>
      </x:c>
      <x:c r="D339" s="11" t="n">
        <x:v>4.02</x:v>
      </x:c>
      <x:c r="E339" s="11" t="n">
        <x:v>-3.6</x:v>
      </x:c>
      <x:c r="F339" s="11" t="n">
        <x:f>SQRT((C339-C338)^2+(D339-D338)^2+(E339-E338)^2)</x:f>
        <x:v>4.314999999999998</x:v>
      </x:c>
      <x:c r="G339" s="8" t="str">
        <x:v>Current</x:v>
      </x:c>
    </x:row>
    <x:row r="340" ht="32" customHeight="1">
      <x:c r="A340" s="8" t="str">
        <x:v>trunk:LC1:L2:light:1</x:v>
      </x:c>
      <x:c r="B340" s="8" t="n">
        <x:v>7</x:v>
      </x:c>
      <x:c r="C340" s="11" t="n">
        <x:v>53.05</x:v>
      </x:c>
      <x:c r="D340" s="11" t="n">
        <x:v>6.364</x:v>
      </x:c>
      <x:c r="E340" s="11" t="n">
        <x:v>-3.6</x:v>
      </x:c>
      <x:c r="F340" s="11" t="n">
        <x:f>SQRT((C340-C339)^2+(D340-D339)^2+(E340-E339)^2)</x:f>
        <x:v>2.3440000000000003</x:v>
      </x:c>
      <x:c r="G340" s="8" t="str">
        <x:v>Current</x:v>
      </x:c>
    </x:row>
    <x:row r="341" ht="32" customHeight="1">
      <x:c r="A341" s="8" t="str">
        <x:v>trunk:LC1:L2:light:1</x:v>
      </x:c>
      <x:c r="B341" s="8" t="n">
        <x:v>8</x:v>
      </x:c>
      <x:c r="C341" s="11" t="n">
        <x:v>53.05</x:v>
      </x:c>
      <x:c r="D341" s="11" t="n">
        <x:v>6.364</x:v>
      </x:c>
      <x:c r="E341" s="11" t="n">
        <x:v>7.36</x:v>
      </x:c>
      <x:c r="F341" s="11" t="n">
        <x:f>SQRT((C341-C340)^2+(D341-D340)^2+(E341-E340)^2)</x:f>
        <x:v>10.96</x:v>
      </x:c>
      <x:c r="G341" s="8" t="str">
        <x:v>Current</x:v>
      </x:c>
    </x:row>
    <x:row r="342" ht="32" customHeight="1">
      <x:c r="A342" s="8" t="str">
        <x:v>trunk:LC1:L2:light:1</x:v>
      </x:c>
      <x:c r="B342" s="8" t="n">
        <x:v>9</x:v>
      </x:c>
      <x:c r="C342" s="11" t="n">
        <x:v>44.175</x:v>
      </x:c>
      <x:c r="D342" s="11" t="n">
        <x:v>6.364</x:v>
      </x:c>
      <x:c r="E342" s="11" t="n">
        <x:v>7.36</x:v>
      </x:c>
      <x:c r="F342" s="11" t="n">
        <x:f>SQRT((C342-C341)^2+(D342-D341)^2+(E342-E341)^2)</x:f>
        <x:v>8.875</x:v>
      </x:c>
      <x:c r="G342" s="8" t="str">
        <x:v>Current</x:v>
      </x:c>
    </x:row>
    <x:row r="343" ht="32" customHeight="1">
      <x:c r="A343" s="8" t="str">
        <x:v>trunk:LC1:L2:light:1</x:v>
      </x:c>
      <x:c r="B343" s="8" t="n">
        <x:v>10</x:v>
      </x:c>
      <x:c r="C343" s="11" t="n">
        <x:v>44.175</x:v>
      </x:c>
      <x:c r="D343" s="11" t="n">
        <x:v>6.364</x:v>
      </x:c>
      <x:c r="E343" s="11" t="n">
        <x:v>13.24</x:v>
      </x:c>
      <x:c r="F343" s="11" t="n">
        <x:f>SQRT((C343-C342)^2+(D343-D342)^2+(E343-E342)^2)</x:f>
        <x:v>5.88</x:v>
      </x:c>
      <x:c r="G343" s="8" t="str">
        <x:v>Current</x:v>
      </x:c>
    </x:row>
    <x:row r="344" ht="32" customHeight="1">
      <x:c r="A344" s="8" t="str">
        <x:v>trunk:LC1:L2:light:1</x:v>
      </x:c>
      <x:c r="B344" s="8" t="n">
        <x:v>11</x:v>
      </x:c>
      <x:c r="C344" s="11" t="n">
        <x:v>36.975</x:v>
      </x:c>
      <x:c r="D344" s="11" t="n">
        <x:v>6.364</x:v>
      </x:c>
      <x:c r="E344" s="11" t="n">
        <x:v>13.24</x:v>
      </x:c>
      <x:c r="F344" s="11" t="n">
        <x:f>SQRT((C344-C343)^2+(D344-D343)^2+(E344-E343)^2)</x:f>
        <x:v>7.199999999999996</x:v>
      </x:c>
      <x:c r="G344" s="8" t="str">
        <x:v>Current</x:v>
      </x:c>
    </x:row>
    <x:row r="345" ht="32" customHeight="1">
      <x:c r="A345" s="8" t="str">
        <x:v>trunk:LC1:L2:light:1</x:v>
      </x:c>
      <x:c r="B345" s="8" t="n">
        <x:v>12</x:v>
      </x:c>
      <x:c r="C345" s="11" t="n">
        <x:v>36.975</x:v>
      </x:c>
      <x:c r="D345" s="11" t="n">
        <x:v>6.364</x:v>
      </x:c>
      <x:c r="E345" s="11" t="n">
        <x:v>7.36</x:v>
      </x:c>
      <x:c r="F345" s="11" t="n">
        <x:f>SQRT((C345-C344)^2+(D345-D344)^2+(E345-E344)^2)</x:f>
        <x:v>5.88</x:v>
      </x:c>
      <x:c r="G345" s="8" t="str">
        <x:v>Current</x:v>
      </x:c>
    </x:row>
    <x:row r="346" ht="32" customHeight="1">
      <x:c r="A346" s="8" t="str">
        <x:v>trunk:LC1:L2:light:1</x:v>
      </x:c>
      <x:c r="B346" s="8" t="n">
        <x:v>13</x:v>
      </x:c>
      <x:c r="C346" s="11" t="n">
        <x:v>9.975</x:v>
      </x:c>
      <x:c r="D346" s="11" t="n">
        <x:v>6.364</x:v>
      </x:c>
      <x:c r="E346" s="11" t="n">
        <x:v>7.36</x:v>
      </x:c>
      <x:c r="F346" s="11" t="n">
        <x:f>SQRT((C346-C345)^2+(D346-D345)^2+(E346-E345)^2)</x:f>
        <x:v>27</x:v>
      </x:c>
      <x:c r="G346" s="8" t="str">
        <x:v>Current</x:v>
      </x:c>
    </x:row>
    <x:row r="347" ht="32" customHeight="1">
      <x:c r="A347" s="8" t="str">
        <x:v>drop:LC1:L2:light:1:L33</x:v>
      </x:c>
      <x:c r="B347" s="8" t="n">
        <x:v>1</x:v>
      </x:c>
      <x:c r="C347" s="11" t="n">
        <x:v>9.975</x:v>
      </x:c>
      <x:c r="D347" s="11" t="n">
        <x:v>6.364</x:v>
      </x:c>
      <x:c r="E347" s="11" t="n">
        <x:v>7.36</x:v>
      </x:c>
      <x:c r="F347" s="11" t="n">
        <x:f>0</x:f>
        <x:v>0</x:v>
      </x:c>
      <x:c r="G347" s="8" t="str">
        <x:v>Current</x:v>
      </x:c>
    </x:row>
    <x:row r="348" ht="32" customHeight="1">
      <x:c r="A348" s="8" t="str">
        <x:v>drop:LC1:L2:light:1:L33</x:v>
      </x:c>
      <x:c r="B348" s="8" t="n">
        <x:v>2</x:v>
      </x:c>
      <x:c r="C348" s="11" t="n">
        <x:v>9.975</x:v>
      </x:c>
      <x:c r="D348" s="11" t="n">
        <x:v>6.364</x:v>
      </x:c>
      <x:c r="E348" s="11" t="n">
        <x:v>5.6</x:v>
      </x:c>
      <x:c r="F348" s="11" t="n">
        <x:f>SQRT((C348-C347)^2+(D348-D347)^2+(E348-E347)^2)</x:f>
        <x:v>1.7600000000000007</x:v>
      </x:c>
      <x:c r="G348" s="8" t="str">
        <x:v>Current</x:v>
      </x:c>
    </x:row>
    <x:row r="349" ht="32" customHeight="1">
      <x:c r="A349" s="8" t="str">
        <x:v>drop:LC1:L2:light:1:L33</x:v>
      </x:c>
      <x:c r="B349" s="8" t="n">
        <x:v>3</x:v>
      </x:c>
      <x:c r="C349" s="11" t="n">
        <x:v>9.975</x:v>
      </x:c>
      <x:c r="D349" s="11" t="n">
        <x:v>6.66</x:v>
      </x:c>
      <x:c r="E349" s="11" t="n">
        <x:v>5.6</x:v>
      </x:c>
      <x:c r="F349" s="11" t="n">
        <x:f>SQRT((C349-C348)^2+(D349-D348)^2+(E349-E348)^2)</x:f>
        <x:v>0.29600000000000026</x:v>
      </x:c>
      <x:c r="G349" s="8" t="str">
        <x:v>Current</x:v>
      </x:c>
    </x:row>
    <x:row r="350" ht="32" customHeight="1">
      <x:c r="A350" s="8" t="str">
        <x:v>drop:LC1:L2:light:1:L33</x:v>
      </x:c>
      <x:c r="B350" s="8" t="n">
        <x:v>4</x:v>
      </x:c>
      <x:c r="C350" s="11" t="n">
        <x:v>9.975</x:v>
      </x:c>
      <x:c r="D350" s="11" t="n">
        <x:v>6.655</x:v>
      </x:c>
      <x:c r="E350" s="11" t="n">
        <x:v>5.6</x:v>
      </x:c>
      <x:c r="F350" s="11" t="n">
        <x:f>SQRT((C350-C349)^2+(D350-D349)^2+(E350-E349)^2)</x:f>
        <x:v>0.004999999999999893</x:v>
      </x:c>
      <x:c r="G350" s="8" t="str">
        <x:v>Current</x:v>
      </x:c>
    </x:row>
    <x:row r="351" ht="32" customHeight="1">
      <x:c r="A351" s="8" t="str">
        <x:v>drop:LC1:L2:light:1:L34</x:v>
      </x:c>
      <x:c r="B351" s="8" t="n">
        <x:v>1</x:v>
      </x:c>
      <x:c r="C351" s="11" t="n">
        <x:v>9.975</x:v>
      </x:c>
      <x:c r="D351" s="11" t="n">
        <x:v>6.364</x:v>
      </x:c>
      <x:c r="E351" s="11" t="n">
        <x:v>7.36</x:v>
      </x:c>
      <x:c r="F351" s="11" t="n">
        <x:f>0</x:f>
        <x:v>0</x:v>
      </x:c>
      <x:c r="G351" s="8" t="str">
        <x:v>Current</x:v>
      </x:c>
    </x:row>
    <x:row r="352" ht="32" customHeight="1">
      <x:c r="A352" s="8" t="str">
        <x:v>drop:LC1:L2:light:1:L34</x:v>
      </x:c>
      <x:c r="B352" s="8" t="n">
        <x:v>2</x:v>
      </x:c>
      <x:c r="C352" s="11" t="n">
        <x:v>9.975</x:v>
      </x:c>
      <x:c r="D352" s="11" t="n">
        <x:v>6.364</x:v>
      </x:c>
      <x:c r="E352" s="11" t="n">
        <x:v>5.6</x:v>
      </x:c>
      <x:c r="F352" s="11" t="n">
        <x:f>SQRT((C352-C351)^2+(D352-D351)^2+(E352-E351)^2)</x:f>
        <x:v>1.7600000000000007</x:v>
      </x:c>
      <x:c r="G352" s="8" t="str">
        <x:v>Current</x:v>
      </x:c>
    </x:row>
    <x:row r="353" ht="32" customHeight="1">
      <x:c r="A353" s="8" t="str">
        <x:v>drop:LC1:L2:light:1:L34</x:v>
      </x:c>
      <x:c r="B353" s="8" t="n">
        <x:v>3</x:v>
      </x:c>
      <x:c r="C353" s="11" t="n">
        <x:v>9.975</x:v>
      </x:c>
      <x:c r="D353" s="11" t="n">
        <x:v>6.66</x:v>
      </x:c>
      <x:c r="E353" s="11" t="n">
        <x:v>5.6</x:v>
      </x:c>
      <x:c r="F353" s="11" t="n">
        <x:f>SQRT((C353-C352)^2+(D353-D352)^2+(E353-E352)^2)</x:f>
        <x:v>0.29600000000000026</x:v>
      </x:c>
      <x:c r="G353" s="8" t="str">
        <x:v>Current</x:v>
      </x:c>
    </x:row>
    <x:row r="354" ht="32" customHeight="1">
      <x:c r="A354" s="8" t="str">
        <x:v>drop:LC1:L2:light:1:L34</x:v>
      </x:c>
      <x:c r="B354" s="8" t="n">
        <x:v>4</x:v>
      </x:c>
      <x:c r="C354" s="11" t="n">
        <x:v>9.975</x:v>
      </x:c>
      <x:c r="D354" s="11" t="n">
        <x:v>6.655</x:v>
      </x:c>
      <x:c r="E354" s="11" t="n">
        <x:v>5.6</x:v>
      </x:c>
      <x:c r="F354" s="11" t="n">
        <x:f>SQRT((C354-C353)^2+(D354-D353)^2+(E354-E353)^2)</x:f>
        <x:v>0.004999999999999893</x:v>
      </x:c>
      <x:c r="G354" s="8" t="str">
        <x:v>Current</x:v>
      </x:c>
    </x:row>
    <x:row r="355" ht="32" customHeight="1">
      <x:c r="A355" s="8" t="str">
        <x:v>drop:LC1:L2:light:1:L37</x:v>
      </x:c>
      <x:c r="B355" s="8" t="n">
        <x:v>1</x:v>
      </x:c>
      <x:c r="C355" s="11" t="n">
        <x:v>14.475</x:v>
      </x:c>
      <x:c r="D355" s="11" t="n">
        <x:v>6.364</x:v>
      </x:c>
      <x:c r="E355" s="11" t="n">
        <x:v>7.36</x:v>
      </x:c>
      <x:c r="F355" s="11" t="n">
        <x:f>0</x:f>
        <x:v>0</x:v>
      </x:c>
      <x:c r="G355" s="8" t="str">
        <x:v>Current</x:v>
      </x:c>
    </x:row>
    <x:row r="356" ht="32" customHeight="1">
      <x:c r="A356" s="8" t="str">
        <x:v>drop:LC1:L2:light:1:L37</x:v>
      </x:c>
      <x:c r="B356" s="8" t="n">
        <x:v>2</x:v>
      </x:c>
      <x:c r="C356" s="11" t="n">
        <x:v>14.475</x:v>
      </x:c>
      <x:c r="D356" s="11" t="n">
        <x:v>6.364</x:v>
      </x:c>
      <x:c r="E356" s="11" t="n">
        <x:v>5.6</x:v>
      </x:c>
      <x:c r="F356" s="11" t="n">
        <x:f>SQRT((C356-C355)^2+(D356-D355)^2+(E356-E355)^2)</x:f>
        <x:v>1.7600000000000007</x:v>
      </x:c>
      <x:c r="G356" s="8" t="str">
        <x:v>Current</x:v>
      </x:c>
    </x:row>
    <x:row r="357" ht="32" customHeight="1">
      <x:c r="A357" s="8" t="str">
        <x:v>drop:LC1:L2:light:1:L37</x:v>
      </x:c>
      <x:c r="B357" s="8" t="n">
        <x:v>3</x:v>
      </x:c>
      <x:c r="C357" s="11" t="n">
        <x:v>14.475</x:v>
      </x:c>
      <x:c r="D357" s="11" t="n">
        <x:v>6.66</x:v>
      </x:c>
      <x:c r="E357" s="11" t="n">
        <x:v>5.6</x:v>
      </x:c>
      <x:c r="F357" s="11" t="n">
        <x:f>SQRT((C357-C356)^2+(D357-D356)^2+(E357-E356)^2)</x:f>
        <x:v>0.29600000000000026</x:v>
      </x:c>
      <x:c r="G357" s="8" t="str">
        <x:v>Current</x:v>
      </x:c>
    </x:row>
    <x:row r="358" ht="32" customHeight="1">
      <x:c r="A358" s="8" t="str">
        <x:v>drop:LC1:L2:light:1:L37</x:v>
      </x:c>
      <x:c r="B358" s="8" t="n">
        <x:v>4</x:v>
      </x:c>
      <x:c r="C358" s="11" t="n">
        <x:v>14.475</x:v>
      </x:c>
      <x:c r="D358" s="11" t="n">
        <x:v>6.655</x:v>
      </x:c>
      <x:c r="E358" s="11" t="n">
        <x:v>5.6</x:v>
      </x:c>
      <x:c r="F358" s="11" t="n">
        <x:f>SQRT((C358-C357)^2+(D358-D357)^2+(E358-E357)^2)</x:f>
        <x:v>0.004999999999999893</x:v>
      </x:c>
      <x:c r="G358" s="8" t="str">
        <x:v>Current</x:v>
      </x:c>
    </x:row>
    <x:row r="359" ht="32" customHeight="1">
      <x:c r="A359" s="8" t="str">
        <x:v>drop:LC1:L2:light:1:L38</x:v>
      </x:c>
      <x:c r="B359" s="8" t="n">
        <x:v>1</x:v>
      </x:c>
      <x:c r="C359" s="11" t="n">
        <x:v>14.475</x:v>
      </x:c>
      <x:c r="D359" s="11" t="n">
        <x:v>6.364</x:v>
      </x:c>
      <x:c r="E359" s="11" t="n">
        <x:v>7.36</x:v>
      </x:c>
      <x:c r="F359" s="11" t="n">
        <x:f>0</x:f>
        <x:v>0</x:v>
      </x:c>
      <x:c r="G359" s="8" t="str">
        <x:v>Current</x:v>
      </x:c>
    </x:row>
    <x:row r="360" ht="32" customHeight="1">
      <x:c r="A360" s="8" t="str">
        <x:v>drop:LC1:L2:light:1:L38</x:v>
      </x:c>
      <x:c r="B360" s="8" t="n">
        <x:v>2</x:v>
      </x:c>
      <x:c r="C360" s="11" t="n">
        <x:v>14.475</x:v>
      </x:c>
      <x:c r="D360" s="11" t="n">
        <x:v>6.364</x:v>
      </x:c>
      <x:c r="E360" s="11" t="n">
        <x:v>5.6</x:v>
      </x:c>
      <x:c r="F360" s="11" t="n">
        <x:f>SQRT((C360-C359)^2+(D360-D359)^2+(E360-E359)^2)</x:f>
        <x:v>1.7600000000000007</x:v>
      </x:c>
      <x:c r="G360" s="8" t="str">
        <x:v>Current</x:v>
      </x:c>
    </x:row>
    <x:row r="361" ht="32" customHeight="1">
      <x:c r="A361" s="8" t="str">
        <x:v>drop:LC1:L2:light:1:L38</x:v>
      </x:c>
      <x:c r="B361" s="8" t="n">
        <x:v>3</x:v>
      </x:c>
      <x:c r="C361" s="11" t="n">
        <x:v>14.475</x:v>
      </x:c>
      <x:c r="D361" s="11" t="n">
        <x:v>6.66</x:v>
      </x:c>
      <x:c r="E361" s="11" t="n">
        <x:v>5.6</x:v>
      </x:c>
      <x:c r="F361" s="11" t="n">
        <x:f>SQRT((C361-C360)^2+(D361-D360)^2+(E361-E360)^2)</x:f>
        <x:v>0.29600000000000026</x:v>
      </x:c>
      <x:c r="G361" s="8" t="str">
        <x:v>Current</x:v>
      </x:c>
    </x:row>
    <x:row r="362" ht="32" customHeight="1">
      <x:c r="A362" s="8" t="str">
        <x:v>drop:LC1:L2:light:1:L38</x:v>
      </x:c>
      <x:c r="B362" s="8" t="n">
        <x:v>4</x:v>
      </x:c>
      <x:c r="C362" s="11" t="n">
        <x:v>14.475</x:v>
      </x:c>
      <x:c r="D362" s="11" t="n">
        <x:v>6.655</x:v>
      </x:c>
      <x:c r="E362" s="11" t="n">
        <x:v>5.6</x:v>
      </x:c>
      <x:c r="F362" s="11" t="n">
        <x:f>SQRT((C362-C361)^2+(D362-D361)^2+(E362-E361)^2)</x:f>
        <x:v>0.004999999999999893</x:v>
      </x:c>
      <x:c r="G362" s="8" t="str">
        <x:v>Current</x:v>
      </x:c>
    </x:row>
    <x:row r="363" ht="32" customHeight="1">
      <x:c r="A363" s="8" t="str">
        <x:v>drop:LC1:L2:light:1:L41</x:v>
      </x:c>
      <x:c r="B363" s="8" t="n">
        <x:v>1</x:v>
      </x:c>
      <x:c r="C363" s="11" t="n">
        <x:v>18.975</x:v>
      </x:c>
      <x:c r="D363" s="11" t="n">
        <x:v>6.364</x:v>
      </x:c>
      <x:c r="E363" s="11" t="n">
        <x:v>7.36</x:v>
      </x:c>
      <x:c r="F363" s="11" t="n">
        <x:f>0</x:f>
        <x:v>0</x:v>
      </x:c>
      <x:c r="G363" s="8" t="str">
        <x:v>Current</x:v>
      </x:c>
    </x:row>
    <x:row r="364" ht="32" customHeight="1">
      <x:c r="A364" s="8" t="str">
        <x:v>drop:LC1:L2:light:1:L41</x:v>
      </x:c>
      <x:c r="B364" s="8" t="n">
        <x:v>2</x:v>
      </x:c>
      <x:c r="C364" s="11" t="n">
        <x:v>18.975</x:v>
      </x:c>
      <x:c r="D364" s="11" t="n">
        <x:v>6.364</x:v>
      </x:c>
      <x:c r="E364" s="11" t="n">
        <x:v>5.6</x:v>
      </x:c>
      <x:c r="F364" s="11" t="n">
        <x:f>SQRT((C364-C363)^2+(D364-D363)^2+(E364-E363)^2)</x:f>
        <x:v>1.7600000000000007</x:v>
      </x:c>
      <x:c r="G364" s="8" t="str">
        <x:v>Current</x:v>
      </x:c>
    </x:row>
    <x:row r="365" ht="32" customHeight="1">
      <x:c r="A365" s="8" t="str">
        <x:v>drop:LC1:L2:light:1:L41</x:v>
      </x:c>
      <x:c r="B365" s="8" t="n">
        <x:v>3</x:v>
      </x:c>
      <x:c r="C365" s="11" t="n">
        <x:v>18.975</x:v>
      </x:c>
      <x:c r="D365" s="11" t="n">
        <x:v>6.66</x:v>
      </x:c>
      <x:c r="E365" s="11" t="n">
        <x:v>5.6</x:v>
      </x:c>
      <x:c r="F365" s="11" t="n">
        <x:f>SQRT((C365-C364)^2+(D365-D364)^2+(E365-E364)^2)</x:f>
        <x:v>0.29600000000000026</x:v>
      </x:c>
      <x:c r="G365" s="8" t="str">
        <x:v>Current</x:v>
      </x:c>
    </x:row>
    <x:row r="366" ht="32" customHeight="1">
      <x:c r="A366" s="8" t="str">
        <x:v>drop:LC1:L2:light:1:L41</x:v>
      </x:c>
      <x:c r="B366" s="8" t="n">
        <x:v>4</x:v>
      </x:c>
      <x:c r="C366" s="11" t="n">
        <x:v>18.975</x:v>
      </x:c>
      <x:c r="D366" s="11" t="n">
        <x:v>6.655</x:v>
      </x:c>
      <x:c r="E366" s="11" t="n">
        <x:v>5.6</x:v>
      </x:c>
      <x:c r="F366" s="11" t="n">
        <x:f>SQRT((C366-C365)^2+(D366-D365)^2+(E366-E365)^2)</x:f>
        <x:v>0.004999999999999893</x:v>
      </x:c>
      <x:c r="G366" s="8" t="str">
        <x:v>Current</x:v>
      </x:c>
    </x:row>
    <x:row r="367" ht="32" customHeight="1">
      <x:c r="A367" s="8" t="str">
        <x:v>drop:LC1:L2:light:1:L42</x:v>
      </x:c>
      <x:c r="B367" s="8" t="n">
        <x:v>1</x:v>
      </x:c>
      <x:c r="C367" s="11" t="n">
        <x:v>18.975</x:v>
      </x:c>
      <x:c r="D367" s="11" t="n">
        <x:v>6.364</x:v>
      </x:c>
      <x:c r="E367" s="11" t="n">
        <x:v>7.36</x:v>
      </x:c>
      <x:c r="F367" s="11" t="n">
        <x:f>0</x:f>
        <x:v>0</x:v>
      </x:c>
      <x:c r="G367" s="8" t="str">
        <x:v>Current</x:v>
      </x:c>
    </x:row>
    <x:row r="368" ht="32" customHeight="1">
      <x:c r="A368" s="8" t="str">
        <x:v>drop:LC1:L2:light:1:L42</x:v>
      </x:c>
      <x:c r="B368" s="8" t="n">
        <x:v>2</x:v>
      </x:c>
      <x:c r="C368" s="11" t="n">
        <x:v>18.975</x:v>
      </x:c>
      <x:c r="D368" s="11" t="n">
        <x:v>6.364</x:v>
      </x:c>
      <x:c r="E368" s="11" t="n">
        <x:v>5.6</x:v>
      </x:c>
      <x:c r="F368" s="11" t="n">
        <x:f>SQRT((C368-C367)^2+(D368-D367)^2+(E368-E367)^2)</x:f>
        <x:v>1.7600000000000007</x:v>
      </x:c>
      <x:c r="G368" s="8" t="str">
        <x:v>Current</x:v>
      </x:c>
    </x:row>
    <x:row r="369" ht="32" customHeight="1">
      <x:c r="A369" s="8" t="str">
        <x:v>drop:LC1:L2:light:1:L42</x:v>
      </x:c>
      <x:c r="B369" s="8" t="n">
        <x:v>3</x:v>
      </x:c>
      <x:c r="C369" s="11" t="n">
        <x:v>18.975</x:v>
      </x:c>
      <x:c r="D369" s="11" t="n">
        <x:v>6.66</x:v>
      </x:c>
      <x:c r="E369" s="11" t="n">
        <x:v>5.6</x:v>
      </x:c>
      <x:c r="F369" s="11" t="n">
        <x:f>SQRT((C369-C368)^2+(D369-D368)^2+(E369-E368)^2)</x:f>
        <x:v>0.29600000000000026</x:v>
      </x:c>
      <x:c r="G369" s="8" t="str">
        <x:v>Current</x:v>
      </x:c>
    </x:row>
    <x:row r="370" ht="32" customHeight="1">
      <x:c r="A370" s="8" t="str">
        <x:v>drop:LC1:L2:light:1:L42</x:v>
      </x:c>
      <x:c r="B370" s="8" t="n">
        <x:v>4</x:v>
      </x:c>
      <x:c r="C370" s="11" t="n">
        <x:v>18.975</x:v>
      </x:c>
      <x:c r="D370" s="11" t="n">
        <x:v>6.655</x:v>
      </x:c>
      <x:c r="E370" s="11" t="n">
        <x:v>5.6</x:v>
      </x:c>
      <x:c r="F370" s="11" t="n">
        <x:f>SQRT((C370-C369)^2+(D370-D369)^2+(E370-E369)^2)</x:f>
        <x:v>0.004999999999999893</x:v>
      </x:c>
      <x:c r="G370" s="8" t="str">
        <x:v>Current</x:v>
      </x:c>
    </x:row>
    <x:row r="371" ht="32" customHeight="1">
      <x:c r="A371" s="8" t="str">
        <x:v>drop:LC1:L2:light:1:L45</x:v>
      </x:c>
      <x:c r="B371" s="8" t="n">
        <x:v>1</x:v>
      </x:c>
      <x:c r="C371" s="11" t="n">
        <x:v>23.475</x:v>
      </x:c>
      <x:c r="D371" s="11" t="n">
        <x:v>6.364</x:v>
      </x:c>
      <x:c r="E371" s="11" t="n">
        <x:v>7.36</x:v>
      </x:c>
      <x:c r="F371" s="11" t="n">
        <x:f>0</x:f>
        <x:v>0</x:v>
      </x:c>
      <x:c r="G371" s="8" t="str">
        <x:v>Current</x:v>
      </x:c>
    </x:row>
    <x:row r="372" ht="32" customHeight="1">
      <x:c r="A372" s="8" t="str">
        <x:v>drop:LC1:L2:light:1:L45</x:v>
      </x:c>
      <x:c r="B372" s="8" t="n">
        <x:v>2</x:v>
      </x:c>
      <x:c r="C372" s="11" t="n">
        <x:v>23.475</x:v>
      </x:c>
      <x:c r="D372" s="11" t="n">
        <x:v>6.364</x:v>
      </x:c>
      <x:c r="E372" s="11" t="n">
        <x:v>5.6</x:v>
      </x:c>
      <x:c r="F372" s="11" t="n">
        <x:f>SQRT((C372-C371)^2+(D372-D371)^2+(E372-E371)^2)</x:f>
        <x:v>1.7600000000000007</x:v>
      </x:c>
      <x:c r="G372" s="8" t="str">
        <x:v>Current</x:v>
      </x:c>
    </x:row>
    <x:row r="373" ht="32" customHeight="1">
      <x:c r="A373" s="8" t="str">
        <x:v>drop:LC1:L2:light:1:L45</x:v>
      </x:c>
      <x:c r="B373" s="8" t="n">
        <x:v>3</x:v>
      </x:c>
      <x:c r="C373" s="11" t="n">
        <x:v>23.475</x:v>
      </x:c>
      <x:c r="D373" s="11" t="n">
        <x:v>6.66</x:v>
      </x:c>
      <x:c r="E373" s="11" t="n">
        <x:v>5.6</x:v>
      </x:c>
      <x:c r="F373" s="11" t="n">
        <x:f>SQRT((C373-C372)^2+(D373-D372)^2+(E373-E372)^2)</x:f>
        <x:v>0.29600000000000026</x:v>
      </x:c>
      <x:c r="G373" s="8" t="str">
        <x:v>Current</x:v>
      </x:c>
    </x:row>
    <x:row r="374" ht="32" customHeight="1">
      <x:c r="A374" s="8" t="str">
        <x:v>drop:LC1:L2:light:1:L45</x:v>
      </x:c>
      <x:c r="B374" s="8" t="n">
        <x:v>4</x:v>
      </x:c>
      <x:c r="C374" s="11" t="n">
        <x:v>23.475</x:v>
      </x:c>
      <x:c r="D374" s="11" t="n">
        <x:v>6.655</x:v>
      </x:c>
      <x:c r="E374" s="11" t="n">
        <x:v>5.6</x:v>
      </x:c>
      <x:c r="F374" s="11" t="n">
        <x:f>SQRT((C374-C373)^2+(D374-D373)^2+(E374-E373)^2)</x:f>
        <x:v>0.004999999999999893</x:v>
      </x:c>
      <x:c r="G374" s="8" t="str">
        <x:v>Current</x:v>
      </x:c>
    </x:row>
    <x:row r="375" ht="32" customHeight="1">
      <x:c r="A375" s="8" t="str">
        <x:v>drop:LC1:L2:light:1:L46</x:v>
      </x:c>
      <x:c r="B375" s="8" t="n">
        <x:v>1</x:v>
      </x:c>
      <x:c r="C375" s="11" t="n">
        <x:v>23.475</x:v>
      </x:c>
      <x:c r="D375" s="11" t="n">
        <x:v>6.364</x:v>
      </x:c>
      <x:c r="E375" s="11" t="n">
        <x:v>7.36</x:v>
      </x:c>
      <x:c r="F375" s="11" t="n">
        <x:f>0</x:f>
        <x:v>0</x:v>
      </x:c>
      <x:c r="G375" s="8" t="str">
        <x:v>Current</x:v>
      </x:c>
    </x:row>
    <x:row r="376" ht="32" customHeight="1">
      <x:c r="A376" s="8" t="str">
        <x:v>drop:LC1:L2:light:1:L46</x:v>
      </x:c>
      <x:c r="B376" s="8" t="n">
        <x:v>2</x:v>
      </x:c>
      <x:c r="C376" s="11" t="n">
        <x:v>23.475</x:v>
      </x:c>
      <x:c r="D376" s="11" t="n">
        <x:v>6.364</x:v>
      </x:c>
      <x:c r="E376" s="11" t="n">
        <x:v>5.6</x:v>
      </x:c>
      <x:c r="F376" s="11" t="n">
        <x:f>SQRT((C376-C375)^2+(D376-D375)^2+(E376-E375)^2)</x:f>
        <x:v>1.7600000000000007</x:v>
      </x:c>
      <x:c r="G376" s="8" t="str">
        <x:v>Current</x:v>
      </x:c>
    </x:row>
    <x:row r="377" ht="32" customHeight="1">
      <x:c r="A377" s="8" t="str">
        <x:v>drop:LC1:L2:light:1:L46</x:v>
      </x:c>
      <x:c r="B377" s="8" t="n">
        <x:v>3</x:v>
      </x:c>
      <x:c r="C377" s="11" t="n">
        <x:v>23.475</x:v>
      </x:c>
      <x:c r="D377" s="11" t="n">
        <x:v>6.66</x:v>
      </x:c>
      <x:c r="E377" s="11" t="n">
        <x:v>5.6</x:v>
      </x:c>
      <x:c r="F377" s="11" t="n">
        <x:f>SQRT((C377-C376)^2+(D377-D376)^2+(E377-E376)^2)</x:f>
        <x:v>0.29600000000000026</x:v>
      </x:c>
      <x:c r="G377" s="8" t="str">
        <x:v>Current</x:v>
      </x:c>
    </x:row>
    <x:row r="378" ht="32" customHeight="1">
      <x:c r="A378" s="8" t="str">
        <x:v>drop:LC1:L2:light:1:L46</x:v>
      </x:c>
      <x:c r="B378" s="8" t="n">
        <x:v>4</x:v>
      </x:c>
      <x:c r="C378" s="11" t="n">
        <x:v>23.475</x:v>
      </x:c>
      <x:c r="D378" s="11" t="n">
        <x:v>6.655</x:v>
      </x:c>
      <x:c r="E378" s="11" t="n">
        <x:v>5.6</x:v>
      </x:c>
      <x:c r="F378" s="11" t="n">
        <x:f>SQRT((C378-C377)^2+(D378-D377)^2+(E378-E377)^2)</x:f>
        <x:v>0.004999999999999893</x:v>
      </x:c>
      <x:c r="G378" s="8" t="str">
        <x:v>Current</x:v>
      </x:c>
    </x:row>
    <x:row r="379" ht="32" customHeight="1">
      <x:c r="A379" s="8" t="str">
        <x:v>drop:LC1:L2:light:1:L49</x:v>
      </x:c>
      <x:c r="B379" s="8" t="n">
        <x:v>1</x:v>
      </x:c>
      <x:c r="C379" s="11" t="n">
        <x:v>27.975</x:v>
      </x:c>
      <x:c r="D379" s="11" t="n">
        <x:v>6.364</x:v>
      </x:c>
      <x:c r="E379" s="11" t="n">
        <x:v>7.36</x:v>
      </x:c>
      <x:c r="F379" s="11" t="n">
        <x:f>0</x:f>
        <x:v>0</x:v>
      </x:c>
      <x:c r="G379" s="8" t="str">
        <x:v>Current</x:v>
      </x:c>
    </x:row>
    <x:row r="380" ht="32" customHeight="1">
      <x:c r="A380" s="8" t="str">
        <x:v>drop:LC1:L2:light:1:L49</x:v>
      </x:c>
      <x:c r="B380" s="8" t="n">
        <x:v>2</x:v>
      </x:c>
      <x:c r="C380" s="11" t="n">
        <x:v>27.975</x:v>
      </x:c>
      <x:c r="D380" s="11" t="n">
        <x:v>6.364</x:v>
      </x:c>
      <x:c r="E380" s="11" t="n">
        <x:v>5.6</x:v>
      </x:c>
      <x:c r="F380" s="11" t="n">
        <x:f>SQRT((C380-C379)^2+(D380-D379)^2+(E380-E379)^2)</x:f>
        <x:v>1.7600000000000007</x:v>
      </x:c>
      <x:c r="G380" s="8" t="str">
        <x:v>Current</x:v>
      </x:c>
    </x:row>
    <x:row r="381" ht="32" customHeight="1">
      <x:c r="A381" s="8" t="str">
        <x:v>drop:LC1:L2:light:1:L49</x:v>
      </x:c>
      <x:c r="B381" s="8" t="n">
        <x:v>3</x:v>
      </x:c>
      <x:c r="C381" s="11" t="n">
        <x:v>27.975</x:v>
      </x:c>
      <x:c r="D381" s="11" t="n">
        <x:v>6.66</x:v>
      </x:c>
      <x:c r="E381" s="11" t="n">
        <x:v>5.6</x:v>
      </x:c>
      <x:c r="F381" s="11" t="n">
        <x:f>SQRT((C381-C380)^2+(D381-D380)^2+(E381-E380)^2)</x:f>
        <x:v>0.29600000000000026</x:v>
      </x:c>
      <x:c r="G381" s="8" t="str">
        <x:v>Current</x:v>
      </x:c>
    </x:row>
    <x:row r="382" ht="32" customHeight="1">
      <x:c r="A382" s="8" t="str">
        <x:v>drop:LC1:L2:light:1:L49</x:v>
      </x:c>
      <x:c r="B382" s="8" t="n">
        <x:v>4</x:v>
      </x:c>
      <x:c r="C382" s="11" t="n">
        <x:v>27.975</x:v>
      </x:c>
      <x:c r="D382" s="11" t="n">
        <x:v>6.655</x:v>
      </x:c>
      <x:c r="E382" s="11" t="n">
        <x:v>5.6</x:v>
      </x:c>
      <x:c r="F382" s="11" t="n">
        <x:f>SQRT((C382-C381)^2+(D382-D381)^2+(E382-E381)^2)</x:f>
        <x:v>0.004999999999999893</x:v>
      </x:c>
      <x:c r="G382" s="8" t="str">
        <x:v>Current</x:v>
      </x:c>
    </x:row>
    <x:row r="383" ht="32" customHeight="1">
      <x:c r="A383" s="8" t="str">
        <x:v>drop:LC1:L2:light:1:L50</x:v>
      </x:c>
      <x:c r="B383" s="8" t="n">
        <x:v>1</x:v>
      </x:c>
      <x:c r="C383" s="11" t="n">
        <x:v>27.975</x:v>
      </x:c>
      <x:c r="D383" s="11" t="n">
        <x:v>6.364</x:v>
      </x:c>
      <x:c r="E383" s="11" t="n">
        <x:v>7.36</x:v>
      </x:c>
      <x:c r="F383" s="11" t="n">
        <x:f>0</x:f>
        <x:v>0</x:v>
      </x:c>
      <x:c r="G383" s="8" t="str">
        <x:v>Current</x:v>
      </x:c>
    </x:row>
    <x:row r="384" ht="32" customHeight="1">
      <x:c r="A384" s="8" t="str">
        <x:v>drop:LC1:L2:light:1:L50</x:v>
      </x:c>
      <x:c r="B384" s="8" t="n">
        <x:v>2</x:v>
      </x:c>
      <x:c r="C384" s="11" t="n">
        <x:v>27.975</x:v>
      </x:c>
      <x:c r="D384" s="11" t="n">
        <x:v>6.364</x:v>
      </x:c>
      <x:c r="E384" s="11" t="n">
        <x:v>5.6</x:v>
      </x:c>
      <x:c r="F384" s="11" t="n">
        <x:f>SQRT((C384-C383)^2+(D384-D383)^2+(E384-E383)^2)</x:f>
        <x:v>1.7600000000000007</x:v>
      </x:c>
      <x:c r="G384" s="8" t="str">
        <x:v>Current</x:v>
      </x:c>
    </x:row>
    <x:row r="385" ht="32" customHeight="1">
      <x:c r="A385" s="8" t="str">
        <x:v>drop:LC1:L2:light:1:L50</x:v>
      </x:c>
      <x:c r="B385" s="8" t="n">
        <x:v>3</x:v>
      </x:c>
      <x:c r="C385" s="11" t="n">
        <x:v>27.975</x:v>
      </x:c>
      <x:c r="D385" s="11" t="n">
        <x:v>6.66</x:v>
      </x:c>
      <x:c r="E385" s="11" t="n">
        <x:v>5.6</x:v>
      </x:c>
      <x:c r="F385" s="11" t="n">
        <x:f>SQRT((C385-C384)^2+(D385-D384)^2+(E385-E384)^2)</x:f>
        <x:v>0.29600000000000026</x:v>
      </x:c>
      <x:c r="G385" s="8" t="str">
        <x:v>Current</x:v>
      </x:c>
    </x:row>
    <x:row r="386" ht="32" customHeight="1">
      <x:c r="A386" s="8" t="str">
        <x:v>drop:LC1:L2:light:1:L50</x:v>
      </x:c>
      <x:c r="B386" s="8" t="n">
        <x:v>4</x:v>
      </x:c>
      <x:c r="C386" s="11" t="n">
        <x:v>27.975</x:v>
      </x:c>
      <x:c r="D386" s="11" t="n">
        <x:v>6.655</x:v>
      </x:c>
      <x:c r="E386" s="11" t="n">
        <x:v>5.6</x:v>
      </x:c>
      <x:c r="F386" s="11" t="n">
        <x:f>SQRT((C386-C385)^2+(D386-D385)^2+(E386-E385)^2)</x:f>
        <x:v>0.004999999999999893</x:v>
      </x:c>
      <x:c r="G386" s="8" t="str">
        <x:v>Current</x:v>
      </x:c>
    </x:row>
    <x:row r="387" ht="32" customHeight="1">
      <x:c r="A387" s="8" t="str">
        <x:v>drop:LC1:L2:light:1:L53</x:v>
      </x:c>
      <x:c r="B387" s="8" t="n">
        <x:v>1</x:v>
      </x:c>
      <x:c r="C387" s="11" t="n">
        <x:v>32.475</x:v>
      </x:c>
      <x:c r="D387" s="11" t="n">
        <x:v>6.364</x:v>
      </x:c>
      <x:c r="E387" s="11" t="n">
        <x:v>7.36</x:v>
      </x:c>
      <x:c r="F387" s="11" t="n">
        <x:f>0</x:f>
        <x:v>0</x:v>
      </x:c>
      <x:c r="G387" s="8" t="str">
        <x:v>Current</x:v>
      </x:c>
    </x:row>
    <x:row r="388" ht="32" customHeight="1">
      <x:c r="A388" s="8" t="str">
        <x:v>drop:LC1:L2:light:1:L53</x:v>
      </x:c>
      <x:c r="B388" s="8" t="n">
        <x:v>2</x:v>
      </x:c>
      <x:c r="C388" s="11" t="n">
        <x:v>32.475</x:v>
      </x:c>
      <x:c r="D388" s="11" t="n">
        <x:v>6.364</x:v>
      </x:c>
      <x:c r="E388" s="11" t="n">
        <x:v>5.6</x:v>
      </x:c>
      <x:c r="F388" s="11" t="n">
        <x:f>SQRT((C388-C387)^2+(D388-D387)^2+(E388-E387)^2)</x:f>
        <x:v>1.7600000000000007</x:v>
      </x:c>
      <x:c r="G388" s="8" t="str">
        <x:v>Current</x:v>
      </x:c>
    </x:row>
    <x:row r="389" ht="32" customHeight="1">
      <x:c r="A389" s="8" t="str">
        <x:v>drop:LC1:L2:light:1:L53</x:v>
      </x:c>
      <x:c r="B389" s="8" t="n">
        <x:v>3</x:v>
      </x:c>
      <x:c r="C389" s="11" t="n">
        <x:v>32.475</x:v>
      </x:c>
      <x:c r="D389" s="11" t="n">
        <x:v>6.66</x:v>
      </x:c>
      <x:c r="E389" s="11" t="n">
        <x:v>5.6</x:v>
      </x:c>
      <x:c r="F389" s="11" t="n">
        <x:f>SQRT((C389-C388)^2+(D389-D388)^2+(E389-E388)^2)</x:f>
        <x:v>0.29600000000000026</x:v>
      </x:c>
      <x:c r="G389" s="8" t="str">
        <x:v>Current</x:v>
      </x:c>
    </x:row>
    <x:row r="390" ht="32" customHeight="1">
      <x:c r="A390" s="8" t="str">
        <x:v>drop:LC1:L2:light:1:L53</x:v>
      </x:c>
      <x:c r="B390" s="8" t="n">
        <x:v>4</x:v>
      </x:c>
      <x:c r="C390" s="11" t="n">
        <x:v>32.475</x:v>
      </x:c>
      <x:c r="D390" s="11" t="n">
        <x:v>6.655</x:v>
      </x:c>
      <x:c r="E390" s="11" t="n">
        <x:v>5.6</x:v>
      </x:c>
      <x:c r="F390" s="11" t="n">
        <x:f>SQRT((C390-C389)^2+(D390-D389)^2+(E390-E389)^2)</x:f>
        <x:v>0.004999999999999893</x:v>
      </x:c>
      <x:c r="G390" s="8" t="str">
        <x:v>Current</x:v>
      </x:c>
    </x:row>
    <x:row r="391" ht="32" customHeight="1">
      <x:c r="A391" s="8" t="str">
        <x:v>drop:LC1:L2:light:1:L54</x:v>
      </x:c>
      <x:c r="B391" s="8" t="n">
        <x:v>1</x:v>
      </x:c>
      <x:c r="C391" s="11" t="n">
        <x:v>32.475</x:v>
      </x:c>
      <x:c r="D391" s="11" t="n">
        <x:v>6.364</x:v>
      </x:c>
      <x:c r="E391" s="11" t="n">
        <x:v>7.36</x:v>
      </x:c>
      <x:c r="F391" s="11" t="n">
        <x:f>0</x:f>
        <x:v>0</x:v>
      </x:c>
      <x:c r="G391" s="8" t="str">
        <x:v>Current</x:v>
      </x:c>
    </x:row>
    <x:row r="392" ht="32" customHeight="1">
      <x:c r="A392" s="8" t="str">
        <x:v>drop:LC1:L2:light:1:L54</x:v>
      </x:c>
      <x:c r="B392" s="8" t="n">
        <x:v>2</x:v>
      </x:c>
      <x:c r="C392" s="11" t="n">
        <x:v>32.475</x:v>
      </x:c>
      <x:c r="D392" s="11" t="n">
        <x:v>6.364</x:v>
      </x:c>
      <x:c r="E392" s="11" t="n">
        <x:v>5.6</x:v>
      </x:c>
      <x:c r="F392" s="11" t="n">
        <x:f>SQRT((C392-C391)^2+(D392-D391)^2+(E392-E391)^2)</x:f>
        <x:v>1.7600000000000007</x:v>
      </x:c>
      <x:c r="G392" s="8" t="str">
        <x:v>Current</x:v>
      </x:c>
    </x:row>
    <x:row r="393" ht="32" customHeight="1">
      <x:c r="A393" s="8" t="str">
        <x:v>drop:LC1:L2:light:1:L54</x:v>
      </x:c>
      <x:c r="B393" s="8" t="n">
        <x:v>3</x:v>
      </x:c>
      <x:c r="C393" s="11" t="n">
        <x:v>32.475</x:v>
      </x:c>
      <x:c r="D393" s="11" t="n">
        <x:v>6.66</x:v>
      </x:c>
      <x:c r="E393" s="11" t="n">
        <x:v>5.6</x:v>
      </x:c>
      <x:c r="F393" s="11" t="n">
        <x:f>SQRT((C393-C392)^2+(D393-D392)^2+(E393-E392)^2)</x:f>
        <x:v>0.29600000000000026</x:v>
      </x:c>
      <x:c r="G393" s="8" t="str">
        <x:v>Current</x:v>
      </x:c>
    </x:row>
    <x:row r="394" ht="32" customHeight="1">
      <x:c r="A394" s="8" t="str">
        <x:v>drop:LC1:L2:light:1:L54</x:v>
      </x:c>
      <x:c r="B394" s="8" t="n">
        <x:v>4</x:v>
      </x:c>
      <x:c r="C394" s="11" t="n">
        <x:v>32.475</x:v>
      </x:c>
      <x:c r="D394" s="11" t="n">
        <x:v>6.655</x:v>
      </x:c>
      <x:c r="E394" s="11" t="n">
        <x:v>5.6</x:v>
      </x:c>
      <x:c r="F394" s="11" t="n">
        <x:f>SQRT((C394-C393)^2+(D394-D393)^2+(E394-E393)^2)</x:f>
        <x:v>0.004999999999999893</x:v>
      </x:c>
      <x:c r="G394" s="8" t="str">
        <x:v>Current</x:v>
      </x:c>
    </x:row>
    <x:row r="395" ht="32" customHeight="1">
      <x:c r="A395" s="8" t="str">
        <x:v>drop:LC1:L2:light:1:L57</x:v>
      </x:c>
      <x:c r="B395" s="8" t="n">
        <x:v>1</x:v>
      </x:c>
      <x:c r="C395" s="11" t="n">
        <x:v>36.975</x:v>
      </x:c>
      <x:c r="D395" s="11" t="n">
        <x:v>6.364</x:v>
      </x:c>
      <x:c r="E395" s="11" t="n">
        <x:v>13.24</x:v>
      </x:c>
      <x:c r="F395" s="11" t="n">
        <x:f>0</x:f>
        <x:v>0</x:v>
      </x:c>
      <x:c r="G395" s="8" t="str">
        <x:v>Current</x:v>
      </x:c>
    </x:row>
    <x:row r="396" ht="32" customHeight="1">
      <x:c r="A396" s="8" t="str">
        <x:v>drop:LC1:L2:light:1:L57</x:v>
      </x:c>
      <x:c r="B396" s="8" t="n">
        <x:v>2</x:v>
      </x:c>
      <x:c r="C396" s="11" t="n">
        <x:v>36.975</x:v>
      </x:c>
      <x:c r="D396" s="11" t="n">
        <x:v>6.364</x:v>
      </x:c>
      <x:c r="E396" s="11" t="n">
        <x:v>5.6</x:v>
      </x:c>
      <x:c r="F396" s="11" t="n">
        <x:f>SQRT((C396-C395)^2+(D396-D395)^2+(E396-E395)^2)</x:f>
        <x:v>7.640000000000001</x:v>
      </x:c>
      <x:c r="G396" s="8" t="str">
        <x:v>Current</x:v>
      </x:c>
    </x:row>
    <x:row r="397" ht="32" customHeight="1">
      <x:c r="A397" s="8" t="str">
        <x:v>drop:LC1:L2:light:1:L57</x:v>
      </x:c>
      <x:c r="B397" s="8" t="n">
        <x:v>3</x:v>
      </x:c>
      <x:c r="C397" s="11" t="n">
        <x:v>36.975</x:v>
      </x:c>
      <x:c r="D397" s="11" t="n">
        <x:v>6.66</x:v>
      </x:c>
      <x:c r="E397" s="11" t="n">
        <x:v>5.6</x:v>
      </x:c>
      <x:c r="F397" s="11" t="n">
        <x:f>SQRT((C397-C396)^2+(D397-D396)^2+(E397-E396)^2)</x:f>
        <x:v>0.29600000000000026</x:v>
      </x:c>
      <x:c r="G397" s="8" t="str">
        <x:v>Current</x:v>
      </x:c>
    </x:row>
    <x:row r="398" ht="32" customHeight="1">
      <x:c r="A398" s="8" t="str">
        <x:v>drop:LC1:L2:light:1:L57</x:v>
      </x:c>
      <x:c r="B398" s="8" t="n">
        <x:v>4</x:v>
      </x:c>
      <x:c r="C398" s="11" t="n">
        <x:v>36.975</x:v>
      </x:c>
      <x:c r="D398" s="11" t="n">
        <x:v>6.655</x:v>
      </x:c>
      <x:c r="E398" s="11" t="n">
        <x:v>5.6</x:v>
      </x:c>
      <x:c r="F398" s="11" t="n">
        <x:f>SQRT((C398-C397)^2+(D398-D397)^2+(E398-E397)^2)</x:f>
        <x:v>0.004999999999999893</x:v>
      </x:c>
      <x:c r="G398" s="8" t="str">
        <x:v>Current</x:v>
      </x:c>
    </x:row>
    <x:row r="399" ht="32" customHeight="1">
      <x:c r="A399" s="8" t="str">
        <x:v>drop:LC1:L2:light:1:L58</x:v>
      </x:c>
      <x:c r="B399" s="8" t="n">
        <x:v>1</x:v>
      </x:c>
      <x:c r="C399" s="11" t="n">
        <x:v>36.975</x:v>
      </x:c>
      <x:c r="D399" s="11" t="n">
        <x:v>6.364</x:v>
      </x:c>
      <x:c r="E399" s="11" t="n">
        <x:v>13.24</x:v>
      </x:c>
      <x:c r="F399" s="11" t="n">
        <x:f>0</x:f>
        <x:v>0</x:v>
      </x:c>
      <x:c r="G399" s="8" t="str">
        <x:v>Current</x:v>
      </x:c>
    </x:row>
    <x:row r="400" ht="32" customHeight="1">
      <x:c r="A400" s="8" t="str">
        <x:v>drop:LC1:L2:light:1:L58</x:v>
      </x:c>
      <x:c r="B400" s="8" t="n">
        <x:v>2</x:v>
      </x:c>
      <x:c r="C400" s="11" t="n">
        <x:v>36.975</x:v>
      </x:c>
      <x:c r="D400" s="11" t="n">
        <x:v>6.364</x:v>
      </x:c>
      <x:c r="E400" s="11" t="n">
        <x:v>5.6</x:v>
      </x:c>
      <x:c r="F400" s="11" t="n">
        <x:f>SQRT((C400-C399)^2+(D400-D399)^2+(E400-E399)^2)</x:f>
        <x:v>7.640000000000001</x:v>
      </x:c>
      <x:c r="G400" s="8" t="str">
        <x:v>Current</x:v>
      </x:c>
    </x:row>
    <x:row r="401" ht="32" customHeight="1">
      <x:c r="A401" s="8" t="str">
        <x:v>drop:LC1:L2:light:1:L58</x:v>
      </x:c>
      <x:c r="B401" s="8" t="n">
        <x:v>3</x:v>
      </x:c>
      <x:c r="C401" s="11" t="n">
        <x:v>36.975</x:v>
      </x:c>
      <x:c r="D401" s="11" t="n">
        <x:v>6.66</x:v>
      </x:c>
      <x:c r="E401" s="11" t="n">
        <x:v>5.6</x:v>
      </x:c>
      <x:c r="F401" s="11" t="n">
        <x:f>SQRT((C401-C400)^2+(D401-D400)^2+(E401-E400)^2)</x:f>
        <x:v>0.29600000000000026</x:v>
      </x:c>
      <x:c r="G401" s="8" t="str">
        <x:v>Current</x:v>
      </x:c>
    </x:row>
    <x:row r="402" ht="32" customHeight="1">
      <x:c r="A402" s="8" t="str">
        <x:v>drop:LC1:L2:light:1:L58</x:v>
      </x:c>
      <x:c r="B402" s="8" t="n">
        <x:v>4</x:v>
      </x:c>
      <x:c r="C402" s="11" t="n">
        <x:v>36.975</x:v>
      </x:c>
      <x:c r="D402" s="11" t="n">
        <x:v>6.655</x:v>
      </x:c>
      <x:c r="E402" s="11" t="n">
        <x:v>5.6</x:v>
      </x:c>
      <x:c r="F402" s="11" t="n">
        <x:f>SQRT((C402-C401)^2+(D402-D401)^2+(E402-E401)^2)</x:f>
        <x:v>0.004999999999999893</x:v>
      </x:c>
      <x:c r="G402" s="8" t="str">
        <x:v>Current</x:v>
      </x:c>
    </x:row>
    <x:row r="403" ht="32" customHeight="1">
      <x:c r="A403" s="8" t="str">
        <x:v>trunk:LC1:L8:light:-1</x:v>
      </x:c>
      <x:c r="B403" s="8" t="n">
        <x:v>1</x:v>
      </x:c>
      <x:c r="C403" s="11" t="n">
        <x:v>48.895</x:v>
      </x:c>
      <x:c r="D403" s="11" t="n">
        <x:v>1.85</x:v>
      </x:c>
      <x:c r="E403" s="11" t="n">
        <x:v>-0.55</x:v>
      </x:c>
      <x:c r="F403" s="11" t="n">
        <x:f>0</x:f>
        <x:v>0</x:v>
      </x:c>
      <x:c r="G403" s="8" t="str">
        <x:v>Current</x:v>
      </x:c>
    </x:row>
    <x:row r="404" ht="32" customHeight="1">
      <x:c r="A404" s="8" t="str">
        <x:v>trunk:LC1:L8:light:-1</x:v>
      </x:c>
      <x:c r="B404" s="8" t="n">
        <x:v>2</x:v>
      </x:c>
      <x:c r="C404" s="11" t="n">
        <x:v>48.735</x:v>
      </x:c>
      <x:c r="D404" s="11" t="n">
        <x:v>1.85</x:v>
      </x:c>
      <x:c r="E404" s="11" t="n">
        <x:v>-0.55</x:v>
      </x:c>
      <x:c r="F404" s="11" t="n">
        <x:f>SQRT((C404-C403)^2+(D404-D403)^2+(E404-E403)^2)</x:f>
        <x:v>0.1600000000000037</x:v>
      </x:c>
      <x:c r="G404" s="8" t="str">
        <x:v>Current</x:v>
      </x:c>
    </x:row>
    <x:row r="405" ht="32" customHeight="1">
      <x:c r="A405" s="8" t="str">
        <x:v>trunk:LC1:L8:light:-1</x:v>
      </x:c>
      <x:c r="B405" s="8" t="n">
        <x:v>3</x:v>
      </x:c>
      <x:c r="C405" s="11" t="n">
        <x:v>48.735</x:v>
      </x:c>
      <x:c r="D405" s="11" t="n">
        <x:v>1.85</x:v>
      </x:c>
      <x:c r="E405" s="11" t="n">
        <x:v>-2.24</x:v>
      </x:c>
      <x:c r="F405" s="11" t="n">
        <x:f>SQRT((C405-C404)^2+(D405-D404)^2+(E405-E404)^2)</x:f>
        <x:v>1.6900000000000002</x:v>
      </x:c>
      <x:c r="G405" s="8" t="str">
        <x:v>Current</x:v>
      </x:c>
    </x:row>
    <x:row r="406" ht="32" customHeight="1">
      <x:c r="A406" s="8" t="str">
        <x:v>trunk:LC1:L8:light:-1</x:v>
      </x:c>
      <x:c r="B406" s="8" t="n">
        <x:v>4</x:v>
      </x:c>
      <x:c r="C406" s="11" t="n">
        <x:v>48.735</x:v>
      </x:c>
      <x:c r="D406" s="11" t="n">
        <x:v>4.02</x:v>
      </x:c>
      <x:c r="E406" s="11" t="n">
        <x:v>-2.24</x:v>
      </x:c>
      <x:c r="F406" s="11" t="n">
        <x:f>SQRT((C406-C405)^2+(D406-D405)^2+(E406-E405)^2)</x:f>
        <x:v>2.1699999999999995</x:v>
      </x:c>
      <x:c r="G406" s="8" t="str">
        <x:v>Current</x:v>
      </x:c>
    </x:row>
    <x:row r="407" ht="32" customHeight="1">
      <x:c r="A407" s="8" t="str">
        <x:v>trunk:LC1:L8:light:-1</x:v>
      </x:c>
      <x:c r="B407" s="8" t="n">
        <x:v>5</x:v>
      </x:c>
      <x:c r="C407" s="11" t="n">
        <x:v>48.735</x:v>
      </x:c>
      <x:c r="D407" s="11" t="n">
        <x:v>4.02</x:v>
      </x:c>
      <x:c r="E407" s="11" t="n">
        <x:v>-3.6</x:v>
      </x:c>
      <x:c r="F407" s="11" t="n">
        <x:f>SQRT((C407-C406)^2+(D407-D406)^2+(E407-E406)^2)</x:f>
        <x:v>1.3599999999999999</x:v>
      </x:c>
      <x:c r="G407" s="8" t="str">
        <x:v>Current</x:v>
      </x:c>
    </x:row>
    <x:row r="408" ht="32" customHeight="1">
      <x:c r="A408" s="8" t="str">
        <x:v>trunk:LC1:L8:light:-1</x:v>
      </x:c>
      <x:c r="B408" s="8" t="n">
        <x:v>6</x:v>
      </x:c>
      <x:c r="C408" s="11" t="n">
        <x:v>53.05</x:v>
      </x:c>
      <x:c r="D408" s="11" t="n">
        <x:v>4.02</x:v>
      </x:c>
      <x:c r="E408" s="11" t="n">
        <x:v>-3.6</x:v>
      </x:c>
      <x:c r="F408" s="11" t="n">
        <x:f>SQRT((C408-C407)^2+(D408-D407)^2+(E408-E407)^2)</x:f>
        <x:v>4.314999999999998</x:v>
      </x:c>
      <x:c r="G408" s="8" t="str">
        <x:v>Current</x:v>
      </x:c>
    </x:row>
    <x:row r="409" ht="32" customHeight="1">
      <x:c r="A409" s="8" t="str">
        <x:v>trunk:LC1:L8:light:-1</x:v>
      </x:c>
      <x:c r="B409" s="8" t="n">
        <x:v>7</x:v>
      </x:c>
      <x:c r="C409" s="11" t="n">
        <x:v>53.05</x:v>
      </x:c>
      <x:c r="D409" s="11" t="n">
        <x:v>6.4479999999999995</x:v>
      </x:c>
      <x:c r="E409" s="11" t="n">
        <x:v>-3.6</x:v>
      </x:c>
      <x:c r="F409" s="11" t="n">
        <x:f>SQRT((C409-C408)^2+(D409-D408)^2+(E409-E408)^2)</x:f>
        <x:v>2.428</x:v>
      </x:c>
      <x:c r="G409" s="8" t="str">
        <x:v>Current</x:v>
      </x:c>
    </x:row>
    <x:row r="410" ht="32" customHeight="1">
      <x:c r="A410" s="8" t="str">
        <x:v>trunk:LC1:L8:light:-1</x:v>
      </x:c>
      <x:c r="B410" s="8" t="n">
        <x:v>8</x:v>
      </x:c>
      <x:c r="C410" s="11" t="n">
        <x:v>53.05</x:v>
      </x:c>
      <x:c r="D410" s="11" t="n">
        <x:v>6.4479999999999995</x:v>
      </x:c>
      <x:c r="E410" s="11" t="n">
        <x:v>-7.36</x:v>
      </x:c>
      <x:c r="F410" s="11" t="n">
        <x:f>SQRT((C410-C409)^2+(D410-D409)^2+(E410-E409)^2)</x:f>
        <x:v>3.7600000000000002</x:v>
      </x:c>
      <x:c r="G410" s="8" t="str">
        <x:v>Current</x:v>
      </x:c>
    </x:row>
    <x:row r="411" ht="32" customHeight="1">
      <x:c r="A411" s="8" t="str">
        <x:v>trunk:LC1:L8:light:-1</x:v>
      </x:c>
      <x:c r="B411" s="8" t="n">
        <x:v>9</x:v>
      </x:c>
      <x:c r="C411" s="11" t="n">
        <x:v>44.175</x:v>
      </x:c>
      <x:c r="D411" s="11" t="n">
        <x:v>6.4479999999999995</x:v>
      </x:c>
      <x:c r="E411" s="11" t="n">
        <x:v>-7.36</x:v>
      </x:c>
      <x:c r="F411" s="11" t="n">
        <x:f>SQRT((C411-C410)^2+(D411-D410)^2+(E411-E410)^2)</x:f>
        <x:v>8.875</x:v>
      </x:c>
      <x:c r="G411" s="8" t="str">
        <x:v>Current</x:v>
      </x:c>
    </x:row>
    <x:row r="412" ht="32" customHeight="1">
      <x:c r="A412" s="8" t="str">
        <x:v>trunk:LC1:L8:light:-1</x:v>
      </x:c>
      <x:c r="B412" s="8" t="n">
        <x:v>10</x:v>
      </x:c>
      <x:c r="C412" s="11" t="n">
        <x:v>44.175</x:v>
      </x:c>
      <x:c r="D412" s="11" t="n">
        <x:v>6.4479999999999995</x:v>
      </x:c>
      <x:c r="E412" s="11" t="n">
        <x:v>-13.24</x:v>
      </x:c>
      <x:c r="F412" s="11" t="n">
        <x:f>SQRT((C412-C411)^2+(D412-D411)^2+(E412-E411)^2)</x:f>
        <x:v>5.88</x:v>
      </x:c>
      <x:c r="G412" s="8" t="str">
        <x:v>Current</x:v>
      </x:c>
    </x:row>
    <x:row r="413" ht="32" customHeight="1">
      <x:c r="A413" s="8" t="str">
        <x:v>trunk:LC1:L8:light:-1</x:v>
      </x:c>
      <x:c r="B413" s="8" t="n">
        <x:v>11</x:v>
      </x:c>
      <x:c r="C413" s="11" t="n">
        <x:v>40.26</x:v>
      </x:c>
      <x:c r="D413" s="11" t="n">
        <x:v>6.4479999999999995</x:v>
      </x:c>
      <x:c r="E413" s="11" t="n">
        <x:v>-13.24</x:v>
      </x:c>
      <x:c r="F413" s="11" t="n">
        <x:f>SQRT((C413-C412)^2+(D413-D412)^2+(E413-E412)^2)</x:f>
        <x:v>3.914999999999999</x:v>
      </x:c>
      <x:c r="G413" s="8" t="str">
        <x:v>Current</x:v>
      </x:c>
    </x:row>
    <x:row r="414" ht="32" customHeight="1">
      <x:c r="A414" s="8" t="str">
        <x:v>drop:LC1:L8:light:-1:L63</x:v>
      </x:c>
      <x:c r="B414" s="8" t="n">
        <x:v>1</x:v>
      </x:c>
      <x:c r="C414" s="11" t="n">
        <x:v>40.26</x:v>
      </x:c>
      <x:c r="D414" s="11" t="n">
        <x:v>6.4479999999999995</x:v>
      </x:c>
      <x:c r="E414" s="11" t="n">
        <x:v>-13.24</x:v>
      </x:c>
      <x:c r="F414" s="11" t="n">
        <x:f>0</x:f>
        <x:v>0</x:v>
      </x:c>
      <x:c r="G414" s="8" t="str">
        <x:v>Current</x:v>
      </x:c>
    </x:row>
    <x:row r="415" ht="32" customHeight="1">
      <x:c r="A415" s="8" t="str">
        <x:v>drop:LC1:L8:light:-1:L63</x:v>
      </x:c>
      <x:c r="B415" s="8" t="n">
        <x:v>2</x:v>
      </x:c>
      <x:c r="C415" s="11" t="n">
        <x:v>40.26</x:v>
      </x:c>
      <x:c r="D415" s="11" t="n">
        <x:v>4.15</x:v>
      </x:c>
      <x:c r="E415" s="11" t="n">
        <x:v>-13.24</x:v>
      </x:c>
      <x:c r="F415" s="11" t="n">
        <x:f>SQRT((C415-C414)^2+(D415-D414)^2+(E415-E414)^2)</x:f>
        <x:v>2.297999999999999</x:v>
      </x:c>
      <x:c r="G415" s="8" t="str">
        <x:v>Current</x:v>
      </x:c>
    </x:row>
    <x:row r="416" ht="32" customHeight="1">
      <x:c r="A416" s="8" t="str">
        <x:v>drop:LC1:L8:light:-1:L63</x:v>
      </x:c>
      <x:c r="B416" s="8" t="n">
        <x:v>3</x:v>
      </x:c>
      <x:c r="C416" s="11" t="n">
        <x:v>40.26</x:v>
      </x:c>
      <x:c r="D416" s="11" t="n">
        <x:v>4.15</x:v>
      </x:c>
      <x:c r="E416" s="11" t="n">
        <x:v>-13.06</x:v>
      </x:c>
      <x:c r="F416" s="11" t="n">
        <x:f>SQRT((C416-C415)^2+(D416-D415)^2+(E416-E415)^2)</x:f>
        <x:v>0.17999999999999972</x:v>
      </x:c>
      <x:c r="G416" s="8" t="str">
        <x:v>Current</x:v>
      </x:c>
    </x:row>
    <x:row r="417" ht="32" customHeight="1">
      <x:c r="A417" s="8" t="str">
        <x:v>drop:LC1:L8:light:-1:L64</x:v>
      </x:c>
      <x:c r="B417" s="8" t="n">
        <x:v>1</x:v>
      </x:c>
      <x:c r="C417" s="11" t="n">
        <x:v>40.26</x:v>
      </x:c>
      <x:c r="D417" s="11" t="n">
        <x:v>6.4479999999999995</x:v>
      </x:c>
      <x:c r="E417" s="11" t="n">
        <x:v>-13.24</x:v>
      </x:c>
      <x:c r="F417" s="11" t="n">
        <x:f>0</x:f>
        <x:v>0</x:v>
      </x:c>
      <x:c r="G417" s="8" t="str">
        <x:v>Current</x:v>
      </x:c>
    </x:row>
    <x:row r="418" ht="32" customHeight="1">
      <x:c r="A418" s="8" t="str">
        <x:v>drop:LC1:L8:light:-1:L64</x:v>
      </x:c>
      <x:c r="B418" s="8" t="n">
        <x:v>2</x:v>
      </x:c>
      <x:c r="C418" s="11" t="n">
        <x:v>40.26</x:v>
      </x:c>
      <x:c r="D418" s="11" t="n">
        <x:v>2.92</x:v>
      </x:c>
      <x:c r="E418" s="11" t="n">
        <x:v>-13.24</x:v>
      </x:c>
      <x:c r="F418" s="11" t="n">
        <x:f>SQRT((C418-C417)^2+(D418-D417)^2+(E418-E417)^2)</x:f>
        <x:v>3.5279999999999996</x:v>
      </x:c>
      <x:c r="G418" s="8" t="str">
        <x:v>Current</x:v>
      </x:c>
    </x:row>
    <x:row r="419" ht="32" customHeight="1">
      <x:c r="A419" s="8" t="str">
        <x:v>drop:LC1:L8:light:-1:L64</x:v>
      </x:c>
      <x:c r="B419" s="8" t="n">
        <x:v>3</x:v>
      </x:c>
      <x:c r="C419" s="11" t="n">
        <x:v>40.26</x:v>
      </x:c>
      <x:c r="D419" s="11" t="n">
        <x:v>2.92</x:v>
      </x:c>
      <x:c r="E419" s="11" t="n">
        <x:v>-13.06</x:v>
      </x:c>
      <x:c r="F419" s="11" t="n">
        <x:f>SQRT((C419-C418)^2+(D419-D418)^2+(E419-E418)^2)</x:f>
        <x:v>0.17999999999999972</x:v>
      </x:c>
      <x:c r="G419" s="8" t="str">
        <x:v>Current</x:v>
      </x:c>
    </x:row>
    <x:row r="420" ht="32" customHeight="1">
      <x:c r="A420" s="8" t="str">
        <x:v>drop:LC1:L8:light:-1:L65</x:v>
      </x:c>
      <x:c r="B420" s="8" t="n">
        <x:v>1</x:v>
      </x:c>
      <x:c r="C420" s="11" t="n">
        <x:v>40.86</x:v>
      </x:c>
      <x:c r="D420" s="11" t="n">
        <x:v>6.4479999999999995</x:v>
      </x:c>
      <x:c r="E420" s="11" t="n">
        <x:v>-13.24</x:v>
      </x:c>
      <x:c r="F420" s="11" t="n">
        <x:f>0</x:f>
        <x:v>0</x:v>
      </x:c>
      <x:c r="G420" s="8" t="str">
        <x:v>Current</x:v>
      </x:c>
    </x:row>
    <x:row r="421" ht="32" customHeight="1">
      <x:c r="A421" s="8" t="str">
        <x:v>drop:LC1:L8:light:-1:L65</x:v>
      </x:c>
      <x:c r="B421" s="8" t="n">
        <x:v>2</x:v>
      </x:c>
      <x:c r="C421" s="11" t="n">
        <x:v>40.86</x:v>
      </x:c>
      <x:c r="D421" s="11" t="n">
        <x:v>4.15</x:v>
      </x:c>
      <x:c r="E421" s="11" t="n">
        <x:v>-13.24</x:v>
      </x:c>
      <x:c r="F421" s="11" t="n">
        <x:f>SQRT((C421-C420)^2+(D421-D420)^2+(E421-E420)^2)</x:f>
        <x:v>2.297999999999999</x:v>
      </x:c>
      <x:c r="G421" s="8" t="str">
        <x:v>Current</x:v>
      </x:c>
    </x:row>
    <x:row r="422" ht="32" customHeight="1">
      <x:c r="A422" s="8" t="str">
        <x:v>drop:LC1:L8:light:-1:L65</x:v>
      </x:c>
      <x:c r="B422" s="8" t="n">
        <x:v>3</x:v>
      </x:c>
      <x:c r="C422" s="11" t="n">
        <x:v>40.86</x:v>
      </x:c>
      <x:c r="D422" s="11" t="n">
        <x:v>4.15</x:v>
      </x:c>
      <x:c r="E422" s="11" t="n">
        <x:v>-13.06</x:v>
      </x:c>
      <x:c r="F422" s="11" t="n">
        <x:f>SQRT((C422-C421)^2+(D422-D421)^2+(E422-E421)^2)</x:f>
        <x:v>0.17999999999999972</x:v>
      </x:c>
      <x:c r="G422" s="8" t="str">
        <x:v>Current</x:v>
      </x:c>
    </x:row>
    <x:row r="423" ht="32" customHeight="1">
      <x:c r="A423" s="8" t="str">
        <x:v>drop:LC1:L8:light:-1:L66</x:v>
      </x:c>
      <x:c r="B423" s="8" t="n">
        <x:v>1</x:v>
      </x:c>
      <x:c r="C423" s="11" t="n">
        <x:v>40.86</x:v>
      </x:c>
      <x:c r="D423" s="11" t="n">
        <x:v>6.4479999999999995</x:v>
      </x:c>
      <x:c r="E423" s="11" t="n">
        <x:v>-13.24</x:v>
      </x:c>
      <x:c r="F423" s="11" t="n">
        <x:f>0</x:f>
        <x:v>0</x:v>
      </x:c>
      <x:c r="G423" s="8" t="str">
        <x:v>Current</x:v>
      </x:c>
    </x:row>
    <x:row r="424" ht="32" customHeight="1">
      <x:c r="A424" s="8" t="str">
        <x:v>drop:LC1:L8:light:-1:L66</x:v>
      </x:c>
      <x:c r="B424" s="8" t="n">
        <x:v>2</x:v>
      </x:c>
      <x:c r="C424" s="11" t="n">
        <x:v>40.86</x:v>
      </x:c>
      <x:c r="D424" s="11" t="n">
        <x:v>2.92</x:v>
      </x:c>
      <x:c r="E424" s="11" t="n">
        <x:v>-13.24</x:v>
      </x:c>
      <x:c r="F424" s="11" t="n">
        <x:f>SQRT((C424-C423)^2+(D424-D423)^2+(E424-E423)^2)</x:f>
        <x:v>3.5279999999999996</x:v>
      </x:c>
      <x:c r="G424" s="8" t="str">
        <x:v>Current</x:v>
      </x:c>
    </x:row>
    <x:row r="425" ht="32" customHeight="1">
      <x:c r="A425" s="8" t="str">
        <x:v>drop:LC1:L8:light:-1:L66</x:v>
      </x:c>
      <x:c r="B425" s="8" t="n">
        <x:v>3</x:v>
      </x:c>
      <x:c r="C425" s="11" t="n">
        <x:v>40.86</x:v>
      </x:c>
      <x:c r="D425" s="11" t="n">
        <x:v>2.92</x:v>
      </x:c>
      <x:c r="E425" s="11" t="n">
        <x:v>-13.06</x:v>
      </x:c>
      <x:c r="F425" s="11" t="n">
        <x:f>SQRT((C425-C424)^2+(D425-D424)^2+(E425-E424)^2)</x:f>
        <x:v>0.17999999999999972</x:v>
      </x:c>
      <x:c r="G425" s="8" t="str">
        <x:v>Current</x:v>
      </x:c>
    </x:row>
    <x:row r="426" ht="32" customHeight="1">
      <x:c r="A426" s="8" t="str">
        <x:v>trunk:LC1:L8:light:1</x:v>
      </x:c>
      <x:c r="B426" s="8" t="n">
        <x:v>1</x:v>
      </x:c>
      <x:c r="C426" s="11" t="n">
        <x:v>48.895</x:v>
      </x:c>
      <x:c r="D426" s="11" t="n">
        <x:v>1.85</x:v>
      </x:c>
      <x:c r="E426" s="11" t="n">
        <x:v>-0.55</x:v>
      </x:c>
      <x:c r="F426" s="11" t="n">
        <x:f>0</x:f>
        <x:v>0</x:v>
      </x:c>
      <x:c r="G426" s="8" t="str">
        <x:v>Current</x:v>
      </x:c>
    </x:row>
    <x:row r="427" ht="32" customHeight="1">
      <x:c r="A427" s="8" t="str">
        <x:v>trunk:LC1:L8:light:1</x:v>
      </x:c>
      <x:c r="B427" s="8" t="n">
        <x:v>2</x:v>
      </x:c>
      <x:c r="C427" s="11" t="n">
        <x:v>48.735</x:v>
      </x:c>
      <x:c r="D427" s="11" t="n">
        <x:v>1.85</x:v>
      </x:c>
      <x:c r="E427" s="11" t="n">
        <x:v>-0.55</x:v>
      </x:c>
      <x:c r="F427" s="11" t="n">
        <x:f>SQRT((C427-C426)^2+(D427-D426)^2+(E427-E426)^2)</x:f>
        <x:v>0.1600000000000037</x:v>
      </x:c>
      <x:c r="G427" s="8" t="str">
        <x:v>Current</x:v>
      </x:c>
    </x:row>
    <x:row r="428" ht="32" customHeight="1">
      <x:c r="A428" s="8" t="str">
        <x:v>trunk:LC1:L8:light:1</x:v>
      </x:c>
      <x:c r="B428" s="8" t="n">
        <x:v>3</x:v>
      </x:c>
      <x:c r="C428" s="11" t="n">
        <x:v>48.735</x:v>
      </x:c>
      <x:c r="D428" s="11" t="n">
        <x:v>1.85</x:v>
      </x:c>
      <x:c r="E428" s="11" t="n">
        <x:v>-2.24</x:v>
      </x:c>
      <x:c r="F428" s="11" t="n">
        <x:f>SQRT((C428-C427)^2+(D428-D427)^2+(E428-E427)^2)</x:f>
        <x:v>1.6900000000000002</x:v>
      </x:c>
      <x:c r="G428" s="8" t="str">
        <x:v>Current</x:v>
      </x:c>
    </x:row>
    <x:row r="429" ht="32" customHeight="1">
      <x:c r="A429" s="8" t="str">
        <x:v>trunk:LC1:L8:light:1</x:v>
      </x:c>
      <x:c r="B429" s="8" t="n">
        <x:v>4</x:v>
      </x:c>
      <x:c r="C429" s="11" t="n">
        <x:v>48.735</x:v>
      </x:c>
      <x:c r="D429" s="11" t="n">
        <x:v>4.02</x:v>
      </x:c>
      <x:c r="E429" s="11" t="n">
        <x:v>-2.24</x:v>
      </x:c>
      <x:c r="F429" s="11" t="n">
        <x:f>SQRT((C429-C428)^2+(D429-D428)^2+(E429-E428)^2)</x:f>
        <x:v>2.1699999999999995</x:v>
      </x:c>
      <x:c r="G429" s="8" t="str">
        <x:v>Current</x:v>
      </x:c>
    </x:row>
    <x:row r="430" ht="32" customHeight="1">
      <x:c r="A430" s="8" t="str">
        <x:v>trunk:LC1:L8:light:1</x:v>
      </x:c>
      <x:c r="B430" s="8" t="n">
        <x:v>5</x:v>
      </x:c>
      <x:c r="C430" s="11" t="n">
        <x:v>48.735</x:v>
      </x:c>
      <x:c r="D430" s="11" t="n">
        <x:v>4.02</x:v>
      </x:c>
      <x:c r="E430" s="11" t="n">
        <x:v>-3.6</x:v>
      </x:c>
      <x:c r="F430" s="11" t="n">
        <x:f>SQRT((C430-C429)^2+(D430-D429)^2+(E430-E429)^2)</x:f>
        <x:v>1.3599999999999999</x:v>
      </x:c>
      <x:c r="G430" s="8" t="str">
        <x:v>Current</x:v>
      </x:c>
    </x:row>
    <x:row r="431" ht="32" customHeight="1">
      <x:c r="A431" s="8" t="str">
        <x:v>trunk:LC1:L8:light:1</x:v>
      </x:c>
      <x:c r="B431" s="8" t="n">
        <x:v>6</x:v>
      </x:c>
      <x:c r="C431" s="11" t="n">
        <x:v>53.05</x:v>
      </x:c>
      <x:c r="D431" s="11" t="n">
        <x:v>4.02</x:v>
      </x:c>
      <x:c r="E431" s="11" t="n">
        <x:v>-3.6</x:v>
      </x:c>
      <x:c r="F431" s="11" t="n">
        <x:f>SQRT((C431-C430)^2+(D431-D430)^2+(E431-E430)^2)</x:f>
        <x:v>4.314999999999998</x:v>
      </x:c>
      <x:c r="G431" s="8" t="str">
        <x:v>Current</x:v>
      </x:c>
    </x:row>
    <x:row r="432" ht="32" customHeight="1">
      <x:c r="A432" s="8" t="str">
        <x:v>trunk:LC1:L8:light:1</x:v>
      </x:c>
      <x:c r="B432" s="8" t="n">
        <x:v>7</x:v>
      </x:c>
      <x:c r="C432" s="11" t="n">
        <x:v>53.05</x:v>
      </x:c>
      <x:c r="D432" s="11" t="n">
        <x:v>6.4479999999999995</x:v>
      </x:c>
      <x:c r="E432" s="11" t="n">
        <x:v>-3.6</x:v>
      </x:c>
      <x:c r="F432" s="11" t="n">
        <x:f>SQRT((C432-C431)^2+(D432-D431)^2+(E432-E431)^2)</x:f>
        <x:v>2.428</x:v>
      </x:c>
      <x:c r="G432" s="8" t="str">
        <x:v>Current</x:v>
      </x:c>
    </x:row>
    <x:row r="433" ht="32" customHeight="1">
      <x:c r="A433" s="8" t="str">
        <x:v>trunk:LC1:L8:light:1</x:v>
      </x:c>
      <x:c r="B433" s="8" t="n">
        <x:v>8</x:v>
      </x:c>
      <x:c r="C433" s="11" t="n">
        <x:v>53.05</x:v>
      </x:c>
      <x:c r="D433" s="11" t="n">
        <x:v>6.4479999999999995</x:v>
      </x:c>
      <x:c r="E433" s="11" t="n">
        <x:v>7.36</x:v>
      </x:c>
      <x:c r="F433" s="11" t="n">
        <x:f>SQRT((C433-C432)^2+(D433-D432)^2+(E433-E432)^2)</x:f>
        <x:v>10.96</x:v>
      </x:c>
      <x:c r="G433" s="8" t="str">
        <x:v>Current</x:v>
      </x:c>
    </x:row>
    <x:row r="434" ht="32" customHeight="1">
      <x:c r="A434" s="8" t="str">
        <x:v>trunk:LC1:L8:light:1</x:v>
      </x:c>
      <x:c r="B434" s="8" t="n">
        <x:v>9</x:v>
      </x:c>
      <x:c r="C434" s="11" t="n">
        <x:v>44.175</x:v>
      </x:c>
      <x:c r="D434" s="11" t="n">
        <x:v>6.4479999999999995</x:v>
      </x:c>
      <x:c r="E434" s="11" t="n">
        <x:v>7.36</x:v>
      </x:c>
      <x:c r="F434" s="11" t="n">
        <x:f>SQRT((C434-C433)^2+(D434-D433)^2+(E434-E433)^2)</x:f>
        <x:v>8.875</x:v>
      </x:c>
      <x:c r="G434" s="8" t="str">
        <x:v>Current</x:v>
      </x:c>
    </x:row>
    <x:row r="435" ht="32" customHeight="1">
      <x:c r="A435" s="8" t="str">
        <x:v>trunk:LC1:L8:light:1</x:v>
      </x:c>
      <x:c r="B435" s="8" t="n">
        <x:v>10</x:v>
      </x:c>
      <x:c r="C435" s="11" t="n">
        <x:v>44.175</x:v>
      </x:c>
      <x:c r="D435" s="11" t="n">
        <x:v>6.4479999999999995</x:v>
      </x:c>
      <x:c r="E435" s="11" t="n">
        <x:v>13.24</x:v>
      </x:c>
      <x:c r="F435" s="11" t="n">
        <x:f>SQRT((C435-C434)^2+(D435-D434)^2+(E435-E434)^2)</x:f>
        <x:v>5.88</x:v>
      </x:c>
      <x:c r="G435" s="8" t="str">
        <x:v>Current</x:v>
      </x:c>
    </x:row>
    <x:row r="436" ht="32" customHeight="1">
      <x:c r="A436" s="8" t="str">
        <x:v>trunk:LC1:L8:light:1</x:v>
      </x:c>
      <x:c r="B436" s="8" t="n">
        <x:v>11</x:v>
      </x:c>
      <x:c r="C436" s="11" t="n">
        <x:v>40.26</x:v>
      </x:c>
      <x:c r="D436" s="11" t="n">
        <x:v>6.4479999999999995</x:v>
      </x:c>
      <x:c r="E436" s="11" t="n">
        <x:v>13.24</x:v>
      </x:c>
      <x:c r="F436" s="11" t="n">
        <x:f>SQRT((C436-C435)^2+(D436-D435)^2+(E436-E435)^2)</x:f>
        <x:v>3.914999999999999</x:v>
      </x:c>
      <x:c r="G436" s="8" t="str">
        <x:v>Current</x:v>
      </x:c>
    </x:row>
    <x:row r="437" ht="32" customHeight="1">
      <x:c r="A437" s="8" t="str">
        <x:v>drop:LC1:L8:light:1:L67</x:v>
      </x:c>
      <x:c r="B437" s="8" t="n">
        <x:v>1</x:v>
      </x:c>
      <x:c r="C437" s="11" t="n">
        <x:v>40.26</x:v>
      </x:c>
      <x:c r="D437" s="11" t="n">
        <x:v>6.4479999999999995</x:v>
      </x:c>
      <x:c r="E437" s="11" t="n">
        <x:v>13.24</x:v>
      </x:c>
      <x:c r="F437" s="11" t="n">
        <x:f>0</x:f>
        <x:v>0</x:v>
      </x:c>
      <x:c r="G437" s="8" t="str">
        <x:v>Current</x:v>
      </x:c>
    </x:row>
    <x:row r="438" ht="32" customHeight="1">
      <x:c r="A438" s="8" t="str">
        <x:v>drop:LC1:L8:light:1:L67</x:v>
      </x:c>
      <x:c r="B438" s="8" t="n">
        <x:v>2</x:v>
      </x:c>
      <x:c r="C438" s="11" t="n">
        <x:v>40.26</x:v>
      </x:c>
      <x:c r="D438" s="11" t="n">
        <x:v>4.15</x:v>
      </x:c>
      <x:c r="E438" s="11" t="n">
        <x:v>13.24</x:v>
      </x:c>
      <x:c r="F438" s="11" t="n">
        <x:f>SQRT((C438-C437)^2+(D438-D437)^2+(E438-E437)^2)</x:f>
        <x:v>2.297999999999999</x:v>
      </x:c>
      <x:c r="G438" s="8" t="str">
        <x:v>Current</x:v>
      </x:c>
    </x:row>
    <x:row r="439" ht="32" customHeight="1">
      <x:c r="A439" s="8" t="str">
        <x:v>drop:LC1:L8:light:1:L67</x:v>
      </x:c>
      <x:c r="B439" s="8" t="n">
        <x:v>3</x:v>
      </x:c>
      <x:c r="C439" s="11" t="n">
        <x:v>40.26</x:v>
      </x:c>
      <x:c r="D439" s="11" t="n">
        <x:v>4.15</x:v>
      </x:c>
      <x:c r="E439" s="11" t="n">
        <x:v>13.06</x:v>
      </x:c>
      <x:c r="F439" s="11" t="n">
        <x:f>SQRT((C439-C438)^2+(D439-D438)^2+(E439-E438)^2)</x:f>
        <x:v>0.17999999999999972</x:v>
      </x:c>
      <x:c r="G439" s="8" t="str">
        <x:v>Current</x:v>
      </x:c>
    </x:row>
    <x:row r="440" ht="32" customHeight="1">
      <x:c r="A440" s="8" t="str">
        <x:v>drop:LC1:L8:light:1:L68</x:v>
      </x:c>
      <x:c r="B440" s="8" t="n">
        <x:v>1</x:v>
      </x:c>
      <x:c r="C440" s="11" t="n">
        <x:v>40.26</x:v>
      </x:c>
      <x:c r="D440" s="11" t="n">
        <x:v>6.4479999999999995</x:v>
      </x:c>
      <x:c r="E440" s="11" t="n">
        <x:v>13.24</x:v>
      </x:c>
      <x:c r="F440" s="11" t="n">
        <x:f>0</x:f>
        <x:v>0</x:v>
      </x:c>
      <x:c r="G440" s="8" t="str">
        <x:v>Current</x:v>
      </x:c>
    </x:row>
    <x:row r="441" ht="32" customHeight="1">
      <x:c r="A441" s="8" t="str">
        <x:v>drop:LC1:L8:light:1:L68</x:v>
      </x:c>
      <x:c r="B441" s="8" t="n">
        <x:v>2</x:v>
      </x:c>
      <x:c r="C441" s="11" t="n">
        <x:v>40.26</x:v>
      </x:c>
      <x:c r="D441" s="11" t="n">
        <x:v>2.92</x:v>
      </x:c>
      <x:c r="E441" s="11" t="n">
        <x:v>13.24</x:v>
      </x:c>
      <x:c r="F441" s="11" t="n">
        <x:f>SQRT((C441-C440)^2+(D441-D440)^2+(E441-E440)^2)</x:f>
        <x:v>3.5279999999999996</x:v>
      </x:c>
      <x:c r="G441" s="8" t="str">
        <x:v>Current</x:v>
      </x:c>
    </x:row>
    <x:row r="442" ht="32" customHeight="1">
      <x:c r="A442" s="8" t="str">
        <x:v>drop:LC1:L8:light:1:L68</x:v>
      </x:c>
      <x:c r="B442" s="8" t="n">
        <x:v>3</x:v>
      </x:c>
      <x:c r="C442" s="11" t="n">
        <x:v>40.26</x:v>
      </x:c>
      <x:c r="D442" s="11" t="n">
        <x:v>2.92</x:v>
      </x:c>
      <x:c r="E442" s="11" t="n">
        <x:v>13.06</x:v>
      </x:c>
      <x:c r="F442" s="11" t="n">
        <x:f>SQRT((C442-C441)^2+(D442-D441)^2+(E442-E441)^2)</x:f>
        <x:v>0.17999999999999972</x:v>
      </x:c>
      <x:c r="G442" s="8" t="str">
        <x:v>Current</x:v>
      </x:c>
    </x:row>
    <x:row r="443" ht="32" customHeight="1">
      <x:c r="A443" s="8" t="str">
        <x:v>drop:LC1:L8:light:1:L69</x:v>
      </x:c>
      <x:c r="B443" s="8" t="n">
        <x:v>1</x:v>
      </x:c>
      <x:c r="C443" s="11" t="n">
        <x:v>40.86</x:v>
      </x:c>
      <x:c r="D443" s="11" t="n">
        <x:v>6.4479999999999995</x:v>
      </x:c>
      <x:c r="E443" s="11" t="n">
        <x:v>13.24</x:v>
      </x:c>
      <x:c r="F443" s="11" t="n">
        <x:f>0</x:f>
        <x:v>0</x:v>
      </x:c>
      <x:c r="G443" s="8" t="str">
        <x:v>Current</x:v>
      </x:c>
    </x:row>
    <x:row r="444" ht="32" customHeight="1">
      <x:c r="A444" s="8" t="str">
        <x:v>drop:LC1:L8:light:1:L69</x:v>
      </x:c>
      <x:c r="B444" s="8" t="n">
        <x:v>2</x:v>
      </x:c>
      <x:c r="C444" s="11" t="n">
        <x:v>40.86</x:v>
      </x:c>
      <x:c r="D444" s="11" t="n">
        <x:v>4.15</x:v>
      </x:c>
      <x:c r="E444" s="11" t="n">
        <x:v>13.24</x:v>
      </x:c>
      <x:c r="F444" s="11" t="n">
        <x:f>SQRT((C444-C443)^2+(D444-D443)^2+(E444-E443)^2)</x:f>
        <x:v>2.297999999999999</x:v>
      </x:c>
      <x:c r="G444" s="8" t="str">
        <x:v>Current</x:v>
      </x:c>
    </x:row>
    <x:row r="445" ht="32" customHeight="1">
      <x:c r="A445" s="8" t="str">
        <x:v>drop:LC1:L8:light:1:L69</x:v>
      </x:c>
      <x:c r="B445" s="8" t="n">
        <x:v>3</x:v>
      </x:c>
      <x:c r="C445" s="11" t="n">
        <x:v>40.86</x:v>
      </x:c>
      <x:c r="D445" s="11" t="n">
        <x:v>4.15</x:v>
      </x:c>
      <x:c r="E445" s="11" t="n">
        <x:v>13.06</x:v>
      </x:c>
      <x:c r="F445" s="11" t="n">
        <x:f>SQRT((C445-C444)^2+(D445-D444)^2+(E445-E444)^2)</x:f>
        <x:v>0.17999999999999972</x:v>
      </x:c>
      <x:c r="G445" s="8" t="str">
        <x:v>Current</x:v>
      </x:c>
    </x:row>
    <x:row r="446" ht="32" customHeight="1">
      <x:c r="A446" s="8" t="str">
        <x:v>drop:LC1:L8:light:1:L70</x:v>
      </x:c>
      <x:c r="B446" s="8" t="n">
        <x:v>1</x:v>
      </x:c>
      <x:c r="C446" s="11" t="n">
        <x:v>40.86</x:v>
      </x:c>
      <x:c r="D446" s="11" t="n">
        <x:v>6.4479999999999995</x:v>
      </x:c>
      <x:c r="E446" s="11" t="n">
        <x:v>13.24</x:v>
      </x:c>
      <x:c r="F446" s="11" t="n">
        <x:f>0</x:f>
        <x:v>0</x:v>
      </x:c>
      <x:c r="G446" s="8" t="str">
        <x:v>Current</x:v>
      </x:c>
    </x:row>
    <x:row r="447" ht="32" customHeight="1">
      <x:c r="A447" s="8" t="str">
        <x:v>drop:LC1:L8:light:1:L70</x:v>
      </x:c>
      <x:c r="B447" s="8" t="n">
        <x:v>2</x:v>
      </x:c>
      <x:c r="C447" s="11" t="n">
        <x:v>40.86</x:v>
      </x:c>
      <x:c r="D447" s="11" t="n">
        <x:v>2.92</x:v>
      </x:c>
      <x:c r="E447" s="11" t="n">
        <x:v>13.24</x:v>
      </x:c>
      <x:c r="F447" s="11" t="n">
        <x:f>SQRT((C447-C446)^2+(D447-D446)^2+(E447-E446)^2)</x:f>
        <x:v>3.5279999999999996</x:v>
      </x:c>
      <x:c r="G447" s="8" t="str">
        <x:v>Current</x:v>
      </x:c>
    </x:row>
    <x:row r="448" ht="32" customHeight="1">
      <x:c r="A448" s="8" t="str">
        <x:v>drop:LC1:L8:light:1:L70</x:v>
      </x:c>
      <x:c r="B448" s="8" t="n">
        <x:v>3</x:v>
      </x:c>
      <x:c r="C448" s="11" t="n">
        <x:v>40.86</x:v>
      </x:c>
      <x:c r="D448" s="11" t="n">
        <x:v>2.92</x:v>
      </x:c>
      <x:c r="E448" s="11" t="n">
        <x:v>13.06</x:v>
      </x:c>
      <x:c r="F448" s="11" t="n">
        <x:f>SQRT((C448-C447)^2+(D448-D447)^2+(E448-E447)^2)</x:f>
        <x:v>0.17999999999999972</x:v>
      </x:c>
      <x:c r="G448" s="8" t="str">
        <x:v>Current</x:v>
      </x:c>
    </x:row>
    <x:row r="449" ht="32" customHeight="1">
      <x:c r="A449" s="8" t="str">
        <x:v>trunk:LC1:LA:light:-1</x:v>
      </x:c>
      <x:c r="B449" s="8" t="n">
        <x:v>1</x:v>
      </x:c>
      <x:c r="C449" s="11" t="n">
        <x:v>48.895</x:v>
      </x:c>
      <x:c r="D449" s="11" t="n">
        <x:v>1.85</x:v>
      </x:c>
      <x:c r="E449" s="11" t="n">
        <x:v>-0.55</x:v>
      </x:c>
      <x:c r="F449" s="11" t="n">
        <x:f>0</x:f>
        <x:v>0</x:v>
      </x:c>
      <x:c r="G449" s="8" t="str">
        <x:v>Current</x:v>
      </x:c>
    </x:row>
    <x:row r="450" ht="32" customHeight="1">
      <x:c r="A450" s="8" t="str">
        <x:v>trunk:LC1:LA:light:-1</x:v>
      </x:c>
      <x:c r="B450" s="8" t="n">
        <x:v>2</x:v>
      </x:c>
      <x:c r="C450" s="11" t="n">
        <x:v>48.735</x:v>
      </x:c>
      <x:c r="D450" s="11" t="n">
        <x:v>1.85</x:v>
      </x:c>
      <x:c r="E450" s="11" t="n">
        <x:v>-0.55</x:v>
      </x:c>
      <x:c r="F450" s="11" t="n">
        <x:f>SQRT((C450-C449)^2+(D450-D449)^2+(E450-E449)^2)</x:f>
        <x:v>0.1600000000000037</x:v>
      </x:c>
      <x:c r="G450" s="8" t="str">
        <x:v>Current</x:v>
      </x:c>
    </x:row>
    <x:row r="451" ht="32" customHeight="1">
      <x:c r="A451" s="8" t="str">
        <x:v>trunk:LC1:LA:light:-1</x:v>
      </x:c>
      <x:c r="B451" s="8" t="n">
        <x:v>3</x:v>
      </x:c>
      <x:c r="C451" s="11" t="n">
        <x:v>48.735</x:v>
      </x:c>
      <x:c r="D451" s="11" t="n">
        <x:v>1.85</x:v>
      </x:c>
      <x:c r="E451" s="11" t="n">
        <x:v>-2.24</x:v>
      </x:c>
      <x:c r="F451" s="11" t="n">
        <x:f>SQRT((C451-C450)^2+(D451-D450)^2+(E451-E450)^2)</x:f>
        <x:v>1.6900000000000002</x:v>
      </x:c>
      <x:c r="G451" s="8" t="str">
        <x:v>Current</x:v>
      </x:c>
    </x:row>
    <x:row r="452" ht="32" customHeight="1">
      <x:c r="A452" s="8" t="str">
        <x:v>trunk:LC1:LA:light:-1</x:v>
      </x:c>
      <x:c r="B452" s="8" t="n">
        <x:v>4</x:v>
      </x:c>
      <x:c r="C452" s="11" t="n">
        <x:v>48.735</x:v>
      </x:c>
      <x:c r="D452" s="11" t="n">
        <x:v>4.02</x:v>
      </x:c>
      <x:c r="E452" s="11" t="n">
        <x:v>-2.24</x:v>
      </x:c>
      <x:c r="F452" s="11" t="n">
        <x:f>SQRT((C452-C451)^2+(D452-D451)^2+(E452-E451)^2)</x:f>
        <x:v>2.1699999999999995</x:v>
      </x:c>
      <x:c r="G452" s="8" t="str">
        <x:v>Current</x:v>
      </x:c>
    </x:row>
    <x:row r="453" ht="32" customHeight="1">
      <x:c r="A453" s="8" t="str">
        <x:v>trunk:LC1:LA:light:-1</x:v>
      </x:c>
      <x:c r="B453" s="8" t="n">
        <x:v>5</x:v>
      </x:c>
      <x:c r="C453" s="11" t="n">
        <x:v>48.735</x:v>
      </x:c>
      <x:c r="D453" s="11" t="n">
        <x:v>4.02</x:v>
      </x:c>
      <x:c r="E453" s="11" t="n">
        <x:v>-3.6</x:v>
      </x:c>
      <x:c r="F453" s="11" t="n">
        <x:f>SQRT((C453-C452)^2+(D453-D452)^2+(E453-E452)^2)</x:f>
        <x:v>1.3599999999999999</x:v>
      </x:c>
      <x:c r="G453" s="8" t="str">
        <x:v>Current</x:v>
      </x:c>
    </x:row>
    <x:row r="454" ht="32" customHeight="1">
      <x:c r="A454" s="8" t="str">
        <x:v>trunk:LC1:LA:light:-1</x:v>
      </x:c>
      <x:c r="B454" s="8" t="n">
        <x:v>6</x:v>
      </x:c>
      <x:c r="C454" s="11" t="n">
        <x:v>53.05</x:v>
      </x:c>
      <x:c r="D454" s="11" t="n">
        <x:v>4.02</x:v>
      </x:c>
      <x:c r="E454" s="11" t="n">
        <x:v>-3.6</x:v>
      </x:c>
      <x:c r="F454" s="11" t="n">
        <x:f>SQRT((C454-C453)^2+(D454-D453)^2+(E454-E453)^2)</x:f>
        <x:v>4.314999999999998</x:v>
      </x:c>
      <x:c r="G454" s="8" t="str">
        <x:v>Current</x:v>
      </x:c>
    </x:row>
    <x:row r="455" ht="32" customHeight="1">
      <x:c r="A455" s="8" t="str">
        <x:v>trunk:LC1:LA:light:-1</x:v>
      </x:c>
      <x:c r="B455" s="8" t="n">
        <x:v>7</x:v>
      </x:c>
      <x:c r="C455" s="11" t="n">
        <x:v>53.05</x:v>
      </x:c>
      <x:c r="D455" s="11" t="n">
        <x:v>6.406</x:v>
      </x:c>
      <x:c r="E455" s="11" t="n">
        <x:v>-3.6</x:v>
      </x:c>
      <x:c r="F455" s="11" t="n">
        <x:f>SQRT((C455-C454)^2+(D455-D454)^2+(E455-E454)^2)</x:f>
        <x:v>2.386</x:v>
      </x:c>
      <x:c r="G455" s="8" t="str">
        <x:v>Current</x:v>
      </x:c>
    </x:row>
    <x:row r="456" ht="32" customHeight="1">
      <x:c r="A456" s="8" t="str">
        <x:v>trunk:LC1:LA:light:-1</x:v>
      </x:c>
      <x:c r="B456" s="8" t="n">
        <x:v>8</x:v>
      </x:c>
      <x:c r="C456" s="11" t="n">
        <x:v>53.05</x:v>
      </x:c>
      <x:c r="D456" s="11" t="n">
        <x:v>6.406</x:v>
      </x:c>
      <x:c r="E456" s="11" t="n">
        <x:v>-7.36</x:v>
      </x:c>
      <x:c r="F456" s="11" t="n">
        <x:f>SQRT((C456-C455)^2+(D456-D455)^2+(E456-E455)^2)</x:f>
        <x:v>3.7600000000000002</x:v>
      </x:c>
      <x:c r="G456" s="8" t="str">
        <x:v>Current</x:v>
      </x:c>
    </x:row>
    <x:row r="457" ht="32" customHeight="1">
      <x:c r="A457" s="8" t="str">
        <x:v>trunk:LC1:LA:light:-1</x:v>
      </x:c>
      <x:c r="B457" s="8" t="n">
        <x:v>9</x:v>
      </x:c>
      <x:c r="C457" s="11" t="n">
        <x:v>44.175</x:v>
      </x:c>
      <x:c r="D457" s="11" t="n">
        <x:v>6.406</x:v>
      </x:c>
      <x:c r="E457" s="11" t="n">
        <x:v>-7.36</x:v>
      </x:c>
      <x:c r="F457" s="11" t="n">
        <x:f>SQRT((C457-C456)^2+(D457-D456)^2+(E457-E456)^2)</x:f>
        <x:v>8.875</x:v>
      </x:c>
      <x:c r="G457" s="8" t="str">
        <x:v>Current</x:v>
      </x:c>
    </x:row>
    <x:row r="458" ht="32" customHeight="1">
      <x:c r="A458" s="8" t="str">
        <x:v>trunk:LC1:LA:light:-1</x:v>
      </x:c>
      <x:c r="B458" s="8" t="n">
        <x:v>10</x:v>
      </x:c>
      <x:c r="C458" s="11" t="n">
        <x:v>44.175</x:v>
      </x:c>
      <x:c r="D458" s="11" t="n">
        <x:v>6.406</x:v>
      </x:c>
      <x:c r="E458" s="11" t="n">
        <x:v>-13.24</x:v>
      </x:c>
      <x:c r="F458" s="11" t="n">
        <x:f>SQRT((C458-C457)^2+(D458-D457)^2+(E458-E457)^2)</x:f>
        <x:v>5.88</x:v>
      </x:c>
      <x:c r="G458" s="8" t="str">
        <x:v>Current</x:v>
      </x:c>
    </x:row>
    <x:row r="459" ht="32" customHeight="1">
      <x:c r="A459" s="8" t="str">
        <x:v>trunk:LC1:LA:light:-1</x:v>
      </x:c>
      <x:c r="B459" s="8" t="n">
        <x:v>11</x:v>
      </x:c>
      <x:c r="C459" s="11" t="n">
        <x:v>36.975</x:v>
      </x:c>
      <x:c r="D459" s="11" t="n">
        <x:v>6.406</x:v>
      </x:c>
      <x:c r="E459" s="11" t="n">
        <x:v>-13.24</x:v>
      </x:c>
      <x:c r="F459" s="11" t="n">
        <x:f>SQRT((C459-C458)^2+(D459-D458)^2+(E459-E458)^2)</x:f>
        <x:v>7.199999999999996</x:v>
      </x:c>
      <x:c r="G459" s="8" t="str">
        <x:v>Current</x:v>
      </x:c>
    </x:row>
    <x:row r="460" ht="32" customHeight="1">
      <x:c r="A460" s="8" t="str">
        <x:v>trunk:LC1:LA:light:-1</x:v>
      </x:c>
      <x:c r="B460" s="8" t="n">
        <x:v>12</x:v>
      </x:c>
      <x:c r="C460" s="11" t="n">
        <x:v>36.975</x:v>
      </x:c>
      <x:c r="D460" s="11" t="n">
        <x:v>6.406</x:v>
      </x:c>
      <x:c r="E460" s="11" t="n">
        <x:v>-7.36</x:v>
      </x:c>
      <x:c r="F460" s="11" t="n">
        <x:f>SQRT((C460-C459)^2+(D460-D459)^2+(E460-E459)^2)</x:f>
        <x:v>5.88</x:v>
      </x:c>
      <x:c r="G460" s="8" t="str">
        <x:v>Current</x:v>
      </x:c>
    </x:row>
    <x:row r="461" ht="32" customHeight="1">
      <x:c r="A461" s="8" t="str">
        <x:v>trunk:LC1:LA:light:-1</x:v>
      </x:c>
      <x:c r="B461" s="8" t="n">
        <x:v>13</x:v>
      </x:c>
      <x:c r="C461" s="11" t="n">
        <x:v>9.975</x:v>
      </x:c>
      <x:c r="D461" s="11" t="n">
        <x:v>6.406</x:v>
      </x:c>
      <x:c r="E461" s="11" t="n">
        <x:v>-7.36</x:v>
      </x:c>
      <x:c r="F461" s="11" t="n">
        <x:f>SQRT((C461-C460)^2+(D461-D460)^2+(E461-E460)^2)</x:f>
        <x:v>27</x:v>
      </x:c>
      <x:c r="G461" s="8" t="str">
        <x:v>Current</x:v>
      </x:c>
    </x:row>
    <x:row r="462" ht="32" customHeight="1">
      <x:c r="A462" s="8" t="str">
        <x:v>drop:LC1:LA:light:-1:L71</x:v>
      </x:c>
      <x:c r="B462" s="8" t="n">
        <x:v>1</x:v>
      </x:c>
      <x:c r="C462" s="11" t="n">
        <x:v>9.975</x:v>
      </x:c>
      <x:c r="D462" s="11" t="n">
        <x:v>6.406</x:v>
      </x:c>
      <x:c r="E462" s="11" t="n">
        <x:v>-7.36</x:v>
      </x:c>
      <x:c r="F462" s="11" t="n">
        <x:f>0</x:f>
        <x:v>0</x:v>
      </x:c>
      <x:c r="G462" s="8" t="str">
        <x:v>Current</x:v>
      </x:c>
    </x:row>
    <x:row r="463" ht="32" customHeight="1">
      <x:c r="A463" s="8" t="str">
        <x:v>drop:LC1:LA:light:-1:L71</x:v>
      </x:c>
      <x:c r="B463" s="8" t="n">
        <x:v>2</x:v>
      </x:c>
      <x:c r="C463" s="11" t="n">
        <x:v>9.975</x:v>
      </x:c>
      <x:c r="D463" s="11" t="n">
        <x:v>6.83</x:v>
      </x:c>
      <x:c r="E463" s="11" t="n">
        <x:v>-7.36</x:v>
      </x:c>
      <x:c r="F463" s="11" t="n">
        <x:f>SQRT((C463-C462)^2+(D463-D462)^2+(E463-E462)^2)</x:f>
        <x:v>0.4240000000000004</x:v>
      </x:c>
      <x:c r="G463" s="8" t="str">
        <x:v>Current</x:v>
      </x:c>
    </x:row>
    <x:row r="464" ht="32" customHeight="1">
      <x:c r="A464" s="8" t="str">
        <x:v>drop:LC1:LA:light:-1:L71</x:v>
      </x:c>
      <x:c r="B464" s="8" t="n">
        <x:v>3</x:v>
      </x:c>
      <x:c r="C464" s="11" t="n">
        <x:v>9.975</x:v>
      </x:c>
      <x:c r="D464" s="11" t="n">
        <x:v>6.83</x:v>
      </x:c>
      <x:c r="E464" s="11" t="n">
        <x:v>-3.6</x:v>
      </x:c>
      <x:c r="F464" s="11" t="n">
        <x:f>SQRT((C464-C463)^2+(D464-D463)^2+(E464-E463)^2)</x:f>
        <x:v>3.7600000000000002</x:v>
      </x:c>
      <x:c r="G464" s="8" t="str">
        <x:v>Current</x:v>
      </x:c>
    </x:row>
    <x:row r="465" ht="32" customHeight="1">
      <x:c r="A465" s="8" t="str">
        <x:v>drop:LC1:LA:light:-1:L71</x:v>
      </x:c>
      <x:c r="B465" s="8" t="n">
        <x:v>4</x:v>
      </x:c>
      <x:c r="C465" s="11" t="n">
        <x:v>9.975</x:v>
      </x:c>
      <x:c r="D465" s="11" t="n">
        <x:v>8.59</x:v>
      </x:c>
      <x:c r="E465" s="11" t="n">
        <x:v>-3.6</x:v>
      </x:c>
      <x:c r="F465" s="11" t="n">
        <x:f>SQRT((C465-C464)^2+(D465-D464)^2+(E465-E464)^2)</x:f>
        <x:v>1.7599999999999998</x:v>
      </x:c>
      <x:c r="G465" s="8" t="str">
        <x:v>Current</x:v>
      </x:c>
    </x:row>
    <x:row r="466" ht="32" customHeight="1">
      <x:c r="A466" s="8" t="str">
        <x:v>drop:LC1:LA:light:-1:L71</x:v>
      </x:c>
      <x:c r="B466" s="8" t="n">
        <x:v>5</x:v>
      </x:c>
      <x:c r="C466" s="11" t="n">
        <x:v>9.975</x:v>
      </x:c>
      <x:c r="D466" s="11" t="n">
        <x:v>8.59</x:v>
      </x:c>
      <x:c r="E466" s="11" t="n">
        <x:v>0</x:v>
      </x:c>
      <x:c r="F466" s="11" t="n">
        <x:f>SQRT((C466-C465)^2+(D466-D465)^2+(E466-E465)^2)</x:f>
        <x:v>3.6</x:v>
      </x:c>
      <x:c r="G466" s="8" t="str">
        <x:v>Current</x:v>
      </x:c>
    </x:row>
    <x:row r="467" ht="32" customHeight="1">
      <x:c r="A467" s="8" t="str">
        <x:v>drop:LC1:LA:light:-1:L71</x:v>
      </x:c>
      <x:c r="B467" s="8" t="n">
        <x:v>6</x:v>
      </x:c>
      <x:c r="C467" s="11" t="n">
        <x:v>9.975</x:v>
      </x:c>
      <x:c r="D467" s="11" t="n">
        <x:v>9.18</x:v>
      </x:c>
      <x:c r="E467" s="11" t="n">
        <x:v>0</x:v>
      </x:c>
      <x:c r="F467" s="11" t="n">
        <x:f>SQRT((C467-C466)^2+(D467-D466)^2+(E467-E466)^2)</x:f>
        <x:v>0.5899999999999999</x:v>
      </x:c>
      <x:c r="G467" s="8" t="str">
        <x:v>Current</x:v>
      </x:c>
    </x:row>
    <x:row r="468" ht="32" customHeight="1">
      <x:c r="A468" s="8" t="str">
        <x:v>drop:LC1:LA:light:-1:L72</x:v>
      </x:c>
      <x:c r="B468" s="8" t="n">
        <x:v>1</x:v>
      </x:c>
      <x:c r="C468" s="11" t="n">
        <x:v>14.475</x:v>
      </x:c>
      <x:c r="D468" s="11" t="n">
        <x:v>6.406</x:v>
      </x:c>
      <x:c r="E468" s="11" t="n">
        <x:v>-7.36</x:v>
      </x:c>
      <x:c r="F468" s="11" t="n">
        <x:f>0</x:f>
        <x:v>0</x:v>
      </x:c>
      <x:c r="G468" s="8" t="str">
        <x:v>Current</x:v>
      </x:c>
    </x:row>
    <x:row r="469" ht="32" customHeight="1">
      <x:c r="A469" s="8" t="str">
        <x:v>drop:LC1:LA:light:-1:L72</x:v>
      </x:c>
      <x:c r="B469" s="8" t="n">
        <x:v>2</x:v>
      </x:c>
      <x:c r="C469" s="11" t="n">
        <x:v>14.475</x:v>
      </x:c>
      <x:c r="D469" s="11" t="n">
        <x:v>6.83</x:v>
      </x:c>
      <x:c r="E469" s="11" t="n">
        <x:v>-7.36</x:v>
      </x:c>
      <x:c r="F469" s="11" t="n">
        <x:f>SQRT((C469-C468)^2+(D469-D468)^2+(E469-E468)^2)</x:f>
        <x:v>0.4240000000000004</x:v>
      </x:c>
      <x:c r="G469" s="8" t="str">
        <x:v>Current</x:v>
      </x:c>
    </x:row>
    <x:row r="470" ht="32" customHeight="1">
      <x:c r="A470" s="8" t="str">
        <x:v>drop:LC1:LA:light:-1:L72</x:v>
      </x:c>
      <x:c r="B470" s="8" t="n">
        <x:v>3</x:v>
      </x:c>
      <x:c r="C470" s="11" t="n">
        <x:v>14.475</x:v>
      </x:c>
      <x:c r="D470" s="11" t="n">
        <x:v>6.83</x:v>
      </x:c>
      <x:c r="E470" s="11" t="n">
        <x:v>-3.6</x:v>
      </x:c>
      <x:c r="F470" s="11" t="n">
        <x:f>SQRT((C470-C469)^2+(D470-D469)^2+(E470-E469)^2)</x:f>
        <x:v>3.7600000000000002</x:v>
      </x:c>
      <x:c r="G470" s="8" t="str">
        <x:v>Current</x:v>
      </x:c>
    </x:row>
    <x:row r="471" ht="32" customHeight="1">
      <x:c r="A471" s="8" t="str">
        <x:v>drop:LC1:LA:light:-1:L72</x:v>
      </x:c>
      <x:c r="B471" s="8" t="n">
        <x:v>4</x:v>
      </x:c>
      <x:c r="C471" s="11" t="n">
        <x:v>14.475</x:v>
      </x:c>
      <x:c r="D471" s="11" t="n">
        <x:v>8.59</x:v>
      </x:c>
      <x:c r="E471" s="11" t="n">
        <x:v>-3.6</x:v>
      </x:c>
      <x:c r="F471" s="11" t="n">
        <x:f>SQRT((C471-C470)^2+(D471-D470)^2+(E471-E470)^2)</x:f>
        <x:v>1.7599999999999998</x:v>
      </x:c>
      <x:c r="G471" s="8" t="str">
        <x:v>Current</x:v>
      </x:c>
    </x:row>
    <x:row r="472" ht="32" customHeight="1">
      <x:c r="A472" s="8" t="str">
        <x:v>drop:LC1:LA:light:-1:L72</x:v>
      </x:c>
      <x:c r="B472" s="8" t="n">
        <x:v>5</x:v>
      </x:c>
      <x:c r="C472" s="11" t="n">
        <x:v>14.475</x:v>
      </x:c>
      <x:c r="D472" s="11" t="n">
        <x:v>8.59</x:v>
      </x:c>
      <x:c r="E472" s="11" t="n">
        <x:v>0</x:v>
      </x:c>
      <x:c r="F472" s="11" t="n">
        <x:f>SQRT((C472-C471)^2+(D472-D471)^2+(E472-E471)^2)</x:f>
        <x:v>3.6</x:v>
      </x:c>
      <x:c r="G472" s="8" t="str">
        <x:v>Current</x:v>
      </x:c>
    </x:row>
    <x:row r="473" ht="32" customHeight="1">
      <x:c r="A473" s="8" t="str">
        <x:v>drop:LC1:LA:light:-1:L72</x:v>
      </x:c>
      <x:c r="B473" s="8" t="n">
        <x:v>6</x:v>
      </x:c>
      <x:c r="C473" s="11" t="n">
        <x:v>14.475</x:v>
      </x:c>
      <x:c r="D473" s="11" t="n">
        <x:v>9.18</x:v>
      </x:c>
      <x:c r="E473" s="11" t="n">
        <x:v>0</x:v>
      </x:c>
      <x:c r="F473" s="11" t="n">
        <x:f>SQRT((C473-C472)^2+(D473-D472)^2+(E473-E472)^2)</x:f>
        <x:v>0.5899999999999999</x:v>
      </x:c>
      <x:c r="G473" s="8" t="str">
        <x:v>Current</x:v>
      </x:c>
    </x:row>
    <x:row r="474" ht="32" customHeight="1">
      <x:c r="A474" s="8" t="str">
        <x:v>drop:LC1:LA:light:-1:L73</x:v>
      </x:c>
      <x:c r="B474" s="8" t="n">
        <x:v>1</x:v>
      </x:c>
      <x:c r="C474" s="11" t="n">
        <x:v>18.975</x:v>
      </x:c>
      <x:c r="D474" s="11" t="n">
        <x:v>6.406</x:v>
      </x:c>
      <x:c r="E474" s="11" t="n">
        <x:v>-7.36</x:v>
      </x:c>
      <x:c r="F474" s="11" t="n">
        <x:f>0</x:f>
        <x:v>0</x:v>
      </x:c>
      <x:c r="G474" s="8" t="str">
        <x:v>Current</x:v>
      </x:c>
    </x:row>
    <x:row r="475" ht="32" customHeight="1">
      <x:c r="A475" s="8" t="str">
        <x:v>drop:LC1:LA:light:-1:L73</x:v>
      </x:c>
      <x:c r="B475" s="8" t="n">
        <x:v>2</x:v>
      </x:c>
      <x:c r="C475" s="11" t="n">
        <x:v>18.975</x:v>
      </x:c>
      <x:c r="D475" s="11" t="n">
        <x:v>6.83</x:v>
      </x:c>
      <x:c r="E475" s="11" t="n">
        <x:v>-7.36</x:v>
      </x:c>
      <x:c r="F475" s="11" t="n">
        <x:f>SQRT((C475-C474)^2+(D475-D474)^2+(E475-E474)^2)</x:f>
        <x:v>0.4240000000000004</x:v>
      </x:c>
      <x:c r="G475" s="8" t="str">
        <x:v>Current</x:v>
      </x:c>
    </x:row>
    <x:row r="476" ht="32" customHeight="1">
      <x:c r="A476" s="8" t="str">
        <x:v>drop:LC1:LA:light:-1:L73</x:v>
      </x:c>
      <x:c r="B476" s="8" t="n">
        <x:v>3</x:v>
      </x:c>
      <x:c r="C476" s="11" t="n">
        <x:v>18.975</x:v>
      </x:c>
      <x:c r="D476" s="11" t="n">
        <x:v>6.83</x:v>
      </x:c>
      <x:c r="E476" s="11" t="n">
        <x:v>-3.6</x:v>
      </x:c>
      <x:c r="F476" s="11" t="n">
        <x:f>SQRT((C476-C475)^2+(D476-D475)^2+(E476-E475)^2)</x:f>
        <x:v>3.7600000000000002</x:v>
      </x:c>
      <x:c r="G476" s="8" t="str">
        <x:v>Current</x:v>
      </x:c>
    </x:row>
    <x:row r="477" ht="32" customHeight="1">
      <x:c r="A477" s="8" t="str">
        <x:v>drop:LC1:LA:light:-1:L73</x:v>
      </x:c>
      <x:c r="B477" s="8" t="n">
        <x:v>4</x:v>
      </x:c>
      <x:c r="C477" s="11" t="n">
        <x:v>18.975</x:v>
      </x:c>
      <x:c r="D477" s="11" t="n">
        <x:v>8.59</x:v>
      </x:c>
      <x:c r="E477" s="11" t="n">
        <x:v>-3.6</x:v>
      </x:c>
      <x:c r="F477" s="11" t="n">
        <x:f>SQRT((C477-C476)^2+(D477-D476)^2+(E477-E476)^2)</x:f>
        <x:v>1.7599999999999998</x:v>
      </x:c>
      <x:c r="G477" s="8" t="str">
        <x:v>Current</x:v>
      </x:c>
    </x:row>
    <x:row r="478" ht="32" customHeight="1">
      <x:c r="A478" s="8" t="str">
        <x:v>drop:LC1:LA:light:-1:L73</x:v>
      </x:c>
      <x:c r="B478" s="8" t="n">
        <x:v>5</x:v>
      </x:c>
      <x:c r="C478" s="11" t="n">
        <x:v>18.975</x:v>
      </x:c>
      <x:c r="D478" s="11" t="n">
        <x:v>8.59</x:v>
      </x:c>
      <x:c r="E478" s="11" t="n">
        <x:v>0</x:v>
      </x:c>
      <x:c r="F478" s="11" t="n">
        <x:f>SQRT((C478-C477)^2+(D478-D477)^2+(E478-E477)^2)</x:f>
        <x:v>3.6</x:v>
      </x:c>
      <x:c r="G478" s="8" t="str">
        <x:v>Current</x:v>
      </x:c>
    </x:row>
    <x:row r="479" ht="32" customHeight="1">
      <x:c r="A479" s="8" t="str">
        <x:v>drop:LC1:LA:light:-1:L73</x:v>
      </x:c>
      <x:c r="B479" s="8" t="n">
        <x:v>6</x:v>
      </x:c>
      <x:c r="C479" s="11" t="n">
        <x:v>18.975</x:v>
      </x:c>
      <x:c r="D479" s="11" t="n">
        <x:v>9.18</x:v>
      </x:c>
      <x:c r="E479" s="11" t="n">
        <x:v>0</x:v>
      </x:c>
      <x:c r="F479" s="11" t="n">
        <x:f>SQRT((C479-C478)^2+(D479-D478)^2+(E479-E478)^2)</x:f>
        <x:v>0.5899999999999999</x:v>
      </x:c>
      <x:c r="G479" s="8" t="str">
        <x:v>Current</x:v>
      </x:c>
    </x:row>
    <x:row r="480" ht="32" customHeight="1">
      <x:c r="A480" s="8" t="str">
        <x:v>drop:LC1:LA:light:-1:L74</x:v>
      </x:c>
      <x:c r="B480" s="8" t="n">
        <x:v>1</x:v>
      </x:c>
      <x:c r="C480" s="11" t="n">
        <x:v>23.475</x:v>
      </x:c>
      <x:c r="D480" s="11" t="n">
        <x:v>6.406</x:v>
      </x:c>
      <x:c r="E480" s="11" t="n">
        <x:v>-7.36</x:v>
      </x:c>
      <x:c r="F480" s="11" t="n">
        <x:f>0</x:f>
        <x:v>0</x:v>
      </x:c>
      <x:c r="G480" s="8" t="str">
        <x:v>Current</x:v>
      </x:c>
    </x:row>
    <x:row r="481" ht="32" customHeight="1">
      <x:c r="A481" s="8" t="str">
        <x:v>drop:LC1:LA:light:-1:L74</x:v>
      </x:c>
      <x:c r="B481" s="8" t="n">
        <x:v>2</x:v>
      </x:c>
      <x:c r="C481" s="11" t="n">
        <x:v>23.475</x:v>
      </x:c>
      <x:c r="D481" s="11" t="n">
        <x:v>6.83</x:v>
      </x:c>
      <x:c r="E481" s="11" t="n">
        <x:v>-7.36</x:v>
      </x:c>
      <x:c r="F481" s="11" t="n">
        <x:f>SQRT((C481-C480)^2+(D481-D480)^2+(E481-E480)^2)</x:f>
        <x:v>0.4240000000000004</x:v>
      </x:c>
      <x:c r="G481" s="8" t="str">
        <x:v>Current</x:v>
      </x:c>
    </x:row>
    <x:row r="482" ht="32" customHeight="1">
      <x:c r="A482" s="8" t="str">
        <x:v>drop:LC1:LA:light:-1:L74</x:v>
      </x:c>
      <x:c r="B482" s="8" t="n">
        <x:v>3</x:v>
      </x:c>
      <x:c r="C482" s="11" t="n">
        <x:v>23.475</x:v>
      </x:c>
      <x:c r="D482" s="11" t="n">
        <x:v>6.83</x:v>
      </x:c>
      <x:c r="E482" s="11" t="n">
        <x:v>-3.6</x:v>
      </x:c>
      <x:c r="F482" s="11" t="n">
        <x:f>SQRT((C482-C481)^2+(D482-D481)^2+(E482-E481)^2)</x:f>
        <x:v>3.7600000000000002</x:v>
      </x:c>
      <x:c r="G482" s="8" t="str">
        <x:v>Current</x:v>
      </x:c>
    </x:row>
    <x:row r="483" ht="32" customHeight="1">
      <x:c r="A483" s="8" t="str">
        <x:v>drop:LC1:LA:light:-1:L74</x:v>
      </x:c>
      <x:c r="B483" s="8" t="n">
        <x:v>4</x:v>
      </x:c>
      <x:c r="C483" s="11" t="n">
        <x:v>23.475</x:v>
      </x:c>
      <x:c r="D483" s="11" t="n">
        <x:v>8.59</x:v>
      </x:c>
      <x:c r="E483" s="11" t="n">
        <x:v>-3.6</x:v>
      </x:c>
      <x:c r="F483" s="11" t="n">
        <x:f>SQRT((C483-C482)^2+(D483-D482)^2+(E483-E482)^2)</x:f>
        <x:v>1.7599999999999998</x:v>
      </x:c>
      <x:c r="G483" s="8" t="str">
        <x:v>Current</x:v>
      </x:c>
    </x:row>
    <x:row r="484" ht="32" customHeight="1">
      <x:c r="A484" s="8" t="str">
        <x:v>drop:LC1:LA:light:-1:L74</x:v>
      </x:c>
      <x:c r="B484" s="8" t="n">
        <x:v>5</x:v>
      </x:c>
      <x:c r="C484" s="11" t="n">
        <x:v>23.475</x:v>
      </x:c>
      <x:c r="D484" s="11" t="n">
        <x:v>8.59</x:v>
      </x:c>
      <x:c r="E484" s="11" t="n">
        <x:v>0</x:v>
      </x:c>
      <x:c r="F484" s="11" t="n">
        <x:f>SQRT((C484-C483)^2+(D484-D483)^2+(E484-E483)^2)</x:f>
        <x:v>3.6</x:v>
      </x:c>
      <x:c r="G484" s="8" t="str">
        <x:v>Current</x:v>
      </x:c>
    </x:row>
    <x:row r="485" ht="32" customHeight="1">
      <x:c r="A485" s="8" t="str">
        <x:v>drop:LC1:LA:light:-1:L74</x:v>
      </x:c>
      <x:c r="B485" s="8" t="n">
        <x:v>6</x:v>
      </x:c>
      <x:c r="C485" s="11" t="n">
        <x:v>23.475</x:v>
      </x:c>
      <x:c r="D485" s="11" t="n">
        <x:v>9.18</x:v>
      </x:c>
      <x:c r="E485" s="11" t="n">
        <x:v>0</x:v>
      </x:c>
      <x:c r="F485" s="11" t="n">
        <x:f>SQRT((C485-C484)^2+(D485-D484)^2+(E485-E484)^2)</x:f>
        <x:v>0.5899999999999999</x:v>
      </x:c>
      <x:c r="G485" s="8" t="str">
        <x:v>Current</x:v>
      </x:c>
    </x:row>
    <x:row r="486" ht="32" customHeight="1">
      <x:c r="A486" s="8" t="str">
        <x:v>drop:LC1:LA:light:-1:L75</x:v>
      </x:c>
      <x:c r="B486" s="8" t="n">
        <x:v>1</x:v>
      </x:c>
      <x:c r="C486" s="11" t="n">
        <x:v>27.975</x:v>
      </x:c>
      <x:c r="D486" s="11" t="n">
        <x:v>6.406</x:v>
      </x:c>
      <x:c r="E486" s="11" t="n">
        <x:v>-7.36</x:v>
      </x:c>
      <x:c r="F486" s="11" t="n">
        <x:f>0</x:f>
        <x:v>0</x:v>
      </x:c>
      <x:c r="G486" s="8" t="str">
        <x:v>Current</x:v>
      </x:c>
    </x:row>
    <x:row r="487" ht="32" customHeight="1">
      <x:c r="A487" s="8" t="str">
        <x:v>drop:LC1:LA:light:-1:L75</x:v>
      </x:c>
      <x:c r="B487" s="8" t="n">
        <x:v>2</x:v>
      </x:c>
      <x:c r="C487" s="11" t="n">
        <x:v>27.975</x:v>
      </x:c>
      <x:c r="D487" s="11" t="n">
        <x:v>6.83</x:v>
      </x:c>
      <x:c r="E487" s="11" t="n">
        <x:v>-7.36</x:v>
      </x:c>
      <x:c r="F487" s="11" t="n">
        <x:f>SQRT((C487-C486)^2+(D487-D486)^2+(E487-E486)^2)</x:f>
        <x:v>0.4240000000000004</x:v>
      </x:c>
      <x:c r="G487" s="8" t="str">
        <x:v>Current</x:v>
      </x:c>
    </x:row>
    <x:row r="488" ht="32" customHeight="1">
      <x:c r="A488" s="8" t="str">
        <x:v>drop:LC1:LA:light:-1:L75</x:v>
      </x:c>
      <x:c r="B488" s="8" t="n">
        <x:v>3</x:v>
      </x:c>
      <x:c r="C488" s="11" t="n">
        <x:v>27.975</x:v>
      </x:c>
      <x:c r="D488" s="11" t="n">
        <x:v>6.83</x:v>
      </x:c>
      <x:c r="E488" s="11" t="n">
        <x:v>-3.6</x:v>
      </x:c>
      <x:c r="F488" s="11" t="n">
        <x:f>SQRT((C488-C487)^2+(D488-D487)^2+(E488-E487)^2)</x:f>
        <x:v>3.7600000000000002</x:v>
      </x:c>
      <x:c r="G488" s="8" t="str">
        <x:v>Current</x:v>
      </x:c>
    </x:row>
    <x:row r="489" ht="32" customHeight="1">
      <x:c r="A489" s="8" t="str">
        <x:v>drop:LC1:LA:light:-1:L75</x:v>
      </x:c>
      <x:c r="B489" s="8" t="n">
        <x:v>4</x:v>
      </x:c>
      <x:c r="C489" s="11" t="n">
        <x:v>27.975</x:v>
      </x:c>
      <x:c r="D489" s="11" t="n">
        <x:v>8.59</x:v>
      </x:c>
      <x:c r="E489" s="11" t="n">
        <x:v>-3.6</x:v>
      </x:c>
      <x:c r="F489" s="11" t="n">
        <x:f>SQRT((C489-C488)^2+(D489-D488)^2+(E489-E488)^2)</x:f>
        <x:v>1.7599999999999998</x:v>
      </x:c>
      <x:c r="G489" s="8" t="str">
        <x:v>Current</x:v>
      </x:c>
    </x:row>
    <x:row r="490" ht="32" customHeight="1">
      <x:c r="A490" s="8" t="str">
        <x:v>drop:LC1:LA:light:-1:L75</x:v>
      </x:c>
      <x:c r="B490" s="8" t="n">
        <x:v>5</x:v>
      </x:c>
      <x:c r="C490" s="11" t="n">
        <x:v>27.975</x:v>
      </x:c>
      <x:c r="D490" s="11" t="n">
        <x:v>8.59</x:v>
      </x:c>
      <x:c r="E490" s="11" t="n">
        <x:v>0</x:v>
      </x:c>
      <x:c r="F490" s="11" t="n">
        <x:f>SQRT((C490-C489)^2+(D490-D489)^2+(E490-E489)^2)</x:f>
        <x:v>3.6</x:v>
      </x:c>
      <x:c r="G490" s="8" t="str">
        <x:v>Current</x:v>
      </x:c>
    </x:row>
    <x:row r="491" ht="32" customHeight="1">
      <x:c r="A491" s="8" t="str">
        <x:v>drop:LC1:LA:light:-1:L75</x:v>
      </x:c>
      <x:c r="B491" s="8" t="n">
        <x:v>6</x:v>
      </x:c>
      <x:c r="C491" s="11" t="n">
        <x:v>27.975</x:v>
      </x:c>
      <x:c r="D491" s="11" t="n">
        <x:v>9.18</x:v>
      </x:c>
      <x:c r="E491" s="11" t="n">
        <x:v>0</x:v>
      </x:c>
      <x:c r="F491" s="11" t="n">
        <x:f>SQRT((C491-C490)^2+(D491-D490)^2+(E491-E490)^2)</x:f>
        <x:v>0.5899999999999999</x:v>
      </x:c>
      <x:c r="G491" s="8" t="str">
        <x:v>Current</x:v>
      </x:c>
    </x:row>
    <x:row r="492" ht="32" customHeight="1">
      <x:c r="A492" s="8" t="str">
        <x:v>drop:LC1:LA:light:-1:L76</x:v>
      </x:c>
      <x:c r="B492" s="8" t="n">
        <x:v>1</x:v>
      </x:c>
      <x:c r="C492" s="11" t="n">
        <x:v>32.475</x:v>
      </x:c>
      <x:c r="D492" s="11" t="n">
        <x:v>6.406</x:v>
      </x:c>
      <x:c r="E492" s="11" t="n">
        <x:v>-7.36</x:v>
      </x:c>
      <x:c r="F492" s="11" t="n">
        <x:f>0</x:f>
        <x:v>0</x:v>
      </x:c>
      <x:c r="G492" s="8" t="str">
        <x:v>Current</x:v>
      </x:c>
    </x:row>
    <x:row r="493" ht="32" customHeight="1">
      <x:c r="A493" s="8" t="str">
        <x:v>drop:LC1:LA:light:-1:L76</x:v>
      </x:c>
      <x:c r="B493" s="8" t="n">
        <x:v>2</x:v>
      </x:c>
      <x:c r="C493" s="11" t="n">
        <x:v>32.475</x:v>
      </x:c>
      <x:c r="D493" s="11" t="n">
        <x:v>6.83</x:v>
      </x:c>
      <x:c r="E493" s="11" t="n">
        <x:v>-7.36</x:v>
      </x:c>
      <x:c r="F493" s="11" t="n">
        <x:f>SQRT((C493-C492)^2+(D493-D492)^2+(E493-E492)^2)</x:f>
        <x:v>0.4240000000000004</x:v>
      </x:c>
      <x:c r="G493" s="8" t="str">
        <x:v>Current</x:v>
      </x:c>
    </x:row>
    <x:row r="494" ht="32" customHeight="1">
      <x:c r="A494" s="8" t="str">
        <x:v>drop:LC1:LA:light:-1:L76</x:v>
      </x:c>
      <x:c r="B494" s="8" t="n">
        <x:v>3</x:v>
      </x:c>
      <x:c r="C494" s="11" t="n">
        <x:v>32.475</x:v>
      </x:c>
      <x:c r="D494" s="11" t="n">
        <x:v>6.83</x:v>
      </x:c>
      <x:c r="E494" s="11" t="n">
        <x:v>-3.6</x:v>
      </x:c>
      <x:c r="F494" s="11" t="n">
        <x:f>SQRT((C494-C493)^2+(D494-D493)^2+(E494-E493)^2)</x:f>
        <x:v>3.7600000000000002</x:v>
      </x:c>
      <x:c r="G494" s="8" t="str">
        <x:v>Current</x:v>
      </x:c>
    </x:row>
    <x:row r="495" ht="32" customHeight="1">
      <x:c r="A495" s="8" t="str">
        <x:v>drop:LC1:LA:light:-1:L76</x:v>
      </x:c>
      <x:c r="B495" s="8" t="n">
        <x:v>4</x:v>
      </x:c>
      <x:c r="C495" s="11" t="n">
        <x:v>32.475</x:v>
      </x:c>
      <x:c r="D495" s="11" t="n">
        <x:v>8.59</x:v>
      </x:c>
      <x:c r="E495" s="11" t="n">
        <x:v>-3.6</x:v>
      </x:c>
      <x:c r="F495" s="11" t="n">
        <x:f>SQRT((C495-C494)^2+(D495-D494)^2+(E495-E494)^2)</x:f>
        <x:v>1.7599999999999998</x:v>
      </x:c>
      <x:c r="G495" s="8" t="str">
        <x:v>Current</x:v>
      </x:c>
    </x:row>
    <x:row r="496" ht="32" customHeight="1">
      <x:c r="A496" s="8" t="str">
        <x:v>drop:LC1:LA:light:-1:L76</x:v>
      </x:c>
      <x:c r="B496" s="8" t="n">
        <x:v>5</x:v>
      </x:c>
      <x:c r="C496" s="11" t="n">
        <x:v>32.475</x:v>
      </x:c>
      <x:c r="D496" s="11" t="n">
        <x:v>8.59</x:v>
      </x:c>
      <x:c r="E496" s="11" t="n">
        <x:v>0</x:v>
      </x:c>
      <x:c r="F496" s="11" t="n">
        <x:f>SQRT((C496-C495)^2+(D496-D495)^2+(E496-E495)^2)</x:f>
        <x:v>3.6</x:v>
      </x:c>
      <x:c r="G496" s="8" t="str">
        <x:v>Current</x:v>
      </x:c>
    </x:row>
    <x:row r="497" ht="32" customHeight="1">
      <x:c r="A497" s="8" t="str">
        <x:v>drop:LC1:LA:light:-1:L76</x:v>
      </x:c>
      <x:c r="B497" s="8" t="n">
        <x:v>6</x:v>
      </x:c>
      <x:c r="C497" s="11" t="n">
        <x:v>32.475</x:v>
      </x:c>
      <x:c r="D497" s="11" t="n">
        <x:v>9.18</x:v>
      </x:c>
      <x:c r="E497" s="11" t="n">
        <x:v>0</x:v>
      </x:c>
      <x:c r="F497" s="11" t="n">
        <x:f>SQRT((C497-C496)^2+(D497-D496)^2+(E497-E496)^2)</x:f>
        <x:v>0.5899999999999999</x:v>
      </x:c>
      <x:c r="G497" s="8" t="str">
        <x:v>Current</x:v>
      </x:c>
    </x:row>
    <x:row r="498" ht="32" customHeight="1">
      <x:c r="A498" s="8" t="str">
        <x:v>drop:LC1:LA:light:-1:L77</x:v>
      </x:c>
      <x:c r="B498" s="8" t="n">
        <x:v>1</x:v>
      </x:c>
      <x:c r="C498" s="11" t="n">
        <x:v>36.975</x:v>
      </x:c>
      <x:c r="D498" s="11" t="n">
        <x:v>6.406</x:v>
      </x:c>
      <x:c r="E498" s="11" t="n">
        <x:v>-13.24</x:v>
      </x:c>
      <x:c r="F498" s="11" t="n">
        <x:f>0</x:f>
        <x:v>0</x:v>
      </x:c>
      <x:c r="G498" s="8" t="str">
        <x:v>Current</x:v>
      </x:c>
    </x:row>
    <x:row r="499" ht="32" customHeight="1">
      <x:c r="A499" s="8" t="str">
        <x:v>drop:LC1:LA:light:-1:L77</x:v>
      </x:c>
      <x:c r="B499" s="8" t="n">
        <x:v>2</x:v>
      </x:c>
      <x:c r="C499" s="11" t="n">
        <x:v>36.975</x:v>
      </x:c>
      <x:c r="D499" s="11" t="n">
        <x:v>6.406</x:v>
      </x:c>
      <x:c r="E499" s="11" t="n">
        <x:v>0</x:v>
      </x:c>
      <x:c r="F499" s="11" t="n">
        <x:f>SQRT((C499-C498)^2+(D499-D498)^2+(E499-E498)^2)</x:f>
        <x:v>13.24</x:v>
      </x:c>
      <x:c r="G499" s="8" t="str">
        <x:v>Current</x:v>
      </x:c>
    </x:row>
    <x:row r="500" ht="32" customHeight="1">
      <x:c r="A500" s="8" t="str">
        <x:v>drop:LC1:LA:light:-1:L77</x:v>
      </x:c>
      <x:c r="B500" s="8" t="n">
        <x:v>3</x:v>
      </x:c>
      <x:c r="C500" s="11" t="n">
        <x:v>36.975</x:v>
      </x:c>
      <x:c r="D500" s="11" t="n">
        <x:v>8.59</x:v>
      </x:c>
      <x:c r="E500" s="11" t="n">
        <x:v>0</x:v>
      </x:c>
      <x:c r="F500" s="11" t="n">
        <x:f>SQRT((C500-C499)^2+(D500-D499)^2+(E500-E499)^2)</x:f>
        <x:v>2.184</x:v>
      </x:c>
      <x:c r="G500" s="8" t="str">
        <x:v>Current</x:v>
      </x:c>
    </x:row>
    <x:row r="501" ht="32" customHeight="1">
      <x:c r="A501" s="8" t="str">
        <x:v>drop:LC1:LA:light:-1:L77</x:v>
      </x:c>
      <x:c r="B501" s="8" t="n">
        <x:v>4</x:v>
      </x:c>
      <x:c r="C501" s="11" t="n">
        <x:v>36.975</x:v>
      </x:c>
      <x:c r="D501" s="11" t="n">
        <x:v>9.18</x:v>
      </x:c>
      <x:c r="E501" s="11" t="n">
        <x:v>0</x:v>
      </x:c>
      <x:c r="F501" s="11" t="n">
        <x:f>SQRT((C501-C500)^2+(D501-D500)^2+(E501-E500)^2)</x:f>
        <x:v>0.5899999999999999</x:v>
      </x:c>
      <x:c r="G501" s="8" t="str">
        <x:v>Current</x:v>
      </x:c>
    </x:row>
    <x:row r="502" ht="32" customHeight="1">
      <x:c r="A502" s="8" t="str">
        <x:v>trunk:LC1:LD:light:-1</x:v>
      </x:c>
      <x:c r="B502" s="8" t="n">
        <x:v>1</x:v>
      </x:c>
      <x:c r="C502" s="11" t="n">
        <x:v>48.895</x:v>
      </x:c>
      <x:c r="D502" s="11" t="n">
        <x:v>1.85</x:v>
      </x:c>
      <x:c r="E502" s="11" t="n">
        <x:v>-0.55</x:v>
      </x:c>
      <x:c r="F502" s="11" t="n">
        <x:f>0</x:f>
        <x:v>0</x:v>
      </x:c>
      <x:c r="G502" s="8" t="str">
        <x:v>Current</x:v>
      </x:c>
    </x:row>
    <x:row r="503" ht="32" customHeight="1">
      <x:c r="A503" s="8" t="str">
        <x:v>trunk:LC1:LD:light:-1</x:v>
      </x:c>
      <x:c r="B503" s="8" t="n">
        <x:v>2</x:v>
      </x:c>
      <x:c r="C503" s="11" t="n">
        <x:v>48.735</x:v>
      </x:c>
      <x:c r="D503" s="11" t="n">
        <x:v>1.85</x:v>
      </x:c>
      <x:c r="E503" s="11" t="n">
        <x:v>-0.55</x:v>
      </x:c>
      <x:c r="F503" s="11" t="n">
        <x:f>SQRT((C503-C502)^2+(D503-D502)^2+(E503-E502)^2)</x:f>
        <x:v>0.1600000000000037</x:v>
      </x:c>
      <x:c r="G503" s="8" t="str">
        <x:v>Current</x:v>
      </x:c>
    </x:row>
    <x:row r="504" ht="32" customHeight="1">
      <x:c r="A504" s="8" t="str">
        <x:v>trunk:LC1:LD:light:-1</x:v>
      </x:c>
      <x:c r="B504" s="8" t="n">
        <x:v>3</x:v>
      </x:c>
      <x:c r="C504" s="11" t="n">
        <x:v>48.735</x:v>
      </x:c>
      <x:c r="D504" s="11" t="n">
        <x:v>1.85</x:v>
      </x:c>
      <x:c r="E504" s="11" t="n">
        <x:v>-2.24</x:v>
      </x:c>
      <x:c r="F504" s="11" t="n">
        <x:f>SQRT((C504-C503)^2+(D504-D503)^2+(E504-E503)^2)</x:f>
        <x:v>1.6900000000000002</x:v>
      </x:c>
      <x:c r="G504" s="8" t="str">
        <x:v>Current</x:v>
      </x:c>
    </x:row>
    <x:row r="505" ht="32" customHeight="1">
      <x:c r="A505" s="8" t="str">
        <x:v>trunk:LC1:LD:light:-1</x:v>
      </x:c>
      <x:c r="B505" s="8" t="n">
        <x:v>4</x:v>
      </x:c>
      <x:c r="C505" s="11" t="n">
        <x:v>48.735</x:v>
      </x:c>
      <x:c r="D505" s="11" t="n">
        <x:v>4.02</x:v>
      </x:c>
      <x:c r="E505" s="11" t="n">
        <x:v>-2.24</x:v>
      </x:c>
      <x:c r="F505" s="11" t="n">
        <x:f>SQRT((C505-C504)^2+(D505-D504)^2+(E505-E504)^2)</x:f>
        <x:v>2.1699999999999995</x:v>
      </x:c>
      <x:c r="G505" s="8" t="str">
        <x:v>Current</x:v>
      </x:c>
    </x:row>
    <x:row r="506" ht="32" customHeight="1">
      <x:c r="A506" s="8" t="str">
        <x:v>trunk:LC1:LD:light:-1</x:v>
      </x:c>
      <x:c r="B506" s="8" t="n">
        <x:v>5</x:v>
      </x:c>
      <x:c r="C506" s="11" t="n">
        <x:v>48.735</x:v>
      </x:c>
      <x:c r="D506" s="11" t="n">
        <x:v>4.02</x:v>
      </x:c>
      <x:c r="E506" s="11" t="n">
        <x:v>-3.6</x:v>
      </x:c>
      <x:c r="F506" s="11" t="n">
        <x:f>SQRT((C506-C505)^2+(D506-D505)^2+(E506-E505)^2)</x:f>
        <x:v>1.3599999999999999</x:v>
      </x:c>
      <x:c r="G506" s="8" t="str">
        <x:v>Current</x:v>
      </x:c>
    </x:row>
    <x:row r="507" ht="32" customHeight="1">
      <x:c r="A507" s="8" t="str">
        <x:v>trunk:LC1:LD:light:-1</x:v>
      </x:c>
      <x:c r="B507" s="8" t="n">
        <x:v>6</x:v>
      </x:c>
      <x:c r="C507" s="11" t="n">
        <x:v>53.05</x:v>
      </x:c>
      <x:c r="D507" s="11" t="n">
        <x:v>4.02</x:v>
      </x:c>
      <x:c r="E507" s="11" t="n">
        <x:v>-3.6</x:v>
      </x:c>
      <x:c r="F507" s="11" t="n">
        <x:f>SQRT((C507-C506)^2+(D507-D506)^2+(E507-E506)^2)</x:f>
        <x:v>4.314999999999998</x:v>
      </x:c>
      <x:c r="G507" s="8" t="str">
        <x:v>Current</x:v>
      </x:c>
    </x:row>
    <x:row r="508" ht="32" customHeight="1">
      <x:c r="A508" s="8" t="str">
        <x:v>trunk:LC1:LD:light:-1</x:v>
      </x:c>
      <x:c r="B508" s="8" t="n">
        <x:v>7</x:v>
      </x:c>
      <x:c r="C508" s="11" t="n">
        <x:v>53.05</x:v>
      </x:c>
      <x:c r="D508" s="11" t="n">
        <x:v>6.42</x:v>
      </x:c>
      <x:c r="E508" s="11" t="n">
        <x:v>-3.6</x:v>
      </x:c>
      <x:c r="F508" s="11" t="n">
        <x:f>SQRT((C508-C507)^2+(D508-D507)^2+(E508-E507)^2)</x:f>
        <x:v>2.4000000000000004</x:v>
      </x:c>
      <x:c r="G508" s="8" t="str">
        <x:v>Current</x:v>
      </x:c>
    </x:row>
    <x:row r="509" ht="32" customHeight="1">
      <x:c r="A509" s="8" t="str">
        <x:v>trunk:LC1:LD:light:-1</x:v>
      </x:c>
      <x:c r="B509" s="8" t="n">
        <x:v>8</x:v>
      </x:c>
      <x:c r="C509" s="11" t="n">
        <x:v>53.05</x:v>
      </x:c>
      <x:c r="D509" s="11" t="n">
        <x:v>6.42</x:v>
      </x:c>
      <x:c r="E509" s="11" t="n">
        <x:v>-7.36</x:v>
      </x:c>
      <x:c r="F509" s="11" t="n">
        <x:f>SQRT((C509-C508)^2+(D509-D508)^2+(E509-E508)^2)</x:f>
        <x:v>3.7600000000000002</x:v>
      </x:c>
      <x:c r="G509" s="8" t="str">
        <x:v>Current</x:v>
      </x:c>
    </x:row>
    <x:row r="510" ht="32" customHeight="1">
      <x:c r="A510" s="8" t="str">
        <x:v>trunk:LC1:LD:light:-1</x:v>
      </x:c>
      <x:c r="B510" s="8" t="n">
        <x:v>9</x:v>
      </x:c>
      <x:c r="C510" s="11" t="n">
        <x:v>44.175</x:v>
      </x:c>
      <x:c r="D510" s="11" t="n">
        <x:v>6.42</x:v>
      </x:c>
      <x:c r="E510" s="11" t="n">
        <x:v>-7.36</x:v>
      </x:c>
      <x:c r="F510" s="11" t="n">
        <x:f>SQRT((C510-C509)^2+(D510-D509)^2+(E510-E509)^2)</x:f>
        <x:v>8.875</x:v>
      </x:c>
      <x:c r="G510" s="8" t="str">
        <x:v>Current</x:v>
      </x:c>
    </x:row>
    <x:row r="511" ht="32" customHeight="1">
      <x:c r="A511" s="8" t="str">
        <x:v>trunk:LC1:LD:light:-1</x:v>
      </x:c>
      <x:c r="B511" s="8" t="n">
        <x:v>10</x:v>
      </x:c>
      <x:c r="C511" s="11" t="n">
        <x:v>44.175</x:v>
      </x:c>
      <x:c r="D511" s="11" t="n">
        <x:v>6.42</x:v>
      </x:c>
      <x:c r="E511" s="11" t="n">
        <x:v>-13.24</x:v>
      </x:c>
      <x:c r="F511" s="11" t="n">
        <x:f>SQRT((C511-C510)^2+(D511-D510)^2+(E511-E510)^2)</x:f>
        <x:v>5.88</x:v>
      </x:c>
      <x:c r="G511" s="8" t="str">
        <x:v>Current</x:v>
      </x:c>
    </x:row>
    <x:row r="512" ht="32" customHeight="1">
      <x:c r="A512" s="8" t="str">
        <x:v>trunk:LC1:LD:light:-1</x:v>
      </x:c>
      <x:c r="B512" s="8" t="n">
        <x:v>11</x:v>
      </x:c>
      <x:c r="C512" s="11" t="n">
        <x:v>36.975</x:v>
      </x:c>
      <x:c r="D512" s="11" t="n">
        <x:v>6.42</x:v>
      </x:c>
      <x:c r="E512" s="11" t="n">
        <x:v>-13.24</x:v>
      </x:c>
      <x:c r="F512" s="11" t="n">
        <x:f>SQRT((C512-C511)^2+(D512-D511)^2+(E512-E511)^2)</x:f>
        <x:v>7.199999999999996</x:v>
      </x:c>
      <x:c r="G512" s="8" t="str">
        <x:v>Current</x:v>
      </x:c>
    </x:row>
    <x:row r="513" ht="32" customHeight="1">
      <x:c r="A513" s="8" t="str">
        <x:v>trunk:LC1:LD:light:-1</x:v>
      </x:c>
      <x:c r="B513" s="8" t="n">
        <x:v>12</x:v>
      </x:c>
      <x:c r="C513" s="11" t="n">
        <x:v>36.975</x:v>
      </x:c>
      <x:c r="D513" s="11" t="n">
        <x:v>6.42</x:v>
      </x:c>
      <x:c r="E513" s="11" t="n">
        <x:v>-7.36</x:v>
      </x:c>
      <x:c r="F513" s="11" t="n">
        <x:f>SQRT((C513-C512)^2+(D513-D512)^2+(E513-E512)^2)</x:f>
        <x:v>5.88</x:v>
      </x:c>
      <x:c r="G513" s="8" t="str">
        <x:v>Current</x:v>
      </x:c>
    </x:row>
    <x:row r="514" ht="32" customHeight="1">
      <x:c r="A514" s="8" t="str">
        <x:v>trunk:LC1:LD:light:-1</x:v>
      </x:c>
      <x:c r="B514" s="8" t="n">
        <x:v>13</x:v>
      </x:c>
      <x:c r="C514" s="11" t="n">
        <x:v>9.975</x:v>
      </x:c>
      <x:c r="D514" s="11" t="n">
        <x:v>6.42</x:v>
      </x:c>
      <x:c r="E514" s="11" t="n">
        <x:v>-7.36</x:v>
      </x:c>
      <x:c r="F514" s="11" t="n">
        <x:f>SQRT((C514-C513)^2+(D514-D513)^2+(E514-E513)^2)</x:f>
        <x:v>27</x:v>
      </x:c>
      <x:c r="G514" s="8" t="str">
        <x:v>Current</x:v>
      </x:c>
    </x:row>
    <x:row r="515" ht="32" customHeight="1">
      <x:c r="A515" s="8" t="str">
        <x:v>drop:LC1:LD:light:-1:L78</x:v>
      </x:c>
      <x:c r="B515" s="8" t="n">
        <x:v>1</x:v>
      </x:c>
      <x:c r="C515" s="11" t="n">
        <x:v>16.725</x:v>
      </x:c>
      <x:c r="D515" s="11" t="n">
        <x:v>6.42</x:v>
      </x:c>
      <x:c r="E515" s="11" t="n">
        <x:v>-7.36</x:v>
      </x:c>
      <x:c r="F515" s="11" t="n">
        <x:f>0</x:f>
        <x:v>0</x:v>
      </x:c>
      <x:c r="G515" s="8" t="str">
        <x:v>Current</x:v>
      </x:c>
    </x:row>
    <x:row r="516" ht="32" customHeight="1">
      <x:c r="A516" s="8" t="str">
        <x:v>drop:LC1:LD:light:-1:L78</x:v>
      </x:c>
      <x:c r="B516" s="8" t="n">
        <x:v>2</x:v>
      </x:c>
      <x:c r="C516" s="11" t="n">
        <x:v>16.725</x:v>
      </x:c>
      <x:c r="D516" s="11" t="n">
        <x:v>7.02</x:v>
      </x:c>
      <x:c r="E516" s="11" t="n">
        <x:v>-7.36</x:v>
      </x:c>
      <x:c r="F516" s="11" t="n">
        <x:f>SQRT((C516-C515)^2+(D516-D515)^2+(E516-E515)^2)</x:f>
        <x:v>0.5999999999999996</x:v>
      </x:c>
      <x:c r="G516" s="8" t="str">
        <x:v>Current</x:v>
      </x:c>
    </x:row>
    <x:row r="517" ht="32" customHeight="1">
      <x:c r="A517" s="8" t="str">
        <x:v>drop:LC1:LD:light:-1:L78</x:v>
      </x:c>
      <x:c r="B517" s="8" t="n">
        <x:v>3</x:v>
      </x:c>
      <x:c r="C517" s="11" t="n">
        <x:v>16.725</x:v>
      </x:c>
      <x:c r="D517" s="11" t="n">
        <x:v>7.065002717391305</x:v>
      </x:c>
      <x:c r="E517" s="11" t="n">
        <x:v>-7.05</x:v>
      </x:c>
      <x:c r="F517" s="11" t="n">
        <x:f>SQRT((C517-C516)^2+(D517-D516)^2+(E517-E516)^2)</x:f>
        <x:v>0.3132494925336704</x:v>
      </x:c>
      <x:c r="G517" s="8" t="str">
        <x:v>Current</x:v>
      </x:c>
    </x:row>
    <x:row r="518" ht="32" customHeight="1">
      <x:c r="A518" s="8" t="str">
        <x:v>drop:LC1:LD:light:-1:L78</x:v>
      </x:c>
      <x:c r="B518" s="8" t="n">
        <x:v>4</x:v>
      </x:c>
      <x:c r="C518" s="11" t="n">
        <x:v>16.725</x:v>
      </x:c>
      <x:c r="D518" s="11" t="n">
        <x:v>12.182</x:v>
      </x:c>
      <x:c r="E518" s="11" t="n">
        <x:v>0</x:v>
      </x:c>
      <x:c r="F518" s="11" t="n">
        <x:f>SQRT((C518-C517)^2+(D518-D517)^2+(E518-E517)^2)</x:f>
        <x:v>8.711266336774738</x:v>
      </x:c>
      <x:c r="G518" s="8" t="str">
        <x:v>Current</x:v>
      </x:c>
    </x:row>
    <x:row r="519" ht="32" customHeight="1">
      <x:c r="A519" s="8" t="str">
        <x:v>drop:LC1:LD:light:-1:L78</x:v>
      </x:c>
      <x:c r="B519" s="8" t="n">
        <x:v>5</x:v>
      </x:c>
      <x:c r="C519" s="11" t="n">
        <x:v>16.725</x:v>
      </x:c>
      <x:c r="D519" s="11" t="n">
        <x:v>12.152</x:v>
      </x:c>
      <x:c r="E519" s="11" t="n">
        <x:v>0</x:v>
      </x:c>
      <x:c r="F519" s="11" t="n">
        <x:f>SQRT((C519-C518)^2+(D519-D518)^2+(E519-E518)^2)</x:f>
        <x:v>0.030000000000001137</x:v>
      </x:c>
      <x:c r="G519" s="8" t="str">
        <x:v>Current</x:v>
      </x:c>
    </x:row>
    <x:row r="520" ht="32" customHeight="1">
      <x:c r="A520" s="8" t="str">
        <x:v>drop:LC1:LD:light:-1:L78</x:v>
      </x:c>
      <x:c r="B520" s="8" t="n">
        <x:v>6</x:v>
      </x:c>
      <x:c r="C520" s="11" t="n">
        <x:v>16.725</x:v>
      </x:c>
      <x:c r="D520" s="11" t="n">
        <x:v>6.3</x:v>
      </x:c>
      <x:c r="E520" s="11" t="n">
        <x:v>0</x:v>
      </x:c>
      <x:c r="F520" s="11" t="n">
        <x:f>SQRT((C520-C519)^2+(D520-D519)^2+(E520-E519)^2)</x:f>
        <x:v>5.851999999999999</x:v>
      </x:c>
      <x:c r="G520" s="8" t="str">
        <x:v>Current</x:v>
      </x:c>
    </x:row>
    <x:row r="521" ht="32" customHeight="1">
      <x:c r="A521" s="8" t="str">
        <x:v>drop:LC1:LD:light:-1:L79</x:v>
      </x:c>
      <x:c r="B521" s="8" t="n">
        <x:v>1</x:v>
      </x:c>
      <x:c r="C521" s="11" t="n">
        <x:v>25.725</x:v>
      </x:c>
      <x:c r="D521" s="11" t="n">
        <x:v>6.42</x:v>
      </x:c>
      <x:c r="E521" s="11" t="n">
        <x:v>-7.36</x:v>
      </x:c>
      <x:c r="F521" s="11" t="n">
        <x:f>0</x:f>
        <x:v>0</x:v>
      </x:c>
      <x:c r="G521" s="8" t="str">
        <x:v>Current</x:v>
      </x:c>
    </x:row>
    <x:row r="522" ht="32" customHeight="1">
      <x:c r="A522" s="8" t="str">
        <x:v>drop:LC1:LD:light:-1:L79</x:v>
      </x:c>
      <x:c r="B522" s="8" t="n">
        <x:v>2</x:v>
      </x:c>
      <x:c r="C522" s="11" t="n">
        <x:v>25.725</x:v>
      </x:c>
      <x:c r="D522" s="11" t="n">
        <x:v>7.02</x:v>
      </x:c>
      <x:c r="E522" s="11" t="n">
        <x:v>-7.36</x:v>
      </x:c>
      <x:c r="F522" s="11" t="n">
        <x:f>SQRT((C522-C521)^2+(D522-D521)^2+(E522-E521)^2)</x:f>
        <x:v>0.5999999999999996</x:v>
      </x:c>
      <x:c r="G522" s="8" t="str">
        <x:v>Current</x:v>
      </x:c>
    </x:row>
    <x:row r="523" ht="32" customHeight="1">
      <x:c r="A523" s="8" t="str">
        <x:v>drop:LC1:LD:light:-1:L79</x:v>
      </x:c>
      <x:c r="B523" s="8" t="n">
        <x:v>3</x:v>
      </x:c>
      <x:c r="C523" s="11" t="n">
        <x:v>25.725</x:v>
      </x:c>
      <x:c r="D523" s="11" t="n">
        <x:v>7.065002717391305</x:v>
      </x:c>
      <x:c r="E523" s="11" t="n">
        <x:v>-7.05</x:v>
      </x:c>
      <x:c r="F523" s="11" t="n">
        <x:f>SQRT((C523-C522)^2+(D523-D522)^2+(E523-E522)^2)</x:f>
        <x:v>0.3132494925336704</x:v>
      </x:c>
      <x:c r="G523" s="8" t="str">
        <x:v>Current</x:v>
      </x:c>
    </x:row>
    <x:row r="524" ht="32" customHeight="1">
      <x:c r="A524" s="8" t="str">
        <x:v>drop:LC1:LD:light:-1:L79</x:v>
      </x:c>
      <x:c r="B524" s="8" t="n">
        <x:v>4</x:v>
      </x:c>
      <x:c r="C524" s="11" t="n">
        <x:v>25.725</x:v>
      </x:c>
      <x:c r="D524" s="11" t="n">
        <x:v>12.182</x:v>
      </x:c>
      <x:c r="E524" s="11" t="n">
        <x:v>0</x:v>
      </x:c>
      <x:c r="F524" s="11" t="n">
        <x:f>SQRT((C524-C523)^2+(D524-D523)^2+(E524-E523)^2)</x:f>
        <x:v>8.711266336774738</x:v>
      </x:c>
      <x:c r="G524" s="8" t="str">
        <x:v>Current</x:v>
      </x:c>
    </x:row>
    <x:row r="525" ht="32" customHeight="1">
      <x:c r="A525" s="8" t="str">
        <x:v>drop:LC1:LD:light:-1:L79</x:v>
      </x:c>
      <x:c r="B525" s="8" t="n">
        <x:v>5</x:v>
      </x:c>
      <x:c r="C525" s="11" t="n">
        <x:v>25.725</x:v>
      </x:c>
      <x:c r="D525" s="11" t="n">
        <x:v>12.152</x:v>
      </x:c>
      <x:c r="E525" s="11" t="n">
        <x:v>0</x:v>
      </x:c>
      <x:c r="F525" s="11" t="n">
        <x:f>SQRT((C525-C524)^2+(D525-D524)^2+(E525-E524)^2)</x:f>
        <x:v>0.030000000000001137</x:v>
      </x:c>
      <x:c r="G525" s="8" t="str">
        <x:v>Current</x:v>
      </x:c>
    </x:row>
    <x:row r="526" ht="32" customHeight="1">
      <x:c r="A526" s="8" t="str">
        <x:v>drop:LC1:LD:light:-1:L79</x:v>
      </x:c>
      <x:c r="B526" s="8" t="n">
        <x:v>6</x:v>
      </x:c>
      <x:c r="C526" s="11" t="n">
        <x:v>25.725</x:v>
      </x:c>
      <x:c r="D526" s="11" t="n">
        <x:v>6.3</x:v>
      </x:c>
      <x:c r="E526" s="11" t="n">
        <x:v>0</x:v>
      </x:c>
      <x:c r="F526" s="11" t="n">
        <x:f>SQRT((C526-C525)^2+(D526-D525)^2+(E526-E525)^2)</x:f>
        <x:v>5.851999999999999</x:v>
      </x:c>
      <x:c r="G526" s="8" t="str">
        <x:v>Current</x:v>
      </x:c>
    </x:row>
    <x:row r="527" ht="32" customHeight="1">
      <x:c r="A527" s="8" t="str">
        <x:v>drop:LC1:LD:light:-1:L80</x:v>
      </x:c>
      <x:c r="B527" s="8" t="n">
        <x:v>1</x:v>
      </x:c>
      <x:c r="C527" s="11" t="n">
        <x:v>34.725</x:v>
      </x:c>
      <x:c r="D527" s="11" t="n">
        <x:v>6.42</x:v>
      </x:c>
      <x:c r="E527" s="11" t="n">
        <x:v>-7.36</x:v>
      </x:c>
      <x:c r="F527" s="11" t="n">
        <x:f>0</x:f>
        <x:v>0</x:v>
      </x:c>
      <x:c r="G527" s="8" t="str">
        <x:v>Current</x:v>
      </x:c>
    </x:row>
    <x:row r="528" ht="32" customHeight="1">
      <x:c r="A528" s="8" t="str">
        <x:v>drop:LC1:LD:light:-1:L80</x:v>
      </x:c>
      <x:c r="B528" s="8" t="n">
        <x:v>2</x:v>
      </x:c>
      <x:c r="C528" s="11" t="n">
        <x:v>34.725</x:v>
      </x:c>
      <x:c r="D528" s="11" t="n">
        <x:v>7.02</x:v>
      </x:c>
      <x:c r="E528" s="11" t="n">
        <x:v>-7.36</x:v>
      </x:c>
      <x:c r="F528" s="11" t="n">
        <x:f>SQRT((C528-C527)^2+(D528-D527)^2+(E528-E527)^2)</x:f>
        <x:v>0.5999999999999996</x:v>
      </x:c>
      <x:c r="G528" s="8" t="str">
        <x:v>Current</x:v>
      </x:c>
    </x:row>
    <x:row r="529" ht="32" customHeight="1">
      <x:c r="A529" s="8" t="str">
        <x:v>drop:LC1:LD:light:-1:L80</x:v>
      </x:c>
      <x:c r="B529" s="8" t="n">
        <x:v>3</x:v>
      </x:c>
      <x:c r="C529" s="11" t="n">
        <x:v>34.725</x:v>
      </x:c>
      <x:c r="D529" s="11" t="n">
        <x:v>7.065002717391305</x:v>
      </x:c>
      <x:c r="E529" s="11" t="n">
        <x:v>-7.05</x:v>
      </x:c>
      <x:c r="F529" s="11" t="n">
        <x:f>SQRT((C529-C528)^2+(D529-D528)^2+(E529-E528)^2)</x:f>
        <x:v>0.3132494925336704</x:v>
      </x:c>
      <x:c r="G529" s="8" t="str">
        <x:v>Current</x:v>
      </x:c>
    </x:row>
    <x:row r="530" ht="32" customHeight="1">
      <x:c r="A530" s="8" t="str">
        <x:v>drop:LC1:LD:light:-1:L80</x:v>
      </x:c>
      <x:c r="B530" s="8" t="n">
        <x:v>4</x:v>
      </x:c>
      <x:c r="C530" s="11" t="n">
        <x:v>34.725</x:v>
      </x:c>
      <x:c r="D530" s="11" t="n">
        <x:v>12.182</x:v>
      </x:c>
      <x:c r="E530" s="11" t="n">
        <x:v>0</x:v>
      </x:c>
      <x:c r="F530" s="11" t="n">
        <x:f>SQRT((C530-C529)^2+(D530-D529)^2+(E530-E529)^2)</x:f>
        <x:v>8.711266336774738</x:v>
      </x:c>
      <x:c r="G530" s="8" t="str">
        <x:v>Current</x:v>
      </x:c>
    </x:row>
    <x:row r="531" ht="32" customHeight="1">
      <x:c r="A531" s="8" t="str">
        <x:v>drop:LC1:LD:light:-1:L80</x:v>
      </x:c>
      <x:c r="B531" s="8" t="n">
        <x:v>5</x:v>
      </x:c>
      <x:c r="C531" s="11" t="n">
        <x:v>34.725</x:v>
      </x:c>
      <x:c r="D531" s="11" t="n">
        <x:v>12.152</x:v>
      </x:c>
      <x:c r="E531" s="11" t="n">
        <x:v>0</x:v>
      </x:c>
      <x:c r="F531" s="11" t="n">
        <x:f>SQRT((C531-C530)^2+(D531-D530)^2+(E531-E530)^2)</x:f>
        <x:v>0.030000000000001137</x:v>
      </x:c>
      <x:c r="G531" s="8" t="str">
        <x:v>Current</x:v>
      </x:c>
    </x:row>
    <x:row r="532" ht="32" customHeight="1">
      <x:c r="A532" s="8" t="str">
        <x:v>drop:LC1:LD:light:-1:L80</x:v>
      </x:c>
      <x:c r="B532" s="8" t="n">
        <x:v>6</x:v>
      </x:c>
      <x:c r="C532" s="11" t="n">
        <x:v>34.725</x:v>
      </x:c>
      <x:c r="D532" s="11" t="n">
        <x:v>6.3</x:v>
      </x:c>
      <x:c r="E532" s="11" t="n">
        <x:v>0</x:v>
      </x:c>
      <x:c r="F532" s="11" t="n">
        <x:f>SQRT((C532-C531)^2+(D532-D531)^2+(E532-E531)^2)</x:f>
        <x:v>5.851999999999999</x:v>
      </x:c>
      <x:c r="G532" s="8" t="str">
        <x:v>Current</x:v>
      </x:c>
    </x:row>
    <x:row r="533" ht="32" customHeight="1">
      <x:c r="A533" s="8" t="str">
        <x:v>drop:LC1:LD:light:-1:L81</x:v>
      </x:c>
      <x:c r="B533" s="8" t="n">
        <x:v>1</x:v>
      </x:c>
      <x:c r="C533" s="11" t="n">
        <x:v>40.575</x:v>
      </x:c>
      <x:c r="D533" s="11" t="n">
        <x:v>6.42</x:v>
      </x:c>
      <x:c r="E533" s="11" t="n">
        <x:v>-13.24</x:v>
      </x:c>
      <x:c r="F533" s="11" t="n">
        <x:f>0</x:f>
        <x:v>0</x:v>
      </x:c>
      <x:c r="G533" s="8" t="str">
        <x:v>Current</x:v>
      </x:c>
    </x:row>
    <x:row r="534" ht="32" customHeight="1">
      <x:c r="A534" s="8" t="str">
        <x:v>drop:LC1:LD:light:-1:L81</x:v>
      </x:c>
      <x:c r="B534" s="8" t="n">
        <x:v>2</x:v>
      </x:c>
      <x:c r="C534" s="11" t="n">
        <x:v>40.575</x:v>
      </x:c>
      <x:c r="D534" s="11" t="n">
        <x:v>6.42</x:v>
      </x:c>
      <x:c r="E534" s="11" t="n">
        <x:v>0</x:v>
      </x:c>
      <x:c r="F534" s="11" t="n">
        <x:f>SQRT((C534-C533)^2+(D534-D533)^2+(E534-E533)^2)</x:f>
        <x:v>13.24</x:v>
      </x:c>
      <x:c r="G534" s="8" t="str">
        <x:v>Current</x:v>
      </x:c>
    </x:row>
    <x:row r="535" ht="32" customHeight="1">
      <x:c r="A535" s="8" t="str">
        <x:v>drop:LC1:LD:light:-1:L81</x:v>
      </x:c>
      <x:c r="B535" s="8" t="n">
        <x:v>3</x:v>
      </x:c>
      <x:c r="C535" s="11" t="n">
        <x:v>40.575</x:v>
      </x:c>
      <x:c r="D535" s="11" t="n">
        <x:v>12.152</x:v>
      </x:c>
      <x:c r="E535" s="11" t="n">
        <x:v>0</x:v>
      </x:c>
      <x:c r="F535" s="11" t="n">
        <x:f>SQRT((C535-C534)^2+(D535-D534)^2+(E535-E534)^2)</x:f>
        <x:v>5.731999999999999</x:v>
      </x:c>
      <x:c r="G535" s="8" t="str">
        <x:v>Current</x:v>
      </x:c>
    </x:row>
    <x:row r="536" ht="32" customHeight="1">
      <x:c r="A536" s="8" t="str">
        <x:v>drop:LC1:LD:light:-1:L81</x:v>
      </x:c>
      <x:c r="B536" s="8" t="n">
        <x:v>4</x:v>
      </x:c>
      <x:c r="C536" s="11" t="n">
        <x:v>40.575</x:v>
      </x:c>
      <x:c r="D536" s="11" t="n">
        <x:v>9.2</x:v>
      </x:c>
      <x:c r="E536" s="11" t="n">
        <x:v>0</x:v>
      </x:c>
      <x:c r="F536" s="11" t="n">
        <x:f>SQRT((C536-C535)^2+(D536-D535)^2+(E536-E535)^2)</x:f>
        <x:v>2.952</x:v>
      </x:c>
      <x:c r="G536" s="8" t="str">
        <x:v>Current</x:v>
      </x:c>
    </x:row>
    <x:row r="537" ht="32" customHeight="1">
      <x:c r="A537" s="8" t="str">
        <x:v>drop:LC1:LD:light:-1:L82</x:v>
      </x:c>
      <x:c r="B537" s="8" t="n">
        <x:v>1</x:v>
      </x:c>
      <x:c r="C537" s="11" t="n">
        <x:v>9.975</x:v>
      </x:c>
      <x:c r="D537" s="11" t="n">
        <x:v>6.42</x:v>
      </x:c>
      <x:c r="E537" s="11" t="n">
        <x:v>-7.36</x:v>
      </x:c>
      <x:c r="F537" s="11" t="n">
        <x:f>0</x:f>
        <x:v>0</x:v>
      </x:c>
      <x:c r="G537" s="8" t="str">
        <x:v>Current</x:v>
      </x:c>
    </x:row>
    <x:row r="538" ht="32" customHeight="1">
      <x:c r="A538" s="8" t="str">
        <x:v>drop:LC1:LD:light:-1:L82</x:v>
      </x:c>
      <x:c r="B538" s="8" t="n">
        <x:v>2</x:v>
      </x:c>
      <x:c r="C538" s="11" t="n">
        <x:v>9.975</x:v>
      </x:c>
      <x:c r="D538" s="11" t="n">
        <x:v>4.6</x:v>
      </x:c>
      <x:c r="E538" s="11" t="n">
        <x:v>-7.36</x:v>
      </x:c>
      <x:c r="F538" s="11" t="n">
        <x:f>SQRT((C538-C537)^2+(D538-D537)^2+(E538-E537)^2)</x:f>
        <x:v>1.8200000000000003</x:v>
      </x:c>
      <x:c r="G538" s="8" t="str">
        <x:v>Current</x:v>
      </x:c>
    </x:row>
    <x:row r="539" ht="32" customHeight="1">
      <x:c r="A539" s="8" t="str">
        <x:v>drop:LC1:LD:light:-1:L82</x:v>
      </x:c>
      <x:c r="B539" s="8" t="n">
        <x:v>3</x:v>
      </x:c>
      <x:c r="C539" s="11" t="n">
        <x:v>9.975</x:v>
      </x:c>
      <x:c r="D539" s="11" t="n">
        <x:v>4.6</x:v>
      </x:c>
      <x:c r="E539" s="11" t="n">
        <x:v>-7.07</x:v>
      </x:c>
      <x:c r="F539" s="11" t="n">
        <x:f>SQRT((C539-C538)^2+(D539-D538)^2+(E539-E538)^2)</x:f>
        <x:v>0.29000000000000004</x:v>
      </x:c>
      <x:c r="G539" s="8" t="str">
        <x:v>Current</x:v>
      </x:c>
    </x:row>
    <x:row r="540" ht="32" customHeight="1">
      <x:c r="A540" s="8" t="str">
        <x:v>drop:LC1:LD:light:-1:L84</x:v>
      </x:c>
      <x:c r="B540" s="8" t="n">
        <x:v>1</x:v>
      </x:c>
      <x:c r="C540" s="11" t="n">
        <x:v>14.475</x:v>
      </x:c>
      <x:c r="D540" s="11" t="n">
        <x:v>6.42</x:v>
      </x:c>
      <x:c r="E540" s="11" t="n">
        <x:v>-7.36</x:v>
      </x:c>
      <x:c r="F540" s="11" t="n">
        <x:f>0</x:f>
        <x:v>0</x:v>
      </x:c>
      <x:c r="G540" s="8" t="str">
        <x:v>Current</x:v>
      </x:c>
    </x:row>
    <x:row r="541" ht="32" customHeight="1">
      <x:c r="A541" s="8" t="str">
        <x:v>drop:LC1:LD:light:-1:L84</x:v>
      </x:c>
      <x:c r="B541" s="8" t="n">
        <x:v>2</x:v>
      </x:c>
      <x:c r="C541" s="11" t="n">
        <x:v>14.475</x:v>
      </x:c>
      <x:c r="D541" s="11" t="n">
        <x:v>4.6</x:v>
      </x:c>
      <x:c r="E541" s="11" t="n">
        <x:v>-7.36</x:v>
      </x:c>
      <x:c r="F541" s="11" t="n">
        <x:f>SQRT((C541-C540)^2+(D541-D540)^2+(E541-E540)^2)</x:f>
        <x:v>1.8200000000000003</x:v>
      </x:c>
      <x:c r="G541" s="8" t="str">
        <x:v>Current</x:v>
      </x:c>
    </x:row>
    <x:row r="542" ht="32" customHeight="1">
      <x:c r="A542" s="8" t="str">
        <x:v>drop:LC1:LD:light:-1:L84</x:v>
      </x:c>
      <x:c r="B542" s="8" t="n">
        <x:v>3</x:v>
      </x:c>
      <x:c r="C542" s="11" t="n">
        <x:v>14.475</x:v>
      </x:c>
      <x:c r="D542" s="11" t="n">
        <x:v>4.6</x:v>
      </x:c>
      <x:c r="E542" s="11" t="n">
        <x:v>-7.07</x:v>
      </x:c>
      <x:c r="F542" s="11" t="n">
        <x:f>SQRT((C542-C541)^2+(D542-D541)^2+(E542-E541)^2)</x:f>
        <x:v>0.29000000000000004</x:v>
      </x:c>
      <x:c r="G542" s="8" t="str">
        <x:v>Current</x:v>
      </x:c>
    </x:row>
    <x:row r="543" ht="32" customHeight="1">
      <x:c r="A543" s="8" t="str">
        <x:v>drop:LC1:LD:light:-1:L86</x:v>
      </x:c>
      <x:c r="B543" s="8" t="n">
        <x:v>1</x:v>
      </x:c>
      <x:c r="C543" s="11" t="n">
        <x:v>18.975</x:v>
      </x:c>
      <x:c r="D543" s="11" t="n">
        <x:v>6.42</x:v>
      </x:c>
      <x:c r="E543" s="11" t="n">
        <x:v>-7.36</x:v>
      </x:c>
      <x:c r="F543" s="11" t="n">
        <x:f>0</x:f>
        <x:v>0</x:v>
      </x:c>
      <x:c r="G543" s="8" t="str">
        <x:v>Current</x:v>
      </x:c>
    </x:row>
    <x:row r="544" ht="32" customHeight="1">
      <x:c r="A544" s="8" t="str">
        <x:v>drop:LC1:LD:light:-1:L86</x:v>
      </x:c>
      <x:c r="B544" s="8" t="n">
        <x:v>2</x:v>
      </x:c>
      <x:c r="C544" s="11" t="n">
        <x:v>18.975</x:v>
      </x:c>
      <x:c r="D544" s="11" t="n">
        <x:v>4.6</x:v>
      </x:c>
      <x:c r="E544" s="11" t="n">
        <x:v>-7.36</x:v>
      </x:c>
      <x:c r="F544" s="11" t="n">
        <x:f>SQRT((C544-C543)^2+(D544-D543)^2+(E544-E543)^2)</x:f>
        <x:v>1.8200000000000003</x:v>
      </x:c>
      <x:c r="G544" s="8" t="str">
        <x:v>Current</x:v>
      </x:c>
    </x:row>
    <x:row r="545" ht="32" customHeight="1">
      <x:c r="A545" s="8" t="str">
        <x:v>drop:LC1:LD:light:-1:L86</x:v>
      </x:c>
      <x:c r="B545" s="8" t="n">
        <x:v>3</x:v>
      </x:c>
      <x:c r="C545" s="11" t="n">
        <x:v>18.975</x:v>
      </x:c>
      <x:c r="D545" s="11" t="n">
        <x:v>4.6</x:v>
      </x:c>
      <x:c r="E545" s="11" t="n">
        <x:v>-7.07</x:v>
      </x:c>
      <x:c r="F545" s="11" t="n">
        <x:f>SQRT((C545-C544)^2+(D545-D544)^2+(E545-E544)^2)</x:f>
        <x:v>0.29000000000000004</x:v>
      </x:c>
      <x:c r="G545" s="8" t="str">
        <x:v>Current</x:v>
      </x:c>
    </x:row>
    <x:row r="546" ht="32" customHeight="1">
      <x:c r="A546" s="8" t="str">
        <x:v>drop:LC1:LD:light:-1:L88</x:v>
      </x:c>
      <x:c r="B546" s="8" t="n">
        <x:v>1</x:v>
      </x:c>
      <x:c r="C546" s="11" t="n">
        <x:v>23.475</x:v>
      </x:c>
      <x:c r="D546" s="11" t="n">
        <x:v>6.42</x:v>
      </x:c>
      <x:c r="E546" s="11" t="n">
        <x:v>-7.36</x:v>
      </x:c>
      <x:c r="F546" s="11" t="n">
        <x:f>0</x:f>
        <x:v>0</x:v>
      </x:c>
      <x:c r="G546" s="8" t="str">
        <x:v>Current</x:v>
      </x:c>
    </x:row>
    <x:row r="547" ht="32" customHeight="1">
      <x:c r="A547" s="8" t="str">
        <x:v>drop:LC1:LD:light:-1:L88</x:v>
      </x:c>
      <x:c r="B547" s="8" t="n">
        <x:v>2</x:v>
      </x:c>
      <x:c r="C547" s="11" t="n">
        <x:v>23.475</x:v>
      </x:c>
      <x:c r="D547" s="11" t="n">
        <x:v>4.6</x:v>
      </x:c>
      <x:c r="E547" s="11" t="n">
        <x:v>-7.36</x:v>
      </x:c>
      <x:c r="F547" s="11" t="n">
        <x:f>SQRT((C547-C546)^2+(D547-D546)^2+(E547-E546)^2)</x:f>
        <x:v>1.8200000000000003</x:v>
      </x:c>
      <x:c r="G547" s="8" t="str">
        <x:v>Current</x:v>
      </x:c>
    </x:row>
    <x:row r="548" ht="32" customHeight="1">
      <x:c r="A548" s="8" t="str">
        <x:v>drop:LC1:LD:light:-1:L88</x:v>
      </x:c>
      <x:c r="B548" s="8" t="n">
        <x:v>3</x:v>
      </x:c>
      <x:c r="C548" s="11" t="n">
        <x:v>23.475</x:v>
      </x:c>
      <x:c r="D548" s="11" t="n">
        <x:v>4.6</x:v>
      </x:c>
      <x:c r="E548" s="11" t="n">
        <x:v>-7.07</x:v>
      </x:c>
      <x:c r="F548" s="11" t="n">
        <x:f>SQRT((C548-C547)^2+(D548-D547)^2+(E548-E547)^2)</x:f>
        <x:v>0.29000000000000004</x:v>
      </x:c>
      <x:c r="G548" s="8" t="str">
        <x:v>Current</x:v>
      </x:c>
    </x:row>
    <x:row r="549" ht="32" customHeight="1">
      <x:c r="A549" s="8" t="str">
        <x:v>drop:LC1:LD:light:-1:L90</x:v>
      </x:c>
      <x:c r="B549" s="8" t="n">
        <x:v>1</x:v>
      </x:c>
      <x:c r="C549" s="11" t="n">
        <x:v>27.975</x:v>
      </x:c>
      <x:c r="D549" s="11" t="n">
        <x:v>6.42</x:v>
      </x:c>
      <x:c r="E549" s="11" t="n">
        <x:v>-7.36</x:v>
      </x:c>
      <x:c r="F549" s="11" t="n">
        <x:f>0</x:f>
        <x:v>0</x:v>
      </x:c>
      <x:c r="G549" s="8" t="str">
        <x:v>Current</x:v>
      </x:c>
    </x:row>
    <x:row r="550" ht="32" customHeight="1">
      <x:c r="A550" s="8" t="str">
        <x:v>drop:LC1:LD:light:-1:L90</x:v>
      </x:c>
      <x:c r="B550" s="8" t="n">
        <x:v>2</x:v>
      </x:c>
      <x:c r="C550" s="11" t="n">
        <x:v>27.975</x:v>
      </x:c>
      <x:c r="D550" s="11" t="n">
        <x:v>4.6</x:v>
      </x:c>
      <x:c r="E550" s="11" t="n">
        <x:v>-7.36</x:v>
      </x:c>
      <x:c r="F550" s="11" t="n">
        <x:f>SQRT((C550-C549)^2+(D550-D549)^2+(E550-E549)^2)</x:f>
        <x:v>1.8200000000000003</x:v>
      </x:c>
      <x:c r="G550" s="8" t="str">
        <x:v>Current</x:v>
      </x:c>
    </x:row>
    <x:row r="551" ht="32" customHeight="1">
      <x:c r="A551" s="8" t="str">
        <x:v>drop:LC1:LD:light:-1:L90</x:v>
      </x:c>
      <x:c r="B551" s="8" t="n">
        <x:v>3</x:v>
      </x:c>
      <x:c r="C551" s="11" t="n">
        <x:v>27.975</x:v>
      </x:c>
      <x:c r="D551" s="11" t="n">
        <x:v>4.6</x:v>
      </x:c>
      <x:c r="E551" s="11" t="n">
        <x:v>-7.07</x:v>
      </x:c>
      <x:c r="F551" s="11" t="n">
        <x:f>SQRT((C551-C550)^2+(D551-D550)^2+(E551-E550)^2)</x:f>
        <x:v>0.29000000000000004</x:v>
      </x:c>
      <x:c r="G551" s="8" t="str">
        <x:v>Current</x:v>
      </x:c>
    </x:row>
    <x:row r="552" ht="32" customHeight="1">
      <x:c r="A552" s="8" t="str">
        <x:v>drop:LC1:LD:light:-1:L92</x:v>
      </x:c>
      <x:c r="B552" s="8" t="n">
        <x:v>1</x:v>
      </x:c>
      <x:c r="C552" s="11" t="n">
        <x:v>32.475</x:v>
      </x:c>
      <x:c r="D552" s="11" t="n">
        <x:v>6.42</x:v>
      </x:c>
      <x:c r="E552" s="11" t="n">
        <x:v>-7.36</x:v>
      </x:c>
      <x:c r="F552" s="11" t="n">
        <x:f>0</x:f>
        <x:v>0</x:v>
      </x:c>
      <x:c r="G552" s="8" t="str">
        <x:v>Current</x:v>
      </x:c>
    </x:row>
    <x:row r="553" ht="32" customHeight="1">
      <x:c r="A553" s="8" t="str">
        <x:v>drop:LC1:LD:light:-1:L92</x:v>
      </x:c>
      <x:c r="B553" s="8" t="n">
        <x:v>2</x:v>
      </x:c>
      <x:c r="C553" s="11" t="n">
        <x:v>32.475</x:v>
      </x:c>
      <x:c r="D553" s="11" t="n">
        <x:v>4.6</x:v>
      </x:c>
      <x:c r="E553" s="11" t="n">
        <x:v>-7.36</x:v>
      </x:c>
      <x:c r="F553" s="11" t="n">
        <x:f>SQRT((C553-C552)^2+(D553-D552)^2+(E553-E552)^2)</x:f>
        <x:v>1.8200000000000003</x:v>
      </x:c>
      <x:c r="G553" s="8" t="str">
        <x:v>Current</x:v>
      </x:c>
    </x:row>
    <x:row r="554" ht="32" customHeight="1">
      <x:c r="A554" s="8" t="str">
        <x:v>drop:LC1:LD:light:-1:L92</x:v>
      </x:c>
      <x:c r="B554" s="8" t="n">
        <x:v>3</x:v>
      </x:c>
      <x:c r="C554" s="11" t="n">
        <x:v>32.475</x:v>
      </x:c>
      <x:c r="D554" s="11" t="n">
        <x:v>4.6</x:v>
      </x:c>
      <x:c r="E554" s="11" t="n">
        <x:v>-7.07</x:v>
      </x:c>
      <x:c r="F554" s="11" t="n">
        <x:f>SQRT((C554-C553)^2+(D554-D553)^2+(E554-E553)^2)</x:f>
        <x:v>0.29000000000000004</x:v>
      </x:c>
      <x:c r="G554" s="8" t="str">
        <x:v>Current</x:v>
      </x:c>
    </x:row>
    <x:row r="555" ht="32" customHeight="1">
      <x:c r="A555" s="8" t="str">
        <x:v>drop:LC1:LD:light:-1:L94</x:v>
      </x:c>
      <x:c r="B555" s="8" t="n">
        <x:v>1</x:v>
      </x:c>
      <x:c r="C555" s="11" t="n">
        <x:v>36.975</x:v>
      </x:c>
      <x:c r="D555" s="11" t="n">
        <x:v>6.42</x:v>
      </x:c>
      <x:c r="E555" s="11" t="n">
        <x:v>-13.24</x:v>
      </x:c>
      <x:c r="F555" s="11" t="n">
        <x:f>0</x:f>
        <x:v>0</x:v>
      </x:c>
      <x:c r="G555" s="8" t="str">
        <x:v>Current</x:v>
      </x:c>
    </x:row>
    <x:row r="556" ht="32" customHeight="1">
      <x:c r="A556" s="8" t="str">
        <x:v>drop:LC1:LD:light:-1:L94</x:v>
      </x:c>
      <x:c r="B556" s="8" t="n">
        <x:v>2</x:v>
      </x:c>
      <x:c r="C556" s="11" t="n">
        <x:v>36.975</x:v>
      </x:c>
      <x:c r="D556" s="11" t="n">
        <x:v>4.6</x:v>
      </x:c>
      <x:c r="E556" s="11" t="n">
        <x:v>-13.24</x:v>
      </x:c>
      <x:c r="F556" s="11" t="n">
        <x:f>SQRT((C556-C555)^2+(D556-D555)^2+(E556-E555)^2)</x:f>
        <x:v>1.8200000000000003</x:v>
      </x:c>
      <x:c r="G556" s="8" t="str">
        <x:v>Current</x:v>
      </x:c>
    </x:row>
    <x:row r="557" ht="32" customHeight="1">
      <x:c r="A557" s="8" t="str">
        <x:v>drop:LC1:LD:light:-1:L94</x:v>
      </x:c>
      <x:c r="B557" s="8" t="n">
        <x:v>3</x:v>
      </x:c>
      <x:c r="C557" s="11" t="n">
        <x:v>36.975</x:v>
      </x:c>
      <x:c r="D557" s="11" t="n">
        <x:v>4.6</x:v>
      </x:c>
      <x:c r="E557" s="11" t="n">
        <x:v>-7.07</x:v>
      </x:c>
      <x:c r="F557" s="11" t="n">
        <x:f>SQRT((C557-C556)^2+(D557-D556)^2+(E557-E556)^2)</x:f>
        <x:v>6.17</x:v>
      </x:c>
      <x:c r="G557" s="8" t="str">
        <x:v>Current</x:v>
      </x:c>
    </x:row>
    <x:row r="558" ht="32" customHeight="1">
      <x:c r="A558" s="8" t="str">
        <x:v>drop:LC1:LD:light:-1:L96</x:v>
      </x:c>
      <x:c r="B558" s="8" t="n">
        <x:v>1</x:v>
      </x:c>
      <x:c r="C558" s="11" t="n">
        <x:v>47.72</x:v>
      </x:c>
      <x:c r="D558" s="11" t="n">
        <x:v>6.42</x:v>
      </x:c>
      <x:c r="E558" s="11" t="n">
        <x:v>-7.36</x:v>
      </x:c>
      <x:c r="F558" s="11" t="n">
        <x:f>0</x:f>
        <x:v>0</x:v>
      </x:c>
      <x:c r="G558" s="8" t="str">
        <x:v>Current</x:v>
      </x:c>
    </x:row>
    <x:row r="559" ht="32" customHeight="1">
      <x:c r="A559" s="8" t="str">
        <x:v>drop:LC1:LD:light:-1:L96</x:v>
      </x:c>
      <x:c r="B559" s="8" t="n">
        <x:v>2</x:v>
      </x:c>
      <x:c r="C559" s="11" t="n">
        <x:v>47.72</x:v>
      </x:c>
      <x:c r="D559" s="11" t="n">
        <x:v>4.3</x:v>
      </x:c>
      <x:c r="E559" s="11" t="n">
        <x:v>-7.36</x:v>
      </x:c>
      <x:c r="F559" s="11" t="n">
        <x:f>SQRT((C559-C558)^2+(D559-D558)^2+(E559-E558)^2)</x:f>
        <x:v>2.12</x:v>
      </x:c>
      <x:c r="G559" s="8" t="str">
        <x:v>Current</x:v>
      </x:c>
    </x:row>
    <x:row r="560" ht="32" customHeight="1">
      <x:c r="A560" s="8" t="str">
        <x:v>drop:LC1:LD:light:-1:L96</x:v>
      </x:c>
      <x:c r="B560" s="8" t="n">
        <x:v>3</x:v>
      </x:c>
      <x:c r="C560" s="11" t="n">
        <x:v>46.455</x:v>
      </x:c>
      <x:c r="D560" s="11" t="n">
        <x:v>4.3</x:v>
      </x:c>
      <x:c r="E560" s="11" t="n">
        <x:v>-7.36</x:v>
      </x:c>
      <x:c r="F560" s="11" t="n">
        <x:f>SQRT((C560-C559)^2+(D560-D559)^2+(E560-E559)^2)</x:f>
        <x:v>1.2650000000000006</x:v>
      </x:c>
      <x:c r="G560" s="8" t="str">
        <x:v>Current</x:v>
      </x:c>
    </x:row>
    <x:row r="561" ht="32" customHeight="1">
      <x:c r="A561" s="8" t="str">
        <x:v>drop:LC1:LD:light:-1:L96</x:v>
      </x:c>
      <x:c r="B561" s="8" t="n">
        <x:v>4</x:v>
      </x:c>
      <x:c r="C561" s="11" t="n">
        <x:v>46.455</x:v>
      </x:c>
      <x:c r="D561" s="11" t="n">
        <x:v>4.3</x:v>
      </x:c>
      <x:c r="E561" s="11" t="n">
        <x:v>-3.2399999999999998</x:v>
      </x:c>
      <x:c r="F561" s="11" t="n">
        <x:f>SQRT((C561-C560)^2+(D561-D560)^2+(E561-E560)^2)</x:f>
        <x:v>4.120000000000001</x:v>
      </x:c>
      <x:c r="G561" s="8" t="str">
        <x:v>Current</x:v>
      </x:c>
    </x:row>
    <x:row r="562" ht="32" customHeight="1">
      <x:c r="A562" s="8" t="str">
        <x:v>trunk:LC1:LD:light:1</x:v>
      </x:c>
      <x:c r="B562" s="8" t="n">
        <x:v>1</x:v>
      </x:c>
      <x:c r="C562" s="11" t="n">
        <x:v>48.895</x:v>
      </x:c>
      <x:c r="D562" s="11" t="n">
        <x:v>1.85</x:v>
      </x:c>
      <x:c r="E562" s="11" t="n">
        <x:v>-0.55</x:v>
      </x:c>
      <x:c r="F562" s="11" t="n">
        <x:f>0</x:f>
        <x:v>0</x:v>
      </x:c>
      <x:c r="G562" s="8" t="str">
        <x:v>Current</x:v>
      </x:c>
    </x:row>
    <x:row r="563" ht="32" customHeight="1">
      <x:c r="A563" s="8" t="str">
        <x:v>trunk:LC1:LD:light:1</x:v>
      </x:c>
      <x:c r="B563" s="8" t="n">
        <x:v>2</x:v>
      </x:c>
      <x:c r="C563" s="11" t="n">
        <x:v>48.735</x:v>
      </x:c>
      <x:c r="D563" s="11" t="n">
        <x:v>1.85</x:v>
      </x:c>
      <x:c r="E563" s="11" t="n">
        <x:v>-0.55</x:v>
      </x:c>
      <x:c r="F563" s="11" t="n">
        <x:f>SQRT((C563-C562)^2+(D563-D562)^2+(E563-E562)^2)</x:f>
        <x:v>0.1600000000000037</x:v>
      </x:c>
      <x:c r="G563" s="8" t="str">
        <x:v>Current</x:v>
      </x:c>
    </x:row>
    <x:row r="564" ht="32" customHeight="1">
      <x:c r="A564" s="8" t="str">
        <x:v>trunk:LC1:LD:light:1</x:v>
      </x:c>
      <x:c r="B564" s="8" t="n">
        <x:v>3</x:v>
      </x:c>
      <x:c r="C564" s="11" t="n">
        <x:v>48.735</x:v>
      </x:c>
      <x:c r="D564" s="11" t="n">
        <x:v>1.85</x:v>
      </x:c>
      <x:c r="E564" s="11" t="n">
        <x:v>-2.24</x:v>
      </x:c>
      <x:c r="F564" s="11" t="n">
        <x:f>SQRT((C564-C563)^2+(D564-D563)^2+(E564-E563)^2)</x:f>
        <x:v>1.6900000000000002</x:v>
      </x:c>
      <x:c r="G564" s="8" t="str">
        <x:v>Current</x:v>
      </x:c>
    </x:row>
    <x:row r="565" ht="32" customHeight="1">
      <x:c r="A565" s="8" t="str">
        <x:v>trunk:LC1:LD:light:1</x:v>
      </x:c>
      <x:c r="B565" s="8" t="n">
        <x:v>4</x:v>
      </x:c>
      <x:c r="C565" s="11" t="n">
        <x:v>48.735</x:v>
      </x:c>
      <x:c r="D565" s="11" t="n">
        <x:v>4.02</x:v>
      </x:c>
      <x:c r="E565" s="11" t="n">
        <x:v>-2.24</x:v>
      </x:c>
      <x:c r="F565" s="11" t="n">
        <x:f>SQRT((C565-C564)^2+(D565-D564)^2+(E565-E564)^2)</x:f>
        <x:v>2.1699999999999995</x:v>
      </x:c>
      <x:c r="G565" s="8" t="str">
        <x:v>Current</x:v>
      </x:c>
    </x:row>
    <x:row r="566" ht="32" customHeight="1">
      <x:c r="A566" s="8" t="str">
        <x:v>trunk:LC1:LD:light:1</x:v>
      </x:c>
      <x:c r="B566" s="8" t="n">
        <x:v>5</x:v>
      </x:c>
      <x:c r="C566" s="11" t="n">
        <x:v>48.735</x:v>
      </x:c>
      <x:c r="D566" s="11" t="n">
        <x:v>4.02</x:v>
      </x:c>
      <x:c r="E566" s="11" t="n">
        <x:v>-3.6</x:v>
      </x:c>
      <x:c r="F566" s="11" t="n">
        <x:f>SQRT((C566-C565)^2+(D566-D565)^2+(E566-E565)^2)</x:f>
        <x:v>1.3599999999999999</x:v>
      </x:c>
      <x:c r="G566" s="8" t="str">
        <x:v>Current</x:v>
      </x:c>
    </x:row>
    <x:row r="567" ht="32" customHeight="1">
      <x:c r="A567" s="8" t="str">
        <x:v>trunk:LC1:LD:light:1</x:v>
      </x:c>
      <x:c r="B567" s="8" t="n">
        <x:v>6</x:v>
      </x:c>
      <x:c r="C567" s="11" t="n">
        <x:v>53.05</x:v>
      </x:c>
      <x:c r="D567" s="11" t="n">
        <x:v>4.02</x:v>
      </x:c>
      <x:c r="E567" s="11" t="n">
        <x:v>-3.6</x:v>
      </x:c>
      <x:c r="F567" s="11" t="n">
        <x:f>SQRT((C567-C566)^2+(D567-D566)^2+(E567-E566)^2)</x:f>
        <x:v>4.314999999999998</x:v>
      </x:c>
      <x:c r="G567" s="8" t="str">
        <x:v>Current</x:v>
      </x:c>
    </x:row>
    <x:row r="568" ht="32" customHeight="1">
      <x:c r="A568" s="8" t="str">
        <x:v>trunk:LC1:LD:light:1</x:v>
      </x:c>
      <x:c r="B568" s="8" t="n">
        <x:v>7</x:v>
      </x:c>
      <x:c r="C568" s="11" t="n">
        <x:v>53.05</x:v>
      </x:c>
      <x:c r="D568" s="11" t="n">
        <x:v>6.42</x:v>
      </x:c>
      <x:c r="E568" s="11" t="n">
        <x:v>-3.6</x:v>
      </x:c>
      <x:c r="F568" s="11" t="n">
        <x:f>SQRT((C568-C567)^2+(D568-D567)^2+(E568-E567)^2)</x:f>
        <x:v>2.4000000000000004</x:v>
      </x:c>
      <x:c r="G568" s="8" t="str">
        <x:v>Current</x:v>
      </x:c>
    </x:row>
    <x:row r="569" ht="32" customHeight="1">
      <x:c r="A569" s="8" t="str">
        <x:v>trunk:LC1:LD:light:1</x:v>
      </x:c>
      <x:c r="B569" s="8" t="n">
        <x:v>8</x:v>
      </x:c>
      <x:c r="C569" s="11" t="n">
        <x:v>53.05</x:v>
      </x:c>
      <x:c r="D569" s="11" t="n">
        <x:v>6.42</x:v>
      </x:c>
      <x:c r="E569" s="11" t="n">
        <x:v>7.36</x:v>
      </x:c>
      <x:c r="F569" s="11" t="n">
        <x:f>SQRT((C569-C568)^2+(D569-D568)^2+(E569-E568)^2)</x:f>
        <x:v>10.96</x:v>
      </x:c>
      <x:c r="G569" s="8" t="str">
        <x:v>Current</x:v>
      </x:c>
    </x:row>
    <x:row r="570" ht="32" customHeight="1">
      <x:c r="A570" s="8" t="str">
        <x:v>trunk:LC1:LD:light:1</x:v>
      </x:c>
      <x:c r="B570" s="8" t="n">
        <x:v>9</x:v>
      </x:c>
      <x:c r="C570" s="11" t="n">
        <x:v>44.175</x:v>
      </x:c>
      <x:c r="D570" s="11" t="n">
        <x:v>6.42</x:v>
      </x:c>
      <x:c r="E570" s="11" t="n">
        <x:v>7.36</x:v>
      </x:c>
      <x:c r="F570" s="11" t="n">
        <x:f>SQRT((C570-C569)^2+(D570-D569)^2+(E570-E569)^2)</x:f>
        <x:v>8.875</x:v>
      </x:c>
      <x:c r="G570" s="8" t="str">
        <x:v>Current</x:v>
      </x:c>
    </x:row>
    <x:row r="571" ht="32" customHeight="1">
      <x:c r="A571" s="8" t="str">
        <x:v>trunk:LC1:LD:light:1</x:v>
      </x:c>
      <x:c r="B571" s="8" t="n">
        <x:v>10</x:v>
      </x:c>
      <x:c r="C571" s="11" t="n">
        <x:v>44.175</x:v>
      </x:c>
      <x:c r="D571" s="11" t="n">
        <x:v>6.42</x:v>
      </x:c>
      <x:c r="E571" s="11" t="n">
        <x:v>13.24</x:v>
      </x:c>
      <x:c r="F571" s="11" t="n">
        <x:f>SQRT((C571-C570)^2+(D571-D570)^2+(E571-E570)^2)</x:f>
        <x:v>5.88</x:v>
      </x:c>
      <x:c r="G571" s="8" t="str">
        <x:v>Current</x:v>
      </x:c>
    </x:row>
    <x:row r="572" ht="32" customHeight="1">
      <x:c r="A572" s="8" t="str">
        <x:v>trunk:LC1:LD:light:1</x:v>
      </x:c>
      <x:c r="B572" s="8" t="n">
        <x:v>11</x:v>
      </x:c>
      <x:c r="C572" s="11" t="n">
        <x:v>36.975</x:v>
      </x:c>
      <x:c r="D572" s="11" t="n">
        <x:v>6.42</x:v>
      </x:c>
      <x:c r="E572" s="11" t="n">
        <x:v>13.24</x:v>
      </x:c>
      <x:c r="F572" s="11" t="n">
        <x:f>SQRT((C572-C571)^2+(D572-D571)^2+(E572-E571)^2)</x:f>
        <x:v>7.199999999999996</x:v>
      </x:c>
      <x:c r="G572" s="8" t="str">
        <x:v>Current</x:v>
      </x:c>
    </x:row>
    <x:row r="573" ht="32" customHeight="1">
      <x:c r="A573" s="8" t="str">
        <x:v>trunk:LC1:LD:light:1</x:v>
      </x:c>
      <x:c r="B573" s="8" t="n">
        <x:v>12</x:v>
      </x:c>
      <x:c r="C573" s="11" t="n">
        <x:v>36.975</x:v>
      </x:c>
      <x:c r="D573" s="11" t="n">
        <x:v>6.42</x:v>
      </x:c>
      <x:c r="E573" s="11" t="n">
        <x:v>7.36</x:v>
      </x:c>
      <x:c r="F573" s="11" t="n">
        <x:f>SQRT((C573-C572)^2+(D573-D572)^2+(E573-E572)^2)</x:f>
        <x:v>5.88</x:v>
      </x:c>
      <x:c r="G573" s="8" t="str">
        <x:v>Current</x:v>
      </x:c>
    </x:row>
    <x:row r="574" ht="32" customHeight="1">
      <x:c r="A574" s="8" t="str">
        <x:v>trunk:LC1:LD:light:1</x:v>
      </x:c>
      <x:c r="B574" s="8" t="n">
        <x:v>13</x:v>
      </x:c>
      <x:c r="C574" s="11" t="n">
        <x:v>9.975</x:v>
      </x:c>
      <x:c r="D574" s="11" t="n">
        <x:v>6.42</x:v>
      </x:c>
      <x:c r="E574" s="11" t="n">
        <x:v>7.36</x:v>
      </x:c>
      <x:c r="F574" s="11" t="n">
        <x:f>SQRT((C574-C573)^2+(D574-D573)^2+(E574-E573)^2)</x:f>
        <x:v>27</x:v>
      </x:c>
      <x:c r="G574" s="8" t="str">
        <x:v>Current</x:v>
      </x:c>
    </x:row>
    <x:row r="575" ht="32" customHeight="1">
      <x:c r="A575" s="8" t="str">
        <x:v>drop:LC1:LD:light:1:L83</x:v>
      </x:c>
      <x:c r="B575" s="8" t="n">
        <x:v>1</x:v>
      </x:c>
      <x:c r="C575" s="11" t="n">
        <x:v>9.975</x:v>
      </x:c>
      <x:c r="D575" s="11" t="n">
        <x:v>6.42</x:v>
      </x:c>
      <x:c r="E575" s="11" t="n">
        <x:v>7.36</x:v>
      </x:c>
      <x:c r="F575" s="11" t="n">
        <x:f>0</x:f>
        <x:v>0</x:v>
      </x:c>
      <x:c r="G575" s="8" t="str">
        <x:v>Current</x:v>
      </x:c>
    </x:row>
    <x:row r="576" ht="32" customHeight="1">
      <x:c r="A576" s="8" t="str">
        <x:v>drop:LC1:LD:light:1:L83</x:v>
      </x:c>
      <x:c r="B576" s="8" t="n">
        <x:v>2</x:v>
      </x:c>
      <x:c r="C576" s="11" t="n">
        <x:v>9.975</x:v>
      </x:c>
      <x:c r="D576" s="11" t="n">
        <x:v>4.6</x:v>
      </x:c>
      <x:c r="E576" s="11" t="n">
        <x:v>7.36</x:v>
      </x:c>
      <x:c r="F576" s="11" t="n">
        <x:f>SQRT((C576-C575)^2+(D576-D575)^2+(E576-E575)^2)</x:f>
        <x:v>1.8200000000000003</x:v>
      </x:c>
      <x:c r="G576" s="8" t="str">
        <x:v>Current</x:v>
      </x:c>
    </x:row>
    <x:row r="577" ht="32" customHeight="1">
      <x:c r="A577" s="8" t="str">
        <x:v>drop:LC1:LD:light:1:L83</x:v>
      </x:c>
      <x:c r="B577" s="8" t="n">
        <x:v>3</x:v>
      </x:c>
      <x:c r="C577" s="11" t="n">
        <x:v>9.975</x:v>
      </x:c>
      <x:c r="D577" s="11" t="n">
        <x:v>4.6</x:v>
      </x:c>
      <x:c r="E577" s="11" t="n">
        <x:v>7.07</x:v>
      </x:c>
      <x:c r="F577" s="11" t="n">
        <x:f>SQRT((C577-C576)^2+(D577-D576)^2+(E577-E576)^2)</x:f>
        <x:v>0.29000000000000004</x:v>
      </x:c>
      <x:c r="G577" s="8" t="str">
        <x:v>Current</x:v>
      </x:c>
    </x:row>
    <x:row r="578" ht="32" customHeight="1">
      <x:c r="A578" s="8" t="str">
        <x:v>drop:LC1:LD:light:1:L85</x:v>
      </x:c>
      <x:c r="B578" s="8" t="n">
        <x:v>1</x:v>
      </x:c>
      <x:c r="C578" s="11" t="n">
        <x:v>14.475</x:v>
      </x:c>
      <x:c r="D578" s="11" t="n">
        <x:v>6.42</x:v>
      </x:c>
      <x:c r="E578" s="11" t="n">
        <x:v>7.36</x:v>
      </x:c>
      <x:c r="F578" s="11" t="n">
        <x:f>0</x:f>
        <x:v>0</x:v>
      </x:c>
      <x:c r="G578" s="8" t="str">
        <x:v>Current</x:v>
      </x:c>
    </x:row>
    <x:row r="579" ht="32" customHeight="1">
      <x:c r="A579" s="8" t="str">
        <x:v>drop:LC1:LD:light:1:L85</x:v>
      </x:c>
      <x:c r="B579" s="8" t="n">
        <x:v>2</x:v>
      </x:c>
      <x:c r="C579" s="11" t="n">
        <x:v>14.475</x:v>
      </x:c>
      <x:c r="D579" s="11" t="n">
        <x:v>4.6</x:v>
      </x:c>
      <x:c r="E579" s="11" t="n">
        <x:v>7.36</x:v>
      </x:c>
      <x:c r="F579" s="11" t="n">
        <x:f>SQRT((C579-C578)^2+(D579-D578)^2+(E579-E578)^2)</x:f>
        <x:v>1.8200000000000003</x:v>
      </x:c>
      <x:c r="G579" s="8" t="str">
        <x:v>Current</x:v>
      </x:c>
    </x:row>
    <x:row r="580" ht="32" customHeight="1">
      <x:c r="A580" s="8" t="str">
        <x:v>drop:LC1:LD:light:1:L85</x:v>
      </x:c>
      <x:c r="B580" s="8" t="n">
        <x:v>3</x:v>
      </x:c>
      <x:c r="C580" s="11" t="n">
        <x:v>14.475</x:v>
      </x:c>
      <x:c r="D580" s="11" t="n">
        <x:v>4.6</x:v>
      </x:c>
      <x:c r="E580" s="11" t="n">
        <x:v>7.07</x:v>
      </x:c>
      <x:c r="F580" s="11" t="n">
        <x:f>SQRT((C580-C579)^2+(D580-D579)^2+(E580-E579)^2)</x:f>
        <x:v>0.29000000000000004</x:v>
      </x:c>
      <x:c r="G580" s="8" t="str">
        <x:v>Current</x:v>
      </x:c>
    </x:row>
    <x:row r="581" ht="32" customHeight="1">
      <x:c r="A581" s="8" t="str">
        <x:v>drop:LC1:LD:light:1:L87</x:v>
      </x:c>
      <x:c r="B581" s="8" t="n">
        <x:v>1</x:v>
      </x:c>
      <x:c r="C581" s="11" t="n">
        <x:v>18.975</x:v>
      </x:c>
      <x:c r="D581" s="11" t="n">
        <x:v>6.42</x:v>
      </x:c>
      <x:c r="E581" s="11" t="n">
        <x:v>7.36</x:v>
      </x:c>
      <x:c r="F581" s="11" t="n">
        <x:f>0</x:f>
        <x:v>0</x:v>
      </x:c>
      <x:c r="G581" s="8" t="str">
        <x:v>Current</x:v>
      </x:c>
    </x:row>
    <x:row r="582" ht="32" customHeight="1">
      <x:c r="A582" s="8" t="str">
        <x:v>drop:LC1:LD:light:1:L87</x:v>
      </x:c>
      <x:c r="B582" s="8" t="n">
        <x:v>2</x:v>
      </x:c>
      <x:c r="C582" s="11" t="n">
        <x:v>18.975</x:v>
      </x:c>
      <x:c r="D582" s="11" t="n">
        <x:v>4.6</x:v>
      </x:c>
      <x:c r="E582" s="11" t="n">
        <x:v>7.36</x:v>
      </x:c>
      <x:c r="F582" s="11" t="n">
        <x:f>SQRT((C582-C581)^2+(D582-D581)^2+(E582-E581)^2)</x:f>
        <x:v>1.8200000000000003</x:v>
      </x:c>
      <x:c r="G582" s="8" t="str">
        <x:v>Current</x:v>
      </x:c>
    </x:row>
    <x:row r="583" ht="32" customHeight="1">
      <x:c r="A583" s="8" t="str">
        <x:v>drop:LC1:LD:light:1:L87</x:v>
      </x:c>
      <x:c r="B583" s="8" t="n">
        <x:v>3</x:v>
      </x:c>
      <x:c r="C583" s="11" t="n">
        <x:v>18.975</x:v>
      </x:c>
      <x:c r="D583" s="11" t="n">
        <x:v>4.6</x:v>
      </x:c>
      <x:c r="E583" s="11" t="n">
        <x:v>7.07</x:v>
      </x:c>
      <x:c r="F583" s="11" t="n">
        <x:f>SQRT((C583-C582)^2+(D583-D582)^2+(E583-E582)^2)</x:f>
        <x:v>0.29000000000000004</x:v>
      </x:c>
      <x:c r="G583" s="8" t="str">
        <x:v>Current</x:v>
      </x:c>
    </x:row>
    <x:row r="584" ht="32" customHeight="1">
      <x:c r="A584" s="8" t="str">
        <x:v>drop:LC1:LD:light:1:L89</x:v>
      </x:c>
      <x:c r="B584" s="8" t="n">
        <x:v>1</x:v>
      </x:c>
      <x:c r="C584" s="11" t="n">
        <x:v>23.475</x:v>
      </x:c>
      <x:c r="D584" s="11" t="n">
        <x:v>6.42</x:v>
      </x:c>
      <x:c r="E584" s="11" t="n">
        <x:v>7.36</x:v>
      </x:c>
      <x:c r="F584" s="11" t="n">
        <x:f>0</x:f>
        <x:v>0</x:v>
      </x:c>
      <x:c r="G584" s="8" t="str">
        <x:v>Current</x:v>
      </x:c>
    </x:row>
    <x:row r="585" ht="32" customHeight="1">
      <x:c r="A585" s="8" t="str">
        <x:v>drop:LC1:LD:light:1:L89</x:v>
      </x:c>
      <x:c r="B585" s="8" t="n">
        <x:v>2</x:v>
      </x:c>
      <x:c r="C585" s="11" t="n">
        <x:v>23.475</x:v>
      </x:c>
      <x:c r="D585" s="11" t="n">
        <x:v>4.6</x:v>
      </x:c>
      <x:c r="E585" s="11" t="n">
        <x:v>7.36</x:v>
      </x:c>
      <x:c r="F585" s="11" t="n">
        <x:f>SQRT((C585-C584)^2+(D585-D584)^2+(E585-E584)^2)</x:f>
        <x:v>1.8200000000000003</x:v>
      </x:c>
      <x:c r="G585" s="8" t="str">
        <x:v>Current</x:v>
      </x:c>
    </x:row>
    <x:row r="586" ht="32" customHeight="1">
      <x:c r="A586" s="8" t="str">
        <x:v>drop:LC1:LD:light:1:L89</x:v>
      </x:c>
      <x:c r="B586" s="8" t="n">
        <x:v>3</x:v>
      </x:c>
      <x:c r="C586" s="11" t="n">
        <x:v>23.475</x:v>
      </x:c>
      <x:c r="D586" s="11" t="n">
        <x:v>4.6</x:v>
      </x:c>
      <x:c r="E586" s="11" t="n">
        <x:v>7.07</x:v>
      </x:c>
      <x:c r="F586" s="11" t="n">
        <x:f>SQRT((C586-C585)^2+(D586-D585)^2+(E586-E585)^2)</x:f>
        <x:v>0.29000000000000004</x:v>
      </x:c>
      <x:c r="G586" s="8" t="str">
        <x:v>Current</x:v>
      </x:c>
    </x:row>
    <x:row r="587" ht="32" customHeight="1">
      <x:c r="A587" s="8" t="str">
        <x:v>drop:LC1:LD:light:1:L91</x:v>
      </x:c>
      <x:c r="B587" s="8" t="n">
        <x:v>1</x:v>
      </x:c>
      <x:c r="C587" s="11" t="n">
        <x:v>27.975</x:v>
      </x:c>
      <x:c r="D587" s="11" t="n">
        <x:v>6.42</x:v>
      </x:c>
      <x:c r="E587" s="11" t="n">
        <x:v>7.36</x:v>
      </x:c>
      <x:c r="F587" s="11" t="n">
        <x:f>0</x:f>
        <x:v>0</x:v>
      </x:c>
      <x:c r="G587" s="8" t="str">
        <x:v>Current</x:v>
      </x:c>
    </x:row>
    <x:row r="588" ht="32" customHeight="1">
      <x:c r="A588" s="8" t="str">
        <x:v>drop:LC1:LD:light:1:L91</x:v>
      </x:c>
      <x:c r="B588" s="8" t="n">
        <x:v>2</x:v>
      </x:c>
      <x:c r="C588" s="11" t="n">
        <x:v>27.975</x:v>
      </x:c>
      <x:c r="D588" s="11" t="n">
        <x:v>4.6</x:v>
      </x:c>
      <x:c r="E588" s="11" t="n">
        <x:v>7.36</x:v>
      </x:c>
      <x:c r="F588" s="11" t="n">
        <x:f>SQRT((C588-C587)^2+(D588-D587)^2+(E588-E587)^2)</x:f>
        <x:v>1.8200000000000003</x:v>
      </x:c>
      <x:c r="G588" s="8" t="str">
        <x:v>Current</x:v>
      </x:c>
    </x:row>
    <x:row r="589" ht="32" customHeight="1">
      <x:c r="A589" s="8" t="str">
        <x:v>drop:LC1:LD:light:1:L91</x:v>
      </x:c>
      <x:c r="B589" s="8" t="n">
        <x:v>3</x:v>
      </x:c>
      <x:c r="C589" s="11" t="n">
        <x:v>27.975</x:v>
      </x:c>
      <x:c r="D589" s="11" t="n">
        <x:v>4.6</x:v>
      </x:c>
      <x:c r="E589" s="11" t="n">
        <x:v>7.07</x:v>
      </x:c>
      <x:c r="F589" s="11" t="n">
        <x:f>SQRT((C589-C588)^2+(D589-D588)^2+(E589-E588)^2)</x:f>
        <x:v>0.29000000000000004</x:v>
      </x:c>
      <x:c r="G589" s="8" t="str">
        <x:v>Current</x:v>
      </x:c>
    </x:row>
    <x:row r="590" ht="32" customHeight="1">
      <x:c r="A590" s="8" t="str">
        <x:v>drop:LC1:LD:light:1:L93</x:v>
      </x:c>
      <x:c r="B590" s="8" t="n">
        <x:v>1</x:v>
      </x:c>
      <x:c r="C590" s="11" t="n">
        <x:v>32.475</x:v>
      </x:c>
      <x:c r="D590" s="11" t="n">
        <x:v>6.42</x:v>
      </x:c>
      <x:c r="E590" s="11" t="n">
        <x:v>7.36</x:v>
      </x:c>
      <x:c r="F590" s="11" t="n">
        <x:f>0</x:f>
        <x:v>0</x:v>
      </x:c>
      <x:c r="G590" s="8" t="str">
        <x:v>Current</x:v>
      </x:c>
    </x:row>
    <x:row r="591" ht="32" customHeight="1">
      <x:c r="A591" s="8" t="str">
        <x:v>drop:LC1:LD:light:1:L93</x:v>
      </x:c>
      <x:c r="B591" s="8" t="n">
        <x:v>2</x:v>
      </x:c>
      <x:c r="C591" s="11" t="n">
        <x:v>32.475</x:v>
      </x:c>
      <x:c r="D591" s="11" t="n">
        <x:v>4.6</x:v>
      </x:c>
      <x:c r="E591" s="11" t="n">
        <x:v>7.36</x:v>
      </x:c>
      <x:c r="F591" s="11" t="n">
        <x:f>SQRT((C591-C590)^2+(D591-D590)^2+(E591-E590)^2)</x:f>
        <x:v>1.8200000000000003</x:v>
      </x:c>
      <x:c r="G591" s="8" t="str">
        <x:v>Current</x:v>
      </x:c>
    </x:row>
    <x:row r="592" ht="32" customHeight="1">
      <x:c r="A592" s="8" t="str">
        <x:v>drop:LC1:LD:light:1:L93</x:v>
      </x:c>
      <x:c r="B592" s="8" t="n">
        <x:v>3</x:v>
      </x:c>
      <x:c r="C592" s="11" t="n">
        <x:v>32.475</x:v>
      </x:c>
      <x:c r="D592" s="11" t="n">
        <x:v>4.6</x:v>
      </x:c>
      <x:c r="E592" s="11" t="n">
        <x:v>7.07</x:v>
      </x:c>
      <x:c r="F592" s="11" t="n">
        <x:f>SQRT((C592-C591)^2+(D592-D591)^2+(E592-E591)^2)</x:f>
        <x:v>0.29000000000000004</x:v>
      </x:c>
      <x:c r="G592" s="8" t="str">
        <x:v>Current</x:v>
      </x:c>
    </x:row>
    <x:row r="593" ht="32" customHeight="1">
      <x:c r="A593" s="8" t="str">
        <x:v>drop:LC1:LD:light:1:L95</x:v>
      </x:c>
      <x:c r="B593" s="8" t="n">
        <x:v>1</x:v>
      </x:c>
      <x:c r="C593" s="11" t="n">
        <x:v>36.975</x:v>
      </x:c>
      <x:c r="D593" s="11" t="n">
        <x:v>6.42</x:v>
      </x:c>
      <x:c r="E593" s="11" t="n">
        <x:v>13.24</x:v>
      </x:c>
      <x:c r="F593" s="11" t="n">
        <x:f>0</x:f>
        <x:v>0</x:v>
      </x:c>
      <x:c r="G593" s="8" t="str">
        <x:v>Current</x:v>
      </x:c>
    </x:row>
    <x:row r="594" ht="32" customHeight="1">
      <x:c r="A594" s="8" t="str">
        <x:v>drop:LC1:LD:light:1:L95</x:v>
      </x:c>
      <x:c r="B594" s="8" t="n">
        <x:v>2</x:v>
      </x:c>
      <x:c r="C594" s="11" t="n">
        <x:v>36.975</x:v>
      </x:c>
      <x:c r="D594" s="11" t="n">
        <x:v>4.6</x:v>
      </x:c>
      <x:c r="E594" s="11" t="n">
        <x:v>13.24</x:v>
      </x:c>
      <x:c r="F594" s="11" t="n">
        <x:f>SQRT((C594-C593)^2+(D594-D593)^2+(E594-E593)^2)</x:f>
        <x:v>1.8200000000000003</x:v>
      </x:c>
      <x:c r="G594" s="8" t="str">
        <x:v>Current</x:v>
      </x:c>
    </x:row>
    <x:row r="595" ht="32" customHeight="1">
      <x:c r="A595" s="8" t="str">
        <x:v>drop:LC1:LD:light:1:L95</x:v>
      </x:c>
      <x:c r="B595" s="8" t="n">
        <x:v>3</x:v>
      </x:c>
      <x:c r="C595" s="11" t="n">
        <x:v>36.975</x:v>
      </x:c>
      <x:c r="D595" s="11" t="n">
        <x:v>4.6</x:v>
      </x:c>
      <x:c r="E595" s="11" t="n">
        <x:v>7.07</x:v>
      </x:c>
      <x:c r="F595" s="11" t="n">
        <x:f>SQRT((C595-C594)^2+(D595-D594)^2+(E595-E594)^2)</x:f>
        <x:v>6.17</x:v>
      </x:c>
      <x:c r="G595" s="8" t="str">
        <x:v>Current</x:v>
      </x:c>
    </x:row>
    <x:row r="596" ht="32" customHeight="1">
      <x:c r="A596" s="8" t="str">
        <x:v>drop:LC1:LD:light:1:L97</x:v>
      </x:c>
      <x:c r="B596" s="8" t="n">
        <x:v>1</x:v>
      </x:c>
      <x:c r="C596" s="11" t="n">
        <x:v>47.72</x:v>
      </x:c>
      <x:c r="D596" s="11" t="n">
        <x:v>6.42</x:v>
      </x:c>
      <x:c r="E596" s="11" t="n">
        <x:v>7.36</x:v>
      </x:c>
      <x:c r="F596" s="11" t="n">
        <x:f>0</x:f>
        <x:v>0</x:v>
      </x:c>
      <x:c r="G596" s="8" t="str">
        <x:v>Current</x:v>
      </x:c>
    </x:row>
    <x:row r="597" ht="32" customHeight="1">
      <x:c r="A597" s="8" t="str">
        <x:v>drop:LC1:LD:light:1:L97</x:v>
      </x:c>
      <x:c r="B597" s="8" t="n">
        <x:v>2</x:v>
      </x:c>
      <x:c r="C597" s="11" t="n">
        <x:v>47.72</x:v>
      </x:c>
      <x:c r="D597" s="11" t="n">
        <x:v>4.3</x:v>
      </x:c>
      <x:c r="E597" s="11" t="n">
        <x:v>7.36</x:v>
      </x:c>
      <x:c r="F597" s="11" t="n">
        <x:f>SQRT((C597-C596)^2+(D597-D596)^2+(E597-E596)^2)</x:f>
        <x:v>2.12</x:v>
      </x:c>
      <x:c r="G597" s="8" t="str">
        <x:v>Current</x:v>
      </x:c>
    </x:row>
    <x:row r="598" ht="32" customHeight="1">
      <x:c r="A598" s="8" t="str">
        <x:v>drop:LC1:LD:light:1:L97</x:v>
      </x:c>
      <x:c r="B598" s="8" t="n">
        <x:v>3</x:v>
      </x:c>
      <x:c r="C598" s="11" t="n">
        <x:v>46.455</x:v>
      </x:c>
      <x:c r="D598" s="11" t="n">
        <x:v>4.3</x:v>
      </x:c>
      <x:c r="E598" s="11" t="n">
        <x:v>7.36</x:v>
      </x:c>
      <x:c r="F598" s="11" t="n">
        <x:f>SQRT((C598-C597)^2+(D598-D597)^2+(E598-E597)^2)</x:f>
        <x:v>1.2650000000000006</x:v>
      </x:c>
      <x:c r="G598" s="8" t="str">
        <x:v>Current</x:v>
      </x:c>
    </x:row>
    <x:row r="599" ht="32" customHeight="1">
      <x:c r="A599" s="8" t="str">
        <x:v>drop:LC1:LD:light:1:L97</x:v>
      </x:c>
      <x:c r="B599" s="8" t="n">
        <x:v>4</x:v>
      </x:c>
      <x:c r="C599" s="11" t="n">
        <x:v>46.455</x:v>
      </x:c>
      <x:c r="D599" s="11" t="n">
        <x:v>4.3</x:v>
      </x:c>
      <x:c r="E599" s="11" t="n">
        <x:v>3.2399999999999998</x:v>
      </x:c>
      <x:c r="F599" s="11" t="n">
        <x:f>SQRT((C599-C598)^2+(D599-D598)^2+(E599-E598)^2)</x:f>
        <x:v>4.120000000000001</x:v>
      </x:c>
      <x:c r="G599" s="8" t="str">
        <x:v>Current</x:v>
      </x:c>
    </x:row>
    <x:row r="600" ht="32" customHeight="1">
      <x:c r="A600" s="8" t="str">
        <x:v>trunk:LC1:L3:light:-1</x:v>
      </x:c>
      <x:c r="B600" s="8" t="n">
        <x:v>1</x:v>
      </x:c>
      <x:c r="C600" s="11" t="n">
        <x:v>48.895</x:v>
      </x:c>
      <x:c r="D600" s="11" t="n">
        <x:v>1.85</x:v>
      </x:c>
      <x:c r="E600" s="11" t="n">
        <x:v>-0.55</x:v>
      </x:c>
      <x:c r="F600" s="11" t="n">
        <x:f>0</x:f>
        <x:v>0</x:v>
      </x:c>
      <x:c r="G600" s="8" t="str">
        <x:v>Current</x:v>
      </x:c>
    </x:row>
    <x:row r="601" ht="32" customHeight="1">
      <x:c r="A601" s="8" t="str">
        <x:v>trunk:LC1:L3:light:-1</x:v>
      </x:c>
      <x:c r="B601" s="8" t="n">
        <x:v>2</x:v>
      </x:c>
      <x:c r="C601" s="11" t="n">
        <x:v>48.735</x:v>
      </x:c>
      <x:c r="D601" s="11" t="n">
        <x:v>1.85</x:v>
      </x:c>
      <x:c r="E601" s="11" t="n">
        <x:v>-0.55</x:v>
      </x:c>
      <x:c r="F601" s="11" t="n">
        <x:f>SQRT((C601-C600)^2+(D601-D600)^2+(E601-E600)^2)</x:f>
        <x:v>0.1600000000000037</x:v>
      </x:c>
      <x:c r="G601" s="8" t="str">
        <x:v>Current</x:v>
      </x:c>
    </x:row>
    <x:row r="602" ht="32" customHeight="1">
      <x:c r="A602" s="8" t="str">
        <x:v>trunk:LC1:L3:light:-1</x:v>
      </x:c>
      <x:c r="B602" s="8" t="n">
        <x:v>3</x:v>
      </x:c>
      <x:c r="C602" s="11" t="n">
        <x:v>48.735</x:v>
      </x:c>
      <x:c r="D602" s="11" t="n">
        <x:v>1.85</x:v>
      </x:c>
      <x:c r="E602" s="11" t="n">
        <x:v>-2.24</x:v>
      </x:c>
      <x:c r="F602" s="11" t="n">
        <x:f>SQRT((C602-C601)^2+(D602-D601)^2+(E602-E601)^2)</x:f>
        <x:v>1.6900000000000002</x:v>
      </x:c>
      <x:c r="G602" s="8" t="str">
        <x:v>Current</x:v>
      </x:c>
    </x:row>
    <x:row r="603" ht="32" customHeight="1">
      <x:c r="A603" s="8" t="str">
        <x:v>trunk:LC1:L3:light:-1</x:v>
      </x:c>
      <x:c r="B603" s="8" t="n">
        <x:v>4</x:v>
      </x:c>
      <x:c r="C603" s="11" t="n">
        <x:v>48.735</x:v>
      </x:c>
      <x:c r="D603" s="11" t="n">
        <x:v>4.02</x:v>
      </x:c>
      <x:c r="E603" s="11" t="n">
        <x:v>-2.24</x:v>
      </x:c>
      <x:c r="F603" s="11" t="n">
        <x:f>SQRT((C603-C602)^2+(D603-D602)^2+(E603-E602)^2)</x:f>
        <x:v>2.1699999999999995</x:v>
      </x:c>
      <x:c r="G603" s="8" t="str">
        <x:v>Current</x:v>
      </x:c>
    </x:row>
    <x:row r="604" ht="32" customHeight="1">
      <x:c r="A604" s="8" t="str">
        <x:v>trunk:LC1:L3:light:-1</x:v>
      </x:c>
      <x:c r="B604" s="8" t="n">
        <x:v>5</x:v>
      </x:c>
      <x:c r="C604" s="11" t="n">
        <x:v>48.735</x:v>
      </x:c>
      <x:c r="D604" s="11" t="n">
        <x:v>4.02</x:v>
      </x:c>
      <x:c r="E604" s="11" t="n">
        <x:v>-3.6</x:v>
      </x:c>
      <x:c r="F604" s="11" t="n">
        <x:f>SQRT((C604-C603)^2+(D604-D603)^2+(E604-E603)^2)</x:f>
        <x:v>1.3599999999999999</x:v>
      </x:c>
      <x:c r="G604" s="8" t="str">
        <x:v>Current</x:v>
      </x:c>
    </x:row>
    <x:row r="605" ht="32" customHeight="1">
      <x:c r="A605" s="8" t="str">
        <x:v>trunk:LC1:L3:light:-1</x:v>
      </x:c>
      <x:c r="B605" s="8" t="n">
        <x:v>6</x:v>
      </x:c>
      <x:c r="C605" s="11" t="n">
        <x:v>53.05</x:v>
      </x:c>
      <x:c r="D605" s="11" t="n">
        <x:v>4.02</x:v>
      </x:c>
      <x:c r="E605" s="11" t="n">
        <x:v>-3.6</x:v>
      </x:c>
      <x:c r="F605" s="11" t="n">
        <x:f>SQRT((C605-C604)^2+(D605-D604)^2+(E605-E604)^2)</x:f>
        <x:v>4.314999999999998</x:v>
      </x:c>
      <x:c r="G605" s="8" t="str">
        <x:v>Current</x:v>
      </x:c>
    </x:row>
    <x:row r="606" ht="32" customHeight="1">
      <x:c r="A606" s="8" t="str">
        <x:v>trunk:LC1:L3:light:-1</x:v>
      </x:c>
      <x:c r="B606" s="8" t="n">
        <x:v>7</x:v>
      </x:c>
      <x:c r="C606" s="11" t="n">
        <x:v>53.05</x:v>
      </x:c>
      <x:c r="D606" s="11" t="n">
        <x:v>6.377999999999999</x:v>
      </x:c>
      <x:c r="E606" s="11" t="n">
        <x:v>-3.6</x:v>
      </x:c>
      <x:c r="F606" s="11" t="n">
        <x:f>SQRT((C606-C605)^2+(D606-D605)^2+(E606-E605)^2)</x:f>
        <x:v>2.3579999999999997</x:v>
      </x:c>
      <x:c r="G606" s="8" t="str">
        <x:v>Current</x:v>
      </x:c>
    </x:row>
    <x:row r="607" ht="32" customHeight="1">
      <x:c r="A607" s="8" t="str">
        <x:v>trunk:LC1:L3:light:-1</x:v>
      </x:c>
      <x:c r="B607" s="8" t="n">
        <x:v>8</x:v>
      </x:c>
      <x:c r="C607" s="11" t="n">
        <x:v>53.05</x:v>
      </x:c>
      <x:c r="D607" s="11" t="n">
        <x:v>6.377999999999999</x:v>
      </x:c>
      <x:c r="E607" s="11" t="n">
        <x:v>-7.36</x:v>
      </x:c>
      <x:c r="F607" s="11" t="n">
        <x:f>SQRT((C607-C606)^2+(D607-D606)^2+(E607-E606)^2)</x:f>
        <x:v>3.7600000000000002</x:v>
      </x:c>
      <x:c r="G607" s="8" t="str">
        <x:v>Current</x:v>
      </x:c>
    </x:row>
    <x:row r="608" ht="32" customHeight="1">
      <x:c r="A608" s="8" t="str">
        <x:v>trunk:LC1:L3:light:-1</x:v>
      </x:c>
      <x:c r="B608" s="8" t="n">
        <x:v>9</x:v>
      </x:c>
      <x:c r="C608" s="11" t="n">
        <x:v>44.175</x:v>
      </x:c>
      <x:c r="D608" s="11" t="n">
        <x:v>6.377999999999999</x:v>
      </x:c>
      <x:c r="E608" s="11" t="n">
        <x:v>-7.36</x:v>
      </x:c>
      <x:c r="F608" s="11" t="n">
        <x:f>SQRT((C608-C607)^2+(D608-D607)^2+(E608-E607)^2)</x:f>
        <x:v>8.875</x:v>
      </x:c>
      <x:c r="G608" s="8" t="str">
        <x:v>Current</x:v>
      </x:c>
    </x:row>
    <x:row r="609" ht="32" customHeight="1">
      <x:c r="A609" s="8" t="str">
        <x:v>trunk:LC1:L3:light:-1</x:v>
      </x:c>
      <x:c r="B609" s="8" t="n">
        <x:v>10</x:v>
      </x:c>
      <x:c r="C609" s="11" t="n">
        <x:v>44.175</x:v>
      </x:c>
      <x:c r="D609" s="11" t="n">
        <x:v>6.377999999999999</x:v>
      </x:c>
      <x:c r="E609" s="11" t="n">
        <x:v>-13.24</x:v>
      </x:c>
      <x:c r="F609" s="11" t="n">
        <x:f>SQRT((C609-C608)^2+(D609-D608)^2+(E609-E608)^2)</x:f>
        <x:v>5.88</x:v>
      </x:c>
      <x:c r="G609" s="8" t="str">
        <x:v>Current</x:v>
      </x:c>
    </x:row>
    <x:row r="610" ht="32" customHeight="1">
      <x:c r="A610" s="8" t="str">
        <x:v>trunk:LC1:L3:light:-1</x:v>
      </x:c>
      <x:c r="B610" s="8" t="n">
        <x:v>11</x:v>
      </x:c>
      <x:c r="C610" s="11" t="n">
        <x:v>36.975</x:v>
      </x:c>
      <x:c r="D610" s="11" t="n">
        <x:v>6.377999999999999</x:v>
      </x:c>
      <x:c r="E610" s="11" t="n">
        <x:v>-13.24</x:v>
      </x:c>
      <x:c r="F610" s="11" t="n">
        <x:f>SQRT((C610-C609)^2+(D610-D609)^2+(E610-E609)^2)</x:f>
        <x:v>7.199999999999996</x:v>
      </x:c>
      <x:c r="G610" s="8" t="str">
        <x:v>Current</x:v>
      </x:c>
    </x:row>
    <x:row r="611" ht="32" customHeight="1">
      <x:c r="A611" s="8" t="str">
        <x:v>drop:LC1:L3:light:-1:L98</x:v>
      </x:c>
      <x:c r="B611" s="8" t="n">
        <x:v>1</x:v>
      </x:c>
      <x:c r="C611" s="11" t="n">
        <x:v>36.975</x:v>
      </x:c>
      <x:c r="D611" s="11" t="n">
        <x:v>6.377999999999999</x:v>
      </x:c>
      <x:c r="E611" s="11" t="n">
        <x:v>-13.24</x:v>
      </x:c>
      <x:c r="F611" s="11" t="n">
        <x:f>0</x:f>
        <x:v>0</x:v>
      </x:c>
      <x:c r="G611" s="8" t="str">
        <x:v>Current</x:v>
      </x:c>
    </x:row>
    <x:row r="612" ht="32" customHeight="1">
      <x:c r="A612" s="8" t="str">
        <x:v>drop:LC1:L3:light:-1:L98</x:v>
      </x:c>
      <x:c r="B612" s="8" t="n">
        <x:v>2</x:v>
      </x:c>
      <x:c r="C612" s="11" t="n">
        <x:v>36.975</x:v>
      </x:c>
      <x:c r="D612" s="11" t="n">
        <x:v>6.377999999999999</x:v>
      </x:c>
      <x:c r="E612" s="11" t="n">
        <x:v>-1.4</x:v>
      </x:c>
      <x:c r="F612" s="11" t="n">
        <x:f>SQRT((C612-C611)^2+(D612-D611)^2+(E612-E611)^2)</x:f>
        <x:v>11.84</x:v>
      </x:c>
      <x:c r="G612" s="8" t="str">
        <x:v>Current</x:v>
      </x:c>
    </x:row>
    <x:row r="613" ht="32" customHeight="1">
      <x:c r="A613" s="8" t="str">
        <x:v>drop:LC1:L3:light:-1:L98</x:v>
      </x:c>
      <x:c r="B613" s="8" t="n">
        <x:v>3</x:v>
      </x:c>
      <x:c r="C613" s="11" t="n">
        <x:v>36.975</x:v>
      </x:c>
      <x:c r="D613" s="11" t="n">
        <x:v>8.59</x:v>
      </x:c>
      <x:c r="E613" s="11" t="n">
        <x:v>-1.4</x:v>
      </x:c>
      <x:c r="F613" s="11" t="n">
        <x:f>SQRT((C613-C612)^2+(D613-D612)^2+(E613-E612)^2)</x:f>
        <x:v>2.2120000000000006</x:v>
      </x:c>
      <x:c r="G613" s="8" t="str">
        <x:v>Current</x:v>
      </x:c>
    </x:row>
    <x:row r="614" ht="32" customHeight="1">
      <x:c r="A614" s="8" t="str">
        <x:v>drop:LC1:L3:light:-1:L98</x:v>
      </x:c>
      <x:c r="B614" s="8" t="n">
        <x:v>4</x:v>
      </x:c>
      <x:c r="C614" s="11" t="n">
        <x:v>36.975</x:v>
      </x:c>
      <x:c r="D614" s="11" t="n">
        <x:v>8.584999999999999</x:v>
      </x:c>
      <x:c r="E614" s="11" t="n">
        <x:v>-1.4</x:v>
      </x:c>
      <x:c r="F614" s="11" t="n">
        <x:f>SQRT((C614-C613)^2+(D614-D613)^2+(E614-E613)^2)</x:f>
        <x:v>0.005000000000000782</x:v>
      </x:c>
      <x:c r="G614" s="8" t="str">
        <x:v>Current</x:v>
      </x:c>
    </x:row>
    <x:row r="615" ht="32" customHeight="1">
      <x:c r="A615" s="8" t="str">
        <x:v>drop:LC1:L3:light:-1:L100</x:v>
      </x:c>
      <x:c r="B615" s="8" t="n">
        <x:v>1</x:v>
      </x:c>
      <x:c r="C615" s="11" t="n">
        <x:v>36.975</x:v>
      </x:c>
      <x:c r="D615" s="11" t="n">
        <x:v>6.377999999999999</x:v>
      </x:c>
      <x:c r="E615" s="11" t="n">
        <x:v>-13.24</x:v>
      </x:c>
      <x:c r="F615" s="11" t="n">
        <x:f>0</x:f>
        <x:v>0</x:v>
      </x:c>
      <x:c r="G615" s="8" t="str">
        <x:v>Current</x:v>
      </x:c>
    </x:row>
    <x:row r="616" ht="32" customHeight="1">
      <x:c r="A616" s="8" t="str">
        <x:v>drop:LC1:L3:light:-1:L100</x:v>
      </x:c>
      <x:c r="B616" s="8" t="n">
        <x:v>2</x:v>
      </x:c>
      <x:c r="C616" s="11" t="n">
        <x:v>36.975</x:v>
      </x:c>
      <x:c r="D616" s="11" t="n">
        <x:v>6.377999999999999</x:v>
      </x:c>
      <x:c r="E616" s="11" t="n">
        <x:v>-3.15</x:v>
      </x:c>
      <x:c r="F616" s="11" t="n">
        <x:f>SQRT((C616-C615)^2+(D616-D615)^2+(E616-E615)^2)</x:f>
        <x:v>10.09</x:v>
      </x:c>
      <x:c r="G616" s="8" t="str">
        <x:v>Current</x:v>
      </x:c>
    </x:row>
    <x:row r="617" ht="32" customHeight="1">
      <x:c r="A617" s="8" t="str">
        <x:v>drop:LC1:L3:light:-1:L100</x:v>
      </x:c>
      <x:c r="B617" s="8" t="n">
        <x:v>3</x:v>
      </x:c>
      <x:c r="C617" s="11" t="n">
        <x:v>36.975</x:v>
      </x:c>
      <x:c r="D617" s="11" t="n">
        <x:v>8.59</x:v>
      </x:c>
      <x:c r="E617" s="11" t="n">
        <x:v>-3.15</x:v>
      </x:c>
      <x:c r="F617" s="11" t="n">
        <x:f>SQRT((C617-C616)^2+(D617-D616)^2+(E617-E616)^2)</x:f>
        <x:v>2.2120000000000006</x:v>
      </x:c>
      <x:c r="G617" s="8" t="str">
        <x:v>Current</x:v>
      </x:c>
    </x:row>
    <x:row r="618" ht="32" customHeight="1">
      <x:c r="A618" s="8" t="str">
        <x:v>drop:LC1:L3:light:-1:L100</x:v>
      </x:c>
      <x:c r="B618" s="8" t="n">
        <x:v>4</x:v>
      </x:c>
      <x:c r="C618" s="11" t="n">
        <x:v>36.975</x:v>
      </x:c>
      <x:c r="D618" s="11" t="n">
        <x:v>8.584999999999999</x:v>
      </x:c>
      <x:c r="E618" s="11" t="n">
        <x:v>-3.15</x:v>
      </x:c>
      <x:c r="F618" s="11" t="n">
        <x:f>SQRT((C618-C617)^2+(D618-D617)^2+(E618-E617)^2)</x:f>
        <x:v>0.005000000000000782</x:v>
      </x:c>
      <x:c r="G618" s="8" t="str">
        <x:v>Current</x:v>
      </x:c>
    </x:row>
    <x:row r="619" ht="32" customHeight="1">
      <x:c r="A619" s="8" t="str">
        <x:v>drop:LC1:L3:light:-1:L101</x:v>
      </x:c>
      <x:c r="B619" s="8" t="n">
        <x:v>1</x:v>
      </x:c>
      <x:c r="C619" s="11" t="n">
        <x:v>36.975</x:v>
      </x:c>
      <x:c r="D619" s="11" t="n">
        <x:v>6.377999999999999</x:v>
      </x:c>
      <x:c r="E619" s="11" t="n">
        <x:v>-13.24</x:v>
      </x:c>
      <x:c r="F619" s="11" t="n">
        <x:f>0</x:f>
        <x:v>0</x:v>
      </x:c>
      <x:c r="G619" s="8" t="str">
        <x:v>Current</x:v>
      </x:c>
    </x:row>
    <x:row r="620" ht="32" customHeight="1">
      <x:c r="A620" s="8" t="str">
        <x:v>drop:LC1:L3:light:-1:L101</x:v>
      </x:c>
      <x:c r="B620" s="8" t="n">
        <x:v>2</x:v>
      </x:c>
      <x:c r="C620" s="11" t="n">
        <x:v>36.975</x:v>
      </x:c>
      <x:c r="D620" s="11" t="n">
        <x:v>6.377999999999999</x:v>
      </x:c>
      <x:c r="E620" s="11" t="n">
        <x:v>-1.9</x:v>
      </x:c>
      <x:c r="F620" s="11" t="n">
        <x:f>SQRT((C620-C619)^2+(D620-D619)^2+(E620-E619)^2)</x:f>
        <x:v>11.34</x:v>
      </x:c>
      <x:c r="G620" s="8" t="str">
        <x:v>Current</x:v>
      </x:c>
    </x:row>
    <x:row r="621" ht="32" customHeight="1">
      <x:c r="A621" s="8" t="str">
        <x:v>drop:LC1:L3:light:-1:L101</x:v>
      </x:c>
      <x:c r="B621" s="8" t="n">
        <x:v>3</x:v>
      </x:c>
      <x:c r="C621" s="11" t="n">
        <x:v>36.975</x:v>
      </x:c>
      <x:c r="D621" s="11" t="n">
        <x:v>8.59</x:v>
      </x:c>
      <x:c r="E621" s="11" t="n">
        <x:v>-1.9</x:v>
      </x:c>
      <x:c r="F621" s="11" t="n">
        <x:f>SQRT((C621-C620)^2+(D621-D620)^2+(E621-E620)^2)</x:f>
        <x:v>2.2120000000000006</x:v>
      </x:c>
      <x:c r="G621" s="8" t="str">
        <x:v>Current</x:v>
      </x:c>
    </x:row>
    <x:row r="622" ht="32" customHeight="1">
      <x:c r="A622" s="8" t="str">
        <x:v>drop:LC1:L3:light:-1:L101</x:v>
      </x:c>
      <x:c r="B622" s="8" t="n">
        <x:v>4</x:v>
      </x:c>
      <x:c r="C622" s="11" t="n">
        <x:v>36.975</x:v>
      </x:c>
      <x:c r="D622" s="11" t="n">
        <x:v>8.584999999999999</x:v>
      </x:c>
      <x:c r="E622" s="11" t="n">
        <x:v>-1.9</x:v>
      </x:c>
      <x:c r="F622" s="11" t="n">
        <x:f>SQRT((C622-C621)^2+(D622-D621)^2+(E622-E621)^2)</x:f>
        <x:v>0.005000000000000782</x:v>
      </x:c>
      <x:c r="G622" s="8" t="str">
        <x:v>Current</x:v>
      </x:c>
    </x:row>
    <x:row r="623" ht="32" customHeight="1">
      <x:c r="A623" s="8" t="str">
        <x:v>drop:LC1:L3:light:-1:L104</x:v>
      </x:c>
      <x:c r="B623" s="8" t="n">
        <x:v>1</x:v>
      </x:c>
      <x:c r="C623" s="11" t="n">
        <x:v>36.975</x:v>
      </x:c>
      <x:c r="D623" s="11" t="n">
        <x:v>6.377999999999999</x:v>
      </x:c>
      <x:c r="E623" s="11" t="n">
        <x:v>-13.24</x:v>
      </x:c>
      <x:c r="F623" s="11" t="n">
        <x:f>0</x:f>
        <x:v>0</x:v>
      </x:c>
      <x:c r="G623" s="8" t="str">
        <x:v>Current</x:v>
      </x:c>
    </x:row>
    <x:row r="624" ht="32" customHeight="1">
      <x:c r="A624" s="8" t="str">
        <x:v>drop:LC1:L3:light:-1:L104</x:v>
      </x:c>
      <x:c r="B624" s="8" t="n">
        <x:v>2</x:v>
      </x:c>
      <x:c r="C624" s="11" t="n">
        <x:v>36.975</x:v>
      </x:c>
      <x:c r="D624" s="11" t="n">
        <x:v>6.377999999999999</x:v>
      </x:c>
      <x:c r="E624" s="11" t="n">
        <x:v>-0.6</x:v>
      </x:c>
      <x:c r="F624" s="11" t="n">
        <x:f>SQRT((C624-C623)^2+(D624-D623)^2+(E624-E623)^2)</x:f>
        <x:v>12.64</x:v>
      </x:c>
      <x:c r="G624" s="8" t="str">
        <x:v>Current</x:v>
      </x:c>
    </x:row>
    <x:row r="625" ht="32" customHeight="1">
      <x:c r="A625" s="8" t="str">
        <x:v>drop:LC1:L3:light:-1:L104</x:v>
      </x:c>
      <x:c r="B625" s="8" t="n">
        <x:v>3</x:v>
      </x:c>
      <x:c r="C625" s="11" t="n">
        <x:v>36.975</x:v>
      </x:c>
      <x:c r="D625" s="11" t="n">
        <x:v>8.59</x:v>
      </x:c>
      <x:c r="E625" s="11" t="n">
        <x:v>-0.6</x:v>
      </x:c>
      <x:c r="F625" s="11" t="n">
        <x:f>SQRT((C625-C624)^2+(D625-D624)^2+(E625-E624)^2)</x:f>
        <x:v>2.2120000000000006</x:v>
      </x:c>
      <x:c r="G625" s="8" t="str">
        <x:v>Current</x:v>
      </x:c>
    </x:row>
    <x:row r="626" ht="32" customHeight="1">
      <x:c r="A626" s="8" t="str">
        <x:v>drop:LC1:L3:light:-1:L104</x:v>
      </x:c>
      <x:c r="B626" s="8" t="n">
        <x:v>4</x:v>
      </x:c>
      <x:c r="C626" s="11" t="n">
        <x:v>36.975</x:v>
      </x:c>
      <x:c r="D626" s="11" t="n">
        <x:v>8.584999999999999</x:v>
      </x:c>
      <x:c r="E626" s="11" t="n">
        <x:v>-0.6</x:v>
      </x:c>
      <x:c r="F626" s="11" t="n">
        <x:f>SQRT((C626-C625)^2+(D626-D625)^2+(E626-E625)^2)</x:f>
        <x:v>0.005000000000000782</x:v>
      </x:c>
      <x:c r="G626" s="8" t="str">
        <x:v>Current</x:v>
      </x:c>
    </x:row>
    <x:row r="627" ht="32" customHeight="1">
      <x:c r="A627" s="8" t="str">
        <x:v>drop:LC1:L3:light:-1:L106</x:v>
      </x:c>
      <x:c r="B627" s="8" t="n">
        <x:v>1</x:v>
      </x:c>
      <x:c r="C627" s="11" t="n">
        <x:v>44.75</x:v>
      </x:c>
      <x:c r="D627" s="11" t="n">
        <x:v>6.377999999999999</x:v>
      </x:c>
      <x:c r="E627" s="11" t="n">
        <x:v>-7.36</x:v>
      </x:c>
      <x:c r="F627" s="11" t="n">
        <x:f>0</x:f>
        <x:v>0</x:v>
      </x:c>
      <x:c r="G627" s="8" t="str">
        <x:v>Current</x:v>
      </x:c>
    </x:row>
    <x:row r="628" ht="32" customHeight="1">
      <x:c r="A628" s="8" t="str">
        <x:v>drop:LC1:L3:light:-1:L106</x:v>
      </x:c>
      <x:c r="B628" s="8" t="n">
        <x:v>2</x:v>
      </x:c>
      <x:c r="C628" s="11" t="n">
        <x:v>44.75</x:v>
      </x:c>
      <x:c r="D628" s="11" t="n">
        <x:v>7.02</x:v>
      </x:c>
      <x:c r="E628" s="11" t="n">
        <x:v>-7.36</x:v>
      </x:c>
      <x:c r="F628" s="11" t="n">
        <x:f>SQRT((C628-C627)^2+(D628-D627)^2+(E628-E627)^2)</x:f>
        <x:v>0.6420000000000003</x:v>
      </x:c>
      <x:c r="G628" s="8" t="str">
        <x:v>Current</x:v>
      </x:c>
    </x:row>
    <x:row r="629" ht="32" customHeight="1">
      <x:c r="A629" s="8" t="str">
        <x:v>drop:LC1:L3:light:-1:L106</x:v>
      </x:c>
      <x:c r="B629" s="8" t="n">
        <x:v>3</x:v>
      </x:c>
      <x:c r="C629" s="11" t="n">
        <x:v>44.75</x:v>
      </x:c>
      <x:c r="D629" s="11" t="n">
        <x:v>7.065002717391305</x:v>
      </x:c>
      <x:c r="E629" s="11" t="n">
        <x:v>-7.05</x:v>
      </x:c>
      <x:c r="F629" s="11" t="n">
        <x:f>SQRT((C629-C628)^2+(D629-D628)^2+(E629-E628)^2)</x:f>
        <x:v>0.3132494925336704</x:v>
      </x:c>
      <x:c r="G629" s="8" t="str">
        <x:v>Current</x:v>
      </x:c>
    </x:row>
    <x:row r="630" ht="32" customHeight="1">
      <x:c r="A630" s="8" t="str">
        <x:v>drop:LC1:L3:light:-1:L106</x:v>
      </x:c>
      <x:c r="B630" s="8" t="n">
        <x:v>4</x:v>
      </x:c>
      <x:c r="C630" s="11" t="n">
        <x:v>44.75</x:v>
      </x:c>
      <x:c r="D630" s="11" t="n">
        <x:v>9.830358695652174</x:v>
      </x:c>
      <x:c r="E630" s="11" t="n">
        <x:v>-3.2399999999999998</x:v>
      </x:c>
      <x:c r="F630" s="11" t="n">
        <x:f>SQRT((C630-C629)^2+(D630-D629)^2+(E630-E629)^2)</x:f>
        <x:v>4.707790743703795</x:v>
      </x:c>
      <x:c r="G630" s="8" t="str">
        <x:v>Current</x:v>
      </x:c>
    </x:row>
    <x:row r="631" ht="32" customHeight="1">
      <x:c r="A631" s="8" t="str">
        <x:v>drop:LC1:L3:light:-1:L106</x:v>
      </x:c>
      <x:c r="B631" s="8" t="n">
        <x:v>5</x:v>
      </x:c>
      <x:c r="C631" s="11" t="n">
        <x:v>44.75</x:v>
      </x:c>
      <x:c r="D631" s="11" t="n">
        <x:v>7.6</x:v>
      </x:c>
      <x:c r="E631" s="11" t="n">
        <x:v>-3.2399999999999998</x:v>
      </x:c>
      <x:c r="F631" s="11" t="n">
        <x:f>SQRT((C631-C630)^2+(D631-D630)^2+(E631-E630)^2)</x:f>
        <x:v>2.230358695652175</x:v>
      </x:c>
      <x:c r="G631" s="8" t="str">
        <x:v>Current</x:v>
      </x:c>
    </x:row>
    <x:row r="632" ht="32" customHeight="1">
      <x:c r="A632" s="8" t="str">
        <x:v>drop:LC1:L3:light:-1:L107</x:v>
      </x:c>
      <x:c r="B632" s="8" t="n">
        <x:v>1</x:v>
      </x:c>
      <x:c r="C632" s="11" t="n">
        <x:v>44.75</x:v>
      </x:c>
      <x:c r="D632" s="11" t="n">
        <x:v>6.377999999999999</x:v>
      </x:c>
      <x:c r="E632" s="11" t="n">
        <x:v>-7.36</x:v>
      </x:c>
      <x:c r="F632" s="11" t="n">
        <x:f>0</x:f>
        <x:v>0</x:v>
      </x:c>
      <x:c r="G632" s="8" t="str">
        <x:v>Current</x:v>
      </x:c>
    </x:row>
    <x:row r="633" ht="32" customHeight="1">
      <x:c r="A633" s="8" t="str">
        <x:v>drop:LC1:L3:light:-1:L107</x:v>
      </x:c>
      <x:c r="B633" s="8" t="n">
        <x:v>2</x:v>
      </x:c>
      <x:c r="C633" s="11" t="n">
        <x:v>44.75</x:v>
      </x:c>
      <x:c r="D633" s="11" t="n">
        <x:v>6.7</x:v>
      </x:c>
      <x:c r="E633" s="11" t="n">
        <x:v>-7.36</x:v>
      </x:c>
      <x:c r="F633" s="11" t="n">
        <x:f>SQRT((C633-C632)^2+(D633-D632)^2+(E633-E632)^2)</x:f>
        <x:v>0.32200000000000095</x:v>
      </x:c>
      <x:c r="G633" s="8" t="str">
        <x:v>Current</x:v>
      </x:c>
    </x:row>
    <x:row r="634" ht="32" customHeight="1">
      <x:c r="A634" s="8" t="str">
        <x:v>drop:LC1:L3:light:-1:L107</x:v>
      </x:c>
      <x:c r="B634" s="8" t="n">
        <x:v>3</x:v>
      </x:c>
      <x:c r="C634" s="11" t="n">
        <x:v>44.75</x:v>
      </x:c>
      <x:c r="D634" s="11" t="n">
        <x:v>6.7</x:v>
      </x:c>
      <x:c r="E634" s="11" t="n">
        <x:v>-3.2399999999999998</x:v>
      </x:c>
      <x:c r="F634" s="11" t="n">
        <x:f>SQRT((C634-C633)^2+(D634-D633)^2+(E634-E633)^2)</x:f>
        <x:v>4.120000000000001</x:v>
      </x:c>
      <x:c r="G634" s="8" t="str">
        <x:v>Current</x:v>
      </x:c>
    </x:row>
    <x:row r="635" ht="32" customHeight="1">
      <x:c r="A635" s="8" t="str">
        <x:v>drop:LC1:L3:light:-1:L108</x:v>
      </x:c>
      <x:c r="B635" s="8" t="n">
        <x:v>1</x:v>
      </x:c>
      <x:c r="C635" s="11" t="n">
        <x:v>44.75</x:v>
      </x:c>
      <x:c r="D635" s="11" t="n">
        <x:v>6.377999999999999</x:v>
      </x:c>
      <x:c r="E635" s="11" t="n">
        <x:v>-7.36</x:v>
      </x:c>
      <x:c r="F635" s="11" t="n">
        <x:f>0</x:f>
        <x:v>0</x:v>
      </x:c>
      <x:c r="G635" s="8" t="str">
        <x:v>Current</x:v>
      </x:c>
    </x:row>
    <x:row r="636" ht="32" customHeight="1">
      <x:c r="A636" s="8" t="str">
        <x:v>drop:LC1:L3:light:-1:L108</x:v>
      </x:c>
      <x:c r="B636" s="8" t="n">
        <x:v>2</x:v>
      </x:c>
      <x:c r="C636" s="11" t="n">
        <x:v>44.75</x:v>
      </x:c>
      <x:c r="D636" s="11" t="n">
        <x:v>5.4</x:v>
      </x:c>
      <x:c r="E636" s="11" t="n">
        <x:v>-7.36</x:v>
      </x:c>
      <x:c r="F636" s="11" t="n">
        <x:f>SQRT((C636-C635)^2+(D636-D635)^2+(E636-E635)^2)</x:f>
        <x:v>0.9779999999999989</x:v>
      </x:c>
      <x:c r="G636" s="8" t="str">
        <x:v>Current</x:v>
      </x:c>
    </x:row>
    <x:row r="637" ht="32" customHeight="1">
      <x:c r="A637" s="8" t="str">
        <x:v>drop:LC1:L3:light:-1:L108</x:v>
      </x:c>
      <x:c r="B637" s="8" t="n">
        <x:v>3</x:v>
      </x:c>
      <x:c r="C637" s="11" t="n">
        <x:v>44.75</x:v>
      </x:c>
      <x:c r="D637" s="11" t="n">
        <x:v>5.4</x:v>
      </x:c>
      <x:c r="E637" s="11" t="n">
        <x:v>-3.2399999999999998</x:v>
      </x:c>
      <x:c r="F637" s="11" t="n">
        <x:f>SQRT((C637-C636)^2+(D637-D636)^2+(E637-E636)^2)</x:f>
        <x:v>4.120000000000001</x:v>
      </x:c>
      <x:c r="G637" s="8" t="str">
        <x:v>Current</x:v>
      </x:c>
    </x:row>
    <x:row r="638" ht="32" customHeight="1">
      <x:c r="A638" s="8" t="str">
        <x:v>drop:LC1:L3:light:-1:L109</x:v>
      </x:c>
      <x:c r="B638" s="8" t="n">
        <x:v>1</x:v>
      </x:c>
      <x:c r="C638" s="11" t="n">
        <x:v>45.35</x:v>
      </x:c>
      <x:c r="D638" s="11" t="n">
        <x:v>6.377999999999999</x:v>
      </x:c>
      <x:c r="E638" s="11" t="n">
        <x:v>-7.36</x:v>
      </x:c>
      <x:c r="F638" s="11" t="n">
        <x:f>0</x:f>
        <x:v>0</x:v>
      </x:c>
      <x:c r="G638" s="8" t="str">
        <x:v>Current</x:v>
      </x:c>
    </x:row>
    <x:row r="639" ht="32" customHeight="1">
      <x:c r="A639" s="8" t="str">
        <x:v>drop:LC1:L3:light:-1:L109</x:v>
      </x:c>
      <x:c r="B639" s="8" t="n">
        <x:v>2</x:v>
      </x:c>
      <x:c r="C639" s="11" t="n">
        <x:v>45.35</x:v>
      </x:c>
      <x:c r="D639" s="11" t="n">
        <x:v>6.83</x:v>
      </x:c>
      <x:c r="E639" s="11" t="n">
        <x:v>-7.36</x:v>
      </x:c>
      <x:c r="F639" s="11" t="n">
        <x:f>SQRT((C639-C638)^2+(D639-D638)^2+(E639-E638)^2)</x:f>
        <x:v>0.45200000000000085</x:v>
      </x:c>
      <x:c r="G639" s="8" t="str">
        <x:v>Current</x:v>
      </x:c>
    </x:row>
    <x:row r="640" ht="32" customHeight="1">
      <x:c r="A640" s="8" t="str">
        <x:v>drop:LC1:L3:light:-1:L109</x:v>
      </x:c>
      <x:c r="B640" s="8" t="n">
        <x:v>3</x:v>
      </x:c>
      <x:c r="C640" s="11" t="n">
        <x:v>45.35</x:v>
      </x:c>
      <x:c r="D640" s="11" t="n">
        <x:v>6.83</x:v>
      </x:c>
      <x:c r="E640" s="11" t="n">
        <x:v>-3.6</x:v>
      </x:c>
      <x:c r="F640" s="11" t="n">
        <x:f>SQRT((C640-C639)^2+(D640-D639)^2+(E640-E639)^2)</x:f>
        <x:v>3.7600000000000002</x:v>
      </x:c>
      <x:c r="G640" s="8" t="str">
        <x:v>Current</x:v>
      </x:c>
    </x:row>
    <x:row r="641" ht="32" customHeight="1">
      <x:c r="A641" s="8" t="str">
        <x:v>drop:LC1:L3:light:-1:L109</x:v>
      </x:c>
      <x:c r="B641" s="8" t="n">
        <x:v>4</x:v>
      </x:c>
      <x:c r="C641" s="11" t="n">
        <x:v>45.35</x:v>
      </x:c>
      <x:c r="D641" s="11" t="n">
        <x:v>8.59</x:v>
      </x:c>
      <x:c r="E641" s="11" t="n">
        <x:v>-3.6</x:v>
      </x:c>
      <x:c r="F641" s="11" t="n">
        <x:f>SQRT((C641-C640)^2+(D641-D640)^2+(E641-E640)^2)</x:f>
        <x:v>1.7599999999999998</x:v>
      </x:c>
      <x:c r="G641" s="8" t="str">
        <x:v>Current</x:v>
      </x:c>
    </x:row>
    <x:row r="642" ht="32" customHeight="1">
      <x:c r="A642" s="8" t="str">
        <x:v>drop:LC1:L3:light:-1:L109</x:v>
      </x:c>
      <x:c r="B642" s="8" t="n">
        <x:v>5</x:v>
      </x:c>
      <x:c r="C642" s="11" t="n">
        <x:v>45.35</x:v>
      </x:c>
      <x:c r="D642" s="11" t="n">
        <x:v>8.59</x:v>
      </x:c>
      <x:c r="E642" s="11" t="n">
        <x:v>-2.94</x:v>
      </x:c>
      <x:c r="F642" s="11" t="n">
        <x:f>SQRT((C642-C641)^2+(D642-D641)^2+(E642-E641)^2)</x:f>
        <x:v>0.6600000000000001</x:v>
      </x:c>
      <x:c r="G642" s="8" t="str">
        <x:v>Current</x:v>
      </x:c>
    </x:row>
    <x:row r="643" ht="32" customHeight="1">
      <x:c r="A643" s="8" t="str">
        <x:v>drop:LC1:L3:light:-1:L109</x:v>
      </x:c>
      <x:c r="B643" s="8" t="n">
        <x:v>6</x:v>
      </x:c>
      <x:c r="C643" s="11" t="n">
        <x:v>45.35</x:v>
      </x:c>
      <x:c r="D643" s="11" t="n">
        <x:v>8.42</x:v>
      </x:c>
      <x:c r="E643" s="11" t="n">
        <x:v>-2.94</x:v>
      </x:c>
      <x:c r="F643" s="11" t="n">
        <x:f>SQRT((C643-C642)^2+(D643-D642)^2+(E643-E642)^2)</x:f>
        <x:v>0.16999999999999993</x:v>
      </x:c>
      <x:c r="G643" s="8" t="str">
        <x:v>Current</x:v>
      </x:c>
    </x:row>
    <x:row r="644" ht="32" customHeight="1">
      <x:c r="A644" s="8" t="str">
        <x:v>drop:LC1:L3:light:-1:L114</x:v>
      </x:c>
      <x:c r="B644" s="8" t="n">
        <x:v>1</x:v>
      </x:c>
      <x:c r="C644" s="11" t="n">
        <x:v>44.75</x:v>
      </x:c>
      <x:c r="D644" s="11" t="n">
        <x:v>6.377999999999999</x:v>
      </x:c>
      <x:c r="E644" s="11" t="n">
        <x:v>-7.36</x:v>
      </x:c>
      <x:c r="F644" s="11" t="n">
        <x:f>0</x:f>
        <x:v>0</x:v>
      </x:c>
      <x:c r="G644" s="8" t="str">
        <x:v>Current</x:v>
      </x:c>
    </x:row>
    <x:row r="645" ht="32" customHeight="1">
      <x:c r="A645" s="8" t="str">
        <x:v>drop:LC1:L3:light:-1:L114</x:v>
      </x:c>
      <x:c r="B645" s="8" t="n">
        <x:v>2</x:v>
      </x:c>
      <x:c r="C645" s="11" t="n">
        <x:v>44.75</x:v>
      </x:c>
      <x:c r="D645" s="11" t="n">
        <x:v>4.9</x:v>
      </x:c>
      <x:c r="E645" s="11" t="n">
        <x:v>-7.36</x:v>
      </x:c>
      <x:c r="F645" s="11" t="n">
        <x:f>SQRT((C645-C644)^2+(D645-D644)^2+(E645-E644)^2)</x:f>
        <x:v>1.4779999999999989</x:v>
      </x:c>
      <x:c r="G645" s="8" t="str">
        <x:v>Current</x:v>
      </x:c>
    </x:row>
    <x:row r="646" ht="32" customHeight="1">
      <x:c r="A646" s="8" t="str">
        <x:v>drop:LC1:L3:light:-1:L114</x:v>
      </x:c>
      <x:c r="B646" s="8" t="n">
        <x:v>3</x:v>
      </x:c>
      <x:c r="C646" s="11" t="n">
        <x:v>44.75</x:v>
      </x:c>
      <x:c r="D646" s="11" t="n">
        <x:v>4.9</x:v>
      </x:c>
      <x:c r="E646" s="11" t="n">
        <x:v>-3.2399999999999998</x:v>
      </x:c>
      <x:c r="F646" s="11" t="n">
        <x:f>SQRT((C646-C645)^2+(D646-D645)^2+(E646-E645)^2)</x:f>
        <x:v>4.120000000000001</x:v>
      </x:c>
      <x:c r="G646" s="8" t="str">
        <x:v>Current</x:v>
      </x:c>
    </x:row>
    <x:row r="647" ht="32" customHeight="1">
      <x:c r="A647" s="8" t="str">
        <x:v>drop:LC1:L3:light:-1:L115</x:v>
      </x:c>
      <x:c r="B647" s="8" t="n">
        <x:v>1</x:v>
      </x:c>
      <x:c r="C647" s="11" t="n">
        <x:v>36.975</x:v>
      </x:c>
      <x:c r="D647" s="11" t="n">
        <x:v>6.377999999999999</x:v>
      </x:c>
      <x:c r="E647" s="11" t="n">
        <x:v>-13.24</x:v>
      </x:c>
      <x:c r="F647" s="11" t="n">
        <x:f>0</x:f>
        <x:v>0</x:v>
      </x:c>
      <x:c r="G647" s="8" t="str">
        <x:v>Current</x:v>
      </x:c>
    </x:row>
    <x:row r="648" ht="32" customHeight="1">
      <x:c r="A648" s="8" t="str">
        <x:v>drop:LC1:L3:light:-1:L115</x:v>
      </x:c>
      <x:c r="B648" s="8" t="n">
        <x:v>2</x:v>
      </x:c>
      <x:c r="C648" s="11" t="n">
        <x:v>36.975</x:v>
      </x:c>
      <x:c r="D648" s="11" t="n">
        <x:v>6.377999999999999</x:v>
      </x:c>
      <x:c r="E648" s="11" t="n">
        <x:v>-5.25</x:v>
      </x:c>
      <x:c r="F648" s="11" t="n">
        <x:f>SQRT((C648-C647)^2+(D648-D647)^2+(E648-E647)^2)</x:f>
        <x:v>7.99</x:v>
      </x:c>
      <x:c r="G648" s="8" t="str">
        <x:v>Current</x:v>
      </x:c>
    </x:row>
    <x:row r="649" ht="32" customHeight="1">
      <x:c r="A649" s="8" t="str">
        <x:v>drop:LC1:L3:light:-1:L115</x:v>
      </x:c>
      <x:c r="B649" s="8" t="n">
        <x:v>3</x:v>
      </x:c>
      <x:c r="C649" s="11" t="n">
        <x:v>36.975</x:v>
      </x:c>
      <x:c r="D649" s="11" t="n">
        <x:v>6.66</x:v>
      </x:c>
      <x:c r="E649" s="11" t="n">
        <x:v>-5.25</x:v>
      </x:c>
      <x:c r="F649" s="11" t="n">
        <x:f>SQRT((C649-C648)^2+(D649-D648)^2+(E649-E648)^2)</x:f>
        <x:v>0.2820000000000009</x:v>
      </x:c>
      <x:c r="G649" s="8" t="str">
        <x:v>Current</x:v>
      </x:c>
    </x:row>
    <x:row r="650" ht="32" customHeight="1">
      <x:c r="A650" s="8" t="str">
        <x:v>drop:LC1:L3:light:-1:L115</x:v>
      </x:c>
      <x:c r="B650" s="8" t="n">
        <x:v>4</x:v>
      </x:c>
      <x:c r="C650" s="11" t="n">
        <x:v>36.975</x:v>
      </x:c>
      <x:c r="D650" s="11" t="n">
        <x:v>6.655</x:v>
      </x:c>
      <x:c r="E650" s="11" t="n">
        <x:v>-5.25</x:v>
      </x:c>
      <x:c r="F650" s="11" t="n">
        <x:f>SQRT((C650-C649)^2+(D650-D649)^2+(E650-E649)^2)</x:f>
        <x:v>0.004999999999999893</x:v>
      </x:c>
      <x:c r="G650" s="8" t="str">
        <x:v>Current</x:v>
      </x:c>
    </x:row>
    <x:row r="651" ht="32" customHeight="1">
      <x:c r="A651" s="8" t="str">
        <x:v>drop:LC1:L3:light:-1:L116</x:v>
      </x:c>
      <x:c r="B651" s="8" t="n">
        <x:v>1</x:v>
      </x:c>
      <x:c r="C651" s="11" t="n">
        <x:v>36.975</x:v>
      </x:c>
      <x:c r="D651" s="11" t="n">
        <x:v>6.377999999999999</x:v>
      </x:c>
      <x:c r="E651" s="11" t="n">
        <x:v>-13.24</x:v>
      </x:c>
      <x:c r="F651" s="11" t="n">
        <x:f>0</x:f>
        <x:v>0</x:v>
      </x:c>
      <x:c r="G651" s="8" t="str">
        <x:v>Current</x:v>
      </x:c>
    </x:row>
    <x:row r="652" ht="32" customHeight="1">
      <x:c r="A652" s="8" t="str">
        <x:v>drop:LC1:L3:light:-1:L116</x:v>
      </x:c>
      <x:c r="B652" s="8" t="n">
        <x:v>2</x:v>
      </x:c>
      <x:c r="C652" s="11" t="n">
        <x:v>36.975</x:v>
      </x:c>
      <x:c r="D652" s="11" t="n">
        <x:v>6.377999999999999</x:v>
      </x:c>
      <x:c r="E652" s="11" t="n">
        <x:v>-4.9</x:v>
      </x:c>
      <x:c r="F652" s="11" t="n">
        <x:f>SQRT((C652-C651)^2+(D652-D651)^2+(E652-E651)^2)</x:f>
        <x:v>8.34</x:v>
      </x:c>
      <x:c r="G652" s="8" t="str">
        <x:v>Current</x:v>
      </x:c>
    </x:row>
    <x:row r="653" ht="32" customHeight="1">
      <x:c r="A653" s="8" t="str">
        <x:v>drop:LC1:L3:light:-1:L116</x:v>
      </x:c>
      <x:c r="B653" s="8" t="n">
        <x:v>3</x:v>
      </x:c>
      <x:c r="C653" s="11" t="n">
        <x:v>36.975</x:v>
      </x:c>
      <x:c r="D653" s="11" t="n">
        <x:v>6.66</x:v>
      </x:c>
      <x:c r="E653" s="11" t="n">
        <x:v>-4.9</x:v>
      </x:c>
      <x:c r="F653" s="11" t="n">
        <x:f>SQRT((C653-C652)^2+(D653-D652)^2+(E653-E652)^2)</x:f>
        <x:v>0.2820000000000009</x:v>
      </x:c>
      <x:c r="G653" s="8" t="str">
        <x:v>Current</x:v>
      </x:c>
    </x:row>
    <x:row r="654" ht="32" customHeight="1">
      <x:c r="A654" s="8" t="str">
        <x:v>drop:LC1:L3:light:-1:L116</x:v>
      </x:c>
      <x:c r="B654" s="8" t="n">
        <x:v>4</x:v>
      </x:c>
      <x:c r="C654" s="11" t="n">
        <x:v>36.975</x:v>
      </x:c>
      <x:c r="D654" s="11" t="n">
        <x:v>6.655</x:v>
      </x:c>
      <x:c r="E654" s="11" t="n">
        <x:v>-4.9</x:v>
      </x:c>
      <x:c r="F654" s="11" t="n">
        <x:f>SQRT((C654-C653)^2+(D654-D653)^2+(E654-E653)^2)</x:f>
        <x:v>0.004999999999999893</x:v>
      </x:c>
      <x:c r="G654" s="8" t="str">
        <x:v>Current</x:v>
      </x:c>
    </x:row>
    <x:row r="655" ht="32" customHeight="1">
      <x:c r="A655" s="8" t="str">
        <x:v>drop:LC1:L3:light:-1:L151</x:v>
      </x:c>
      <x:c r="B655" s="8" t="n">
        <x:v>1</x:v>
      </x:c>
      <x:c r="C655" s="11" t="n">
        <x:v>52.8</x:v>
      </x:c>
      <x:c r="D655" s="11" t="n">
        <x:v>6.377999999999999</x:v>
      </x:c>
      <x:c r="E655" s="11" t="n">
        <x:v>-7.36</x:v>
      </x:c>
      <x:c r="F655" s="11" t="n">
        <x:f>0</x:f>
        <x:v>0</x:v>
      </x:c>
      <x:c r="G655" s="8" t="str">
        <x:v>Current</x:v>
      </x:c>
    </x:row>
    <x:row r="656" ht="32" customHeight="1">
      <x:c r="A656" s="8" t="str">
        <x:v>drop:LC1:L3:light:-1:L151</x:v>
      </x:c>
      <x:c r="B656" s="8" t="n">
        <x:v>2</x:v>
      </x:c>
      <x:c r="C656" s="11" t="n">
        <x:v>52.8</x:v>
      </x:c>
      <x:c r="D656" s="11" t="n">
        <x:v>2.3</x:v>
      </x:c>
      <x:c r="E656" s="11" t="n">
        <x:v>-7.36</x:v>
      </x:c>
      <x:c r="F656" s="11" t="n">
        <x:f>SQRT((C656-C655)^2+(D656-D655)^2+(E656-E655)^2)</x:f>
        <x:v>4.077999999999999</x:v>
      </x:c>
      <x:c r="G656" s="8" t="str">
        <x:v>Current</x:v>
      </x:c>
    </x:row>
    <x:row r="657" ht="32" customHeight="1">
      <x:c r="A657" s="8" t="str">
        <x:v>drop:LC1:L3:light:-1:L151</x:v>
      </x:c>
      <x:c r="B657" s="8" t="n">
        <x:v>3</x:v>
      </x:c>
      <x:c r="C657" s="11" t="n">
        <x:v>52.8</x:v>
      </x:c>
      <x:c r="D657" s="11" t="n">
        <x:v>2.3</x:v>
      </x:c>
      <x:c r="E657" s="11" t="n">
        <x:v>-4.48</x:v>
      </x:c>
      <x:c r="F657" s="11" t="n">
        <x:f>SQRT((C657-C656)^2+(D657-D656)^2+(E657-E656)^2)</x:f>
        <x:v>2.88</x:v>
      </x:c>
      <x:c r="G657" s="8" t="str">
        <x:v>Current</x:v>
      </x:c>
    </x:row>
    <x:row r="658" ht="32" customHeight="1">
      <x:c r="A658" s="8" t="str">
        <x:v>drop:LC1:L3:light:-1:L152</x:v>
      </x:c>
      <x:c r="B658" s="8" t="n">
        <x:v>1</x:v>
      </x:c>
      <x:c r="C658" s="11" t="n">
        <x:v>52.8</x:v>
      </x:c>
      <x:c r="D658" s="11" t="n">
        <x:v>6.377999999999999</x:v>
      </x:c>
      <x:c r="E658" s="11" t="n">
        <x:v>-7.36</x:v>
      </x:c>
      <x:c r="F658" s="11" t="n">
        <x:f>0</x:f>
        <x:v>0</x:v>
      </x:c>
      <x:c r="G658" s="8" t="str">
        <x:v>Current</x:v>
      </x:c>
    </x:row>
    <x:row r="659" ht="32" customHeight="1">
      <x:c r="A659" s="8" t="str">
        <x:v>drop:LC1:L3:light:-1:L152</x:v>
      </x:c>
      <x:c r="B659" s="8" t="n">
        <x:v>2</x:v>
      </x:c>
      <x:c r="C659" s="11" t="n">
        <x:v>52.8</x:v>
      </x:c>
      <x:c r="D659" s="11" t="n">
        <x:v>2.3</x:v>
      </x:c>
      <x:c r="E659" s="11" t="n">
        <x:v>-7.36</x:v>
      </x:c>
      <x:c r="F659" s="11" t="n">
        <x:f>SQRT((C659-C658)^2+(D659-D658)^2+(E659-E658)^2)</x:f>
        <x:v>4.077999999999999</x:v>
      </x:c>
      <x:c r="G659" s="8" t="str">
        <x:v>Current</x:v>
      </x:c>
    </x:row>
    <x:row r="660" ht="32" customHeight="1">
      <x:c r="A660" s="8" t="str">
        <x:v>drop:LC1:L3:light:-1:L152</x:v>
      </x:c>
      <x:c r="B660" s="8" t="n">
        <x:v>3</x:v>
      </x:c>
      <x:c r="C660" s="11" t="n">
        <x:v>52.8</x:v>
      </x:c>
      <x:c r="D660" s="11" t="n">
        <x:v>2.3</x:v>
      </x:c>
      <x:c r="E660" s="11" t="n">
        <x:v>-6.48</x:v>
      </x:c>
      <x:c r="F660" s="11" t="n">
        <x:f>SQRT((C660-C659)^2+(D660-D659)^2+(E660-E659)^2)</x:f>
        <x:v>0.8799999999999999</x:v>
      </x:c>
      <x:c r="G660" s="8" t="str">
        <x:v>Current</x:v>
      </x:c>
    </x:row>
    <x:row r="661" ht="32" customHeight="1">
      <x:c r="A661" s="8" t="str">
        <x:v>trunk:LC1:L3:light:1</x:v>
      </x:c>
      <x:c r="B661" s="8" t="n">
        <x:v>1</x:v>
      </x:c>
      <x:c r="C661" s="11" t="n">
        <x:v>48.895</x:v>
      </x:c>
      <x:c r="D661" s="11" t="n">
        <x:v>1.85</x:v>
      </x:c>
      <x:c r="E661" s="11" t="n">
        <x:v>-0.55</x:v>
      </x:c>
      <x:c r="F661" s="11" t="n">
        <x:f>0</x:f>
        <x:v>0</x:v>
      </x:c>
      <x:c r="G661" s="8" t="str">
        <x:v>Current</x:v>
      </x:c>
    </x:row>
    <x:row r="662" ht="32" customHeight="1">
      <x:c r="A662" s="8" t="str">
        <x:v>trunk:LC1:L3:light:1</x:v>
      </x:c>
      <x:c r="B662" s="8" t="n">
        <x:v>2</x:v>
      </x:c>
      <x:c r="C662" s="11" t="n">
        <x:v>48.735</x:v>
      </x:c>
      <x:c r="D662" s="11" t="n">
        <x:v>1.85</x:v>
      </x:c>
      <x:c r="E662" s="11" t="n">
        <x:v>-0.55</x:v>
      </x:c>
      <x:c r="F662" s="11" t="n">
        <x:f>SQRT((C662-C661)^2+(D662-D661)^2+(E662-E661)^2)</x:f>
        <x:v>0.1600000000000037</x:v>
      </x:c>
      <x:c r="G662" s="8" t="str">
        <x:v>Current</x:v>
      </x:c>
    </x:row>
    <x:row r="663" ht="32" customHeight="1">
      <x:c r="A663" s="8" t="str">
        <x:v>trunk:LC1:L3:light:1</x:v>
      </x:c>
      <x:c r="B663" s="8" t="n">
        <x:v>3</x:v>
      </x:c>
      <x:c r="C663" s="11" t="n">
        <x:v>48.735</x:v>
      </x:c>
      <x:c r="D663" s="11" t="n">
        <x:v>1.85</x:v>
      </x:c>
      <x:c r="E663" s="11" t="n">
        <x:v>-2.24</x:v>
      </x:c>
      <x:c r="F663" s="11" t="n">
        <x:f>SQRT((C663-C662)^2+(D663-D662)^2+(E663-E662)^2)</x:f>
        <x:v>1.6900000000000002</x:v>
      </x:c>
      <x:c r="G663" s="8" t="str">
        <x:v>Current</x:v>
      </x:c>
    </x:row>
    <x:row r="664" ht="32" customHeight="1">
      <x:c r="A664" s="8" t="str">
        <x:v>trunk:LC1:L3:light:1</x:v>
      </x:c>
      <x:c r="B664" s="8" t="n">
        <x:v>4</x:v>
      </x:c>
      <x:c r="C664" s="11" t="n">
        <x:v>48.735</x:v>
      </x:c>
      <x:c r="D664" s="11" t="n">
        <x:v>4.02</x:v>
      </x:c>
      <x:c r="E664" s="11" t="n">
        <x:v>-2.24</x:v>
      </x:c>
      <x:c r="F664" s="11" t="n">
        <x:f>SQRT((C664-C663)^2+(D664-D663)^2+(E664-E663)^2)</x:f>
        <x:v>2.1699999999999995</x:v>
      </x:c>
      <x:c r="G664" s="8" t="str">
        <x:v>Current</x:v>
      </x:c>
    </x:row>
    <x:row r="665" ht="32" customHeight="1">
      <x:c r="A665" s="8" t="str">
        <x:v>trunk:LC1:L3:light:1</x:v>
      </x:c>
      <x:c r="B665" s="8" t="n">
        <x:v>5</x:v>
      </x:c>
      <x:c r="C665" s="11" t="n">
        <x:v>48.735</x:v>
      </x:c>
      <x:c r="D665" s="11" t="n">
        <x:v>4.02</x:v>
      </x:c>
      <x:c r="E665" s="11" t="n">
        <x:v>-3.6</x:v>
      </x:c>
      <x:c r="F665" s="11" t="n">
        <x:f>SQRT((C665-C664)^2+(D665-D664)^2+(E665-E664)^2)</x:f>
        <x:v>1.3599999999999999</x:v>
      </x:c>
      <x:c r="G665" s="8" t="str">
        <x:v>Current</x:v>
      </x:c>
    </x:row>
    <x:row r="666" ht="32" customHeight="1">
      <x:c r="A666" s="8" t="str">
        <x:v>trunk:LC1:L3:light:1</x:v>
      </x:c>
      <x:c r="B666" s="8" t="n">
        <x:v>6</x:v>
      </x:c>
      <x:c r="C666" s="11" t="n">
        <x:v>53.05</x:v>
      </x:c>
      <x:c r="D666" s="11" t="n">
        <x:v>4.02</x:v>
      </x:c>
      <x:c r="E666" s="11" t="n">
        <x:v>-3.6</x:v>
      </x:c>
      <x:c r="F666" s="11" t="n">
        <x:f>SQRT((C666-C665)^2+(D666-D665)^2+(E666-E665)^2)</x:f>
        <x:v>4.314999999999998</x:v>
      </x:c>
      <x:c r="G666" s="8" t="str">
        <x:v>Current</x:v>
      </x:c>
    </x:row>
    <x:row r="667" ht="32" customHeight="1">
      <x:c r="A667" s="8" t="str">
        <x:v>trunk:LC1:L3:light:1</x:v>
      </x:c>
      <x:c r="B667" s="8" t="n">
        <x:v>7</x:v>
      </x:c>
      <x:c r="C667" s="11" t="n">
        <x:v>53.05</x:v>
      </x:c>
      <x:c r="D667" s="11" t="n">
        <x:v>6.377999999999999</x:v>
      </x:c>
      <x:c r="E667" s="11" t="n">
        <x:v>-3.6</x:v>
      </x:c>
      <x:c r="F667" s="11" t="n">
        <x:f>SQRT((C667-C666)^2+(D667-D666)^2+(E667-E666)^2)</x:f>
        <x:v>2.3579999999999997</x:v>
      </x:c>
      <x:c r="G667" s="8" t="str">
        <x:v>Current</x:v>
      </x:c>
    </x:row>
    <x:row r="668" ht="32" customHeight="1">
      <x:c r="A668" s="8" t="str">
        <x:v>trunk:LC1:L3:light:1</x:v>
      </x:c>
      <x:c r="B668" s="8" t="n">
        <x:v>8</x:v>
      </x:c>
      <x:c r="C668" s="11" t="n">
        <x:v>53.05</x:v>
      </x:c>
      <x:c r="D668" s="11" t="n">
        <x:v>6.377999999999999</x:v>
      </x:c>
      <x:c r="E668" s="11" t="n">
        <x:v>7.36</x:v>
      </x:c>
      <x:c r="F668" s="11" t="n">
        <x:f>SQRT((C668-C667)^2+(D668-D667)^2+(E668-E667)^2)</x:f>
        <x:v>10.96</x:v>
      </x:c>
      <x:c r="G668" s="8" t="str">
        <x:v>Current</x:v>
      </x:c>
    </x:row>
    <x:row r="669" ht="32" customHeight="1">
      <x:c r="A669" s="8" t="str">
        <x:v>trunk:LC1:L3:light:1</x:v>
      </x:c>
      <x:c r="B669" s="8" t="n">
        <x:v>9</x:v>
      </x:c>
      <x:c r="C669" s="11" t="n">
        <x:v>44.175</x:v>
      </x:c>
      <x:c r="D669" s="11" t="n">
        <x:v>6.377999999999999</x:v>
      </x:c>
      <x:c r="E669" s="11" t="n">
        <x:v>7.36</x:v>
      </x:c>
      <x:c r="F669" s="11" t="n">
        <x:f>SQRT((C669-C668)^2+(D669-D668)^2+(E669-E668)^2)</x:f>
        <x:v>8.875</x:v>
      </x:c>
      <x:c r="G669" s="8" t="str">
        <x:v>Current</x:v>
      </x:c>
    </x:row>
    <x:row r="670" ht="32" customHeight="1">
      <x:c r="A670" s="8" t="str">
        <x:v>trunk:LC1:L3:light:1</x:v>
      </x:c>
      <x:c r="B670" s="8" t="n">
        <x:v>10</x:v>
      </x:c>
      <x:c r="C670" s="11" t="n">
        <x:v>44.175</x:v>
      </x:c>
      <x:c r="D670" s="11" t="n">
        <x:v>6.377999999999999</x:v>
      </x:c>
      <x:c r="E670" s="11" t="n">
        <x:v>13.24</x:v>
      </x:c>
      <x:c r="F670" s="11" t="n">
        <x:f>SQRT((C670-C669)^2+(D670-D669)^2+(E670-E669)^2)</x:f>
        <x:v>5.88</x:v>
      </x:c>
      <x:c r="G670" s="8" t="str">
        <x:v>Current</x:v>
      </x:c>
    </x:row>
    <x:row r="671" ht="32" customHeight="1">
      <x:c r="A671" s="8" t="str">
        <x:v>trunk:LC1:L3:light:1</x:v>
      </x:c>
      <x:c r="B671" s="8" t="n">
        <x:v>11</x:v>
      </x:c>
      <x:c r="C671" s="11" t="n">
        <x:v>36.975</x:v>
      </x:c>
      <x:c r="D671" s="11" t="n">
        <x:v>6.377999999999999</x:v>
      </x:c>
      <x:c r="E671" s="11" t="n">
        <x:v>13.24</x:v>
      </x:c>
      <x:c r="F671" s="11" t="n">
        <x:f>SQRT((C671-C670)^2+(D671-D670)^2+(E671-E670)^2)</x:f>
        <x:v>7.199999999999996</x:v>
      </x:c>
      <x:c r="G671" s="8" t="str">
        <x:v>Current</x:v>
      </x:c>
    </x:row>
    <x:row r="672" ht="32" customHeight="1">
      <x:c r="A672" s="8" t="str">
        <x:v>drop:LC1:L3:light:1:L99</x:v>
      </x:c>
      <x:c r="B672" s="8" t="n">
        <x:v>1</x:v>
      </x:c>
      <x:c r="C672" s="11" t="n">
        <x:v>36.975</x:v>
      </x:c>
      <x:c r="D672" s="11" t="n">
        <x:v>6.377999999999999</x:v>
      </x:c>
      <x:c r="E672" s="11" t="n">
        <x:v>13.24</x:v>
      </x:c>
      <x:c r="F672" s="11" t="n">
        <x:f>0</x:f>
        <x:v>0</x:v>
      </x:c>
      <x:c r="G672" s="8" t="str">
        <x:v>Current</x:v>
      </x:c>
    </x:row>
    <x:row r="673" ht="32" customHeight="1">
      <x:c r="A673" s="8" t="str">
        <x:v>drop:LC1:L3:light:1:L99</x:v>
      </x:c>
      <x:c r="B673" s="8" t="n">
        <x:v>2</x:v>
      </x:c>
      <x:c r="C673" s="11" t="n">
        <x:v>36.975</x:v>
      </x:c>
      <x:c r="D673" s="11" t="n">
        <x:v>6.377999999999999</x:v>
      </x:c>
      <x:c r="E673" s="11" t="n">
        <x:v>1.4</x:v>
      </x:c>
      <x:c r="F673" s="11" t="n">
        <x:f>SQRT((C673-C672)^2+(D673-D672)^2+(E673-E672)^2)</x:f>
        <x:v>11.84</x:v>
      </x:c>
      <x:c r="G673" s="8" t="str">
        <x:v>Current</x:v>
      </x:c>
    </x:row>
    <x:row r="674" ht="32" customHeight="1">
      <x:c r="A674" s="8" t="str">
        <x:v>drop:LC1:L3:light:1:L99</x:v>
      </x:c>
      <x:c r="B674" s="8" t="n">
        <x:v>3</x:v>
      </x:c>
      <x:c r="C674" s="11" t="n">
        <x:v>36.975</x:v>
      </x:c>
      <x:c r="D674" s="11" t="n">
        <x:v>8.59</x:v>
      </x:c>
      <x:c r="E674" s="11" t="n">
        <x:v>1.4</x:v>
      </x:c>
      <x:c r="F674" s="11" t="n">
        <x:f>SQRT((C674-C673)^2+(D674-D673)^2+(E674-E673)^2)</x:f>
        <x:v>2.2120000000000006</x:v>
      </x:c>
      <x:c r="G674" s="8" t="str">
        <x:v>Current</x:v>
      </x:c>
    </x:row>
    <x:row r="675" ht="32" customHeight="1">
      <x:c r="A675" s="8" t="str">
        <x:v>drop:LC1:L3:light:1:L99</x:v>
      </x:c>
      <x:c r="B675" s="8" t="n">
        <x:v>4</x:v>
      </x:c>
      <x:c r="C675" s="11" t="n">
        <x:v>36.975</x:v>
      </x:c>
      <x:c r="D675" s="11" t="n">
        <x:v>8.584999999999999</x:v>
      </x:c>
      <x:c r="E675" s="11" t="n">
        <x:v>1.4</x:v>
      </x:c>
      <x:c r="F675" s="11" t="n">
        <x:f>SQRT((C675-C674)^2+(D675-D674)^2+(E675-E674)^2)</x:f>
        <x:v>0.005000000000000782</x:v>
      </x:c>
      <x:c r="G675" s="8" t="str">
        <x:v>Current</x:v>
      </x:c>
    </x:row>
    <x:row r="676" ht="32" customHeight="1">
      <x:c r="A676" s="8" t="str">
        <x:v>drop:LC1:L3:light:1:L102</x:v>
      </x:c>
      <x:c r="B676" s="8" t="n">
        <x:v>1</x:v>
      </x:c>
      <x:c r="C676" s="11" t="n">
        <x:v>36.975</x:v>
      </x:c>
      <x:c r="D676" s="11" t="n">
        <x:v>6.377999999999999</x:v>
      </x:c>
      <x:c r="E676" s="11" t="n">
        <x:v>13.24</x:v>
      </x:c>
      <x:c r="F676" s="11" t="n">
        <x:f>0</x:f>
        <x:v>0</x:v>
      </x:c>
      <x:c r="G676" s="8" t="str">
        <x:v>Current</x:v>
      </x:c>
    </x:row>
    <x:row r="677" ht="32" customHeight="1">
      <x:c r="A677" s="8" t="str">
        <x:v>drop:LC1:L3:light:1:L102</x:v>
      </x:c>
      <x:c r="B677" s="8" t="n">
        <x:v>2</x:v>
      </x:c>
      <x:c r="C677" s="11" t="n">
        <x:v>36.975</x:v>
      </x:c>
      <x:c r="D677" s="11" t="n">
        <x:v>6.377999999999999</x:v>
      </x:c>
      <x:c r="E677" s="11" t="n">
        <x:v>1.9</x:v>
      </x:c>
      <x:c r="F677" s="11" t="n">
        <x:f>SQRT((C677-C676)^2+(D677-D676)^2+(E677-E676)^2)</x:f>
        <x:v>11.34</x:v>
      </x:c>
      <x:c r="G677" s="8" t="str">
        <x:v>Current</x:v>
      </x:c>
    </x:row>
    <x:row r="678" ht="32" customHeight="1">
      <x:c r="A678" s="8" t="str">
        <x:v>drop:LC1:L3:light:1:L102</x:v>
      </x:c>
      <x:c r="B678" s="8" t="n">
        <x:v>3</x:v>
      </x:c>
      <x:c r="C678" s="11" t="n">
        <x:v>36.975</x:v>
      </x:c>
      <x:c r="D678" s="11" t="n">
        <x:v>8.59</x:v>
      </x:c>
      <x:c r="E678" s="11" t="n">
        <x:v>1.9</x:v>
      </x:c>
      <x:c r="F678" s="11" t="n">
        <x:f>SQRT((C678-C677)^2+(D678-D677)^2+(E678-E677)^2)</x:f>
        <x:v>2.2120000000000006</x:v>
      </x:c>
      <x:c r="G678" s="8" t="str">
        <x:v>Current</x:v>
      </x:c>
    </x:row>
    <x:row r="679" ht="32" customHeight="1">
      <x:c r="A679" s="8" t="str">
        <x:v>drop:LC1:L3:light:1:L102</x:v>
      </x:c>
      <x:c r="B679" s="8" t="n">
        <x:v>4</x:v>
      </x:c>
      <x:c r="C679" s="11" t="n">
        <x:v>36.975</x:v>
      </x:c>
      <x:c r="D679" s="11" t="n">
        <x:v>8.584999999999999</x:v>
      </x:c>
      <x:c r="E679" s="11" t="n">
        <x:v>1.9</x:v>
      </x:c>
      <x:c r="F679" s="11" t="n">
        <x:f>SQRT((C679-C678)^2+(D679-D678)^2+(E679-E678)^2)</x:f>
        <x:v>0.005000000000000782</x:v>
      </x:c>
      <x:c r="G679" s="8" t="str">
        <x:v>Current</x:v>
      </x:c>
    </x:row>
    <x:row r="680" ht="32" customHeight="1">
      <x:c r="A680" s="8" t="str">
        <x:v>drop:LC1:L3:light:1:L103</x:v>
      </x:c>
      <x:c r="B680" s="8" t="n">
        <x:v>1</x:v>
      </x:c>
      <x:c r="C680" s="11" t="n">
        <x:v>36.975</x:v>
      </x:c>
      <x:c r="D680" s="11" t="n">
        <x:v>6.377999999999999</x:v>
      </x:c>
      <x:c r="E680" s="11" t="n">
        <x:v>13.24</x:v>
      </x:c>
      <x:c r="F680" s="11" t="n">
        <x:f>0</x:f>
        <x:v>0</x:v>
      </x:c>
      <x:c r="G680" s="8" t="str">
        <x:v>Current</x:v>
      </x:c>
    </x:row>
    <x:row r="681" ht="32" customHeight="1">
      <x:c r="A681" s="8" t="str">
        <x:v>drop:LC1:L3:light:1:L103</x:v>
      </x:c>
      <x:c r="B681" s="8" t="n">
        <x:v>2</x:v>
      </x:c>
      <x:c r="C681" s="11" t="n">
        <x:v>36.975</x:v>
      </x:c>
      <x:c r="D681" s="11" t="n">
        <x:v>6.377999999999999</x:v>
      </x:c>
      <x:c r="E681" s="11" t="n">
        <x:v>3</x:v>
      </x:c>
      <x:c r="F681" s="11" t="n">
        <x:f>SQRT((C681-C680)^2+(D681-D680)^2+(E681-E680)^2)</x:f>
        <x:v>10.24</x:v>
      </x:c>
      <x:c r="G681" s="8" t="str">
        <x:v>Current</x:v>
      </x:c>
    </x:row>
    <x:row r="682" ht="32" customHeight="1">
      <x:c r="A682" s="8" t="str">
        <x:v>drop:LC1:L3:light:1:L103</x:v>
      </x:c>
      <x:c r="B682" s="8" t="n">
        <x:v>3</x:v>
      </x:c>
      <x:c r="C682" s="11" t="n">
        <x:v>36.975</x:v>
      </x:c>
      <x:c r="D682" s="11" t="n">
        <x:v>8.59</x:v>
      </x:c>
      <x:c r="E682" s="11" t="n">
        <x:v>3</x:v>
      </x:c>
      <x:c r="F682" s="11" t="n">
        <x:f>SQRT((C682-C681)^2+(D682-D681)^2+(E682-E681)^2)</x:f>
        <x:v>2.2120000000000006</x:v>
      </x:c>
      <x:c r="G682" s="8" t="str">
        <x:v>Current</x:v>
      </x:c>
    </x:row>
    <x:row r="683" ht="32" customHeight="1">
      <x:c r="A683" s="8" t="str">
        <x:v>drop:LC1:L3:light:1:L103</x:v>
      </x:c>
      <x:c r="B683" s="8" t="n">
        <x:v>4</x:v>
      </x:c>
      <x:c r="C683" s="11" t="n">
        <x:v>36.975</x:v>
      </x:c>
      <x:c r="D683" s="11" t="n">
        <x:v>8.584999999999999</x:v>
      </x:c>
      <x:c r="E683" s="11" t="n">
        <x:v>3</x:v>
      </x:c>
      <x:c r="F683" s="11" t="n">
        <x:f>SQRT((C683-C682)^2+(D683-D682)^2+(E683-E682)^2)</x:f>
        <x:v>0.005000000000000782</x:v>
      </x:c>
      <x:c r="G683" s="8" t="str">
        <x:v>Current</x:v>
      </x:c>
    </x:row>
    <x:row r="684" ht="32" customHeight="1">
      <x:c r="A684" s="8" t="str">
        <x:v>drop:LC1:L3:light:1:L105</x:v>
      </x:c>
      <x:c r="B684" s="8" t="n">
        <x:v>1</x:v>
      </x:c>
      <x:c r="C684" s="11" t="n">
        <x:v>36.975</x:v>
      </x:c>
      <x:c r="D684" s="11" t="n">
        <x:v>6.377999999999999</x:v>
      </x:c>
      <x:c r="E684" s="11" t="n">
        <x:v>13.24</x:v>
      </x:c>
      <x:c r="F684" s="11" t="n">
        <x:f>0</x:f>
        <x:v>0</x:v>
      </x:c>
      <x:c r="G684" s="8" t="str">
        <x:v>Current</x:v>
      </x:c>
    </x:row>
    <x:row r="685" ht="32" customHeight="1">
      <x:c r="A685" s="8" t="str">
        <x:v>drop:LC1:L3:light:1:L105</x:v>
      </x:c>
      <x:c r="B685" s="8" t="n">
        <x:v>2</x:v>
      </x:c>
      <x:c r="C685" s="11" t="n">
        <x:v>36.975</x:v>
      </x:c>
      <x:c r="D685" s="11" t="n">
        <x:v>6.377999999999999</x:v>
      </x:c>
      <x:c r="E685" s="11" t="n">
        <x:v>0.6</x:v>
      </x:c>
      <x:c r="F685" s="11" t="n">
        <x:f>SQRT((C685-C684)^2+(D685-D684)^2+(E685-E684)^2)</x:f>
        <x:v>12.64</x:v>
      </x:c>
      <x:c r="G685" s="8" t="str">
        <x:v>Current</x:v>
      </x:c>
    </x:row>
    <x:row r="686" ht="32" customHeight="1">
      <x:c r="A686" s="8" t="str">
        <x:v>drop:LC1:L3:light:1:L105</x:v>
      </x:c>
      <x:c r="B686" s="8" t="n">
        <x:v>3</x:v>
      </x:c>
      <x:c r="C686" s="11" t="n">
        <x:v>36.975</x:v>
      </x:c>
      <x:c r="D686" s="11" t="n">
        <x:v>8.59</x:v>
      </x:c>
      <x:c r="E686" s="11" t="n">
        <x:v>0.6</x:v>
      </x:c>
      <x:c r="F686" s="11" t="n">
        <x:f>SQRT((C686-C685)^2+(D686-D685)^2+(E686-E685)^2)</x:f>
        <x:v>2.2120000000000006</x:v>
      </x:c>
      <x:c r="G686" s="8" t="str">
        <x:v>Current</x:v>
      </x:c>
    </x:row>
    <x:row r="687" ht="32" customHeight="1">
      <x:c r="A687" s="8" t="str">
        <x:v>drop:LC1:L3:light:1:L105</x:v>
      </x:c>
      <x:c r="B687" s="8" t="n">
        <x:v>4</x:v>
      </x:c>
      <x:c r="C687" s="11" t="n">
        <x:v>36.975</x:v>
      </x:c>
      <x:c r="D687" s="11" t="n">
        <x:v>8.584999999999999</x:v>
      </x:c>
      <x:c r="E687" s="11" t="n">
        <x:v>0.6</x:v>
      </x:c>
      <x:c r="F687" s="11" t="n">
        <x:f>SQRT((C687-C686)^2+(D687-D686)^2+(E687-E686)^2)</x:f>
        <x:v>0.005000000000000782</x:v>
      </x:c>
      <x:c r="G687" s="8" t="str">
        <x:v>Current</x:v>
      </x:c>
    </x:row>
    <x:row r="688" ht="32" customHeight="1">
      <x:c r="A688" s="8" t="str">
        <x:v>drop:LC1:L3:light:1:L110</x:v>
      </x:c>
      <x:c r="B688" s="8" t="n">
        <x:v>1</x:v>
      </x:c>
      <x:c r="C688" s="11" t="n">
        <x:v>44.75</x:v>
      </x:c>
      <x:c r="D688" s="11" t="n">
        <x:v>6.377999999999999</x:v>
      </x:c>
      <x:c r="E688" s="11" t="n">
        <x:v>7.36</x:v>
      </x:c>
      <x:c r="F688" s="11" t="n">
        <x:f>0</x:f>
        <x:v>0</x:v>
      </x:c>
      <x:c r="G688" s="8" t="str">
        <x:v>Current</x:v>
      </x:c>
    </x:row>
    <x:row r="689" ht="32" customHeight="1">
      <x:c r="A689" s="8" t="str">
        <x:v>drop:LC1:L3:light:1:L110</x:v>
      </x:c>
      <x:c r="B689" s="8" t="n">
        <x:v>2</x:v>
      </x:c>
      <x:c r="C689" s="11" t="n">
        <x:v>44.75</x:v>
      </x:c>
      <x:c r="D689" s="11" t="n">
        <x:v>7.02</x:v>
      </x:c>
      <x:c r="E689" s="11" t="n">
        <x:v>7.36</x:v>
      </x:c>
      <x:c r="F689" s="11" t="n">
        <x:f>SQRT((C689-C688)^2+(D689-D688)^2+(E689-E688)^2)</x:f>
        <x:v>0.6420000000000003</x:v>
      </x:c>
      <x:c r="G689" s="8" t="str">
        <x:v>Current</x:v>
      </x:c>
    </x:row>
    <x:row r="690" ht="32" customHeight="1">
      <x:c r="A690" s="8" t="str">
        <x:v>drop:LC1:L3:light:1:L110</x:v>
      </x:c>
      <x:c r="B690" s="8" t="n">
        <x:v>3</x:v>
      </x:c>
      <x:c r="C690" s="11" t="n">
        <x:v>44.75</x:v>
      </x:c>
      <x:c r="D690" s="11" t="n">
        <x:v>7.065002717391305</x:v>
      </x:c>
      <x:c r="E690" s="11" t="n">
        <x:v>7.05</x:v>
      </x:c>
      <x:c r="F690" s="11" t="n">
        <x:f>SQRT((C690-C689)^2+(D690-D689)^2+(E690-E689)^2)</x:f>
        <x:v>0.3132494925336704</x:v>
      </x:c>
      <x:c r="G690" s="8" t="str">
        <x:v>Current</x:v>
      </x:c>
    </x:row>
    <x:row r="691" ht="32" customHeight="1">
      <x:c r="A691" s="8" t="str">
        <x:v>drop:LC1:L3:light:1:L110</x:v>
      </x:c>
      <x:c r="B691" s="8" t="n">
        <x:v>4</x:v>
      </x:c>
      <x:c r="C691" s="11" t="n">
        <x:v>44.75</x:v>
      </x:c>
      <x:c r="D691" s="11" t="n">
        <x:v>9.830358695652174</x:v>
      </x:c>
      <x:c r="E691" s="11" t="n">
        <x:v>3.2399999999999998</x:v>
      </x:c>
      <x:c r="F691" s="11" t="n">
        <x:f>SQRT((C691-C690)^2+(D691-D690)^2+(E691-E690)^2)</x:f>
        <x:v>4.707790743703795</x:v>
      </x:c>
      <x:c r="G691" s="8" t="str">
        <x:v>Current</x:v>
      </x:c>
    </x:row>
    <x:row r="692" ht="32" customHeight="1">
      <x:c r="A692" s="8" t="str">
        <x:v>drop:LC1:L3:light:1:L110</x:v>
      </x:c>
      <x:c r="B692" s="8" t="n">
        <x:v>5</x:v>
      </x:c>
      <x:c r="C692" s="11" t="n">
        <x:v>44.75</x:v>
      </x:c>
      <x:c r="D692" s="11" t="n">
        <x:v>7.6</x:v>
      </x:c>
      <x:c r="E692" s="11" t="n">
        <x:v>3.2399999999999998</x:v>
      </x:c>
      <x:c r="F692" s="11" t="n">
        <x:f>SQRT((C692-C691)^2+(D692-D691)^2+(E692-E691)^2)</x:f>
        <x:v>2.230358695652175</x:v>
      </x:c>
      <x:c r="G692" s="8" t="str">
        <x:v>Current</x:v>
      </x:c>
    </x:row>
    <x:row r="693" ht="32" customHeight="1">
      <x:c r="A693" s="8" t="str">
        <x:v>drop:LC1:L3:light:1:L111</x:v>
      </x:c>
      <x:c r="B693" s="8" t="n">
        <x:v>1</x:v>
      </x:c>
      <x:c r="C693" s="11" t="n">
        <x:v>44.75</x:v>
      </x:c>
      <x:c r="D693" s="11" t="n">
        <x:v>6.377999999999999</x:v>
      </x:c>
      <x:c r="E693" s="11" t="n">
        <x:v>7.36</x:v>
      </x:c>
      <x:c r="F693" s="11" t="n">
        <x:f>0</x:f>
        <x:v>0</x:v>
      </x:c>
      <x:c r="G693" s="8" t="str">
        <x:v>Current</x:v>
      </x:c>
    </x:row>
    <x:row r="694" ht="32" customHeight="1">
      <x:c r="A694" s="8" t="str">
        <x:v>drop:LC1:L3:light:1:L111</x:v>
      </x:c>
      <x:c r="B694" s="8" t="n">
        <x:v>2</x:v>
      </x:c>
      <x:c r="C694" s="11" t="n">
        <x:v>44.75</x:v>
      </x:c>
      <x:c r="D694" s="11" t="n">
        <x:v>6.7</x:v>
      </x:c>
      <x:c r="E694" s="11" t="n">
        <x:v>7.36</x:v>
      </x:c>
      <x:c r="F694" s="11" t="n">
        <x:f>SQRT((C694-C693)^2+(D694-D693)^2+(E694-E693)^2)</x:f>
        <x:v>0.32200000000000095</x:v>
      </x:c>
      <x:c r="G694" s="8" t="str">
        <x:v>Current</x:v>
      </x:c>
    </x:row>
    <x:row r="695" ht="32" customHeight="1">
      <x:c r="A695" s="8" t="str">
        <x:v>drop:LC1:L3:light:1:L111</x:v>
      </x:c>
      <x:c r="B695" s="8" t="n">
        <x:v>3</x:v>
      </x:c>
      <x:c r="C695" s="11" t="n">
        <x:v>44.75</x:v>
      </x:c>
      <x:c r="D695" s="11" t="n">
        <x:v>6.7</x:v>
      </x:c>
      <x:c r="E695" s="11" t="n">
        <x:v>3.2399999999999998</x:v>
      </x:c>
      <x:c r="F695" s="11" t="n">
        <x:f>SQRT((C695-C694)^2+(D695-D694)^2+(E695-E694)^2)</x:f>
        <x:v>4.120000000000001</x:v>
      </x:c>
      <x:c r="G695" s="8" t="str">
        <x:v>Current</x:v>
      </x:c>
    </x:row>
    <x:row r="696" ht="32" customHeight="1">
      <x:c r="A696" s="8" t="str">
        <x:v>drop:LC1:L3:light:1:L112</x:v>
      </x:c>
      <x:c r="B696" s="8" t="n">
        <x:v>1</x:v>
      </x:c>
      <x:c r="C696" s="11" t="n">
        <x:v>44.75</x:v>
      </x:c>
      <x:c r="D696" s="11" t="n">
        <x:v>6.377999999999999</x:v>
      </x:c>
      <x:c r="E696" s="11" t="n">
        <x:v>7.36</x:v>
      </x:c>
      <x:c r="F696" s="11" t="n">
        <x:f>0</x:f>
        <x:v>0</x:v>
      </x:c>
      <x:c r="G696" s="8" t="str">
        <x:v>Current</x:v>
      </x:c>
    </x:row>
    <x:row r="697" ht="32" customHeight="1">
      <x:c r="A697" s="8" t="str">
        <x:v>drop:LC1:L3:light:1:L112</x:v>
      </x:c>
      <x:c r="B697" s="8" t="n">
        <x:v>2</x:v>
      </x:c>
      <x:c r="C697" s="11" t="n">
        <x:v>44.75</x:v>
      </x:c>
      <x:c r="D697" s="11" t="n">
        <x:v>5.4</x:v>
      </x:c>
      <x:c r="E697" s="11" t="n">
        <x:v>7.36</x:v>
      </x:c>
      <x:c r="F697" s="11" t="n">
        <x:f>SQRT((C697-C696)^2+(D697-D696)^2+(E697-E696)^2)</x:f>
        <x:v>0.9779999999999989</x:v>
      </x:c>
      <x:c r="G697" s="8" t="str">
        <x:v>Current</x:v>
      </x:c>
    </x:row>
    <x:row r="698" ht="32" customHeight="1">
      <x:c r="A698" s="8" t="str">
        <x:v>drop:LC1:L3:light:1:L112</x:v>
      </x:c>
      <x:c r="B698" s="8" t="n">
        <x:v>3</x:v>
      </x:c>
      <x:c r="C698" s="11" t="n">
        <x:v>44.75</x:v>
      </x:c>
      <x:c r="D698" s="11" t="n">
        <x:v>5.4</x:v>
      </x:c>
      <x:c r="E698" s="11" t="n">
        <x:v>3.2399999999999998</x:v>
      </x:c>
      <x:c r="F698" s="11" t="n">
        <x:f>SQRT((C698-C697)^2+(D698-D697)^2+(E698-E697)^2)</x:f>
        <x:v>4.120000000000001</x:v>
      </x:c>
      <x:c r="G698" s="8" t="str">
        <x:v>Current</x:v>
      </x:c>
    </x:row>
    <x:row r="699" ht="32" customHeight="1">
      <x:c r="A699" s="8" t="str">
        <x:v>drop:LC1:L3:light:1:L113</x:v>
      </x:c>
      <x:c r="B699" s="8" t="n">
        <x:v>1</x:v>
      </x:c>
      <x:c r="C699" s="11" t="n">
        <x:v>45.35</x:v>
      </x:c>
      <x:c r="D699" s="11" t="n">
        <x:v>6.377999999999999</x:v>
      </x:c>
      <x:c r="E699" s="11" t="n">
        <x:v>7.36</x:v>
      </x:c>
      <x:c r="F699" s="11" t="n">
        <x:f>0</x:f>
        <x:v>0</x:v>
      </x:c>
      <x:c r="G699" s="8" t="str">
        <x:v>Current</x:v>
      </x:c>
    </x:row>
    <x:row r="700" ht="32" customHeight="1">
      <x:c r="A700" s="8" t="str">
        <x:v>drop:LC1:L3:light:1:L113</x:v>
      </x:c>
      <x:c r="B700" s="8" t="n">
        <x:v>2</x:v>
      </x:c>
      <x:c r="C700" s="11" t="n">
        <x:v>45.35</x:v>
      </x:c>
      <x:c r="D700" s="11" t="n">
        <x:v>6.83</x:v>
      </x:c>
      <x:c r="E700" s="11" t="n">
        <x:v>7.36</x:v>
      </x:c>
      <x:c r="F700" s="11" t="n">
        <x:f>SQRT((C700-C699)^2+(D700-D699)^2+(E700-E699)^2)</x:f>
        <x:v>0.45200000000000085</x:v>
      </x:c>
      <x:c r="G700" s="8" t="str">
        <x:v>Current</x:v>
      </x:c>
    </x:row>
    <x:row r="701" ht="32" customHeight="1">
      <x:c r="A701" s="8" t="str">
        <x:v>drop:LC1:L3:light:1:L113</x:v>
      </x:c>
      <x:c r="B701" s="8" t="n">
        <x:v>3</x:v>
      </x:c>
      <x:c r="C701" s="11" t="n">
        <x:v>45.35</x:v>
      </x:c>
      <x:c r="D701" s="11" t="n">
        <x:v>6.83</x:v>
      </x:c>
      <x:c r="E701" s="11" t="n">
        <x:v>3.6</x:v>
      </x:c>
      <x:c r="F701" s="11" t="n">
        <x:f>SQRT((C701-C700)^2+(D701-D700)^2+(E701-E700)^2)</x:f>
        <x:v>3.7600000000000002</x:v>
      </x:c>
      <x:c r="G701" s="8" t="str">
        <x:v>Current</x:v>
      </x:c>
    </x:row>
    <x:row r="702" ht="32" customHeight="1">
      <x:c r="A702" s="8" t="str">
        <x:v>drop:LC1:L3:light:1:L113</x:v>
      </x:c>
      <x:c r="B702" s="8" t="n">
        <x:v>4</x:v>
      </x:c>
      <x:c r="C702" s="11" t="n">
        <x:v>45.35</x:v>
      </x:c>
      <x:c r="D702" s="11" t="n">
        <x:v>8.59</x:v>
      </x:c>
      <x:c r="E702" s="11" t="n">
        <x:v>3.6</x:v>
      </x:c>
      <x:c r="F702" s="11" t="n">
        <x:f>SQRT((C702-C701)^2+(D702-D701)^2+(E702-E701)^2)</x:f>
        <x:v>1.7599999999999998</x:v>
      </x:c>
      <x:c r="G702" s="8" t="str">
        <x:v>Current</x:v>
      </x:c>
    </x:row>
    <x:row r="703" ht="32" customHeight="1">
      <x:c r="A703" s="8" t="str">
        <x:v>drop:LC1:L3:light:1:L113</x:v>
      </x:c>
      <x:c r="B703" s="8" t="n">
        <x:v>5</x:v>
      </x:c>
      <x:c r="C703" s="11" t="n">
        <x:v>45.35</x:v>
      </x:c>
      <x:c r="D703" s="11" t="n">
        <x:v>8.59</x:v>
      </x:c>
      <x:c r="E703" s="11" t="n">
        <x:v>2.94</x:v>
      </x:c>
      <x:c r="F703" s="11" t="n">
        <x:f>SQRT((C703-C702)^2+(D703-D702)^2+(E703-E702)^2)</x:f>
        <x:v>0.6600000000000001</x:v>
      </x:c>
      <x:c r="G703" s="8" t="str">
        <x:v>Current</x:v>
      </x:c>
    </x:row>
    <x:row r="704" ht="32" customHeight="1">
      <x:c r="A704" s="8" t="str">
        <x:v>drop:LC1:L3:light:1:L113</x:v>
      </x:c>
      <x:c r="B704" s="8" t="n">
        <x:v>6</x:v>
      </x:c>
      <x:c r="C704" s="11" t="n">
        <x:v>45.35</x:v>
      </x:c>
      <x:c r="D704" s="11" t="n">
        <x:v>8.42</x:v>
      </x:c>
      <x:c r="E704" s="11" t="n">
        <x:v>2.94</x:v>
      </x:c>
      <x:c r="F704" s="11" t="n">
        <x:f>SQRT((C704-C703)^2+(D704-D703)^2+(E704-E703)^2)</x:f>
        <x:v>0.16999999999999993</x:v>
      </x:c>
      <x:c r="G704" s="8" t="str">
        <x:v>Current</x:v>
      </x:c>
    </x:row>
    <x:row r="705" ht="32" customHeight="1">
      <x:c r="A705" s="8" t="str">
        <x:v>drop:LC1:L3:light:1:L117</x:v>
      </x:c>
      <x:c r="B705" s="8" t="n">
        <x:v>1</x:v>
      </x:c>
      <x:c r="C705" s="11" t="n">
        <x:v>36.975</x:v>
      </x:c>
      <x:c r="D705" s="11" t="n">
        <x:v>6.377999999999999</x:v>
      </x:c>
      <x:c r="E705" s="11" t="n">
        <x:v>13.24</x:v>
      </x:c>
      <x:c r="F705" s="11" t="n">
        <x:f>0</x:f>
        <x:v>0</x:v>
      </x:c>
      <x:c r="G705" s="8" t="str">
        <x:v>Current</x:v>
      </x:c>
    </x:row>
    <x:row r="706" ht="32" customHeight="1">
      <x:c r="A706" s="8" t="str">
        <x:v>drop:LC1:L3:light:1:L117</x:v>
      </x:c>
      <x:c r="B706" s="8" t="n">
        <x:v>2</x:v>
      </x:c>
      <x:c r="C706" s="11" t="n">
        <x:v>36.975</x:v>
      </x:c>
      <x:c r="D706" s="11" t="n">
        <x:v>6.377999999999999</x:v>
      </x:c>
      <x:c r="E706" s="11" t="n">
        <x:v>5.25</x:v>
      </x:c>
      <x:c r="F706" s="11" t="n">
        <x:f>SQRT((C706-C705)^2+(D706-D705)^2+(E706-E705)^2)</x:f>
        <x:v>7.99</x:v>
      </x:c>
      <x:c r="G706" s="8" t="str">
        <x:v>Current</x:v>
      </x:c>
    </x:row>
    <x:row r="707" ht="32" customHeight="1">
      <x:c r="A707" s="8" t="str">
        <x:v>drop:LC1:L3:light:1:L117</x:v>
      </x:c>
      <x:c r="B707" s="8" t="n">
        <x:v>3</x:v>
      </x:c>
      <x:c r="C707" s="11" t="n">
        <x:v>36.975</x:v>
      </x:c>
      <x:c r="D707" s="11" t="n">
        <x:v>6.66</x:v>
      </x:c>
      <x:c r="E707" s="11" t="n">
        <x:v>5.25</x:v>
      </x:c>
      <x:c r="F707" s="11" t="n">
        <x:f>SQRT((C707-C706)^2+(D707-D706)^2+(E707-E706)^2)</x:f>
        <x:v>0.2820000000000009</x:v>
      </x:c>
      <x:c r="G707" s="8" t="str">
        <x:v>Current</x:v>
      </x:c>
    </x:row>
    <x:row r="708" ht="32" customHeight="1">
      <x:c r="A708" s="8" t="str">
        <x:v>drop:LC1:L3:light:1:L117</x:v>
      </x:c>
      <x:c r="B708" s="8" t="n">
        <x:v>4</x:v>
      </x:c>
      <x:c r="C708" s="11" t="n">
        <x:v>36.975</x:v>
      </x:c>
      <x:c r="D708" s="11" t="n">
        <x:v>6.655</x:v>
      </x:c>
      <x:c r="E708" s="11" t="n">
        <x:v>5.25</x:v>
      </x:c>
      <x:c r="F708" s="11" t="n">
        <x:f>SQRT((C708-C707)^2+(D708-D707)^2+(E708-E707)^2)</x:f>
        <x:v>0.004999999999999893</x:v>
      </x:c>
      <x:c r="G708" s="8" t="str">
        <x:v>Current</x:v>
      </x:c>
    </x:row>
    <x:row r="709" ht="32" customHeight="1">
      <x:c r="A709" s="8" t="str">
        <x:v>drop:LC1:L3:light:1:L118</x:v>
      </x:c>
      <x:c r="B709" s="8" t="n">
        <x:v>1</x:v>
      </x:c>
      <x:c r="C709" s="11" t="n">
        <x:v>36.975</x:v>
      </x:c>
      <x:c r="D709" s="11" t="n">
        <x:v>6.377999999999999</x:v>
      </x:c>
      <x:c r="E709" s="11" t="n">
        <x:v>13.24</x:v>
      </x:c>
      <x:c r="F709" s="11" t="n">
        <x:f>0</x:f>
        <x:v>0</x:v>
      </x:c>
      <x:c r="G709" s="8" t="str">
        <x:v>Current</x:v>
      </x:c>
    </x:row>
    <x:row r="710" ht="32" customHeight="1">
      <x:c r="A710" s="8" t="str">
        <x:v>drop:LC1:L3:light:1:L118</x:v>
      </x:c>
      <x:c r="B710" s="8" t="n">
        <x:v>2</x:v>
      </x:c>
      <x:c r="C710" s="11" t="n">
        <x:v>36.975</x:v>
      </x:c>
      <x:c r="D710" s="11" t="n">
        <x:v>6.377999999999999</x:v>
      </x:c>
      <x:c r="E710" s="11" t="n">
        <x:v>4.9</x:v>
      </x:c>
      <x:c r="F710" s="11" t="n">
        <x:f>SQRT((C710-C709)^2+(D710-D709)^2+(E710-E709)^2)</x:f>
        <x:v>8.34</x:v>
      </x:c>
      <x:c r="G710" s="8" t="str">
        <x:v>Current</x:v>
      </x:c>
    </x:row>
    <x:row r="711" ht="32" customHeight="1">
      <x:c r="A711" s="8" t="str">
        <x:v>drop:LC1:L3:light:1:L118</x:v>
      </x:c>
      <x:c r="B711" s="8" t="n">
        <x:v>3</x:v>
      </x:c>
      <x:c r="C711" s="11" t="n">
        <x:v>36.975</x:v>
      </x:c>
      <x:c r="D711" s="11" t="n">
        <x:v>6.66</x:v>
      </x:c>
      <x:c r="E711" s="11" t="n">
        <x:v>4.9</x:v>
      </x:c>
      <x:c r="F711" s="11" t="n">
        <x:f>SQRT((C711-C710)^2+(D711-D710)^2+(E711-E710)^2)</x:f>
        <x:v>0.2820000000000009</x:v>
      </x:c>
      <x:c r="G711" s="8" t="str">
        <x:v>Current</x:v>
      </x:c>
    </x:row>
    <x:row r="712" ht="32" customHeight="1">
      <x:c r="A712" s="8" t="str">
        <x:v>drop:LC1:L3:light:1:L118</x:v>
      </x:c>
      <x:c r="B712" s="8" t="n">
        <x:v>4</x:v>
      </x:c>
      <x:c r="C712" s="11" t="n">
        <x:v>36.975</x:v>
      </x:c>
      <x:c r="D712" s="11" t="n">
        <x:v>6.655</x:v>
      </x:c>
      <x:c r="E712" s="11" t="n">
        <x:v>4.9</x:v>
      </x:c>
      <x:c r="F712" s="11" t="n">
        <x:f>SQRT((C712-C711)^2+(D712-D711)^2+(E712-E711)^2)</x:f>
        <x:v>0.004999999999999893</x:v>
      </x:c>
      <x:c r="G712" s="8" t="str">
        <x:v>Current</x:v>
      </x:c>
    </x:row>
    <x:row r="713" ht="32" customHeight="1">
      <x:c r="A713" s="8" t="str">
        <x:v>drop:LC1:L3:light:1:L153</x:v>
      </x:c>
      <x:c r="B713" s="8" t="n">
        <x:v>1</x:v>
      </x:c>
      <x:c r="C713" s="11" t="n">
        <x:v>52.8</x:v>
      </x:c>
      <x:c r="D713" s="11" t="n">
        <x:v>6.377999999999999</x:v>
      </x:c>
      <x:c r="E713" s="11" t="n">
        <x:v>7.36</x:v>
      </x:c>
      <x:c r="F713" s="11" t="n">
        <x:f>0</x:f>
        <x:v>0</x:v>
      </x:c>
      <x:c r="G713" s="8" t="str">
        <x:v>Current</x:v>
      </x:c>
    </x:row>
    <x:row r="714" ht="32" customHeight="1">
      <x:c r="A714" s="8" t="str">
        <x:v>drop:LC1:L3:light:1:L153</x:v>
      </x:c>
      <x:c r="B714" s="8" t="n">
        <x:v>2</x:v>
      </x:c>
      <x:c r="C714" s="11" t="n">
        <x:v>52.8</x:v>
      </x:c>
      <x:c r="D714" s="11" t="n">
        <x:v>2.3</x:v>
      </x:c>
      <x:c r="E714" s="11" t="n">
        <x:v>7.36</x:v>
      </x:c>
      <x:c r="F714" s="11" t="n">
        <x:f>SQRT((C714-C713)^2+(D714-D713)^2+(E714-E713)^2)</x:f>
        <x:v>4.077999999999999</x:v>
      </x:c>
      <x:c r="G714" s="8" t="str">
        <x:v>Current</x:v>
      </x:c>
    </x:row>
    <x:row r="715" ht="32" customHeight="1">
      <x:c r="A715" s="8" t="str">
        <x:v>drop:LC1:L3:light:1:L153</x:v>
      </x:c>
      <x:c r="B715" s="8" t="n">
        <x:v>3</x:v>
      </x:c>
      <x:c r="C715" s="11" t="n">
        <x:v>52.8</x:v>
      </x:c>
      <x:c r="D715" s="11" t="n">
        <x:v>2.3</x:v>
      </x:c>
      <x:c r="E715" s="11" t="n">
        <x:v>4.48</x:v>
      </x:c>
      <x:c r="F715" s="11" t="n">
        <x:f>SQRT((C715-C714)^2+(D715-D714)^2+(E715-E714)^2)</x:f>
        <x:v>2.88</x:v>
      </x:c>
      <x:c r="G715" s="8" t="str">
        <x:v>Current</x:v>
      </x:c>
    </x:row>
    <x:row r="716" ht="32" customHeight="1">
      <x:c r="A716" s="8" t="str">
        <x:v>drop:LC1:L3:light:1:L154</x:v>
      </x:c>
      <x:c r="B716" s="8" t="n">
        <x:v>1</x:v>
      </x:c>
      <x:c r="C716" s="11" t="n">
        <x:v>52.8</x:v>
      </x:c>
      <x:c r="D716" s="11" t="n">
        <x:v>6.377999999999999</x:v>
      </x:c>
      <x:c r="E716" s="11" t="n">
        <x:v>7.36</x:v>
      </x:c>
      <x:c r="F716" s="11" t="n">
        <x:f>0</x:f>
        <x:v>0</x:v>
      </x:c>
      <x:c r="G716" s="8" t="str">
        <x:v>Current</x:v>
      </x:c>
    </x:row>
    <x:row r="717" ht="32" customHeight="1">
      <x:c r="A717" s="8" t="str">
        <x:v>drop:LC1:L3:light:1:L154</x:v>
      </x:c>
      <x:c r="B717" s="8" t="n">
        <x:v>2</x:v>
      </x:c>
      <x:c r="C717" s="11" t="n">
        <x:v>52.8</x:v>
      </x:c>
      <x:c r="D717" s="11" t="n">
        <x:v>2.3</x:v>
      </x:c>
      <x:c r="E717" s="11" t="n">
        <x:v>7.36</x:v>
      </x:c>
      <x:c r="F717" s="11" t="n">
        <x:f>SQRT((C717-C716)^2+(D717-D716)^2+(E717-E716)^2)</x:f>
        <x:v>4.077999999999999</x:v>
      </x:c>
      <x:c r="G717" s="8" t="str">
        <x:v>Current</x:v>
      </x:c>
    </x:row>
    <x:row r="718" ht="32" customHeight="1">
      <x:c r="A718" s="8" t="str">
        <x:v>drop:LC1:L3:light:1:L154</x:v>
      </x:c>
      <x:c r="B718" s="8" t="n">
        <x:v>3</x:v>
      </x:c>
      <x:c r="C718" s="11" t="n">
        <x:v>52.8</x:v>
      </x:c>
      <x:c r="D718" s="11" t="n">
        <x:v>2.3</x:v>
      </x:c>
      <x:c r="E718" s="11" t="n">
        <x:v>6.48</x:v>
      </x:c>
      <x:c r="F718" s="11" t="n">
        <x:f>SQRT((C718-C717)^2+(D718-D717)^2+(E718-E717)^2)</x:f>
        <x:v>0.8799999999999999</x:v>
      </x:c>
      <x:c r="G718" s="8" t="str">
        <x:v>Current</x:v>
      </x:c>
    </x:row>
    <x:row r="719" ht="32" customHeight="1">
      <x:c r="A719" s="8" t="str">
        <x:v>trunk:LC1:L4:light:-1</x:v>
      </x:c>
      <x:c r="B719" s="8" t="n">
        <x:v>1</x:v>
      </x:c>
      <x:c r="C719" s="11" t="n">
        <x:v>48.895</x:v>
      </x:c>
      <x:c r="D719" s="11" t="n">
        <x:v>1.85</x:v>
      </x:c>
      <x:c r="E719" s="11" t="n">
        <x:v>-0.55</x:v>
      </x:c>
      <x:c r="F719" s="11" t="n">
        <x:f>0</x:f>
        <x:v>0</x:v>
      </x:c>
      <x:c r="G719" s="8" t="str">
        <x:v>Current</x:v>
      </x:c>
    </x:row>
    <x:row r="720" ht="32" customHeight="1">
      <x:c r="A720" s="8" t="str">
        <x:v>trunk:LC1:L4:light:-1</x:v>
      </x:c>
      <x:c r="B720" s="8" t="n">
        <x:v>2</x:v>
      </x:c>
      <x:c r="C720" s="11" t="n">
        <x:v>48.735</x:v>
      </x:c>
      <x:c r="D720" s="11" t="n">
        <x:v>1.85</x:v>
      </x:c>
      <x:c r="E720" s="11" t="n">
        <x:v>-0.55</x:v>
      </x:c>
      <x:c r="F720" s="11" t="n">
        <x:f>SQRT((C720-C719)^2+(D720-D719)^2+(E720-E719)^2)</x:f>
        <x:v>0.1600000000000037</x:v>
      </x:c>
      <x:c r="G720" s="8" t="str">
        <x:v>Current</x:v>
      </x:c>
    </x:row>
    <x:row r="721" ht="32" customHeight="1">
      <x:c r="A721" s="8" t="str">
        <x:v>trunk:LC1:L4:light:-1</x:v>
      </x:c>
      <x:c r="B721" s="8" t="n">
        <x:v>3</x:v>
      </x:c>
      <x:c r="C721" s="11" t="n">
        <x:v>48.735</x:v>
      </x:c>
      <x:c r="D721" s="11" t="n">
        <x:v>1.85</x:v>
      </x:c>
      <x:c r="E721" s="11" t="n">
        <x:v>-2.24</x:v>
      </x:c>
      <x:c r="F721" s="11" t="n">
        <x:f>SQRT((C721-C720)^2+(D721-D720)^2+(E721-E720)^2)</x:f>
        <x:v>1.6900000000000002</x:v>
      </x:c>
      <x:c r="G721" s="8" t="str">
        <x:v>Current</x:v>
      </x:c>
    </x:row>
    <x:row r="722" ht="32" customHeight="1">
      <x:c r="A722" s="8" t="str">
        <x:v>trunk:LC1:L4:light:-1</x:v>
      </x:c>
      <x:c r="B722" s="8" t="n">
        <x:v>4</x:v>
      </x:c>
      <x:c r="C722" s="11" t="n">
        <x:v>48.735</x:v>
      </x:c>
      <x:c r="D722" s="11" t="n">
        <x:v>4.02</x:v>
      </x:c>
      <x:c r="E722" s="11" t="n">
        <x:v>-2.24</x:v>
      </x:c>
      <x:c r="F722" s="11" t="n">
        <x:f>SQRT((C722-C721)^2+(D722-D721)^2+(E722-E721)^2)</x:f>
        <x:v>2.1699999999999995</x:v>
      </x:c>
      <x:c r="G722" s="8" t="str">
        <x:v>Current</x:v>
      </x:c>
    </x:row>
    <x:row r="723" ht="32" customHeight="1">
      <x:c r="A723" s="8" t="str">
        <x:v>trunk:LC1:L4:light:-1</x:v>
      </x:c>
      <x:c r="B723" s="8" t="n">
        <x:v>5</x:v>
      </x:c>
      <x:c r="C723" s="11" t="n">
        <x:v>48.735</x:v>
      </x:c>
      <x:c r="D723" s="11" t="n">
        <x:v>4.02</x:v>
      </x:c>
      <x:c r="E723" s="11" t="n">
        <x:v>-3.6</x:v>
      </x:c>
      <x:c r="F723" s="11" t="n">
        <x:f>SQRT((C723-C722)^2+(D723-D722)^2+(E723-E722)^2)</x:f>
        <x:v>1.3599999999999999</x:v>
      </x:c>
      <x:c r="G723" s="8" t="str">
        <x:v>Current</x:v>
      </x:c>
    </x:row>
    <x:row r="724" ht="32" customHeight="1">
      <x:c r="A724" s="8" t="str">
        <x:v>trunk:LC1:L4:light:-1</x:v>
      </x:c>
      <x:c r="B724" s="8" t="n">
        <x:v>6</x:v>
      </x:c>
      <x:c r="C724" s="11" t="n">
        <x:v>53.05</x:v>
      </x:c>
      <x:c r="D724" s="11" t="n">
        <x:v>4.02</x:v>
      </x:c>
      <x:c r="E724" s="11" t="n">
        <x:v>-3.6</x:v>
      </x:c>
      <x:c r="F724" s="11" t="n">
        <x:f>SQRT((C724-C723)^2+(D724-D723)^2+(E724-E723)^2)</x:f>
        <x:v>4.314999999999998</x:v>
      </x:c>
      <x:c r="G724" s="8" t="str">
        <x:v>Current</x:v>
      </x:c>
    </x:row>
    <x:row r="725" ht="32" customHeight="1">
      <x:c r="A725" s="8" t="str">
        <x:v>trunk:LC1:L4:light:-1</x:v>
      </x:c>
      <x:c r="B725" s="8" t="n">
        <x:v>7</x:v>
      </x:c>
      <x:c r="C725" s="11" t="n">
        <x:v>53.05</x:v>
      </x:c>
      <x:c r="D725" s="11" t="n">
        <x:v>6.3919999999999995</x:v>
      </x:c>
      <x:c r="E725" s="11" t="n">
        <x:v>-3.6</x:v>
      </x:c>
      <x:c r="F725" s="11" t="n">
        <x:f>SQRT((C725-C724)^2+(D725-D724)^2+(E725-E724)^2)</x:f>
        <x:v>2.372</x:v>
      </x:c>
      <x:c r="G725" s="8" t="str">
        <x:v>Current</x:v>
      </x:c>
    </x:row>
    <x:row r="726" ht="32" customHeight="1">
      <x:c r="A726" s="8" t="str">
        <x:v>trunk:LC1:L4:light:-1</x:v>
      </x:c>
      <x:c r="B726" s="8" t="n">
        <x:v>8</x:v>
      </x:c>
      <x:c r="C726" s="11" t="n">
        <x:v>53.05</x:v>
      </x:c>
      <x:c r="D726" s="11" t="n">
        <x:v>6.3919999999999995</x:v>
      </x:c>
      <x:c r="E726" s="11" t="n">
        <x:v>-7.36</x:v>
      </x:c>
      <x:c r="F726" s="11" t="n">
        <x:f>SQRT((C726-C725)^2+(D726-D725)^2+(E726-E725)^2)</x:f>
        <x:v>3.7600000000000002</x:v>
      </x:c>
      <x:c r="G726" s="8" t="str">
        <x:v>Current</x:v>
      </x:c>
    </x:row>
    <x:row r="727" ht="32" customHeight="1">
      <x:c r="A727" s="8" t="str">
        <x:v>trunk:LC1:L4:light:-1</x:v>
      </x:c>
      <x:c r="B727" s="8" t="n">
        <x:v>9</x:v>
      </x:c>
      <x:c r="C727" s="11" t="n">
        <x:v>44.175</x:v>
      </x:c>
      <x:c r="D727" s="11" t="n">
        <x:v>6.3919999999999995</x:v>
      </x:c>
      <x:c r="E727" s="11" t="n">
        <x:v>-7.36</x:v>
      </x:c>
      <x:c r="F727" s="11" t="n">
        <x:f>SQRT((C727-C726)^2+(D727-D726)^2+(E727-E726)^2)</x:f>
        <x:v>8.875</x:v>
      </x:c>
      <x:c r="G727" s="8" t="str">
        <x:v>Current</x:v>
      </x:c>
    </x:row>
    <x:row r="728" ht="32" customHeight="1">
      <x:c r="A728" s="8" t="str">
        <x:v>trunk:LC1:L4:light:-1</x:v>
      </x:c>
      <x:c r="B728" s="8" t="n">
        <x:v>10</x:v>
      </x:c>
      <x:c r="C728" s="11" t="n">
        <x:v>44.175</x:v>
      </x:c>
      <x:c r="D728" s="11" t="n">
        <x:v>6.3919999999999995</x:v>
      </x:c>
      <x:c r="E728" s="11" t="n">
        <x:v>-13.24</x:v>
      </x:c>
      <x:c r="F728" s="11" t="n">
        <x:f>SQRT((C728-C727)^2+(D728-D727)^2+(E728-E727)^2)</x:f>
        <x:v>5.88</x:v>
      </x:c>
      <x:c r="G728" s="8" t="str">
        <x:v>Current</x:v>
      </x:c>
    </x:row>
    <x:row r="729" ht="32" customHeight="1">
      <x:c r="A729" s="8" t="str">
        <x:v>trunk:LC1:L4:light:-1</x:v>
      </x:c>
      <x:c r="B729" s="8" t="n">
        <x:v>11</x:v>
      </x:c>
      <x:c r="C729" s="11" t="n">
        <x:v>36.975</x:v>
      </x:c>
      <x:c r="D729" s="11" t="n">
        <x:v>6.3919999999999995</x:v>
      </x:c>
      <x:c r="E729" s="11" t="n">
        <x:v>-13.24</x:v>
      </x:c>
      <x:c r="F729" s="11" t="n">
        <x:f>SQRT((C729-C728)^2+(D729-D728)^2+(E729-E728)^2)</x:f>
        <x:v>7.199999999999996</x:v>
      </x:c>
      <x:c r="G729" s="8" t="str">
        <x:v>Current</x:v>
      </x:c>
    </x:row>
    <x:row r="730" ht="32" customHeight="1">
      <x:c r="A730" s="8" t="str">
        <x:v>trunk:LC1:L4:light:-1</x:v>
      </x:c>
      <x:c r="B730" s="8" t="n">
        <x:v>12</x:v>
      </x:c>
      <x:c r="C730" s="11" t="n">
        <x:v>36.975</x:v>
      </x:c>
      <x:c r="D730" s="11" t="n">
        <x:v>6.3919999999999995</x:v>
      </x:c>
      <x:c r="E730" s="11" t="n">
        <x:v>-7.36</x:v>
      </x:c>
      <x:c r="F730" s="11" t="n">
        <x:f>SQRT((C730-C729)^2+(D730-D729)^2+(E730-E729)^2)</x:f>
        <x:v>5.88</x:v>
      </x:c>
      <x:c r="G730" s="8" t="str">
        <x:v>Current</x:v>
      </x:c>
    </x:row>
    <x:row r="731" ht="32" customHeight="1">
      <x:c r="A731" s="8" t="str">
        <x:v>trunk:LC1:L4:light:-1</x:v>
      </x:c>
      <x:c r="B731" s="8" t="n">
        <x:v>13</x:v>
      </x:c>
      <x:c r="C731" s="11" t="n">
        <x:v>9.975</x:v>
      </x:c>
      <x:c r="D731" s="11" t="n">
        <x:v>6.3919999999999995</x:v>
      </x:c>
      <x:c r="E731" s="11" t="n">
        <x:v>-7.36</x:v>
      </x:c>
      <x:c r="F731" s="11" t="n">
        <x:f>SQRT((C731-C730)^2+(D731-D730)^2+(E731-E730)^2)</x:f>
        <x:v>27</x:v>
      </x:c>
      <x:c r="G731" s="8" t="str">
        <x:v>Current</x:v>
      </x:c>
    </x:row>
    <x:row r="732" ht="32" customHeight="1">
      <x:c r="A732" s="8" t="str">
        <x:v>drop:LC1:L4:light:-1:L119</x:v>
      </x:c>
      <x:c r="B732" s="8" t="n">
        <x:v>1</x:v>
      </x:c>
      <x:c r="C732" s="11" t="n">
        <x:v>9.975</x:v>
      </x:c>
      <x:c r="D732" s="11" t="n">
        <x:v>6.3919999999999995</x:v>
      </x:c>
      <x:c r="E732" s="11" t="n">
        <x:v>-7.36</x:v>
      </x:c>
      <x:c r="F732" s="11" t="n">
        <x:f>0</x:f>
        <x:v>0</x:v>
      </x:c>
      <x:c r="G732" s="8" t="str">
        <x:v>Current</x:v>
      </x:c>
    </x:row>
    <x:row r="733" ht="32" customHeight="1">
      <x:c r="A733" s="8" t="str">
        <x:v>drop:LC1:L4:light:-1:L119</x:v>
      </x:c>
      <x:c r="B733" s="8" t="n">
        <x:v>2</x:v>
      </x:c>
      <x:c r="C733" s="11" t="n">
        <x:v>9.975</x:v>
      </x:c>
      <x:c r="D733" s="11" t="n">
        <x:v>6.3919999999999995</x:v>
      </x:c>
      <x:c r="E733" s="11" t="n">
        <x:v>-8.85</x:v>
      </x:c>
      <x:c r="F733" s="11" t="n">
        <x:f>SQRT((C733-C732)^2+(D733-D732)^2+(E733-E732)^2)</x:f>
        <x:v>1.4899999999999993</x:v>
      </x:c>
      <x:c r="G733" s="8" t="str">
        <x:v>Current</x:v>
      </x:c>
    </x:row>
    <x:row r="734" ht="32" customHeight="1">
      <x:c r="A734" s="8" t="str">
        <x:v>drop:LC1:L4:light:-1:L119</x:v>
      </x:c>
      <x:c r="B734" s="8" t="n">
        <x:v>3</x:v>
      </x:c>
      <x:c r="C734" s="11" t="n">
        <x:v>9.975</x:v>
      </x:c>
      <x:c r="D734" s="11" t="n">
        <x:v>6.798875000000001</x:v>
      </x:c>
      <x:c r="E734" s="11" t="n">
        <x:v>-8.85</x:v>
      </x:c>
      <x:c r="F734" s="11" t="n">
        <x:f>SQRT((C734-C733)^2+(D734-D733)^2+(E734-E733)^2)</x:f>
        <x:v>0.4068750000000012</x:v>
      </x:c>
      <x:c r="G734" s="8" t="str">
        <x:v>Current</x:v>
      </x:c>
    </x:row>
    <x:row r="735" ht="32" customHeight="1">
      <x:c r="A735" s="8" t="str">
        <x:v>drop:LC1:L4:light:-1:L119</x:v>
      </x:c>
      <x:c r="B735" s="8" t="n">
        <x:v>4</x:v>
      </x:c>
      <x:c r="C735" s="11" t="n">
        <x:v>9.975</x:v>
      </x:c>
      <x:c r="D735" s="11" t="n">
        <x:v>4.55</x:v>
      </x:c>
      <x:c r="E735" s="11" t="n">
        <x:v>-8.85</x:v>
      </x:c>
      <x:c r="F735" s="11" t="n">
        <x:f>SQRT((C735-C734)^2+(D735-D734)^2+(E735-E734)^2)</x:f>
        <x:v>2.248875000000001</x:v>
      </x:c>
      <x:c r="G735" s="8" t="str">
        <x:v>Current</x:v>
      </x:c>
    </x:row>
    <x:row r="736" ht="32" customHeight="1">
      <x:c r="A736" s="8" t="str">
        <x:v>drop:LC1:L4:light:-1:L120</x:v>
      </x:c>
      <x:c r="B736" s="8" t="n">
        <x:v>1</x:v>
      </x:c>
      <x:c r="C736" s="11" t="n">
        <x:v>14.475</x:v>
      </x:c>
      <x:c r="D736" s="11" t="n">
        <x:v>6.3919999999999995</x:v>
      </x:c>
      <x:c r="E736" s="11" t="n">
        <x:v>-7.36</x:v>
      </x:c>
      <x:c r="F736" s="11" t="n">
        <x:f>0</x:f>
        <x:v>0</x:v>
      </x:c>
      <x:c r="G736" s="8" t="str">
        <x:v>Current</x:v>
      </x:c>
    </x:row>
    <x:row r="737" ht="32" customHeight="1">
      <x:c r="A737" s="8" t="str">
        <x:v>drop:LC1:L4:light:-1:L120</x:v>
      </x:c>
      <x:c r="B737" s="8" t="n">
        <x:v>2</x:v>
      </x:c>
      <x:c r="C737" s="11" t="n">
        <x:v>14.475</x:v>
      </x:c>
      <x:c r="D737" s="11" t="n">
        <x:v>6.3919999999999995</x:v>
      </x:c>
      <x:c r="E737" s="11" t="n">
        <x:v>-8.85</x:v>
      </x:c>
      <x:c r="F737" s="11" t="n">
        <x:f>SQRT((C737-C736)^2+(D737-D736)^2+(E737-E736)^2)</x:f>
        <x:v>1.4899999999999993</x:v>
      </x:c>
      <x:c r="G737" s="8" t="str">
        <x:v>Current</x:v>
      </x:c>
    </x:row>
    <x:row r="738" ht="32" customHeight="1">
      <x:c r="A738" s="8" t="str">
        <x:v>drop:LC1:L4:light:-1:L120</x:v>
      </x:c>
      <x:c r="B738" s="8" t="n">
        <x:v>3</x:v>
      </x:c>
      <x:c r="C738" s="11" t="n">
        <x:v>14.475</x:v>
      </x:c>
      <x:c r="D738" s="11" t="n">
        <x:v>6.798875000000001</x:v>
      </x:c>
      <x:c r="E738" s="11" t="n">
        <x:v>-8.85</x:v>
      </x:c>
      <x:c r="F738" s="11" t="n">
        <x:f>SQRT((C738-C737)^2+(D738-D737)^2+(E738-E737)^2)</x:f>
        <x:v>0.4068750000000012</x:v>
      </x:c>
      <x:c r="G738" s="8" t="str">
        <x:v>Current</x:v>
      </x:c>
    </x:row>
    <x:row r="739" ht="32" customHeight="1">
      <x:c r="A739" s="8" t="str">
        <x:v>drop:LC1:L4:light:-1:L120</x:v>
      </x:c>
      <x:c r="B739" s="8" t="n">
        <x:v>4</x:v>
      </x:c>
      <x:c r="C739" s="11" t="n">
        <x:v>14.475</x:v>
      </x:c>
      <x:c r="D739" s="11" t="n">
        <x:v>4.55</x:v>
      </x:c>
      <x:c r="E739" s="11" t="n">
        <x:v>-8.85</x:v>
      </x:c>
      <x:c r="F739" s="11" t="n">
        <x:f>SQRT((C739-C738)^2+(D739-D738)^2+(E739-E738)^2)</x:f>
        <x:v>2.248875000000001</x:v>
      </x:c>
      <x:c r="G739" s="8" t="str">
        <x:v>Current</x:v>
      </x:c>
    </x:row>
    <x:row r="740" ht="32" customHeight="1">
      <x:c r="A740" s="8" t="str">
        <x:v>drop:LC1:L4:light:-1:L121</x:v>
      </x:c>
      <x:c r="B740" s="8" t="n">
        <x:v>1</x:v>
      </x:c>
      <x:c r="C740" s="11" t="n">
        <x:v>18.975</x:v>
      </x:c>
      <x:c r="D740" s="11" t="n">
        <x:v>6.3919999999999995</x:v>
      </x:c>
      <x:c r="E740" s="11" t="n">
        <x:v>-7.36</x:v>
      </x:c>
      <x:c r="F740" s="11" t="n">
        <x:f>0</x:f>
        <x:v>0</x:v>
      </x:c>
      <x:c r="G740" s="8" t="str">
        <x:v>Current</x:v>
      </x:c>
    </x:row>
    <x:row r="741" ht="32" customHeight="1">
      <x:c r="A741" s="8" t="str">
        <x:v>drop:LC1:L4:light:-1:L121</x:v>
      </x:c>
      <x:c r="B741" s="8" t="n">
        <x:v>2</x:v>
      </x:c>
      <x:c r="C741" s="11" t="n">
        <x:v>18.975</x:v>
      </x:c>
      <x:c r="D741" s="11" t="n">
        <x:v>6.3919999999999995</x:v>
      </x:c>
      <x:c r="E741" s="11" t="n">
        <x:v>-8.85</x:v>
      </x:c>
      <x:c r="F741" s="11" t="n">
        <x:f>SQRT((C741-C740)^2+(D741-D740)^2+(E741-E740)^2)</x:f>
        <x:v>1.4899999999999993</x:v>
      </x:c>
      <x:c r="G741" s="8" t="str">
        <x:v>Current</x:v>
      </x:c>
    </x:row>
    <x:row r="742" ht="32" customHeight="1">
      <x:c r="A742" s="8" t="str">
        <x:v>drop:LC1:L4:light:-1:L121</x:v>
      </x:c>
      <x:c r="B742" s="8" t="n">
        <x:v>3</x:v>
      </x:c>
      <x:c r="C742" s="11" t="n">
        <x:v>18.975</x:v>
      </x:c>
      <x:c r="D742" s="11" t="n">
        <x:v>6.798875000000001</x:v>
      </x:c>
      <x:c r="E742" s="11" t="n">
        <x:v>-8.85</x:v>
      </x:c>
      <x:c r="F742" s="11" t="n">
        <x:f>SQRT((C742-C741)^2+(D742-D741)^2+(E742-E741)^2)</x:f>
        <x:v>0.4068750000000012</x:v>
      </x:c>
      <x:c r="G742" s="8" t="str">
        <x:v>Current</x:v>
      </x:c>
    </x:row>
    <x:row r="743" ht="32" customHeight="1">
      <x:c r="A743" s="8" t="str">
        <x:v>drop:LC1:L4:light:-1:L121</x:v>
      </x:c>
      <x:c r="B743" s="8" t="n">
        <x:v>4</x:v>
      </x:c>
      <x:c r="C743" s="11" t="n">
        <x:v>18.975</x:v>
      </x:c>
      <x:c r="D743" s="11" t="n">
        <x:v>4.55</x:v>
      </x:c>
      <x:c r="E743" s="11" t="n">
        <x:v>-8.85</x:v>
      </x:c>
      <x:c r="F743" s="11" t="n">
        <x:f>SQRT((C743-C742)^2+(D743-D742)^2+(E743-E742)^2)</x:f>
        <x:v>2.248875000000001</x:v>
      </x:c>
      <x:c r="G743" s="8" t="str">
        <x:v>Current</x:v>
      </x:c>
    </x:row>
    <x:row r="744" ht="32" customHeight="1">
      <x:c r="A744" s="8" t="str">
        <x:v>drop:LC1:L4:light:-1:L122</x:v>
      </x:c>
      <x:c r="B744" s="8" t="n">
        <x:v>1</x:v>
      </x:c>
      <x:c r="C744" s="11" t="n">
        <x:v>23.475</x:v>
      </x:c>
      <x:c r="D744" s="11" t="n">
        <x:v>6.3919999999999995</x:v>
      </x:c>
      <x:c r="E744" s="11" t="n">
        <x:v>-7.36</x:v>
      </x:c>
      <x:c r="F744" s="11" t="n">
        <x:f>0</x:f>
        <x:v>0</x:v>
      </x:c>
      <x:c r="G744" s="8" t="str">
        <x:v>Current</x:v>
      </x:c>
    </x:row>
    <x:row r="745" ht="32" customHeight="1">
      <x:c r="A745" s="8" t="str">
        <x:v>drop:LC1:L4:light:-1:L122</x:v>
      </x:c>
      <x:c r="B745" s="8" t="n">
        <x:v>2</x:v>
      </x:c>
      <x:c r="C745" s="11" t="n">
        <x:v>23.475</x:v>
      </x:c>
      <x:c r="D745" s="11" t="n">
        <x:v>6.3919999999999995</x:v>
      </x:c>
      <x:c r="E745" s="11" t="n">
        <x:v>-8.85</x:v>
      </x:c>
      <x:c r="F745" s="11" t="n">
        <x:f>SQRT((C745-C744)^2+(D745-D744)^2+(E745-E744)^2)</x:f>
        <x:v>1.4899999999999993</x:v>
      </x:c>
      <x:c r="G745" s="8" t="str">
        <x:v>Current</x:v>
      </x:c>
    </x:row>
    <x:row r="746" ht="32" customHeight="1">
      <x:c r="A746" s="8" t="str">
        <x:v>drop:LC1:L4:light:-1:L122</x:v>
      </x:c>
      <x:c r="B746" s="8" t="n">
        <x:v>3</x:v>
      </x:c>
      <x:c r="C746" s="11" t="n">
        <x:v>23.475</x:v>
      </x:c>
      <x:c r="D746" s="11" t="n">
        <x:v>6.798875000000001</x:v>
      </x:c>
      <x:c r="E746" s="11" t="n">
        <x:v>-8.85</x:v>
      </x:c>
      <x:c r="F746" s="11" t="n">
        <x:f>SQRT((C746-C745)^2+(D746-D745)^2+(E746-E745)^2)</x:f>
        <x:v>0.4068750000000012</x:v>
      </x:c>
      <x:c r="G746" s="8" t="str">
        <x:v>Current</x:v>
      </x:c>
    </x:row>
    <x:row r="747" ht="32" customHeight="1">
      <x:c r="A747" s="8" t="str">
        <x:v>drop:LC1:L4:light:-1:L122</x:v>
      </x:c>
      <x:c r="B747" s="8" t="n">
        <x:v>4</x:v>
      </x:c>
      <x:c r="C747" s="11" t="n">
        <x:v>23.475</x:v>
      </x:c>
      <x:c r="D747" s="11" t="n">
        <x:v>4.55</x:v>
      </x:c>
      <x:c r="E747" s="11" t="n">
        <x:v>-8.85</x:v>
      </x:c>
      <x:c r="F747" s="11" t="n">
        <x:f>SQRT((C747-C746)^2+(D747-D746)^2+(E747-E746)^2)</x:f>
        <x:v>2.248875000000001</x:v>
      </x:c>
      <x:c r="G747" s="8" t="str">
        <x:v>Current</x:v>
      </x:c>
    </x:row>
    <x:row r="748" ht="32" customHeight="1">
      <x:c r="A748" s="8" t="str">
        <x:v>drop:LC1:L4:light:-1:L123</x:v>
      </x:c>
      <x:c r="B748" s="8" t="n">
        <x:v>1</x:v>
      </x:c>
      <x:c r="C748" s="11" t="n">
        <x:v>27.975</x:v>
      </x:c>
      <x:c r="D748" s="11" t="n">
        <x:v>6.3919999999999995</x:v>
      </x:c>
      <x:c r="E748" s="11" t="n">
        <x:v>-7.36</x:v>
      </x:c>
      <x:c r="F748" s="11" t="n">
        <x:f>0</x:f>
        <x:v>0</x:v>
      </x:c>
      <x:c r="G748" s="8" t="str">
        <x:v>Current</x:v>
      </x:c>
    </x:row>
    <x:row r="749" ht="32" customHeight="1">
      <x:c r="A749" s="8" t="str">
        <x:v>drop:LC1:L4:light:-1:L123</x:v>
      </x:c>
      <x:c r="B749" s="8" t="n">
        <x:v>2</x:v>
      </x:c>
      <x:c r="C749" s="11" t="n">
        <x:v>27.975</x:v>
      </x:c>
      <x:c r="D749" s="11" t="n">
        <x:v>6.3919999999999995</x:v>
      </x:c>
      <x:c r="E749" s="11" t="n">
        <x:v>-8.85</x:v>
      </x:c>
      <x:c r="F749" s="11" t="n">
        <x:f>SQRT((C749-C748)^2+(D749-D748)^2+(E749-E748)^2)</x:f>
        <x:v>1.4899999999999993</x:v>
      </x:c>
      <x:c r="G749" s="8" t="str">
        <x:v>Current</x:v>
      </x:c>
    </x:row>
    <x:row r="750" ht="32" customHeight="1">
      <x:c r="A750" s="8" t="str">
        <x:v>drop:LC1:L4:light:-1:L123</x:v>
      </x:c>
      <x:c r="B750" s="8" t="n">
        <x:v>3</x:v>
      </x:c>
      <x:c r="C750" s="11" t="n">
        <x:v>27.975</x:v>
      </x:c>
      <x:c r="D750" s="11" t="n">
        <x:v>6.798875000000001</x:v>
      </x:c>
      <x:c r="E750" s="11" t="n">
        <x:v>-8.85</x:v>
      </x:c>
      <x:c r="F750" s="11" t="n">
        <x:f>SQRT((C750-C749)^2+(D750-D749)^2+(E750-E749)^2)</x:f>
        <x:v>0.4068750000000012</x:v>
      </x:c>
      <x:c r="G750" s="8" t="str">
        <x:v>Current</x:v>
      </x:c>
    </x:row>
    <x:row r="751" ht="32" customHeight="1">
      <x:c r="A751" s="8" t="str">
        <x:v>drop:LC1:L4:light:-1:L123</x:v>
      </x:c>
      <x:c r="B751" s="8" t="n">
        <x:v>4</x:v>
      </x:c>
      <x:c r="C751" s="11" t="n">
        <x:v>27.975</x:v>
      </x:c>
      <x:c r="D751" s="11" t="n">
        <x:v>4.55</x:v>
      </x:c>
      <x:c r="E751" s="11" t="n">
        <x:v>-8.85</x:v>
      </x:c>
      <x:c r="F751" s="11" t="n">
        <x:f>SQRT((C751-C750)^2+(D751-D750)^2+(E751-E750)^2)</x:f>
        <x:v>2.248875000000001</x:v>
      </x:c>
      <x:c r="G751" s="8" t="str">
        <x:v>Current</x:v>
      </x:c>
    </x:row>
    <x:row r="752" ht="32" customHeight="1">
      <x:c r="A752" s="8" t="str">
        <x:v>drop:LC1:L4:light:-1:L124</x:v>
      </x:c>
      <x:c r="B752" s="8" t="n">
        <x:v>1</x:v>
      </x:c>
      <x:c r="C752" s="11" t="n">
        <x:v>32.475</x:v>
      </x:c>
      <x:c r="D752" s="11" t="n">
        <x:v>6.3919999999999995</x:v>
      </x:c>
      <x:c r="E752" s="11" t="n">
        <x:v>-7.36</x:v>
      </x:c>
      <x:c r="F752" s="11" t="n">
        <x:f>0</x:f>
        <x:v>0</x:v>
      </x:c>
      <x:c r="G752" s="8" t="str">
        <x:v>Current</x:v>
      </x:c>
    </x:row>
    <x:row r="753" ht="32" customHeight="1">
      <x:c r="A753" s="8" t="str">
        <x:v>drop:LC1:L4:light:-1:L124</x:v>
      </x:c>
      <x:c r="B753" s="8" t="n">
        <x:v>2</x:v>
      </x:c>
      <x:c r="C753" s="11" t="n">
        <x:v>32.475</x:v>
      </x:c>
      <x:c r="D753" s="11" t="n">
        <x:v>6.3919999999999995</x:v>
      </x:c>
      <x:c r="E753" s="11" t="n">
        <x:v>-8.85</x:v>
      </x:c>
      <x:c r="F753" s="11" t="n">
        <x:f>SQRT((C753-C752)^2+(D753-D752)^2+(E753-E752)^2)</x:f>
        <x:v>1.4899999999999993</x:v>
      </x:c>
      <x:c r="G753" s="8" t="str">
        <x:v>Current</x:v>
      </x:c>
    </x:row>
    <x:row r="754" ht="32" customHeight="1">
      <x:c r="A754" s="8" t="str">
        <x:v>drop:LC1:L4:light:-1:L124</x:v>
      </x:c>
      <x:c r="B754" s="8" t="n">
        <x:v>3</x:v>
      </x:c>
      <x:c r="C754" s="11" t="n">
        <x:v>32.475</x:v>
      </x:c>
      <x:c r="D754" s="11" t="n">
        <x:v>6.798875000000001</x:v>
      </x:c>
      <x:c r="E754" s="11" t="n">
        <x:v>-8.85</x:v>
      </x:c>
      <x:c r="F754" s="11" t="n">
        <x:f>SQRT((C754-C753)^2+(D754-D753)^2+(E754-E753)^2)</x:f>
        <x:v>0.4068750000000012</x:v>
      </x:c>
      <x:c r="G754" s="8" t="str">
        <x:v>Current</x:v>
      </x:c>
    </x:row>
    <x:row r="755" ht="32" customHeight="1">
      <x:c r="A755" s="8" t="str">
        <x:v>drop:LC1:L4:light:-1:L124</x:v>
      </x:c>
      <x:c r="B755" s="8" t="n">
        <x:v>4</x:v>
      </x:c>
      <x:c r="C755" s="11" t="n">
        <x:v>32.475</x:v>
      </x:c>
      <x:c r="D755" s="11" t="n">
        <x:v>4.55</x:v>
      </x:c>
      <x:c r="E755" s="11" t="n">
        <x:v>-8.85</x:v>
      </x:c>
      <x:c r="F755" s="11" t="n">
        <x:f>SQRT((C755-C754)^2+(D755-D754)^2+(E755-E754)^2)</x:f>
        <x:v>2.248875000000001</x:v>
      </x:c>
      <x:c r="G755" s="8" t="str">
        <x:v>Current</x:v>
      </x:c>
    </x:row>
    <x:row r="756" ht="32" customHeight="1">
      <x:c r="A756" s="8" t="str">
        <x:v>drop:LC1:L4:light:-1:L125</x:v>
      </x:c>
      <x:c r="B756" s="8" t="n">
        <x:v>1</x:v>
      </x:c>
      <x:c r="C756" s="11" t="n">
        <x:v>36.975</x:v>
      </x:c>
      <x:c r="D756" s="11" t="n">
        <x:v>6.3919999999999995</x:v>
      </x:c>
      <x:c r="E756" s="11" t="n">
        <x:v>-13.24</x:v>
      </x:c>
      <x:c r="F756" s="11" t="n">
        <x:f>0</x:f>
        <x:v>0</x:v>
      </x:c>
      <x:c r="G756" s="8" t="str">
        <x:v>Current</x:v>
      </x:c>
    </x:row>
    <x:row r="757" ht="32" customHeight="1">
      <x:c r="A757" s="8" t="str">
        <x:v>drop:LC1:L4:light:-1:L125</x:v>
      </x:c>
      <x:c r="B757" s="8" t="n">
        <x:v>2</x:v>
      </x:c>
      <x:c r="C757" s="11" t="n">
        <x:v>36.975</x:v>
      </x:c>
      <x:c r="D757" s="11" t="n">
        <x:v>6.3919999999999995</x:v>
      </x:c>
      <x:c r="E757" s="11" t="n">
        <x:v>-8.85</x:v>
      </x:c>
      <x:c r="F757" s="11" t="n">
        <x:f>SQRT((C757-C756)^2+(D757-D756)^2+(E757-E756)^2)</x:f>
        <x:v>4.390000000000001</x:v>
      </x:c>
      <x:c r="G757" s="8" t="str">
        <x:v>Current</x:v>
      </x:c>
    </x:row>
    <x:row r="758" ht="32" customHeight="1">
      <x:c r="A758" s="8" t="str">
        <x:v>drop:LC1:L4:light:-1:L125</x:v>
      </x:c>
      <x:c r="B758" s="8" t="n">
        <x:v>3</x:v>
      </x:c>
      <x:c r="C758" s="11" t="n">
        <x:v>36.975</x:v>
      </x:c>
      <x:c r="D758" s="11" t="n">
        <x:v>6.798875000000001</x:v>
      </x:c>
      <x:c r="E758" s="11" t="n">
        <x:v>-8.85</x:v>
      </x:c>
      <x:c r="F758" s="11" t="n">
        <x:f>SQRT((C758-C757)^2+(D758-D757)^2+(E758-E757)^2)</x:f>
        <x:v>0.4068750000000012</x:v>
      </x:c>
      <x:c r="G758" s="8" t="str">
        <x:v>Current</x:v>
      </x:c>
    </x:row>
    <x:row r="759" ht="32" customHeight="1">
      <x:c r="A759" s="8" t="str">
        <x:v>drop:LC1:L4:light:-1:L125</x:v>
      </x:c>
      <x:c r="B759" s="8" t="n">
        <x:v>4</x:v>
      </x:c>
      <x:c r="C759" s="11" t="n">
        <x:v>36.975</x:v>
      </x:c>
      <x:c r="D759" s="11" t="n">
        <x:v>4.55</x:v>
      </x:c>
      <x:c r="E759" s="11" t="n">
        <x:v>-8.85</x:v>
      </x:c>
      <x:c r="F759" s="11" t="n">
        <x:f>SQRT((C759-C758)^2+(D759-D758)^2+(E759-E758)^2)</x:f>
        <x:v>2.248875000000001</x:v>
      </x:c>
      <x:c r="G759" s="8" t="str">
        <x:v>Current</x:v>
      </x:c>
    </x:row>
    <x:row r="760" ht="32" customHeight="1">
      <x:c r="A760" s="8" t="str">
        <x:v>drop:LC1:L4:light:-1:L126</x:v>
      </x:c>
      <x:c r="B760" s="8" t="n">
        <x:v>1</x:v>
      </x:c>
      <x:c r="C760" s="11" t="n">
        <x:v>44.175</x:v>
      </x:c>
      <x:c r="D760" s="11" t="n">
        <x:v>6.3919999999999995</x:v>
      </x:c>
      <x:c r="E760" s="11" t="n">
        <x:v>-7.36</x:v>
      </x:c>
      <x:c r="F760" s="11" t="n">
        <x:f>0</x:f>
        <x:v>0</x:v>
      </x:c>
      <x:c r="G760" s="8" t="str">
        <x:v>Current</x:v>
      </x:c>
    </x:row>
    <x:row r="761" ht="32" customHeight="1">
      <x:c r="A761" s="8" t="str">
        <x:v>drop:LC1:L4:light:-1:L126</x:v>
      </x:c>
      <x:c r="B761" s="8" t="n">
        <x:v>2</x:v>
      </x:c>
      <x:c r="C761" s="11" t="n">
        <x:v>44.175</x:v>
      </x:c>
      <x:c r="D761" s="11" t="n">
        <x:v>6.3919999999999995</x:v>
      </x:c>
      <x:c r="E761" s="11" t="n">
        <x:v>-8.85</x:v>
      </x:c>
      <x:c r="F761" s="11" t="n">
        <x:f>SQRT((C761-C760)^2+(D761-D760)^2+(E761-E760)^2)</x:f>
        <x:v>1.4899999999999993</x:v>
      </x:c>
      <x:c r="G761" s="8" t="str">
        <x:v>Current</x:v>
      </x:c>
    </x:row>
    <x:row r="762" ht="32" customHeight="1">
      <x:c r="A762" s="8" t="str">
        <x:v>drop:LC1:L4:light:-1:L126</x:v>
      </x:c>
      <x:c r="B762" s="8" t="n">
        <x:v>3</x:v>
      </x:c>
      <x:c r="C762" s="11" t="n">
        <x:v>44.175</x:v>
      </x:c>
      <x:c r="D762" s="11" t="n">
        <x:v>6.798875000000001</x:v>
      </x:c>
      <x:c r="E762" s="11" t="n">
        <x:v>-8.85</x:v>
      </x:c>
      <x:c r="F762" s="11" t="n">
        <x:f>SQRT((C762-C761)^2+(D762-D761)^2+(E762-E761)^2)</x:f>
        <x:v>0.4068750000000012</x:v>
      </x:c>
      <x:c r="G762" s="8" t="str">
        <x:v>Current</x:v>
      </x:c>
    </x:row>
    <x:row r="763" ht="32" customHeight="1">
      <x:c r="A763" s="8" t="str">
        <x:v>drop:LC1:L4:light:-1:L126</x:v>
      </x:c>
      <x:c r="B763" s="8" t="n">
        <x:v>4</x:v>
      </x:c>
      <x:c r="C763" s="11" t="n">
        <x:v>44.175</x:v>
      </x:c>
      <x:c r="D763" s="11" t="n">
        <x:v>4.55</x:v>
      </x:c>
      <x:c r="E763" s="11" t="n">
        <x:v>-8.85</x:v>
      </x:c>
      <x:c r="F763" s="11" t="n">
        <x:f>SQRT((C763-C762)^2+(D763-D762)^2+(E763-E762)^2)</x:f>
        <x:v>2.248875000000001</x:v>
      </x:c>
      <x:c r="G763" s="8" t="str">
        <x:v>Current</x:v>
      </x:c>
    </x:row>
    <x:row r="764" ht="32" customHeight="1">
      <x:c r="A764" s="8" t="str">
        <x:v>drop:LC1:L4:light:-1:L127</x:v>
      </x:c>
      <x:c r="B764" s="8" t="n">
        <x:v>1</x:v>
      </x:c>
      <x:c r="C764" s="11" t="n">
        <x:v>48.675</x:v>
      </x:c>
      <x:c r="D764" s="11" t="n">
        <x:v>6.3919999999999995</x:v>
      </x:c>
      <x:c r="E764" s="11" t="n">
        <x:v>-7.36</x:v>
      </x:c>
      <x:c r="F764" s="11" t="n">
        <x:f>0</x:f>
        <x:v>0</x:v>
      </x:c>
      <x:c r="G764" s="8" t="str">
        <x:v>Current</x:v>
      </x:c>
    </x:row>
    <x:row r="765" ht="32" customHeight="1">
      <x:c r="A765" s="8" t="str">
        <x:v>drop:LC1:L4:light:-1:L127</x:v>
      </x:c>
      <x:c r="B765" s="8" t="n">
        <x:v>2</x:v>
      </x:c>
      <x:c r="C765" s="11" t="n">
        <x:v>48.675</x:v>
      </x:c>
      <x:c r="D765" s="11" t="n">
        <x:v>6.3919999999999995</x:v>
      </x:c>
      <x:c r="E765" s="11" t="n">
        <x:v>-8.85</x:v>
      </x:c>
      <x:c r="F765" s="11" t="n">
        <x:f>SQRT((C765-C764)^2+(D765-D764)^2+(E765-E764)^2)</x:f>
        <x:v>1.4899999999999993</x:v>
      </x:c>
      <x:c r="G765" s="8" t="str">
        <x:v>Current</x:v>
      </x:c>
    </x:row>
    <x:row r="766" ht="32" customHeight="1">
      <x:c r="A766" s="8" t="str">
        <x:v>drop:LC1:L4:light:-1:L127</x:v>
      </x:c>
      <x:c r="B766" s="8" t="n">
        <x:v>3</x:v>
      </x:c>
      <x:c r="C766" s="11" t="n">
        <x:v>48.675</x:v>
      </x:c>
      <x:c r="D766" s="11" t="n">
        <x:v>6.798875000000001</x:v>
      </x:c>
      <x:c r="E766" s="11" t="n">
        <x:v>-8.85</x:v>
      </x:c>
      <x:c r="F766" s="11" t="n">
        <x:f>SQRT((C766-C765)^2+(D766-D765)^2+(E766-E765)^2)</x:f>
        <x:v>0.4068750000000012</x:v>
      </x:c>
      <x:c r="G766" s="8" t="str">
        <x:v>Current</x:v>
      </x:c>
    </x:row>
    <x:row r="767" ht="32" customHeight="1">
      <x:c r="A767" s="8" t="str">
        <x:v>drop:LC1:L4:light:-1:L127</x:v>
      </x:c>
      <x:c r="B767" s="8" t="n">
        <x:v>4</x:v>
      </x:c>
      <x:c r="C767" s="11" t="n">
        <x:v>48.675</x:v>
      </x:c>
      <x:c r="D767" s="11" t="n">
        <x:v>4.55</x:v>
      </x:c>
      <x:c r="E767" s="11" t="n">
        <x:v>-8.85</x:v>
      </x:c>
      <x:c r="F767" s="11" t="n">
        <x:f>SQRT((C767-C766)^2+(D767-D766)^2+(E767-E766)^2)</x:f>
        <x:v>2.248875000000001</x:v>
      </x:c>
      <x:c r="G767" s="8" t="str">
        <x:v>Current</x:v>
      </x:c>
    </x:row>
    <x:row r="768" ht="32" customHeight="1">
      <x:c r="A768" s="8" t="str">
        <x:v>trunk:LC1:L4:light:1</x:v>
      </x:c>
      <x:c r="B768" s="8" t="n">
        <x:v>1</x:v>
      </x:c>
      <x:c r="C768" s="11" t="n">
        <x:v>48.895</x:v>
      </x:c>
      <x:c r="D768" s="11" t="n">
        <x:v>1.85</x:v>
      </x:c>
      <x:c r="E768" s="11" t="n">
        <x:v>-0.55</x:v>
      </x:c>
      <x:c r="F768" s="11" t="n">
        <x:f>0</x:f>
        <x:v>0</x:v>
      </x:c>
      <x:c r="G768" s="8" t="str">
        <x:v>Current</x:v>
      </x:c>
    </x:row>
    <x:row r="769" ht="32" customHeight="1">
      <x:c r="A769" s="8" t="str">
        <x:v>trunk:LC1:L4:light:1</x:v>
      </x:c>
      <x:c r="B769" s="8" t="n">
        <x:v>2</x:v>
      </x:c>
      <x:c r="C769" s="11" t="n">
        <x:v>48.735</x:v>
      </x:c>
      <x:c r="D769" s="11" t="n">
        <x:v>1.85</x:v>
      </x:c>
      <x:c r="E769" s="11" t="n">
        <x:v>-0.55</x:v>
      </x:c>
      <x:c r="F769" s="11" t="n">
        <x:f>SQRT((C769-C768)^2+(D769-D768)^2+(E769-E768)^2)</x:f>
        <x:v>0.1600000000000037</x:v>
      </x:c>
      <x:c r="G769" s="8" t="str">
        <x:v>Current</x:v>
      </x:c>
    </x:row>
    <x:row r="770" ht="32" customHeight="1">
      <x:c r="A770" s="8" t="str">
        <x:v>trunk:LC1:L4:light:1</x:v>
      </x:c>
      <x:c r="B770" s="8" t="n">
        <x:v>3</x:v>
      </x:c>
      <x:c r="C770" s="11" t="n">
        <x:v>48.735</x:v>
      </x:c>
      <x:c r="D770" s="11" t="n">
        <x:v>1.85</x:v>
      </x:c>
      <x:c r="E770" s="11" t="n">
        <x:v>-2.24</x:v>
      </x:c>
      <x:c r="F770" s="11" t="n">
        <x:f>SQRT((C770-C769)^2+(D770-D769)^2+(E770-E769)^2)</x:f>
        <x:v>1.6900000000000002</x:v>
      </x:c>
      <x:c r="G770" s="8" t="str">
        <x:v>Current</x:v>
      </x:c>
    </x:row>
    <x:row r="771" ht="32" customHeight="1">
      <x:c r="A771" s="8" t="str">
        <x:v>trunk:LC1:L4:light:1</x:v>
      </x:c>
      <x:c r="B771" s="8" t="n">
        <x:v>4</x:v>
      </x:c>
      <x:c r="C771" s="11" t="n">
        <x:v>48.735</x:v>
      </x:c>
      <x:c r="D771" s="11" t="n">
        <x:v>4.02</x:v>
      </x:c>
      <x:c r="E771" s="11" t="n">
        <x:v>-2.24</x:v>
      </x:c>
      <x:c r="F771" s="11" t="n">
        <x:f>SQRT((C771-C770)^2+(D771-D770)^2+(E771-E770)^2)</x:f>
        <x:v>2.1699999999999995</x:v>
      </x:c>
      <x:c r="G771" s="8" t="str">
        <x:v>Current</x:v>
      </x:c>
    </x:row>
    <x:row r="772" ht="32" customHeight="1">
      <x:c r="A772" s="8" t="str">
        <x:v>trunk:LC1:L4:light:1</x:v>
      </x:c>
      <x:c r="B772" s="8" t="n">
        <x:v>5</x:v>
      </x:c>
      <x:c r="C772" s="11" t="n">
        <x:v>48.735</x:v>
      </x:c>
      <x:c r="D772" s="11" t="n">
        <x:v>4.02</x:v>
      </x:c>
      <x:c r="E772" s="11" t="n">
        <x:v>-3.6</x:v>
      </x:c>
      <x:c r="F772" s="11" t="n">
        <x:f>SQRT((C772-C771)^2+(D772-D771)^2+(E772-E771)^2)</x:f>
        <x:v>1.3599999999999999</x:v>
      </x:c>
      <x:c r="G772" s="8" t="str">
        <x:v>Current</x:v>
      </x:c>
    </x:row>
    <x:row r="773" ht="32" customHeight="1">
      <x:c r="A773" s="8" t="str">
        <x:v>trunk:LC1:L4:light:1</x:v>
      </x:c>
      <x:c r="B773" s="8" t="n">
        <x:v>6</x:v>
      </x:c>
      <x:c r="C773" s="11" t="n">
        <x:v>53.05</x:v>
      </x:c>
      <x:c r="D773" s="11" t="n">
        <x:v>4.02</x:v>
      </x:c>
      <x:c r="E773" s="11" t="n">
        <x:v>-3.6</x:v>
      </x:c>
      <x:c r="F773" s="11" t="n">
        <x:f>SQRT((C773-C772)^2+(D773-D772)^2+(E773-E772)^2)</x:f>
        <x:v>4.314999999999998</x:v>
      </x:c>
      <x:c r="G773" s="8" t="str">
        <x:v>Current</x:v>
      </x:c>
    </x:row>
    <x:row r="774" ht="32" customHeight="1">
      <x:c r="A774" s="8" t="str">
        <x:v>trunk:LC1:L4:light:1</x:v>
      </x:c>
      <x:c r="B774" s="8" t="n">
        <x:v>7</x:v>
      </x:c>
      <x:c r="C774" s="11" t="n">
        <x:v>53.05</x:v>
      </x:c>
      <x:c r="D774" s="11" t="n">
        <x:v>6.3919999999999995</x:v>
      </x:c>
      <x:c r="E774" s="11" t="n">
        <x:v>-3.6</x:v>
      </x:c>
      <x:c r="F774" s="11" t="n">
        <x:f>SQRT((C774-C773)^2+(D774-D773)^2+(E774-E773)^2)</x:f>
        <x:v>2.372</x:v>
      </x:c>
      <x:c r="G774" s="8" t="str">
        <x:v>Current</x:v>
      </x:c>
    </x:row>
    <x:row r="775" ht="32" customHeight="1">
      <x:c r="A775" s="8" t="str">
        <x:v>trunk:LC1:L4:light:1</x:v>
      </x:c>
      <x:c r="B775" s="8" t="n">
        <x:v>8</x:v>
      </x:c>
      <x:c r="C775" s="11" t="n">
        <x:v>53.05</x:v>
      </x:c>
      <x:c r="D775" s="11" t="n">
        <x:v>6.3919999999999995</x:v>
      </x:c>
      <x:c r="E775" s="11" t="n">
        <x:v>7.36</x:v>
      </x:c>
      <x:c r="F775" s="11" t="n">
        <x:f>SQRT((C775-C774)^2+(D775-D774)^2+(E775-E774)^2)</x:f>
        <x:v>10.96</x:v>
      </x:c>
      <x:c r="G775" s="8" t="str">
        <x:v>Current</x:v>
      </x:c>
    </x:row>
    <x:row r="776" ht="32" customHeight="1">
      <x:c r="A776" s="8" t="str">
        <x:v>trunk:LC1:L4:light:1</x:v>
      </x:c>
      <x:c r="B776" s="8" t="n">
        <x:v>9</x:v>
      </x:c>
      <x:c r="C776" s="11" t="n">
        <x:v>44.175</x:v>
      </x:c>
      <x:c r="D776" s="11" t="n">
        <x:v>6.3919999999999995</x:v>
      </x:c>
      <x:c r="E776" s="11" t="n">
        <x:v>7.36</x:v>
      </x:c>
      <x:c r="F776" s="11" t="n">
        <x:f>SQRT((C776-C775)^2+(D776-D775)^2+(E776-E775)^2)</x:f>
        <x:v>8.875</x:v>
      </x:c>
      <x:c r="G776" s="8" t="str">
        <x:v>Current</x:v>
      </x:c>
    </x:row>
    <x:row r="777" ht="32" customHeight="1">
      <x:c r="A777" s="8" t="str">
        <x:v>trunk:LC1:L4:light:1</x:v>
      </x:c>
      <x:c r="B777" s="8" t="n">
        <x:v>10</x:v>
      </x:c>
      <x:c r="C777" s="11" t="n">
        <x:v>44.175</x:v>
      </x:c>
      <x:c r="D777" s="11" t="n">
        <x:v>6.3919999999999995</x:v>
      </x:c>
      <x:c r="E777" s="11" t="n">
        <x:v>13.24</x:v>
      </x:c>
      <x:c r="F777" s="11" t="n">
        <x:f>SQRT((C777-C776)^2+(D777-D776)^2+(E777-E776)^2)</x:f>
        <x:v>5.88</x:v>
      </x:c>
      <x:c r="G777" s="8" t="str">
        <x:v>Current</x:v>
      </x:c>
    </x:row>
    <x:row r="778" ht="32" customHeight="1">
      <x:c r="A778" s="8" t="str">
        <x:v>trunk:LC1:L4:light:1</x:v>
      </x:c>
      <x:c r="B778" s="8" t="n">
        <x:v>11</x:v>
      </x:c>
      <x:c r="C778" s="11" t="n">
        <x:v>36.975</x:v>
      </x:c>
      <x:c r="D778" s="11" t="n">
        <x:v>6.3919999999999995</x:v>
      </x:c>
      <x:c r="E778" s="11" t="n">
        <x:v>13.24</x:v>
      </x:c>
      <x:c r="F778" s="11" t="n">
        <x:f>SQRT((C778-C777)^2+(D778-D777)^2+(E778-E777)^2)</x:f>
        <x:v>7.199999999999996</x:v>
      </x:c>
      <x:c r="G778" s="8" t="str">
        <x:v>Current</x:v>
      </x:c>
    </x:row>
    <x:row r="779" ht="32" customHeight="1">
      <x:c r="A779" s="8" t="str">
        <x:v>trunk:LC1:L4:light:1</x:v>
      </x:c>
      <x:c r="B779" s="8" t="n">
        <x:v>12</x:v>
      </x:c>
      <x:c r="C779" s="11" t="n">
        <x:v>36.975</x:v>
      </x:c>
      <x:c r="D779" s="11" t="n">
        <x:v>6.3919999999999995</x:v>
      </x:c>
      <x:c r="E779" s="11" t="n">
        <x:v>7.36</x:v>
      </x:c>
      <x:c r="F779" s="11" t="n">
        <x:f>SQRT((C779-C778)^2+(D779-D778)^2+(E779-E778)^2)</x:f>
        <x:v>5.88</x:v>
      </x:c>
      <x:c r="G779" s="8" t="str">
        <x:v>Current</x:v>
      </x:c>
    </x:row>
    <x:row r="780" ht="32" customHeight="1">
      <x:c r="A780" s="8" t="str">
        <x:v>trunk:LC1:L4:light:1</x:v>
      </x:c>
      <x:c r="B780" s="8" t="n">
        <x:v>13</x:v>
      </x:c>
      <x:c r="C780" s="11" t="n">
        <x:v>9.975</x:v>
      </x:c>
      <x:c r="D780" s="11" t="n">
        <x:v>6.3919999999999995</x:v>
      </x:c>
      <x:c r="E780" s="11" t="n">
        <x:v>7.36</x:v>
      </x:c>
      <x:c r="F780" s="11" t="n">
        <x:f>SQRT((C780-C779)^2+(D780-D779)^2+(E780-E779)^2)</x:f>
        <x:v>27</x:v>
      </x:c>
      <x:c r="G780" s="8" t="str">
        <x:v>Current</x:v>
      </x:c>
    </x:row>
    <x:row r="781" ht="32" customHeight="1">
      <x:c r="A781" s="8" t="str">
        <x:v>drop:LC1:L4:light:1:L128</x:v>
      </x:c>
      <x:c r="B781" s="8" t="n">
        <x:v>1</x:v>
      </x:c>
      <x:c r="C781" s="11" t="n">
        <x:v>9.975</x:v>
      </x:c>
      <x:c r="D781" s="11" t="n">
        <x:v>6.3919999999999995</x:v>
      </x:c>
      <x:c r="E781" s="11" t="n">
        <x:v>7.36</x:v>
      </x:c>
      <x:c r="F781" s="11" t="n">
        <x:f>0</x:f>
        <x:v>0</x:v>
      </x:c>
      <x:c r="G781" s="8" t="str">
        <x:v>Current</x:v>
      </x:c>
    </x:row>
    <x:row r="782" ht="32" customHeight="1">
      <x:c r="A782" s="8" t="str">
        <x:v>drop:LC1:L4:light:1:L128</x:v>
      </x:c>
      <x:c r="B782" s="8" t="n">
        <x:v>2</x:v>
      </x:c>
      <x:c r="C782" s="11" t="n">
        <x:v>9.975</x:v>
      </x:c>
      <x:c r="D782" s="11" t="n">
        <x:v>6.3919999999999995</x:v>
      </x:c>
      <x:c r="E782" s="11" t="n">
        <x:v>8.85</x:v>
      </x:c>
      <x:c r="F782" s="11" t="n">
        <x:f>SQRT((C782-C781)^2+(D782-D781)^2+(E782-E781)^2)</x:f>
        <x:v>1.4899999999999993</x:v>
      </x:c>
      <x:c r="G782" s="8" t="str">
        <x:v>Current</x:v>
      </x:c>
    </x:row>
    <x:row r="783" ht="32" customHeight="1">
      <x:c r="A783" s="8" t="str">
        <x:v>drop:LC1:L4:light:1:L128</x:v>
      </x:c>
      <x:c r="B783" s="8" t="n">
        <x:v>3</x:v>
      </x:c>
      <x:c r="C783" s="11" t="n">
        <x:v>9.975</x:v>
      </x:c>
      <x:c r="D783" s="11" t="n">
        <x:v>6.798875000000001</x:v>
      </x:c>
      <x:c r="E783" s="11" t="n">
        <x:v>8.85</x:v>
      </x:c>
      <x:c r="F783" s="11" t="n">
        <x:f>SQRT((C783-C782)^2+(D783-D782)^2+(E783-E782)^2)</x:f>
        <x:v>0.4068750000000012</x:v>
      </x:c>
      <x:c r="G783" s="8" t="str">
        <x:v>Current</x:v>
      </x:c>
    </x:row>
    <x:row r="784" ht="32" customHeight="1">
      <x:c r="A784" s="8" t="str">
        <x:v>drop:LC1:L4:light:1:L128</x:v>
      </x:c>
      <x:c r="B784" s="8" t="n">
        <x:v>4</x:v>
      </x:c>
      <x:c r="C784" s="11" t="n">
        <x:v>9.975</x:v>
      </x:c>
      <x:c r="D784" s="11" t="n">
        <x:v>4.55</x:v>
      </x:c>
      <x:c r="E784" s="11" t="n">
        <x:v>8.85</x:v>
      </x:c>
      <x:c r="F784" s="11" t="n">
        <x:f>SQRT((C784-C783)^2+(D784-D783)^2+(E784-E783)^2)</x:f>
        <x:v>2.248875000000001</x:v>
      </x:c>
      <x:c r="G784" s="8" t="str">
        <x:v>Current</x:v>
      </x:c>
    </x:row>
    <x:row r="785" ht="32" customHeight="1">
      <x:c r="A785" s="8" t="str">
        <x:v>drop:LC1:L4:light:1:L129</x:v>
      </x:c>
      <x:c r="B785" s="8" t="n">
        <x:v>1</x:v>
      </x:c>
      <x:c r="C785" s="11" t="n">
        <x:v>14.475</x:v>
      </x:c>
      <x:c r="D785" s="11" t="n">
        <x:v>6.3919999999999995</x:v>
      </x:c>
      <x:c r="E785" s="11" t="n">
        <x:v>7.36</x:v>
      </x:c>
      <x:c r="F785" s="11" t="n">
        <x:f>0</x:f>
        <x:v>0</x:v>
      </x:c>
      <x:c r="G785" s="8" t="str">
        <x:v>Current</x:v>
      </x:c>
    </x:row>
    <x:row r="786" ht="32" customHeight="1">
      <x:c r="A786" s="8" t="str">
        <x:v>drop:LC1:L4:light:1:L129</x:v>
      </x:c>
      <x:c r="B786" s="8" t="n">
        <x:v>2</x:v>
      </x:c>
      <x:c r="C786" s="11" t="n">
        <x:v>14.475</x:v>
      </x:c>
      <x:c r="D786" s="11" t="n">
        <x:v>6.3919999999999995</x:v>
      </x:c>
      <x:c r="E786" s="11" t="n">
        <x:v>8.85</x:v>
      </x:c>
      <x:c r="F786" s="11" t="n">
        <x:f>SQRT((C786-C785)^2+(D786-D785)^2+(E786-E785)^2)</x:f>
        <x:v>1.4899999999999993</x:v>
      </x:c>
      <x:c r="G786" s="8" t="str">
        <x:v>Current</x:v>
      </x:c>
    </x:row>
    <x:row r="787" ht="32" customHeight="1">
      <x:c r="A787" s="8" t="str">
        <x:v>drop:LC1:L4:light:1:L129</x:v>
      </x:c>
      <x:c r="B787" s="8" t="n">
        <x:v>3</x:v>
      </x:c>
      <x:c r="C787" s="11" t="n">
        <x:v>14.475</x:v>
      </x:c>
      <x:c r="D787" s="11" t="n">
        <x:v>6.798875000000001</x:v>
      </x:c>
      <x:c r="E787" s="11" t="n">
        <x:v>8.85</x:v>
      </x:c>
      <x:c r="F787" s="11" t="n">
        <x:f>SQRT((C787-C786)^2+(D787-D786)^2+(E787-E786)^2)</x:f>
        <x:v>0.4068750000000012</x:v>
      </x:c>
      <x:c r="G787" s="8" t="str">
        <x:v>Current</x:v>
      </x:c>
    </x:row>
    <x:row r="788" ht="32" customHeight="1">
      <x:c r="A788" s="8" t="str">
        <x:v>drop:LC1:L4:light:1:L129</x:v>
      </x:c>
      <x:c r="B788" s="8" t="n">
        <x:v>4</x:v>
      </x:c>
      <x:c r="C788" s="11" t="n">
        <x:v>14.475</x:v>
      </x:c>
      <x:c r="D788" s="11" t="n">
        <x:v>4.55</x:v>
      </x:c>
      <x:c r="E788" s="11" t="n">
        <x:v>8.85</x:v>
      </x:c>
      <x:c r="F788" s="11" t="n">
        <x:f>SQRT((C788-C787)^2+(D788-D787)^2+(E788-E787)^2)</x:f>
        <x:v>2.248875000000001</x:v>
      </x:c>
      <x:c r="G788" s="8" t="str">
        <x:v>Current</x:v>
      </x:c>
    </x:row>
    <x:row r="789" ht="32" customHeight="1">
      <x:c r="A789" s="8" t="str">
        <x:v>drop:LC1:L4:light:1:L130</x:v>
      </x:c>
      <x:c r="B789" s="8" t="n">
        <x:v>1</x:v>
      </x:c>
      <x:c r="C789" s="11" t="n">
        <x:v>18.975</x:v>
      </x:c>
      <x:c r="D789" s="11" t="n">
        <x:v>6.3919999999999995</x:v>
      </x:c>
      <x:c r="E789" s="11" t="n">
        <x:v>7.36</x:v>
      </x:c>
      <x:c r="F789" s="11" t="n">
        <x:f>0</x:f>
        <x:v>0</x:v>
      </x:c>
      <x:c r="G789" s="8" t="str">
        <x:v>Current</x:v>
      </x:c>
    </x:row>
    <x:row r="790" ht="32" customHeight="1">
      <x:c r="A790" s="8" t="str">
        <x:v>drop:LC1:L4:light:1:L130</x:v>
      </x:c>
      <x:c r="B790" s="8" t="n">
        <x:v>2</x:v>
      </x:c>
      <x:c r="C790" s="11" t="n">
        <x:v>18.975</x:v>
      </x:c>
      <x:c r="D790" s="11" t="n">
        <x:v>6.3919999999999995</x:v>
      </x:c>
      <x:c r="E790" s="11" t="n">
        <x:v>8.85</x:v>
      </x:c>
      <x:c r="F790" s="11" t="n">
        <x:f>SQRT((C790-C789)^2+(D790-D789)^2+(E790-E789)^2)</x:f>
        <x:v>1.4899999999999993</x:v>
      </x:c>
      <x:c r="G790" s="8" t="str">
        <x:v>Current</x:v>
      </x:c>
    </x:row>
    <x:row r="791" ht="32" customHeight="1">
      <x:c r="A791" s="8" t="str">
        <x:v>drop:LC1:L4:light:1:L130</x:v>
      </x:c>
      <x:c r="B791" s="8" t="n">
        <x:v>3</x:v>
      </x:c>
      <x:c r="C791" s="11" t="n">
        <x:v>18.975</x:v>
      </x:c>
      <x:c r="D791" s="11" t="n">
        <x:v>6.798875000000001</x:v>
      </x:c>
      <x:c r="E791" s="11" t="n">
        <x:v>8.85</x:v>
      </x:c>
      <x:c r="F791" s="11" t="n">
        <x:f>SQRT((C791-C790)^2+(D791-D790)^2+(E791-E790)^2)</x:f>
        <x:v>0.4068750000000012</x:v>
      </x:c>
      <x:c r="G791" s="8" t="str">
        <x:v>Current</x:v>
      </x:c>
    </x:row>
    <x:row r="792" ht="32" customHeight="1">
      <x:c r="A792" s="8" t="str">
        <x:v>drop:LC1:L4:light:1:L130</x:v>
      </x:c>
      <x:c r="B792" s="8" t="n">
        <x:v>4</x:v>
      </x:c>
      <x:c r="C792" s="11" t="n">
        <x:v>18.975</x:v>
      </x:c>
      <x:c r="D792" s="11" t="n">
        <x:v>4.55</x:v>
      </x:c>
      <x:c r="E792" s="11" t="n">
        <x:v>8.85</x:v>
      </x:c>
      <x:c r="F792" s="11" t="n">
        <x:f>SQRT((C792-C791)^2+(D792-D791)^2+(E792-E791)^2)</x:f>
        <x:v>2.248875000000001</x:v>
      </x:c>
      <x:c r="G792" s="8" t="str">
        <x:v>Current</x:v>
      </x:c>
    </x:row>
    <x:row r="793" ht="32" customHeight="1">
      <x:c r="A793" s="8" t="str">
        <x:v>drop:LC1:L4:light:1:L131</x:v>
      </x:c>
      <x:c r="B793" s="8" t="n">
        <x:v>1</x:v>
      </x:c>
      <x:c r="C793" s="11" t="n">
        <x:v>23.475</x:v>
      </x:c>
      <x:c r="D793" s="11" t="n">
        <x:v>6.3919999999999995</x:v>
      </x:c>
      <x:c r="E793" s="11" t="n">
        <x:v>7.36</x:v>
      </x:c>
      <x:c r="F793" s="11" t="n">
        <x:f>0</x:f>
        <x:v>0</x:v>
      </x:c>
      <x:c r="G793" s="8" t="str">
        <x:v>Current</x:v>
      </x:c>
    </x:row>
    <x:row r="794" ht="32" customHeight="1">
      <x:c r="A794" s="8" t="str">
        <x:v>drop:LC1:L4:light:1:L131</x:v>
      </x:c>
      <x:c r="B794" s="8" t="n">
        <x:v>2</x:v>
      </x:c>
      <x:c r="C794" s="11" t="n">
        <x:v>23.475</x:v>
      </x:c>
      <x:c r="D794" s="11" t="n">
        <x:v>6.3919999999999995</x:v>
      </x:c>
      <x:c r="E794" s="11" t="n">
        <x:v>8.85</x:v>
      </x:c>
      <x:c r="F794" s="11" t="n">
        <x:f>SQRT((C794-C793)^2+(D794-D793)^2+(E794-E793)^2)</x:f>
        <x:v>1.4899999999999993</x:v>
      </x:c>
      <x:c r="G794" s="8" t="str">
        <x:v>Current</x:v>
      </x:c>
    </x:row>
    <x:row r="795" ht="32" customHeight="1">
      <x:c r="A795" s="8" t="str">
        <x:v>drop:LC1:L4:light:1:L131</x:v>
      </x:c>
      <x:c r="B795" s="8" t="n">
        <x:v>3</x:v>
      </x:c>
      <x:c r="C795" s="11" t="n">
        <x:v>23.475</x:v>
      </x:c>
      <x:c r="D795" s="11" t="n">
        <x:v>6.798875000000001</x:v>
      </x:c>
      <x:c r="E795" s="11" t="n">
        <x:v>8.85</x:v>
      </x:c>
      <x:c r="F795" s="11" t="n">
        <x:f>SQRT((C795-C794)^2+(D795-D794)^2+(E795-E794)^2)</x:f>
        <x:v>0.4068750000000012</x:v>
      </x:c>
      <x:c r="G795" s="8" t="str">
        <x:v>Current</x:v>
      </x:c>
    </x:row>
    <x:row r="796" ht="32" customHeight="1">
      <x:c r="A796" s="8" t="str">
        <x:v>drop:LC1:L4:light:1:L131</x:v>
      </x:c>
      <x:c r="B796" s="8" t="n">
        <x:v>4</x:v>
      </x:c>
      <x:c r="C796" s="11" t="n">
        <x:v>23.475</x:v>
      </x:c>
      <x:c r="D796" s="11" t="n">
        <x:v>4.55</x:v>
      </x:c>
      <x:c r="E796" s="11" t="n">
        <x:v>8.85</x:v>
      </x:c>
      <x:c r="F796" s="11" t="n">
        <x:f>SQRT((C796-C795)^2+(D796-D795)^2+(E796-E795)^2)</x:f>
        <x:v>2.248875000000001</x:v>
      </x:c>
      <x:c r="G796" s="8" t="str">
        <x:v>Current</x:v>
      </x:c>
    </x:row>
    <x:row r="797" ht="32" customHeight="1">
      <x:c r="A797" s="8" t="str">
        <x:v>drop:LC1:L4:light:1:L132</x:v>
      </x:c>
      <x:c r="B797" s="8" t="n">
        <x:v>1</x:v>
      </x:c>
      <x:c r="C797" s="11" t="n">
        <x:v>27.975</x:v>
      </x:c>
      <x:c r="D797" s="11" t="n">
        <x:v>6.3919999999999995</x:v>
      </x:c>
      <x:c r="E797" s="11" t="n">
        <x:v>7.36</x:v>
      </x:c>
      <x:c r="F797" s="11" t="n">
        <x:f>0</x:f>
        <x:v>0</x:v>
      </x:c>
      <x:c r="G797" s="8" t="str">
        <x:v>Current</x:v>
      </x:c>
    </x:row>
    <x:row r="798" ht="32" customHeight="1">
      <x:c r="A798" s="8" t="str">
        <x:v>drop:LC1:L4:light:1:L132</x:v>
      </x:c>
      <x:c r="B798" s="8" t="n">
        <x:v>2</x:v>
      </x:c>
      <x:c r="C798" s="11" t="n">
        <x:v>27.975</x:v>
      </x:c>
      <x:c r="D798" s="11" t="n">
        <x:v>6.3919999999999995</x:v>
      </x:c>
      <x:c r="E798" s="11" t="n">
        <x:v>8.85</x:v>
      </x:c>
      <x:c r="F798" s="11" t="n">
        <x:f>SQRT((C798-C797)^2+(D798-D797)^2+(E798-E797)^2)</x:f>
        <x:v>1.4899999999999993</x:v>
      </x:c>
      <x:c r="G798" s="8" t="str">
        <x:v>Current</x:v>
      </x:c>
    </x:row>
    <x:row r="799" ht="32" customHeight="1">
      <x:c r="A799" s="8" t="str">
        <x:v>drop:LC1:L4:light:1:L132</x:v>
      </x:c>
      <x:c r="B799" s="8" t="n">
        <x:v>3</x:v>
      </x:c>
      <x:c r="C799" s="11" t="n">
        <x:v>27.975</x:v>
      </x:c>
      <x:c r="D799" s="11" t="n">
        <x:v>6.798875000000001</x:v>
      </x:c>
      <x:c r="E799" s="11" t="n">
        <x:v>8.85</x:v>
      </x:c>
      <x:c r="F799" s="11" t="n">
        <x:f>SQRT((C799-C798)^2+(D799-D798)^2+(E799-E798)^2)</x:f>
        <x:v>0.4068750000000012</x:v>
      </x:c>
      <x:c r="G799" s="8" t="str">
        <x:v>Current</x:v>
      </x:c>
    </x:row>
    <x:row r="800" ht="32" customHeight="1">
      <x:c r="A800" s="8" t="str">
        <x:v>drop:LC1:L4:light:1:L132</x:v>
      </x:c>
      <x:c r="B800" s="8" t="n">
        <x:v>4</x:v>
      </x:c>
      <x:c r="C800" s="11" t="n">
        <x:v>27.975</x:v>
      </x:c>
      <x:c r="D800" s="11" t="n">
        <x:v>4.55</x:v>
      </x:c>
      <x:c r="E800" s="11" t="n">
        <x:v>8.85</x:v>
      </x:c>
      <x:c r="F800" s="11" t="n">
        <x:f>SQRT((C800-C799)^2+(D800-D799)^2+(E800-E799)^2)</x:f>
        <x:v>2.248875000000001</x:v>
      </x:c>
      <x:c r="G800" s="8" t="str">
        <x:v>Current</x:v>
      </x:c>
    </x:row>
    <x:row r="801" ht="32" customHeight="1">
      <x:c r="A801" s="8" t="str">
        <x:v>drop:LC1:L4:light:1:L133</x:v>
      </x:c>
      <x:c r="B801" s="8" t="n">
        <x:v>1</x:v>
      </x:c>
      <x:c r="C801" s="11" t="n">
        <x:v>32.475</x:v>
      </x:c>
      <x:c r="D801" s="11" t="n">
        <x:v>6.3919999999999995</x:v>
      </x:c>
      <x:c r="E801" s="11" t="n">
        <x:v>7.36</x:v>
      </x:c>
      <x:c r="F801" s="11" t="n">
        <x:f>0</x:f>
        <x:v>0</x:v>
      </x:c>
      <x:c r="G801" s="8" t="str">
        <x:v>Current</x:v>
      </x:c>
    </x:row>
    <x:row r="802" ht="32" customHeight="1">
      <x:c r="A802" s="8" t="str">
        <x:v>drop:LC1:L4:light:1:L133</x:v>
      </x:c>
      <x:c r="B802" s="8" t="n">
        <x:v>2</x:v>
      </x:c>
      <x:c r="C802" s="11" t="n">
        <x:v>32.475</x:v>
      </x:c>
      <x:c r="D802" s="11" t="n">
        <x:v>6.3919999999999995</x:v>
      </x:c>
      <x:c r="E802" s="11" t="n">
        <x:v>8.85</x:v>
      </x:c>
      <x:c r="F802" s="11" t="n">
        <x:f>SQRT((C802-C801)^2+(D802-D801)^2+(E802-E801)^2)</x:f>
        <x:v>1.4899999999999993</x:v>
      </x:c>
      <x:c r="G802" s="8" t="str">
        <x:v>Current</x:v>
      </x:c>
    </x:row>
    <x:row r="803" ht="32" customHeight="1">
      <x:c r="A803" s="8" t="str">
        <x:v>drop:LC1:L4:light:1:L133</x:v>
      </x:c>
      <x:c r="B803" s="8" t="n">
        <x:v>3</x:v>
      </x:c>
      <x:c r="C803" s="11" t="n">
        <x:v>32.475</x:v>
      </x:c>
      <x:c r="D803" s="11" t="n">
        <x:v>6.798875000000001</x:v>
      </x:c>
      <x:c r="E803" s="11" t="n">
        <x:v>8.85</x:v>
      </x:c>
      <x:c r="F803" s="11" t="n">
        <x:f>SQRT((C803-C802)^2+(D803-D802)^2+(E803-E802)^2)</x:f>
        <x:v>0.4068750000000012</x:v>
      </x:c>
      <x:c r="G803" s="8" t="str">
        <x:v>Current</x:v>
      </x:c>
    </x:row>
    <x:row r="804" ht="32" customHeight="1">
      <x:c r="A804" s="8" t="str">
        <x:v>drop:LC1:L4:light:1:L133</x:v>
      </x:c>
      <x:c r="B804" s="8" t="n">
        <x:v>4</x:v>
      </x:c>
      <x:c r="C804" s="11" t="n">
        <x:v>32.475</x:v>
      </x:c>
      <x:c r="D804" s="11" t="n">
        <x:v>4.55</x:v>
      </x:c>
      <x:c r="E804" s="11" t="n">
        <x:v>8.85</x:v>
      </x:c>
      <x:c r="F804" s="11" t="n">
        <x:f>SQRT((C804-C803)^2+(D804-D803)^2+(E804-E803)^2)</x:f>
        <x:v>2.248875000000001</x:v>
      </x:c>
      <x:c r="G804" s="8" t="str">
        <x:v>Current</x:v>
      </x:c>
    </x:row>
    <x:row r="805" ht="32" customHeight="1">
      <x:c r="A805" s="8" t="str">
        <x:v>drop:LC1:L4:light:1:L134</x:v>
      </x:c>
      <x:c r="B805" s="8" t="n">
        <x:v>1</x:v>
      </x:c>
      <x:c r="C805" s="11" t="n">
        <x:v>36.975</x:v>
      </x:c>
      <x:c r="D805" s="11" t="n">
        <x:v>6.3919999999999995</x:v>
      </x:c>
      <x:c r="E805" s="11" t="n">
        <x:v>13.24</x:v>
      </x:c>
      <x:c r="F805" s="11" t="n">
        <x:f>0</x:f>
        <x:v>0</x:v>
      </x:c>
      <x:c r="G805" s="8" t="str">
        <x:v>Current</x:v>
      </x:c>
    </x:row>
    <x:row r="806" ht="32" customHeight="1">
      <x:c r="A806" s="8" t="str">
        <x:v>drop:LC1:L4:light:1:L134</x:v>
      </x:c>
      <x:c r="B806" s="8" t="n">
        <x:v>2</x:v>
      </x:c>
      <x:c r="C806" s="11" t="n">
        <x:v>36.975</x:v>
      </x:c>
      <x:c r="D806" s="11" t="n">
        <x:v>6.3919999999999995</x:v>
      </x:c>
      <x:c r="E806" s="11" t="n">
        <x:v>8.85</x:v>
      </x:c>
      <x:c r="F806" s="11" t="n">
        <x:f>SQRT((C806-C805)^2+(D806-D805)^2+(E806-E805)^2)</x:f>
        <x:v>4.390000000000001</x:v>
      </x:c>
      <x:c r="G806" s="8" t="str">
        <x:v>Current</x:v>
      </x:c>
    </x:row>
    <x:row r="807" ht="32" customHeight="1">
      <x:c r="A807" s="8" t="str">
        <x:v>drop:LC1:L4:light:1:L134</x:v>
      </x:c>
      <x:c r="B807" s="8" t="n">
        <x:v>3</x:v>
      </x:c>
      <x:c r="C807" s="11" t="n">
        <x:v>36.975</x:v>
      </x:c>
      <x:c r="D807" s="11" t="n">
        <x:v>6.798875000000001</x:v>
      </x:c>
      <x:c r="E807" s="11" t="n">
        <x:v>8.85</x:v>
      </x:c>
      <x:c r="F807" s="11" t="n">
        <x:f>SQRT((C807-C806)^2+(D807-D806)^2+(E807-E806)^2)</x:f>
        <x:v>0.4068750000000012</x:v>
      </x:c>
      <x:c r="G807" s="8" t="str">
        <x:v>Current</x:v>
      </x:c>
    </x:row>
    <x:row r="808" ht="32" customHeight="1">
      <x:c r="A808" s="8" t="str">
        <x:v>drop:LC1:L4:light:1:L134</x:v>
      </x:c>
      <x:c r="B808" s="8" t="n">
        <x:v>4</x:v>
      </x:c>
      <x:c r="C808" s="11" t="n">
        <x:v>36.975</x:v>
      </x:c>
      <x:c r="D808" s="11" t="n">
        <x:v>4.55</x:v>
      </x:c>
      <x:c r="E808" s="11" t="n">
        <x:v>8.85</x:v>
      </x:c>
      <x:c r="F808" s="11" t="n">
        <x:f>SQRT((C808-C807)^2+(D808-D807)^2+(E808-E807)^2)</x:f>
        <x:v>2.248875000000001</x:v>
      </x:c>
      <x:c r="G808" s="8" t="str">
        <x:v>Current</x:v>
      </x:c>
    </x:row>
    <x:row r="809" ht="32" customHeight="1">
      <x:c r="A809" s="8" t="str">
        <x:v>drop:LC1:L4:light:1:L135</x:v>
      </x:c>
      <x:c r="B809" s="8" t="n">
        <x:v>1</x:v>
      </x:c>
      <x:c r="C809" s="11" t="n">
        <x:v>44.175</x:v>
      </x:c>
      <x:c r="D809" s="11" t="n">
        <x:v>6.3919999999999995</x:v>
      </x:c>
      <x:c r="E809" s="11" t="n">
        <x:v>7.36</x:v>
      </x:c>
      <x:c r="F809" s="11" t="n">
        <x:f>0</x:f>
        <x:v>0</x:v>
      </x:c>
      <x:c r="G809" s="8" t="str">
        <x:v>Current</x:v>
      </x:c>
    </x:row>
    <x:row r="810" ht="32" customHeight="1">
      <x:c r="A810" s="8" t="str">
        <x:v>drop:LC1:L4:light:1:L135</x:v>
      </x:c>
      <x:c r="B810" s="8" t="n">
        <x:v>2</x:v>
      </x:c>
      <x:c r="C810" s="11" t="n">
        <x:v>44.175</x:v>
      </x:c>
      <x:c r="D810" s="11" t="n">
        <x:v>6.3919999999999995</x:v>
      </x:c>
      <x:c r="E810" s="11" t="n">
        <x:v>8.85</x:v>
      </x:c>
      <x:c r="F810" s="11" t="n">
        <x:f>SQRT((C810-C809)^2+(D810-D809)^2+(E810-E809)^2)</x:f>
        <x:v>1.4899999999999993</x:v>
      </x:c>
      <x:c r="G810" s="8" t="str">
        <x:v>Current</x:v>
      </x:c>
    </x:row>
    <x:row r="811" ht="32" customHeight="1">
      <x:c r="A811" s="8" t="str">
        <x:v>drop:LC1:L4:light:1:L135</x:v>
      </x:c>
      <x:c r="B811" s="8" t="n">
        <x:v>3</x:v>
      </x:c>
      <x:c r="C811" s="11" t="n">
        <x:v>44.175</x:v>
      </x:c>
      <x:c r="D811" s="11" t="n">
        <x:v>6.798875000000001</x:v>
      </x:c>
      <x:c r="E811" s="11" t="n">
        <x:v>8.85</x:v>
      </x:c>
      <x:c r="F811" s="11" t="n">
        <x:f>SQRT((C811-C810)^2+(D811-D810)^2+(E811-E810)^2)</x:f>
        <x:v>0.4068750000000012</x:v>
      </x:c>
      <x:c r="G811" s="8" t="str">
        <x:v>Current</x:v>
      </x:c>
    </x:row>
    <x:row r="812" ht="32" customHeight="1">
      <x:c r="A812" s="8" t="str">
        <x:v>drop:LC1:L4:light:1:L135</x:v>
      </x:c>
      <x:c r="B812" s="8" t="n">
        <x:v>4</x:v>
      </x:c>
      <x:c r="C812" s="11" t="n">
        <x:v>44.175</x:v>
      </x:c>
      <x:c r="D812" s="11" t="n">
        <x:v>4.55</x:v>
      </x:c>
      <x:c r="E812" s="11" t="n">
        <x:v>8.85</x:v>
      </x:c>
      <x:c r="F812" s="11" t="n">
        <x:f>SQRT((C812-C811)^2+(D812-D811)^2+(E812-E811)^2)</x:f>
        <x:v>2.248875000000001</x:v>
      </x:c>
      <x:c r="G812" s="8" t="str">
        <x:v>Current</x:v>
      </x:c>
    </x:row>
    <x:row r="813" ht="32" customHeight="1">
      <x:c r="A813" s="8" t="str">
        <x:v>drop:LC1:L4:light:1:L136</x:v>
      </x:c>
      <x:c r="B813" s="8" t="n">
        <x:v>1</x:v>
      </x:c>
      <x:c r="C813" s="11" t="n">
        <x:v>48.675</x:v>
      </x:c>
      <x:c r="D813" s="11" t="n">
        <x:v>6.3919999999999995</x:v>
      </x:c>
      <x:c r="E813" s="11" t="n">
        <x:v>7.36</x:v>
      </x:c>
      <x:c r="F813" s="11" t="n">
        <x:f>0</x:f>
        <x:v>0</x:v>
      </x:c>
      <x:c r="G813" s="8" t="str">
        <x:v>Current</x:v>
      </x:c>
    </x:row>
    <x:row r="814" ht="32" customHeight="1">
      <x:c r="A814" s="8" t="str">
        <x:v>drop:LC1:L4:light:1:L136</x:v>
      </x:c>
      <x:c r="B814" s="8" t="n">
        <x:v>2</x:v>
      </x:c>
      <x:c r="C814" s="11" t="n">
        <x:v>48.675</x:v>
      </x:c>
      <x:c r="D814" s="11" t="n">
        <x:v>6.3919999999999995</x:v>
      </x:c>
      <x:c r="E814" s="11" t="n">
        <x:v>8.85</x:v>
      </x:c>
      <x:c r="F814" s="11" t="n">
        <x:f>SQRT((C814-C813)^2+(D814-D813)^2+(E814-E813)^2)</x:f>
        <x:v>1.4899999999999993</x:v>
      </x:c>
      <x:c r="G814" s="8" t="str">
        <x:v>Current</x:v>
      </x:c>
    </x:row>
    <x:row r="815" ht="32" customHeight="1">
      <x:c r="A815" s="8" t="str">
        <x:v>drop:LC1:L4:light:1:L136</x:v>
      </x:c>
      <x:c r="B815" s="8" t="n">
        <x:v>3</x:v>
      </x:c>
      <x:c r="C815" s="11" t="n">
        <x:v>48.675</x:v>
      </x:c>
      <x:c r="D815" s="11" t="n">
        <x:v>6.798875000000001</x:v>
      </x:c>
      <x:c r="E815" s="11" t="n">
        <x:v>8.85</x:v>
      </x:c>
      <x:c r="F815" s="11" t="n">
        <x:f>SQRT((C815-C814)^2+(D815-D814)^2+(E815-E814)^2)</x:f>
        <x:v>0.4068750000000012</x:v>
      </x:c>
      <x:c r="G815" s="8" t="str">
        <x:v>Current</x:v>
      </x:c>
    </x:row>
    <x:row r="816" ht="32" customHeight="1">
      <x:c r="A816" s="8" t="str">
        <x:v>drop:LC1:L4:light:1:L136</x:v>
      </x:c>
      <x:c r="B816" s="8" t="n">
        <x:v>4</x:v>
      </x:c>
      <x:c r="C816" s="11" t="n">
        <x:v>48.675</x:v>
      </x:c>
      <x:c r="D816" s="11" t="n">
        <x:v>4.55</x:v>
      </x:c>
      <x:c r="E816" s="11" t="n">
        <x:v>8.85</x:v>
      </x:c>
      <x:c r="F816" s="11" t="n">
        <x:f>SQRT((C816-C815)^2+(D816-D815)^2+(E816-E815)^2)</x:f>
        <x:v>2.248875000000001</x:v>
      </x:c>
      <x:c r="G816" s="8" t="str">
        <x:v>Current</x:v>
      </x:c>
    </x:row>
    <x:row r="817" ht="32" customHeight="1">
      <x:c r="A817" s="8" t="str">
        <x:v>trunk:DB2:L9:light:-1</x:v>
      </x:c>
      <x:c r="B817" s="8" t="n">
        <x:v>1</x:v>
      </x:c>
      <x:c r="C817" s="11" t="n">
        <x:v>2.73</x:v>
      </x:c>
      <x:c r="D817" s="11" t="n">
        <x:v>1.5</x:v>
      </x:c>
      <x:c r="E817" s="11" t="n">
        <x:v>-3.3</x:v>
      </x:c>
      <x:c r="F817" s="11" t="n">
        <x:f>0</x:f>
        <x:v>0</x:v>
      </x:c>
      <x:c r="G817" s="8" t="str">
        <x:v>Current</x:v>
      </x:c>
    </x:row>
    <x:row r="818" ht="32" customHeight="1">
      <x:c r="A818" s="8" t="str">
        <x:v>trunk:DB2:L9:light:-1</x:v>
      </x:c>
      <x:c r="B818" s="8" t="n">
        <x:v>2</x:v>
      </x:c>
      <x:c r="C818" s="11" t="n">
        <x:v>2.35</x:v>
      </x:c>
      <x:c r="D818" s="11" t="n">
        <x:v>1.5</x:v>
      </x:c>
      <x:c r="E818" s="11" t="n">
        <x:v>-3.3</x:v>
      </x:c>
      <x:c r="F818" s="11" t="n">
        <x:f>SQRT((C818-C817)^2+(D818-D817)^2+(E818-E817)^2)</x:f>
        <x:v>0.3799999999999999</x:v>
      </x:c>
      <x:c r="G818" s="8" t="str">
        <x:v>Current</x:v>
      </x:c>
    </x:row>
    <x:row r="819" ht="32" customHeight="1">
      <x:c r="A819" s="8" t="str">
        <x:v>trunk:DB2:L9:light:-1</x:v>
      </x:c>
      <x:c r="B819" s="8" t="n">
        <x:v>3</x:v>
      </x:c>
      <x:c r="C819" s="11" t="n">
        <x:v>2.35</x:v>
      </x:c>
      <x:c r="D819" s="11" t="n">
        <x:v>7.65</x:v>
      </x:c>
      <x:c r="E819" s="11" t="n">
        <x:v>-3.3</x:v>
      </x:c>
      <x:c r="F819" s="11" t="n">
        <x:f>SQRT((C819-C818)^2+(D819-D818)^2+(E819-E818)^2)</x:f>
        <x:v>6.15</x:v>
      </x:c>
      <x:c r="G819" s="8" t="str">
        <x:v>Current</x:v>
      </x:c>
    </x:row>
    <x:row r="820" ht="32" customHeight="1">
      <x:c r="A820" s="8" t="str">
        <x:v>trunk:DB2:L9:light:-1</x:v>
      </x:c>
      <x:c r="B820" s="8" t="n">
        <x:v>4</x:v>
      </x:c>
      <x:c r="C820" s="11" t="n">
        <x:v>2.35</x:v>
      </x:c>
      <x:c r="D820" s="11" t="n">
        <x:v>7.65</x:v>
      </x:c>
      <x:c r="E820" s="11" t="n">
        <x:v>-7.36</x:v>
      </x:c>
      <x:c r="F820" s="11" t="n">
        <x:f>SQRT((C820-C819)^2+(D820-D819)^2+(E820-E819)^2)</x:f>
        <x:v>4.0600000000000005</x:v>
      </x:c>
      <x:c r="G820" s="8" t="str">
        <x:v>Current</x:v>
      </x:c>
    </x:row>
    <x:row r="821" ht="32" customHeight="1">
      <x:c r="A821" s="8" t="str">
        <x:v>trunk:DB2:L9:light:-1</x:v>
      </x:c>
      <x:c r="B821" s="8" t="n">
        <x:v>5</x:v>
      </x:c>
      <x:c r="C821" s="11" t="n">
        <x:v>2.35</x:v>
      </x:c>
      <x:c r="D821" s="11" t="n">
        <x:v>6.476</x:v>
      </x:c>
      <x:c r="E821" s="11" t="n">
        <x:v>-7.36</x:v>
      </x:c>
      <x:c r="F821" s="11" t="n">
        <x:f>SQRT((C821-C820)^2+(D821-D820)^2+(E821-E820)^2)</x:f>
        <x:v>1.1740000000000004</x:v>
      </x:c>
      <x:c r="G821" s="8" t="str">
        <x:v>Current</x:v>
      </x:c>
    </x:row>
    <x:row r="822" ht="32" customHeight="1">
      <x:c r="A822" s="8" t="str">
        <x:v>drop:DB2:L9:light:-1:L137</x:v>
      </x:c>
      <x:c r="B822" s="8" t="n">
        <x:v>1</x:v>
      </x:c>
      <x:c r="C822" s="11" t="n">
        <x:v>2.35</x:v>
      </x:c>
      <x:c r="D822" s="11" t="n">
        <x:v>6.476</x:v>
      </x:c>
      <x:c r="E822" s="11" t="n">
        <x:v>-7.36</x:v>
      </x:c>
      <x:c r="F822" s="11" t="n">
        <x:f>0</x:f>
        <x:v>0</x:v>
      </x:c>
      <x:c r="G822" s="8" t="str">
        <x:v>Current</x:v>
      </x:c>
    </x:row>
    <x:row r="823" ht="32" customHeight="1">
      <x:c r="A823" s="8" t="str">
        <x:v>drop:DB2:L9:light:-1:L137</x:v>
      </x:c>
      <x:c r="B823" s="8" t="n">
        <x:v>2</x:v>
      </x:c>
      <x:c r="C823" s="11" t="n">
        <x:v>2.35</x:v>
      </x:c>
      <x:c r="D823" s="11" t="n">
        <x:v>7.65</x:v>
      </x:c>
      <x:c r="E823" s="11" t="n">
        <x:v>-7.36</x:v>
      </x:c>
      <x:c r="F823" s="11" t="n">
        <x:f>SQRT((C823-C822)^2+(D823-D822)^2+(E823-E822)^2)</x:f>
        <x:v>1.1740000000000004</x:v>
      </x:c>
      <x:c r="G823" s="8" t="str">
        <x:v>Current</x:v>
      </x:c>
    </x:row>
    <x:row r="824" ht="32" customHeight="1">
      <x:c r="A824" s="8" t="str">
        <x:v>drop:DB2:L9:light:-1:L137</x:v>
      </x:c>
      <x:c r="B824" s="8" t="n">
        <x:v>3</x:v>
      </x:c>
      <x:c r="C824" s="11" t="n">
        <x:v>2.35</x:v>
      </x:c>
      <x:c r="D824" s="11" t="n">
        <x:v>7.65</x:v>
      </x:c>
      <x:c r="E824" s="11" t="n">
        <x:v>-2.4</x:v>
      </x:c>
      <x:c r="F824" s="11" t="n">
        <x:f>SQRT((C824-C823)^2+(D824-D823)^2+(E824-E823)^2)</x:f>
        <x:v>4.960000000000001</x:v>
      </x:c>
      <x:c r="G824" s="8" t="str">
        <x:v>Current</x:v>
      </x:c>
    </x:row>
    <x:row r="825" ht="32" customHeight="1">
      <x:c r="A825" s="8" t="str">
        <x:v>drop:DB2:L9:light:-1:L137</x:v>
      </x:c>
      <x:c r="B825" s="8" t="n">
        <x:v>4</x:v>
      </x:c>
      <x:c r="C825" s="11" t="n">
        <x:v>2.35</x:v>
      </x:c>
      <x:c r="D825" s="11" t="n">
        <x:v>3</x:v>
      </x:c>
      <x:c r="E825" s="11" t="n">
        <x:v>-2.4</x:v>
      </x:c>
      <x:c r="F825" s="11" t="n">
        <x:f>SQRT((C825-C824)^2+(D825-D824)^2+(E825-E824)^2)</x:f>
        <x:v>4.65</x:v>
      </x:c>
      <x:c r="G825" s="8" t="str">
        <x:v>Current</x:v>
      </x:c>
    </x:row>
    <x:row r="826" ht="32" customHeight="1">
      <x:c r="A826" s="8" t="str">
        <x:v>drop:DB2:L9:light:-1:L137</x:v>
      </x:c>
      <x:c r="B826" s="8" t="n">
        <x:v>5</x:v>
      </x:c>
      <x:c r="C826" s="11" t="n">
        <x:v>2.2</x:v>
      </x:c>
      <x:c r="D826" s="11" t="n">
        <x:v>3</x:v>
      </x:c>
      <x:c r="E826" s="11" t="n">
        <x:v>-2.4</x:v>
      </x:c>
      <x:c r="F826" s="11" t="n">
        <x:f>SQRT((C826-C825)^2+(D826-D825)^2+(E826-E825)^2)</x:f>
        <x:v>0.1499999999999999</x:v>
      </x:c>
      <x:c r="G826" s="8" t="str">
        <x:v>Current</x:v>
      </x:c>
    </x:row>
    <x:row r="827" ht="32" customHeight="1">
      <x:c r="A827" s="8" t="str">
        <x:v>drop:DB2:L9:light:-1:L182</x:v>
      </x:c>
      <x:c r="B827" s="8" t="n">
        <x:v>1</x:v>
      </x:c>
      <x:c r="C827" s="11" t="n">
        <x:v>2.35</x:v>
      </x:c>
      <x:c r="D827" s="11" t="n">
        <x:v>6.476</x:v>
      </x:c>
      <x:c r="E827" s="11" t="n">
        <x:v>-7.36</x:v>
      </x:c>
      <x:c r="F827" s="11" t="n">
        <x:f>0</x:f>
        <x:v>0</x:v>
      </x:c>
      <x:c r="G827" s="8" t="str">
        <x:v>Current</x:v>
      </x:c>
    </x:row>
    <x:row r="828" ht="32" customHeight="1">
      <x:c r="A828" s="8" t="str">
        <x:v>drop:DB2:L9:light:-1:L182</x:v>
      </x:c>
      <x:c r="B828" s="8" t="n">
        <x:v>2</x:v>
      </x:c>
      <x:c r="C828" s="11" t="n">
        <x:v>2.35</x:v>
      </x:c>
      <x:c r="D828" s="11" t="n">
        <x:v>7.65</x:v>
      </x:c>
      <x:c r="E828" s="11" t="n">
        <x:v>-7.36</x:v>
      </x:c>
      <x:c r="F828" s="11" t="n">
        <x:f>SQRT((C828-C827)^2+(D828-D827)^2+(E828-E827)^2)</x:f>
        <x:v>1.1740000000000004</x:v>
      </x:c>
      <x:c r="G828" s="8" t="str">
        <x:v>Current</x:v>
      </x:c>
    </x:row>
    <x:row r="829" ht="32" customHeight="1">
      <x:c r="A829" s="8" t="str">
        <x:v>drop:DB2:L9:light:-1:L182</x:v>
      </x:c>
      <x:c r="B829" s="8" t="n">
        <x:v>3</x:v>
      </x:c>
      <x:c r="C829" s="11" t="n">
        <x:v>2.35</x:v>
      </x:c>
      <x:c r="D829" s="11" t="n">
        <x:v>7.65</x:v>
      </x:c>
      <x:c r="E829" s="11" t="n">
        <x:v>-10.153</x:v>
      </x:c>
      <x:c r="F829" s="11" t="n">
        <x:f>SQRT((C829-C828)^2+(D829-D828)^2+(E829-E828)^2)</x:f>
        <x:v>2.793</x:v>
      </x:c>
      <x:c r="G829" s="8" t="str">
        <x:v>Current</x:v>
      </x:c>
    </x:row>
    <x:row r="830" ht="32" customHeight="1">
      <x:c r="A830" s="8" t="str">
        <x:v>drop:DB2:L9:light:-1:L182</x:v>
      </x:c>
      <x:c r="B830" s="8" t="n">
        <x:v>4</x:v>
      </x:c>
      <x:c r="C830" s="11" t="n">
        <x:v>0.05</x:v>
      </x:c>
      <x:c r="D830" s="11" t="n">
        <x:v>7.65</x:v>
      </x:c>
      <x:c r="E830" s="11" t="n">
        <x:v>-10.153</x:v>
      </x:c>
      <x:c r="F830" s="11" t="n">
        <x:f>SQRT((C830-C829)^2+(D830-D829)^2+(E830-E829)^2)</x:f>
        <x:v>2.3000000000000003</x:v>
      </x:c>
      <x:c r="G830" s="8" t="str">
        <x:v>Current</x:v>
      </x:c>
    </x:row>
    <x:row r="831" ht="32" customHeight="1">
      <x:c r="A831" s="8" t="str">
        <x:v>drop:DB2:L9:light:-1:L182</x:v>
      </x:c>
      <x:c r="B831" s="8" t="n">
        <x:v>5</x:v>
      </x:c>
      <x:c r="C831" s="11" t="n">
        <x:v>0.05</x:v>
      </x:c>
      <x:c r="D831" s="11" t="n">
        <x:v>8.39</x:v>
      </x:c>
      <x:c r="E831" s="11" t="n">
        <x:v>-10.153</x:v>
      </x:c>
      <x:c r="F831" s="11" t="n">
        <x:f>SQRT((C831-C830)^2+(D831-D830)^2+(E831-E830)^2)</x:f>
        <x:v>0.7400000000000002</x:v>
      </x:c>
      <x:c r="G831" s="8" t="str">
        <x:v>Current</x:v>
      </x:c>
    </x:row>
    <x:row r="832" ht="32" customHeight="1">
      <x:c r="A832" s="8" t="str">
        <x:v>drop:DB2:L9:light:-1:L182</x:v>
      </x:c>
      <x:c r="B832" s="8" t="n">
        <x:v>6</x:v>
      </x:c>
      <x:c r="C832" s="11" t="n">
        <x:v>0.05</x:v>
      </x:c>
      <x:c r="D832" s="11" t="n">
        <x:v>8.4</x:v>
      </x:c>
      <x:c r="E832" s="11" t="n">
        <x:v>-10.153</x:v>
      </x:c>
      <x:c r="F832" s="11" t="n">
        <x:f>SQRT((C832-C831)^2+(D832-D831)^2+(E832-E831)^2)</x:f>
        <x:v>0.009999999999999787</x:v>
      </x:c>
      <x:c r="G832" s="8" t="str">
        <x:v>Current</x:v>
      </x:c>
    </x:row>
    <x:row r="833" ht="32" customHeight="1">
      <x:c r="A833" s="8" t="str">
        <x:v>drop:DB2:L9:light:-1:L182</x:v>
      </x:c>
      <x:c r="B833" s="8" t="n">
        <x:v>7</x:v>
      </x:c>
      <x:c r="C833" s="11" t="n">
        <x:v>-0.0750000000000001</x:v>
      </x:c>
      <x:c r="D833" s="11" t="n">
        <x:v>8.4</x:v>
      </x:c>
      <x:c r="E833" s="11" t="n">
        <x:v>-10.153</x:v>
      </x:c>
      <x:c r="F833" s="11" t="n">
        <x:f>SQRT((C833-C832)^2+(D833-D832)^2+(E833-E832)^2)</x:f>
        <x:v>0.1250000000000001</x:v>
      </x:c>
      <x:c r="G833" s="8" t="str">
        <x:v>Current</x:v>
      </x:c>
    </x:row>
    <x:row r="834" ht="32" customHeight="1">
      <x:c r="A834" s="8" t="str">
        <x:v>drop:DB2:L9:light:-1:L182</x:v>
      </x:c>
      <x:c r="B834" s="8" t="n">
        <x:v>8</x:v>
      </x:c>
      <x:c r="C834" s="11" t="n">
        <x:v>-0.0750000000000001</x:v>
      </x:c>
      <x:c r="D834" s="11" t="n">
        <x:v>8.4</x:v>
      </x:c>
      <x:c r="E834" s="11" t="n">
        <x:v>-11.853</x:v>
      </x:c>
      <x:c r="F834" s="11" t="n">
        <x:f>SQRT((C834-C833)^2+(D834-D833)^2+(E834-E833)^2)</x:f>
        <x:v>1.6999999999999993</x:v>
      </x:c>
      <x:c r="G834" s="8" t="str">
        <x:v>Current</x:v>
      </x:c>
    </x:row>
    <x:row r="835" ht="32" customHeight="1">
      <x:c r="A835" s="8" t="str">
        <x:v>drop:DB2:L9:light:-1:L183</x:v>
      </x:c>
      <x:c r="B835" s="8" t="n">
        <x:v>1</x:v>
      </x:c>
      <x:c r="C835" s="11" t="n">
        <x:v>2.35</x:v>
      </x:c>
      <x:c r="D835" s="11" t="n">
        <x:v>6.476</x:v>
      </x:c>
      <x:c r="E835" s="11" t="n">
        <x:v>-7.36</x:v>
      </x:c>
      <x:c r="F835" s="11" t="n">
        <x:f>0</x:f>
        <x:v>0</x:v>
      </x:c>
      <x:c r="G835" s="8" t="str">
        <x:v>Current</x:v>
      </x:c>
    </x:row>
    <x:row r="836" ht="32" customHeight="1">
      <x:c r="A836" s="8" t="str">
        <x:v>drop:DB2:L9:light:-1:L183</x:v>
      </x:c>
      <x:c r="B836" s="8" t="n">
        <x:v>2</x:v>
      </x:c>
      <x:c r="C836" s="11" t="n">
        <x:v>2.35</x:v>
      </x:c>
      <x:c r="D836" s="11" t="n">
        <x:v>7.65</x:v>
      </x:c>
      <x:c r="E836" s="11" t="n">
        <x:v>-7.36</x:v>
      </x:c>
      <x:c r="F836" s="11" t="n">
        <x:f>SQRT((C836-C835)^2+(D836-D835)^2+(E836-E835)^2)</x:f>
        <x:v>1.1740000000000004</x:v>
      </x:c>
      <x:c r="G836" s="8" t="str">
        <x:v>Current</x:v>
      </x:c>
    </x:row>
    <x:row r="837" ht="32" customHeight="1">
      <x:c r="A837" s="8" t="str">
        <x:v>drop:DB2:L9:light:-1:L183</x:v>
      </x:c>
      <x:c r="B837" s="8" t="n">
        <x:v>3</x:v>
      </x:c>
      <x:c r="C837" s="11" t="n">
        <x:v>2.35</x:v>
      </x:c>
      <x:c r="D837" s="11" t="n">
        <x:v>7.65</x:v>
      </x:c>
      <x:c r="E837" s="11" t="n">
        <x:v>-10.153</x:v>
      </x:c>
      <x:c r="F837" s="11" t="n">
        <x:f>SQRT((C837-C836)^2+(D837-D836)^2+(E837-E836)^2)</x:f>
        <x:v>2.793</x:v>
      </x:c>
      <x:c r="G837" s="8" t="str">
        <x:v>Current</x:v>
      </x:c>
    </x:row>
    <x:row r="838" ht="32" customHeight="1">
      <x:c r="A838" s="8" t="str">
        <x:v>drop:DB2:L9:light:-1:L183</x:v>
      </x:c>
      <x:c r="B838" s="8" t="n">
        <x:v>4</x:v>
      </x:c>
      <x:c r="C838" s="11" t="n">
        <x:v>0.05</x:v>
      </x:c>
      <x:c r="D838" s="11" t="n">
        <x:v>7.65</x:v>
      </x:c>
      <x:c r="E838" s="11" t="n">
        <x:v>-10.153</x:v>
      </x:c>
      <x:c r="F838" s="11" t="n">
        <x:f>SQRT((C838-C837)^2+(D838-D837)^2+(E838-E837)^2)</x:f>
        <x:v>2.3000000000000003</x:v>
      </x:c>
      <x:c r="G838" s="8" t="str">
        <x:v>Current</x:v>
      </x:c>
    </x:row>
    <x:row r="839" ht="32" customHeight="1">
      <x:c r="A839" s="8" t="str">
        <x:v>drop:DB2:L9:light:-1:L183</x:v>
      </x:c>
      <x:c r="B839" s="8" t="n">
        <x:v>5</x:v>
      </x:c>
      <x:c r="C839" s="11" t="n">
        <x:v>0.05</x:v>
      </x:c>
      <x:c r="D839" s="11" t="n">
        <x:v>8.39</x:v>
      </x:c>
      <x:c r="E839" s="11" t="n">
        <x:v>-10.153</x:v>
      </x:c>
      <x:c r="F839" s="11" t="n">
        <x:f>SQRT((C839-C838)^2+(D839-D838)^2+(E839-E838)^2)</x:f>
        <x:v>0.7400000000000002</x:v>
      </x:c>
      <x:c r="G839" s="8" t="str">
        <x:v>Current</x:v>
      </x:c>
    </x:row>
    <x:row r="840" ht="32" customHeight="1">
      <x:c r="A840" s="8" t="str">
        <x:v>drop:DB2:L9:light:-1:L183</x:v>
      </x:c>
      <x:c r="B840" s="8" t="n">
        <x:v>6</x:v>
      </x:c>
      <x:c r="C840" s="11" t="n">
        <x:v>0.05</x:v>
      </x:c>
      <x:c r="D840" s="11" t="n">
        <x:v>8.4</x:v>
      </x:c>
      <x:c r="E840" s="11" t="n">
        <x:v>-10.153</x:v>
      </x:c>
      <x:c r="F840" s="11" t="n">
        <x:f>SQRT((C840-C839)^2+(D840-D839)^2+(E840-E839)^2)</x:f>
        <x:v>0.009999999999999787</x:v>
      </x:c>
      <x:c r="G840" s="8" t="str">
        <x:v>Current</x:v>
      </x:c>
    </x:row>
    <x:row r="841" ht="32" customHeight="1">
      <x:c r="A841" s="8" t="str">
        <x:v>drop:DB2:L9:light:-1:L183</x:v>
      </x:c>
      <x:c r="B841" s="8" t="n">
        <x:v>7</x:v>
      </x:c>
      <x:c r="C841" s="11" t="n">
        <x:v>-0.0750000000000001</x:v>
      </x:c>
      <x:c r="D841" s="11" t="n">
        <x:v>8.4</x:v>
      </x:c>
      <x:c r="E841" s="11" t="n">
        <x:v>-10.153</x:v>
      </x:c>
      <x:c r="F841" s="11" t="n">
        <x:f>SQRT((C841-C840)^2+(D841-D840)^2+(E841-E840)^2)</x:f>
        <x:v>0.1250000000000001</x:v>
      </x:c>
      <x:c r="G841" s="8" t="str">
        <x:v>Current</x:v>
      </x:c>
    </x:row>
    <x:row r="842" ht="32" customHeight="1">
      <x:c r="A842" s="8" t="str">
        <x:v>drop:DB2:L9:light:-1:L183</x:v>
      </x:c>
      <x:c r="B842" s="8" t="n">
        <x:v>8</x:v>
      </x:c>
      <x:c r="C842" s="11" t="n">
        <x:v>-0.0750000000000001</x:v>
      </x:c>
      <x:c r="D842" s="11" t="n">
        <x:v>8.4</x:v>
      </x:c>
      <x:c r="E842" s="11" t="n">
        <x:v>-8.453000000000001</x:v>
      </x:c>
      <x:c r="F842" s="11" t="n">
        <x:f>SQRT((C842-C841)^2+(D842-D841)^2+(E842-E841)^2)</x:f>
        <x:v>1.6999999999999993</x:v>
      </x:c>
      <x:c r="G842" s="8" t="str">
        <x:v>Current</x:v>
      </x:c>
    </x:row>
    <x:row r="843" ht="32" customHeight="1">
      <x:c r="A843" s="8" t="str">
        <x:v>trunk:DB2:L9:light:1</x:v>
      </x:c>
      <x:c r="B843" s="8" t="n">
        <x:v>1</x:v>
      </x:c>
      <x:c r="C843" s="11" t="n">
        <x:v>2.73</x:v>
      </x:c>
      <x:c r="D843" s="11" t="n">
        <x:v>1.5</x:v>
      </x:c>
      <x:c r="E843" s="11" t="n">
        <x:v>-3.3</x:v>
      </x:c>
      <x:c r="F843" s="11" t="n">
        <x:f>0</x:f>
        <x:v>0</x:v>
      </x:c>
      <x:c r="G843" s="8" t="str">
        <x:v>Current</x:v>
      </x:c>
    </x:row>
    <x:row r="844" ht="32" customHeight="1">
      <x:c r="A844" s="8" t="str">
        <x:v>trunk:DB2:L9:light:1</x:v>
      </x:c>
      <x:c r="B844" s="8" t="n">
        <x:v>2</x:v>
      </x:c>
      <x:c r="C844" s="11" t="n">
        <x:v>2.35</x:v>
      </x:c>
      <x:c r="D844" s="11" t="n">
        <x:v>1.5</x:v>
      </x:c>
      <x:c r="E844" s="11" t="n">
        <x:v>-3.3</x:v>
      </x:c>
      <x:c r="F844" s="11" t="n">
        <x:f>SQRT((C844-C843)^2+(D844-D843)^2+(E844-E843)^2)</x:f>
        <x:v>0.3799999999999999</x:v>
      </x:c>
      <x:c r="G844" s="8" t="str">
        <x:v>Current</x:v>
      </x:c>
    </x:row>
    <x:row r="845" ht="32" customHeight="1">
      <x:c r="A845" s="8" t="str">
        <x:v>trunk:DB2:L9:light:1</x:v>
      </x:c>
      <x:c r="B845" s="8" t="n">
        <x:v>3</x:v>
      </x:c>
      <x:c r="C845" s="11" t="n">
        <x:v>2.35</x:v>
      </x:c>
      <x:c r="D845" s="11" t="n">
        <x:v>7.65</x:v>
      </x:c>
      <x:c r="E845" s="11" t="n">
        <x:v>-3.3</x:v>
      </x:c>
      <x:c r="F845" s="11" t="n">
        <x:f>SQRT((C845-C844)^2+(D845-D844)^2+(E845-E844)^2)</x:f>
        <x:v>6.15</x:v>
      </x:c>
      <x:c r="G845" s="8" t="str">
        <x:v>Current</x:v>
      </x:c>
    </x:row>
    <x:row r="846" ht="32" customHeight="1">
      <x:c r="A846" s="8" t="str">
        <x:v>trunk:DB2:L9:light:1</x:v>
      </x:c>
      <x:c r="B846" s="8" t="n">
        <x:v>4</x:v>
      </x:c>
      <x:c r="C846" s="11" t="n">
        <x:v>2.35</x:v>
      </x:c>
      <x:c r="D846" s="11" t="n">
        <x:v>7.65</x:v>
      </x:c>
      <x:c r="E846" s="11" t="n">
        <x:v>7.36</x:v>
      </x:c>
      <x:c r="F846" s="11" t="n">
        <x:f>SQRT((C846-C845)^2+(D846-D845)^2+(E846-E845)^2)</x:f>
        <x:v>10.66</x:v>
      </x:c>
      <x:c r="G846" s="8" t="str">
        <x:v>Current</x:v>
      </x:c>
    </x:row>
    <x:row r="847" ht="32" customHeight="1">
      <x:c r="A847" s="8" t="str">
        <x:v>trunk:DB2:L9:light:1</x:v>
      </x:c>
      <x:c r="B847" s="8" t="n">
        <x:v>5</x:v>
      </x:c>
      <x:c r="C847" s="11" t="n">
        <x:v>2.35</x:v>
      </x:c>
      <x:c r="D847" s="11" t="n">
        <x:v>6.476</x:v>
      </x:c>
      <x:c r="E847" s="11" t="n">
        <x:v>7.36</x:v>
      </x:c>
      <x:c r="F847" s="11" t="n">
        <x:f>SQRT((C847-C846)^2+(D847-D846)^2+(E847-E846)^2)</x:f>
        <x:v>1.1740000000000004</x:v>
      </x:c>
      <x:c r="G847" s="8" t="str">
        <x:v>Current</x:v>
      </x:c>
    </x:row>
    <x:row r="848" ht="32" customHeight="1">
      <x:c r="A848" s="8" t="str">
        <x:v>drop:DB2:L9:light:1:L138</x:v>
      </x:c>
      <x:c r="B848" s="8" t="n">
        <x:v>1</x:v>
      </x:c>
      <x:c r="C848" s="11" t="n">
        <x:v>2.35</x:v>
      </x:c>
      <x:c r="D848" s="11" t="n">
        <x:v>6.476</x:v>
      </x:c>
      <x:c r="E848" s="11" t="n">
        <x:v>7.36</x:v>
      </x:c>
      <x:c r="F848" s="11" t="n">
        <x:f>0</x:f>
        <x:v>0</x:v>
      </x:c>
      <x:c r="G848" s="8" t="str">
        <x:v>Current</x:v>
      </x:c>
    </x:row>
    <x:row r="849" ht="32" customHeight="1">
      <x:c r="A849" s="8" t="str">
        <x:v>drop:DB2:L9:light:1:L138</x:v>
      </x:c>
      <x:c r="B849" s="8" t="n">
        <x:v>2</x:v>
      </x:c>
      <x:c r="C849" s="11" t="n">
        <x:v>2.35</x:v>
      </x:c>
      <x:c r="D849" s="11" t="n">
        <x:v>7.65</x:v>
      </x:c>
      <x:c r="E849" s="11" t="n">
        <x:v>7.36</x:v>
      </x:c>
      <x:c r="F849" s="11" t="n">
        <x:f>SQRT((C849-C848)^2+(D849-D848)^2+(E849-E848)^2)</x:f>
        <x:v>1.1740000000000004</x:v>
      </x:c>
      <x:c r="G849" s="8" t="str">
        <x:v>Current</x:v>
      </x:c>
    </x:row>
    <x:row r="850" ht="32" customHeight="1">
      <x:c r="A850" s="8" t="str">
        <x:v>drop:DB2:L9:light:1:L138</x:v>
      </x:c>
      <x:c r="B850" s="8" t="n">
        <x:v>3</x:v>
      </x:c>
      <x:c r="C850" s="11" t="n">
        <x:v>2.35</x:v>
      </x:c>
      <x:c r="D850" s="11" t="n">
        <x:v>7.65</x:v>
      </x:c>
      <x:c r="E850" s="11" t="n">
        <x:v>2.4</x:v>
      </x:c>
      <x:c r="F850" s="11" t="n">
        <x:f>SQRT((C850-C849)^2+(D850-D849)^2+(E850-E849)^2)</x:f>
        <x:v>4.960000000000001</x:v>
      </x:c>
      <x:c r="G850" s="8" t="str">
        <x:v>Current</x:v>
      </x:c>
    </x:row>
    <x:row r="851" ht="32" customHeight="1">
      <x:c r="A851" s="8" t="str">
        <x:v>drop:DB2:L9:light:1:L138</x:v>
      </x:c>
      <x:c r="B851" s="8" t="n">
        <x:v>4</x:v>
      </x:c>
      <x:c r="C851" s="11" t="n">
        <x:v>2.35</x:v>
      </x:c>
      <x:c r="D851" s="11" t="n">
        <x:v>3</x:v>
      </x:c>
      <x:c r="E851" s="11" t="n">
        <x:v>2.4</x:v>
      </x:c>
      <x:c r="F851" s="11" t="n">
        <x:f>SQRT((C851-C850)^2+(D851-D850)^2+(E851-E850)^2)</x:f>
        <x:v>4.65</x:v>
      </x:c>
      <x:c r="G851" s="8" t="str">
        <x:v>Current</x:v>
      </x:c>
    </x:row>
    <x:row r="852" ht="32" customHeight="1">
      <x:c r="A852" s="8" t="str">
        <x:v>drop:DB2:L9:light:1:L138</x:v>
      </x:c>
      <x:c r="B852" s="8" t="n">
        <x:v>5</x:v>
      </x:c>
      <x:c r="C852" s="11" t="n">
        <x:v>2.2</x:v>
      </x:c>
      <x:c r="D852" s="11" t="n">
        <x:v>3</x:v>
      </x:c>
      <x:c r="E852" s="11" t="n">
        <x:v>2.4</x:v>
      </x:c>
      <x:c r="F852" s="11" t="n">
        <x:f>SQRT((C852-C851)^2+(D852-D851)^2+(E852-E851)^2)</x:f>
        <x:v>0.1499999999999999</x:v>
      </x:c>
      <x:c r="G852" s="8" t="str">
        <x:v>Current</x:v>
      </x:c>
    </x:row>
    <x:row r="853" ht="32" customHeight="1">
      <x:c r="A853" s="8" t="str">
        <x:v>drop:DB2:L9:light:1:L189</x:v>
      </x:c>
      <x:c r="B853" s="8" t="n">
        <x:v>1</x:v>
      </x:c>
      <x:c r="C853" s="11" t="n">
        <x:v>2.35</x:v>
      </x:c>
      <x:c r="D853" s="11" t="n">
        <x:v>6.476</x:v>
      </x:c>
      <x:c r="E853" s="11" t="n">
        <x:v>7.36</x:v>
      </x:c>
      <x:c r="F853" s="11" t="n">
        <x:f>0</x:f>
        <x:v>0</x:v>
      </x:c>
      <x:c r="G853" s="8" t="str">
        <x:v>Current</x:v>
      </x:c>
    </x:row>
    <x:row r="854" ht="32" customHeight="1">
      <x:c r="A854" s="8" t="str">
        <x:v>drop:DB2:L9:light:1:L189</x:v>
      </x:c>
      <x:c r="B854" s="8" t="n">
        <x:v>2</x:v>
      </x:c>
      <x:c r="C854" s="11" t="n">
        <x:v>2.35</x:v>
      </x:c>
      <x:c r="D854" s="11" t="n">
        <x:v>7.65</x:v>
      </x:c>
      <x:c r="E854" s="11" t="n">
        <x:v>7.36</x:v>
      </x:c>
      <x:c r="F854" s="11" t="n">
        <x:f>SQRT((C854-C853)^2+(D854-D853)^2+(E854-E853)^2)</x:f>
        <x:v>1.1740000000000004</x:v>
      </x:c>
      <x:c r="G854" s="8" t="str">
        <x:v>Current</x:v>
      </x:c>
    </x:row>
    <x:row r="855" ht="32" customHeight="1">
      <x:c r="A855" s="8" t="str">
        <x:v>drop:DB2:L9:light:1:L189</x:v>
      </x:c>
      <x:c r="B855" s="8" t="n">
        <x:v>3</x:v>
      </x:c>
      <x:c r="C855" s="11" t="n">
        <x:v>2.35</x:v>
      </x:c>
      <x:c r="D855" s="11" t="n">
        <x:v>7.65</x:v>
      </x:c>
      <x:c r="E855" s="11" t="n">
        <x:v>10.153</x:v>
      </x:c>
      <x:c r="F855" s="11" t="n">
        <x:f>SQRT((C855-C854)^2+(D855-D854)^2+(E855-E854)^2)</x:f>
        <x:v>2.793</x:v>
      </x:c>
      <x:c r="G855" s="8" t="str">
        <x:v>Current</x:v>
      </x:c>
    </x:row>
    <x:row r="856" ht="32" customHeight="1">
      <x:c r="A856" s="8" t="str">
        <x:v>drop:DB2:L9:light:1:L189</x:v>
      </x:c>
      <x:c r="B856" s="8" t="n">
        <x:v>4</x:v>
      </x:c>
      <x:c r="C856" s="11" t="n">
        <x:v>0.05</x:v>
      </x:c>
      <x:c r="D856" s="11" t="n">
        <x:v>7.65</x:v>
      </x:c>
      <x:c r="E856" s="11" t="n">
        <x:v>10.153</x:v>
      </x:c>
      <x:c r="F856" s="11" t="n">
        <x:f>SQRT((C856-C855)^2+(D856-D855)^2+(E856-E855)^2)</x:f>
        <x:v>2.3000000000000003</x:v>
      </x:c>
      <x:c r="G856" s="8" t="str">
        <x:v>Current</x:v>
      </x:c>
    </x:row>
    <x:row r="857" ht="32" customHeight="1">
      <x:c r="A857" s="8" t="str">
        <x:v>drop:DB2:L9:light:1:L189</x:v>
      </x:c>
      <x:c r="B857" s="8" t="n">
        <x:v>5</x:v>
      </x:c>
      <x:c r="C857" s="11" t="n">
        <x:v>0.05</x:v>
      </x:c>
      <x:c r="D857" s="11" t="n">
        <x:v>8.39</x:v>
      </x:c>
      <x:c r="E857" s="11" t="n">
        <x:v>10.153</x:v>
      </x:c>
      <x:c r="F857" s="11" t="n">
        <x:f>SQRT((C857-C856)^2+(D857-D856)^2+(E857-E856)^2)</x:f>
        <x:v>0.7400000000000002</x:v>
      </x:c>
      <x:c r="G857" s="8" t="str">
        <x:v>Current</x:v>
      </x:c>
    </x:row>
    <x:row r="858" ht="32" customHeight="1">
      <x:c r="A858" s="8" t="str">
        <x:v>drop:DB2:L9:light:1:L189</x:v>
      </x:c>
      <x:c r="B858" s="8" t="n">
        <x:v>6</x:v>
      </x:c>
      <x:c r="C858" s="11" t="n">
        <x:v>0.05</x:v>
      </x:c>
      <x:c r="D858" s="11" t="n">
        <x:v>8.4</x:v>
      </x:c>
      <x:c r="E858" s="11" t="n">
        <x:v>10.153</x:v>
      </x:c>
      <x:c r="F858" s="11" t="n">
        <x:f>SQRT((C858-C857)^2+(D858-D857)^2+(E858-E857)^2)</x:f>
        <x:v>0.009999999999999787</x:v>
      </x:c>
      <x:c r="G858" s="8" t="str">
        <x:v>Current</x:v>
      </x:c>
    </x:row>
    <x:row r="859" ht="32" customHeight="1">
      <x:c r="A859" s="8" t="str">
        <x:v>drop:DB2:L9:light:1:L189</x:v>
      </x:c>
      <x:c r="B859" s="8" t="n">
        <x:v>7</x:v>
      </x:c>
      <x:c r="C859" s="11" t="n">
        <x:v>-0.0750000000000001</x:v>
      </x:c>
      <x:c r="D859" s="11" t="n">
        <x:v>8.4</x:v>
      </x:c>
      <x:c r="E859" s="11" t="n">
        <x:v>10.153</x:v>
      </x:c>
      <x:c r="F859" s="11" t="n">
        <x:f>SQRT((C859-C858)^2+(D859-D858)^2+(E859-E858)^2)</x:f>
        <x:v>0.1250000000000001</x:v>
      </x:c>
      <x:c r="G859" s="8" t="str">
        <x:v>Current</x:v>
      </x:c>
    </x:row>
    <x:row r="860" ht="32" customHeight="1">
      <x:c r="A860" s="8" t="str">
        <x:v>drop:DB2:L9:light:1:L189</x:v>
      </x:c>
      <x:c r="B860" s="8" t="n">
        <x:v>8</x:v>
      </x:c>
      <x:c r="C860" s="11" t="n">
        <x:v>-0.0750000000000001</x:v>
      </x:c>
      <x:c r="D860" s="11" t="n">
        <x:v>8.4</x:v>
      </x:c>
      <x:c r="E860" s="11" t="n">
        <x:v>8.453000000000001</x:v>
      </x:c>
      <x:c r="F860" s="11" t="n">
        <x:f>SQRT((C860-C859)^2+(D860-D859)^2+(E860-E859)^2)</x:f>
        <x:v>1.6999999999999993</x:v>
      </x:c>
      <x:c r="G860" s="8" t="str">
        <x:v>Current</x:v>
      </x:c>
    </x:row>
    <x:row r="861" ht="32" customHeight="1">
      <x:c r="A861" s="8" t="str">
        <x:v>drop:DB2:L9:light:1:L190</x:v>
      </x:c>
      <x:c r="B861" s="8" t="n">
        <x:v>1</x:v>
      </x:c>
      <x:c r="C861" s="11" t="n">
        <x:v>2.35</x:v>
      </x:c>
      <x:c r="D861" s="11" t="n">
        <x:v>6.476</x:v>
      </x:c>
      <x:c r="E861" s="11" t="n">
        <x:v>7.36</x:v>
      </x:c>
      <x:c r="F861" s="11" t="n">
        <x:f>0</x:f>
        <x:v>0</x:v>
      </x:c>
      <x:c r="G861" s="8" t="str">
        <x:v>Current</x:v>
      </x:c>
    </x:row>
    <x:row r="862" ht="32" customHeight="1">
      <x:c r="A862" s="8" t="str">
        <x:v>drop:DB2:L9:light:1:L190</x:v>
      </x:c>
      <x:c r="B862" s="8" t="n">
        <x:v>2</x:v>
      </x:c>
      <x:c r="C862" s="11" t="n">
        <x:v>2.35</x:v>
      </x:c>
      <x:c r="D862" s="11" t="n">
        <x:v>7.65</x:v>
      </x:c>
      <x:c r="E862" s="11" t="n">
        <x:v>7.36</x:v>
      </x:c>
      <x:c r="F862" s="11" t="n">
        <x:f>SQRT((C862-C861)^2+(D862-D861)^2+(E862-E861)^2)</x:f>
        <x:v>1.1740000000000004</x:v>
      </x:c>
      <x:c r="G862" s="8" t="str">
        <x:v>Current</x:v>
      </x:c>
    </x:row>
    <x:row r="863" ht="32" customHeight="1">
      <x:c r="A863" s="8" t="str">
        <x:v>drop:DB2:L9:light:1:L190</x:v>
      </x:c>
      <x:c r="B863" s="8" t="n">
        <x:v>3</x:v>
      </x:c>
      <x:c r="C863" s="11" t="n">
        <x:v>2.35</x:v>
      </x:c>
      <x:c r="D863" s="11" t="n">
        <x:v>7.65</x:v>
      </x:c>
      <x:c r="E863" s="11" t="n">
        <x:v>10.153</x:v>
      </x:c>
      <x:c r="F863" s="11" t="n">
        <x:f>SQRT((C863-C862)^2+(D863-D862)^2+(E863-E862)^2)</x:f>
        <x:v>2.793</x:v>
      </x:c>
      <x:c r="G863" s="8" t="str">
        <x:v>Current</x:v>
      </x:c>
    </x:row>
    <x:row r="864" ht="32" customHeight="1">
      <x:c r="A864" s="8" t="str">
        <x:v>drop:DB2:L9:light:1:L190</x:v>
      </x:c>
      <x:c r="B864" s="8" t="n">
        <x:v>4</x:v>
      </x:c>
      <x:c r="C864" s="11" t="n">
        <x:v>0.05</x:v>
      </x:c>
      <x:c r="D864" s="11" t="n">
        <x:v>7.65</x:v>
      </x:c>
      <x:c r="E864" s="11" t="n">
        <x:v>10.153</x:v>
      </x:c>
      <x:c r="F864" s="11" t="n">
        <x:f>SQRT((C864-C863)^2+(D864-D863)^2+(E864-E863)^2)</x:f>
        <x:v>2.3000000000000003</x:v>
      </x:c>
      <x:c r="G864" s="8" t="str">
        <x:v>Current</x:v>
      </x:c>
    </x:row>
    <x:row r="865" ht="32" customHeight="1">
      <x:c r="A865" s="8" t="str">
        <x:v>drop:DB2:L9:light:1:L190</x:v>
      </x:c>
      <x:c r="B865" s="8" t="n">
        <x:v>5</x:v>
      </x:c>
      <x:c r="C865" s="11" t="n">
        <x:v>0.05</x:v>
      </x:c>
      <x:c r="D865" s="11" t="n">
        <x:v>8.39</x:v>
      </x:c>
      <x:c r="E865" s="11" t="n">
        <x:v>10.153</x:v>
      </x:c>
      <x:c r="F865" s="11" t="n">
        <x:f>SQRT((C865-C864)^2+(D865-D864)^2+(E865-E864)^2)</x:f>
        <x:v>0.7400000000000002</x:v>
      </x:c>
      <x:c r="G865" s="8" t="str">
        <x:v>Current</x:v>
      </x:c>
    </x:row>
    <x:row r="866" ht="32" customHeight="1">
      <x:c r="A866" s="8" t="str">
        <x:v>drop:DB2:L9:light:1:L190</x:v>
      </x:c>
      <x:c r="B866" s="8" t="n">
        <x:v>6</x:v>
      </x:c>
      <x:c r="C866" s="11" t="n">
        <x:v>0.05</x:v>
      </x:c>
      <x:c r="D866" s="11" t="n">
        <x:v>8.4</x:v>
      </x:c>
      <x:c r="E866" s="11" t="n">
        <x:v>10.153</x:v>
      </x:c>
      <x:c r="F866" s="11" t="n">
        <x:f>SQRT((C866-C865)^2+(D866-D865)^2+(E866-E865)^2)</x:f>
        <x:v>0.009999999999999787</x:v>
      </x:c>
      <x:c r="G866" s="8" t="str">
        <x:v>Current</x:v>
      </x:c>
    </x:row>
    <x:row r="867" ht="32" customHeight="1">
      <x:c r="A867" s="8" t="str">
        <x:v>drop:DB2:L9:light:1:L190</x:v>
      </x:c>
      <x:c r="B867" s="8" t="n">
        <x:v>7</x:v>
      </x:c>
      <x:c r="C867" s="11" t="n">
        <x:v>-0.0750000000000001</x:v>
      </x:c>
      <x:c r="D867" s="11" t="n">
        <x:v>8.4</x:v>
      </x:c>
      <x:c r="E867" s="11" t="n">
        <x:v>10.153</x:v>
      </x:c>
      <x:c r="F867" s="11" t="n">
        <x:f>SQRT((C867-C866)^2+(D867-D866)^2+(E867-E866)^2)</x:f>
        <x:v>0.1250000000000001</x:v>
      </x:c>
      <x:c r="G867" s="8" t="str">
        <x:v>Current</x:v>
      </x:c>
    </x:row>
    <x:row r="868" ht="32" customHeight="1">
      <x:c r="A868" s="8" t="str">
        <x:v>drop:DB2:L9:light:1:L190</x:v>
      </x:c>
      <x:c r="B868" s="8" t="n">
        <x:v>8</x:v>
      </x:c>
      <x:c r="C868" s="11" t="n">
        <x:v>-0.0750000000000001</x:v>
      </x:c>
      <x:c r="D868" s="11" t="n">
        <x:v>8.4</x:v>
      </x:c>
      <x:c r="E868" s="11" t="n">
        <x:v>11.853</x:v>
      </x:c>
      <x:c r="F868" s="11" t="n">
        <x:f>SQRT((C868-C867)^2+(D868-D867)^2+(E868-E867)^2)</x:f>
        <x:v>1.6999999999999993</x:v>
      </x:c>
      <x:c r="G868" s="8" t="str">
        <x:v>Current</x:v>
      </x:c>
    </x:row>
    <x:row r="869" ht="32" customHeight="1">
      <x:c r="A869" s="8" t="str">
        <x:v>trunk:LC1:L5:light:-1</x:v>
      </x:c>
      <x:c r="B869" s="8" t="n">
        <x:v>1</x:v>
      </x:c>
      <x:c r="C869" s="11" t="n">
        <x:v>48.895</x:v>
      </x:c>
      <x:c r="D869" s="11" t="n">
        <x:v>1.85</x:v>
      </x:c>
      <x:c r="E869" s="11" t="n">
        <x:v>-0.55</x:v>
      </x:c>
      <x:c r="F869" s="11" t="n">
        <x:f>0</x:f>
        <x:v>0</x:v>
      </x:c>
      <x:c r="G869" s="8" t="str">
        <x:v>Current</x:v>
      </x:c>
    </x:row>
    <x:row r="870" ht="32" customHeight="1">
      <x:c r="A870" s="8" t="str">
        <x:v>trunk:LC1:L5:light:-1</x:v>
      </x:c>
      <x:c r="B870" s="8" t="n">
        <x:v>2</x:v>
      </x:c>
      <x:c r="C870" s="11" t="n">
        <x:v>48.735</x:v>
      </x:c>
      <x:c r="D870" s="11" t="n">
        <x:v>1.85</x:v>
      </x:c>
      <x:c r="E870" s="11" t="n">
        <x:v>-0.55</x:v>
      </x:c>
      <x:c r="F870" s="11" t="n">
        <x:f>SQRT((C870-C869)^2+(D870-D869)^2+(E870-E869)^2)</x:f>
        <x:v>0.1600000000000037</x:v>
      </x:c>
      <x:c r="G870" s="8" t="str">
        <x:v>Current</x:v>
      </x:c>
    </x:row>
    <x:row r="871" ht="32" customHeight="1">
      <x:c r="A871" s="8" t="str">
        <x:v>trunk:LC1:L5:light:-1</x:v>
      </x:c>
      <x:c r="B871" s="8" t="n">
        <x:v>3</x:v>
      </x:c>
      <x:c r="C871" s="11" t="n">
        <x:v>48.735</x:v>
      </x:c>
      <x:c r="D871" s="11" t="n">
        <x:v>1.85</x:v>
      </x:c>
      <x:c r="E871" s="11" t="n">
        <x:v>-2.24</x:v>
      </x:c>
      <x:c r="F871" s="11" t="n">
        <x:f>SQRT((C871-C870)^2+(D871-D870)^2+(E871-E870)^2)</x:f>
        <x:v>1.6900000000000002</x:v>
      </x:c>
      <x:c r="G871" s="8" t="str">
        <x:v>Current</x:v>
      </x:c>
    </x:row>
    <x:row r="872" ht="32" customHeight="1">
      <x:c r="A872" s="8" t="str">
        <x:v>trunk:LC1:L5:light:-1</x:v>
      </x:c>
      <x:c r="B872" s="8" t="n">
        <x:v>4</x:v>
      </x:c>
      <x:c r="C872" s="11" t="n">
        <x:v>48.735</x:v>
      </x:c>
      <x:c r="D872" s="11" t="n">
        <x:v>4.02</x:v>
      </x:c>
      <x:c r="E872" s="11" t="n">
        <x:v>-2.24</x:v>
      </x:c>
      <x:c r="F872" s="11" t="n">
        <x:f>SQRT((C872-C871)^2+(D872-D871)^2+(E872-E871)^2)</x:f>
        <x:v>2.1699999999999995</x:v>
      </x:c>
      <x:c r="G872" s="8" t="str">
        <x:v>Current</x:v>
      </x:c>
    </x:row>
    <x:row r="873" ht="32" customHeight="1">
      <x:c r="A873" s="8" t="str">
        <x:v>trunk:LC1:L5:light:-1</x:v>
      </x:c>
      <x:c r="B873" s="8" t="n">
        <x:v>5</x:v>
      </x:c>
      <x:c r="C873" s="11" t="n">
        <x:v>48.735</x:v>
      </x:c>
      <x:c r="D873" s="11" t="n">
        <x:v>4.02</x:v>
      </x:c>
      <x:c r="E873" s="11" t="n">
        <x:v>-3.6</x:v>
      </x:c>
      <x:c r="F873" s="11" t="n">
        <x:f>SQRT((C873-C872)^2+(D873-D872)^2+(E873-E872)^2)</x:f>
        <x:v>1.3599999999999999</x:v>
      </x:c>
      <x:c r="G873" s="8" t="str">
        <x:v>Current</x:v>
      </x:c>
    </x:row>
    <x:row r="874" ht="32" customHeight="1">
      <x:c r="A874" s="8" t="str">
        <x:v>trunk:LC1:L5:light:-1</x:v>
      </x:c>
      <x:c r="B874" s="8" t="n">
        <x:v>6</x:v>
      </x:c>
      <x:c r="C874" s="11" t="n">
        <x:v>53.05</x:v>
      </x:c>
      <x:c r="D874" s="11" t="n">
        <x:v>4.02</x:v>
      </x:c>
      <x:c r="E874" s="11" t="n">
        <x:v>-3.6</x:v>
      </x:c>
      <x:c r="F874" s="11" t="n">
        <x:f>SQRT((C874-C873)^2+(D874-D873)^2+(E874-E873)^2)</x:f>
        <x:v>4.314999999999998</x:v>
      </x:c>
      <x:c r="G874" s="8" t="str">
        <x:v>Current</x:v>
      </x:c>
    </x:row>
    <x:row r="875" ht="32" customHeight="1">
      <x:c r="A875" s="8" t="str">
        <x:v>trunk:LC1:L5:light:-1</x:v>
      </x:c>
      <x:c r="B875" s="8" t="n">
        <x:v>7</x:v>
      </x:c>
      <x:c r="C875" s="11" t="n">
        <x:v>53.05</x:v>
      </x:c>
      <x:c r="D875" s="11" t="n">
        <x:v>6.433999999999999</x:v>
      </x:c>
      <x:c r="E875" s="11" t="n">
        <x:v>-3.6</x:v>
      </x:c>
      <x:c r="F875" s="11" t="n">
        <x:f>SQRT((C875-C874)^2+(D875-D874)^2+(E875-E874)^2)</x:f>
        <x:v>2.4139999999999997</x:v>
      </x:c>
      <x:c r="G875" s="8" t="str">
        <x:v>Current</x:v>
      </x:c>
    </x:row>
    <x:row r="876" ht="32" customHeight="1">
      <x:c r="A876" s="8" t="str">
        <x:v>trunk:LC1:L5:light:-1</x:v>
      </x:c>
      <x:c r="B876" s="8" t="n">
        <x:v>8</x:v>
      </x:c>
      <x:c r="C876" s="11" t="n">
        <x:v>53.05</x:v>
      </x:c>
      <x:c r="D876" s="11" t="n">
        <x:v>6.433999999999999</x:v>
      </x:c>
      <x:c r="E876" s="11" t="n">
        <x:v>-7.36</x:v>
      </x:c>
      <x:c r="F876" s="11" t="n">
        <x:f>SQRT((C876-C875)^2+(D876-D875)^2+(E876-E875)^2)</x:f>
        <x:v>3.7600000000000002</x:v>
      </x:c>
      <x:c r="G876" s="8" t="str">
        <x:v>Current</x:v>
      </x:c>
    </x:row>
    <x:row r="877" ht="32" customHeight="1">
      <x:c r="A877" s="8" t="str">
        <x:v>trunk:LC1:L5:light:-1</x:v>
      </x:c>
      <x:c r="B877" s="8" t="n">
        <x:v>9</x:v>
      </x:c>
      <x:c r="C877" s="11" t="n">
        <x:v>44.175</x:v>
      </x:c>
      <x:c r="D877" s="11" t="n">
        <x:v>6.433999999999999</x:v>
      </x:c>
      <x:c r="E877" s="11" t="n">
        <x:v>-7.36</x:v>
      </x:c>
      <x:c r="F877" s="11" t="n">
        <x:f>SQRT((C877-C876)^2+(D877-D876)^2+(E877-E876)^2)</x:f>
        <x:v>8.875</x:v>
      </x:c>
      <x:c r="G877" s="8" t="str">
        <x:v>Current</x:v>
      </x:c>
    </x:row>
    <x:row r="878" ht="32" customHeight="1">
      <x:c r="A878" s="8" t="str">
        <x:v>trunk:LC1:L5:light:-1</x:v>
      </x:c>
      <x:c r="B878" s="8" t="n">
        <x:v>10</x:v>
      </x:c>
      <x:c r="C878" s="11" t="n">
        <x:v>44.175</x:v>
      </x:c>
      <x:c r="D878" s="11" t="n">
        <x:v>6.433999999999999</x:v>
      </x:c>
      <x:c r="E878" s="11" t="n">
        <x:v>-13.24</x:v>
      </x:c>
      <x:c r="F878" s="11" t="n">
        <x:f>SQRT((C878-C877)^2+(D878-D877)^2+(E878-E877)^2)</x:f>
        <x:v>5.88</x:v>
      </x:c>
      <x:c r="G878" s="8" t="str">
        <x:v>Current</x:v>
      </x:c>
    </x:row>
    <x:row r="879" ht="32" customHeight="1">
      <x:c r="A879" s="8" t="str">
        <x:v>trunk:LC1:L5:light:-1</x:v>
      </x:c>
      <x:c r="B879" s="8" t="n">
        <x:v>11</x:v>
      </x:c>
      <x:c r="C879" s="11" t="n">
        <x:v>36.975</x:v>
      </x:c>
      <x:c r="D879" s="11" t="n">
        <x:v>6.433999999999999</x:v>
      </x:c>
      <x:c r="E879" s="11" t="n">
        <x:v>-13.24</x:v>
      </x:c>
      <x:c r="F879" s="11" t="n">
        <x:f>SQRT((C879-C878)^2+(D879-D878)^2+(E879-E878)^2)</x:f>
        <x:v>7.199999999999996</x:v>
      </x:c>
      <x:c r="G879" s="8" t="str">
        <x:v>Current</x:v>
      </x:c>
    </x:row>
    <x:row r="880" ht="32" customHeight="1">
      <x:c r="A880" s="8" t="str">
        <x:v>trunk:LC1:L5:light:-1</x:v>
      </x:c>
      <x:c r="B880" s="8" t="n">
        <x:v>12</x:v>
      </x:c>
      <x:c r="C880" s="11" t="n">
        <x:v>36.975</x:v>
      </x:c>
      <x:c r="D880" s="11" t="n">
        <x:v>6.433999999999999</x:v>
      </x:c>
      <x:c r="E880" s="11" t="n">
        <x:v>-7.36</x:v>
      </x:c>
      <x:c r="F880" s="11" t="n">
        <x:f>SQRT((C880-C879)^2+(D880-D879)^2+(E880-E879)^2)</x:f>
        <x:v>5.88</x:v>
      </x:c>
      <x:c r="G880" s="8" t="str">
        <x:v>Current</x:v>
      </x:c>
    </x:row>
    <x:row r="881" ht="32" customHeight="1">
      <x:c r="A881" s="8" t="str">
        <x:v>trunk:LC1:L5:light:-1</x:v>
      </x:c>
      <x:c r="B881" s="8" t="n">
        <x:v>13</x:v>
      </x:c>
      <x:c r="C881" s="11" t="n">
        <x:v>14.475</x:v>
      </x:c>
      <x:c r="D881" s="11" t="n">
        <x:v>6.433999999999999</x:v>
      </x:c>
      <x:c r="E881" s="11" t="n">
        <x:v>-7.36</x:v>
      </x:c>
      <x:c r="F881" s="11" t="n">
        <x:f>SQRT((C881-C880)^2+(D881-D880)^2+(E881-E880)^2)</x:f>
        <x:v>22.5</x:v>
      </x:c>
      <x:c r="G881" s="8" t="str">
        <x:v>Current</x:v>
      </x:c>
    </x:row>
    <x:row r="882" ht="32" customHeight="1">
      <x:c r="A882" s="8" t="str">
        <x:v>drop:LC1:L5:light:-1:L139</x:v>
      </x:c>
      <x:c r="B882" s="8" t="n">
        <x:v>1</x:v>
      </x:c>
      <x:c r="C882" s="11" t="n">
        <x:v>15.3</x:v>
      </x:c>
      <x:c r="D882" s="11" t="n">
        <x:v>6.433999999999999</x:v>
      </x:c>
      <x:c r="E882" s="11" t="n">
        <x:v>-7.36</x:v>
      </x:c>
      <x:c r="F882" s="11" t="n">
        <x:f>0</x:f>
        <x:v>0</x:v>
      </x:c>
      <x:c r="G882" s="8" t="str">
        <x:v>Current</x:v>
      </x:c>
    </x:row>
    <x:row r="883" ht="32" customHeight="1">
      <x:c r="A883" s="8" t="str">
        <x:v>drop:LC1:L5:light:-1:L139</x:v>
      </x:c>
      <x:c r="B883" s="8" t="n">
        <x:v>2</x:v>
      </x:c>
      <x:c r="C883" s="11" t="n">
        <x:v>15.3</x:v>
      </x:c>
      <x:c r="D883" s="11" t="n">
        <x:v>2.6</x:v>
      </x:c>
      <x:c r="E883" s="11" t="n">
        <x:v>-7.36</x:v>
      </x:c>
      <x:c r="F883" s="11" t="n">
        <x:f>SQRT((C883-C882)^2+(D883-D882)^2+(E883-E882)^2)</x:f>
        <x:v>3.833999999999999</x:v>
      </x:c>
      <x:c r="G883" s="8" t="str">
        <x:v>Current</x:v>
      </x:c>
    </x:row>
    <x:row r="884" ht="32" customHeight="1">
      <x:c r="A884" s="8" t="str">
        <x:v>drop:LC1:L5:light:-1:L139</x:v>
      </x:c>
      <x:c r="B884" s="8" t="n">
        <x:v>3</x:v>
      </x:c>
      <x:c r="C884" s="11" t="n">
        <x:v>15.3</x:v>
      </x:c>
      <x:c r="D884" s="11" t="n">
        <x:v>2.6</x:v>
      </x:c>
      <x:c r="E884" s="11" t="n">
        <x:v>-10.55</x:v>
      </x:c>
      <x:c r="F884" s="11" t="n">
        <x:f>SQRT((C884-C883)^2+(D884-D883)^2+(E884-E883)^2)</x:f>
        <x:v>3.1900000000000004</x:v>
      </x:c>
      <x:c r="G884" s="8" t="str">
        <x:v>Current</x:v>
      </x:c>
    </x:row>
    <x:row r="885" ht="32" customHeight="1">
      <x:c r="A885" s="8" t="str">
        <x:v>drop:LC1:L5:light:-1:L140</x:v>
      </x:c>
      <x:c r="B885" s="8" t="n">
        <x:v>1</x:v>
      </x:c>
      <x:c r="C885" s="11" t="n">
        <x:v>18.150000000000002</x:v>
      </x:c>
      <x:c r="D885" s="11" t="n">
        <x:v>6.433999999999999</x:v>
      </x:c>
      <x:c r="E885" s="11" t="n">
        <x:v>-7.36</x:v>
      </x:c>
      <x:c r="F885" s="11" t="n">
        <x:f>0</x:f>
        <x:v>0</x:v>
      </x:c>
      <x:c r="G885" s="8" t="str">
        <x:v>Current</x:v>
      </x:c>
    </x:row>
    <x:row r="886" ht="32" customHeight="1">
      <x:c r="A886" s="8" t="str">
        <x:v>drop:LC1:L5:light:-1:L140</x:v>
      </x:c>
      <x:c r="B886" s="8" t="n">
        <x:v>2</x:v>
      </x:c>
      <x:c r="C886" s="11" t="n">
        <x:v>18.150000000000002</x:v>
      </x:c>
      <x:c r="D886" s="11" t="n">
        <x:v>2.6</x:v>
      </x:c>
      <x:c r="E886" s="11" t="n">
        <x:v>-7.36</x:v>
      </x:c>
      <x:c r="F886" s="11" t="n">
        <x:f>SQRT((C886-C885)^2+(D886-D885)^2+(E886-E885)^2)</x:f>
        <x:v>3.833999999999999</x:v>
      </x:c>
      <x:c r="G886" s="8" t="str">
        <x:v>Current</x:v>
      </x:c>
    </x:row>
    <x:row r="887" ht="32" customHeight="1">
      <x:c r="A887" s="8" t="str">
        <x:v>drop:LC1:L5:light:-1:L140</x:v>
      </x:c>
      <x:c r="B887" s="8" t="n">
        <x:v>3</x:v>
      </x:c>
      <x:c r="C887" s="11" t="n">
        <x:v>18.150000000000002</x:v>
      </x:c>
      <x:c r="D887" s="11" t="n">
        <x:v>2.6</x:v>
      </x:c>
      <x:c r="E887" s="11" t="n">
        <x:v>-10.55</x:v>
      </x:c>
      <x:c r="F887" s="11" t="n">
        <x:f>SQRT((C887-C886)^2+(D887-D886)^2+(E887-E886)^2)</x:f>
        <x:v>3.1900000000000004</x:v>
      </x:c>
      <x:c r="G887" s="8" t="str">
        <x:v>Current</x:v>
      </x:c>
    </x:row>
    <x:row r="888" ht="32" customHeight="1">
      <x:c r="A888" s="8" t="str">
        <x:v>drop:LC1:L5:light:-1:L141</x:v>
      </x:c>
      <x:c r="B888" s="8" t="n">
        <x:v>1</x:v>
      </x:c>
      <x:c r="C888" s="11" t="n">
        <x:v>33.300000000000004</x:v>
      </x:c>
      <x:c r="D888" s="11" t="n">
        <x:v>6.433999999999999</x:v>
      </x:c>
      <x:c r="E888" s="11" t="n">
        <x:v>-7.36</x:v>
      </x:c>
      <x:c r="F888" s="11" t="n">
        <x:f>0</x:f>
        <x:v>0</x:v>
      </x:c>
      <x:c r="G888" s="8" t="str">
        <x:v>Current</x:v>
      </x:c>
    </x:row>
    <x:row r="889" ht="32" customHeight="1">
      <x:c r="A889" s="8" t="str">
        <x:v>drop:LC1:L5:light:-1:L141</x:v>
      </x:c>
      <x:c r="B889" s="8" t="n">
        <x:v>2</x:v>
      </x:c>
      <x:c r="C889" s="11" t="n">
        <x:v>33.300000000000004</x:v>
      </x:c>
      <x:c r="D889" s="11" t="n">
        <x:v>2.6</x:v>
      </x:c>
      <x:c r="E889" s="11" t="n">
        <x:v>-7.36</x:v>
      </x:c>
      <x:c r="F889" s="11" t="n">
        <x:f>SQRT((C889-C888)^2+(D889-D888)^2+(E889-E888)^2)</x:f>
        <x:v>3.833999999999999</x:v>
      </x:c>
      <x:c r="G889" s="8" t="str">
        <x:v>Current</x:v>
      </x:c>
    </x:row>
    <x:row r="890" ht="32" customHeight="1">
      <x:c r="A890" s="8" t="str">
        <x:v>drop:LC1:L5:light:-1:L141</x:v>
      </x:c>
      <x:c r="B890" s="8" t="n">
        <x:v>3</x:v>
      </x:c>
      <x:c r="C890" s="11" t="n">
        <x:v>33.300000000000004</x:v>
      </x:c>
      <x:c r="D890" s="11" t="n">
        <x:v>2.6</x:v>
      </x:c>
      <x:c r="E890" s="11" t="n">
        <x:v>-10.55</x:v>
      </x:c>
      <x:c r="F890" s="11" t="n">
        <x:f>SQRT((C890-C889)^2+(D890-D889)^2+(E890-E889)^2)</x:f>
        <x:v>3.1900000000000004</x:v>
      </x:c>
      <x:c r="G890" s="8" t="str">
        <x:v>Current</x:v>
      </x:c>
    </x:row>
    <x:row r="891" ht="32" customHeight="1">
      <x:c r="A891" s="8" t="str">
        <x:v>drop:LC1:L5:light:-1:L142</x:v>
      </x:c>
      <x:c r="B891" s="8" t="n">
        <x:v>1</x:v>
      </x:c>
      <x:c r="C891" s="11" t="n">
        <x:v>36.15</x:v>
      </x:c>
      <x:c r="D891" s="11" t="n">
        <x:v>6.433999999999999</x:v>
      </x:c>
      <x:c r="E891" s="11" t="n">
        <x:v>-7.36</x:v>
      </x:c>
      <x:c r="F891" s="11" t="n">
        <x:f>0</x:f>
        <x:v>0</x:v>
      </x:c>
      <x:c r="G891" s="8" t="str">
        <x:v>Current</x:v>
      </x:c>
    </x:row>
    <x:row r="892" ht="32" customHeight="1">
      <x:c r="A892" s="8" t="str">
        <x:v>drop:LC1:L5:light:-1:L142</x:v>
      </x:c>
      <x:c r="B892" s="8" t="n">
        <x:v>2</x:v>
      </x:c>
      <x:c r="C892" s="11" t="n">
        <x:v>36.15</x:v>
      </x:c>
      <x:c r="D892" s="11" t="n">
        <x:v>2.6</x:v>
      </x:c>
      <x:c r="E892" s="11" t="n">
        <x:v>-7.36</x:v>
      </x:c>
      <x:c r="F892" s="11" t="n">
        <x:f>SQRT((C892-C891)^2+(D892-D891)^2+(E892-E891)^2)</x:f>
        <x:v>3.833999999999999</x:v>
      </x:c>
      <x:c r="G892" s="8" t="str">
        <x:v>Current</x:v>
      </x:c>
    </x:row>
    <x:row r="893" ht="32" customHeight="1">
      <x:c r="A893" s="8" t="str">
        <x:v>drop:LC1:L5:light:-1:L142</x:v>
      </x:c>
      <x:c r="B893" s="8" t="n">
        <x:v>3</x:v>
      </x:c>
      <x:c r="C893" s="11" t="n">
        <x:v>36.15</x:v>
      </x:c>
      <x:c r="D893" s="11" t="n">
        <x:v>2.6</x:v>
      </x:c>
      <x:c r="E893" s="11" t="n">
        <x:v>-10.55</x:v>
      </x:c>
      <x:c r="F893" s="11" t="n">
        <x:f>SQRT((C893-C892)^2+(D893-D892)^2+(E893-E892)^2)</x:f>
        <x:v>3.1900000000000004</x:v>
      </x:c>
      <x:c r="G893" s="8" t="str">
        <x:v>Current</x:v>
      </x:c>
    </x:row>
    <x:row r="894" ht="32" customHeight="1">
      <x:c r="A894" s="8" t="str">
        <x:v>drop:LC1:L5:light:-1:L143</x:v>
      </x:c>
      <x:c r="B894" s="8" t="n">
        <x:v>1</x:v>
      </x:c>
      <x:c r="C894" s="11" t="n">
        <x:v>45</x:v>
      </x:c>
      <x:c r="D894" s="11" t="n">
        <x:v>6.433999999999999</x:v>
      </x:c>
      <x:c r="E894" s="11" t="n">
        <x:v>-7.36</x:v>
      </x:c>
      <x:c r="F894" s="11" t="n">
        <x:f>0</x:f>
        <x:v>0</x:v>
      </x:c>
      <x:c r="G894" s="8" t="str">
        <x:v>Current</x:v>
      </x:c>
    </x:row>
    <x:row r="895" ht="32" customHeight="1">
      <x:c r="A895" s="8" t="str">
        <x:v>drop:LC1:L5:light:-1:L143</x:v>
      </x:c>
      <x:c r="B895" s="8" t="n">
        <x:v>2</x:v>
      </x:c>
      <x:c r="C895" s="11" t="n">
        <x:v>45</x:v>
      </x:c>
      <x:c r="D895" s="11" t="n">
        <x:v>2.6</x:v>
      </x:c>
      <x:c r="E895" s="11" t="n">
        <x:v>-7.36</x:v>
      </x:c>
      <x:c r="F895" s="11" t="n">
        <x:f>SQRT((C895-C894)^2+(D895-D894)^2+(E895-E894)^2)</x:f>
        <x:v>3.833999999999999</x:v>
      </x:c>
      <x:c r="G895" s="8" t="str">
        <x:v>Current</x:v>
      </x:c>
    </x:row>
    <x:row r="896" ht="32" customHeight="1">
      <x:c r="A896" s="8" t="str">
        <x:v>drop:LC1:L5:light:-1:L143</x:v>
      </x:c>
      <x:c r="B896" s="8" t="n">
        <x:v>3</x:v>
      </x:c>
      <x:c r="C896" s="11" t="n">
        <x:v>45</x:v>
      </x:c>
      <x:c r="D896" s="11" t="n">
        <x:v>2.6</x:v>
      </x:c>
      <x:c r="E896" s="11" t="n">
        <x:v>-10.55</x:v>
      </x:c>
      <x:c r="F896" s="11" t="n">
        <x:f>SQRT((C896-C895)^2+(D896-D895)^2+(E896-E895)^2)</x:f>
        <x:v>3.1900000000000004</x:v>
      </x:c>
      <x:c r="G896" s="8" t="str">
        <x:v>Current</x:v>
      </x:c>
    </x:row>
    <x:row r="897" ht="32" customHeight="1">
      <x:c r="A897" s="8" t="str">
        <x:v>drop:LC1:L5:light:-1:L144</x:v>
      </x:c>
      <x:c r="B897" s="8" t="n">
        <x:v>1</x:v>
      </x:c>
      <x:c r="C897" s="11" t="n">
        <x:v>47.849999999999994</x:v>
      </x:c>
      <x:c r="D897" s="11" t="n">
        <x:v>6.433999999999999</x:v>
      </x:c>
      <x:c r="E897" s="11" t="n">
        <x:v>-7.36</x:v>
      </x:c>
      <x:c r="F897" s="11" t="n">
        <x:f>0</x:f>
        <x:v>0</x:v>
      </x:c>
      <x:c r="G897" s="8" t="str">
        <x:v>Current</x:v>
      </x:c>
    </x:row>
    <x:row r="898" ht="32" customHeight="1">
      <x:c r="A898" s="8" t="str">
        <x:v>drop:LC1:L5:light:-1:L144</x:v>
      </x:c>
      <x:c r="B898" s="8" t="n">
        <x:v>2</x:v>
      </x:c>
      <x:c r="C898" s="11" t="n">
        <x:v>47.849999999999994</x:v>
      </x:c>
      <x:c r="D898" s="11" t="n">
        <x:v>2.6</x:v>
      </x:c>
      <x:c r="E898" s="11" t="n">
        <x:v>-7.36</x:v>
      </x:c>
      <x:c r="F898" s="11" t="n">
        <x:f>SQRT((C898-C897)^2+(D898-D897)^2+(E898-E897)^2)</x:f>
        <x:v>3.833999999999999</x:v>
      </x:c>
      <x:c r="G898" s="8" t="str">
        <x:v>Current</x:v>
      </x:c>
    </x:row>
    <x:row r="899" ht="32" customHeight="1">
      <x:c r="A899" s="8" t="str">
        <x:v>drop:LC1:L5:light:-1:L144</x:v>
      </x:c>
      <x:c r="B899" s="8" t="n">
        <x:v>3</x:v>
      </x:c>
      <x:c r="C899" s="11" t="n">
        <x:v>47.849999999999994</x:v>
      </x:c>
      <x:c r="D899" s="11" t="n">
        <x:v>2.6</x:v>
      </x:c>
      <x:c r="E899" s="11" t="n">
        <x:v>-10.55</x:v>
      </x:c>
      <x:c r="F899" s="11" t="n">
        <x:f>SQRT((C899-C898)^2+(D899-D898)^2+(E899-E898)^2)</x:f>
        <x:v>3.1900000000000004</x:v>
      </x:c>
      <x:c r="G899" s="8" t="str">
        <x:v>Current</x:v>
      </x:c>
    </x:row>
    <x:row r="900" ht="32" customHeight="1">
      <x:c r="A900" s="8" t="str">
        <x:v>drop:LC1:L5:light:-1:L184</x:v>
      </x:c>
      <x:c r="B900" s="8" t="n">
        <x:v>1</x:v>
      </x:c>
      <x:c r="C900" s="11" t="n">
        <x:v>14.475</x:v>
      </x:c>
      <x:c r="D900" s="11" t="n">
        <x:v>6.433999999999999</x:v>
      </x:c>
      <x:c r="E900" s="11" t="n">
        <x:v>-7.36</x:v>
      </x:c>
      <x:c r="F900" s="11" t="n">
        <x:f>0</x:f>
        <x:v>0</x:v>
      </x:c>
      <x:c r="G900" s="8" t="str">
        <x:v>Current</x:v>
      </x:c>
    </x:row>
    <x:row r="901" ht="32" customHeight="1">
      <x:c r="A901" s="8" t="str">
        <x:v>drop:LC1:L5:light:-1:L184</x:v>
      </x:c>
      <x:c r="B901" s="8" t="n">
        <x:v>2</x:v>
      </x:c>
      <x:c r="C901" s="11" t="n">
        <x:v>14.475</x:v>
      </x:c>
      <x:c r="D901" s="11" t="n">
        <x:v>5.9</x:v>
      </x:c>
      <x:c r="E901" s="11" t="n">
        <x:v>-7.36</x:v>
      </x:c>
      <x:c r="F901" s="11" t="n">
        <x:f>SQRT((C901-C900)^2+(D901-D900)^2+(E901-E900)^2)</x:f>
        <x:v>0.5339999999999989</x:v>
      </x:c>
      <x:c r="G901" s="8" t="str">
        <x:v>Current</x:v>
      </x:c>
    </x:row>
    <x:row r="902" ht="32" customHeight="1">
      <x:c r="A902" s="8" t="str">
        <x:v>drop:LC1:L5:light:-1:L184</x:v>
      </x:c>
      <x:c r="B902" s="8" t="n">
        <x:v>3</x:v>
      </x:c>
      <x:c r="C902" s="11" t="n">
        <x:v>14.475</x:v>
      </x:c>
      <x:c r="D902" s="11" t="n">
        <x:v>5.9</x:v>
      </x:c>
      <x:c r="E902" s="11" t="n">
        <x:v>-10.75</x:v>
      </x:c>
      <x:c r="F902" s="11" t="n">
        <x:f>SQRT((C902-C901)^2+(D902-D901)^2+(E902-E901)^2)</x:f>
        <x:v>3.3899999999999997</x:v>
      </x:c>
      <x:c r="G902" s="8" t="str">
        <x:v>Current</x:v>
      </x:c>
    </x:row>
    <x:row r="903" ht="32" customHeight="1">
      <x:c r="A903" s="8" t="str">
        <x:v>drop:LC1:L5:light:-1:L185</x:v>
      </x:c>
      <x:c r="B903" s="8" t="n">
        <x:v>1</x:v>
      </x:c>
      <x:c r="C903" s="11" t="n">
        <x:v>23.475</x:v>
      </x:c>
      <x:c r="D903" s="11" t="n">
        <x:v>6.433999999999999</x:v>
      </x:c>
      <x:c r="E903" s="11" t="n">
        <x:v>-7.36</x:v>
      </x:c>
      <x:c r="F903" s="11" t="n">
        <x:f>0</x:f>
        <x:v>0</x:v>
      </x:c>
      <x:c r="G903" s="8" t="str">
        <x:v>Current</x:v>
      </x:c>
    </x:row>
    <x:row r="904" ht="32" customHeight="1">
      <x:c r="A904" s="8" t="str">
        <x:v>drop:LC1:L5:light:-1:L185</x:v>
      </x:c>
      <x:c r="B904" s="8" t="n">
        <x:v>2</x:v>
      </x:c>
      <x:c r="C904" s="11" t="n">
        <x:v>23.475</x:v>
      </x:c>
      <x:c r="D904" s="11" t="n">
        <x:v>5.9</x:v>
      </x:c>
      <x:c r="E904" s="11" t="n">
        <x:v>-7.36</x:v>
      </x:c>
      <x:c r="F904" s="11" t="n">
        <x:f>SQRT((C904-C903)^2+(D904-D903)^2+(E904-E903)^2)</x:f>
        <x:v>0.5339999999999989</x:v>
      </x:c>
      <x:c r="G904" s="8" t="str">
        <x:v>Current</x:v>
      </x:c>
    </x:row>
    <x:row r="905" ht="32" customHeight="1">
      <x:c r="A905" s="8" t="str">
        <x:v>drop:LC1:L5:light:-1:L185</x:v>
      </x:c>
      <x:c r="B905" s="8" t="n">
        <x:v>3</x:v>
      </x:c>
      <x:c r="C905" s="11" t="n">
        <x:v>23.475</x:v>
      </x:c>
      <x:c r="D905" s="11" t="n">
        <x:v>5.9</x:v>
      </x:c>
      <x:c r="E905" s="11" t="n">
        <x:v>-10.75</x:v>
      </x:c>
      <x:c r="F905" s="11" t="n">
        <x:f>SQRT((C905-C904)^2+(D905-D904)^2+(E905-E904)^2)</x:f>
        <x:v>3.3899999999999997</x:v>
      </x:c>
      <x:c r="G905" s="8" t="str">
        <x:v>Current</x:v>
      </x:c>
    </x:row>
    <x:row r="906" ht="32" customHeight="1">
      <x:c r="A906" s="8" t="str">
        <x:v>drop:LC1:L5:light:-1:L186</x:v>
      </x:c>
      <x:c r="B906" s="8" t="n">
        <x:v>1</x:v>
      </x:c>
      <x:c r="C906" s="11" t="n">
        <x:v>48.675</x:v>
      </x:c>
      <x:c r="D906" s="11" t="n">
        <x:v>6.433999999999999</x:v>
      </x:c>
      <x:c r="E906" s="11" t="n">
        <x:v>-7.36</x:v>
      </x:c>
      <x:c r="F906" s="11" t="n">
        <x:f>0</x:f>
        <x:v>0</x:v>
      </x:c>
      <x:c r="G906" s="8" t="str">
        <x:v>Current</x:v>
      </x:c>
    </x:row>
    <x:row r="907" ht="32" customHeight="1">
      <x:c r="A907" s="8" t="str">
        <x:v>drop:LC1:L5:light:-1:L186</x:v>
      </x:c>
      <x:c r="B907" s="8" t="n">
        <x:v>2</x:v>
      </x:c>
      <x:c r="C907" s="11" t="n">
        <x:v>48.675</x:v>
      </x:c>
      <x:c r="D907" s="11" t="n">
        <x:v>5.9</x:v>
      </x:c>
      <x:c r="E907" s="11" t="n">
        <x:v>-7.36</x:v>
      </x:c>
      <x:c r="F907" s="11" t="n">
        <x:f>SQRT((C907-C906)^2+(D907-D906)^2+(E907-E906)^2)</x:f>
        <x:v>0.5339999999999989</x:v>
      </x:c>
      <x:c r="G907" s="8" t="str">
        <x:v>Current</x:v>
      </x:c>
    </x:row>
    <x:row r="908" ht="32" customHeight="1">
      <x:c r="A908" s="8" t="str">
        <x:v>drop:LC1:L5:light:-1:L186</x:v>
      </x:c>
      <x:c r="B908" s="8" t="n">
        <x:v>3</x:v>
      </x:c>
      <x:c r="C908" s="11" t="n">
        <x:v>48.675</x:v>
      </x:c>
      <x:c r="D908" s="11" t="n">
        <x:v>5.9</x:v>
      </x:c>
      <x:c r="E908" s="11" t="n">
        <x:v>-10.75</x:v>
      </x:c>
      <x:c r="F908" s="11" t="n">
        <x:f>SQRT((C908-C907)^2+(D908-D907)^2+(E908-E907)^2)</x:f>
        <x:v>3.3899999999999997</x:v>
      </x:c>
      <x:c r="G908" s="8" t="str">
        <x:v>Current</x:v>
      </x:c>
    </x:row>
    <x:row r="909" ht="32" customHeight="1">
      <x:c r="A909" s="8" t="str">
        <x:v>drop:LC1:L5:light:-1:L187</x:v>
      </x:c>
      <x:c r="B909" s="8" t="n">
        <x:v>1</x:v>
      </x:c>
      <x:c r="C909" s="11" t="n">
        <x:v>40.575</x:v>
      </x:c>
      <x:c r="D909" s="11" t="n">
        <x:v>6.433999999999999</x:v>
      </x:c>
      <x:c r="E909" s="11" t="n">
        <x:v>-13.24</x:v>
      </x:c>
      <x:c r="F909" s="11" t="n">
        <x:f>0</x:f>
        <x:v>0</x:v>
      </x:c>
      <x:c r="G909" s="8" t="str">
        <x:v>Current</x:v>
      </x:c>
    </x:row>
    <x:row r="910" ht="32" customHeight="1">
      <x:c r="A910" s="8" t="str">
        <x:v>drop:LC1:L5:light:-1:L187</x:v>
      </x:c>
      <x:c r="B910" s="8" t="n">
        <x:v>2</x:v>
      </x:c>
      <x:c r="C910" s="11" t="n">
        <x:v>40.575</x:v>
      </x:c>
      <x:c r="D910" s="11" t="n">
        <x:v>6.2</x:v>
      </x:c>
      <x:c r="E910" s="11" t="n">
        <x:v>-13.24</x:v>
      </x:c>
      <x:c r="F910" s="11" t="n">
        <x:f>SQRT((C910-C909)^2+(D910-D909)^2+(E910-E909)^2)</x:f>
        <x:v>0.2339999999999991</x:v>
      </x:c>
      <x:c r="G910" s="8" t="str">
        <x:v>Current</x:v>
      </x:c>
    </x:row>
    <x:row r="911" ht="32" customHeight="1">
      <x:c r="A911" s="8" t="str">
        <x:v>drop:LC1:L5:light:-1:L187</x:v>
      </x:c>
      <x:c r="B911" s="8" t="n">
        <x:v>3</x:v>
      </x:c>
      <x:c r="C911" s="11" t="n">
        <x:v>40.575</x:v>
      </x:c>
      <x:c r="D911" s="11" t="n">
        <x:v>6.2</x:v>
      </x:c>
      <x:c r="E911" s="11" t="n">
        <x:v>-13.13</x:v>
      </x:c>
      <x:c r="F911" s="11" t="n">
        <x:f>SQRT((C911-C910)^2+(D911-D910)^2+(E911-E910)^2)</x:f>
        <x:v>0.10999999999999943</x:v>
      </x:c>
      <x:c r="G911" s="8" t="str">
        <x:v>Current</x:v>
      </x:c>
    </x:row>
    <x:row r="912" ht="32" customHeight="1">
      <x:c r="A912" s="8" t="str">
        <x:v>drop:LC1:L5:light:-1:L188</x:v>
      </x:c>
      <x:c r="B912" s="8" t="n">
        <x:v>1</x:v>
      </x:c>
      <x:c r="C912" s="11" t="n">
        <x:v>53.05</x:v>
      </x:c>
      <x:c r="D912" s="11" t="n">
        <x:v>6.433999999999999</x:v>
      </x:c>
      <x:c r="E912" s="11" t="n">
        <x:v>-7.36</x:v>
      </x:c>
      <x:c r="F912" s="11" t="n">
        <x:f>0</x:f>
        <x:v>0</x:v>
      </x:c>
      <x:c r="G912" s="8" t="str">
        <x:v>Current</x:v>
      </x:c>
    </x:row>
    <x:row r="913" ht="32" customHeight="1">
      <x:c r="A913" s="8" t="str">
        <x:v>drop:LC1:L5:light:-1:L188</x:v>
      </x:c>
      <x:c r="B913" s="8" t="n">
        <x:v>2</x:v>
      </x:c>
      <x:c r="C913" s="11" t="n">
        <x:v>53.05</x:v>
      </x:c>
      <x:c r="D913" s="11" t="n">
        <x:v>5.2</x:v>
      </x:c>
      <x:c r="E913" s="11" t="n">
        <x:v>-7.36</x:v>
      </x:c>
      <x:c r="F913" s="11" t="n">
        <x:f>SQRT((C913-C912)^2+(D913-D912)^2+(E913-E912)^2)</x:f>
        <x:v>1.233999999999999</x:v>
      </x:c>
      <x:c r="G913" s="8" t="str">
        <x:v>Current</x:v>
      </x:c>
    </x:row>
    <x:row r="914" ht="32" customHeight="1">
      <x:c r="A914" s="8" t="str">
        <x:v>drop:LC1:L5:light:-1:L188</x:v>
      </x:c>
      <x:c r="B914" s="8" t="n">
        <x:v>3</x:v>
      </x:c>
      <x:c r="C914" s="11" t="n">
        <x:v>53.2</x:v>
      </x:c>
      <x:c r="D914" s="11" t="n">
        <x:v>5.2</x:v>
      </x:c>
      <x:c r="E914" s="11" t="n">
        <x:v>-7.36</x:v>
      </x:c>
      <x:c r="F914" s="11" t="n">
        <x:f>SQRT((C914-C913)^2+(D914-D913)^2+(E914-E913)^2)</x:f>
        <x:v>0.15000000000000568</x:v>
      </x:c>
      <x:c r="G914" s="8" t="str">
        <x:v>Current</x:v>
      </x:c>
    </x:row>
    <x:row r="915" ht="32" customHeight="1">
      <x:c r="A915" s="8" t="str">
        <x:v>drop:LC1:L5:light:-1:L188</x:v>
      </x:c>
      <x:c r="B915" s="8" t="n">
        <x:v>4</x:v>
      </x:c>
      <x:c r="C915" s="11" t="n">
        <x:v>53.2</x:v>
      </x:c>
      <x:c r="D915" s="11" t="n">
        <x:v>5.2</x:v>
      </x:c>
      <x:c r="E915" s="11" t="n">
        <x:v>-4.5</x:v>
      </x:c>
      <x:c r="F915" s="11" t="n">
        <x:f>SQRT((C915-C914)^2+(D915-D914)^2+(E915-E914)^2)</x:f>
        <x:v>2.8600000000000003</x:v>
      </x:c>
      <x:c r="G915" s="8" t="str">
        <x:v>Current</x:v>
      </x:c>
    </x:row>
    <x:row r="916" ht="32" customHeight="1">
      <x:c r="A916" s="8" t="str">
        <x:v>trunk:LC1:L5:light:1</x:v>
      </x:c>
      <x:c r="B916" s="8" t="n">
        <x:v>1</x:v>
      </x:c>
      <x:c r="C916" s="11" t="n">
        <x:v>48.895</x:v>
      </x:c>
      <x:c r="D916" s="11" t="n">
        <x:v>1.85</x:v>
      </x:c>
      <x:c r="E916" s="11" t="n">
        <x:v>-0.55</x:v>
      </x:c>
      <x:c r="F916" s="11" t="n">
        <x:f>0</x:f>
        <x:v>0</x:v>
      </x:c>
      <x:c r="G916" s="8" t="str">
        <x:v>Current</x:v>
      </x:c>
    </x:row>
    <x:row r="917" ht="32" customHeight="1">
      <x:c r="A917" s="8" t="str">
        <x:v>trunk:LC1:L5:light:1</x:v>
      </x:c>
      <x:c r="B917" s="8" t="n">
        <x:v>2</x:v>
      </x:c>
      <x:c r="C917" s="11" t="n">
        <x:v>48.735</x:v>
      </x:c>
      <x:c r="D917" s="11" t="n">
        <x:v>1.85</x:v>
      </x:c>
      <x:c r="E917" s="11" t="n">
        <x:v>-0.55</x:v>
      </x:c>
      <x:c r="F917" s="11" t="n">
        <x:f>SQRT((C917-C916)^2+(D917-D916)^2+(E917-E916)^2)</x:f>
        <x:v>0.1600000000000037</x:v>
      </x:c>
      <x:c r="G917" s="8" t="str">
        <x:v>Current</x:v>
      </x:c>
    </x:row>
    <x:row r="918" ht="32" customHeight="1">
      <x:c r="A918" s="8" t="str">
        <x:v>trunk:LC1:L5:light:1</x:v>
      </x:c>
      <x:c r="B918" s="8" t="n">
        <x:v>3</x:v>
      </x:c>
      <x:c r="C918" s="11" t="n">
        <x:v>48.735</x:v>
      </x:c>
      <x:c r="D918" s="11" t="n">
        <x:v>1.85</x:v>
      </x:c>
      <x:c r="E918" s="11" t="n">
        <x:v>-2.24</x:v>
      </x:c>
      <x:c r="F918" s="11" t="n">
        <x:f>SQRT((C918-C917)^2+(D918-D917)^2+(E918-E917)^2)</x:f>
        <x:v>1.6900000000000002</x:v>
      </x:c>
      <x:c r="G918" s="8" t="str">
        <x:v>Current</x:v>
      </x:c>
    </x:row>
    <x:row r="919" ht="32" customHeight="1">
      <x:c r="A919" s="8" t="str">
        <x:v>trunk:LC1:L5:light:1</x:v>
      </x:c>
      <x:c r="B919" s="8" t="n">
        <x:v>4</x:v>
      </x:c>
      <x:c r="C919" s="11" t="n">
        <x:v>48.735</x:v>
      </x:c>
      <x:c r="D919" s="11" t="n">
        <x:v>4.02</x:v>
      </x:c>
      <x:c r="E919" s="11" t="n">
        <x:v>-2.24</x:v>
      </x:c>
      <x:c r="F919" s="11" t="n">
        <x:f>SQRT((C919-C918)^2+(D919-D918)^2+(E919-E918)^2)</x:f>
        <x:v>2.1699999999999995</x:v>
      </x:c>
      <x:c r="G919" s="8" t="str">
        <x:v>Current</x:v>
      </x:c>
    </x:row>
    <x:row r="920" ht="32" customHeight="1">
      <x:c r="A920" s="8" t="str">
        <x:v>trunk:LC1:L5:light:1</x:v>
      </x:c>
      <x:c r="B920" s="8" t="n">
        <x:v>5</x:v>
      </x:c>
      <x:c r="C920" s="11" t="n">
        <x:v>48.735</x:v>
      </x:c>
      <x:c r="D920" s="11" t="n">
        <x:v>4.02</x:v>
      </x:c>
      <x:c r="E920" s="11" t="n">
        <x:v>-3.6</x:v>
      </x:c>
      <x:c r="F920" s="11" t="n">
        <x:f>SQRT((C920-C919)^2+(D920-D919)^2+(E920-E919)^2)</x:f>
        <x:v>1.3599999999999999</x:v>
      </x:c>
      <x:c r="G920" s="8" t="str">
        <x:v>Current</x:v>
      </x:c>
    </x:row>
    <x:row r="921" ht="32" customHeight="1">
      <x:c r="A921" s="8" t="str">
        <x:v>trunk:LC1:L5:light:1</x:v>
      </x:c>
      <x:c r="B921" s="8" t="n">
        <x:v>6</x:v>
      </x:c>
      <x:c r="C921" s="11" t="n">
        <x:v>53.05</x:v>
      </x:c>
      <x:c r="D921" s="11" t="n">
        <x:v>4.02</x:v>
      </x:c>
      <x:c r="E921" s="11" t="n">
        <x:v>-3.6</x:v>
      </x:c>
      <x:c r="F921" s="11" t="n">
        <x:f>SQRT((C921-C920)^2+(D921-D920)^2+(E921-E920)^2)</x:f>
        <x:v>4.314999999999998</x:v>
      </x:c>
      <x:c r="G921" s="8" t="str">
        <x:v>Current</x:v>
      </x:c>
    </x:row>
    <x:row r="922" ht="32" customHeight="1">
      <x:c r="A922" s="8" t="str">
        <x:v>trunk:LC1:L5:light:1</x:v>
      </x:c>
      <x:c r="B922" s="8" t="n">
        <x:v>7</x:v>
      </x:c>
      <x:c r="C922" s="11" t="n">
        <x:v>53.05</x:v>
      </x:c>
      <x:c r="D922" s="11" t="n">
        <x:v>6.433999999999999</x:v>
      </x:c>
      <x:c r="E922" s="11" t="n">
        <x:v>-3.6</x:v>
      </x:c>
      <x:c r="F922" s="11" t="n">
        <x:f>SQRT((C922-C921)^2+(D922-D921)^2+(E922-E921)^2)</x:f>
        <x:v>2.4139999999999997</x:v>
      </x:c>
      <x:c r="G922" s="8" t="str">
        <x:v>Current</x:v>
      </x:c>
    </x:row>
    <x:row r="923" ht="32" customHeight="1">
      <x:c r="A923" s="8" t="str">
        <x:v>trunk:LC1:L5:light:1</x:v>
      </x:c>
      <x:c r="B923" s="8" t="n">
        <x:v>8</x:v>
      </x:c>
      <x:c r="C923" s="11" t="n">
        <x:v>53.05</x:v>
      </x:c>
      <x:c r="D923" s="11" t="n">
        <x:v>6.433999999999999</x:v>
      </x:c>
      <x:c r="E923" s="11" t="n">
        <x:v>7.36</x:v>
      </x:c>
      <x:c r="F923" s="11" t="n">
        <x:f>SQRT((C923-C922)^2+(D923-D922)^2+(E923-E922)^2)</x:f>
        <x:v>10.96</x:v>
      </x:c>
      <x:c r="G923" s="8" t="str">
        <x:v>Current</x:v>
      </x:c>
    </x:row>
    <x:row r="924" ht="32" customHeight="1">
      <x:c r="A924" s="8" t="str">
        <x:v>trunk:LC1:L5:light:1</x:v>
      </x:c>
      <x:c r="B924" s="8" t="n">
        <x:v>9</x:v>
      </x:c>
      <x:c r="C924" s="11" t="n">
        <x:v>44.175</x:v>
      </x:c>
      <x:c r="D924" s="11" t="n">
        <x:v>6.433999999999999</x:v>
      </x:c>
      <x:c r="E924" s="11" t="n">
        <x:v>7.36</x:v>
      </x:c>
      <x:c r="F924" s="11" t="n">
        <x:f>SQRT((C924-C923)^2+(D924-D923)^2+(E924-E923)^2)</x:f>
        <x:v>8.875</x:v>
      </x:c>
      <x:c r="G924" s="8" t="str">
        <x:v>Current</x:v>
      </x:c>
    </x:row>
    <x:row r="925" ht="32" customHeight="1">
      <x:c r="A925" s="8" t="str">
        <x:v>trunk:LC1:L5:light:1</x:v>
      </x:c>
      <x:c r="B925" s="8" t="n">
        <x:v>10</x:v>
      </x:c>
      <x:c r="C925" s="11" t="n">
        <x:v>44.175</x:v>
      </x:c>
      <x:c r="D925" s="11" t="n">
        <x:v>6.433999999999999</x:v>
      </x:c>
      <x:c r="E925" s="11" t="n">
        <x:v>13.24</x:v>
      </x:c>
      <x:c r="F925" s="11" t="n">
        <x:f>SQRT((C925-C924)^2+(D925-D924)^2+(E925-E924)^2)</x:f>
        <x:v>5.88</x:v>
      </x:c>
      <x:c r="G925" s="8" t="str">
        <x:v>Current</x:v>
      </x:c>
    </x:row>
    <x:row r="926" ht="32" customHeight="1">
      <x:c r="A926" s="8" t="str">
        <x:v>trunk:LC1:L5:light:1</x:v>
      </x:c>
      <x:c r="B926" s="8" t="n">
        <x:v>11</x:v>
      </x:c>
      <x:c r="C926" s="11" t="n">
        <x:v>36.975</x:v>
      </x:c>
      <x:c r="D926" s="11" t="n">
        <x:v>6.433999999999999</x:v>
      </x:c>
      <x:c r="E926" s="11" t="n">
        <x:v>13.24</x:v>
      </x:c>
      <x:c r="F926" s="11" t="n">
        <x:f>SQRT((C926-C925)^2+(D926-D925)^2+(E926-E925)^2)</x:f>
        <x:v>7.199999999999996</x:v>
      </x:c>
      <x:c r="G926" s="8" t="str">
        <x:v>Current</x:v>
      </x:c>
    </x:row>
    <x:row r="927" ht="32" customHeight="1">
      <x:c r="A927" s="8" t="str">
        <x:v>trunk:LC1:L5:light:1</x:v>
      </x:c>
      <x:c r="B927" s="8" t="n">
        <x:v>12</x:v>
      </x:c>
      <x:c r="C927" s="11" t="n">
        <x:v>36.975</x:v>
      </x:c>
      <x:c r="D927" s="11" t="n">
        <x:v>6.433999999999999</x:v>
      </x:c>
      <x:c r="E927" s="11" t="n">
        <x:v>7.36</x:v>
      </x:c>
      <x:c r="F927" s="11" t="n">
        <x:f>SQRT((C927-C926)^2+(D927-D926)^2+(E927-E926)^2)</x:f>
        <x:v>5.88</x:v>
      </x:c>
      <x:c r="G927" s="8" t="str">
        <x:v>Current</x:v>
      </x:c>
    </x:row>
    <x:row r="928" ht="32" customHeight="1">
      <x:c r="A928" s="8" t="str">
        <x:v>trunk:LC1:L5:light:1</x:v>
      </x:c>
      <x:c r="B928" s="8" t="n">
        <x:v>13</x:v>
      </x:c>
      <x:c r="C928" s="11" t="n">
        <x:v>14.475</x:v>
      </x:c>
      <x:c r="D928" s="11" t="n">
        <x:v>6.433999999999999</x:v>
      </x:c>
      <x:c r="E928" s="11" t="n">
        <x:v>7.36</x:v>
      </x:c>
      <x:c r="F928" s="11" t="n">
        <x:f>SQRT((C928-C927)^2+(D928-D927)^2+(E928-E927)^2)</x:f>
        <x:v>22.5</x:v>
      </x:c>
      <x:c r="G928" s="8" t="str">
        <x:v>Current</x:v>
      </x:c>
    </x:row>
    <x:row r="929" ht="32" customHeight="1">
      <x:c r="A929" s="8" t="str">
        <x:v>drop:LC1:L5:light:1:L145</x:v>
      </x:c>
      <x:c r="B929" s="8" t="n">
        <x:v>1</x:v>
      </x:c>
      <x:c r="C929" s="11" t="n">
        <x:v>15.3</x:v>
      </x:c>
      <x:c r="D929" s="11" t="n">
        <x:v>6.433999999999999</x:v>
      </x:c>
      <x:c r="E929" s="11" t="n">
        <x:v>7.36</x:v>
      </x:c>
      <x:c r="F929" s="11" t="n">
        <x:f>0</x:f>
        <x:v>0</x:v>
      </x:c>
      <x:c r="G929" s="8" t="str">
        <x:v>Current</x:v>
      </x:c>
    </x:row>
    <x:row r="930" ht="32" customHeight="1">
      <x:c r="A930" s="8" t="str">
        <x:v>drop:LC1:L5:light:1:L145</x:v>
      </x:c>
      <x:c r="B930" s="8" t="n">
        <x:v>2</x:v>
      </x:c>
      <x:c r="C930" s="11" t="n">
        <x:v>15.3</x:v>
      </x:c>
      <x:c r="D930" s="11" t="n">
        <x:v>2.6</x:v>
      </x:c>
      <x:c r="E930" s="11" t="n">
        <x:v>7.36</x:v>
      </x:c>
      <x:c r="F930" s="11" t="n">
        <x:f>SQRT((C930-C929)^2+(D930-D929)^2+(E930-E929)^2)</x:f>
        <x:v>3.833999999999999</x:v>
      </x:c>
      <x:c r="G930" s="8" t="str">
        <x:v>Current</x:v>
      </x:c>
    </x:row>
    <x:row r="931" ht="32" customHeight="1">
      <x:c r="A931" s="8" t="str">
        <x:v>drop:LC1:L5:light:1:L145</x:v>
      </x:c>
      <x:c r="B931" s="8" t="n">
        <x:v>3</x:v>
      </x:c>
      <x:c r="C931" s="11" t="n">
        <x:v>15.3</x:v>
      </x:c>
      <x:c r="D931" s="11" t="n">
        <x:v>2.6</x:v>
      </x:c>
      <x:c r="E931" s="11" t="n">
        <x:v>10.55</x:v>
      </x:c>
      <x:c r="F931" s="11" t="n">
        <x:f>SQRT((C931-C930)^2+(D931-D930)^2+(E931-E930)^2)</x:f>
        <x:v>3.1900000000000004</x:v>
      </x:c>
      <x:c r="G931" s="8" t="str">
        <x:v>Current</x:v>
      </x:c>
    </x:row>
    <x:row r="932" ht="32" customHeight="1">
      <x:c r="A932" s="8" t="str">
        <x:v>drop:LC1:L5:light:1:L146</x:v>
      </x:c>
      <x:c r="B932" s="8" t="n">
        <x:v>1</x:v>
      </x:c>
      <x:c r="C932" s="11" t="n">
        <x:v>18.150000000000002</x:v>
      </x:c>
      <x:c r="D932" s="11" t="n">
        <x:v>6.433999999999999</x:v>
      </x:c>
      <x:c r="E932" s="11" t="n">
        <x:v>7.36</x:v>
      </x:c>
      <x:c r="F932" s="11" t="n">
        <x:f>0</x:f>
        <x:v>0</x:v>
      </x:c>
      <x:c r="G932" s="8" t="str">
        <x:v>Current</x:v>
      </x:c>
    </x:row>
    <x:row r="933" ht="32" customHeight="1">
      <x:c r="A933" s="8" t="str">
        <x:v>drop:LC1:L5:light:1:L146</x:v>
      </x:c>
      <x:c r="B933" s="8" t="n">
        <x:v>2</x:v>
      </x:c>
      <x:c r="C933" s="11" t="n">
        <x:v>18.150000000000002</x:v>
      </x:c>
      <x:c r="D933" s="11" t="n">
        <x:v>2.6</x:v>
      </x:c>
      <x:c r="E933" s="11" t="n">
        <x:v>7.36</x:v>
      </x:c>
      <x:c r="F933" s="11" t="n">
        <x:f>SQRT((C933-C932)^2+(D933-D932)^2+(E933-E932)^2)</x:f>
        <x:v>3.833999999999999</x:v>
      </x:c>
      <x:c r="G933" s="8" t="str">
        <x:v>Current</x:v>
      </x:c>
    </x:row>
    <x:row r="934" ht="32" customHeight="1">
      <x:c r="A934" s="8" t="str">
        <x:v>drop:LC1:L5:light:1:L146</x:v>
      </x:c>
      <x:c r="B934" s="8" t="n">
        <x:v>3</x:v>
      </x:c>
      <x:c r="C934" s="11" t="n">
        <x:v>18.150000000000002</x:v>
      </x:c>
      <x:c r="D934" s="11" t="n">
        <x:v>2.6</x:v>
      </x:c>
      <x:c r="E934" s="11" t="n">
        <x:v>10.55</x:v>
      </x:c>
      <x:c r="F934" s="11" t="n">
        <x:f>SQRT((C934-C933)^2+(D934-D933)^2+(E934-E933)^2)</x:f>
        <x:v>3.1900000000000004</x:v>
      </x:c>
      <x:c r="G934" s="8" t="str">
        <x:v>Current</x:v>
      </x:c>
    </x:row>
    <x:row r="935" ht="32" customHeight="1">
      <x:c r="A935" s="8" t="str">
        <x:v>drop:LC1:L5:light:1:L147</x:v>
      </x:c>
      <x:c r="B935" s="8" t="n">
        <x:v>1</x:v>
      </x:c>
      <x:c r="C935" s="11" t="n">
        <x:v>33.300000000000004</x:v>
      </x:c>
      <x:c r="D935" s="11" t="n">
        <x:v>6.433999999999999</x:v>
      </x:c>
      <x:c r="E935" s="11" t="n">
        <x:v>7.36</x:v>
      </x:c>
      <x:c r="F935" s="11" t="n">
        <x:f>0</x:f>
        <x:v>0</x:v>
      </x:c>
      <x:c r="G935" s="8" t="str">
        <x:v>Current</x:v>
      </x:c>
    </x:row>
    <x:row r="936" ht="32" customHeight="1">
      <x:c r="A936" s="8" t="str">
        <x:v>drop:LC1:L5:light:1:L147</x:v>
      </x:c>
      <x:c r="B936" s="8" t="n">
        <x:v>2</x:v>
      </x:c>
      <x:c r="C936" s="11" t="n">
        <x:v>33.300000000000004</x:v>
      </x:c>
      <x:c r="D936" s="11" t="n">
        <x:v>2.6</x:v>
      </x:c>
      <x:c r="E936" s="11" t="n">
        <x:v>7.36</x:v>
      </x:c>
      <x:c r="F936" s="11" t="n">
        <x:f>SQRT((C936-C935)^2+(D936-D935)^2+(E936-E935)^2)</x:f>
        <x:v>3.833999999999999</x:v>
      </x:c>
      <x:c r="G936" s="8" t="str">
        <x:v>Current</x:v>
      </x:c>
    </x:row>
    <x:row r="937" ht="32" customHeight="1">
      <x:c r="A937" s="8" t="str">
        <x:v>drop:LC1:L5:light:1:L147</x:v>
      </x:c>
      <x:c r="B937" s="8" t="n">
        <x:v>3</x:v>
      </x:c>
      <x:c r="C937" s="11" t="n">
        <x:v>33.300000000000004</x:v>
      </x:c>
      <x:c r="D937" s="11" t="n">
        <x:v>2.6</x:v>
      </x:c>
      <x:c r="E937" s="11" t="n">
        <x:v>10.55</x:v>
      </x:c>
      <x:c r="F937" s="11" t="n">
        <x:f>SQRT((C937-C936)^2+(D937-D936)^2+(E937-E936)^2)</x:f>
        <x:v>3.1900000000000004</x:v>
      </x:c>
      <x:c r="G937" s="8" t="str">
        <x:v>Current</x:v>
      </x:c>
    </x:row>
    <x:row r="938" ht="32" customHeight="1">
      <x:c r="A938" s="8" t="str">
        <x:v>drop:LC1:L5:light:1:L148</x:v>
      </x:c>
      <x:c r="B938" s="8" t="n">
        <x:v>1</x:v>
      </x:c>
      <x:c r="C938" s="11" t="n">
        <x:v>36.15</x:v>
      </x:c>
      <x:c r="D938" s="11" t="n">
        <x:v>6.433999999999999</x:v>
      </x:c>
      <x:c r="E938" s="11" t="n">
        <x:v>7.36</x:v>
      </x:c>
      <x:c r="F938" s="11" t="n">
        <x:f>0</x:f>
        <x:v>0</x:v>
      </x:c>
      <x:c r="G938" s="8" t="str">
        <x:v>Current</x:v>
      </x:c>
    </x:row>
    <x:row r="939" ht="32" customHeight="1">
      <x:c r="A939" s="8" t="str">
        <x:v>drop:LC1:L5:light:1:L148</x:v>
      </x:c>
      <x:c r="B939" s="8" t="n">
        <x:v>2</x:v>
      </x:c>
      <x:c r="C939" s="11" t="n">
        <x:v>36.15</x:v>
      </x:c>
      <x:c r="D939" s="11" t="n">
        <x:v>2.6</x:v>
      </x:c>
      <x:c r="E939" s="11" t="n">
        <x:v>7.36</x:v>
      </x:c>
      <x:c r="F939" s="11" t="n">
        <x:f>SQRT((C939-C938)^2+(D939-D938)^2+(E939-E938)^2)</x:f>
        <x:v>3.833999999999999</x:v>
      </x:c>
      <x:c r="G939" s="8" t="str">
        <x:v>Current</x:v>
      </x:c>
    </x:row>
    <x:row r="940" ht="32" customHeight="1">
      <x:c r="A940" s="8" t="str">
        <x:v>drop:LC1:L5:light:1:L148</x:v>
      </x:c>
      <x:c r="B940" s="8" t="n">
        <x:v>3</x:v>
      </x:c>
      <x:c r="C940" s="11" t="n">
        <x:v>36.15</x:v>
      </x:c>
      <x:c r="D940" s="11" t="n">
        <x:v>2.6</x:v>
      </x:c>
      <x:c r="E940" s="11" t="n">
        <x:v>10.55</x:v>
      </x:c>
      <x:c r="F940" s="11" t="n">
        <x:f>SQRT((C940-C939)^2+(D940-D939)^2+(E940-E939)^2)</x:f>
        <x:v>3.1900000000000004</x:v>
      </x:c>
      <x:c r="G940" s="8" t="str">
        <x:v>Current</x:v>
      </x:c>
    </x:row>
    <x:row r="941" ht="32" customHeight="1">
      <x:c r="A941" s="8" t="str">
        <x:v>drop:LC1:L5:light:1:L149</x:v>
      </x:c>
      <x:c r="B941" s="8" t="n">
        <x:v>1</x:v>
      </x:c>
      <x:c r="C941" s="11" t="n">
        <x:v>45</x:v>
      </x:c>
      <x:c r="D941" s="11" t="n">
        <x:v>6.433999999999999</x:v>
      </x:c>
      <x:c r="E941" s="11" t="n">
        <x:v>7.36</x:v>
      </x:c>
      <x:c r="F941" s="11" t="n">
        <x:f>0</x:f>
        <x:v>0</x:v>
      </x:c>
      <x:c r="G941" s="8" t="str">
        <x:v>Current</x:v>
      </x:c>
    </x:row>
    <x:row r="942" ht="32" customHeight="1">
      <x:c r="A942" s="8" t="str">
        <x:v>drop:LC1:L5:light:1:L149</x:v>
      </x:c>
      <x:c r="B942" s="8" t="n">
        <x:v>2</x:v>
      </x:c>
      <x:c r="C942" s="11" t="n">
        <x:v>45</x:v>
      </x:c>
      <x:c r="D942" s="11" t="n">
        <x:v>2.6</x:v>
      </x:c>
      <x:c r="E942" s="11" t="n">
        <x:v>7.36</x:v>
      </x:c>
      <x:c r="F942" s="11" t="n">
        <x:f>SQRT((C942-C941)^2+(D942-D941)^2+(E942-E941)^2)</x:f>
        <x:v>3.833999999999999</x:v>
      </x:c>
      <x:c r="G942" s="8" t="str">
        <x:v>Current</x:v>
      </x:c>
    </x:row>
    <x:row r="943" ht="32" customHeight="1">
      <x:c r="A943" s="8" t="str">
        <x:v>drop:LC1:L5:light:1:L149</x:v>
      </x:c>
      <x:c r="B943" s="8" t="n">
        <x:v>3</x:v>
      </x:c>
      <x:c r="C943" s="11" t="n">
        <x:v>45</x:v>
      </x:c>
      <x:c r="D943" s="11" t="n">
        <x:v>2.6</x:v>
      </x:c>
      <x:c r="E943" s="11" t="n">
        <x:v>10.55</x:v>
      </x:c>
      <x:c r="F943" s="11" t="n">
        <x:f>SQRT((C943-C942)^2+(D943-D942)^2+(E943-E942)^2)</x:f>
        <x:v>3.1900000000000004</x:v>
      </x:c>
      <x:c r="G943" s="8" t="str">
        <x:v>Current</x:v>
      </x:c>
    </x:row>
    <x:row r="944" ht="32" customHeight="1">
      <x:c r="A944" s="8" t="str">
        <x:v>drop:LC1:L5:light:1:L150</x:v>
      </x:c>
      <x:c r="B944" s="8" t="n">
        <x:v>1</x:v>
      </x:c>
      <x:c r="C944" s="11" t="n">
        <x:v>47.849999999999994</x:v>
      </x:c>
      <x:c r="D944" s="11" t="n">
        <x:v>6.433999999999999</x:v>
      </x:c>
      <x:c r="E944" s="11" t="n">
        <x:v>7.36</x:v>
      </x:c>
      <x:c r="F944" s="11" t="n">
        <x:f>0</x:f>
        <x:v>0</x:v>
      </x:c>
      <x:c r="G944" s="8" t="str">
        <x:v>Current</x:v>
      </x:c>
    </x:row>
    <x:row r="945" ht="32" customHeight="1">
      <x:c r="A945" s="8" t="str">
        <x:v>drop:LC1:L5:light:1:L150</x:v>
      </x:c>
      <x:c r="B945" s="8" t="n">
        <x:v>2</x:v>
      </x:c>
      <x:c r="C945" s="11" t="n">
        <x:v>47.849999999999994</x:v>
      </x:c>
      <x:c r="D945" s="11" t="n">
        <x:v>2.6</x:v>
      </x:c>
      <x:c r="E945" s="11" t="n">
        <x:v>7.36</x:v>
      </x:c>
      <x:c r="F945" s="11" t="n">
        <x:f>SQRT((C945-C944)^2+(D945-D944)^2+(E945-E944)^2)</x:f>
        <x:v>3.833999999999999</x:v>
      </x:c>
      <x:c r="G945" s="8" t="str">
        <x:v>Current</x:v>
      </x:c>
    </x:row>
    <x:row r="946" ht="32" customHeight="1">
      <x:c r="A946" s="8" t="str">
        <x:v>drop:LC1:L5:light:1:L150</x:v>
      </x:c>
      <x:c r="B946" s="8" t="n">
        <x:v>3</x:v>
      </x:c>
      <x:c r="C946" s="11" t="n">
        <x:v>47.849999999999994</x:v>
      </x:c>
      <x:c r="D946" s="11" t="n">
        <x:v>2.6</x:v>
      </x:c>
      <x:c r="E946" s="11" t="n">
        <x:v>10.55</x:v>
      </x:c>
      <x:c r="F946" s="11" t="n">
        <x:f>SQRT((C946-C945)^2+(D946-D945)^2+(E946-E945)^2)</x:f>
        <x:v>3.1900000000000004</x:v>
      </x:c>
      <x:c r="G946" s="8" t="str">
        <x:v>Current</x:v>
      </x:c>
    </x:row>
    <x:row r="947" ht="32" customHeight="1">
      <x:c r="A947" s="8" t="str">
        <x:v>drop:LC1:L5:light:1:L191</x:v>
      </x:c>
      <x:c r="B947" s="8" t="n">
        <x:v>1</x:v>
      </x:c>
      <x:c r="C947" s="11" t="n">
        <x:v>14.475</x:v>
      </x:c>
      <x:c r="D947" s="11" t="n">
        <x:v>6.433999999999999</x:v>
      </x:c>
      <x:c r="E947" s="11" t="n">
        <x:v>7.36</x:v>
      </x:c>
      <x:c r="F947" s="11" t="n">
        <x:f>0</x:f>
        <x:v>0</x:v>
      </x:c>
      <x:c r="G947" s="8" t="str">
        <x:v>Current</x:v>
      </x:c>
    </x:row>
    <x:row r="948" ht="32" customHeight="1">
      <x:c r="A948" s="8" t="str">
        <x:v>drop:LC1:L5:light:1:L191</x:v>
      </x:c>
      <x:c r="B948" s="8" t="n">
        <x:v>2</x:v>
      </x:c>
      <x:c r="C948" s="11" t="n">
        <x:v>14.475</x:v>
      </x:c>
      <x:c r="D948" s="11" t="n">
        <x:v>5.9</x:v>
      </x:c>
      <x:c r="E948" s="11" t="n">
        <x:v>7.36</x:v>
      </x:c>
      <x:c r="F948" s="11" t="n">
        <x:f>SQRT((C948-C947)^2+(D948-D947)^2+(E948-E947)^2)</x:f>
        <x:v>0.5339999999999989</x:v>
      </x:c>
      <x:c r="G948" s="8" t="str">
        <x:v>Current</x:v>
      </x:c>
    </x:row>
    <x:row r="949" ht="32" customHeight="1">
      <x:c r="A949" s="8" t="str">
        <x:v>drop:LC1:L5:light:1:L191</x:v>
      </x:c>
      <x:c r="B949" s="8" t="n">
        <x:v>3</x:v>
      </x:c>
      <x:c r="C949" s="11" t="n">
        <x:v>14.475</x:v>
      </x:c>
      <x:c r="D949" s="11" t="n">
        <x:v>5.9</x:v>
      </x:c>
      <x:c r="E949" s="11" t="n">
        <x:v>10.75</x:v>
      </x:c>
      <x:c r="F949" s="11" t="n">
        <x:f>SQRT((C949-C948)^2+(D949-D948)^2+(E949-E948)^2)</x:f>
        <x:v>3.3899999999999997</x:v>
      </x:c>
      <x:c r="G949" s="8" t="str">
        <x:v>Current</x:v>
      </x:c>
    </x:row>
    <x:row r="950" ht="32" customHeight="1">
      <x:c r="A950" s="8" t="str">
        <x:v>drop:LC1:L5:light:1:L192</x:v>
      </x:c>
      <x:c r="B950" s="8" t="n">
        <x:v>1</x:v>
      </x:c>
      <x:c r="C950" s="11" t="n">
        <x:v>23.475</x:v>
      </x:c>
      <x:c r="D950" s="11" t="n">
        <x:v>6.433999999999999</x:v>
      </x:c>
      <x:c r="E950" s="11" t="n">
        <x:v>7.36</x:v>
      </x:c>
      <x:c r="F950" s="11" t="n">
        <x:f>0</x:f>
        <x:v>0</x:v>
      </x:c>
      <x:c r="G950" s="8" t="str">
        <x:v>Current</x:v>
      </x:c>
    </x:row>
    <x:row r="951" ht="32" customHeight="1">
      <x:c r="A951" s="8" t="str">
        <x:v>drop:LC1:L5:light:1:L192</x:v>
      </x:c>
      <x:c r="B951" s="8" t="n">
        <x:v>2</x:v>
      </x:c>
      <x:c r="C951" s="11" t="n">
        <x:v>23.475</x:v>
      </x:c>
      <x:c r="D951" s="11" t="n">
        <x:v>5.9</x:v>
      </x:c>
      <x:c r="E951" s="11" t="n">
        <x:v>7.36</x:v>
      </x:c>
      <x:c r="F951" s="11" t="n">
        <x:f>SQRT((C951-C950)^2+(D951-D950)^2+(E951-E950)^2)</x:f>
        <x:v>0.5339999999999989</x:v>
      </x:c>
      <x:c r="G951" s="8" t="str">
        <x:v>Current</x:v>
      </x:c>
    </x:row>
    <x:row r="952" ht="32" customHeight="1">
      <x:c r="A952" s="8" t="str">
        <x:v>drop:LC1:L5:light:1:L192</x:v>
      </x:c>
      <x:c r="B952" s="8" t="n">
        <x:v>3</x:v>
      </x:c>
      <x:c r="C952" s="11" t="n">
        <x:v>23.475</x:v>
      </x:c>
      <x:c r="D952" s="11" t="n">
        <x:v>5.9</x:v>
      </x:c>
      <x:c r="E952" s="11" t="n">
        <x:v>10.75</x:v>
      </x:c>
      <x:c r="F952" s="11" t="n">
        <x:f>SQRT((C952-C951)^2+(D952-D951)^2+(E952-E951)^2)</x:f>
        <x:v>3.3899999999999997</x:v>
      </x:c>
      <x:c r="G952" s="8" t="str">
        <x:v>Current</x:v>
      </x:c>
    </x:row>
    <x:row r="953" ht="32" customHeight="1">
      <x:c r="A953" s="8" t="str">
        <x:v>drop:LC1:L5:light:1:L193</x:v>
      </x:c>
      <x:c r="B953" s="8" t="n">
        <x:v>1</x:v>
      </x:c>
      <x:c r="C953" s="11" t="n">
        <x:v>48.675</x:v>
      </x:c>
      <x:c r="D953" s="11" t="n">
        <x:v>6.433999999999999</x:v>
      </x:c>
      <x:c r="E953" s="11" t="n">
        <x:v>7.36</x:v>
      </x:c>
      <x:c r="F953" s="11" t="n">
        <x:f>0</x:f>
        <x:v>0</x:v>
      </x:c>
      <x:c r="G953" s="8" t="str">
        <x:v>Current</x:v>
      </x:c>
    </x:row>
    <x:row r="954" ht="32" customHeight="1">
      <x:c r="A954" s="8" t="str">
        <x:v>drop:LC1:L5:light:1:L193</x:v>
      </x:c>
      <x:c r="B954" s="8" t="n">
        <x:v>2</x:v>
      </x:c>
      <x:c r="C954" s="11" t="n">
        <x:v>48.675</x:v>
      </x:c>
      <x:c r="D954" s="11" t="n">
        <x:v>5.9</x:v>
      </x:c>
      <x:c r="E954" s="11" t="n">
        <x:v>7.36</x:v>
      </x:c>
      <x:c r="F954" s="11" t="n">
        <x:f>SQRT((C954-C953)^2+(D954-D953)^2+(E954-E953)^2)</x:f>
        <x:v>0.5339999999999989</x:v>
      </x:c>
      <x:c r="G954" s="8" t="str">
        <x:v>Current</x:v>
      </x:c>
    </x:row>
    <x:row r="955" ht="32" customHeight="1">
      <x:c r="A955" s="8" t="str">
        <x:v>drop:LC1:L5:light:1:L193</x:v>
      </x:c>
      <x:c r="B955" s="8" t="n">
        <x:v>3</x:v>
      </x:c>
      <x:c r="C955" s="11" t="n">
        <x:v>48.675</x:v>
      </x:c>
      <x:c r="D955" s="11" t="n">
        <x:v>5.9</x:v>
      </x:c>
      <x:c r="E955" s="11" t="n">
        <x:v>10.75</x:v>
      </x:c>
      <x:c r="F955" s="11" t="n">
        <x:f>SQRT((C955-C954)^2+(D955-D954)^2+(E955-E954)^2)</x:f>
        <x:v>3.3899999999999997</x:v>
      </x:c>
      <x:c r="G955" s="8" t="str">
        <x:v>Current</x:v>
      </x:c>
    </x:row>
    <x:row r="956" ht="32" customHeight="1">
      <x:c r="A956" s="8" t="str">
        <x:v>drop:LC1:L5:light:1:L194</x:v>
      </x:c>
      <x:c r="B956" s="8" t="n">
        <x:v>1</x:v>
      </x:c>
      <x:c r="C956" s="11" t="n">
        <x:v>40.575</x:v>
      </x:c>
      <x:c r="D956" s="11" t="n">
        <x:v>6.433999999999999</x:v>
      </x:c>
      <x:c r="E956" s="11" t="n">
        <x:v>13.24</x:v>
      </x:c>
      <x:c r="F956" s="11" t="n">
        <x:f>0</x:f>
        <x:v>0</x:v>
      </x:c>
      <x:c r="G956" s="8" t="str">
        <x:v>Current</x:v>
      </x:c>
    </x:row>
    <x:row r="957" ht="32" customHeight="1">
      <x:c r="A957" s="8" t="str">
        <x:v>drop:LC1:L5:light:1:L194</x:v>
      </x:c>
      <x:c r="B957" s="8" t="n">
        <x:v>2</x:v>
      </x:c>
      <x:c r="C957" s="11" t="n">
        <x:v>40.575</x:v>
      </x:c>
      <x:c r="D957" s="11" t="n">
        <x:v>6.2</x:v>
      </x:c>
      <x:c r="E957" s="11" t="n">
        <x:v>13.24</x:v>
      </x:c>
      <x:c r="F957" s="11" t="n">
        <x:f>SQRT((C957-C956)^2+(D957-D956)^2+(E957-E956)^2)</x:f>
        <x:v>0.2339999999999991</x:v>
      </x:c>
      <x:c r="G957" s="8" t="str">
        <x:v>Current</x:v>
      </x:c>
    </x:row>
    <x:row r="958" ht="32" customHeight="1">
      <x:c r="A958" s="8" t="str">
        <x:v>drop:LC1:L5:light:1:L194</x:v>
      </x:c>
      <x:c r="B958" s="8" t="n">
        <x:v>3</x:v>
      </x:c>
      <x:c r="C958" s="11" t="n">
        <x:v>40.575</x:v>
      </x:c>
      <x:c r="D958" s="11" t="n">
        <x:v>6.2</x:v>
      </x:c>
      <x:c r="E958" s="11" t="n">
        <x:v>13.13</x:v>
      </x:c>
      <x:c r="F958" s="11" t="n">
        <x:f>SQRT((C958-C957)^2+(D958-D957)^2+(E958-E957)^2)</x:f>
        <x:v>0.10999999999999943</x:v>
      </x:c>
      <x:c r="G958" s="8" t="str">
        <x:v>Current</x:v>
      </x:c>
    </x:row>
    <x:row r="959" ht="32" customHeight="1">
      <x:c r="A959" s="8" t="str">
        <x:v>drop:LC1:L5:light:1:L195</x:v>
      </x:c>
      <x:c r="B959" s="8" t="n">
        <x:v>1</x:v>
      </x:c>
      <x:c r="C959" s="11" t="n">
        <x:v>53.05</x:v>
      </x:c>
      <x:c r="D959" s="11" t="n">
        <x:v>6.433999999999999</x:v>
      </x:c>
      <x:c r="E959" s="11" t="n">
        <x:v>7.36</x:v>
      </x:c>
      <x:c r="F959" s="11" t="n">
        <x:f>0</x:f>
        <x:v>0</x:v>
      </x:c>
      <x:c r="G959" s="8" t="str">
        <x:v>Current</x:v>
      </x:c>
    </x:row>
    <x:row r="960" ht="32" customHeight="1">
      <x:c r="A960" s="8" t="str">
        <x:v>drop:LC1:L5:light:1:L195</x:v>
      </x:c>
      <x:c r="B960" s="8" t="n">
        <x:v>2</x:v>
      </x:c>
      <x:c r="C960" s="11" t="n">
        <x:v>53.05</x:v>
      </x:c>
      <x:c r="D960" s="11" t="n">
        <x:v>5.2</x:v>
      </x:c>
      <x:c r="E960" s="11" t="n">
        <x:v>7.36</x:v>
      </x:c>
      <x:c r="F960" s="11" t="n">
        <x:f>SQRT((C960-C959)^2+(D960-D959)^2+(E960-E959)^2)</x:f>
        <x:v>1.233999999999999</x:v>
      </x:c>
      <x:c r="G960" s="8" t="str">
        <x:v>Current</x:v>
      </x:c>
    </x:row>
    <x:row r="961" ht="32" customHeight="1">
      <x:c r="A961" s="8" t="str">
        <x:v>drop:LC1:L5:light:1:L195</x:v>
      </x:c>
      <x:c r="B961" s="8" t="n">
        <x:v>3</x:v>
      </x:c>
      <x:c r="C961" s="11" t="n">
        <x:v>53.2</x:v>
      </x:c>
      <x:c r="D961" s="11" t="n">
        <x:v>5.2</x:v>
      </x:c>
      <x:c r="E961" s="11" t="n">
        <x:v>7.36</x:v>
      </x:c>
      <x:c r="F961" s="11" t="n">
        <x:f>SQRT((C961-C960)^2+(D961-D960)^2+(E961-E960)^2)</x:f>
        <x:v>0.15000000000000568</x:v>
      </x:c>
      <x:c r="G961" s="8" t="str">
        <x:v>Current</x:v>
      </x:c>
    </x:row>
    <x:row r="962" ht="32" customHeight="1">
      <x:c r="A962" s="8" t="str">
        <x:v>drop:LC1:L5:light:1:L195</x:v>
      </x:c>
      <x:c r="B962" s="8" t="n">
        <x:v>4</x:v>
      </x:c>
      <x:c r="C962" s="11" t="n">
        <x:v>53.2</x:v>
      </x:c>
      <x:c r="D962" s="11" t="n">
        <x:v>5.2</x:v>
      </x:c>
      <x:c r="E962" s="11" t="n">
        <x:v>4.5</x:v>
      </x:c>
      <x:c r="F962" s="11" t="n">
        <x:f>SQRT((C962-C961)^2+(D962-D961)^2+(E962-E961)^2)</x:f>
        <x:v>2.8600000000000003</x:v>
      </x:c>
      <x:c r="G962" s="8" t="str">
        <x:v>Current</x:v>
      </x:c>
    </x:row>
    <x:row r="963" ht="32" customHeight="1">
      <x:c r="A963" s="8" t="str">
        <x:v>trunk:LC1:E1:light:-1</x:v>
      </x:c>
      <x:c r="B963" s="8" t="n">
        <x:v>1</x:v>
      </x:c>
      <x:c r="C963" s="11" t="n">
        <x:v>48.895</x:v>
      </x:c>
      <x:c r="D963" s="11" t="n">
        <x:v>1.85</x:v>
      </x:c>
      <x:c r="E963" s="11" t="n">
        <x:v>-0.55</x:v>
      </x:c>
      <x:c r="F963" s="11" t="n">
        <x:f>0</x:f>
        <x:v>0</x:v>
      </x:c>
      <x:c r="G963" s="8" t="str">
        <x:v>Current</x:v>
      </x:c>
    </x:row>
    <x:row r="964" ht="32" customHeight="1">
      <x:c r="A964" s="8" t="str">
        <x:v>trunk:LC1:E1:light:-1</x:v>
      </x:c>
      <x:c r="B964" s="8" t="n">
        <x:v>2</x:v>
      </x:c>
      <x:c r="C964" s="11" t="n">
        <x:v>48.735</x:v>
      </x:c>
      <x:c r="D964" s="11" t="n">
        <x:v>1.85</x:v>
      </x:c>
      <x:c r="E964" s="11" t="n">
        <x:v>-0.55</x:v>
      </x:c>
      <x:c r="F964" s="11" t="n">
        <x:f>SQRT((C964-C963)^2+(D964-D963)^2+(E964-E963)^2)</x:f>
        <x:v>0.1600000000000037</x:v>
      </x:c>
      <x:c r="G964" s="8" t="str">
        <x:v>Current</x:v>
      </x:c>
    </x:row>
    <x:row r="965" ht="32" customHeight="1">
      <x:c r="A965" s="8" t="str">
        <x:v>trunk:LC1:E1:light:-1</x:v>
      </x:c>
      <x:c r="B965" s="8" t="n">
        <x:v>3</x:v>
      </x:c>
      <x:c r="C965" s="11" t="n">
        <x:v>48.735</x:v>
      </x:c>
      <x:c r="D965" s="11" t="n">
        <x:v>1.85</x:v>
      </x:c>
      <x:c r="E965" s="11" t="n">
        <x:v>-2.24</x:v>
      </x:c>
      <x:c r="F965" s="11" t="n">
        <x:f>SQRT((C965-C964)^2+(D965-D964)^2+(E965-E964)^2)</x:f>
        <x:v>1.6900000000000002</x:v>
      </x:c>
      <x:c r="G965" s="8" t="str">
        <x:v>Current</x:v>
      </x:c>
    </x:row>
    <x:row r="966" ht="32" customHeight="1">
      <x:c r="A966" s="8" t="str">
        <x:v>trunk:LC1:E1:light:-1</x:v>
      </x:c>
      <x:c r="B966" s="8" t="n">
        <x:v>4</x:v>
      </x:c>
      <x:c r="C966" s="11" t="n">
        <x:v>48.735</x:v>
      </x:c>
      <x:c r="D966" s="11" t="n">
        <x:v>4.02</x:v>
      </x:c>
      <x:c r="E966" s="11" t="n">
        <x:v>-2.24</x:v>
      </x:c>
      <x:c r="F966" s="11" t="n">
        <x:f>SQRT((C966-C965)^2+(D966-D965)^2+(E966-E965)^2)</x:f>
        <x:v>2.1699999999999995</x:v>
      </x:c>
      <x:c r="G966" s="8" t="str">
        <x:v>Current</x:v>
      </x:c>
    </x:row>
    <x:row r="967" ht="32" customHeight="1">
      <x:c r="A967" s="8" t="str">
        <x:v>trunk:LC1:E1:light:-1</x:v>
      </x:c>
      <x:c r="B967" s="8" t="n">
        <x:v>5</x:v>
      </x:c>
      <x:c r="C967" s="11" t="n">
        <x:v>48.735</x:v>
      </x:c>
      <x:c r="D967" s="11" t="n">
        <x:v>4.02</x:v>
      </x:c>
      <x:c r="E967" s="11" t="n">
        <x:v>-3.6</x:v>
      </x:c>
      <x:c r="F967" s="11" t="n">
        <x:f>SQRT((C967-C966)^2+(D967-D966)^2+(E967-E966)^2)</x:f>
        <x:v>1.3599999999999999</x:v>
      </x:c>
      <x:c r="G967" s="8" t="str">
        <x:v>Current</x:v>
      </x:c>
    </x:row>
    <x:row r="968" ht="32" customHeight="1">
      <x:c r="A968" s="8" t="str">
        <x:v>trunk:LC1:E1:light:-1</x:v>
      </x:c>
      <x:c r="B968" s="8" t="n">
        <x:v>6</x:v>
      </x:c>
      <x:c r="C968" s="11" t="n">
        <x:v>53.05</x:v>
      </x:c>
      <x:c r="D968" s="11" t="n">
        <x:v>4.02</x:v>
      </x:c>
      <x:c r="E968" s="11" t="n">
        <x:v>-3.6</x:v>
      </x:c>
      <x:c r="F968" s="11" t="n">
        <x:f>SQRT((C968-C967)^2+(D968-D967)^2+(E968-E967)^2)</x:f>
        <x:v>4.314999999999998</x:v>
      </x:c>
      <x:c r="G968" s="8" t="str">
        <x:v>Current</x:v>
      </x:c>
    </x:row>
    <x:row r="969" ht="32" customHeight="1">
      <x:c r="A969" s="8" t="str">
        <x:v>trunk:LC1:E1:light:-1</x:v>
      </x:c>
      <x:c r="B969" s="8" t="n">
        <x:v>7</x:v>
      </x:c>
      <x:c r="C969" s="11" t="n">
        <x:v>53.05</x:v>
      </x:c>
      <x:c r="D969" s="11" t="n">
        <x:v>6.504</x:v>
      </x:c>
      <x:c r="E969" s="11" t="n">
        <x:v>-3.6</x:v>
      </x:c>
      <x:c r="F969" s="11" t="n">
        <x:f>SQRT((C969-C968)^2+(D969-D968)^2+(E969-E968)^2)</x:f>
        <x:v>2.484</x:v>
      </x:c>
      <x:c r="G969" s="8" t="str">
        <x:v>Current</x:v>
      </x:c>
    </x:row>
    <x:row r="970" ht="32" customHeight="1">
      <x:c r="A970" s="8" t="str">
        <x:v>trunk:LC1:E1:light:-1</x:v>
      </x:c>
      <x:c r="B970" s="8" t="n">
        <x:v>8</x:v>
      </x:c>
      <x:c r="C970" s="11" t="n">
        <x:v>53.05</x:v>
      </x:c>
      <x:c r="D970" s="11" t="n">
        <x:v>6.504</x:v>
      </x:c>
      <x:c r="E970" s="11" t="n">
        <x:v>-7.36</x:v>
      </x:c>
      <x:c r="F970" s="11" t="n">
        <x:f>SQRT((C970-C969)^2+(D970-D969)^2+(E970-E969)^2)</x:f>
        <x:v>3.7600000000000002</x:v>
      </x:c>
      <x:c r="G970" s="8" t="str">
        <x:v>Current</x:v>
      </x:c>
    </x:row>
    <x:row r="971" ht="32" customHeight="1">
      <x:c r="A971" s="8" t="str">
        <x:v>trunk:LC1:E1:light:-1</x:v>
      </x:c>
      <x:c r="B971" s="8" t="n">
        <x:v>9</x:v>
      </x:c>
      <x:c r="C971" s="11" t="n">
        <x:v>44.175</x:v>
      </x:c>
      <x:c r="D971" s="11" t="n">
        <x:v>6.504</x:v>
      </x:c>
      <x:c r="E971" s="11" t="n">
        <x:v>-7.36</x:v>
      </x:c>
      <x:c r="F971" s="11" t="n">
        <x:f>SQRT((C971-C970)^2+(D971-D970)^2+(E971-E970)^2)</x:f>
        <x:v>8.875</x:v>
      </x:c>
      <x:c r="G971" s="8" t="str">
        <x:v>Current</x:v>
      </x:c>
    </x:row>
    <x:row r="972" ht="32" customHeight="1">
      <x:c r="A972" s="8" t="str">
        <x:v>trunk:LC1:E1:light:-1</x:v>
      </x:c>
      <x:c r="B972" s="8" t="n">
        <x:v>10</x:v>
      </x:c>
      <x:c r="C972" s="11" t="n">
        <x:v>44.175</x:v>
      </x:c>
      <x:c r="D972" s="11" t="n">
        <x:v>6.504</x:v>
      </x:c>
      <x:c r="E972" s="11" t="n">
        <x:v>-13.24</x:v>
      </x:c>
      <x:c r="F972" s="11" t="n">
        <x:f>SQRT((C972-C971)^2+(D972-D971)^2+(E972-E971)^2)</x:f>
        <x:v>5.88</x:v>
      </x:c>
      <x:c r="G972" s="8" t="str">
        <x:v>Current</x:v>
      </x:c>
    </x:row>
    <x:row r="973" ht="32" customHeight="1">
      <x:c r="A973" s="8" t="str">
        <x:v>trunk:LC1:E1:light:-1</x:v>
      </x:c>
      <x:c r="B973" s="8" t="n">
        <x:v>11</x:v>
      </x:c>
      <x:c r="C973" s="11" t="n">
        <x:v>36.975</x:v>
      </x:c>
      <x:c r="D973" s="11" t="n">
        <x:v>6.504</x:v>
      </x:c>
      <x:c r="E973" s="11" t="n">
        <x:v>-13.24</x:v>
      </x:c>
      <x:c r="F973" s="11" t="n">
        <x:f>SQRT((C973-C972)^2+(D973-D972)^2+(E973-E972)^2)</x:f>
        <x:v>7.199999999999996</x:v>
      </x:c>
      <x:c r="G973" s="8" t="str">
        <x:v>Current</x:v>
      </x:c>
    </x:row>
    <x:row r="974" ht="32" customHeight="1">
      <x:c r="A974" s="8" t="str">
        <x:v>trunk:LC1:E1:light:-1</x:v>
      </x:c>
      <x:c r="B974" s="8" t="n">
        <x:v>12</x:v>
      </x:c>
      <x:c r="C974" s="11" t="n">
        <x:v>36.975</x:v>
      </x:c>
      <x:c r="D974" s="11" t="n">
        <x:v>6.504</x:v>
      </x:c>
      <x:c r="E974" s="11" t="n">
        <x:v>-7.36</x:v>
      </x:c>
      <x:c r="F974" s="11" t="n">
        <x:f>SQRT((C974-C973)^2+(D974-D973)^2+(E974-E973)^2)</x:f>
        <x:v>5.88</x:v>
      </x:c>
      <x:c r="G974" s="8" t="str">
        <x:v>Current</x:v>
      </x:c>
    </x:row>
    <x:row r="975" ht="32" customHeight="1">
      <x:c r="A975" s="8" t="str">
        <x:v>trunk:LC1:E1:light:-1</x:v>
      </x:c>
      <x:c r="B975" s="8" t="n">
        <x:v>13</x:v>
      </x:c>
      <x:c r="C975" s="11" t="n">
        <x:v>5.475</x:v>
      </x:c>
      <x:c r="D975" s="11" t="n">
        <x:v>6.504</x:v>
      </x:c>
      <x:c r="E975" s="11" t="n">
        <x:v>-7.36</x:v>
      </x:c>
      <x:c r="F975" s="11" t="n">
        <x:f>SQRT((C975-C974)^2+(D975-D974)^2+(E975-E974)^2)</x:f>
        <x:v>31.5</x:v>
      </x:c>
      <x:c r="G975" s="8" t="str">
        <x:v>Current</x:v>
      </x:c>
    </x:row>
    <x:row r="976" ht="32" customHeight="1">
      <x:c r="A976" s="8" t="str">
        <x:v>trunk:LC1:E1:light:-1</x:v>
      </x:c>
      <x:c r="B976" s="8" t="n">
        <x:v>14</x:v>
      </x:c>
      <x:c r="C976" s="11" t="n">
        <x:v>2.65</x:v>
      </x:c>
      <x:c r="D976" s="11" t="n">
        <x:v>6.504</x:v>
      </x:c>
      <x:c r="E976" s="11" t="n">
        <x:v>-7.36</x:v>
      </x:c>
      <x:c r="F976" s="11" t="n">
        <x:f>SQRT((C976-C975)^2+(D976-D975)^2+(E976-E975)^2)</x:f>
        <x:v>2.8249999999999997</x:v>
      </x:c>
      <x:c r="G976" s="8" t="str">
        <x:v>Current</x:v>
      </x:c>
    </x:row>
    <x:row r="977" ht="32" customHeight="1">
      <x:c r="A977" s="8" t="str">
        <x:v>drop:LC1:E1:light:-1:L155</x:v>
      </x:c>
      <x:c r="B977" s="8" t="n">
        <x:v>1</x:v>
      </x:c>
      <x:c r="C977" s="11" t="n">
        <x:v>2.65</x:v>
      </x:c>
      <x:c r="D977" s="11" t="n">
        <x:v>6.504</x:v>
      </x:c>
      <x:c r="E977" s="11" t="n">
        <x:v>-7.36</x:v>
      </x:c>
      <x:c r="F977" s="11" t="n">
        <x:f>0</x:f>
        <x:v>0</x:v>
      </x:c>
      <x:c r="G977" s="8" t="str">
        <x:v>Current</x:v>
      </x:c>
    </x:row>
    <x:row r="978" ht="32" customHeight="1">
      <x:c r="A978" s="8" t="str">
        <x:v>drop:LC1:E1:light:-1:L155</x:v>
      </x:c>
      <x:c r="B978" s="8" t="n">
        <x:v>2</x:v>
      </x:c>
      <x:c r="C978" s="11" t="n">
        <x:v>2.35</x:v>
      </x:c>
      <x:c r="D978" s="11" t="n">
        <x:v>7.65</x:v>
      </x:c>
      <x:c r="E978" s="11" t="n">
        <x:v>-7.36</x:v>
      </x:c>
      <x:c r="F978" s="11" t="n">
        <x:f>SQRT((C978-C977)^2+(D978-D977)^2+(E978-E977)^2)</x:f>
        <x:v>1.1846163936059646</x:v>
      </x:c>
      <x:c r="G978" s="8" t="str">
        <x:v>Current</x:v>
      </x:c>
    </x:row>
    <x:row r="979" ht="32" customHeight="1">
      <x:c r="A979" s="8" t="str">
        <x:v>drop:LC1:E1:light:-1:L155</x:v>
      </x:c>
      <x:c r="B979" s="8" t="n">
        <x:v>3</x:v>
      </x:c>
      <x:c r="C979" s="11" t="n">
        <x:v>2.35</x:v>
      </x:c>
      <x:c r="D979" s="11" t="n">
        <x:v>7.65</x:v>
      </x:c>
      <x:c r="E979" s="11" t="n">
        <x:v>0</x:v>
      </x:c>
      <x:c r="F979" s="11" t="n">
        <x:f>SQRT((C979-C978)^2+(D979-D978)^2+(E979-E978)^2)</x:f>
        <x:v>7.36</x:v>
      </x:c>
      <x:c r="G979" s="8" t="str">
        <x:v>Current</x:v>
      </x:c>
    </x:row>
    <x:row r="980" ht="32" customHeight="1">
      <x:c r="A980" s="8" t="str">
        <x:v>drop:LC1:E1:light:-1:L155</x:v>
      </x:c>
      <x:c r="B980" s="8" t="n">
        <x:v>4</x:v>
      </x:c>
      <x:c r="C980" s="11" t="n">
        <x:v>2.35</x:v>
      </x:c>
      <x:c r="D980" s="11" t="n">
        <x:v>6.95</x:v>
      </x:c>
      <x:c r="E980" s="11" t="n">
        <x:v>0</x:v>
      </x:c>
      <x:c r="F980" s="11" t="n">
        <x:f>SQRT((C980-C979)^2+(D980-D979)^2+(E980-E979)^2)</x:f>
        <x:v>0.7000000000000002</x:v>
      </x:c>
      <x:c r="G980" s="8" t="str">
        <x:v>Current</x:v>
      </x:c>
    </x:row>
    <x:row r="981" ht="32" customHeight="1">
      <x:c r="A981" s="8" t="str">
        <x:v>drop:LC1:E1:light:-1:L155</x:v>
      </x:c>
      <x:c r="B981" s="8" t="n">
        <x:v>5</x:v>
      </x:c>
      <x:c r="C981" s="11" t="n">
        <x:v>2.65</x:v>
      </x:c>
      <x:c r="D981" s="11" t="n">
        <x:v>6.95</x:v>
      </x:c>
      <x:c r="E981" s="11" t="n">
        <x:v>0</x:v>
      </x:c>
      <x:c r="F981" s="11" t="n">
        <x:f>SQRT((C981-C980)^2+(D981-D980)^2+(E981-E980)^2)</x:f>
        <x:v>0.2999999999999998</x:v>
      </x:c>
      <x:c r="G981" s="8" t="str">
        <x:v>Current</x:v>
      </x:c>
    </x:row>
    <x:row r="982" ht="32" customHeight="1">
      <x:c r="A982" s="8" t="str">
        <x:v>drop:LC1:E1:light:-1:L156</x:v>
      </x:c>
      <x:c r="B982" s="8" t="n">
        <x:v>1</x:v>
      </x:c>
      <x:c r="C982" s="11" t="n">
        <x:v>16.725</x:v>
      </x:c>
      <x:c r="D982" s="11" t="n">
        <x:v>6.504</x:v>
      </x:c>
      <x:c r="E982" s="11" t="n">
        <x:v>-7.36</x:v>
      </x:c>
      <x:c r="F982" s="11" t="n">
        <x:f>0</x:f>
        <x:v>0</x:v>
      </x:c>
      <x:c r="G982" s="8" t="str">
        <x:v>Current</x:v>
      </x:c>
    </x:row>
    <x:row r="983" ht="32" customHeight="1">
      <x:c r="A983" s="8" t="str">
        <x:v>drop:LC1:E1:light:-1:L156</x:v>
      </x:c>
      <x:c r="B983" s="8" t="n">
        <x:v>2</x:v>
      </x:c>
      <x:c r="C983" s="11" t="n">
        <x:v>16.725</x:v>
      </x:c>
      <x:c r="D983" s="11" t="n">
        <x:v>4.6</x:v>
      </x:c>
      <x:c r="E983" s="11" t="n">
        <x:v>-7.36</x:v>
      </x:c>
      <x:c r="F983" s="11" t="n">
        <x:f>SQRT((C983-C982)^2+(D983-D982)^2+(E983-E982)^2)</x:f>
        <x:v>1.904</x:v>
      </x:c>
      <x:c r="G983" s="8" t="str">
        <x:v>Current</x:v>
      </x:c>
    </x:row>
    <x:row r="984" ht="32" customHeight="1">
      <x:c r="A984" s="8" t="str">
        <x:v>drop:LC1:E1:light:-1:L156</x:v>
      </x:c>
      <x:c r="B984" s="8" t="n">
        <x:v>3</x:v>
      </x:c>
      <x:c r="C984" s="11" t="n">
        <x:v>16.725</x:v>
      </x:c>
      <x:c r="D984" s="11" t="n">
        <x:v>4.6</x:v>
      </x:c>
      <x:c r="E984" s="11" t="n">
        <x:v>-7.245</x:v>
      </x:c>
      <x:c r="F984" s="11" t="n">
        <x:f>SQRT((C984-C983)^2+(D984-D983)^2+(E984-E983)^2)</x:f>
        <x:v>0.11500000000000021</x:v>
      </x:c>
      <x:c r="G984" s="8" t="str">
        <x:v>Current</x:v>
      </x:c>
    </x:row>
    <x:row r="985" ht="32" customHeight="1">
      <x:c r="A985" s="8" t="str">
        <x:v>drop:LC1:E1:light:-1:L158</x:v>
      </x:c>
      <x:c r="B985" s="8" t="n">
        <x:v>1</x:v>
      </x:c>
      <x:c r="C985" s="11" t="n">
        <x:v>34.725</x:v>
      </x:c>
      <x:c r="D985" s="11" t="n">
        <x:v>6.504</x:v>
      </x:c>
      <x:c r="E985" s="11" t="n">
        <x:v>-7.36</x:v>
      </x:c>
      <x:c r="F985" s="11" t="n">
        <x:f>0</x:f>
        <x:v>0</x:v>
      </x:c>
      <x:c r="G985" s="8" t="str">
        <x:v>Current</x:v>
      </x:c>
    </x:row>
    <x:row r="986" ht="32" customHeight="1">
      <x:c r="A986" s="8" t="str">
        <x:v>drop:LC1:E1:light:-1:L158</x:v>
      </x:c>
      <x:c r="B986" s="8" t="n">
        <x:v>2</x:v>
      </x:c>
      <x:c r="C986" s="11" t="n">
        <x:v>34.725</x:v>
      </x:c>
      <x:c r="D986" s="11" t="n">
        <x:v>4.6</x:v>
      </x:c>
      <x:c r="E986" s="11" t="n">
        <x:v>-7.36</x:v>
      </x:c>
      <x:c r="F986" s="11" t="n">
        <x:f>SQRT((C986-C985)^2+(D986-D985)^2+(E986-E985)^2)</x:f>
        <x:v>1.904</x:v>
      </x:c>
      <x:c r="G986" s="8" t="str">
        <x:v>Current</x:v>
      </x:c>
    </x:row>
    <x:row r="987" ht="32" customHeight="1">
      <x:c r="A987" s="8" t="str">
        <x:v>drop:LC1:E1:light:-1:L158</x:v>
      </x:c>
      <x:c r="B987" s="8" t="n">
        <x:v>3</x:v>
      </x:c>
      <x:c r="C987" s="11" t="n">
        <x:v>34.725</x:v>
      </x:c>
      <x:c r="D987" s="11" t="n">
        <x:v>4.6</x:v>
      </x:c>
      <x:c r="E987" s="11" t="n">
        <x:v>-7.245</x:v>
      </x:c>
      <x:c r="F987" s="11" t="n">
        <x:f>SQRT((C987-C986)^2+(D987-D986)^2+(E987-E986)^2)</x:f>
        <x:v>0.11500000000000021</x:v>
      </x:c>
      <x:c r="G987" s="8" t="str">
        <x:v>Current</x:v>
      </x:c>
    </x:row>
    <x:row r="988" ht="32" customHeight="1">
      <x:c r="A988" s="8" t="str">
        <x:v>trunk:LC1:E1:light:1</x:v>
      </x:c>
      <x:c r="B988" s="8" t="n">
        <x:v>1</x:v>
      </x:c>
      <x:c r="C988" s="11" t="n">
        <x:v>48.895</x:v>
      </x:c>
      <x:c r="D988" s="11" t="n">
        <x:v>1.85</x:v>
      </x:c>
      <x:c r="E988" s="11" t="n">
        <x:v>-0.55</x:v>
      </x:c>
      <x:c r="F988" s="11" t="n">
        <x:f>0</x:f>
        <x:v>0</x:v>
      </x:c>
      <x:c r="G988" s="8" t="str">
        <x:v>Current</x:v>
      </x:c>
    </x:row>
    <x:row r="989" ht="32" customHeight="1">
      <x:c r="A989" s="8" t="str">
        <x:v>trunk:LC1:E1:light:1</x:v>
      </x:c>
      <x:c r="B989" s="8" t="n">
        <x:v>2</x:v>
      </x:c>
      <x:c r="C989" s="11" t="n">
        <x:v>48.735</x:v>
      </x:c>
      <x:c r="D989" s="11" t="n">
        <x:v>1.85</x:v>
      </x:c>
      <x:c r="E989" s="11" t="n">
        <x:v>-0.55</x:v>
      </x:c>
      <x:c r="F989" s="11" t="n">
        <x:f>SQRT((C989-C988)^2+(D989-D988)^2+(E989-E988)^2)</x:f>
        <x:v>0.1600000000000037</x:v>
      </x:c>
      <x:c r="G989" s="8" t="str">
        <x:v>Current</x:v>
      </x:c>
    </x:row>
    <x:row r="990" ht="32" customHeight="1">
      <x:c r="A990" s="8" t="str">
        <x:v>trunk:LC1:E1:light:1</x:v>
      </x:c>
      <x:c r="B990" s="8" t="n">
        <x:v>3</x:v>
      </x:c>
      <x:c r="C990" s="11" t="n">
        <x:v>48.735</x:v>
      </x:c>
      <x:c r="D990" s="11" t="n">
        <x:v>1.85</x:v>
      </x:c>
      <x:c r="E990" s="11" t="n">
        <x:v>-2.24</x:v>
      </x:c>
      <x:c r="F990" s="11" t="n">
        <x:f>SQRT((C990-C989)^2+(D990-D989)^2+(E990-E989)^2)</x:f>
        <x:v>1.6900000000000002</x:v>
      </x:c>
      <x:c r="G990" s="8" t="str">
        <x:v>Current</x:v>
      </x:c>
    </x:row>
    <x:row r="991" ht="32" customHeight="1">
      <x:c r="A991" s="8" t="str">
        <x:v>trunk:LC1:E1:light:1</x:v>
      </x:c>
      <x:c r="B991" s="8" t="n">
        <x:v>4</x:v>
      </x:c>
      <x:c r="C991" s="11" t="n">
        <x:v>48.735</x:v>
      </x:c>
      <x:c r="D991" s="11" t="n">
        <x:v>4.02</x:v>
      </x:c>
      <x:c r="E991" s="11" t="n">
        <x:v>-2.24</x:v>
      </x:c>
      <x:c r="F991" s="11" t="n">
        <x:f>SQRT((C991-C990)^2+(D991-D990)^2+(E991-E990)^2)</x:f>
        <x:v>2.1699999999999995</x:v>
      </x:c>
      <x:c r="G991" s="8" t="str">
        <x:v>Current</x:v>
      </x:c>
    </x:row>
    <x:row r="992" ht="32" customHeight="1">
      <x:c r="A992" s="8" t="str">
        <x:v>trunk:LC1:E1:light:1</x:v>
      </x:c>
      <x:c r="B992" s="8" t="n">
        <x:v>5</x:v>
      </x:c>
      <x:c r="C992" s="11" t="n">
        <x:v>48.735</x:v>
      </x:c>
      <x:c r="D992" s="11" t="n">
        <x:v>4.02</x:v>
      </x:c>
      <x:c r="E992" s="11" t="n">
        <x:v>-3.6</x:v>
      </x:c>
      <x:c r="F992" s="11" t="n">
        <x:f>SQRT((C992-C991)^2+(D992-D991)^2+(E992-E991)^2)</x:f>
        <x:v>1.3599999999999999</x:v>
      </x:c>
      <x:c r="G992" s="8" t="str">
        <x:v>Current</x:v>
      </x:c>
    </x:row>
    <x:row r="993" ht="32" customHeight="1">
      <x:c r="A993" s="8" t="str">
        <x:v>trunk:LC1:E1:light:1</x:v>
      </x:c>
      <x:c r="B993" s="8" t="n">
        <x:v>6</x:v>
      </x:c>
      <x:c r="C993" s="11" t="n">
        <x:v>53.05</x:v>
      </x:c>
      <x:c r="D993" s="11" t="n">
        <x:v>4.02</x:v>
      </x:c>
      <x:c r="E993" s="11" t="n">
        <x:v>-3.6</x:v>
      </x:c>
      <x:c r="F993" s="11" t="n">
        <x:f>SQRT((C993-C992)^2+(D993-D992)^2+(E993-E992)^2)</x:f>
        <x:v>4.314999999999998</x:v>
      </x:c>
      <x:c r="G993" s="8" t="str">
        <x:v>Current</x:v>
      </x:c>
    </x:row>
    <x:row r="994" ht="32" customHeight="1">
      <x:c r="A994" s="8" t="str">
        <x:v>trunk:LC1:E1:light:1</x:v>
      </x:c>
      <x:c r="B994" s="8" t="n">
        <x:v>7</x:v>
      </x:c>
      <x:c r="C994" s="11" t="n">
        <x:v>53.05</x:v>
      </x:c>
      <x:c r="D994" s="11" t="n">
        <x:v>6.504</x:v>
      </x:c>
      <x:c r="E994" s="11" t="n">
        <x:v>-3.6</x:v>
      </x:c>
      <x:c r="F994" s="11" t="n">
        <x:f>SQRT((C994-C993)^2+(D994-D993)^2+(E994-E993)^2)</x:f>
        <x:v>2.484</x:v>
      </x:c>
      <x:c r="G994" s="8" t="str">
        <x:v>Current</x:v>
      </x:c>
    </x:row>
    <x:row r="995" ht="32" customHeight="1">
      <x:c r="A995" s="8" t="str">
        <x:v>trunk:LC1:E1:light:1</x:v>
      </x:c>
      <x:c r="B995" s="8" t="n">
        <x:v>8</x:v>
      </x:c>
      <x:c r="C995" s="11" t="n">
        <x:v>53.05</x:v>
      </x:c>
      <x:c r="D995" s="11" t="n">
        <x:v>6.504</x:v>
      </x:c>
      <x:c r="E995" s="11" t="n">
        <x:v>7.36</x:v>
      </x:c>
      <x:c r="F995" s="11" t="n">
        <x:f>SQRT((C995-C994)^2+(D995-D994)^2+(E995-E994)^2)</x:f>
        <x:v>10.96</x:v>
      </x:c>
      <x:c r="G995" s="8" t="str">
        <x:v>Current</x:v>
      </x:c>
    </x:row>
    <x:row r="996" ht="32" customHeight="1">
      <x:c r="A996" s="8" t="str">
        <x:v>trunk:LC1:E1:light:1</x:v>
      </x:c>
      <x:c r="B996" s="8" t="n">
        <x:v>9</x:v>
      </x:c>
      <x:c r="C996" s="11" t="n">
        <x:v>44.175</x:v>
      </x:c>
      <x:c r="D996" s="11" t="n">
        <x:v>6.504</x:v>
      </x:c>
      <x:c r="E996" s="11" t="n">
        <x:v>7.36</x:v>
      </x:c>
      <x:c r="F996" s="11" t="n">
        <x:f>SQRT((C996-C995)^2+(D996-D995)^2+(E996-E995)^2)</x:f>
        <x:v>8.875</x:v>
      </x:c>
      <x:c r="G996" s="8" t="str">
        <x:v>Current</x:v>
      </x:c>
    </x:row>
    <x:row r="997" ht="32" customHeight="1">
      <x:c r="A997" s="8" t="str">
        <x:v>trunk:LC1:E1:light:1</x:v>
      </x:c>
      <x:c r="B997" s="8" t="n">
        <x:v>10</x:v>
      </x:c>
      <x:c r="C997" s="11" t="n">
        <x:v>44.175</x:v>
      </x:c>
      <x:c r="D997" s="11" t="n">
        <x:v>6.504</x:v>
      </x:c>
      <x:c r="E997" s="11" t="n">
        <x:v>13.24</x:v>
      </x:c>
      <x:c r="F997" s="11" t="n">
        <x:f>SQRT((C997-C996)^2+(D997-D996)^2+(E997-E996)^2)</x:f>
        <x:v>5.88</x:v>
      </x:c>
      <x:c r="G997" s="8" t="str">
        <x:v>Current</x:v>
      </x:c>
    </x:row>
    <x:row r="998" ht="32" customHeight="1">
      <x:c r="A998" s="8" t="str">
        <x:v>trunk:LC1:E1:light:1</x:v>
      </x:c>
      <x:c r="B998" s="8" t="n">
        <x:v>11</x:v>
      </x:c>
      <x:c r="C998" s="11" t="n">
        <x:v>36.975</x:v>
      </x:c>
      <x:c r="D998" s="11" t="n">
        <x:v>6.504</x:v>
      </x:c>
      <x:c r="E998" s="11" t="n">
        <x:v>13.24</x:v>
      </x:c>
      <x:c r="F998" s="11" t="n">
        <x:f>SQRT((C998-C997)^2+(D998-D997)^2+(E998-E997)^2)</x:f>
        <x:v>7.199999999999996</x:v>
      </x:c>
      <x:c r="G998" s="8" t="str">
        <x:v>Current</x:v>
      </x:c>
    </x:row>
    <x:row r="999" ht="32" customHeight="1">
      <x:c r="A999" s="8" t="str">
        <x:v>trunk:LC1:E1:light:1</x:v>
      </x:c>
      <x:c r="B999" s="8" t="n">
        <x:v>12</x:v>
      </x:c>
      <x:c r="C999" s="11" t="n">
        <x:v>36.975</x:v>
      </x:c>
      <x:c r="D999" s="11" t="n">
        <x:v>6.504</x:v>
      </x:c>
      <x:c r="E999" s="11" t="n">
        <x:v>7.36</x:v>
      </x:c>
      <x:c r="F999" s="11" t="n">
        <x:f>SQRT((C999-C998)^2+(D999-D998)^2+(E999-E998)^2)</x:f>
        <x:v>5.88</x:v>
      </x:c>
      <x:c r="G999" s="8" t="str">
        <x:v>Current</x:v>
      </x:c>
    </x:row>
    <x:row r="1000" ht="32" customHeight="1">
      <x:c r="A1000" s="8" t="str">
        <x:v>trunk:LC1:E1:light:1</x:v>
      </x:c>
      <x:c r="B1000" s="8" t="n">
        <x:v>13</x:v>
      </x:c>
      <x:c r="C1000" s="11" t="n">
        <x:v>16.725</x:v>
      </x:c>
      <x:c r="D1000" s="11" t="n">
        <x:v>6.504</x:v>
      </x:c>
      <x:c r="E1000" s="11" t="n">
        <x:v>7.36</x:v>
      </x:c>
      <x:c r="F1000" s="11" t="n">
        <x:f>SQRT((C1000-C999)^2+(D1000-D999)^2+(E1000-E999)^2)</x:f>
        <x:v>20.25</x:v>
      </x:c>
      <x:c r="G1000" s="8" t="str">
        <x:v>Current</x:v>
      </x:c>
    </x:row>
    <x:row r="1001" ht="32" customHeight="1">
      <x:c r="A1001" s="8" t="str">
        <x:v>drop:LC1:E1:light:1:L157</x:v>
      </x:c>
      <x:c r="B1001" s="8" t="n">
        <x:v>1</x:v>
      </x:c>
      <x:c r="C1001" s="11" t="n">
        <x:v>16.725</x:v>
      </x:c>
      <x:c r="D1001" s="11" t="n">
        <x:v>6.504</x:v>
      </x:c>
      <x:c r="E1001" s="11" t="n">
        <x:v>7.36</x:v>
      </x:c>
      <x:c r="F1001" s="11" t="n">
        <x:f>0</x:f>
        <x:v>0</x:v>
      </x:c>
      <x:c r="G1001" s="8" t="str">
        <x:v>Current</x:v>
      </x:c>
    </x:row>
    <x:row r="1002" ht="32" customHeight="1">
      <x:c r="A1002" s="8" t="str">
        <x:v>drop:LC1:E1:light:1:L157</x:v>
      </x:c>
      <x:c r="B1002" s="8" t="n">
        <x:v>2</x:v>
      </x:c>
      <x:c r="C1002" s="11" t="n">
        <x:v>16.725</x:v>
      </x:c>
      <x:c r="D1002" s="11" t="n">
        <x:v>4.6</x:v>
      </x:c>
      <x:c r="E1002" s="11" t="n">
        <x:v>7.36</x:v>
      </x:c>
      <x:c r="F1002" s="11" t="n">
        <x:f>SQRT((C1002-C1001)^2+(D1002-D1001)^2+(E1002-E1001)^2)</x:f>
        <x:v>1.904</x:v>
      </x:c>
      <x:c r="G1002" s="8" t="str">
        <x:v>Current</x:v>
      </x:c>
    </x:row>
    <x:row r="1003" ht="32" customHeight="1">
      <x:c r="A1003" s="8" t="str">
        <x:v>drop:LC1:E1:light:1:L157</x:v>
      </x:c>
      <x:c r="B1003" s="8" t="n">
        <x:v>3</x:v>
      </x:c>
      <x:c r="C1003" s="11" t="n">
        <x:v>16.725</x:v>
      </x:c>
      <x:c r="D1003" s="11" t="n">
        <x:v>4.6</x:v>
      </x:c>
      <x:c r="E1003" s="11" t="n">
        <x:v>7.245</x:v>
      </x:c>
      <x:c r="F1003" s="11" t="n">
        <x:f>SQRT((C1003-C1002)^2+(D1003-D1002)^2+(E1003-E1002)^2)</x:f>
        <x:v>0.11500000000000021</x:v>
      </x:c>
      <x:c r="G1003" s="8" t="str">
        <x:v>Current</x:v>
      </x:c>
    </x:row>
    <x:row r="1004" ht="32" customHeight="1">
      <x:c r="A1004" s="8" t="str">
        <x:v>drop:LC1:E1:light:1:L159</x:v>
      </x:c>
      <x:c r="B1004" s="8" t="n">
        <x:v>1</x:v>
      </x:c>
      <x:c r="C1004" s="11" t="n">
        <x:v>34.725</x:v>
      </x:c>
      <x:c r="D1004" s="11" t="n">
        <x:v>6.504</x:v>
      </x:c>
      <x:c r="E1004" s="11" t="n">
        <x:v>7.36</x:v>
      </x:c>
      <x:c r="F1004" s="11" t="n">
        <x:f>0</x:f>
        <x:v>0</x:v>
      </x:c>
      <x:c r="G1004" s="8" t="str">
        <x:v>Current</x:v>
      </x:c>
    </x:row>
    <x:row r="1005" ht="32" customHeight="1">
      <x:c r="A1005" s="8" t="str">
        <x:v>drop:LC1:E1:light:1:L159</x:v>
      </x:c>
      <x:c r="B1005" s="8" t="n">
        <x:v>2</x:v>
      </x:c>
      <x:c r="C1005" s="11" t="n">
        <x:v>34.725</x:v>
      </x:c>
      <x:c r="D1005" s="11" t="n">
        <x:v>4.6</x:v>
      </x:c>
      <x:c r="E1005" s="11" t="n">
        <x:v>7.36</x:v>
      </x:c>
      <x:c r="F1005" s="11" t="n">
        <x:f>SQRT((C1005-C1004)^2+(D1005-D1004)^2+(E1005-E1004)^2)</x:f>
        <x:v>1.904</x:v>
      </x:c>
      <x:c r="G1005" s="8" t="str">
        <x:v>Current</x:v>
      </x:c>
    </x:row>
    <x:row r="1006" ht="32" customHeight="1">
      <x:c r="A1006" s="8" t="str">
        <x:v>drop:LC1:E1:light:1:L159</x:v>
      </x:c>
      <x:c r="B1006" s="8" t="n">
        <x:v>3</x:v>
      </x:c>
      <x:c r="C1006" s="11" t="n">
        <x:v>34.725</x:v>
      </x:c>
      <x:c r="D1006" s="11" t="n">
        <x:v>4.6</x:v>
      </x:c>
      <x:c r="E1006" s="11" t="n">
        <x:v>7.245</x:v>
      </x:c>
      <x:c r="F1006" s="11" t="n">
        <x:f>SQRT((C1006-C1005)^2+(D1006-D1005)^2+(E1006-E1005)^2)</x:f>
        <x:v>0.11500000000000021</x:v>
      </x:c>
      <x:c r="G1006" s="8" t="str">
        <x:v>Current</x:v>
      </x:c>
    </x:row>
    <x:row r="1007" ht="32" customHeight="1">
      <x:c r="A1007" s="8" t="str">
        <x:v>trunk:DB2:L6:light:-1</x:v>
      </x:c>
      <x:c r="B1007" s="8" t="n">
        <x:v>1</x:v>
      </x:c>
      <x:c r="C1007" s="11" t="n">
        <x:v>2.73</x:v>
      </x:c>
      <x:c r="D1007" s="11" t="n">
        <x:v>1.5</x:v>
      </x:c>
      <x:c r="E1007" s="11" t="n">
        <x:v>-3.3</x:v>
      </x:c>
      <x:c r="F1007" s="11" t="n">
        <x:f>0</x:f>
        <x:v>0</x:v>
      </x:c>
      <x:c r="G1007" s="8" t="str">
        <x:v>Current</x:v>
      </x:c>
    </x:row>
    <x:row r="1008" ht="32" customHeight="1">
      <x:c r="A1008" s="8" t="str">
        <x:v>trunk:DB2:L6:light:-1</x:v>
      </x:c>
      <x:c r="B1008" s="8" t="n">
        <x:v>2</x:v>
      </x:c>
      <x:c r="C1008" s="11" t="n">
        <x:v>2.35</x:v>
      </x:c>
      <x:c r="D1008" s="11" t="n">
        <x:v>1.5</x:v>
      </x:c>
      <x:c r="E1008" s="11" t="n">
        <x:v>-3.3</x:v>
      </x:c>
      <x:c r="F1008" s="11" t="n">
        <x:f>SQRT((C1008-C1007)^2+(D1008-D1007)^2+(E1008-E1007)^2)</x:f>
        <x:v>0.3799999999999999</x:v>
      </x:c>
      <x:c r="G1008" s="8" t="str">
        <x:v>Current</x:v>
      </x:c>
    </x:row>
    <x:row r="1009" ht="32" customHeight="1">
      <x:c r="A1009" s="8" t="str">
        <x:v>trunk:DB2:L6:light:-1</x:v>
      </x:c>
      <x:c r="B1009" s="8" t="n">
        <x:v>3</x:v>
      </x:c>
      <x:c r="C1009" s="11" t="n">
        <x:v>2.35</x:v>
      </x:c>
      <x:c r="D1009" s="11" t="n">
        <x:v>7.65</x:v>
      </x:c>
      <x:c r="E1009" s="11" t="n">
        <x:v>-3.3</x:v>
      </x:c>
      <x:c r="F1009" s="11" t="n">
        <x:f>SQRT((C1009-C1008)^2+(D1009-D1008)^2+(E1009-E1008)^2)</x:f>
        <x:v>6.15</x:v>
      </x:c>
      <x:c r="G1009" s="8" t="str">
        <x:v>Current</x:v>
      </x:c>
    </x:row>
    <x:row r="1010" ht="32" customHeight="1">
      <x:c r="A1010" s="8" t="str">
        <x:v>trunk:DB2:L6:light:-1</x:v>
      </x:c>
      <x:c r="B1010" s="8" t="n">
        <x:v>4</x:v>
      </x:c>
      <x:c r="C1010" s="11" t="n">
        <x:v>2.35</x:v>
      </x:c>
      <x:c r="D1010" s="11" t="n">
        <x:v>7.65</x:v>
      </x:c>
      <x:c r="E1010" s="11" t="n">
        <x:v>-7.36</x:v>
      </x:c>
      <x:c r="F1010" s="11" t="n">
        <x:f>SQRT((C1010-C1009)^2+(D1010-D1009)^2+(E1010-E1009)^2)</x:f>
        <x:v>4.0600000000000005</x:v>
      </x:c>
      <x:c r="G1010" s="8" t="str">
        <x:v>Current</x:v>
      </x:c>
    </x:row>
    <x:row r="1011" ht="32" customHeight="1">
      <x:c r="A1011" s="8" t="str">
        <x:v>trunk:DB2:L6:light:-1</x:v>
      </x:c>
      <x:c r="B1011" s="8" t="n">
        <x:v>5</x:v>
      </x:c>
      <x:c r="C1011" s="11" t="n">
        <x:v>2.35</x:v>
      </x:c>
      <x:c r="D1011" s="11" t="n">
        <x:v>6.462</x:v>
      </x:c>
      <x:c r="E1011" s="11" t="n">
        <x:v>-7.36</x:v>
      </x:c>
      <x:c r="F1011" s="11" t="n">
        <x:f>SQRT((C1011-C1010)^2+(D1011-D1010)^2+(E1011-E1010)^2)</x:f>
        <x:v>1.1880000000000006</x:v>
      </x:c>
      <x:c r="G1011" s="8" t="str">
        <x:v>Current</x:v>
      </x:c>
    </x:row>
    <x:row r="1012" ht="32" customHeight="1">
      <x:c r="A1012" s="8" t="str">
        <x:v>trunk:DB2:L6:light:-1</x:v>
      </x:c>
      <x:c r="B1012" s="8" t="n">
        <x:v>6</x:v>
      </x:c>
      <x:c r="C1012" s="11" t="n">
        <x:v>3.0500000000000003</x:v>
      </x:c>
      <x:c r="D1012" s="11" t="n">
        <x:v>6.462</x:v>
      </x:c>
      <x:c r="E1012" s="11" t="n">
        <x:v>-7.36</x:v>
      </x:c>
      <x:c r="F1012" s="11" t="n">
        <x:f>SQRT((C1012-C1011)^2+(D1012-D1011)^2+(E1012-E1011)^2)</x:f>
        <x:v>0.7000000000000002</x:v>
      </x:c>
      <x:c r="G1012" s="8" t="str">
        <x:v>Current</x:v>
      </x:c>
    </x:row>
    <x:row r="1013" ht="32" customHeight="1">
      <x:c r="A1013" s="8" t="str">
        <x:v>drop:DB2:L6:light:-1:L160</x:v>
      </x:c>
      <x:c r="B1013" s="8" t="n">
        <x:v>1</x:v>
      </x:c>
      <x:c r="C1013" s="11" t="n">
        <x:v>2.35</x:v>
      </x:c>
      <x:c r="D1013" s="11" t="n">
        <x:v>6.462</x:v>
      </x:c>
      <x:c r="E1013" s="11" t="n">
        <x:v>-7.36</x:v>
      </x:c>
      <x:c r="F1013" s="11" t="n">
        <x:f>0</x:f>
        <x:v>0</x:v>
      </x:c>
      <x:c r="G1013" s="8" t="str">
        <x:v>Current</x:v>
      </x:c>
    </x:row>
    <x:row r="1014" ht="32" customHeight="1">
      <x:c r="A1014" s="8" t="str">
        <x:v>drop:DB2:L6:light:-1:L160</x:v>
      </x:c>
      <x:c r="B1014" s="8" t="n">
        <x:v>2</x:v>
      </x:c>
      <x:c r="C1014" s="11" t="n">
        <x:v>2.35</x:v>
      </x:c>
      <x:c r="D1014" s="11" t="n">
        <x:v>7.65</x:v>
      </x:c>
      <x:c r="E1014" s="11" t="n">
        <x:v>-7.36</x:v>
      </x:c>
      <x:c r="F1014" s="11" t="n">
        <x:f>SQRT((C1014-C1013)^2+(D1014-D1013)^2+(E1014-E1013)^2)</x:f>
        <x:v>1.1880000000000006</x:v>
      </x:c>
      <x:c r="G1014" s="8" t="str">
        <x:v>Current</x:v>
      </x:c>
    </x:row>
    <x:row r="1015" ht="32" customHeight="1">
      <x:c r="A1015" s="8" t="str">
        <x:v>drop:DB2:L6:light:-1:L160</x:v>
      </x:c>
      <x:c r="B1015" s="8" t="n">
        <x:v>3</x:v>
      </x:c>
      <x:c r="C1015" s="11" t="n">
        <x:v>2.35</x:v>
      </x:c>
      <x:c r="D1015" s="11" t="n">
        <x:v>7.65</x:v>
      </x:c>
      <x:c r="E1015" s="11" t="n">
        <x:v>-10.153</x:v>
      </x:c>
      <x:c r="F1015" s="11" t="n">
        <x:f>SQRT((C1015-C1014)^2+(D1015-D1014)^2+(E1015-E1014)^2)</x:f>
        <x:v>2.793</x:v>
      </x:c>
      <x:c r="G1015" s="8" t="str">
        <x:v>Current</x:v>
      </x:c>
    </x:row>
    <x:row r="1016" ht="32" customHeight="1">
      <x:c r="A1016" s="8" t="str">
        <x:v>drop:DB2:L6:light:-1:L160</x:v>
      </x:c>
      <x:c r="B1016" s="8" t="n">
        <x:v>4</x:v>
      </x:c>
      <x:c r="C1016" s="11" t="n">
        <x:v>0.05</x:v>
      </x:c>
      <x:c r="D1016" s="11" t="n">
        <x:v>7.65</x:v>
      </x:c>
      <x:c r="E1016" s="11" t="n">
        <x:v>-10.153</x:v>
      </x:c>
      <x:c r="F1016" s="11" t="n">
        <x:f>SQRT((C1016-C1015)^2+(D1016-D1015)^2+(E1016-E1015)^2)</x:f>
        <x:v>2.3000000000000003</x:v>
      </x:c>
      <x:c r="G1016" s="8" t="str">
        <x:v>Current</x:v>
      </x:c>
    </x:row>
    <x:row r="1017" ht="32" customHeight="1">
      <x:c r="A1017" s="8" t="str">
        <x:v>drop:DB2:L6:light:-1:L160</x:v>
      </x:c>
      <x:c r="B1017" s="8" t="n">
        <x:v>5</x:v>
      </x:c>
      <x:c r="C1017" s="11" t="n">
        <x:v>0.05</x:v>
      </x:c>
      <x:c r="D1017" s="11" t="n">
        <x:v>8.39</x:v>
      </x:c>
      <x:c r="E1017" s="11" t="n">
        <x:v>-10.153</x:v>
      </x:c>
      <x:c r="F1017" s="11" t="n">
        <x:f>SQRT((C1017-C1016)^2+(D1017-D1016)^2+(E1017-E1016)^2)</x:f>
        <x:v>0.7400000000000002</x:v>
      </x:c>
      <x:c r="G1017" s="8" t="str">
        <x:v>Current</x:v>
      </x:c>
    </x:row>
    <x:row r="1018" ht="32" customHeight="1">
      <x:c r="A1018" s="8" t="str">
        <x:v>drop:DB2:L6:light:-1:L160</x:v>
      </x:c>
      <x:c r="B1018" s="8" t="n">
        <x:v>6</x:v>
      </x:c>
      <x:c r="C1018" s="11" t="n">
        <x:v>0.05</x:v>
      </x:c>
      <x:c r="D1018" s="11" t="n">
        <x:v>8.4</x:v>
      </x:c>
      <x:c r="E1018" s="11" t="n">
        <x:v>-10.153</x:v>
      </x:c>
      <x:c r="F1018" s="11" t="n">
        <x:f>SQRT((C1018-C1017)^2+(D1018-D1017)^2+(E1018-E1017)^2)</x:f>
        <x:v>0.009999999999999787</x:v>
      </x:c>
      <x:c r="G1018" s="8" t="str">
        <x:v>Current</x:v>
      </x:c>
    </x:row>
    <x:row r="1019" ht="32" customHeight="1">
      <x:c r="A1019" s="8" t="str">
        <x:v>drop:DB2:L6:light:-1:L160</x:v>
      </x:c>
      <x:c r="B1019" s="8" t="n">
        <x:v>7</x:v>
      </x:c>
      <x:c r="C1019" s="11" t="n">
        <x:v>-0.125</x:v>
      </x:c>
      <x:c r="D1019" s="11" t="n">
        <x:v>8.4</x:v>
      </x:c>
      <x:c r="E1019" s="11" t="n">
        <x:v>-10.153</x:v>
      </x:c>
      <x:c r="F1019" s="11" t="n">
        <x:f>SQRT((C1019-C1018)^2+(D1019-D1018)^2+(E1019-E1018)^2)</x:f>
        <x:v>0.175</x:v>
      </x:c>
      <x:c r="G1019" s="8" t="str">
        <x:v>Current</x:v>
      </x:c>
    </x:row>
    <x:row r="1020" ht="32" customHeight="1">
      <x:c r="A1020" s="8" t="str">
        <x:v>drop:DB2:L6:light:-1:L160</x:v>
      </x:c>
      <x:c r="B1020" s="8" t="n">
        <x:v>8</x:v>
      </x:c>
      <x:c r="C1020" s="11" t="n">
        <x:v>-0.125</x:v>
      </x:c>
      <x:c r="D1020" s="11" t="n">
        <x:v>8.4</x:v>
      </x:c>
      <x:c r="E1020" s="11" t="n">
        <x:v>-10.853</x:v>
      </x:c>
      <x:c r="F1020" s="11" t="n">
        <x:f>SQRT((C1020-C1019)^2+(D1020-D1019)^2+(E1020-E1019)^2)</x:f>
        <x:v>0.6999999999999993</x:v>
      </x:c>
      <x:c r="G1020" s="8" t="str">
        <x:v>Current</x:v>
      </x:c>
    </x:row>
    <x:row r="1021" ht="32" customHeight="1">
      <x:c r="A1021" s="8" t="str">
        <x:v>drop:DB2:L6:light:-1:L161</x:v>
      </x:c>
      <x:c r="B1021" s="8" t="n">
        <x:v>1</x:v>
      </x:c>
      <x:c r="C1021" s="11" t="n">
        <x:v>2.35</x:v>
      </x:c>
      <x:c r="D1021" s="11" t="n">
        <x:v>6.462</x:v>
      </x:c>
      <x:c r="E1021" s="11" t="n">
        <x:v>-7.36</x:v>
      </x:c>
      <x:c r="F1021" s="11" t="n">
        <x:f>0</x:f>
        <x:v>0</x:v>
      </x:c>
      <x:c r="G1021" s="8" t="str">
        <x:v>Current</x:v>
      </x:c>
    </x:row>
    <x:row r="1022" ht="32" customHeight="1">
      <x:c r="A1022" s="8" t="str">
        <x:v>drop:DB2:L6:light:-1:L161</x:v>
      </x:c>
      <x:c r="B1022" s="8" t="n">
        <x:v>2</x:v>
      </x:c>
      <x:c r="C1022" s="11" t="n">
        <x:v>2.35</x:v>
      </x:c>
      <x:c r="D1022" s="11" t="n">
        <x:v>7.65</x:v>
      </x:c>
      <x:c r="E1022" s="11" t="n">
        <x:v>-7.36</x:v>
      </x:c>
      <x:c r="F1022" s="11" t="n">
        <x:f>SQRT((C1022-C1021)^2+(D1022-D1021)^2+(E1022-E1021)^2)</x:f>
        <x:v>1.1880000000000006</x:v>
      </x:c>
      <x:c r="G1022" s="8" t="str">
        <x:v>Current</x:v>
      </x:c>
    </x:row>
    <x:row r="1023" ht="32" customHeight="1">
      <x:c r="A1023" s="8" t="str">
        <x:v>drop:DB2:L6:light:-1:L161</x:v>
      </x:c>
      <x:c r="B1023" s="8" t="n">
        <x:v>3</x:v>
      </x:c>
      <x:c r="C1023" s="11" t="n">
        <x:v>2.35</x:v>
      </x:c>
      <x:c r="D1023" s="11" t="n">
        <x:v>7.65</x:v>
      </x:c>
      <x:c r="E1023" s="11" t="n">
        <x:v>-10.153</x:v>
      </x:c>
      <x:c r="F1023" s="11" t="n">
        <x:f>SQRT((C1023-C1022)^2+(D1023-D1022)^2+(E1023-E1022)^2)</x:f>
        <x:v>2.793</x:v>
      </x:c>
      <x:c r="G1023" s="8" t="str">
        <x:v>Current</x:v>
      </x:c>
    </x:row>
    <x:row r="1024" ht="32" customHeight="1">
      <x:c r="A1024" s="8" t="str">
        <x:v>drop:DB2:L6:light:-1:L161</x:v>
      </x:c>
      <x:c r="B1024" s="8" t="n">
        <x:v>4</x:v>
      </x:c>
      <x:c r="C1024" s="11" t="n">
        <x:v>0.05</x:v>
      </x:c>
      <x:c r="D1024" s="11" t="n">
        <x:v>7.65</x:v>
      </x:c>
      <x:c r="E1024" s="11" t="n">
        <x:v>-10.153</x:v>
      </x:c>
      <x:c r="F1024" s="11" t="n">
        <x:f>SQRT((C1024-C1023)^2+(D1024-D1023)^2+(E1024-E1023)^2)</x:f>
        <x:v>2.3000000000000003</x:v>
      </x:c>
      <x:c r="G1024" s="8" t="str">
        <x:v>Current</x:v>
      </x:c>
    </x:row>
    <x:row r="1025" ht="32" customHeight="1">
      <x:c r="A1025" s="8" t="str">
        <x:v>drop:DB2:L6:light:-1:L161</x:v>
      </x:c>
      <x:c r="B1025" s="8" t="n">
        <x:v>5</x:v>
      </x:c>
      <x:c r="C1025" s="11" t="n">
        <x:v>0.05</x:v>
      </x:c>
      <x:c r="D1025" s="11" t="n">
        <x:v>8.39</x:v>
      </x:c>
      <x:c r="E1025" s="11" t="n">
        <x:v>-10.153</x:v>
      </x:c>
      <x:c r="F1025" s="11" t="n">
        <x:f>SQRT((C1025-C1024)^2+(D1025-D1024)^2+(E1025-E1024)^2)</x:f>
        <x:v>0.7400000000000002</x:v>
      </x:c>
      <x:c r="G1025" s="8" t="str">
        <x:v>Current</x:v>
      </x:c>
    </x:row>
    <x:row r="1026" ht="32" customHeight="1">
      <x:c r="A1026" s="8" t="str">
        <x:v>drop:DB2:L6:light:-1:L161</x:v>
      </x:c>
      <x:c r="B1026" s="8" t="n">
        <x:v>6</x:v>
      </x:c>
      <x:c r="C1026" s="11" t="n">
        <x:v>0.05</x:v>
      </x:c>
      <x:c r="D1026" s="11" t="n">
        <x:v>8.4</x:v>
      </x:c>
      <x:c r="E1026" s="11" t="n">
        <x:v>-10.153</x:v>
      </x:c>
      <x:c r="F1026" s="11" t="n">
        <x:f>SQRT((C1026-C1025)^2+(D1026-D1025)^2+(E1026-E1025)^2)</x:f>
        <x:v>0.009999999999999787</x:v>
      </x:c>
      <x:c r="G1026" s="8" t="str">
        <x:v>Current</x:v>
      </x:c>
    </x:row>
    <x:row r="1027" ht="32" customHeight="1">
      <x:c r="A1027" s="8" t="str">
        <x:v>drop:DB2:L6:light:-1:L161</x:v>
      </x:c>
      <x:c r="B1027" s="8" t="n">
        <x:v>7</x:v>
      </x:c>
      <x:c r="C1027" s="11" t="n">
        <x:v>-0.125</x:v>
      </x:c>
      <x:c r="D1027" s="11" t="n">
        <x:v>8.4</x:v>
      </x:c>
      <x:c r="E1027" s="11" t="n">
        <x:v>-10.153</x:v>
      </x:c>
      <x:c r="F1027" s="11" t="n">
        <x:f>SQRT((C1027-C1026)^2+(D1027-D1026)^2+(E1027-E1026)^2)</x:f>
        <x:v>0.175</x:v>
      </x:c>
      <x:c r="G1027" s="8" t="str">
        <x:v>Current</x:v>
      </x:c>
    </x:row>
    <x:row r="1028" ht="32" customHeight="1">
      <x:c r="A1028" s="8" t="str">
        <x:v>drop:DB2:L6:light:-1:L162</x:v>
      </x:c>
      <x:c r="B1028" s="8" t="n">
        <x:v>1</x:v>
      </x:c>
      <x:c r="C1028" s="11" t="n">
        <x:v>2.35</x:v>
      </x:c>
      <x:c r="D1028" s="11" t="n">
        <x:v>6.462</x:v>
      </x:c>
      <x:c r="E1028" s="11" t="n">
        <x:v>-7.36</x:v>
      </x:c>
      <x:c r="F1028" s="11" t="n">
        <x:f>0</x:f>
        <x:v>0</x:v>
      </x:c>
      <x:c r="G1028" s="8" t="str">
        <x:v>Current</x:v>
      </x:c>
    </x:row>
    <x:row r="1029" ht="32" customHeight="1">
      <x:c r="A1029" s="8" t="str">
        <x:v>drop:DB2:L6:light:-1:L162</x:v>
      </x:c>
      <x:c r="B1029" s="8" t="n">
        <x:v>2</x:v>
      </x:c>
      <x:c r="C1029" s="11" t="n">
        <x:v>2.35</x:v>
      </x:c>
      <x:c r="D1029" s="11" t="n">
        <x:v>7.65</x:v>
      </x:c>
      <x:c r="E1029" s="11" t="n">
        <x:v>-7.36</x:v>
      </x:c>
      <x:c r="F1029" s="11" t="n">
        <x:f>SQRT((C1029-C1028)^2+(D1029-D1028)^2+(E1029-E1028)^2)</x:f>
        <x:v>1.1880000000000006</x:v>
      </x:c>
      <x:c r="G1029" s="8" t="str">
        <x:v>Current</x:v>
      </x:c>
    </x:row>
    <x:row r="1030" ht="32" customHeight="1">
      <x:c r="A1030" s="8" t="str">
        <x:v>drop:DB2:L6:light:-1:L162</x:v>
      </x:c>
      <x:c r="B1030" s="8" t="n">
        <x:v>3</x:v>
      </x:c>
      <x:c r="C1030" s="11" t="n">
        <x:v>2.35</x:v>
      </x:c>
      <x:c r="D1030" s="11" t="n">
        <x:v>7.65</x:v>
      </x:c>
      <x:c r="E1030" s="11" t="n">
        <x:v>-10.153</x:v>
      </x:c>
      <x:c r="F1030" s="11" t="n">
        <x:f>SQRT((C1030-C1029)^2+(D1030-D1029)^2+(E1030-E1029)^2)</x:f>
        <x:v>2.793</x:v>
      </x:c>
      <x:c r="G1030" s="8" t="str">
        <x:v>Current</x:v>
      </x:c>
    </x:row>
    <x:row r="1031" ht="32" customHeight="1">
      <x:c r="A1031" s="8" t="str">
        <x:v>drop:DB2:L6:light:-1:L162</x:v>
      </x:c>
      <x:c r="B1031" s="8" t="n">
        <x:v>4</x:v>
      </x:c>
      <x:c r="C1031" s="11" t="n">
        <x:v>0.05</x:v>
      </x:c>
      <x:c r="D1031" s="11" t="n">
        <x:v>7.65</x:v>
      </x:c>
      <x:c r="E1031" s="11" t="n">
        <x:v>-10.153</x:v>
      </x:c>
      <x:c r="F1031" s="11" t="n">
        <x:f>SQRT((C1031-C1030)^2+(D1031-D1030)^2+(E1031-E1030)^2)</x:f>
        <x:v>2.3000000000000003</x:v>
      </x:c>
      <x:c r="G1031" s="8" t="str">
        <x:v>Current</x:v>
      </x:c>
    </x:row>
    <x:row r="1032" ht="32" customHeight="1">
      <x:c r="A1032" s="8" t="str">
        <x:v>drop:DB2:L6:light:-1:L162</x:v>
      </x:c>
      <x:c r="B1032" s="8" t="n">
        <x:v>5</x:v>
      </x:c>
      <x:c r="C1032" s="11" t="n">
        <x:v>0.05</x:v>
      </x:c>
      <x:c r="D1032" s="11" t="n">
        <x:v>8.39</x:v>
      </x:c>
      <x:c r="E1032" s="11" t="n">
        <x:v>-10.153</x:v>
      </x:c>
      <x:c r="F1032" s="11" t="n">
        <x:f>SQRT((C1032-C1031)^2+(D1032-D1031)^2+(E1032-E1031)^2)</x:f>
        <x:v>0.7400000000000002</x:v>
      </x:c>
      <x:c r="G1032" s="8" t="str">
        <x:v>Current</x:v>
      </x:c>
    </x:row>
    <x:row r="1033" ht="32" customHeight="1">
      <x:c r="A1033" s="8" t="str">
        <x:v>drop:DB2:L6:light:-1:L162</x:v>
      </x:c>
      <x:c r="B1033" s="8" t="n">
        <x:v>6</x:v>
      </x:c>
      <x:c r="C1033" s="11" t="n">
        <x:v>0.05</x:v>
      </x:c>
      <x:c r="D1033" s="11" t="n">
        <x:v>15.84</x:v>
      </x:c>
      <x:c r="E1033" s="11" t="n">
        <x:v>-10.153</x:v>
      </x:c>
      <x:c r="F1033" s="11" t="n">
        <x:f>SQRT((C1033-C1032)^2+(D1033-D1032)^2+(E1033-E1032)^2)</x:f>
        <x:v>7.449999999999999</x:v>
      </x:c>
      <x:c r="G1033" s="8" t="str">
        <x:v>Current</x:v>
      </x:c>
    </x:row>
    <x:row r="1034" ht="32" customHeight="1">
      <x:c r="A1034" s="8" t="str">
        <x:v>drop:DB2:L6:light:-1:L162</x:v>
      </x:c>
      <x:c r="B1034" s="8" t="n">
        <x:v>7</x:v>
      </x:c>
      <x:c r="C1034" s="11" t="n">
        <x:v>0.09</x:v>
      </x:c>
      <x:c r="D1034" s="11" t="n">
        <x:v>15.84</x:v>
      </x:c>
      <x:c r="E1034" s="11" t="n">
        <x:v>-10.153</x:v>
      </x:c>
      <x:c r="F1034" s="11" t="n">
        <x:f>SQRT((C1034-C1033)^2+(D1034-D1033)^2+(E1034-E1033)^2)</x:f>
        <x:v>0.039999999999999994</x:v>
      </x:c>
      <x:c r="G1034" s="8" t="str">
        <x:v>Current</x:v>
      </x:c>
    </x:row>
    <x:row r="1035" ht="32" customHeight="1">
      <x:c r="A1035" s="8" t="str">
        <x:v>drop:DB2:L6:light:-1:L162</x:v>
      </x:c>
      <x:c r="B1035" s="8" t="n">
        <x:v>8</x:v>
      </x:c>
      <x:c r="C1035" s="11" t="n">
        <x:v>0.09</x:v>
      </x:c>
      <x:c r="D1035" s="11" t="n">
        <x:v>15.88</x:v>
      </x:c>
      <x:c r="E1035" s="11" t="n">
        <x:v>-10.153</x:v>
      </x:c>
      <x:c r="F1035" s="11" t="n">
        <x:f>SQRT((C1035-C1034)^2+(D1035-D1034)^2+(E1035-E1034)^2)</x:f>
        <x:v>0.040000000000000924</x:v>
      </x:c>
      <x:c r="G1035" s="8" t="str">
        <x:v>Current</x:v>
      </x:c>
    </x:row>
    <x:row r="1036" ht="32" customHeight="1">
      <x:c r="A1036" s="8" t="str">
        <x:v>drop:DB2:L6:light:-1:L162</x:v>
      </x:c>
      <x:c r="B1036" s="8" t="n">
        <x:v>9</x:v>
      </x:c>
      <x:c r="C1036" s="11" t="n">
        <x:v>-0.035</x:v>
      </x:c>
      <x:c r="D1036" s="11" t="n">
        <x:v>15.88</x:v>
      </x:c>
      <x:c r="E1036" s="11" t="n">
        <x:v>-10.153</x:v>
      </x:c>
      <x:c r="F1036" s="11" t="n">
        <x:f>SQRT((C1036-C1035)^2+(D1036-D1035)^2+(E1036-E1035)^2)</x:f>
        <x:v>0.125</x:v>
      </x:c>
      <x:c r="G1036" s="8" t="str">
        <x:v>Current</x:v>
      </x:c>
    </x:row>
    <x:row r="1037" ht="32" customHeight="1">
      <x:c r="A1037" s="8" t="str">
        <x:v>drop:DB2:L6:light:-1:L163</x:v>
      </x:c>
      <x:c r="B1037" s="8" t="n">
        <x:v>1</x:v>
      </x:c>
      <x:c r="C1037" s="11" t="n">
        <x:v>2.35</x:v>
      </x:c>
      <x:c r="D1037" s="11" t="n">
        <x:v>6.462</x:v>
      </x:c>
      <x:c r="E1037" s="11" t="n">
        <x:v>-7.36</x:v>
      </x:c>
      <x:c r="F1037" s="11" t="n">
        <x:f>0</x:f>
        <x:v>0</x:v>
      </x:c>
      <x:c r="G1037" s="8" t="str">
        <x:v>Current</x:v>
      </x:c>
    </x:row>
    <x:row r="1038" ht="32" customHeight="1">
      <x:c r="A1038" s="8" t="str">
        <x:v>drop:DB2:L6:light:-1:L163</x:v>
      </x:c>
      <x:c r="B1038" s="8" t="n">
        <x:v>2</x:v>
      </x:c>
      <x:c r="C1038" s="11" t="n">
        <x:v>2.35</x:v>
      </x:c>
      <x:c r="D1038" s="11" t="n">
        <x:v>7.65</x:v>
      </x:c>
      <x:c r="E1038" s="11" t="n">
        <x:v>-7.36</x:v>
      </x:c>
      <x:c r="F1038" s="11" t="n">
        <x:f>SQRT((C1038-C1037)^2+(D1038-D1037)^2+(E1038-E1037)^2)</x:f>
        <x:v>1.1880000000000006</x:v>
      </x:c>
      <x:c r="G1038" s="8" t="str">
        <x:v>Current</x:v>
      </x:c>
    </x:row>
    <x:row r="1039" ht="32" customHeight="1">
      <x:c r="A1039" s="8" t="str">
        <x:v>drop:DB2:L6:light:-1:L163</x:v>
      </x:c>
      <x:c r="B1039" s="8" t="n">
        <x:v>3</x:v>
      </x:c>
      <x:c r="C1039" s="11" t="n">
        <x:v>2.35</x:v>
      </x:c>
      <x:c r="D1039" s="11" t="n">
        <x:v>7.65</x:v>
      </x:c>
      <x:c r="E1039" s="11" t="n">
        <x:v>-10.153</x:v>
      </x:c>
      <x:c r="F1039" s="11" t="n">
        <x:f>SQRT((C1039-C1038)^2+(D1039-D1038)^2+(E1039-E1038)^2)</x:f>
        <x:v>2.793</x:v>
      </x:c>
      <x:c r="G1039" s="8" t="str">
        <x:v>Current</x:v>
      </x:c>
    </x:row>
    <x:row r="1040" ht="32" customHeight="1">
      <x:c r="A1040" s="8" t="str">
        <x:v>drop:DB2:L6:light:-1:L163</x:v>
      </x:c>
      <x:c r="B1040" s="8" t="n">
        <x:v>4</x:v>
      </x:c>
      <x:c r="C1040" s="11" t="n">
        <x:v>0.05</x:v>
      </x:c>
      <x:c r="D1040" s="11" t="n">
        <x:v>7.65</x:v>
      </x:c>
      <x:c r="E1040" s="11" t="n">
        <x:v>-10.153</x:v>
      </x:c>
      <x:c r="F1040" s="11" t="n">
        <x:f>SQRT((C1040-C1039)^2+(D1040-D1039)^2+(E1040-E1039)^2)</x:f>
        <x:v>2.3000000000000003</x:v>
      </x:c>
      <x:c r="G1040" s="8" t="str">
        <x:v>Current</x:v>
      </x:c>
    </x:row>
    <x:row r="1041" ht="32" customHeight="1">
      <x:c r="A1041" s="8" t="str">
        <x:v>drop:DB2:L6:light:-1:L163</x:v>
      </x:c>
      <x:c r="B1041" s="8" t="n">
        <x:v>5</x:v>
      </x:c>
      <x:c r="C1041" s="11" t="n">
        <x:v>0.05</x:v>
      </x:c>
      <x:c r="D1041" s="11" t="n">
        <x:v>8.39</x:v>
      </x:c>
      <x:c r="E1041" s="11" t="n">
        <x:v>-10.153</x:v>
      </x:c>
      <x:c r="F1041" s="11" t="n">
        <x:f>SQRT((C1041-C1040)^2+(D1041-D1040)^2+(E1041-E1040)^2)</x:f>
        <x:v>0.7400000000000002</x:v>
      </x:c>
      <x:c r="G1041" s="8" t="str">
        <x:v>Current</x:v>
      </x:c>
    </x:row>
    <x:row r="1042" ht="32" customHeight="1">
      <x:c r="A1042" s="8" t="str">
        <x:v>drop:DB2:L6:light:-1:L163</x:v>
      </x:c>
      <x:c r="B1042" s="8" t="n">
        <x:v>6</x:v>
      </x:c>
      <x:c r="C1042" s="11" t="n">
        <x:v>0.05</x:v>
      </x:c>
      <x:c r="D1042" s="11" t="n">
        <x:v>15.84</x:v>
      </x:c>
      <x:c r="E1042" s="11" t="n">
        <x:v>-10.153</x:v>
      </x:c>
      <x:c r="F1042" s="11" t="n">
        <x:f>SQRT((C1042-C1041)^2+(D1042-D1041)^2+(E1042-E1041)^2)</x:f>
        <x:v>7.449999999999999</x:v>
      </x:c>
      <x:c r="G1042" s="8" t="str">
        <x:v>Current</x:v>
      </x:c>
    </x:row>
    <x:row r="1043" ht="32" customHeight="1">
      <x:c r="A1043" s="8" t="str">
        <x:v>drop:DB2:L6:light:-1:L163</x:v>
      </x:c>
      <x:c r="B1043" s="8" t="n">
        <x:v>7</x:v>
      </x:c>
      <x:c r="C1043" s="11" t="n">
        <x:v>0.09</x:v>
      </x:c>
      <x:c r="D1043" s="11" t="n">
        <x:v>15.84</x:v>
      </x:c>
      <x:c r="E1043" s="11" t="n">
        <x:v>-10.153</x:v>
      </x:c>
      <x:c r="F1043" s="11" t="n">
        <x:f>SQRT((C1043-C1042)^2+(D1043-D1042)^2+(E1043-E1042)^2)</x:f>
        <x:v>0.039999999999999994</x:v>
      </x:c>
      <x:c r="G1043" s="8" t="str">
        <x:v>Current</x:v>
      </x:c>
    </x:row>
    <x:row r="1044" ht="32" customHeight="1">
      <x:c r="A1044" s="8" t="str">
        <x:v>drop:DB2:L6:light:-1:L163</x:v>
      </x:c>
      <x:c r="B1044" s="8" t="n">
        <x:v>8</x:v>
      </x:c>
      <x:c r="C1044" s="11" t="n">
        <x:v>0.09</x:v>
      </x:c>
      <x:c r="D1044" s="11" t="n">
        <x:v>23.14</x:v>
      </x:c>
      <x:c r="E1044" s="11" t="n">
        <x:v>-10.153</x:v>
      </x:c>
      <x:c r="F1044" s="11" t="n">
        <x:f>SQRT((C1044-C1043)^2+(D1044-D1043)^2+(E1044-E1043)^2)</x:f>
        <x:v>7.300000000000001</x:v>
      </x:c>
      <x:c r="G1044" s="8" t="str">
        <x:v>Current</x:v>
      </x:c>
    </x:row>
    <x:row r="1045" ht="32" customHeight="1">
      <x:c r="A1045" s="8" t="str">
        <x:v>drop:DB2:L6:light:-1:L163</x:v>
      </x:c>
      <x:c r="B1045" s="8" t="n">
        <x:v>9</x:v>
      </x:c>
      <x:c r="C1045" s="11" t="n">
        <x:v>0.19</x:v>
      </x:c>
      <x:c r="D1045" s="11" t="n">
        <x:v>23.14</x:v>
      </x:c>
      <x:c r="E1045" s="11" t="n">
        <x:v>-10.153</x:v>
      </x:c>
      <x:c r="F1045" s="11" t="n">
        <x:f>SQRT((C1045-C1044)^2+(D1045-D1044)^2+(E1045-E1044)^2)</x:f>
        <x:v>0.1</x:v>
      </x:c>
      <x:c r="G1045" s="8" t="str">
        <x:v>Current</x:v>
      </x:c>
    </x:row>
    <x:row r="1046" ht="32" customHeight="1">
      <x:c r="A1046" s="8" t="str">
        <x:v>drop:DB2:L6:light:-1:L163</x:v>
      </x:c>
      <x:c r="B1046" s="8" t="n">
        <x:v>10</x:v>
      </x:c>
      <x:c r="C1046" s="11" t="n">
        <x:v>0.19</x:v>
      </x:c>
      <x:c r="D1046" s="11" t="n">
        <x:v>23.2</x:v>
      </x:c>
      <x:c r="E1046" s="11" t="n">
        <x:v>-10.153</x:v>
      </x:c>
      <x:c r="F1046" s="11" t="n">
        <x:f>SQRT((C1046-C1045)^2+(D1046-D1045)^2+(E1046-E1045)^2)</x:f>
        <x:v>0.05999999999999872</x:v>
      </x:c>
      <x:c r="G1046" s="8" t="str">
        <x:v>Current</x:v>
      </x:c>
    </x:row>
    <x:row r="1047" ht="32" customHeight="1">
      <x:c r="A1047" s="8" t="str">
        <x:v>drop:DB2:L6:light:-1:L163</x:v>
      </x:c>
      <x:c r="B1047" s="8" t="n">
        <x:v>11</x:v>
      </x:c>
      <x:c r="C1047" s="11" t="n">
        <x:v>0.065</x:v>
      </x:c>
      <x:c r="D1047" s="11" t="n">
        <x:v>23.2</x:v>
      </x:c>
      <x:c r="E1047" s="11" t="n">
        <x:v>-10.153</x:v>
      </x:c>
      <x:c r="F1047" s="11" t="n">
        <x:f>SQRT((C1047-C1046)^2+(D1047-D1046)^2+(E1047-E1046)^2)</x:f>
        <x:v>0.125</x:v>
      </x:c>
      <x:c r="G1047" s="8" t="str">
        <x:v>Current</x:v>
      </x:c>
    </x:row>
    <x:row r="1048" ht="32" customHeight="1">
      <x:c r="A1048" s="8" t="str">
        <x:v>drop:DB2:L6:light:-1:L164</x:v>
      </x:c>
      <x:c r="B1048" s="8" t="n">
        <x:v>1</x:v>
      </x:c>
      <x:c r="C1048" s="11" t="n">
        <x:v>2.35</x:v>
      </x:c>
      <x:c r="D1048" s="11" t="n">
        <x:v>6.462</x:v>
      </x:c>
      <x:c r="E1048" s="11" t="n">
        <x:v>-7.36</x:v>
      </x:c>
      <x:c r="F1048" s="11" t="n">
        <x:f>0</x:f>
        <x:v>0</x:v>
      </x:c>
      <x:c r="G1048" s="8" t="str">
        <x:v>Current</x:v>
      </x:c>
    </x:row>
    <x:row r="1049" ht="32" customHeight="1">
      <x:c r="A1049" s="8" t="str">
        <x:v>drop:DB2:L6:light:-1:L164</x:v>
      </x:c>
      <x:c r="B1049" s="8" t="n">
        <x:v>2</x:v>
      </x:c>
      <x:c r="C1049" s="11" t="n">
        <x:v>2.35</x:v>
      </x:c>
      <x:c r="D1049" s="11" t="n">
        <x:v>7.65</x:v>
      </x:c>
      <x:c r="E1049" s="11" t="n">
        <x:v>-7.36</x:v>
      </x:c>
      <x:c r="F1049" s="11" t="n">
        <x:f>SQRT((C1049-C1048)^2+(D1049-D1048)^2+(E1049-E1048)^2)</x:f>
        <x:v>1.1880000000000006</x:v>
      </x:c>
      <x:c r="G1049" s="8" t="str">
        <x:v>Current</x:v>
      </x:c>
    </x:row>
    <x:row r="1050" ht="32" customHeight="1">
      <x:c r="A1050" s="8" t="str">
        <x:v>drop:DB2:L6:light:-1:L164</x:v>
      </x:c>
      <x:c r="B1050" s="8" t="n">
        <x:v>3</x:v>
      </x:c>
      <x:c r="C1050" s="11" t="n">
        <x:v>2.35</x:v>
      </x:c>
      <x:c r="D1050" s="11" t="n">
        <x:v>7.65</x:v>
      </x:c>
      <x:c r="E1050" s="11" t="n">
        <x:v>-10.153</x:v>
      </x:c>
      <x:c r="F1050" s="11" t="n">
        <x:f>SQRT((C1050-C1049)^2+(D1050-D1049)^2+(E1050-E1049)^2)</x:f>
        <x:v>2.793</x:v>
      </x:c>
      <x:c r="G1050" s="8" t="str">
        <x:v>Current</x:v>
      </x:c>
    </x:row>
    <x:row r="1051" ht="32" customHeight="1">
      <x:c r="A1051" s="8" t="str">
        <x:v>drop:DB2:L6:light:-1:L164</x:v>
      </x:c>
      <x:c r="B1051" s="8" t="n">
        <x:v>4</x:v>
      </x:c>
      <x:c r="C1051" s="11" t="n">
        <x:v>0.05</x:v>
      </x:c>
      <x:c r="D1051" s="11" t="n">
        <x:v>7.65</x:v>
      </x:c>
      <x:c r="E1051" s="11" t="n">
        <x:v>-10.153</x:v>
      </x:c>
      <x:c r="F1051" s="11" t="n">
        <x:f>SQRT((C1051-C1050)^2+(D1051-D1050)^2+(E1051-E1050)^2)</x:f>
        <x:v>2.3000000000000003</x:v>
      </x:c>
      <x:c r="G1051" s="8" t="str">
        <x:v>Current</x:v>
      </x:c>
    </x:row>
    <x:row r="1052" ht="32" customHeight="1">
      <x:c r="A1052" s="8" t="str">
        <x:v>drop:DB2:L6:light:-1:L164</x:v>
      </x:c>
      <x:c r="B1052" s="8" t="n">
        <x:v>5</x:v>
      </x:c>
      <x:c r="C1052" s="11" t="n">
        <x:v>0.05</x:v>
      </x:c>
      <x:c r="D1052" s="11" t="n">
        <x:v>8.39</x:v>
      </x:c>
      <x:c r="E1052" s="11" t="n">
        <x:v>-10.153</x:v>
      </x:c>
      <x:c r="F1052" s="11" t="n">
        <x:f>SQRT((C1052-C1051)^2+(D1052-D1051)^2+(E1052-E1051)^2)</x:f>
        <x:v>0.7400000000000002</x:v>
      </x:c>
      <x:c r="G1052" s="8" t="str">
        <x:v>Current</x:v>
      </x:c>
    </x:row>
    <x:row r="1053" ht="32" customHeight="1">
      <x:c r="A1053" s="8" t="str">
        <x:v>drop:DB2:L6:light:-1:L164</x:v>
      </x:c>
      <x:c r="B1053" s="8" t="n">
        <x:v>6</x:v>
      </x:c>
      <x:c r="C1053" s="11" t="n">
        <x:v>0.05</x:v>
      </x:c>
      <x:c r="D1053" s="11" t="n">
        <x:v>15.84</x:v>
      </x:c>
      <x:c r="E1053" s="11" t="n">
        <x:v>-10.153</x:v>
      </x:c>
      <x:c r="F1053" s="11" t="n">
        <x:f>SQRT((C1053-C1052)^2+(D1053-D1052)^2+(E1053-E1052)^2)</x:f>
        <x:v>7.449999999999999</x:v>
      </x:c>
      <x:c r="G1053" s="8" t="str">
        <x:v>Current</x:v>
      </x:c>
    </x:row>
    <x:row r="1054" ht="32" customHeight="1">
      <x:c r="A1054" s="8" t="str">
        <x:v>drop:DB2:L6:light:-1:L164</x:v>
      </x:c>
      <x:c r="B1054" s="8" t="n">
        <x:v>7</x:v>
      </x:c>
      <x:c r="C1054" s="11" t="n">
        <x:v>0.09</x:v>
      </x:c>
      <x:c r="D1054" s="11" t="n">
        <x:v>15.84</x:v>
      </x:c>
      <x:c r="E1054" s="11" t="n">
        <x:v>-10.153</x:v>
      </x:c>
      <x:c r="F1054" s="11" t="n">
        <x:f>SQRT((C1054-C1053)^2+(D1054-D1053)^2+(E1054-E1053)^2)</x:f>
        <x:v>0.039999999999999994</x:v>
      </x:c>
      <x:c r="G1054" s="8" t="str">
        <x:v>Current</x:v>
      </x:c>
    </x:row>
    <x:row r="1055" ht="32" customHeight="1">
      <x:c r="A1055" s="8" t="str">
        <x:v>drop:DB2:L6:light:-1:L164</x:v>
      </x:c>
      <x:c r="B1055" s="8" t="n">
        <x:v>8</x:v>
      </x:c>
      <x:c r="C1055" s="11" t="n">
        <x:v>0.09</x:v>
      </x:c>
      <x:c r="D1055" s="11" t="n">
        <x:v>23.14</x:v>
      </x:c>
      <x:c r="E1055" s="11" t="n">
        <x:v>-10.153</x:v>
      </x:c>
      <x:c r="F1055" s="11" t="n">
        <x:f>SQRT((C1055-C1054)^2+(D1055-D1054)^2+(E1055-E1054)^2)</x:f>
        <x:v>7.300000000000001</x:v>
      </x:c>
      <x:c r="G1055" s="8" t="str">
        <x:v>Current</x:v>
      </x:c>
    </x:row>
    <x:row r="1056" ht="32" customHeight="1">
      <x:c r="A1056" s="8" t="str">
        <x:v>drop:DB2:L6:light:-1:L164</x:v>
      </x:c>
      <x:c r="B1056" s="8" t="n">
        <x:v>9</x:v>
      </x:c>
      <x:c r="C1056" s="11" t="n">
        <x:v>0.19</x:v>
      </x:c>
      <x:c r="D1056" s="11" t="n">
        <x:v>23.14</x:v>
      </x:c>
      <x:c r="E1056" s="11" t="n">
        <x:v>-10.153</x:v>
      </x:c>
      <x:c r="F1056" s="11" t="n">
        <x:f>SQRT((C1056-C1055)^2+(D1056-D1055)^2+(E1056-E1055)^2)</x:f>
        <x:v>0.1</x:v>
      </x:c>
      <x:c r="G1056" s="8" t="str">
        <x:v>Current</x:v>
      </x:c>
    </x:row>
    <x:row r="1057" ht="32" customHeight="1">
      <x:c r="A1057" s="8" t="str">
        <x:v>drop:DB2:L6:light:-1:L164</x:v>
      </x:c>
      <x:c r="B1057" s="8" t="n">
        <x:v>10</x:v>
      </x:c>
      <x:c r="C1057" s="11" t="n">
        <x:v>0.19</x:v>
      </x:c>
      <x:c r="D1057" s="11" t="n">
        <x:v>29.26</x:v>
      </x:c>
      <x:c r="E1057" s="11" t="n">
        <x:v>-10.153</x:v>
      </x:c>
      <x:c r="F1057" s="11" t="n">
        <x:f>SQRT((C1057-C1056)^2+(D1057-D1056)^2+(E1057-E1056)^2)</x:f>
        <x:v>6.120000000000001</x:v>
      </x:c>
      <x:c r="G1057" s="8" t="str">
        <x:v>Current</x:v>
      </x:c>
    </x:row>
    <x:row r="1058" ht="32" customHeight="1">
      <x:c r="A1058" s="8" t="str">
        <x:v>drop:DB2:L6:light:-1:L164</x:v>
      </x:c>
      <x:c r="B1058" s="8" t="n">
        <x:v>11</x:v>
      </x:c>
      <x:c r="C1058" s="11" t="n">
        <x:v>0.35</x:v>
      </x:c>
      <x:c r="D1058" s="11" t="n">
        <x:v>29.26</x:v>
      </x:c>
      <x:c r="E1058" s="11" t="n">
        <x:v>-10.153</x:v>
      </x:c>
      <x:c r="F1058" s="11" t="n">
        <x:f>SQRT((C1058-C1057)^2+(D1058-D1057)^2+(E1058-E1057)^2)</x:f>
        <x:v>0.15999999999999998</x:v>
      </x:c>
      <x:c r="G1058" s="8" t="str">
        <x:v>Current</x:v>
      </x:c>
    </x:row>
    <x:row r="1059" ht="32" customHeight="1">
      <x:c r="A1059" s="8" t="str">
        <x:v>drop:DB2:L6:light:-1:L165</x:v>
      </x:c>
      <x:c r="B1059" s="8" t="n">
        <x:v>1</x:v>
      </x:c>
      <x:c r="C1059" s="11" t="n">
        <x:v>2.45</x:v>
      </x:c>
      <x:c r="D1059" s="11" t="n">
        <x:v>6.462</x:v>
      </x:c>
      <x:c r="E1059" s="11" t="n">
        <x:v>-7.36</x:v>
      </x:c>
      <x:c r="F1059" s="11" t="n">
        <x:f>0</x:f>
        <x:v>0</x:v>
      </x:c>
      <x:c r="G1059" s="8" t="str">
        <x:v>Current</x:v>
      </x:c>
    </x:row>
    <x:row r="1060" ht="32" customHeight="1">
      <x:c r="A1060" s="8" t="str">
        <x:v>drop:DB2:L6:light:-1:L165</x:v>
      </x:c>
      <x:c r="B1060" s="8" t="n">
        <x:v>2</x:v>
      </x:c>
      <x:c r="C1060" s="11" t="n">
        <x:v>2.35</x:v>
      </x:c>
      <x:c r="D1060" s="11" t="n">
        <x:v>7.65</x:v>
      </x:c>
      <x:c r="E1060" s="11" t="n">
        <x:v>-7.36</x:v>
      </x:c>
      <x:c r="F1060" s="11" t="n">
        <x:f>SQRT((C1060-C1059)^2+(D1060-D1059)^2+(E1060-E1059)^2)</x:f>
        <x:v>1.1922013252802572</x:v>
      </x:c>
      <x:c r="G1060" s="8" t="str">
        <x:v>Current</x:v>
      </x:c>
    </x:row>
    <x:row r="1061" ht="32" customHeight="1">
      <x:c r="A1061" s="8" t="str">
        <x:v>drop:DB2:L6:light:-1:L165</x:v>
      </x:c>
      <x:c r="B1061" s="8" t="n">
        <x:v>3</x:v>
      </x:c>
      <x:c r="C1061" s="11" t="n">
        <x:v>2.35</x:v>
      </x:c>
      <x:c r="D1061" s="11" t="n">
        <x:v>7.65</x:v>
      </x:c>
      <x:c r="E1061" s="11" t="n">
        <x:v>-10.153</x:v>
      </x:c>
      <x:c r="F1061" s="11" t="n">
        <x:f>SQRT((C1061-C1060)^2+(D1061-D1060)^2+(E1061-E1060)^2)</x:f>
        <x:v>2.793</x:v>
      </x:c>
      <x:c r="G1061" s="8" t="str">
        <x:v>Current</x:v>
      </x:c>
    </x:row>
    <x:row r="1062" ht="32" customHeight="1">
      <x:c r="A1062" s="8" t="str">
        <x:v>drop:DB2:L6:light:-1:L165</x:v>
      </x:c>
      <x:c r="B1062" s="8" t="n">
        <x:v>4</x:v>
      </x:c>
      <x:c r="C1062" s="11" t="n">
        <x:v>0.05</x:v>
      </x:c>
      <x:c r="D1062" s="11" t="n">
        <x:v>7.65</x:v>
      </x:c>
      <x:c r="E1062" s="11" t="n">
        <x:v>-10.153</x:v>
      </x:c>
      <x:c r="F1062" s="11" t="n">
        <x:f>SQRT((C1062-C1061)^2+(D1062-D1061)^2+(E1062-E1061)^2)</x:f>
        <x:v>2.3000000000000003</x:v>
      </x:c>
      <x:c r="G1062" s="8" t="str">
        <x:v>Current</x:v>
      </x:c>
    </x:row>
    <x:row r="1063" ht="32" customHeight="1">
      <x:c r="A1063" s="8" t="str">
        <x:v>drop:DB2:L6:light:-1:L165</x:v>
      </x:c>
      <x:c r="B1063" s="8" t="n">
        <x:v>5</x:v>
      </x:c>
      <x:c r="C1063" s="11" t="n">
        <x:v>0.05</x:v>
      </x:c>
      <x:c r="D1063" s="11" t="n">
        <x:v>8.39</x:v>
      </x:c>
      <x:c r="E1063" s="11" t="n">
        <x:v>-10.153</x:v>
      </x:c>
      <x:c r="F1063" s="11" t="n">
        <x:f>SQRT((C1063-C1062)^2+(D1063-D1062)^2+(E1063-E1062)^2)</x:f>
        <x:v>0.7400000000000002</x:v>
      </x:c>
      <x:c r="G1063" s="8" t="str">
        <x:v>Current</x:v>
      </x:c>
    </x:row>
    <x:row r="1064" ht="32" customHeight="1">
      <x:c r="A1064" s="8" t="str">
        <x:v>drop:DB2:L6:light:-1:L165</x:v>
      </x:c>
      <x:c r="B1064" s="8" t="n">
        <x:v>6</x:v>
      </x:c>
      <x:c r="C1064" s="11" t="n">
        <x:v>0.05</x:v>
      </x:c>
      <x:c r="D1064" s="11" t="n">
        <x:v>15.84</x:v>
      </x:c>
      <x:c r="E1064" s="11" t="n">
        <x:v>-10.153</x:v>
      </x:c>
      <x:c r="F1064" s="11" t="n">
        <x:f>SQRT((C1064-C1063)^2+(D1064-D1063)^2+(E1064-E1063)^2)</x:f>
        <x:v>7.449999999999999</x:v>
      </x:c>
      <x:c r="G1064" s="8" t="str">
        <x:v>Current</x:v>
      </x:c>
    </x:row>
    <x:row r="1065" ht="32" customHeight="1">
      <x:c r="A1065" s="8" t="str">
        <x:v>drop:DB2:L6:light:-1:L165</x:v>
      </x:c>
      <x:c r="B1065" s="8" t="n">
        <x:v>7</x:v>
      </x:c>
      <x:c r="C1065" s="11" t="n">
        <x:v>0.09</x:v>
      </x:c>
      <x:c r="D1065" s="11" t="n">
        <x:v>15.84</x:v>
      </x:c>
      <x:c r="E1065" s="11" t="n">
        <x:v>-10.153</x:v>
      </x:c>
      <x:c r="F1065" s="11" t="n">
        <x:f>SQRT((C1065-C1064)^2+(D1065-D1064)^2+(E1065-E1064)^2)</x:f>
        <x:v>0.039999999999999994</x:v>
      </x:c>
      <x:c r="G1065" s="8" t="str">
        <x:v>Current</x:v>
      </x:c>
    </x:row>
    <x:row r="1066" ht="32" customHeight="1">
      <x:c r="A1066" s="8" t="str">
        <x:v>drop:DB2:L6:light:-1:L165</x:v>
      </x:c>
      <x:c r="B1066" s="8" t="n">
        <x:v>8</x:v>
      </x:c>
      <x:c r="C1066" s="11" t="n">
        <x:v>0.09</x:v>
      </x:c>
      <x:c r="D1066" s="11" t="n">
        <x:v>23.14</x:v>
      </x:c>
      <x:c r="E1066" s="11" t="n">
        <x:v>-10.153</x:v>
      </x:c>
      <x:c r="F1066" s="11" t="n">
        <x:f>SQRT((C1066-C1065)^2+(D1066-D1065)^2+(E1066-E1065)^2)</x:f>
        <x:v>7.300000000000001</x:v>
      </x:c>
      <x:c r="G1066" s="8" t="str">
        <x:v>Current</x:v>
      </x:c>
    </x:row>
    <x:row r="1067" ht="32" customHeight="1">
      <x:c r="A1067" s="8" t="str">
        <x:v>drop:DB2:L6:light:-1:L165</x:v>
      </x:c>
      <x:c r="B1067" s="8" t="n">
        <x:v>9</x:v>
      </x:c>
      <x:c r="C1067" s="11" t="n">
        <x:v>0.19</x:v>
      </x:c>
      <x:c r="D1067" s="11" t="n">
        <x:v>23.14</x:v>
      </x:c>
      <x:c r="E1067" s="11" t="n">
        <x:v>-10.153</x:v>
      </x:c>
      <x:c r="F1067" s="11" t="n">
        <x:f>SQRT((C1067-C1066)^2+(D1067-D1066)^2+(E1067-E1066)^2)</x:f>
        <x:v>0.1</x:v>
      </x:c>
      <x:c r="G1067" s="8" t="str">
        <x:v>Current</x:v>
      </x:c>
    </x:row>
    <x:row r="1068" ht="32" customHeight="1">
      <x:c r="A1068" s="8" t="str">
        <x:v>drop:DB2:L6:light:-1:L165</x:v>
      </x:c>
      <x:c r="B1068" s="8" t="n">
        <x:v>10</x:v>
      </x:c>
      <x:c r="C1068" s="11" t="n">
        <x:v>0.19</x:v>
      </x:c>
      <x:c r="D1068" s="11" t="n">
        <x:v>23.2</x:v>
      </x:c>
      <x:c r="E1068" s="11" t="n">
        <x:v>-10.153</x:v>
      </x:c>
      <x:c r="F1068" s="11" t="n">
        <x:f>SQRT((C1068-C1067)^2+(D1068-D1067)^2+(E1068-E1067)^2)</x:f>
        <x:v>0.05999999999999872</x:v>
      </x:c>
      <x:c r="G1068" s="8" t="str">
        <x:v>Current</x:v>
      </x:c>
    </x:row>
    <x:row r="1069" ht="32" customHeight="1">
      <x:c r="A1069" s="8" t="str">
        <x:v>drop:DB2:L6:light:-1:L165</x:v>
      </x:c>
      <x:c r="B1069" s="8" t="n">
        <x:v>11</x:v>
      </x:c>
      <x:c r="C1069" s="11" t="n">
        <x:v>2.45</x:v>
      </x:c>
      <x:c r="D1069" s="11" t="n">
        <x:v>23.2</x:v>
      </x:c>
      <x:c r="E1069" s="11" t="n">
        <x:v>-10.153</x:v>
      </x:c>
      <x:c r="F1069" s="11" t="n">
        <x:f>SQRT((C1069-C1068)^2+(D1069-D1068)^2+(E1069-E1068)^2)</x:f>
        <x:v>2.2600000000000002</x:v>
      </x:c>
      <x:c r="G1069" s="8" t="str">
        <x:v>Current</x:v>
      </x:c>
    </x:row>
    <x:row r="1070" ht="32" customHeight="1">
      <x:c r="A1070" s="8" t="str">
        <x:v>drop:DB2:L6:light:-1:L166</x:v>
      </x:c>
      <x:c r="B1070" s="8" t="n">
        <x:v>1</x:v>
      </x:c>
      <x:c r="C1070" s="11" t="n">
        <x:v>3.0500000000000003</x:v>
      </x:c>
      <x:c r="D1070" s="11" t="n">
        <x:v>6.462</x:v>
      </x:c>
      <x:c r="E1070" s="11" t="n">
        <x:v>-7.36</x:v>
      </x:c>
      <x:c r="F1070" s="11" t="n">
        <x:f>0</x:f>
        <x:v>0</x:v>
      </x:c>
      <x:c r="G1070" s="8" t="str">
        <x:v>Current</x:v>
      </x:c>
    </x:row>
    <x:row r="1071" ht="32" customHeight="1">
      <x:c r="A1071" s="8" t="str">
        <x:v>drop:DB2:L6:light:-1:L166</x:v>
      </x:c>
      <x:c r="B1071" s="8" t="n">
        <x:v>2</x:v>
      </x:c>
      <x:c r="C1071" s="11" t="n">
        <x:v>2.35</x:v>
      </x:c>
      <x:c r="D1071" s="11" t="n">
        <x:v>7.65</x:v>
      </x:c>
      <x:c r="E1071" s="11" t="n">
        <x:v>-7.36</x:v>
      </x:c>
      <x:c r="F1071" s="11" t="n">
        <x:f>SQRT((C1071-C1070)^2+(D1071-D1070)^2+(E1071-E1070)^2)</x:f>
        <x:v>1.3788923090655056</x:v>
      </x:c>
      <x:c r="G1071" s="8" t="str">
        <x:v>Current</x:v>
      </x:c>
    </x:row>
    <x:row r="1072" ht="32" customHeight="1">
      <x:c r="A1072" s="8" t="str">
        <x:v>drop:DB2:L6:light:-1:L166</x:v>
      </x:c>
      <x:c r="B1072" s="8" t="n">
        <x:v>3</x:v>
      </x:c>
      <x:c r="C1072" s="11" t="n">
        <x:v>2.35</x:v>
      </x:c>
      <x:c r="D1072" s="11" t="n">
        <x:v>7.65</x:v>
      </x:c>
      <x:c r="E1072" s="11" t="n">
        <x:v>-10.153</x:v>
      </x:c>
      <x:c r="F1072" s="11" t="n">
        <x:f>SQRT((C1072-C1071)^2+(D1072-D1071)^2+(E1072-E1071)^2)</x:f>
        <x:v>2.793</x:v>
      </x:c>
      <x:c r="G1072" s="8" t="str">
        <x:v>Current</x:v>
      </x:c>
    </x:row>
    <x:row r="1073" ht="32" customHeight="1">
      <x:c r="A1073" s="8" t="str">
        <x:v>drop:DB2:L6:light:-1:L166</x:v>
      </x:c>
      <x:c r="B1073" s="8" t="n">
        <x:v>4</x:v>
      </x:c>
      <x:c r="C1073" s="11" t="n">
        <x:v>0.05</x:v>
      </x:c>
      <x:c r="D1073" s="11" t="n">
        <x:v>7.65</x:v>
      </x:c>
      <x:c r="E1073" s="11" t="n">
        <x:v>-10.153</x:v>
      </x:c>
      <x:c r="F1073" s="11" t="n">
        <x:f>SQRT((C1073-C1072)^2+(D1073-D1072)^2+(E1073-E1072)^2)</x:f>
        <x:v>2.3000000000000003</x:v>
      </x:c>
      <x:c r="G1073" s="8" t="str">
        <x:v>Current</x:v>
      </x:c>
    </x:row>
    <x:row r="1074" ht="32" customHeight="1">
      <x:c r="A1074" s="8" t="str">
        <x:v>drop:DB2:L6:light:-1:L166</x:v>
      </x:c>
      <x:c r="B1074" s="8" t="n">
        <x:v>5</x:v>
      </x:c>
      <x:c r="C1074" s="11" t="n">
        <x:v>0.05</x:v>
      </x:c>
      <x:c r="D1074" s="11" t="n">
        <x:v>8.39</x:v>
      </x:c>
      <x:c r="E1074" s="11" t="n">
        <x:v>-10.153</x:v>
      </x:c>
      <x:c r="F1074" s="11" t="n">
        <x:f>SQRT((C1074-C1073)^2+(D1074-D1073)^2+(E1074-E1073)^2)</x:f>
        <x:v>0.7400000000000002</x:v>
      </x:c>
      <x:c r="G1074" s="8" t="str">
        <x:v>Current</x:v>
      </x:c>
    </x:row>
    <x:row r="1075" ht="32" customHeight="1">
      <x:c r="A1075" s="8" t="str">
        <x:v>drop:DB2:L6:light:-1:L166</x:v>
      </x:c>
      <x:c r="B1075" s="8" t="n">
        <x:v>6</x:v>
      </x:c>
      <x:c r="C1075" s="11" t="n">
        <x:v>0.05</x:v>
      </x:c>
      <x:c r="D1075" s="11" t="n">
        <x:v>8.4</x:v>
      </x:c>
      <x:c r="E1075" s="11" t="n">
        <x:v>-10.153</x:v>
      </x:c>
      <x:c r="F1075" s="11" t="n">
        <x:f>SQRT((C1075-C1074)^2+(D1075-D1074)^2+(E1075-E1074)^2)</x:f>
        <x:v>0.009999999999999787</x:v>
      </x:c>
      <x:c r="G1075" s="8" t="str">
        <x:v>Current</x:v>
      </x:c>
    </x:row>
    <x:row r="1076" ht="32" customHeight="1">
      <x:c r="A1076" s="8" t="str">
        <x:v>drop:DB2:L6:light:-1:L166</x:v>
      </x:c>
      <x:c r="B1076" s="8" t="n">
        <x:v>7</x:v>
      </x:c>
      <x:c r="C1076" s="11" t="n">
        <x:v>3.0500000000000003</x:v>
      </x:c>
      <x:c r="D1076" s="11" t="n">
        <x:v>8.4</x:v>
      </x:c>
      <x:c r="E1076" s="11" t="n">
        <x:v>-10.153</x:v>
      </x:c>
      <x:c r="F1076" s="11" t="n">
        <x:f>SQRT((C1076-C1075)^2+(D1076-D1075)^2+(E1076-E1075)^2)</x:f>
        <x:v>3.0000000000000004</x:v>
      </x:c>
      <x:c r="G1076" s="8" t="str">
        <x:v>Current</x:v>
      </x:c>
    </x:row>
    <x:row r="1077" ht="32" customHeight="1">
      <x:c r="A1077" s="8" t="str">
        <x:v>drop:DB2:L6:light:-1:L166</x:v>
      </x:c>
      <x:c r="B1077" s="8" t="n">
        <x:v>8</x:v>
      </x:c>
      <x:c r="C1077" s="11" t="n">
        <x:v>3.0500000000000003</x:v>
      </x:c>
      <x:c r="D1077" s="11" t="n">
        <x:v>8.4</x:v>
      </x:c>
      <x:c r="E1077" s="11" t="n">
        <x:v>-12.738</x:v>
      </x:c>
      <x:c r="F1077" s="11" t="n">
        <x:f>SQRT((C1077-C1076)^2+(D1077-D1076)^2+(E1077-E1076)^2)</x:f>
        <x:v>2.584999999999999</x:v>
      </x:c>
      <x:c r="G1077" s="8" t="str">
        <x:v>Current</x:v>
      </x:c>
    </x:row>
    <x:row r="1078" ht="32" customHeight="1">
      <x:c r="A1078" s="8" t="str">
        <x:v>drop:DB2:L6:light:-1:L167</x:v>
      </x:c>
      <x:c r="B1078" s="8" t="n">
        <x:v>1</x:v>
      </x:c>
      <x:c r="C1078" s="11" t="n">
        <x:v>2.45</x:v>
      </x:c>
      <x:c r="D1078" s="11" t="n">
        <x:v>6.462</x:v>
      </x:c>
      <x:c r="E1078" s="11" t="n">
        <x:v>-7.36</x:v>
      </x:c>
      <x:c r="F1078" s="11" t="n">
        <x:f>0</x:f>
        <x:v>0</x:v>
      </x:c>
      <x:c r="G1078" s="8" t="str">
        <x:v>Current</x:v>
      </x:c>
    </x:row>
    <x:row r="1079" ht="32" customHeight="1">
      <x:c r="A1079" s="8" t="str">
        <x:v>drop:DB2:L6:light:-1:L167</x:v>
      </x:c>
      <x:c r="B1079" s="8" t="n">
        <x:v>2</x:v>
      </x:c>
      <x:c r="C1079" s="11" t="n">
        <x:v>2.35</x:v>
      </x:c>
      <x:c r="D1079" s="11" t="n">
        <x:v>7.65</x:v>
      </x:c>
      <x:c r="E1079" s="11" t="n">
        <x:v>-7.36</x:v>
      </x:c>
      <x:c r="F1079" s="11" t="n">
        <x:f>SQRT((C1079-C1078)^2+(D1079-D1078)^2+(E1079-E1078)^2)</x:f>
        <x:v>1.1922013252802572</x:v>
      </x:c>
      <x:c r="G1079" s="8" t="str">
        <x:v>Current</x:v>
      </x:c>
    </x:row>
    <x:row r="1080" ht="32" customHeight="1">
      <x:c r="A1080" s="8" t="str">
        <x:v>drop:DB2:L6:light:-1:L167</x:v>
      </x:c>
      <x:c r="B1080" s="8" t="n">
        <x:v>3</x:v>
      </x:c>
      <x:c r="C1080" s="11" t="n">
        <x:v>2.35</x:v>
      </x:c>
      <x:c r="D1080" s="11" t="n">
        <x:v>7.65</x:v>
      </x:c>
      <x:c r="E1080" s="11" t="n">
        <x:v>-10.153</x:v>
      </x:c>
      <x:c r="F1080" s="11" t="n">
        <x:f>SQRT((C1080-C1079)^2+(D1080-D1079)^2+(E1080-E1079)^2)</x:f>
        <x:v>2.793</x:v>
      </x:c>
      <x:c r="G1080" s="8" t="str">
        <x:v>Current</x:v>
      </x:c>
    </x:row>
    <x:row r="1081" ht="32" customHeight="1">
      <x:c r="A1081" s="8" t="str">
        <x:v>drop:DB2:L6:light:-1:L167</x:v>
      </x:c>
      <x:c r="B1081" s="8" t="n">
        <x:v>4</x:v>
      </x:c>
      <x:c r="C1081" s="11" t="n">
        <x:v>0.05</x:v>
      </x:c>
      <x:c r="D1081" s="11" t="n">
        <x:v>7.65</x:v>
      </x:c>
      <x:c r="E1081" s="11" t="n">
        <x:v>-10.153</x:v>
      </x:c>
      <x:c r="F1081" s="11" t="n">
        <x:f>SQRT((C1081-C1080)^2+(D1081-D1080)^2+(E1081-E1080)^2)</x:f>
        <x:v>2.3000000000000003</x:v>
      </x:c>
      <x:c r="G1081" s="8" t="str">
        <x:v>Current</x:v>
      </x:c>
    </x:row>
    <x:row r="1082" ht="32" customHeight="1">
      <x:c r="A1082" s="8" t="str">
        <x:v>drop:DB2:L6:light:-1:L167</x:v>
      </x:c>
      <x:c r="B1082" s="8" t="n">
        <x:v>5</x:v>
      </x:c>
      <x:c r="C1082" s="11" t="n">
        <x:v>0.05</x:v>
      </x:c>
      <x:c r="D1082" s="11" t="n">
        <x:v>8.39</x:v>
      </x:c>
      <x:c r="E1082" s="11" t="n">
        <x:v>-10.153</x:v>
      </x:c>
      <x:c r="F1082" s="11" t="n">
        <x:f>SQRT((C1082-C1081)^2+(D1082-D1081)^2+(E1082-E1081)^2)</x:f>
        <x:v>0.7400000000000002</x:v>
      </x:c>
      <x:c r="G1082" s="8" t="str">
        <x:v>Current</x:v>
      </x:c>
    </x:row>
    <x:row r="1083" ht="32" customHeight="1">
      <x:c r="A1083" s="8" t="str">
        <x:v>drop:DB2:L6:light:-1:L167</x:v>
      </x:c>
      <x:c r="B1083" s="8" t="n">
        <x:v>6</x:v>
      </x:c>
      <x:c r="C1083" s="11" t="n">
        <x:v>0.05</x:v>
      </x:c>
      <x:c r="D1083" s="11" t="n">
        <x:v>8.4</x:v>
      </x:c>
      <x:c r="E1083" s="11" t="n">
        <x:v>-10.153</x:v>
      </x:c>
      <x:c r="F1083" s="11" t="n">
        <x:f>SQRT((C1083-C1082)^2+(D1083-D1082)^2+(E1083-E1082)^2)</x:f>
        <x:v>0.009999999999999787</x:v>
      </x:c>
      <x:c r="G1083" s="8" t="str">
        <x:v>Current</x:v>
      </x:c>
    </x:row>
    <x:row r="1084" ht="32" customHeight="1">
      <x:c r="A1084" s="8" t="str">
        <x:v>drop:DB2:L6:light:-1:L167</x:v>
      </x:c>
      <x:c r="B1084" s="8" t="n">
        <x:v>7</x:v>
      </x:c>
      <x:c r="C1084" s="11" t="n">
        <x:v>2.45</x:v>
      </x:c>
      <x:c r="D1084" s="11" t="n">
        <x:v>8.4</x:v>
      </x:c>
      <x:c r="E1084" s="11" t="n">
        <x:v>-10.153</x:v>
      </x:c>
      <x:c r="F1084" s="11" t="n">
        <x:f>SQRT((C1084-C1083)^2+(D1084-D1083)^2+(E1084-E1083)^2)</x:f>
        <x:v>2.4000000000000004</x:v>
      </x:c>
      <x:c r="G1084" s="8" t="str">
        <x:v>Current</x:v>
      </x:c>
    </x:row>
    <x:row r="1085" ht="32" customHeight="1">
      <x:c r="A1085" s="8" t="str">
        <x:v>drop:DB2:L6:light:-1:L167</x:v>
      </x:c>
      <x:c r="B1085" s="8" t="n">
        <x:v>8</x:v>
      </x:c>
      <x:c r="C1085" s="11" t="n">
        <x:v>2.45</x:v>
      </x:c>
      <x:c r="D1085" s="11" t="n">
        <x:v>8.4</x:v>
      </x:c>
      <x:c r="E1085" s="11" t="n">
        <x:v>-12.738</x:v>
      </x:c>
      <x:c r="F1085" s="11" t="n">
        <x:f>SQRT((C1085-C1084)^2+(D1085-D1084)^2+(E1085-E1084)^2)</x:f>
        <x:v>2.584999999999999</x:v>
      </x:c>
      <x:c r="G1085" s="8" t="str">
        <x:v>Current</x:v>
      </x:c>
    </x:row>
    <x:row r="1086" ht="32" customHeight="1">
      <x:c r="A1086" s="8" t="str">
        <x:v>drop:DB2:L6:light:-1:L168</x:v>
      </x:c>
      <x:c r="B1086" s="8" t="n">
        <x:v>1</x:v>
      </x:c>
      <x:c r="C1086" s="11" t="n">
        <x:v>2.45</x:v>
      </x:c>
      <x:c r="D1086" s="11" t="n">
        <x:v>6.462</x:v>
      </x:c>
      <x:c r="E1086" s="11" t="n">
        <x:v>-7.36</x:v>
      </x:c>
      <x:c r="F1086" s="11" t="n">
        <x:f>0</x:f>
        <x:v>0</x:v>
      </x:c>
      <x:c r="G1086" s="8" t="str">
        <x:v>Current</x:v>
      </x:c>
    </x:row>
    <x:row r="1087" ht="32" customHeight="1">
      <x:c r="A1087" s="8" t="str">
        <x:v>drop:DB2:L6:light:-1:L168</x:v>
      </x:c>
      <x:c r="B1087" s="8" t="n">
        <x:v>2</x:v>
      </x:c>
      <x:c r="C1087" s="11" t="n">
        <x:v>2.35</x:v>
      </x:c>
      <x:c r="D1087" s="11" t="n">
        <x:v>7.65</x:v>
      </x:c>
      <x:c r="E1087" s="11" t="n">
        <x:v>-7.36</x:v>
      </x:c>
      <x:c r="F1087" s="11" t="n">
        <x:f>SQRT((C1087-C1086)^2+(D1087-D1086)^2+(E1087-E1086)^2)</x:f>
        <x:v>1.1922013252802572</x:v>
      </x:c>
      <x:c r="G1087" s="8" t="str">
        <x:v>Current</x:v>
      </x:c>
    </x:row>
    <x:row r="1088" ht="32" customHeight="1">
      <x:c r="A1088" s="8" t="str">
        <x:v>drop:DB2:L6:light:-1:L168</x:v>
      </x:c>
      <x:c r="B1088" s="8" t="n">
        <x:v>3</x:v>
      </x:c>
      <x:c r="C1088" s="11" t="n">
        <x:v>2.35</x:v>
      </x:c>
      <x:c r="D1088" s="11" t="n">
        <x:v>7.65</x:v>
      </x:c>
      <x:c r="E1088" s="11" t="n">
        <x:v>-10.153</x:v>
      </x:c>
      <x:c r="F1088" s="11" t="n">
        <x:f>SQRT((C1088-C1087)^2+(D1088-D1087)^2+(E1088-E1087)^2)</x:f>
        <x:v>2.793</x:v>
      </x:c>
      <x:c r="G1088" s="8" t="str">
        <x:v>Current</x:v>
      </x:c>
    </x:row>
    <x:row r="1089" ht="32" customHeight="1">
      <x:c r="A1089" s="8" t="str">
        <x:v>drop:DB2:L6:light:-1:L168</x:v>
      </x:c>
      <x:c r="B1089" s="8" t="n">
        <x:v>4</x:v>
      </x:c>
      <x:c r="C1089" s="11" t="n">
        <x:v>0.05</x:v>
      </x:c>
      <x:c r="D1089" s="11" t="n">
        <x:v>7.65</x:v>
      </x:c>
      <x:c r="E1089" s="11" t="n">
        <x:v>-10.153</x:v>
      </x:c>
      <x:c r="F1089" s="11" t="n">
        <x:f>SQRT((C1089-C1088)^2+(D1089-D1088)^2+(E1089-E1088)^2)</x:f>
        <x:v>2.3000000000000003</x:v>
      </x:c>
      <x:c r="G1089" s="8" t="str">
        <x:v>Current</x:v>
      </x:c>
    </x:row>
    <x:row r="1090" ht="32" customHeight="1">
      <x:c r="A1090" s="8" t="str">
        <x:v>drop:DB2:L6:light:-1:L168</x:v>
      </x:c>
      <x:c r="B1090" s="8" t="n">
        <x:v>5</x:v>
      </x:c>
      <x:c r="C1090" s="11" t="n">
        <x:v>0.05</x:v>
      </x:c>
      <x:c r="D1090" s="11" t="n">
        <x:v>8.39</x:v>
      </x:c>
      <x:c r="E1090" s="11" t="n">
        <x:v>-10.153</x:v>
      </x:c>
      <x:c r="F1090" s="11" t="n">
        <x:f>SQRT((C1090-C1089)^2+(D1090-D1089)^2+(E1090-E1089)^2)</x:f>
        <x:v>0.7400000000000002</x:v>
      </x:c>
      <x:c r="G1090" s="8" t="str">
        <x:v>Current</x:v>
      </x:c>
    </x:row>
    <x:row r="1091" ht="32" customHeight="1">
      <x:c r="A1091" s="8" t="str">
        <x:v>drop:DB2:L6:light:-1:L168</x:v>
      </x:c>
      <x:c r="B1091" s="8" t="n">
        <x:v>6</x:v>
      </x:c>
      <x:c r="C1091" s="11" t="n">
        <x:v>0.05</x:v>
      </x:c>
      <x:c r="D1091" s="11" t="n">
        <x:v>15.84</x:v>
      </x:c>
      <x:c r="E1091" s="11" t="n">
        <x:v>-10.153</x:v>
      </x:c>
      <x:c r="F1091" s="11" t="n">
        <x:f>SQRT((C1091-C1090)^2+(D1091-D1090)^2+(E1091-E1090)^2)</x:f>
        <x:v>7.449999999999999</x:v>
      </x:c>
      <x:c r="G1091" s="8" t="str">
        <x:v>Current</x:v>
      </x:c>
    </x:row>
    <x:row r="1092" ht="32" customHeight="1">
      <x:c r="A1092" s="8" t="str">
        <x:v>drop:DB2:L6:light:-1:L168</x:v>
      </x:c>
      <x:c r="B1092" s="8" t="n">
        <x:v>7</x:v>
      </x:c>
      <x:c r="C1092" s="11" t="n">
        <x:v>0.09</x:v>
      </x:c>
      <x:c r="D1092" s="11" t="n">
        <x:v>15.84</x:v>
      </x:c>
      <x:c r="E1092" s="11" t="n">
        <x:v>-10.153</x:v>
      </x:c>
      <x:c r="F1092" s="11" t="n">
        <x:f>SQRT((C1092-C1091)^2+(D1092-D1091)^2+(E1092-E1091)^2)</x:f>
        <x:v>0.039999999999999994</x:v>
      </x:c>
      <x:c r="G1092" s="8" t="str">
        <x:v>Current</x:v>
      </x:c>
    </x:row>
    <x:row r="1093" ht="32" customHeight="1">
      <x:c r="A1093" s="8" t="str">
        <x:v>drop:DB2:L6:light:-1:L168</x:v>
      </x:c>
      <x:c r="B1093" s="8" t="n">
        <x:v>8</x:v>
      </x:c>
      <x:c r="C1093" s="11" t="n">
        <x:v>0.09</x:v>
      </x:c>
      <x:c r="D1093" s="11" t="n">
        <x:v>15.88</x:v>
      </x:c>
      <x:c r="E1093" s="11" t="n">
        <x:v>-10.153</x:v>
      </x:c>
      <x:c r="F1093" s="11" t="n">
        <x:f>SQRT((C1093-C1092)^2+(D1093-D1092)^2+(E1093-E1092)^2)</x:f>
        <x:v>0.040000000000000924</x:v>
      </x:c>
      <x:c r="G1093" s="8" t="str">
        <x:v>Current</x:v>
      </x:c>
    </x:row>
    <x:row r="1094" ht="32" customHeight="1">
      <x:c r="A1094" s="8" t="str">
        <x:v>drop:DB2:L6:light:-1:L168</x:v>
      </x:c>
      <x:c r="B1094" s="8" t="n">
        <x:v>9</x:v>
      </x:c>
      <x:c r="C1094" s="11" t="n">
        <x:v>2.45</x:v>
      </x:c>
      <x:c r="D1094" s="11" t="n">
        <x:v>15.88</x:v>
      </x:c>
      <x:c r="E1094" s="11" t="n">
        <x:v>-10.153</x:v>
      </x:c>
      <x:c r="F1094" s="11" t="n">
        <x:f>SQRT((C1094-C1093)^2+(D1094-D1093)^2+(E1094-E1093)^2)</x:f>
        <x:v>2.3600000000000003</x:v>
      </x:c>
      <x:c r="G1094" s="8" t="str">
        <x:v>Current</x:v>
      </x:c>
    </x:row>
    <x:row r="1095" ht="32" customHeight="1">
      <x:c r="A1095" s="8" t="str">
        <x:v>drop:DB2:L6:light:-1:L168</x:v>
      </x:c>
      <x:c r="B1095" s="8" t="n">
        <x:v>10</x:v>
      </x:c>
      <x:c r="C1095" s="11" t="n">
        <x:v>2.45</x:v>
      </x:c>
      <x:c r="D1095" s="11" t="n">
        <x:v>15.88</x:v>
      </x:c>
      <x:c r="E1095" s="11" t="n">
        <x:v>-12.613</x:v>
      </x:c>
      <x:c r="F1095" s="11" t="n">
        <x:f>SQRT((C1095-C1094)^2+(D1095-D1094)^2+(E1095-E1094)^2)</x:f>
        <x:v>2.459999999999999</x:v>
      </x:c>
      <x:c r="G1095" s="8" t="str">
        <x:v>Current</x:v>
      </x:c>
    </x:row>
    <x:row r="1096" ht="32" customHeight="1">
      <x:c r="A1096" s="8" t="str">
        <x:v>drop:DB2:L6:light:-1:L169</x:v>
      </x:c>
      <x:c r="B1096" s="8" t="n">
        <x:v>1</x:v>
      </x:c>
      <x:c r="C1096" s="11" t="n">
        <x:v>2.45</x:v>
      </x:c>
      <x:c r="D1096" s="11" t="n">
        <x:v>6.462</x:v>
      </x:c>
      <x:c r="E1096" s="11" t="n">
        <x:v>-7.36</x:v>
      </x:c>
      <x:c r="F1096" s="11" t="n">
        <x:f>0</x:f>
        <x:v>0</x:v>
      </x:c>
      <x:c r="G1096" s="8" t="str">
        <x:v>Current</x:v>
      </x:c>
    </x:row>
    <x:row r="1097" ht="32" customHeight="1">
      <x:c r="A1097" s="8" t="str">
        <x:v>drop:DB2:L6:light:-1:L169</x:v>
      </x:c>
      <x:c r="B1097" s="8" t="n">
        <x:v>2</x:v>
      </x:c>
      <x:c r="C1097" s="11" t="n">
        <x:v>2.35</x:v>
      </x:c>
      <x:c r="D1097" s="11" t="n">
        <x:v>7.65</x:v>
      </x:c>
      <x:c r="E1097" s="11" t="n">
        <x:v>-7.36</x:v>
      </x:c>
      <x:c r="F1097" s="11" t="n">
        <x:f>SQRT((C1097-C1096)^2+(D1097-D1096)^2+(E1097-E1096)^2)</x:f>
        <x:v>1.1922013252802572</x:v>
      </x:c>
      <x:c r="G1097" s="8" t="str">
        <x:v>Current</x:v>
      </x:c>
    </x:row>
    <x:row r="1098" ht="32" customHeight="1">
      <x:c r="A1098" s="8" t="str">
        <x:v>drop:DB2:L6:light:-1:L169</x:v>
      </x:c>
      <x:c r="B1098" s="8" t="n">
        <x:v>3</x:v>
      </x:c>
      <x:c r="C1098" s="11" t="n">
        <x:v>2.35</x:v>
      </x:c>
      <x:c r="D1098" s="11" t="n">
        <x:v>7.65</x:v>
      </x:c>
      <x:c r="E1098" s="11" t="n">
        <x:v>-10.153</x:v>
      </x:c>
      <x:c r="F1098" s="11" t="n">
        <x:f>SQRT((C1098-C1097)^2+(D1098-D1097)^2+(E1098-E1097)^2)</x:f>
        <x:v>2.793</x:v>
      </x:c>
      <x:c r="G1098" s="8" t="str">
        <x:v>Current</x:v>
      </x:c>
    </x:row>
    <x:row r="1099" ht="32" customHeight="1">
      <x:c r="A1099" s="8" t="str">
        <x:v>drop:DB2:L6:light:-1:L169</x:v>
      </x:c>
      <x:c r="B1099" s="8" t="n">
        <x:v>4</x:v>
      </x:c>
      <x:c r="C1099" s="11" t="n">
        <x:v>0.05</x:v>
      </x:c>
      <x:c r="D1099" s="11" t="n">
        <x:v>7.65</x:v>
      </x:c>
      <x:c r="E1099" s="11" t="n">
        <x:v>-10.153</x:v>
      </x:c>
      <x:c r="F1099" s="11" t="n">
        <x:f>SQRT((C1099-C1098)^2+(D1099-D1098)^2+(E1099-E1098)^2)</x:f>
        <x:v>2.3000000000000003</x:v>
      </x:c>
      <x:c r="G1099" s="8" t="str">
        <x:v>Current</x:v>
      </x:c>
    </x:row>
    <x:row r="1100" ht="32" customHeight="1">
      <x:c r="A1100" s="8" t="str">
        <x:v>drop:DB2:L6:light:-1:L169</x:v>
      </x:c>
      <x:c r="B1100" s="8" t="n">
        <x:v>5</x:v>
      </x:c>
      <x:c r="C1100" s="11" t="n">
        <x:v>0.05</x:v>
      </x:c>
      <x:c r="D1100" s="11" t="n">
        <x:v>8.39</x:v>
      </x:c>
      <x:c r="E1100" s="11" t="n">
        <x:v>-10.153</x:v>
      </x:c>
      <x:c r="F1100" s="11" t="n">
        <x:f>SQRT((C1100-C1099)^2+(D1100-D1099)^2+(E1100-E1099)^2)</x:f>
        <x:v>0.7400000000000002</x:v>
      </x:c>
      <x:c r="G1100" s="8" t="str">
        <x:v>Current</x:v>
      </x:c>
    </x:row>
    <x:row r="1101" ht="32" customHeight="1">
      <x:c r="A1101" s="8" t="str">
        <x:v>drop:DB2:L6:light:-1:L169</x:v>
      </x:c>
      <x:c r="B1101" s="8" t="n">
        <x:v>6</x:v>
      </x:c>
      <x:c r="C1101" s="11" t="n">
        <x:v>0.05</x:v>
      </x:c>
      <x:c r="D1101" s="11" t="n">
        <x:v>15.84</x:v>
      </x:c>
      <x:c r="E1101" s="11" t="n">
        <x:v>-10.153</x:v>
      </x:c>
      <x:c r="F1101" s="11" t="n">
        <x:f>SQRT((C1101-C1100)^2+(D1101-D1100)^2+(E1101-E1100)^2)</x:f>
        <x:v>7.449999999999999</x:v>
      </x:c>
      <x:c r="G1101" s="8" t="str">
        <x:v>Current</x:v>
      </x:c>
    </x:row>
    <x:row r="1102" ht="32" customHeight="1">
      <x:c r="A1102" s="8" t="str">
        <x:v>drop:DB2:L6:light:-1:L169</x:v>
      </x:c>
      <x:c r="B1102" s="8" t="n">
        <x:v>7</x:v>
      </x:c>
      <x:c r="C1102" s="11" t="n">
        <x:v>0.09</x:v>
      </x:c>
      <x:c r="D1102" s="11" t="n">
        <x:v>15.84</x:v>
      </x:c>
      <x:c r="E1102" s="11" t="n">
        <x:v>-10.153</x:v>
      </x:c>
      <x:c r="F1102" s="11" t="n">
        <x:f>SQRT((C1102-C1101)^2+(D1102-D1101)^2+(E1102-E1101)^2)</x:f>
        <x:v>0.039999999999999994</x:v>
      </x:c>
      <x:c r="G1102" s="8" t="str">
        <x:v>Current</x:v>
      </x:c>
    </x:row>
    <x:row r="1103" ht="32" customHeight="1">
      <x:c r="A1103" s="8" t="str">
        <x:v>drop:DB2:L6:light:-1:L169</x:v>
      </x:c>
      <x:c r="B1103" s="8" t="n">
        <x:v>8</x:v>
      </x:c>
      <x:c r="C1103" s="11" t="n">
        <x:v>0.09</x:v>
      </x:c>
      <x:c r="D1103" s="11" t="n">
        <x:v>23.14</x:v>
      </x:c>
      <x:c r="E1103" s="11" t="n">
        <x:v>-10.153</x:v>
      </x:c>
      <x:c r="F1103" s="11" t="n">
        <x:f>SQRT((C1103-C1102)^2+(D1103-D1102)^2+(E1103-E1102)^2)</x:f>
        <x:v>7.300000000000001</x:v>
      </x:c>
      <x:c r="G1103" s="8" t="str">
        <x:v>Current</x:v>
      </x:c>
    </x:row>
    <x:row r="1104" ht="32" customHeight="1">
      <x:c r="A1104" s="8" t="str">
        <x:v>drop:DB2:L6:light:-1:L169</x:v>
      </x:c>
      <x:c r="B1104" s="8" t="n">
        <x:v>9</x:v>
      </x:c>
      <x:c r="C1104" s="11" t="n">
        <x:v>0.19</x:v>
      </x:c>
      <x:c r="D1104" s="11" t="n">
        <x:v>23.14</x:v>
      </x:c>
      <x:c r="E1104" s="11" t="n">
        <x:v>-10.153</x:v>
      </x:c>
      <x:c r="F1104" s="11" t="n">
        <x:f>SQRT((C1104-C1103)^2+(D1104-D1103)^2+(E1104-E1103)^2)</x:f>
        <x:v>0.1</x:v>
      </x:c>
      <x:c r="G1104" s="8" t="str">
        <x:v>Current</x:v>
      </x:c>
    </x:row>
    <x:row r="1105" ht="32" customHeight="1">
      <x:c r="A1105" s="8" t="str">
        <x:v>drop:DB2:L6:light:-1:L169</x:v>
      </x:c>
      <x:c r="B1105" s="8" t="n">
        <x:v>10</x:v>
      </x:c>
      <x:c r="C1105" s="11" t="n">
        <x:v>0.19</x:v>
      </x:c>
      <x:c r="D1105" s="11" t="n">
        <x:v>23.2</x:v>
      </x:c>
      <x:c r="E1105" s="11" t="n">
        <x:v>-10.153</x:v>
      </x:c>
      <x:c r="F1105" s="11" t="n">
        <x:f>SQRT((C1105-C1104)^2+(D1105-D1104)^2+(E1105-E1104)^2)</x:f>
        <x:v>0.05999999999999872</x:v>
      </x:c>
      <x:c r="G1105" s="8" t="str">
        <x:v>Current</x:v>
      </x:c>
    </x:row>
    <x:row r="1106" ht="32" customHeight="1">
      <x:c r="A1106" s="8" t="str">
        <x:v>drop:DB2:L6:light:-1:L169</x:v>
      </x:c>
      <x:c r="B1106" s="8" t="n">
        <x:v>11</x:v>
      </x:c>
      <x:c r="C1106" s="11" t="n">
        <x:v>2.45</x:v>
      </x:c>
      <x:c r="D1106" s="11" t="n">
        <x:v>23.2</x:v>
      </x:c>
      <x:c r="E1106" s="11" t="n">
        <x:v>-10.153</x:v>
      </x:c>
      <x:c r="F1106" s="11" t="n">
        <x:f>SQRT((C1106-C1105)^2+(D1106-D1105)^2+(E1106-E1105)^2)</x:f>
        <x:v>2.2600000000000002</x:v>
      </x:c>
      <x:c r="G1106" s="8" t="str">
        <x:v>Current</x:v>
      </x:c>
    </x:row>
    <x:row r="1107" ht="32" customHeight="1">
      <x:c r="A1107" s="8" t="str">
        <x:v>drop:DB2:L6:light:-1:L169</x:v>
      </x:c>
      <x:c r="B1107" s="8" t="n">
        <x:v>12</x:v>
      </x:c>
      <x:c r="C1107" s="11" t="n">
        <x:v>2.45</x:v>
      </x:c>
      <x:c r="D1107" s="11" t="n">
        <x:v>23.2</x:v>
      </x:c>
      <x:c r="E1107" s="11" t="n">
        <x:v>-12.513</x:v>
      </x:c>
      <x:c r="F1107" s="11" t="n">
        <x:f>SQRT((C1107-C1106)^2+(D1107-D1106)^2+(E1107-E1106)^2)</x:f>
        <x:v>2.3599999999999994</x:v>
      </x:c>
      <x:c r="G1107" s="8" t="str">
        <x:v>Current</x:v>
      </x:c>
    </x:row>
    <x:row r="1108" ht="32" customHeight="1">
      <x:c r="A1108" s="8" t="str">
        <x:v>drop:DB2:L6:light:-1:L170</x:v>
      </x:c>
      <x:c r="B1108" s="8" t="n">
        <x:v>1</x:v>
      </x:c>
      <x:c r="C1108" s="11" t="n">
        <x:v>2.35</x:v>
      </x:c>
      <x:c r="D1108" s="11" t="n">
        <x:v>6.462</x:v>
      </x:c>
      <x:c r="E1108" s="11" t="n">
        <x:v>-7.36</x:v>
      </x:c>
      <x:c r="F1108" s="11" t="n">
        <x:f>0</x:f>
        <x:v>0</x:v>
      </x:c>
      <x:c r="G1108" s="8" t="str">
        <x:v>Current</x:v>
      </x:c>
    </x:row>
    <x:row r="1109" ht="32" customHeight="1">
      <x:c r="A1109" s="8" t="str">
        <x:v>drop:DB2:L6:light:-1:L170</x:v>
      </x:c>
      <x:c r="B1109" s="8" t="n">
        <x:v>2</x:v>
      </x:c>
      <x:c r="C1109" s="11" t="n">
        <x:v>2.35</x:v>
      </x:c>
      <x:c r="D1109" s="11" t="n">
        <x:v>7.65</x:v>
      </x:c>
      <x:c r="E1109" s="11" t="n">
        <x:v>-7.36</x:v>
      </x:c>
      <x:c r="F1109" s="11" t="n">
        <x:f>SQRT((C1109-C1108)^2+(D1109-D1108)^2+(E1109-E1108)^2)</x:f>
        <x:v>1.1880000000000006</x:v>
      </x:c>
      <x:c r="G1109" s="8" t="str">
        <x:v>Current</x:v>
      </x:c>
    </x:row>
    <x:row r="1110" ht="32" customHeight="1">
      <x:c r="A1110" s="8" t="str">
        <x:v>drop:DB2:L6:light:-1:L170</x:v>
      </x:c>
      <x:c r="B1110" s="8" t="n">
        <x:v>3</x:v>
      </x:c>
      <x:c r="C1110" s="11" t="n">
        <x:v>2.35</x:v>
      </x:c>
      <x:c r="D1110" s="11" t="n">
        <x:v>7.65</x:v>
      </x:c>
      <x:c r="E1110" s="11" t="n">
        <x:v>-10.153</x:v>
      </x:c>
      <x:c r="F1110" s="11" t="n">
        <x:f>SQRT((C1110-C1109)^2+(D1110-D1109)^2+(E1110-E1109)^2)</x:f>
        <x:v>2.793</x:v>
      </x:c>
      <x:c r="G1110" s="8" t="str">
        <x:v>Current</x:v>
      </x:c>
    </x:row>
    <x:row r="1111" ht="32" customHeight="1">
      <x:c r="A1111" s="8" t="str">
        <x:v>drop:DB2:L6:light:-1:L170</x:v>
      </x:c>
      <x:c r="B1111" s="8" t="n">
        <x:v>4</x:v>
      </x:c>
      <x:c r="C1111" s="11" t="n">
        <x:v>0.05</x:v>
      </x:c>
      <x:c r="D1111" s="11" t="n">
        <x:v>7.65</x:v>
      </x:c>
      <x:c r="E1111" s="11" t="n">
        <x:v>-10.153</x:v>
      </x:c>
      <x:c r="F1111" s="11" t="n">
        <x:f>SQRT((C1111-C1110)^2+(D1111-D1110)^2+(E1111-E1110)^2)</x:f>
        <x:v>2.3000000000000003</x:v>
      </x:c>
      <x:c r="G1111" s="8" t="str">
        <x:v>Current</x:v>
      </x:c>
    </x:row>
    <x:row r="1112" ht="32" customHeight="1">
      <x:c r="A1112" s="8" t="str">
        <x:v>drop:DB2:L6:light:-1:L170</x:v>
      </x:c>
      <x:c r="B1112" s="8" t="n">
        <x:v>5</x:v>
      </x:c>
      <x:c r="C1112" s="11" t="n">
        <x:v>0.05</x:v>
      </x:c>
      <x:c r="D1112" s="11" t="n">
        <x:v>8.39</x:v>
      </x:c>
      <x:c r="E1112" s="11" t="n">
        <x:v>-10.153</x:v>
      </x:c>
      <x:c r="F1112" s="11" t="n">
        <x:f>SQRT((C1112-C1111)^2+(D1112-D1111)^2+(E1112-E1111)^2)</x:f>
        <x:v>0.7400000000000002</x:v>
      </x:c>
      <x:c r="G1112" s="8" t="str">
        <x:v>Current</x:v>
      </x:c>
    </x:row>
    <x:row r="1113" ht="32" customHeight="1">
      <x:c r="A1113" s="8" t="str">
        <x:v>drop:DB2:L6:light:-1:L170</x:v>
      </x:c>
      <x:c r="B1113" s="8" t="n">
        <x:v>6</x:v>
      </x:c>
      <x:c r="C1113" s="11" t="n">
        <x:v>0.05</x:v>
      </x:c>
      <x:c r="D1113" s="11" t="n">
        <x:v>8.4</x:v>
      </x:c>
      <x:c r="E1113" s="11" t="n">
        <x:v>-10.153</x:v>
      </x:c>
      <x:c r="F1113" s="11" t="n">
        <x:f>SQRT((C1113-C1112)^2+(D1113-D1112)^2+(E1113-E1112)^2)</x:f>
        <x:v>0.009999999999999787</x:v>
      </x:c>
      <x:c r="G1113" s="8" t="str">
        <x:v>Current</x:v>
      </x:c>
    </x:row>
    <x:row r="1114" ht="32" customHeight="1">
      <x:c r="A1114" s="8" t="str">
        <x:v>drop:DB2:L6:light:-1:L170</x:v>
      </x:c>
      <x:c r="B1114" s="8" t="n">
        <x:v>7</x:v>
      </x:c>
      <x:c r="C1114" s="11" t="n">
        <x:v>-0.0750000000000001</x:v>
      </x:c>
      <x:c r="D1114" s="11" t="n">
        <x:v>8.4</x:v>
      </x:c>
      <x:c r="E1114" s="11" t="n">
        <x:v>-10.153</x:v>
      </x:c>
      <x:c r="F1114" s="11" t="n">
        <x:f>SQRT((C1114-C1113)^2+(D1114-D1113)^2+(E1114-E1113)^2)</x:f>
        <x:v>0.1250000000000001</x:v>
      </x:c>
      <x:c r="G1114" s="8" t="str">
        <x:v>Current</x:v>
      </x:c>
    </x:row>
    <x:row r="1115" ht="32" customHeight="1">
      <x:c r="A1115" s="8" t="str">
        <x:v>drop:DB2:L6:light:-1:L170</x:v>
      </x:c>
      <x:c r="B1115" s="8" t="n">
        <x:v>8</x:v>
      </x:c>
      <x:c r="C1115" s="11" t="n">
        <x:v>-0.0750000000000001</x:v>
      </x:c>
      <x:c r="D1115" s="11" t="n">
        <x:v>8.4</x:v>
      </x:c>
      <x:c r="E1115" s="11" t="n">
        <x:v>-7.9</x:v>
      </x:c>
      <x:c r="F1115" s="11" t="n">
        <x:f>SQRT((C1115-C1114)^2+(D1115-D1114)^2+(E1115-E1114)^2)</x:f>
        <x:v>2.253</x:v>
      </x:c>
      <x:c r="G1115" s="8" t="str">
        <x:v>Current</x:v>
      </x:c>
    </x:row>
    <x:row r="1116" ht="32" customHeight="1">
      <x:c r="A1116" s="8" t="str">
        <x:v>drop:DB2:L6:light:-1:L222</x:v>
      </x:c>
      <x:c r="B1116" s="8" t="n">
        <x:v>1</x:v>
      </x:c>
      <x:c r="C1116" s="11" t="n">
        <x:v>2.35</x:v>
      </x:c>
      <x:c r="D1116" s="11" t="n">
        <x:v>6.462</x:v>
      </x:c>
      <x:c r="E1116" s="11" t="n">
        <x:v>-7.36</x:v>
      </x:c>
      <x:c r="F1116" s="11" t="n">
        <x:f>0</x:f>
        <x:v>0</x:v>
      </x:c>
      <x:c r="G1116" s="8" t="str">
        <x:v>Current</x:v>
      </x:c>
    </x:row>
    <x:row r="1117" ht="32" customHeight="1">
      <x:c r="A1117" s="8" t="str">
        <x:v>drop:DB2:L6:light:-1:L222</x:v>
      </x:c>
      <x:c r="B1117" s="8" t="n">
        <x:v>2</x:v>
      </x:c>
      <x:c r="C1117" s="11" t="n">
        <x:v>2.35</x:v>
      </x:c>
      <x:c r="D1117" s="11" t="n">
        <x:v>7.65</x:v>
      </x:c>
      <x:c r="E1117" s="11" t="n">
        <x:v>-7.36</x:v>
      </x:c>
      <x:c r="F1117" s="11" t="n">
        <x:f>SQRT((C1117-C1116)^2+(D1117-D1116)^2+(E1117-E1116)^2)</x:f>
        <x:v>1.1880000000000006</x:v>
      </x:c>
      <x:c r="G1117" s="8" t="str">
        <x:v>Current</x:v>
      </x:c>
    </x:row>
    <x:row r="1118" ht="32" customHeight="1">
      <x:c r="A1118" s="8" t="str">
        <x:v>drop:DB2:L6:light:-1:L222</x:v>
      </x:c>
      <x:c r="B1118" s="8" t="n">
        <x:v>3</x:v>
      </x:c>
      <x:c r="C1118" s="11" t="n">
        <x:v>2.35</x:v>
      </x:c>
      <x:c r="D1118" s="11" t="n">
        <x:v>7.65</x:v>
      </x:c>
      <x:c r="E1118" s="11" t="n">
        <x:v>-10.153</x:v>
      </x:c>
      <x:c r="F1118" s="11" t="n">
        <x:f>SQRT((C1118-C1117)^2+(D1118-D1117)^2+(E1118-E1117)^2)</x:f>
        <x:v>2.793</x:v>
      </x:c>
      <x:c r="G1118" s="8" t="str">
        <x:v>Current</x:v>
      </x:c>
    </x:row>
    <x:row r="1119" ht="32" customHeight="1">
      <x:c r="A1119" s="8" t="str">
        <x:v>drop:DB2:L6:light:-1:L222</x:v>
      </x:c>
      <x:c r="B1119" s="8" t="n">
        <x:v>4</x:v>
      </x:c>
      <x:c r="C1119" s="11" t="n">
        <x:v>0.05</x:v>
      </x:c>
      <x:c r="D1119" s="11" t="n">
        <x:v>7.65</x:v>
      </x:c>
      <x:c r="E1119" s="11" t="n">
        <x:v>-10.153</x:v>
      </x:c>
      <x:c r="F1119" s="11" t="n">
        <x:f>SQRT((C1119-C1118)^2+(D1119-D1118)^2+(E1119-E1118)^2)</x:f>
        <x:v>2.3000000000000003</x:v>
      </x:c>
      <x:c r="G1119" s="8" t="str">
        <x:v>Current</x:v>
      </x:c>
    </x:row>
    <x:row r="1120" ht="32" customHeight="1">
      <x:c r="A1120" s="8" t="str">
        <x:v>drop:DB2:L6:light:-1:L222</x:v>
      </x:c>
      <x:c r="B1120" s="8" t="n">
        <x:v>5</x:v>
      </x:c>
      <x:c r="C1120" s="11" t="n">
        <x:v>0.05</x:v>
      </x:c>
      <x:c r="D1120" s="11" t="n">
        <x:v>8.39</x:v>
      </x:c>
      <x:c r="E1120" s="11" t="n">
        <x:v>-10.153</x:v>
      </x:c>
      <x:c r="F1120" s="11" t="n">
        <x:f>SQRT((C1120-C1119)^2+(D1120-D1119)^2+(E1120-E1119)^2)</x:f>
        <x:v>0.7400000000000002</x:v>
      </x:c>
      <x:c r="G1120" s="8" t="str">
        <x:v>Current</x:v>
      </x:c>
    </x:row>
    <x:row r="1121" ht="32" customHeight="1">
      <x:c r="A1121" s="8" t="str">
        <x:v>drop:DB2:L6:light:-1:L222</x:v>
      </x:c>
      <x:c r="B1121" s="8" t="n">
        <x:v>6</x:v>
      </x:c>
      <x:c r="C1121" s="11" t="n">
        <x:v>0.05</x:v>
      </x:c>
      <x:c r="D1121" s="11" t="n">
        <x:v>8.4</x:v>
      </x:c>
      <x:c r="E1121" s="11" t="n">
        <x:v>-10.153</x:v>
      </x:c>
      <x:c r="F1121" s="11" t="n">
        <x:f>SQRT((C1121-C1120)^2+(D1121-D1120)^2+(E1121-E1120)^2)</x:f>
        <x:v>0.009999999999999787</x:v>
      </x:c>
      <x:c r="G1121" s="8" t="str">
        <x:v>Current</x:v>
      </x:c>
    </x:row>
    <x:row r="1122" ht="32" customHeight="1">
      <x:c r="A1122" s="8" t="str">
        <x:v>drop:DB2:L6:light:-1:L222</x:v>
      </x:c>
      <x:c r="B1122" s="8" t="n">
        <x:v>7</x:v>
      </x:c>
      <x:c r="C1122" s="11" t="n">
        <x:v>-0.0750000000000001</x:v>
      </x:c>
      <x:c r="D1122" s="11" t="n">
        <x:v>8.4</x:v>
      </x:c>
      <x:c r="E1122" s="11" t="n">
        <x:v>-10.153</x:v>
      </x:c>
      <x:c r="F1122" s="11" t="n">
        <x:f>SQRT((C1122-C1121)^2+(D1122-D1121)^2+(E1122-E1121)^2)</x:f>
        <x:v>0.1250000000000001</x:v>
      </x:c>
      <x:c r="G1122" s="8" t="str">
        <x:v>Current</x:v>
      </x:c>
    </x:row>
    <x:row r="1123" ht="32" customHeight="1">
      <x:c r="A1123" s="8" t="str">
        <x:v>drop:DB2:L6:light:-1:L222</x:v>
      </x:c>
      <x:c r="B1123" s="8" t="n">
        <x:v>8</x:v>
      </x:c>
      <x:c r="C1123" s="11" t="n">
        <x:v>-0.0750000000000001</x:v>
      </x:c>
      <x:c r="D1123" s="11" t="n">
        <x:v>8.4</x:v>
      </x:c>
      <x:c r="E1123" s="11" t="n">
        <x:v>-7.75</x:v>
      </x:c>
      <x:c r="F1123" s="11" t="n">
        <x:f>SQRT((C1123-C1122)^2+(D1123-D1122)^2+(E1123-E1122)^2)</x:f>
        <x:v>2.4030000000000005</x:v>
      </x:c>
      <x:c r="G1123" s="8" t="str">
        <x:v>Current</x:v>
      </x:c>
    </x:row>
    <x:row r="1124" ht="32" customHeight="1">
      <x:c r="A1124" s="8" t="str">
        <x:v>drop:DB2:L6:light:-1:L223</x:v>
      </x:c>
      <x:c r="B1124" s="8" t="n">
        <x:v>1</x:v>
      </x:c>
      <x:c r="C1124" s="11" t="n">
        <x:v>2.35</x:v>
      </x:c>
      <x:c r="D1124" s="11" t="n">
        <x:v>6.462</x:v>
      </x:c>
      <x:c r="E1124" s="11" t="n">
        <x:v>-7.36</x:v>
      </x:c>
      <x:c r="F1124" s="11" t="n">
        <x:f>0</x:f>
        <x:v>0</x:v>
      </x:c>
      <x:c r="G1124" s="8" t="str">
        <x:v>Current</x:v>
      </x:c>
    </x:row>
    <x:row r="1125" ht="32" customHeight="1">
      <x:c r="A1125" s="8" t="str">
        <x:v>drop:DB2:L6:light:-1:L223</x:v>
      </x:c>
      <x:c r="B1125" s="8" t="n">
        <x:v>2</x:v>
      </x:c>
      <x:c r="C1125" s="11" t="n">
        <x:v>2.35</x:v>
      </x:c>
      <x:c r="D1125" s="11" t="n">
        <x:v>7.65</x:v>
      </x:c>
      <x:c r="E1125" s="11" t="n">
        <x:v>-7.36</x:v>
      </x:c>
      <x:c r="F1125" s="11" t="n">
        <x:f>SQRT((C1125-C1124)^2+(D1125-D1124)^2+(E1125-E1124)^2)</x:f>
        <x:v>1.1880000000000006</x:v>
      </x:c>
      <x:c r="G1125" s="8" t="str">
        <x:v>Current</x:v>
      </x:c>
    </x:row>
    <x:row r="1126" ht="32" customHeight="1">
      <x:c r="A1126" s="8" t="str">
        <x:v>drop:DB2:L6:light:-1:L223</x:v>
      </x:c>
      <x:c r="B1126" s="8" t="n">
        <x:v>3</x:v>
      </x:c>
      <x:c r="C1126" s="11" t="n">
        <x:v>2.35</x:v>
      </x:c>
      <x:c r="D1126" s="11" t="n">
        <x:v>7.65</x:v>
      </x:c>
      <x:c r="E1126" s="11" t="n">
        <x:v>-10.153</x:v>
      </x:c>
      <x:c r="F1126" s="11" t="n">
        <x:f>SQRT((C1126-C1125)^2+(D1126-D1125)^2+(E1126-E1125)^2)</x:f>
        <x:v>2.793</x:v>
      </x:c>
      <x:c r="G1126" s="8" t="str">
        <x:v>Current</x:v>
      </x:c>
    </x:row>
    <x:row r="1127" ht="32" customHeight="1">
      <x:c r="A1127" s="8" t="str">
        <x:v>drop:DB2:L6:light:-1:L223</x:v>
      </x:c>
      <x:c r="B1127" s="8" t="n">
        <x:v>4</x:v>
      </x:c>
      <x:c r="C1127" s="11" t="n">
        <x:v>0.05</x:v>
      </x:c>
      <x:c r="D1127" s="11" t="n">
        <x:v>7.65</x:v>
      </x:c>
      <x:c r="E1127" s="11" t="n">
        <x:v>-10.153</x:v>
      </x:c>
      <x:c r="F1127" s="11" t="n">
        <x:f>SQRT((C1127-C1126)^2+(D1127-D1126)^2+(E1127-E1126)^2)</x:f>
        <x:v>2.3000000000000003</x:v>
      </x:c>
      <x:c r="G1127" s="8" t="str">
        <x:v>Current</x:v>
      </x:c>
    </x:row>
    <x:row r="1128" ht="32" customHeight="1">
      <x:c r="A1128" s="8" t="str">
        <x:v>drop:DB2:L6:light:-1:L223</x:v>
      </x:c>
      <x:c r="B1128" s="8" t="n">
        <x:v>5</x:v>
      </x:c>
      <x:c r="C1128" s="11" t="n">
        <x:v>0.05</x:v>
      </x:c>
      <x:c r="D1128" s="11" t="n">
        <x:v>8.39</x:v>
      </x:c>
      <x:c r="E1128" s="11" t="n">
        <x:v>-10.153</x:v>
      </x:c>
      <x:c r="F1128" s="11" t="n">
        <x:f>SQRT((C1128-C1127)^2+(D1128-D1127)^2+(E1128-E1127)^2)</x:f>
        <x:v>0.7400000000000002</x:v>
      </x:c>
      <x:c r="G1128" s="8" t="str">
        <x:v>Current</x:v>
      </x:c>
    </x:row>
    <x:row r="1129" ht="32" customHeight="1">
      <x:c r="A1129" s="8" t="str">
        <x:v>drop:DB2:L6:light:-1:L223</x:v>
      </x:c>
      <x:c r="B1129" s="8" t="n">
        <x:v>6</x:v>
      </x:c>
      <x:c r="C1129" s="11" t="n">
        <x:v>0.05</x:v>
      </x:c>
      <x:c r="D1129" s="11" t="n">
        <x:v>15.84</x:v>
      </x:c>
      <x:c r="E1129" s="11" t="n">
        <x:v>-10.153</x:v>
      </x:c>
      <x:c r="F1129" s="11" t="n">
        <x:f>SQRT((C1129-C1128)^2+(D1129-D1128)^2+(E1129-E1128)^2)</x:f>
        <x:v>7.449999999999999</x:v>
      </x:c>
      <x:c r="G1129" s="8" t="str">
        <x:v>Current</x:v>
      </x:c>
    </x:row>
    <x:row r="1130" ht="32" customHeight="1">
      <x:c r="A1130" s="8" t="str">
        <x:v>drop:DB2:L6:light:-1:L223</x:v>
      </x:c>
      <x:c r="B1130" s="8" t="n">
        <x:v>7</x:v>
      </x:c>
      <x:c r="C1130" s="11" t="n">
        <x:v>0.09</x:v>
      </x:c>
      <x:c r="D1130" s="11" t="n">
        <x:v>15.84</x:v>
      </x:c>
      <x:c r="E1130" s="11" t="n">
        <x:v>-10.153</x:v>
      </x:c>
      <x:c r="F1130" s="11" t="n">
        <x:f>SQRT((C1130-C1129)^2+(D1130-D1129)^2+(E1130-E1129)^2)</x:f>
        <x:v>0.039999999999999994</x:v>
      </x:c>
      <x:c r="G1130" s="8" t="str">
        <x:v>Current</x:v>
      </x:c>
    </x:row>
    <x:row r="1131" ht="32" customHeight="1">
      <x:c r="A1131" s="8" t="str">
        <x:v>drop:DB2:L6:light:-1:L223</x:v>
      </x:c>
      <x:c r="B1131" s="8" t="n">
        <x:v>8</x:v>
      </x:c>
      <x:c r="C1131" s="11" t="n">
        <x:v>0.09</x:v>
      </x:c>
      <x:c r="D1131" s="11" t="n">
        <x:v>15.88</x:v>
      </x:c>
      <x:c r="E1131" s="11" t="n">
        <x:v>-10.153</x:v>
      </x:c>
      <x:c r="F1131" s="11" t="n">
        <x:f>SQRT((C1131-C1130)^2+(D1131-D1130)^2+(E1131-E1130)^2)</x:f>
        <x:v>0.040000000000000924</x:v>
      </x:c>
      <x:c r="G1131" s="8" t="str">
        <x:v>Current</x:v>
      </x:c>
    </x:row>
    <x:row r="1132" ht="32" customHeight="1">
      <x:c r="A1132" s="8" t="str">
        <x:v>drop:DB2:L6:light:-1:L223</x:v>
      </x:c>
      <x:c r="B1132" s="8" t="n">
        <x:v>9</x:v>
      </x:c>
      <x:c r="C1132" s="11" t="n">
        <x:v>-0.035</x:v>
      </x:c>
      <x:c r="D1132" s="11" t="n">
        <x:v>15.88</x:v>
      </x:c>
      <x:c r="E1132" s="11" t="n">
        <x:v>-10.153</x:v>
      </x:c>
      <x:c r="F1132" s="11" t="n">
        <x:f>SQRT((C1132-C1131)^2+(D1132-D1131)^2+(E1132-E1131)^2)</x:f>
        <x:v>0.125</x:v>
      </x:c>
      <x:c r="G1132" s="8" t="str">
        <x:v>Current</x:v>
      </x:c>
    </x:row>
    <x:row r="1133" ht="32" customHeight="1">
      <x:c r="A1133" s="8" t="str">
        <x:v>drop:DB2:L6:light:-1:L223</x:v>
      </x:c>
      <x:c r="B1133" s="8" t="n">
        <x:v>10</x:v>
      </x:c>
      <x:c r="C1133" s="11" t="n">
        <x:v>-0.035</x:v>
      </x:c>
      <x:c r="D1133" s="11" t="n">
        <x:v>15.88</x:v>
      </x:c>
      <x:c r="E1133" s="11" t="n">
        <x:v>-7.9</x:v>
      </x:c>
      <x:c r="F1133" s="11" t="n">
        <x:f>SQRT((C1133-C1132)^2+(D1133-D1132)^2+(E1133-E1132)^2)</x:f>
        <x:v>2.253</x:v>
      </x:c>
      <x:c r="G1133" s="8" t="str">
        <x:v>Current</x:v>
      </x:c>
    </x:row>
    <x:row r="1134" ht="32" customHeight="1">
      <x:c r="A1134" s="8" t="str">
        <x:v>trunk:DB2:L6:light:1</x:v>
      </x:c>
      <x:c r="B1134" s="8" t="n">
        <x:v>1</x:v>
      </x:c>
      <x:c r="C1134" s="11" t="n">
        <x:v>2.73</x:v>
      </x:c>
      <x:c r="D1134" s="11" t="n">
        <x:v>1.5</x:v>
      </x:c>
      <x:c r="E1134" s="11" t="n">
        <x:v>-3.3</x:v>
      </x:c>
      <x:c r="F1134" s="11" t="n">
        <x:f>0</x:f>
        <x:v>0</x:v>
      </x:c>
      <x:c r="G1134" s="8" t="str">
        <x:v>Current</x:v>
      </x:c>
    </x:row>
    <x:row r="1135" ht="32" customHeight="1">
      <x:c r="A1135" s="8" t="str">
        <x:v>trunk:DB2:L6:light:1</x:v>
      </x:c>
      <x:c r="B1135" s="8" t="n">
        <x:v>2</x:v>
      </x:c>
      <x:c r="C1135" s="11" t="n">
        <x:v>2.35</x:v>
      </x:c>
      <x:c r="D1135" s="11" t="n">
        <x:v>1.5</x:v>
      </x:c>
      <x:c r="E1135" s="11" t="n">
        <x:v>-3.3</x:v>
      </x:c>
      <x:c r="F1135" s="11" t="n">
        <x:f>SQRT((C1135-C1134)^2+(D1135-D1134)^2+(E1135-E1134)^2)</x:f>
        <x:v>0.3799999999999999</x:v>
      </x:c>
      <x:c r="G1135" s="8" t="str">
        <x:v>Current</x:v>
      </x:c>
    </x:row>
    <x:row r="1136" ht="32" customHeight="1">
      <x:c r="A1136" s="8" t="str">
        <x:v>trunk:DB2:L6:light:1</x:v>
      </x:c>
      <x:c r="B1136" s="8" t="n">
        <x:v>3</x:v>
      </x:c>
      <x:c r="C1136" s="11" t="n">
        <x:v>2.35</x:v>
      </x:c>
      <x:c r="D1136" s="11" t="n">
        <x:v>7.65</x:v>
      </x:c>
      <x:c r="E1136" s="11" t="n">
        <x:v>-3.3</x:v>
      </x:c>
      <x:c r="F1136" s="11" t="n">
        <x:f>SQRT((C1136-C1135)^2+(D1136-D1135)^2+(E1136-E1135)^2)</x:f>
        <x:v>6.15</x:v>
      </x:c>
      <x:c r="G1136" s="8" t="str">
        <x:v>Current</x:v>
      </x:c>
    </x:row>
    <x:row r="1137" ht="32" customHeight="1">
      <x:c r="A1137" s="8" t="str">
        <x:v>trunk:DB2:L6:light:1</x:v>
      </x:c>
      <x:c r="B1137" s="8" t="n">
        <x:v>4</x:v>
      </x:c>
      <x:c r="C1137" s="11" t="n">
        <x:v>2.35</x:v>
      </x:c>
      <x:c r="D1137" s="11" t="n">
        <x:v>7.65</x:v>
      </x:c>
      <x:c r="E1137" s="11" t="n">
        <x:v>7.36</x:v>
      </x:c>
      <x:c r="F1137" s="11" t="n">
        <x:f>SQRT((C1137-C1136)^2+(D1137-D1136)^2+(E1137-E1136)^2)</x:f>
        <x:v>10.66</x:v>
      </x:c>
      <x:c r="G1137" s="8" t="str">
        <x:v>Current</x:v>
      </x:c>
    </x:row>
    <x:row r="1138" ht="32" customHeight="1">
      <x:c r="A1138" s="8" t="str">
        <x:v>trunk:DB2:L6:light:1</x:v>
      </x:c>
      <x:c r="B1138" s="8" t="n">
        <x:v>5</x:v>
      </x:c>
      <x:c r="C1138" s="11" t="n">
        <x:v>2.35</x:v>
      </x:c>
      <x:c r="D1138" s="11" t="n">
        <x:v>6.462</x:v>
      </x:c>
      <x:c r="E1138" s="11" t="n">
        <x:v>7.36</x:v>
      </x:c>
      <x:c r="F1138" s="11" t="n">
        <x:f>SQRT((C1138-C1137)^2+(D1138-D1137)^2+(E1138-E1137)^2)</x:f>
        <x:v>1.1880000000000006</x:v>
      </x:c>
      <x:c r="G1138" s="8" t="str">
        <x:v>Current</x:v>
      </x:c>
    </x:row>
    <x:row r="1139" ht="32" customHeight="1">
      <x:c r="A1139" s="8" t="str">
        <x:v>trunk:DB2:L6:light:1</x:v>
      </x:c>
      <x:c r="B1139" s="8" t="n">
        <x:v>6</x:v>
      </x:c>
      <x:c r="C1139" s="11" t="n">
        <x:v>3.0500000000000003</x:v>
      </x:c>
      <x:c r="D1139" s="11" t="n">
        <x:v>6.462</x:v>
      </x:c>
      <x:c r="E1139" s="11" t="n">
        <x:v>7.36</x:v>
      </x:c>
      <x:c r="F1139" s="11" t="n">
        <x:f>SQRT((C1139-C1138)^2+(D1139-D1138)^2+(E1139-E1138)^2)</x:f>
        <x:v>0.7000000000000002</x:v>
      </x:c>
      <x:c r="G1139" s="8" t="str">
        <x:v>Current</x:v>
      </x:c>
    </x:row>
    <x:row r="1140" ht="32" customHeight="1">
      <x:c r="A1140" s="8" t="str">
        <x:v>drop:DB2:L6:light:1:L171</x:v>
      </x:c>
      <x:c r="B1140" s="8" t="n">
        <x:v>1</x:v>
      </x:c>
      <x:c r="C1140" s="11" t="n">
        <x:v>2.35</x:v>
      </x:c>
      <x:c r="D1140" s="11" t="n">
        <x:v>6.462</x:v>
      </x:c>
      <x:c r="E1140" s="11" t="n">
        <x:v>7.36</x:v>
      </x:c>
      <x:c r="F1140" s="11" t="n">
        <x:f>0</x:f>
        <x:v>0</x:v>
      </x:c>
      <x:c r="G1140" s="8" t="str">
        <x:v>Current</x:v>
      </x:c>
    </x:row>
    <x:row r="1141" ht="32" customHeight="1">
      <x:c r="A1141" s="8" t="str">
        <x:v>drop:DB2:L6:light:1:L171</x:v>
      </x:c>
      <x:c r="B1141" s="8" t="n">
        <x:v>2</x:v>
      </x:c>
      <x:c r="C1141" s="11" t="n">
        <x:v>2.35</x:v>
      </x:c>
      <x:c r="D1141" s="11" t="n">
        <x:v>7.65</x:v>
      </x:c>
      <x:c r="E1141" s="11" t="n">
        <x:v>7.36</x:v>
      </x:c>
      <x:c r="F1141" s="11" t="n">
        <x:f>SQRT((C1141-C1140)^2+(D1141-D1140)^2+(E1141-E1140)^2)</x:f>
        <x:v>1.1880000000000006</x:v>
      </x:c>
      <x:c r="G1141" s="8" t="str">
        <x:v>Current</x:v>
      </x:c>
    </x:row>
    <x:row r="1142" ht="32" customHeight="1">
      <x:c r="A1142" s="8" t="str">
        <x:v>drop:DB2:L6:light:1:L171</x:v>
      </x:c>
      <x:c r="B1142" s="8" t="n">
        <x:v>3</x:v>
      </x:c>
      <x:c r="C1142" s="11" t="n">
        <x:v>2.35</x:v>
      </x:c>
      <x:c r="D1142" s="11" t="n">
        <x:v>7.65</x:v>
      </x:c>
      <x:c r="E1142" s="11" t="n">
        <x:v>10.153</x:v>
      </x:c>
      <x:c r="F1142" s="11" t="n">
        <x:f>SQRT((C1142-C1141)^2+(D1142-D1141)^2+(E1142-E1141)^2)</x:f>
        <x:v>2.793</x:v>
      </x:c>
      <x:c r="G1142" s="8" t="str">
        <x:v>Current</x:v>
      </x:c>
    </x:row>
    <x:row r="1143" ht="32" customHeight="1">
      <x:c r="A1143" s="8" t="str">
        <x:v>drop:DB2:L6:light:1:L171</x:v>
      </x:c>
      <x:c r="B1143" s="8" t="n">
        <x:v>4</x:v>
      </x:c>
      <x:c r="C1143" s="11" t="n">
        <x:v>0.05</x:v>
      </x:c>
      <x:c r="D1143" s="11" t="n">
        <x:v>7.65</x:v>
      </x:c>
      <x:c r="E1143" s="11" t="n">
        <x:v>10.153</x:v>
      </x:c>
      <x:c r="F1143" s="11" t="n">
        <x:f>SQRT((C1143-C1142)^2+(D1143-D1142)^2+(E1143-E1142)^2)</x:f>
        <x:v>2.3000000000000003</x:v>
      </x:c>
      <x:c r="G1143" s="8" t="str">
        <x:v>Current</x:v>
      </x:c>
    </x:row>
    <x:row r="1144" ht="32" customHeight="1">
      <x:c r="A1144" s="8" t="str">
        <x:v>drop:DB2:L6:light:1:L171</x:v>
      </x:c>
      <x:c r="B1144" s="8" t="n">
        <x:v>5</x:v>
      </x:c>
      <x:c r="C1144" s="11" t="n">
        <x:v>0.05</x:v>
      </x:c>
      <x:c r="D1144" s="11" t="n">
        <x:v>8.39</x:v>
      </x:c>
      <x:c r="E1144" s="11" t="n">
        <x:v>10.153</x:v>
      </x:c>
      <x:c r="F1144" s="11" t="n">
        <x:f>SQRT((C1144-C1143)^2+(D1144-D1143)^2+(E1144-E1143)^2)</x:f>
        <x:v>0.7400000000000002</x:v>
      </x:c>
      <x:c r="G1144" s="8" t="str">
        <x:v>Current</x:v>
      </x:c>
    </x:row>
    <x:row r="1145" ht="32" customHeight="1">
      <x:c r="A1145" s="8" t="str">
        <x:v>drop:DB2:L6:light:1:L171</x:v>
      </x:c>
      <x:c r="B1145" s="8" t="n">
        <x:v>6</x:v>
      </x:c>
      <x:c r="C1145" s="11" t="n">
        <x:v>0.05</x:v>
      </x:c>
      <x:c r="D1145" s="11" t="n">
        <x:v>8.4</x:v>
      </x:c>
      <x:c r="E1145" s="11" t="n">
        <x:v>10.153</x:v>
      </x:c>
      <x:c r="F1145" s="11" t="n">
        <x:f>SQRT((C1145-C1144)^2+(D1145-D1144)^2+(E1145-E1144)^2)</x:f>
        <x:v>0.009999999999999787</x:v>
      </x:c>
      <x:c r="G1145" s="8" t="str">
        <x:v>Current</x:v>
      </x:c>
    </x:row>
    <x:row r="1146" ht="32" customHeight="1">
      <x:c r="A1146" s="8" t="str">
        <x:v>drop:DB2:L6:light:1:L171</x:v>
      </x:c>
      <x:c r="B1146" s="8" t="n">
        <x:v>7</x:v>
      </x:c>
      <x:c r="C1146" s="11" t="n">
        <x:v>-0.125</x:v>
      </x:c>
      <x:c r="D1146" s="11" t="n">
        <x:v>8.4</x:v>
      </x:c>
      <x:c r="E1146" s="11" t="n">
        <x:v>10.153</x:v>
      </x:c>
      <x:c r="F1146" s="11" t="n">
        <x:f>SQRT((C1146-C1145)^2+(D1146-D1145)^2+(E1146-E1145)^2)</x:f>
        <x:v>0.175</x:v>
      </x:c>
      <x:c r="G1146" s="8" t="str">
        <x:v>Current</x:v>
      </x:c>
    </x:row>
    <x:row r="1147" ht="32" customHeight="1">
      <x:c r="A1147" s="8" t="str">
        <x:v>drop:DB2:L6:light:1:L171</x:v>
      </x:c>
      <x:c r="B1147" s="8" t="n">
        <x:v>8</x:v>
      </x:c>
      <x:c r="C1147" s="11" t="n">
        <x:v>-0.125</x:v>
      </x:c>
      <x:c r="D1147" s="11" t="n">
        <x:v>8.4</x:v>
      </x:c>
      <x:c r="E1147" s="11" t="n">
        <x:v>10.853</x:v>
      </x:c>
      <x:c r="F1147" s="11" t="n">
        <x:f>SQRT((C1147-C1146)^2+(D1147-D1146)^2+(E1147-E1146)^2)</x:f>
        <x:v>0.6999999999999993</x:v>
      </x:c>
      <x:c r="G1147" s="8" t="str">
        <x:v>Current</x:v>
      </x:c>
    </x:row>
    <x:row r="1148" ht="32" customHeight="1">
      <x:c r="A1148" s="8" t="str">
        <x:v>drop:DB2:L6:light:1:L172</x:v>
      </x:c>
      <x:c r="B1148" s="8" t="n">
        <x:v>1</x:v>
      </x:c>
      <x:c r="C1148" s="11" t="n">
        <x:v>2.35</x:v>
      </x:c>
      <x:c r="D1148" s="11" t="n">
        <x:v>6.462</x:v>
      </x:c>
      <x:c r="E1148" s="11" t="n">
        <x:v>7.36</x:v>
      </x:c>
      <x:c r="F1148" s="11" t="n">
        <x:f>0</x:f>
        <x:v>0</x:v>
      </x:c>
      <x:c r="G1148" s="8" t="str">
        <x:v>Current</x:v>
      </x:c>
    </x:row>
    <x:row r="1149" ht="32" customHeight="1">
      <x:c r="A1149" s="8" t="str">
        <x:v>drop:DB2:L6:light:1:L172</x:v>
      </x:c>
      <x:c r="B1149" s="8" t="n">
        <x:v>2</x:v>
      </x:c>
      <x:c r="C1149" s="11" t="n">
        <x:v>2.35</x:v>
      </x:c>
      <x:c r="D1149" s="11" t="n">
        <x:v>7.65</x:v>
      </x:c>
      <x:c r="E1149" s="11" t="n">
        <x:v>7.36</x:v>
      </x:c>
      <x:c r="F1149" s="11" t="n">
        <x:f>SQRT((C1149-C1148)^2+(D1149-D1148)^2+(E1149-E1148)^2)</x:f>
        <x:v>1.1880000000000006</x:v>
      </x:c>
      <x:c r="G1149" s="8" t="str">
        <x:v>Current</x:v>
      </x:c>
    </x:row>
    <x:row r="1150" ht="32" customHeight="1">
      <x:c r="A1150" s="8" t="str">
        <x:v>drop:DB2:L6:light:1:L172</x:v>
      </x:c>
      <x:c r="B1150" s="8" t="n">
        <x:v>3</x:v>
      </x:c>
      <x:c r="C1150" s="11" t="n">
        <x:v>2.35</x:v>
      </x:c>
      <x:c r="D1150" s="11" t="n">
        <x:v>7.65</x:v>
      </x:c>
      <x:c r="E1150" s="11" t="n">
        <x:v>10.153</x:v>
      </x:c>
      <x:c r="F1150" s="11" t="n">
        <x:f>SQRT((C1150-C1149)^2+(D1150-D1149)^2+(E1150-E1149)^2)</x:f>
        <x:v>2.793</x:v>
      </x:c>
      <x:c r="G1150" s="8" t="str">
        <x:v>Current</x:v>
      </x:c>
    </x:row>
    <x:row r="1151" ht="32" customHeight="1">
      <x:c r="A1151" s="8" t="str">
        <x:v>drop:DB2:L6:light:1:L172</x:v>
      </x:c>
      <x:c r="B1151" s="8" t="n">
        <x:v>4</x:v>
      </x:c>
      <x:c r="C1151" s="11" t="n">
        <x:v>0.05</x:v>
      </x:c>
      <x:c r="D1151" s="11" t="n">
        <x:v>7.65</x:v>
      </x:c>
      <x:c r="E1151" s="11" t="n">
        <x:v>10.153</x:v>
      </x:c>
      <x:c r="F1151" s="11" t="n">
        <x:f>SQRT((C1151-C1150)^2+(D1151-D1150)^2+(E1151-E1150)^2)</x:f>
        <x:v>2.3000000000000003</x:v>
      </x:c>
      <x:c r="G1151" s="8" t="str">
        <x:v>Current</x:v>
      </x:c>
    </x:row>
    <x:row r="1152" ht="32" customHeight="1">
      <x:c r="A1152" s="8" t="str">
        <x:v>drop:DB2:L6:light:1:L172</x:v>
      </x:c>
      <x:c r="B1152" s="8" t="n">
        <x:v>5</x:v>
      </x:c>
      <x:c r="C1152" s="11" t="n">
        <x:v>0.05</x:v>
      </x:c>
      <x:c r="D1152" s="11" t="n">
        <x:v>8.39</x:v>
      </x:c>
      <x:c r="E1152" s="11" t="n">
        <x:v>10.153</x:v>
      </x:c>
      <x:c r="F1152" s="11" t="n">
        <x:f>SQRT((C1152-C1151)^2+(D1152-D1151)^2+(E1152-E1151)^2)</x:f>
        <x:v>0.7400000000000002</x:v>
      </x:c>
      <x:c r="G1152" s="8" t="str">
        <x:v>Current</x:v>
      </x:c>
    </x:row>
    <x:row r="1153" ht="32" customHeight="1">
      <x:c r="A1153" s="8" t="str">
        <x:v>drop:DB2:L6:light:1:L172</x:v>
      </x:c>
      <x:c r="B1153" s="8" t="n">
        <x:v>6</x:v>
      </x:c>
      <x:c r="C1153" s="11" t="n">
        <x:v>0.05</x:v>
      </x:c>
      <x:c r="D1153" s="11" t="n">
        <x:v>8.4</x:v>
      </x:c>
      <x:c r="E1153" s="11" t="n">
        <x:v>10.153</x:v>
      </x:c>
      <x:c r="F1153" s="11" t="n">
        <x:f>SQRT((C1153-C1152)^2+(D1153-D1152)^2+(E1153-E1152)^2)</x:f>
        <x:v>0.009999999999999787</x:v>
      </x:c>
      <x:c r="G1153" s="8" t="str">
        <x:v>Current</x:v>
      </x:c>
    </x:row>
    <x:row r="1154" ht="32" customHeight="1">
      <x:c r="A1154" s="8" t="str">
        <x:v>drop:DB2:L6:light:1:L172</x:v>
      </x:c>
      <x:c r="B1154" s="8" t="n">
        <x:v>7</x:v>
      </x:c>
      <x:c r="C1154" s="11" t="n">
        <x:v>-0.125</x:v>
      </x:c>
      <x:c r="D1154" s="11" t="n">
        <x:v>8.4</x:v>
      </x:c>
      <x:c r="E1154" s="11" t="n">
        <x:v>10.153</x:v>
      </x:c>
      <x:c r="F1154" s="11" t="n">
        <x:f>SQRT((C1154-C1153)^2+(D1154-D1153)^2+(E1154-E1153)^2)</x:f>
        <x:v>0.175</x:v>
      </x:c>
      <x:c r="G1154" s="8" t="str">
        <x:v>Current</x:v>
      </x:c>
    </x:row>
    <x:row r="1155" ht="32" customHeight="1">
      <x:c r="A1155" s="8" t="str">
        <x:v>drop:DB2:L6:light:1:L173</x:v>
      </x:c>
      <x:c r="B1155" s="8" t="n">
        <x:v>1</x:v>
      </x:c>
      <x:c r="C1155" s="11" t="n">
        <x:v>2.35</x:v>
      </x:c>
      <x:c r="D1155" s="11" t="n">
        <x:v>6.462</x:v>
      </x:c>
      <x:c r="E1155" s="11" t="n">
        <x:v>7.36</x:v>
      </x:c>
      <x:c r="F1155" s="11" t="n">
        <x:f>0</x:f>
        <x:v>0</x:v>
      </x:c>
      <x:c r="G1155" s="8" t="str">
        <x:v>Current</x:v>
      </x:c>
    </x:row>
    <x:row r="1156" ht="32" customHeight="1">
      <x:c r="A1156" s="8" t="str">
        <x:v>drop:DB2:L6:light:1:L173</x:v>
      </x:c>
      <x:c r="B1156" s="8" t="n">
        <x:v>2</x:v>
      </x:c>
      <x:c r="C1156" s="11" t="n">
        <x:v>2.35</x:v>
      </x:c>
      <x:c r="D1156" s="11" t="n">
        <x:v>7.65</x:v>
      </x:c>
      <x:c r="E1156" s="11" t="n">
        <x:v>7.36</x:v>
      </x:c>
      <x:c r="F1156" s="11" t="n">
        <x:f>SQRT((C1156-C1155)^2+(D1156-D1155)^2+(E1156-E1155)^2)</x:f>
        <x:v>1.1880000000000006</x:v>
      </x:c>
      <x:c r="G1156" s="8" t="str">
        <x:v>Current</x:v>
      </x:c>
    </x:row>
    <x:row r="1157" ht="32" customHeight="1">
      <x:c r="A1157" s="8" t="str">
        <x:v>drop:DB2:L6:light:1:L173</x:v>
      </x:c>
      <x:c r="B1157" s="8" t="n">
        <x:v>3</x:v>
      </x:c>
      <x:c r="C1157" s="11" t="n">
        <x:v>2.35</x:v>
      </x:c>
      <x:c r="D1157" s="11" t="n">
        <x:v>7.65</x:v>
      </x:c>
      <x:c r="E1157" s="11" t="n">
        <x:v>10.153</x:v>
      </x:c>
      <x:c r="F1157" s="11" t="n">
        <x:f>SQRT((C1157-C1156)^2+(D1157-D1156)^2+(E1157-E1156)^2)</x:f>
        <x:v>2.793</x:v>
      </x:c>
      <x:c r="G1157" s="8" t="str">
        <x:v>Current</x:v>
      </x:c>
    </x:row>
    <x:row r="1158" ht="32" customHeight="1">
      <x:c r="A1158" s="8" t="str">
        <x:v>drop:DB2:L6:light:1:L173</x:v>
      </x:c>
      <x:c r="B1158" s="8" t="n">
        <x:v>4</x:v>
      </x:c>
      <x:c r="C1158" s="11" t="n">
        <x:v>0.05</x:v>
      </x:c>
      <x:c r="D1158" s="11" t="n">
        <x:v>7.65</x:v>
      </x:c>
      <x:c r="E1158" s="11" t="n">
        <x:v>10.153</x:v>
      </x:c>
      <x:c r="F1158" s="11" t="n">
        <x:f>SQRT((C1158-C1157)^2+(D1158-D1157)^2+(E1158-E1157)^2)</x:f>
        <x:v>2.3000000000000003</x:v>
      </x:c>
      <x:c r="G1158" s="8" t="str">
        <x:v>Current</x:v>
      </x:c>
    </x:row>
    <x:row r="1159" ht="32" customHeight="1">
      <x:c r="A1159" s="8" t="str">
        <x:v>drop:DB2:L6:light:1:L173</x:v>
      </x:c>
      <x:c r="B1159" s="8" t="n">
        <x:v>5</x:v>
      </x:c>
      <x:c r="C1159" s="11" t="n">
        <x:v>0.05</x:v>
      </x:c>
      <x:c r="D1159" s="11" t="n">
        <x:v>8.39</x:v>
      </x:c>
      <x:c r="E1159" s="11" t="n">
        <x:v>10.153</x:v>
      </x:c>
      <x:c r="F1159" s="11" t="n">
        <x:f>SQRT((C1159-C1158)^2+(D1159-D1158)^2+(E1159-E1158)^2)</x:f>
        <x:v>0.7400000000000002</x:v>
      </x:c>
      <x:c r="G1159" s="8" t="str">
        <x:v>Current</x:v>
      </x:c>
    </x:row>
    <x:row r="1160" ht="32" customHeight="1">
      <x:c r="A1160" s="8" t="str">
        <x:v>drop:DB2:L6:light:1:L173</x:v>
      </x:c>
      <x:c r="B1160" s="8" t="n">
        <x:v>6</x:v>
      </x:c>
      <x:c r="C1160" s="11" t="n">
        <x:v>0.05</x:v>
      </x:c>
      <x:c r="D1160" s="11" t="n">
        <x:v>15.84</x:v>
      </x:c>
      <x:c r="E1160" s="11" t="n">
        <x:v>10.153</x:v>
      </x:c>
      <x:c r="F1160" s="11" t="n">
        <x:f>SQRT((C1160-C1159)^2+(D1160-D1159)^2+(E1160-E1159)^2)</x:f>
        <x:v>7.449999999999999</x:v>
      </x:c>
      <x:c r="G1160" s="8" t="str">
        <x:v>Current</x:v>
      </x:c>
    </x:row>
    <x:row r="1161" ht="32" customHeight="1">
      <x:c r="A1161" s="8" t="str">
        <x:v>drop:DB2:L6:light:1:L173</x:v>
      </x:c>
      <x:c r="B1161" s="8" t="n">
        <x:v>7</x:v>
      </x:c>
      <x:c r="C1161" s="11" t="n">
        <x:v>0.09</x:v>
      </x:c>
      <x:c r="D1161" s="11" t="n">
        <x:v>15.84</x:v>
      </x:c>
      <x:c r="E1161" s="11" t="n">
        <x:v>10.153</x:v>
      </x:c>
      <x:c r="F1161" s="11" t="n">
        <x:f>SQRT((C1161-C1160)^2+(D1161-D1160)^2+(E1161-E1160)^2)</x:f>
        <x:v>0.039999999999999994</x:v>
      </x:c>
      <x:c r="G1161" s="8" t="str">
        <x:v>Current</x:v>
      </x:c>
    </x:row>
    <x:row r="1162" ht="32" customHeight="1">
      <x:c r="A1162" s="8" t="str">
        <x:v>drop:DB2:L6:light:1:L173</x:v>
      </x:c>
      <x:c r="B1162" s="8" t="n">
        <x:v>8</x:v>
      </x:c>
      <x:c r="C1162" s="11" t="n">
        <x:v>0.09</x:v>
      </x:c>
      <x:c r="D1162" s="11" t="n">
        <x:v>15.88</x:v>
      </x:c>
      <x:c r="E1162" s="11" t="n">
        <x:v>10.153</x:v>
      </x:c>
      <x:c r="F1162" s="11" t="n">
        <x:f>SQRT((C1162-C1161)^2+(D1162-D1161)^2+(E1162-E1161)^2)</x:f>
        <x:v>0.040000000000000924</x:v>
      </x:c>
      <x:c r="G1162" s="8" t="str">
        <x:v>Current</x:v>
      </x:c>
    </x:row>
    <x:row r="1163" ht="32" customHeight="1">
      <x:c r="A1163" s="8" t="str">
        <x:v>drop:DB2:L6:light:1:L173</x:v>
      </x:c>
      <x:c r="B1163" s="8" t="n">
        <x:v>9</x:v>
      </x:c>
      <x:c r="C1163" s="11" t="n">
        <x:v>-0.035</x:v>
      </x:c>
      <x:c r="D1163" s="11" t="n">
        <x:v>15.88</x:v>
      </x:c>
      <x:c r="E1163" s="11" t="n">
        <x:v>10.153</x:v>
      </x:c>
      <x:c r="F1163" s="11" t="n">
        <x:f>SQRT((C1163-C1162)^2+(D1163-D1162)^2+(E1163-E1162)^2)</x:f>
        <x:v>0.125</x:v>
      </x:c>
      <x:c r="G1163" s="8" t="str">
        <x:v>Current</x:v>
      </x:c>
    </x:row>
    <x:row r="1164" ht="32" customHeight="1">
      <x:c r="A1164" s="8" t="str">
        <x:v>drop:DB2:L6:light:1:L174</x:v>
      </x:c>
      <x:c r="B1164" s="8" t="n">
        <x:v>1</x:v>
      </x:c>
      <x:c r="C1164" s="11" t="n">
        <x:v>2.35</x:v>
      </x:c>
      <x:c r="D1164" s="11" t="n">
        <x:v>6.462</x:v>
      </x:c>
      <x:c r="E1164" s="11" t="n">
        <x:v>7.36</x:v>
      </x:c>
      <x:c r="F1164" s="11" t="n">
        <x:f>0</x:f>
        <x:v>0</x:v>
      </x:c>
      <x:c r="G1164" s="8" t="str">
        <x:v>Current</x:v>
      </x:c>
    </x:row>
    <x:row r="1165" ht="32" customHeight="1">
      <x:c r="A1165" s="8" t="str">
        <x:v>drop:DB2:L6:light:1:L174</x:v>
      </x:c>
      <x:c r="B1165" s="8" t="n">
        <x:v>2</x:v>
      </x:c>
      <x:c r="C1165" s="11" t="n">
        <x:v>2.35</x:v>
      </x:c>
      <x:c r="D1165" s="11" t="n">
        <x:v>7.65</x:v>
      </x:c>
      <x:c r="E1165" s="11" t="n">
        <x:v>7.36</x:v>
      </x:c>
      <x:c r="F1165" s="11" t="n">
        <x:f>SQRT((C1165-C1164)^2+(D1165-D1164)^2+(E1165-E1164)^2)</x:f>
        <x:v>1.1880000000000006</x:v>
      </x:c>
      <x:c r="G1165" s="8" t="str">
        <x:v>Current</x:v>
      </x:c>
    </x:row>
    <x:row r="1166" ht="32" customHeight="1">
      <x:c r="A1166" s="8" t="str">
        <x:v>drop:DB2:L6:light:1:L174</x:v>
      </x:c>
      <x:c r="B1166" s="8" t="n">
        <x:v>3</x:v>
      </x:c>
      <x:c r="C1166" s="11" t="n">
        <x:v>2.35</x:v>
      </x:c>
      <x:c r="D1166" s="11" t="n">
        <x:v>7.65</x:v>
      </x:c>
      <x:c r="E1166" s="11" t="n">
        <x:v>10.153</x:v>
      </x:c>
      <x:c r="F1166" s="11" t="n">
        <x:f>SQRT((C1166-C1165)^2+(D1166-D1165)^2+(E1166-E1165)^2)</x:f>
        <x:v>2.793</x:v>
      </x:c>
      <x:c r="G1166" s="8" t="str">
        <x:v>Current</x:v>
      </x:c>
    </x:row>
    <x:row r="1167" ht="32" customHeight="1">
      <x:c r="A1167" s="8" t="str">
        <x:v>drop:DB2:L6:light:1:L174</x:v>
      </x:c>
      <x:c r="B1167" s="8" t="n">
        <x:v>4</x:v>
      </x:c>
      <x:c r="C1167" s="11" t="n">
        <x:v>0.05</x:v>
      </x:c>
      <x:c r="D1167" s="11" t="n">
        <x:v>7.65</x:v>
      </x:c>
      <x:c r="E1167" s="11" t="n">
        <x:v>10.153</x:v>
      </x:c>
      <x:c r="F1167" s="11" t="n">
        <x:f>SQRT((C1167-C1166)^2+(D1167-D1166)^2+(E1167-E1166)^2)</x:f>
        <x:v>2.3000000000000003</x:v>
      </x:c>
      <x:c r="G1167" s="8" t="str">
        <x:v>Current</x:v>
      </x:c>
    </x:row>
    <x:row r="1168" ht="32" customHeight="1">
      <x:c r="A1168" s="8" t="str">
        <x:v>drop:DB2:L6:light:1:L174</x:v>
      </x:c>
      <x:c r="B1168" s="8" t="n">
        <x:v>5</x:v>
      </x:c>
      <x:c r="C1168" s="11" t="n">
        <x:v>0.05</x:v>
      </x:c>
      <x:c r="D1168" s="11" t="n">
        <x:v>8.39</x:v>
      </x:c>
      <x:c r="E1168" s="11" t="n">
        <x:v>10.153</x:v>
      </x:c>
      <x:c r="F1168" s="11" t="n">
        <x:f>SQRT((C1168-C1167)^2+(D1168-D1167)^2+(E1168-E1167)^2)</x:f>
        <x:v>0.7400000000000002</x:v>
      </x:c>
      <x:c r="G1168" s="8" t="str">
        <x:v>Current</x:v>
      </x:c>
    </x:row>
    <x:row r="1169" ht="32" customHeight="1">
      <x:c r="A1169" s="8" t="str">
        <x:v>drop:DB2:L6:light:1:L174</x:v>
      </x:c>
      <x:c r="B1169" s="8" t="n">
        <x:v>6</x:v>
      </x:c>
      <x:c r="C1169" s="11" t="n">
        <x:v>0.05</x:v>
      </x:c>
      <x:c r="D1169" s="11" t="n">
        <x:v>15.84</x:v>
      </x:c>
      <x:c r="E1169" s="11" t="n">
        <x:v>10.153</x:v>
      </x:c>
      <x:c r="F1169" s="11" t="n">
        <x:f>SQRT((C1169-C1168)^2+(D1169-D1168)^2+(E1169-E1168)^2)</x:f>
        <x:v>7.449999999999999</x:v>
      </x:c>
      <x:c r="G1169" s="8" t="str">
        <x:v>Current</x:v>
      </x:c>
    </x:row>
    <x:row r="1170" ht="32" customHeight="1">
      <x:c r="A1170" s="8" t="str">
        <x:v>drop:DB2:L6:light:1:L174</x:v>
      </x:c>
      <x:c r="B1170" s="8" t="n">
        <x:v>7</x:v>
      </x:c>
      <x:c r="C1170" s="11" t="n">
        <x:v>0.09</x:v>
      </x:c>
      <x:c r="D1170" s="11" t="n">
        <x:v>15.84</x:v>
      </x:c>
      <x:c r="E1170" s="11" t="n">
        <x:v>10.153</x:v>
      </x:c>
      <x:c r="F1170" s="11" t="n">
        <x:f>SQRT((C1170-C1169)^2+(D1170-D1169)^2+(E1170-E1169)^2)</x:f>
        <x:v>0.039999999999999994</x:v>
      </x:c>
      <x:c r="G1170" s="8" t="str">
        <x:v>Current</x:v>
      </x:c>
    </x:row>
    <x:row r="1171" ht="32" customHeight="1">
      <x:c r="A1171" s="8" t="str">
        <x:v>drop:DB2:L6:light:1:L174</x:v>
      </x:c>
      <x:c r="B1171" s="8" t="n">
        <x:v>8</x:v>
      </x:c>
      <x:c r="C1171" s="11" t="n">
        <x:v>0.09</x:v>
      </x:c>
      <x:c r="D1171" s="11" t="n">
        <x:v>23.14</x:v>
      </x:c>
      <x:c r="E1171" s="11" t="n">
        <x:v>10.153</x:v>
      </x:c>
      <x:c r="F1171" s="11" t="n">
        <x:f>SQRT((C1171-C1170)^2+(D1171-D1170)^2+(E1171-E1170)^2)</x:f>
        <x:v>7.300000000000001</x:v>
      </x:c>
      <x:c r="G1171" s="8" t="str">
        <x:v>Current</x:v>
      </x:c>
    </x:row>
    <x:row r="1172" ht="32" customHeight="1">
      <x:c r="A1172" s="8" t="str">
        <x:v>drop:DB2:L6:light:1:L174</x:v>
      </x:c>
      <x:c r="B1172" s="8" t="n">
        <x:v>9</x:v>
      </x:c>
      <x:c r="C1172" s="11" t="n">
        <x:v>0.19</x:v>
      </x:c>
      <x:c r="D1172" s="11" t="n">
        <x:v>23.14</x:v>
      </x:c>
      <x:c r="E1172" s="11" t="n">
        <x:v>10.153</x:v>
      </x:c>
      <x:c r="F1172" s="11" t="n">
        <x:f>SQRT((C1172-C1171)^2+(D1172-D1171)^2+(E1172-E1171)^2)</x:f>
        <x:v>0.1</x:v>
      </x:c>
      <x:c r="G1172" s="8" t="str">
        <x:v>Current</x:v>
      </x:c>
    </x:row>
    <x:row r="1173" ht="32" customHeight="1">
      <x:c r="A1173" s="8" t="str">
        <x:v>drop:DB2:L6:light:1:L174</x:v>
      </x:c>
      <x:c r="B1173" s="8" t="n">
        <x:v>10</x:v>
      </x:c>
      <x:c r="C1173" s="11" t="n">
        <x:v>0.19</x:v>
      </x:c>
      <x:c r="D1173" s="11" t="n">
        <x:v>23.2</x:v>
      </x:c>
      <x:c r="E1173" s="11" t="n">
        <x:v>10.153</x:v>
      </x:c>
      <x:c r="F1173" s="11" t="n">
        <x:f>SQRT((C1173-C1172)^2+(D1173-D1172)^2+(E1173-E1172)^2)</x:f>
        <x:v>0.05999999999999872</x:v>
      </x:c>
      <x:c r="G1173" s="8" t="str">
        <x:v>Current</x:v>
      </x:c>
    </x:row>
    <x:row r="1174" ht="32" customHeight="1">
      <x:c r="A1174" s="8" t="str">
        <x:v>drop:DB2:L6:light:1:L174</x:v>
      </x:c>
      <x:c r="B1174" s="8" t="n">
        <x:v>11</x:v>
      </x:c>
      <x:c r="C1174" s="11" t="n">
        <x:v>0.065</x:v>
      </x:c>
      <x:c r="D1174" s="11" t="n">
        <x:v>23.2</x:v>
      </x:c>
      <x:c r="E1174" s="11" t="n">
        <x:v>10.153</x:v>
      </x:c>
      <x:c r="F1174" s="11" t="n">
        <x:f>SQRT((C1174-C1173)^2+(D1174-D1173)^2+(E1174-E1173)^2)</x:f>
        <x:v>0.125</x:v>
      </x:c>
      <x:c r="G1174" s="8" t="str">
        <x:v>Current</x:v>
      </x:c>
    </x:row>
    <x:row r="1175" ht="32" customHeight="1">
      <x:c r="A1175" s="8" t="str">
        <x:v>drop:DB2:L6:light:1:L175</x:v>
      </x:c>
      <x:c r="B1175" s="8" t="n">
        <x:v>1</x:v>
      </x:c>
      <x:c r="C1175" s="11" t="n">
        <x:v>2.35</x:v>
      </x:c>
      <x:c r="D1175" s="11" t="n">
        <x:v>6.462</x:v>
      </x:c>
      <x:c r="E1175" s="11" t="n">
        <x:v>7.36</x:v>
      </x:c>
      <x:c r="F1175" s="11" t="n">
        <x:f>0</x:f>
        <x:v>0</x:v>
      </x:c>
      <x:c r="G1175" s="8" t="str">
        <x:v>Current</x:v>
      </x:c>
    </x:row>
    <x:row r="1176" ht="32" customHeight="1">
      <x:c r="A1176" s="8" t="str">
        <x:v>drop:DB2:L6:light:1:L175</x:v>
      </x:c>
      <x:c r="B1176" s="8" t="n">
        <x:v>2</x:v>
      </x:c>
      <x:c r="C1176" s="11" t="n">
        <x:v>2.35</x:v>
      </x:c>
      <x:c r="D1176" s="11" t="n">
        <x:v>7.65</x:v>
      </x:c>
      <x:c r="E1176" s="11" t="n">
        <x:v>7.36</x:v>
      </x:c>
      <x:c r="F1176" s="11" t="n">
        <x:f>SQRT((C1176-C1175)^2+(D1176-D1175)^2+(E1176-E1175)^2)</x:f>
        <x:v>1.1880000000000006</x:v>
      </x:c>
      <x:c r="G1176" s="8" t="str">
        <x:v>Current</x:v>
      </x:c>
    </x:row>
    <x:row r="1177" ht="32" customHeight="1">
      <x:c r="A1177" s="8" t="str">
        <x:v>drop:DB2:L6:light:1:L175</x:v>
      </x:c>
      <x:c r="B1177" s="8" t="n">
        <x:v>3</x:v>
      </x:c>
      <x:c r="C1177" s="11" t="n">
        <x:v>2.35</x:v>
      </x:c>
      <x:c r="D1177" s="11" t="n">
        <x:v>7.65</x:v>
      </x:c>
      <x:c r="E1177" s="11" t="n">
        <x:v>10.153</x:v>
      </x:c>
      <x:c r="F1177" s="11" t="n">
        <x:f>SQRT((C1177-C1176)^2+(D1177-D1176)^2+(E1177-E1176)^2)</x:f>
        <x:v>2.793</x:v>
      </x:c>
      <x:c r="G1177" s="8" t="str">
        <x:v>Current</x:v>
      </x:c>
    </x:row>
    <x:row r="1178" ht="32" customHeight="1">
      <x:c r="A1178" s="8" t="str">
        <x:v>drop:DB2:L6:light:1:L175</x:v>
      </x:c>
      <x:c r="B1178" s="8" t="n">
        <x:v>4</x:v>
      </x:c>
      <x:c r="C1178" s="11" t="n">
        <x:v>0.05</x:v>
      </x:c>
      <x:c r="D1178" s="11" t="n">
        <x:v>7.65</x:v>
      </x:c>
      <x:c r="E1178" s="11" t="n">
        <x:v>10.153</x:v>
      </x:c>
      <x:c r="F1178" s="11" t="n">
        <x:f>SQRT((C1178-C1177)^2+(D1178-D1177)^2+(E1178-E1177)^2)</x:f>
        <x:v>2.3000000000000003</x:v>
      </x:c>
      <x:c r="G1178" s="8" t="str">
        <x:v>Current</x:v>
      </x:c>
    </x:row>
    <x:row r="1179" ht="32" customHeight="1">
      <x:c r="A1179" s="8" t="str">
        <x:v>drop:DB2:L6:light:1:L175</x:v>
      </x:c>
      <x:c r="B1179" s="8" t="n">
        <x:v>5</x:v>
      </x:c>
      <x:c r="C1179" s="11" t="n">
        <x:v>0.05</x:v>
      </x:c>
      <x:c r="D1179" s="11" t="n">
        <x:v>8.39</x:v>
      </x:c>
      <x:c r="E1179" s="11" t="n">
        <x:v>10.153</x:v>
      </x:c>
      <x:c r="F1179" s="11" t="n">
        <x:f>SQRT((C1179-C1178)^2+(D1179-D1178)^2+(E1179-E1178)^2)</x:f>
        <x:v>0.7400000000000002</x:v>
      </x:c>
      <x:c r="G1179" s="8" t="str">
        <x:v>Current</x:v>
      </x:c>
    </x:row>
    <x:row r="1180" ht="32" customHeight="1">
      <x:c r="A1180" s="8" t="str">
        <x:v>drop:DB2:L6:light:1:L175</x:v>
      </x:c>
      <x:c r="B1180" s="8" t="n">
        <x:v>6</x:v>
      </x:c>
      <x:c r="C1180" s="11" t="n">
        <x:v>0.05</x:v>
      </x:c>
      <x:c r="D1180" s="11" t="n">
        <x:v>15.84</x:v>
      </x:c>
      <x:c r="E1180" s="11" t="n">
        <x:v>10.153</x:v>
      </x:c>
      <x:c r="F1180" s="11" t="n">
        <x:f>SQRT((C1180-C1179)^2+(D1180-D1179)^2+(E1180-E1179)^2)</x:f>
        <x:v>7.449999999999999</x:v>
      </x:c>
      <x:c r="G1180" s="8" t="str">
        <x:v>Current</x:v>
      </x:c>
    </x:row>
    <x:row r="1181" ht="32" customHeight="1">
      <x:c r="A1181" s="8" t="str">
        <x:v>drop:DB2:L6:light:1:L175</x:v>
      </x:c>
      <x:c r="B1181" s="8" t="n">
        <x:v>7</x:v>
      </x:c>
      <x:c r="C1181" s="11" t="n">
        <x:v>0.09</x:v>
      </x:c>
      <x:c r="D1181" s="11" t="n">
        <x:v>15.84</x:v>
      </x:c>
      <x:c r="E1181" s="11" t="n">
        <x:v>10.153</x:v>
      </x:c>
      <x:c r="F1181" s="11" t="n">
        <x:f>SQRT((C1181-C1180)^2+(D1181-D1180)^2+(E1181-E1180)^2)</x:f>
        <x:v>0.039999999999999994</x:v>
      </x:c>
      <x:c r="G1181" s="8" t="str">
        <x:v>Current</x:v>
      </x:c>
    </x:row>
    <x:row r="1182" ht="32" customHeight="1">
      <x:c r="A1182" s="8" t="str">
        <x:v>drop:DB2:L6:light:1:L175</x:v>
      </x:c>
      <x:c r="B1182" s="8" t="n">
        <x:v>8</x:v>
      </x:c>
      <x:c r="C1182" s="11" t="n">
        <x:v>0.09</x:v>
      </x:c>
      <x:c r="D1182" s="11" t="n">
        <x:v>23.14</x:v>
      </x:c>
      <x:c r="E1182" s="11" t="n">
        <x:v>10.153</x:v>
      </x:c>
      <x:c r="F1182" s="11" t="n">
        <x:f>SQRT((C1182-C1181)^2+(D1182-D1181)^2+(E1182-E1181)^2)</x:f>
        <x:v>7.300000000000001</x:v>
      </x:c>
      <x:c r="G1182" s="8" t="str">
        <x:v>Current</x:v>
      </x:c>
    </x:row>
    <x:row r="1183" ht="32" customHeight="1">
      <x:c r="A1183" s="8" t="str">
        <x:v>drop:DB2:L6:light:1:L175</x:v>
      </x:c>
      <x:c r="B1183" s="8" t="n">
        <x:v>9</x:v>
      </x:c>
      <x:c r="C1183" s="11" t="n">
        <x:v>0.19</x:v>
      </x:c>
      <x:c r="D1183" s="11" t="n">
        <x:v>23.14</x:v>
      </x:c>
      <x:c r="E1183" s="11" t="n">
        <x:v>10.153</x:v>
      </x:c>
      <x:c r="F1183" s="11" t="n">
        <x:f>SQRT((C1183-C1182)^2+(D1183-D1182)^2+(E1183-E1182)^2)</x:f>
        <x:v>0.1</x:v>
      </x:c>
      <x:c r="G1183" s="8" t="str">
        <x:v>Current</x:v>
      </x:c>
    </x:row>
    <x:row r="1184" ht="32" customHeight="1">
      <x:c r="A1184" s="8" t="str">
        <x:v>drop:DB2:L6:light:1:L175</x:v>
      </x:c>
      <x:c r="B1184" s="8" t="n">
        <x:v>10</x:v>
      </x:c>
      <x:c r="C1184" s="11" t="n">
        <x:v>0.19</x:v>
      </x:c>
      <x:c r="D1184" s="11" t="n">
        <x:v>29.26</x:v>
      </x:c>
      <x:c r="E1184" s="11" t="n">
        <x:v>10.153</x:v>
      </x:c>
      <x:c r="F1184" s="11" t="n">
        <x:f>SQRT((C1184-C1183)^2+(D1184-D1183)^2+(E1184-E1183)^2)</x:f>
        <x:v>6.120000000000001</x:v>
      </x:c>
      <x:c r="G1184" s="8" t="str">
        <x:v>Current</x:v>
      </x:c>
    </x:row>
    <x:row r="1185" ht="32" customHeight="1">
      <x:c r="A1185" s="8" t="str">
        <x:v>drop:DB2:L6:light:1:L175</x:v>
      </x:c>
      <x:c r="B1185" s="8" t="n">
        <x:v>11</x:v>
      </x:c>
      <x:c r="C1185" s="11" t="n">
        <x:v>0.35</x:v>
      </x:c>
      <x:c r="D1185" s="11" t="n">
        <x:v>29.26</x:v>
      </x:c>
      <x:c r="E1185" s="11" t="n">
        <x:v>10.153</x:v>
      </x:c>
      <x:c r="F1185" s="11" t="n">
        <x:f>SQRT((C1185-C1184)^2+(D1185-D1184)^2+(E1185-E1184)^2)</x:f>
        <x:v>0.15999999999999998</x:v>
      </x:c>
      <x:c r="G1185" s="8" t="str">
        <x:v>Current</x:v>
      </x:c>
    </x:row>
    <x:row r="1186" ht="32" customHeight="1">
      <x:c r="A1186" s="8" t="str">
        <x:v>drop:DB2:L6:light:1:L176</x:v>
      </x:c>
      <x:c r="B1186" s="8" t="n">
        <x:v>1</x:v>
      </x:c>
      <x:c r="C1186" s="11" t="n">
        <x:v>2.45</x:v>
      </x:c>
      <x:c r="D1186" s="11" t="n">
        <x:v>6.462</x:v>
      </x:c>
      <x:c r="E1186" s="11" t="n">
        <x:v>7.36</x:v>
      </x:c>
      <x:c r="F1186" s="11" t="n">
        <x:f>0</x:f>
        <x:v>0</x:v>
      </x:c>
      <x:c r="G1186" s="8" t="str">
        <x:v>Current</x:v>
      </x:c>
    </x:row>
    <x:row r="1187" ht="32" customHeight="1">
      <x:c r="A1187" s="8" t="str">
        <x:v>drop:DB2:L6:light:1:L176</x:v>
      </x:c>
      <x:c r="B1187" s="8" t="n">
        <x:v>2</x:v>
      </x:c>
      <x:c r="C1187" s="11" t="n">
        <x:v>2.35</x:v>
      </x:c>
      <x:c r="D1187" s="11" t="n">
        <x:v>7.65</x:v>
      </x:c>
      <x:c r="E1187" s="11" t="n">
        <x:v>7.36</x:v>
      </x:c>
      <x:c r="F1187" s="11" t="n">
        <x:f>SQRT((C1187-C1186)^2+(D1187-D1186)^2+(E1187-E1186)^2)</x:f>
        <x:v>1.1922013252802572</x:v>
      </x:c>
      <x:c r="G1187" s="8" t="str">
        <x:v>Current</x:v>
      </x:c>
    </x:row>
    <x:row r="1188" ht="32" customHeight="1">
      <x:c r="A1188" s="8" t="str">
        <x:v>drop:DB2:L6:light:1:L176</x:v>
      </x:c>
      <x:c r="B1188" s="8" t="n">
        <x:v>3</x:v>
      </x:c>
      <x:c r="C1188" s="11" t="n">
        <x:v>2.35</x:v>
      </x:c>
      <x:c r="D1188" s="11" t="n">
        <x:v>7.65</x:v>
      </x:c>
      <x:c r="E1188" s="11" t="n">
        <x:v>10.153</x:v>
      </x:c>
      <x:c r="F1188" s="11" t="n">
        <x:f>SQRT((C1188-C1187)^2+(D1188-D1187)^2+(E1188-E1187)^2)</x:f>
        <x:v>2.793</x:v>
      </x:c>
      <x:c r="G1188" s="8" t="str">
        <x:v>Current</x:v>
      </x:c>
    </x:row>
    <x:row r="1189" ht="32" customHeight="1">
      <x:c r="A1189" s="8" t="str">
        <x:v>drop:DB2:L6:light:1:L176</x:v>
      </x:c>
      <x:c r="B1189" s="8" t="n">
        <x:v>4</x:v>
      </x:c>
      <x:c r="C1189" s="11" t="n">
        <x:v>0.05</x:v>
      </x:c>
      <x:c r="D1189" s="11" t="n">
        <x:v>7.65</x:v>
      </x:c>
      <x:c r="E1189" s="11" t="n">
        <x:v>10.153</x:v>
      </x:c>
      <x:c r="F1189" s="11" t="n">
        <x:f>SQRT((C1189-C1188)^2+(D1189-D1188)^2+(E1189-E1188)^2)</x:f>
        <x:v>2.3000000000000003</x:v>
      </x:c>
      <x:c r="G1189" s="8" t="str">
        <x:v>Current</x:v>
      </x:c>
    </x:row>
    <x:row r="1190" ht="32" customHeight="1">
      <x:c r="A1190" s="8" t="str">
        <x:v>drop:DB2:L6:light:1:L176</x:v>
      </x:c>
      <x:c r="B1190" s="8" t="n">
        <x:v>5</x:v>
      </x:c>
      <x:c r="C1190" s="11" t="n">
        <x:v>0.05</x:v>
      </x:c>
      <x:c r="D1190" s="11" t="n">
        <x:v>8.39</x:v>
      </x:c>
      <x:c r="E1190" s="11" t="n">
        <x:v>10.153</x:v>
      </x:c>
      <x:c r="F1190" s="11" t="n">
        <x:f>SQRT((C1190-C1189)^2+(D1190-D1189)^2+(E1190-E1189)^2)</x:f>
        <x:v>0.7400000000000002</x:v>
      </x:c>
      <x:c r="G1190" s="8" t="str">
        <x:v>Current</x:v>
      </x:c>
    </x:row>
    <x:row r="1191" ht="32" customHeight="1">
      <x:c r="A1191" s="8" t="str">
        <x:v>drop:DB2:L6:light:1:L176</x:v>
      </x:c>
      <x:c r="B1191" s="8" t="n">
        <x:v>6</x:v>
      </x:c>
      <x:c r="C1191" s="11" t="n">
        <x:v>0.05</x:v>
      </x:c>
      <x:c r="D1191" s="11" t="n">
        <x:v>15.84</x:v>
      </x:c>
      <x:c r="E1191" s="11" t="n">
        <x:v>10.153</x:v>
      </x:c>
      <x:c r="F1191" s="11" t="n">
        <x:f>SQRT((C1191-C1190)^2+(D1191-D1190)^2+(E1191-E1190)^2)</x:f>
        <x:v>7.449999999999999</x:v>
      </x:c>
      <x:c r="G1191" s="8" t="str">
        <x:v>Current</x:v>
      </x:c>
    </x:row>
    <x:row r="1192" ht="32" customHeight="1">
      <x:c r="A1192" s="8" t="str">
        <x:v>drop:DB2:L6:light:1:L176</x:v>
      </x:c>
      <x:c r="B1192" s="8" t="n">
        <x:v>7</x:v>
      </x:c>
      <x:c r="C1192" s="11" t="n">
        <x:v>0.09</x:v>
      </x:c>
      <x:c r="D1192" s="11" t="n">
        <x:v>15.84</x:v>
      </x:c>
      <x:c r="E1192" s="11" t="n">
        <x:v>10.153</x:v>
      </x:c>
      <x:c r="F1192" s="11" t="n">
        <x:f>SQRT((C1192-C1191)^2+(D1192-D1191)^2+(E1192-E1191)^2)</x:f>
        <x:v>0.039999999999999994</x:v>
      </x:c>
      <x:c r="G1192" s="8" t="str">
        <x:v>Current</x:v>
      </x:c>
    </x:row>
    <x:row r="1193" ht="32" customHeight="1">
      <x:c r="A1193" s="8" t="str">
        <x:v>drop:DB2:L6:light:1:L176</x:v>
      </x:c>
      <x:c r="B1193" s="8" t="n">
        <x:v>8</x:v>
      </x:c>
      <x:c r="C1193" s="11" t="n">
        <x:v>0.09</x:v>
      </x:c>
      <x:c r="D1193" s="11" t="n">
        <x:v>23.14</x:v>
      </x:c>
      <x:c r="E1193" s="11" t="n">
        <x:v>10.153</x:v>
      </x:c>
      <x:c r="F1193" s="11" t="n">
        <x:f>SQRT((C1193-C1192)^2+(D1193-D1192)^2+(E1193-E1192)^2)</x:f>
        <x:v>7.300000000000001</x:v>
      </x:c>
      <x:c r="G1193" s="8" t="str">
        <x:v>Current</x:v>
      </x:c>
    </x:row>
    <x:row r="1194" ht="32" customHeight="1">
      <x:c r="A1194" s="8" t="str">
        <x:v>drop:DB2:L6:light:1:L176</x:v>
      </x:c>
      <x:c r="B1194" s="8" t="n">
        <x:v>9</x:v>
      </x:c>
      <x:c r="C1194" s="11" t="n">
        <x:v>0.19</x:v>
      </x:c>
      <x:c r="D1194" s="11" t="n">
        <x:v>23.14</x:v>
      </x:c>
      <x:c r="E1194" s="11" t="n">
        <x:v>10.153</x:v>
      </x:c>
      <x:c r="F1194" s="11" t="n">
        <x:f>SQRT((C1194-C1193)^2+(D1194-D1193)^2+(E1194-E1193)^2)</x:f>
        <x:v>0.1</x:v>
      </x:c>
      <x:c r="G1194" s="8" t="str">
        <x:v>Current</x:v>
      </x:c>
    </x:row>
    <x:row r="1195" ht="32" customHeight="1">
      <x:c r="A1195" s="8" t="str">
        <x:v>drop:DB2:L6:light:1:L176</x:v>
      </x:c>
      <x:c r="B1195" s="8" t="n">
        <x:v>10</x:v>
      </x:c>
      <x:c r="C1195" s="11" t="n">
        <x:v>0.19</x:v>
      </x:c>
      <x:c r="D1195" s="11" t="n">
        <x:v>23.2</x:v>
      </x:c>
      <x:c r="E1195" s="11" t="n">
        <x:v>10.153</x:v>
      </x:c>
      <x:c r="F1195" s="11" t="n">
        <x:f>SQRT((C1195-C1194)^2+(D1195-D1194)^2+(E1195-E1194)^2)</x:f>
        <x:v>0.05999999999999872</x:v>
      </x:c>
      <x:c r="G1195" s="8" t="str">
        <x:v>Current</x:v>
      </x:c>
    </x:row>
    <x:row r="1196" ht="32" customHeight="1">
      <x:c r="A1196" s="8" t="str">
        <x:v>drop:DB2:L6:light:1:L176</x:v>
      </x:c>
      <x:c r="B1196" s="8" t="n">
        <x:v>11</x:v>
      </x:c>
      <x:c r="C1196" s="11" t="n">
        <x:v>2.45</x:v>
      </x:c>
      <x:c r="D1196" s="11" t="n">
        <x:v>23.2</x:v>
      </x:c>
      <x:c r="E1196" s="11" t="n">
        <x:v>10.153</x:v>
      </x:c>
      <x:c r="F1196" s="11" t="n">
        <x:f>SQRT((C1196-C1195)^2+(D1196-D1195)^2+(E1196-E1195)^2)</x:f>
        <x:v>2.2600000000000002</x:v>
      </x:c>
      <x:c r="G1196" s="8" t="str">
        <x:v>Current</x:v>
      </x:c>
    </x:row>
    <x:row r="1197" ht="32" customHeight="1">
      <x:c r="A1197" s="8" t="str">
        <x:v>drop:DB2:L6:light:1:L177</x:v>
      </x:c>
      <x:c r="B1197" s="8" t="n">
        <x:v>1</x:v>
      </x:c>
      <x:c r="C1197" s="11" t="n">
        <x:v>3.0500000000000003</x:v>
      </x:c>
      <x:c r="D1197" s="11" t="n">
        <x:v>6.462</x:v>
      </x:c>
      <x:c r="E1197" s="11" t="n">
        <x:v>7.36</x:v>
      </x:c>
      <x:c r="F1197" s="11" t="n">
        <x:f>0</x:f>
        <x:v>0</x:v>
      </x:c>
      <x:c r="G1197" s="8" t="str">
        <x:v>Current</x:v>
      </x:c>
    </x:row>
    <x:row r="1198" ht="32" customHeight="1">
      <x:c r="A1198" s="8" t="str">
        <x:v>drop:DB2:L6:light:1:L177</x:v>
      </x:c>
      <x:c r="B1198" s="8" t="n">
        <x:v>2</x:v>
      </x:c>
      <x:c r="C1198" s="11" t="n">
        <x:v>2.35</x:v>
      </x:c>
      <x:c r="D1198" s="11" t="n">
        <x:v>7.65</x:v>
      </x:c>
      <x:c r="E1198" s="11" t="n">
        <x:v>7.36</x:v>
      </x:c>
      <x:c r="F1198" s="11" t="n">
        <x:f>SQRT((C1198-C1197)^2+(D1198-D1197)^2+(E1198-E1197)^2)</x:f>
        <x:v>1.3788923090655056</x:v>
      </x:c>
      <x:c r="G1198" s="8" t="str">
        <x:v>Current</x:v>
      </x:c>
    </x:row>
    <x:row r="1199" ht="32" customHeight="1">
      <x:c r="A1199" s="8" t="str">
        <x:v>drop:DB2:L6:light:1:L177</x:v>
      </x:c>
      <x:c r="B1199" s="8" t="n">
        <x:v>3</x:v>
      </x:c>
      <x:c r="C1199" s="11" t="n">
        <x:v>2.35</x:v>
      </x:c>
      <x:c r="D1199" s="11" t="n">
        <x:v>7.65</x:v>
      </x:c>
      <x:c r="E1199" s="11" t="n">
        <x:v>10.153</x:v>
      </x:c>
      <x:c r="F1199" s="11" t="n">
        <x:f>SQRT((C1199-C1198)^2+(D1199-D1198)^2+(E1199-E1198)^2)</x:f>
        <x:v>2.793</x:v>
      </x:c>
      <x:c r="G1199" s="8" t="str">
        <x:v>Current</x:v>
      </x:c>
    </x:row>
    <x:row r="1200" ht="32" customHeight="1">
      <x:c r="A1200" s="8" t="str">
        <x:v>drop:DB2:L6:light:1:L177</x:v>
      </x:c>
      <x:c r="B1200" s="8" t="n">
        <x:v>4</x:v>
      </x:c>
      <x:c r="C1200" s="11" t="n">
        <x:v>0.05</x:v>
      </x:c>
      <x:c r="D1200" s="11" t="n">
        <x:v>7.65</x:v>
      </x:c>
      <x:c r="E1200" s="11" t="n">
        <x:v>10.153</x:v>
      </x:c>
      <x:c r="F1200" s="11" t="n">
        <x:f>SQRT((C1200-C1199)^2+(D1200-D1199)^2+(E1200-E1199)^2)</x:f>
        <x:v>2.3000000000000003</x:v>
      </x:c>
      <x:c r="G1200" s="8" t="str">
        <x:v>Current</x:v>
      </x:c>
    </x:row>
    <x:row r="1201" ht="32" customHeight="1">
      <x:c r="A1201" s="8" t="str">
        <x:v>drop:DB2:L6:light:1:L177</x:v>
      </x:c>
      <x:c r="B1201" s="8" t="n">
        <x:v>5</x:v>
      </x:c>
      <x:c r="C1201" s="11" t="n">
        <x:v>0.05</x:v>
      </x:c>
      <x:c r="D1201" s="11" t="n">
        <x:v>8.39</x:v>
      </x:c>
      <x:c r="E1201" s="11" t="n">
        <x:v>10.153</x:v>
      </x:c>
      <x:c r="F1201" s="11" t="n">
        <x:f>SQRT((C1201-C1200)^2+(D1201-D1200)^2+(E1201-E1200)^2)</x:f>
        <x:v>0.7400000000000002</x:v>
      </x:c>
      <x:c r="G1201" s="8" t="str">
        <x:v>Current</x:v>
      </x:c>
    </x:row>
    <x:row r="1202" ht="32" customHeight="1">
      <x:c r="A1202" s="8" t="str">
        <x:v>drop:DB2:L6:light:1:L177</x:v>
      </x:c>
      <x:c r="B1202" s="8" t="n">
        <x:v>6</x:v>
      </x:c>
      <x:c r="C1202" s="11" t="n">
        <x:v>0.05</x:v>
      </x:c>
      <x:c r="D1202" s="11" t="n">
        <x:v>8.4</x:v>
      </x:c>
      <x:c r="E1202" s="11" t="n">
        <x:v>10.153</x:v>
      </x:c>
      <x:c r="F1202" s="11" t="n">
        <x:f>SQRT((C1202-C1201)^2+(D1202-D1201)^2+(E1202-E1201)^2)</x:f>
        <x:v>0.009999999999999787</x:v>
      </x:c>
      <x:c r="G1202" s="8" t="str">
        <x:v>Current</x:v>
      </x:c>
    </x:row>
    <x:row r="1203" ht="32" customHeight="1">
      <x:c r="A1203" s="8" t="str">
        <x:v>drop:DB2:L6:light:1:L177</x:v>
      </x:c>
      <x:c r="B1203" s="8" t="n">
        <x:v>7</x:v>
      </x:c>
      <x:c r="C1203" s="11" t="n">
        <x:v>3.0500000000000003</x:v>
      </x:c>
      <x:c r="D1203" s="11" t="n">
        <x:v>8.4</x:v>
      </x:c>
      <x:c r="E1203" s="11" t="n">
        <x:v>10.153</x:v>
      </x:c>
      <x:c r="F1203" s="11" t="n">
        <x:f>SQRT((C1203-C1202)^2+(D1203-D1202)^2+(E1203-E1202)^2)</x:f>
        <x:v>3.0000000000000004</x:v>
      </x:c>
      <x:c r="G1203" s="8" t="str">
        <x:v>Current</x:v>
      </x:c>
    </x:row>
    <x:row r="1204" ht="32" customHeight="1">
      <x:c r="A1204" s="8" t="str">
        <x:v>drop:DB2:L6:light:1:L177</x:v>
      </x:c>
      <x:c r="B1204" s="8" t="n">
        <x:v>8</x:v>
      </x:c>
      <x:c r="C1204" s="11" t="n">
        <x:v>3.0500000000000003</x:v>
      </x:c>
      <x:c r="D1204" s="11" t="n">
        <x:v>8.4</x:v>
      </x:c>
      <x:c r="E1204" s="11" t="n">
        <x:v>12.738</x:v>
      </x:c>
      <x:c r="F1204" s="11" t="n">
        <x:f>SQRT((C1204-C1203)^2+(D1204-D1203)^2+(E1204-E1203)^2)</x:f>
        <x:v>2.584999999999999</x:v>
      </x:c>
      <x:c r="G1204" s="8" t="str">
        <x:v>Current</x:v>
      </x:c>
    </x:row>
    <x:row r="1205" ht="32" customHeight="1">
      <x:c r="A1205" s="8" t="str">
        <x:v>drop:DB2:L6:light:1:L178</x:v>
      </x:c>
      <x:c r="B1205" s="8" t="n">
        <x:v>1</x:v>
      </x:c>
      <x:c r="C1205" s="11" t="n">
        <x:v>2.45</x:v>
      </x:c>
      <x:c r="D1205" s="11" t="n">
        <x:v>6.462</x:v>
      </x:c>
      <x:c r="E1205" s="11" t="n">
        <x:v>7.36</x:v>
      </x:c>
      <x:c r="F1205" s="11" t="n">
        <x:f>0</x:f>
        <x:v>0</x:v>
      </x:c>
      <x:c r="G1205" s="8" t="str">
        <x:v>Current</x:v>
      </x:c>
    </x:row>
    <x:row r="1206" ht="32" customHeight="1">
      <x:c r="A1206" s="8" t="str">
        <x:v>drop:DB2:L6:light:1:L178</x:v>
      </x:c>
      <x:c r="B1206" s="8" t="n">
        <x:v>2</x:v>
      </x:c>
      <x:c r="C1206" s="11" t="n">
        <x:v>2.35</x:v>
      </x:c>
      <x:c r="D1206" s="11" t="n">
        <x:v>7.65</x:v>
      </x:c>
      <x:c r="E1206" s="11" t="n">
        <x:v>7.36</x:v>
      </x:c>
      <x:c r="F1206" s="11" t="n">
        <x:f>SQRT((C1206-C1205)^2+(D1206-D1205)^2+(E1206-E1205)^2)</x:f>
        <x:v>1.1922013252802572</x:v>
      </x:c>
      <x:c r="G1206" s="8" t="str">
        <x:v>Current</x:v>
      </x:c>
    </x:row>
    <x:row r="1207" ht="32" customHeight="1">
      <x:c r="A1207" s="8" t="str">
        <x:v>drop:DB2:L6:light:1:L178</x:v>
      </x:c>
      <x:c r="B1207" s="8" t="n">
        <x:v>3</x:v>
      </x:c>
      <x:c r="C1207" s="11" t="n">
        <x:v>2.35</x:v>
      </x:c>
      <x:c r="D1207" s="11" t="n">
        <x:v>7.65</x:v>
      </x:c>
      <x:c r="E1207" s="11" t="n">
        <x:v>10.153</x:v>
      </x:c>
      <x:c r="F1207" s="11" t="n">
        <x:f>SQRT((C1207-C1206)^2+(D1207-D1206)^2+(E1207-E1206)^2)</x:f>
        <x:v>2.793</x:v>
      </x:c>
      <x:c r="G1207" s="8" t="str">
        <x:v>Current</x:v>
      </x:c>
    </x:row>
    <x:row r="1208" ht="32" customHeight="1">
      <x:c r="A1208" s="8" t="str">
        <x:v>drop:DB2:L6:light:1:L178</x:v>
      </x:c>
      <x:c r="B1208" s="8" t="n">
        <x:v>4</x:v>
      </x:c>
      <x:c r="C1208" s="11" t="n">
        <x:v>0.05</x:v>
      </x:c>
      <x:c r="D1208" s="11" t="n">
        <x:v>7.65</x:v>
      </x:c>
      <x:c r="E1208" s="11" t="n">
        <x:v>10.153</x:v>
      </x:c>
      <x:c r="F1208" s="11" t="n">
        <x:f>SQRT((C1208-C1207)^2+(D1208-D1207)^2+(E1208-E1207)^2)</x:f>
        <x:v>2.3000000000000003</x:v>
      </x:c>
      <x:c r="G1208" s="8" t="str">
        <x:v>Current</x:v>
      </x:c>
    </x:row>
    <x:row r="1209" ht="32" customHeight="1">
      <x:c r="A1209" s="8" t="str">
        <x:v>drop:DB2:L6:light:1:L178</x:v>
      </x:c>
      <x:c r="B1209" s="8" t="n">
        <x:v>5</x:v>
      </x:c>
      <x:c r="C1209" s="11" t="n">
        <x:v>0.05</x:v>
      </x:c>
      <x:c r="D1209" s="11" t="n">
        <x:v>8.39</x:v>
      </x:c>
      <x:c r="E1209" s="11" t="n">
        <x:v>10.153</x:v>
      </x:c>
      <x:c r="F1209" s="11" t="n">
        <x:f>SQRT((C1209-C1208)^2+(D1209-D1208)^2+(E1209-E1208)^2)</x:f>
        <x:v>0.7400000000000002</x:v>
      </x:c>
      <x:c r="G1209" s="8" t="str">
        <x:v>Current</x:v>
      </x:c>
    </x:row>
    <x:row r="1210" ht="32" customHeight="1">
      <x:c r="A1210" s="8" t="str">
        <x:v>drop:DB2:L6:light:1:L178</x:v>
      </x:c>
      <x:c r="B1210" s="8" t="n">
        <x:v>6</x:v>
      </x:c>
      <x:c r="C1210" s="11" t="n">
        <x:v>0.05</x:v>
      </x:c>
      <x:c r="D1210" s="11" t="n">
        <x:v>8.4</x:v>
      </x:c>
      <x:c r="E1210" s="11" t="n">
        <x:v>10.153</x:v>
      </x:c>
      <x:c r="F1210" s="11" t="n">
        <x:f>SQRT((C1210-C1209)^2+(D1210-D1209)^2+(E1210-E1209)^2)</x:f>
        <x:v>0.009999999999999787</x:v>
      </x:c>
      <x:c r="G1210" s="8" t="str">
        <x:v>Current</x:v>
      </x:c>
    </x:row>
    <x:row r="1211" ht="32" customHeight="1">
      <x:c r="A1211" s="8" t="str">
        <x:v>drop:DB2:L6:light:1:L178</x:v>
      </x:c>
      <x:c r="B1211" s="8" t="n">
        <x:v>7</x:v>
      </x:c>
      <x:c r="C1211" s="11" t="n">
        <x:v>2.45</x:v>
      </x:c>
      <x:c r="D1211" s="11" t="n">
        <x:v>8.4</x:v>
      </x:c>
      <x:c r="E1211" s="11" t="n">
        <x:v>10.153</x:v>
      </x:c>
      <x:c r="F1211" s="11" t="n">
        <x:f>SQRT((C1211-C1210)^2+(D1211-D1210)^2+(E1211-E1210)^2)</x:f>
        <x:v>2.4000000000000004</x:v>
      </x:c>
      <x:c r="G1211" s="8" t="str">
        <x:v>Current</x:v>
      </x:c>
    </x:row>
    <x:row r="1212" ht="32" customHeight="1">
      <x:c r="A1212" s="8" t="str">
        <x:v>drop:DB2:L6:light:1:L178</x:v>
      </x:c>
      <x:c r="B1212" s="8" t="n">
        <x:v>8</x:v>
      </x:c>
      <x:c r="C1212" s="11" t="n">
        <x:v>2.45</x:v>
      </x:c>
      <x:c r="D1212" s="11" t="n">
        <x:v>8.4</x:v>
      </x:c>
      <x:c r="E1212" s="11" t="n">
        <x:v>12.738</x:v>
      </x:c>
      <x:c r="F1212" s="11" t="n">
        <x:f>SQRT((C1212-C1211)^2+(D1212-D1211)^2+(E1212-E1211)^2)</x:f>
        <x:v>2.584999999999999</x:v>
      </x:c>
      <x:c r="G1212" s="8" t="str">
        <x:v>Current</x:v>
      </x:c>
    </x:row>
    <x:row r="1213" ht="32" customHeight="1">
      <x:c r="A1213" s="8" t="str">
        <x:v>drop:DB2:L6:light:1:L179</x:v>
      </x:c>
      <x:c r="B1213" s="8" t="n">
        <x:v>1</x:v>
      </x:c>
      <x:c r="C1213" s="11" t="n">
        <x:v>2.45</x:v>
      </x:c>
      <x:c r="D1213" s="11" t="n">
        <x:v>6.462</x:v>
      </x:c>
      <x:c r="E1213" s="11" t="n">
        <x:v>7.36</x:v>
      </x:c>
      <x:c r="F1213" s="11" t="n">
        <x:f>0</x:f>
        <x:v>0</x:v>
      </x:c>
      <x:c r="G1213" s="8" t="str">
        <x:v>Current</x:v>
      </x:c>
    </x:row>
    <x:row r="1214" ht="32" customHeight="1">
      <x:c r="A1214" s="8" t="str">
        <x:v>drop:DB2:L6:light:1:L179</x:v>
      </x:c>
      <x:c r="B1214" s="8" t="n">
        <x:v>2</x:v>
      </x:c>
      <x:c r="C1214" s="11" t="n">
        <x:v>2.35</x:v>
      </x:c>
      <x:c r="D1214" s="11" t="n">
        <x:v>7.65</x:v>
      </x:c>
      <x:c r="E1214" s="11" t="n">
        <x:v>7.36</x:v>
      </x:c>
      <x:c r="F1214" s="11" t="n">
        <x:f>SQRT((C1214-C1213)^2+(D1214-D1213)^2+(E1214-E1213)^2)</x:f>
        <x:v>1.1922013252802572</x:v>
      </x:c>
      <x:c r="G1214" s="8" t="str">
        <x:v>Current</x:v>
      </x:c>
    </x:row>
    <x:row r="1215" ht="32" customHeight="1">
      <x:c r="A1215" s="8" t="str">
        <x:v>drop:DB2:L6:light:1:L179</x:v>
      </x:c>
      <x:c r="B1215" s="8" t="n">
        <x:v>3</x:v>
      </x:c>
      <x:c r="C1215" s="11" t="n">
        <x:v>2.35</x:v>
      </x:c>
      <x:c r="D1215" s="11" t="n">
        <x:v>7.65</x:v>
      </x:c>
      <x:c r="E1215" s="11" t="n">
        <x:v>10.153</x:v>
      </x:c>
      <x:c r="F1215" s="11" t="n">
        <x:f>SQRT((C1215-C1214)^2+(D1215-D1214)^2+(E1215-E1214)^2)</x:f>
        <x:v>2.793</x:v>
      </x:c>
      <x:c r="G1215" s="8" t="str">
        <x:v>Current</x:v>
      </x:c>
    </x:row>
    <x:row r="1216" ht="32" customHeight="1">
      <x:c r="A1216" s="8" t="str">
        <x:v>drop:DB2:L6:light:1:L179</x:v>
      </x:c>
      <x:c r="B1216" s="8" t="n">
        <x:v>4</x:v>
      </x:c>
      <x:c r="C1216" s="11" t="n">
        <x:v>0.05</x:v>
      </x:c>
      <x:c r="D1216" s="11" t="n">
        <x:v>7.65</x:v>
      </x:c>
      <x:c r="E1216" s="11" t="n">
        <x:v>10.153</x:v>
      </x:c>
      <x:c r="F1216" s="11" t="n">
        <x:f>SQRT((C1216-C1215)^2+(D1216-D1215)^2+(E1216-E1215)^2)</x:f>
        <x:v>2.3000000000000003</x:v>
      </x:c>
      <x:c r="G1216" s="8" t="str">
        <x:v>Current</x:v>
      </x:c>
    </x:row>
    <x:row r="1217" ht="32" customHeight="1">
      <x:c r="A1217" s="8" t="str">
        <x:v>drop:DB2:L6:light:1:L179</x:v>
      </x:c>
      <x:c r="B1217" s="8" t="n">
        <x:v>5</x:v>
      </x:c>
      <x:c r="C1217" s="11" t="n">
        <x:v>0.05</x:v>
      </x:c>
      <x:c r="D1217" s="11" t="n">
        <x:v>8.39</x:v>
      </x:c>
      <x:c r="E1217" s="11" t="n">
        <x:v>10.153</x:v>
      </x:c>
      <x:c r="F1217" s="11" t="n">
        <x:f>SQRT((C1217-C1216)^2+(D1217-D1216)^2+(E1217-E1216)^2)</x:f>
        <x:v>0.7400000000000002</x:v>
      </x:c>
      <x:c r="G1217" s="8" t="str">
        <x:v>Current</x:v>
      </x:c>
    </x:row>
    <x:row r="1218" ht="32" customHeight="1">
      <x:c r="A1218" s="8" t="str">
        <x:v>drop:DB2:L6:light:1:L179</x:v>
      </x:c>
      <x:c r="B1218" s="8" t="n">
        <x:v>6</x:v>
      </x:c>
      <x:c r="C1218" s="11" t="n">
        <x:v>0.05</x:v>
      </x:c>
      <x:c r="D1218" s="11" t="n">
        <x:v>15.84</x:v>
      </x:c>
      <x:c r="E1218" s="11" t="n">
        <x:v>10.153</x:v>
      </x:c>
      <x:c r="F1218" s="11" t="n">
        <x:f>SQRT((C1218-C1217)^2+(D1218-D1217)^2+(E1218-E1217)^2)</x:f>
        <x:v>7.449999999999999</x:v>
      </x:c>
      <x:c r="G1218" s="8" t="str">
        <x:v>Current</x:v>
      </x:c>
    </x:row>
    <x:row r="1219" ht="32" customHeight="1">
      <x:c r="A1219" s="8" t="str">
        <x:v>drop:DB2:L6:light:1:L179</x:v>
      </x:c>
      <x:c r="B1219" s="8" t="n">
        <x:v>7</x:v>
      </x:c>
      <x:c r="C1219" s="11" t="n">
        <x:v>0.09</x:v>
      </x:c>
      <x:c r="D1219" s="11" t="n">
        <x:v>15.84</x:v>
      </x:c>
      <x:c r="E1219" s="11" t="n">
        <x:v>10.153</x:v>
      </x:c>
      <x:c r="F1219" s="11" t="n">
        <x:f>SQRT((C1219-C1218)^2+(D1219-D1218)^2+(E1219-E1218)^2)</x:f>
        <x:v>0.039999999999999994</x:v>
      </x:c>
      <x:c r="G1219" s="8" t="str">
        <x:v>Current</x:v>
      </x:c>
    </x:row>
    <x:row r="1220" ht="32" customHeight="1">
      <x:c r="A1220" s="8" t="str">
        <x:v>drop:DB2:L6:light:1:L179</x:v>
      </x:c>
      <x:c r="B1220" s="8" t="n">
        <x:v>8</x:v>
      </x:c>
      <x:c r="C1220" s="11" t="n">
        <x:v>0.09</x:v>
      </x:c>
      <x:c r="D1220" s="11" t="n">
        <x:v>15.88</x:v>
      </x:c>
      <x:c r="E1220" s="11" t="n">
        <x:v>10.153</x:v>
      </x:c>
      <x:c r="F1220" s="11" t="n">
        <x:f>SQRT((C1220-C1219)^2+(D1220-D1219)^2+(E1220-E1219)^2)</x:f>
        <x:v>0.040000000000000924</x:v>
      </x:c>
      <x:c r="G1220" s="8" t="str">
        <x:v>Current</x:v>
      </x:c>
    </x:row>
    <x:row r="1221" ht="32" customHeight="1">
      <x:c r="A1221" s="8" t="str">
        <x:v>drop:DB2:L6:light:1:L179</x:v>
      </x:c>
      <x:c r="B1221" s="8" t="n">
        <x:v>9</x:v>
      </x:c>
      <x:c r="C1221" s="11" t="n">
        <x:v>2.45</x:v>
      </x:c>
      <x:c r="D1221" s="11" t="n">
        <x:v>15.88</x:v>
      </x:c>
      <x:c r="E1221" s="11" t="n">
        <x:v>10.153</x:v>
      </x:c>
      <x:c r="F1221" s="11" t="n">
        <x:f>SQRT((C1221-C1220)^2+(D1221-D1220)^2+(E1221-E1220)^2)</x:f>
        <x:v>2.3600000000000003</x:v>
      </x:c>
      <x:c r="G1221" s="8" t="str">
        <x:v>Current</x:v>
      </x:c>
    </x:row>
    <x:row r="1222" ht="32" customHeight="1">
      <x:c r="A1222" s="8" t="str">
        <x:v>drop:DB2:L6:light:1:L179</x:v>
      </x:c>
      <x:c r="B1222" s="8" t="n">
        <x:v>10</x:v>
      </x:c>
      <x:c r="C1222" s="11" t="n">
        <x:v>2.45</x:v>
      </x:c>
      <x:c r="D1222" s="11" t="n">
        <x:v>15.88</x:v>
      </x:c>
      <x:c r="E1222" s="11" t="n">
        <x:v>12.613</x:v>
      </x:c>
      <x:c r="F1222" s="11" t="n">
        <x:f>SQRT((C1222-C1221)^2+(D1222-D1221)^2+(E1222-E1221)^2)</x:f>
        <x:v>2.459999999999999</x:v>
      </x:c>
      <x:c r="G1222" s="8" t="str">
        <x:v>Current</x:v>
      </x:c>
    </x:row>
    <x:row r="1223" ht="32" customHeight="1">
      <x:c r="A1223" s="8" t="str">
        <x:v>drop:DB2:L6:light:1:L180</x:v>
      </x:c>
      <x:c r="B1223" s="8" t="n">
        <x:v>1</x:v>
      </x:c>
      <x:c r="C1223" s="11" t="n">
        <x:v>2.45</x:v>
      </x:c>
      <x:c r="D1223" s="11" t="n">
        <x:v>6.462</x:v>
      </x:c>
      <x:c r="E1223" s="11" t="n">
        <x:v>7.36</x:v>
      </x:c>
      <x:c r="F1223" s="11" t="n">
        <x:f>0</x:f>
        <x:v>0</x:v>
      </x:c>
      <x:c r="G1223" s="8" t="str">
        <x:v>Current</x:v>
      </x:c>
    </x:row>
    <x:row r="1224" ht="32" customHeight="1">
      <x:c r="A1224" s="8" t="str">
        <x:v>drop:DB2:L6:light:1:L180</x:v>
      </x:c>
      <x:c r="B1224" s="8" t="n">
        <x:v>2</x:v>
      </x:c>
      <x:c r="C1224" s="11" t="n">
        <x:v>2.35</x:v>
      </x:c>
      <x:c r="D1224" s="11" t="n">
        <x:v>7.65</x:v>
      </x:c>
      <x:c r="E1224" s="11" t="n">
        <x:v>7.36</x:v>
      </x:c>
      <x:c r="F1224" s="11" t="n">
        <x:f>SQRT((C1224-C1223)^2+(D1224-D1223)^2+(E1224-E1223)^2)</x:f>
        <x:v>1.1922013252802572</x:v>
      </x:c>
      <x:c r="G1224" s="8" t="str">
        <x:v>Current</x:v>
      </x:c>
    </x:row>
    <x:row r="1225" ht="32" customHeight="1">
      <x:c r="A1225" s="8" t="str">
        <x:v>drop:DB2:L6:light:1:L180</x:v>
      </x:c>
      <x:c r="B1225" s="8" t="n">
        <x:v>3</x:v>
      </x:c>
      <x:c r="C1225" s="11" t="n">
        <x:v>2.35</x:v>
      </x:c>
      <x:c r="D1225" s="11" t="n">
        <x:v>7.65</x:v>
      </x:c>
      <x:c r="E1225" s="11" t="n">
        <x:v>10.153</x:v>
      </x:c>
      <x:c r="F1225" s="11" t="n">
        <x:f>SQRT((C1225-C1224)^2+(D1225-D1224)^2+(E1225-E1224)^2)</x:f>
        <x:v>2.793</x:v>
      </x:c>
      <x:c r="G1225" s="8" t="str">
        <x:v>Current</x:v>
      </x:c>
    </x:row>
    <x:row r="1226" ht="32" customHeight="1">
      <x:c r="A1226" s="8" t="str">
        <x:v>drop:DB2:L6:light:1:L180</x:v>
      </x:c>
      <x:c r="B1226" s="8" t="n">
        <x:v>4</x:v>
      </x:c>
      <x:c r="C1226" s="11" t="n">
        <x:v>0.05</x:v>
      </x:c>
      <x:c r="D1226" s="11" t="n">
        <x:v>7.65</x:v>
      </x:c>
      <x:c r="E1226" s="11" t="n">
        <x:v>10.153</x:v>
      </x:c>
      <x:c r="F1226" s="11" t="n">
        <x:f>SQRT((C1226-C1225)^2+(D1226-D1225)^2+(E1226-E1225)^2)</x:f>
        <x:v>2.3000000000000003</x:v>
      </x:c>
      <x:c r="G1226" s="8" t="str">
        <x:v>Current</x:v>
      </x:c>
    </x:row>
    <x:row r="1227" ht="32" customHeight="1">
      <x:c r="A1227" s="8" t="str">
        <x:v>drop:DB2:L6:light:1:L180</x:v>
      </x:c>
      <x:c r="B1227" s="8" t="n">
        <x:v>5</x:v>
      </x:c>
      <x:c r="C1227" s="11" t="n">
        <x:v>0.05</x:v>
      </x:c>
      <x:c r="D1227" s="11" t="n">
        <x:v>8.39</x:v>
      </x:c>
      <x:c r="E1227" s="11" t="n">
        <x:v>10.153</x:v>
      </x:c>
      <x:c r="F1227" s="11" t="n">
        <x:f>SQRT((C1227-C1226)^2+(D1227-D1226)^2+(E1227-E1226)^2)</x:f>
        <x:v>0.7400000000000002</x:v>
      </x:c>
      <x:c r="G1227" s="8" t="str">
        <x:v>Current</x:v>
      </x:c>
    </x:row>
    <x:row r="1228" ht="32" customHeight="1">
      <x:c r="A1228" s="8" t="str">
        <x:v>drop:DB2:L6:light:1:L180</x:v>
      </x:c>
      <x:c r="B1228" s="8" t="n">
        <x:v>6</x:v>
      </x:c>
      <x:c r="C1228" s="11" t="n">
        <x:v>0.05</x:v>
      </x:c>
      <x:c r="D1228" s="11" t="n">
        <x:v>15.84</x:v>
      </x:c>
      <x:c r="E1228" s="11" t="n">
        <x:v>10.153</x:v>
      </x:c>
      <x:c r="F1228" s="11" t="n">
        <x:f>SQRT((C1228-C1227)^2+(D1228-D1227)^2+(E1228-E1227)^2)</x:f>
        <x:v>7.449999999999999</x:v>
      </x:c>
      <x:c r="G1228" s="8" t="str">
        <x:v>Current</x:v>
      </x:c>
    </x:row>
    <x:row r="1229" ht="32" customHeight="1">
      <x:c r="A1229" s="8" t="str">
        <x:v>drop:DB2:L6:light:1:L180</x:v>
      </x:c>
      <x:c r="B1229" s="8" t="n">
        <x:v>7</x:v>
      </x:c>
      <x:c r="C1229" s="11" t="n">
        <x:v>0.09</x:v>
      </x:c>
      <x:c r="D1229" s="11" t="n">
        <x:v>15.84</x:v>
      </x:c>
      <x:c r="E1229" s="11" t="n">
        <x:v>10.153</x:v>
      </x:c>
      <x:c r="F1229" s="11" t="n">
        <x:f>SQRT((C1229-C1228)^2+(D1229-D1228)^2+(E1229-E1228)^2)</x:f>
        <x:v>0.039999999999999994</x:v>
      </x:c>
      <x:c r="G1229" s="8" t="str">
        <x:v>Current</x:v>
      </x:c>
    </x:row>
    <x:row r="1230" ht="32" customHeight="1">
      <x:c r="A1230" s="8" t="str">
        <x:v>drop:DB2:L6:light:1:L180</x:v>
      </x:c>
      <x:c r="B1230" s="8" t="n">
        <x:v>8</x:v>
      </x:c>
      <x:c r="C1230" s="11" t="n">
        <x:v>0.09</x:v>
      </x:c>
      <x:c r="D1230" s="11" t="n">
        <x:v>23.14</x:v>
      </x:c>
      <x:c r="E1230" s="11" t="n">
        <x:v>10.153</x:v>
      </x:c>
      <x:c r="F1230" s="11" t="n">
        <x:f>SQRT((C1230-C1229)^2+(D1230-D1229)^2+(E1230-E1229)^2)</x:f>
        <x:v>7.300000000000001</x:v>
      </x:c>
      <x:c r="G1230" s="8" t="str">
        <x:v>Current</x:v>
      </x:c>
    </x:row>
    <x:row r="1231" ht="32" customHeight="1">
      <x:c r="A1231" s="8" t="str">
        <x:v>drop:DB2:L6:light:1:L180</x:v>
      </x:c>
      <x:c r="B1231" s="8" t="n">
        <x:v>9</x:v>
      </x:c>
      <x:c r="C1231" s="11" t="n">
        <x:v>0.19</x:v>
      </x:c>
      <x:c r="D1231" s="11" t="n">
        <x:v>23.14</x:v>
      </x:c>
      <x:c r="E1231" s="11" t="n">
        <x:v>10.153</x:v>
      </x:c>
      <x:c r="F1231" s="11" t="n">
        <x:f>SQRT((C1231-C1230)^2+(D1231-D1230)^2+(E1231-E1230)^2)</x:f>
        <x:v>0.1</x:v>
      </x:c>
      <x:c r="G1231" s="8" t="str">
        <x:v>Current</x:v>
      </x:c>
    </x:row>
    <x:row r="1232" ht="32" customHeight="1">
      <x:c r="A1232" s="8" t="str">
        <x:v>drop:DB2:L6:light:1:L180</x:v>
      </x:c>
      <x:c r="B1232" s="8" t="n">
        <x:v>10</x:v>
      </x:c>
      <x:c r="C1232" s="11" t="n">
        <x:v>0.19</x:v>
      </x:c>
      <x:c r="D1232" s="11" t="n">
        <x:v>23.2</x:v>
      </x:c>
      <x:c r="E1232" s="11" t="n">
        <x:v>10.153</x:v>
      </x:c>
      <x:c r="F1232" s="11" t="n">
        <x:f>SQRT((C1232-C1231)^2+(D1232-D1231)^2+(E1232-E1231)^2)</x:f>
        <x:v>0.05999999999999872</x:v>
      </x:c>
      <x:c r="G1232" s="8" t="str">
        <x:v>Current</x:v>
      </x:c>
    </x:row>
    <x:row r="1233" ht="32" customHeight="1">
      <x:c r="A1233" s="8" t="str">
        <x:v>drop:DB2:L6:light:1:L180</x:v>
      </x:c>
      <x:c r="B1233" s="8" t="n">
        <x:v>11</x:v>
      </x:c>
      <x:c r="C1233" s="11" t="n">
        <x:v>2.45</x:v>
      </x:c>
      <x:c r="D1233" s="11" t="n">
        <x:v>23.2</x:v>
      </x:c>
      <x:c r="E1233" s="11" t="n">
        <x:v>10.153</x:v>
      </x:c>
      <x:c r="F1233" s="11" t="n">
        <x:f>SQRT((C1233-C1232)^2+(D1233-D1232)^2+(E1233-E1232)^2)</x:f>
        <x:v>2.2600000000000002</x:v>
      </x:c>
      <x:c r="G1233" s="8" t="str">
        <x:v>Current</x:v>
      </x:c>
    </x:row>
    <x:row r="1234" ht="32" customHeight="1">
      <x:c r="A1234" s="8" t="str">
        <x:v>drop:DB2:L6:light:1:L180</x:v>
      </x:c>
      <x:c r="B1234" s="8" t="n">
        <x:v>12</x:v>
      </x:c>
      <x:c r="C1234" s="11" t="n">
        <x:v>2.45</x:v>
      </x:c>
      <x:c r="D1234" s="11" t="n">
        <x:v>23.2</x:v>
      </x:c>
      <x:c r="E1234" s="11" t="n">
        <x:v>12.513</x:v>
      </x:c>
      <x:c r="F1234" s="11" t="n">
        <x:f>SQRT((C1234-C1233)^2+(D1234-D1233)^2+(E1234-E1233)^2)</x:f>
        <x:v>2.3599999999999994</x:v>
      </x:c>
      <x:c r="G1234" s="8" t="str">
        <x:v>Current</x:v>
      </x:c>
    </x:row>
    <x:row r="1235" ht="32" customHeight="1">
      <x:c r="A1235" s="8" t="str">
        <x:v>drop:DB2:L6:light:1:L181</x:v>
      </x:c>
      <x:c r="B1235" s="8" t="n">
        <x:v>1</x:v>
      </x:c>
      <x:c r="C1235" s="11" t="n">
        <x:v>2.35</x:v>
      </x:c>
      <x:c r="D1235" s="11" t="n">
        <x:v>6.462</x:v>
      </x:c>
      <x:c r="E1235" s="11" t="n">
        <x:v>7.36</x:v>
      </x:c>
      <x:c r="F1235" s="11" t="n">
        <x:f>0</x:f>
        <x:v>0</x:v>
      </x:c>
      <x:c r="G1235" s="8" t="str">
        <x:v>Current</x:v>
      </x:c>
    </x:row>
    <x:row r="1236" ht="32" customHeight="1">
      <x:c r="A1236" s="8" t="str">
        <x:v>drop:DB2:L6:light:1:L181</x:v>
      </x:c>
      <x:c r="B1236" s="8" t="n">
        <x:v>2</x:v>
      </x:c>
      <x:c r="C1236" s="11" t="n">
        <x:v>2.35</x:v>
      </x:c>
      <x:c r="D1236" s="11" t="n">
        <x:v>7.65</x:v>
      </x:c>
      <x:c r="E1236" s="11" t="n">
        <x:v>7.36</x:v>
      </x:c>
      <x:c r="F1236" s="11" t="n">
        <x:f>SQRT((C1236-C1235)^2+(D1236-D1235)^2+(E1236-E1235)^2)</x:f>
        <x:v>1.1880000000000006</x:v>
      </x:c>
      <x:c r="G1236" s="8" t="str">
        <x:v>Current</x:v>
      </x:c>
    </x:row>
    <x:row r="1237" ht="32" customHeight="1">
      <x:c r="A1237" s="8" t="str">
        <x:v>drop:DB2:L6:light:1:L181</x:v>
      </x:c>
      <x:c r="B1237" s="8" t="n">
        <x:v>3</x:v>
      </x:c>
      <x:c r="C1237" s="11" t="n">
        <x:v>2.35</x:v>
      </x:c>
      <x:c r="D1237" s="11" t="n">
        <x:v>7.65</x:v>
      </x:c>
      <x:c r="E1237" s="11" t="n">
        <x:v>10.153</x:v>
      </x:c>
      <x:c r="F1237" s="11" t="n">
        <x:f>SQRT((C1237-C1236)^2+(D1237-D1236)^2+(E1237-E1236)^2)</x:f>
        <x:v>2.793</x:v>
      </x:c>
      <x:c r="G1237" s="8" t="str">
        <x:v>Current</x:v>
      </x:c>
    </x:row>
    <x:row r="1238" ht="32" customHeight="1">
      <x:c r="A1238" s="8" t="str">
        <x:v>drop:DB2:L6:light:1:L181</x:v>
      </x:c>
      <x:c r="B1238" s="8" t="n">
        <x:v>4</x:v>
      </x:c>
      <x:c r="C1238" s="11" t="n">
        <x:v>0.05</x:v>
      </x:c>
      <x:c r="D1238" s="11" t="n">
        <x:v>7.65</x:v>
      </x:c>
      <x:c r="E1238" s="11" t="n">
        <x:v>10.153</x:v>
      </x:c>
      <x:c r="F1238" s="11" t="n">
        <x:f>SQRT((C1238-C1237)^2+(D1238-D1237)^2+(E1238-E1237)^2)</x:f>
        <x:v>2.3000000000000003</x:v>
      </x:c>
      <x:c r="G1238" s="8" t="str">
        <x:v>Current</x:v>
      </x:c>
    </x:row>
    <x:row r="1239" ht="32" customHeight="1">
      <x:c r="A1239" s="8" t="str">
        <x:v>drop:DB2:L6:light:1:L181</x:v>
      </x:c>
      <x:c r="B1239" s="8" t="n">
        <x:v>5</x:v>
      </x:c>
      <x:c r="C1239" s="11" t="n">
        <x:v>0.05</x:v>
      </x:c>
      <x:c r="D1239" s="11" t="n">
        <x:v>8.39</x:v>
      </x:c>
      <x:c r="E1239" s="11" t="n">
        <x:v>10.153</x:v>
      </x:c>
      <x:c r="F1239" s="11" t="n">
        <x:f>SQRT((C1239-C1238)^2+(D1239-D1238)^2+(E1239-E1238)^2)</x:f>
        <x:v>0.7400000000000002</x:v>
      </x:c>
      <x:c r="G1239" s="8" t="str">
        <x:v>Current</x:v>
      </x:c>
    </x:row>
    <x:row r="1240" ht="32" customHeight="1">
      <x:c r="A1240" s="8" t="str">
        <x:v>drop:DB2:L6:light:1:L181</x:v>
      </x:c>
      <x:c r="B1240" s="8" t="n">
        <x:v>6</x:v>
      </x:c>
      <x:c r="C1240" s="11" t="n">
        <x:v>0.05</x:v>
      </x:c>
      <x:c r="D1240" s="11" t="n">
        <x:v>8.4</x:v>
      </x:c>
      <x:c r="E1240" s="11" t="n">
        <x:v>10.153</x:v>
      </x:c>
      <x:c r="F1240" s="11" t="n">
        <x:f>SQRT((C1240-C1239)^2+(D1240-D1239)^2+(E1240-E1239)^2)</x:f>
        <x:v>0.009999999999999787</x:v>
      </x:c>
      <x:c r="G1240" s="8" t="str">
        <x:v>Current</x:v>
      </x:c>
    </x:row>
    <x:row r="1241" ht="32" customHeight="1">
      <x:c r="A1241" s="8" t="str">
        <x:v>drop:DB2:L6:light:1:L181</x:v>
      </x:c>
      <x:c r="B1241" s="8" t="n">
        <x:v>7</x:v>
      </x:c>
      <x:c r="C1241" s="11" t="n">
        <x:v>-0.0750000000000001</x:v>
      </x:c>
      <x:c r="D1241" s="11" t="n">
        <x:v>8.4</x:v>
      </x:c>
      <x:c r="E1241" s="11" t="n">
        <x:v>10.153</x:v>
      </x:c>
      <x:c r="F1241" s="11" t="n">
        <x:f>SQRT((C1241-C1240)^2+(D1241-D1240)^2+(E1241-E1240)^2)</x:f>
        <x:v>0.1250000000000001</x:v>
      </x:c>
      <x:c r="G1241" s="8" t="str">
        <x:v>Current</x:v>
      </x:c>
    </x:row>
    <x:row r="1242" ht="32" customHeight="1">
      <x:c r="A1242" s="8" t="str">
        <x:v>drop:DB2:L6:light:1:L181</x:v>
      </x:c>
      <x:c r="B1242" s="8" t="n">
        <x:v>8</x:v>
      </x:c>
      <x:c r="C1242" s="11" t="n">
        <x:v>-0.0750000000000001</x:v>
      </x:c>
      <x:c r="D1242" s="11" t="n">
        <x:v>8.4</x:v>
      </x:c>
      <x:c r="E1242" s="11" t="n">
        <x:v>7.9</x:v>
      </x:c>
      <x:c r="F1242" s="11" t="n">
        <x:f>SQRT((C1242-C1241)^2+(D1242-D1241)^2+(E1242-E1241)^2)</x:f>
        <x:v>2.253</x:v>
      </x:c>
      <x:c r="G1242" s="8" t="str">
        <x:v>Current</x:v>
      </x:c>
    </x:row>
    <x:row r="1243" ht="32" customHeight="1">
      <x:c r="A1243" s="8" t="str">
        <x:v>drop:DB2:L6:light:1:L224</x:v>
      </x:c>
      <x:c r="B1243" s="8" t="n">
        <x:v>1</x:v>
      </x:c>
      <x:c r="C1243" s="11" t="n">
        <x:v>2.35</x:v>
      </x:c>
      <x:c r="D1243" s="11" t="n">
        <x:v>6.462</x:v>
      </x:c>
      <x:c r="E1243" s="11" t="n">
        <x:v>7.36</x:v>
      </x:c>
      <x:c r="F1243" s="11" t="n">
        <x:f>0</x:f>
        <x:v>0</x:v>
      </x:c>
      <x:c r="G1243" s="8" t="str">
        <x:v>Current</x:v>
      </x:c>
    </x:row>
    <x:row r="1244" ht="32" customHeight="1">
      <x:c r="A1244" s="8" t="str">
        <x:v>drop:DB2:L6:light:1:L224</x:v>
      </x:c>
      <x:c r="B1244" s="8" t="n">
        <x:v>2</x:v>
      </x:c>
      <x:c r="C1244" s="11" t="n">
        <x:v>2.35</x:v>
      </x:c>
      <x:c r="D1244" s="11" t="n">
        <x:v>7.65</x:v>
      </x:c>
      <x:c r="E1244" s="11" t="n">
        <x:v>7.36</x:v>
      </x:c>
      <x:c r="F1244" s="11" t="n">
        <x:f>SQRT((C1244-C1243)^2+(D1244-D1243)^2+(E1244-E1243)^2)</x:f>
        <x:v>1.1880000000000006</x:v>
      </x:c>
      <x:c r="G1244" s="8" t="str">
        <x:v>Current</x:v>
      </x:c>
    </x:row>
    <x:row r="1245" ht="32" customHeight="1">
      <x:c r="A1245" s="8" t="str">
        <x:v>drop:DB2:L6:light:1:L224</x:v>
      </x:c>
      <x:c r="B1245" s="8" t="n">
        <x:v>3</x:v>
      </x:c>
      <x:c r="C1245" s="11" t="n">
        <x:v>2.35</x:v>
      </x:c>
      <x:c r="D1245" s="11" t="n">
        <x:v>7.65</x:v>
      </x:c>
      <x:c r="E1245" s="11" t="n">
        <x:v>10.153</x:v>
      </x:c>
      <x:c r="F1245" s="11" t="n">
        <x:f>SQRT((C1245-C1244)^2+(D1245-D1244)^2+(E1245-E1244)^2)</x:f>
        <x:v>2.793</x:v>
      </x:c>
      <x:c r="G1245" s="8" t="str">
        <x:v>Current</x:v>
      </x:c>
    </x:row>
    <x:row r="1246" ht="32" customHeight="1">
      <x:c r="A1246" s="8" t="str">
        <x:v>drop:DB2:L6:light:1:L224</x:v>
      </x:c>
      <x:c r="B1246" s="8" t="n">
        <x:v>4</x:v>
      </x:c>
      <x:c r="C1246" s="11" t="n">
        <x:v>0.05</x:v>
      </x:c>
      <x:c r="D1246" s="11" t="n">
        <x:v>7.65</x:v>
      </x:c>
      <x:c r="E1246" s="11" t="n">
        <x:v>10.153</x:v>
      </x:c>
      <x:c r="F1246" s="11" t="n">
        <x:f>SQRT((C1246-C1245)^2+(D1246-D1245)^2+(E1246-E1245)^2)</x:f>
        <x:v>2.3000000000000003</x:v>
      </x:c>
      <x:c r="G1246" s="8" t="str">
        <x:v>Current</x:v>
      </x:c>
    </x:row>
    <x:row r="1247" ht="32" customHeight="1">
      <x:c r="A1247" s="8" t="str">
        <x:v>drop:DB2:L6:light:1:L224</x:v>
      </x:c>
      <x:c r="B1247" s="8" t="n">
        <x:v>5</x:v>
      </x:c>
      <x:c r="C1247" s="11" t="n">
        <x:v>0.05</x:v>
      </x:c>
      <x:c r="D1247" s="11" t="n">
        <x:v>8.39</x:v>
      </x:c>
      <x:c r="E1247" s="11" t="n">
        <x:v>10.153</x:v>
      </x:c>
      <x:c r="F1247" s="11" t="n">
        <x:f>SQRT((C1247-C1246)^2+(D1247-D1246)^2+(E1247-E1246)^2)</x:f>
        <x:v>0.7400000000000002</x:v>
      </x:c>
      <x:c r="G1247" s="8" t="str">
        <x:v>Current</x:v>
      </x:c>
    </x:row>
    <x:row r="1248" ht="32" customHeight="1">
      <x:c r="A1248" s="8" t="str">
        <x:v>drop:DB2:L6:light:1:L224</x:v>
      </x:c>
      <x:c r="B1248" s="8" t="n">
        <x:v>6</x:v>
      </x:c>
      <x:c r="C1248" s="11" t="n">
        <x:v>0.05</x:v>
      </x:c>
      <x:c r="D1248" s="11" t="n">
        <x:v>8.4</x:v>
      </x:c>
      <x:c r="E1248" s="11" t="n">
        <x:v>10.153</x:v>
      </x:c>
      <x:c r="F1248" s="11" t="n">
        <x:f>SQRT((C1248-C1247)^2+(D1248-D1247)^2+(E1248-E1247)^2)</x:f>
        <x:v>0.009999999999999787</x:v>
      </x:c>
      <x:c r="G1248" s="8" t="str">
        <x:v>Current</x:v>
      </x:c>
    </x:row>
    <x:row r="1249" ht="32" customHeight="1">
      <x:c r="A1249" s="8" t="str">
        <x:v>drop:DB2:L6:light:1:L224</x:v>
      </x:c>
      <x:c r="B1249" s="8" t="n">
        <x:v>7</x:v>
      </x:c>
      <x:c r="C1249" s="11" t="n">
        <x:v>-0.0750000000000001</x:v>
      </x:c>
      <x:c r="D1249" s="11" t="n">
        <x:v>8.4</x:v>
      </x:c>
      <x:c r="E1249" s="11" t="n">
        <x:v>10.153</x:v>
      </x:c>
      <x:c r="F1249" s="11" t="n">
        <x:f>SQRT((C1249-C1248)^2+(D1249-D1248)^2+(E1249-E1248)^2)</x:f>
        <x:v>0.1250000000000001</x:v>
      </x:c>
      <x:c r="G1249" s="8" t="str">
        <x:v>Current</x:v>
      </x:c>
    </x:row>
    <x:row r="1250" ht="32" customHeight="1">
      <x:c r="A1250" s="8" t="str">
        <x:v>drop:DB2:L6:light:1:L224</x:v>
      </x:c>
      <x:c r="B1250" s="8" t="n">
        <x:v>8</x:v>
      </x:c>
      <x:c r="C1250" s="11" t="n">
        <x:v>-0.0750000000000001</x:v>
      </x:c>
      <x:c r="D1250" s="11" t="n">
        <x:v>8.4</x:v>
      </x:c>
      <x:c r="E1250" s="11" t="n">
        <x:v>7.75</x:v>
      </x:c>
      <x:c r="F1250" s="11" t="n">
        <x:f>SQRT((C1250-C1249)^2+(D1250-D1249)^2+(E1250-E1249)^2)</x:f>
        <x:v>2.4030000000000005</x:v>
      </x:c>
      <x:c r="G1250" s="8" t="str">
        <x:v>Current</x:v>
      </x:c>
    </x:row>
    <x:row r="1251" ht="32" customHeight="1">
      <x:c r="A1251" s="8" t="str">
        <x:v>drop:DB2:L6:light:1:L225</x:v>
      </x:c>
      <x:c r="B1251" s="8" t="n">
        <x:v>1</x:v>
      </x:c>
      <x:c r="C1251" s="11" t="n">
        <x:v>2.35</x:v>
      </x:c>
      <x:c r="D1251" s="11" t="n">
        <x:v>6.462</x:v>
      </x:c>
      <x:c r="E1251" s="11" t="n">
        <x:v>7.36</x:v>
      </x:c>
      <x:c r="F1251" s="11" t="n">
        <x:f>0</x:f>
        <x:v>0</x:v>
      </x:c>
      <x:c r="G1251" s="8" t="str">
        <x:v>Current</x:v>
      </x:c>
    </x:row>
    <x:row r="1252" ht="32" customHeight="1">
      <x:c r="A1252" s="8" t="str">
        <x:v>drop:DB2:L6:light:1:L225</x:v>
      </x:c>
      <x:c r="B1252" s="8" t="n">
        <x:v>2</x:v>
      </x:c>
      <x:c r="C1252" s="11" t="n">
        <x:v>2.35</x:v>
      </x:c>
      <x:c r="D1252" s="11" t="n">
        <x:v>7.65</x:v>
      </x:c>
      <x:c r="E1252" s="11" t="n">
        <x:v>7.36</x:v>
      </x:c>
      <x:c r="F1252" s="11" t="n">
        <x:f>SQRT((C1252-C1251)^2+(D1252-D1251)^2+(E1252-E1251)^2)</x:f>
        <x:v>1.1880000000000006</x:v>
      </x:c>
      <x:c r="G1252" s="8" t="str">
        <x:v>Current</x:v>
      </x:c>
    </x:row>
    <x:row r="1253" ht="32" customHeight="1">
      <x:c r="A1253" s="8" t="str">
        <x:v>drop:DB2:L6:light:1:L225</x:v>
      </x:c>
      <x:c r="B1253" s="8" t="n">
        <x:v>3</x:v>
      </x:c>
      <x:c r="C1253" s="11" t="n">
        <x:v>2.35</x:v>
      </x:c>
      <x:c r="D1253" s="11" t="n">
        <x:v>7.65</x:v>
      </x:c>
      <x:c r="E1253" s="11" t="n">
        <x:v>10.153</x:v>
      </x:c>
      <x:c r="F1253" s="11" t="n">
        <x:f>SQRT((C1253-C1252)^2+(D1253-D1252)^2+(E1253-E1252)^2)</x:f>
        <x:v>2.793</x:v>
      </x:c>
      <x:c r="G1253" s="8" t="str">
        <x:v>Current</x:v>
      </x:c>
    </x:row>
    <x:row r="1254" ht="32" customHeight="1">
      <x:c r="A1254" s="8" t="str">
        <x:v>drop:DB2:L6:light:1:L225</x:v>
      </x:c>
      <x:c r="B1254" s="8" t="n">
        <x:v>4</x:v>
      </x:c>
      <x:c r="C1254" s="11" t="n">
        <x:v>0.05</x:v>
      </x:c>
      <x:c r="D1254" s="11" t="n">
        <x:v>7.65</x:v>
      </x:c>
      <x:c r="E1254" s="11" t="n">
        <x:v>10.153</x:v>
      </x:c>
      <x:c r="F1254" s="11" t="n">
        <x:f>SQRT((C1254-C1253)^2+(D1254-D1253)^2+(E1254-E1253)^2)</x:f>
        <x:v>2.3000000000000003</x:v>
      </x:c>
      <x:c r="G1254" s="8" t="str">
        <x:v>Current</x:v>
      </x:c>
    </x:row>
    <x:row r="1255" ht="32" customHeight="1">
      <x:c r="A1255" s="8" t="str">
        <x:v>drop:DB2:L6:light:1:L225</x:v>
      </x:c>
      <x:c r="B1255" s="8" t="n">
        <x:v>5</x:v>
      </x:c>
      <x:c r="C1255" s="11" t="n">
        <x:v>0.05</x:v>
      </x:c>
      <x:c r="D1255" s="11" t="n">
        <x:v>8.39</x:v>
      </x:c>
      <x:c r="E1255" s="11" t="n">
        <x:v>10.153</x:v>
      </x:c>
      <x:c r="F1255" s="11" t="n">
        <x:f>SQRT((C1255-C1254)^2+(D1255-D1254)^2+(E1255-E1254)^2)</x:f>
        <x:v>0.7400000000000002</x:v>
      </x:c>
      <x:c r="G1255" s="8" t="str">
        <x:v>Current</x:v>
      </x:c>
    </x:row>
    <x:row r="1256" ht="32" customHeight="1">
      <x:c r="A1256" s="8" t="str">
        <x:v>drop:DB2:L6:light:1:L225</x:v>
      </x:c>
      <x:c r="B1256" s="8" t="n">
        <x:v>6</x:v>
      </x:c>
      <x:c r="C1256" s="11" t="n">
        <x:v>0.05</x:v>
      </x:c>
      <x:c r="D1256" s="11" t="n">
        <x:v>15.84</x:v>
      </x:c>
      <x:c r="E1256" s="11" t="n">
        <x:v>10.153</x:v>
      </x:c>
      <x:c r="F1256" s="11" t="n">
        <x:f>SQRT((C1256-C1255)^2+(D1256-D1255)^2+(E1256-E1255)^2)</x:f>
        <x:v>7.449999999999999</x:v>
      </x:c>
      <x:c r="G1256" s="8" t="str">
        <x:v>Current</x:v>
      </x:c>
    </x:row>
    <x:row r="1257" ht="32" customHeight="1">
      <x:c r="A1257" s="8" t="str">
        <x:v>drop:DB2:L6:light:1:L225</x:v>
      </x:c>
      <x:c r="B1257" s="8" t="n">
        <x:v>7</x:v>
      </x:c>
      <x:c r="C1257" s="11" t="n">
        <x:v>0.09</x:v>
      </x:c>
      <x:c r="D1257" s="11" t="n">
        <x:v>15.84</x:v>
      </x:c>
      <x:c r="E1257" s="11" t="n">
        <x:v>10.153</x:v>
      </x:c>
      <x:c r="F1257" s="11" t="n">
        <x:f>SQRT((C1257-C1256)^2+(D1257-D1256)^2+(E1257-E1256)^2)</x:f>
        <x:v>0.039999999999999994</x:v>
      </x:c>
      <x:c r="G1257" s="8" t="str">
        <x:v>Current</x:v>
      </x:c>
    </x:row>
    <x:row r="1258" ht="32" customHeight="1">
      <x:c r="A1258" s="8" t="str">
        <x:v>drop:DB2:L6:light:1:L225</x:v>
      </x:c>
      <x:c r="B1258" s="8" t="n">
        <x:v>8</x:v>
      </x:c>
      <x:c r="C1258" s="11" t="n">
        <x:v>0.09</x:v>
      </x:c>
      <x:c r="D1258" s="11" t="n">
        <x:v>15.88</x:v>
      </x:c>
      <x:c r="E1258" s="11" t="n">
        <x:v>10.153</x:v>
      </x:c>
      <x:c r="F1258" s="11" t="n">
        <x:f>SQRT((C1258-C1257)^2+(D1258-D1257)^2+(E1258-E1257)^2)</x:f>
        <x:v>0.040000000000000924</x:v>
      </x:c>
      <x:c r="G1258" s="8" t="str">
        <x:v>Current</x:v>
      </x:c>
    </x:row>
    <x:row r="1259" ht="32" customHeight="1">
      <x:c r="A1259" s="8" t="str">
        <x:v>drop:DB2:L6:light:1:L225</x:v>
      </x:c>
      <x:c r="B1259" s="8" t="n">
        <x:v>9</x:v>
      </x:c>
      <x:c r="C1259" s="11" t="n">
        <x:v>-0.035</x:v>
      </x:c>
      <x:c r="D1259" s="11" t="n">
        <x:v>15.88</x:v>
      </x:c>
      <x:c r="E1259" s="11" t="n">
        <x:v>10.153</x:v>
      </x:c>
      <x:c r="F1259" s="11" t="n">
        <x:f>SQRT((C1259-C1258)^2+(D1259-D1258)^2+(E1259-E1258)^2)</x:f>
        <x:v>0.125</x:v>
      </x:c>
      <x:c r="G1259" s="8" t="str">
        <x:v>Current</x:v>
      </x:c>
    </x:row>
    <x:row r="1260" ht="32" customHeight="1">
      <x:c r="A1260" s="8" t="str">
        <x:v>drop:DB2:L6:light:1:L225</x:v>
      </x:c>
      <x:c r="B1260" s="8" t="n">
        <x:v>10</x:v>
      </x:c>
      <x:c r="C1260" s="11" t="n">
        <x:v>-0.035</x:v>
      </x:c>
      <x:c r="D1260" s="11" t="n">
        <x:v>15.88</x:v>
      </x:c>
      <x:c r="E1260" s="11" t="n">
        <x:v>7.9</x:v>
      </x:c>
      <x:c r="F1260" s="11" t="n">
        <x:f>SQRT((C1260-C1259)^2+(D1260-D1259)^2+(E1260-E1259)^2)</x:f>
        <x:v>2.253</x:v>
      </x:c>
      <x:c r="G1260" s="8" t="str">
        <x:v>Current</x:v>
      </x:c>
    </x:row>
    <x:row r="1261" ht="32" customHeight="1">
      <x:c r="A1261" s="8" t="str">
        <x:v>trunk:DB2:L7:light:-1</x:v>
      </x:c>
      <x:c r="B1261" s="8" t="n">
        <x:v>1</x:v>
      </x:c>
      <x:c r="C1261" s="11" t="n">
        <x:v>2.73</x:v>
      </x:c>
      <x:c r="D1261" s="11" t="n">
        <x:v>1.5</x:v>
      </x:c>
      <x:c r="E1261" s="11" t="n">
        <x:v>-3.3</x:v>
      </x:c>
      <x:c r="F1261" s="11" t="n">
        <x:f>0</x:f>
        <x:v>0</x:v>
      </x:c>
      <x:c r="G1261" s="8" t="str">
        <x:v>Current</x:v>
      </x:c>
    </x:row>
    <x:row r="1262" ht="32" customHeight="1">
      <x:c r="A1262" s="8" t="str">
        <x:v>trunk:DB2:L7:light:-1</x:v>
      </x:c>
      <x:c r="B1262" s="8" t="n">
        <x:v>2</x:v>
      </x:c>
      <x:c r="C1262" s="11" t="n">
        <x:v>2.35</x:v>
      </x:c>
      <x:c r="D1262" s="11" t="n">
        <x:v>1.5</x:v>
      </x:c>
      <x:c r="E1262" s="11" t="n">
        <x:v>-3.3</x:v>
      </x:c>
      <x:c r="F1262" s="11" t="n">
        <x:f>SQRT((C1262-C1261)^2+(D1262-D1261)^2+(E1262-E1261)^2)</x:f>
        <x:v>0.3799999999999999</x:v>
      </x:c>
      <x:c r="G1262" s="8" t="str">
        <x:v>Current</x:v>
      </x:c>
    </x:row>
    <x:row r="1263" ht="32" customHeight="1">
      <x:c r="A1263" s="8" t="str">
        <x:v>trunk:DB2:L7:light:-1</x:v>
      </x:c>
      <x:c r="B1263" s="8" t="n">
        <x:v>3</x:v>
      </x:c>
      <x:c r="C1263" s="11" t="n">
        <x:v>2.35</x:v>
      </x:c>
      <x:c r="D1263" s="11" t="n">
        <x:v>7.65</x:v>
      </x:c>
      <x:c r="E1263" s="11" t="n">
        <x:v>-3.3</x:v>
      </x:c>
      <x:c r="F1263" s="11" t="n">
        <x:f>SQRT((C1263-C1262)^2+(D1263-D1262)^2+(E1263-E1262)^2)</x:f>
        <x:v>6.15</x:v>
      </x:c>
      <x:c r="G1263" s="8" t="str">
        <x:v>Current</x:v>
      </x:c>
    </x:row>
    <x:row r="1264" ht="32" customHeight="1">
      <x:c r="A1264" s="8" t="str">
        <x:v>trunk:DB2:L7:light:-1</x:v>
      </x:c>
      <x:c r="B1264" s="8" t="n">
        <x:v>4</x:v>
      </x:c>
      <x:c r="C1264" s="11" t="n">
        <x:v>2.35</x:v>
      </x:c>
      <x:c r="D1264" s="11" t="n">
        <x:v>7.65</x:v>
      </x:c>
      <x:c r="E1264" s="11" t="n">
        <x:v>-7.36</x:v>
      </x:c>
      <x:c r="F1264" s="11" t="n">
        <x:f>SQRT((C1264-C1263)^2+(D1264-D1263)^2+(E1264-E1263)^2)</x:f>
        <x:v>4.0600000000000005</x:v>
      </x:c>
      <x:c r="G1264" s="8" t="str">
        <x:v>Current</x:v>
      </x:c>
    </x:row>
    <x:row r="1265" ht="32" customHeight="1">
      <x:c r="A1265" s="8" t="str">
        <x:v>trunk:DB2:L7:light:-1</x:v>
      </x:c>
      <x:c r="B1265" s="8" t="n">
        <x:v>5</x:v>
      </x:c>
      <x:c r="C1265" s="11" t="n">
        <x:v>2.35</x:v>
      </x:c>
      <x:c r="D1265" s="11" t="n">
        <x:v>6.489999999999999</x:v>
      </x:c>
      <x:c r="E1265" s="11" t="n">
        <x:v>-7.36</x:v>
      </x:c>
      <x:c r="F1265" s="11" t="n">
        <x:f>SQRT((C1265-C1264)^2+(D1265-D1264)^2+(E1265-E1264)^2)</x:f>
        <x:v>1.160000000000001</x:v>
      </x:c>
      <x:c r="G1265" s="8" t="str">
        <x:v>Current</x:v>
      </x:c>
    </x:row>
    <x:row r="1266" ht="32" customHeight="1">
      <x:c r="A1266" s="8" t="str">
        <x:v>trunk:DB2:L7:light:-1</x:v>
      </x:c>
      <x:c r="B1266" s="8" t="n">
        <x:v>6</x:v>
      </x:c>
      <x:c r="C1266" s="11" t="n">
        <x:v>5.475</x:v>
      </x:c>
      <x:c r="D1266" s="11" t="n">
        <x:v>6.489999999999999</x:v>
      </x:c>
      <x:c r="E1266" s="11" t="n">
        <x:v>-7.36</x:v>
      </x:c>
      <x:c r="F1266" s="11" t="n">
        <x:f>SQRT((C1266-C1265)^2+(D1266-D1265)^2+(E1266-E1265)^2)</x:f>
        <x:v>3.1249999999999996</x:v>
      </x:c>
      <x:c r="G1266" s="8" t="str">
        <x:v>Current</x:v>
      </x:c>
    </x:row>
    <x:row r="1267" ht="32" customHeight="1">
      <x:c r="A1267" s="8" t="str">
        <x:v>trunk:DB2:L7:light:-1</x:v>
      </x:c>
      <x:c r="B1267" s="8" t="n">
        <x:v>7</x:v>
      </x:c>
      <x:c r="C1267" s="11" t="n">
        <x:v>36.975</x:v>
      </x:c>
      <x:c r="D1267" s="11" t="n">
        <x:v>6.489999999999999</x:v>
      </x:c>
      <x:c r="E1267" s="11" t="n">
        <x:v>-7.36</x:v>
      </x:c>
      <x:c r="F1267" s="11" t="n">
        <x:f>SQRT((C1267-C1266)^2+(D1267-D1266)^2+(E1267-E1266)^2)</x:f>
        <x:v>31.5</x:v>
      </x:c>
      <x:c r="G1267" s="8" t="str">
        <x:v>Current</x:v>
      </x:c>
    </x:row>
    <x:row r="1268" ht="32" customHeight="1">
      <x:c r="A1268" s="8" t="str">
        <x:v>trunk:DB2:L7:light:-1</x:v>
      </x:c>
      <x:c r="B1268" s="8" t="n">
        <x:v>8</x:v>
      </x:c>
      <x:c r="C1268" s="11" t="n">
        <x:v>36.975</x:v>
      </x:c>
      <x:c r="D1268" s="11" t="n">
        <x:v>6.489999999999999</x:v>
      </x:c>
      <x:c r="E1268" s="11" t="n">
        <x:v>-13.24</x:v>
      </x:c>
      <x:c r="F1268" s="11" t="n">
        <x:f>SQRT((C1268-C1267)^2+(D1268-D1267)^2+(E1268-E1267)^2)</x:f>
        <x:v>5.88</x:v>
      </x:c>
      <x:c r="G1268" s="8" t="str">
        <x:v>Current</x:v>
      </x:c>
    </x:row>
    <x:row r="1269" ht="32" customHeight="1">
      <x:c r="A1269" s="8" t="str">
        <x:v>trunk:DB2:L7:light:-1</x:v>
      </x:c>
      <x:c r="B1269" s="8" t="n">
        <x:v>9</x:v>
      </x:c>
      <x:c r="C1269" s="11" t="n">
        <x:v>44.175</x:v>
      </x:c>
      <x:c r="D1269" s="11" t="n">
        <x:v>6.489999999999999</x:v>
      </x:c>
      <x:c r="E1269" s="11" t="n">
        <x:v>-13.24</x:v>
      </x:c>
      <x:c r="F1269" s="11" t="n">
        <x:f>SQRT((C1269-C1268)^2+(D1269-D1268)^2+(E1269-E1268)^2)</x:f>
        <x:v>7.199999999999996</x:v>
      </x:c>
      <x:c r="G1269" s="8" t="str">
        <x:v>Current</x:v>
      </x:c>
    </x:row>
    <x:row r="1270" ht="32" customHeight="1">
      <x:c r="A1270" s="8" t="str">
        <x:v>trunk:DB2:L7:light:-1</x:v>
      </x:c>
      <x:c r="B1270" s="8" t="n">
        <x:v>10</x:v>
      </x:c>
      <x:c r="C1270" s="11" t="n">
        <x:v>44.175</x:v>
      </x:c>
      <x:c r="D1270" s="11" t="n">
        <x:v>6.489999999999999</x:v>
      </x:c>
      <x:c r="E1270" s="11" t="n">
        <x:v>-7.36</x:v>
      </x:c>
      <x:c r="F1270" s="11" t="n">
        <x:f>SQRT((C1270-C1269)^2+(D1270-D1269)^2+(E1270-E1269)^2)</x:f>
        <x:v>5.88</x:v>
      </x:c>
      <x:c r="G1270" s="8" t="str">
        <x:v>Current</x:v>
      </x:c>
    </x:row>
    <x:row r="1271" ht="32" customHeight="1">
      <x:c r="A1271" s="8" t="str">
        <x:v>trunk:DB2:L7:light:-1</x:v>
      </x:c>
      <x:c r="B1271" s="8" t="n">
        <x:v>11</x:v>
      </x:c>
      <x:c r="C1271" s="11" t="n">
        <x:v>53.05</x:v>
      </x:c>
      <x:c r="D1271" s="11" t="n">
        <x:v>6.489999999999999</x:v>
      </x:c>
      <x:c r="E1271" s="11" t="n">
        <x:v>-7.36</x:v>
      </x:c>
      <x:c r="F1271" s="11" t="n">
        <x:f>SQRT((C1271-C1270)^2+(D1271-D1270)^2+(E1271-E1270)^2)</x:f>
        <x:v>8.875</x:v>
      </x:c>
      <x:c r="G1271" s="8" t="str">
        <x:v>Current</x:v>
      </x:c>
    </x:row>
    <x:row r="1272" ht="32" customHeight="1">
      <x:c r="A1272" s="8" t="str">
        <x:v>drop:DB2:L7:light:-1:L196</x:v>
      </x:c>
      <x:c r="B1272" s="8" t="n">
        <x:v>1</x:v>
      </x:c>
      <x:c r="C1272" s="11" t="n">
        <x:v>29.16</x:v>
      </x:c>
      <x:c r="D1272" s="11" t="n">
        <x:v>6.489999999999999</x:v>
      </x:c>
      <x:c r="E1272" s="11" t="n">
        <x:v>-7.36</x:v>
      </x:c>
      <x:c r="F1272" s="11" t="n">
        <x:f>0</x:f>
        <x:v>0</x:v>
      </x:c>
      <x:c r="G1272" s="8" t="str">
        <x:v>Current</x:v>
      </x:c>
    </x:row>
    <x:row r="1273" ht="32" customHeight="1">
      <x:c r="A1273" s="8" t="str">
        <x:v>drop:DB2:L7:light:-1:L196</x:v>
      </x:c>
      <x:c r="B1273" s="8" t="n">
        <x:v>2</x:v>
      </x:c>
      <x:c r="C1273" s="11" t="n">
        <x:v>29.16</x:v>
      </x:c>
      <x:c r="D1273" s="11" t="n">
        <x:v>7.02</x:v>
      </x:c>
      <x:c r="E1273" s="11" t="n">
        <x:v>-7.36</x:v>
      </x:c>
      <x:c r="F1273" s="11" t="n">
        <x:f>SQRT((C1273-C1272)^2+(D1273-D1272)^2+(E1273-E1272)^2)</x:f>
        <x:v>0.5300000000000002</x:v>
      </x:c>
      <x:c r="G1273" s="8" t="str">
        <x:v>Current</x:v>
      </x:c>
    </x:row>
    <x:row r="1274" ht="32" customHeight="1">
      <x:c r="A1274" s="8" t="str">
        <x:v>drop:DB2:L7:light:-1:L196</x:v>
      </x:c>
      <x:c r="B1274" s="8" t="n">
        <x:v>3</x:v>
      </x:c>
      <x:c r="C1274" s="11" t="n">
        <x:v>29.16</x:v>
      </x:c>
      <x:c r="D1274" s="11" t="n">
        <x:v>7.065002717391305</x:v>
      </x:c>
      <x:c r="E1274" s="11" t="n">
        <x:v>-7.05</x:v>
      </x:c>
      <x:c r="F1274" s="11" t="n">
        <x:f>SQRT((C1274-C1273)^2+(D1274-D1273)^2+(E1274-E1273)^2)</x:f>
        <x:v>0.3132494925336704</x:v>
      </x:c>
      <x:c r="G1274" s="8" t="str">
        <x:v>Current</x:v>
      </x:c>
    </x:row>
    <x:row r="1275" ht="32" customHeight="1">
      <x:c r="A1275" s="8" t="str">
        <x:v>drop:DB2:L7:light:-1:L196</x:v>
      </x:c>
      <x:c r="B1275" s="8" t="n">
        <x:v>4</x:v>
      </x:c>
      <x:c r="C1275" s="11" t="n">
        <x:v>29.16</x:v>
      </x:c>
      <x:c r="D1275" s="11" t="n">
        <x:v>12.182</x:v>
      </x:c>
      <x:c r="E1275" s="11" t="n">
        <x:v>0</x:v>
      </x:c>
      <x:c r="F1275" s="11" t="n">
        <x:f>SQRT((C1275-C1274)^2+(D1275-D1274)^2+(E1275-E1274)^2)</x:f>
        <x:v>8.711266336774738</x:v>
      </x:c>
      <x:c r="G1275" s="8" t="str">
        <x:v>Current</x:v>
      </x:c>
    </x:row>
    <x:row r="1276" ht="32" customHeight="1">
      <x:c r="A1276" s="8" t="str">
        <x:v>drop:DB2:L7:light:-1:L196</x:v>
      </x:c>
      <x:c r="B1276" s="8" t="n">
        <x:v>5</x:v>
      </x:c>
      <x:c r="C1276" s="11" t="n">
        <x:v>29.16</x:v>
      </x:c>
      <x:c r="D1276" s="11" t="n">
        <x:v>12.69</x:v>
      </x:c>
      <x:c r="E1276" s="11" t="n">
        <x:v>0</x:v>
      </x:c>
      <x:c r="F1276" s="11" t="n">
        <x:f>SQRT((C1276-C1275)^2+(D1276-D1275)^2+(E1276-E1275)^2)</x:f>
        <x:v>0.5079999999999991</x:v>
      </x:c>
      <x:c r="G1276" s="8" t="str">
        <x:v>Current</x:v>
      </x:c>
    </x:row>
    <x:row r="1277" ht="32" customHeight="1">
      <x:c r="A1277" s="8" t="str">
        <x:v>drop:DB2:L7:light:-1:L197</x:v>
      </x:c>
      <x:c r="B1277" s="8" t="n">
        <x:v>1</x:v>
      </x:c>
      <x:c r="C1277" s="11" t="n">
        <x:v>21.35</x:v>
      </x:c>
      <x:c r="D1277" s="11" t="n">
        <x:v>6.489999999999999</x:v>
      </x:c>
      <x:c r="E1277" s="11" t="n">
        <x:v>-7.36</x:v>
      </x:c>
      <x:c r="F1277" s="11" t="n">
        <x:f>0</x:f>
        <x:v>0</x:v>
      </x:c>
      <x:c r="G1277" s="8" t="str">
        <x:v>Current</x:v>
      </x:c>
    </x:row>
    <x:row r="1278" ht="32" customHeight="1">
      <x:c r="A1278" s="8" t="str">
        <x:v>drop:DB2:L7:light:-1:L197</x:v>
      </x:c>
      <x:c r="B1278" s="8" t="n">
        <x:v>2</x:v>
      </x:c>
      <x:c r="C1278" s="11" t="n">
        <x:v>21.35</x:v>
      </x:c>
      <x:c r="D1278" s="11" t="n">
        <x:v>7.32</x:v>
      </x:c>
      <x:c r="E1278" s="11" t="n">
        <x:v>-7.36</x:v>
      </x:c>
      <x:c r="F1278" s="11" t="n">
        <x:f>SQRT((C1278-C1277)^2+(D1278-D1277)^2+(E1278-E1277)^2)</x:f>
        <x:v>0.830000000000001</x:v>
      </x:c>
      <x:c r="G1278" s="8" t="str">
        <x:v>Current</x:v>
      </x:c>
    </x:row>
    <x:row r="1279" ht="32" customHeight="1">
      <x:c r="A1279" s="8" t="str">
        <x:v>drop:DB2:L7:light:-1:L197</x:v>
      </x:c>
      <x:c r="B1279" s="8" t="n">
        <x:v>3</x:v>
      </x:c>
      <x:c r="C1279" s="11" t="n">
        <x:v>21.35</x:v>
      </x:c>
      <x:c r="D1279" s="11" t="n">
        <x:v>7.32</x:v>
      </x:c>
      <x:c r="E1279" s="11" t="n">
        <x:v>-7.3</x:v>
      </x:c>
      <x:c r="F1279" s="11" t="n">
        <x:f>SQRT((C1279-C1278)^2+(D1279-D1278)^2+(E1279-E1278)^2)</x:f>
        <x:v>0.0600000000000005</x:v>
      </x:c>
      <x:c r="G1279" s="8" t="str">
        <x:v>Current</x:v>
      </x:c>
    </x:row>
    <x:row r="1280" ht="32" customHeight="1">
      <x:c r="A1280" s="8" t="str">
        <x:v>drop:DB2:L7:light:-1:L198</x:v>
      </x:c>
      <x:c r="B1280" s="8" t="n">
        <x:v>1</x:v>
      </x:c>
      <x:c r="C1280" s="11" t="n">
        <x:v>48.4</x:v>
      </x:c>
      <x:c r="D1280" s="11" t="n">
        <x:v>6.489999999999999</x:v>
      </x:c>
      <x:c r="E1280" s="11" t="n">
        <x:v>-7.36</x:v>
      </x:c>
      <x:c r="F1280" s="11" t="n">
        <x:f>0</x:f>
        <x:v>0</x:v>
      </x:c>
      <x:c r="G1280" s="8" t="str">
        <x:v>Current</x:v>
      </x:c>
    </x:row>
    <x:row r="1281" ht="32" customHeight="1">
      <x:c r="A1281" s="8" t="str">
        <x:v>drop:DB2:L7:light:-1:L198</x:v>
      </x:c>
      <x:c r="B1281" s="8" t="n">
        <x:v>2</x:v>
      </x:c>
      <x:c r="C1281" s="11" t="n">
        <x:v>48.4</x:v>
      </x:c>
      <x:c r="D1281" s="11" t="n">
        <x:v>7.32</x:v>
      </x:c>
      <x:c r="E1281" s="11" t="n">
        <x:v>-7.36</x:v>
      </x:c>
      <x:c r="F1281" s="11" t="n">
        <x:f>SQRT((C1281-C1280)^2+(D1281-D1280)^2+(E1281-E1280)^2)</x:f>
        <x:v>0.830000000000001</x:v>
      </x:c>
      <x:c r="G1281" s="8" t="str">
        <x:v>Current</x:v>
      </x:c>
    </x:row>
    <x:row r="1282" ht="32" customHeight="1">
      <x:c r="A1282" s="8" t="str">
        <x:v>drop:DB2:L7:light:-1:L198</x:v>
      </x:c>
      <x:c r="B1282" s="8" t="n">
        <x:v>3</x:v>
      </x:c>
      <x:c r="C1282" s="11" t="n">
        <x:v>48.4</x:v>
      </x:c>
      <x:c r="D1282" s="11" t="n">
        <x:v>7.32</x:v>
      </x:c>
      <x:c r="E1282" s="11" t="n">
        <x:v>-7.3</x:v>
      </x:c>
      <x:c r="F1282" s="11" t="n">
        <x:f>SQRT((C1282-C1281)^2+(D1282-D1281)^2+(E1282-E1281)^2)</x:f>
        <x:v>0.0600000000000005</x:v>
      </x:c>
      <x:c r="G1282" s="8" t="str">
        <x:v>Current</x:v>
      </x:c>
    </x:row>
    <x:row r="1283" ht="32" customHeight="1">
      <x:c r="A1283" s="8" t="str">
        <x:v>drop:DB2:L7:light:-1:L199</x:v>
      </x:c>
      <x:c r="B1283" s="8" t="n">
        <x:v>1</x:v>
      </x:c>
      <x:c r="C1283" s="11" t="n">
        <x:v>21.35</x:v>
      </x:c>
      <x:c r="D1283" s="11" t="n">
        <x:v>6.489999999999999</x:v>
      </x:c>
      <x:c r="E1283" s="11" t="n">
        <x:v>-7.36</x:v>
      </x:c>
      <x:c r="F1283" s="11" t="n">
        <x:f>0</x:f>
        <x:v>0</x:v>
      </x:c>
      <x:c r="G1283" s="8" t="str">
        <x:v>Current</x:v>
      </x:c>
    </x:row>
    <x:row r="1284" ht="32" customHeight="1">
      <x:c r="A1284" s="8" t="str">
        <x:v>drop:DB2:L7:light:-1:L199</x:v>
      </x:c>
      <x:c r="B1284" s="8" t="n">
        <x:v>2</x:v>
      </x:c>
      <x:c r="C1284" s="11" t="n">
        <x:v>21.35</x:v>
      </x:c>
      <x:c r="D1284" s="11" t="n">
        <x:v>6.47</x:v>
      </x:c>
      <x:c r="E1284" s="11" t="n">
        <x:v>-7.36</x:v>
      </x:c>
      <x:c r="F1284" s="11" t="n">
        <x:f>SQRT((C1284-C1283)^2+(D1284-D1283)^2+(E1284-E1283)^2)</x:f>
        <x:v>0.019999999999999574</x:v>
      </x:c>
      <x:c r="G1284" s="8" t="str">
        <x:v>Current</x:v>
      </x:c>
    </x:row>
    <x:row r="1285" ht="32" customHeight="1">
      <x:c r="A1285" s="8" t="str">
        <x:v>drop:DB2:L7:light:-1:L199</x:v>
      </x:c>
      <x:c r="B1285" s="8" t="n">
        <x:v>3</x:v>
      </x:c>
      <x:c r="C1285" s="11" t="n">
        <x:v>21.35</x:v>
      </x:c>
      <x:c r="D1285" s="11" t="n">
        <x:v>6.47</x:v>
      </x:c>
      <x:c r="E1285" s="11" t="n">
        <x:v>-10.6</x:v>
      </x:c>
      <x:c r="F1285" s="11" t="n">
        <x:f>SQRT((C1285-C1284)^2+(D1285-D1284)^2+(E1285-E1284)^2)</x:f>
        <x:v>3.2399999999999993</x:v>
      </x:c>
      <x:c r="G1285" s="8" t="str">
        <x:v>Current</x:v>
      </x:c>
    </x:row>
    <x:row r="1286" ht="32" customHeight="1">
      <x:c r="A1286" s="8" t="str">
        <x:v>drop:DB2:L7:light:-1:L200</x:v>
      </x:c>
      <x:c r="B1286" s="8" t="n">
        <x:v>1</x:v>
      </x:c>
      <x:c r="C1286" s="11" t="n">
        <x:v>48.4</x:v>
      </x:c>
      <x:c r="D1286" s="11" t="n">
        <x:v>6.489999999999999</x:v>
      </x:c>
      <x:c r="E1286" s="11" t="n">
        <x:v>-7.36</x:v>
      </x:c>
      <x:c r="F1286" s="11" t="n">
        <x:f>0</x:f>
        <x:v>0</x:v>
      </x:c>
      <x:c r="G1286" s="8" t="str">
        <x:v>Current</x:v>
      </x:c>
    </x:row>
    <x:row r="1287" ht="32" customHeight="1">
      <x:c r="A1287" s="8" t="str">
        <x:v>drop:DB2:L7:light:-1:L200</x:v>
      </x:c>
      <x:c r="B1287" s="8" t="n">
        <x:v>2</x:v>
      </x:c>
      <x:c r="C1287" s="11" t="n">
        <x:v>48.4</x:v>
      </x:c>
      <x:c r="D1287" s="11" t="n">
        <x:v>6.47</x:v>
      </x:c>
      <x:c r="E1287" s="11" t="n">
        <x:v>-7.36</x:v>
      </x:c>
      <x:c r="F1287" s="11" t="n">
        <x:f>SQRT((C1287-C1286)^2+(D1287-D1286)^2+(E1287-E1286)^2)</x:f>
        <x:v>0.019999999999999574</x:v>
      </x:c>
      <x:c r="G1287" s="8" t="str">
        <x:v>Current</x:v>
      </x:c>
    </x:row>
    <x:row r="1288" ht="32" customHeight="1">
      <x:c r="A1288" s="8" t="str">
        <x:v>drop:DB2:L7:light:-1:L200</x:v>
      </x:c>
      <x:c r="B1288" s="8" t="n">
        <x:v>3</x:v>
      </x:c>
      <x:c r="C1288" s="11" t="n">
        <x:v>48.4</x:v>
      </x:c>
      <x:c r="D1288" s="11" t="n">
        <x:v>6.47</x:v>
      </x:c>
      <x:c r="E1288" s="11" t="n">
        <x:v>-10.6</x:v>
      </x:c>
      <x:c r="F1288" s="11" t="n">
        <x:f>SQRT((C1288-C1287)^2+(D1288-D1287)^2+(E1288-E1287)^2)</x:f>
        <x:v>3.2399999999999993</x:v>
      </x:c>
      <x:c r="G1288" s="8" t="str">
        <x:v>Current</x:v>
      </x:c>
    </x:row>
    <x:row r="1289" ht="32" customHeight="1">
      <x:c r="A1289" s="8" t="str">
        <x:v>drop:DB2:L7:light:-1:L201</x:v>
      </x:c>
      <x:c r="B1289" s="8" t="n">
        <x:v>1</x:v>
      </x:c>
      <x:c r="C1289" s="11" t="n">
        <x:v>53.05</x:v>
      </x:c>
      <x:c r="D1289" s="11" t="n">
        <x:v>6.489999999999999</x:v>
      </x:c>
      <x:c r="E1289" s="11" t="n">
        <x:v>-7.36</x:v>
      </x:c>
      <x:c r="F1289" s="11" t="n">
        <x:f>0</x:f>
        <x:v>0</x:v>
      </x:c>
      <x:c r="G1289" s="8" t="str">
        <x:v>Current</x:v>
      </x:c>
    </x:row>
    <x:row r="1290" ht="32" customHeight="1">
      <x:c r="A1290" s="8" t="str">
        <x:v>drop:DB2:L7:light:-1:L201</x:v>
      </x:c>
      <x:c r="B1290" s="8" t="n">
        <x:v>2</x:v>
      </x:c>
      <x:c r="C1290" s="11" t="n">
        <x:v>53.05</x:v>
      </x:c>
      <x:c r="D1290" s="11" t="n">
        <x:v>10</x:v>
      </x:c>
      <x:c r="E1290" s="11" t="n">
        <x:v>-7.36</x:v>
      </x:c>
      <x:c r="F1290" s="11" t="n">
        <x:f>SQRT((C1290-C1289)^2+(D1290-D1289)^2+(E1290-E1289)^2)</x:f>
        <x:v>3.5100000000000007</x:v>
      </x:c>
      <x:c r="G1290" s="8" t="str">
        <x:v>Current</x:v>
      </x:c>
    </x:row>
    <x:row r="1291" ht="32" customHeight="1">
      <x:c r="A1291" s="8" t="str">
        <x:v>drop:DB2:L7:light:-1:L201</x:v>
      </x:c>
      <x:c r="B1291" s="8" t="n">
        <x:v>3</x:v>
      </x:c>
      <x:c r="C1291" s="11" t="n">
        <x:v>53.45</x:v>
      </x:c>
      <x:c r="D1291" s="11" t="n">
        <x:v>10</x:v>
      </x:c>
      <x:c r="E1291" s="11" t="n">
        <x:v>-7.36</x:v>
      </x:c>
      <x:c r="F1291" s="11" t="n">
        <x:f>SQRT((C1291-C1290)^2+(D1291-D1290)^2+(E1291-E1290)^2)</x:f>
        <x:v>0.4000000000000057</x:v>
      </x:c>
      <x:c r="G1291" s="8" t="str">
        <x:v>Current</x:v>
      </x:c>
    </x:row>
    <x:row r="1292" ht="32" customHeight="1">
      <x:c r="A1292" s="8" t="str">
        <x:v>drop:DB2:L7:light:-1:L201</x:v>
      </x:c>
      <x:c r="B1292" s="8" t="n">
        <x:v>4</x:v>
      </x:c>
      <x:c r="C1292" s="11" t="n">
        <x:v>53.45</x:v>
      </x:c>
      <x:c r="D1292" s="11" t="n">
        <x:v>10</x:v>
      </x:c>
      <x:c r="E1292" s="11" t="n">
        <x:v>-3.65</x:v>
      </x:c>
      <x:c r="F1292" s="11" t="n">
        <x:f>SQRT((C1292-C1291)^2+(D1292-D1291)^2+(E1292-E1291)^2)</x:f>
        <x:v>3.7100000000000004</x:v>
      </x:c>
      <x:c r="G1292" s="8" t="str">
        <x:v>Current</x:v>
      </x:c>
    </x:row>
    <x:row r="1293" ht="32" customHeight="1">
      <x:c r="A1293" s="8" t="str">
        <x:v>drop:DB2:L7:light:-1:L202</x:v>
      </x:c>
      <x:c r="B1293" s="8" t="n">
        <x:v>1</x:v>
      </x:c>
      <x:c r="C1293" s="11" t="n">
        <x:v>2.35</x:v>
      </x:c>
      <x:c r="D1293" s="11" t="n">
        <x:v>6.489999999999999</x:v>
      </x:c>
      <x:c r="E1293" s="11" t="n">
        <x:v>-7.36</x:v>
      </x:c>
      <x:c r="F1293" s="11" t="n">
        <x:f>0</x:f>
        <x:v>0</x:v>
      </x:c>
      <x:c r="G1293" s="8" t="str">
        <x:v>Current</x:v>
      </x:c>
    </x:row>
    <x:row r="1294" ht="32" customHeight="1">
      <x:c r="A1294" s="8" t="str">
        <x:v>drop:DB2:L7:light:-1:L202</x:v>
      </x:c>
      <x:c r="B1294" s="8" t="n">
        <x:v>2</x:v>
      </x:c>
      <x:c r="C1294" s="11" t="n">
        <x:v>2.35</x:v>
      </x:c>
      <x:c r="D1294" s="11" t="n">
        <x:v>7.65</x:v>
      </x:c>
      <x:c r="E1294" s="11" t="n">
        <x:v>-7.36</x:v>
      </x:c>
      <x:c r="F1294" s="11" t="n">
        <x:f>SQRT((C1294-C1293)^2+(D1294-D1293)^2+(E1294-E1293)^2)</x:f>
        <x:v>1.160000000000001</x:v>
      </x:c>
      <x:c r="G1294" s="8" t="str">
        <x:v>Current</x:v>
      </x:c>
    </x:row>
    <x:row r="1295" ht="32" customHeight="1">
      <x:c r="A1295" s="8" t="str">
        <x:v>drop:DB2:L7:light:-1:L202</x:v>
      </x:c>
      <x:c r="B1295" s="8" t="n">
        <x:v>3</x:v>
      </x:c>
      <x:c r="C1295" s="11" t="n">
        <x:v>2.35</x:v>
      </x:c>
      <x:c r="D1295" s="11" t="n">
        <x:v>7.65</x:v>
      </x:c>
      <x:c r="E1295" s="11" t="n">
        <x:v>-10.153</x:v>
      </x:c>
      <x:c r="F1295" s="11" t="n">
        <x:f>SQRT((C1295-C1294)^2+(D1295-D1294)^2+(E1295-E1294)^2)</x:f>
        <x:v>2.793</x:v>
      </x:c>
      <x:c r="G1295" s="8" t="str">
        <x:v>Current</x:v>
      </x:c>
    </x:row>
    <x:row r="1296" ht="32" customHeight="1">
      <x:c r="A1296" s="8" t="str">
        <x:v>drop:DB2:L7:light:-1:L202</x:v>
      </x:c>
      <x:c r="B1296" s="8" t="n">
        <x:v>4</x:v>
      </x:c>
      <x:c r="C1296" s="11" t="n">
        <x:v>0.05</x:v>
      </x:c>
      <x:c r="D1296" s="11" t="n">
        <x:v>7.65</x:v>
      </x:c>
      <x:c r="E1296" s="11" t="n">
        <x:v>-10.153</x:v>
      </x:c>
      <x:c r="F1296" s="11" t="n">
        <x:f>SQRT((C1296-C1295)^2+(D1296-D1295)^2+(E1296-E1295)^2)</x:f>
        <x:v>2.3000000000000003</x:v>
      </x:c>
      <x:c r="G1296" s="8" t="str">
        <x:v>Current</x:v>
      </x:c>
    </x:row>
    <x:row r="1297" ht="32" customHeight="1">
      <x:c r="A1297" s="8" t="str">
        <x:v>drop:DB2:L7:light:-1:L202</x:v>
      </x:c>
      <x:c r="B1297" s="8" t="n">
        <x:v>5</x:v>
      </x:c>
      <x:c r="C1297" s="11" t="n">
        <x:v>0.05</x:v>
      </x:c>
      <x:c r="D1297" s="11" t="n">
        <x:v>4.195</x:v>
      </x:c>
      <x:c r="E1297" s="11" t="n">
        <x:v>-10.153</x:v>
      </x:c>
      <x:c r="F1297" s="11" t="n">
        <x:f>SQRT((C1297-C1296)^2+(D1297-D1296)^2+(E1297-E1296)^2)</x:f>
        <x:v>3.455</x:v>
      </x:c>
      <x:c r="G1297" s="8" t="str">
        <x:v>Current</x:v>
      </x:c>
    </x:row>
    <x:row r="1298" ht="32" customHeight="1">
      <x:c r="A1298" s="8" t="str">
        <x:v>drop:DB2:L7:light:-1:L202</x:v>
      </x:c>
      <x:c r="B1298" s="8" t="n">
        <x:v>6</x:v>
      </x:c>
      <x:c r="C1298" s="11" t="n">
        <x:v>-0.4</x:v>
      </x:c>
      <x:c r="D1298" s="11" t="n">
        <x:v>4.195</x:v>
      </x:c>
      <x:c r="E1298" s="11" t="n">
        <x:v>-10.153</x:v>
      </x:c>
      <x:c r="F1298" s="11" t="n">
        <x:f>SQRT((C1298-C1297)^2+(D1298-D1297)^2+(E1298-E1297)^2)</x:f>
        <x:v>0.45</x:v>
      </x:c>
      <x:c r="G1298" s="8" t="str">
        <x:v>Current</x:v>
      </x:c>
    </x:row>
    <x:row r="1299" ht="32" customHeight="1">
      <x:c r="A1299" s="8" t="str">
        <x:v>drop:DB2:L7:light:-1:L202</x:v>
      </x:c>
      <x:c r="B1299" s="8" t="n">
        <x:v>7</x:v>
      </x:c>
      <x:c r="C1299" s="11" t="n">
        <x:v>-0.4</x:v>
      </x:c>
      <x:c r="D1299" s="11" t="n">
        <x:v>4.195</x:v>
      </x:c>
      <x:c r="E1299" s="11" t="n">
        <x:v>-7.823</x:v>
      </x:c>
      <x:c r="F1299" s="11" t="n">
        <x:f>SQRT((C1299-C1298)^2+(D1299-D1298)^2+(E1299-E1298)^2)</x:f>
        <x:v>2.33</x:v>
      </x:c>
      <x:c r="G1299" s="8" t="str">
        <x:v>Current</x:v>
      </x:c>
    </x:row>
    <x:row r="1300" ht="32" customHeight="1">
      <x:c r="A1300" s="8" t="str">
        <x:v>drop:DB2:L7:light:-1:L203</x:v>
      </x:c>
      <x:c r="B1300" s="8" t="n">
        <x:v>1</x:v>
      </x:c>
      <x:c r="C1300" s="11" t="n">
        <x:v>2.35</x:v>
      </x:c>
      <x:c r="D1300" s="11" t="n">
        <x:v>6.489999999999999</x:v>
      </x:c>
      <x:c r="E1300" s="11" t="n">
        <x:v>-7.36</x:v>
      </x:c>
      <x:c r="F1300" s="11" t="n">
        <x:f>0</x:f>
        <x:v>0</x:v>
      </x:c>
      <x:c r="G1300" s="8" t="str">
        <x:v>Current</x:v>
      </x:c>
    </x:row>
    <x:row r="1301" ht="32" customHeight="1">
      <x:c r="A1301" s="8" t="str">
        <x:v>drop:DB2:L7:light:-1:L203</x:v>
      </x:c>
      <x:c r="B1301" s="8" t="n">
        <x:v>2</x:v>
      </x:c>
      <x:c r="C1301" s="11" t="n">
        <x:v>2.35</x:v>
      </x:c>
      <x:c r="D1301" s="11" t="n">
        <x:v>7.65</x:v>
      </x:c>
      <x:c r="E1301" s="11" t="n">
        <x:v>-7.36</x:v>
      </x:c>
      <x:c r="F1301" s="11" t="n">
        <x:f>SQRT((C1301-C1300)^2+(D1301-D1300)^2+(E1301-E1300)^2)</x:f>
        <x:v>1.160000000000001</x:v>
      </x:c>
      <x:c r="G1301" s="8" t="str">
        <x:v>Current</x:v>
      </x:c>
    </x:row>
    <x:row r="1302" ht="32" customHeight="1">
      <x:c r="A1302" s="8" t="str">
        <x:v>drop:DB2:L7:light:-1:L203</x:v>
      </x:c>
      <x:c r="B1302" s="8" t="n">
        <x:v>3</x:v>
      </x:c>
      <x:c r="C1302" s="11" t="n">
        <x:v>2.35</x:v>
      </x:c>
      <x:c r="D1302" s="11" t="n">
        <x:v>7.65</x:v>
      </x:c>
      <x:c r="E1302" s="11" t="n">
        <x:v>-10.153</x:v>
      </x:c>
      <x:c r="F1302" s="11" t="n">
        <x:f>SQRT((C1302-C1301)^2+(D1302-D1301)^2+(E1302-E1301)^2)</x:f>
        <x:v>2.793</x:v>
      </x:c>
      <x:c r="G1302" s="8" t="str">
        <x:v>Current</x:v>
      </x:c>
    </x:row>
    <x:row r="1303" ht="32" customHeight="1">
      <x:c r="A1303" s="8" t="str">
        <x:v>drop:DB2:L7:light:-1:L203</x:v>
      </x:c>
      <x:c r="B1303" s="8" t="n">
        <x:v>4</x:v>
      </x:c>
      <x:c r="C1303" s="11" t="n">
        <x:v>0.05</x:v>
      </x:c>
      <x:c r="D1303" s="11" t="n">
        <x:v>7.65</x:v>
      </x:c>
      <x:c r="E1303" s="11" t="n">
        <x:v>-10.153</x:v>
      </x:c>
      <x:c r="F1303" s="11" t="n">
        <x:f>SQRT((C1303-C1302)^2+(D1303-D1302)^2+(E1303-E1302)^2)</x:f>
        <x:v>2.3000000000000003</x:v>
      </x:c>
      <x:c r="G1303" s="8" t="str">
        <x:v>Current</x:v>
      </x:c>
    </x:row>
    <x:row r="1304" ht="32" customHeight="1">
      <x:c r="A1304" s="8" t="str">
        <x:v>drop:DB2:L7:light:-1:L203</x:v>
      </x:c>
      <x:c r="B1304" s="8" t="n">
        <x:v>5</x:v>
      </x:c>
      <x:c r="C1304" s="11" t="n">
        <x:v>0.05</x:v>
      </x:c>
      <x:c r="D1304" s="11" t="n">
        <x:v>4.195</x:v>
      </x:c>
      <x:c r="E1304" s="11" t="n">
        <x:v>-10.153</x:v>
      </x:c>
      <x:c r="F1304" s="11" t="n">
        <x:f>SQRT((C1304-C1303)^2+(D1304-D1303)^2+(E1304-E1303)^2)</x:f>
        <x:v>3.455</x:v>
      </x:c>
      <x:c r="G1304" s="8" t="str">
        <x:v>Current</x:v>
      </x:c>
    </x:row>
    <x:row r="1305" ht="32" customHeight="1">
      <x:c r="A1305" s="8" t="str">
        <x:v>drop:DB2:L7:light:-1:L203</x:v>
      </x:c>
      <x:c r="B1305" s="8" t="n">
        <x:v>6</x:v>
      </x:c>
      <x:c r="C1305" s="11" t="n">
        <x:v>-0.4</x:v>
      </x:c>
      <x:c r="D1305" s="11" t="n">
        <x:v>4.195</x:v>
      </x:c>
      <x:c r="E1305" s="11" t="n">
        <x:v>-10.153</x:v>
      </x:c>
      <x:c r="F1305" s="11" t="n">
        <x:f>SQRT((C1305-C1304)^2+(D1305-D1304)^2+(E1305-E1304)^2)</x:f>
        <x:v>0.45</x:v>
      </x:c>
      <x:c r="G1305" s="8" t="str">
        <x:v>Current</x:v>
      </x:c>
    </x:row>
    <x:row r="1306" ht="32" customHeight="1">
      <x:c r="A1306" s="8" t="str">
        <x:v>drop:DB2:L7:light:-1:L203</x:v>
      </x:c>
      <x:c r="B1306" s="8" t="n">
        <x:v>7</x:v>
      </x:c>
      <x:c r="C1306" s="11" t="n">
        <x:v>-0.4</x:v>
      </x:c>
      <x:c r="D1306" s="11" t="n">
        <x:v>4.195</x:v>
      </x:c>
      <x:c r="E1306" s="11" t="n">
        <x:v>-12.483</x:v>
      </x:c>
      <x:c r="F1306" s="11" t="n">
        <x:f>SQRT((C1306-C1305)^2+(D1306-D1305)^2+(E1306-E1305)^2)</x:f>
        <x:v>2.33</x:v>
      </x:c>
      <x:c r="G1306" s="8" t="str">
        <x:v>Current</x:v>
      </x:c>
    </x:row>
    <x:row r="1307" ht="32" customHeight="1">
      <x:c r="A1307" s="8" t="str">
        <x:v>drop:DB2:L7:light:-1:L204</x:v>
      </x:c>
      <x:c r="B1307" s="8" t="n">
        <x:v>1</x:v>
      </x:c>
      <x:c r="C1307" s="11" t="n">
        <x:v>2.35</x:v>
      </x:c>
      <x:c r="D1307" s="11" t="n">
        <x:v>6.489999999999999</x:v>
      </x:c>
      <x:c r="E1307" s="11" t="n">
        <x:v>-7.36</x:v>
      </x:c>
      <x:c r="F1307" s="11" t="n">
        <x:f>0</x:f>
        <x:v>0</x:v>
      </x:c>
      <x:c r="G1307" s="8" t="str">
        <x:v>Current</x:v>
      </x:c>
    </x:row>
    <x:row r="1308" ht="32" customHeight="1">
      <x:c r="A1308" s="8" t="str">
        <x:v>drop:DB2:L7:light:-1:L204</x:v>
      </x:c>
      <x:c r="B1308" s="8" t="n">
        <x:v>2</x:v>
      </x:c>
      <x:c r="C1308" s="11" t="n">
        <x:v>2.35</x:v>
      </x:c>
      <x:c r="D1308" s="11" t="n">
        <x:v>7.65</x:v>
      </x:c>
      <x:c r="E1308" s="11" t="n">
        <x:v>-7.36</x:v>
      </x:c>
      <x:c r="F1308" s="11" t="n">
        <x:f>SQRT((C1308-C1307)^2+(D1308-D1307)^2+(E1308-E1307)^2)</x:f>
        <x:v>1.160000000000001</x:v>
      </x:c>
      <x:c r="G1308" s="8" t="str">
        <x:v>Current</x:v>
      </x:c>
    </x:row>
    <x:row r="1309" ht="32" customHeight="1">
      <x:c r="A1309" s="8" t="str">
        <x:v>drop:DB2:L7:light:-1:L204</x:v>
      </x:c>
      <x:c r="B1309" s="8" t="n">
        <x:v>3</x:v>
      </x:c>
      <x:c r="C1309" s="11" t="n">
        <x:v>2.35</x:v>
      </x:c>
      <x:c r="D1309" s="11" t="n">
        <x:v>7.65</x:v>
      </x:c>
      <x:c r="E1309" s="11" t="n">
        <x:v>-10.153</x:v>
      </x:c>
      <x:c r="F1309" s="11" t="n">
        <x:f>SQRT((C1309-C1308)^2+(D1309-D1308)^2+(E1309-E1308)^2)</x:f>
        <x:v>2.793</x:v>
      </x:c>
      <x:c r="G1309" s="8" t="str">
        <x:v>Current</x:v>
      </x:c>
    </x:row>
    <x:row r="1310" ht="32" customHeight="1">
      <x:c r="A1310" s="8" t="str">
        <x:v>drop:DB2:L7:light:-1:L204</x:v>
      </x:c>
      <x:c r="B1310" s="8" t="n">
        <x:v>4</x:v>
      </x:c>
      <x:c r="C1310" s="11" t="n">
        <x:v>0.05</x:v>
      </x:c>
      <x:c r="D1310" s="11" t="n">
        <x:v>7.65</x:v>
      </x:c>
      <x:c r="E1310" s="11" t="n">
        <x:v>-10.153</x:v>
      </x:c>
      <x:c r="F1310" s="11" t="n">
        <x:f>SQRT((C1310-C1309)^2+(D1310-D1309)^2+(E1310-E1309)^2)</x:f>
        <x:v>2.3000000000000003</x:v>
      </x:c>
      <x:c r="G1310" s="8" t="str">
        <x:v>Current</x:v>
      </x:c>
    </x:row>
    <x:row r="1311" ht="32" customHeight="1">
      <x:c r="A1311" s="8" t="str">
        <x:v>drop:DB2:L7:light:-1:L204</x:v>
      </x:c>
      <x:c r="B1311" s="8" t="n">
        <x:v>5</x:v>
      </x:c>
      <x:c r="C1311" s="11" t="n">
        <x:v>0.05</x:v>
      </x:c>
      <x:c r="D1311" s="11" t="n">
        <x:v>8.39</x:v>
      </x:c>
      <x:c r="E1311" s="11" t="n">
        <x:v>-10.153</x:v>
      </x:c>
      <x:c r="F1311" s="11" t="n">
        <x:f>SQRT((C1311-C1310)^2+(D1311-D1310)^2+(E1311-E1310)^2)</x:f>
        <x:v>0.7400000000000002</x:v>
      </x:c>
      <x:c r="G1311" s="8" t="str">
        <x:v>Current</x:v>
      </x:c>
    </x:row>
    <x:row r="1312" ht="32" customHeight="1">
      <x:c r="A1312" s="8" t="str">
        <x:v>drop:DB2:L7:light:-1:L204</x:v>
      </x:c>
      <x:c r="B1312" s="8" t="n">
        <x:v>6</x:v>
      </x:c>
      <x:c r="C1312" s="11" t="n">
        <x:v>0.05</x:v>
      </x:c>
      <x:c r="D1312" s="11" t="n">
        <x:v>12.115</x:v>
      </x:c>
      <x:c r="E1312" s="11" t="n">
        <x:v>-10.153</x:v>
      </x:c>
      <x:c r="F1312" s="11" t="n">
        <x:f>SQRT((C1312-C1311)^2+(D1312-D1311)^2+(E1312-E1311)^2)</x:f>
        <x:v>3.7249999999999996</x:v>
      </x:c>
      <x:c r="G1312" s="8" t="str">
        <x:v>Current</x:v>
      </x:c>
    </x:row>
    <x:row r="1313" ht="32" customHeight="1">
      <x:c r="A1313" s="8" t="str">
        <x:v>drop:DB2:L7:light:-1:L204</x:v>
      </x:c>
      <x:c r="B1313" s="8" t="n">
        <x:v>7</x:v>
      </x:c>
      <x:c r="C1313" s="11" t="n">
        <x:v>-0.3099999999999997</x:v>
      </x:c>
      <x:c r="D1313" s="11" t="n">
        <x:v>12.115</x:v>
      </x:c>
      <x:c r="E1313" s="11" t="n">
        <x:v>-10.153</x:v>
      </x:c>
      <x:c r="F1313" s="11" t="n">
        <x:f>SQRT((C1313-C1312)^2+(D1313-D1312)^2+(E1313-E1312)^2)</x:f>
        <x:v>0.3599999999999997</x:v>
      </x:c>
      <x:c r="G1313" s="8" t="str">
        <x:v>Current</x:v>
      </x:c>
    </x:row>
    <x:row r="1314" ht="32" customHeight="1">
      <x:c r="A1314" s="8" t="str">
        <x:v>drop:DB2:L7:light:-1:L204</x:v>
      </x:c>
      <x:c r="B1314" s="8" t="n">
        <x:v>8</x:v>
      </x:c>
      <x:c r="C1314" s="11" t="n">
        <x:v>-0.3099999999999997</x:v>
      </x:c>
      <x:c r="D1314" s="11" t="n">
        <x:v>12.115</x:v>
      </x:c>
      <x:c r="E1314" s="11" t="n">
        <x:v>-7.948</x:v>
      </x:c>
      <x:c r="F1314" s="11" t="n">
        <x:f>SQRT((C1314-C1313)^2+(D1314-D1313)^2+(E1314-E1313)^2)</x:f>
        <x:v>2.205</x:v>
      </x:c>
      <x:c r="G1314" s="8" t="str">
        <x:v>Current</x:v>
      </x:c>
    </x:row>
    <x:row r="1315" ht="32" customHeight="1">
      <x:c r="A1315" s="8" t="str">
        <x:v>drop:DB2:L7:light:-1:L205</x:v>
      </x:c>
      <x:c r="B1315" s="8" t="n">
        <x:v>1</x:v>
      </x:c>
      <x:c r="C1315" s="11" t="n">
        <x:v>2.35</x:v>
      </x:c>
      <x:c r="D1315" s="11" t="n">
        <x:v>6.489999999999999</x:v>
      </x:c>
      <x:c r="E1315" s="11" t="n">
        <x:v>-7.36</x:v>
      </x:c>
      <x:c r="F1315" s="11" t="n">
        <x:f>0</x:f>
        <x:v>0</x:v>
      </x:c>
      <x:c r="G1315" s="8" t="str">
        <x:v>Current</x:v>
      </x:c>
    </x:row>
    <x:row r="1316" ht="32" customHeight="1">
      <x:c r="A1316" s="8" t="str">
        <x:v>drop:DB2:L7:light:-1:L205</x:v>
      </x:c>
      <x:c r="B1316" s="8" t="n">
        <x:v>2</x:v>
      </x:c>
      <x:c r="C1316" s="11" t="n">
        <x:v>2.35</x:v>
      </x:c>
      <x:c r="D1316" s="11" t="n">
        <x:v>7.65</x:v>
      </x:c>
      <x:c r="E1316" s="11" t="n">
        <x:v>-7.36</x:v>
      </x:c>
      <x:c r="F1316" s="11" t="n">
        <x:f>SQRT((C1316-C1315)^2+(D1316-D1315)^2+(E1316-E1315)^2)</x:f>
        <x:v>1.160000000000001</x:v>
      </x:c>
      <x:c r="G1316" s="8" t="str">
        <x:v>Current</x:v>
      </x:c>
    </x:row>
    <x:row r="1317" ht="32" customHeight="1">
      <x:c r="A1317" s="8" t="str">
        <x:v>drop:DB2:L7:light:-1:L205</x:v>
      </x:c>
      <x:c r="B1317" s="8" t="n">
        <x:v>3</x:v>
      </x:c>
      <x:c r="C1317" s="11" t="n">
        <x:v>2.35</x:v>
      </x:c>
      <x:c r="D1317" s="11" t="n">
        <x:v>7.65</x:v>
      </x:c>
      <x:c r="E1317" s="11" t="n">
        <x:v>-10.153</x:v>
      </x:c>
      <x:c r="F1317" s="11" t="n">
        <x:f>SQRT((C1317-C1316)^2+(D1317-D1316)^2+(E1317-E1316)^2)</x:f>
        <x:v>2.793</x:v>
      </x:c>
      <x:c r="G1317" s="8" t="str">
        <x:v>Current</x:v>
      </x:c>
    </x:row>
    <x:row r="1318" ht="32" customHeight="1">
      <x:c r="A1318" s="8" t="str">
        <x:v>drop:DB2:L7:light:-1:L205</x:v>
      </x:c>
      <x:c r="B1318" s="8" t="n">
        <x:v>4</x:v>
      </x:c>
      <x:c r="C1318" s="11" t="n">
        <x:v>0.05</x:v>
      </x:c>
      <x:c r="D1318" s="11" t="n">
        <x:v>7.65</x:v>
      </x:c>
      <x:c r="E1318" s="11" t="n">
        <x:v>-10.153</x:v>
      </x:c>
      <x:c r="F1318" s="11" t="n">
        <x:f>SQRT((C1318-C1317)^2+(D1318-D1317)^2+(E1318-E1317)^2)</x:f>
        <x:v>2.3000000000000003</x:v>
      </x:c>
      <x:c r="G1318" s="8" t="str">
        <x:v>Current</x:v>
      </x:c>
    </x:row>
    <x:row r="1319" ht="32" customHeight="1">
      <x:c r="A1319" s="8" t="str">
        <x:v>drop:DB2:L7:light:-1:L205</x:v>
      </x:c>
      <x:c r="B1319" s="8" t="n">
        <x:v>5</x:v>
      </x:c>
      <x:c r="C1319" s="11" t="n">
        <x:v>0.05</x:v>
      </x:c>
      <x:c r="D1319" s="11" t="n">
        <x:v>8.39</x:v>
      </x:c>
      <x:c r="E1319" s="11" t="n">
        <x:v>-10.153</x:v>
      </x:c>
      <x:c r="F1319" s="11" t="n">
        <x:f>SQRT((C1319-C1318)^2+(D1319-D1318)^2+(E1319-E1318)^2)</x:f>
        <x:v>0.7400000000000002</x:v>
      </x:c>
      <x:c r="G1319" s="8" t="str">
        <x:v>Current</x:v>
      </x:c>
    </x:row>
    <x:row r="1320" ht="32" customHeight="1">
      <x:c r="A1320" s="8" t="str">
        <x:v>drop:DB2:L7:light:-1:L205</x:v>
      </x:c>
      <x:c r="B1320" s="8" t="n">
        <x:v>6</x:v>
      </x:c>
      <x:c r="C1320" s="11" t="n">
        <x:v>0.05</x:v>
      </x:c>
      <x:c r="D1320" s="11" t="n">
        <x:v>12.115</x:v>
      </x:c>
      <x:c r="E1320" s="11" t="n">
        <x:v>-10.153</x:v>
      </x:c>
      <x:c r="F1320" s="11" t="n">
        <x:f>SQRT((C1320-C1319)^2+(D1320-D1319)^2+(E1320-E1319)^2)</x:f>
        <x:v>3.7249999999999996</x:v>
      </x:c>
      <x:c r="G1320" s="8" t="str">
        <x:v>Current</x:v>
      </x:c>
    </x:row>
    <x:row r="1321" ht="32" customHeight="1">
      <x:c r="A1321" s="8" t="str">
        <x:v>drop:DB2:L7:light:-1:L205</x:v>
      </x:c>
      <x:c r="B1321" s="8" t="n">
        <x:v>7</x:v>
      </x:c>
      <x:c r="C1321" s="11" t="n">
        <x:v>-0.3099999999999997</x:v>
      </x:c>
      <x:c r="D1321" s="11" t="n">
        <x:v>12.115</x:v>
      </x:c>
      <x:c r="E1321" s="11" t="n">
        <x:v>-10.153</x:v>
      </x:c>
      <x:c r="F1321" s="11" t="n">
        <x:f>SQRT((C1321-C1320)^2+(D1321-D1320)^2+(E1321-E1320)^2)</x:f>
        <x:v>0.3599999999999997</x:v>
      </x:c>
      <x:c r="G1321" s="8" t="str">
        <x:v>Current</x:v>
      </x:c>
    </x:row>
    <x:row r="1322" ht="32" customHeight="1">
      <x:c r="A1322" s="8" t="str">
        <x:v>drop:DB2:L7:light:-1:L205</x:v>
      </x:c>
      <x:c r="B1322" s="8" t="n">
        <x:v>8</x:v>
      </x:c>
      <x:c r="C1322" s="11" t="n">
        <x:v>-0.3099999999999997</x:v>
      </x:c>
      <x:c r="D1322" s="11" t="n">
        <x:v>12.115</x:v>
      </x:c>
      <x:c r="E1322" s="11" t="n">
        <x:v>-12.358</x:v>
      </x:c>
      <x:c r="F1322" s="11" t="n">
        <x:f>SQRT((C1322-C1321)^2+(D1322-D1321)^2+(E1322-E1321)^2)</x:f>
        <x:v>2.205</x:v>
      </x:c>
      <x:c r="G1322" s="8" t="str">
        <x:v>Current</x:v>
      </x:c>
    </x:row>
    <x:row r="1323" ht="32" customHeight="1">
      <x:c r="A1323" s="8" t="str">
        <x:v>drop:DB2:L7:light:-1:L206</x:v>
      </x:c>
      <x:c r="B1323" s="8" t="n">
        <x:v>1</x:v>
      </x:c>
      <x:c r="C1323" s="11" t="n">
        <x:v>2.35</x:v>
      </x:c>
      <x:c r="D1323" s="11" t="n">
        <x:v>6.489999999999999</x:v>
      </x:c>
      <x:c r="E1323" s="11" t="n">
        <x:v>-7.36</x:v>
      </x:c>
      <x:c r="F1323" s="11" t="n">
        <x:f>0</x:f>
        <x:v>0</x:v>
      </x:c>
      <x:c r="G1323" s="8" t="str">
        <x:v>Current</x:v>
      </x:c>
    </x:row>
    <x:row r="1324" ht="32" customHeight="1">
      <x:c r="A1324" s="8" t="str">
        <x:v>drop:DB2:L7:light:-1:L206</x:v>
      </x:c>
      <x:c r="B1324" s="8" t="n">
        <x:v>2</x:v>
      </x:c>
      <x:c r="C1324" s="11" t="n">
        <x:v>2.35</x:v>
      </x:c>
      <x:c r="D1324" s="11" t="n">
        <x:v>7.65</x:v>
      </x:c>
      <x:c r="E1324" s="11" t="n">
        <x:v>-7.36</x:v>
      </x:c>
      <x:c r="F1324" s="11" t="n">
        <x:f>SQRT((C1324-C1323)^2+(D1324-D1323)^2+(E1324-E1323)^2)</x:f>
        <x:v>1.160000000000001</x:v>
      </x:c>
      <x:c r="G1324" s="8" t="str">
        <x:v>Current</x:v>
      </x:c>
    </x:row>
    <x:row r="1325" ht="32" customHeight="1">
      <x:c r="A1325" s="8" t="str">
        <x:v>drop:DB2:L7:light:-1:L206</x:v>
      </x:c>
      <x:c r="B1325" s="8" t="n">
        <x:v>3</x:v>
      </x:c>
      <x:c r="C1325" s="11" t="n">
        <x:v>2.35</x:v>
      </x:c>
      <x:c r="D1325" s="11" t="n">
        <x:v>7.65</x:v>
      </x:c>
      <x:c r="E1325" s="11" t="n">
        <x:v>-10.153</x:v>
      </x:c>
      <x:c r="F1325" s="11" t="n">
        <x:f>SQRT((C1325-C1324)^2+(D1325-D1324)^2+(E1325-E1324)^2)</x:f>
        <x:v>2.793</x:v>
      </x:c>
      <x:c r="G1325" s="8" t="str">
        <x:v>Current</x:v>
      </x:c>
    </x:row>
    <x:row r="1326" ht="32" customHeight="1">
      <x:c r="A1326" s="8" t="str">
        <x:v>drop:DB2:L7:light:-1:L206</x:v>
      </x:c>
      <x:c r="B1326" s="8" t="n">
        <x:v>4</x:v>
      </x:c>
      <x:c r="C1326" s="11" t="n">
        <x:v>0.05</x:v>
      </x:c>
      <x:c r="D1326" s="11" t="n">
        <x:v>7.65</x:v>
      </x:c>
      <x:c r="E1326" s="11" t="n">
        <x:v>-10.153</x:v>
      </x:c>
      <x:c r="F1326" s="11" t="n">
        <x:f>SQRT((C1326-C1325)^2+(D1326-D1325)^2+(E1326-E1325)^2)</x:f>
        <x:v>2.3000000000000003</x:v>
      </x:c>
      <x:c r="G1326" s="8" t="str">
        <x:v>Current</x:v>
      </x:c>
    </x:row>
    <x:row r="1327" ht="32" customHeight="1">
      <x:c r="A1327" s="8" t="str">
        <x:v>drop:DB2:L7:light:-1:L206</x:v>
      </x:c>
      <x:c r="B1327" s="8" t="n">
        <x:v>5</x:v>
      </x:c>
      <x:c r="C1327" s="11" t="n">
        <x:v>0.05</x:v>
      </x:c>
      <x:c r="D1327" s="11" t="n">
        <x:v>8.39</x:v>
      </x:c>
      <x:c r="E1327" s="11" t="n">
        <x:v>-10.153</x:v>
      </x:c>
      <x:c r="F1327" s="11" t="n">
        <x:f>SQRT((C1327-C1326)^2+(D1327-D1326)^2+(E1327-E1326)^2)</x:f>
        <x:v>0.7400000000000002</x:v>
      </x:c>
      <x:c r="G1327" s="8" t="str">
        <x:v>Current</x:v>
      </x:c>
    </x:row>
    <x:row r="1328" ht="32" customHeight="1">
      <x:c r="A1328" s="8" t="str">
        <x:v>drop:DB2:L7:light:-1:L206</x:v>
      </x:c>
      <x:c r="B1328" s="8" t="n">
        <x:v>6</x:v>
      </x:c>
      <x:c r="C1328" s="11" t="n">
        <x:v>0.05</x:v>
      </x:c>
      <x:c r="D1328" s="11" t="n">
        <x:v>15.84</x:v>
      </x:c>
      <x:c r="E1328" s="11" t="n">
        <x:v>-10.153</x:v>
      </x:c>
      <x:c r="F1328" s="11" t="n">
        <x:f>SQRT((C1328-C1327)^2+(D1328-D1327)^2+(E1328-E1327)^2)</x:f>
        <x:v>7.449999999999999</x:v>
      </x:c>
      <x:c r="G1328" s="8" t="str">
        <x:v>Current</x:v>
      </x:c>
    </x:row>
    <x:row r="1329" ht="32" customHeight="1">
      <x:c r="A1329" s="8" t="str">
        <x:v>drop:DB2:L7:light:-1:L206</x:v>
      </x:c>
      <x:c r="B1329" s="8" t="n">
        <x:v>7</x:v>
      </x:c>
      <x:c r="C1329" s="11" t="n">
        <x:v>0.09</x:v>
      </x:c>
      <x:c r="D1329" s="11" t="n">
        <x:v>15.84</x:v>
      </x:c>
      <x:c r="E1329" s="11" t="n">
        <x:v>-10.153</x:v>
      </x:c>
      <x:c r="F1329" s="11" t="n">
        <x:f>SQRT((C1329-C1328)^2+(D1329-D1328)^2+(E1329-E1328)^2)</x:f>
        <x:v>0.039999999999999994</x:v>
      </x:c>
      <x:c r="G1329" s="8" t="str">
        <x:v>Current</x:v>
      </x:c>
    </x:row>
    <x:row r="1330" ht="32" customHeight="1">
      <x:c r="A1330" s="8" t="str">
        <x:v>drop:DB2:L7:light:-1:L206</x:v>
      </x:c>
      <x:c r="B1330" s="8" t="n">
        <x:v>8</x:v>
      </x:c>
      <x:c r="C1330" s="11" t="n">
        <x:v>0.09</x:v>
      </x:c>
      <x:c r="D1330" s="11" t="n">
        <x:v>19.490000000000002</x:v>
      </x:c>
      <x:c r="E1330" s="11" t="n">
        <x:v>-10.153</x:v>
      </x:c>
      <x:c r="F1330" s="11" t="n">
        <x:f>SQRT((C1330-C1329)^2+(D1330-D1329)^2+(E1330-E1329)^2)</x:f>
        <x:v>3.650000000000002</x:v>
      </x:c>
      <x:c r="G1330" s="8" t="str">
        <x:v>Current</x:v>
      </x:c>
    </x:row>
    <x:row r="1331" ht="32" customHeight="1">
      <x:c r="A1331" s="8" t="str">
        <x:v>drop:DB2:L7:light:-1:L206</x:v>
      </x:c>
      <x:c r="B1331" s="8" t="n">
        <x:v>9</x:v>
      </x:c>
      <x:c r="C1331" s="11" t="n">
        <x:v>-0.20999999999999963</x:v>
      </x:c>
      <x:c r="D1331" s="11" t="n">
        <x:v>19.490000000000002</x:v>
      </x:c>
      <x:c r="E1331" s="11" t="n">
        <x:v>-10.153</x:v>
      </x:c>
      <x:c r="F1331" s="11" t="n">
        <x:f>SQRT((C1331-C1330)^2+(D1331-D1330)^2+(E1331-E1330)^2)</x:f>
        <x:v>0.2999999999999996</x:v>
      </x:c>
      <x:c r="G1331" s="8" t="str">
        <x:v>Current</x:v>
      </x:c>
    </x:row>
    <x:row r="1332" ht="32" customHeight="1">
      <x:c r="A1332" s="8" t="str">
        <x:v>drop:DB2:L7:light:-1:L206</x:v>
      </x:c>
      <x:c r="B1332" s="8" t="n">
        <x:v>10</x:v>
      </x:c>
      <x:c r="C1332" s="11" t="n">
        <x:v>-0.20999999999999963</x:v>
      </x:c>
      <x:c r="D1332" s="11" t="n">
        <x:v>19.490000000000002</x:v>
      </x:c>
      <x:c r="E1332" s="11" t="n">
        <x:v>-8.048</x:v>
      </x:c>
      <x:c r="F1332" s="11" t="n">
        <x:f>SQRT((C1332-C1331)^2+(D1332-D1331)^2+(E1332-E1331)^2)</x:f>
        <x:v>2.1050000000000004</x:v>
      </x:c>
      <x:c r="G1332" s="8" t="str">
        <x:v>Current</x:v>
      </x:c>
    </x:row>
    <x:row r="1333" ht="32" customHeight="1">
      <x:c r="A1333" s="8" t="str">
        <x:v>drop:DB2:L7:light:-1:L207</x:v>
      </x:c>
      <x:c r="B1333" s="8" t="n">
        <x:v>1</x:v>
      </x:c>
      <x:c r="C1333" s="11" t="n">
        <x:v>2.35</x:v>
      </x:c>
      <x:c r="D1333" s="11" t="n">
        <x:v>6.489999999999999</x:v>
      </x:c>
      <x:c r="E1333" s="11" t="n">
        <x:v>-7.36</x:v>
      </x:c>
      <x:c r="F1333" s="11" t="n">
        <x:f>0</x:f>
        <x:v>0</x:v>
      </x:c>
      <x:c r="G1333" s="8" t="str">
        <x:v>Current</x:v>
      </x:c>
    </x:row>
    <x:row r="1334" ht="32" customHeight="1">
      <x:c r="A1334" s="8" t="str">
        <x:v>drop:DB2:L7:light:-1:L207</x:v>
      </x:c>
      <x:c r="B1334" s="8" t="n">
        <x:v>2</x:v>
      </x:c>
      <x:c r="C1334" s="11" t="n">
        <x:v>2.35</x:v>
      </x:c>
      <x:c r="D1334" s="11" t="n">
        <x:v>7.65</x:v>
      </x:c>
      <x:c r="E1334" s="11" t="n">
        <x:v>-7.36</x:v>
      </x:c>
      <x:c r="F1334" s="11" t="n">
        <x:f>SQRT((C1334-C1333)^2+(D1334-D1333)^2+(E1334-E1333)^2)</x:f>
        <x:v>1.160000000000001</x:v>
      </x:c>
      <x:c r="G1334" s="8" t="str">
        <x:v>Current</x:v>
      </x:c>
    </x:row>
    <x:row r="1335" ht="32" customHeight="1">
      <x:c r="A1335" s="8" t="str">
        <x:v>drop:DB2:L7:light:-1:L207</x:v>
      </x:c>
      <x:c r="B1335" s="8" t="n">
        <x:v>3</x:v>
      </x:c>
      <x:c r="C1335" s="11" t="n">
        <x:v>2.35</x:v>
      </x:c>
      <x:c r="D1335" s="11" t="n">
        <x:v>7.65</x:v>
      </x:c>
      <x:c r="E1335" s="11" t="n">
        <x:v>-10.153</x:v>
      </x:c>
      <x:c r="F1335" s="11" t="n">
        <x:f>SQRT((C1335-C1334)^2+(D1335-D1334)^2+(E1335-E1334)^2)</x:f>
        <x:v>2.793</x:v>
      </x:c>
      <x:c r="G1335" s="8" t="str">
        <x:v>Current</x:v>
      </x:c>
    </x:row>
    <x:row r="1336" ht="32" customHeight="1">
      <x:c r="A1336" s="8" t="str">
        <x:v>drop:DB2:L7:light:-1:L207</x:v>
      </x:c>
      <x:c r="B1336" s="8" t="n">
        <x:v>4</x:v>
      </x:c>
      <x:c r="C1336" s="11" t="n">
        <x:v>0.05</x:v>
      </x:c>
      <x:c r="D1336" s="11" t="n">
        <x:v>7.65</x:v>
      </x:c>
      <x:c r="E1336" s="11" t="n">
        <x:v>-10.153</x:v>
      </x:c>
      <x:c r="F1336" s="11" t="n">
        <x:f>SQRT((C1336-C1335)^2+(D1336-D1335)^2+(E1336-E1335)^2)</x:f>
        <x:v>2.3000000000000003</x:v>
      </x:c>
      <x:c r="G1336" s="8" t="str">
        <x:v>Current</x:v>
      </x:c>
    </x:row>
    <x:row r="1337" ht="32" customHeight="1">
      <x:c r="A1337" s="8" t="str">
        <x:v>drop:DB2:L7:light:-1:L207</x:v>
      </x:c>
      <x:c r="B1337" s="8" t="n">
        <x:v>5</x:v>
      </x:c>
      <x:c r="C1337" s="11" t="n">
        <x:v>0.05</x:v>
      </x:c>
      <x:c r="D1337" s="11" t="n">
        <x:v>8.39</x:v>
      </x:c>
      <x:c r="E1337" s="11" t="n">
        <x:v>-10.153</x:v>
      </x:c>
      <x:c r="F1337" s="11" t="n">
        <x:f>SQRT((C1337-C1336)^2+(D1337-D1336)^2+(E1337-E1336)^2)</x:f>
        <x:v>0.7400000000000002</x:v>
      </x:c>
      <x:c r="G1337" s="8" t="str">
        <x:v>Current</x:v>
      </x:c>
    </x:row>
    <x:row r="1338" ht="32" customHeight="1">
      <x:c r="A1338" s="8" t="str">
        <x:v>drop:DB2:L7:light:-1:L207</x:v>
      </x:c>
      <x:c r="B1338" s="8" t="n">
        <x:v>6</x:v>
      </x:c>
      <x:c r="C1338" s="11" t="n">
        <x:v>0.05</x:v>
      </x:c>
      <x:c r="D1338" s="11" t="n">
        <x:v>15.84</x:v>
      </x:c>
      <x:c r="E1338" s="11" t="n">
        <x:v>-10.153</x:v>
      </x:c>
      <x:c r="F1338" s="11" t="n">
        <x:f>SQRT((C1338-C1337)^2+(D1338-D1337)^2+(E1338-E1337)^2)</x:f>
        <x:v>7.449999999999999</x:v>
      </x:c>
      <x:c r="G1338" s="8" t="str">
        <x:v>Current</x:v>
      </x:c>
    </x:row>
    <x:row r="1339" ht="32" customHeight="1">
      <x:c r="A1339" s="8" t="str">
        <x:v>drop:DB2:L7:light:-1:L207</x:v>
      </x:c>
      <x:c r="B1339" s="8" t="n">
        <x:v>7</x:v>
      </x:c>
      <x:c r="C1339" s="11" t="n">
        <x:v>0.09</x:v>
      </x:c>
      <x:c r="D1339" s="11" t="n">
        <x:v>15.84</x:v>
      </x:c>
      <x:c r="E1339" s="11" t="n">
        <x:v>-10.153</x:v>
      </x:c>
      <x:c r="F1339" s="11" t="n">
        <x:f>SQRT((C1339-C1338)^2+(D1339-D1338)^2+(E1339-E1338)^2)</x:f>
        <x:v>0.039999999999999994</x:v>
      </x:c>
      <x:c r="G1339" s="8" t="str">
        <x:v>Current</x:v>
      </x:c>
    </x:row>
    <x:row r="1340" ht="32" customHeight="1">
      <x:c r="A1340" s="8" t="str">
        <x:v>drop:DB2:L7:light:-1:L207</x:v>
      </x:c>
      <x:c r="B1340" s="8" t="n">
        <x:v>8</x:v>
      </x:c>
      <x:c r="C1340" s="11" t="n">
        <x:v>0.09</x:v>
      </x:c>
      <x:c r="D1340" s="11" t="n">
        <x:v>19.490000000000002</x:v>
      </x:c>
      <x:c r="E1340" s="11" t="n">
        <x:v>-10.153</x:v>
      </x:c>
      <x:c r="F1340" s="11" t="n">
        <x:f>SQRT((C1340-C1339)^2+(D1340-D1339)^2+(E1340-E1339)^2)</x:f>
        <x:v>3.650000000000002</x:v>
      </x:c>
      <x:c r="G1340" s="8" t="str">
        <x:v>Current</x:v>
      </x:c>
    </x:row>
    <x:row r="1341" ht="32" customHeight="1">
      <x:c r="A1341" s="8" t="str">
        <x:v>drop:DB2:L7:light:-1:L207</x:v>
      </x:c>
      <x:c r="B1341" s="8" t="n">
        <x:v>9</x:v>
      </x:c>
      <x:c r="C1341" s="11" t="n">
        <x:v>-0.20999999999999963</x:v>
      </x:c>
      <x:c r="D1341" s="11" t="n">
        <x:v>19.490000000000002</x:v>
      </x:c>
      <x:c r="E1341" s="11" t="n">
        <x:v>-10.153</x:v>
      </x:c>
      <x:c r="F1341" s="11" t="n">
        <x:f>SQRT((C1341-C1340)^2+(D1341-D1340)^2+(E1341-E1340)^2)</x:f>
        <x:v>0.2999999999999996</x:v>
      </x:c>
      <x:c r="G1341" s="8" t="str">
        <x:v>Current</x:v>
      </x:c>
    </x:row>
    <x:row r="1342" ht="32" customHeight="1">
      <x:c r="A1342" s="8" t="str">
        <x:v>drop:DB2:L7:light:-1:L207</x:v>
      </x:c>
      <x:c r="B1342" s="8" t="n">
        <x:v>10</x:v>
      </x:c>
      <x:c r="C1342" s="11" t="n">
        <x:v>-0.20999999999999963</x:v>
      </x:c>
      <x:c r="D1342" s="11" t="n">
        <x:v>19.490000000000002</x:v>
      </x:c>
      <x:c r="E1342" s="11" t="n">
        <x:v>-12.258000000000001</x:v>
      </x:c>
      <x:c r="F1342" s="11" t="n">
        <x:f>SQRT((C1342-C1341)^2+(D1342-D1341)^2+(E1342-E1341)^2)</x:f>
        <x:v>2.1050000000000004</x:v>
      </x:c>
      <x:c r="G1342" s="8" t="str">
        <x:v>Current</x:v>
      </x:c>
    </x:row>
    <x:row r="1343" ht="32" customHeight="1">
      <x:c r="A1343" s="8" t="str">
        <x:v>drop:DB2:L7:light:-1:L219</x:v>
      </x:c>
      <x:c r="B1343" s="8" t="n">
        <x:v>1</x:v>
      </x:c>
      <x:c r="C1343" s="11" t="n">
        <x:v>2.35</x:v>
      </x:c>
      <x:c r="D1343" s="11" t="n">
        <x:v>6.489999999999999</x:v>
      </x:c>
      <x:c r="E1343" s="11" t="n">
        <x:v>-7.36</x:v>
      </x:c>
      <x:c r="F1343" s="11" t="n">
        <x:f>0</x:f>
        <x:v>0</x:v>
      </x:c>
      <x:c r="G1343" s="8" t="str">
        <x:v>Current</x:v>
      </x:c>
    </x:row>
    <x:row r="1344" ht="32" customHeight="1">
      <x:c r="A1344" s="8" t="str">
        <x:v>drop:DB2:L7:light:-1:L219</x:v>
      </x:c>
      <x:c r="B1344" s="8" t="n">
        <x:v>2</x:v>
      </x:c>
      <x:c r="C1344" s="11" t="n">
        <x:v>2.35</x:v>
      </x:c>
      <x:c r="D1344" s="11" t="n">
        <x:v>7.65</x:v>
      </x:c>
      <x:c r="E1344" s="11" t="n">
        <x:v>-7.36</x:v>
      </x:c>
      <x:c r="F1344" s="11" t="n">
        <x:f>SQRT((C1344-C1343)^2+(D1344-D1343)^2+(E1344-E1343)^2)</x:f>
        <x:v>1.160000000000001</x:v>
      </x:c>
      <x:c r="G1344" s="8" t="str">
        <x:v>Current</x:v>
      </x:c>
    </x:row>
    <x:row r="1345" ht="32" customHeight="1">
      <x:c r="A1345" s="8" t="str">
        <x:v>drop:DB2:L7:light:-1:L219</x:v>
      </x:c>
      <x:c r="B1345" s="8" t="n">
        <x:v>3</x:v>
      </x:c>
      <x:c r="C1345" s="11" t="n">
        <x:v>2.35</x:v>
      </x:c>
      <x:c r="D1345" s="11" t="n">
        <x:v>7.65</x:v>
      </x:c>
      <x:c r="E1345" s="11" t="n">
        <x:v>0</x:v>
      </x:c>
      <x:c r="F1345" s="11" t="n">
        <x:f>SQRT((C1345-C1344)^2+(D1345-D1344)^2+(E1345-E1344)^2)</x:f>
        <x:v>7.36</x:v>
      </x:c>
      <x:c r="G1345" s="8" t="str">
        <x:v>Current</x:v>
      </x:c>
    </x:row>
    <x:row r="1346" ht="32" customHeight="1">
      <x:c r="A1346" s="8" t="str">
        <x:v>drop:DB2:L7:light:-1:L219</x:v>
      </x:c>
      <x:c r="B1346" s="8" t="n">
        <x:v>4</x:v>
      </x:c>
      <x:c r="C1346" s="11" t="n">
        <x:v>2.35</x:v>
      </x:c>
      <x:c r="D1346" s="11" t="n">
        <x:v>8.5</x:v>
      </x:c>
      <x:c r="E1346" s="11" t="n">
        <x:v>0</x:v>
      </x:c>
      <x:c r="F1346" s="11" t="n">
        <x:f>SQRT((C1346-C1345)^2+(D1346-D1345)^2+(E1346-E1345)^2)</x:f>
        <x:v>0.8499999999999996</x:v>
      </x:c>
      <x:c r="G1346" s="8" t="str">
        <x:v>Current</x:v>
      </x:c>
    </x:row>
    <x:row r="1347" ht="32" customHeight="1">
      <x:c r="A1347" s="8" t="str">
        <x:v>drop:DB2:L7:light:-1:L219</x:v>
      </x:c>
      <x:c r="B1347" s="8" t="n">
        <x:v>5</x:v>
      </x:c>
      <x:c r="C1347" s="11" t="n">
        <x:v>2.15</x:v>
      </x:c>
      <x:c r="D1347" s="11" t="n">
        <x:v>8.5</x:v>
      </x:c>
      <x:c r="E1347" s="11" t="n">
        <x:v>0</x:v>
      </x:c>
      <x:c r="F1347" s="11" t="n">
        <x:f>SQRT((C1347-C1346)^2+(D1347-D1346)^2+(E1347-E1346)^2)</x:f>
        <x:v>0.20000000000000018</x:v>
      </x:c>
      <x:c r="G1347" s="8" t="str">
        <x:v>Current</x:v>
      </x:c>
    </x:row>
    <x:row r="1348" ht="32" customHeight="1">
      <x:c r="A1348" s="8" t="str">
        <x:v>drop:DB2:L7:light:-1:L220</x:v>
      </x:c>
      <x:c r="B1348" s="8" t="n">
        <x:v>1</x:v>
      </x:c>
      <x:c r="C1348" s="11" t="n">
        <x:v>52.6</x:v>
      </x:c>
      <x:c r="D1348" s="11" t="n">
        <x:v>6.489999999999999</x:v>
      </x:c>
      <x:c r="E1348" s="11" t="n">
        <x:v>-7.36</x:v>
      </x:c>
      <x:c r="F1348" s="11" t="n">
        <x:f>0</x:f>
        <x:v>0</x:v>
      </x:c>
      <x:c r="G1348" s="8" t="str">
        <x:v>Current</x:v>
      </x:c>
    </x:row>
    <x:row r="1349" ht="32" customHeight="1">
      <x:c r="A1349" s="8" t="str">
        <x:v>drop:DB2:L7:light:-1:L220</x:v>
      </x:c>
      <x:c r="B1349" s="8" t="n">
        <x:v>2</x:v>
      </x:c>
      <x:c r="C1349" s="11" t="n">
        <x:v>52.6</x:v>
      </x:c>
      <x:c r="D1349" s="11" t="n">
        <x:v>6.55</x:v>
      </x:c>
      <x:c r="E1349" s="11" t="n">
        <x:v>-7.36</x:v>
      </x:c>
      <x:c r="F1349" s="11" t="n">
        <x:f>SQRT((C1349-C1348)^2+(D1349-D1348)^2+(E1349-E1348)^2)</x:f>
        <x:v>0.0600000000000005</x:v>
      </x:c>
      <x:c r="G1349" s="8" t="str">
        <x:v>Current</x:v>
      </x:c>
    </x:row>
    <x:row r="1350" ht="32" customHeight="1">
      <x:c r="A1350" s="8" t="str">
        <x:v>drop:DB2:L7:light:-1:L220</x:v>
      </x:c>
      <x:c r="B1350" s="8" t="n">
        <x:v>3</x:v>
      </x:c>
      <x:c r="C1350" s="11" t="n">
        <x:v>52.6</x:v>
      </x:c>
      <x:c r="D1350" s="11" t="n">
        <x:v>6.55</x:v>
      </x:c>
      <x:c r="E1350" s="11" t="n">
        <x:v>-9.8</x:v>
      </x:c>
      <x:c r="F1350" s="11" t="n">
        <x:f>SQRT((C1350-C1349)^2+(D1350-D1349)^2+(E1350-E1349)^2)</x:f>
        <x:v>2.4400000000000004</x:v>
      </x:c>
      <x:c r="G1350" s="8" t="str">
        <x:v>Current</x:v>
      </x:c>
    </x:row>
    <x:row r="1351" ht="32" customHeight="1">
      <x:c r="A1351" s="8" t="str">
        <x:v>trunk:DB2:L7:light:1</x:v>
      </x:c>
      <x:c r="B1351" s="8" t="n">
        <x:v>1</x:v>
      </x:c>
      <x:c r="C1351" s="11" t="n">
        <x:v>2.73</x:v>
      </x:c>
      <x:c r="D1351" s="11" t="n">
        <x:v>1.5</x:v>
      </x:c>
      <x:c r="E1351" s="11" t="n">
        <x:v>-3.3</x:v>
      </x:c>
      <x:c r="F1351" s="11" t="n">
        <x:f>0</x:f>
        <x:v>0</x:v>
      </x:c>
      <x:c r="G1351" s="8" t="str">
        <x:v>Current</x:v>
      </x:c>
    </x:row>
    <x:row r="1352" ht="32" customHeight="1">
      <x:c r="A1352" s="8" t="str">
        <x:v>trunk:DB2:L7:light:1</x:v>
      </x:c>
      <x:c r="B1352" s="8" t="n">
        <x:v>2</x:v>
      </x:c>
      <x:c r="C1352" s="11" t="n">
        <x:v>2.35</x:v>
      </x:c>
      <x:c r="D1352" s="11" t="n">
        <x:v>1.5</x:v>
      </x:c>
      <x:c r="E1352" s="11" t="n">
        <x:v>-3.3</x:v>
      </x:c>
      <x:c r="F1352" s="11" t="n">
        <x:f>SQRT((C1352-C1351)^2+(D1352-D1351)^2+(E1352-E1351)^2)</x:f>
        <x:v>0.3799999999999999</x:v>
      </x:c>
      <x:c r="G1352" s="8" t="str">
        <x:v>Current</x:v>
      </x:c>
    </x:row>
    <x:row r="1353" ht="32" customHeight="1">
      <x:c r="A1353" s="8" t="str">
        <x:v>trunk:DB2:L7:light:1</x:v>
      </x:c>
      <x:c r="B1353" s="8" t="n">
        <x:v>3</x:v>
      </x:c>
      <x:c r="C1353" s="11" t="n">
        <x:v>2.35</x:v>
      </x:c>
      <x:c r="D1353" s="11" t="n">
        <x:v>7.65</x:v>
      </x:c>
      <x:c r="E1353" s="11" t="n">
        <x:v>-3.3</x:v>
      </x:c>
      <x:c r="F1353" s="11" t="n">
        <x:f>SQRT((C1353-C1352)^2+(D1353-D1352)^2+(E1353-E1352)^2)</x:f>
        <x:v>6.15</x:v>
      </x:c>
      <x:c r="G1353" s="8" t="str">
        <x:v>Current</x:v>
      </x:c>
    </x:row>
    <x:row r="1354" ht="32" customHeight="1">
      <x:c r="A1354" s="8" t="str">
        <x:v>trunk:DB2:L7:light:1</x:v>
      </x:c>
      <x:c r="B1354" s="8" t="n">
        <x:v>4</x:v>
      </x:c>
      <x:c r="C1354" s="11" t="n">
        <x:v>2.35</x:v>
      </x:c>
      <x:c r="D1354" s="11" t="n">
        <x:v>7.65</x:v>
      </x:c>
      <x:c r="E1354" s="11" t="n">
        <x:v>7.36</x:v>
      </x:c>
      <x:c r="F1354" s="11" t="n">
        <x:f>SQRT((C1354-C1353)^2+(D1354-D1353)^2+(E1354-E1353)^2)</x:f>
        <x:v>10.66</x:v>
      </x:c>
      <x:c r="G1354" s="8" t="str">
        <x:v>Current</x:v>
      </x:c>
    </x:row>
    <x:row r="1355" ht="32" customHeight="1">
      <x:c r="A1355" s="8" t="str">
        <x:v>trunk:DB2:L7:light:1</x:v>
      </x:c>
      <x:c r="B1355" s="8" t="n">
        <x:v>5</x:v>
      </x:c>
      <x:c r="C1355" s="11" t="n">
        <x:v>2.35</x:v>
      </x:c>
      <x:c r="D1355" s="11" t="n">
        <x:v>6.489999999999999</x:v>
      </x:c>
      <x:c r="E1355" s="11" t="n">
        <x:v>7.36</x:v>
      </x:c>
      <x:c r="F1355" s="11" t="n">
        <x:f>SQRT((C1355-C1354)^2+(D1355-D1354)^2+(E1355-E1354)^2)</x:f>
        <x:v>1.160000000000001</x:v>
      </x:c>
      <x:c r="G1355" s="8" t="str">
        <x:v>Current</x:v>
      </x:c>
    </x:row>
    <x:row r="1356" ht="32" customHeight="1">
      <x:c r="A1356" s="8" t="str">
        <x:v>trunk:DB2:L7:light:1</x:v>
      </x:c>
      <x:c r="B1356" s="8" t="n">
        <x:v>6</x:v>
      </x:c>
      <x:c r="C1356" s="11" t="n">
        <x:v>5.475</x:v>
      </x:c>
      <x:c r="D1356" s="11" t="n">
        <x:v>6.489999999999999</x:v>
      </x:c>
      <x:c r="E1356" s="11" t="n">
        <x:v>7.36</x:v>
      </x:c>
      <x:c r="F1356" s="11" t="n">
        <x:f>SQRT((C1356-C1355)^2+(D1356-D1355)^2+(E1356-E1355)^2)</x:f>
        <x:v>3.1249999999999996</x:v>
      </x:c>
      <x:c r="G1356" s="8" t="str">
        <x:v>Current</x:v>
      </x:c>
    </x:row>
    <x:row r="1357" ht="32" customHeight="1">
      <x:c r="A1357" s="8" t="str">
        <x:v>trunk:DB2:L7:light:1</x:v>
      </x:c>
      <x:c r="B1357" s="8" t="n">
        <x:v>7</x:v>
      </x:c>
      <x:c r="C1357" s="11" t="n">
        <x:v>36.975</x:v>
      </x:c>
      <x:c r="D1357" s="11" t="n">
        <x:v>6.489999999999999</x:v>
      </x:c>
      <x:c r="E1357" s="11" t="n">
        <x:v>7.36</x:v>
      </x:c>
      <x:c r="F1357" s="11" t="n">
        <x:f>SQRT((C1357-C1356)^2+(D1357-D1356)^2+(E1357-E1356)^2)</x:f>
        <x:v>31.5</x:v>
      </x:c>
      <x:c r="G1357" s="8" t="str">
        <x:v>Current</x:v>
      </x:c>
    </x:row>
    <x:row r="1358" ht="32" customHeight="1">
      <x:c r="A1358" s="8" t="str">
        <x:v>trunk:DB2:L7:light:1</x:v>
      </x:c>
      <x:c r="B1358" s="8" t="n">
        <x:v>8</x:v>
      </x:c>
      <x:c r="C1358" s="11" t="n">
        <x:v>36.975</x:v>
      </x:c>
      <x:c r="D1358" s="11" t="n">
        <x:v>6.489999999999999</x:v>
      </x:c>
      <x:c r="E1358" s="11" t="n">
        <x:v>13.24</x:v>
      </x:c>
      <x:c r="F1358" s="11" t="n">
        <x:f>SQRT((C1358-C1357)^2+(D1358-D1357)^2+(E1358-E1357)^2)</x:f>
        <x:v>5.88</x:v>
      </x:c>
      <x:c r="G1358" s="8" t="str">
        <x:v>Current</x:v>
      </x:c>
    </x:row>
    <x:row r="1359" ht="32" customHeight="1">
      <x:c r="A1359" s="8" t="str">
        <x:v>trunk:DB2:L7:light:1</x:v>
      </x:c>
      <x:c r="B1359" s="8" t="n">
        <x:v>9</x:v>
      </x:c>
      <x:c r="C1359" s="11" t="n">
        <x:v>44.175</x:v>
      </x:c>
      <x:c r="D1359" s="11" t="n">
        <x:v>6.489999999999999</x:v>
      </x:c>
      <x:c r="E1359" s="11" t="n">
        <x:v>13.24</x:v>
      </x:c>
      <x:c r="F1359" s="11" t="n">
        <x:f>SQRT((C1359-C1358)^2+(D1359-D1358)^2+(E1359-E1358)^2)</x:f>
        <x:v>7.199999999999996</x:v>
      </x:c>
      <x:c r="G1359" s="8" t="str">
        <x:v>Current</x:v>
      </x:c>
    </x:row>
    <x:row r="1360" ht="32" customHeight="1">
      <x:c r="A1360" s="8" t="str">
        <x:v>trunk:DB2:L7:light:1</x:v>
      </x:c>
      <x:c r="B1360" s="8" t="n">
        <x:v>10</x:v>
      </x:c>
      <x:c r="C1360" s="11" t="n">
        <x:v>44.175</x:v>
      </x:c>
      <x:c r="D1360" s="11" t="n">
        <x:v>6.489999999999999</x:v>
      </x:c>
      <x:c r="E1360" s="11" t="n">
        <x:v>7.36</x:v>
      </x:c>
      <x:c r="F1360" s="11" t="n">
        <x:f>SQRT((C1360-C1359)^2+(D1360-D1359)^2+(E1360-E1359)^2)</x:f>
        <x:v>5.88</x:v>
      </x:c>
      <x:c r="G1360" s="8" t="str">
        <x:v>Current</x:v>
      </x:c>
    </x:row>
    <x:row r="1361" ht="32" customHeight="1">
      <x:c r="A1361" s="8" t="str">
        <x:v>trunk:DB2:L7:light:1</x:v>
      </x:c>
      <x:c r="B1361" s="8" t="n">
        <x:v>11</x:v>
      </x:c>
      <x:c r="C1361" s="11" t="n">
        <x:v>53.05</x:v>
      </x:c>
      <x:c r="D1361" s="11" t="n">
        <x:v>6.489999999999999</x:v>
      </x:c>
      <x:c r="E1361" s="11" t="n">
        <x:v>7.36</x:v>
      </x:c>
      <x:c r="F1361" s="11" t="n">
        <x:f>SQRT((C1361-C1360)^2+(D1361-D1360)^2+(E1361-E1360)^2)</x:f>
        <x:v>8.875</x:v>
      </x:c>
      <x:c r="G1361" s="8" t="str">
        <x:v>Current</x:v>
      </x:c>
    </x:row>
    <x:row r="1362" ht="32" customHeight="1">
      <x:c r="A1362" s="8" t="str">
        <x:v>drop:DB2:L7:light:1:L208</x:v>
      </x:c>
      <x:c r="B1362" s="8" t="n">
        <x:v>1</x:v>
      </x:c>
      <x:c r="C1362" s="11" t="n">
        <x:v>21.35</x:v>
      </x:c>
      <x:c r="D1362" s="11" t="n">
        <x:v>6.489999999999999</x:v>
      </x:c>
      <x:c r="E1362" s="11" t="n">
        <x:v>7.36</x:v>
      </x:c>
      <x:c r="F1362" s="11" t="n">
        <x:f>0</x:f>
        <x:v>0</x:v>
      </x:c>
      <x:c r="G1362" s="8" t="str">
        <x:v>Current</x:v>
      </x:c>
    </x:row>
    <x:row r="1363" ht="32" customHeight="1">
      <x:c r="A1363" s="8" t="str">
        <x:v>drop:DB2:L7:light:1:L208</x:v>
      </x:c>
      <x:c r="B1363" s="8" t="n">
        <x:v>2</x:v>
      </x:c>
      <x:c r="C1363" s="11" t="n">
        <x:v>21.35</x:v>
      </x:c>
      <x:c r="D1363" s="11" t="n">
        <x:v>7.32</x:v>
      </x:c>
      <x:c r="E1363" s="11" t="n">
        <x:v>7.36</x:v>
      </x:c>
      <x:c r="F1363" s="11" t="n">
        <x:f>SQRT((C1363-C1362)^2+(D1363-D1362)^2+(E1363-E1362)^2)</x:f>
        <x:v>0.830000000000001</x:v>
      </x:c>
      <x:c r="G1363" s="8" t="str">
        <x:v>Current</x:v>
      </x:c>
    </x:row>
    <x:row r="1364" ht="32" customHeight="1">
      <x:c r="A1364" s="8" t="str">
        <x:v>drop:DB2:L7:light:1:L208</x:v>
      </x:c>
      <x:c r="B1364" s="8" t="n">
        <x:v>3</x:v>
      </x:c>
      <x:c r="C1364" s="11" t="n">
        <x:v>21.35</x:v>
      </x:c>
      <x:c r="D1364" s="11" t="n">
        <x:v>7.32</x:v>
      </x:c>
      <x:c r="E1364" s="11" t="n">
        <x:v>7.3</x:v>
      </x:c>
      <x:c r="F1364" s="11" t="n">
        <x:f>SQRT((C1364-C1363)^2+(D1364-D1363)^2+(E1364-E1363)^2)</x:f>
        <x:v>0.0600000000000005</x:v>
      </x:c>
      <x:c r="G1364" s="8" t="str">
        <x:v>Current</x:v>
      </x:c>
    </x:row>
    <x:row r="1365" ht="32" customHeight="1">
      <x:c r="A1365" s="8" t="str">
        <x:v>drop:DB2:L7:light:1:L209</x:v>
      </x:c>
      <x:c r="B1365" s="8" t="n">
        <x:v>1</x:v>
      </x:c>
      <x:c r="C1365" s="11" t="n">
        <x:v>48.4</x:v>
      </x:c>
      <x:c r="D1365" s="11" t="n">
        <x:v>6.489999999999999</x:v>
      </x:c>
      <x:c r="E1365" s="11" t="n">
        <x:v>7.36</x:v>
      </x:c>
      <x:c r="F1365" s="11" t="n">
        <x:f>0</x:f>
        <x:v>0</x:v>
      </x:c>
      <x:c r="G1365" s="8" t="str">
        <x:v>Current</x:v>
      </x:c>
    </x:row>
    <x:row r="1366" ht="32" customHeight="1">
      <x:c r="A1366" s="8" t="str">
        <x:v>drop:DB2:L7:light:1:L209</x:v>
      </x:c>
      <x:c r="B1366" s="8" t="n">
        <x:v>2</x:v>
      </x:c>
      <x:c r="C1366" s="11" t="n">
        <x:v>48.4</x:v>
      </x:c>
      <x:c r="D1366" s="11" t="n">
        <x:v>7.32</x:v>
      </x:c>
      <x:c r="E1366" s="11" t="n">
        <x:v>7.36</x:v>
      </x:c>
      <x:c r="F1366" s="11" t="n">
        <x:f>SQRT((C1366-C1365)^2+(D1366-D1365)^2+(E1366-E1365)^2)</x:f>
        <x:v>0.830000000000001</x:v>
      </x:c>
      <x:c r="G1366" s="8" t="str">
        <x:v>Current</x:v>
      </x:c>
    </x:row>
    <x:row r="1367" ht="32" customHeight="1">
      <x:c r="A1367" s="8" t="str">
        <x:v>drop:DB2:L7:light:1:L209</x:v>
      </x:c>
      <x:c r="B1367" s="8" t="n">
        <x:v>3</x:v>
      </x:c>
      <x:c r="C1367" s="11" t="n">
        <x:v>48.4</x:v>
      </x:c>
      <x:c r="D1367" s="11" t="n">
        <x:v>7.32</x:v>
      </x:c>
      <x:c r="E1367" s="11" t="n">
        <x:v>7.3</x:v>
      </x:c>
      <x:c r="F1367" s="11" t="n">
        <x:f>SQRT((C1367-C1366)^2+(D1367-D1366)^2+(E1367-E1366)^2)</x:f>
        <x:v>0.0600000000000005</x:v>
      </x:c>
      <x:c r="G1367" s="8" t="str">
        <x:v>Current</x:v>
      </x:c>
    </x:row>
    <x:row r="1368" ht="32" customHeight="1">
      <x:c r="A1368" s="8" t="str">
        <x:v>drop:DB2:L7:light:1:L210</x:v>
      </x:c>
      <x:c r="B1368" s="8" t="n">
        <x:v>1</x:v>
      </x:c>
      <x:c r="C1368" s="11" t="n">
        <x:v>21.35</x:v>
      </x:c>
      <x:c r="D1368" s="11" t="n">
        <x:v>6.489999999999999</x:v>
      </x:c>
      <x:c r="E1368" s="11" t="n">
        <x:v>7.36</x:v>
      </x:c>
      <x:c r="F1368" s="11" t="n">
        <x:f>0</x:f>
        <x:v>0</x:v>
      </x:c>
      <x:c r="G1368" s="8" t="str">
        <x:v>Current</x:v>
      </x:c>
    </x:row>
    <x:row r="1369" ht="32" customHeight="1">
      <x:c r="A1369" s="8" t="str">
        <x:v>drop:DB2:L7:light:1:L210</x:v>
      </x:c>
      <x:c r="B1369" s="8" t="n">
        <x:v>2</x:v>
      </x:c>
      <x:c r="C1369" s="11" t="n">
        <x:v>21.35</x:v>
      </x:c>
      <x:c r="D1369" s="11" t="n">
        <x:v>6.47</x:v>
      </x:c>
      <x:c r="E1369" s="11" t="n">
        <x:v>7.36</x:v>
      </x:c>
      <x:c r="F1369" s="11" t="n">
        <x:f>SQRT((C1369-C1368)^2+(D1369-D1368)^2+(E1369-E1368)^2)</x:f>
        <x:v>0.019999999999999574</x:v>
      </x:c>
      <x:c r="G1369" s="8" t="str">
        <x:v>Current</x:v>
      </x:c>
    </x:row>
    <x:row r="1370" ht="32" customHeight="1">
      <x:c r="A1370" s="8" t="str">
        <x:v>drop:DB2:L7:light:1:L210</x:v>
      </x:c>
      <x:c r="B1370" s="8" t="n">
        <x:v>3</x:v>
      </x:c>
      <x:c r="C1370" s="11" t="n">
        <x:v>21.35</x:v>
      </x:c>
      <x:c r="D1370" s="11" t="n">
        <x:v>6.47</x:v>
      </x:c>
      <x:c r="E1370" s="11" t="n">
        <x:v>10.6</x:v>
      </x:c>
      <x:c r="F1370" s="11" t="n">
        <x:f>SQRT((C1370-C1369)^2+(D1370-D1369)^2+(E1370-E1369)^2)</x:f>
        <x:v>3.2399999999999993</x:v>
      </x:c>
      <x:c r="G1370" s="8" t="str">
        <x:v>Current</x:v>
      </x:c>
    </x:row>
    <x:row r="1371" ht="32" customHeight="1">
      <x:c r="A1371" s="8" t="str">
        <x:v>drop:DB2:L7:light:1:L211</x:v>
      </x:c>
      <x:c r="B1371" s="8" t="n">
        <x:v>1</x:v>
      </x:c>
      <x:c r="C1371" s="11" t="n">
        <x:v>48.4</x:v>
      </x:c>
      <x:c r="D1371" s="11" t="n">
        <x:v>6.489999999999999</x:v>
      </x:c>
      <x:c r="E1371" s="11" t="n">
        <x:v>7.36</x:v>
      </x:c>
      <x:c r="F1371" s="11" t="n">
        <x:f>0</x:f>
        <x:v>0</x:v>
      </x:c>
      <x:c r="G1371" s="8" t="str">
        <x:v>Current</x:v>
      </x:c>
    </x:row>
    <x:row r="1372" ht="32" customHeight="1">
      <x:c r="A1372" s="8" t="str">
        <x:v>drop:DB2:L7:light:1:L211</x:v>
      </x:c>
      <x:c r="B1372" s="8" t="n">
        <x:v>2</x:v>
      </x:c>
      <x:c r="C1372" s="11" t="n">
        <x:v>48.4</x:v>
      </x:c>
      <x:c r="D1372" s="11" t="n">
        <x:v>6.47</x:v>
      </x:c>
      <x:c r="E1372" s="11" t="n">
        <x:v>7.36</x:v>
      </x:c>
      <x:c r="F1372" s="11" t="n">
        <x:f>SQRT((C1372-C1371)^2+(D1372-D1371)^2+(E1372-E1371)^2)</x:f>
        <x:v>0.019999999999999574</x:v>
      </x:c>
      <x:c r="G1372" s="8" t="str">
        <x:v>Current</x:v>
      </x:c>
    </x:row>
    <x:row r="1373" ht="32" customHeight="1">
      <x:c r="A1373" s="8" t="str">
        <x:v>drop:DB2:L7:light:1:L211</x:v>
      </x:c>
      <x:c r="B1373" s="8" t="n">
        <x:v>3</x:v>
      </x:c>
      <x:c r="C1373" s="11" t="n">
        <x:v>48.4</x:v>
      </x:c>
      <x:c r="D1373" s="11" t="n">
        <x:v>6.47</x:v>
      </x:c>
      <x:c r="E1373" s="11" t="n">
        <x:v>10.6</x:v>
      </x:c>
      <x:c r="F1373" s="11" t="n">
        <x:f>SQRT((C1373-C1372)^2+(D1373-D1372)^2+(E1373-E1372)^2)</x:f>
        <x:v>3.2399999999999993</x:v>
      </x:c>
      <x:c r="G1373" s="8" t="str">
        <x:v>Current</x:v>
      </x:c>
    </x:row>
    <x:row r="1374" ht="32" customHeight="1">
      <x:c r="A1374" s="8" t="str">
        <x:v>drop:DB2:L7:light:1:L212</x:v>
      </x:c>
      <x:c r="B1374" s="8" t="n">
        <x:v>1</x:v>
      </x:c>
      <x:c r="C1374" s="11" t="n">
        <x:v>53.05</x:v>
      </x:c>
      <x:c r="D1374" s="11" t="n">
        <x:v>6.489999999999999</x:v>
      </x:c>
      <x:c r="E1374" s="11" t="n">
        <x:v>7.36</x:v>
      </x:c>
      <x:c r="F1374" s="11" t="n">
        <x:f>0</x:f>
        <x:v>0</x:v>
      </x:c>
      <x:c r="G1374" s="8" t="str">
        <x:v>Current</x:v>
      </x:c>
    </x:row>
    <x:row r="1375" ht="32" customHeight="1">
      <x:c r="A1375" s="8" t="str">
        <x:v>drop:DB2:L7:light:1:L212</x:v>
      </x:c>
      <x:c r="B1375" s="8" t="n">
        <x:v>2</x:v>
      </x:c>
      <x:c r="C1375" s="11" t="n">
        <x:v>53.05</x:v>
      </x:c>
      <x:c r="D1375" s="11" t="n">
        <x:v>10</x:v>
      </x:c>
      <x:c r="E1375" s="11" t="n">
        <x:v>7.36</x:v>
      </x:c>
      <x:c r="F1375" s="11" t="n">
        <x:f>SQRT((C1375-C1374)^2+(D1375-D1374)^2+(E1375-E1374)^2)</x:f>
        <x:v>3.5100000000000007</x:v>
      </x:c>
      <x:c r="G1375" s="8" t="str">
        <x:v>Current</x:v>
      </x:c>
    </x:row>
    <x:row r="1376" ht="32" customHeight="1">
      <x:c r="A1376" s="8" t="str">
        <x:v>drop:DB2:L7:light:1:L212</x:v>
      </x:c>
      <x:c r="B1376" s="8" t="n">
        <x:v>3</x:v>
      </x:c>
      <x:c r="C1376" s="11" t="n">
        <x:v>53.45</x:v>
      </x:c>
      <x:c r="D1376" s="11" t="n">
        <x:v>10</x:v>
      </x:c>
      <x:c r="E1376" s="11" t="n">
        <x:v>7.36</x:v>
      </x:c>
      <x:c r="F1376" s="11" t="n">
        <x:f>SQRT((C1376-C1375)^2+(D1376-D1375)^2+(E1376-E1375)^2)</x:f>
        <x:v>0.4000000000000057</x:v>
      </x:c>
      <x:c r="G1376" s="8" t="str">
        <x:v>Current</x:v>
      </x:c>
    </x:row>
    <x:row r="1377" ht="32" customHeight="1">
      <x:c r="A1377" s="8" t="str">
        <x:v>drop:DB2:L7:light:1:L212</x:v>
      </x:c>
      <x:c r="B1377" s="8" t="n">
        <x:v>4</x:v>
      </x:c>
      <x:c r="C1377" s="11" t="n">
        <x:v>53.45</x:v>
      </x:c>
      <x:c r="D1377" s="11" t="n">
        <x:v>10</x:v>
      </x:c>
      <x:c r="E1377" s="11" t="n">
        <x:v>3.65</x:v>
      </x:c>
      <x:c r="F1377" s="11" t="n">
        <x:f>SQRT((C1377-C1376)^2+(D1377-D1376)^2+(E1377-E1376)^2)</x:f>
        <x:v>3.7100000000000004</x:v>
      </x:c>
      <x:c r="G1377" s="8" t="str">
        <x:v>Current</x:v>
      </x:c>
    </x:row>
    <x:row r="1378" ht="32" customHeight="1">
      <x:c r="A1378" s="8" t="str">
        <x:v>drop:DB2:L7:light:1:L213</x:v>
      </x:c>
      <x:c r="B1378" s="8" t="n">
        <x:v>1</x:v>
      </x:c>
      <x:c r="C1378" s="11" t="n">
        <x:v>2.35</x:v>
      </x:c>
      <x:c r="D1378" s="11" t="n">
        <x:v>6.489999999999999</x:v>
      </x:c>
      <x:c r="E1378" s="11" t="n">
        <x:v>7.36</x:v>
      </x:c>
      <x:c r="F1378" s="11" t="n">
        <x:f>0</x:f>
        <x:v>0</x:v>
      </x:c>
      <x:c r="G1378" s="8" t="str">
        <x:v>Current</x:v>
      </x:c>
    </x:row>
    <x:row r="1379" ht="32" customHeight="1">
      <x:c r="A1379" s="8" t="str">
        <x:v>drop:DB2:L7:light:1:L213</x:v>
      </x:c>
      <x:c r="B1379" s="8" t="n">
        <x:v>2</x:v>
      </x:c>
      <x:c r="C1379" s="11" t="n">
        <x:v>2.35</x:v>
      </x:c>
      <x:c r="D1379" s="11" t="n">
        <x:v>7.65</x:v>
      </x:c>
      <x:c r="E1379" s="11" t="n">
        <x:v>7.36</x:v>
      </x:c>
      <x:c r="F1379" s="11" t="n">
        <x:f>SQRT((C1379-C1378)^2+(D1379-D1378)^2+(E1379-E1378)^2)</x:f>
        <x:v>1.160000000000001</x:v>
      </x:c>
      <x:c r="G1379" s="8" t="str">
        <x:v>Current</x:v>
      </x:c>
    </x:row>
    <x:row r="1380" ht="32" customHeight="1">
      <x:c r="A1380" s="8" t="str">
        <x:v>drop:DB2:L7:light:1:L213</x:v>
      </x:c>
      <x:c r="B1380" s="8" t="n">
        <x:v>3</x:v>
      </x:c>
      <x:c r="C1380" s="11" t="n">
        <x:v>2.35</x:v>
      </x:c>
      <x:c r="D1380" s="11" t="n">
        <x:v>7.65</x:v>
      </x:c>
      <x:c r="E1380" s="11" t="n">
        <x:v>10.153</x:v>
      </x:c>
      <x:c r="F1380" s="11" t="n">
        <x:f>SQRT((C1380-C1379)^2+(D1380-D1379)^2+(E1380-E1379)^2)</x:f>
        <x:v>2.793</x:v>
      </x:c>
      <x:c r="G1380" s="8" t="str">
        <x:v>Current</x:v>
      </x:c>
    </x:row>
    <x:row r="1381" ht="32" customHeight="1">
      <x:c r="A1381" s="8" t="str">
        <x:v>drop:DB2:L7:light:1:L213</x:v>
      </x:c>
      <x:c r="B1381" s="8" t="n">
        <x:v>4</x:v>
      </x:c>
      <x:c r="C1381" s="11" t="n">
        <x:v>0.05</x:v>
      </x:c>
      <x:c r="D1381" s="11" t="n">
        <x:v>7.65</x:v>
      </x:c>
      <x:c r="E1381" s="11" t="n">
        <x:v>10.153</x:v>
      </x:c>
      <x:c r="F1381" s="11" t="n">
        <x:f>SQRT((C1381-C1380)^2+(D1381-D1380)^2+(E1381-E1380)^2)</x:f>
        <x:v>2.3000000000000003</x:v>
      </x:c>
      <x:c r="G1381" s="8" t="str">
        <x:v>Current</x:v>
      </x:c>
    </x:row>
    <x:row r="1382" ht="32" customHeight="1">
      <x:c r="A1382" s="8" t="str">
        <x:v>drop:DB2:L7:light:1:L213</x:v>
      </x:c>
      <x:c r="B1382" s="8" t="n">
        <x:v>5</x:v>
      </x:c>
      <x:c r="C1382" s="11" t="n">
        <x:v>0.05</x:v>
      </x:c>
      <x:c r="D1382" s="11" t="n">
        <x:v>4.195</x:v>
      </x:c>
      <x:c r="E1382" s="11" t="n">
        <x:v>10.153</x:v>
      </x:c>
      <x:c r="F1382" s="11" t="n">
        <x:f>SQRT((C1382-C1381)^2+(D1382-D1381)^2+(E1382-E1381)^2)</x:f>
        <x:v>3.455</x:v>
      </x:c>
      <x:c r="G1382" s="8" t="str">
        <x:v>Current</x:v>
      </x:c>
    </x:row>
    <x:row r="1383" ht="32" customHeight="1">
      <x:c r="A1383" s="8" t="str">
        <x:v>drop:DB2:L7:light:1:L213</x:v>
      </x:c>
      <x:c r="B1383" s="8" t="n">
        <x:v>6</x:v>
      </x:c>
      <x:c r="C1383" s="11" t="n">
        <x:v>-0.4</x:v>
      </x:c>
      <x:c r="D1383" s="11" t="n">
        <x:v>4.195</x:v>
      </x:c>
      <x:c r="E1383" s="11" t="n">
        <x:v>10.153</x:v>
      </x:c>
      <x:c r="F1383" s="11" t="n">
        <x:f>SQRT((C1383-C1382)^2+(D1383-D1382)^2+(E1383-E1382)^2)</x:f>
        <x:v>0.45</x:v>
      </x:c>
      <x:c r="G1383" s="8" t="str">
        <x:v>Current</x:v>
      </x:c>
    </x:row>
    <x:row r="1384" ht="32" customHeight="1">
      <x:c r="A1384" s="8" t="str">
        <x:v>drop:DB2:L7:light:1:L213</x:v>
      </x:c>
      <x:c r="B1384" s="8" t="n">
        <x:v>7</x:v>
      </x:c>
      <x:c r="C1384" s="11" t="n">
        <x:v>-0.4</x:v>
      </x:c>
      <x:c r="D1384" s="11" t="n">
        <x:v>4.195</x:v>
      </x:c>
      <x:c r="E1384" s="11" t="n">
        <x:v>7.823</x:v>
      </x:c>
      <x:c r="F1384" s="11" t="n">
        <x:f>SQRT((C1384-C1383)^2+(D1384-D1383)^2+(E1384-E1383)^2)</x:f>
        <x:v>2.33</x:v>
      </x:c>
      <x:c r="G1384" s="8" t="str">
        <x:v>Current</x:v>
      </x:c>
    </x:row>
    <x:row r="1385" ht="32" customHeight="1">
      <x:c r="A1385" s="8" t="str">
        <x:v>drop:DB2:L7:light:1:L214</x:v>
      </x:c>
      <x:c r="B1385" s="8" t="n">
        <x:v>1</x:v>
      </x:c>
      <x:c r="C1385" s="11" t="n">
        <x:v>2.35</x:v>
      </x:c>
      <x:c r="D1385" s="11" t="n">
        <x:v>6.489999999999999</x:v>
      </x:c>
      <x:c r="E1385" s="11" t="n">
        <x:v>7.36</x:v>
      </x:c>
      <x:c r="F1385" s="11" t="n">
        <x:f>0</x:f>
        <x:v>0</x:v>
      </x:c>
      <x:c r="G1385" s="8" t="str">
        <x:v>Current</x:v>
      </x:c>
    </x:row>
    <x:row r="1386" ht="32" customHeight="1">
      <x:c r="A1386" s="8" t="str">
        <x:v>drop:DB2:L7:light:1:L214</x:v>
      </x:c>
      <x:c r="B1386" s="8" t="n">
        <x:v>2</x:v>
      </x:c>
      <x:c r="C1386" s="11" t="n">
        <x:v>2.35</x:v>
      </x:c>
      <x:c r="D1386" s="11" t="n">
        <x:v>7.65</x:v>
      </x:c>
      <x:c r="E1386" s="11" t="n">
        <x:v>7.36</x:v>
      </x:c>
      <x:c r="F1386" s="11" t="n">
        <x:f>SQRT((C1386-C1385)^2+(D1386-D1385)^2+(E1386-E1385)^2)</x:f>
        <x:v>1.160000000000001</x:v>
      </x:c>
      <x:c r="G1386" s="8" t="str">
        <x:v>Current</x:v>
      </x:c>
    </x:row>
    <x:row r="1387" ht="32" customHeight="1">
      <x:c r="A1387" s="8" t="str">
        <x:v>drop:DB2:L7:light:1:L214</x:v>
      </x:c>
      <x:c r="B1387" s="8" t="n">
        <x:v>3</x:v>
      </x:c>
      <x:c r="C1387" s="11" t="n">
        <x:v>2.35</x:v>
      </x:c>
      <x:c r="D1387" s="11" t="n">
        <x:v>7.65</x:v>
      </x:c>
      <x:c r="E1387" s="11" t="n">
        <x:v>10.153</x:v>
      </x:c>
      <x:c r="F1387" s="11" t="n">
        <x:f>SQRT((C1387-C1386)^2+(D1387-D1386)^2+(E1387-E1386)^2)</x:f>
        <x:v>2.793</x:v>
      </x:c>
      <x:c r="G1387" s="8" t="str">
        <x:v>Current</x:v>
      </x:c>
    </x:row>
    <x:row r="1388" ht="32" customHeight="1">
      <x:c r="A1388" s="8" t="str">
        <x:v>drop:DB2:L7:light:1:L214</x:v>
      </x:c>
      <x:c r="B1388" s="8" t="n">
        <x:v>4</x:v>
      </x:c>
      <x:c r="C1388" s="11" t="n">
        <x:v>0.05</x:v>
      </x:c>
      <x:c r="D1388" s="11" t="n">
        <x:v>7.65</x:v>
      </x:c>
      <x:c r="E1388" s="11" t="n">
        <x:v>10.153</x:v>
      </x:c>
      <x:c r="F1388" s="11" t="n">
        <x:f>SQRT((C1388-C1387)^2+(D1388-D1387)^2+(E1388-E1387)^2)</x:f>
        <x:v>2.3000000000000003</x:v>
      </x:c>
      <x:c r="G1388" s="8" t="str">
        <x:v>Current</x:v>
      </x:c>
    </x:row>
    <x:row r="1389" ht="32" customHeight="1">
      <x:c r="A1389" s="8" t="str">
        <x:v>drop:DB2:L7:light:1:L214</x:v>
      </x:c>
      <x:c r="B1389" s="8" t="n">
        <x:v>5</x:v>
      </x:c>
      <x:c r="C1389" s="11" t="n">
        <x:v>0.05</x:v>
      </x:c>
      <x:c r="D1389" s="11" t="n">
        <x:v>4.195</x:v>
      </x:c>
      <x:c r="E1389" s="11" t="n">
        <x:v>10.153</x:v>
      </x:c>
      <x:c r="F1389" s="11" t="n">
        <x:f>SQRT((C1389-C1388)^2+(D1389-D1388)^2+(E1389-E1388)^2)</x:f>
        <x:v>3.455</x:v>
      </x:c>
      <x:c r="G1389" s="8" t="str">
        <x:v>Current</x:v>
      </x:c>
    </x:row>
    <x:row r="1390" ht="32" customHeight="1">
      <x:c r="A1390" s="8" t="str">
        <x:v>drop:DB2:L7:light:1:L214</x:v>
      </x:c>
      <x:c r="B1390" s="8" t="n">
        <x:v>6</x:v>
      </x:c>
      <x:c r="C1390" s="11" t="n">
        <x:v>-0.4</x:v>
      </x:c>
      <x:c r="D1390" s="11" t="n">
        <x:v>4.195</x:v>
      </x:c>
      <x:c r="E1390" s="11" t="n">
        <x:v>10.153</x:v>
      </x:c>
      <x:c r="F1390" s="11" t="n">
        <x:f>SQRT((C1390-C1389)^2+(D1390-D1389)^2+(E1390-E1389)^2)</x:f>
        <x:v>0.45</x:v>
      </x:c>
      <x:c r="G1390" s="8" t="str">
        <x:v>Current</x:v>
      </x:c>
    </x:row>
    <x:row r="1391" ht="32" customHeight="1">
      <x:c r="A1391" s="8" t="str">
        <x:v>drop:DB2:L7:light:1:L214</x:v>
      </x:c>
      <x:c r="B1391" s="8" t="n">
        <x:v>7</x:v>
      </x:c>
      <x:c r="C1391" s="11" t="n">
        <x:v>-0.4</x:v>
      </x:c>
      <x:c r="D1391" s="11" t="n">
        <x:v>4.195</x:v>
      </x:c>
      <x:c r="E1391" s="11" t="n">
        <x:v>12.483</x:v>
      </x:c>
      <x:c r="F1391" s="11" t="n">
        <x:f>SQRT((C1391-C1390)^2+(D1391-D1390)^2+(E1391-E1390)^2)</x:f>
        <x:v>2.33</x:v>
      </x:c>
      <x:c r="G1391" s="8" t="str">
        <x:v>Current</x:v>
      </x:c>
    </x:row>
    <x:row r="1392" ht="32" customHeight="1">
      <x:c r="A1392" s="8" t="str">
        <x:v>drop:DB2:L7:light:1:L215</x:v>
      </x:c>
      <x:c r="B1392" s="8" t="n">
        <x:v>1</x:v>
      </x:c>
      <x:c r="C1392" s="11" t="n">
        <x:v>2.35</x:v>
      </x:c>
      <x:c r="D1392" s="11" t="n">
        <x:v>6.489999999999999</x:v>
      </x:c>
      <x:c r="E1392" s="11" t="n">
        <x:v>7.36</x:v>
      </x:c>
      <x:c r="F1392" s="11" t="n">
        <x:f>0</x:f>
        <x:v>0</x:v>
      </x:c>
      <x:c r="G1392" s="8" t="str">
        <x:v>Current</x:v>
      </x:c>
    </x:row>
    <x:row r="1393" ht="32" customHeight="1">
      <x:c r="A1393" s="8" t="str">
        <x:v>drop:DB2:L7:light:1:L215</x:v>
      </x:c>
      <x:c r="B1393" s="8" t="n">
        <x:v>2</x:v>
      </x:c>
      <x:c r="C1393" s="11" t="n">
        <x:v>2.35</x:v>
      </x:c>
      <x:c r="D1393" s="11" t="n">
        <x:v>7.65</x:v>
      </x:c>
      <x:c r="E1393" s="11" t="n">
        <x:v>7.36</x:v>
      </x:c>
      <x:c r="F1393" s="11" t="n">
        <x:f>SQRT((C1393-C1392)^2+(D1393-D1392)^2+(E1393-E1392)^2)</x:f>
        <x:v>1.160000000000001</x:v>
      </x:c>
      <x:c r="G1393" s="8" t="str">
        <x:v>Current</x:v>
      </x:c>
    </x:row>
    <x:row r="1394" ht="32" customHeight="1">
      <x:c r="A1394" s="8" t="str">
        <x:v>drop:DB2:L7:light:1:L215</x:v>
      </x:c>
      <x:c r="B1394" s="8" t="n">
        <x:v>3</x:v>
      </x:c>
      <x:c r="C1394" s="11" t="n">
        <x:v>2.35</x:v>
      </x:c>
      <x:c r="D1394" s="11" t="n">
        <x:v>7.65</x:v>
      </x:c>
      <x:c r="E1394" s="11" t="n">
        <x:v>10.153</x:v>
      </x:c>
      <x:c r="F1394" s="11" t="n">
        <x:f>SQRT((C1394-C1393)^2+(D1394-D1393)^2+(E1394-E1393)^2)</x:f>
        <x:v>2.793</x:v>
      </x:c>
      <x:c r="G1394" s="8" t="str">
        <x:v>Current</x:v>
      </x:c>
    </x:row>
    <x:row r="1395" ht="32" customHeight="1">
      <x:c r="A1395" s="8" t="str">
        <x:v>drop:DB2:L7:light:1:L215</x:v>
      </x:c>
      <x:c r="B1395" s="8" t="n">
        <x:v>4</x:v>
      </x:c>
      <x:c r="C1395" s="11" t="n">
        <x:v>0.05</x:v>
      </x:c>
      <x:c r="D1395" s="11" t="n">
        <x:v>7.65</x:v>
      </x:c>
      <x:c r="E1395" s="11" t="n">
        <x:v>10.153</x:v>
      </x:c>
      <x:c r="F1395" s="11" t="n">
        <x:f>SQRT((C1395-C1394)^2+(D1395-D1394)^2+(E1395-E1394)^2)</x:f>
        <x:v>2.3000000000000003</x:v>
      </x:c>
      <x:c r="G1395" s="8" t="str">
        <x:v>Current</x:v>
      </x:c>
    </x:row>
    <x:row r="1396" ht="32" customHeight="1">
      <x:c r="A1396" s="8" t="str">
        <x:v>drop:DB2:L7:light:1:L215</x:v>
      </x:c>
      <x:c r="B1396" s="8" t="n">
        <x:v>5</x:v>
      </x:c>
      <x:c r="C1396" s="11" t="n">
        <x:v>0.05</x:v>
      </x:c>
      <x:c r="D1396" s="11" t="n">
        <x:v>8.39</x:v>
      </x:c>
      <x:c r="E1396" s="11" t="n">
        <x:v>10.153</x:v>
      </x:c>
      <x:c r="F1396" s="11" t="n">
        <x:f>SQRT((C1396-C1395)^2+(D1396-D1395)^2+(E1396-E1395)^2)</x:f>
        <x:v>0.7400000000000002</x:v>
      </x:c>
      <x:c r="G1396" s="8" t="str">
        <x:v>Current</x:v>
      </x:c>
    </x:row>
    <x:row r="1397" ht="32" customHeight="1">
      <x:c r="A1397" s="8" t="str">
        <x:v>drop:DB2:L7:light:1:L215</x:v>
      </x:c>
      <x:c r="B1397" s="8" t="n">
        <x:v>6</x:v>
      </x:c>
      <x:c r="C1397" s="11" t="n">
        <x:v>0.05</x:v>
      </x:c>
      <x:c r="D1397" s="11" t="n">
        <x:v>12.115</x:v>
      </x:c>
      <x:c r="E1397" s="11" t="n">
        <x:v>10.153</x:v>
      </x:c>
      <x:c r="F1397" s="11" t="n">
        <x:f>SQRT((C1397-C1396)^2+(D1397-D1396)^2+(E1397-E1396)^2)</x:f>
        <x:v>3.7249999999999996</x:v>
      </x:c>
      <x:c r="G1397" s="8" t="str">
        <x:v>Current</x:v>
      </x:c>
    </x:row>
    <x:row r="1398" ht="32" customHeight="1">
      <x:c r="A1398" s="8" t="str">
        <x:v>drop:DB2:L7:light:1:L215</x:v>
      </x:c>
      <x:c r="B1398" s="8" t="n">
        <x:v>7</x:v>
      </x:c>
      <x:c r="C1398" s="11" t="n">
        <x:v>-0.3099999999999997</x:v>
      </x:c>
      <x:c r="D1398" s="11" t="n">
        <x:v>12.115</x:v>
      </x:c>
      <x:c r="E1398" s="11" t="n">
        <x:v>10.153</x:v>
      </x:c>
      <x:c r="F1398" s="11" t="n">
        <x:f>SQRT((C1398-C1397)^2+(D1398-D1397)^2+(E1398-E1397)^2)</x:f>
        <x:v>0.3599999999999997</x:v>
      </x:c>
      <x:c r="G1398" s="8" t="str">
        <x:v>Current</x:v>
      </x:c>
    </x:row>
    <x:row r="1399" ht="32" customHeight="1">
      <x:c r="A1399" s="8" t="str">
        <x:v>drop:DB2:L7:light:1:L215</x:v>
      </x:c>
      <x:c r="B1399" s="8" t="n">
        <x:v>8</x:v>
      </x:c>
      <x:c r="C1399" s="11" t="n">
        <x:v>-0.3099999999999997</x:v>
      </x:c>
      <x:c r="D1399" s="11" t="n">
        <x:v>12.115</x:v>
      </x:c>
      <x:c r="E1399" s="11" t="n">
        <x:v>7.948</x:v>
      </x:c>
      <x:c r="F1399" s="11" t="n">
        <x:f>SQRT((C1399-C1398)^2+(D1399-D1398)^2+(E1399-E1398)^2)</x:f>
        <x:v>2.205</x:v>
      </x:c>
      <x:c r="G1399" s="8" t="str">
        <x:v>Current</x:v>
      </x:c>
    </x:row>
    <x:row r="1400" ht="32" customHeight="1">
      <x:c r="A1400" s="8" t="str">
        <x:v>drop:DB2:L7:light:1:L216</x:v>
      </x:c>
      <x:c r="B1400" s="8" t="n">
        <x:v>1</x:v>
      </x:c>
      <x:c r="C1400" s="11" t="n">
        <x:v>2.35</x:v>
      </x:c>
      <x:c r="D1400" s="11" t="n">
        <x:v>6.489999999999999</x:v>
      </x:c>
      <x:c r="E1400" s="11" t="n">
        <x:v>7.36</x:v>
      </x:c>
      <x:c r="F1400" s="11" t="n">
        <x:f>0</x:f>
        <x:v>0</x:v>
      </x:c>
      <x:c r="G1400" s="8" t="str">
        <x:v>Current</x:v>
      </x:c>
    </x:row>
    <x:row r="1401" ht="32" customHeight="1">
      <x:c r="A1401" s="8" t="str">
        <x:v>drop:DB2:L7:light:1:L216</x:v>
      </x:c>
      <x:c r="B1401" s="8" t="n">
        <x:v>2</x:v>
      </x:c>
      <x:c r="C1401" s="11" t="n">
        <x:v>2.35</x:v>
      </x:c>
      <x:c r="D1401" s="11" t="n">
        <x:v>7.65</x:v>
      </x:c>
      <x:c r="E1401" s="11" t="n">
        <x:v>7.36</x:v>
      </x:c>
      <x:c r="F1401" s="11" t="n">
        <x:f>SQRT((C1401-C1400)^2+(D1401-D1400)^2+(E1401-E1400)^2)</x:f>
        <x:v>1.160000000000001</x:v>
      </x:c>
      <x:c r="G1401" s="8" t="str">
        <x:v>Current</x:v>
      </x:c>
    </x:row>
    <x:row r="1402" ht="32" customHeight="1">
      <x:c r="A1402" s="8" t="str">
        <x:v>drop:DB2:L7:light:1:L216</x:v>
      </x:c>
      <x:c r="B1402" s="8" t="n">
        <x:v>3</x:v>
      </x:c>
      <x:c r="C1402" s="11" t="n">
        <x:v>2.35</x:v>
      </x:c>
      <x:c r="D1402" s="11" t="n">
        <x:v>7.65</x:v>
      </x:c>
      <x:c r="E1402" s="11" t="n">
        <x:v>10.153</x:v>
      </x:c>
      <x:c r="F1402" s="11" t="n">
        <x:f>SQRT((C1402-C1401)^2+(D1402-D1401)^2+(E1402-E1401)^2)</x:f>
        <x:v>2.793</x:v>
      </x:c>
      <x:c r="G1402" s="8" t="str">
        <x:v>Current</x:v>
      </x:c>
    </x:row>
    <x:row r="1403" ht="32" customHeight="1">
      <x:c r="A1403" s="8" t="str">
        <x:v>drop:DB2:L7:light:1:L216</x:v>
      </x:c>
      <x:c r="B1403" s="8" t="n">
        <x:v>4</x:v>
      </x:c>
      <x:c r="C1403" s="11" t="n">
        <x:v>0.05</x:v>
      </x:c>
      <x:c r="D1403" s="11" t="n">
        <x:v>7.65</x:v>
      </x:c>
      <x:c r="E1403" s="11" t="n">
        <x:v>10.153</x:v>
      </x:c>
      <x:c r="F1403" s="11" t="n">
        <x:f>SQRT((C1403-C1402)^2+(D1403-D1402)^2+(E1403-E1402)^2)</x:f>
        <x:v>2.3000000000000003</x:v>
      </x:c>
      <x:c r="G1403" s="8" t="str">
        <x:v>Current</x:v>
      </x:c>
    </x:row>
    <x:row r="1404" ht="32" customHeight="1">
      <x:c r="A1404" s="8" t="str">
        <x:v>drop:DB2:L7:light:1:L216</x:v>
      </x:c>
      <x:c r="B1404" s="8" t="n">
        <x:v>5</x:v>
      </x:c>
      <x:c r="C1404" s="11" t="n">
        <x:v>0.05</x:v>
      </x:c>
      <x:c r="D1404" s="11" t="n">
        <x:v>8.39</x:v>
      </x:c>
      <x:c r="E1404" s="11" t="n">
        <x:v>10.153</x:v>
      </x:c>
      <x:c r="F1404" s="11" t="n">
        <x:f>SQRT((C1404-C1403)^2+(D1404-D1403)^2+(E1404-E1403)^2)</x:f>
        <x:v>0.7400000000000002</x:v>
      </x:c>
      <x:c r="G1404" s="8" t="str">
        <x:v>Current</x:v>
      </x:c>
    </x:row>
    <x:row r="1405" ht="32" customHeight="1">
      <x:c r="A1405" s="8" t="str">
        <x:v>drop:DB2:L7:light:1:L216</x:v>
      </x:c>
      <x:c r="B1405" s="8" t="n">
        <x:v>6</x:v>
      </x:c>
      <x:c r="C1405" s="11" t="n">
        <x:v>0.05</x:v>
      </x:c>
      <x:c r="D1405" s="11" t="n">
        <x:v>12.115</x:v>
      </x:c>
      <x:c r="E1405" s="11" t="n">
        <x:v>10.153</x:v>
      </x:c>
      <x:c r="F1405" s="11" t="n">
        <x:f>SQRT((C1405-C1404)^2+(D1405-D1404)^2+(E1405-E1404)^2)</x:f>
        <x:v>3.7249999999999996</x:v>
      </x:c>
      <x:c r="G1405" s="8" t="str">
        <x:v>Current</x:v>
      </x:c>
    </x:row>
    <x:row r="1406" ht="32" customHeight="1">
      <x:c r="A1406" s="8" t="str">
        <x:v>drop:DB2:L7:light:1:L216</x:v>
      </x:c>
      <x:c r="B1406" s="8" t="n">
        <x:v>7</x:v>
      </x:c>
      <x:c r="C1406" s="11" t="n">
        <x:v>-0.3099999999999997</x:v>
      </x:c>
      <x:c r="D1406" s="11" t="n">
        <x:v>12.115</x:v>
      </x:c>
      <x:c r="E1406" s="11" t="n">
        <x:v>10.153</x:v>
      </x:c>
      <x:c r="F1406" s="11" t="n">
        <x:f>SQRT((C1406-C1405)^2+(D1406-D1405)^2+(E1406-E1405)^2)</x:f>
        <x:v>0.3599999999999997</x:v>
      </x:c>
      <x:c r="G1406" s="8" t="str">
        <x:v>Current</x:v>
      </x:c>
    </x:row>
    <x:row r="1407" ht="32" customHeight="1">
      <x:c r="A1407" s="8" t="str">
        <x:v>drop:DB2:L7:light:1:L216</x:v>
      </x:c>
      <x:c r="B1407" s="8" t="n">
        <x:v>8</x:v>
      </x:c>
      <x:c r="C1407" s="11" t="n">
        <x:v>-0.3099999999999997</x:v>
      </x:c>
      <x:c r="D1407" s="11" t="n">
        <x:v>12.115</x:v>
      </x:c>
      <x:c r="E1407" s="11" t="n">
        <x:v>12.358</x:v>
      </x:c>
      <x:c r="F1407" s="11" t="n">
        <x:f>SQRT((C1407-C1406)^2+(D1407-D1406)^2+(E1407-E1406)^2)</x:f>
        <x:v>2.205</x:v>
      </x:c>
      <x:c r="G1407" s="8" t="str">
        <x:v>Current</x:v>
      </x:c>
    </x:row>
    <x:row r="1408" ht="32" customHeight="1">
      <x:c r="A1408" s="8" t="str">
        <x:v>drop:DB2:L7:light:1:L217</x:v>
      </x:c>
      <x:c r="B1408" s="8" t="n">
        <x:v>1</x:v>
      </x:c>
      <x:c r="C1408" s="11" t="n">
        <x:v>2.35</x:v>
      </x:c>
      <x:c r="D1408" s="11" t="n">
        <x:v>6.489999999999999</x:v>
      </x:c>
      <x:c r="E1408" s="11" t="n">
        <x:v>7.36</x:v>
      </x:c>
      <x:c r="F1408" s="11" t="n">
        <x:f>0</x:f>
        <x:v>0</x:v>
      </x:c>
      <x:c r="G1408" s="8" t="str">
        <x:v>Current</x:v>
      </x:c>
    </x:row>
    <x:row r="1409" ht="32" customHeight="1">
      <x:c r="A1409" s="8" t="str">
        <x:v>drop:DB2:L7:light:1:L217</x:v>
      </x:c>
      <x:c r="B1409" s="8" t="n">
        <x:v>2</x:v>
      </x:c>
      <x:c r="C1409" s="11" t="n">
        <x:v>2.35</x:v>
      </x:c>
      <x:c r="D1409" s="11" t="n">
        <x:v>7.65</x:v>
      </x:c>
      <x:c r="E1409" s="11" t="n">
        <x:v>7.36</x:v>
      </x:c>
      <x:c r="F1409" s="11" t="n">
        <x:f>SQRT((C1409-C1408)^2+(D1409-D1408)^2+(E1409-E1408)^2)</x:f>
        <x:v>1.160000000000001</x:v>
      </x:c>
      <x:c r="G1409" s="8" t="str">
        <x:v>Current</x:v>
      </x:c>
    </x:row>
    <x:row r="1410" ht="32" customHeight="1">
      <x:c r="A1410" s="8" t="str">
        <x:v>drop:DB2:L7:light:1:L217</x:v>
      </x:c>
      <x:c r="B1410" s="8" t="n">
        <x:v>3</x:v>
      </x:c>
      <x:c r="C1410" s="11" t="n">
        <x:v>2.35</x:v>
      </x:c>
      <x:c r="D1410" s="11" t="n">
        <x:v>7.65</x:v>
      </x:c>
      <x:c r="E1410" s="11" t="n">
        <x:v>10.153</x:v>
      </x:c>
      <x:c r="F1410" s="11" t="n">
        <x:f>SQRT((C1410-C1409)^2+(D1410-D1409)^2+(E1410-E1409)^2)</x:f>
        <x:v>2.793</x:v>
      </x:c>
      <x:c r="G1410" s="8" t="str">
        <x:v>Current</x:v>
      </x:c>
    </x:row>
    <x:row r="1411" ht="32" customHeight="1">
      <x:c r="A1411" s="8" t="str">
        <x:v>drop:DB2:L7:light:1:L217</x:v>
      </x:c>
      <x:c r="B1411" s="8" t="n">
        <x:v>4</x:v>
      </x:c>
      <x:c r="C1411" s="11" t="n">
        <x:v>0.05</x:v>
      </x:c>
      <x:c r="D1411" s="11" t="n">
        <x:v>7.65</x:v>
      </x:c>
      <x:c r="E1411" s="11" t="n">
        <x:v>10.153</x:v>
      </x:c>
      <x:c r="F1411" s="11" t="n">
        <x:f>SQRT((C1411-C1410)^2+(D1411-D1410)^2+(E1411-E1410)^2)</x:f>
        <x:v>2.3000000000000003</x:v>
      </x:c>
      <x:c r="G1411" s="8" t="str">
        <x:v>Current</x:v>
      </x:c>
    </x:row>
    <x:row r="1412" ht="32" customHeight="1">
      <x:c r="A1412" s="8" t="str">
        <x:v>drop:DB2:L7:light:1:L217</x:v>
      </x:c>
      <x:c r="B1412" s="8" t="n">
        <x:v>5</x:v>
      </x:c>
      <x:c r="C1412" s="11" t="n">
        <x:v>0.05</x:v>
      </x:c>
      <x:c r="D1412" s="11" t="n">
        <x:v>8.39</x:v>
      </x:c>
      <x:c r="E1412" s="11" t="n">
        <x:v>10.153</x:v>
      </x:c>
      <x:c r="F1412" s="11" t="n">
        <x:f>SQRT((C1412-C1411)^2+(D1412-D1411)^2+(E1412-E1411)^2)</x:f>
        <x:v>0.7400000000000002</x:v>
      </x:c>
      <x:c r="G1412" s="8" t="str">
        <x:v>Current</x:v>
      </x:c>
    </x:row>
    <x:row r="1413" ht="32" customHeight="1">
      <x:c r="A1413" s="8" t="str">
        <x:v>drop:DB2:L7:light:1:L217</x:v>
      </x:c>
      <x:c r="B1413" s="8" t="n">
        <x:v>6</x:v>
      </x:c>
      <x:c r="C1413" s="11" t="n">
        <x:v>0.05</x:v>
      </x:c>
      <x:c r="D1413" s="11" t="n">
        <x:v>15.84</x:v>
      </x:c>
      <x:c r="E1413" s="11" t="n">
        <x:v>10.153</x:v>
      </x:c>
      <x:c r="F1413" s="11" t="n">
        <x:f>SQRT((C1413-C1412)^2+(D1413-D1412)^2+(E1413-E1412)^2)</x:f>
        <x:v>7.449999999999999</x:v>
      </x:c>
      <x:c r="G1413" s="8" t="str">
        <x:v>Current</x:v>
      </x:c>
    </x:row>
    <x:row r="1414" ht="32" customHeight="1">
      <x:c r="A1414" s="8" t="str">
        <x:v>drop:DB2:L7:light:1:L217</x:v>
      </x:c>
      <x:c r="B1414" s="8" t="n">
        <x:v>7</x:v>
      </x:c>
      <x:c r="C1414" s="11" t="n">
        <x:v>0.09</x:v>
      </x:c>
      <x:c r="D1414" s="11" t="n">
        <x:v>15.84</x:v>
      </x:c>
      <x:c r="E1414" s="11" t="n">
        <x:v>10.153</x:v>
      </x:c>
      <x:c r="F1414" s="11" t="n">
        <x:f>SQRT((C1414-C1413)^2+(D1414-D1413)^2+(E1414-E1413)^2)</x:f>
        <x:v>0.039999999999999994</x:v>
      </x:c>
      <x:c r="G1414" s="8" t="str">
        <x:v>Current</x:v>
      </x:c>
    </x:row>
    <x:row r="1415" ht="32" customHeight="1">
      <x:c r="A1415" s="8" t="str">
        <x:v>drop:DB2:L7:light:1:L217</x:v>
      </x:c>
      <x:c r="B1415" s="8" t="n">
        <x:v>8</x:v>
      </x:c>
      <x:c r="C1415" s="11" t="n">
        <x:v>0.09</x:v>
      </x:c>
      <x:c r="D1415" s="11" t="n">
        <x:v>19.490000000000002</x:v>
      </x:c>
      <x:c r="E1415" s="11" t="n">
        <x:v>10.153</x:v>
      </x:c>
      <x:c r="F1415" s="11" t="n">
        <x:f>SQRT((C1415-C1414)^2+(D1415-D1414)^2+(E1415-E1414)^2)</x:f>
        <x:v>3.650000000000002</x:v>
      </x:c>
      <x:c r="G1415" s="8" t="str">
        <x:v>Current</x:v>
      </x:c>
    </x:row>
    <x:row r="1416" ht="32" customHeight="1">
      <x:c r="A1416" s="8" t="str">
        <x:v>drop:DB2:L7:light:1:L217</x:v>
      </x:c>
      <x:c r="B1416" s="8" t="n">
        <x:v>9</x:v>
      </x:c>
      <x:c r="C1416" s="11" t="n">
        <x:v>-0.20999999999999963</x:v>
      </x:c>
      <x:c r="D1416" s="11" t="n">
        <x:v>19.490000000000002</x:v>
      </x:c>
      <x:c r="E1416" s="11" t="n">
        <x:v>10.153</x:v>
      </x:c>
      <x:c r="F1416" s="11" t="n">
        <x:f>SQRT((C1416-C1415)^2+(D1416-D1415)^2+(E1416-E1415)^2)</x:f>
        <x:v>0.2999999999999996</x:v>
      </x:c>
      <x:c r="G1416" s="8" t="str">
        <x:v>Current</x:v>
      </x:c>
    </x:row>
    <x:row r="1417" ht="32" customHeight="1">
      <x:c r="A1417" s="8" t="str">
        <x:v>drop:DB2:L7:light:1:L217</x:v>
      </x:c>
      <x:c r="B1417" s="8" t="n">
        <x:v>10</x:v>
      </x:c>
      <x:c r="C1417" s="11" t="n">
        <x:v>-0.20999999999999963</x:v>
      </x:c>
      <x:c r="D1417" s="11" t="n">
        <x:v>19.490000000000002</x:v>
      </x:c>
      <x:c r="E1417" s="11" t="n">
        <x:v>8.048</x:v>
      </x:c>
      <x:c r="F1417" s="11" t="n">
        <x:f>SQRT((C1417-C1416)^2+(D1417-D1416)^2+(E1417-E1416)^2)</x:f>
        <x:v>2.1050000000000004</x:v>
      </x:c>
      <x:c r="G1417" s="8" t="str">
        <x:v>Current</x:v>
      </x:c>
    </x:row>
    <x:row r="1418" ht="32" customHeight="1">
      <x:c r="A1418" s="8" t="str">
        <x:v>drop:DB2:L7:light:1:L218</x:v>
      </x:c>
      <x:c r="B1418" s="8" t="n">
        <x:v>1</x:v>
      </x:c>
      <x:c r="C1418" s="11" t="n">
        <x:v>2.35</x:v>
      </x:c>
      <x:c r="D1418" s="11" t="n">
        <x:v>6.489999999999999</x:v>
      </x:c>
      <x:c r="E1418" s="11" t="n">
        <x:v>7.36</x:v>
      </x:c>
      <x:c r="F1418" s="11" t="n">
        <x:f>0</x:f>
        <x:v>0</x:v>
      </x:c>
      <x:c r="G1418" s="8" t="str">
        <x:v>Current</x:v>
      </x:c>
    </x:row>
    <x:row r="1419" ht="32" customHeight="1">
      <x:c r="A1419" s="8" t="str">
        <x:v>drop:DB2:L7:light:1:L218</x:v>
      </x:c>
      <x:c r="B1419" s="8" t="n">
        <x:v>2</x:v>
      </x:c>
      <x:c r="C1419" s="11" t="n">
        <x:v>2.35</x:v>
      </x:c>
      <x:c r="D1419" s="11" t="n">
        <x:v>7.65</x:v>
      </x:c>
      <x:c r="E1419" s="11" t="n">
        <x:v>7.36</x:v>
      </x:c>
      <x:c r="F1419" s="11" t="n">
        <x:f>SQRT((C1419-C1418)^2+(D1419-D1418)^2+(E1419-E1418)^2)</x:f>
        <x:v>1.160000000000001</x:v>
      </x:c>
      <x:c r="G1419" s="8" t="str">
        <x:v>Current</x:v>
      </x:c>
    </x:row>
    <x:row r="1420" ht="32" customHeight="1">
      <x:c r="A1420" s="8" t="str">
        <x:v>drop:DB2:L7:light:1:L218</x:v>
      </x:c>
      <x:c r="B1420" s="8" t="n">
        <x:v>3</x:v>
      </x:c>
      <x:c r="C1420" s="11" t="n">
        <x:v>2.35</x:v>
      </x:c>
      <x:c r="D1420" s="11" t="n">
        <x:v>7.65</x:v>
      </x:c>
      <x:c r="E1420" s="11" t="n">
        <x:v>10.153</x:v>
      </x:c>
      <x:c r="F1420" s="11" t="n">
        <x:f>SQRT((C1420-C1419)^2+(D1420-D1419)^2+(E1420-E1419)^2)</x:f>
        <x:v>2.793</x:v>
      </x:c>
      <x:c r="G1420" s="8" t="str">
        <x:v>Current</x:v>
      </x:c>
    </x:row>
    <x:row r="1421" ht="32" customHeight="1">
      <x:c r="A1421" s="8" t="str">
        <x:v>drop:DB2:L7:light:1:L218</x:v>
      </x:c>
      <x:c r="B1421" s="8" t="n">
        <x:v>4</x:v>
      </x:c>
      <x:c r="C1421" s="11" t="n">
        <x:v>0.05</x:v>
      </x:c>
      <x:c r="D1421" s="11" t="n">
        <x:v>7.65</x:v>
      </x:c>
      <x:c r="E1421" s="11" t="n">
        <x:v>10.153</x:v>
      </x:c>
      <x:c r="F1421" s="11" t="n">
        <x:f>SQRT((C1421-C1420)^2+(D1421-D1420)^2+(E1421-E1420)^2)</x:f>
        <x:v>2.3000000000000003</x:v>
      </x:c>
      <x:c r="G1421" s="8" t="str">
        <x:v>Current</x:v>
      </x:c>
    </x:row>
    <x:row r="1422" ht="32" customHeight="1">
      <x:c r="A1422" s="8" t="str">
        <x:v>drop:DB2:L7:light:1:L218</x:v>
      </x:c>
      <x:c r="B1422" s="8" t="n">
        <x:v>5</x:v>
      </x:c>
      <x:c r="C1422" s="11" t="n">
        <x:v>0.05</x:v>
      </x:c>
      <x:c r="D1422" s="11" t="n">
        <x:v>8.39</x:v>
      </x:c>
      <x:c r="E1422" s="11" t="n">
        <x:v>10.153</x:v>
      </x:c>
      <x:c r="F1422" s="11" t="n">
        <x:f>SQRT((C1422-C1421)^2+(D1422-D1421)^2+(E1422-E1421)^2)</x:f>
        <x:v>0.7400000000000002</x:v>
      </x:c>
      <x:c r="G1422" s="8" t="str">
        <x:v>Current</x:v>
      </x:c>
    </x:row>
    <x:row r="1423" ht="32" customHeight="1">
      <x:c r="A1423" s="8" t="str">
        <x:v>drop:DB2:L7:light:1:L218</x:v>
      </x:c>
      <x:c r="B1423" s="8" t="n">
        <x:v>6</x:v>
      </x:c>
      <x:c r="C1423" s="11" t="n">
        <x:v>0.05</x:v>
      </x:c>
      <x:c r="D1423" s="11" t="n">
        <x:v>15.84</x:v>
      </x:c>
      <x:c r="E1423" s="11" t="n">
        <x:v>10.153</x:v>
      </x:c>
      <x:c r="F1423" s="11" t="n">
        <x:f>SQRT((C1423-C1422)^2+(D1423-D1422)^2+(E1423-E1422)^2)</x:f>
        <x:v>7.449999999999999</x:v>
      </x:c>
      <x:c r="G1423" s="8" t="str">
        <x:v>Current</x:v>
      </x:c>
    </x:row>
    <x:row r="1424" ht="32" customHeight="1">
      <x:c r="A1424" s="8" t="str">
        <x:v>drop:DB2:L7:light:1:L218</x:v>
      </x:c>
      <x:c r="B1424" s="8" t="n">
        <x:v>7</x:v>
      </x:c>
      <x:c r="C1424" s="11" t="n">
        <x:v>0.09</x:v>
      </x:c>
      <x:c r="D1424" s="11" t="n">
        <x:v>15.84</x:v>
      </x:c>
      <x:c r="E1424" s="11" t="n">
        <x:v>10.153</x:v>
      </x:c>
      <x:c r="F1424" s="11" t="n">
        <x:f>SQRT((C1424-C1423)^2+(D1424-D1423)^2+(E1424-E1423)^2)</x:f>
        <x:v>0.039999999999999994</x:v>
      </x:c>
      <x:c r="G1424" s="8" t="str">
        <x:v>Current</x:v>
      </x:c>
    </x:row>
    <x:row r="1425" ht="32" customHeight="1">
      <x:c r="A1425" s="8" t="str">
        <x:v>drop:DB2:L7:light:1:L218</x:v>
      </x:c>
      <x:c r="B1425" s="8" t="n">
        <x:v>8</x:v>
      </x:c>
      <x:c r="C1425" s="11" t="n">
        <x:v>0.09</x:v>
      </x:c>
      <x:c r="D1425" s="11" t="n">
        <x:v>19.490000000000002</x:v>
      </x:c>
      <x:c r="E1425" s="11" t="n">
        <x:v>10.153</x:v>
      </x:c>
      <x:c r="F1425" s="11" t="n">
        <x:f>SQRT((C1425-C1424)^2+(D1425-D1424)^2+(E1425-E1424)^2)</x:f>
        <x:v>3.650000000000002</x:v>
      </x:c>
      <x:c r="G1425" s="8" t="str">
        <x:v>Current</x:v>
      </x:c>
    </x:row>
    <x:row r="1426" ht="32" customHeight="1">
      <x:c r="A1426" s="8" t="str">
        <x:v>drop:DB2:L7:light:1:L218</x:v>
      </x:c>
      <x:c r="B1426" s="8" t="n">
        <x:v>9</x:v>
      </x:c>
      <x:c r="C1426" s="11" t="n">
        <x:v>-0.20999999999999963</x:v>
      </x:c>
      <x:c r="D1426" s="11" t="n">
        <x:v>19.490000000000002</x:v>
      </x:c>
      <x:c r="E1426" s="11" t="n">
        <x:v>10.153</x:v>
      </x:c>
      <x:c r="F1426" s="11" t="n">
        <x:f>SQRT((C1426-C1425)^2+(D1426-D1425)^2+(E1426-E1425)^2)</x:f>
        <x:v>0.2999999999999996</x:v>
      </x:c>
      <x:c r="G1426" s="8" t="str">
        <x:v>Current</x:v>
      </x:c>
    </x:row>
    <x:row r="1427" ht="32" customHeight="1">
      <x:c r="A1427" s="8" t="str">
        <x:v>drop:DB2:L7:light:1:L218</x:v>
      </x:c>
      <x:c r="B1427" s="8" t="n">
        <x:v>10</x:v>
      </x:c>
      <x:c r="C1427" s="11" t="n">
        <x:v>-0.20999999999999963</x:v>
      </x:c>
      <x:c r="D1427" s="11" t="n">
        <x:v>19.490000000000002</x:v>
      </x:c>
      <x:c r="E1427" s="11" t="n">
        <x:v>12.258000000000001</x:v>
      </x:c>
      <x:c r="F1427" s="11" t="n">
        <x:f>SQRT((C1427-C1426)^2+(D1427-D1426)^2+(E1427-E1426)^2)</x:f>
        <x:v>2.1050000000000004</x:v>
      </x:c>
      <x:c r="G1427" s="8" t="str">
        <x:v>Current</x:v>
      </x:c>
    </x:row>
    <x:row r="1428" ht="32" customHeight="1">
      <x:c r="A1428" s="8" t="str">
        <x:v>drop:DB2:L7:light:1:L221</x:v>
      </x:c>
      <x:c r="B1428" s="8" t="n">
        <x:v>1</x:v>
      </x:c>
      <x:c r="C1428" s="11" t="n">
        <x:v>52.6</x:v>
      </x:c>
      <x:c r="D1428" s="11" t="n">
        <x:v>6.489999999999999</x:v>
      </x:c>
      <x:c r="E1428" s="11" t="n">
        <x:v>7.36</x:v>
      </x:c>
      <x:c r="F1428" s="11" t="n">
        <x:f>0</x:f>
        <x:v>0</x:v>
      </x:c>
      <x:c r="G1428" s="8" t="str">
        <x:v>Current</x:v>
      </x:c>
    </x:row>
    <x:row r="1429" ht="32" customHeight="1">
      <x:c r="A1429" s="8" t="str">
        <x:v>drop:DB2:L7:light:1:L221</x:v>
      </x:c>
      <x:c r="B1429" s="8" t="n">
        <x:v>2</x:v>
      </x:c>
      <x:c r="C1429" s="11" t="n">
        <x:v>52.6</x:v>
      </x:c>
      <x:c r="D1429" s="11" t="n">
        <x:v>6.55</x:v>
      </x:c>
      <x:c r="E1429" s="11" t="n">
        <x:v>7.36</x:v>
      </x:c>
      <x:c r="F1429" s="11" t="n">
        <x:f>SQRT((C1429-C1428)^2+(D1429-D1428)^2+(E1429-E1428)^2)</x:f>
        <x:v>0.0600000000000005</x:v>
      </x:c>
      <x:c r="G1429" s="8" t="str">
        <x:v>Current</x:v>
      </x:c>
    </x:row>
    <x:row r="1430" ht="32" customHeight="1">
      <x:c r="A1430" s="8" t="str">
        <x:v>drop:DB2:L7:light:1:L221</x:v>
      </x:c>
      <x:c r="B1430" s="8" t="n">
        <x:v>3</x:v>
      </x:c>
      <x:c r="C1430" s="11" t="n">
        <x:v>52.6</x:v>
      </x:c>
      <x:c r="D1430" s="11" t="n">
        <x:v>6.55</x:v>
      </x:c>
      <x:c r="E1430" s="11" t="n">
        <x:v>9.8</x:v>
      </x:c>
      <x:c r="F1430" s="11" t="n">
        <x:f>SQRT((C1430-C1429)^2+(D1430-D1429)^2+(E1430-E1429)^2)</x:f>
        <x:v>2.4400000000000004</x:v>
      </x:c>
      <x:c r="G1430" s="8" t="str">
        <x:v>Current</x:v>
      </x:c>
    </x:row>
    <x:row r="1431" ht="32" customHeight="1">
      <x:c r="A1431" s="8" t="str">
        <x:v>trunk:FC1:F1:fan:-1</x:v>
      </x:c>
      <x:c r="B1431" s="8" t="n">
        <x:v>1</x:v>
      </x:c>
      <x:c r="C1431" s="11" t="n">
        <x:v>48.895</x:v>
      </x:c>
      <x:c r="D1431" s="11" t="n">
        <x:v>1.95</x:v>
      </x:c>
      <x:c r="E1431" s="11" t="n">
        <x:v>0.4</x:v>
      </x:c>
      <x:c r="F1431" s="11" t="n">
        <x:f>0</x:f>
        <x:v>0</x:v>
      </x:c>
      <x:c r="G1431" s="8" t="str">
        <x:v>Current</x:v>
      </x:c>
    </x:row>
    <x:row r="1432" ht="32" customHeight="1">
      <x:c r="A1432" s="8" t="str">
        <x:v>trunk:FC1:F1:fan:-1</x:v>
      </x:c>
      <x:c r="B1432" s="8" t="n">
        <x:v>2</x:v>
      </x:c>
      <x:c r="C1432" s="11" t="n">
        <x:v>48.735</x:v>
      </x:c>
      <x:c r="D1432" s="11" t="n">
        <x:v>1.95</x:v>
      </x:c>
      <x:c r="E1432" s="11" t="n">
        <x:v>0.4</x:v>
      </x:c>
      <x:c r="F1432" s="11" t="n">
        <x:f>SQRT((C1432-C1431)^2+(D1432-D1431)^2+(E1432-E1431)^2)</x:f>
        <x:v>0.1600000000000037</x:v>
      </x:c>
      <x:c r="G1432" s="8" t="str">
        <x:v>Current</x:v>
      </x:c>
    </x:row>
    <x:row r="1433" ht="32" customHeight="1">
      <x:c r="A1433" s="8" t="str">
        <x:v>trunk:FC1:F1:fan:-1</x:v>
      </x:c>
      <x:c r="B1433" s="8" t="n">
        <x:v>3</x:v>
      </x:c>
      <x:c r="C1433" s="11" t="n">
        <x:v>48.735</x:v>
      </x:c>
      <x:c r="D1433" s="11" t="n">
        <x:v>1.95</x:v>
      </x:c>
      <x:c r="E1433" s="11" t="n">
        <x:v>-2.24</x:v>
      </x:c>
      <x:c r="F1433" s="11" t="n">
        <x:f>SQRT((C1433-C1432)^2+(D1433-D1432)^2+(E1433-E1432)^2)</x:f>
        <x:v>2.64</x:v>
      </x:c>
      <x:c r="G1433" s="8" t="str">
        <x:v>Current</x:v>
      </x:c>
    </x:row>
    <x:row r="1434" ht="32" customHeight="1">
      <x:c r="A1434" s="8" t="str">
        <x:v>trunk:FC1:F1:fan:-1</x:v>
      </x:c>
      <x:c r="B1434" s="8" t="n">
        <x:v>4</x:v>
      </x:c>
      <x:c r="C1434" s="11" t="n">
        <x:v>48.735</x:v>
      </x:c>
      <x:c r="D1434" s="11" t="n">
        <x:v>4.02</x:v>
      </x:c>
      <x:c r="E1434" s="11" t="n">
        <x:v>-2.24</x:v>
      </x:c>
      <x:c r="F1434" s="11" t="n">
        <x:f>SQRT((C1434-C1433)^2+(D1434-D1433)^2+(E1434-E1433)^2)</x:f>
        <x:v>2.0699999999999994</x:v>
      </x:c>
      <x:c r="G1434" s="8" t="str">
        <x:v>Current</x:v>
      </x:c>
    </x:row>
    <x:row r="1435" ht="32" customHeight="1">
      <x:c r="A1435" s="8" t="str">
        <x:v>trunk:FC1:F1:fan:-1</x:v>
      </x:c>
      <x:c r="B1435" s="8" t="n">
        <x:v>5</x:v>
      </x:c>
      <x:c r="C1435" s="11" t="n">
        <x:v>48.735</x:v>
      </x:c>
      <x:c r="D1435" s="11" t="n">
        <x:v>4.02</x:v>
      </x:c>
      <x:c r="E1435" s="11" t="n">
        <x:v>-3.6</x:v>
      </x:c>
      <x:c r="F1435" s="11" t="n">
        <x:f>SQRT((C1435-C1434)^2+(D1435-D1434)^2+(E1435-E1434)^2)</x:f>
        <x:v>1.3599999999999999</x:v>
      </x:c>
      <x:c r="G1435" s="8" t="str">
        <x:v>Current</x:v>
      </x:c>
    </x:row>
    <x:row r="1436" ht="32" customHeight="1">
      <x:c r="A1436" s="8" t="str">
        <x:v>trunk:FC1:F1:fan:-1</x:v>
      </x:c>
      <x:c r="B1436" s="8" t="n">
        <x:v>6</x:v>
      </x:c>
      <x:c r="C1436" s="11" t="n">
        <x:v>53.05</x:v>
      </x:c>
      <x:c r="D1436" s="11" t="n">
        <x:v>4.02</x:v>
      </x:c>
      <x:c r="E1436" s="11" t="n">
        <x:v>-3.6</x:v>
      </x:c>
      <x:c r="F1436" s="11" t="n">
        <x:f>SQRT((C1436-C1435)^2+(D1436-D1435)^2+(E1436-E1435)^2)</x:f>
        <x:v>4.314999999999998</x:v>
      </x:c>
      <x:c r="G1436" s="8" t="str">
        <x:v>Current</x:v>
      </x:c>
    </x:row>
    <x:row r="1437" ht="32" customHeight="1">
      <x:c r="A1437" s="8" t="str">
        <x:v>trunk:FC1:F1:fan:-1</x:v>
      </x:c>
      <x:c r="B1437" s="8" t="n">
        <x:v>7</x:v>
      </x:c>
      <x:c r="C1437" s="11" t="n">
        <x:v>53.05</x:v>
      </x:c>
      <x:c r="D1437" s="11" t="n">
        <x:v>6.532</x:v>
      </x:c>
      <x:c r="E1437" s="11" t="n">
        <x:v>-3.6</x:v>
      </x:c>
      <x:c r="F1437" s="11" t="n">
        <x:f>SQRT((C1437-C1436)^2+(D1437-D1436)^2+(E1437-E1436)^2)</x:f>
        <x:v>2.5120000000000005</x:v>
      </x:c>
      <x:c r="G1437" s="8" t="str">
        <x:v>Current</x:v>
      </x:c>
    </x:row>
    <x:row r="1438" ht="32" customHeight="1">
      <x:c r="A1438" s="8" t="str">
        <x:v>trunk:FC1:F1:fan:-1</x:v>
      </x:c>
      <x:c r="B1438" s="8" t="n">
        <x:v>8</x:v>
      </x:c>
      <x:c r="C1438" s="11" t="n">
        <x:v>53.05</x:v>
      </x:c>
      <x:c r="D1438" s="11" t="n">
        <x:v>6.532</x:v>
      </x:c>
      <x:c r="E1438" s="11" t="n">
        <x:v>-7.36</x:v>
      </x:c>
      <x:c r="F1438" s="11" t="n">
        <x:f>SQRT((C1438-C1437)^2+(D1438-D1437)^2+(E1438-E1437)^2)</x:f>
        <x:v>3.7600000000000002</x:v>
      </x:c>
      <x:c r="G1438" s="8" t="str">
        <x:v>Current</x:v>
      </x:c>
    </x:row>
    <x:row r="1439" ht="32" customHeight="1">
      <x:c r="A1439" s="8" t="str">
        <x:v>trunk:FC1:F1:fan:-1</x:v>
      </x:c>
      <x:c r="B1439" s="8" t="n">
        <x:v>9</x:v>
      </x:c>
      <x:c r="C1439" s="11" t="n">
        <x:v>44.175</x:v>
      </x:c>
      <x:c r="D1439" s="11" t="n">
        <x:v>6.532</x:v>
      </x:c>
      <x:c r="E1439" s="11" t="n">
        <x:v>-7.36</x:v>
      </x:c>
      <x:c r="F1439" s="11" t="n">
        <x:f>SQRT((C1439-C1438)^2+(D1439-D1438)^2+(E1439-E1438)^2)</x:f>
        <x:v>8.875</x:v>
      </x:c>
      <x:c r="G1439" s="8" t="str">
        <x:v>Current</x:v>
      </x:c>
    </x:row>
    <x:row r="1440" ht="32" customHeight="1">
      <x:c r="A1440" s="8" t="str">
        <x:v>trunk:FC1:F1:fan:-1</x:v>
      </x:c>
      <x:c r="B1440" s="8" t="n">
        <x:v>10</x:v>
      </x:c>
      <x:c r="C1440" s="11" t="n">
        <x:v>44.175</x:v>
      </x:c>
      <x:c r="D1440" s="11" t="n">
        <x:v>6.532</x:v>
      </x:c>
      <x:c r="E1440" s="11" t="n">
        <x:v>-13.24</x:v>
      </x:c>
      <x:c r="F1440" s="11" t="n">
        <x:f>SQRT((C1440-C1439)^2+(D1440-D1439)^2+(E1440-E1439)^2)</x:f>
        <x:v>5.88</x:v>
      </x:c>
      <x:c r="G1440" s="8" t="str">
        <x:v>Current</x:v>
      </x:c>
    </x:row>
    <x:row r="1441" ht="32" customHeight="1">
      <x:c r="A1441" s="8" t="str">
        <x:v>trunk:FC1:F1:fan:-1</x:v>
      </x:c>
      <x:c r="B1441" s="8" t="n">
        <x:v>11</x:v>
      </x:c>
      <x:c r="C1441" s="11" t="n">
        <x:v>36.975</x:v>
      </x:c>
      <x:c r="D1441" s="11" t="n">
        <x:v>6.532</x:v>
      </x:c>
      <x:c r="E1441" s="11" t="n">
        <x:v>-13.24</x:v>
      </x:c>
      <x:c r="F1441" s="11" t="n">
        <x:f>SQRT((C1441-C1440)^2+(D1441-D1440)^2+(E1441-E1440)^2)</x:f>
        <x:v>7.199999999999996</x:v>
      </x:c>
      <x:c r="G1441" s="8" t="str">
        <x:v>Current</x:v>
      </x:c>
    </x:row>
    <x:row r="1442" ht="32" customHeight="1">
      <x:c r="A1442" s="8" t="str">
        <x:v>trunk:FC1:F1:fan:-1</x:v>
      </x:c>
      <x:c r="B1442" s="8" t="n">
        <x:v>12</x:v>
      </x:c>
      <x:c r="C1442" s="11" t="n">
        <x:v>36.975</x:v>
      </x:c>
      <x:c r="D1442" s="11" t="n">
        <x:v>6.532</x:v>
      </x:c>
      <x:c r="E1442" s="11" t="n">
        <x:v>-7.36</x:v>
      </x:c>
      <x:c r="F1442" s="11" t="n">
        <x:f>SQRT((C1442-C1441)^2+(D1442-D1441)^2+(E1442-E1441)^2)</x:f>
        <x:v>5.88</x:v>
      </x:c>
      <x:c r="G1442" s="8" t="str">
        <x:v>Current</x:v>
      </x:c>
    </x:row>
    <x:row r="1443" ht="32" customHeight="1">
      <x:c r="A1443" s="8" t="str">
        <x:v>trunk:FC1:F1:fan:-1</x:v>
      </x:c>
      <x:c r="B1443" s="8" t="n">
        <x:v>13</x:v>
      </x:c>
      <x:c r="C1443" s="11" t="n">
        <x:v>9.03</x:v>
      </x:c>
      <x:c r="D1443" s="11" t="n">
        <x:v>6.532</x:v>
      </x:c>
      <x:c r="E1443" s="11" t="n">
        <x:v>-7.36</x:v>
      </x:c>
      <x:c r="F1443" s="11" t="n">
        <x:f>SQRT((C1443-C1442)^2+(D1443-D1442)^2+(E1443-E1442)^2)</x:f>
        <x:v>27.945</x:v>
      </x:c>
      <x:c r="G1443" s="8" t="str">
        <x:v>Current</x:v>
      </x:c>
    </x:row>
    <x:row r="1444" ht="32" customHeight="1">
      <x:c r="A1444" s="8" t="str">
        <x:v>drop:FC1:F1:fan:-1:F226</x:v>
      </x:c>
      <x:c r="B1444" s="8" t="n">
        <x:v>1</x:v>
      </x:c>
      <x:c r="C1444" s="11" t="n">
        <x:v>9.03</x:v>
      </x:c>
      <x:c r="D1444" s="11" t="n">
        <x:v>6.532</x:v>
      </x:c>
      <x:c r="E1444" s="11" t="n">
        <x:v>-7.36</x:v>
      </x:c>
      <x:c r="F1444" s="11" t="n">
        <x:f>0</x:f>
        <x:v>0</x:v>
      </x:c>
      <x:c r="G1444" s="8" t="str">
        <x:v>Current</x:v>
      </x:c>
    </x:row>
    <x:row r="1445" ht="32" customHeight="1">
      <x:c r="A1445" s="8" t="str">
        <x:v>drop:FC1:F1:fan:-1:F226</x:v>
      </x:c>
      <x:c r="B1445" s="8" t="n">
        <x:v>2</x:v>
      </x:c>
      <x:c r="C1445" s="11" t="n">
        <x:v>9.03</x:v>
      </x:c>
      <x:c r="D1445" s="11" t="n">
        <x:v>7.02</x:v>
      </x:c>
      <x:c r="E1445" s="11" t="n">
        <x:v>-7.36</x:v>
      </x:c>
      <x:c r="F1445" s="11" t="n">
        <x:f>SQRT((C1445-C1444)^2+(D1445-D1444)^2+(E1445-E1444)^2)</x:f>
        <x:v>0.48799999999999955</x:v>
      </x:c>
      <x:c r="G1445" s="8" t="str">
        <x:v>Current</x:v>
      </x:c>
    </x:row>
    <x:row r="1446" ht="32" customHeight="1">
      <x:c r="A1446" s="8" t="str">
        <x:v>drop:FC1:F1:fan:-1:F226</x:v>
      </x:c>
      <x:c r="B1446" s="8" t="n">
        <x:v>3</x:v>
      </x:c>
      <x:c r="C1446" s="11" t="n">
        <x:v>9.03</x:v>
      </x:c>
      <x:c r="D1446" s="11" t="n">
        <x:v>7.065002717391305</x:v>
      </x:c>
      <x:c r="E1446" s="11" t="n">
        <x:v>-7.05</x:v>
      </x:c>
      <x:c r="F1446" s="11" t="n">
        <x:f>SQRT((C1446-C1445)^2+(D1446-D1445)^2+(E1446-E1445)^2)</x:f>
        <x:v>0.3132494925336704</x:v>
      </x:c>
      <x:c r="G1446" s="8" t="str">
        <x:v>Current</x:v>
      </x:c>
    </x:row>
    <x:row r="1447" ht="32" customHeight="1">
      <x:c r="A1447" s="8" t="str">
        <x:v>drop:FC1:F1:fan:-1:F226</x:v>
      </x:c>
      <x:c r="B1447" s="8" t="n">
        <x:v>4</x:v>
      </x:c>
      <x:c r="C1447" s="11" t="n">
        <x:v>7.725</x:v>
      </x:c>
      <x:c r="D1447" s="11" t="n">
        <x:v>7.065002717391305</x:v>
      </x:c>
      <x:c r="E1447" s="11" t="n">
        <x:v>-7.05</x:v>
      </x:c>
      <x:c r="F1447" s="11" t="n">
        <x:f>SQRT((C1447-C1446)^2+(D1447-D1446)^2+(E1447-E1446)^2)</x:f>
        <x:v>1.3049999999999997</x:v>
      </x:c>
      <x:c r="G1447" s="8" t="str">
        <x:v>Current</x:v>
      </x:c>
    </x:row>
    <x:row r="1448" ht="32" customHeight="1">
      <x:c r="A1448" s="8" t="str">
        <x:v>drop:FC1:F1:fan:-1:F226</x:v>
      </x:c>
      <x:c r="B1448" s="8" t="n">
        <x:v>5</x:v>
      </x:c>
      <x:c r="C1448" s="11" t="n">
        <x:v>7.725</x:v>
      </x:c>
      <x:c r="D1448" s="11" t="n">
        <x:v>8.988413043478262</x:v>
      </x:c>
      <x:c r="E1448" s="11" t="n">
        <x:v>-4.4</x:v>
      </x:c>
      <x:c r="F1448" s="11" t="n">
        <x:f>SQRT((C1448-C1447)^2+(D1448-D1447)^2+(E1448-E1447)^2)</x:f>
        <x:v>3.2744476301351852</x:v>
      </x:c>
      <x:c r="G1448" s="8" t="str">
        <x:v>Current</x:v>
      </x:c>
    </x:row>
    <x:row r="1449" ht="32" customHeight="1">
      <x:c r="A1449" s="8" t="str">
        <x:v>drop:FC1:F1:fan:-1:F226</x:v>
      </x:c>
      <x:c r="B1449" s="8" t="n">
        <x:v>6</x:v>
      </x:c>
      <x:c r="C1449" s="11" t="n">
        <x:v>7.725</x:v>
      </x:c>
      <x:c r="D1449" s="11" t="n">
        <x:v>9.028413043478261</x:v>
      </x:c>
      <x:c r="E1449" s="11" t="n">
        <x:v>-4.4</x:v>
      </x:c>
      <x:c r="F1449" s="11" t="n">
        <x:f>SQRT((C1449-C1448)^2+(D1449-D1448)^2+(E1449-E1448)^2)</x:f>
        <x:v>0.03999999999999915</x:v>
      </x:c>
      <x:c r="G1449" s="8" t="str">
        <x:v>Current</x:v>
      </x:c>
    </x:row>
    <x:row r="1450" ht="32" customHeight="1">
      <x:c r="A1450" s="8" t="str">
        <x:v>drop:FC1:F1:fan:-1:F226</x:v>
      </x:c>
      <x:c r="B1450" s="8" t="n">
        <x:v>7</x:v>
      </x:c>
      <x:c r="C1450" s="11" t="n">
        <x:v>7.725</x:v>
      </x:c>
      <x:c r="D1450" s="11" t="n">
        <x:v>3.9</x:v>
      </x:c>
      <x:c r="E1450" s="11" t="n">
        <x:v>-4.4</x:v>
      </x:c>
      <x:c r="F1450" s="11" t="n">
        <x:f>SQRT((C1450-C1449)^2+(D1450-D1449)^2+(E1450-E1449)^2)</x:f>
        <x:v>5.128413043478261</x:v>
      </x:c>
      <x:c r="G1450" s="8" t="str">
        <x:v>Current</x:v>
      </x:c>
    </x:row>
    <x:row r="1451" ht="32" customHeight="1">
      <x:c r="A1451" s="8" t="str">
        <x:v>drop:FC1:F1:fan:-1:F228</x:v>
      </x:c>
      <x:c r="B1451" s="8" t="n">
        <x:v>1</x:v>
      </x:c>
      <x:c r="C1451" s="11" t="n">
        <x:v>13.53</x:v>
      </x:c>
      <x:c r="D1451" s="11" t="n">
        <x:v>6.532</x:v>
      </x:c>
      <x:c r="E1451" s="11" t="n">
        <x:v>-7.36</x:v>
      </x:c>
      <x:c r="F1451" s="11" t="n">
        <x:f>0</x:f>
        <x:v>0</x:v>
      </x:c>
      <x:c r="G1451" s="8" t="str">
        <x:v>Current</x:v>
      </x:c>
    </x:row>
    <x:row r="1452" ht="32" customHeight="1">
      <x:c r="A1452" s="8" t="str">
        <x:v>drop:FC1:F1:fan:-1:F228</x:v>
      </x:c>
      <x:c r="B1452" s="8" t="n">
        <x:v>2</x:v>
      </x:c>
      <x:c r="C1452" s="11" t="n">
        <x:v>13.53</x:v>
      </x:c>
      <x:c r="D1452" s="11" t="n">
        <x:v>7.02</x:v>
      </x:c>
      <x:c r="E1452" s="11" t="n">
        <x:v>-7.36</x:v>
      </x:c>
      <x:c r="F1452" s="11" t="n">
        <x:f>SQRT((C1452-C1451)^2+(D1452-D1451)^2+(E1452-E1451)^2)</x:f>
        <x:v>0.48799999999999955</x:v>
      </x:c>
      <x:c r="G1452" s="8" t="str">
        <x:v>Current</x:v>
      </x:c>
    </x:row>
    <x:row r="1453" ht="32" customHeight="1">
      <x:c r="A1453" s="8" t="str">
        <x:v>drop:FC1:F1:fan:-1:F228</x:v>
      </x:c>
      <x:c r="B1453" s="8" t="n">
        <x:v>3</x:v>
      </x:c>
      <x:c r="C1453" s="11" t="n">
        <x:v>13.53</x:v>
      </x:c>
      <x:c r="D1453" s="11" t="n">
        <x:v>7.065002717391305</x:v>
      </x:c>
      <x:c r="E1453" s="11" t="n">
        <x:v>-7.05</x:v>
      </x:c>
      <x:c r="F1453" s="11" t="n">
        <x:f>SQRT((C1453-C1452)^2+(D1453-D1452)^2+(E1453-E1452)^2)</x:f>
        <x:v>0.3132494925336704</x:v>
      </x:c>
      <x:c r="G1453" s="8" t="str">
        <x:v>Current</x:v>
      </x:c>
    </x:row>
    <x:row r="1454" ht="32" customHeight="1">
      <x:c r="A1454" s="8" t="str">
        <x:v>drop:FC1:F1:fan:-1:F228</x:v>
      </x:c>
      <x:c r="B1454" s="8" t="n">
        <x:v>4</x:v>
      </x:c>
      <x:c r="C1454" s="11" t="n">
        <x:v>12.225</x:v>
      </x:c>
      <x:c r="D1454" s="11" t="n">
        <x:v>7.065002717391305</x:v>
      </x:c>
      <x:c r="E1454" s="11" t="n">
        <x:v>-7.05</x:v>
      </x:c>
      <x:c r="F1454" s="11" t="n">
        <x:f>SQRT((C1454-C1453)^2+(D1454-D1453)^2+(E1454-E1453)^2)</x:f>
        <x:v>1.3049999999999997</x:v>
      </x:c>
      <x:c r="G1454" s="8" t="str">
        <x:v>Current</x:v>
      </x:c>
    </x:row>
    <x:row r="1455" ht="32" customHeight="1">
      <x:c r="A1455" s="8" t="str">
        <x:v>drop:FC1:F1:fan:-1:F228</x:v>
      </x:c>
      <x:c r="B1455" s="8" t="n">
        <x:v>5</x:v>
      </x:c>
      <x:c r="C1455" s="11" t="n">
        <x:v>12.225</x:v>
      </x:c>
      <x:c r="D1455" s="11" t="n">
        <x:v>8.988413043478262</x:v>
      </x:c>
      <x:c r="E1455" s="11" t="n">
        <x:v>-4.4</x:v>
      </x:c>
      <x:c r="F1455" s="11" t="n">
        <x:f>SQRT((C1455-C1454)^2+(D1455-D1454)^2+(E1455-E1454)^2)</x:f>
        <x:v>3.2744476301351852</x:v>
      </x:c>
      <x:c r="G1455" s="8" t="str">
        <x:v>Current</x:v>
      </x:c>
    </x:row>
    <x:row r="1456" ht="32" customHeight="1">
      <x:c r="A1456" s="8" t="str">
        <x:v>drop:FC1:F1:fan:-1:F228</x:v>
      </x:c>
      <x:c r="B1456" s="8" t="n">
        <x:v>6</x:v>
      </x:c>
      <x:c r="C1456" s="11" t="n">
        <x:v>12.225</x:v>
      </x:c>
      <x:c r="D1456" s="11" t="n">
        <x:v>9.028413043478261</x:v>
      </x:c>
      <x:c r="E1456" s="11" t="n">
        <x:v>-4.4</x:v>
      </x:c>
      <x:c r="F1456" s="11" t="n">
        <x:f>SQRT((C1456-C1455)^2+(D1456-D1455)^2+(E1456-E1455)^2)</x:f>
        <x:v>0.03999999999999915</x:v>
      </x:c>
      <x:c r="G1456" s="8" t="str">
        <x:v>Current</x:v>
      </x:c>
    </x:row>
    <x:row r="1457" ht="32" customHeight="1">
      <x:c r="A1457" s="8" t="str">
        <x:v>drop:FC1:F1:fan:-1:F228</x:v>
      </x:c>
      <x:c r="B1457" s="8" t="n">
        <x:v>7</x:v>
      </x:c>
      <x:c r="C1457" s="11" t="n">
        <x:v>12.225</x:v>
      </x:c>
      <x:c r="D1457" s="11" t="n">
        <x:v>3.9</x:v>
      </x:c>
      <x:c r="E1457" s="11" t="n">
        <x:v>-4.4</x:v>
      </x:c>
      <x:c r="F1457" s="11" t="n">
        <x:f>SQRT((C1457-C1456)^2+(D1457-D1456)^2+(E1457-E1456)^2)</x:f>
        <x:v>5.128413043478261</x:v>
      </x:c>
      <x:c r="G1457" s="8" t="str">
        <x:v>Current</x:v>
      </x:c>
    </x:row>
    <x:row r="1458" ht="32" customHeight="1">
      <x:c r="A1458" s="8" t="str">
        <x:v>drop:FC1:F1:fan:-1:F230</x:v>
      </x:c>
      <x:c r="B1458" s="8" t="n">
        <x:v>1</x:v>
      </x:c>
      <x:c r="C1458" s="11" t="n">
        <x:v>18.02</x:v>
      </x:c>
      <x:c r="D1458" s="11" t="n">
        <x:v>6.532</x:v>
      </x:c>
      <x:c r="E1458" s="11" t="n">
        <x:v>-7.36</x:v>
      </x:c>
      <x:c r="F1458" s="11" t="n">
        <x:f>0</x:f>
        <x:v>0</x:v>
      </x:c>
      <x:c r="G1458" s="8" t="str">
        <x:v>Current</x:v>
      </x:c>
    </x:row>
    <x:row r="1459" ht="32" customHeight="1">
      <x:c r="A1459" s="8" t="str">
        <x:v>drop:FC1:F1:fan:-1:F230</x:v>
      </x:c>
      <x:c r="B1459" s="8" t="n">
        <x:v>2</x:v>
      </x:c>
      <x:c r="C1459" s="11" t="n">
        <x:v>18.02</x:v>
      </x:c>
      <x:c r="D1459" s="11" t="n">
        <x:v>7.02</x:v>
      </x:c>
      <x:c r="E1459" s="11" t="n">
        <x:v>-7.36</x:v>
      </x:c>
      <x:c r="F1459" s="11" t="n">
        <x:f>SQRT((C1459-C1458)^2+(D1459-D1458)^2+(E1459-E1458)^2)</x:f>
        <x:v>0.48799999999999955</x:v>
      </x:c>
      <x:c r="G1459" s="8" t="str">
        <x:v>Current</x:v>
      </x:c>
    </x:row>
    <x:row r="1460" ht="32" customHeight="1">
      <x:c r="A1460" s="8" t="str">
        <x:v>drop:FC1:F1:fan:-1:F230</x:v>
      </x:c>
      <x:c r="B1460" s="8" t="n">
        <x:v>3</x:v>
      </x:c>
      <x:c r="C1460" s="11" t="n">
        <x:v>18.02</x:v>
      </x:c>
      <x:c r="D1460" s="11" t="n">
        <x:v>7.065002717391305</x:v>
      </x:c>
      <x:c r="E1460" s="11" t="n">
        <x:v>-7.05</x:v>
      </x:c>
      <x:c r="F1460" s="11" t="n">
        <x:f>SQRT((C1460-C1459)^2+(D1460-D1459)^2+(E1460-E1459)^2)</x:f>
        <x:v>0.3132494925336704</x:v>
      </x:c>
      <x:c r="G1460" s="8" t="str">
        <x:v>Current</x:v>
      </x:c>
    </x:row>
    <x:row r="1461" ht="32" customHeight="1">
      <x:c r="A1461" s="8" t="str">
        <x:v>drop:FC1:F1:fan:-1:F230</x:v>
      </x:c>
      <x:c r="B1461" s="8" t="n">
        <x:v>4</x:v>
      </x:c>
      <x:c r="C1461" s="11" t="n">
        <x:v>16.725</x:v>
      </x:c>
      <x:c r="D1461" s="11" t="n">
        <x:v>7.065002717391305</x:v>
      </x:c>
      <x:c r="E1461" s="11" t="n">
        <x:v>-7.05</x:v>
      </x:c>
      <x:c r="F1461" s="11" t="n">
        <x:f>SQRT((C1461-C1460)^2+(D1461-D1460)^2+(E1461-E1460)^2)</x:f>
        <x:v>1.2949999999999982</x:v>
      </x:c>
      <x:c r="G1461" s="8" t="str">
        <x:v>Current</x:v>
      </x:c>
    </x:row>
    <x:row r="1462" ht="32" customHeight="1">
      <x:c r="A1462" s="8" t="str">
        <x:v>drop:FC1:F1:fan:-1:F230</x:v>
      </x:c>
      <x:c r="B1462" s="8" t="n">
        <x:v>5</x:v>
      </x:c>
      <x:c r="C1462" s="11" t="n">
        <x:v>16.725</x:v>
      </x:c>
      <x:c r="D1462" s="11" t="n">
        <x:v>8.988413043478262</x:v>
      </x:c>
      <x:c r="E1462" s="11" t="n">
        <x:v>-4.4</x:v>
      </x:c>
      <x:c r="F1462" s="11" t="n">
        <x:f>SQRT((C1462-C1461)^2+(D1462-D1461)^2+(E1462-E1461)^2)</x:f>
        <x:v>3.2744476301351852</x:v>
      </x:c>
      <x:c r="G1462" s="8" t="str">
        <x:v>Current</x:v>
      </x:c>
    </x:row>
    <x:row r="1463" ht="32" customHeight="1">
      <x:c r="A1463" s="8" t="str">
        <x:v>drop:FC1:F1:fan:-1:F230</x:v>
      </x:c>
      <x:c r="B1463" s="8" t="n">
        <x:v>6</x:v>
      </x:c>
      <x:c r="C1463" s="11" t="n">
        <x:v>16.725</x:v>
      </x:c>
      <x:c r="D1463" s="11" t="n">
        <x:v>9.028413043478261</x:v>
      </x:c>
      <x:c r="E1463" s="11" t="n">
        <x:v>-4.4</x:v>
      </x:c>
      <x:c r="F1463" s="11" t="n">
        <x:f>SQRT((C1463-C1462)^2+(D1463-D1462)^2+(E1463-E1462)^2)</x:f>
        <x:v>0.03999999999999915</x:v>
      </x:c>
      <x:c r="G1463" s="8" t="str">
        <x:v>Current</x:v>
      </x:c>
    </x:row>
    <x:row r="1464" ht="32" customHeight="1">
      <x:c r="A1464" s="8" t="str">
        <x:v>drop:FC1:F1:fan:-1:F230</x:v>
      </x:c>
      <x:c r="B1464" s="8" t="n">
        <x:v>7</x:v>
      </x:c>
      <x:c r="C1464" s="11" t="n">
        <x:v>16.725</x:v>
      </x:c>
      <x:c r="D1464" s="11" t="n">
        <x:v>3.9</x:v>
      </x:c>
      <x:c r="E1464" s="11" t="n">
        <x:v>-4.4</x:v>
      </x:c>
      <x:c r="F1464" s="11" t="n">
        <x:f>SQRT((C1464-C1463)^2+(D1464-D1463)^2+(E1464-E1463)^2)</x:f>
        <x:v>5.128413043478261</x:v>
      </x:c>
      <x:c r="G1464" s="8" t="str">
        <x:v>Current</x:v>
      </x:c>
    </x:row>
    <x:row r="1465" ht="32" customHeight="1">
      <x:c r="A1465" s="8" t="str">
        <x:v>drop:FC1:F1:fan:-1:F232</x:v>
      </x:c>
      <x:c r="B1465" s="8" t="n">
        <x:v>1</x:v>
      </x:c>
      <x:c r="C1465" s="11" t="n">
        <x:v>22.53</x:v>
      </x:c>
      <x:c r="D1465" s="11" t="n">
        <x:v>6.532</x:v>
      </x:c>
      <x:c r="E1465" s="11" t="n">
        <x:v>-7.36</x:v>
      </x:c>
      <x:c r="F1465" s="11" t="n">
        <x:f>0</x:f>
        <x:v>0</x:v>
      </x:c>
      <x:c r="G1465" s="8" t="str">
        <x:v>Current</x:v>
      </x:c>
    </x:row>
    <x:row r="1466" ht="32" customHeight="1">
      <x:c r="A1466" s="8" t="str">
        <x:v>drop:FC1:F1:fan:-1:F232</x:v>
      </x:c>
      <x:c r="B1466" s="8" t="n">
        <x:v>2</x:v>
      </x:c>
      <x:c r="C1466" s="11" t="n">
        <x:v>22.53</x:v>
      </x:c>
      <x:c r="D1466" s="11" t="n">
        <x:v>7.02</x:v>
      </x:c>
      <x:c r="E1466" s="11" t="n">
        <x:v>-7.36</x:v>
      </x:c>
      <x:c r="F1466" s="11" t="n">
        <x:f>SQRT((C1466-C1465)^2+(D1466-D1465)^2+(E1466-E1465)^2)</x:f>
        <x:v>0.48799999999999955</x:v>
      </x:c>
      <x:c r="G1466" s="8" t="str">
        <x:v>Current</x:v>
      </x:c>
    </x:row>
    <x:row r="1467" ht="32" customHeight="1">
      <x:c r="A1467" s="8" t="str">
        <x:v>drop:FC1:F1:fan:-1:F232</x:v>
      </x:c>
      <x:c r="B1467" s="8" t="n">
        <x:v>3</x:v>
      </x:c>
      <x:c r="C1467" s="11" t="n">
        <x:v>22.53</x:v>
      </x:c>
      <x:c r="D1467" s="11" t="n">
        <x:v>7.065002717391305</x:v>
      </x:c>
      <x:c r="E1467" s="11" t="n">
        <x:v>-7.05</x:v>
      </x:c>
      <x:c r="F1467" s="11" t="n">
        <x:f>SQRT((C1467-C1466)^2+(D1467-D1466)^2+(E1467-E1466)^2)</x:f>
        <x:v>0.3132494925336704</x:v>
      </x:c>
      <x:c r="G1467" s="8" t="str">
        <x:v>Current</x:v>
      </x:c>
    </x:row>
    <x:row r="1468" ht="32" customHeight="1">
      <x:c r="A1468" s="8" t="str">
        <x:v>drop:FC1:F1:fan:-1:F232</x:v>
      </x:c>
      <x:c r="B1468" s="8" t="n">
        <x:v>4</x:v>
      </x:c>
      <x:c r="C1468" s="11" t="n">
        <x:v>21.225</x:v>
      </x:c>
      <x:c r="D1468" s="11" t="n">
        <x:v>7.065002717391305</x:v>
      </x:c>
      <x:c r="E1468" s="11" t="n">
        <x:v>-7.05</x:v>
      </x:c>
      <x:c r="F1468" s="11" t="n">
        <x:f>SQRT((C1468-C1467)^2+(D1468-D1467)^2+(E1468-E1467)^2)</x:f>
        <x:v>1.3049999999999997</x:v>
      </x:c>
      <x:c r="G1468" s="8" t="str">
        <x:v>Current</x:v>
      </x:c>
    </x:row>
    <x:row r="1469" ht="32" customHeight="1">
      <x:c r="A1469" s="8" t="str">
        <x:v>drop:FC1:F1:fan:-1:F232</x:v>
      </x:c>
      <x:c r="B1469" s="8" t="n">
        <x:v>5</x:v>
      </x:c>
      <x:c r="C1469" s="11" t="n">
        <x:v>21.225</x:v>
      </x:c>
      <x:c r="D1469" s="11" t="n">
        <x:v>8.988413043478262</x:v>
      </x:c>
      <x:c r="E1469" s="11" t="n">
        <x:v>-4.4</x:v>
      </x:c>
      <x:c r="F1469" s="11" t="n">
        <x:f>SQRT((C1469-C1468)^2+(D1469-D1468)^2+(E1469-E1468)^2)</x:f>
        <x:v>3.2744476301351852</x:v>
      </x:c>
      <x:c r="G1469" s="8" t="str">
        <x:v>Current</x:v>
      </x:c>
    </x:row>
    <x:row r="1470" ht="32" customHeight="1">
      <x:c r="A1470" s="8" t="str">
        <x:v>drop:FC1:F1:fan:-1:F232</x:v>
      </x:c>
      <x:c r="B1470" s="8" t="n">
        <x:v>6</x:v>
      </x:c>
      <x:c r="C1470" s="11" t="n">
        <x:v>21.225</x:v>
      </x:c>
      <x:c r="D1470" s="11" t="n">
        <x:v>9.028413043478261</x:v>
      </x:c>
      <x:c r="E1470" s="11" t="n">
        <x:v>-4.4</x:v>
      </x:c>
      <x:c r="F1470" s="11" t="n">
        <x:f>SQRT((C1470-C1469)^2+(D1470-D1469)^2+(E1470-E1469)^2)</x:f>
        <x:v>0.03999999999999915</x:v>
      </x:c>
      <x:c r="G1470" s="8" t="str">
        <x:v>Current</x:v>
      </x:c>
    </x:row>
    <x:row r="1471" ht="32" customHeight="1">
      <x:c r="A1471" s="8" t="str">
        <x:v>drop:FC1:F1:fan:-1:F232</x:v>
      </x:c>
      <x:c r="B1471" s="8" t="n">
        <x:v>7</x:v>
      </x:c>
      <x:c r="C1471" s="11" t="n">
        <x:v>21.225</x:v>
      </x:c>
      <x:c r="D1471" s="11" t="n">
        <x:v>3.9</x:v>
      </x:c>
      <x:c r="E1471" s="11" t="n">
        <x:v>-4.4</x:v>
      </x:c>
      <x:c r="F1471" s="11" t="n">
        <x:f>SQRT((C1471-C1470)^2+(D1471-D1470)^2+(E1471-E1470)^2)</x:f>
        <x:v>5.128413043478261</x:v>
      </x:c>
      <x:c r="G1471" s="8" t="str">
        <x:v>Current</x:v>
      </x:c>
    </x:row>
    <x:row r="1472" ht="32" customHeight="1">
      <x:c r="A1472" s="8" t="str">
        <x:v>drop:FC1:F1:fan:-1:F234</x:v>
      </x:c>
      <x:c r="B1472" s="8" t="n">
        <x:v>1</x:v>
      </x:c>
      <x:c r="C1472" s="11" t="n">
        <x:v>27.03</x:v>
      </x:c>
      <x:c r="D1472" s="11" t="n">
        <x:v>6.532</x:v>
      </x:c>
      <x:c r="E1472" s="11" t="n">
        <x:v>-7.36</x:v>
      </x:c>
      <x:c r="F1472" s="11" t="n">
        <x:f>0</x:f>
        <x:v>0</x:v>
      </x:c>
      <x:c r="G1472" s="8" t="str">
        <x:v>Current</x:v>
      </x:c>
    </x:row>
    <x:row r="1473" ht="32" customHeight="1">
      <x:c r="A1473" s="8" t="str">
        <x:v>drop:FC1:F1:fan:-1:F234</x:v>
      </x:c>
      <x:c r="B1473" s="8" t="n">
        <x:v>2</x:v>
      </x:c>
      <x:c r="C1473" s="11" t="n">
        <x:v>27.03</x:v>
      </x:c>
      <x:c r="D1473" s="11" t="n">
        <x:v>7.02</x:v>
      </x:c>
      <x:c r="E1473" s="11" t="n">
        <x:v>-7.36</x:v>
      </x:c>
      <x:c r="F1473" s="11" t="n">
        <x:f>SQRT((C1473-C1472)^2+(D1473-D1472)^2+(E1473-E1472)^2)</x:f>
        <x:v>0.48799999999999955</x:v>
      </x:c>
      <x:c r="G1473" s="8" t="str">
        <x:v>Current</x:v>
      </x:c>
    </x:row>
    <x:row r="1474" ht="32" customHeight="1">
      <x:c r="A1474" s="8" t="str">
        <x:v>drop:FC1:F1:fan:-1:F234</x:v>
      </x:c>
      <x:c r="B1474" s="8" t="n">
        <x:v>3</x:v>
      </x:c>
      <x:c r="C1474" s="11" t="n">
        <x:v>27.03</x:v>
      </x:c>
      <x:c r="D1474" s="11" t="n">
        <x:v>7.065002717391305</x:v>
      </x:c>
      <x:c r="E1474" s="11" t="n">
        <x:v>-7.05</x:v>
      </x:c>
      <x:c r="F1474" s="11" t="n">
        <x:f>SQRT((C1474-C1473)^2+(D1474-D1473)^2+(E1474-E1473)^2)</x:f>
        <x:v>0.3132494925336704</x:v>
      </x:c>
      <x:c r="G1474" s="8" t="str">
        <x:v>Current</x:v>
      </x:c>
    </x:row>
    <x:row r="1475" ht="32" customHeight="1">
      <x:c r="A1475" s="8" t="str">
        <x:v>drop:FC1:F1:fan:-1:F234</x:v>
      </x:c>
      <x:c r="B1475" s="8" t="n">
        <x:v>4</x:v>
      </x:c>
      <x:c r="C1475" s="11" t="n">
        <x:v>25.725</x:v>
      </x:c>
      <x:c r="D1475" s="11" t="n">
        <x:v>7.065002717391305</x:v>
      </x:c>
      <x:c r="E1475" s="11" t="n">
        <x:v>-7.05</x:v>
      </x:c>
      <x:c r="F1475" s="11" t="n">
        <x:f>SQRT((C1475-C1474)^2+(D1475-D1474)^2+(E1475-E1474)^2)</x:f>
        <x:v>1.3049999999999997</x:v>
      </x:c>
      <x:c r="G1475" s="8" t="str">
        <x:v>Current</x:v>
      </x:c>
    </x:row>
    <x:row r="1476" ht="32" customHeight="1">
      <x:c r="A1476" s="8" t="str">
        <x:v>drop:FC1:F1:fan:-1:F234</x:v>
      </x:c>
      <x:c r="B1476" s="8" t="n">
        <x:v>5</x:v>
      </x:c>
      <x:c r="C1476" s="11" t="n">
        <x:v>25.725</x:v>
      </x:c>
      <x:c r="D1476" s="11" t="n">
        <x:v>8.988413043478262</x:v>
      </x:c>
      <x:c r="E1476" s="11" t="n">
        <x:v>-4.4</x:v>
      </x:c>
      <x:c r="F1476" s="11" t="n">
        <x:f>SQRT((C1476-C1475)^2+(D1476-D1475)^2+(E1476-E1475)^2)</x:f>
        <x:v>3.2744476301351852</x:v>
      </x:c>
      <x:c r="G1476" s="8" t="str">
        <x:v>Current</x:v>
      </x:c>
    </x:row>
    <x:row r="1477" ht="32" customHeight="1">
      <x:c r="A1477" s="8" t="str">
        <x:v>drop:FC1:F1:fan:-1:F234</x:v>
      </x:c>
      <x:c r="B1477" s="8" t="n">
        <x:v>6</x:v>
      </x:c>
      <x:c r="C1477" s="11" t="n">
        <x:v>25.725</x:v>
      </x:c>
      <x:c r="D1477" s="11" t="n">
        <x:v>9.028413043478261</x:v>
      </x:c>
      <x:c r="E1477" s="11" t="n">
        <x:v>-4.4</x:v>
      </x:c>
      <x:c r="F1477" s="11" t="n">
        <x:f>SQRT((C1477-C1476)^2+(D1477-D1476)^2+(E1477-E1476)^2)</x:f>
        <x:v>0.03999999999999915</x:v>
      </x:c>
      <x:c r="G1477" s="8" t="str">
        <x:v>Current</x:v>
      </x:c>
    </x:row>
    <x:row r="1478" ht="32" customHeight="1">
      <x:c r="A1478" s="8" t="str">
        <x:v>drop:FC1:F1:fan:-1:F234</x:v>
      </x:c>
      <x:c r="B1478" s="8" t="n">
        <x:v>7</x:v>
      </x:c>
      <x:c r="C1478" s="11" t="n">
        <x:v>25.725</x:v>
      </x:c>
      <x:c r="D1478" s="11" t="n">
        <x:v>3.9</x:v>
      </x:c>
      <x:c r="E1478" s="11" t="n">
        <x:v>-4.4</x:v>
      </x:c>
      <x:c r="F1478" s="11" t="n">
        <x:f>SQRT((C1478-C1477)^2+(D1478-D1477)^2+(E1478-E1477)^2)</x:f>
        <x:v>5.128413043478261</x:v>
      </x:c>
      <x:c r="G1478" s="8" t="str">
        <x:v>Current</x:v>
      </x:c>
    </x:row>
    <x:row r="1479" ht="32" customHeight="1">
      <x:c r="A1479" s="8" t="str">
        <x:v>drop:FC1:F1:fan:-1:F236</x:v>
      </x:c>
      <x:c r="B1479" s="8" t="n">
        <x:v>1</x:v>
      </x:c>
      <x:c r="C1479" s="11" t="n">
        <x:v>31.53</x:v>
      </x:c>
      <x:c r="D1479" s="11" t="n">
        <x:v>6.532</x:v>
      </x:c>
      <x:c r="E1479" s="11" t="n">
        <x:v>-7.36</x:v>
      </x:c>
      <x:c r="F1479" s="11" t="n">
        <x:f>0</x:f>
        <x:v>0</x:v>
      </x:c>
      <x:c r="G1479" s="8" t="str">
        <x:v>Current</x:v>
      </x:c>
    </x:row>
    <x:row r="1480" ht="32" customHeight="1">
      <x:c r="A1480" s="8" t="str">
        <x:v>drop:FC1:F1:fan:-1:F236</x:v>
      </x:c>
      <x:c r="B1480" s="8" t="n">
        <x:v>2</x:v>
      </x:c>
      <x:c r="C1480" s="11" t="n">
        <x:v>31.53</x:v>
      </x:c>
      <x:c r="D1480" s="11" t="n">
        <x:v>7.02</x:v>
      </x:c>
      <x:c r="E1480" s="11" t="n">
        <x:v>-7.36</x:v>
      </x:c>
      <x:c r="F1480" s="11" t="n">
        <x:f>SQRT((C1480-C1479)^2+(D1480-D1479)^2+(E1480-E1479)^2)</x:f>
        <x:v>0.48799999999999955</x:v>
      </x:c>
      <x:c r="G1480" s="8" t="str">
        <x:v>Current</x:v>
      </x:c>
    </x:row>
    <x:row r="1481" ht="32" customHeight="1">
      <x:c r="A1481" s="8" t="str">
        <x:v>drop:FC1:F1:fan:-1:F236</x:v>
      </x:c>
      <x:c r="B1481" s="8" t="n">
        <x:v>3</x:v>
      </x:c>
      <x:c r="C1481" s="11" t="n">
        <x:v>31.53</x:v>
      </x:c>
      <x:c r="D1481" s="11" t="n">
        <x:v>7.065002717391305</x:v>
      </x:c>
      <x:c r="E1481" s="11" t="n">
        <x:v>-7.05</x:v>
      </x:c>
      <x:c r="F1481" s="11" t="n">
        <x:f>SQRT((C1481-C1480)^2+(D1481-D1480)^2+(E1481-E1480)^2)</x:f>
        <x:v>0.3132494925336704</x:v>
      </x:c>
      <x:c r="G1481" s="8" t="str">
        <x:v>Current</x:v>
      </x:c>
    </x:row>
    <x:row r="1482" ht="32" customHeight="1">
      <x:c r="A1482" s="8" t="str">
        <x:v>drop:FC1:F1:fan:-1:F236</x:v>
      </x:c>
      <x:c r="B1482" s="8" t="n">
        <x:v>4</x:v>
      </x:c>
      <x:c r="C1482" s="11" t="n">
        <x:v>30.225</x:v>
      </x:c>
      <x:c r="D1482" s="11" t="n">
        <x:v>7.065002717391305</x:v>
      </x:c>
      <x:c r="E1482" s="11" t="n">
        <x:v>-7.05</x:v>
      </x:c>
      <x:c r="F1482" s="11" t="n">
        <x:f>SQRT((C1482-C1481)^2+(D1482-D1481)^2+(E1482-E1481)^2)</x:f>
        <x:v>1.3049999999999997</x:v>
      </x:c>
      <x:c r="G1482" s="8" t="str">
        <x:v>Current</x:v>
      </x:c>
    </x:row>
    <x:row r="1483" ht="32" customHeight="1">
      <x:c r="A1483" s="8" t="str">
        <x:v>drop:FC1:F1:fan:-1:F236</x:v>
      </x:c>
      <x:c r="B1483" s="8" t="n">
        <x:v>5</x:v>
      </x:c>
      <x:c r="C1483" s="11" t="n">
        <x:v>30.225</x:v>
      </x:c>
      <x:c r="D1483" s="11" t="n">
        <x:v>8.988413043478262</x:v>
      </x:c>
      <x:c r="E1483" s="11" t="n">
        <x:v>-4.4</x:v>
      </x:c>
      <x:c r="F1483" s="11" t="n">
        <x:f>SQRT((C1483-C1482)^2+(D1483-D1482)^2+(E1483-E1482)^2)</x:f>
        <x:v>3.2744476301351852</x:v>
      </x:c>
      <x:c r="G1483" s="8" t="str">
        <x:v>Current</x:v>
      </x:c>
    </x:row>
    <x:row r="1484" ht="32" customHeight="1">
      <x:c r="A1484" s="8" t="str">
        <x:v>drop:FC1:F1:fan:-1:F236</x:v>
      </x:c>
      <x:c r="B1484" s="8" t="n">
        <x:v>6</x:v>
      </x:c>
      <x:c r="C1484" s="11" t="n">
        <x:v>30.225</x:v>
      </x:c>
      <x:c r="D1484" s="11" t="n">
        <x:v>9.028413043478261</x:v>
      </x:c>
      <x:c r="E1484" s="11" t="n">
        <x:v>-4.4</x:v>
      </x:c>
      <x:c r="F1484" s="11" t="n">
        <x:f>SQRT((C1484-C1483)^2+(D1484-D1483)^2+(E1484-E1483)^2)</x:f>
        <x:v>0.03999999999999915</x:v>
      </x:c>
      <x:c r="G1484" s="8" t="str">
        <x:v>Current</x:v>
      </x:c>
    </x:row>
    <x:row r="1485" ht="32" customHeight="1">
      <x:c r="A1485" s="8" t="str">
        <x:v>drop:FC1:F1:fan:-1:F236</x:v>
      </x:c>
      <x:c r="B1485" s="8" t="n">
        <x:v>7</x:v>
      </x:c>
      <x:c r="C1485" s="11" t="n">
        <x:v>30.225</x:v>
      </x:c>
      <x:c r="D1485" s="11" t="n">
        <x:v>3.9</x:v>
      </x:c>
      <x:c r="E1485" s="11" t="n">
        <x:v>-4.4</x:v>
      </x:c>
      <x:c r="F1485" s="11" t="n">
        <x:f>SQRT((C1485-C1484)^2+(D1485-D1484)^2+(E1485-E1484)^2)</x:f>
        <x:v>5.128413043478261</x:v>
      </x:c>
      <x:c r="G1485" s="8" t="str">
        <x:v>Current</x:v>
      </x:c>
    </x:row>
    <x:row r="1486" ht="32" customHeight="1">
      <x:c r="A1486" s="8" t="str">
        <x:v>drop:FC1:F1:fan:-1:F238</x:v>
      </x:c>
      <x:c r="B1486" s="8" t="n">
        <x:v>1</x:v>
      </x:c>
      <x:c r="C1486" s="11" t="n">
        <x:v>36.02</x:v>
      </x:c>
      <x:c r="D1486" s="11" t="n">
        <x:v>6.532</x:v>
      </x:c>
      <x:c r="E1486" s="11" t="n">
        <x:v>-7.36</x:v>
      </x:c>
      <x:c r="F1486" s="11" t="n">
        <x:f>0</x:f>
        <x:v>0</x:v>
      </x:c>
      <x:c r="G1486" s="8" t="str">
        <x:v>Current</x:v>
      </x:c>
    </x:row>
    <x:row r="1487" ht="32" customHeight="1">
      <x:c r="A1487" s="8" t="str">
        <x:v>drop:FC1:F1:fan:-1:F238</x:v>
      </x:c>
      <x:c r="B1487" s="8" t="n">
        <x:v>2</x:v>
      </x:c>
      <x:c r="C1487" s="11" t="n">
        <x:v>36.02</x:v>
      </x:c>
      <x:c r="D1487" s="11" t="n">
        <x:v>7.02</x:v>
      </x:c>
      <x:c r="E1487" s="11" t="n">
        <x:v>-7.36</x:v>
      </x:c>
      <x:c r="F1487" s="11" t="n">
        <x:f>SQRT((C1487-C1486)^2+(D1487-D1486)^2+(E1487-E1486)^2)</x:f>
        <x:v>0.48799999999999955</x:v>
      </x:c>
      <x:c r="G1487" s="8" t="str">
        <x:v>Current</x:v>
      </x:c>
    </x:row>
    <x:row r="1488" ht="32" customHeight="1">
      <x:c r="A1488" s="8" t="str">
        <x:v>drop:FC1:F1:fan:-1:F238</x:v>
      </x:c>
      <x:c r="B1488" s="8" t="n">
        <x:v>3</x:v>
      </x:c>
      <x:c r="C1488" s="11" t="n">
        <x:v>36.02</x:v>
      </x:c>
      <x:c r="D1488" s="11" t="n">
        <x:v>7.065002717391305</x:v>
      </x:c>
      <x:c r="E1488" s="11" t="n">
        <x:v>-7.05</x:v>
      </x:c>
      <x:c r="F1488" s="11" t="n">
        <x:f>SQRT((C1488-C1487)^2+(D1488-D1487)^2+(E1488-E1487)^2)</x:f>
        <x:v>0.3132494925336704</x:v>
      </x:c>
      <x:c r="G1488" s="8" t="str">
        <x:v>Current</x:v>
      </x:c>
    </x:row>
    <x:row r="1489" ht="32" customHeight="1">
      <x:c r="A1489" s="8" t="str">
        <x:v>drop:FC1:F1:fan:-1:F238</x:v>
      </x:c>
      <x:c r="B1489" s="8" t="n">
        <x:v>4</x:v>
      </x:c>
      <x:c r="C1489" s="11" t="n">
        <x:v>34.725</x:v>
      </x:c>
      <x:c r="D1489" s="11" t="n">
        <x:v>7.065002717391305</x:v>
      </x:c>
      <x:c r="E1489" s="11" t="n">
        <x:v>-7.05</x:v>
      </x:c>
      <x:c r="F1489" s="11" t="n">
        <x:f>SQRT((C1489-C1488)^2+(D1489-D1488)^2+(E1489-E1488)^2)</x:f>
        <x:v>1.2950000000000017</x:v>
      </x:c>
      <x:c r="G1489" s="8" t="str">
        <x:v>Current</x:v>
      </x:c>
    </x:row>
    <x:row r="1490" ht="32" customHeight="1">
      <x:c r="A1490" s="8" t="str">
        <x:v>drop:FC1:F1:fan:-1:F238</x:v>
      </x:c>
      <x:c r="B1490" s="8" t="n">
        <x:v>5</x:v>
      </x:c>
      <x:c r="C1490" s="11" t="n">
        <x:v>34.725</x:v>
      </x:c>
      <x:c r="D1490" s="11" t="n">
        <x:v>8.988413043478262</x:v>
      </x:c>
      <x:c r="E1490" s="11" t="n">
        <x:v>-4.4</x:v>
      </x:c>
      <x:c r="F1490" s="11" t="n">
        <x:f>SQRT((C1490-C1489)^2+(D1490-D1489)^2+(E1490-E1489)^2)</x:f>
        <x:v>3.2744476301351852</x:v>
      </x:c>
      <x:c r="G1490" s="8" t="str">
        <x:v>Current</x:v>
      </x:c>
    </x:row>
    <x:row r="1491" ht="32" customHeight="1">
      <x:c r="A1491" s="8" t="str">
        <x:v>drop:FC1:F1:fan:-1:F238</x:v>
      </x:c>
      <x:c r="B1491" s="8" t="n">
        <x:v>6</x:v>
      </x:c>
      <x:c r="C1491" s="11" t="n">
        <x:v>34.725</x:v>
      </x:c>
      <x:c r="D1491" s="11" t="n">
        <x:v>9.028413043478261</x:v>
      </x:c>
      <x:c r="E1491" s="11" t="n">
        <x:v>-4.4</x:v>
      </x:c>
      <x:c r="F1491" s="11" t="n">
        <x:f>SQRT((C1491-C1490)^2+(D1491-D1490)^2+(E1491-E1490)^2)</x:f>
        <x:v>0.03999999999999915</x:v>
      </x:c>
      <x:c r="G1491" s="8" t="str">
        <x:v>Current</x:v>
      </x:c>
    </x:row>
    <x:row r="1492" ht="32" customHeight="1">
      <x:c r="A1492" s="8" t="str">
        <x:v>drop:FC1:F1:fan:-1:F238</x:v>
      </x:c>
      <x:c r="B1492" s="8" t="n">
        <x:v>7</x:v>
      </x:c>
      <x:c r="C1492" s="11" t="n">
        <x:v>34.725</x:v>
      </x:c>
      <x:c r="D1492" s="11" t="n">
        <x:v>3.9</x:v>
      </x:c>
      <x:c r="E1492" s="11" t="n">
        <x:v>-4.4</x:v>
      </x:c>
      <x:c r="F1492" s="11" t="n">
        <x:f>SQRT((C1492-C1491)^2+(D1492-D1491)^2+(E1492-E1491)^2)</x:f>
        <x:v>5.128413043478261</x:v>
      </x:c>
      <x:c r="G1492" s="8" t="str">
        <x:v>Current</x:v>
      </x:c>
    </x:row>
    <x:row r="1493" ht="32" customHeight="1">
      <x:c r="A1493" s="8" t="str">
        <x:v>drop:FC1:F1:fan:-1:F240</x:v>
      </x:c>
      <x:c r="B1493" s="8" t="n">
        <x:v>1</x:v>
      </x:c>
      <x:c r="C1493" s="11" t="n">
        <x:v>39.3</x:v>
      </x:c>
      <x:c r="D1493" s="11" t="n">
        <x:v>6.532</x:v>
      </x:c>
      <x:c r="E1493" s="11" t="n">
        <x:v>-13.24</x:v>
      </x:c>
      <x:c r="F1493" s="11" t="n">
        <x:f>0</x:f>
        <x:v>0</x:v>
      </x:c>
      <x:c r="G1493" s="8" t="str">
        <x:v>Current</x:v>
      </x:c>
    </x:row>
    <x:row r="1494" ht="32" customHeight="1">
      <x:c r="A1494" s="8" t="str">
        <x:v>drop:FC1:F1:fan:-1:F240</x:v>
      </x:c>
      <x:c r="B1494" s="8" t="n">
        <x:v>2</x:v>
      </x:c>
      <x:c r="C1494" s="11" t="n">
        <x:v>39.3</x:v>
      </x:c>
      <x:c r="D1494" s="11" t="n">
        <x:v>6.532</x:v>
      </x:c>
      <x:c r="E1494" s="11" t="n">
        <x:v>-10.15</x:v>
      </x:c>
      <x:c r="F1494" s="11" t="n">
        <x:f>SQRT((C1494-C1493)^2+(D1494-D1493)^2+(E1494-E1493)^2)</x:f>
        <x:v>3.09</x:v>
      </x:c>
      <x:c r="G1494" s="8" t="str">
        <x:v>Current</x:v>
      </x:c>
    </x:row>
    <x:row r="1495" ht="32" customHeight="1">
      <x:c r="A1495" s="8" t="str">
        <x:v>drop:FC1:F1:fan:-1:F240</x:v>
      </x:c>
      <x:c r="B1495" s="8" t="n">
        <x:v>3</x:v>
      </x:c>
      <x:c r="C1495" s="11" t="n">
        <x:v>39.3</x:v>
      </x:c>
      <x:c r="D1495" s="11" t="n">
        <x:v>8.398379999999996</x:v>
      </x:c>
      <x:c r="E1495" s="11" t="n">
        <x:v>-10.15</x:v>
      </x:c>
      <x:c r="F1495" s="11" t="n">
        <x:f>SQRT((C1495-C1494)^2+(D1495-D1494)^2+(E1495-E1494)^2)</x:f>
        <x:v>1.866379999999996</x:v>
      </x:c>
      <x:c r="G1495" s="8" t="str">
        <x:v>Current</x:v>
      </x:c>
    </x:row>
    <x:row r="1496" ht="32" customHeight="1">
      <x:c r="A1496" s="8" t="str">
        <x:v>drop:FC1:F1:fan:-1:F240</x:v>
      </x:c>
      <x:c r="B1496" s="8" t="n">
        <x:v>4</x:v>
      </x:c>
      <x:c r="C1496" s="11" t="n">
        <x:v>39.3</x:v>
      </x:c>
      <x:c r="D1496" s="11" t="n">
        <x:v>3.3</x:v>
      </x:c>
      <x:c r="E1496" s="11" t="n">
        <x:v>-10.15</x:v>
      </x:c>
      <x:c r="F1496" s="11" t="n">
        <x:f>SQRT((C1496-C1495)^2+(D1496-D1495)^2+(E1496-E1495)^2)</x:f>
        <x:v>5.098379999999996</x:v>
      </x:c>
      <x:c r="G1496" s="8" t="str">
        <x:v>Current</x:v>
      </x:c>
    </x:row>
    <x:row r="1497" ht="32" customHeight="1">
      <x:c r="A1497" s="8" t="str">
        <x:v>drop:FC1:F1:fan:-1:F241</x:v>
      </x:c>
      <x:c r="B1497" s="8" t="n">
        <x:v>1</x:v>
      </x:c>
      <x:c r="C1497" s="11" t="n">
        <x:v>41.85</x:v>
      </x:c>
      <x:c r="D1497" s="11" t="n">
        <x:v>6.532</x:v>
      </x:c>
      <x:c r="E1497" s="11" t="n">
        <x:v>-13.24</x:v>
      </x:c>
      <x:c r="F1497" s="11" t="n">
        <x:f>0</x:f>
        <x:v>0</x:v>
      </x:c>
      <x:c r="G1497" s="8" t="str">
        <x:v>Current</x:v>
      </x:c>
    </x:row>
    <x:row r="1498" ht="32" customHeight="1">
      <x:c r="A1498" s="8" t="str">
        <x:v>drop:FC1:F1:fan:-1:F241</x:v>
      </x:c>
      <x:c r="B1498" s="8" t="n">
        <x:v>2</x:v>
      </x:c>
      <x:c r="C1498" s="11" t="n">
        <x:v>41.85</x:v>
      </x:c>
      <x:c r="D1498" s="11" t="n">
        <x:v>6.532</x:v>
      </x:c>
      <x:c r="E1498" s="11" t="n">
        <x:v>-10.15</x:v>
      </x:c>
      <x:c r="F1498" s="11" t="n">
        <x:f>SQRT((C1498-C1497)^2+(D1498-D1497)^2+(E1498-E1497)^2)</x:f>
        <x:v>3.09</x:v>
      </x:c>
      <x:c r="G1498" s="8" t="str">
        <x:v>Current</x:v>
      </x:c>
    </x:row>
    <x:row r="1499" ht="32" customHeight="1">
      <x:c r="A1499" s="8" t="str">
        <x:v>drop:FC1:F1:fan:-1:F241</x:v>
      </x:c>
      <x:c r="B1499" s="8" t="n">
        <x:v>3</x:v>
      </x:c>
      <x:c r="C1499" s="11" t="n">
        <x:v>41.85</x:v>
      </x:c>
      <x:c r="D1499" s="11" t="n">
        <x:v>8.374770000000002</x:v>
      </x:c>
      <x:c r="E1499" s="11" t="n">
        <x:v>-10.15</x:v>
      </x:c>
      <x:c r="F1499" s="11" t="n">
        <x:f>SQRT((C1499-C1498)^2+(D1499-D1498)^2+(E1499-E1498)^2)</x:f>
        <x:v>1.8427700000000016</x:v>
      </x:c>
      <x:c r="G1499" s="8" t="str">
        <x:v>Current</x:v>
      </x:c>
    </x:row>
    <x:row r="1500" ht="32" customHeight="1">
      <x:c r="A1500" s="8" t="str">
        <x:v>drop:FC1:F1:fan:-1:F241</x:v>
      </x:c>
      <x:c r="B1500" s="8" t="n">
        <x:v>4</x:v>
      </x:c>
      <x:c r="C1500" s="11" t="n">
        <x:v>41.85</x:v>
      </x:c>
      <x:c r="D1500" s="11" t="n">
        <x:v>3.3</x:v>
      </x:c>
      <x:c r="E1500" s="11" t="n">
        <x:v>-10.15</x:v>
      </x:c>
      <x:c r="F1500" s="11" t="n">
        <x:f>SQRT((C1500-C1499)^2+(D1500-D1499)^2+(E1500-E1499)^2)</x:f>
        <x:v>5.074770000000002</x:v>
      </x:c>
      <x:c r="G1500" s="8" t="str">
        <x:v>Current</x:v>
      </x:c>
    </x:row>
    <x:row r="1501" ht="32" customHeight="1">
      <x:c r="A1501" s="8" t="str">
        <x:v>trunk:FC1:F1:fan:1</x:v>
      </x:c>
      <x:c r="B1501" s="8" t="n">
        <x:v>1</x:v>
      </x:c>
      <x:c r="C1501" s="11" t="n">
        <x:v>48.895</x:v>
      </x:c>
      <x:c r="D1501" s="11" t="n">
        <x:v>1.95</x:v>
      </x:c>
      <x:c r="E1501" s="11" t="n">
        <x:v>0.4</x:v>
      </x:c>
      <x:c r="F1501" s="11" t="n">
        <x:f>0</x:f>
        <x:v>0</x:v>
      </x:c>
      <x:c r="G1501" s="8" t="str">
        <x:v>Current</x:v>
      </x:c>
    </x:row>
    <x:row r="1502" ht="32" customHeight="1">
      <x:c r="A1502" s="8" t="str">
        <x:v>trunk:FC1:F1:fan:1</x:v>
      </x:c>
      <x:c r="B1502" s="8" t="n">
        <x:v>2</x:v>
      </x:c>
      <x:c r="C1502" s="11" t="n">
        <x:v>48.735</x:v>
      </x:c>
      <x:c r="D1502" s="11" t="n">
        <x:v>1.95</x:v>
      </x:c>
      <x:c r="E1502" s="11" t="n">
        <x:v>0.4</x:v>
      </x:c>
      <x:c r="F1502" s="11" t="n">
        <x:f>SQRT((C1502-C1501)^2+(D1502-D1501)^2+(E1502-E1501)^2)</x:f>
        <x:v>0.1600000000000037</x:v>
      </x:c>
      <x:c r="G1502" s="8" t="str">
        <x:v>Current</x:v>
      </x:c>
    </x:row>
    <x:row r="1503" ht="32" customHeight="1">
      <x:c r="A1503" s="8" t="str">
        <x:v>trunk:FC1:F1:fan:1</x:v>
      </x:c>
      <x:c r="B1503" s="8" t="n">
        <x:v>3</x:v>
      </x:c>
      <x:c r="C1503" s="11" t="n">
        <x:v>48.735</x:v>
      </x:c>
      <x:c r="D1503" s="11" t="n">
        <x:v>1.95</x:v>
      </x:c>
      <x:c r="E1503" s="11" t="n">
        <x:v>-2.24</x:v>
      </x:c>
      <x:c r="F1503" s="11" t="n">
        <x:f>SQRT((C1503-C1502)^2+(D1503-D1502)^2+(E1503-E1502)^2)</x:f>
        <x:v>2.64</x:v>
      </x:c>
      <x:c r="G1503" s="8" t="str">
        <x:v>Current</x:v>
      </x:c>
    </x:row>
    <x:row r="1504" ht="32" customHeight="1">
      <x:c r="A1504" s="8" t="str">
        <x:v>trunk:FC1:F1:fan:1</x:v>
      </x:c>
      <x:c r="B1504" s="8" t="n">
        <x:v>4</x:v>
      </x:c>
      <x:c r="C1504" s="11" t="n">
        <x:v>48.735</x:v>
      </x:c>
      <x:c r="D1504" s="11" t="n">
        <x:v>4.02</x:v>
      </x:c>
      <x:c r="E1504" s="11" t="n">
        <x:v>-2.24</x:v>
      </x:c>
      <x:c r="F1504" s="11" t="n">
        <x:f>SQRT((C1504-C1503)^2+(D1504-D1503)^2+(E1504-E1503)^2)</x:f>
        <x:v>2.0699999999999994</x:v>
      </x:c>
      <x:c r="G1504" s="8" t="str">
        <x:v>Current</x:v>
      </x:c>
    </x:row>
    <x:row r="1505" ht="32" customHeight="1">
      <x:c r="A1505" s="8" t="str">
        <x:v>trunk:FC1:F1:fan:1</x:v>
      </x:c>
      <x:c r="B1505" s="8" t="n">
        <x:v>5</x:v>
      </x:c>
      <x:c r="C1505" s="11" t="n">
        <x:v>48.735</x:v>
      </x:c>
      <x:c r="D1505" s="11" t="n">
        <x:v>4.02</x:v>
      </x:c>
      <x:c r="E1505" s="11" t="n">
        <x:v>-3.6</x:v>
      </x:c>
      <x:c r="F1505" s="11" t="n">
        <x:f>SQRT((C1505-C1504)^2+(D1505-D1504)^2+(E1505-E1504)^2)</x:f>
        <x:v>1.3599999999999999</x:v>
      </x:c>
      <x:c r="G1505" s="8" t="str">
        <x:v>Current</x:v>
      </x:c>
    </x:row>
    <x:row r="1506" ht="32" customHeight="1">
      <x:c r="A1506" s="8" t="str">
        <x:v>trunk:FC1:F1:fan:1</x:v>
      </x:c>
      <x:c r="B1506" s="8" t="n">
        <x:v>6</x:v>
      </x:c>
      <x:c r="C1506" s="11" t="n">
        <x:v>53.05</x:v>
      </x:c>
      <x:c r="D1506" s="11" t="n">
        <x:v>4.02</x:v>
      </x:c>
      <x:c r="E1506" s="11" t="n">
        <x:v>-3.6</x:v>
      </x:c>
      <x:c r="F1506" s="11" t="n">
        <x:f>SQRT((C1506-C1505)^2+(D1506-D1505)^2+(E1506-E1505)^2)</x:f>
        <x:v>4.314999999999998</x:v>
      </x:c>
      <x:c r="G1506" s="8" t="str">
        <x:v>Current</x:v>
      </x:c>
    </x:row>
    <x:row r="1507" ht="32" customHeight="1">
      <x:c r="A1507" s="8" t="str">
        <x:v>trunk:FC1:F1:fan:1</x:v>
      </x:c>
      <x:c r="B1507" s="8" t="n">
        <x:v>7</x:v>
      </x:c>
      <x:c r="C1507" s="11" t="n">
        <x:v>53.05</x:v>
      </x:c>
      <x:c r="D1507" s="11" t="n">
        <x:v>6.532</x:v>
      </x:c>
      <x:c r="E1507" s="11" t="n">
        <x:v>-3.6</x:v>
      </x:c>
      <x:c r="F1507" s="11" t="n">
        <x:f>SQRT((C1507-C1506)^2+(D1507-D1506)^2+(E1507-E1506)^2)</x:f>
        <x:v>2.5120000000000005</x:v>
      </x:c>
      <x:c r="G1507" s="8" t="str">
        <x:v>Current</x:v>
      </x:c>
    </x:row>
    <x:row r="1508" ht="32" customHeight="1">
      <x:c r="A1508" s="8" t="str">
        <x:v>trunk:FC1:F1:fan:1</x:v>
      </x:c>
      <x:c r="B1508" s="8" t="n">
        <x:v>8</x:v>
      </x:c>
      <x:c r="C1508" s="11" t="n">
        <x:v>53.05</x:v>
      </x:c>
      <x:c r="D1508" s="11" t="n">
        <x:v>6.532</x:v>
      </x:c>
      <x:c r="E1508" s="11" t="n">
        <x:v>7.36</x:v>
      </x:c>
      <x:c r="F1508" s="11" t="n">
        <x:f>SQRT((C1508-C1507)^2+(D1508-D1507)^2+(E1508-E1507)^2)</x:f>
        <x:v>10.96</x:v>
      </x:c>
      <x:c r="G1508" s="8" t="str">
        <x:v>Current</x:v>
      </x:c>
    </x:row>
    <x:row r="1509" ht="32" customHeight="1">
      <x:c r="A1509" s="8" t="str">
        <x:v>trunk:FC1:F1:fan:1</x:v>
      </x:c>
      <x:c r="B1509" s="8" t="n">
        <x:v>9</x:v>
      </x:c>
      <x:c r="C1509" s="11" t="n">
        <x:v>44.175</x:v>
      </x:c>
      <x:c r="D1509" s="11" t="n">
        <x:v>6.532</x:v>
      </x:c>
      <x:c r="E1509" s="11" t="n">
        <x:v>7.36</x:v>
      </x:c>
      <x:c r="F1509" s="11" t="n">
        <x:f>SQRT((C1509-C1508)^2+(D1509-D1508)^2+(E1509-E1508)^2)</x:f>
        <x:v>8.875</x:v>
      </x:c>
      <x:c r="G1509" s="8" t="str">
        <x:v>Current</x:v>
      </x:c>
    </x:row>
    <x:row r="1510" ht="32" customHeight="1">
      <x:c r="A1510" s="8" t="str">
        <x:v>trunk:FC1:F1:fan:1</x:v>
      </x:c>
      <x:c r="B1510" s="8" t="n">
        <x:v>10</x:v>
      </x:c>
      <x:c r="C1510" s="11" t="n">
        <x:v>44.175</x:v>
      </x:c>
      <x:c r="D1510" s="11" t="n">
        <x:v>6.532</x:v>
      </x:c>
      <x:c r="E1510" s="11" t="n">
        <x:v>13.24</x:v>
      </x:c>
      <x:c r="F1510" s="11" t="n">
        <x:f>SQRT((C1510-C1509)^2+(D1510-D1509)^2+(E1510-E1509)^2)</x:f>
        <x:v>5.88</x:v>
      </x:c>
      <x:c r="G1510" s="8" t="str">
        <x:v>Current</x:v>
      </x:c>
    </x:row>
    <x:row r="1511" ht="32" customHeight="1">
      <x:c r="A1511" s="8" t="str">
        <x:v>trunk:FC1:F1:fan:1</x:v>
      </x:c>
      <x:c r="B1511" s="8" t="n">
        <x:v>11</x:v>
      </x:c>
      <x:c r="C1511" s="11" t="n">
        <x:v>36.975</x:v>
      </x:c>
      <x:c r="D1511" s="11" t="n">
        <x:v>6.532</x:v>
      </x:c>
      <x:c r="E1511" s="11" t="n">
        <x:v>13.24</x:v>
      </x:c>
      <x:c r="F1511" s="11" t="n">
        <x:f>SQRT((C1511-C1510)^2+(D1511-D1510)^2+(E1511-E1510)^2)</x:f>
        <x:v>7.199999999999996</x:v>
      </x:c>
      <x:c r="G1511" s="8" t="str">
        <x:v>Current</x:v>
      </x:c>
    </x:row>
    <x:row r="1512" ht="32" customHeight="1">
      <x:c r="A1512" s="8" t="str">
        <x:v>trunk:FC1:F1:fan:1</x:v>
      </x:c>
      <x:c r="B1512" s="8" t="n">
        <x:v>12</x:v>
      </x:c>
      <x:c r="C1512" s="11" t="n">
        <x:v>36.975</x:v>
      </x:c>
      <x:c r="D1512" s="11" t="n">
        <x:v>6.532</x:v>
      </x:c>
      <x:c r="E1512" s="11" t="n">
        <x:v>7.36</x:v>
      </x:c>
      <x:c r="F1512" s="11" t="n">
        <x:f>SQRT((C1512-C1511)^2+(D1512-D1511)^2+(E1512-E1511)^2)</x:f>
        <x:v>5.88</x:v>
      </x:c>
      <x:c r="G1512" s="8" t="str">
        <x:v>Current</x:v>
      </x:c>
    </x:row>
    <x:row r="1513" ht="32" customHeight="1">
      <x:c r="A1513" s="8" t="str">
        <x:v>trunk:FC1:F1:fan:1</x:v>
      </x:c>
      <x:c r="B1513" s="8" t="n">
        <x:v>13</x:v>
      </x:c>
      <x:c r="C1513" s="11" t="n">
        <x:v>9.03</x:v>
      </x:c>
      <x:c r="D1513" s="11" t="n">
        <x:v>6.532</x:v>
      </x:c>
      <x:c r="E1513" s="11" t="n">
        <x:v>7.36</x:v>
      </x:c>
      <x:c r="F1513" s="11" t="n">
        <x:f>SQRT((C1513-C1512)^2+(D1513-D1512)^2+(E1513-E1512)^2)</x:f>
        <x:v>27.945</x:v>
      </x:c>
      <x:c r="G1513" s="8" t="str">
        <x:v>Current</x:v>
      </x:c>
    </x:row>
    <x:row r="1514" ht="32" customHeight="1">
      <x:c r="A1514" s="8" t="str">
        <x:v>drop:FC1:F1:fan:1:F227</x:v>
      </x:c>
      <x:c r="B1514" s="8" t="n">
        <x:v>1</x:v>
      </x:c>
      <x:c r="C1514" s="11" t="n">
        <x:v>9.03</x:v>
      </x:c>
      <x:c r="D1514" s="11" t="n">
        <x:v>6.532</x:v>
      </x:c>
      <x:c r="E1514" s="11" t="n">
        <x:v>7.36</x:v>
      </x:c>
      <x:c r="F1514" s="11" t="n">
        <x:f>0</x:f>
        <x:v>0</x:v>
      </x:c>
      <x:c r="G1514" s="8" t="str">
        <x:v>Current</x:v>
      </x:c>
    </x:row>
    <x:row r="1515" ht="32" customHeight="1">
      <x:c r="A1515" s="8" t="str">
        <x:v>drop:FC1:F1:fan:1:F227</x:v>
      </x:c>
      <x:c r="B1515" s="8" t="n">
        <x:v>2</x:v>
      </x:c>
      <x:c r="C1515" s="11" t="n">
        <x:v>9.03</x:v>
      </x:c>
      <x:c r="D1515" s="11" t="n">
        <x:v>7.02</x:v>
      </x:c>
      <x:c r="E1515" s="11" t="n">
        <x:v>7.36</x:v>
      </x:c>
      <x:c r="F1515" s="11" t="n">
        <x:f>SQRT((C1515-C1514)^2+(D1515-D1514)^2+(E1515-E1514)^2)</x:f>
        <x:v>0.48799999999999955</x:v>
      </x:c>
      <x:c r="G1515" s="8" t="str">
        <x:v>Current</x:v>
      </x:c>
    </x:row>
    <x:row r="1516" ht="32" customHeight="1">
      <x:c r="A1516" s="8" t="str">
        <x:v>drop:FC1:F1:fan:1:F227</x:v>
      </x:c>
      <x:c r="B1516" s="8" t="n">
        <x:v>3</x:v>
      </x:c>
      <x:c r="C1516" s="11" t="n">
        <x:v>9.03</x:v>
      </x:c>
      <x:c r="D1516" s="11" t="n">
        <x:v>7.065002717391305</x:v>
      </x:c>
      <x:c r="E1516" s="11" t="n">
        <x:v>7.05</x:v>
      </x:c>
      <x:c r="F1516" s="11" t="n">
        <x:f>SQRT((C1516-C1515)^2+(D1516-D1515)^2+(E1516-E1515)^2)</x:f>
        <x:v>0.3132494925336704</x:v>
      </x:c>
      <x:c r="G1516" s="8" t="str">
        <x:v>Current</x:v>
      </x:c>
    </x:row>
    <x:row r="1517" ht="32" customHeight="1">
      <x:c r="A1517" s="8" t="str">
        <x:v>drop:FC1:F1:fan:1:F227</x:v>
      </x:c>
      <x:c r="B1517" s="8" t="n">
        <x:v>4</x:v>
      </x:c>
      <x:c r="C1517" s="11" t="n">
        <x:v>7.725</x:v>
      </x:c>
      <x:c r="D1517" s="11" t="n">
        <x:v>7.065002717391305</x:v>
      </x:c>
      <x:c r="E1517" s="11" t="n">
        <x:v>7.05</x:v>
      </x:c>
      <x:c r="F1517" s="11" t="n">
        <x:f>SQRT((C1517-C1516)^2+(D1517-D1516)^2+(E1517-E1516)^2)</x:f>
        <x:v>1.3049999999999997</x:v>
      </x:c>
      <x:c r="G1517" s="8" t="str">
        <x:v>Current</x:v>
      </x:c>
    </x:row>
    <x:row r="1518" ht="32" customHeight="1">
      <x:c r="A1518" s="8" t="str">
        <x:v>drop:FC1:F1:fan:1:F227</x:v>
      </x:c>
      <x:c r="B1518" s="8" t="n">
        <x:v>5</x:v>
      </x:c>
      <x:c r="C1518" s="11" t="n">
        <x:v>7.725</x:v>
      </x:c>
      <x:c r="D1518" s="11" t="n">
        <x:v>8.988413043478262</x:v>
      </x:c>
      <x:c r="E1518" s="11" t="n">
        <x:v>4.4</x:v>
      </x:c>
      <x:c r="F1518" s="11" t="n">
        <x:f>SQRT((C1518-C1517)^2+(D1518-D1517)^2+(E1518-E1517)^2)</x:f>
        <x:v>3.2744476301351852</x:v>
      </x:c>
      <x:c r="G1518" s="8" t="str">
        <x:v>Current</x:v>
      </x:c>
    </x:row>
    <x:row r="1519" ht="32" customHeight="1">
      <x:c r="A1519" s="8" t="str">
        <x:v>drop:FC1:F1:fan:1:F227</x:v>
      </x:c>
      <x:c r="B1519" s="8" t="n">
        <x:v>6</x:v>
      </x:c>
      <x:c r="C1519" s="11" t="n">
        <x:v>7.725</x:v>
      </x:c>
      <x:c r="D1519" s="11" t="n">
        <x:v>9.028413043478261</x:v>
      </x:c>
      <x:c r="E1519" s="11" t="n">
        <x:v>4.4</x:v>
      </x:c>
      <x:c r="F1519" s="11" t="n">
        <x:f>SQRT((C1519-C1518)^2+(D1519-D1518)^2+(E1519-E1518)^2)</x:f>
        <x:v>0.03999999999999915</x:v>
      </x:c>
      <x:c r="G1519" s="8" t="str">
        <x:v>Current</x:v>
      </x:c>
    </x:row>
    <x:row r="1520" ht="32" customHeight="1">
      <x:c r="A1520" s="8" t="str">
        <x:v>drop:FC1:F1:fan:1:F227</x:v>
      </x:c>
      <x:c r="B1520" s="8" t="n">
        <x:v>7</x:v>
      </x:c>
      <x:c r="C1520" s="11" t="n">
        <x:v>7.725</x:v>
      </x:c>
      <x:c r="D1520" s="11" t="n">
        <x:v>3.9</x:v>
      </x:c>
      <x:c r="E1520" s="11" t="n">
        <x:v>4.4</x:v>
      </x:c>
      <x:c r="F1520" s="11" t="n">
        <x:f>SQRT((C1520-C1519)^2+(D1520-D1519)^2+(E1520-E1519)^2)</x:f>
        <x:v>5.128413043478261</x:v>
      </x:c>
      <x:c r="G1520" s="8" t="str">
        <x:v>Current</x:v>
      </x:c>
    </x:row>
    <x:row r="1521" ht="32" customHeight="1">
      <x:c r="A1521" s="8" t="str">
        <x:v>drop:FC1:F1:fan:1:F229</x:v>
      </x:c>
      <x:c r="B1521" s="8" t="n">
        <x:v>1</x:v>
      </x:c>
      <x:c r="C1521" s="11" t="n">
        <x:v>13.53</x:v>
      </x:c>
      <x:c r="D1521" s="11" t="n">
        <x:v>6.532</x:v>
      </x:c>
      <x:c r="E1521" s="11" t="n">
        <x:v>7.36</x:v>
      </x:c>
      <x:c r="F1521" s="11" t="n">
        <x:f>0</x:f>
        <x:v>0</x:v>
      </x:c>
      <x:c r="G1521" s="8" t="str">
        <x:v>Current</x:v>
      </x:c>
    </x:row>
    <x:row r="1522" ht="32" customHeight="1">
      <x:c r="A1522" s="8" t="str">
        <x:v>drop:FC1:F1:fan:1:F229</x:v>
      </x:c>
      <x:c r="B1522" s="8" t="n">
        <x:v>2</x:v>
      </x:c>
      <x:c r="C1522" s="11" t="n">
        <x:v>13.53</x:v>
      </x:c>
      <x:c r="D1522" s="11" t="n">
        <x:v>7.02</x:v>
      </x:c>
      <x:c r="E1522" s="11" t="n">
        <x:v>7.36</x:v>
      </x:c>
      <x:c r="F1522" s="11" t="n">
        <x:f>SQRT((C1522-C1521)^2+(D1522-D1521)^2+(E1522-E1521)^2)</x:f>
        <x:v>0.48799999999999955</x:v>
      </x:c>
      <x:c r="G1522" s="8" t="str">
        <x:v>Current</x:v>
      </x:c>
    </x:row>
    <x:row r="1523" ht="32" customHeight="1">
      <x:c r="A1523" s="8" t="str">
        <x:v>drop:FC1:F1:fan:1:F229</x:v>
      </x:c>
      <x:c r="B1523" s="8" t="n">
        <x:v>3</x:v>
      </x:c>
      <x:c r="C1523" s="11" t="n">
        <x:v>13.53</x:v>
      </x:c>
      <x:c r="D1523" s="11" t="n">
        <x:v>7.065002717391305</x:v>
      </x:c>
      <x:c r="E1523" s="11" t="n">
        <x:v>7.05</x:v>
      </x:c>
      <x:c r="F1523" s="11" t="n">
        <x:f>SQRT((C1523-C1522)^2+(D1523-D1522)^2+(E1523-E1522)^2)</x:f>
        <x:v>0.3132494925336704</x:v>
      </x:c>
      <x:c r="G1523" s="8" t="str">
        <x:v>Current</x:v>
      </x:c>
    </x:row>
    <x:row r="1524" ht="32" customHeight="1">
      <x:c r="A1524" s="8" t="str">
        <x:v>drop:FC1:F1:fan:1:F229</x:v>
      </x:c>
      <x:c r="B1524" s="8" t="n">
        <x:v>4</x:v>
      </x:c>
      <x:c r="C1524" s="11" t="n">
        <x:v>12.225</x:v>
      </x:c>
      <x:c r="D1524" s="11" t="n">
        <x:v>7.065002717391305</x:v>
      </x:c>
      <x:c r="E1524" s="11" t="n">
        <x:v>7.05</x:v>
      </x:c>
      <x:c r="F1524" s="11" t="n">
        <x:f>SQRT((C1524-C1523)^2+(D1524-D1523)^2+(E1524-E1523)^2)</x:f>
        <x:v>1.3049999999999997</x:v>
      </x:c>
      <x:c r="G1524" s="8" t="str">
        <x:v>Current</x:v>
      </x:c>
    </x:row>
    <x:row r="1525" ht="32" customHeight="1">
      <x:c r="A1525" s="8" t="str">
        <x:v>drop:FC1:F1:fan:1:F229</x:v>
      </x:c>
      <x:c r="B1525" s="8" t="n">
        <x:v>5</x:v>
      </x:c>
      <x:c r="C1525" s="11" t="n">
        <x:v>12.225</x:v>
      </x:c>
      <x:c r="D1525" s="11" t="n">
        <x:v>8.988413043478262</x:v>
      </x:c>
      <x:c r="E1525" s="11" t="n">
        <x:v>4.4</x:v>
      </x:c>
      <x:c r="F1525" s="11" t="n">
        <x:f>SQRT((C1525-C1524)^2+(D1525-D1524)^2+(E1525-E1524)^2)</x:f>
        <x:v>3.2744476301351852</x:v>
      </x:c>
      <x:c r="G1525" s="8" t="str">
        <x:v>Current</x:v>
      </x:c>
    </x:row>
    <x:row r="1526" ht="32" customHeight="1">
      <x:c r="A1526" s="8" t="str">
        <x:v>drop:FC1:F1:fan:1:F229</x:v>
      </x:c>
      <x:c r="B1526" s="8" t="n">
        <x:v>6</x:v>
      </x:c>
      <x:c r="C1526" s="11" t="n">
        <x:v>12.225</x:v>
      </x:c>
      <x:c r="D1526" s="11" t="n">
        <x:v>9.028413043478261</x:v>
      </x:c>
      <x:c r="E1526" s="11" t="n">
        <x:v>4.4</x:v>
      </x:c>
      <x:c r="F1526" s="11" t="n">
        <x:f>SQRT((C1526-C1525)^2+(D1526-D1525)^2+(E1526-E1525)^2)</x:f>
        <x:v>0.03999999999999915</x:v>
      </x:c>
      <x:c r="G1526" s="8" t="str">
        <x:v>Current</x:v>
      </x:c>
    </x:row>
    <x:row r="1527" ht="32" customHeight="1">
      <x:c r="A1527" s="8" t="str">
        <x:v>drop:FC1:F1:fan:1:F229</x:v>
      </x:c>
      <x:c r="B1527" s="8" t="n">
        <x:v>7</x:v>
      </x:c>
      <x:c r="C1527" s="11" t="n">
        <x:v>12.225</x:v>
      </x:c>
      <x:c r="D1527" s="11" t="n">
        <x:v>3.9</x:v>
      </x:c>
      <x:c r="E1527" s="11" t="n">
        <x:v>4.4</x:v>
      </x:c>
      <x:c r="F1527" s="11" t="n">
        <x:f>SQRT((C1527-C1526)^2+(D1527-D1526)^2+(E1527-E1526)^2)</x:f>
        <x:v>5.128413043478261</x:v>
      </x:c>
      <x:c r="G1527" s="8" t="str">
        <x:v>Current</x:v>
      </x:c>
    </x:row>
    <x:row r="1528" ht="32" customHeight="1">
      <x:c r="A1528" s="8" t="str">
        <x:v>drop:FC1:F1:fan:1:F231</x:v>
      </x:c>
      <x:c r="B1528" s="8" t="n">
        <x:v>1</x:v>
      </x:c>
      <x:c r="C1528" s="11" t="n">
        <x:v>18.02</x:v>
      </x:c>
      <x:c r="D1528" s="11" t="n">
        <x:v>6.532</x:v>
      </x:c>
      <x:c r="E1528" s="11" t="n">
        <x:v>7.36</x:v>
      </x:c>
      <x:c r="F1528" s="11" t="n">
        <x:f>0</x:f>
        <x:v>0</x:v>
      </x:c>
      <x:c r="G1528" s="8" t="str">
        <x:v>Current</x:v>
      </x:c>
    </x:row>
    <x:row r="1529" ht="32" customHeight="1">
      <x:c r="A1529" s="8" t="str">
        <x:v>drop:FC1:F1:fan:1:F231</x:v>
      </x:c>
      <x:c r="B1529" s="8" t="n">
        <x:v>2</x:v>
      </x:c>
      <x:c r="C1529" s="11" t="n">
        <x:v>18.02</x:v>
      </x:c>
      <x:c r="D1529" s="11" t="n">
        <x:v>7.02</x:v>
      </x:c>
      <x:c r="E1529" s="11" t="n">
        <x:v>7.36</x:v>
      </x:c>
      <x:c r="F1529" s="11" t="n">
        <x:f>SQRT((C1529-C1528)^2+(D1529-D1528)^2+(E1529-E1528)^2)</x:f>
        <x:v>0.48799999999999955</x:v>
      </x:c>
      <x:c r="G1529" s="8" t="str">
        <x:v>Current</x:v>
      </x:c>
    </x:row>
    <x:row r="1530" ht="32" customHeight="1">
      <x:c r="A1530" s="8" t="str">
        <x:v>drop:FC1:F1:fan:1:F231</x:v>
      </x:c>
      <x:c r="B1530" s="8" t="n">
        <x:v>3</x:v>
      </x:c>
      <x:c r="C1530" s="11" t="n">
        <x:v>18.02</x:v>
      </x:c>
      <x:c r="D1530" s="11" t="n">
        <x:v>7.065002717391305</x:v>
      </x:c>
      <x:c r="E1530" s="11" t="n">
        <x:v>7.05</x:v>
      </x:c>
      <x:c r="F1530" s="11" t="n">
        <x:f>SQRT((C1530-C1529)^2+(D1530-D1529)^2+(E1530-E1529)^2)</x:f>
        <x:v>0.3132494925336704</x:v>
      </x:c>
      <x:c r="G1530" s="8" t="str">
        <x:v>Current</x:v>
      </x:c>
    </x:row>
    <x:row r="1531" ht="32" customHeight="1">
      <x:c r="A1531" s="8" t="str">
        <x:v>drop:FC1:F1:fan:1:F231</x:v>
      </x:c>
      <x:c r="B1531" s="8" t="n">
        <x:v>4</x:v>
      </x:c>
      <x:c r="C1531" s="11" t="n">
        <x:v>16.725</x:v>
      </x:c>
      <x:c r="D1531" s="11" t="n">
        <x:v>7.065002717391305</x:v>
      </x:c>
      <x:c r="E1531" s="11" t="n">
        <x:v>7.05</x:v>
      </x:c>
      <x:c r="F1531" s="11" t="n">
        <x:f>SQRT((C1531-C1530)^2+(D1531-D1530)^2+(E1531-E1530)^2)</x:f>
        <x:v>1.2949999999999982</x:v>
      </x:c>
      <x:c r="G1531" s="8" t="str">
        <x:v>Current</x:v>
      </x:c>
    </x:row>
    <x:row r="1532" ht="32" customHeight="1">
      <x:c r="A1532" s="8" t="str">
        <x:v>drop:FC1:F1:fan:1:F231</x:v>
      </x:c>
      <x:c r="B1532" s="8" t="n">
        <x:v>5</x:v>
      </x:c>
      <x:c r="C1532" s="11" t="n">
        <x:v>16.725</x:v>
      </x:c>
      <x:c r="D1532" s="11" t="n">
        <x:v>8.988413043478262</x:v>
      </x:c>
      <x:c r="E1532" s="11" t="n">
        <x:v>4.4</x:v>
      </x:c>
      <x:c r="F1532" s="11" t="n">
        <x:f>SQRT((C1532-C1531)^2+(D1532-D1531)^2+(E1532-E1531)^2)</x:f>
        <x:v>3.2744476301351852</x:v>
      </x:c>
      <x:c r="G1532" s="8" t="str">
        <x:v>Current</x:v>
      </x:c>
    </x:row>
    <x:row r="1533" ht="32" customHeight="1">
      <x:c r="A1533" s="8" t="str">
        <x:v>drop:FC1:F1:fan:1:F231</x:v>
      </x:c>
      <x:c r="B1533" s="8" t="n">
        <x:v>6</x:v>
      </x:c>
      <x:c r="C1533" s="11" t="n">
        <x:v>16.725</x:v>
      </x:c>
      <x:c r="D1533" s="11" t="n">
        <x:v>9.028413043478261</x:v>
      </x:c>
      <x:c r="E1533" s="11" t="n">
        <x:v>4.4</x:v>
      </x:c>
      <x:c r="F1533" s="11" t="n">
        <x:f>SQRT((C1533-C1532)^2+(D1533-D1532)^2+(E1533-E1532)^2)</x:f>
        <x:v>0.03999999999999915</x:v>
      </x:c>
      <x:c r="G1533" s="8" t="str">
        <x:v>Current</x:v>
      </x:c>
    </x:row>
    <x:row r="1534" ht="32" customHeight="1">
      <x:c r="A1534" s="8" t="str">
        <x:v>drop:FC1:F1:fan:1:F231</x:v>
      </x:c>
      <x:c r="B1534" s="8" t="n">
        <x:v>7</x:v>
      </x:c>
      <x:c r="C1534" s="11" t="n">
        <x:v>16.725</x:v>
      </x:c>
      <x:c r="D1534" s="11" t="n">
        <x:v>3.9</x:v>
      </x:c>
      <x:c r="E1534" s="11" t="n">
        <x:v>4.4</x:v>
      </x:c>
      <x:c r="F1534" s="11" t="n">
        <x:f>SQRT((C1534-C1533)^2+(D1534-D1533)^2+(E1534-E1533)^2)</x:f>
        <x:v>5.128413043478261</x:v>
      </x:c>
      <x:c r="G1534" s="8" t="str">
        <x:v>Current</x:v>
      </x:c>
    </x:row>
    <x:row r="1535" ht="32" customHeight="1">
      <x:c r="A1535" s="8" t="str">
        <x:v>drop:FC1:F1:fan:1:F233</x:v>
      </x:c>
      <x:c r="B1535" s="8" t="n">
        <x:v>1</x:v>
      </x:c>
      <x:c r="C1535" s="11" t="n">
        <x:v>22.53</x:v>
      </x:c>
      <x:c r="D1535" s="11" t="n">
        <x:v>6.532</x:v>
      </x:c>
      <x:c r="E1535" s="11" t="n">
        <x:v>7.36</x:v>
      </x:c>
      <x:c r="F1535" s="11" t="n">
        <x:f>0</x:f>
        <x:v>0</x:v>
      </x:c>
      <x:c r="G1535" s="8" t="str">
        <x:v>Current</x:v>
      </x:c>
    </x:row>
    <x:row r="1536" ht="32" customHeight="1">
      <x:c r="A1536" s="8" t="str">
        <x:v>drop:FC1:F1:fan:1:F233</x:v>
      </x:c>
      <x:c r="B1536" s="8" t="n">
        <x:v>2</x:v>
      </x:c>
      <x:c r="C1536" s="11" t="n">
        <x:v>22.53</x:v>
      </x:c>
      <x:c r="D1536" s="11" t="n">
        <x:v>7.02</x:v>
      </x:c>
      <x:c r="E1536" s="11" t="n">
        <x:v>7.36</x:v>
      </x:c>
      <x:c r="F1536" s="11" t="n">
        <x:f>SQRT((C1536-C1535)^2+(D1536-D1535)^2+(E1536-E1535)^2)</x:f>
        <x:v>0.48799999999999955</x:v>
      </x:c>
      <x:c r="G1536" s="8" t="str">
        <x:v>Current</x:v>
      </x:c>
    </x:row>
    <x:row r="1537" ht="32" customHeight="1">
      <x:c r="A1537" s="8" t="str">
        <x:v>drop:FC1:F1:fan:1:F233</x:v>
      </x:c>
      <x:c r="B1537" s="8" t="n">
        <x:v>3</x:v>
      </x:c>
      <x:c r="C1537" s="11" t="n">
        <x:v>22.53</x:v>
      </x:c>
      <x:c r="D1537" s="11" t="n">
        <x:v>7.065002717391305</x:v>
      </x:c>
      <x:c r="E1537" s="11" t="n">
        <x:v>7.05</x:v>
      </x:c>
      <x:c r="F1537" s="11" t="n">
        <x:f>SQRT((C1537-C1536)^2+(D1537-D1536)^2+(E1537-E1536)^2)</x:f>
        <x:v>0.3132494925336704</x:v>
      </x:c>
      <x:c r="G1537" s="8" t="str">
        <x:v>Current</x:v>
      </x:c>
    </x:row>
    <x:row r="1538" ht="32" customHeight="1">
      <x:c r="A1538" s="8" t="str">
        <x:v>drop:FC1:F1:fan:1:F233</x:v>
      </x:c>
      <x:c r="B1538" s="8" t="n">
        <x:v>4</x:v>
      </x:c>
      <x:c r="C1538" s="11" t="n">
        <x:v>21.225</x:v>
      </x:c>
      <x:c r="D1538" s="11" t="n">
        <x:v>7.065002717391305</x:v>
      </x:c>
      <x:c r="E1538" s="11" t="n">
        <x:v>7.05</x:v>
      </x:c>
      <x:c r="F1538" s="11" t="n">
        <x:f>SQRT((C1538-C1537)^2+(D1538-D1537)^2+(E1538-E1537)^2)</x:f>
        <x:v>1.3049999999999997</x:v>
      </x:c>
      <x:c r="G1538" s="8" t="str">
        <x:v>Current</x:v>
      </x:c>
    </x:row>
    <x:row r="1539" ht="32" customHeight="1">
      <x:c r="A1539" s="8" t="str">
        <x:v>drop:FC1:F1:fan:1:F233</x:v>
      </x:c>
      <x:c r="B1539" s="8" t="n">
        <x:v>5</x:v>
      </x:c>
      <x:c r="C1539" s="11" t="n">
        <x:v>21.225</x:v>
      </x:c>
      <x:c r="D1539" s="11" t="n">
        <x:v>8.988413043478262</x:v>
      </x:c>
      <x:c r="E1539" s="11" t="n">
        <x:v>4.4</x:v>
      </x:c>
      <x:c r="F1539" s="11" t="n">
        <x:f>SQRT((C1539-C1538)^2+(D1539-D1538)^2+(E1539-E1538)^2)</x:f>
        <x:v>3.2744476301351852</x:v>
      </x:c>
      <x:c r="G1539" s="8" t="str">
        <x:v>Current</x:v>
      </x:c>
    </x:row>
    <x:row r="1540" ht="32" customHeight="1">
      <x:c r="A1540" s="8" t="str">
        <x:v>drop:FC1:F1:fan:1:F233</x:v>
      </x:c>
      <x:c r="B1540" s="8" t="n">
        <x:v>6</x:v>
      </x:c>
      <x:c r="C1540" s="11" t="n">
        <x:v>21.225</x:v>
      </x:c>
      <x:c r="D1540" s="11" t="n">
        <x:v>9.028413043478261</x:v>
      </x:c>
      <x:c r="E1540" s="11" t="n">
        <x:v>4.4</x:v>
      </x:c>
      <x:c r="F1540" s="11" t="n">
        <x:f>SQRT((C1540-C1539)^2+(D1540-D1539)^2+(E1540-E1539)^2)</x:f>
        <x:v>0.03999999999999915</x:v>
      </x:c>
      <x:c r="G1540" s="8" t="str">
        <x:v>Current</x:v>
      </x:c>
    </x:row>
    <x:row r="1541" ht="32" customHeight="1">
      <x:c r="A1541" s="8" t="str">
        <x:v>drop:FC1:F1:fan:1:F233</x:v>
      </x:c>
      <x:c r="B1541" s="8" t="n">
        <x:v>7</x:v>
      </x:c>
      <x:c r="C1541" s="11" t="n">
        <x:v>21.225</x:v>
      </x:c>
      <x:c r="D1541" s="11" t="n">
        <x:v>3.9</x:v>
      </x:c>
      <x:c r="E1541" s="11" t="n">
        <x:v>4.4</x:v>
      </x:c>
      <x:c r="F1541" s="11" t="n">
        <x:f>SQRT((C1541-C1540)^2+(D1541-D1540)^2+(E1541-E1540)^2)</x:f>
        <x:v>5.128413043478261</x:v>
      </x:c>
      <x:c r="G1541" s="8" t="str">
        <x:v>Current</x:v>
      </x:c>
    </x:row>
    <x:row r="1542" ht="32" customHeight="1">
      <x:c r="A1542" s="8" t="str">
        <x:v>drop:FC1:F1:fan:1:F235</x:v>
      </x:c>
      <x:c r="B1542" s="8" t="n">
        <x:v>1</x:v>
      </x:c>
      <x:c r="C1542" s="11" t="n">
        <x:v>27.03</x:v>
      </x:c>
      <x:c r="D1542" s="11" t="n">
        <x:v>6.532</x:v>
      </x:c>
      <x:c r="E1542" s="11" t="n">
        <x:v>7.36</x:v>
      </x:c>
      <x:c r="F1542" s="11" t="n">
        <x:f>0</x:f>
        <x:v>0</x:v>
      </x:c>
      <x:c r="G1542" s="8" t="str">
        <x:v>Current</x:v>
      </x:c>
    </x:row>
    <x:row r="1543" ht="32" customHeight="1">
      <x:c r="A1543" s="8" t="str">
        <x:v>drop:FC1:F1:fan:1:F235</x:v>
      </x:c>
      <x:c r="B1543" s="8" t="n">
        <x:v>2</x:v>
      </x:c>
      <x:c r="C1543" s="11" t="n">
        <x:v>27.03</x:v>
      </x:c>
      <x:c r="D1543" s="11" t="n">
        <x:v>7.02</x:v>
      </x:c>
      <x:c r="E1543" s="11" t="n">
        <x:v>7.36</x:v>
      </x:c>
      <x:c r="F1543" s="11" t="n">
        <x:f>SQRT((C1543-C1542)^2+(D1543-D1542)^2+(E1543-E1542)^2)</x:f>
        <x:v>0.48799999999999955</x:v>
      </x:c>
      <x:c r="G1543" s="8" t="str">
        <x:v>Current</x:v>
      </x:c>
    </x:row>
    <x:row r="1544" ht="32" customHeight="1">
      <x:c r="A1544" s="8" t="str">
        <x:v>drop:FC1:F1:fan:1:F235</x:v>
      </x:c>
      <x:c r="B1544" s="8" t="n">
        <x:v>3</x:v>
      </x:c>
      <x:c r="C1544" s="11" t="n">
        <x:v>27.03</x:v>
      </x:c>
      <x:c r="D1544" s="11" t="n">
        <x:v>7.065002717391305</x:v>
      </x:c>
      <x:c r="E1544" s="11" t="n">
        <x:v>7.05</x:v>
      </x:c>
      <x:c r="F1544" s="11" t="n">
        <x:f>SQRT((C1544-C1543)^2+(D1544-D1543)^2+(E1544-E1543)^2)</x:f>
        <x:v>0.3132494925336704</x:v>
      </x:c>
      <x:c r="G1544" s="8" t="str">
        <x:v>Current</x:v>
      </x:c>
    </x:row>
    <x:row r="1545" ht="32" customHeight="1">
      <x:c r="A1545" s="8" t="str">
        <x:v>drop:FC1:F1:fan:1:F235</x:v>
      </x:c>
      <x:c r="B1545" s="8" t="n">
        <x:v>4</x:v>
      </x:c>
      <x:c r="C1545" s="11" t="n">
        <x:v>25.725</x:v>
      </x:c>
      <x:c r="D1545" s="11" t="n">
        <x:v>7.065002717391305</x:v>
      </x:c>
      <x:c r="E1545" s="11" t="n">
        <x:v>7.05</x:v>
      </x:c>
      <x:c r="F1545" s="11" t="n">
        <x:f>SQRT((C1545-C1544)^2+(D1545-D1544)^2+(E1545-E1544)^2)</x:f>
        <x:v>1.3049999999999997</x:v>
      </x:c>
      <x:c r="G1545" s="8" t="str">
        <x:v>Current</x:v>
      </x:c>
    </x:row>
    <x:row r="1546" ht="32" customHeight="1">
      <x:c r="A1546" s="8" t="str">
        <x:v>drop:FC1:F1:fan:1:F235</x:v>
      </x:c>
      <x:c r="B1546" s="8" t="n">
        <x:v>5</x:v>
      </x:c>
      <x:c r="C1546" s="11" t="n">
        <x:v>25.725</x:v>
      </x:c>
      <x:c r="D1546" s="11" t="n">
        <x:v>8.988413043478262</x:v>
      </x:c>
      <x:c r="E1546" s="11" t="n">
        <x:v>4.4</x:v>
      </x:c>
      <x:c r="F1546" s="11" t="n">
        <x:f>SQRT((C1546-C1545)^2+(D1546-D1545)^2+(E1546-E1545)^2)</x:f>
        <x:v>3.2744476301351852</x:v>
      </x:c>
      <x:c r="G1546" s="8" t="str">
        <x:v>Current</x:v>
      </x:c>
    </x:row>
    <x:row r="1547" ht="32" customHeight="1">
      <x:c r="A1547" s="8" t="str">
        <x:v>drop:FC1:F1:fan:1:F235</x:v>
      </x:c>
      <x:c r="B1547" s="8" t="n">
        <x:v>6</x:v>
      </x:c>
      <x:c r="C1547" s="11" t="n">
        <x:v>25.725</x:v>
      </x:c>
      <x:c r="D1547" s="11" t="n">
        <x:v>9.028413043478261</x:v>
      </x:c>
      <x:c r="E1547" s="11" t="n">
        <x:v>4.4</x:v>
      </x:c>
      <x:c r="F1547" s="11" t="n">
        <x:f>SQRT((C1547-C1546)^2+(D1547-D1546)^2+(E1547-E1546)^2)</x:f>
        <x:v>0.03999999999999915</x:v>
      </x:c>
      <x:c r="G1547" s="8" t="str">
        <x:v>Current</x:v>
      </x:c>
    </x:row>
    <x:row r="1548" ht="32" customHeight="1">
      <x:c r="A1548" s="8" t="str">
        <x:v>drop:FC1:F1:fan:1:F235</x:v>
      </x:c>
      <x:c r="B1548" s="8" t="n">
        <x:v>7</x:v>
      </x:c>
      <x:c r="C1548" s="11" t="n">
        <x:v>25.725</x:v>
      </x:c>
      <x:c r="D1548" s="11" t="n">
        <x:v>3.9</x:v>
      </x:c>
      <x:c r="E1548" s="11" t="n">
        <x:v>4.4</x:v>
      </x:c>
      <x:c r="F1548" s="11" t="n">
        <x:f>SQRT((C1548-C1547)^2+(D1548-D1547)^2+(E1548-E1547)^2)</x:f>
        <x:v>5.128413043478261</x:v>
      </x:c>
      <x:c r="G1548" s="8" t="str">
        <x:v>Current</x:v>
      </x:c>
    </x:row>
    <x:row r="1549" ht="32" customHeight="1">
      <x:c r="A1549" s="8" t="str">
        <x:v>drop:FC1:F1:fan:1:F237</x:v>
      </x:c>
      <x:c r="B1549" s="8" t="n">
        <x:v>1</x:v>
      </x:c>
      <x:c r="C1549" s="11" t="n">
        <x:v>31.53</x:v>
      </x:c>
      <x:c r="D1549" s="11" t="n">
        <x:v>6.532</x:v>
      </x:c>
      <x:c r="E1549" s="11" t="n">
        <x:v>7.36</x:v>
      </x:c>
      <x:c r="F1549" s="11" t="n">
        <x:f>0</x:f>
        <x:v>0</x:v>
      </x:c>
      <x:c r="G1549" s="8" t="str">
        <x:v>Current</x:v>
      </x:c>
    </x:row>
    <x:row r="1550" ht="32" customHeight="1">
      <x:c r="A1550" s="8" t="str">
        <x:v>drop:FC1:F1:fan:1:F237</x:v>
      </x:c>
      <x:c r="B1550" s="8" t="n">
        <x:v>2</x:v>
      </x:c>
      <x:c r="C1550" s="11" t="n">
        <x:v>31.53</x:v>
      </x:c>
      <x:c r="D1550" s="11" t="n">
        <x:v>7.02</x:v>
      </x:c>
      <x:c r="E1550" s="11" t="n">
        <x:v>7.36</x:v>
      </x:c>
      <x:c r="F1550" s="11" t="n">
        <x:f>SQRT((C1550-C1549)^2+(D1550-D1549)^2+(E1550-E1549)^2)</x:f>
        <x:v>0.48799999999999955</x:v>
      </x:c>
      <x:c r="G1550" s="8" t="str">
        <x:v>Current</x:v>
      </x:c>
    </x:row>
    <x:row r="1551" ht="32" customHeight="1">
      <x:c r="A1551" s="8" t="str">
        <x:v>drop:FC1:F1:fan:1:F237</x:v>
      </x:c>
      <x:c r="B1551" s="8" t="n">
        <x:v>3</x:v>
      </x:c>
      <x:c r="C1551" s="11" t="n">
        <x:v>31.53</x:v>
      </x:c>
      <x:c r="D1551" s="11" t="n">
        <x:v>7.065002717391305</x:v>
      </x:c>
      <x:c r="E1551" s="11" t="n">
        <x:v>7.05</x:v>
      </x:c>
      <x:c r="F1551" s="11" t="n">
        <x:f>SQRT((C1551-C1550)^2+(D1551-D1550)^2+(E1551-E1550)^2)</x:f>
        <x:v>0.3132494925336704</x:v>
      </x:c>
      <x:c r="G1551" s="8" t="str">
        <x:v>Current</x:v>
      </x:c>
    </x:row>
    <x:row r="1552" ht="32" customHeight="1">
      <x:c r="A1552" s="8" t="str">
        <x:v>drop:FC1:F1:fan:1:F237</x:v>
      </x:c>
      <x:c r="B1552" s="8" t="n">
        <x:v>4</x:v>
      </x:c>
      <x:c r="C1552" s="11" t="n">
        <x:v>30.225</x:v>
      </x:c>
      <x:c r="D1552" s="11" t="n">
        <x:v>7.065002717391305</x:v>
      </x:c>
      <x:c r="E1552" s="11" t="n">
        <x:v>7.05</x:v>
      </x:c>
      <x:c r="F1552" s="11" t="n">
        <x:f>SQRT((C1552-C1551)^2+(D1552-D1551)^2+(E1552-E1551)^2)</x:f>
        <x:v>1.3049999999999997</x:v>
      </x:c>
      <x:c r="G1552" s="8" t="str">
        <x:v>Current</x:v>
      </x:c>
    </x:row>
    <x:row r="1553" ht="32" customHeight="1">
      <x:c r="A1553" s="8" t="str">
        <x:v>drop:FC1:F1:fan:1:F237</x:v>
      </x:c>
      <x:c r="B1553" s="8" t="n">
        <x:v>5</x:v>
      </x:c>
      <x:c r="C1553" s="11" t="n">
        <x:v>30.225</x:v>
      </x:c>
      <x:c r="D1553" s="11" t="n">
        <x:v>8.988413043478262</x:v>
      </x:c>
      <x:c r="E1553" s="11" t="n">
        <x:v>4.4</x:v>
      </x:c>
      <x:c r="F1553" s="11" t="n">
        <x:f>SQRT((C1553-C1552)^2+(D1553-D1552)^2+(E1553-E1552)^2)</x:f>
        <x:v>3.2744476301351852</x:v>
      </x:c>
      <x:c r="G1553" s="8" t="str">
        <x:v>Current</x:v>
      </x:c>
    </x:row>
    <x:row r="1554" ht="32" customHeight="1">
      <x:c r="A1554" s="8" t="str">
        <x:v>drop:FC1:F1:fan:1:F237</x:v>
      </x:c>
      <x:c r="B1554" s="8" t="n">
        <x:v>6</x:v>
      </x:c>
      <x:c r="C1554" s="11" t="n">
        <x:v>30.225</x:v>
      </x:c>
      <x:c r="D1554" s="11" t="n">
        <x:v>9.028413043478261</x:v>
      </x:c>
      <x:c r="E1554" s="11" t="n">
        <x:v>4.4</x:v>
      </x:c>
      <x:c r="F1554" s="11" t="n">
        <x:f>SQRT((C1554-C1553)^2+(D1554-D1553)^2+(E1554-E1553)^2)</x:f>
        <x:v>0.03999999999999915</x:v>
      </x:c>
      <x:c r="G1554" s="8" t="str">
        <x:v>Current</x:v>
      </x:c>
    </x:row>
    <x:row r="1555" ht="32" customHeight="1">
      <x:c r="A1555" s="8" t="str">
        <x:v>drop:FC1:F1:fan:1:F237</x:v>
      </x:c>
      <x:c r="B1555" s="8" t="n">
        <x:v>7</x:v>
      </x:c>
      <x:c r="C1555" s="11" t="n">
        <x:v>30.225</x:v>
      </x:c>
      <x:c r="D1555" s="11" t="n">
        <x:v>3.9</x:v>
      </x:c>
      <x:c r="E1555" s="11" t="n">
        <x:v>4.4</x:v>
      </x:c>
      <x:c r="F1555" s="11" t="n">
        <x:f>SQRT((C1555-C1554)^2+(D1555-D1554)^2+(E1555-E1554)^2)</x:f>
        <x:v>5.128413043478261</x:v>
      </x:c>
      <x:c r="G1555" s="8" t="str">
        <x:v>Current</x:v>
      </x:c>
    </x:row>
    <x:row r="1556" ht="32" customHeight="1">
      <x:c r="A1556" s="8" t="str">
        <x:v>drop:FC1:F1:fan:1:F239</x:v>
      </x:c>
      <x:c r="B1556" s="8" t="n">
        <x:v>1</x:v>
      </x:c>
      <x:c r="C1556" s="11" t="n">
        <x:v>36.02</x:v>
      </x:c>
      <x:c r="D1556" s="11" t="n">
        <x:v>6.532</x:v>
      </x:c>
      <x:c r="E1556" s="11" t="n">
        <x:v>7.36</x:v>
      </x:c>
      <x:c r="F1556" s="11" t="n">
        <x:f>0</x:f>
        <x:v>0</x:v>
      </x:c>
      <x:c r="G1556" s="8" t="str">
        <x:v>Current</x:v>
      </x:c>
    </x:row>
    <x:row r="1557" ht="32" customHeight="1">
      <x:c r="A1557" s="8" t="str">
        <x:v>drop:FC1:F1:fan:1:F239</x:v>
      </x:c>
      <x:c r="B1557" s="8" t="n">
        <x:v>2</x:v>
      </x:c>
      <x:c r="C1557" s="11" t="n">
        <x:v>36.02</x:v>
      </x:c>
      <x:c r="D1557" s="11" t="n">
        <x:v>7.02</x:v>
      </x:c>
      <x:c r="E1557" s="11" t="n">
        <x:v>7.36</x:v>
      </x:c>
      <x:c r="F1557" s="11" t="n">
        <x:f>SQRT((C1557-C1556)^2+(D1557-D1556)^2+(E1557-E1556)^2)</x:f>
        <x:v>0.48799999999999955</x:v>
      </x:c>
      <x:c r="G1557" s="8" t="str">
        <x:v>Current</x:v>
      </x:c>
    </x:row>
    <x:row r="1558" ht="32" customHeight="1">
      <x:c r="A1558" s="8" t="str">
        <x:v>drop:FC1:F1:fan:1:F239</x:v>
      </x:c>
      <x:c r="B1558" s="8" t="n">
        <x:v>3</x:v>
      </x:c>
      <x:c r="C1558" s="11" t="n">
        <x:v>36.02</x:v>
      </x:c>
      <x:c r="D1558" s="11" t="n">
        <x:v>7.065002717391305</x:v>
      </x:c>
      <x:c r="E1558" s="11" t="n">
        <x:v>7.05</x:v>
      </x:c>
      <x:c r="F1558" s="11" t="n">
        <x:f>SQRT((C1558-C1557)^2+(D1558-D1557)^2+(E1558-E1557)^2)</x:f>
        <x:v>0.3132494925336704</x:v>
      </x:c>
      <x:c r="G1558" s="8" t="str">
        <x:v>Current</x:v>
      </x:c>
    </x:row>
    <x:row r="1559" ht="32" customHeight="1">
      <x:c r="A1559" s="8" t="str">
        <x:v>drop:FC1:F1:fan:1:F239</x:v>
      </x:c>
      <x:c r="B1559" s="8" t="n">
        <x:v>4</x:v>
      </x:c>
      <x:c r="C1559" s="11" t="n">
        <x:v>34.725</x:v>
      </x:c>
      <x:c r="D1559" s="11" t="n">
        <x:v>7.065002717391305</x:v>
      </x:c>
      <x:c r="E1559" s="11" t="n">
        <x:v>7.05</x:v>
      </x:c>
      <x:c r="F1559" s="11" t="n">
        <x:f>SQRT((C1559-C1558)^2+(D1559-D1558)^2+(E1559-E1558)^2)</x:f>
        <x:v>1.2950000000000017</x:v>
      </x:c>
      <x:c r="G1559" s="8" t="str">
        <x:v>Current</x:v>
      </x:c>
    </x:row>
    <x:row r="1560" ht="32" customHeight="1">
      <x:c r="A1560" s="8" t="str">
        <x:v>drop:FC1:F1:fan:1:F239</x:v>
      </x:c>
      <x:c r="B1560" s="8" t="n">
        <x:v>5</x:v>
      </x:c>
      <x:c r="C1560" s="11" t="n">
        <x:v>34.725</x:v>
      </x:c>
      <x:c r="D1560" s="11" t="n">
        <x:v>8.988413043478262</x:v>
      </x:c>
      <x:c r="E1560" s="11" t="n">
        <x:v>4.4</x:v>
      </x:c>
      <x:c r="F1560" s="11" t="n">
        <x:f>SQRT((C1560-C1559)^2+(D1560-D1559)^2+(E1560-E1559)^2)</x:f>
        <x:v>3.2744476301351852</x:v>
      </x:c>
      <x:c r="G1560" s="8" t="str">
        <x:v>Current</x:v>
      </x:c>
    </x:row>
    <x:row r="1561" ht="32" customHeight="1">
      <x:c r="A1561" s="8" t="str">
        <x:v>drop:FC1:F1:fan:1:F239</x:v>
      </x:c>
      <x:c r="B1561" s="8" t="n">
        <x:v>6</x:v>
      </x:c>
      <x:c r="C1561" s="11" t="n">
        <x:v>34.725</x:v>
      </x:c>
      <x:c r="D1561" s="11" t="n">
        <x:v>9.028413043478261</x:v>
      </x:c>
      <x:c r="E1561" s="11" t="n">
        <x:v>4.4</x:v>
      </x:c>
      <x:c r="F1561" s="11" t="n">
        <x:f>SQRT((C1561-C1560)^2+(D1561-D1560)^2+(E1561-E1560)^2)</x:f>
        <x:v>0.03999999999999915</x:v>
      </x:c>
      <x:c r="G1561" s="8" t="str">
        <x:v>Current</x:v>
      </x:c>
    </x:row>
    <x:row r="1562" ht="32" customHeight="1">
      <x:c r="A1562" s="8" t="str">
        <x:v>drop:FC1:F1:fan:1:F239</x:v>
      </x:c>
      <x:c r="B1562" s="8" t="n">
        <x:v>7</x:v>
      </x:c>
      <x:c r="C1562" s="11" t="n">
        <x:v>34.725</x:v>
      </x:c>
      <x:c r="D1562" s="11" t="n">
        <x:v>3.9</x:v>
      </x:c>
      <x:c r="E1562" s="11" t="n">
        <x:v>4.4</x:v>
      </x:c>
      <x:c r="F1562" s="11" t="n">
        <x:f>SQRT((C1562-C1561)^2+(D1562-D1561)^2+(E1562-E1561)^2)</x:f>
        <x:v>5.128413043478261</x:v>
      </x:c>
      <x:c r="G1562" s="8" t="str">
        <x:v>Current</x:v>
      </x:c>
    </x:row>
    <x:row r="1563" ht="32" customHeight="1">
      <x:c r="A1563" s="8" t="str">
        <x:v>drop:FC1:F1:fan:1:F242</x:v>
      </x:c>
      <x:c r="B1563" s="8" t="n">
        <x:v>1</x:v>
      </x:c>
      <x:c r="C1563" s="11" t="n">
        <x:v>39.3</x:v>
      </x:c>
      <x:c r="D1563" s="11" t="n">
        <x:v>6.532</x:v>
      </x:c>
      <x:c r="E1563" s="11" t="n">
        <x:v>13.24</x:v>
      </x:c>
      <x:c r="F1563" s="11" t="n">
        <x:f>0</x:f>
        <x:v>0</x:v>
      </x:c>
      <x:c r="G1563" s="8" t="str">
        <x:v>Current</x:v>
      </x:c>
    </x:row>
    <x:row r="1564" ht="32" customHeight="1">
      <x:c r="A1564" s="8" t="str">
        <x:v>drop:FC1:F1:fan:1:F242</x:v>
      </x:c>
      <x:c r="B1564" s="8" t="n">
        <x:v>2</x:v>
      </x:c>
      <x:c r="C1564" s="11" t="n">
        <x:v>39.3</x:v>
      </x:c>
      <x:c r="D1564" s="11" t="n">
        <x:v>6.532</x:v>
      </x:c>
      <x:c r="E1564" s="11" t="n">
        <x:v>10.15</x:v>
      </x:c>
      <x:c r="F1564" s="11" t="n">
        <x:f>SQRT((C1564-C1563)^2+(D1564-D1563)^2+(E1564-E1563)^2)</x:f>
        <x:v>3.09</x:v>
      </x:c>
      <x:c r="G1564" s="8" t="str">
        <x:v>Current</x:v>
      </x:c>
    </x:row>
    <x:row r="1565" ht="32" customHeight="1">
      <x:c r="A1565" s="8" t="str">
        <x:v>drop:FC1:F1:fan:1:F242</x:v>
      </x:c>
      <x:c r="B1565" s="8" t="n">
        <x:v>3</x:v>
      </x:c>
      <x:c r="C1565" s="11" t="n">
        <x:v>39.3</x:v>
      </x:c>
      <x:c r="D1565" s="11" t="n">
        <x:v>8.398379999999996</x:v>
      </x:c>
      <x:c r="E1565" s="11" t="n">
        <x:v>10.15</x:v>
      </x:c>
      <x:c r="F1565" s="11" t="n">
        <x:f>SQRT((C1565-C1564)^2+(D1565-D1564)^2+(E1565-E1564)^2)</x:f>
        <x:v>1.866379999999996</x:v>
      </x:c>
      <x:c r="G1565" s="8" t="str">
        <x:v>Current</x:v>
      </x:c>
    </x:row>
    <x:row r="1566" ht="32" customHeight="1">
      <x:c r="A1566" s="8" t="str">
        <x:v>drop:FC1:F1:fan:1:F242</x:v>
      </x:c>
      <x:c r="B1566" s="8" t="n">
        <x:v>4</x:v>
      </x:c>
      <x:c r="C1566" s="11" t="n">
        <x:v>39.3</x:v>
      </x:c>
      <x:c r="D1566" s="11" t="n">
        <x:v>3.3</x:v>
      </x:c>
      <x:c r="E1566" s="11" t="n">
        <x:v>10.15</x:v>
      </x:c>
      <x:c r="F1566" s="11" t="n">
        <x:f>SQRT((C1566-C1565)^2+(D1566-D1565)^2+(E1566-E1565)^2)</x:f>
        <x:v>5.098379999999996</x:v>
      </x:c>
      <x:c r="G1566" s="8" t="str">
        <x:v>Current</x:v>
      </x:c>
    </x:row>
    <x:row r="1567" ht="32" customHeight="1">
      <x:c r="A1567" s="8" t="str">
        <x:v>drop:FC1:F1:fan:1:F243</x:v>
      </x:c>
      <x:c r="B1567" s="8" t="n">
        <x:v>1</x:v>
      </x:c>
      <x:c r="C1567" s="11" t="n">
        <x:v>41.85</x:v>
      </x:c>
      <x:c r="D1567" s="11" t="n">
        <x:v>6.532</x:v>
      </x:c>
      <x:c r="E1567" s="11" t="n">
        <x:v>13.24</x:v>
      </x:c>
      <x:c r="F1567" s="11" t="n">
        <x:f>0</x:f>
        <x:v>0</x:v>
      </x:c>
      <x:c r="G1567" s="8" t="str">
        <x:v>Current</x:v>
      </x:c>
    </x:row>
    <x:row r="1568" ht="32" customHeight="1">
      <x:c r="A1568" s="8" t="str">
        <x:v>drop:FC1:F1:fan:1:F243</x:v>
      </x:c>
      <x:c r="B1568" s="8" t="n">
        <x:v>2</x:v>
      </x:c>
      <x:c r="C1568" s="11" t="n">
        <x:v>41.85</x:v>
      </x:c>
      <x:c r="D1568" s="11" t="n">
        <x:v>6.532</x:v>
      </x:c>
      <x:c r="E1568" s="11" t="n">
        <x:v>10.15</x:v>
      </x:c>
      <x:c r="F1568" s="11" t="n">
        <x:f>SQRT((C1568-C1567)^2+(D1568-D1567)^2+(E1568-E1567)^2)</x:f>
        <x:v>3.09</x:v>
      </x:c>
      <x:c r="G1568" s="8" t="str">
        <x:v>Current</x:v>
      </x:c>
    </x:row>
    <x:row r="1569" ht="32" customHeight="1">
      <x:c r="A1569" s="8" t="str">
        <x:v>drop:FC1:F1:fan:1:F243</x:v>
      </x:c>
      <x:c r="B1569" s="8" t="n">
        <x:v>3</x:v>
      </x:c>
      <x:c r="C1569" s="11" t="n">
        <x:v>41.85</x:v>
      </x:c>
      <x:c r="D1569" s="11" t="n">
        <x:v>8.374770000000002</x:v>
      </x:c>
      <x:c r="E1569" s="11" t="n">
        <x:v>10.15</x:v>
      </x:c>
      <x:c r="F1569" s="11" t="n">
        <x:f>SQRT((C1569-C1568)^2+(D1569-D1568)^2+(E1569-E1568)^2)</x:f>
        <x:v>1.8427700000000016</x:v>
      </x:c>
      <x:c r="G1569" s="8" t="str">
        <x:v>Current</x:v>
      </x:c>
    </x:row>
    <x:row r="1570" ht="32" customHeight="1">
      <x:c r="A1570" s="8" t="str">
        <x:v>drop:FC1:F1:fan:1:F243</x:v>
      </x:c>
      <x:c r="B1570" s="8" t="n">
        <x:v>4</x:v>
      </x:c>
      <x:c r="C1570" s="11" t="n">
        <x:v>41.85</x:v>
      </x:c>
      <x:c r="D1570" s="11" t="n">
        <x:v>3.3</x:v>
      </x:c>
      <x:c r="E1570" s="11" t="n">
        <x:v>10.15</x:v>
      </x:c>
      <x:c r="F1570" s="11" t="n">
        <x:f>SQRT((C1570-C1569)^2+(D1570-D1569)^2+(E1570-E1569)^2)</x:f>
        <x:v>5.074770000000002</x:v>
      </x:c>
      <x:c r="G1570" s="8" t="str">
        <x:v>Current</x:v>
      </x:c>
    </x:row>
    <x:row r="1571" ht="32" customHeight="1">
      <x:c r="A1571" s="8" t="str">
        <x:v>trunk:DB2:F4:fan:-1</x:v>
      </x:c>
      <x:c r="B1571" s="8" t="n">
        <x:v>1</x:v>
      </x:c>
      <x:c r="C1571" s="11" t="n">
        <x:v>2.73</x:v>
      </x:c>
      <x:c r="D1571" s="11" t="n">
        <x:v>1.5</x:v>
      </x:c>
      <x:c r="E1571" s="11" t="n">
        <x:v>-3.3</x:v>
      </x:c>
      <x:c r="F1571" s="11" t="n">
        <x:f>0</x:f>
        <x:v>0</x:v>
      </x:c>
      <x:c r="G1571" s="8" t="str">
        <x:v>Current</x:v>
      </x:c>
    </x:row>
    <x:row r="1572" ht="32" customHeight="1">
      <x:c r="A1572" s="8" t="str">
        <x:v>trunk:DB2:F4:fan:-1</x:v>
      </x:c>
      <x:c r="B1572" s="8" t="n">
        <x:v>2</x:v>
      </x:c>
      <x:c r="C1572" s="11" t="n">
        <x:v>2.35</x:v>
      </x:c>
      <x:c r="D1572" s="11" t="n">
        <x:v>1.5</x:v>
      </x:c>
      <x:c r="E1572" s="11" t="n">
        <x:v>-3.3</x:v>
      </x:c>
      <x:c r="F1572" s="11" t="n">
        <x:f>SQRT((C1572-C1571)^2+(D1572-D1571)^2+(E1572-E1571)^2)</x:f>
        <x:v>0.3799999999999999</x:v>
      </x:c>
      <x:c r="G1572" s="8" t="str">
        <x:v>Current</x:v>
      </x:c>
    </x:row>
    <x:row r="1573" ht="32" customHeight="1">
      <x:c r="A1573" s="8" t="str">
        <x:v>trunk:DB2:F4:fan:-1</x:v>
      </x:c>
      <x:c r="B1573" s="8" t="n">
        <x:v>3</x:v>
      </x:c>
      <x:c r="C1573" s="11" t="n">
        <x:v>2.35</x:v>
      </x:c>
      <x:c r="D1573" s="11" t="n">
        <x:v>7.65</x:v>
      </x:c>
      <x:c r="E1573" s="11" t="n">
        <x:v>-3.3</x:v>
      </x:c>
      <x:c r="F1573" s="11" t="n">
        <x:f>SQRT((C1573-C1572)^2+(D1573-D1572)^2+(E1573-E1572)^2)</x:f>
        <x:v>6.15</x:v>
      </x:c>
      <x:c r="G1573" s="8" t="str">
        <x:v>Current</x:v>
      </x:c>
    </x:row>
    <x:row r="1574" ht="32" customHeight="1">
      <x:c r="A1574" s="8" t="str">
        <x:v>trunk:DB2:F4:fan:-1</x:v>
      </x:c>
      <x:c r="B1574" s="8" t="n">
        <x:v>4</x:v>
      </x:c>
      <x:c r="C1574" s="11" t="n">
        <x:v>2.35</x:v>
      </x:c>
      <x:c r="D1574" s="11" t="n">
        <x:v>7.65</x:v>
      </x:c>
      <x:c r="E1574" s="11" t="n">
        <x:v>-7.36</x:v>
      </x:c>
      <x:c r="F1574" s="11" t="n">
        <x:f>SQRT((C1574-C1573)^2+(D1574-D1573)^2+(E1574-E1573)^2)</x:f>
        <x:v>4.0600000000000005</x:v>
      </x:c>
      <x:c r="G1574" s="8" t="str">
        <x:v>Current</x:v>
      </x:c>
    </x:row>
    <x:row r="1575" ht="32" customHeight="1">
      <x:c r="A1575" s="8" t="str">
        <x:v>trunk:DB2:F4:fan:-1</x:v>
      </x:c>
      <x:c r="B1575" s="8" t="n">
        <x:v>5</x:v>
      </x:c>
      <x:c r="C1575" s="11" t="n">
        <x:v>2.35</x:v>
      </x:c>
      <x:c r="D1575" s="11" t="n">
        <x:v>6.574</x:v>
      </x:c>
      <x:c r="E1575" s="11" t="n">
        <x:v>-7.36</x:v>
      </x:c>
      <x:c r="F1575" s="11" t="n">
        <x:f>SQRT((C1575-C1574)^2+(D1575-D1574)^2+(E1575-E1574)^2)</x:f>
        <x:v>1.0760000000000005</x:v>
      </x:c>
      <x:c r="G1575" s="8" t="str">
        <x:v>Current</x:v>
      </x:c>
    </x:row>
    <x:row r="1576" ht="32" customHeight="1">
      <x:c r="A1576" s="8" t="str">
        <x:v>trunk:DB2:F4:fan:-1</x:v>
      </x:c>
      <x:c r="B1576" s="8" t="n">
        <x:v>6</x:v>
      </x:c>
      <x:c r="C1576" s="11" t="n">
        <x:v>2.655</x:v>
      </x:c>
      <x:c r="D1576" s="11" t="n">
        <x:v>6.574</x:v>
      </x:c>
      <x:c r="E1576" s="11" t="n">
        <x:v>-7.36</x:v>
      </x:c>
      <x:c r="F1576" s="11" t="n">
        <x:f>SQRT((C1576-C1575)^2+(D1576-D1575)^2+(E1576-E1575)^2)</x:f>
        <x:v>0.3049999999999997</x:v>
      </x:c>
      <x:c r="G1576" s="8" t="str">
        <x:v>Current</x:v>
      </x:c>
    </x:row>
    <x:row r="1577" ht="32" customHeight="1">
      <x:c r="A1577" s="8" t="str">
        <x:v>drop:DB2:F4:fan:-1:F250</x:v>
      </x:c>
      <x:c r="B1577" s="8" t="n">
        <x:v>1</x:v>
      </x:c>
      <x:c r="C1577" s="11" t="n">
        <x:v>2.655</x:v>
      </x:c>
      <x:c r="D1577" s="11" t="n">
        <x:v>6.574</x:v>
      </x:c>
      <x:c r="E1577" s="11" t="n">
        <x:v>-7.36</x:v>
      </x:c>
      <x:c r="F1577" s="11" t="n">
        <x:f>0</x:f>
        <x:v>0</x:v>
      </x:c>
      <x:c r="G1577" s="8" t="str">
        <x:v>Current</x:v>
      </x:c>
    </x:row>
    <x:row r="1578" ht="32" customHeight="1">
      <x:c r="A1578" s="8" t="str">
        <x:v>drop:DB2:F4:fan:-1:F250</x:v>
      </x:c>
      <x:c r="B1578" s="8" t="n">
        <x:v>2</x:v>
      </x:c>
      <x:c r="C1578" s="11" t="n">
        <x:v>2.35</x:v>
      </x:c>
      <x:c r="D1578" s="11" t="n">
        <x:v>7.65</x:v>
      </x:c>
      <x:c r="E1578" s="11" t="n">
        <x:v>-7.36</x:v>
      </x:c>
      <x:c r="F1578" s="11" t="n">
        <x:f>SQRT((C1578-C1577)^2+(D1578-D1577)^2+(E1578-E1577)^2)</x:f>
        <x:v>1.118392149471732</x:v>
      </x:c>
      <x:c r="G1578" s="8" t="str">
        <x:v>Current</x:v>
      </x:c>
    </x:row>
    <x:row r="1579" ht="32" customHeight="1">
      <x:c r="A1579" s="8" t="str">
        <x:v>drop:DB2:F4:fan:-1:F250</x:v>
      </x:c>
      <x:c r="B1579" s="8" t="n">
        <x:v>3</x:v>
      </x:c>
      <x:c r="C1579" s="11" t="n">
        <x:v>2.35</x:v>
      </x:c>
      <x:c r="D1579" s="11" t="n">
        <x:v>7.65</x:v>
      </x:c>
      <x:c r="E1579" s="11" t="n">
        <x:v>-3.05</x:v>
      </x:c>
      <x:c r="F1579" s="11" t="n">
        <x:f>SQRT((C1579-C1578)^2+(D1579-D1578)^2+(E1579-E1578)^2)</x:f>
        <x:v>4.3100000000000005</x:v>
      </x:c>
      <x:c r="G1579" s="8" t="str">
        <x:v>Current</x:v>
      </x:c>
    </x:row>
    <x:row r="1580" ht="32" customHeight="1">
      <x:c r="A1580" s="8" t="str">
        <x:v>drop:DB2:F4:fan:-1:F250</x:v>
      </x:c>
      <x:c r="B1580" s="8" t="n">
        <x:v>4</x:v>
      </x:c>
      <x:c r="C1580" s="11" t="n">
        <x:v>2.35</x:v>
      </x:c>
      <x:c r="D1580" s="11" t="n">
        <x:v>6</x:v>
      </x:c>
      <x:c r="E1580" s="11" t="n">
        <x:v>-3.05</x:v>
      </x:c>
      <x:c r="F1580" s="11" t="n">
        <x:f>SQRT((C1580-C1579)^2+(D1580-D1579)^2+(E1580-E1579)^2)</x:f>
        <x:v>1.6500000000000004</x:v>
      </x:c>
      <x:c r="G1580" s="8" t="str">
        <x:v>Current</x:v>
      </x:c>
    </x:row>
    <x:row r="1581" ht="32" customHeight="1">
      <x:c r="A1581" s="8" t="str">
        <x:v>drop:DB2:F4:fan:-1:F250</x:v>
      </x:c>
      <x:c r="B1581" s="8" t="n">
        <x:v>5</x:v>
      </x:c>
      <x:c r="C1581" s="11" t="n">
        <x:v>2.655</x:v>
      </x:c>
      <x:c r="D1581" s="11" t="n">
        <x:v>6</x:v>
      </x:c>
      <x:c r="E1581" s="11" t="n">
        <x:v>-3.05</x:v>
      </x:c>
      <x:c r="F1581" s="11" t="n">
        <x:f>SQRT((C1581-C1580)^2+(D1581-D1580)^2+(E1581-E1580)^2)</x:f>
        <x:v>0.3049999999999997</x:v>
      </x:c>
      <x:c r="G1581" s="8" t="str">
        <x:v>Current</x:v>
      </x:c>
    </x:row>
    <x:row r="1582" ht="32" customHeight="1">
      <x:c r="A1582" s="8" t="str">
        <x:v>trunk:DB2:F4:fan:1</x:v>
      </x:c>
      <x:c r="B1582" s="8" t="n">
        <x:v>1</x:v>
      </x:c>
      <x:c r="C1582" s="11" t="n">
        <x:v>2.73</x:v>
      </x:c>
      <x:c r="D1582" s="11" t="n">
        <x:v>1.5</x:v>
      </x:c>
      <x:c r="E1582" s="11" t="n">
        <x:v>-3.3</x:v>
      </x:c>
      <x:c r="F1582" s="11" t="n">
        <x:f>0</x:f>
        <x:v>0</x:v>
      </x:c>
      <x:c r="G1582" s="8" t="str">
        <x:v>Current</x:v>
      </x:c>
    </x:row>
    <x:row r="1583" ht="32" customHeight="1">
      <x:c r="A1583" s="8" t="str">
        <x:v>trunk:DB2:F4:fan:1</x:v>
      </x:c>
      <x:c r="B1583" s="8" t="n">
        <x:v>2</x:v>
      </x:c>
      <x:c r="C1583" s="11" t="n">
        <x:v>2.35</x:v>
      </x:c>
      <x:c r="D1583" s="11" t="n">
        <x:v>1.5</x:v>
      </x:c>
      <x:c r="E1583" s="11" t="n">
        <x:v>-3.3</x:v>
      </x:c>
      <x:c r="F1583" s="11" t="n">
        <x:f>SQRT((C1583-C1582)^2+(D1583-D1582)^2+(E1583-E1582)^2)</x:f>
        <x:v>0.3799999999999999</x:v>
      </x:c>
      <x:c r="G1583" s="8" t="str">
        <x:v>Current</x:v>
      </x:c>
    </x:row>
    <x:row r="1584" ht="32" customHeight="1">
      <x:c r="A1584" s="8" t="str">
        <x:v>trunk:DB2:F4:fan:1</x:v>
      </x:c>
      <x:c r="B1584" s="8" t="n">
        <x:v>3</x:v>
      </x:c>
      <x:c r="C1584" s="11" t="n">
        <x:v>2.35</x:v>
      </x:c>
      <x:c r="D1584" s="11" t="n">
        <x:v>7.65</x:v>
      </x:c>
      <x:c r="E1584" s="11" t="n">
        <x:v>-3.3</x:v>
      </x:c>
      <x:c r="F1584" s="11" t="n">
        <x:f>SQRT((C1584-C1583)^2+(D1584-D1583)^2+(E1584-E1583)^2)</x:f>
        <x:v>6.15</x:v>
      </x:c>
      <x:c r="G1584" s="8" t="str">
        <x:v>Current</x:v>
      </x:c>
    </x:row>
    <x:row r="1585" ht="32" customHeight="1">
      <x:c r="A1585" s="8" t="str">
        <x:v>trunk:DB2:F4:fan:1</x:v>
      </x:c>
      <x:c r="B1585" s="8" t="n">
        <x:v>4</x:v>
      </x:c>
      <x:c r="C1585" s="11" t="n">
        <x:v>2.35</x:v>
      </x:c>
      <x:c r="D1585" s="11" t="n">
        <x:v>7.65</x:v>
      </x:c>
      <x:c r="E1585" s="11" t="n">
        <x:v>7.36</x:v>
      </x:c>
      <x:c r="F1585" s="11" t="n">
        <x:f>SQRT((C1585-C1584)^2+(D1585-D1584)^2+(E1585-E1584)^2)</x:f>
        <x:v>10.66</x:v>
      </x:c>
      <x:c r="G1585" s="8" t="str">
        <x:v>Current</x:v>
      </x:c>
    </x:row>
    <x:row r="1586" ht="32" customHeight="1">
      <x:c r="A1586" s="8" t="str">
        <x:v>trunk:DB2:F4:fan:1</x:v>
      </x:c>
      <x:c r="B1586" s="8" t="n">
        <x:v>5</x:v>
      </x:c>
      <x:c r="C1586" s="11" t="n">
        <x:v>2.35</x:v>
      </x:c>
      <x:c r="D1586" s="11" t="n">
        <x:v>6.574</x:v>
      </x:c>
      <x:c r="E1586" s="11" t="n">
        <x:v>7.36</x:v>
      </x:c>
      <x:c r="F1586" s="11" t="n">
        <x:f>SQRT((C1586-C1585)^2+(D1586-D1585)^2+(E1586-E1585)^2)</x:f>
        <x:v>1.0760000000000005</x:v>
      </x:c>
      <x:c r="G1586" s="8" t="str">
        <x:v>Current</x:v>
      </x:c>
    </x:row>
    <x:row r="1587" ht="32" customHeight="1">
      <x:c r="A1587" s="8" t="str">
        <x:v>trunk:DB2:F4:fan:1</x:v>
      </x:c>
      <x:c r="B1587" s="8" t="n">
        <x:v>6</x:v>
      </x:c>
      <x:c r="C1587" s="11" t="n">
        <x:v>2.655</x:v>
      </x:c>
      <x:c r="D1587" s="11" t="n">
        <x:v>6.574</x:v>
      </x:c>
      <x:c r="E1587" s="11" t="n">
        <x:v>7.36</x:v>
      </x:c>
      <x:c r="F1587" s="11" t="n">
        <x:f>SQRT((C1587-C1586)^2+(D1587-D1586)^2+(E1587-E1586)^2)</x:f>
        <x:v>0.3049999999999997</x:v>
      </x:c>
      <x:c r="G1587" s="8" t="str">
        <x:v>Current</x:v>
      </x:c>
    </x:row>
    <x:row r="1588" ht="32" customHeight="1">
      <x:c r="A1588" s="8" t="str">
        <x:v>drop:DB2:F4:fan:1:F251</x:v>
      </x:c>
      <x:c r="B1588" s="8" t="n">
        <x:v>1</x:v>
      </x:c>
      <x:c r="C1588" s="11" t="n">
        <x:v>2.655</x:v>
      </x:c>
      <x:c r="D1588" s="11" t="n">
        <x:v>6.574</x:v>
      </x:c>
      <x:c r="E1588" s="11" t="n">
        <x:v>7.36</x:v>
      </x:c>
      <x:c r="F1588" s="11" t="n">
        <x:f>0</x:f>
        <x:v>0</x:v>
      </x:c>
      <x:c r="G1588" s="8" t="str">
        <x:v>Current</x:v>
      </x:c>
    </x:row>
    <x:row r="1589" ht="32" customHeight="1">
      <x:c r="A1589" s="8" t="str">
        <x:v>drop:DB2:F4:fan:1:F251</x:v>
      </x:c>
      <x:c r="B1589" s="8" t="n">
        <x:v>2</x:v>
      </x:c>
      <x:c r="C1589" s="11" t="n">
        <x:v>2.35</x:v>
      </x:c>
      <x:c r="D1589" s="11" t="n">
        <x:v>7.65</x:v>
      </x:c>
      <x:c r="E1589" s="11" t="n">
        <x:v>7.36</x:v>
      </x:c>
      <x:c r="F1589" s="11" t="n">
        <x:f>SQRT((C1589-C1588)^2+(D1589-D1588)^2+(E1589-E1588)^2)</x:f>
        <x:v>1.118392149471732</x:v>
      </x:c>
      <x:c r="G1589" s="8" t="str">
        <x:v>Current</x:v>
      </x:c>
    </x:row>
    <x:row r="1590" ht="32" customHeight="1">
      <x:c r="A1590" s="8" t="str">
        <x:v>drop:DB2:F4:fan:1:F251</x:v>
      </x:c>
      <x:c r="B1590" s="8" t="n">
        <x:v>3</x:v>
      </x:c>
      <x:c r="C1590" s="11" t="n">
        <x:v>2.35</x:v>
      </x:c>
      <x:c r="D1590" s="11" t="n">
        <x:v>7.65</x:v>
      </x:c>
      <x:c r="E1590" s="11" t="n">
        <x:v>3.05</x:v>
      </x:c>
      <x:c r="F1590" s="11" t="n">
        <x:f>SQRT((C1590-C1589)^2+(D1590-D1589)^2+(E1590-E1589)^2)</x:f>
        <x:v>4.3100000000000005</x:v>
      </x:c>
      <x:c r="G1590" s="8" t="str">
        <x:v>Current</x:v>
      </x:c>
    </x:row>
    <x:row r="1591" ht="32" customHeight="1">
      <x:c r="A1591" s="8" t="str">
        <x:v>drop:DB2:F4:fan:1:F251</x:v>
      </x:c>
      <x:c r="B1591" s="8" t="n">
        <x:v>4</x:v>
      </x:c>
      <x:c r="C1591" s="11" t="n">
        <x:v>2.35</x:v>
      </x:c>
      <x:c r="D1591" s="11" t="n">
        <x:v>6</x:v>
      </x:c>
      <x:c r="E1591" s="11" t="n">
        <x:v>3.05</x:v>
      </x:c>
      <x:c r="F1591" s="11" t="n">
        <x:f>SQRT((C1591-C1590)^2+(D1591-D1590)^2+(E1591-E1590)^2)</x:f>
        <x:v>1.6500000000000004</x:v>
      </x:c>
      <x:c r="G1591" s="8" t="str">
        <x:v>Current</x:v>
      </x:c>
    </x:row>
    <x:row r="1592" ht="32" customHeight="1">
      <x:c r="A1592" s="8" t="str">
        <x:v>drop:DB2:F4:fan:1:F251</x:v>
      </x:c>
      <x:c r="B1592" s="8" t="n">
        <x:v>5</x:v>
      </x:c>
      <x:c r="C1592" s="11" t="n">
        <x:v>2.655</x:v>
      </x:c>
      <x:c r="D1592" s="11" t="n">
        <x:v>6</x:v>
      </x:c>
      <x:c r="E1592" s="11" t="n">
        <x:v>3.05</x:v>
      </x:c>
      <x:c r="F1592" s="11" t="n">
        <x:f>SQRT((C1592-C1591)^2+(D1592-D1591)^2+(E1592-E1591)^2)</x:f>
        <x:v>0.3049999999999997</x:v>
      </x:c>
      <x:c r="G1592" s="8" t="str">
        <x:v>Current</x:v>
      </x:c>
    </x:row>
    <x:row r="1593" ht="32" customHeight="1">
      <x:c r="A1593" s="8" t="str">
        <x:v>trunk:FC1:V1:fan:-1</x:v>
      </x:c>
      <x:c r="B1593" s="8" t="n">
        <x:v>1</x:v>
      </x:c>
      <x:c r="C1593" s="11" t="n">
        <x:v>48.895</x:v>
      </x:c>
      <x:c r="D1593" s="11" t="n">
        <x:v>1.95</x:v>
      </x:c>
      <x:c r="E1593" s="11" t="n">
        <x:v>0.4</x:v>
      </x:c>
      <x:c r="F1593" s="11" t="n">
        <x:f>0</x:f>
        <x:v>0</x:v>
      </x:c>
      <x:c r="G1593" s="8" t="str">
        <x:v>Current</x:v>
      </x:c>
    </x:row>
    <x:row r="1594" ht="32" customHeight="1">
      <x:c r="A1594" s="8" t="str">
        <x:v>trunk:FC1:V1:fan:-1</x:v>
      </x:c>
      <x:c r="B1594" s="8" t="n">
        <x:v>2</x:v>
      </x:c>
      <x:c r="C1594" s="11" t="n">
        <x:v>48.735</x:v>
      </x:c>
      <x:c r="D1594" s="11" t="n">
        <x:v>1.95</x:v>
      </x:c>
      <x:c r="E1594" s="11" t="n">
        <x:v>0.4</x:v>
      </x:c>
      <x:c r="F1594" s="11" t="n">
        <x:f>SQRT((C1594-C1593)^2+(D1594-D1593)^2+(E1594-E1593)^2)</x:f>
        <x:v>0.1600000000000037</x:v>
      </x:c>
      <x:c r="G1594" s="8" t="str">
        <x:v>Current</x:v>
      </x:c>
    </x:row>
    <x:row r="1595" ht="32" customHeight="1">
      <x:c r="A1595" s="8" t="str">
        <x:v>trunk:FC1:V1:fan:-1</x:v>
      </x:c>
      <x:c r="B1595" s="8" t="n">
        <x:v>3</x:v>
      </x:c>
      <x:c r="C1595" s="11" t="n">
        <x:v>48.735</x:v>
      </x:c>
      <x:c r="D1595" s="11" t="n">
        <x:v>1.95</x:v>
      </x:c>
      <x:c r="E1595" s="11" t="n">
        <x:v>-2.24</x:v>
      </x:c>
      <x:c r="F1595" s="11" t="n">
        <x:f>SQRT((C1595-C1594)^2+(D1595-D1594)^2+(E1595-E1594)^2)</x:f>
        <x:v>2.64</x:v>
      </x:c>
      <x:c r="G1595" s="8" t="str">
        <x:v>Current</x:v>
      </x:c>
    </x:row>
    <x:row r="1596" ht="32" customHeight="1">
      <x:c r="A1596" s="8" t="str">
        <x:v>trunk:FC1:V1:fan:-1</x:v>
      </x:c>
      <x:c r="B1596" s="8" t="n">
        <x:v>4</x:v>
      </x:c>
      <x:c r="C1596" s="11" t="n">
        <x:v>48.735</x:v>
      </x:c>
      <x:c r="D1596" s="11" t="n">
        <x:v>4.02</x:v>
      </x:c>
      <x:c r="E1596" s="11" t="n">
        <x:v>-2.24</x:v>
      </x:c>
      <x:c r="F1596" s="11" t="n">
        <x:f>SQRT((C1596-C1595)^2+(D1596-D1595)^2+(E1596-E1595)^2)</x:f>
        <x:v>2.0699999999999994</x:v>
      </x:c>
      <x:c r="G1596" s="8" t="str">
        <x:v>Current</x:v>
      </x:c>
    </x:row>
    <x:row r="1597" ht="32" customHeight="1">
      <x:c r="A1597" s="8" t="str">
        <x:v>trunk:FC1:V1:fan:-1</x:v>
      </x:c>
      <x:c r="B1597" s="8" t="n">
        <x:v>5</x:v>
      </x:c>
      <x:c r="C1597" s="11" t="n">
        <x:v>48.735</x:v>
      </x:c>
      <x:c r="D1597" s="11" t="n">
        <x:v>4.02</x:v>
      </x:c>
      <x:c r="E1597" s="11" t="n">
        <x:v>-3.6</x:v>
      </x:c>
      <x:c r="F1597" s="11" t="n">
        <x:f>SQRT((C1597-C1596)^2+(D1597-D1596)^2+(E1597-E1596)^2)</x:f>
        <x:v>1.3599999999999999</x:v>
      </x:c>
      <x:c r="G1597" s="8" t="str">
        <x:v>Current</x:v>
      </x:c>
    </x:row>
    <x:row r="1598" ht="32" customHeight="1">
      <x:c r="A1598" s="8" t="str">
        <x:v>trunk:FC1:V1:fan:-1</x:v>
      </x:c>
      <x:c r="B1598" s="8" t="n">
        <x:v>6</x:v>
      </x:c>
      <x:c r="C1598" s="11" t="n">
        <x:v>53.05</x:v>
      </x:c>
      <x:c r="D1598" s="11" t="n">
        <x:v>4.02</x:v>
      </x:c>
      <x:c r="E1598" s="11" t="n">
        <x:v>-3.6</x:v>
      </x:c>
      <x:c r="F1598" s="11" t="n">
        <x:f>SQRT((C1598-C1597)^2+(D1598-D1597)^2+(E1598-E1597)^2)</x:f>
        <x:v>4.314999999999998</x:v>
      </x:c>
      <x:c r="G1598" s="8" t="str">
        <x:v>Current</x:v>
      </x:c>
    </x:row>
    <x:row r="1599" ht="32" customHeight="1">
      <x:c r="A1599" s="8" t="str">
        <x:v>trunk:FC1:V1:fan:-1</x:v>
      </x:c>
      <x:c r="B1599" s="8" t="n">
        <x:v>7</x:v>
      </x:c>
      <x:c r="C1599" s="11" t="n">
        <x:v>53.05</x:v>
      </x:c>
      <x:c r="D1599" s="11" t="n">
        <x:v>6.588</x:v>
      </x:c>
      <x:c r="E1599" s="11" t="n">
        <x:v>-3.6</x:v>
      </x:c>
      <x:c r="F1599" s="11" t="n">
        <x:f>SQRT((C1599-C1598)^2+(D1599-D1598)^2+(E1599-E1598)^2)</x:f>
        <x:v>2.5680000000000005</x:v>
      </x:c>
      <x:c r="G1599" s="8" t="str">
        <x:v>Current</x:v>
      </x:c>
    </x:row>
    <x:row r="1600" ht="32" customHeight="1">
      <x:c r="A1600" s="8" t="str">
        <x:v>trunk:FC1:V1:fan:-1</x:v>
      </x:c>
      <x:c r="B1600" s="8" t="n">
        <x:v>8</x:v>
      </x:c>
      <x:c r="C1600" s="11" t="n">
        <x:v>53.05</x:v>
      </x:c>
      <x:c r="D1600" s="11" t="n">
        <x:v>6.588</x:v>
      </x:c>
      <x:c r="E1600" s="11" t="n">
        <x:v>-7.36</x:v>
      </x:c>
      <x:c r="F1600" s="11" t="n">
        <x:f>SQRT((C1600-C1599)^2+(D1600-D1599)^2+(E1600-E1599)^2)</x:f>
        <x:v>3.7600000000000002</x:v>
      </x:c>
      <x:c r="G1600" s="8" t="str">
        <x:v>Current</x:v>
      </x:c>
    </x:row>
    <x:row r="1601" ht="32" customHeight="1">
      <x:c r="A1601" s="8" t="str">
        <x:v>trunk:FC1:V1:fan:-1</x:v>
      </x:c>
      <x:c r="B1601" s="8" t="n">
        <x:v>9</x:v>
      </x:c>
      <x:c r="C1601" s="11" t="n">
        <x:v>44.175</x:v>
      </x:c>
      <x:c r="D1601" s="11" t="n">
        <x:v>6.588</x:v>
      </x:c>
      <x:c r="E1601" s="11" t="n">
        <x:v>-7.36</x:v>
      </x:c>
      <x:c r="F1601" s="11" t="n">
        <x:f>SQRT((C1601-C1600)^2+(D1601-D1600)^2+(E1601-E1600)^2)</x:f>
        <x:v>8.875</x:v>
      </x:c>
      <x:c r="G1601" s="8" t="str">
        <x:v>Current</x:v>
      </x:c>
    </x:row>
    <x:row r="1602" ht="32" customHeight="1">
      <x:c r="A1602" s="8" t="str">
        <x:v>trunk:FC1:V1:fan:-1</x:v>
      </x:c>
      <x:c r="B1602" s="8" t="n">
        <x:v>10</x:v>
      </x:c>
      <x:c r="C1602" s="11" t="n">
        <x:v>44.175</x:v>
      </x:c>
      <x:c r="D1602" s="11" t="n">
        <x:v>6.588</x:v>
      </x:c>
      <x:c r="E1602" s="11" t="n">
        <x:v>-13.24</x:v>
      </x:c>
      <x:c r="F1602" s="11" t="n">
        <x:f>SQRT((C1602-C1601)^2+(D1602-D1601)^2+(E1602-E1601)^2)</x:f>
        <x:v>5.88</x:v>
      </x:c>
      <x:c r="G1602" s="8" t="str">
        <x:v>Current</x:v>
      </x:c>
    </x:row>
    <x:row r="1603" ht="32" customHeight="1">
      <x:c r="A1603" s="8" t="str">
        <x:v>trunk:FC1:V1:fan:-1</x:v>
      </x:c>
      <x:c r="B1603" s="8" t="n">
        <x:v>11</x:v>
      </x:c>
      <x:c r="C1603" s="11" t="n">
        <x:v>36.975</x:v>
      </x:c>
      <x:c r="D1603" s="11" t="n">
        <x:v>6.588</x:v>
      </x:c>
      <x:c r="E1603" s="11" t="n">
        <x:v>-13.24</x:v>
      </x:c>
      <x:c r="F1603" s="11" t="n">
        <x:f>SQRT((C1603-C1602)^2+(D1603-D1602)^2+(E1603-E1602)^2)</x:f>
        <x:v>7.199999999999996</x:v>
      </x:c>
      <x:c r="G1603" s="8" t="str">
        <x:v>Current</x:v>
      </x:c>
    </x:row>
    <x:row r="1604" ht="32" customHeight="1">
      <x:c r="A1604" s="8" t="str">
        <x:v>trunk:FC1:V1:fan:-1</x:v>
      </x:c>
      <x:c r="B1604" s="8" t="n">
        <x:v>12</x:v>
      </x:c>
      <x:c r="C1604" s="11" t="n">
        <x:v>36.975</x:v>
      </x:c>
      <x:c r="D1604" s="11" t="n">
        <x:v>6.588</x:v>
      </x:c>
      <x:c r="E1604" s="11" t="n">
        <x:v>-7.36</x:v>
      </x:c>
      <x:c r="F1604" s="11" t="n">
        <x:f>SQRT((C1604-C1603)^2+(D1604-D1603)^2+(E1604-E1603)^2)</x:f>
        <x:v>5.88</x:v>
      </x:c>
      <x:c r="G1604" s="8" t="str">
        <x:v>Current</x:v>
      </x:c>
    </x:row>
    <x:row r="1605" ht="32" customHeight="1">
      <x:c r="A1605" s="8" t="str">
        <x:v>trunk:FC1:V1:fan:-1</x:v>
      </x:c>
      <x:c r="B1605" s="8" t="n">
        <x:v>13</x:v>
      </x:c>
      <x:c r="C1605" s="11" t="n">
        <x:v>5.48</x:v>
      </x:c>
      <x:c r="D1605" s="11" t="n">
        <x:v>6.588</x:v>
      </x:c>
      <x:c r="E1605" s="11" t="n">
        <x:v>-7.36</x:v>
      </x:c>
      <x:c r="F1605" s="11" t="n">
        <x:f>SQRT((C1605-C1604)^2+(D1605-D1604)^2+(E1605-E1604)^2)</x:f>
        <x:v>31.495</x:v>
      </x:c>
      <x:c r="G1605" s="8" t="str">
        <x:v>Current</x:v>
      </x:c>
    </x:row>
    <x:row r="1606" ht="32" customHeight="1">
      <x:c r="A1606" s="8" t="str">
        <x:v>drop:FC1:V1:fan:-1:F252</x:v>
      </x:c>
      <x:c r="B1606" s="8" t="n">
        <x:v>1</x:v>
      </x:c>
      <x:c r="C1606" s="11" t="n">
        <x:v>5.48</x:v>
      </x:c>
      <x:c r="D1606" s="11" t="n">
        <x:v>6.588</x:v>
      </x:c>
      <x:c r="E1606" s="11" t="n">
        <x:v>-7.36</x:v>
      </x:c>
      <x:c r="F1606" s="11" t="n">
        <x:f>0</x:f>
        <x:v>0</x:v>
      </x:c>
      <x:c r="G1606" s="8" t="str">
        <x:v>Current</x:v>
      </x:c>
    </x:row>
    <x:row r="1607" ht="32" customHeight="1">
      <x:c r="A1607" s="8" t="str">
        <x:v>drop:FC1:V1:fan:-1:F252</x:v>
      </x:c>
      <x:c r="B1607" s="8" t="n">
        <x:v>2</x:v>
      </x:c>
      <x:c r="C1607" s="11" t="n">
        <x:v>5.475</x:v>
      </x:c>
      <x:c r="D1607" s="11" t="n">
        <x:v>6.588</x:v>
      </x:c>
      <x:c r="E1607" s="11" t="n">
        <x:v>-7.36</x:v>
      </x:c>
      <x:c r="F1607" s="11" t="n">
        <x:f>SQRT((C1607-C1606)^2+(D1607-D1606)^2+(E1607-E1606)^2)</x:f>
        <x:v>0.005000000000000782</x:v>
      </x:c>
      <x:c r="G1607" s="8" t="str">
        <x:v>Current</x:v>
      </x:c>
    </x:row>
    <x:row r="1608" ht="32" customHeight="1">
      <x:c r="A1608" s="8" t="str">
        <x:v>drop:FC1:V1:fan:-1:F252</x:v>
      </x:c>
      <x:c r="B1608" s="8" t="n">
        <x:v>3</x:v>
      </x:c>
      <x:c r="C1608" s="11" t="n">
        <x:v>5.475</x:v>
      </x:c>
      <x:c r="D1608" s="11" t="n">
        <x:v>6.588</x:v>
      </x:c>
      <x:c r="E1608" s="11" t="n">
        <x:v>-2.4</x:v>
      </x:c>
      <x:c r="F1608" s="11" t="n">
        <x:f>SQRT((C1608-C1607)^2+(D1608-D1607)^2+(E1608-E1607)^2)</x:f>
        <x:v>4.960000000000001</x:v>
      </x:c>
      <x:c r="G1608" s="8" t="str">
        <x:v>Current</x:v>
      </x:c>
    </x:row>
    <x:row r="1609" ht="32" customHeight="1">
      <x:c r="A1609" s="8" t="str">
        <x:v>drop:FC1:V1:fan:-1:F252</x:v>
      </x:c>
      <x:c r="B1609" s="8" t="n">
        <x:v>4</x:v>
      </x:c>
      <x:c r="C1609" s="11" t="n">
        <x:v>5.475</x:v>
      </x:c>
      <x:c r="D1609" s="11" t="n">
        <x:v>9.4</x:v>
      </x:c>
      <x:c r="E1609" s="11" t="n">
        <x:v>-2.4</x:v>
      </x:c>
      <x:c r="F1609" s="11" t="n">
        <x:f>SQRT((C1609-C1608)^2+(D1609-D1608)^2+(E1609-E1608)^2)</x:f>
        <x:v>2.8120000000000003</x:v>
      </x:c>
      <x:c r="G1609" s="8" t="str">
        <x:v>Current</x:v>
      </x:c>
    </x:row>
    <x:row r="1610" ht="32" customHeight="1">
      <x:c r="A1610" s="8" t="str">
        <x:v>drop:FC1:V1:fan:-1:F252</x:v>
      </x:c>
      <x:c r="B1610" s="8" t="n">
        <x:v>5</x:v>
      </x:c>
      <x:c r="C1610" s="11" t="n">
        <x:v>5.48</x:v>
      </x:c>
      <x:c r="D1610" s="11" t="n">
        <x:v>9.4</x:v>
      </x:c>
      <x:c r="E1610" s="11" t="n">
        <x:v>-2.4</x:v>
      </x:c>
      <x:c r="F1610" s="11" t="n">
        <x:f>SQRT((C1610-C1609)^2+(D1610-D1609)^2+(E1610-E1609)^2)</x:f>
        <x:v>0.005000000000000782</x:v>
      </x:c>
      <x:c r="G1610" s="8" t="str">
        <x:v>Current</x:v>
      </x:c>
    </x:row>
    <x:row r="1611" ht="32" customHeight="1">
      <x:c r="A1611" s="8" t="str">
        <x:v>drop:FC1:V1:fan:-1:F253</x:v>
      </x:c>
      <x:c r="B1611" s="8" t="n">
        <x:v>1</x:v>
      </x:c>
      <x:c r="C1611" s="11" t="n">
        <x:v>5.48</x:v>
      </x:c>
      <x:c r="D1611" s="11" t="n">
        <x:v>6.588</x:v>
      </x:c>
      <x:c r="E1611" s="11" t="n">
        <x:v>-7.36</x:v>
      </x:c>
      <x:c r="F1611" s="11" t="n">
        <x:f>0</x:f>
        <x:v>0</x:v>
      </x:c>
      <x:c r="G1611" s="8" t="str">
        <x:v>Current</x:v>
      </x:c>
    </x:row>
    <x:row r="1612" ht="32" customHeight="1">
      <x:c r="A1612" s="8" t="str">
        <x:v>drop:FC1:V1:fan:-1:F253</x:v>
      </x:c>
      <x:c r="B1612" s="8" t="n">
        <x:v>2</x:v>
      </x:c>
      <x:c r="C1612" s="11" t="n">
        <x:v>5.475</x:v>
      </x:c>
      <x:c r="D1612" s="11" t="n">
        <x:v>6.588</x:v>
      </x:c>
      <x:c r="E1612" s="11" t="n">
        <x:v>-7.36</x:v>
      </x:c>
      <x:c r="F1612" s="11" t="n">
        <x:f>SQRT((C1612-C1611)^2+(D1612-D1611)^2+(E1612-E1611)^2)</x:f>
        <x:v>0.005000000000000782</x:v>
      </x:c>
      <x:c r="G1612" s="8" t="str">
        <x:v>Current</x:v>
      </x:c>
    </x:row>
    <x:row r="1613" ht="32" customHeight="1">
      <x:c r="A1613" s="8" t="str">
        <x:v>drop:FC1:V1:fan:-1:F253</x:v>
      </x:c>
      <x:c r="B1613" s="8" t="n">
        <x:v>3</x:v>
      </x:c>
      <x:c r="C1613" s="11" t="n">
        <x:v>5.475</x:v>
      </x:c>
      <x:c r="D1613" s="11" t="n">
        <x:v>6.588</x:v>
      </x:c>
      <x:c r="E1613" s="11" t="n">
        <x:v>-0.8</x:v>
      </x:c>
      <x:c r="F1613" s="11" t="n">
        <x:f>SQRT((C1613-C1612)^2+(D1613-D1612)^2+(E1613-E1612)^2)</x:f>
        <x:v>6.5600000000000005</x:v>
      </x:c>
      <x:c r="G1613" s="8" t="str">
        <x:v>Current</x:v>
      </x:c>
    </x:row>
    <x:row r="1614" ht="32" customHeight="1">
      <x:c r="A1614" s="8" t="str">
        <x:v>drop:FC1:V1:fan:-1:F253</x:v>
      </x:c>
      <x:c r="B1614" s="8" t="n">
        <x:v>4</x:v>
      </x:c>
      <x:c r="C1614" s="11" t="n">
        <x:v>5.475</x:v>
      </x:c>
      <x:c r="D1614" s="11" t="n">
        <x:v>9.4</x:v>
      </x:c>
      <x:c r="E1614" s="11" t="n">
        <x:v>-0.8</x:v>
      </x:c>
      <x:c r="F1614" s="11" t="n">
        <x:f>SQRT((C1614-C1613)^2+(D1614-D1613)^2+(E1614-E1613)^2)</x:f>
        <x:v>2.8120000000000003</x:v>
      </x:c>
      <x:c r="G1614" s="8" t="str">
        <x:v>Current</x:v>
      </x:c>
    </x:row>
    <x:row r="1615" ht="32" customHeight="1">
      <x:c r="A1615" s="8" t="str">
        <x:v>drop:FC1:V1:fan:-1:F253</x:v>
      </x:c>
      <x:c r="B1615" s="8" t="n">
        <x:v>5</x:v>
      </x:c>
      <x:c r="C1615" s="11" t="n">
        <x:v>5.48</x:v>
      </x:c>
      <x:c r="D1615" s="11" t="n">
        <x:v>9.4</x:v>
      </x:c>
      <x:c r="E1615" s="11" t="n">
        <x:v>-0.8</x:v>
      </x:c>
      <x:c r="F1615" s="11" t="n">
        <x:f>SQRT((C1615-C1614)^2+(D1615-D1614)^2+(E1615-E1614)^2)</x:f>
        <x:v>0.005000000000000782</x:v>
      </x:c>
      <x:c r="G1615" s="8" t="str">
        <x:v>Current</x:v>
      </x:c>
    </x:row>
    <x:row r="1616" ht="32" customHeight="1">
      <x:c r="A1616" s="8" t="str">
        <x:v>drop:FC1:V1:fan:-1:F256</x:v>
      </x:c>
      <x:c r="B1616" s="8" t="n">
        <x:v>1</x:v>
      </x:c>
      <x:c r="C1616" s="11" t="n">
        <x:v>39.7</x:v>
      </x:c>
      <x:c r="D1616" s="11" t="n">
        <x:v>6.588</x:v>
      </x:c>
      <x:c r="E1616" s="11" t="n">
        <x:v>-13.24</x:v>
      </x:c>
      <x:c r="F1616" s="11" t="n">
        <x:f>0</x:f>
        <x:v>0</x:v>
      </x:c>
      <x:c r="G1616" s="8" t="str">
        <x:v>Current</x:v>
      </x:c>
    </x:row>
    <x:row r="1617" ht="32" customHeight="1">
      <x:c r="A1617" s="8" t="str">
        <x:v>drop:FC1:V1:fan:-1:F256</x:v>
      </x:c>
      <x:c r="B1617" s="8" t="n">
        <x:v>2</x:v>
      </x:c>
      <x:c r="C1617" s="11" t="n">
        <x:v>39.7</x:v>
      </x:c>
      <x:c r="D1617" s="11" t="n">
        <x:v>7.6</x:v>
      </x:c>
      <x:c r="E1617" s="11" t="n">
        <x:v>-13.24</x:v>
      </x:c>
      <x:c r="F1617" s="11" t="n">
        <x:f>SQRT((C1617-C1616)^2+(D1617-D1616)^2+(E1617-E1616)^2)</x:f>
        <x:v>1.0119999999999996</x:v>
      </x:c>
      <x:c r="G1617" s="8" t="str">
        <x:v>Current</x:v>
      </x:c>
    </x:row>
    <x:row r="1618" ht="32" customHeight="1">
      <x:c r="A1618" s="8" t="str">
        <x:v>drop:FC1:V1:fan:-1:F256</x:v>
      </x:c>
      <x:c r="B1618" s="8" t="n">
        <x:v>3</x:v>
      </x:c>
      <x:c r="C1618" s="11" t="n">
        <x:v>39.7</x:v>
      </x:c>
      <x:c r="D1618" s="11" t="n">
        <x:v>7.6</x:v>
      </x:c>
      <x:c r="E1618" s="11" t="n">
        <x:v>-13.13</x:v>
      </x:c>
      <x:c r="F1618" s="11" t="n">
        <x:f>SQRT((C1618-C1617)^2+(D1618-D1617)^2+(E1618-E1617)^2)</x:f>
        <x:v>0.10999999999999943</x:v>
      </x:c>
      <x:c r="G1618" s="8" t="str">
        <x:v>Current</x:v>
      </x:c>
    </x:row>
    <x:row r="1619" ht="32" customHeight="1">
      <x:c r="A1619" s="8" t="str">
        <x:v>drop:FC1:V1:fan:-1:F257</x:v>
      </x:c>
      <x:c r="B1619" s="8" t="n">
        <x:v>1</x:v>
      </x:c>
      <x:c r="C1619" s="11" t="n">
        <x:v>41.45</x:v>
      </x:c>
      <x:c r="D1619" s="11" t="n">
        <x:v>6.588</x:v>
      </x:c>
      <x:c r="E1619" s="11" t="n">
        <x:v>-13.24</x:v>
      </x:c>
      <x:c r="F1619" s="11" t="n">
        <x:f>0</x:f>
        <x:v>0</x:v>
      </x:c>
      <x:c r="G1619" s="8" t="str">
        <x:v>Current</x:v>
      </x:c>
    </x:row>
    <x:row r="1620" ht="32" customHeight="1">
      <x:c r="A1620" s="8" t="str">
        <x:v>drop:FC1:V1:fan:-1:F257</x:v>
      </x:c>
      <x:c r="B1620" s="8" t="n">
        <x:v>2</x:v>
      </x:c>
      <x:c r="C1620" s="11" t="n">
        <x:v>41.45</x:v>
      </x:c>
      <x:c r="D1620" s="11" t="n">
        <x:v>7.6</x:v>
      </x:c>
      <x:c r="E1620" s="11" t="n">
        <x:v>-13.24</x:v>
      </x:c>
      <x:c r="F1620" s="11" t="n">
        <x:f>SQRT((C1620-C1619)^2+(D1620-D1619)^2+(E1620-E1619)^2)</x:f>
        <x:v>1.0119999999999996</x:v>
      </x:c>
      <x:c r="G1620" s="8" t="str">
        <x:v>Current</x:v>
      </x:c>
    </x:row>
    <x:row r="1621" ht="32" customHeight="1">
      <x:c r="A1621" s="8" t="str">
        <x:v>drop:FC1:V1:fan:-1:F257</x:v>
      </x:c>
      <x:c r="B1621" s="8" t="n">
        <x:v>3</x:v>
      </x:c>
      <x:c r="C1621" s="11" t="n">
        <x:v>41.45</x:v>
      </x:c>
      <x:c r="D1621" s="11" t="n">
        <x:v>7.6</x:v>
      </x:c>
      <x:c r="E1621" s="11" t="n">
        <x:v>-13.13</x:v>
      </x:c>
      <x:c r="F1621" s="11" t="n">
        <x:f>SQRT((C1621-C1620)^2+(D1621-D1620)^2+(E1621-E1620)^2)</x:f>
        <x:v>0.10999999999999943</x:v>
      </x:c>
      <x:c r="G1621" s="8" t="str">
        <x:v>Current</x:v>
      </x:c>
    </x:row>
    <x:row r="1622" ht="32" customHeight="1">
      <x:c r="A1622" s="8" t="str">
        <x:v>drop:FC1:V1:fan:-1:F260</x:v>
      </x:c>
      <x:c r="B1622" s="8" t="n">
        <x:v>1</x:v>
      </x:c>
      <x:c r="C1622" s="11" t="n">
        <x:v>53.05</x:v>
      </x:c>
      <x:c r="D1622" s="11" t="n">
        <x:v>6.588</x:v>
      </x:c>
      <x:c r="E1622" s="11" t="n">
        <x:v>-7.36</x:v>
      </x:c>
      <x:c r="F1622" s="11" t="n">
        <x:f>0</x:f>
        <x:v>0</x:v>
      </x:c>
      <x:c r="G1622" s="8" t="str">
        <x:v>Current</x:v>
      </x:c>
    </x:row>
    <x:row r="1623" ht="32" customHeight="1">
      <x:c r="A1623" s="8" t="str">
        <x:v>drop:FC1:V1:fan:-1:F260</x:v>
      </x:c>
      <x:c r="B1623" s="8" t="n">
        <x:v>2</x:v>
      </x:c>
      <x:c r="C1623" s="11" t="n">
        <x:v>53.05</x:v>
      </x:c>
      <x:c r="D1623" s="11" t="n">
        <x:v>3.3</x:v>
      </x:c>
      <x:c r="E1623" s="11" t="n">
        <x:v>-7.36</x:v>
      </x:c>
      <x:c r="F1623" s="11" t="n">
        <x:f>SQRT((C1623-C1622)^2+(D1623-D1622)^2+(E1623-E1622)^2)</x:f>
        <x:v>3.2880000000000003</x:v>
      </x:c>
      <x:c r="G1623" s="8" t="str">
        <x:v>Current</x:v>
      </x:c>
    </x:row>
    <x:row r="1624" ht="32" customHeight="1">
      <x:c r="A1624" s="8" t="str">
        <x:v>drop:FC1:V1:fan:-1:F260</x:v>
      </x:c>
      <x:c r="B1624" s="8" t="n">
        <x:v>3</x:v>
      </x:c>
      <x:c r="C1624" s="11" t="n">
        <x:v>53.12</x:v>
      </x:c>
      <x:c r="D1624" s="11" t="n">
        <x:v>3.3</x:v>
      </x:c>
      <x:c r="E1624" s="11" t="n">
        <x:v>-7.36</x:v>
      </x:c>
      <x:c r="F1624" s="11" t="n">
        <x:f>SQRT((C1624-C1623)^2+(D1624-D1623)^2+(E1624-E1623)^2)</x:f>
        <x:v>0.07000000000000028</x:v>
      </x:c>
      <x:c r="G1624" s="8" t="str">
        <x:v>Current</x:v>
      </x:c>
    </x:row>
    <x:row r="1625" ht="32" customHeight="1">
      <x:c r="A1625" s="8" t="str">
        <x:v>drop:FC1:V1:fan:-1:F260</x:v>
      </x:c>
      <x:c r="B1625" s="8" t="n">
        <x:v>4</x:v>
      </x:c>
      <x:c r="C1625" s="11" t="n">
        <x:v>53.12</x:v>
      </x:c>
      <x:c r="D1625" s="11" t="n">
        <x:v>3.3</x:v>
      </x:c>
      <x:c r="E1625" s="11" t="n">
        <x:v>0</x:v>
      </x:c>
      <x:c r="F1625" s="11" t="n">
        <x:f>SQRT((C1625-C1624)^2+(D1625-D1624)^2+(E1625-E1624)^2)</x:f>
        <x:v>7.36</x:v>
      </x:c>
      <x:c r="G1625" s="8" t="str">
        <x:v>Current</x:v>
      </x:c>
    </x:row>
    <x:row r="1626" ht="32" customHeight="1">
      <x:c r="A1626" s="8" t="str">
        <x:v>trunk:FC1:V1:fan:1</x:v>
      </x:c>
      <x:c r="B1626" s="8" t="n">
        <x:v>1</x:v>
      </x:c>
      <x:c r="C1626" s="11" t="n">
        <x:v>48.895</x:v>
      </x:c>
      <x:c r="D1626" s="11" t="n">
        <x:v>1.95</x:v>
      </x:c>
      <x:c r="E1626" s="11" t="n">
        <x:v>0.4</x:v>
      </x:c>
      <x:c r="F1626" s="11" t="n">
        <x:f>0</x:f>
        <x:v>0</x:v>
      </x:c>
      <x:c r="G1626" s="8" t="str">
        <x:v>Current</x:v>
      </x:c>
    </x:row>
    <x:row r="1627" ht="32" customHeight="1">
      <x:c r="A1627" s="8" t="str">
        <x:v>trunk:FC1:V1:fan:1</x:v>
      </x:c>
      <x:c r="B1627" s="8" t="n">
        <x:v>2</x:v>
      </x:c>
      <x:c r="C1627" s="11" t="n">
        <x:v>48.735</x:v>
      </x:c>
      <x:c r="D1627" s="11" t="n">
        <x:v>1.95</x:v>
      </x:c>
      <x:c r="E1627" s="11" t="n">
        <x:v>0.4</x:v>
      </x:c>
      <x:c r="F1627" s="11" t="n">
        <x:f>SQRT((C1627-C1626)^2+(D1627-D1626)^2+(E1627-E1626)^2)</x:f>
        <x:v>0.1600000000000037</x:v>
      </x:c>
      <x:c r="G1627" s="8" t="str">
        <x:v>Current</x:v>
      </x:c>
    </x:row>
    <x:row r="1628" ht="32" customHeight="1">
      <x:c r="A1628" s="8" t="str">
        <x:v>trunk:FC1:V1:fan:1</x:v>
      </x:c>
      <x:c r="B1628" s="8" t="n">
        <x:v>3</x:v>
      </x:c>
      <x:c r="C1628" s="11" t="n">
        <x:v>48.735</x:v>
      </x:c>
      <x:c r="D1628" s="11" t="n">
        <x:v>1.95</x:v>
      </x:c>
      <x:c r="E1628" s="11" t="n">
        <x:v>-2.24</x:v>
      </x:c>
      <x:c r="F1628" s="11" t="n">
        <x:f>SQRT((C1628-C1627)^2+(D1628-D1627)^2+(E1628-E1627)^2)</x:f>
        <x:v>2.64</x:v>
      </x:c>
      <x:c r="G1628" s="8" t="str">
        <x:v>Current</x:v>
      </x:c>
    </x:row>
    <x:row r="1629" ht="32" customHeight="1">
      <x:c r="A1629" s="8" t="str">
        <x:v>trunk:FC1:V1:fan:1</x:v>
      </x:c>
      <x:c r="B1629" s="8" t="n">
        <x:v>4</x:v>
      </x:c>
      <x:c r="C1629" s="11" t="n">
        <x:v>48.735</x:v>
      </x:c>
      <x:c r="D1629" s="11" t="n">
        <x:v>4.02</x:v>
      </x:c>
      <x:c r="E1629" s="11" t="n">
        <x:v>-2.24</x:v>
      </x:c>
      <x:c r="F1629" s="11" t="n">
        <x:f>SQRT((C1629-C1628)^2+(D1629-D1628)^2+(E1629-E1628)^2)</x:f>
        <x:v>2.0699999999999994</x:v>
      </x:c>
      <x:c r="G1629" s="8" t="str">
        <x:v>Current</x:v>
      </x:c>
    </x:row>
    <x:row r="1630" ht="32" customHeight="1">
      <x:c r="A1630" s="8" t="str">
        <x:v>trunk:FC1:V1:fan:1</x:v>
      </x:c>
      <x:c r="B1630" s="8" t="n">
        <x:v>5</x:v>
      </x:c>
      <x:c r="C1630" s="11" t="n">
        <x:v>48.735</x:v>
      </x:c>
      <x:c r="D1630" s="11" t="n">
        <x:v>4.02</x:v>
      </x:c>
      <x:c r="E1630" s="11" t="n">
        <x:v>-3.6</x:v>
      </x:c>
      <x:c r="F1630" s="11" t="n">
        <x:f>SQRT((C1630-C1629)^2+(D1630-D1629)^2+(E1630-E1629)^2)</x:f>
        <x:v>1.3599999999999999</x:v>
      </x:c>
      <x:c r="G1630" s="8" t="str">
        <x:v>Current</x:v>
      </x:c>
    </x:row>
    <x:row r="1631" ht="32" customHeight="1">
      <x:c r="A1631" s="8" t="str">
        <x:v>trunk:FC1:V1:fan:1</x:v>
      </x:c>
      <x:c r="B1631" s="8" t="n">
        <x:v>6</x:v>
      </x:c>
      <x:c r="C1631" s="11" t="n">
        <x:v>53.05</x:v>
      </x:c>
      <x:c r="D1631" s="11" t="n">
        <x:v>4.02</x:v>
      </x:c>
      <x:c r="E1631" s="11" t="n">
        <x:v>-3.6</x:v>
      </x:c>
      <x:c r="F1631" s="11" t="n">
        <x:f>SQRT((C1631-C1630)^2+(D1631-D1630)^2+(E1631-E1630)^2)</x:f>
        <x:v>4.314999999999998</x:v>
      </x:c>
      <x:c r="G1631" s="8" t="str">
        <x:v>Current</x:v>
      </x:c>
    </x:row>
    <x:row r="1632" ht="32" customHeight="1">
      <x:c r="A1632" s="8" t="str">
        <x:v>trunk:FC1:V1:fan:1</x:v>
      </x:c>
      <x:c r="B1632" s="8" t="n">
        <x:v>7</x:v>
      </x:c>
      <x:c r="C1632" s="11" t="n">
        <x:v>53.05</x:v>
      </x:c>
      <x:c r="D1632" s="11" t="n">
        <x:v>6.588</x:v>
      </x:c>
      <x:c r="E1632" s="11" t="n">
        <x:v>-3.6</x:v>
      </x:c>
      <x:c r="F1632" s="11" t="n">
        <x:f>SQRT((C1632-C1631)^2+(D1632-D1631)^2+(E1632-E1631)^2)</x:f>
        <x:v>2.5680000000000005</x:v>
      </x:c>
      <x:c r="G1632" s="8" t="str">
        <x:v>Current</x:v>
      </x:c>
    </x:row>
    <x:row r="1633" ht="32" customHeight="1">
      <x:c r="A1633" s="8" t="str">
        <x:v>trunk:FC1:V1:fan:1</x:v>
      </x:c>
      <x:c r="B1633" s="8" t="n">
        <x:v>8</x:v>
      </x:c>
      <x:c r="C1633" s="11" t="n">
        <x:v>53.05</x:v>
      </x:c>
      <x:c r="D1633" s="11" t="n">
        <x:v>6.588</x:v>
      </x:c>
      <x:c r="E1633" s="11" t="n">
        <x:v>7.36</x:v>
      </x:c>
      <x:c r="F1633" s="11" t="n">
        <x:f>SQRT((C1633-C1632)^2+(D1633-D1632)^2+(E1633-E1632)^2)</x:f>
        <x:v>10.96</x:v>
      </x:c>
      <x:c r="G1633" s="8" t="str">
        <x:v>Current</x:v>
      </x:c>
    </x:row>
    <x:row r="1634" ht="32" customHeight="1">
      <x:c r="A1634" s="8" t="str">
        <x:v>trunk:FC1:V1:fan:1</x:v>
      </x:c>
      <x:c r="B1634" s="8" t="n">
        <x:v>9</x:v>
      </x:c>
      <x:c r="C1634" s="11" t="n">
        <x:v>44.175</x:v>
      </x:c>
      <x:c r="D1634" s="11" t="n">
        <x:v>6.588</x:v>
      </x:c>
      <x:c r="E1634" s="11" t="n">
        <x:v>7.36</x:v>
      </x:c>
      <x:c r="F1634" s="11" t="n">
        <x:f>SQRT((C1634-C1633)^2+(D1634-D1633)^2+(E1634-E1633)^2)</x:f>
        <x:v>8.875</x:v>
      </x:c>
      <x:c r="G1634" s="8" t="str">
        <x:v>Current</x:v>
      </x:c>
    </x:row>
    <x:row r="1635" ht="32" customHeight="1">
      <x:c r="A1635" s="8" t="str">
        <x:v>trunk:FC1:V1:fan:1</x:v>
      </x:c>
      <x:c r="B1635" s="8" t="n">
        <x:v>10</x:v>
      </x:c>
      <x:c r="C1635" s="11" t="n">
        <x:v>44.175</x:v>
      </x:c>
      <x:c r="D1635" s="11" t="n">
        <x:v>6.588</x:v>
      </x:c>
      <x:c r="E1635" s="11" t="n">
        <x:v>13.24</x:v>
      </x:c>
      <x:c r="F1635" s="11" t="n">
        <x:f>SQRT((C1635-C1634)^2+(D1635-D1634)^2+(E1635-E1634)^2)</x:f>
        <x:v>5.88</x:v>
      </x:c>
      <x:c r="G1635" s="8" t="str">
        <x:v>Current</x:v>
      </x:c>
    </x:row>
    <x:row r="1636" ht="32" customHeight="1">
      <x:c r="A1636" s="8" t="str">
        <x:v>trunk:FC1:V1:fan:1</x:v>
      </x:c>
      <x:c r="B1636" s="8" t="n">
        <x:v>11</x:v>
      </x:c>
      <x:c r="C1636" s="11" t="n">
        <x:v>36.975</x:v>
      </x:c>
      <x:c r="D1636" s="11" t="n">
        <x:v>6.588</x:v>
      </x:c>
      <x:c r="E1636" s="11" t="n">
        <x:v>13.24</x:v>
      </x:c>
      <x:c r="F1636" s="11" t="n">
        <x:f>SQRT((C1636-C1635)^2+(D1636-D1635)^2+(E1636-E1635)^2)</x:f>
        <x:v>7.199999999999996</x:v>
      </x:c>
      <x:c r="G1636" s="8" t="str">
        <x:v>Current</x:v>
      </x:c>
    </x:row>
    <x:row r="1637" ht="32" customHeight="1">
      <x:c r="A1637" s="8" t="str">
        <x:v>trunk:FC1:V1:fan:1</x:v>
      </x:c>
      <x:c r="B1637" s="8" t="n">
        <x:v>12</x:v>
      </x:c>
      <x:c r="C1637" s="11" t="n">
        <x:v>36.975</x:v>
      </x:c>
      <x:c r="D1637" s="11" t="n">
        <x:v>6.588</x:v>
      </x:c>
      <x:c r="E1637" s="11" t="n">
        <x:v>7.36</x:v>
      </x:c>
      <x:c r="F1637" s="11" t="n">
        <x:f>SQRT((C1637-C1636)^2+(D1637-D1636)^2+(E1637-E1636)^2)</x:f>
        <x:v>5.88</x:v>
      </x:c>
      <x:c r="G1637" s="8" t="str">
        <x:v>Current</x:v>
      </x:c>
    </x:row>
    <x:row r="1638" ht="32" customHeight="1">
      <x:c r="A1638" s="8" t="str">
        <x:v>trunk:FC1:V1:fan:1</x:v>
      </x:c>
      <x:c r="B1638" s="8" t="n">
        <x:v>13</x:v>
      </x:c>
      <x:c r="C1638" s="11" t="n">
        <x:v>5.48</x:v>
      </x:c>
      <x:c r="D1638" s="11" t="n">
        <x:v>6.588</x:v>
      </x:c>
      <x:c r="E1638" s="11" t="n">
        <x:v>7.36</x:v>
      </x:c>
      <x:c r="F1638" s="11" t="n">
        <x:f>SQRT((C1638-C1637)^2+(D1638-D1637)^2+(E1638-E1637)^2)</x:f>
        <x:v>31.495</x:v>
      </x:c>
      <x:c r="G1638" s="8" t="str">
        <x:v>Current</x:v>
      </x:c>
    </x:row>
    <x:row r="1639" ht="32" customHeight="1">
      <x:c r="A1639" s="8" t="str">
        <x:v>drop:FC1:V1:fan:1:F254</x:v>
      </x:c>
      <x:c r="B1639" s="8" t="n">
        <x:v>1</x:v>
      </x:c>
      <x:c r="C1639" s="11" t="n">
        <x:v>5.48</x:v>
      </x:c>
      <x:c r="D1639" s="11" t="n">
        <x:v>6.588</x:v>
      </x:c>
      <x:c r="E1639" s="11" t="n">
        <x:v>7.36</x:v>
      </x:c>
      <x:c r="F1639" s="11" t="n">
        <x:f>0</x:f>
        <x:v>0</x:v>
      </x:c>
      <x:c r="G1639" s="8" t="str">
        <x:v>Current</x:v>
      </x:c>
    </x:row>
    <x:row r="1640" ht="32" customHeight="1">
      <x:c r="A1640" s="8" t="str">
        <x:v>drop:FC1:V1:fan:1:F254</x:v>
      </x:c>
      <x:c r="B1640" s="8" t="n">
        <x:v>2</x:v>
      </x:c>
      <x:c r="C1640" s="11" t="n">
        <x:v>5.475</x:v>
      </x:c>
      <x:c r="D1640" s="11" t="n">
        <x:v>6.588</x:v>
      </x:c>
      <x:c r="E1640" s="11" t="n">
        <x:v>7.36</x:v>
      </x:c>
      <x:c r="F1640" s="11" t="n">
        <x:f>SQRT((C1640-C1639)^2+(D1640-D1639)^2+(E1640-E1639)^2)</x:f>
        <x:v>0.005000000000000782</x:v>
      </x:c>
      <x:c r="G1640" s="8" t="str">
        <x:v>Current</x:v>
      </x:c>
    </x:row>
    <x:row r="1641" ht="32" customHeight="1">
      <x:c r="A1641" s="8" t="str">
        <x:v>drop:FC1:V1:fan:1:F254</x:v>
      </x:c>
      <x:c r="B1641" s="8" t="n">
        <x:v>3</x:v>
      </x:c>
      <x:c r="C1641" s="11" t="n">
        <x:v>5.475</x:v>
      </x:c>
      <x:c r="D1641" s="11" t="n">
        <x:v>6.588</x:v>
      </x:c>
      <x:c r="E1641" s="11" t="n">
        <x:v>0.8</x:v>
      </x:c>
      <x:c r="F1641" s="11" t="n">
        <x:f>SQRT((C1641-C1640)^2+(D1641-D1640)^2+(E1641-E1640)^2)</x:f>
        <x:v>6.5600000000000005</x:v>
      </x:c>
      <x:c r="G1641" s="8" t="str">
        <x:v>Current</x:v>
      </x:c>
    </x:row>
    <x:row r="1642" ht="32" customHeight="1">
      <x:c r="A1642" s="8" t="str">
        <x:v>drop:FC1:V1:fan:1:F254</x:v>
      </x:c>
      <x:c r="B1642" s="8" t="n">
        <x:v>4</x:v>
      </x:c>
      <x:c r="C1642" s="11" t="n">
        <x:v>5.475</x:v>
      </x:c>
      <x:c r="D1642" s="11" t="n">
        <x:v>9.4</x:v>
      </x:c>
      <x:c r="E1642" s="11" t="n">
        <x:v>0.8</x:v>
      </x:c>
      <x:c r="F1642" s="11" t="n">
        <x:f>SQRT((C1642-C1641)^2+(D1642-D1641)^2+(E1642-E1641)^2)</x:f>
        <x:v>2.8120000000000003</x:v>
      </x:c>
      <x:c r="G1642" s="8" t="str">
        <x:v>Current</x:v>
      </x:c>
    </x:row>
    <x:row r="1643" ht="32" customHeight="1">
      <x:c r="A1643" s="8" t="str">
        <x:v>drop:FC1:V1:fan:1:F254</x:v>
      </x:c>
      <x:c r="B1643" s="8" t="n">
        <x:v>5</x:v>
      </x:c>
      <x:c r="C1643" s="11" t="n">
        <x:v>5.48</x:v>
      </x:c>
      <x:c r="D1643" s="11" t="n">
        <x:v>9.4</x:v>
      </x:c>
      <x:c r="E1643" s="11" t="n">
        <x:v>0.8</x:v>
      </x:c>
      <x:c r="F1643" s="11" t="n">
        <x:f>SQRT((C1643-C1642)^2+(D1643-D1642)^2+(E1643-E1642)^2)</x:f>
        <x:v>0.005000000000000782</x:v>
      </x:c>
      <x:c r="G1643" s="8" t="str">
        <x:v>Current</x:v>
      </x:c>
    </x:row>
    <x:row r="1644" ht="32" customHeight="1">
      <x:c r="A1644" s="8" t="str">
        <x:v>drop:FC1:V1:fan:1:F255</x:v>
      </x:c>
      <x:c r="B1644" s="8" t="n">
        <x:v>1</x:v>
      </x:c>
      <x:c r="C1644" s="11" t="n">
        <x:v>5.48</x:v>
      </x:c>
      <x:c r="D1644" s="11" t="n">
        <x:v>6.588</x:v>
      </x:c>
      <x:c r="E1644" s="11" t="n">
        <x:v>7.36</x:v>
      </x:c>
      <x:c r="F1644" s="11" t="n">
        <x:f>0</x:f>
        <x:v>0</x:v>
      </x:c>
      <x:c r="G1644" s="8" t="str">
        <x:v>Current</x:v>
      </x:c>
    </x:row>
    <x:row r="1645" ht="32" customHeight="1">
      <x:c r="A1645" s="8" t="str">
        <x:v>drop:FC1:V1:fan:1:F255</x:v>
      </x:c>
      <x:c r="B1645" s="8" t="n">
        <x:v>2</x:v>
      </x:c>
      <x:c r="C1645" s="11" t="n">
        <x:v>5.475</x:v>
      </x:c>
      <x:c r="D1645" s="11" t="n">
        <x:v>6.588</x:v>
      </x:c>
      <x:c r="E1645" s="11" t="n">
        <x:v>7.36</x:v>
      </x:c>
      <x:c r="F1645" s="11" t="n">
        <x:f>SQRT((C1645-C1644)^2+(D1645-D1644)^2+(E1645-E1644)^2)</x:f>
        <x:v>0.005000000000000782</x:v>
      </x:c>
      <x:c r="G1645" s="8" t="str">
        <x:v>Current</x:v>
      </x:c>
    </x:row>
    <x:row r="1646" ht="32" customHeight="1">
      <x:c r="A1646" s="8" t="str">
        <x:v>drop:FC1:V1:fan:1:F255</x:v>
      </x:c>
      <x:c r="B1646" s="8" t="n">
        <x:v>3</x:v>
      </x:c>
      <x:c r="C1646" s="11" t="n">
        <x:v>5.475</x:v>
      </x:c>
      <x:c r="D1646" s="11" t="n">
        <x:v>6.588</x:v>
      </x:c>
      <x:c r="E1646" s="11" t="n">
        <x:v>2.4</x:v>
      </x:c>
      <x:c r="F1646" s="11" t="n">
        <x:f>SQRT((C1646-C1645)^2+(D1646-D1645)^2+(E1646-E1645)^2)</x:f>
        <x:v>4.960000000000001</x:v>
      </x:c>
      <x:c r="G1646" s="8" t="str">
        <x:v>Current</x:v>
      </x:c>
    </x:row>
    <x:row r="1647" ht="32" customHeight="1">
      <x:c r="A1647" s="8" t="str">
        <x:v>drop:FC1:V1:fan:1:F255</x:v>
      </x:c>
      <x:c r="B1647" s="8" t="n">
        <x:v>4</x:v>
      </x:c>
      <x:c r="C1647" s="11" t="n">
        <x:v>5.475</x:v>
      </x:c>
      <x:c r="D1647" s="11" t="n">
        <x:v>9.4</x:v>
      </x:c>
      <x:c r="E1647" s="11" t="n">
        <x:v>2.4</x:v>
      </x:c>
      <x:c r="F1647" s="11" t="n">
        <x:f>SQRT((C1647-C1646)^2+(D1647-D1646)^2+(E1647-E1646)^2)</x:f>
        <x:v>2.8120000000000003</x:v>
      </x:c>
      <x:c r="G1647" s="8" t="str">
        <x:v>Current</x:v>
      </x:c>
    </x:row>
    <x:row r="1648" ht="32" customHeight="1">
      <x:c r="A1648" s="8" t="str">
        <x:v>drop:FC1:V1:fan:1:F255</x:v>
      </x:c>
      <x:c r="B1648" s="8" t="n">
        <x:v>5</x:v>
      </x:c>
      <x:c r="C1648" s="11" t="n">
        <x:v>5.48</x:v>
      </x:c>
      <x:c r="D1648" s="11" t="n">
        <x:v>9.4</x:v>
      </x:c>
      <x:c r="E1648" s="11" t="n">
        <x:v>2.4</x:v>
      </x:c>
      <x:c r="F1648" s="11" t="n">
        <x:f>SQRT((C1648-C1647)^2+(D1648-D1647)^2+(E1648-E1647)^2)</x:f>
        <x:v>0.005000000000000782</x:v>
      </x:c>
      <x:c r="G1648" s="8" t="str">
        <x:v>Current</x:v>
      </x:c>
    </x:row>
    <x:row r="1649" ht="32" customHeight="1">
      <x:c r="A1649" s="8" t="str">
        <x:v>drop:FC1:V1:fan:1:F258</x:v>
      </x:c>
      <x:c r="B1649" s="8" t="n">
        <x:v>1</x:v>
      </x:c>
      <x:c r="C1649" s="11" t="n">
        <x:v>39.7</x:v>
      </x:c>
      <x:c r="D1649" s="11" t="n">
        <x:v>6.588</x:v>
      </x:c>
      <x:c r="E1649" s="11" t="n">
        <x:v>13.24</x:v>
      </x:c>
      <x:c r="F1649" s="11" t="n">
        <x:f>0</x:f>
        <x:v>0</x:v>
      </x:c>
      <x:c r="G1649" s="8" t="str">
        <x:v>Current</x:v>
      </x:c>
    </x:row>
    <x:row r="1650" ht="32" customHeight="1">
      <x:c r="A1650" s="8" t="str">
        <x:v>drop:FC1:V1:fan:1:F258</x:v>
      </x:c>
      <x:c r="B1650" s="8" t="n">
        <x:v>2</x:v>
      </x:c>
      <x:c r="C1650" s="11" t="n">
        <x:v>39.7</x:v>
      </x:c>
      <x:c r="D1650" s="11" t="n">
        <x:v>7.6</x:v>
      </x:c>
      <x:c r="E1650" s="11" t="n">
        <x:v>13.24</x:v>
      </x:c>
      <x:c r="F1650" s="11" t="n">
        <x:f>SQRT((C1650-C1649)^2+(D1650-D1649)^2+(E1650-E1649)^2)</x:f>
        <x:v>1.0119999999999996</x:v>
      </x:c>
      <x:c r="G1650" s="8" t="str">
        <x:v>Current</x:v>
      </x:c>
    </x:row>
    <x:row r="1651" ht="32" customHeight="1">
      <x:c r="A1651" s="8" t="str">
        <x:v>drop:FC1:V1:fan:1:F258</x:v>
      </x:c>
      <x:c r="B1651" s="8" t="n">
        <x:v>3</x:v>
      </x:c>
      <x:c r="C1651" s="11" t="n">
        <x:v>39.7</x:v>
      </x:c>
      <x:c r="D1651" s="11" t="n">
        <x:v>7.6</x:v>
      </x:c>
      <x:c r="E1651" s="11" t="n">
        <x:v>13.13</x:v>
      </x:c>
      <x:c r="F1651" s="11" t="n">
        <x:f>SQRT((C1651-C1650)^2+(D1651-D1650)^2+(E1651-E1650)^2)</x:f>
        <x:v>0.10999999999999943</x:v>
      </x:c>
      <x:c r="G1651" s="8" t="str">
        <x:v>Current</x:v>
      </x:c>
    </x:row>
    <x:row r="1652" ht="32" customHeight="1">
      <x:c r="A1652" s="8" t="str">
        <x:v>drop:FC1:V1:fan:1:F259</x:v>
      </x:c>
      <x:c r="B1652" s="8" t="n">
        <x:v>1</x:v>
      </x:c>
      <x:c r="C1652" s="11" t="n">
        <x:v>41.45</x:v>
      </x:c>
      <x:c r="D1652" s="11" t="n">
        <x:v>6.588</x:v>
      </x:c>
      <x:c r="E1652" s="11" t="n">
        <x:v>13.24</x:v>
      </x:c>
      <x:c r="F1652" s="11" t="n">
        <x:f>0</x:f>
        <x:v>0</x:v>
      </x:c>
      <x:c r="G1652" s="8" t="str">
        <x:v>Current</x:v>
      </x:c>
    </x:row>
    <x:row r="1653" ht="32" customHeight="1">
      <x:c r="A1653" s="8" t="str">
        <x:v>drop:FC1:V1:fan:1:F259</x:v>
      </x:c>
      <x:c r="B1653" s="8" t="n">
        <x:v>2</x:v>
      </x:c>
      <x:c r="C1653" s="11" t="n">
        <x:v>41.45</x:v>
      </x:c>
      <x:c r="D1653" s="11" t="n">
        <x:v>7.6</x:v>
      </x:c>
      <x:c r="E1653" s="11" t="n">
        <x:v>13.24</x:v>
      </x:c>
      <x:c r="F1653" s="11" t="n">
        <x:f>SQRT((C1653-C1652)^2+(D1653-D1652)^2+(E1653-E1652)^2)</x:f>
        <x:v>1.0119999999999996</x:v>
      </x:c>
      <x:c r="G1653" s="8" t="str">
        <x:v>Current</x:v>
      </x:c>
    </x:row>
    <x:row r="1654" ht="32" customHeight="1">
      <x:c r="A1654" s="8" t="str">
        <x:v>drop:FC1:V1:fan:1:F259</x:v>
      </x:c>
      <x:c r="B1654" s="8" t="n">
        <x:v>3</x:v>
      </x:c>
      <x:c r="C1654" s="11" t="n">
        <x:v>41.45</x:v>
      </x:c>
      <x:c r="D1654" s="11" t="n">
        <x:v>7.6</x:v>
      </x:c>
      <x:c r="E1654" s="11" t="n">
        <x:v>13.13</x:v>
      </x:c>
      <x:c r="F1654" s="11" t="n">
        <x:f>SQRT((C1654-C1653)^2+(D1654-D1653)^2+(E1654-E1653)^2)</x:f>
        <x:v>0.10999999999999943</x:v>
      </x:c>
      <x:c r="G1654" s="8" t="str">
        <x:v>Current</x:v>
      </x:c>
    </x:row>
    <x:row r="1655" ht="32" customHeight="1">
      <x:c r="A1655" s="8" t="str">
        <x:v>trunk:AV1:A1:audio:-1</x:v>
      </x:c>
      <x:c r="B1655" s="8" t="n">
        <x:v>1</x:v>
      </x:c>
      <x:c r="C1655" s="11" t="n">
        <x:v>49.275</x:v>
      </x:c>
      <x:c r="D1655" s="11" t="n">
        <x:v>0.95</x:v>
      </x:c>
      <x:c r="E1655" s="11" t="n">
        <x:v>1.4</x:v>
      </x:c>
      <x:c r="F1655" s="11" t="n">
        <x:f>0</x:f>
        <x:v>0</x:v>
      </x:c>
      <x:c r="G1655" s="8" t="str">
        <x:v>Current</x:v>
      </x:c>
    </x:row>
    <x:row r="1656" ht="32" customHeight="1">
      <x:c r="A1656" s="8" t="str">
        <x:v>trunk:AV1:A1:audio:-1</x:v>
      </x:c>
      <x:c r="B1656" s="8" t="n">
        <x:v>2</x:v>
      </x:c>
      <x:c r="C1656" s="11" t="n">
        <x:v>48.735</x:v>
      </x:c>
      <x:c r="D1656" s="11" t="n">
        <x:v>0.95</x:v>
      </x:c>
      <x:c r="E1656" s="11" t="n">
        <x:v>1.4</x:v>
      </x:c>
      <x:c r="F1656" s="11" t="n">
        <x:f>SQRT((C1656-C1655)^2+(D1656-D1655)^2+(E1656-E1655)^2)</x:f>
        <x:v>0.5399999999999991</x:v>
      </x:c>
      <x:c r="G1656" s="8" t="str">
        <x:v>Current</x:v>
      </x:c>
    </x:row>
    <x:row r="1657" ht="32" customHeight="1">
      <x:c r="A1657" s="8" t="str">
        <x:v>trunk:AV1:A1:audio:-1</x:v>
      </x:c>
      <x:c r="B1657" s="8" t="n">
        <x:v>3</x:v>
      </x:c>
      <x:c r="C1657" s="11" t="n">
        <x:v>48.735</x:v>
      </x:c>
      <x:c r="D1657" s="11" t="n">
        <x:v>0.95</x:v>
      </x:c>
      <x:c r="E1657" s="11" t="n">
        <x:v>-2.24</x:v>
      </x:c>
      <x:c r="F1657" s="11" t="n">
        <x:f>SQRT((C1657-C1656)^2+(D1657-D1656)^2+(E1657-E1656)^2)</x:f>
        <x:v>3.64</x:v>
      </x:c>
      <x:c r="G1657" s="8" t="str">
        <x:v>Current</x:v>
      </x:c>
    </x:row>
    <x:row r="1658" ht="32" customHeight="1">
      <x:c r="A1658" s="8" t="str">
        <x:v>trunk:AV1:A1:audio:-1</x:v>
      </x:c>
      <x:c r="B1658" s="8" t="n">
        <x:v>4</x:v>
      </x:c>
      <x:c r="C1658" s="11" t="n">
        <x:v>48.735</x:v>
      </x:c>
      <x:c r="D1658" s="11" t="n">
        <x:v>4.02</x:v>
      </x:c>
      <x:c r="E1658" s="11" t="n">
        <x:v>-2.24</x:v>
      </x:c>
      <x:c r="F1658" s="11" t="n">
        <x:f>SQRT((C1658-C1657)^2+(D1658-D1657)^2+(E1658-E1657)^2)</x:f>
        <x:v>3.0699999999999994</x:v>
      </x:c>
      <x:c r="G1658" s="8" t="str">
        <x:v>Current</x:v>
      </x:c>
    </x:row>
    <x:row r="1659" ht="32" customHeight="1">
      <x:c r="A1659" s="8" t="str">
        <x:v>trunk:AV1:A1:audio:-1</x:v>
      </x:c>
      <x:c r="B1659" s="8" t="n">
        <x:v>5</x:v>
      </x:c>
      <x:c r="C1659" s="11" t="n">
        <x:v>48.735</x:v>
      </x:c>
      <x:c r="D1659" s="11" t="n">
        <x:v>4.02</x:v>
      </x:c>
      <x:c r="E1659" s="11" t="n">
        <x:v>-3.6</x:v>
      </x:c>
      <x:c r="F1659" s="11" t="n">
        <x:f>SQRT((C1659-C1658)^2+(D1659-D1658)^2+(E1659-E1658)^2)</x:f>
        <x:v>1.3599999999999999</x:v>
      </x:c>
      <x:c r="G1659" s="8" t="str">
        <x:v>Current</x:v>
      </x:c>
    </x:row>
    <x:row r="1660" ht="32" customHeight="1">
      <x:c r="A1660" s="8" t="str">
        <x:v>trunk:AV1:A1:audio:-1</x:v>
      </x:c>
      <x:c r="B1660" s="8" t="n">
        <x:v>6</x:v>
      </x:c>
      <x:c r="C1660" s="11" t="n">
        <x:v>53.05</x:v>
      </x:c>
      <x:c r="D1660" s="11" t="n">
        <x:v>4.02</x:v>
      </x:c>
      <x:c r="E1660" s="11" t="n">
        <x:v>-3.6</x:v>
      </x:c>
      <x:c r="F1660" s="11" t="n">
        <x:f>SQRT((C1660-C1659)^2+(D1660-D1659)^2+(E1660-E1659)^2)</x:f>
        <x:v>4.314999999999998</x:v>
      </x:c>
      <x:c r="G1660" s="8" t="str">
        <x:v>Current</x:v>
      </x:c>
    </x:row>
    <x:row r="1661" ht="32" customHeight="1">
      <x:c r="A1661" s="8" t="str">
        <x:v>trunk:AV1:A1:audio:-1</x:v>
      </x:c>
      <x:c r="B1661" s="8" t="n">
        <x:v>7</x:v>
      </x:c>
      <x:c r="C1661" s="11" t="n">
        <x:v>53.05</x:v>
      </x:c>
      <x:c r="D1661" s="11" t="n">
        <x:v>6.052</x:v>
      </x:c>
      <x:c r="E1661" s="11" t="n">
        <x:v>-3.6</x:v>
      </x:c>
      <x:c r="F1661" s="11" t="n">
        <x:f>SQRT((C1661-C1660)^2+(D1661-D1660)^2+(E1661-E1660)^2)</x:f>
        <x:v>2.032</x:v>
      </x:c>
      <x:c r="G1661" s="8" t="str">
        <x:v>Current</x:v>
      </x:c>
    </x:row>
    <x:row r="1662" ht="32" customHeight="1">
      <x:c r="A1662" s="8" t="str">
        <x:v>trunk:AV1:A1:audio:-1</x:v>
      </x:c>
      <x:c r="B1662" s="8" t="n">
        <x:v>8</x:v>
      </x:c>
      <x:c r="C1662" s="11" t="n">
        <x:v>53.05</x:v>
      </x:c>
      <x:c r="D1662" s="11" t="n">
        <x:v>6.052</x:v>
      </x:c>
      <x:c r="E1662" s="11" t="n">
        <x:v>-7.36</x:v>
      </x:c>
      <x:c r="F1662" s="11" t="n">
        <x:f>SQRT((C1662-C1661)^2+(D1662-D1661)^2+(E1662-E1661)^2)</x:f>
        <x:v>3.7600000000000002</x:v>
      </x:c>
      <x:c r="G1662" s="8" t="str">
        <x:v>Current</x:v>
      </x:c>
    </x:row>
    <x:row r="1663" ht="32" customHeight="1">
      <x:c r="A1663" s="8" t="str">
        <x:v>trunk:AV1:A1:audio:-1</x:v>
      </x:c>
      <x:c r="B1663" s="8" t="n">
        <x:v>9</x:v>
      </x:c>
      <x:c r="C1663" s="11" t="n">
        <x:v>44.175</x:v>
      </x:c>
      <x:c r="D1663" s="11" t="n">
        <x:v>6.052</x:v>
      </x:c>
      <x:c r="E1663" s="11" t="n">
        <x:v>-7.36</x:v>
      </x:c>
      <x:c r="F1663" s="11" t="n">
        <x:f>SQRT((C1663-C1662)^2+(D1663-D1662)^2+(E1663-E1662)^2)</x:f>
        <x:v>8.875</x:v>
      </x:c>
      <x:c r="G1663" s="8" t="str">
        <x:v>Current</x:v>
      </x:c>
    </x:row>
    <x:row r="1664" ht="32" customHeight="1">
      <x:c r="A1664" s="8" t="str">
        <x:v>trunk:AV1:A1:audio:-1</x:v>
      </x:c>
      <x:c r="B1664" s="8" t="n">
        <x:v>10</x:v>
      </x:c>
      <x:c r="C1664" s="11" t="n">
        <x:v>44.175</x:v>
      </x:c>
      <x:c r="D1664" s="11" t="n">
        <x:v>6.052</x:v>
      </x:c>
      <x:c r="E1664" s="11" t="n">
        <x:v>-13.24</x:v>
      </x:c>
      <x:c r="F1664" s="11" t="n">
        <x:f>SQRT((C1664-C1663)^2+(D1664-D1663)^2+(E1664-E1663)^2)</x:f>
        <x:v>5.88</x:v>
      </x:c>
      <x:c r="G1664" s="8" t="str">
        <x:v>Current</x:v>
      </x:c>
    </x:row>
    <x:row r="1665" ht="32" customHeight="1">
      <x:c r="A1665" s="8" t="str">
        <x:v>trunk:AV1:A1:audio:-1</x:v>
      </x:c>
      <x:c r="B1665" s="8" t="n">
        <x:v>11</x:v>
      </x:c>
      <x:c r="C1665" s="11" t="n">
        <x:v>36.975</x:v>
      </x:c>
      <x:c r="D1665" s="11" t="n">
        <x:v>6.052</x:v>
      </x:c>
      <x:c r="E1665" s="11" t="n">
        <x:v>-13.24</x:v>
      </x:c>
      <x:c r="F1665" s="11" t="n">
        <x:f>SQRT((C1665-C1664)^2+(D1665-D1664)^2+(E1665-E1664)^2)</x:f>
        <x:v>7.199999999999996</x:v>
      </x:c>
      <x:c r="G1665" s="8" t="str">
        <x:v>Current</x:v>
      </x:c>
    </x:row>
    <x:row r="1666" ht="32" customHeight="1">
      <x:c r="A1666" s="8" t="str">
        <x:v>trunk:AV1:A1:audio:-1</x:v>
      </x:c>
      <x:c r="B1666" s="8" t="n">
        <x:v>12</x:v>
      </x:c>
      <x:c r="C1666" s="11" t="n">
        <x:v>36.975</x:v>
      </x:c>
      <x:c r="D1666" s="11" t="n">
        <x:v>6.052</x:v>
      </x:c>
      <x:c r="E1666" s="11" t="n">
        <x:v>-7.36</x:v>
      </x:c>
      <x:c r="F1666" s="11" t="n">
        <x:f>SQRT((C1666-C1665)^2+(D1666-D1665)^2+(E1666-E1665)^2)</x:f>
        <x:v>5.88</x:v>
      </x:c>
      <x:c r="G1666" s="8" t="str">
        <x:v>Current</x:v>
      </x:c>
    </x:row>
    <x:row r="1667" ht="32" customHeight="1">
      <x:c r="A1667" s="8" t="str">
        <x:v>trunk:AV1:A1:audio:-1</x:v>
      </x:c>
      <x:c r="B1667" s="8" t="n">
        <x:v>13</x:v>
      </x:c>
      <x:c r="C1667" s="11" t="n">
        <x:v>14.475</x:v>
      </x:c>
      <x:c r="D1667" s="11" t="n">
        <x:v>6.052</x:v>
      </x:c>
      <x:c r="E1667" s="11" t="n">
        <x:v>-7.36</x:v>
      </x:c>
      <x:c r="F1667" s="11" t="n">
        <x:f>SQRT((C1667-C1666)^2+(D1667-D1666)^2+(E1667-E1666)^2)</x:f>
        <x:v>22.5</x:v>
      </x:c>
      <x:c r="G1667" s="8" t="str">
        <x:v>Current</x:v>
      </x:c>
    </x:row>
    <x:row r="1668" ht="32" customHeight="1">
      <x:c r="A1668" s="8" t="str">
        <x:v>drop:AV1:A1:audio:-1:S261</x:v>
      </x:c>
      <x:c r="B1668" s="8" t="n">
        <x:v>1</x:v>
      </x:c>
      <x:c r="C1668" s="11" t="n">
        <x:v>14.475</x:v>
      </x:c>
      <x:c r="D1668" s="11" t="n">
        <x:v>6.052</x:v>
      </x:c>
      <x:c r="E1668" s="11" t="n">
        <x:v>-7.36</x:v>
      </x:c>
      <x:c r="F1668" s="11" t="n">
        <x:f>0</x:f>
        <x:v>0</x:v>
      </x:c>
      <x:c r="G1668" s="8" t="str">
        <x:v>Current</x:v>
      </x:c>
    </x:row>
    <x:row r="1669" ht="32" customHeight="1">
      <x:c r="A1669" s="8" t="str">
        <x:v>drop:AV1:A1:audio:-1:S261</x:v>
      </x:c>
      <x:c r="B1669" s="8" t="n">
        <x:v>2</x:v>
      </x:c>
      <x:c r="C1669" s="11" t="n">
        <x:v>14.475</x:v>
      </x:c>
      <x:c r="D1669" s="11" t="n">
        <x:v>3.45</x:v>
      </x:c>
      <x:c r="E1669" s="11" t="n">
        <x:v>-7.36</x:v>
      </x:c>
      <x:c r="F1669" s="11" t="n">
        <x:f>SQRT((C1669-C1668)^2+(D1669-D1668)^2+(E1669-E1668)^2)</x:f>
        <x:v>2.6019999999999994</x:v>
      </x:c>
      <x:c r="G1669" s="8" t="str">
        <x:v>Current</x:v>
      </x:c>
    </x:row>
    <x:row r="1670" ht="32" customHeight="1">
      <x:c r="A1670" s="8" t="str">
        <x:v>drop:AV1:A1:audio:-1:S261</x:v>
      </x:c>
      <x:c r="B1670" s="8" t="n">
        <x:v>3</x:v>
      </x:c>
      <x:c r="C1670" s="11" t="n">
        <x:v>14.475</x:v>
      </x:c>
      <x:c r="D1670" s="11" t="n">
        <x:v>3.45</x:v>
      </x:c>
      <x:c r="E1670" s="11" t="n">
        <x:v>-7.07</x:v>
      </x:c>
      <x:c r="F1670" s="11" t="n">
        <x:f>SQRT((C1670-C1669)^2+(D1670-D1669)^2+(E1670-E1669)^2)</x:f>
        <x:v>0.29000000000000004</x:v>
      </x:c>
      <x:c r="G1670" s="8" t="str">
        <x:v>Current</x:v>
      </x:c>
    </x:row>
    <x:row r="1671" ht="32" customHeight="1">
      <x:c r="A1671" s="8" t="str">
        <x:v>drop:AV1:A1:audio:-1:S263</x:v>
      </x:c>
      <x:c r="B1671" s="8" t="n">
        <x:v>1</x:v>
      </x:c>
      <x:c r="C1671" s="11" t="n">
        <x:v>18.975</x:v>
      </x:c>
      <x:c r="D1671" s="11" t="n">
        <x:v>6.052</x:v>
      </x:c>
      <x:c r="E1671" s="11" t="n">
        <x:v>-7.36</x:v>
      </x:c>
      <x:c r="F1671" s="11" t="n">
        <x:f>0</x:f>
        <x:v>0</x:v>
      </x:c>
      <x:c r="G1671" s="8" t="str">
        <x:v>Current</x:v>
      </x:c>
    </x:row>
    <x:row r="1672" ht="32" customHeight="1">
      <x:c r="A1672" s="8" t="str">
        <x:v>drop:AV1:A1:audio:-1:S263</x:v>
      </x:c>
      <x:c r="B1672" s="8" t="n">
        <x:v>2</x:v>
      </x:c>
      <x:c r="C1672" s="11" t="n">
        <x:v>18.975</x:v>
      </x:c>
      <x:c r="D1672" s="11" t="n">
        <x:v>3.45</x:v>
      </x:c>
      <x:c r="E1672" s="11" t="n">
        <x:v>-7.36</x:v>
      </x:c>
      <x:c r="F1672" s="11" t="n">
        <x:f>SQRT((C1672-C1671)^2+(D1672-D1671)^2+(E1672-E1671)^2)</x:f>
        <x:v>2.6019999999999994</x:v>
      </x:c>
      <x:c r="G1672" s="8" t="str">
        <x:v>Current</x:v>
      </x:c>
    </x:row>
    <x:row r="1673" ht="32" customHeight="1">
      <x:c r="A1673" s="8" t="str">
        <x:v>drop:AV1:A1:audio:-1:S263</x:v>
      </x:c>
      <x:c r="B1673" s="8" t="n">
        <x:v>3</x:v>
      </x:c>
      <x:c r="C1673" s="11" t="n">
        <x:v>18.975</x:v>
      </x:c>
      <x:c r="D1673" s="11" t="n">
        <x:v>3.45</x:v>
      </x:c>
      <x:c r="E1673" s="11" t="n">
        <x:v>-7.07</x:v>
      </x:c>
      <x:c r="F1673" s="11" t="n">
        <x:f>SQRT((C1673-C1672)^2+(D1673-D1672)^2+(E1673-E1672)^2)</x:f>
        <x:v>0.29000000000000004</x:v>
      </x:c>
      <x:c r="G1673" s="8" t="str">
        <x:v>Current</x:v>
      </x:c>
    </x:row>
    <x:row r="1674" ht="32" customHeight="1">
      <x:c r="A1674" s="8" t="str">
        <x:v>drop:AV1:A1:audio:-1:S265</x:v>
      </x:c>
      <x:c r="B1674" s="8" t="n">
        <x:v>1</x:v>
      </x:c>
      <x:c r="C1674" s="11" t="n">
        <x:v>23.475</x:v>
      </x:c>
      <x:c r="D1674" s="11" t="n">
        <x:v>6.052</x:v>
      </x:c>
      <x:c r="E1674" s="11" t="n">
        <x:v>-7.36</x:v>
      </x:c>
      <x:c r="F1674" s="11" t="n">
        <x:f>0</x:f>
        <x:v>0</x:v>
      </x:c>
      <x:c r="G1674" s="8" t="str">
        <x:v>Current</x:v>
      </x:c>
    </x:row>
    <x:row r="1675" ht="32" customHeight="1">
      <x:c r="A1675" s="8" t="str">
        <x:v>drop:AV1:A1:audio:-1:S265</x:v>
      </x:c>
      <x:c r="B1675" s="8" t="n">
        <x:v>2</x:v>
      </x:c>
      <x:c r="C1675" s="11" t="n">
        <x:v>23.475</x:v>
      </x:c>
      <x:c r="D1675" s="11" t="n">
        <x:v>3.45</x:v>
      </x:c>
      <x:c r="E1675" s="11" t="n">
        <x:v>-7.36</x:v>
      </x:c>
      <x:c r="F1675" s="11" t="n">
        <x:f>SQRT((C1675-C1674)^2+(D1675-D1674)^2+(E1675-E1674)^2)</x:f>
        <x:v>2.6019999999999994</x:v>
      </x:c>
      <x:c r="G1675" s="8" t="str">
        <x:v>Current</x:v>
      </x:c>
    </x:row>
    <x:row r="1676" ht="32" customHeight="1">
      <x:c r="A1676" s="8" t="str">
        <x:v>drop:AV1:A1:audio:-1:S265</x:v>
      </x:c>
      <x:c r="B1676" s="8" t="n">
        <x:v>3</x:v>
      </x:c>
      <x:c r="C1676" s="11" t="n">
        <x:v>23.475</x:v>
      </x:c>
      <x:c r="D1676" s="11" t="n">
        <x:v>3.45</x:v>
      </x:c>
      <x:c r="E1676" s="11" t="n">
        <x:v>-7.07</x:v>
      </x:c>
      <x:c r="F1676" s="11" t="n">
        <x:f>SQRT((C1676-C1675)^2+(D1676-D1675)^2+(E1676-E1675)^2)</x:f>
        <x:v>0.29000000000000004</x:v>
      </x:c>
      <x:c r="G1676" s="8" t="str">
        <x:v>Current</x:v>
      </x:c>
    </x:row>
    <x:row r="1677" ht="32" customHeight="1">
      <x:c r="A1677" s="8" t="str">
        <x:v>drop:AV1:A1:audio:-1:S267</x:v>
      </x:c>
      <x:c r="B1677" s="8" t="n">
        <x:v>1</x:v>
      </x:c>
      <x:c r="C1677" s="11" t="n">
        <x:v>27.975</x:v>
      </x:c>
      <x:c r="D1677" s="11" t="n">
        <x:v>6.052</x:v>
      </x:c>
      <x:c r="E1677" s="11" t="n">
        <x:v>-7.36</x:v>
      </x:c>
      <x:c r="F1677" s="11" t="n">
        <x:f>0</x:f>
        <x:v>0</x:v>
      </x:c>
      <x:c r="G1677" s="8" t="str">
        <x:v>Current</x:v>
      </x:c>
    </x:row>
    <x:row r="1678" ht="32" customHeight="1">
      <x:c r="A1678" s="8" t="str">
        <x:v>drop:AV1:A1:audio:-1:S267</x:v>
      </x:c>
      <x:c r="B1678" s="8" t="n">
        <x:v>2</x:v>
      </x:c>
      <x:c r="C1678" s="11" t="n">
        <x:v>27.975</x:v>
      </x:c>
      <x:c r="D1678" s="11" t="n">
        <x:v>3.45</x:v>
      </x:c>
      <x:c r="E1678" s="11" t="n">
        <x:v>-7.36</x:v>
      </x:c>
      <x:c r="F1678" s="11" t="n">
        <x:f>SQRT((C1678-C1677)^2+(D1678-D1677)^2+(E1678-E1677)^2)</x:f>
        <x:v>2.6019999999999994</x:v>
      </x:c>
      <x:c r="G1678" s="8" t="str">
        <x:v>Current</x:v>
      </x:c>
    </x:row>
    <x:row r="1679" ht="32" customHeight="1">
      <x:c r="A1679" s="8" t="str">
        <x:v>drop:AV1:A1:audio:-1:S267</x:v>
      </x:c>
      <x:c r="B1679" s="8" t="n">
        <x:v>3</x:v>
      </x:c>
      <x:c r="C1679" s="11" t="n">
        <x:v>27.975</x:v>
      </x:c>
      <x:c r="D1679" s="11" t="n">
        <x:v>3.45</x:v>
      </x:c>
      <x:c r="E1679" s="11" t="n">
        <x:v>-7.07</x:v>
      </x:c>
      <x:c r="F1679" s="11" t="n">
        <x:f>SQRT((C1679-C1678)^2+(D1679-D1678)^2+(E1679-E1678)^2)</x:f>
        <x:v>0.29000000000000004</x:v>
      </x:c>
      <x:c r="G1679" s="8" t="str">
        <x:v>Current</x:v>
      </x:c>
    </x:row>
    <x:row r="1680" ht="32" customHeight="1">
      <x:c r="A1680" s="8" t="str">
        <x:v>drop:AV1:A1:audio:-1:S269</x:v>
      </x:c>
      <x:c r="B1680" s="8" t="n">
        <x:v>1</x:v>
      </x:c>
      <x:c r="C1680" s="11" t="n">
        <x:v>32.475</x:v>
      </x:c>
      <x:c r="D1680" s="11" t="n">
        <x:v>6.052</x:v>
      </x:c>
      <x:c r="E1680" s="11" t="n">
        <x:v>-7.36</x:v>
      </x:c>
      <x:c r="F1680" s="11" t="n">
        <x:f>0</x:f>
        <x:v>0</x:v>
      </x:c>
      <x:c r="G1680" s="8" t="str">
        <x:v>Current</x:v>
      </x:c>
    </x:row>
    <x:row r="1681" ht="32" customHeight="1">
      <x:c r="A1681" s="8" t="str">
        <x:v>drop:AV1:A1:audio:-1:S269</x:v>
      </x:c>
      <x:c r="B1681" s="8" t="n">
        <x:v>2</x:v>
      </x:c>
      <x:c r="C1681" s="11" t="n">
        <x:v>32.475</x:v>
      </x:c>
      <x:c r="D1681" s="11" t="n">
        <x:v>3.45</x:v>
      </x:c>
      <x:c r="E1681" s="11" t="n">
        <x:v>-7.36</x:v>
      </x:c>
      <x:c r="F1681" s="11" t="n">
        <x:f>SQRT((C1681-C1680)^2+(D1681-D1680)^2+(E1681-E1680)^2)</x:f>
        <x:v>2.6019999999999994</x:v>
      </x:c>
      <x:c r="G1681" s="8" t="str">
        <x:v>Current</x:v>
      </x:c>
    </x:row>
    <x:row r="1682" ht="32" customHeight="1">
      <x:c r="A1682" s="8" t="str">
        <x:v>drop:AV1:A1:audio:-1:S269</x:v>
      </x:c>
      <x:c r="B1682" s="8" t="n">
        <x:v>3</x:v>
      </x:c>
      <x:c r="C1682" s="11" t="n">
        <x:v>32.475</x:v>
      </x:c>
      <x:c r="D1682" s="11" t="n">
        <x:v>3.45</x:v>
      </x:c>
      <x:c r="E1682" s="11" t="n">
        <x:v>-7.07</x:v>
      </x:c>
      <x:c r="F1682" s="11" t="n">
        <x:f>SQRT((C1682-C1681)^2+(D1682-D1681)^2+(E1682-E1681)^2)</x:f>
        <x:v>0.29000000000000004</x:v>
      </x:c>
      <x:c r="G1682" s="8" t="str">
        <x:v>Current</x:v>
      </x:c>
    </x:row>
    <x:row r="1683" ht="32" customHeight="1">
      <x:c r="A1683" s="8" t="str">
        <x:v>drop:AV1:A1:audio:-1:S271</x:v>
      </x:c>
      <x:c r="B1683" s="8" t="n">
        <x:v>1</x:v>
      </x:c>
      <x:c r="C1683" s="11" t="n">
        <x:v>36.975</x:v>
      </x:c>
      <x:c r="D1683" s="11" t="n">
        <x:v>6.052</x:v>
      </x:c>
      <x:c r="E1683" s="11" t="n">
        <x:v>-13.24</x:v>
      </x:c>
      <x:c r="F1683" s="11" t="n">
        <x:f>0</x:f>
        <x:v>0</x:v>
      </x:c>
      <x:c r="G1683" s="8" t="str">
        <x:v>Current</x:v>
      </x:c>
    </x:row>
    <x:row r="1684" ht="32" customHeight="1">
      <x:c r="A1684" s="8" t="str">
        <x:v>drop:AV1:A1:audio:-1:S271</x:v>
      </x:c>
      <x:c r="B1684" s="8" t="n">
        <x:v>2</x:v>
      </x:c>
      <x:c r="C1684" s="11" t="n">
        <x:v>36.975</x:v>
      </x:c>
      <x:c r="D1684" s="11" t="n">
        <x:v>3.45</x:v>
      </x:c>
      <x:c r="E1684" s="11" t="n">
        <x:v>-13.24</x:v>
      </x:c>
      <x:c r="F1684" s="11" t="n">
        <x:f>SQRT((C1684-C1683)^2+(D1684-D1683)^2+(E1684-E1683)^2)</x:f>
        <x:v>2.6019999999999994</x:v>
      </x:c>
      <x:c r="G1684" s="8" t="str">
        <x:v>Current</x:v>
      </x:c>
    </x:row>
    <x:row r="1685" ht="32" customHeight="1">
      <x:c r="A1685" s="8" t="str">
        <x:v>drop:AV1:A1:audio:-1:S271</x:v>
      </x:c>
      <x:c r="B1685" s="8" t="n">
        <x:v>3</x:v>
      </x:c>
      <x:c r="C1685" s="11" t="n">
        <x:v>36.975</x:v>
      </x:c>
      <x:c r="D1685" s="11" t="n">
        <x:v>3.45</x:v>
      </x:c>
      <x:c r="E1685" s="11" t="n">
        <x:v>-7.07</x:v>
      </x:c>
      <x:c r="F1685" s="11" t="n">
        <x:f>SQRT((C1685-C1684)^2+(D1685-D1684)^2+(E1685-E1684)^2)</x:f>
        <x:v>6.17</x:v>
      </x:c>
      <x:c r="G1685" s="8" t="str">
        <x:v>Current</x:v>
      </x:c>
    </x:row>
    <x:row r="1686" ht="32" customHeight="1">
      <x:c r="A1686" s="8" t="str">
        <x:v>drop:AV1:A1:audio:-1:S275</x:v>
      </x:c>
      <x:c r="B1686" s="8" t="n">
        <x:v>1</x:v>
      </x:c>
      <x:c r="C1686" s="11" t="n">
        <x:v>38.94</x:v>
      </x:c>
      <x:c r="D1686" s="11" t="n">
        <x:v>6.052</x:v>
      </x:c>
      <x:c r="E1686" s="11" t="n">
        <x:v>-13.24</x:v>
      </x:c>
      <x:c r="F1686" s="11" t="n">
        <x:f>0</x:f>
        <x:v>0</x:v>
      </x:c>
      <x:c r="G1686" s="8" t="str">
        <x:v>Current</x:v>
      </x:c>
    </x:row>
    <x:row r="1687" ht="32" customHeight="1">
      <x:c r="A1687" s="8" t="str">
        <x:v>drop:AV1:A1:audio:-1:S275</x:v>
      </x:c>
      <x:c r="B1687" s="8" t="n">
        <x:v>2</x:v>
      </x:c>
      <x:c r="C1687" s="11" t="n">
        <x:v>38.94</x:v>
      </x:c>
      <x:c r="D1687" s="11" t="n">
        <x:v>6.052</x:v>
      </x:c>
      <x:c r="E1687" s="11" t="n">
        <x:v>-11.6</x:v>
      </x:c>
      <x:c r="F1687" s="11" t="n">
        <x:f>SQRT((C1687-C1686)^2+(D1687-D1686)^2+(E1687-E1686)^2)</x:f>
        <x:v>1.6400000000000006</x:v>
      </x:c>
      <x:c r="G1687" s="8" t="str">
        <x:v>Current</x:v>
      </x:c>
    </x:row>
    <x:row r="1688" ht="32" customHeight="1">
      <x:c r="A1688" s="8" t="str">
        <x:v>drop:AV1:A1:audio:-1:S275</x:v>
      </x:c>
      <x:c r="B1688" s="8" t="n">
        <x:v>3</x:v>
      </x:c>
      <x:c r="C1688" s="11" t="n">
        <x:v>38.94</x:v>
      </x:c>
      <x:c r="D1688" s="11" t="n">
        <x:v>8.115059999999996</x:v>
      </x:c>
      <x:c r="E1688" s="11" t="n">
        <x:v>-11.6</x:v>
      </x:c>
      <x:c r="F1688" s="11" t="n">
        <x:f>SQRT((C1688-C1687)^2+(D1688-D1687)^2+(E1688-E1687)^2)</x:f>
        <x:v>2.0630599999999966</x:v>
      </x:c>
      <x:c r="G1688" s="8" t="str">
        <x:v>Current</x:v>
      </x:c>
    </x:row>
    <x:row r="1689" ht="32" customHeight="1">
      <x:c r="A1689" s="8" t="str">
        <x:v>drop:AV1:A1:audio:-1:S275</x:v>
      </x:c>
      <x:c r="B1689" s="8" t="n">
        <x:v>4</x:v>
      </x:c>
      <x:c r="C1689" s="11" t="n">
        <x:v>38.94</x:v>
      </x:c>
      <x:c r="D1689" s="11" t="n">
        <x:v>3</x:v>
      </x:c>
      <x:c r="E1689" s="11" t="n">
        <x:v>-11.6</x:v>
      </x:c>
      <x:c r="F1689" s="11" t="n">
        <x:f>SQRT((C1689-C1688)^2+(D1689-D1688)^2+(E1689-E1688)^2)</x:f>
        <x:v>5.115059999999996</x:v>
      </x:c>
      <x:c r="G1689" s="8" t="str">
        <x:v>Current</x:v>
      </x:c>
    </x:row>
    <x:row r="1690" ht="32" customHeight="1">
      <x:c r="A1690" s="8" t="str">
        <x:v>drop:AV1:A1:audio:-1:S276</x:v>
      </x:c>
      <x:c r="B1690" s="8" t="n">
        <x:v>1</x:v>
      </x:c>
      <x:c r="C1690" s="11" t="n">
        <x:v>42.22</x:v>
      </x:c>
      <x:c r="D1690" s="11" t="n">
        <x:v>6.052</x:v>
      </x:c>
      <x:c r="E1690" s="11" t="n">
        <x:v>-13.24</x:v>
      </x:c>
      <x:c r="F1690" s="11" t="n">
        <x:f>0</x:f>
        <x:v>0</x:v>
      </x:c>
      <x:c r="G1690" s="8" t="str">
        <x:v>Current</x:v>
      </x:c>
    </x:row>
    <x:row r="1691" ht="32" customHeight="1">
      <x:c r="A1691" s="8" t="str">
        <x:v>drop:AV1:A1:audio:-1:S276</x:v>
      </x:c>
      <x:c r="B1691" s="8" t="n">
        <x:v>2</x:v>
      </x:c>
      <x:c r="C1691" s="11" t="n">
        <x:v>42.22</x:v>
      </x:c>
      <x:c r="D1691" s="11" t="n">
        <x:v>6.052</x:v>
      </x:c>
      <x:c r="E1691" s="11" t="n">
        <x:v>-11.6</x:v>
      </x:c>
      <x:c r="F1691" s="11" t="n">
        <x:f>SQRT((C1691-C1690)^2+(D1691-D1690)^2+(E1691-E1690)^2)</x:f>
        <x:v>1.6400000000000006</x:v>
      </x:c>
      <x:c r="G1691" s="8" t="str">
        <x:v>Current</x:v>
      </x:c>
    </x:row>
    <x:row r="1692" ht="32" customHeight="1">
      <x:c r="A1692" s="8" t="str">
        <x:v>drop:AV1:A1:audio:-1:S276</x:v>
      </x:c>
      <x:c r="B1692" s="8" t="n">
        <x:v>3</x:v>
      </x:c>
      <x:c r="C1692" s="11" t="n">
        <x:v>42.22</x:v>
      </x:c>
      <x:c r="D1692" s="11" t="n">
        <x:v>8.083580000000003</x:v>
      </x:c>
      <x:c r="E1692" s="11" t="n">
        <x:v>-11.6</x:v>
      </x:c>
      <x:c r="F1692" s="11" t="n">
        <x:f>SQRT((C1692-C1691)^2+(D1692-D1691)^2+(E1692-E1691)^2)</x:f>
        <x:v>2.0315800000000035</x:v>
      </x:c>
      <x:c r="G1692" s="8" t="str">
        <x:v>Current</x:v>
      </x:c>
    </x:row>
    <x:row r="1693" ht="32" customHeight="1">
      <x:c r="A1693" s="8" t="str">
        <x:v>drop:AV1:A1:audio:-1:S276</x:v>
      </x:c>
      <x:c r="B1693" s="8" t="n">
        <x:v>4</x:v>
      </x:c>
      <x:c r="C1693" s="11" t="n">
        <x:v>42.22</x:v>
      </x:c>
      <x:c r="D1693" s="11" t="n">
        <x:v>3</x:v>
      </x:c>
      <x:c r="E1693" s="11" t="n">
        <x:v>-11.6</x:v>
      </x:c>
      <x:c r="F1693" s="11" t="n">
        <x:f>SQRT((C1693-C1692)^2+(D1693-D1692)^2+(E1693-E1692)^2)</x:f>
        <x:v>5.083580000000003</x:v>
      </x:c>
      <x:c r="G1693" s="8" t="str">
        <x:v>Current</x:v>
      </x:c>
    </x:row>
    <x:row r="1694" ht="32" customHeight="1">
      <x:c r="A1694" s="8" t="str">
        <x:v>trunk:AV1:A1:audio:1</x:v>
      </x:c>
      <x:c r="B1694" s="8" t="n">
        <x:v>1</x:v>
      </x:c>
      <x:c r="C1694" s="11" t="n">
        <x:v>49.275</x:v>
      </x:c>
      <x:c r="D1694" s="11" t="n">
        <x:v>0.95</x:v>
      </x:c>
      <x:c r="E1694" s="11" t="n">
        <x:v>1.4</x:v>
      </x:c>
      <x:c r="F1694" s="11" t="n">
        <x:f>0</x:f>
        <x:v>0</x:v>
      </x:c>
      <x:c r="G1694" s="8" t="str">
        <x:v>Current</x:v>
      </x:c>
    </x:row>
    <x:row r="1695" ht="32" customHeight="1">
      <x:c r="A1695" s="8" t="str">
        <x:v>trunk:AV1:A1:audio:1</x:v>
      </x:c>
      <x:c r="B1695" s="8" t="n">
        <x:v>2</x:v>
      </x:c>
      <x:c r="C1695" s="11" t="n">
        <x:v>48.735</x:v>
      </x:c>
      <x:c r="D1695" s="11" t="n">
        <x:v>0.95</x:v>
      </x:c>
      <x:c r="E1695" s="11" t="n">
        <x:v>1.4</x:v>
      </x:c>
      <x:c r="F1695" s="11" t="n">
        <x:f>SQRT((C1695-C1694)^2+(D1695-D1694)^2+(E1695-E1694)^2)</x:f>
        <x:v>0.5399999999999991</x:v>
      </x:c>
      <x:c r="G1695" s="8" t="str">
        <x:v>Current</x:v>
      </x:c>
    </x:row>
    <x:row r="1696" ht="32" customHeight="1">
      <x:c r="A1696" s="8" t="str">
        <x:v>trunk:AV1:A1:audio:1</x:v>
      </x:c>
      <x:c r="B1696" s="8" t="n">
        <x:v>3</x:v>
      </x:c>
      <x:c r="C1696" s="11" t="n">
        <x:v>48.735</x:v>
      </x:c>
      <x:c r="D1696" s="11" t="n">
        <x:v>0.95</x:v>
      </x:c>
      <x:c r="E1696" s="11" t="n">
        <x:v>-2.24</x:v>
      </x:c>
      <x:c r="F1696" s="11" t="n">
        <x:f>SQRT((C1696-C1695)^2+(D1696-D1695)^2+(E1696-E1695)^2)</x:f>
        <x:v>3.64</x:v>
      </x:c>
      <x:c r="G1696" s="8" t="str">
        <x:v>Current</x:v>
      </x:c>
    </x:row>
    <x:row r="1697" ht="32" customHeight="1">
      <x:c r="A1697" s="8" t="str">
        <x:v>trunk:AV1:A1:audio:1</x:v>
      </x:c>
      <x:c r="B1697" s="8" t="n">
        <x:v>4</x:v>
      </x:c>
      <x:c r="C1697" s="11" t="n">
        <x:v>48.735</x:v>
      </x:c>
      <x:c r="D1697" s="11" t="n">
        <x:v>4.02</x:v>
      </x:c>
      <x:c r="E1697" s="11" t="n">
        <x:v>-2.24</x:v>
      </x:c>
      <x:c r="F1697" s="11" t="n">
        <x:f>SQRT((C1697-C1696)^2+(D1697-D1696)^2+(E1697-E1696)^2)</x:f>
        <x:v>3.0699999999999994</x:v>
      </x:c>
      <x:c r="G1697" s="8" t="str">
        <x:v>Current</x:v>
      </x:c>
    </x:row>
    <x:row r="1698" ht="32" customHeight="1">
      <x:c r="A1698" s="8" t="str">
        <x:v>trunk:AV1:A1:audio:1</x:v>
      </x:c>
      <x:c r="B1698" s="8" t="n">
        <x:v>5</x:v>
      </x:c>
      <x:c r="C1698" s="11" t="n">
        <x:v>48.735</x:v>
      </x:c>
      <x:c r="D1698" s="11" t="n">
        <x:v>4.02</x:v>
      </x:c>
      <x:c r="E1698" s="11" t="n">
        <x:v>-3.6</x:v>
      </x:c>
      <x:c r="F1698" s="11" t="n">
        <x:f>SQRT((C1698-C1697)^2+(D1698-D1697)^2+(E1698-E1697)^2)</x:f>
        <x:v>1.3599999999999999</x:v>
      </x:c>
      <x:c r="G1698" s="8" t="str">
        <x:v>Current</x:v>
      </x:c>
    </x:row>
    <x:row r="1699" ht="32" customHeight="1">
      <x:c r="A1699" s="8" t="str">
        <x:v>trunk:AV1:A1:audio:1</x:v>
      </x:c>
      <x:c r="B1699" s="8" t="n">
        <x:v>6</x:v>
      </x:c>
      <x:c r="C1699" s="11" t="n">
        <x:v>53.05</x:v>
      </x:c>
      <x:c r="D1699" s="11" t="n">
        <x:v>4.02</x:v>
      </x:c>
      <x:c r="E1699" s="11" t="n">
        <x:v>-3.6</x:v>
      </x:c>
      <x:c r="F1699" s="11" t="n">
        <x:f>SQRT((C1699-C1698)^2+(D1699-D1698)^2+(E1699-E1698)^2)</x:f>
        <x:v>4.314999999999998</x:v>
      </x:c>
      <x:c r="G1699" s="8" t="str">
        <x:v>Current</x:v>
      </x:c>
    </x:row>
    <x:row r="1700" ht="32" customHeight="1">
      <x:c r="A1700" s="8" t="str">
        <x:v>trunk:AV1:A1:audio:1</x:v>
      </x:c>
      <x:c r="B1700" s="8" t="n">
        <x:v>7</x:v>
      </x:c>
      <x:c r="C1700" s="11" t="n">
        <x:v>53.05</x:v>
      </x:c>
      <x:c r="D1700" s="11" t="n">
        <x:v>6.052</x:v>
      </x:c>
      <x:c r="E1700" s="11" t="n">
        <x:v>-3.6</x:v>
      </x:c>
      <x:c r="F1700" s="11" t="n">
        <x:f>SQRT((C1700-C1699)^2+(D1700-D1699)^2+(E1700-E1699)^2)</x:f>
        <x:v>2.032</x:v>
      </x:c>
      <x:c r="G1700" s="8" t="str">
        <x:v>Current</x:v>
      </x:c>
    </x:row>
    <x:row r="1701" ht="32" customHeight="1">
      <x:c r="A1701" s="8" t="str">
        <x:v>trunk:AV1:A1:audio:1</x:v>
      </x:c>
      <x:c r="B1701" s="8" t="n">
        <x:v>8</x:v>
      </x:c>
      <x:c r="C1701" s="11" t="n">
        <x:v>53.05</x:v>
      </x:c>
      <x:c r="D1701" s="11" t="n">
        <x:v>6.052</x:v>
      </x:c>
      <x:c r="E1701" s="11" t="n">
        <x:v>7.36</x:v>
      </x:c>
      <x:c r="F1701" s="11" t="n">
        <x:f>SQRT((C1701-C1700)^2+(D1701-D1700)^2+(E1701-E1700)^2)</x:f>
        <x:v>10.96</x:v>
      </x:c>
      <x:c r="G1701" s="8" t="str">
        <x:v>Current</x:v>
      </x:c>
    </x:row>
    <x:row r="1702" ht="32" customHeight="1">
      <x:c r="A1702" s="8" t="str">
        <x:v>trunk:AV1:A1:audio:1</x:v>
      </x:c>
      <x:c r="B1702" s="8" t="n">
        <x:v>9</x:v>
      </x:c>
      <x:c r="C1702" s="11" t="n">
        <x:v>44.175</x:v>
      </x:c>
      <x:c r="D1702" s="11" t="n">
        <x:v>6.052</x:v>
      </x:c>
      <x:c r="E1702" s="11" t="n">
        <x:v>7.36</x:v>
      </x:c>
      <x:c r="F1702" s="11" t="n">
        <x:f>SQRT((C1702-C1701)^2+(D1702-D1701)^2+(E1702-E1701)^2)</x:f>
        <x:v>8.875</x:v>
      </x:c>
      <x:c r="G1702" s="8" t="str">
        <x:v>Current</x:v>
      </x:c>
    </x:row>
    <x:row r="1703" ht="32" customHeight="1">
      <x:c r="A1703" s="8" t="str">
        <x:v>trunk:AV1:A1:audio:1</x:v>
      </x:c>
      <x:c r="B1703" s="8" t="n">
        <x:v>10</x:v>
      </x:c>
      <x:c r="C1703" s="11" t="n">
        <x:v>44.175</x:v>
      </x:c>
      <x:c r="D1703" s="11" t="n">
        <x:v>6.052</x:v>
      </x:c>
      <x:c r="E1703" s="11" t="n">
        <x:v>13.24</x:v>
      </x:c>
      <x:c r="F1703" s="11" t="n">
        <x:f>SQRT((C1703-C1702)^2+(D1703-D1702)^2+(E1703-E1702)^2)</x:f>
        <x:v>5.88</x:v>
      </x:c>
      <x:c r="G1703" s="8" t="str">
        <x:v>Current</x:v>
      </x:c>
    </x:row>
    <x:row r="1704" ht="32" customHeight="1">
      <x:c r="A1704" s="8" t="str">
        <x:v>trunk:AV1:A1:audio:1</x:v>
      </x:c>
      <x:c r="B1704" s="8" t="n">
        <x:v>11</x:v>
      </x:c>
      <x:c r="C1704" s="11" t="n">
        <x:v>36.975</x:v>
      </x:c>
      <x:c r="D1704" s="11" t="n">
        <x:v>6.052</x:v>
      </x:c>
      <x:c r="E1704" s="11" t="n">
        <x:v>13.24</x:v>
      </x:c>
      <x:c r="F1704" s="11" t="n">
        <x:f>SQRT((C1704-C1703)^2+(D1704-D1703)^2+(E1704-E1703)^2)</x:f>
        <x:v>7.199999999999996</x:v>
      </x:c>
      <x:c r="G1704" s="8" t="str">
        <x:v>Current</x:v>
      </x:c>
    </x:row>
    <x:row r="1705" ht="32" customHeight="1">
      <x:c r="A1705" s="8" t="str">
        <x:v>trunk:AV1:A1:audio:1</x:v>
      </x:c>
      <x:c r="B1705" s="8" t="n">
        <x:v>12</x:v>
      </x:c>
      <x:c r="C1705" s="11" t="n">
        <x:v>36.975</x:v>
      </x:c>
      <x:c r="D1705" s="11" t="n">
        <x:v>6.052</x:v>
      </x:c>
      <x:c r="E1705" s="11" t="n">
        <x:v>7.36</x:v>
      </x:c>
      <x:c r="F1705" s="11" t="n">
        <x:f>SQRT((C1705-C1704)^2+(D1705-D1704)^2+(E1705-E1704)^2)</x:f>
        <x:v>5.88</x:v>
      </x:c>
      <x:c r="G1705" s="8" t="str">
        <x:v>Current</x:v>
      </x:c>
    </x:row>
    <x:row r="1706" ht="32" customHeight="1">
      <x:c r="A1706" s="8" t="str">
        <x:v>trunk:AV1:A1:audio:1</x:v>
      </x:c>
      <x:c r="B1706" s="8" t="n">
        <x:v>13</x:v>
      </x:c>
      <x:c r="C1706" s="11" t="n">
        <x:v>14.475</x:v>
      </x:c>
      <x:c r="D1706" s="11" t="n">
        <x:v>6.052</x:v>
      </x:c>
      <x:c r="E1706" s="11" t="n">
        <x:v>7.36</x:v>
      </x:c>
      <x:c r="F1706" s="11" t="n">
        <x:f>SQRT((C1706-C1705)^2+(D1706-D1705)^2+(E1706-E1705)^2)</x:f>
        <x:v>22.5</x:v>
      </x:c>
      <x:c r="G1706" s="8" t="str">
        <x:v>Current</x:v>
      </x:c>
    </x:row>
    <x:row r="1707" ht="32" customHeight="1">
      <x:c r="A1707" s="8" t="str">
        <x:v>drop:AV1:A1:audio:1:S262</x:v>
      </x:c>
      <x:c r="B1707" s="8" t="n">
        <x:v>1</x:v>
      </x:c>
      <x:c r="C1707" s="11" t="n">
        <x:v>14.475</x:v>
      </x:c>
      <x:c r="D1707" s="11" t="n">
        <x:v>6.052</x:v>
      </x:c>
      <x:c r="E1707" s="11" t="n">
        <x:v>7.36</x:v>
      </x:c>
      <x:c r="F1707" s="11" t="n">
        <x:f>0</x:f>
        <x:v>0</x:v>
      </x:c>
      <x:c r="G1707" s="8" t="str">
        <x:v>Current</x:v>
      </x:c>
    </x:row>
    <x:row r="1708" ht="32" customHeight="1">
      <x:c r="A1708" s="8" t="str">
        <x:v>drop:AV1:A1:audio:1:S262</x:v>
      </x:c>
      <x:c r="B1708" s="8" t="n">
        <x:v>2</x:v>
      </x:c>
      <x:c r="C1708" s="11" t="n">
        <x:v>14.475</x:v>
      </x:c>
      <x:c r="D1708" s="11" t="n">
        <x:v>3.45</x:v>
      </x:c>
      <x:c r="E1708" s="11" t="n">
        <x:v>7.36</x:v>
      </x:c>
      <x:c r="F1708" s="11" t="n">
        <x:f>SQRT((C1708-C1707)^2+(D1708-D1707)^2+(E1708-E1707)^2)</x:f>
        <x:v>2.6019999999999994</x:v>
      </x:c>
      <x:c r="G1708" s="8" t="str">
        <x:v>Current</x:v>
      </x:c>
    </x:row>
    <x:row r="1709" ht="32" customHeight="1">
      <x:c r="A1709" s="8" t="str">
        <x:v>drop:AV1:A1:audio:1:S262</x:v>
      </x:c>
      <x:c r="B1709" s="8" t="n">
        <x:v>3</x:v>
      </x:c>
      <x:c r="C1709" s="11" t="n">
        <x:v>14.475</x:v>
      </x:c>
      <x:c r="D1709" s="11" t="n">
        <x:v>3.45</x:v>
      </x:c>
      <x:c r="E1709" s="11" t="n">
        <x:v>7.07</x:v>
      </x:c>
      <x:c r="F1709" s="11" t="n">
        <x:f>SQRT((C1709-C1708)^2+(D1709-D1708)^2+(E1709-E1708)^2)</x:f>
        <x:v>0.29000000000000004</x:v>
      </x:c>
      <x:c r="G1709" s="8" t="str">
        <x:v>Current</x:v>
      </x:c>
    </x:row>
    <x:row r="1710" ht="32" customHeight="1">
      <x:c r="A1710" s="8" t="str">
        <x:v>drop:AV1:A1:audio:1:S264</x:v>
      </x:c>
      <x:c r="B1710" s="8" t="n">
        <x:v>1</x:v>
      </x:c>
      <x:c r="C1710" s="11" t="n">
        <x:v>18.975</x:v>
      </x:c>
      <x:c r="D1710" s="11" t="n">
        <x:v>6.052</x:v>
      </x:c>
      <x:c r="E1710" s="11" t="n">
        <x:v>7.36</x:v>
      </x:c>
      <x:c r="F1710" s="11" t="n">
        <x:f>0</x:f>
        <x:v>0</x:v>
      </x:c>
      <x:c r="G1710" s="8" t="str">
        <x:v>Current</x:v>
      </x:c>
    </x:row>
    <x:row r="1711" ht="32" customHeight="1">
      <x:c r="A1711" s="8" t="str">
        <x:v>drop:AV1:A1:audio:1:S264</x:v>
      </x:c>
      <x:c r="B1711" s="8" t="n">
        <x:v>2</x:v>
      </x:c>
      <x:c r="C1711" s="11" t="n">
        <x:v>18.975</x:v>
      </x:c>
      <x:c r="D1711" s="11" t="n">
        <x:v>3.45</x:v>
      </x:c>
      <x:c r="E1711" s="11" t="n">
        <x:v>7.36</x:v>
      </x:c>
      <x:c r="F1711" s="11" t="n">
        <x:f>SQRT((C1711-C1710)^2+(D1711-D1710)^2+(E1711-E1710)^2)</x:f>
        <x:v>2.6019999999999994</x:v>
      </x:c>
      <x:c r="G1711" s="8" t="str">
        <x:v>Current</x:v>
      </x:c>
    </x:row>
    <x:row r="1712" ht="32" customHeight="1">
      <x:c r="A1712" s="8" t="str">
        <x:v>drop:AV1:A1:audio:1:S264</x:v>
      </x:c>
      <x:c r="B1712" s="8" t="n">
        <x:v>3</x:v>
      </x:c>
      <x:c r="C1712" s="11" t="n">
        <x:v>18.975</x:v>
      </x:c>
      <x:c r="D1712" s="11" t="n">
        <x:v>3.45</x:v>
      </x:c>
      <x:c r="E1712" s="11" t="n">
        <x:v>7.07</x:v>
      </x:c>
      <x:c r="F1712" s="11" t="n">
        <x:f>SQRT((C1712-C1711)^2+(D1712-D1711)^2+(E1712-E1711)^2)</x:f>
        <x:v>0.29000000000000004</x:v>
      </x:c>
      <x:c r="G1712" s="8" t="str">
        <x:v>Current</x:v>
      </x:c>
    </x:row>
    <x:row r="1713" ht="32" customHeight="1">
      <x:c r="A1713" s="8" t="str">
        <x:v>drop:AV1:A1:audio:1:S266</x:v>
      </x:c>
      <x:c r="B1713" s="8" t="n">
        <x:v>1</x:v>
      </x:c>
      <x:c r="C1713" s="11" t="n">
        <x:v>23.475</x:v>
      </x:c>
      <x:c r="D1713" s="11" t="n">
        <x:v>6.052</x:v>
      </x:c>
      <x:c r="E1713" s="11" t="n">
        <x:v>7.36</x:v>
      </x:c>
      <x:c r="F1713" s="11" t="n">
        <x:f>0</x:f>
        <x:v>0</x:v>
      </x:c>
      <x:c r="G1713" s="8" t="str">
        <x:v>Current</x:v>
      </x:c>
    </x:row>
    <x:row r="1714" ht="32" customHeight="1">
      <x:c r="A1714" s="8" t="str">
        <x:v>drop:AV1:A1:audio:1:S266</x:v>
      </x:c>
      <x:c r="B1714" s="8" t="n">
        <x:v>2</x:v>
      </x:c>
      <x:c r="C1714" s="11" t="n">
        <x:v>23.475</x:v>
      </x:c>
      <x:c r="D1714" s="11" t="n">
        <x:v>3.45</x:v>
      </x:c>
      <x:c r="E1714" s="11" t="n">
        <x:v>7.36</x:v>
      </x:c>
      <x:c r="F1714" s="11" t="n">
        <x:f>SQRT((C1714-C1713)^2+(D1714-D1713)^2+(E1714-E1713)^2)</x:f>
        <x:v>2.6019999999999994</x:v>
      </x:c>
      <x:c r="G1714" s="8" t="str">
        <x:v>Current</x:v>
      </x:c>
    </x:row>
    <x:row r="1715" ht="32" customHeight="1">
      <x:c r="A1715" s="8" t="str">
        <x:v>drop:AV1:A1:audio:1:S266</x:v>
      </x:c>
      <x:c r="B1715" s="8" t="n">
        <x:v>3</x:v>
      </x:c>
      <x:c r="C1715" s="11" t="n">
        <x:v>23.475</x:v>
      </x:c>
      <x:c r="D1715" s="11" t="n">
        <x:v>3.45</x:v>
      </x:c>
      <x:c r="E1715" s="11" t="n">
        <x:v>7.07</x:v>
      </x:c>
      <x:c r="F1715" s="11" t="n">
        <x:f>SQRT((C1715-C1714)^2+(D1715-D1714)^2+(E1715-E1714)^2)</x:f>
        <x:v>0.29000000000000004</x:v>
      </x:c>
      <x:c r="G1715" s="8" t="str">
        <x:v>Current</x:v>
      </x:c>
    </x:row>
    <x:row r="1716" ht="32" customHeight="1">
      <x:c r="A1716" s="8" t="str">
        <x:v>drop:AV1:A1:audio:1:S268</x:v>
      </x:c>
      <x:c r="B1716" s="8" t="n">
        <x:v>1</x:v>
      </x:c>
      <x:c r="C1716" s="11" t="n">
        <x:v>27.975</x:v>
      </x:c>
      <x:c r="D1716" s="11" t="n">
        <x:v>6.052</x:v>
      </x:c>
      <x:c r="E1716" s="11" t="n">
        <x:v>7.36</x:v>
      </x:c>
      <x:c r="F1716" s="11" t="n">
        <x:f>0</x:f>
        <x:v>0</x:v>
      </x:c>
      <x:c r="G1716" s="8" t="str">
        <x:v>Current</x:v>
      </x:c>
    </x:row>
    <x:row r="1717" ht="32" customHeight="1">
      <x:c r="A1717" s="8" t="str">
        <x:v>drop:AV1:A1:audio:1:S268</x:v>
      </x:c>
      <x:c r="B1717" s="8" t="n">
        <x:v>2</x:v>
      </x:c>
      <x:c r="C1717" s="11" t="n">
        <x:v>27.975</x:v>
      </x:c>
      <x:c r="D1717" s="11" t="n">
        <x:v>3.45</x:v>
      </x:c>
      <x:c r="E1717" s="11" t="n">
        <x:v>7.36</x:v>
      </x:c>
      <x:c r="F1717" s="11" t="n">
        <x:f>SQRT((C1717-C1716)^2+(D1717-D1716)^2+(E1717-E1716)^2)</x:f>
        <x:v>2.6019999999999994</x:v>
      </x:c>
      <x:c r="G1717" s="8" t="str">
        <x:v>Current</x:v>
      </x:c>
    </x:row>
    <x:row r="1718" ht="32" customHeight="1">
      <x:c r="A1718" s="8" t="str">
        <x:v>drop:AV1:A1:audio:1:S268</x:v>
      </x:c>
      <x:c r="B1718" s="8" t="n">
        <x:v>3</x:v>
      </x:c>
      <x:c r="C1718" s="11" t="n">
        <x:v>27.975</x:v>
      </x:c>
      <x:c r="D1718" s="11" t="n">
        <x:v>3.45</x:v>
      </x:c>
      <x:c r="E1718" s="11" t="n">
        <x:v>7.07</x:v>
      </x:c>
      <x:c r="F1718" s="11" t="n">
        <x:f>SQRT((C1718-C1717)^2+(D1718-D1717)^2+(E1718-E1717)^2)</x:f>
        <x:v>0.29000000000000004</x:v>
      </x:c>
      <x:c r="G1718" s="8" t="str">
        <x:v>Current</x:v>
      </x:c>
    </x:row>
    <x:row r="1719" ht="32" customHeight="1">
      <x:c r="A1719" s="8" t="str">
        <x:v>drop:AV1:A1:audio:1:S270</x:v>
      </x:c>
      <x:c r="B1719" s="8" t="n">
        <x:v>1</x:v>
      </x:c>
      <x:c r="C1719" s="11" t="n">
        <x:v>32.475</x:v>
      </x:c>
      <x:c r="D1719" s="11" t="n">
        <x:v>6.052</x:v>
      </x:c>
      <x:c r="E1719" s="11" t="n">
        <x:v>7.36</x:v>
      </x:c>
      <x:c r="F1719" s="11" t="n">
        <x:f>0</x:f>
        <x:v>0</x:v>
      </x:c>
      <x:c r="G1719" s="8" t="str">
        <x:v>Current</x:v>
      </x:c>
    </x:row>
    <x:row r="1720" ht="32" customHeight="1">
      <x:c r="A1720" s="8" t="str">
        <x:v>drop:AV1:A1:audio:1:S270</x:v>
      </x:c>
      <x:c r="B1720" s="8" t="n">
        <x:v>2</x:v>
      </x:c>
      <x:c r="C1720" s="11" t="n">
        <x:v>32.475</x:v>
      </x:c>
      <x:c r="D1720" s="11" t="n">
        <x:v>3.45</x:v>
      </x:c>
      <x:c r="E1720" s="11" t="n">
        <x:v>7.36</x:v>
      </x:c>
      <x:c r="F1720" s="11" t="n">
        <x:f>SQRT((C1720-C1719)^2+(D1720-D1719)^2+(E1720-E1719)^2)</x:f>
        <x:v>2.6019999999999994</x:v>
      </x:c>
      <x:c r="G1720" s="8" t="str">
        <x:v>Current</x:v>
      </x:c>
    </x:row>
    <x:row r="1721" ht="32" customHeight="1">
      <x:c r="A1721" s="8" t="str">
        <x:v>drop:AV1:A1:audio:1:S270</x:v>
      </x:c>
      <x:c r="B1721" s="8" t="n">
        <x:v>3</x:v>
      </x:c>
      <x:c r="C1721" s="11" t="n">
        <x:v>32.475</x:v>
      </x:c>
      <x:c r="D1721" s="11" t="n">
        <x:v>3.45</x:v>
      </x:c>
      <x:c r="E1721" s="11" t="n">
        <x:v>7.07</x:v>
      </x:c>
      <x:c r="F1721" s="11" t="n">
        <x:f>SQRT((C1721-C1720)^2+(D1721-D1720)^2+(E1721-E1720)^2)</x:f>
        <x:v>0.29000000000000004</x:v>
      </x:c>
      <x:c r="G1721" s="8" t="str">
        <x:v>Current</x:v>
      </x:c>
    </x:row>
    <x:row r="1722" ht="32" customHeight="1">
      <x:c r="A1722" s="8" t="str">
        <x:v>drop:AV1:A1:audio:1:S272</x:v>
      </x:c>
      <x:c r="B1722" s="8" t="n">
        <x:v>1</x:v>
      </x:c>
      <x:c r="C1722" s="11" t="n">
        <x:v>36.975</x:v>
      </x:c>
      <x:c r="D1722" s="11" t="n">
        <x:v>6.052</x:v>
      </x:c>
      <x:c r="E1722" s="11" t="n">
        <x:v>13.24</x:v>
      </x:c>
      <x:c r="F1722" s="11" t="n">
        <x:f>0</x:f>
        <x:v>0</x:v>
      </x:c>
      <x:c r="G1722" s="8" t="str">
        <x:v>Current</x:v>
      </x:c>
    </x:row>
    <x:row r="1723" ht="32" customHeight="1">
      <x:c r="A1723" s="8" t="str">
        <x:v>drop:AV1:A1:audio:1:S272</x:v>
      </x:c>
      <x:c r="B1723" s="8" t="n">
        <x:v>2</x:v>
      </x:c>
      <x:c r="C1723" s="11" t="n">
        <x:v>36.975</x:v>
      </x:c>
      <x:c r="D1723" s="11" t="n">
        <x:v>3.45</x:v>
      </x:c>
      <x:c r="E1723" s="11" t="n">
        <x:v>13.24</x:v>
      </x:c>
      <x:c r="F1723" s="11" t="n">
        <x:f>SQRT((C1723-C1722)^2+(D1723-D1722)^2+(E1723-E1722)^2)</x:f>
        <x:v>2.6019999999999994</x:v>
      </x:c>
      <x:c r="G1723" s="8" t="str">
        <x:v>Current</x:v>
      </x:c>
    </x:row>
    <x:row r="1724" ht="32" customHeight="1">
      <x:c r="A1724" s="8" t="str">
        <x:v>drop:AV1:A1:audio:1:S272</x:v>
      </x:c>
      <x:c r="B1724" s="8" t="n">
        <x:v>3</x:v>
      </x:c>
      <x:c r="C1724" s="11" t="n">
        <x:v>36.975</x:v>
      </x:c>
      <x:c r="D1724" s="11" t="n">
        <x:v>3.45</x:v>
      </x:c>
      <x:c r="E1724" s="11" t="n">
        <x:v>7.07</x:v>
      </x:c>
      <x:c r="F1724" s="11" t="n">
        <x:f>SQRT((C1724-C1723)^2+(D1724-D1723)^2+(E1724-E1723)^2)</x:f>
        <x:v>6.17</x:v>
      </x:c>
      <x:c r="G1724" s="8" t="str">
        <x:v>Current</x:v>
      </x:c>
    </x:row>
    <x:row r="1725" ht="32" customHeight="1">
      <x:c r="A1725" s="8" t="str">
        <x:v>drop:AV1:A1:audio:1:S277</x:v>
      </x:c>
      <x:c r="B1725" s="8" t="n">
        <x:v>1</x:v>
      </x:c>
      <x:c r="C1725" s="11" t="n">
        <x:v>38.94</x:v>
      </x:c>
      <x:c r="D1725" s="11" t="n">
        <x:v>6.052</x:v>
      </x:c>
      <x:c r="E1725" s="11" t="n">
        <x:v>13.24</x:v>
      </x:c>
      <x:c r="F1725" s="11" t="n">
        <x:f>0</x:f>
        <x:v>0</x:v>
      </x:c>
      <x:c r="G1725" s="8" t="str">
        <x:v>Current</x:v>
      </x:c>
    </x:row>
    <x:row r="1726" ht="32" customHeight="1">
      <x:c r="A1726" s="8" t="str">
        <x:v>drop:AV1:A1:audio:1:S277</x:v>
      </x:c>
      <x:c r="B1726" s="8" t="n">
        <x:v>2</x:v>
      </x:c>
      <x:c r="C1726" s="11" t="n">
        <x:v>38.94</x:v>
      </x:c>
      <x:c r="D1726" s="11" t="n">
        <x:v>6.052</x:v>
      </x:c>
      <x:c r="E1726" s="11" t="n">
        <x:v>11.6</x:v>
      </x:c>
      <x:c r="F1726" s="11" t="n">
        <x:f>SQRT((C1726-C1725)^2+(D1726-D1725)^2+(E1726-E1725)^2)</x:f>
        <x:v>1.6400000000000006</x:v>
      </x:c>
      <x:c r="G1726" s="8" t="str">
        <x:v>Current</x:v>
      </x:c>
    </x:row>
    <x:row r="1727" ht="32" customHeight="1">
      <x:c r="A1727" s="8" t="str">
        <x:v>drop:AV1:A1:audio:1:S277</x:v>
      </x:c>
      <x:c r="B1727" s="8" t="n">
        <x:v>3</x:v>
      </x:c>
      <x:c r="C1727" s="11" t="n">
        <x:v>38.94</x:v>
      </x:c>
      <x:c r="D1727" s="11" t="n">
        <x:v>8.115059999999996</x:v>
      </x:c>
      <x:c r="E1727" s="11" t="n">
        <x:v>11.6</x:v>
      </x:c>
      <x:c r="F1727" s="11" t="n">
        <x:f>SQRT((C1727-C1726)^2+(D1727-D1726)^2+(E1727-E1726)^2)</x:f>
        <x:v>2.0630599999999966</x:v>
      </x:c>
      <x:c r="G1727" s="8" t="str">
        <x:v>Current</x:v>
      </x:c>
    </x:row>
    <x:row r="1728" ht="32" customHeight="1">
      <x:c r="A1728" s="8" t="str">
        <x:v>drop:AV1:A1:audio:1:S277</x:v>
      </x:c>
      <x:c r="B1728" s="8" t="n">
        <x:v>4</x:v>
      </x:c>
      <x:c r="C1728" s="11" t="n">
        <x:v>38.94</x:v>
      </x:c>
      <x:c r="D1728" s="11" t="n">
        <x:v>3</x:v>
      </x:c>
      <x:c r="E1728" s="11" t="n">
        <x:v>11.6</x:v>
      </x:c>
      <x:c r="F1728" s="11" t="n">
        <x:f>SQRT((C1728-C1727)^2+(D1728-D1727)^2+(E1728-E1727)^2)</x:f>
        <x:v>5.115059999999996</x:v>
      </x:c>
      <x:c r="G1728" s="8" t="str">
        <x:v>Current</x:v>
      </x:c>
    </x:row>
    <x:row r="1729" ht="32" customHeight="1">
      <x:c r="A1729" s="8" t="str">
        <x:v>drop:AV1:A1:audio:1:S278</x:v>
      </x:c>
      <x:c r="B1729" s="8" t="n">
        <x:v>1</x:v>
      </x:c>
      <x:c r="C1729" s="11" t="n">
        <x:v>42.22</x:v>
      </x:c>
      <x:c r="D1729" s="11" t="n">
        <x:v>6.052</x:v>
      </x:c>
      <x:c r="E1729" s="11" t="n">
        <x:v>13.24</x:v>
      </x:c>
      <x:c r="F1729" s="11" t="n">
        <x:f>0</x:f>
        <x:v>0</x:v>
      </x:c>
      <x:c r="G1729" s="8" t="str">
        <x:v>Current</x:v>
      </x:c>
    </x:row>
    <x:row r="1730" ht="32" customHeight="1">
      <x:c r="A1730" s="8" t="str">
        <x:v>drop:AV1:A1:audio:1:S278</x:v>
      </x:c>
      <x:c r="B1730" s="8" t="n">
        <x:v>2</x:v>
      </x:c>
      <x:c r="C1730" s="11" t="n">
        <x:v>42.22</x:v>
      </x:c>
      <x:c r="D1730" s="11" t="n">
        <x:v>6.052</x:v>
      </x:c>
      <x:c r="E1730" s="11" t="n">
        <x:v>11.6</x:v>
      </x:c>
      <x:c r="F1730" s="11" t="n">
        <x:f>SQRT((C1730-C1729)^2+(D1730-D1729)^2+(E1730-E1729)^2)</x:f>
        <x:v>1.6400000000000006</x:v>
      </x:c>
      <x:c r="G1730" s="8" t="str">
        <x:v>Current</x:v>
      </x:c>
    </x:row>
    <x:row r="1731" ht="32" customHeight="1">
      <x:c r="A1731" s="8" t="str">
        <x:v>drop:AV1:A1:audio:1:S278</x:v>
      </x:c>
      <x:c r="B1731" s="8" t="n">
        <x:v>3</x:v>
      </x:c>
      <x:c r="C1731" s="11" t="n">
        <x:v>42.22</x:v>
      </x:c>
      <x:c r="D1731" s="11" t="n">
        <x:v>8.083580000000003</x:v>
      </x:c>
      <x:c r="E1731" s="11" t="n">
        <x:v>11.6</x:v>
      </x:c>
      <x:c r="F1731" s="11" t="n">
        <x:f>SQRT((C1731-C1730)^2+(D1731-D1730)^2+(E1731-E1730)^2)</x:f>
        <x:v>2.0315800000000035</x:v>
      </x:c>
      <x:c r="G1731" s="8" t="str">
        <x:v>Current</x:v>
      </x:c>
    </x:row>
    <x:row r="1732" ht="32" customHeight="1">
      <x:c r="A1732" s="8" t="str">
        <x:v>drop:AV1:A1:audio:1:S278</x:v>
      </x:c>
      <x:c r="B1732" s="8" t="n">
        <x:v>4</x:v>
      </x:c>
      <x:c r="C1732" s="11" t="n">
        <x:v>42.22</x:v>
      </x:c>
      <x:c r="D1732" s="11" t="n">
        <x:v>3</x:v>
      </x:c>
      <x:c r="E1732" s="11" t="n">
        <x:v>11.6</x:v>
      </x:c>
      <x:c r="F1732" s="11" t="n">
        <x:f>SQRT((C1732-C1731)^2+(D1732-D1731)^2+(E1732-E1731)^2)</x:f>
        <x:v>5.083580000000003</x:v>
      </x:c>
      <x:c r="G1732" s="8" t="str">
        <x:v>Current</x:v>
      </x:c>
    </x:row>
    <x:row r="1733" ht="32" customHeight="1">
      <x:c r="A1733" s="8" t="str">
        <x:v>trunk:AV1:A5:audio:-1</x:v>
      </x:c>
      <x:c r="B1733" s="8" t="n">
        <x:v>1</x:v>
      </x:c>
      <x:c r="C1733" s="11" t="n">
        <x:v>49.275</x:v>
      </x:c>
      <x:c r="D1733" s="11" t="n">
        <x:v>0.95</x:v>
      </x:c>
      <x:c r="E1733" s="11" t="n">
        <x:v>1.4</x:v>
      </x:c>
      <x:c r="F1733" s="11" t="n">
        <x:f>0</x:f>
        <x:v>0</x:v>
      </x:c>
      <x:c r="G1733" s="8" t="str">
        <x:v>Current</x:v>
      </x:c>
    </x:row>
    <x:row r="1734" ht="32" customHeight="1">
      <x:c r="A1734" s="8" t="str">
        <x:v>trunk:AV1:A5:audio:-1</x:v>
      </x:c>
      <x:c r="B1734" s="8" t="n">
        <x:v>2</x:v>
      </x:c>
      <x:c r="C1734" s="11" t="n">
        <x:v>48.735</x:v>
      </x:c>
      <x:c r="D1734" s="11" t="n">
        <x:v>0.95</x:v>
      </x:c>
      <x:c r="E1734" s="11" t="n">
        <x:v>1.4</x:v>
      </x:c>
      <x:c r="F1734" s="11" t="n">
        <x:f>SQRT((C1734-C1733)^2+(D1734-D1733)^2+(E1734-E1733)^2)</x:f>
        <x:v>0.5399999999999991</x:v>
      </x:c>
      <x:c r="G1734" s="8" t="str">
        <x:v>Current</x:v>
      </x:c>
    </x:row>
    <x:row r="1735" ht="32" customHeight="1">
      <x:c r="A1735" s="8" t="str">
        <x:v>trunk:AV1:A5:audio:-1</x:v>
      </x:c>
      <x:c r="B1735" s="8" t="n">
        <x:v>3</x:v>
      </x:c>
      <x:c r="C1735" s="11" t="n">
        <x:v>48.735</x:v>
      </x:c>
      <x:c r="D1735" s="11" t="n">
        <x:v>0.95</x:v>
      </x:c>
      <x:c r="E1735" s="11" t="n">
        <x:v>-2.24</x:v>
      </x:c>
      <x:c r="F1735" s="11" t="n">
        <x:f>SQRT((C1735-C1734)^2+(D1735-D1734)^2+(E1735-E1734)^2)</x:f>
        <x:v>3.64</x:v>
      </x:c>
      <x:c r="G1735" s="8" t="str">
        <x:v>Current</x:v>
      </x:c>
    </x:row>
    <x:row r="1736" ht="32" customHeight="1">
      <x:c r="A1736" s="8" t="str">
        <x:v>trunk:AV1:A5:audio:-1</x:v>
      </x:c>
      <x:c r="B1736" s="8" t="n">
        <x:v>4</x:v>
      </x:c>
      <x:c r="C1736" s="11" t="n">
        <x:v>48.735</x:v>
      </x:c>
      <x:c r="D1736" s="11" t="n">
        <x:v>4.02</x:v>
      </x:c>
      <x:c r="E1736" s="11" t="n">
        <x:v>-2.24</x:v>
      </x:c>
      <x:c r="F1736" s="11" t="n">
        <x:f>SQRT((C1736-C1735)^2+(D1736-D1735)^2+(E1736-E1735)^2)</x:f>
        <x:v>3.0699999999999994</x:v>
      </x:c>
      <x:c r="G1736" s="8" t="str">
        <x:v>Current</x:v>
      </x:c>
    </x:row>
    <x:row r="1737" ht="32" customHeight="1">
      <x:c r="A1737" s="8" t="str">
        <x:v>trunk:AV1:A5:audio:-1</x:v>
      </x:c>
      <x:c r="B1737" s="8" t="n">
        <x:v>5</x:v>
      </x:c>
      <x:c r="C1737" s="11" t="n">
        <x:v>48.735</x:v>
      </x:c>
      <x:c r="D1737" s="11" t="n">
        <x:v>4.02</x:v>
      </x:c>
      <x:c r="E1737" s="11" t="n">
        <x:v>-3.6</x:v>
      </x:c>
      <x:c r="F1737" s="11" t="n">
        <x:f>SQRT((C1737-C1736)^2+(D1737-D1736)^2+(E1737-E1736)^2)</x:f>
        <x:v>1.3599999999999999</x:v>
      </x:c>
      <x:c r="G1737" s="8" t="str">
        <x:v>Current</x:v>
      </x:c>
    </x:row>
    <x:row r="1738" ht="32" customHeight="1">
      <x:c r="A1738" s="8" t="str">
        <x:v>trunk:AV1:A5:audio:-1</x:v>
      </x:c>
      <x:c r="B1738" s="8" t="n">
        <x:v>6</x:v>
      </x:c>
      <x:c r="C1738" s="11" t="n">
        <x:v>53.05</x:v>
      </x:c>
      <x:c r="D1738" s="11" t="n">
        <x:v>4.02</x:v>
      </x:c>
      <x:c r="E1738" s="11" t="n">
        <x:v>-3.6</x:v>
      </x:c>
      <x:c r="F1738" s="11" t="n">
        <x:f>SQRT((C1738-C1737)^2+(D1738-D1737)^2+(E1738-E1737)^2)</x:f>
        <x:v>4.314999999999998</x:v>
      </x:c>
      <x:c r="G1738" s="8" t="str">
        <x:v>Current</x:v>
      </x:c>
    </x:row>
    <x:row r="1739" ht="32" customHeight="1">
      <x:c r="A1739" s="8" t="str">
        <x:v>trunk:AV1:A5:audio:-1</x:v>
      </x:c>
      <x:c r="B1739" s="8" t="n">
        <x:v>7</x:v>
      </x:c>
      <x:c r="C1739" s="11" t="n">
        <x:v>53.05</x:v>
      </x:c>
      <x:c r="D1739" s="11" t="n">
        <x:v>6.108</x:v>
      </x:c>
      <x:c r="E1739" s="11" t="n">
        <x:v>-3.6</x:v>
      </x:c>
      <x:c r="F1739" s="11" t="n">
        <x:f>SQRT((C1739-C1738)^2+(D1739-D1738)^2+(E1739-E1738)^2)</x:f>
        <x:v>2.088</x:v>
      </x:c>
      <x:c r="G1739" s="8" t="str">
        <x:v>Current</x:v>
      </x:c>
    </x:row>
    <x:row r="1740" ht="32" customHeight="1">
      <x:c r="A1740" s="8" t="str">
        <x:v>trunk:AV1:A5:audio:-1</x:v>
      </x:c>
      <x:c r="B1740" s="8" t="n">
        <x:v>8</x:v>
      </x:c>
      <x:c r="C1740" s="11" t="n">
        <x:v>53.05</x:v>
      </x:c>
      <x:c r="D1740" s="11" t="n">
        <x:v>6.108</x:v>
      </x:c>
      <x:c r="E1740" s="11" t="n">
        <x:v>-7.36</x:v>
      </x:c>
      <x:c r="F1740" s="11" t="n">
        <x:f>SQRT((C1740-C1739)^2+(D1740-D1739)^2+(E1740-E1739)^2)</x:f>
        <x:v>3.7600000000000002</x:v>
      </x:c>
      <x:c r="G1740" s="8" t="str">
        <x:v>Current</x:v>
      </x:c>
    </x:row>
    <x:row r="1741" ht="32" customHeight="1">
      <x:c r="A1741" s="8" t="str">
        <x:v>trunk:AV1:A5:audio:-1</x:v>
      </x:c>
      <x:c r="B1741" s="8" t="n">
        <x:v>9</x:v>
      </x:c>
      <x:c r="C1741" s="11" t="n">
        <x:v>44.175</x:v>
      </x:c>
      <x:c r="D1741" s="11" t="n">
        <x:v>6.108</x:v>
      </x:c>
      <x:c r="E1741" s="11" t="n">
        <x:v>-7.36</x:v>
      </x:c>
      <x:c r="F1741" s="11" t="n">
        <x:f>SQRT((C1741-C1740)^2+(D1741-D1740)^2+(E1741-E1740)^2)</x:f>
        <x:v>8.875</x:v>
      </x:c>
      <x:c r="G1741" s="8" t="str">
        <x:v>Current</x:v>
      </x:c>
    </x:row>
    <x:row r="1742" ht="32" customHeight="1">
      <x:c r="A1742" s="8" t="str">
        <x:v>trunk:AV1:A5:audio:-1</x:v>
      </x:c>
      <x:c r="B1742" s="8" t="n">
        <x:v>10</x:v>
      </x:c>
      <x:c r="C1742" s="11" t="n">
        <x:v>44.175</x:v>
      </x:c>
      <x:c r="D1742" s="11" t="n">
        <x:v>6.108</x:v>
      </x:c>
      <x:c r="E1742" s="11" t="n">
        <x:v>-13.24</x:v>
      </x:c>
      <x:c r="F1742" s="11" t="n">
        <x:f>SQRT((C1742-C1741)^2+(D1742-D1741)^2+(E1742-E1741)^2)</x:f>
        <x:v>5.88</x:v>
      </x:c>
      <x:c r="G1742" s="8" t="str">
        <x:v>Current</x:v>
      </x:c>
    </x:row>
    <x:row r="1743" ht="32" customHeight="1">
      <x:c r="A1743" s="8" t="str">
        <x:v>trunk:AV1:A5:audio:-1</x:v>
      </x:c>
      <x:c r="B1743" s="8" t="n">
        <x:v>11</x:v>
      </x:c>
      <x:c r="C1743" s="11" t="n">
        <x:v>36.975</x:v>
      </x:c>
      <x:c r="D1743" s="11" t="n">
        <x:v>6.108</x:v>
      </x:c>
      <x:c r="E1743" s="11" t="n">
        <x:v>-13.24</x:v>
      </x:c>
      <x:c r="F1743" s="11" t="n">
        <x:f>SQRT((C1743-C1742)^2+(D1743-D1742)^2+(E1743-E1742)^2)</x:f>
        <x:v>7.199999999999996</x:v>
      </x:c>
      <x:c r="G1743" s="8" t="str">
        <x:v>Current</x:v>
      </x:c>
    </x:row>
    <x:row r="1744" ht="32" customHeight="1">
      <x:c r="A1744" s="8" t="str">
        <x:v>trunk:AV1:A5:audio:-1</x:v>
      </x:c>
      <x:c r="B1744" s="8" t="n">
        <x:v>12</x:v>
      </x:c>
      <x:c r="C1744" s="11" t="n">
        <x:v>36.975</x:v>
      </x:c>
      <x:c r="D1744" s="11" t="n">
        <x:v>6.108</x:v>
      </x:c>
      <x:c r="E1744" s="11" t="n">
        <x:v>-7.36</x:v>
      </x:c>
      <x:c r="F1744" s="11" t="n">
        <x:f>SQRT((C1744-C1743)^2+(D1744-D1743)^2+(E1744-E1743)^2)</x:f>
        <x:v>5.88</x:v>
      </x:c>
      <x:c r="G1744" s="8" t="str">
        <x:v>Current</x:v>
      </x:c>
    </x:row>
    <x:row r="1745" ht="32" customHeight="1">
      <x:c r="A1745" s="8" t="str">
        <x:v>trunk:AV1:A5:audio:-1</x:v>
      </x:c>
      <x:c r="B1745" s="8" t="n">
        <x:v>13</x:v>
      </x:c>
      <x:c r="C1745" s="11" t="n">
        <x:v>5.475</x:v>
      </x:c>
      <x:c r="D1745" s="11" t="n">
        <x:v>6.108</x:v>
      </x:c>
      <x:c r="E1745" s="11" t="n">
        <x:v>-7.36</x:v>
      </x:c>
      <x:c r="F1745" s="11" t="n">
        <x:f>SQRT((C1745-C1744)^2+(D1745-D1744)^2+(E1745-E1744)^2)</x:f>
        <x:v>31.5</x:v>
      </x:c>
      <x:c r="G1745" s="8" t="str">
        <x:v>Current</x:v>
      </x:c>
    </x:row>
    <x:row r="1746" ht="32" customHeight="1">
      <x:c r="A1746" s="8" t="str">
        <x:v>trunk:AV1:A5:audio:-1</x:v>
      </x:c>
      <x:c r="B1746" s="8" t="n">
        <x:v>14</x:v>
      </x:c>
      <x:c r="C1746" s="11" t="n">
        <x:v>2.655</x:v>
      </x:c>
      <x:c r="D1746" s="11" t="n">
        <x:v>6.108</x:v>
      </x:c>
      <x:c r="E1746" s="11" t="n">
        <x:v>-7.36</x:v>
      </x:c>
      <x:c r="F1746" s="11" t="n">
        <x:f>SQRT((C1746-C1745)^2+(D1746-D1745)^2+(E1746-E1745)^2)</x:f>
        <x:v>2.82</x:v>
      </x:c>
      <x:c r="G1746" s="8" t="str">
        <x:v>Current</x:v>
      </x:c>
    </x:row>
    <x:row r="1747" ht="32" customHeight="1">
      <x:c r="A1747" s="8" t="str">
        <x:v>drop:AV1:A5:audio:-1:S273</x:v>
      </x:c>
      <x:c r="B1747" s="8" t="n">
        <x:v>1</x:v>
      </x:c>
      <x:c r="C1747" s="11" t="n">
        <x:v>2.655</x:v>
      </x:c>
      <x:c r="D1747" s="11" t="n">
        <x:v>6.108</x:v>
      </x:c>
      <x:c r="E1747" s="11" t="n">
        <x:v>-7.36</x:v>
      </x:c>
      <x:c r="F1747" s="11" t="n">
        <x:f>0</x:f>
        <x:v>0</x:v>
      </x:c>
      <x:c r="G1747" s="8" t="str">
        <x:v>Current</x:v>
      </x:c>
    </x:row>
    <x:row r="1748" ht="32" customHeight="1">
      <x:c r="A1748" s="8" t="str">
        <x:v>drop:AV1:A5:audio:-1:S273</x:v>
      </x:c>
      <x:c r="B1748" s="8" t="n">
        <x:v>2</x:v>
      </x:c>
      <x:c r="C1748" s="11" t="n">
        <x:v>2.35</x:v>
      </x:c>
      <x:c r="D1748" s="11" t="n">
        <x:v>7.65</x:v>
      </x:c>
      <x:c r="E1748" s="11" t="n">
        <x:v>-7.36</x:v>
      </x:c>
      <x:c r="F1748" s="11" t="n">
        <x:f>SQRT((C1748-C1747)^2+(D1748-D1747)^2+(E1748-E1747)^2)</x:f>
        <x:v>1.5718743588467885</x:v>
      </x:c>
      <x:c r="G1748" s="8" t="str">
        <x:v>Current</x:v>
      </x:c>
    </x:row>
    <x:row r="1749" ht="32" customHeight="1">
      <x:c r="A1749" s="8" t="str">
        <x:v>drop:AV1:A5:audio:-1:S273</x:v>
      </x:c>
      <x:c r="B1749" s="8" t="n">
        <x:v>3</x:v>
      </x:c>
      <x:c r="C1749" s="11" t="n">
        <x:v>2.35</x:v>
      </x:c>
      <x:c r="D1749" s="11" t="n">
        <x:v>7.65</x:v>
      </x:c>
      <x:c r="E1749" s="11" t="n">
        <x:v>-3.05</x:v>
      </x:c>
      <x:c r="F1749" s="11" t="n">
        <x:f>SQRT((C1749-C1748)^2+(D1749-D1748)^2+(E1749-E1748)^2)</x:f>
        <x:v>4.3100000000000005</x:v>
      </x:c>
      <x:c r="G1749" s="8" t="str">
        <x:v>Current</x:v>
      </x:c>
    </x:row>
    <x:row r="1750" ht="32" customHeight="1">
      <x:c r="A1750" s="8" t="str">
        <x:v>drop:AV1:A5:audio:-1:S273</x:v>
      </x:c>
      <x:c r="B1750" s="8" t="n">
        <x:v>4</x:v>
      </x:c>
      <x:c r="C1750" s="11" t="n">
        <x:v>2.35</x:v>
      </x:c>
      <x:c r="D1750" s="11" t="n">
        <x:v>3.6</x:v>
      </x:c>
      <x:c r="E1750" s="11" t="n">
        <x:v>-3.05</x:v>
      </x:c>
      <x:c r="F1750" s="11" t="n">
        <x:f>SQRT((C1750-C1749)^2+(D1750-D1749)^2+(E1750-E1749)^2)</x:f>
        <x:v>4.050000000000001</x:v>
      </x:c>
      <x:c r="G1750" s="8" t="str">
        <x:v>Current</x:v>
      </x:c>
    </x:row>
    <x:row r="1751" ht="32" customHeight="1">
      <x:c r="A1751" s="8" t="str">
        <x:v>drop:AV1:A5:audio:-1:S273</x:v>
      </x:c>
      <x:c r="B1751" s="8" t="n">
        <x:v>5</x:v>
      </x:c>
      <x:c r="C1751" s="11" t="n">
        <x:v>2.655</x:v>
      </x:c>
      <x:c r="D1751" s="11" t="n">
        <x:v>3.6</x:v>
      </x:c>
      <x:c r="E1751" s="11" t="n">
        <x:v>-3.05</x:v>
      </x:c>
      <x:c r="F1751" s="11" t="n">
        <x:f>SQRT((C1751-C1750)^2+(D1751-D1750)^2+(E1751-E1750)^2)</x:f>
        <x:v>0.3049999999999997</x:v>
      </x:c>
      <x:c r="G1751" s="8" t="str">
        <x:v>Current</x:v>
      </x:c>
    </x:row>
    <x:row r="1752" ht="32" customHeight="1">
      <x:c r="A1752" s="8" t="str">
        <x:v>trunk:AV1:A5:audio:1</x:v>
      </x:c>
      <x:c r="B1752" s="8" t="n">
        <x:v>1</x:v>
      </x:c>
      <x:c r="C1752" s="11" t="n">
        <x:v>49.275</x:v>
      </x:c>
      <x:c r="D1752" s="11" t="n">
        <x:v>0.95</x:v>
      </x:c>
      <x:c r="E1752" s="11" t="n">
        <x:v>1.4</x:v>
      </x:c>
      <x:c r="F1752" s="11" t="n">
        <x:f>0</x:f>
        <x:v>0</x:v>
      </x:c>
      <x:c r="G1752" s="8" t="str">
        <x:v>Current</x:v>
      </x:c>
    </x:row>
    <x:row r="1753" ht="32" customHeight="1">
      <x:c r="A1753" s="8" t="str">
        <x:v>trunk:AV1:A5:audio:1</x:v>
      </x:c>
      <x:c r="B1753" s="8" t="n">
        <x:v>2</x:v>
      </x:c>
      <x:c r="C1753" s="11" t="n">
        <x:v>48.735</x:v>
      </x:c>
      <x:c r="D1753" s="11" t="n">
        <x:v>0.95</x:v>
      </x:c>
      <x:c r="E1753" s="11" t="n">
        <x:v>1.4</x:v>
      </x:c>
      <x:c r="F1753" s="11" t="n">
        <x:f>SQRT((C1753-C1752)^2+(D1753-D1752)^2+(E1753-E1752)^2)</x:f>
        <x:v>0.5399999999999991</x:v>
      </x:c>
      <x:c r="G1753" s="8" t="str">
        <x:v>Current</x:v>
      </x:c>
    </x:row>
    <x:row r="1754" ht="32" customHeight="1">
      <x:c r="A1754" s="8" t="str">
        <x:v>trunk:AV1:A5:audio:1</x:v>
      </x:c>
      <x:c r="B1754" s="8" t="n">
        <x:v>3</x:v>
      </x:c>
      <x:c r="C1754" s="11" t="n">
        <x:v>48.735</x:v>
      </x:c>
      <x:c r="D1754" s="11" t="n">
        <x:v>0.95</x:v>
      </x:c>
      <x:c r="E1754" s="11" t="n">
        <x:v>-2.24</x:v>
      </x:c>
      <x:c r="F1754" s="11" t="n">
        <x:f>SQRT((C1754-C1753)^2+(D1754-D1753)^2+(E1754-E1753)^2)</x:f>
        <x:v>3.64</x:v>
      </x:c>
      <x:c r="G1754" s="8" t="str">
        <x:v>Current</x:v>
      </x:c>
    </x:row>
    <x:row r="1755" ht="32" customHeight="1">
      <x:c r="A1755" s="8" t="str">
        <x:v>trunk:AV1:A5:audio:1</x:v>
      </x:c>
      <x:c r="B1755" s="8" t="n">
        <x:v>4</x:v>
      </x:c>
      <x:c r="C1755" s="11" t="n">
        <x:v>48.735</x:v>
      </x:c>
      <x:c r="D1755" s="11" t="n">
        <x:v>4.02</x:v>
      </x:c>
      <x:c r="E1755" s="11" t="n">
        <x:v>-2.24</x:v>
      </x:c>
      <x:c r="F1755" s="11" t="n">
        <x:f>SQRT((C1755-C1754)^2+(D1755-D1754)^2+(E1755-E1754)^2)</x:f>
        <x:v>3.0699999999999994</x:v>
      </x:c>
      <x:c r="G1755" s="8" t="str">
        <x:v>Current</x:v>
      </x:c>
    </x:row>
    <x:row r="1756" ht="32" customHeight="1">
      <x:c r="A1756" s="8" t="str">
        <x:v>trunk:AV1:A5:audio:1</x:v>
      </x:c>
      <x:c r="B1756" s="8" t="n">
        <x:v>5</x:v>
      </x:c>
      <x:c r="C1756" s="11" t="n">
        <x:v>48.735</x:v>
      </x:c>
      <x:c r="D1756" s="11" t="n">
        <x:v>4.02</x:v>
      </x:c>
      <x:c r="E1756" s="11" t="n">
        <x:v>-3.6</x:v>
      </x:c>
      <x:c r="F1756" s="11" t="n">
        <x:f>SQRT((C1756-C1755)^2+(D1756-D1755)^2+(E1756-E1755)^2)</x:f>
        <x:v>1.3599999999999999</x:v>
      </x:c>
      <x:c r="G1756" s="8" t="str">
        <x:v>Current</x:v>
      </x:c>
    </x:row>
    <x:row r="1757" ht="32" customHeight="1">
      <x:c r="A1757" s="8" t="str">
        <x:v>trunk:AV1:A5:audio:1</x:v>
      </x:c>
      <x:c r="B1757" s="8" t="n">
        <x:v>6</x:v>
      </x:c>
      <x:c r="C1757" s="11" t="n">
        <x:v>53.05</x:v>
      </x:c>
      <x:c r="D1757" s="11" t="n">
        <x:v>4.02</x:v>
      </x:c>
      <x:c r="E1757" s="11" t="n">
        <x:v>-3.6</x:v>
      </x:c>
      <x:c r="F1757" s="11" t="n">
        <x:f>SQRT((C1757-C1756)^2+(D1757-D1756)^2+(E1757-E1756)^2)</x:f>
        <x:v>4.314999999999998</x:v>
      </x:c>
      <x:c r="G1757" s="8" t="str">
        <x:v>Current</x:v>
      </x:c>
    </x:row>
    <x:row r="1758" ht="32" customHeight="1">
      <x:c r="A1758" s="8" t="str">
        <x:v>trunk:AV1:A5:audio:1</x:v>
      </x:c>
      <x:c r="B1758" s="8" t="n">
        <x:v>7</x:v>
      </x:c>
      <x:c r="C1758" s="11" t="n">
        <x:v>53.05</x:v>
      </x:c>
      <x:c r="D1758" s="11" t="n">
        <x:v>6.108</x:v>
      </x:c>
      <x:c r="E1758" s="11" t="n">
        <x:v>-3.6</x:v>
      </x:c>
      <x:c r="F1758" s="11" t="n">
        <x:f>SQRT((C1758-C1757)^2+(D1758-D1757)^2+(E1758-E1757)^2)</x:f>
        <x:v>2.088</x:v>
      </x:c>
      <x:c r="G1758" s="8" t="str">
        <x:v>Current</x:v>
      </x:c>
    </x:row>
    <x:row r="1759" ht="32" customHeight="1">
      <x:c r="A1759" s="8" t="str">
        <x:v>trunk:AV1:A5:audio:1</x:v>
      </x:c>
      <x:c r="B1759" s="8" t="n">
        <x:v>8</x:v>
      </x:c>
      <x:c r="C1759" s="11" t="n">
        <x:v>53.05</x:v>
      </x:c>
      <x:c r="D1759" s="11" t="n">
        <x:v>6.108</x:v>
      </x:c>
      <x:c r="E1759" s="11" t="n">
        <x:v>7.36</x:v>
      </x:c>
      <x:c r="F1759" s="11" t="n">
        <x:f>SQRT((C1759-C1758)^2+(D1759-D1758)^2+(E1759-E1758)^2)</x:f>
        <x:v>10.96</x:v>
      </x:c>
      <x:c r="G1759" s="8" t="str">
        <x:v>Current</x:v>
      </x:c>
    </x:row>
    <x:row r="1760" ht="32" customHeight="1">
      <x:c r="A1760" s="8" t="str">
        <x:v>trunk:AV1:A5:audio:1</x:v>
      </x:c>
      <x:c r="B1760" s="8" t="n">
        <x:v>9</x:v>
      </x:c>
      <x:c r="C1760" s="11" t="n">
        <x:v>44.175</x:v>
      </x:c>
      <x:c r="D1760" s="11" t="n">
        <x:v>6.108</x:v>
      </x:c>
      <x:c r="E1760" s="11" t="n">
        <x:v>7.36</x:v>
      </x:c>
      <x:c r="F1760" s="11" t="n">
        <x:f>SQRT((C1760-C1759)^2+(D1760-D1759)^2+(E1760-E1759)^2)</x:f>
        <x:v>8.875</x:v>
      </x:c>
      <x:c r="G1760" s="8" t="str">
        <x:v>Current</x:v>
      </x:c>
    </x:row>
    <x:row r="1761" ht="32" customHeight="1">
      <x:c r="A1761" s="8" t="str">
        <x:v>trunk:AV1:A5:audio:1</x:v>
      </x:c>
      <x:c r="B1761" s="8" t="n">
        <x:v>10</x:v>
      </x:c>
      <x:c r="C1761" s="11" t="n">
        <x:v>44.175</x:v>
      </x:c>
      <x:c r="D1761" s="11" t="n">
        <x:v>6.108</x:v>
      </x:c>
      <x:c r="E1761" s="11" t="n">
        <x:v>13.24</x:v>
      </x:c>
      <x:c r="F1761" s="11" t="n">
        <x:f>SQRT((C1761-C1760)^2+(D1761-D1760)^2+(E1761-E1760)^2)</x:f>
        <x:v>5.88</x:v>
      </x:c>
      <x:c r="G1761" s="8" t="str">
        <x:v>Current</x:v>
      </x:c>
    </x:row>
    <x:row r="1762" ht="32" customHeight="1">
      <x:c r="A1762" s="8" t="str">
        <x:v>trunk:AV1:A5:audio:1</x:v>
      </x:c>
      <x:c r="B1762" s="8" t="n">
        <x:v>11</x:v>
      </x:c>
      <x:c r="C1762" s="11" t="n">
        <x:v>36.975</x:v>
      </x:c>
      <x:c r="D1762" s="11" t="n">
        <x:v>6.108</x:v>
      </x:c>
      <x:c r="E1762" s="11" t="n">
        <x:v>13.24</x:v>
      </x:c>
      <x:c r="F1762" s="11" t="n">
        <x:f>SQRT((C1762-C1761)^2+(D1762-D1761)^2+(E1762-E1761)^2)</x:f>
        <x:v>7.199999999999996</x:v>
      </x:c>
      <x:c r="G1762" s="8" t="str">
        <x:v>Current</x:v>
      </x:c>
    </x:row>
    <x:row r="1763" ht="32" customHeight="1">
      <x:c r="A1763" s="8" t="str">
        <x:v>trunk:AV1:A5:audio:1</x:v>
      </x:c>
      <x:c r="B1763" s="8" t="n">
        <x:v>12</x:v>
      </x:c>
      <x:c r="C1763" s="11" t="n">
        <x:v>36.975</x:v>
      </x:c>
      <x:c r="D1763" s="11" t="n">
        <x:v>6.108</x:v>
      </x:c>
      <x:c r="E1763" s="11" t="n">
        <x:v>7.36</x:v>
      </x:c>
      <x:c r="F1763" s="11" t="n">
        <x:f>SQRT((C1763-C1762)^2+(D1763-D1762)^2+(E1763-E1762)^2)</x:f>
        <x:v>5.88</x:v>
      </x:c>
      <x:c r="G1763" s="8" t="str">
        <x:v>Current</x:v>
      </x:c>
    </x:row>
    <x:row r="1764" ht="32" customHeight="1">
      <x:c r="A1764" s="8" t="str">
        <x:v>trunk:AV1:A5:audio:1</x:v>
      </x:c>
      <x:c r="B1764" s="8" t="n">
        <x:v>13</x:v>
      </x:c>
      <x:c r="C1764" s="11" t="n">
        <x:v>5.475</x:v>
      </x:c>
      <x:c r="D1764" s="11" t="n">
        <x:v>6.108</x:v>
      </x:c>
      <x:c r="E1764" s="11" t="n">
        <x:v>7.36</x:v>
      </x:c>
      <x:c r="F1764" s="11" t="n">
        <x:f>SQRT((C1764-C1763)^2+(D1764-D1763)^2+(E1764-E1763)^2)</x:f>
        <x:v>31.5</x:v>
      </x:c>
      <x:c r="G1764" s="8" t="str">
        <x:v>Current</x:v>
      </x:c>
    </x:row>
    <x:row r="1765" ht="32" customHeight="1">
      <x:c r="A1765" s="8" t="str">
        <x:v>trunk:AV1:A5:audio:1</x:v>
      </x:c>
      <x:c r="B1765" s="8" t="n">
        <x:v>14</x:v>
      </x:c>
      <x:c r="C1765" s="11" t="n">
        <x:v>2.655</x:v>
      </x:c>
      <x:c r="D1765" s="11" t="n">
        <x:v>6.108</x:v>
      </x:c>
      <x:c r="E1765" s="11" t="n">
        <x:v>7.36</x:v>
      </x:c>
      <x:c r="F1765" s="11" t="n">
        <x:f>SQRT((C1765-C1764)^2+(D1765-D1764)^2+(E1765-E1764)^2)</x:f>
        <x:v>2.82</x:v>
      </x:c>
      <x:c r="G1765" s="8" t="str">
        <x:v>Current</x:v>
      </x:c>
    </x:row>
    <x:row r="1766" ht="32" customHeight="1">
      <x:c r="A1766" s="8" t="str">
        <x:v>drop:AV1:A5:audio:1:S274</x:v>
      </x:c>
      <x:c r="B1766" s="8" t="n">
        <x:v>1</x:v>
      </x:c>
      <x:c r="C1766" s="11" t="n">
        <x:v>2.655</x:v>
      </x:c>
      <x:c r="D1766" s="11" t="n">
        <x:v>6.108</x:v>
      </x:c>
      <x:c r="E1766" s="11" t="n">
        <x:v>7.36</x:v>
      </x:c>
      <x:c r="F1766" s="11" t="n">
        <x:f>0</x:f>
        <x:v>0</x:v>
      </x:c>
      <x:c r="G1766" s="8" t="str">
        <x:v>Current</x:v>
      </x:c>
    </x:row>
    <x:row r="1767" ht="32" customHeight="1">
      <x:c r="A1767" s="8" t="str">
        <x:v>drop:AV1:A5:audio:1:S274</x:v>
      </x:c>
      <x:c r="B1767" s="8" t="n">
        <x:v>2</x:v>
      </x:c>
      <x:c r="C1767" s="11" t="n">
        <x:v>2.35</x:v>
      </x:c>
      <x:c r="D1767" s="11" t="n">
        <x:v>7.65</x:v>
      </x:c>
      <x:c r="E1767" s="11" t="n">
        <x:v>7.36</x:v>
      </x:c>
      <x:c r="F1767" s="11" t="n">
        <x:f>SQRT((C1767-C1766)^2+(D1767-D1766)^2+(E1767-E1766)^2)</x:f>
        <x:v>1.5718743588467885</x:v>
      </x:c>
      <x:c r="G1767" s="8" t="str">
        <x:v>Current</x:v>
      </x:c>
    </x:row>
    <x:row r="1768" ht="32" customHeight="1">
      <x:c r="A1768" s="8" t="str">
        <x:v>drop:AV1:A5:audio:1:S274</x:v>
      </x:c>
      <x:c r="B1768" s="8" t="n">
        <x:v>3</x:v>
      </x:c>
      <x:c r="C1768" s="11" t="n">
        <x:v>2.35</x:v>
      </x:c>
      <x:c r="D1768" s="11" t="n">
        <x:v>7.65</x:v>
      </x:c>
      <x:c r="E1768" s="11" t="n">
        <x:v>3.05</x:v>
      </x:c>
      <x:c r="F1768" s="11" t="n">
        <x:f>SQRT((C1768-C1767)^2+(D1768-D1767)^2+(E1768-E1767)^2)</x:f>
        <x:v>4.3100000000000005</x:v>
      </x:c>
      <x:c r="G1768" s="8" t="str">
        <x:v>Current</x:v>
      </x:c>
    </x:row>
    <x:row r="1769" ht="32" customHeight="1">
      <x:c r="A1769" s="8" t="str">
        <x:v>drop:AV1:A5:audio:1:S274</x:v>
      </x:c>
      <x:c r="B1769" s="8" t="n">
        <x:v>4</x:v>
      </x:c>
      <x:c r="C1769" s="11" t="n">
        <x:v>2.35</x:v>
      </x:c>
      <x:c r="D1769" s="11" t="n">
        <x:v>3.6</x:v>
      </x:c>
      <x:c r="E1769" s="11" t="n">
        <x:v>3.05</x:v>
      </x:c>
      <x:c r="F1769" s="11" t="n">
        <x:f>SQRT((C1769-C1768)^2+(D1769-D1768)^2+(E1769-E1768)^2)</x:f>
        <x:v>4.050000000000001</x:v>
      </x:c>
      <x:c r="G1769" s="8" t="str">
        <x:v>Current</x:v>
      </x:c>
    </x:row>
    <x:row r="1770" ht="32" customHeight="1">
      <x:c r="A1770" s="8" t="str">
        <x:v>drop:AV1:A5:audio:1:S274</x:v>
      </x:c>
      <x:c r="B1770" s="8" t="n">
        <x:v>5</x:v>
      </x:c>
      <x:c r="C1770" s="11" t="n">
        <x:v>2.655</x:v>
      </x:c>
      <x:c r="D1770" s="11" t="n">
        <x:v>3.6</x:v>
      </x:c>
      <x:c r="E1770" s="11" t="n">
        <x:v>3.05</x:v>
      </x:c>
      <x:c r="F1770" s="11" t="n">
        <x:f>SQRT((C1770-C1769)^2+(D1770-D1769)^2+(E1770-E1769)^2)</x:f>
        <x:v>0.3049999999999997</x:v>
      </x:c>
      <x:c r="G1770" s="8" t="str">
        <x:v>Current</x:v>
      </x:c>
    </x:row>
    <x:row r="1771" ht="32" customHeight="1">
      <x:c r="A1771" s="8" t="str">
        <x:v>trunk:AV1:A2:audio:-1</x:v>
      </x:c>
      <x:c r="B1771" s="8" t="n">
        <x:v>1</x:v>
      </x:c>
      <x:c r="C1771" s="11" t="n">
        <x:v>49.275</x:v>
      </x:c>
      <x:c r="D1771" s="11" t="n">
        <x:v>0.95</x:v>
      </x:c>
      <x:c r="E1771" s="11" t="n">
        <x:v>1.4</x:v>
      </x:c>
      <x:c r="F1771" s="11" t="n">
        <x:f>0</x:f>
        <x:v>0</x:v>
      </x:c>
      <x:c r="G1771" s="8" t="str">
        <x:v>Current</x:v>
      </x:c>
    </x:row>
    <x:row r="1772" ht="32" customHeight="1">
      <x:c r="A1772" s="8" t="str">
        <x:v>trunk:AV1:A2:audio:-1</x:v>
      </x:c>
      <x:c r="B1772" s="8" t="n">
        <x:v>2</x:v>
      </x:c>
      <x:c r="C1772" s="11" t="n">
        <x:v>48.735</x:v>
      </x:c>
      <x:c r="D1772" s="11" t="n">
        <x:v>0.95</x:v>
      </x:c>
      <x:c r="E1772" s="11" t="n">
        <x:v>1.4</x:v>
      </x:c>
      <x:c r="F1772" s="11" t="n">
        <x:f>SQRT((C1772-C1771)^2+(D1772-D1771)^2+(E1772-E1771)^2)</x:f>
        <x:v>0.5399999999999991</x:v>
      </x:c>
      <x:c r="G1772" s="8" t="str">
        <x:v>Current</x:v>
      </x:c>
    </x:row>
    <x:row r="1773" ht="32" customHeight="1">
      <x:c r="A1773" s="8" t="str">
        <x:v>trunk:AV1:A2:audio:-1</x:v>
      </x:c>
      <x:c r="B1773" s="8" t="n">
        <x:v>3</x:v>
      </x:c>
      <x:c r="C1773" s="11" t="n">
        <x:v>48.735</x:v>
      </x:c>
      <x:c r="D1773" s="11" t="n">
        <x:v>0.95</x:v>
      </x:c>
      <x:c r="E1773" s="11" t="n">
        <x:v>-2.24</x:v>
      </x:c>
      <x:c r="F1773" s="11" t="n">
        <x:f>SQRT((C1773-C1772)^2+(D1773-D1772)^2+(E1773-E1772)^2)</x:f>
        <x:v>3.64</x:v>
      </x:c>
      <x:c r="G1773" s="8" t="str">
        <x:v>Current</x:v>
      </x:c>
    </x:row>
    <x:row r="1774" ht="32" customHeight="1">
      <x:c r="A1774" s="8" t="str">
        <x:v>trunk:AV1:A2:audio:-1</x:v>
      </x:c>
      <x:c r="B1774" s="8" t="n">
        <x:v>4</x:v>
      </x:c>
      <x:c r="C1774" s="11" t="n">
        <x:v>48.735</x:v>
      </x:c>
      <x:c r="D1774" s="11" t="n">
        <x:v>4.02</x:v>
      </x:c>
      <x:c r="E1774" s="11" t="n">
        <x:v>-2.24</x:v>
      </x:c>
      <x:c r="F1774" s="11" t="n">
        <x:f>SQRT((C1774-C1773)^2+(D1774-D1773)^2+(E1774-E1773)^2)</x:f>
        <x:v>3.0699999999999994</x:v>
      </x:c>
      <x:c r="G1774" s="8" t="str">
        <x:v>Current</x:v>
      </x:c>
    </x:row>
    <x:row r="1775" ht="32" customHeight="1">
      <x:c r="A1775" s="8" t="str">
        <x:v>trunk:AV1:A2:audio:-1</x:v>
      </x:c>
      <x:c r="B1775" s="8" t="n">
        <x:v>5</x:v>
      </x:c>
      <x:c r="C1775" s="11" t="n">
        <x:v>48.735</x:v>
      </x:c>
      <x:c r="D1775" s="11" t="n">
        <x:v>4.02</x:v>
      </x:c>
      <x:c r="E1775" s="11" t="n">
        <x:v>-3.6</x:v>
      </x:c>
      <x:c r="F1775" s="11" t="n">
        <x:f>SQRT((C1775-C1774)^2+(D1775-D1774)^2+(E1775-E1774)^2)</x:f>
        <x:v>1.3599999999999999</x:v>
      </x:c>
      <x:c r="G1775" s="8" t="str">
        <x:v>Current</x:v>
      </x:c>
    </x:row>
    <x:row r="1776" ht="32" customHeight="1">
      <x:c r="A1776" s="8" t="str">
        <x:v>trunk:AV1:A2:audio:-1</x:v>
      </x:c>
      <x:c r="B1776" s="8" t="n">
        <x:v>6</x:v>
      </x:c>
      <x:c r="C1776" s="11" t="n">
        <x:v>53.05</x:v>
      </x:c>
      <x:c r="D1776" s="11" t="n">
        <x:v>4.02</x:v>
      </x:c>
      <x:c r="E1776" s="11" t="n">
        <x:v>-3.6</x:v>
      </x:c>
      <x:c r="F1776" s="11" t="n">
        <x:f>SQRT((C1776-C1775)^2+(D1776-D1775)^2+(E1776-E1775)^2)</x:f>
        <x:v>4.314999999999998</x:v>
      </x:c>
      <x:c r="G1776" s="8" t="str">
        <x:v>Current</x:v>
      </x:c>
    </x:row>
    <x:row r="1777" ht="32" customHeight="1">
      <x:c r="A1777" s="8" t="str">
        <x:v>trunk:AV1:A2:audio:-1</x:v>
      </x:c>
      <x:c r="B1777" s="8" t="n">
        <x:v>7</x:v>
      </x:c>
      <x:c r="C1777" s="11" t="n">
        <x:v>53.05</x:v>
      </x:c>
      <x:c r="D1777" s="11" t="n">
        <x:v>6.066</x:v>
      </x:c>
      <x:c r="E1777" s="11" t="n">
        <x:v>-3.6</x:v>
      </x:c>
      <x:c r="F1777" s="11" t="n">
        <x:f>SQRT((C1777-C1776)^2+(D1777-D1776)^2+(E1777-E1776)^2)</x:f>
        <x:v>2.0460000000000003</x:v>
      </x:c>
      <x:c r="G1777" s="8" t="str">
        <x:v>Current</x:v>
      </x:c>
    </x:row>
    <x:row r="1778" ht="32" customHeight="1">
      <x:c r="A1778" s="8" t="str">
        <x:v>trunk:AV1:A2:audio:-1</x:v>
      </x:c>
      <x:c r="B1778" s="8" t="n">
        <x:v>8</x:v>
      </x:c>
      <x:c r="C1778" s="11" t="n">
        <x:v>53.05</x:v>
      </x:c>
      <x:c r="D1778" s="11" t="n">
        <x:v>6.066</x:v>
      </x:c>
      <x:c r="E1778" s="11" t="n">
        <x:v>-7.36</x:v>
      </x:c>
      <x:c r="F1778" s="11" t="n">
        <x:f>SQRT((C1778-C1777)^2+(D1778-D1777)^2+(E1778-E1777)^2)</x:f>
        <x:v>3.7600000000000002</x:v>
      </x:c>
      <x:c r="G1778" s="8" t="str">
        <x:v>Current</x:v>
      </x:c>
    </x:row>
    <x:row r="1779" ht="32" customHeight="1">
      <x:c r="A1779" s="8" t="str">
        <x:v>trunk:AV1:A2:audio:-1</x:v>
      </x:c>
      <x:c r="B1779" s="8" t="n">
        <x:v>9</x:v>
      </x:c>
      <x:c r="C1779" s="11" t="n">
        <x:v>44.175</x:v>
      </x:c>
      <x:c r="D1779" s="11" t="n">
        <x:v>6.066</x:v>
      </x:c>
      <x:c r="E1779" s="11" t="n">
        <x:v>-7.36</x:v>
      </x:c>
      <x:c r="F1779" s="11" t="n">
        <x:f>SQRT((C1779-C1778)^2+(D1779-D1778)^2+(E1779-E1778)^2)</x:f>
        <x:v>8.875</x:v>
      </x:c>
      <x:c r="G1779" s="8" t="str">
        <x:v>Current</x:v>
      </x:c>
    </x:row>
    <x:row r="1780" ht="32" customHeight="1">
      <x:c r="A1780" s="8" t="str">
        <x:v>trunk:AV1:A2:audio:-1</x:v>
      </x:c>
      <x:c r="B1780" s="8" t="n">
        <x:v>10</x:v>
      </x:c>
      <x:c r="C1780" s="11" t="n">
        <x:v>44.175</x:v>
      </x:c>
      <x:c r="D1780" s="11" t="n">
        <x:v>6.066</x:v>
      </x:c>
      <x:c r="E1780" s="11" t="n">
        <x:v>-13.24</x:v>
      </x:c>
      <x:c r="F1780" s="11" t="n">
        <x:f>SQRT((C1780-C1779)^2+(D1780-D1779)^2+(E1780-E1779)^2)</x:f>
        <x:v>5.88</x:v>
      </x:c>
      <x:c r="G1780" s="8" t="str">
        <x:v>Current</x:v>
      </x:c>
    </x:row>
    <x:row r="1781" ht="32" customHeight="1">
      <x:c r="A1781" s="8" t="str">
        <x:v>trunk:AV1:A2:audio:-1</x:v>
      </x:c>
      <x:c r="B1781" s="8" t="n">
        <x:v>11</x:v>
      </x:c>
      <x:c r="C1781" s="11" t="n">
        <x:v>36.975</x:v>
      </x:c>
      <x:c r="D1781" s="11" t="n">
        <x:v>6.066</x:v>
      </x:c>
      <x:c r="E1781" s="11" t="n">
        <x:v>-13.24</x:v>
      </x:c>
      <x:c r="F1781" s="11" t="n">
        <x:f>SQRT((C1781-C1780)^2+(D1781-D1780)^2+(E1781-E1780)^2)</x:f>
        <x:v>7.199999999999996</x:v>
      </x:c>
      <x:c r="G1781" s="8" t="str">
        <x:v>Current</x:v>
      </x:c>
    </x:row>
    <x:row r="1782" ht="32" customHeight="1">
      <x:c r="A1782" s="8" t="str">
        <x:v>trunk:AV1:A2:audio:-1</x:v>
      </x:c>
      <x:c r="B1782" s="8" t="n">
        <x:v>12</x:v>
      </x:c>
      <x:c r="C1782" s="11" t="n">
        <x:v>36.975</x:v>
      </x:c>
      <x:c r="D1782" s="11" t="n">
        <x:v>6.066</x:v>
      </x:c>
      <x:c r="E1782" s="11" t="n">
        <x:v>-7.36</x:v>
      </x:c>
      <x:c r="F1782" s="11" t="n">
        <x:f>SQRT((C1782-C1781)^2+(D1782-D1781)^2+(E1782-E1781)^2)</x:f>
        <x:v>5.88</x:v>
      </x:c>
      <x:c r="G1782" s="8" t="str">
        <x:v>Current</x:v>
      </x:c>
    </x:row>
    <x:row r="1783" ht="32" customHeight="1">
      <x:c r="A1783" s="8" t="str">
        <x:v>trunk:AV1:A2:audio:-1</x:v>
      </x:c>
      <x:c r="B1783" s="8" t="n">
        <x:v>13</x:v>
      </x:c>
      <x:c r="C1783" s="11" t="n">
        <x:v>13.53</x:v>
      </x:c>
      <x:c r="D1783" s="11" t="n">
        <x:v>6.066</x:v>
      </x:c>
      <x:c r="E1783" s="11" t="n">
        <x:v>-7.36</x:v>
      </x:c>
      <x:c r="F1783" s="11" t="n">
        <x:f>SQRT((C1783-C1782)^2+(D1783-D1782)^2+(E1783-E1782)^2)</x:f>
        <x:v>23.445</x:v>
      </x:c>
      <x:c r="G1783" s="8" t="str">
        <x:v>Current</x:v>
      </x:c>
    </x:row>
    <x:row r="1784" ht="32" customHeight="1">
      <x:c r="A1784" s="8" t="str">
        <x:v>drop:AV1:A2:audio:-1:S279</x:v>
      </x:c>
      <x:c r="B1784" s="8" t="n">
        <x:v>1</x:v>
      </x:c>
      <x:c r="C1784" s="11" t="n">
        <x:v>13.53</x:v>
      </x:c>
      <x:c r="D1784" s="11" t="n">
        <x:v>6.066</x:v>
      </x:c>
      <x:c r="E1784" s="11" t="n">
        <x:v>-7.36</x:v>
      </x:c>
      <x:c r="F1784" s="11" t="n">
        <x:f>0</x:f>
        <x:v>0</x:v>
      </x:c>
      <x:c r="G1784" s="8" t="str">
        <x:v>Current</x:v>
      </x:c>
    </x:row>
    <x:row r="1785" ht="32" customHeight="1">
      <x:c r="A1785" s="8" t="str">
        <x:v>drop:AV1:A2:audio:-1:S279</x:v>
      </x:c>
      <x:c r="B1785" s="8" t="n">
        <x:v>2</x:v>
      </x:c>
      <x:c r="C1785" s="11" t="n">
        <x:v>12.225</x:v>
      </x:c>
      <x:c r="D1785" s="11" t="n">
        <x:v>6.066</x:v>
      </x:c>
      <x:c r="E1785" s="11" t="n">
        <x:v>-7.36</x:v>
      </x:c>
      <x:c r="F1785" s="11" t="n">
        <x:f>SQRT((C1785-C1784)^2+(D1785-D1784)^2+(E1785-E1784)^2)</x:f>
        <x:v>1.3049999999999997</x:v>
      </x:c>
      <x:c r="G1785" s="8" t="str">
        <x:v>Current</x:v>
      </x:c>
    </x:row>
    <x:row r="1786" ht="32" customHeight="1">
      <x:c r="A1786" s="8" t="str">
        <x:v>drop:AV1:A2:audio:-1:S279</x:v>
      </x:c>
      <x:c r="B1786" s="8" t="n">
        <x:v>3</x:v>
      </x:c>
      <x:c r="C1786" s="11" t="n">
        <x:v>12.225</x:v>
      </x:c>
      <x:c r="D1786" s="11" t="n">
        <x:v>6.066</x:v>
      </x:c>
      <x:c r="E1786" s="11" t="n">
        <x:v>-8.85</x:v>
      </x:c>
      <x:c r="F1786" s="11" t="n">
        <x:f>SQRT((C1786-C1785)^2+(D1786-D1785)^2+(E1786-E1785)^2)</x:f>
        <x:v>1.4899999999999993</x:v>
      </x:c>
      <x:c r="G1786" s="8" t="str">
        <x:v>Current</x:v>
      </x:c>
    </x:row>
    <x:row r="1787" ht="32" customHeight="1">
      <x:c r="A1787" s="8" t="str">
        <x:v>drop:AV1:A2:audio:-1:S279</x:v>
      </x:c>
      <x:c r="B1787" s="8" t="n">
        <x:v>4</x:v>
      </x:c>
      <x:c r="C1787" s="11" t="n">
        <x:v>12.225</x:v>
      </x:c>
      <x:c r="D1787" s="11" t="n">
        <x:v>6.798875000000001</x:v>
      </x:c>
      <x:c r="E1787" s="11" t="n">
        <x:v>-8.85</x:v>
      </x:c>
      <x:c r="F1787" s="11" t="n">
        <x:f>SQRT((C1787-C1786)^2+(D1787-D1786)^2+(E1787-E1786)^2)</x:f>
        <x:v>0.7328750000000008</x:v>
      </x:c>
      <x:c r="G1787" s="8" t="str">
        <x:v>Current</x:v>
      </x:c>
    </x:row>
    <x:row r="1788" ht="32" customHeight="1">
      <x:c r="A1788" s="8" t="str">
        <x:v>drop:AV1:A2:audio:-1:S279</x:v>
      </x:c>
      <x:c r="B1788" s="8" t="n">
        <x:v>5</x:v>
      </x:c>
      <x:c r="C1788" s="11" t="n">
        <x:v>12.225</x:v>
      </x:c>
      <x:c r="D1788" s="11" t="n">
        <x:v>3.9</x:v>
      </x:c>
      <x:c r="E1788" s="11" t="n">
        <x:v>-8.85</x:v>
      </x:c>
      <x:c r="F1788" s="11" t="n">
        <x:f>SQRT((C1788-C1787)^2+(D1788-D1787)^2+(E1788-E1787)^2)</x:f>
        <x:v>2.8988750000000008</x:v>
      </x:c>
      <x:c r="G1788" s="8" t="str">
        <x:v>Current</x:v>
      </x:c>
    </x:row>
    <x:row r="1789" ht="32" customHeight="1">
      <x:c r="A1789" s="8" t="str">
        <x:v>drop:AV1:A2:audio:-1:S280</x:v>
      </x:c>
      <x:c r="B1789" s="8" t="n">
        <x:v>1</x:v>
      </x:c>
      <x:c r="C1789" s="11" t="n">
        <x:v>27.03</x:v>
      </x:c>
      <x:c r="D1789" s="11" t="n">
        <x:v>6.066</x:v>
      </x:c>
      <x:c r="E1789" s="11" t="n">
        <x:v>-7.36</x:v>
      </x:c>
      <x:c r="F1789" s="11" t="n">
        <x:f>0</x:f>
        <x:v>0</x:v>
      </x:c>
      <x:c r="G1789" s="8" t="str">
        <x:v>Current</x:v>
      </x:c>
    </x:row>
    <x:row r="1790" ht="32" customHeight="1">
      <x:c r="A1790" s="8" t="str">
        <x:v>drop:AV1:A2:audio:-1:S280</x:v>
      </x:c>
      <x:c r="B1790" s="8" t="n">
        <x:v>2</x:v>
      </x:c>
      <x:c r="C1790" s="11" t="n">
        <x:v>25.725</x:v>
      </x:c>
      <x:c r="D1790" s="11" t="n">
        <x:v>6.066</x:v>
      </x:c>
      <x:c r="E1790" s="11" t="n">
        <x:v>-7.36</x:v>
      </x:c>
      <x:c r="F1790" s="11" t="n">
        <x:f>SQRT((C1790-C1789)^2+(D1790-D1789)^2+(E1790-E1789)^2)</x:f>
        <x:v>1.3049999999999997</x:v>
      </x:c>
      <x:c r="G1790" s="8" t="str">
        <x:v>Current</x:v>
      </x:c>
    </x:row>
    <x:row r="1791" ht="32" customHeight="1">
      <x:c r="A1791" s="8" t="str">
        <x:v>drop:AV1:A2:audio:-1:S280</x:v>
      </x:c>
      <x:c r="B1791" s="8" t="n">
        <x:v>3</x:v>
      </x:c>
      <x:c r="C1791" s="11" t="n">
        <x:v>25.725</x:v>
      </x:c>
      <x:c r="D1791" s="11" t="n">
        <x:v>6.066</x:v>
      </x:c>
      <x:c r="E1791" s="11" t="n">
        <x:v>-8.85</x:v>
      </x:c>
      <x:c r="F1791" s="11" t="n">
        <x:f>SQRT((C1791-C1790)^2+(D1791-D1790)^2+(E1791-E1790)^2)</x:f>
        <x:v>1.4899999999999993</x:v>
      </x:c>
      <x:c r="G1791" s="8" t="str">
        <x:v>Current</x:v>
      </x:c>
    </x:row>
    <x:row r="1792" ht="32" customHeight="1">
      <x:c r="A1792" s="8" t="str">
        <x:v>drop:AV1:A2:audio:-1:S280</x:v>
      </x:c>
      <x:c r="B1792" s="8" t="n">
        <x:v>4</x:v>
      </x:c>
      <x:c r="C1792" s="11" t="n">
        <x:v>25.725</x:v>
      </x:c>
      <x:c r="D1792" s="11" t="n">
        <x:v>6.798875000000001</x:v>
      </x:c>
      <x:c r="E1792" s="11" t="n">
        <x:v>-8.85</x:v>
      </x:c>
      <x:c r="F1792" s="11" t="n">
        <x:f>SQRT((C1792-C1791)^2+(D1792-D1791)^2+(E1792-E1791)^2)</x:f>
        <x:v>0.7328750000000008</x:v>
      </x:c>
      <x:c r="G1792" s="8" t="str">
        <x:v>Current</x:v>
      </x:c>
    </x:row>
    <x:row r="1793" ht="32" customHeight="1">
      <x:c r="A1793" s="8" t="str">
        <x:v>drop:AV1:A2:audio:-1:S280</x:v>
      </x:c>
      <x:c r="B1793" s="8" t="n">
        <x:v>5</x:v>
      </x:c>
      <x:c r="C1793" s="11" t="n">
        <x:v>25.725</x:v>
      </x:c>
      <x:c r="D1793" s="11" t="n">
        <x:v>3.9</x:v>
      </x:c>
      <x:c r="E1793" s="11" t="n">
        <x:v>-8.85</x:v>
      </x:c>
      <x:c r="F1793" s="11" t="n">
        <x:f>SQRT((C1793-C1792)^2+(D1793-D1792)^2+(E1793-E1792)^2)</x:f>
        <x:v>2.8988750000000008</x:v>
      </x:c>
      <x:c r="G1793" s="8" t="str">
        <x:v>Current</x:v>
      </x:c>
    </x:row>
    <x:row r="1794" ht="32" customHeight="1">
      <x:c r="A1794" s="8" t="str">
        <x:v>trunk:AV1:A2:audio:1</x:v>
      </x:c>
      <x:c r="B1794" s="8" t="n">
        <x:v>1</x:v>
      </x:c>
      <x:c r="C1794" s="11" t="n">
        <x:v>49.275</x:v>
      </x:c>
      <x:c r="D1794" s="11" t="n">
        <x:v>0.95</x:v>
      </x:c>
      <x:c r="E1794" s="11" t="n">
        <x:v>1.4</x:v>
      </x:c>
      <x:c r="F1794" s="11" t="n">
        <x:f>0</x:f>
        <x:v>0</x:v>
      </x:c>
      <x:c r="G1794" s="8" t="str">
        <x:v>Current</x:v>
      </x:c>
    </x:row>
    <x:row r="1795" ht="32" customHeight="1">
      <x:c r="A1795" s="8" t="str">
        <x:v>trunk:AV1:A2:audio:1</x:v>
      </x:c>
      <x:c r="B1795" s="8" t="n">
        <x:v>2</x:v>
      </x:c>
      <x:c r="C1795" s="11" t="n">
        <x:v>48.735</x:v>
      </x:c>
      <x:c r="D1795" s="11" t="n">
        <x:v>0.95</x:v>
      </x:c>
      <x:c r="E1795" s="11" t="n">
        <x:v>1.4</x:v>
      </x:c>
      <x:c r="F1795" s="11" t="n">
        <x:f>SQRT((C1795-C1794)^2+(D1795-D1794)^2+(E1795-E1794)^2)</x:f>
        <x:v>0.5399999999999991</x:v>
      </x:c>
      <x:c r="G1795" s="8" t="str">
        <x:v>Current</x:v>
      </x:c>
    </x:row>
    <x:row r="1796" ht="32" customHeight="1">
      <x:c r="A1796" s="8" t="str">
        <x:v>trunk:AV1:A2:audio:1</x:v>
      </x:c>
      <x:c r="B1796" s="8" t="n">
        <x:v>3</x:v>
      </x:c>
      <x:c r="C1796" s="11" t="n">
        <x:v>48.735</x:v>
      </x:c>
      <x:c r="D1796" s="11" t="n">
        <x:v>0.95</x:v>
      </x:c>
      <x:c r="E1796" s="11" t="n">
        <x:v>-2.24</x:v>
      </x:c>
      <x:c r="F1796" s="11" t="n">
        <x:f>SQRT((C1796-C1795)^2+(D1796-D1795)^2+(E1796-E1795)^2)</x:f>
        <x:v>3.64</x:v>
      </x:c>
      <x:c r="G1796" s="8" t="str">
        <x:v>Current</x:v>
      </x:c>
    </x:row>
    <x:row r="1797" ht="32" customHeight="1">
      <x:c r="A1797" s="8" t="str">
        <x:v>trunk:AV1:A2:audio:1</x:v>
      </x:c>
      <x:c r="B1797" s="8" t="n">
        <x:v>4</x:v>
      </x:c>
      <x:c r="C1797" s="11" t="n">
        <x:v>48.735</x:v>
      </x:c>
      <x:c r="D1797" s="11" t="n">
        <x:v>4.02</x:v>
      </x:c>
      <x:c r="E1797" s="11" t="n">
        <x:v>-2.24</x:v>
      </x:c>
      <x:c r="F1797" s="11" t="n">
        <x:f>SQRT((C1797-C1796)^2+(D1797-D1796)^2+(E1797-E1796)^2)</x:f>
        <x:v>3.0699999999999994</x:v>
      </x:c>
      <x:c r="G1797" s="8" t="str">
        <x:v>Current</x:v>
      </x:c>
    </x:row>
    <x:row r="1798" ht="32" customHeight="1">
      <x:c r="A1798" s="8" t="str">
        <x:v>trunk:AV1:A2:audio:1</x:v>
      </x:c>
      <x:c r="B1798" s="8" t="n">
        <x:v>5</x:v>
      </x:c>
      <x:c r="C1798" s="11" t="n">
        <x:v>48.735</x:v>
      </x:c>
      <x:c r="D1798" s="11" t="n">
        <x:v>4.02</x:v>
      </x:c>
      <x:c r="E1798" s="11" t="n">
        <x:v>-3.6</x:v>
      </x:c>
      <x:c r="F1798" s="11" t="n">
        <x:f>SQRT((C1798-C1797)^2+(D1798-D1797)^2+(E1798-E1797)^2)</x:f>
        <x:v>1.3599999999999999</x:v>
      </x:c>
      <x:c r="G1798" s="8" t="str">
        <x:v>Current</x:v>
      </x:c>
    </x:row>
    <x:row r="1799" ht="32" customHeight="1">
      <x:c r="A1799" s="8" t="str">
        <x:v>trunk:AV1:A2:audio:1</x:v>
      </x:c>
      <x:c r="B1799" s="8" t="n">
        <x:v>6</x:v>
      </x:c>
      <x:c r="C1799" s="11" t="n">
        <x:v>53.05</x:v>
      </x:c>
      <x:c r="D1799" s="11" t="n">
        <x:v>4.02</x:v>
      </x:c>
      <x:c r="E1799" s="11" t="n">
        <x:v>-3.6</x:v>
      </x:c>
      <x:c r="F1799" s="11" t="n">
        <x:f>SQRT((C1799-C1798)^2+(D1799-D1798)^2+(E1799-E1798)^2)</x:f>
        <x:v>4.314999999999998</x:v>
      </x:c>
      <x:c r="G1799" s="8" t="str">
        <x:v>Current</x:v>
      </x:c>
    </x:row>
    <x:row r="1800" ht="32" customHeight="1">
      <x:c r="A1800" s="8" t="str">
        <x:v>trunk:AV1:A2:audio:1</x:v>
      </x:c>
      <x:c r="B1800" s="8" t="n">
        <x:v>7</x:v>
      </x:c>
      <x:c r="C1800" s="11" t="n">
        <x:v>53.05</x:v>
      </x:c>
      <x:c r="D1800" s="11" t="n">
        <x:v>6.066</x:v>
      </x:c>
      <x:c r="E1800" s="11" t="n">
        <x:v>-3.6</x:v>
      </x:c>
      <x:c r="F1800" s="11" t="n">
        <x:f>SQRT((C1800-C1799)^2+(D1800-D1799)^2+(E1800-E1799)^2)</x:f>
        <x:v>2.0460000000000003</x:v>
      </x:c>
      <x:c r="G1800" s="8" t="str">
        <x:v>Current</x:v>
      </x:c>
    </x:row>
    <x:row r="1801" ht="32" customHeight="1">
      <x:c r="A1801" s="8" t="str">
        <x:v>trunk:AV1:A2:audio:1</x:v>
      </x:c>
      <x:c r="B1801" s="8" t="n">
        <x:v>8</x:v>
      </x:c>
      <x:c r="C1801" s="11" t="n">
        <x:v>53.05</x:v>
      </x:c>
      <x:c r="D1801" s="11" t="n">
        <x:v>6.066</x:v>
      </x:c>
      <x:c r="E1801" s="11" t="n">
        <x:v>7.36</x:v>
      </x:c>
      <x:c r="F1801" s="11" t="n">
        <x:f>SQRT((C1801-C1800)^2+(D1801-D1800)^2+(E1801-E1800)^2)</x:f>
        <x:v>10.96</x:v>
      </x:c>
      <x:c r="G1801" s="8" t="str">
        <x:v>Current</x:v>
      </x:c>
    </x:row>
    <x:row r="1802" ht="32" customHeight="1">
      <x:c r="A1802" s="8" t="str">
        <x:v>trunk:AV1:A2:audio:1</x:v>
      </x:c>
      <x:c r="B1802" s="8" t="n">
        <x:v>9</x:v>
      </x:c>
      <x:c r="C1802" s="11" t="n">
        <x:v>44.175</x:v>
      </x:c>
      <x:c r="D1802" s="11" t="n">
        <x:v>6.066</x:v>
      </x:c>
      <x:c r="E1802" s="11" t="n">
        <x:v>7.36</x:v>
      </x:c>
      <x:c r="F1802" s="11" t="n">
        <x:f>SQRT((C1802-C1801)^2+(D1802-D1801)^2+(E1802-E1801)^2)</x:f>
        <x:v>8.875</x:v>
      </x:c>
      <x:c r="G1802" s="8" t="str">
        <x:v>Current</x:v>
      </x:c>
    </x:row>
    <x:row r="1803" ht="32" customHeight="1">
      <x:c r="A1803" s="8" t="str">
        <x:v>trunk:AV1:A2:audio:1</x:v>
      </x:c>
      <x:c r="B1803" s="8" t="n">
        <x:v>10</x:v>
      </x:c>
      <x:c r="C1803" s="11" t="n">
        <x:v>44.175</x:v>
      </x:c>
      <x:c r="D1803" s="11" t="n">
        <x:v>6.066</x:v>
      </x:c>
      <x:c r="E1803" s="11" t="n">
        <x:v>13.24</x:v>
      </x:c>
      <x:c r="F1803" s="11" t="n">
        <x:f>SQRT((C1803-C1802)^2+(D1803-D1802)^2+(E1803-E1802)^2)</x:f>
        <x:v>5.88</x:v>
      </x:c>
      <x:c r="G1803" s="8" t="str">
        <x:v>Current</x:v>
      </x:c>
    </x:row>
    <x:row r="1804" ht="32" customHeight="1">
      <x:c r="A1804" s="8" t="str">
        <x:v>trunk:AV1:A2:audio:1</x:v>
      </x:c>
      <x:c r="B1804" s="8" t="n">
        <x:v>11</x:v>
      </x:c>
      <x:c r="C1804" s="11" t="n">
        <x:v>36.975</x:v>
      </x:c>
      <x:c r="D1804" s="11" t="n">
        <x:v>6.066</x:v>
      </x:c>
      <x:c r="E1804" s="11" t="n">
        <x:v>13.24</x:v>
      </x:c>
      <x:c r="F1804" s="11" t="n">
        <x:f>SQRT((C1804-C1803)^2+(D1804-D1803)^2+(E1804-E1803)^2)</x:f>
        <x:v>7.199999999999996</x:v>
      </x:c>
      <x:c r="G1804" s="8" t="str">
        <x:v>Current</x:v>
      </x:c>
    </x:row>
    <x:row r="1805" ht="32" customHeight="1">
      <x:c r="A1805" s="8" t="str">
        <x:v>trunk:AV1:A2:audio:1</x:v>
      </x:c>
      <x:c r="B1805" s="8" t="n">
        <x:v>12</x:v>
      </x:c>
      <x:c r="C1805" s="11" t="n">
        <x:v>36.975</x:v>
      </x:c>
      <x:c r="D1805" s="11" t="n">
        <x:v>6.066</x:v>
      </x:c>
      <x:c r="E1805" s="11" t="n">
        <x:v>7.36</x:v>
      </x:c>
      <x:c r="F1805" s="11" t="n">
        <x:f>SQRT((C1805-C1804)^2+(D1805-D1804)^2+(E1805-E1804)^2)</x:f>
        <x:v>5.88</x:v>
      </x:c>
      <x:c r="G1805" s="8" t="str">
        <x:v>Current</x:v>
      </x:c>
    </x:row>
    <x:row r="1806" ht="32" customHeight="1">
      <x:c r="A1806" s="8" t="str">
        <x:v>trunk:AV1:A2:audio:1</x:v>
      </x:c>
      <x:c r="B1806" s="8" t="n">
        <x:v>13</x:v>
      </x:c>
      <x:c r="C1806" s="11" t="n">
        <x:v>13.53</x:v>
      </x:c>
      <x:c r="D1806" s="11" t="n">
        <x:v>6.066</x:v>
      </x:c>
      <x:c r="E1806" s="11" t="n">
        <x:v>7.36</x:v>
      </x:c>
      <x:c r="F1806" s="11" t="n">
        <x:f>SQRT((C1806-C1805)^2+(D1806-D1805)^2+(E1806-E1805)^2)</x:f>
        <x:v>23.445</x:v>
      </x:c>
      <x:c r="G1806" s="8" t="str">
        <x:v>Current</x:v>
      </x:c>
    </x:row>
    <x:row r="1807" ht="32" customHeight="1">
      <x:c r="A1807" s="8" t="str">
        <x:v>drop:AV1:A2:audio:1:S281</x:v>
      </x:c>
      <x:c r="B1807" s="8" t="n">
        <x:v>1</x:v>
      </x:c>
      <x:c r="C1807" s="11" t="n">
        <x:v>13.53</x:v>
      </x:c>
      <x:c r="D1807" s="11" t="n">
        <x:v>6.066</x:v>
      </x:c>
      <x:c r="E1807" s="11" t="n">
        <x:v>7.36</x:v>
      </x:c>
      <x:c r="F1807" s="11" t="n">
        <x:f>0</x:f>
        <x:v>0</x:v>
      </x:c>
      <x:c r="G1807" s="8" t="str">
        <x:v>Current</x:v>
      </x:c>
    </x:row>
    <x:row r="1808" ht="32" customHeight="1">
      <x:c r="A1808" s="8" t="str">
        <x:v>drop:AV1:A2:audio:1:S281</x:v>
      </x:c>
      <x:c r="B1808" s="8" t="n">
        <x:v>2</x:v>
      </x:c>
      <x:c r="C1808" s="11" t="n">
        <x:v>12.225</x:v>
      </x:c>
      <x:c r="D1808" s="11" t="n">
        <x:v>6.066</x:v>
      </x:c>
      <x:c r="E1808" s="11" t="n">
        <x:v>7.36</x:v>
      </x:c>
      <x:c r="F1808" s="11" t="n">
        <x:f>SQRT((C1808-C1807)^2+(D1808-D1807)^2+(E1808-E1807)^2)</x:f>
        <x:v>1.3049999999999997</x:v>
      </x:c>
      <x:c r="G1808" s="8" t="str">
        <x:v>Current</x:v>
      </x:c>
    </x:row>
    <x:row r="1809" ht="32" customHeight="1">
      <x:c r="A1809" s="8" t="str">
        <x:v>drop:AV1:A2:audio:1:S281</x:v>
      </x:c>
      <x:c r="B1809" s="8" t="n">
        <x:v>3</x:v>
      </x:c>
      <x:c r="C1809" s="11" t="n">
        <x:v>12.225</x:v>
      </x:c>
      <x:c r="D1809" s="11" t="n">
        <x:v>6.066</x:v>
      </x:c>
      <x:c r="E1809" s="11" t="n">
        <x:v>8.85</x:v>
      </x:c>
      <x:c r="F1809" s="11" t="n">
        <x:f>SQRT((C1809-C1808)^2+(D1809-D1808)^2+(E1809-E1808)^2)</x:f>
        <x:v>1.4899999999999993</x:v>
      </x:c>
      <x:c r="G1809" s="8" t="str">
        <x:v>Current</x:v>
      </x:c>
    </x:row>
    <x:row r="1810" ht="32" customHeight="1">
      <x:c r="A1810" s="8" t="str">
        <x:v>drop:AV1:A2:audio:1:S281</x:v>
      </x:c>
      <x:c r="B1810" s="8" t="n">
        <x:v>4</x:v>
      </x:c>
      <x:c r="C1810" s="11" t="n">
        <x:v>12.225</x:v>
      </x:c>
      <x:c r="D1810" s="11" t="n">
        <x:v>6.798875000000001</x:v>
      </x:c>
      <x:c r="E1810" s="11" t="n">
        <x:v>8.85</x:v>
      </x:c>
      <x:c r="F1810" s="11" t="n">
        <x:f>SQRT((C1810-C1809)^2+(D1810-D1809)^2+(E1810-E1809)^2)</x:f>
        <x:v>0.7328750000000008</x:v>
      </x:c>
      <x:c r="G1810" s="8" t="str">
        <x:v>Current</x:v>
      </x:c>
    </x:row>
    <x:row r="1811" ht="32" customHeight="1">
      <x:c r="A1811" s="8" t="str">
        <x:v>drop:AV1:A2:audio:1:S281</x:v>
      </x:c>
      <x:c r="B1811" s="8" t="n">
        <x:v>5</x:v>
      </x:c>
      <x:c r="C1811" s="11" t="n">
        <x:v>12.225</x:v>
      </x:c>
      <x:c r="D1811" s="11" t="n">
        <x:v>3.9</x:v>
      </x:c>
      <x:c r="E1811" s="11" t="n">
        <x:v>8.85</x:v>
      </x:c>
      <x:c r="F1811" s="11" t="n">
        <x:f>SQRT((C1811-C1810)^2+(D1811-D1810)^2+(E1811-E1810)^2)</x:f>
        <x:v>2.8988750000000008</x:v>
      </x:c>
      <x:c r="G1811" s="8" t="str">
        <x:v>Current</x:v>
      </x:c>
    </x:row>
    <x:row r="1812" ht="32" customHeight="1">
      <x:c r="A1812" s="8" t="str">
        <x:v>drop:AV1:A2:audio:1:S282</x:v>
      </x:c>
      <x:c r="B1812" s="8" t="n">
        <x:v>1</x:v>
      </x:c>
      <x:c r="C1812" s="11" t="n">
        <x:v>27.03</x:v>
      </x:c>
      <x:c r="D1812" s="11" t="n">
        <x:v>6.066</x:v>
      </x:c>
      <x:c r="E1812" s="11" t="n">
        <x:v>7.36</x:v>
      </x:c>
      <x:c r="F1812" s="11" t="n">
        <x:f>0</x:f>
        <x:v>0</x:v>
      </x:c>
      <x:c r="G1812" s="8" t="str">
        <x:v>Current</x:v>
      </x:c>
    </x:row>
    <x:row r="1813" ht="32" customHeight="1">
      <x:c r="A1813" s="8" t="str">
        <x:v>drop:AV1:A2:audio:1:S282</x:v>
      </x:c>
      <x:c r="B1813" s="8" t="n">
        <x:v>2</x:v>
      </x:c>
      <x:c r="C1813" s="11" t="n">
        <x:v>25.725</x:v>
      </x:c>
      <x:c r="D1813" s="11" t="n">
        <x:v>6.066</x:v>
      </x:c>
      <x:c r="E1813" s="11" t="n">
        <x:v>7.36</x:v>
      </x:c>
      <x:c r="F1813" s="11" t="n">
        <x:f>SQRT((C1813-C1812)^2+(D1813-D1812)^2+(E1813-E1812)^2)</x:f>
        <x:v>1.3049999999999997</x:v>
      </x:c>
      <x:c r="G1813" s="8" t="str">
        <x:v>Current</x:v>
      </x:c>
    </x:row>
    <x:row r="1814" ht="32" customHeight="1">
      <x:c r="A1814" s="8" t="str">
        <x:v>drop:AV1:A2:audio:1:S282</x:v>
      </x:c>
      <x:c r="B1814" s="8" t="n">
        <x:v>3</x:v>
      </x:c>
      <x:c r="C1814" s="11" t="n">
        <x:v>25.725</x:v>
      </x:c>
      <x:c r="D1814" s="11" t="n">
        <x:v>6.066</x:v>
      </x:c>
      <x:c r="E1814" s="11" t="n">
        <x:v>8.85</x:v>
      </x:c>
      <x:c r="F1814" s="11" t="n">
        <x:f>SQRT((C1814-C1813)^2+(D1814-D1813)^2+(E1814-E1813)^2)</x:f>
        <x:v>1.4899999999999993</x:v>
      </x:c>
      <x:c r="G1814" s="8" t="str">
        <x:v>Current</x:v>
      </x:c>
    </x:row>
    <x:row r="1815" ht="32" customHeight="1">
      <x:c r="A1815" s="8" t="str">
        <x:v>drop:AV1:A2:audio:1:S282</x:v>
      </x:c>
      <x:c r="B1815" s="8" t="n">
        <x:v>4</x:v>
      </x:c>
      <x:c r="C1815" s="11" t="n">
        <x:v>25.725</x:v>
      </x:c>
      <x:c r="D1815" s="11" t="n">
        <x:v>6.798875000000001</x:v>
      </x:c>
      <x:c r="E1815" s="11" t="n">
        <x:v>8.85</x:v>
      </x:c>
      <x:c r="F1815" s="11" t="n">
        <x:f>SQRT((C1815-C1814)^2+(D1815-D1814)^2+(E1815-E1814)^2)</x:f>
        <x:v>0.7328750000000008</x:v>
      </x:c>
      <x:c r="G1815" s="8" t="str">
        <x:v>Current</x:v>
      </x:c>
    </x:row>
    <x:row r="1816" ht="32" customHeight="1">
      <x:c r="A1816" s="8" t="str">
        <x:v>drop:AV1:A2:audio:1:S282</x:v>
      </x:c>
      <x:c r="B1816" s="8" t="n">
        <x:v>5</x:v>
      </x:c>
      <x:c r="C1816" s="11" t="n">
        <x:v>25.725</x:v>
      </x:c>
      <x:c r="D1816" s="11" t="n">
        <x:v>3.9</x:v>
      </x:c>
      <x:c r="E1816" s="11" t="n">
        <x:v>8.85</x:v>
      </x:c>
      <x:c r="F1816" s="11" t="n">
        <x:f>SQRT((C1816-C1815)^2+(D1816-D1815)^2+(E1816-E1815)^2)</x:f>
        <x:v>2.8988750000000008</x:v>
      </x:c>
      <x:c r="G1816" s="8" t="str">
        <x:v>Current</x:v>
      </x:c>
    </x:row>
    <x:row r="1817" ht="32" customHeight="1">
      <x:c r="A1817" s="8" t="str">
        <x:v>trunk:AV1:A3:audio:-1</x:v>
      </x:c>
      <x:c r="B1817" s="8" t="n">
        <x:v>1</x:v>
      </x:c>
      <x:c r="C1817" s="11" t="n">
        <x:v>49.275</x:v>
      </x:c>
      <x:c r="D1817" s="11" t="n">
        <x:v>0.95</x:v>
      </x:c>
      <x:c r="E1817" s="11" t="n">
        <x:v>1.4</x:v>
      </x:c>
      <x:c r="F1817" s="11" t="n">
        <x:f>0</x:f>
        <x:v>0</x:v>
      </x:c>
      <x:c r="G1817" s="8" t="str">
        <x:v>Current</x:v>
      </x:c>
    </x:row>
    <x:row r="1818" ht="32" customHeight="1">
      <x:c r="A1818" s="8" t="str">
        <x:v>trunk:AV1:A3:audio:-1</x:v>
      </x:c>
      <x:c r="B1818" s="8" t="n">
        <x:v>2</x:v>
      </x:c>
      <x:c r="C1818" s="11" t="n">
        <x:v>48.735</x:v>
      </x:c>
      <x:c r="D1818" s="11" t="n">
        <x:v>0.95</x:v>
      </x:c>
      <x:c r="E1818" s="11" t="n">
        <x:v>1.4</x:v>
      </x:c>
      <x:c r="F1818" s="11" t="n">
        <x:f>SQRT((C1818-C1817)^2+(D1818-D1817)^2+(E1818-E1817)^2)</x:f>
        <x:v>0.5399999999999991</x:v>
      </x:c>
      <x:c r="G1818" s="8" t="str">
        <x:v>Current</x:v>
      </x:c>
    </x:row>
    <x:row r="1819" ht="32" customHeight="1">
      <x:c r="A1819" s="8" t="str">
        <x:v>trunk:AV1:A3:audio:-1</x:v>
      </x:c>
      <x:c r="B1819" s="8" t="n">
        <x:v>3</x:v>
      </x:c>
      <x:c r="C1819" s="11" t="n">
        <x:v>48.735</x:v>
      </x:c>
      <x:c r="D1819" s="11" t="n">
        <x:v>0.95</x:v>
      </x:c>
      <x:c r="E1819" s="11" t="n">
        <x:v>-2.24</x:v>
      </x:c>
      <x:c r="F1819" s="11" t="n">
        <x:f>SQRT((C1819-C1818)^2+(D1819-D1818)^2+(E1819-E1818)^2)</x:f>
        <x:v>3.64</x:v>
      </x:c>
      <x:c r="G1819" s="8" t="str">
        <x:v>Current</x:v>
      </x:c>
    </x:row>
    <x:row r="1820" ht="32" customHeight="1">
      <x:c r="A1820" s="8" t="str">
        <x:v>trunk:AV1:A3:audio:-1</x:v>
      </x:c>
      <x:c r="B1820" s="8" t="n">
        <x:v>4</x:v>
      </x:c>
      <x:c r="C1820" s="11" t="n">
        <x:v>48.735</x:v>
      </x:c>
      <x:c r="D1820" s="11" t="n">
        <x:v>4.02</x:v>
      </x:c>
      <x:c r="E1820" s="11" t="n">
        <x:v>-2.24</x:v>
      </x:c>
      <x:c r="F1820" s="11" t="n">
        <x:f>SQRT((C1820-C1819)^2+(D1820-D1819)^2+(E1820-E1819)^2)</x:f>
        <x:v>3.0699999999999994</x:v>
      </x:c>
      <x:c r="G1820" s="8" t="str">
        <x:v>Current</x:v>
      </x:c>
    </x:row>
    <x:row r="1821" ht="32" customHeight="1">
      <x:c r="A1821" s="8" t="str">
        <x:v>trunk:AV1:A3:audio:-1</x:v>
      </x:c>
      <x:c r="B1821" s="8" t="n">
        <x:v>5</x:v>
      </x:c>
      <x:c r="C1821" s="11" t="n">
        <x:v>48.735</x:v>
      </x:c>
      <x:c r="D1821" s="11" t="n">
        <x:v>4.02</x:v>
      </x:c>
      <x:c r="E1821" s="11" t="n">
        <x:v>-3.6</x:v>
      </x:c>
      <x:c r="F1821" s="11" t="n">
        <x:f>SQRT((C1821-C1820)^2+(D1821-D1820)^2+(E1821-E1820)^2)</x:f>
        <x:v>1.3599999999999999</x:v>
      </x:c>
      <x:c r="G1821" s="8" t="str">
        <x:v>Current</x:v>
      </x:c>
    </x:row>
    <x:row r="1822" ht="32" customHeight="1">
      <x:c r="A1822" s="8" t="str">
        <x:v>trunk:AV1:A3:audio:-1</x:v>
      </x:c>
      <x:c r="B1822" s="8" t="n">
        <x:v>6</x:v>
      </x:c>
      <x:c r="C1822" s="11" t="n">
        <x:v>53.05</x:v>
      </x:c>
      <x:c r="D1822" s="11" t="n">
        <x:v>4.02</x:v>
      </x:c>
      <x:c r="E1822" s="11" t="n">
        <x:v>-3.6</x:v>
      </x:c>
      <x:c r="F1822" s="11" t="n">
        <x:f>SQRT((C1822-C1821)^2+(D1822-D1821)^2+(E1822-E1821)^2)</x:f>
        <x:v>4.314999999999998</x:v>
      </x:c>
      <x:c r="G1822" s="8" t="str">
        <x:v>Current</x:v>
      </x:c>
    </x:row>
    <x:row r="1823" ht="32" customHeight="1">
      <x:c r="A1823" s="8" t="str">
        <x:v>trunk:AV1:A3:audio:-1</x:v>
      </x:c>
      <x:c r="B1823" s="8" t="n">
        <x:v>7</x:v>
      </x:c>
      <x:c r="C1823" s="11" t="n">
        <x:v>53.05</x:v>
      </x:c>
      <x:c r="D1823" s="11" t="n">
        <x:v>6.08</x:v>
      </x:c>
      <x:c r="E1823" s="11" t="n">
        <x:v>-3.6</x:v>
      </x:c>
      <x:c r="F1823" s="11" t="n">
        <x:f>SQRT((C1823-C1822)^2+(D1823-D1822)^2+(E1823-E1822)^2)</x:f>
        <x:v>2.0600000000000005</x:v>
      </x:c>
      <x:c r="G1823" s="8" t="str">
        <x:v>Current</x:v>
      </x:c>
    </x:row>
    <x:row r="1824" ht="32" customHeight="1">
      <x:c r="A1824" s="8" t="str">
        <x:v>trunk:AV1:A3:audio:-1</x:v>
      </x:c>
      <x:c r="B1824" s="8" t="n">
        <x:v>8</x:v>
      </x:c>
      <x:c r="C1824" s="11" t="n">
        <x:v>53.05</x:v>
      </x:c>
      <x:c r="D1824" s="11" t="n">
        <x:v>6.08</x:v>
      </x:c>
      <x:c r="E1824" s="11" t="n">
        <x:v>-7.36</x:v>
      </x:c>
      <x:c r="F1824" s="11" t="n">
        <x:f>SQRT((C1824-C1823)^2+(D1824-D1823)^2+(E1824-E1823)^2)</x:f>
        <x:v>3.7600000000000002</x:v>
      </x:c>
      <x:c r="G1824" s="8" t="str">
        <x:v>Current</x:v>
      </x:c>
    </x:row>
    <x:row r="1825" ht="32" customHeight="1">
      <x:c r="A1825" s="8" t="str">
        <x:v>trunk:AV1:A3:audio:-1</x:v>
      </x:c>
      <x:c r="B1825" s="8" t="n">
        <x:v>9</x:v>
      </x:c>
      <x:c r="C1825" s="11" t="n">
        <x:v>44.175</x:v>
      </x:c>
      <x:c r="D1825" s="11" t="n">
        <x:v>6.08</x:v>
      </x:c>
      <x:c r="E1825" s="11" t="n">
        <x:v>-7.36</x:v>
      </x:c>
      <x:c r="F1825" s="11" t="n">
        <x:f>SQRT((C1825-C1824)^2+(D1825-D1824)^2+(E1825-E1824)^2)</x:f>
        <x:v>8.875</x:v>
      </x:c>
      <x:c r="G1825" s="8" t="str">
        <x:v>Current</x:v>
      </x:c>
    </x:row>
    <x:row r="1826" ht="32" customHeight="1">
      <x:c r="A1826" s="8" t="str">
        <x:v>trunk:AV1:A3:audio:-1</x:v>
      </x:c>
      <x:c r="B1826" s="8" t="n">
        <x:v>10</x:v>
      </x:c>
      <x:c r="C1826" s="11" t="n">
        <x:v>44.175</x:v>
      </x:c>
      <x:c r="D1826" s="11" t="n">
        <x:v>6.08</x:v>
      </x:c>
      <x:c r="E1826" s="11" t="n">
        <x:v>-13.24</x:v>
      </x:c>
      <x:c r="F1826" s="11" t="n">
        <x:f>SQRT((C1826-C1825)^2+(D1826-D1825)^2+(E1826-E1825)^2)</x:f>
        <x:v>5.88</x:v>
      </x:c>
      <x:c r="G1826" s="8" t="str">
        <x:v>Current</x:v>
      </x:c>
    </x:row>
    <x:row r="1827" ht="32" customHeight="1">
      <x:c r="A1827" s="8" t="str">
        <x:v>trunk:AV1:A3:audio:-1</x:v>
      </x:c>
      <x:c r="B1827" s="8" t="n">
        <x:v>11</x:v>
      </x:c>
      <x:c r="C1827" s="11" t="n">
        <x:v>36.975</x:v>
      </x:c>
      <x:c r="D1827" s="11" t="n">
        <x:v>6.08</x:v>
      </x:c>
      <x:c r="E1827" s="11" t="n">
        <x:v>-13.24</x:v>
      </x:c>
      <x:c r="F1827" s="11" t="n">
        <x:f>SQRT((C1827-C1826)^2+(D1827-D1826)^2+(E1827-E1826)^2)</x:f>
        <x:v>7.199999999999996</x:v>
      </x:c>
      <x:c r="G1827" s="8" t="str">
        <x:v>Current</x:v>
      </x:c>
    </x:row>
    <x:row r="1828" ht="32" customHeight="1">
      <x:c r="A1828" s="8" t="str">
        <x:v>trunk:AV1:A3:audio:-1</x:v>
      </x:c>
      <x:c r="B1828" s="8" t="n">
        <x:v>12</x:v>
      </x:c>
      <x:c r="C1828" s="11" t="n">
        <x:v>36.975</x:v>
      </x:c>
      <x:c r="D1828" s="11" t="n">
        <x:v>6.08</x:v>
      </x:c>
      <x:c r="E1828" s="11" t="n">
        <x:v>-7.36</x:v>
      </x:c>
      <x:c r="F1828" s="11" t="n">
        <x:f>SQRT((C1828-C1827)^2+(D1828-D1827)^2+(E1828-E1827)^2)</x:f>
        <x:v>5.88</x:v>
      </x:c>
      <x:c r="G1828" s="8" t="str">
        <x:v>Current</x:v>
      </x:c>
    </x:row>
    <x:row r="1829" ht="32" customHeight="1">
      <x:c r="A1829" s="8" t="str">
        <x:v>trunk:AV1:A3:audio:-1</x:v>
      </x:c>
      <x:c r="B1829" s="8" t="n">
        <x:v>13</x:v>
      </x:c>
      <x:c r="C1829" s="11" t="n">
        <x:v>5.475</x:v>
      </x:c>
      <x:c r="D1829" s="11" t="n">
        <x:v>6.08</x:v>
      </x:c>
      <x:c r="E1829" s="11" t="n">
        <x:v>-7.36</x:v>
      </x:c>
      <x:c r="F1829" s="11" t="n">
        <x:f>SQRT((C1829-C1828)^2+(D1829-D1828)^2+(E1829-E1828)^2)</x:f>
        <x:v>31.5</x:v>
      </x:c>
      <x:c r="G1829" s="8" t="str">
        <x:v>Current</x:v>
      </x:c>
    </x:row>
    <x:row r="1830" ht="32" customHeight="1">
      <x:c r="A1830" s="8" t="str">
        <x:v>trunk:AV1:A3:audio:-1</x:v>
      </x:c>
      <x:c r="B1830" s="8" t="n">
        <x:v>14</x:v>
      </x:c>
      <x:c r="C1830" s="11" t="n">
        <x:v>2.35</x:v>
      </x:c>
      <x:c r="D1830" s="11" t="n">
        <x:v>6.08</x:v>
      </x:c>
      <x:c r="E1830" s="11" t="n">
        <x:v>-7.36</x:v>
      </x:c>
      <x:c r="F1830" s="11" t="n">
        <x:f>SQRT((C1830-C1829)^2+(D1830-D1829)^2+(E1830-E1829)^2)</x:f>
        <x:v>3.1249999999999996</x:v>
      </x:c>
      <x:c r="G1830" s="8" t="str">
        <x:v>Current</x:v>
      </x:c>
    </x:row>
    <x:row r="1831" ht="32" customHeight="1">
      <x:c r="A1831" s="8" t="str">
        <x:v>drop:AV1:A3:audio:-1:S283</x:v>
      </x:c>
      <x:c r="B1831" s="8" t="n">
        <x:v>1</x:v>
      </x:c>
      <x:c r="C1831" s="11" t="n">
        <x:v>2.35</x:v>
      </x:c>
      <x:c r="D1831" s="11" t="n">
        <x:v>6.08</x:v>
      </x:c>
      <x:c r="E1831" s="11" t="n">
        <x:v>-7.36</x:v>
      </x:c>
      <x:c r="F1831" s="11" t="n">
        <x:f>0</x:f>
        <x:v>0</x:v>
      </x:c>
      <x:c r="G1831" s="8" t="str">
        <x:v>Current</x:v>
      </x:c>
    </x:row>
    <x:row r="1832" ht="32" customHeight="1">
      <x:c r="A1832" s="8" t="str">
        <x:v>drop:AV1:A3:audio:-1:S283</x:v>
      </x:c>
      <x:c r="B1832" s="8" t="n">
        <x:v>2</x:v>
      </x:c>
      <x:c r="C1832" s="11" t="n">
        <x:v>2.35</x:v>
      </x:c>
      <x:c r="D1832" s="11" t="n">
        <x:v>7.65</x:v>
      </x:c>
      <x:c r="E1832" s="11" t="n">
        <x:v>-7.36</x:v>
      </x:c>
      <x:c r="F1832" s="11" t="n">
        <x:f>SQRT((C1832-C1831)^2+(D1832-D1831)^2+(E1832-E1831)^2)</x:f>
        <x:v>1.5700000000000003</x:v>
      </x:c>
      <x:c r="G1832" s="8" t="str">
        <x:v>Current</x:v>
      </x:c>
    </x:row>
    <x:row r="1833" ht="32" customHeight="1">
      <x:c r="A1833" s="8" t="str">
        <x:v>drop:AV1:A3:audio:-1:S283</x:v>
      </x:c>
      <x:c r="B1833" s="8" t="n">
        <x:v>3</x:v>
      </x:c>
      <x:c r="C1833" s="11" t="n">
        <x:v>2.35</x:v>
      </x:c>
      <x:c r="D1833" s="11" t="n">
        <x:v>7.65</x:v>
      </x:c>
      <x:c r="E1833" s="11" t="n">
        <x:v>-10.153</x:v>
      </x:c>
      <x:c r="F1833" s="11" t="n">
        <x:f>SQRT((C1833-C1832)^2+(D1833-D1832)^2+(E1833-E1832)^2)</x:f>
        <x:v>2.793</x:v>
      </x:c>
      <x:c r="G1833" s="8" t="str">
        <x:v>Current</x:v>
      </x:c>
    </x:row>
    <x:row r="1834" ht="32" customHeight="1">
      <x:c r="A1834" s="8" t="str">
        <x:v>drop:AV1:A3:audio:-1:S283</x:v>
      </x:c>
      <x:c r="B1834" s="8" t="n">
        <x:v>4</x:v>
      </x:c>
      <x:c r="C1834" s="11" t="n">
        <x:v>0.05</x:v>
      </x:c>
      <x:c r="D1834" s="11" t="n">
        <x:v>7.65</x:v>
      </x:c>
      <x:c r="E1834" s="11" t="n">
        <x:v>-10.153</x:v>
      </x:c>
      <x:c r="F1834" s="11" t="n">
        <x:f>SQRT((C1834-C1833)^2+(D1834-D1833)^2+(E1834-E1833)^2)</x:f>
        <x:v>2.3000000000000003</x:v>
      </x:c>
      <x:c r="G1834" s="8" t="str">
        <x:v>Current</x:v>
      </x:c>
    </x:row>
    <x:row r="1835" ht="32" customHeight="1">
      <x:c r="A1835" s="8" t="str">
        <x:v>drop:AV1:A3:audio:-1:S283</x:v>
      </x:c>
      <x:c r="B1835" s="8" t="n">
        <x:v>5</x:v>
      </x:c>
      <x:c r="C1835" s="11" t="n">
        <x:v>0.05</x:v>
      </x:c>
      <x:c r="D1835" s="11" t="n">
        <x:v>6.2</x:v>
      </x:c>
      <x:c r="E1835" s="11" t="n">
        <x:v>-10.153</x:v>
      </x:c>
      <x:c r="F1835" s="11" t="n">
        <x:f>SQRT((C1835-C1834)^2+(D1835-D1834)^2+(E1835-E1834)^2)</x:f>
        <x:v>1.4500000000000002</x:v>
      </x:c>
      <x:c r="G1835" s="8" t="str">
        <x:v>Current</x:v>
      </x:c>
    </x:row>
    <x:row r="1836" ht="32" customHeight="1">
      <x:c r="A1836" s="8" t="str">
        <x:v>drop:AV1:A3:audio:-1:S283</x:v>
      </x:c>
      <x:c r="B1836" s="8" t="n">
        <x:v>6</x:v>
      </x:c>
      <x:c r="C1836" s="11" t="n">
        <x:v>-0.14</x:v>
      </x:c>
      <x:c r="D1836" s="11" t="n">
        <x:v>6.2</x:v>
      </x:c>
      <x:c r="E1836" s="11" t="n">
        <x:v>-10.153</x:v>
      </x:c>
      <x:c r="F1836" s="11" t="n">
        <x:f>SQRT((C1836-C1835)^2+(D1836-D1835)^2+(E1836-E1835)^2)</x:f>
        <x:v>0.19</x:v>
      </x:c>
      <x:c r="G1836" s="8" t="str">
        <x:v>Current</x:v>
      </x:c>
    </x:row>
    <x:row r="1837" ht="32" customHeight="1">
      <x:c r="A1837" s="8" t="str">
        <x:v>drop:AV1:A3:audio:-1:S283</x:v>
      </x:c>
      <x:c r="B1837" s="8" t="n">
        <x:v>7</x:v>
      </x:c>
      <x:c r="C1837" s="11" t="n">
        <x:v>-0.14</x:v>
      </x:c>
      <x:c r="D1837" s="11" t="n">
        <x:v>6.2</x:v>
      </x:c>
      <x:c r="E1837" s="11" t="n">
        <x:v>-8.3</x:v>
      </x:c>
      <x:c r="F1837" s="11" t="n">
        <x:f>SQRT((C1837-C1836)^2+(D1837-D1836)^2+(E1837-E1836)^2)</x:f>
        <x:v>1.8529999999999998</x:v>
      </x:c>
      <x:c r="G1837" s="8" t="str">
        <x:v>Current</x:v>
      </x:c>
    </x:row>
    <x:row r="1838" ht="32" customHeight="1">
      <x:c r="A1838" s="8" t="str">
        <x:v>drop:AV1:A3:audio:-1:S284</x:v>
      </x:c>
      <x:c r="B1838" s="8" t="n">
        <x:v>1</x:v>
      </x:c>
      <x:c r="C1838" s="11" t="n">
        <x:v>2.35</x:v>
      </x:c>
      <x:c r="D1838" s="11" t="n">
        <x:v>6.08</x:v>
      </x:c>
      <x:c r="E1838" s="11" t="n">
        <x:v>-7.36</x:v>
      </x:c>
      <x:c r="F1838" s="11" t="n">
        <x:f>0</x:f>
        <x:v>0</x:v>
      </x:c>
      <x:c r="G1838" s="8" t="str">
        <x:v>Current</x:v>
      </x:c>
    </x:row>
    <x:row r="1839" ht="32" customHeight="1">
      <x:c r="A1839" s="8" t="str">
        <x:v>drop:AV1:A3:audio:-1:S284</x:v>
      </x:c>
      <x:c r="B1839" s="8" t="n">
        <x:v>2</x:v>
      </x:c>
      <x:c r="C1839" s="11" t="n">
        <x:v>2.35</x:v>
      </x:c>
      <x:c r="D1839" s="11" t="n">
        <x:v>7.65</x:v>
      </x:c>
      <x:c r="E1839" s="11" t="n">
        <x:v>-7.36</x:v>
      </x:c>
      <x:c r="F1839" s="11" t="n">
        <x:f>SQRT((C1839-C1838)^2+(D1839-D1838)^2+(E1839-E1838)^2)</x:f>
        <x:v>1.5700000000000003</x:v>
      </x:c>
      <x:c r="G1839" s="8" t="str">
        <x:v>Current</x:v>
      </x:c>
    </x:row>
    <x:row r="1840" ht="32" customHeight="1">
      <x:c r="A1840" s="8" t="str">
        <x:v>drop:AV1:A3:audio:-1:S284</x:v>
      </x:c>
      <x:c r="B1840" s="8" t="n">
        <x:v>3</x:v>
      </x:c>
      <x:c r="C1840" s="11" t="n">
        <x:v>2.35</x:v>
      </x:c>
      <x:c r="D1840" s="11" t="n">
        <x:v>7.65</x:v>
      </x:c>
      <x:c r="E1840" s="11" t="n">
        <x:v>-10.153</x:v>
      </x:c>
      <x:c r="F1840" s="11" t="n">
        <x:f>SQRT((C1840-C1839)^2+(D1840-D1839)^2+(E1840-E1839)^2)</x:f>
        <x:v>2.793</x:v>
      </x:c>
      <x:c r="G1840" s="8" t="str">
        <x:v>Current</x:v>
      </x:c>
    </x:row>
    <x:row r="1841" ht="32" customHeight="1">
      <x:c r="A1841" s="8" t="str">
        <x:v>drop:AV1:A3:audio:-1:S284</x:v>
      </x:c>
      <x:c r="B1841" s="8" t="n">
        <x:v>4</x:v>
      </x:c>
      <x:c r="C1841" s="11" t="n">
        <x:v>0.05</x:v>
      </x:c>
      <x:c r="D1841" s="11" t="n">
        <x:v>7.65</x:v>
      </x:c>
      <x:c r="E1841" s="11" t="n">
        <x:v>-10.153</x:v>
      </x:c>
      <x:c r="F1841" s="11" t="n">
        <x:f>SQRT((C1841-C1840)^2+(D1841-D1840)^2+(E1841-E1840)^2)</x:f>
        <x:v>2.3000000000000003</x:v>
      </x:c>
      <x:c r="G1841" s="8" t="str">
        <x:v>Current</x:v>
      </x:c>
    </x:row>
    <x:row r="1842" ht="32" customHeight="1">
      <x:c r="A1842" s="8" t="str">
        <x:v>drop:AV1:A3:audio:-1:S284</x:v>
      </x:c>
      <x:c r="B1842" s="8" t="n">
        <x:v>5</x:v>
      </x:c>
      <x:c r="C1842" s="11" t="n">
        <x:v>0.05</x:v>
      </x:c>
      <x:c r="D1842" s="11" t="n">
        <x:v>6.2</x:v>
      </x:c>
      <x:c r="E1842" s="11" t="n">
        <x:v>-10.153</x:v>
      </x:c>
      <x:c r="F1842" s="11" t="n">
        <x:f>SQRT((C1842-C1841)^2+(D1842-D1841)^2+(E1842-E1841)^2)</x:f>
        <x:v>1.4500000000000002</x:v>
      </x:c>
      <x:c r="G1842" s="8" t="str">
        <x:v>Current</x:v>
      </x:c>
    </x:row>
    <x:row r="1843" ht="32" customHeight="1">
      <x:c r="A1843" s="8" t="str">
        <x:v>drop:AV1:A3:audio:-1:S284</x:v>
      </x:c>
      <x:c r="B1843" s="8" t="n">
        <x:v>6</x:v>
      </x:c>
      <x:c r="C1843" s="11" t="n">
        <x:v>-0.14</x:v>
      </x:c>
      <x:c r="D1843" s="11" t="n">
        <x:v>6.2</x:v>
      </x:c>
      <x:c r="E1843" s="11" t="n">
        <x:v>-10.153</x:v>
      </x:c>
      <x:c r="F1843" s="11" t="n">
        <x:f>SQRT((C1843-C1842)^2+(D1843-D1842)^2+(E1843-E1842)^2)</x:f>
        <x:v>0.19</x:v>
      </x:c>
      <x:c r="G1843" s="8" t="str">
        <x:v>Current</x:v>
      </x:c>
    </x:row>
    <x:row r="1844" ht="32" customHeight="1">
      <x:c r="A1844" s="8" t="str">
        <x:v>drop:AV1:A3:audio:-1:S284</x:v>
      </x:c>
      <x:c r="B1844" s="8" t="n">
        <x:v>7</x:v>
      </x:c>
      <x:c r="C1844" s="11" t="n">
        <x:v>-0.14</x:v>
      </x:c>
      <x:c r="D1844" s="11" t="n">
        <x:v>6.2</x:v>
      </x:c>
      <x:c r="E1844" s="11" t="n">
        <x:v>-11.9</x:v>
      </x:c>
      <x:c r="F1844" s="11" t="n">
        <x:f>SQRT((C1844-C1843)^2+(D1844-D1843)^2+(E1844-E1843)^2)</x:f>
        <x:v>1.7469999999999999</x:v>
      </x:c>
      <x:c r="G1844" s="8" t="str">
        <x:v>Current</x:v>
      </x:c>
    </x:row>
    <x:row r="1845" ht="32" customHeight="1">
      <x:c r="A1845" s="8" t="str">
        <x:v>drop:AV1:A3:audio:-1:S285</x:v>
      </x:c>
      <x:c r="B1845" s="8" t="n">
        <x:v>1</x:v>
      </x:c>
      <x:c r="C1845" s="11" t="n">
        <x:v>18.975</x:v>
      </x:c>
      <x:c r="D1845" s="11" t="n">
        <x:v>6.08</x:v>
      </x:c>
      <x:c r="E1845" s="11" t="n">
        <x:v>-7.36</x:v>
      </x:c>
      <x:c r="F1845" s="11" t="n">
        <x:f>0</x:f>
        <x:v>0</x:v>
      </x:c>
      <x:c r="G1845" s="8" t="str">
        <x:v>Current</x:v>
      </x:c>
    </x:row>
    <x:row r="1846" ht="32" customHeight="1">
      <x:c r="A1846" s="8" t="str">
        <x:v>drop:AV1:A3:audio:-1:S285</x:v>
      </x:c>
      <x:c r="B1846" s="8" t="n">
        <x:v>2</x:v>
      </x:c>
      <x:c r="C1846" s="11" t="n">
        <x:v>18.975</x:v>
      </x:c>
      <x:c r="D1846" s="11" t="n">
        <x:v>5.6</x:v>
      </x:c>
      <x:c r="E1846" s="11" t="n">
        <x:v>-7.36</x:v>
      </x:c>
      <x:c r="F1846" s="11" t="n">
        <x:f>SQRT((C1846-C1845)^2+(D1846-D1845)^2+(E1846-E1845)^2)</x:f>
        <x:v>0.4800000000000004</x:v>
      </x:c>
      <x:c r="G1846" s="8" t="str">
        <x:v>Current</x:v>
      </x:c>
    </x:row>
    <x:row r="1847" ht="32" customHeight="1">
      <x:c r="A1847" s="8" t="str">
        <x:v>drop:AV1:A3:audio:-1:S285</x:v>
      </x:c>
      <x:c r="B1847" s="8" t="n">
        <x:v>3</x:v>
      </x:c>
      <x:c r="C1847" s="11" t="n">
        <x:v>18.975</x:v>
      </x:c>
      <x:c r="D1847" s="11" t="n">
        <x:v>5.6</x:v>
      </x:c>
      <x:c r="E1847" s="11" t="n">
        <x:v>-10.75</x:v>
      </x:c>
      <x:c r="F1847" s="11" t="n">
        <x:f>SQRT((C1847-C1846)^2+(D1847-D1846)^2+(E1847-E1846)^2)</x:f>
        <x:v>3.3899999999999997</x:v>
      </x:c>
      <x:c r="G1847" s="8" t="str">
        <x:v>Current</x:v>
      </x:c>
    </x:row>
    <x:row r="1848" ht="32" customHeight="1">
      <x:c r="A1848" s="8" t="str">
        <x:v>drop:AV1:A3:audio:-1:S286</x:v>
      </x:c>
      <x:c r="B1848" s="8" t="n">
        <x:v>1</x:v>
      </x:c>
      <x:c r="C1848" s="11" t="n">
        <x:v>32.475</x:v>
      </x:c>
      <x:c r="D1848" s="11" t="n">
        <x:v>6.08</x:v>
      </x:c>
      <x:c r="E1848" s="11" t="n">
        <x:v>-7.36</x:v>
      </x:c>
      <x:c r="F1848" s="11" t="n">
        <x:f>0</x:f>
        <x:v>0</x:v>
      </x:c>
      <x:c r="G1848" s="8" t="str">
        <x:v>Current</x:v>
      </x:c>
    </x:row>
    <x:row r="1849" ht="32" customHeight="1">
      <x:c r="A1849" s="8" t="str">
        <x:v>drop:AV1:A3:audio:-1:S286</x:v>
      </x:c>
      <x:c r="B1849" s="8" t="n">
        <x:v>2</x:v>
      </x:c>
      <x:c r="C1849" s="11" t="n">
        <x:v>32.475</x:v>
      </x:c>
      <x:c r="D1849" s="11" t="n">
        <x:v>5.6</x:v>
      </x:c>
      <x:c r="E1849" s="11" t="n">
        <x:v>-7.36</x:v>
      </x:c>
      <x:c r="F1849" s="11" t="n">
        <x:f>SQRT((C1849-C1848)^2+(D1849-D1848)^2+(E1849-E1848)^2)</x:f>
        <x:v>0.4800000000000004</x:v>
      </x:c>
      <x:c r="G1849" s="8" t="str">
        <x:v>Current</x:v>
      </x:c>
    </x:row>
    <x:row r="1850" ht="32" customHeight="1">
      <x:c r="A1850" s="8" t="str">
        <x:v>drop:AV1:A3:audio:-1:S286</x:v>
      </x:c>
      <x:c r="B1850" s="8" t="n">
        <x:v>3</x:v>
      </x:c>
      <x:c r="C1850" s="11" t="n">
        <x:v>32.475</x:v>
      </x:c>
      <x:c r="D1850" s="11" t="n">
        <x:v>5.6</x:v>
      </x:c>
      <x:c r="E1850" s="11" t="n">
        <x:v>-10.75</x:v>
      </x:c>
      <x:c r="F1850" s="11" t="n">
        <x:f>SQRT((C1850-C1849)^2+(D1850-D1849)^2+(E1850-E1849)^2)</x:f>
        <x:v>3.3899999999999997</x:v>
      </x:c>
      <x:c r="G1850" s="8" t="str">
        <x:v>Current</x:v>
      </x:c>
    </x:row>
    <x:row r="1851" ht="32" customHeight="1">
      <x:c r="A1851" s="8" t="str">
        <x:v>trunk:AV1:A3:audio:1</x:v>
      </x:c>
      <x:c r="B1851" s="8" t="n">
        <x:v>1</x:v>
      </x:c>
      <x:c r="C1851" s="11" t="n">
        <x:v>49.275</x:v>
      </x:c>
      <x:c r="D1851" s="11" t="n">
        <x:v>0.95</x:v>
      </x:c>
      <x:c r="E1851" s="11" t="n">
        <x:v>1.4</x:v>
      </x:c>
      <x:c r="F1851" s="11" t="n">
        <x:f>0</x:f>
        <x:v>0</x:v>
      </x:c>
      <x:c r="G1851" s="8" t="str">
        <x:v>Current</x:v>
      </x:c>
    </x:row>
    <x:row r="1852" ht="32" customHeight="1">
      <x:c r="A1852" s="8" t="str">
        <x:v>trunk:AV1:A3:audio:1</x:v>
      </x:c>
      <x:c r="B1852" s="8" t="n">
        <x:v>2</x:v>
      </x:c>
      <x:c r="C1852" s="11" t="n">
        <x:v>48.735</x:v>
      </x:c>
      <x:c r="D1852" s="11" t="n">
        <x:v>0.95</x:v>
      </x:c>
      <x:c r="E1852" s="11" t="n">
        <x:v>1.4</x:v>
      </x:c>
      <x:c r="F1852" s="11" t="n">
        <x:f>SQRT((C1852-C1851)^2+(D1852-D1851)^2+(E1852-E1851)^2)</x:f>
        <x:v>0.5399999999999991</x:v>
      </x:c>
      <x:c r="G1852" s="8" t="str">
        <x:v>Current</x:v>
      </x:c>
    </x:row>
    <x:row r="1853" ht="32" customHeight="1">
      <x:c r="A1853" s="8" t="str">
        <x:v>trunk:AV1:A3:audio:1</x:v>
      </x:c>
      <x:c r="B1853" s="8" t="n">
        <x:v>3</x:v>
      </x:c>
      <x:c r="C1853" s="11" t="n">
        <x:v>48.735</x:v>
      </x:c>
      <x:c r="D1853" s="11" t="n">
        <x:v>0.95</x:v>
      </x:c>
      <x:c r="E1853" s="11" t="n">
        <x:v>-2.24</x:v>
      </x:c>
      <x:c r="F1853" s="11" t="n">
        <x:f>SQRT((C1853-C1852)^2+(D1853-D1852)^2+(E1853-E1852)^2)</x:f>
        <x:v>3.64</x:v>
      </x:c>
      <x:c r="G1853" s="8" t="str">
        <x:v>Current</x:v>
      </x:c>
    </x:row>
    <x:row r="1854" ht="32" customHeight="1">
      <x:c r="A1854" s="8" t="str">
        <x:v>trunk:AV1:A3:audio:1</x:v>
      </x:c>
      <x:c r="B1854" s="8" t="n">
        <x:v>4</x:v>
      </x:c>
      <x:c r="C1854" s="11" t="n">
        <x:v>48.735</x:v>
      </x:c>
      <x:c r="D1854" s="11" t="n">
        <x:v>4.02</x:v>
      </x:c>
      <x:c r="E1854" s="11" t="n">
        <x:v>-2.24</x:v>
      </x:c>
      <x:c r="F1854" s="11" t="n">
        <x:f>SQRT((C1854-C1853)^2+(D1854-D1853)^2+(E1854-E1853)^2)</x:f>
        <x:v>3.0699999999999994</x:v>
      </x:c>
      <x:c r="G1854" s="8" t="str">
        <x:v>Current</x:v>
      </x:c>
    </x:row>
    <x:row r="1855" ht="32" customHeight="1">
      <x:c r="A1855" s="8" t="str">
        <x:v>trunk:AV1:A3:audio:1</x:v>
      </x:c>
      <x:c r="B1855" s="8" t="n">
        <x:v>5</x:v>
      </x:c>
      <x:c r="C1855" s="11" t="n">
        <x:v>48.735</x:v>
      </x:c>
      <x:c r="D1855" s="11" t="n">
        <x:v>4.02</x:v>
      </x:c>
      <x:c r="E1855" s="11" t="n">
        <x:v>-3.6</x:v>
      </x:c>
      <x:c r="F1855" s="11" t="n">
        <x:f>SQRT((C1855-C1854)^2+(D1855-D1854)^2+(E1855-E1854)^2)</x:f>
        <x:v>1.3599999999999999</x:v>
      </x:c>
      <x:c r="G1855" s="8" t="str">
        <x:v>Current</x:v>
      </x:c>
    </x:row>
    <x:row r="1856" ht="32" customHeight="1">
      <x:c r="A1856" s="8" t="str">
        <x:v>trunk:AV1:A3:audio:1</x:v>
      </x:c>
      <x:c r="B1856" s="8" t="n">
        <x:v>6</x:v>
      </x:c>
      <x:c r="C1856" s="11" t="n">
        <x:v>53.05</x:v>
      </x:c>
      <x:c r="D1856" s="11" t="n">
        <x:v>4.02</x:v>
      </x:c>
      <x:c r="E1856" s="11" t="n">
        <x:v>-3.6</x:v>
      </x:c>
      <x:c r="F1856" s="11" t="n">
        <x:f>SQRT((C1856-C1855)^2+(D1856-D1855)^2+(E1856-E1855)^2)</x:f>
        <x:v>4.314999999999998</x:v>
      </x:c>
      <x:c r="G1856" s="8" t="str">
        <x:v>Current</x:v>
      </x:c>
    </x:row>
    <x:row r="1857" ht="32" customHeight="1">
      <x:c r="A1857" s="8" t="str">
        <x:v>trunk:AV1:A3:audio:1</x:v>
      </x:c>
      <x:c r="B1857" s="8" t="n">
        <x:v>7</x:v>
      </x:c>
      <x:c r="C1857" s="11" t="n">
        <x:v>53.05</x:v>
      </x:c>
      <x:c r="D1857" s="11" t="n">
        <x:v>6.08</x:v>
      </x:c>
      <x:c r="E1857" s="11" t="n">
        <x:v>-3.6</x:v>
      </x:c>
      <x:c r="F1857" s="11" t="n">
        <x:f>SQRT((C1857-C1856)^2+(D1857-D1856)^2+(E1857-E1856)^2)</x:f>
        <x:v>2.0600000000000005</x:v>
      </x:c>
      <x:c r="G1857" s="8" t="str">
        <x:v>Current</x:v>
      </x:c>
    </x:row>
    <x:row r="1858" ht="32" customHeight="1">
      <x:c r="A1858" s="8" t="str">
        <x:v>trunk:AV1:A3:audio:1</x:v>
      </x:c>
      <x:c r="B1858" s="8" t="n">
        <x:v>8</x:v>
      </x:c>
      <x:c r="C1858" s="11" t="n">
        <x:v>53.05</x:v>
      </x:c>
      <x:c r="D1858" s="11" t="n">
        <x:v>6.08</x:v>
      </x:c>
      <x:c r="E1858" s="11" t="n">
        <x:v>7.36</x:v>
      </x:c>
      <x:c r="F1858" s="11" t="n">
        <x:f>SQRT((C1858-C1857)^2+(D1858-D1857)^2+(E1858-E1857)^2)</x:f>
        <x:v>10.96</x:v>
      </x:c>
      <x:c r="G1858" s="8" t="str">
        <x:v>Current</x:v>
      </x:c>
    </x:row>
    <x:row r="1859" ht="32" customHeight="1">
      <x:c r="A1859" s="8" t="str">
        <x:v>trunk:AV1:A3:audio:1</x:v>
      </x:c>
      <x:c r="B1859" s="8" t="n">
        <x:v>9</x:v>
      </x:c>
      <x:c r="C1859" s="11" t="n">
        <x:v>44.175</x:v>
      </x:c>
      <x:c r="D1859" s="11" t="n">
        <x:v>6.08</x:v>
      </x:c>
      <x:c r="E1859" s="11" t="n">
        <x:v>7.36</x:v>
      </x:c>
      <x:c r="F1859" s="11" t="n">
        <x:f>SQRT((C1859-C1858)^2+(D1859-D1858)^2+(E1859-E1858)^2)</x:f>
        <x:v>8.875</x:v>
      </x:c>
      <x:c r="G1859" s="8" t="str">
        <x:v>Current</x:v>
      </x:c>
    </x:row>
    <x:row r="1860" ht="32" customHeight="1">
      <x:c r="A1860" s="8" t="str">
        <x:v>trunk:AV1:A3:audio:1</x:v>
      </x:c>
      <x:c r="B1860" s="8" t="n">
        <x:v>10</x:v>
      </x:c>
      <x:c r="C1860" s="11" t="n">
        <x:v>44.175</x:v>
      </x:c>
      <x:c r="D1860" s="11" t="n">
        <x:v>6.08</x:v>
      </x:c>
      <x:c r="E1860" s="11" t="n">
        <x:v>13.24</x:v>
      </x:c>
      <x:c r="F1860" s="11" t="n">
        <x:f>SQRT((C1860-C1859)^2+(D1860-D1859)^2+(E1860-E1859)^2)</x:f>
        <x:v>5.88</x:v>
      </x:c>
      <x:c r="G1860" s="8" t="str">
        <x:v>Current</x:v>
      </x:c>
    </x:row>
    <x:row r="1861" ht="32" customHeight="1">
      <x:c r="A1861" s="8" t="str">
        <x:v>trunk:AV1:A3:audio:1</x:v>
      </x:c>
      <x:c r="B1861" s="8" t="n">
        <x:v>11</x:v>
      </x:c>
      <x:c r="C1861" s="11" t="n">
        <x:v>36.975</x:v>
      </x:c>
      <x:c r="D1861" s="11" t="n">
        <x:v>6.08</x:v>
      </x:c>
      <x:c r="E1861" s="11" t="n">
        <x:v>13.24</x:v>
      </x:c>
      <x:c r="F1861" s="11" t="n">
        <x:f>SQRT((C1861-C1860)^2+(D1861-D1860)^2+(E1861-E1860)^2)</x:f>
        <x:v>7.199999999999996</x:v>
      </x:c>
      <x:c r="G1861" s="8" t="str">
        <x:v>Current</x:v>
      </x:c>
    </x:row>
    <x:row r="1862" ht="32" customHeight="1">
      <x:c r="A1862" s="8" t="str">
        <x:v>trunk:AV1:A3:audio:1</x:v>
      </x:c>
      <x:c r="B1862" s="8" t="n">
        <x:v>12</x:v>
      </x:c>
      <x:c r="C1862" s="11" t="n">
        <x:v>36.975</x:v>
      </x:c>
      <x:c r="D1862" s="11" t="n">
        <x:v>6.08</x:v>
      </x:c>
      <x:c r="E1862" s="11" t="n">
        <x:v>7.36</x:v>
      </x:c>
      <x:c r="F1862" s="11" t="n">
        <x:f>SQRT((C1862-C1861)^2+(D1862-D1861)^2+(E1862-E1861)^2)</x:f>
        <x:v>5.88</x:v>
      </x:c>
      <x:c r="G1862" s="8" t="str">
        <x:v>Current</x:v>
      </x:c>
    </x:row>
    <x:row r="1863" ht="32" customHeight="1">
      <x:c r="A1863" s="8" t="str">
        <x:v>trunk:AV1:A3:audio:1</x:v>
      </x:c>
      <x:c r="B1863" s="8" t="n">
        <x:v>13</x:v>
      </x:c>
      <x:c r="C1863" s="11" t="n">
        <x:v>5.475</x:v>
      </x:c>
      <x:c r="D1863" s="11" t="n">
        <x:v>6.08</x:v>
      </x:c>
      <x:c r="E1863" s="11" t="n">
        <x:v>7.36</x:v>
      </x:c>
      <x:c r="F1863" s="11" t="n">
        <x:f>SQRT((C1863-C1862)^2+(D1863-D1862)^2+(E1863-E1862)^2)</x:f>
        <x:v>31.5</x:v>
      </x:c>
      <x:c r="G1863" s="8" t="str">
        <x:v>Current</x:v>
      </x:c>
    </x:row>
    <x:row r="1864" ht="32" customHeight="1">
      <x:c r="A1864" s="8" t="str">
        <x:v>trunk:AV1:A3:audio:1</x:v>
      </x:c>
      <x:c r="B1864" s="8" t="n">
        <x:v>14</x:v>
      </x:c>
      <x:c r="C1864" s="11" t="n">
        <x:v>2.35</x:v>
      </x:c>
      <x:c r="D1864" s="11" t="n">
        <x:v>6.08</x:v>
      </x:c>
      <x:c r="E1864" s="11" t="n">
        <x:v>7.36</x:v>
      </x:c>
      <x:c r="F1864" s="11" t="n">
        <x:f>SQRT((C1864-C1863)^2+(D1864-D1863)^2+(E1864-E1863)^2)</x:f>
        <x:v>3.1249999999999996</x:v>
      </x:c>
      <x:c r="G1864" s="8" t="str">
        <x:v>Current</x:v>
      </x:c>
    </x:row>
    <x:row r="1865" ht="32" customHeight="1">
      <x:c r="A1865" s="8" t="str">
        <x:v>drop:AV1:A3:audio:1:S287</x:v>
      </x:c>
      <x:c r="B1865" s="8" t="n">
        <x:v>1</x:v>
      </x:c>
      <x:c r="C1865" s="11" t="n">
        <x:v>2.35</x:v>
      </x:c>
      <x:c r="D1865" s="11" t="n">
        <x:v>6.08</x:v>
      </x:c>
      <x:c r="E1865" s="11" t="n">
        <x:v>7.36</x:v>
      </x:c>
      <x:c r="F1865" s="11" t="n">
        <x:f>0</x:f>
        <x:v>0</x:v>
      </x:c>
      <x:c r="G1865" s="8" t="str">
        <x:v>Current</x:v>
      </x:c>
    </x:row>
    <x:row r="1866" ht="32" customHeight="1">
      <x:c r="A1866" s="8" t="str">
        <x:v>drop:AV1:A3:audio:1:S287</x:v>
      </x:c>
      <x:c r="B1866" s="8" t="n">
        <x:v>2</x:v>
      </x:c>
      <x:c r="C1866" s="11" t="n">
        <x:v>2.35</x:v>
      </x:c>
      <x:c r="D1866" s="11" t="n">
        <x:v>7.65</x:v>
      </x:c>
      <x:c r="E1866" s="11" t="n">
        <x:v>7.36</x:v>
      </x:c>
      <x:c r="F1866" s="11" t="n">
        <x:f>SQRT((C1866-C1865)^2+(D1866-D1865)^2+(E1866-E1865)^2)</x:f>
        <x:v>1.5700000000000003</x:v>
      </x:c>
      <x:c r="G1866" s="8" t="str">
        <x:v>Current</x:v>
      </x:c>
    </x:row>
    <x:row r="1867" ht="32" customHeight="1">
      <x:c r="A1867" s="8" t="str">
        <x:v>drop:AV1:A3:audio:1:S287</x:v>
      </x:c>
      <x:c r="B1867" s="8" t="n">
        <x:v>3</x:v>
      </x:c>
      <x:c r="C1867" s="11" t="n">
        <x:v>2.35</x:v>
      </x:c>
      <x:c r="D1867" s="11" t="n">
        <x:v>7.65</x:v>
      </x:c>
      <x:c r="E1867" s="11" t="n">
        <x:v>10.153</x:v>
      </x:c>
      <x:c r="F1867" s="11" t="n">
        <x:f>SQRT((C1867-C1866)^2+(D1867-D1866)^2+(E1867-E1866)^2)</x:f>
        <x:v>2.793</x:v>
      </x:c>
      <x:c r="G1867" s="8" t="str">
        <x:v>Current</x:v>
      </x:c>
    </x:row>
    <x:row r="1868" ht="32" customHeight="1">
      <x:c r="A1868" s="8" t="str">
        <x:v>drop:AV1:A3:audio:1:S287</x:v>
      </x:c>
      <x:c r="B1868" s="8" t="n">
        <x:v>4</x:v>
      </x:c>
      <x:c r="C1868" s="11" t="n">
        <x:v>0.05</x:v>
      </x:c>
      <x:c r="D1868" s="11" t="n">
        <x:v>7.65</x:v>
      </x:c>
      <x:c r="E1868" s="11" t="n">
        <x:v>10.153</x:v>
      </x:c>
      <x:c r="F1868" s="11" t="n">
        <x:f>SQRT((C1868-C1867)^2+(D1868-D1867)^2+(E1868-E1867)^2)</x:f>
        <x:v>2.3000000000000003</x:v>
      </x:c>
      <x:c r="G1868" s="8" t="str">
        <x:v>Current</x:v>
      </x:c>
    </x:row>
    <x:row r="1869" ht="32" customHeight="1">
      <x:c r="A1869" s="8" t="str">
        <x:v>drop:AV1:A3:audio:1:S287</x:v>
      </x:c>
      <x:c r="B1869" s="8" t="n">
        <x:v>5</x:v>
      </x:c>
      <x:c r="C1869" s="11" t="n">
        <x:v>0.05</x:v>
      </x:c>
      <x:c r="D1869" s="11" t="n">
        <x:v>6.2</x:v>
      </x:c>
      <x:c r="E1869" s="11" t="n">
        <x:v>10.153</x:v>
      </x:c>
      <x:c r="F1869" s="11" t="n">
        <x:f>SQRT((C1869-C1868)^2+(D1869-D1868)^2+(E1869-E1868)^2)</x:f>
        <x:v>1.4500000000000002</x:v>
      </x:c>
      <x:c r="G1869" s="8" t="str">
        <x:v>Current</x:v>
      </x:c>
    </x:row>
    <x:row r="1870" ht="32" customHeight="1">
      <x:c r="A1870" s="8" t="str">
        <x:v>drop:AV1:A3:audio:1:S287</x:v>
      </x:c>
      <x:c r="B1870" s="8" t="n">
        <x:v>6</x:v>
      </x:c>
      <x:c r="C1870" s="11" t="n">
        <x:v>-0.14</x:v>
      </x:c>
      <x:c r="D1870" s="11" t="n">
        <x:v>6.2</x:v>
      </x:c>
      <x:c r="E1870" s="11" t="n">
        <x:v>10.153</x:v>
      </x:c>
      <x:c r="F1870" s="11" t="n">
        <x:f>SQRT((C1870-C1869)^2+(D1870-D1869)^2+(E1870-E1869)^2)</x:f>
        <x:v>0.19</x:v>
      </x:c>
      <x:c r="G1870" s="8" t="str">
        <x:v>Current</x:v>
      </x:c>
    </x:row>
    <x:row r="1871" ht="32" customHeight="1">
      <x:c r="A1871" s="8" t="str">
        <x:v>drop:AV1:A3:audio:1:S287</x:v>
      </x:c>
      <x:c r="B1871" s="8" t="n">
        <x:v>7</x:v>
      </x:c>
      <x:c r="C1871" s="11" t="n">
        <x:v>-0.14</x:v>
      </x:c>
      <x:c r="D1871" s="11" t="n">
        <x:v>6.2</x:v>
      </x:c>
      <x:c r="E1871" s="11" t="n">
        <x:v>8.3</x:v>
      </x:c>
      <x:c r="F1871" s="11" t="n">
        <x:f>SQRT((C1871-C1870)^2+(D1871-D1870)^2+(E1871-E1870)^2)</x:f>
        <x:v>1.8529999999999998</x:v>
      </x:c>
      <x:c r="G1871" s="8" t="str">
        <x:v>Current</x:v>
      </x:c>
    </x:row>
    <x:row r="1872" ht="32" customHeight="1">
      <x:c r="A1872" s="8" t="str">
        <x:v>drop:AV1:A3:audio:1:S288</x:v>
      </x:c>
      <x:c r="B1872" s="8" t="n">
        <x:v>1</x:v>
      </x:c>
      <x:c r="C1872" s="11" t="n">
        <x:v>2.35</x:v>
      </x:c>
      <x:c r="D1872" s="11" t="n">
        <x:v>6.08</x:v>
      </x:c>
      <x:c r="E1872" s="11" t="n">
        <x:v>7.36</x:v>
      </x:c>
      <x:c r="F1872" s="11" t="n">
        <x:f>0</x:f>
        <x:v>0</x:v>
      </x:c>
      <x:c r="G1872" s="8" t="str">
        <x:v>Current</x:v>
      </x:c>
    </x:row>
    <x:row r="1873" ht="32" customHeight="1">
      <x:c r="A1873" s="8" t="str">
        <x:v>drop:AV1:A3:audio:1:S288</x:v>
      </x:c>
      <x:c r="B1873" s="8" t="n">
        <x:v>2</x:v>
      </x:c>
      <x:c r="C1873" s="11" t="n">
        <x:v>2.35</x:v>
      </x:c>
      <x:c r="D1873" s="11" t="n">
        <x:v>7.65</x:v>
      </x:c>
      <x:c r="E1873" s="11" t="n">
        <x:v>7.36</x:v>
      </x:c>
      <x:c r="F1873" s="11" t="n">
        <x:f>SQRT((C1873-C1872)^2+(D1873-D1872)^2+(E1873-E1872)^2)</x:f>
        <x:v>1.5700000000000003</x:v>
      </x:c>
      <x:c r="G1873" s="8" t="str">
        <x:v>Current</x:v>
      </x:c>
    </x:row>
    <x:row r="1874" ht="32" customHeight="1">
      <x:c r="A1874" s="8" t="str">
        <x:v>drop:AV1:A3:audio:1:S288</x:v>
      </x:c>
      <x:c r="B1874" s="8" t="n">
        <x:v>3</x:v>
      </x:c>
      <x:c r="C1874" s="11" t="n">
        <x:v>2.35</x:v>
      </x:c>
      <x:c r="D1874" s="11" t="n">
        <x:v>7.65</x:v>
      </x:c>
      <x:c r="E1874" s="11" t="n">
        <x:v>10.153</x:v>
      </x:c>
      <x:c r="F1874" s="11" t="n">
        <x:f>SQRT((C1874-C1873)^2+(D1874-D1873)^2+(E1874-E1873)^2)</x:f>
        <x:v>2.793</x:v>
      </x:c>
      <x:c r="G1874" s="8" t="str">
        <x:v>Current</x:v>
      </x:c>
    </x:row>
    <x:row r="1875" ht="32" customHeight="1">
      <x:c r="A1875" s="8" t="str">
        <x:v>drop:AV1:A3:audio:1:S288</x:v>
      </x:c>
      <x:c r="B1875" s="8" t="n">
        <x:v>4</x:v>
      </x:c>
      <x:c r="C1875" s="11" t="n">
        <x:v>0.05</x:v>
      </x:c>
      <x:c r="D1875" s="11" t="n">
        <x:v>7.65</x:v>
      </x:c>
      <x:c r="E1875" s="11" t="n">
        <x:v>10.153</x:v>
      </x:c>
      <x:c r="F1875" s="11" t="n">
        <x:f>SQRT((C1875-C1874)^2+(D1875-D1874)^2+(E1875-E1874)^2)</x:f>
        <x:v>2.3000000000000003</x:v>
      </x:c>
      <x:c r="G1875" s="8" t="str">
        <x:v>Current</x:v>
      </x:c>
    </x:row>
    <x:row r="1876" ht="32" customHeight="1">
      <x:c r="A1876" s="8" t="str">
        <x:v>drop:AV1:A3:audio:1:S288</x:v>
      </x:c>
      <x:c r="B1876" s="8" t="n">
        <x:v>5</x:v>
      </x:c>
      <x:c r="C1876" s="11" t="n">
        <x:v>0.05</x:v>
      </x:c>
      <x:c r="D1876" s="11" t="n">
        <x:v>6.2</x:v>
      </x:c>
      <x:c r="E1876" s="11" t="n">
        <x:v>10.153</x:v>
      </x:c>
      <x:c r="F1876" s="11" t="n">
        <x:f>SQRT((C1876-C1875)^2+(D1876-D1875)^2+(E1876-E1875)^2)</x:f>
        <x:v>1.4500000000000002</x:v>
      </x:c>
      <x:c r="G1876" s="8" t="str">
        <x:v>Current</x:v>
      </x:c>
    </x:row>
    <x:row r="1877" ht="32" customHeight="1">
      <x:c r="A1877" s="8" t="str">
        <x:v>drop:AV1:A3:audio:1:S288</x:v>
      </x:c>
      <x:c r="B1877" s="8" t="n">
        <x:v>6</x:v>
      </x:c>
      <x:c r="C1877" s="11" t="n">
        <x:v>-0.14</x:v>
      </x:c>
      <x:c r="D1877" s="11" t="n">
        <x:v>6.2</x:v>
      </x:c>
      <x:c r="E1877" s="11" t="n">
        <x:v>10.153</x:v>
      </x:c>
      <x:c r="F1877" s="11" t="n">
        <x:f>SQRT((C1877-C1876)^2+(D1877-D1876)^2+(E1877-E1876)^2)</x:f>
        <x:v>0.19</x:v>
      </x:c>
      <x:c r="G1877" s="8" t="str">
        <x:v>Current</x:v>
      </x:c>
    </x:row>
    <x:row r="1878" ht="32" customHeight="1">
      <x:c r="A1878" s="8" t="str">
        <x:v>drop:AV1:A3:audio:1:S288</x:v>
      </x:c>
      <x:c r="B1878" s="8" t="n">
        <x:v>7</x:v>
      </x:c>
      <x:c r="C1878" s="11" t="n">
        <x:v>-0.14</x:v>
      </x:c>
      <x:c r="D1878" s="11" t="n">
        <x:v>6.2</x:v>
      </x:c>
      <x:c r="E1878" s="11" t="n">
        <x:v>11.9</x:v>
      </x:c>
      <x:c r="F1878" s="11" t="n">
        <x:f>SQRT((C1878-C1877)^2+(D1878-D1877)^2+(E1878-E1877)^2)</x:f>
        <x:v>1.7469999999999999</x:v>
      </x:c>
      <x:c r="G1878" s="8" t="str">
        <x:v>Current</x:v>
      </x:c>
    </x:row>
    <x:row r="1879" ht="32" customHeight="1">
      <x:c r="A1879" s="8" t="str">
        <x:v>drop:AV1:A3:audio:1:S289</x:v>
      </x:c>
      <x:c r="B1879" s="8" t="n">
        <x:v>1</x:v>
      </x:c>
      <x:c r="C1879" s="11" t="n">
        <x:v>18.975</x:v>
      </x:c>
      <x:c r="D1879" s="11" t="n">
        <x:v>6.08</x:v>
      </x:c>
      <x:c r="E1879" s="11" t="n">
        <x:v>7.36</x:v>
      </x:c>
      <x:c r="F1879" s="11" t="n">
        <x:f>0</x:f>
        <x:v>0</x:v>
      </x:c>
      <x:c r="G1879" s="8" t="str">
        <x:v>Current</x:v>
      </x:c>
    </x:row>
    <x:row r="1880" ht="32" customHeight="1">
      <x:c r="A1880" s="8" t="str">
        <x:v>drop:AV1:A3:audio:1:S289</x:v>
      </x:c>
      <x:c r="B1880" s="8" t="n">
        <x:v>2</x:v>
      </x:c>
      <x:c r="C1880" s="11" t="n">
        <x:v>18.975</x:v>
      </x:c>
      <x:c r="D1880" s="11" t="n">
        <x:v>5.6</x:v>
      </x:c>
      <x:c r="E1880" s="11" t="n">
        <x:v>7.36</x:v>
      </x:c>
      <x:c r="F1880" s="11" t="n">
        <x:f>SQRT((C1880-C1879)^2+(D1880-D1879)^2+(E1880-E1879)^2)</x:f>
        <x:v>0.4800000000000004</x:v>
      </x:c>
      <x:c r="G1880" s="8" t="str">
        <x:v>Current</x:v>
      </x:c>
    </x:row>
    <x:row r="1881" ht="32" customHeight="1">
      <x:c r="A1881" s="8" t="str">
        <x:v>drop:AV1:A3:audio:1:S289</x:v>
      </x:c>
      <x:c r="B1881" s="8" t="n">
        <x:v>3</x:v>
      </x:c>
      <x:c r="C1881" s="11" t="n">
        <x:v>18.975</x:v>
      </x:c>
      <x:c r="D1881" s="11" t="n">
        <x:v>5.6</x:v>
      </x:c>
      <x:c r="E1881" s="11" t="n">
        <x:v>10.75</x:v>
      </x:c>
      <x:c r="F1881" s="11" t="n">
        <x:f>SQRT((C1881-C1880)^2+(D1881-D1880)^2+(E1881-E1880)^2)</x:f>
        <x:v>3.3899999999999997</x:v>
      </x:c>
      <x:c r="G1881" s="8" t="str">
        <x:v>Current</x:v>
      </x:c>
    </x:row>
    <x:row r="1882" ht="32" customHeight="1">
      <x:c r="A1882" s="8" t="str">
        <x:v>drop:AV1:A3:audio:1:S290</x:v>
      </x:c>
      <x:c r="B1882" s="8" t="n">
        <x:v>1</x:v>
      </x:c>
      <x:c r="C1882" s="11" t="n">
        <x:v>32.475</x:v>
      </x:c>
      <x:c r="D1882" s="11" t="n">
        <x:v>6.08</x:v>
      </x:c>
      <x:c r="E1882" s="11" t="n">
        <x:v>7.36</x:v>
      </x:c>
      <x:c r="F1882" s="11" t="n">
        <x:f>0</x:f>
        <x:v>0</x:v>
      </x:c>
      <x:c r="G1882" s="8" t="str">
        <x:v>Current</x:v>
      </x:c>
    </x:row>
    <x:row r="1883" ht="32" customHeight="1">
      <x:c r="A1883" s="8" t="str">
        <x:v>drop:AV1:A3:audio:1:S290</x:v>
      </x:c>
      <x:c r="B1883" s="8" t="n">
        <x:v>2</x:v>
      </x:c>
      <x:c r="C1883" s="11" t="n">
        <x:v>32.475</x:v>
      </x:c>
      <x:c r="D1883" s="11" t="n">
        <x:v>5.6</x:v>
      </x:c>
      <x:c r="E1883" s="11" t="n">
        <x:v>7.36</x:v>
      </x:c>
      <x:c r="F1883" s="11" t="n">
        <x:f>SQRT((C1883-C1882)^2+(D1883-D1882)^2+(E1883-E1882)^2)</x:f>
        <x:v>0.4800000000000004</x:v>
      </x:c>
      <x:c r="G1883" s="8" t="str">
        <x:v>Current</x:v>
      </x:c>
    </x:row>
    <x:row r="1884" ht="32" customHeight="1">
      <x:c r="A1884" s="8" t="str">
        <x:v>drop:AV1:A3:audio:1:S290</x:v>
      </x:c>
      <x:c r="B1884" s="8" t="n">
        <x:v>3</x:v>
      </x:c>
      <x:c r="C1884" s="11" t="n">
        <x:v>32.475</x:v>
      </x:c>
      <x:c r="D1884" s="11" t="n">
        <x:v>5.6</x:v>
      </x:c>
      <x:c r="E1884" s="11" t="n">
        <x:v>10.75</x:v>
      </x:c>
      <x:c r="F1884" s="11" t="n">
        <x:f>SQRT((C1884-C1883)^2+(D1884-D1883)^2+(E1884-E1883)^2)</x:f>
        <x:v>3.3899999999999997</x:v>
      </x:c>
      <x:c r="G1884" s="8" t="str">
        <x:v>Current</x:v>
      </x:c>
    </x:row>
    <x:row r="1885" ht="32" customHeight="1">
      <x:c r="A1885" s="8" t="str">
        <x:v>trunk:AV1:MIC:mic:-1</x:v>
      </x:c>
      <x:c r="B1885" s="8" t="n">
        <x:v>1</x:v>
      </x:c>
      <x:c r="C1885" s="11" t="n">
        <x:v>49.275</x:v>
      </x:c>
      <x:c r="D1885" s="11" t="n">
        <x:v>0.95</x:v>
      </x:c>
      <x:c r="E1885" s="11" t="n">
        <x:v>1.4</x:v>
      </x:c>
      <x:c r="F1885" s="11" t="n">
        <x:f>0</x:f>
        <x:v>0</x:v>
      </x:c>
      <x:c r="G1885" s="8" t="str">
        <x:v>Current</x:v>
      </x:c>
    </x:row>
    <x:row r="1886" ht="32" customHeight="1">
      <x:c r="A1886" s="8" t="str">
        <x:v>trunk:AV1:MIC:mic:-1</x:v>
      </x:c>
      <x:c r="B1886" s="8" t="n">
        <x:v>2</x:v>
      </x:c>
      <x:c r="C1886" s="11" t="n">
        <x:v>48.735</x:v>
      </x:c>
      <x:c r="D1886" s="11" t="n">
        <x:v>0.95</x:v>
      </x:c>
      <x:c r="E1886" s="11" t="n">
        <x:v>1.4</x:v>
      </x:c>
      <x:c r="F1886" s="11" t="n">
        <x:f>SQRT((C1886-C1885)^2+(D1886-D1885)^2+(E1886-E1885)^2)</x:f>
        <x:v>0.5399999999999991</x:v>
      </x:c>
      <x:c r="G1886" s="8" t="str">
        <x:v>Current</x:v>
      </x:c>
    </x:row>
    <x:row r="1887" ht="32" customHeight="1">
      <x:c r="A1887" s="8" t="str">
        <x:v>trunk:AV1:MIC:mic:-1</x:v>
      </x:c>
      <x:c r="B1887" s="8" t="n">
        <x:v>3</x:v>
      </x:c>
      <x:c r="C1887" s="11" t="n">
        <x:v>48.735</x:v>
      </x:c>
      <x:c r="D1887" s="11" t="n">
        <x:v>0.95</x:v>
      </x:c>
      <x:c r="E1887" s="11" t="n">
        <x:v>-2.24</x:v>
      </x:c>
      <x:c r="F1887" s="11" t="n">
        <x:f>SQRT((C1887-C1886)^2+(D1887-D1886)^2+(E1887-E1886)^2)</x:f>
        <x:v>3.64</x:v>
      </x:c>
      <x:c r="G1887" s="8" t="str">
        <x:v>Current</x:v>
      </x:c>
    </x:row>
    <x:row r="1888" ht="32" customHeight="1">
      <x:c r="A1888" s="8" t="str">
        <x:v>trunk:AV1:MIC:mic:-1</x:v>
      </x:c>
      <x:c r="B1888" s="8" t="n">
        <x:v>4</x:v>
      </x:c>
      <x:c r="C1888" s="11" t="n">
        <x:v>48.735</x:v>
      </x:c>
      <x:c r="D1888" s="11" t="n">
        <x:v>4.02</x:v>
      </x:c>
      <x:c r="E1888" s="11" t="n">
        <x:v>-2.24</x:v>
      </x:c>
      <x:c r="F1888" s="11" t="n">
        <x:f>SQRT((C1888-C1887)^2+(D1888-D1887)^2+(E1888-E1887)^2)</x:f>
        <x:v>3.0699999999999994</x:v>
      </x:c>
      <x:c r="G1888" s="8" t="str">
        <x:v>Current</x:v>
      </x:c>
    </x:row>
    <x:row r="1889" ht="32" customHeight="1">
      <x:c r="A1889" s="8" t="str">
        <x:v>trunk:AV1:MIC:mic:-1</x:v>
      </x:c>
      <x:c r="B1889" s="8" t="n">
        <x:v>5</x:v>
      </x:c>
      <x:c r="C1889" s="11" t="n">
        <x:v>48.735</x:v>
      </x:c>
      <x:c r="D1889" s="11" t="n">
        <x:v>4.02</x:v>
      </x:c>
      <x:c r="E1889" s="11" t="n">
        <x:v>-3.6</x:v>
      </x:c>
      <x:c r="F1889" s="11" t="n">
        <x:f>SQRT((C1889-C1888)^2+(D1889-D1888)^2+(E1889-E1888)^2)</x:f>
        <x:v>1.3599999999999999</x:v>
      </x:c>
      <x:c r="G1889" s="8" t="str">
        <x:v>Current</x:v>
      </x:c>
    </x:row>
    <x:row r="1890" ht="32" customHeight="1">
      <x:c r="A1890" s="8" t="str">
        <x:v>trunk:AV1:MIC:mic:-1</x:v>
      </x:c>
      <x:c r="B1890" s="8" t="n">
        <x:v>6</x:v>
      </x:c>
      <x:c r="C1890" s="11" t="n">
        <x:v>53.05</x:v>
      </x:c>
      <x:c r="D1890" s="11" t="n">
        <x:v>4.02</x:v>
      </x:c>
      <x:c r="E1890" s="11" t="n">
        <x:v>-3.6</x:v>
      </x:c>
      <x:c r="F1890" s="11" t="n">
        <x:f>SQRT((C1890-C1889)^2+(D1890-D1889)^2+(E1890-E1889)^2)</x:f>
        <x:v>4.314999999999998</x:v>
      </x:c>
      <x:c r="G1890" s="8" t="str">
        <x:v>Current</x:v>
      </x:c>
    </x:row>
    <x:row r="1891" ht="32" customHeight="1">
      <x:c r="A1891" s="8" t="str">
        <x:v>trunk:AV1:MIC:mic:-1</x:v>
      </x:c>
      <x:c r="B1891" s="8" t="n">
        <x:v>7</x:v>
      </x:c>
      <x:c r="C1891" s="11" t="n">
        <x:v>53.05</x:v>
      </x:c>
      <x:c r="D1891" s="11" t="n">
        <x:v>6.122</x:v>
      </x:c>
      <x:c r="E1891" s="11" t="n">
        <x:v>-3.6</x:v>
      </x:c>
      <x:c r="F1891" s="11" t="n">
        <x:f>SQRT((C1891-C1890)^2+(D1891-D1890)^2+(E1891-E1890)^2)</x:f>
        <x:v>2.1020000000000003</x:v>
      </x:c>
      <x:c r="G1891" s="8" t="str">
        <x:v>Current</x:v>
      </x:c>
    </x:row>
    <x:row r="1892" ht="32" customHeight="1">
      <x:c r="A1892" s="8" t="str">
        <x:v>trunk:AV1:MIC:mic:-1</x:v>
      </x:c>
      <x:c r="B1892" s="8" t="n">
        <x:v>8</x:v>
      </x:c>
      <x:c r="C1892" s="11" t="n">
        <x:v>53.05</x:v>
      </x:c>
      <x:c r="D1892" s="11" t="n">
        <x:v>6.122</x:v>
      </x:c>
      <x:c r="E1892" s="11" t="n">
        <x:v>-7.36</x:v>
      </x:c>
      <x:c r="F1892" s="11" t="n">
        <x:f>SQRT((C1892-C1891)^2+(D1892-D1891)^2+(E1892-E1891)^2)</x:f>
        <x:v>3.7600000000000002</x:v>
      </x:c>
      <x:c r="G1892" s="8" t="str">
        <x:v>Current</x:v>
      </x:c>
    </x:row>
    <x:row r="1893" ht="32" customHeight="1">
      <x:c r="A1893" s="8" t="str">
        <x:v>trunk:AV1:MIC:mic:-1</x:v>
      </x:c>
      <x:c r="B1893" s="8" t="n">
        <x:v>9</x:v>
      </x:c>
      <x:c r="C1893" s="11" t="n">
        <x:v>44.175</x:v>
      </x:c>
      <x:c r="D1893" s="11" t="n">
        <x:v>6.122</x:v>
      </x:c>
      <x:c r="E1893" s="11" t="n">
        <x:v>-7.36</x:v>
      </x:c>
      <x:c r="F1893" s="11" t="n">
        <x:f>SQRT((C1893-C1892)^2+(D1893-D1892)^2+(E1893-E1892)^2)</x:f>
        <x:v>8.875</x:v>
      </x:c>
      <x:c r="G1893" s="8" t="str">
        <x:v>Current</x:v>
      </x:c>
    </x:row>
    <x:row r="1894" ht="32" customHeight="1">
      <x:c r="A1894" s="8" t="str">
        <x:v>trunk:AV1:MIC:mic:-1</x:v>
      </x:c>
      <x:c r="B1894" s="8" t="n">
        <x:v>10</x:v>
      </x:c>
      <x:c r="C1894" s="11" t="n">
        <x:v>44.175</x:v>
      </x:c>
      <x:c r="D1894" s="11" t="n">
        <x:v>6.122</x:v>
      </x:c>
      <x:c r="E1894" s="11" t="n">
        <x:v>-13.24</x:v>
      </x:c>
      <x:c r="F1894" s="11" t="n">
        <x:f>SQRT((C1894-C1893)^2+(D1894-D1893)^2+(E1894-E1893)^2)</x:f>
        <x:v>5.88</x:v>
      </x:c>
      <x:c r="G1894" s="8" t="str">
        <x:v>Current</x:v>
      </x:c>
    </x:row>
    <x:row r="1895" ht="32" customHeight="1">
      <x:c r="A1895" s="8" t="str">
        <x:v>trunk:AV1:MIC:mic:-1</x:v>
      </x:c>
      <x:c r="B1895" s="8" t="n">
        <x:v>11</x:v>
      </x:c>
      <x:c r="C1895" s="11" t="n">
        <x:v>41.08</x:v>
      </x:c>
      <x:c r="D1895" s="11" t="n">
        <x:v>6.122</x:v>
      </x:c>
      <x:c r="E1895" s="11" t="n">
        <x:v>-13.24</x:v>
      </x:c>
      <x:c r="F1895" s="11" t="n">
        <x:f>SQRT((C1895-C1894)^2+(D1895-D1894)^2+(E1895-E1894)^2)</x:f>
        <x:v>3.094999999999999</x:v>
      </x:c>
      <x:c r="G1895" s="8" t="str">
        <x:v>Current</x:v>
      </x:c>
    </x:row>
    <x:row r="1896" ht="32" customHeight="1">
      <x:c r="A1896" s="8" t="str">
        <x:v>drop:AV1:MIC:mic:-1:S291</x:v>
      </x:c>
      <x:c r="B1896" s="8" t="n">
        <x:v>1</x:v>
      </x:c>
      <x:c r="C1896" s="11" t="n">
        <x:v>41.08</x:v>
      </x:c>
      <x:c r="D1896" s="11" t="n">
        <x:v>6.122</x:v>
      </x:c>
      <x:c r="E1896" s="11" t="n">
        <x:v>-13.24</x:v>
      </x:c>
      <x:c r="F1896" s="11" t="n">
        <x:f>0</x:f>
        <x:v>0</x:v>
      </x:c>
      <x:c r="G1896" s="8" t="str">
        <x:v>Current</x:v>
      </x:c>
    </x:row>
    <x:row r="1897" ht="32" customHeight="1">
      <x:c r="A1897" s="8" t="str">
        <x:v>drop:AV1:MIC:mic:-1:S291</x:v>
      </x:c>
      <x:c r="B1897" s="8" t="n">
        <x:v>2</x:v>
      </x:c>
      <x:c r="C1897" s="11" t="n">
        <x:v>41.08</x:v>
      </x:c>
      <x:c r="D1897" s="11" t="n">
        <x:v>1.9</x:v>
      </x:c>
      <x:c r="E1897" s="11" t="n">
        <x:v>-13.24</x:v>
      </x:c>
      <x:c r="F1897" s="11" t="n">
        <x:f>SQRT((C1897-C1896)^2+(D1897-D1896)^2+(E1897-E1896)^2)</x:f>
        <x:v>4.2219999999999995</x:v>
      </x:c>
      <x:c r="G1897" s="8" t="str">
        <x:v>Current</x:v>
      </x:c>
    </x:row>
    <x:row r="1898" ht="32" customHeight="1">
      <x:c r="A1898" s="8" t="str">
        <x:v>drop:AV1:MIC:mic:-1:S291</x:v>
      </x:c>
      <x:c r="B1898" s="8" t="n">
        <x:v>3</x:v>
      </x:c>
      <x:c r="C1898" s="11" t="n">
        <x:v>41.08</x:v>
      </x:c>
      <x:c r="D1898" s="11" t="n">
        <x:v>1.9</x:v>
      </x:c>
      <x:c r="E1898" s="11" t="n">
        <x:v>-2.62</x:v>
      </x:c>
      <x:c r="F1898" s="11" t="n">
        <x:f>SQRT((C1898-C1897)^2+(D1898-D1897)^2+(E1898-E1897)^2)</x:f>
        <x:v>10.620000000000001</x:v>
      </x:c>
      <x:c r="G1898" s="8" t="str">
        <x:v>Current</x:v>
      </x:c>
    </x:row>
    <x:row r="1899" ht="32" customHeight="1">
      <x:c r="A1899" s="8" t="str">
        <x:v>trunk:AV1:MIC:mic:1</x:v>
      </x:c>
      <x:c r="B1899" s="8" t="n">
        <x:v>1</x:v>
      </x:c>
      <x:c r="C1899" s="11" t="n">
        <x:v>49.275</x:v>
      </x:c>
      <x:c r="D1899" s="11" t="n">
        <x:v>0.95</x:v>
      </x:c>
      <x:c r="E1899" s="11" t="n">
        <x:v>1.4</x:v>
      </x:c>
      <x:c r="F1899" s="11" t="n">
        <x:f>0</x:f>
        <x:v>0</x:v>
      </x:c>
      <x:c r="G1899" s="8" t="str">
        <x:v>Current</x:v>
      </x:c>
    </x:row>
    <x:row r="1900" ht="32" customHeight="1">
      <x:c r="A1900" s="8" t="str">
        <x:v>trunk:AV1:MIC:mic:1</x:v>
      </x:c>
      <x:c r="B1900" s="8" t="n">
        <x:v>2</x:v>
      </x:c>
      <x:c r="C1900" s="11" t="n">
        <x:v>48.735</x:v>
      </x:c>
      <x:c r="D1900" s="11" t="n">
        <x:v>0.95</x:v>
      </x:c>
      <x:c r="E1900" s="11" t="n">
        <x:v>1.4</x:v>
      </x:c>
      <x:c r="F1900" s="11" t="n">
        <x:f>SQRT((C1900-C1899)^2+(D1900-D1899)^2+(E1900-E1899)^2)</x:f>
        <x:v>0.5399999999999991</x:v>
      </x:c>
      <x:c r="G1900" s="8" t="str">
        <x:v>Current</x:v>
      </x:c>
    </x:row>
    <x:row r="1901" ht="32" customHeight="1">
      <x:c r="A1901" s="8" t="str">
        <x:v>trunk:AV1:MIC:mic:1</x:v>
      </x:c>
      <x:c r="B1901" s="8" t="n">
        <x:v>3</x:v>
      </x:c>
      <x:c r="C1901" s="11" t="n">
        <x:v>48.735</x:v>
      </x:c>
      <x:c r="D1901" s="11" t="n">
        <x:v>0.95</x:v>
      </x:c>
      <x:c r="E1901" s="11" t="n">
        <x:v>-2.24</x:v>
      </x:c>
      <x:c r="F1901" s="11" t="n">
        <x:f>SQRT((C1901-C1900)^2+(D1901-D1900)^2+(E1901-E1900)^2)</x:f>
        <x:v>3.64</x:v>
      </x:c>
      <x:c r="G1901" s="8" t="str">
        <x:v>Current</x:v>
      </x:c>
    </x:row>
    <x:row r="1902" ht="32" customHeight="1">
      <x:c r="A1902" s="8" t="str">
        <x:v>trunk:AV1:MIC:mic:1</x:v>
      </x:c>
      <x:c r="B1902" s="8" t="n">
        <x:v>4</x:v>
      </x:c>
      <x:c r="C1902" s="11" t="n">
        <x:v>48.735</x:v>
      </x:c>
      <x:c r="D1902" s="11" t="n">
        <x:v>4.02</x:v>
      </x:c>
      <x:c r="E1902" s="11" t="n">
        <x:v>-2.24</x:v>
      </x:c>
      <x:c r="F1902" s="11" t="n">
        <x:f>SQRT((C1902-C1901)^2+(D1902-D1901)^2+(E1902-E1901)^2)</x:f>
        <x:v>3.0699999999999994</x:v>
      </x:c>
      <x:c r="G1902" s="8" t="str">
        <x:v>Current</x:v>
      </x:c>
    </x:row>
    <x:row r="1903" ht="32" customHeight="1">
      <x:c r="A1903" s="8" t="str">
        <x:v>trunk:AV1:MIC:mic:1</x:v>
      </x:c>
      <x:c r="B1903" s="8" t="n">
        <x:v>5</x:v>
      </x:c>
      <x:c r="C1903" s="11" t="n">
        <x:v>48.735</x:v>
      </x:c>
      <x:c r="D1903" s="11" t="n">
        <x:v>4.02</x:v>
      </x:c>
      <x:c r="E1903" s="11" t="n">
        <x:v>-3.6</x:v>
      </x:c>
      <x:c r="F1903" s="11" t="n">
        <x:f>SQRT((C1903-C1902)^2+(D1903-D1902)^2+(E1903-E1902)^2)</x:f>
        <x:v>1.3599999999999999</x:v>
      </x:c>
      <x:c r="G1903" s="8" t="str">
        <x:v>Current</x:v>
      </x:c>
    </x:row>
    <x:row r="1904" ht="32" customHeight="1">
      <x:c r="A1904" s="8" t="str">
        <x:v>trunk:AV1:MIC:mic:1</x:v>
      </x:c>
      <x:c r="B1904" s="8" t="n">
        <x:v>6</x:v>
      </x:c>
      <x:c r="C1904" s="11" t="n">
        <x:v>53.05</x:v>
      </x:c>
      <x:c r="D1904" s="11" t="n">
        <x:v>4.02</x:v>
      </x:c>
      <x:c r="E1904" s="11" t="n">
        <x:v>-3.6</x:v>
      </x:c>
      <x:c r="F1904" s="11" t="n">
        <x:f>SQRT((C1904-C1903)^2+(D1904-D1903)^2+(E1904-E1903)^2)</x:f>
        <x:v>4.314999999999998</x:v>
      </x:c>
      <x:c r="G1904" s="8" t="str">
        <x:v>Current</x:v>
      </x:c>
    </x:row>
    <x:row r="1905" ht="32" customHeight="1">
      <x:c r="A1905" s="8" t="str">
        <x:v>trunk:AV1:MIC:mic:1</x:v>
      </x:c>
      <x:c r="B1905" s="8" t="n">
        <x:v>7</x:v>
      </x:c>
      <x:c r="C1905" s="11" t="n">
        <x:v>53.05</x:v>
      </x:c>
      <x:c r="D1905" s="11" t="n">
        <x:v>6.122</x:v>
      </x:c>
      <x:c r="E1905" s="11" t="n">
        <x:v>-3.6</x:v>
      </x:c>
      <x:c r="F1905" s="11" t="n">
        <x:f>SQRT((C1905-C1904)^2+(D1905-D1904)^2+(E1905-E1904)^2)</x:f>
        <x:v>2.1020000000000003</x:v>
      </x:c>
      <x:c r="G1905" s="8" t="str">
        <x:v>Current</x:v>
      </x:c>
    </x:row>
    <x:row r="1906" ht="32" customHeight="1">
      <x:c r="A1906" s="8" t="str">
        <x:v>trunk:AV1:MIC:mic:1</x:v>
      </x:c>
      <x:c r="B1906" s="8" t="n">
        <x:v>8</x:v>
      </x:c>
      <x:c r="C1906" s="11" t="n">
        <x:v>53.05</x:v>
      </x:c>
      <x:c r="D1906" s="11" t="n">
        <x:v>6.122</x:v>
      </x:c>
      <x:c r="E1906" s="11" t="n">
        <x:v>7.36</x:v>
      </x:c>
      <x:c r="F1906" s="11" t="n">
        <x:f>SQRT((C1906-C1905)^2+(D1906-D1905)^2+(E1906-E1905)^2)</x:f>
        <x:v>10.96</x:v>
      </x:c>
      <x:c r="G1906" s="8" t="str">
        <x:v>Current</x:v>
      </x:c>
    </x:row>
    <x:row r="1907" ht="32" customHeight="1">
      <x:c r="A1907" s="8" t="str">
        <x:v>trunk:AV1:MIC:mic:1</x:v>
      </x:c>
      <x:c r="B1907" s="8" t="n">
        <x:v>9</x:v>
      </x:c>
      <x:c r="C1907" s="11" t="n">
        <x:v>44.45</x:v>
      </x:c>
      <x:c r="D1907" s="11" t="n">
        <x:v>6.122</x:v>
      </x:c>
      <x:c r="E1907" s="11" t="n">
        <x:v>7.36</x:v>
      </x:c>
      <x:c r="F1907" s="11" t="n">
        <x:f>SQRT((C1907-C1906)^2+(D1907-D1906)^2+(E1907-E1906)^2)</x:f>
        <x:v>8.599999999999994</x:v>
      </x:c>
      <x:c r="G1907" s="8" t="str">
        <x:v>Current</x:v>
      </x:c>
    </x:row>
    <x:row r="1908" ht="32" customHeight="1">
      <x:c r="A1908" s="8" t="str">
        <x:v>drop:AV1:MIC:mic:1:S292</x:v>
      </x:c>
      <x:c r="B1908" s="8" t="n">
        <x:v>1</x:v>
      </x:c>
      <x:c r="C1908" s="11" t="n">
        <x:v>44.45</x:v>
      </x:c>
      <x:c r="D1908" s="11" t="n">
        <x:v>6.122</x:v>
      </x:c>
      <x:c r="E1908" s="11" t="n">
        <x:v>7.36</x:v>
      </x:c>
      <x:c r="F1908" s="11" t="n">
        <x:f>0</x:f>
        <x:v>0</x:v>
      </x:c>
      <x:c r="G1908" s="8" t="str">
        <x:v>Current</x:v>
      </x:c>
    </x:row>
    <x:row r="1909" ht="32" customHeight="1">
      <x:c r="A1909" s="8" t="str">
        <x:v>drop:AV1:MIC:mic:1:S292</x:v>
      </x:c>
      <x:c r="B1909" s="8" t="n">
        <x:v>2</x:v>
      </x:c>
      <x:c r="C1909" s="11" t="n">
        <x:v>44.45</x:v>
      </x:c>
      <x:c r="D1909" s="11" t="n">
        <x:v>1.88</x:v>
      </x:c>
      <x:c r="E1909" s="11" t="n">
        <x:v>7.36</x:v>
      </x:c>
      <x:c r="F1909" s="11" t="n">
        <x:f>SQRT((C1909-C1908)^2+(D1909-D1908)^2+(E1909-E1908)^2)</x:f>
        <x:v>4.242</x:v>
      </x:c>
      <x:c r="G1909" s="8" t="str">
        <x:v>Current</x:v>
      </x:c>
    </x:row>
    <x:row r="1910" ht="32" customHeight="1">
      <x:c r="A1910" s="8" t="str">
        <x:v>drop:AV1:MIC:mic:1:S292</x:v>
      </x:c>
      <x:c r="B1910" s="8" t="n">
        <x:v>3</x:v>
      </x:c>
      <x:c r="C1910" s="11" t="n">
        <x:v>44.45</x:v>
      </x:c>
      <x:c r="D1910" s="11" t="n">
        <x:v>1.88</x:v>
      </x:c>
      <x:c r="E1910" s="11" t="n">
        <x:v>0.45</x:v>
      </x:c>
      <x:c r="F1910" s="11" t="n">
        <x:f>SQRT((C1910-C1909)^2+(D1910-D1909)^2+(E1910-E1909)^2)</x:f>
        <x:v>6.91</x:v>
      </x:c>
      <x:c r="G1910" s="8" t="str">
        <x:v>Current</x:v>
      </x:c>
    </x:row>
  </x:sheetData>
  <x:conditionalFormatting sqref="G7:G1910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d6d1cc42f688446d"/>
  </x:tableParts>
</x:worksheet>
</file>