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7199f5a5e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cb921ff2c15e4de3"/>
    <x:sheet xmlns:r="http://schemas.openxmlformats.org/officeDocument/2006/relationships" name="Equipment" sheetId="2" r:id="Rc8089c8d5d754c0b"/>
    <x:sheet xmlns:r="http://schemas.openxmlformats.org/officeDocument/2006/relationships" name="Electrical Lines" sheetId="3" r:id="Rab10c1d08bbe4ac7"/>
    <x:sheet xmlns:r="http://schemas.openxmlformats.org/officeDocument/2006/relationships" name="Route Points" sheetId="4" r:id="R1214756d444b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0383E"/>
      <x:name val="Arial"/>
    </x:font>
    <x:font>
      <x:b/>
      <x:sz val="16"/>
      <x:color rgb="FF173D46"/>
      <x:name val="Arial"/>
    </x:font>
    <x:font>
      <x:b/>
      <x:sz val="10"/>
      <x:color rgb="FFFFFFFF"/>
      <x:name val="Arial"/>
    </x:font>
    <x:font>
      <x:sz val="11"/>
      <x:color rgb="FF20383E"/>
      <x:name val="Arial"/>
    </x:font>
    <x:font>
      <x:b/>
      <x:sz val="11"/>
      <x:color rgb="FF2038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6"/>
      </x:patternFill>
    </x:fill>
    <x:fill>
      <x:patternFill patternType="solid">
        <x:fgColor rgb="FFFFF2CC"/>
      </x:patternFill>
    </x:fill>
    <x:fill>
      <x:patternFill patternType="solid">
        <x:fgColor rgb="FFF1F5F5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a2cf7c3ca43a7" /><Relationship Type="http://schemas.openxmlformats.org/officeDocument/2006/relationships/theme" Target="/xl/theme/theme1.xml" Id="R0fed10af49194606" /><Relationship Type="http://schemas.openxmlformats.org/officeDocument/2006/relationships/sharedStrings" Target="/xl/sharedStrings.xml" Id="Rf743aceb0b46474c" /><Relationship Type="http://schemas.openxmlformats.org/officeDocument/2006/relationships/worksheet" Target="/xl/worksheets/sheet1.xml" Id="Rcb921ff2c15e4de3" /><Relationship Type="http://schemas.openxmlformats.org/officeDocument/2006/relationships/worksheet" Target="/xl/worksheets/sheet2.xml" Id="Rc8089c8d5d754c0b" /><Relationship Type="http://schemas.openxmlformats.org/officeDocument/2006/relationships/worksheet" Target="/xl/worksheets/sheet3.xml" Id="Rab10c1d08bbe4ac7" /><Relationship Type="http://schemas.openxmlformats.org/officeDocument/2006/relationships/worksheet" Target="/xl/worksheets/sheet4.xml" Id="R1214756d444b4525" /></Relationships>
</file>

<file path=xl/tables/table1.xml><?xml version="1.0" encoding="utf-8"?>
<x:table xmlns:x="http://schemas.openxmlformats.org/spreadsheetml/2006/main" id="1" name="EquipmentRegister" displayName="EquipmentRegister" ref="A6:AC11" headerRowCount="1" totalsRowCount="0" totalsRowShown="0">
  <x:tableColumns count="29">
    <x:tableColumn id="1" name="Equipment ID"/>
    <x:tableColumn id="2" name="Name"/>
    <x:tableColumn id="3" name="Category"/>
    <x:tableColumn id="4" name="Board"/>
    <x:tableColumn id="5" name="Circuit"/>
    <x:tableColumn id="6" name="X (m)"/>
    <x:tableColumn id="7" name="Y (m)"/>
    <x:tableColumn id="8" name="Z (m)"/>
    <x:tableColumn id="9" name="Mount"/>
    <x:tableColumn id="10" name="Visibility"/>
    <x:tableColumn id="11" name="Command state"/>
    <x:tableColumn id="12" name="Model envelope (mm)"/>
    <x:tableColumn id="13" name="Planning specs"/>
    <x:tableColumn id="14" name="Rated estimate (W)"/>
    <x:tableColumn id="15" name="Yaw (deg)"/>
    <x:tableColumn id="16" name="Tilt (deg)"/>
    <x:tableColumn id="17" name="Manufacturer"/>
    <x:tableColumn id="18" name="Product model"/>
    <x:tableColumn id="19" name="Approved specs"/>
    <x:tableColumn id="20" name="Datasheet / approval"/>
    <x:tableColumn id="21" name="Manual control ID"/>
    <x:tableColumn id="22" name="Control group"/>
    <x:tableColumn id="23" name="Proposed X (m)"/>
    <x:tableColumn id="24" name="Proposed Y (m)"/>
    <x:tableColumn id="25" name="Proposed Z (m)"/>
    <x:tableColumn id="26" name="Engineering notes"/>
    <x:tableColumn id="27" name="Record state"/>
    <x:tableColumn id="28" name="Route IDs"/>
    <x:tableColumn id="29" name="Model paramet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ctricalLineRegister" displayName="ElectricalLineRegister" ref="A6:Z13" headerRowCount="1" totalsRowCount="0" totalsRowShown="0">
  <x:tableColumns count="26">
    <x:tableColumn id="1" name="Route ID"/>
    <x:tableColumn id="2" name="Name"/>
    <x:tableColumn id="3" name="Source ID"/>
    <x:tableColumn id="4" name="Destination IDs"/>
    <x:tableColumn id="5" name="Board"/>
    <x:tableColumn id="6" name="Circuit"/>
    <x:tableColumn id="7" name="Kind"/>
    <x:tableColumn id="8" name="Role"/>
    <x:tableColumn id="9" name="Route length (m)"/>
    <x:tableColumn id="10" name="Upstream length (m)"/>
    <x:tableColumn id="11" name="Full home run (m)"/>
    <x:tableColumn id="12" name="Length basis"/>
    <x:tableColumn id="13" name="Allowance (m)"/>
    <x:tableColumn id="14" name="Planned length (m)"/>
    <x:tableColumn id="15" name="Planning specification"/>
    <x:tableColumn id="16" name="Installation proposal"/>
    <x:tableColumn id="17" name="Cable designation"/>
    <x:tableColumn id="18" name="Core count"/>
    <x:tableColumn id="19" name="Cross-section (mm2)"/>
    <x:tableColumn id="20" name="Containment specification"/>
    <x:tableColumn id="21" name="Manufacturer / product"/>
    <x:tableColumn id="22" name="Control / terminal reference"/>
    <x:tableColumn id="23" name="Approval reference"/>
    <x:tableColumn id="24" name="Engineering notes"/>
    <x:tableColumn id="25" name="Record state"/>
    <x:tableColumn id="26" name="Trunk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VertexRegister" displayName="RouteVertexRegister" ref="A6:G60" headerRowCount="1" totalsRowCount="0" totalsRowShown="0">
  <x:tableColumns count="7">
    <x:tableColumn id="1" name="Route ID"/>
    <x:tableColumn id="2" name="Vertex"/>
    <x:tableColumn id="3" name="X (m)"/>
    <x:tableColumn id="4" name="Y (m)"/>
    <x:tableColumn id="5" name="Z (m)"/>
    <x:tableColumn id="6" name="Segment length (m)"/>
    <x:tableColumn id="7" name="Record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d8acb82d9642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98dbe1c3aa46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a585b2e75043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8" customHeight="1">
      <x:c r="A1" s="18" t="str">
        <x:v>Exit signs: equipment and electrical register</x:v>
      </x:c>
      <x:c r="B1" s="16"/>
    </x:row>
    <x:row r="2" ht="34" customHeight="1">
      <x:c r="A2" s="16"/>
      <x:c r="B2" s="16"/>
    </x:row>
    <x:row r="3" ht="34" customHeight="1">
      <x:c r="A3" s="20" t="str">
        <x:v>Purpose</x:v>
      </x:c>
      <x:c r="B3" s="16" t="str">
        <x:v>Manage equipment specifications, locations, stable IDs, control mapping and electrical-line specifications against one shared layout.</x:v>
      </x:c>
    </x:row>
    <x:row r="4" ht="64" customHeight="1">
      <x:c r="A4" s="20" t="str">
        <x:v>Baseline</x:v>
      </x:c>
      <x:c r="B4" s="16" t="str">
        <x:v>Exit signs. E1 maintained exit-sign group. Emergency supply and duration require separate design. Model snapshot: 2026-10-09T00:46:12.718Z.</x:v>
      </x:c>
    </x:row>
    <x:row r="5" ht="34" customHeight="1">
      <x:c r="A5" s="20" t="str">
        <x:v>Current equipment</x:v>
      </x:c>
      <x:c r="B5" s="16" t="n">
        <x:f>COUNTIFS(Equipment!$AA$7:$AA$11,"Current")</x:f>
        <x:v>5</x:v>
      </x:c>
    </x:row>
    <x:row r="6" ht="34" customHeight="1">
      <x:c r="A6" s="20" t="str">
        <x:v>Current routes</x:v>
      </x:c>
      <x:c r="B6" s="16" t="n">
        <x:f>COUNTIFS('Electrical Lines'!$Y$7:$Y$13,"Current")</x:f>
        <x:v>7</x:v>
      </x:c>
    </x:row>
    <x:row r="7" ht="34" customHeight="1">
      <x:c r="A7" s="20" t="str">
        <x:v>Retired equipment / routes</x:v>
      </x:c>
      <x:c r="B7" s="16" t="n">
        <x:f>COUNTIFS(Equipment!$AA$7:$AA$11,"Retired")+COUNTIFS('Electrical Lines'!$Y$7:$Y$13,"Retired")</x:f>
        <x:v>0</x:v>
      </x:c>
    </x:row>
    <x:row r="8" ht="48" customHeight="1">
      <x:c r="A8" s="20" t="str">
        <x:v>Coordinates</x:v>
      </x:c>
      <x:c r="B8" s="16" t="str">
        <x:v>Metres: X toward sanctuary from axis 1; Y up from nave ±0.000; negative Z toward B, positive toward H.</x:v>
      </x:c>
    </x:row>
    <x:row r="9" ht="48" customHeight="1">
      <x:c r="A9" s="20" t="str">
        <x:v>Amber columns</x:v>
      </x:c>
      <x:c r="B9" s="16" t="str">
        <x:v>Editable engineering inputs. Approved products/specifications, control IDs, notes and cable allowances survive refresh by ID. Blank means pending.</x:v>
      </x:c>
    </x:row>
    <x:row r="10" ht="64" customHeight="1">
      <x:c r="A10" s="20" t="str">
        <x:v>Model columns</x:v>
      </x:c>
      <x:c r="B10" s="16" t="str">
        <x:v>Imported positions, IDs, planning specs and route vertices refresh from paired layout/systems exports. Use Proposed X/Y/Z for position revisions.</x:v>
      </x:c>
    </x:row>
    <x:row r="11" ht="64" customHeight="1">
      <x:c r="A11" s="20" t="str">
        <x:v>Position changes</x:v>
      </x:c>
      <x:c r="B11" s="16" t="str">
        <x:v>Enter all three Proposed coordinates; export a draft layout, import it in the viewer, check supports/aim/clearances, then export matching layout and systems JSON. Enclosures require a coordinated model-source change.</x:v>
      </x:c>
    </x:row>
    <x:row r="12" ht="64" customHeight="1">
      <x:c r="A12" s="20" t="str">
        <x:v>Line lengths</x:v>
      </x:c>
      <x:c r="B12" s="16" t="str">
        <x:v>Route length sums the ordered 3D segments. Full home-run length adds its upstream path once. Do not add shared bundles again; no procurement total is implied.</x:v>
      </x:c>
    </x:row>
    <x:row r="13" ht="34" customHeight="1">
      <x:c r="A13" s="20" t="str">
        <x:v>Specifications</x:v>
      </x:c>
      <x:c r="B13" s="16" t="str">
        <x:v>Catalogue values and procedural dimensions are planning proxies. Final cable type, core count, cross-section, containment and approvals remain blank until designed.</x:v>
      </x:c>
    </x:row>
    <x:row r="14" ht="44" customHeight="1">
      <x:c r="A14" s="20" t="str">
        <x:v>Source layout SHA-256</x:v>
      </x:c>
      <x:c r="B14" s="16" t="str">
        <x:v>4ae7e1535959a20d2f5749b1ba03c885f39cbcfde41c0856c11d90946754f1c6</x:v>
      </x:c>
    </x:row>
    <x:row r="15" ht="44" customHeight="1">
      <x:c r="A15" s="20" t="str">
        <x:v>Source systems SHA-256</x:v>
      </x:c>
      <x:c r="B15" s="16" t="str">
        <x:v>e2130aeffb518d934149fa35c32d858856db06e804d9cb98aac4f1896cd3b761</x:v>
      </x:c>
    </x:row>
    <x:row r="16" ht="34" customHeight="1">
      <x:c r="A16" s="20" t="str">
        <x:v>Layout version</x:v>
      </x:c>
      <x:c r="B16" s="16" t="str">
        <x:v>2026-10-16-tower-board; sanctuary 2026-10-07-sanctuary-8</x:v>
      </x:c>
    </x:row>
    <x:row r="17" ht="34" customHeight="1">
      <x:c r="A17" s="20" t="str">
        <x:v>Layout source</x:v>
      </x:c>
      <x:c r="B17" s="16" t="str">
        <x:v>docs/electrical-grid/equipment-layout.json</x:v>
      </x:c>
    </x:row>
    <x:row r="18" ht="34" customHeight="1">
      <x:c r="A18" s="20" t="str">
        <x:v>Systems source</x:v>
      </x:c>
      <x:c r="B18" s="16" t="str">
        <x:v>docs/electrical-grid/electrical-systems.json</x:v>
      </x:c>
    </x:row>
    <x:row r="19" ht="64" customHeight="1">
      <x:c r="A19" s="20" t="str">
        <x:v>Viewer</x:v>
      </x:c>
      <x:c r="B19" s="16" t="str">
        <x:v>Thach_Bi_Viewer/OPEN_CHURCH.html → Simulator → Wiring. Equipment IDs and route IDs match both the 2D and 3D views.</x:v>
      </x:c>
    </x:row>
    <x:row r="20" ht="64" customHeight="1">
      <x:c r="A20" s="20" t="str">
        <x:v>Refresh</x:v>
      </x:c>
      <x:c r="B20" s="16" t="str">
        <x:v>See docs/electrical-grid/register.md. Edit amber fields in the usage-category files. Refresh preserves their values by ID, retains retired records and updates the summary report.</x:v>
      </x:c>
    </x:row>
    <x:row r="21" ht="64" customHeight="1">
      <x:c r="A21" s="20" t="str">
        <x:v>Known limits</x:v>
      </x:c>
      <x:c r="B21" s="16" t="str">
        <x:v>Physical switching channels and cable specifications are pending. Current feedback, speech clarity and other design shortfalls remain open.</x:v>
      </x:c>
    </x:row>
    <x:row r="22" ht="64" customHeight="1">
      <x:c r="A22" s="20" t="str">
        <x:v>Scope</x:v>
      </x:c>
      <x:c r="B22" s="16" t="str">
        <x:v>E1 maintained exit-sign group. Emergency supply and duration require separate design. Shared board sources are cross-references to the distribution-controls register; they are not duplicated here. Architectural fabric stays in the drawing specifications.</x:v>
      </x:c>
    </x:row>
    <x:row r="23" ht="64" customHeight="1">
      <x:c r="A23" s="20" t="str">
        <x:v>Release status</x:v>
      </x:c>
      <x:c r="B23" s="16" t="str">
        <x:v>Design development; not issued for purchasing, installation or construction.</x:v>
      </x:c>
    </x:row>
    <x:row r="24" ht="34" customHeight="1">
      <x:c r="A24" s="16"/>
      <x:c r="B24" s="16"/>
    </x:row>
    <x:row r="25" ht="34" customHeight="1">
      <x:c r="A25" s="16"/>
      <x:c r="B25" s="16"/>
    </x:row>
    <x:row r="26" ht="34" customHeight="1">
      <x:c r="A26" s="16"/>
      <x:c r="B26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6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64" hidden="0" customWidth="1"/>
    <x:col min="20" max="20" width="45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4" hidden="0" customWidth="1"/>
    <x:col min="27" max="27" width="18" hidden="0" customWidth="1"/>
    <x:col min="28" max="28" width="58" hidden="0" customWidth="1"/>
    <x:col min="29" max="29" width="64" hidden="0" customWidth="1"/>
  </x:cols>
  <x:sheetData>
    <x:row r="1" ht="32" customHeight="1">
      <x:c r="A1" s="3" t="str">
        <x:v>Exit signs: equipment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32" customHeight="1">
      <x:c r="A3" s="2" t="str">
        <x:v>Current X/Y/Z use metres, Y up from nave datum. Use all three Proposed coordinates to prepare a layout revision.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44" customHeight="1">
      <x:c r="A6" s="7" t="str">
        <x:v>Equipment ID</x:v>
      </x:c>
      <x:c r="B6" s="7" t="str">
        <x:v>Name</x:v>
      </x:c>
      <x:c r="C6" s="7" t="str">
        <x:v>Category</x:v>
      </x:c>
      <x:c r="D6" s="7" t="str">
        <x:v>Board</x:v>
      </x:c>
      <x:c r="E6" s="7" t="str">
        <x:v>Circuit</x:v>
      </x:c>
      <x:c r="F6" s="7" t="str">
        <x:v>X (m)</x:v>
      </x:c>
      <x:c r="G6" s="7" t="str">
        <x:v>Y (m)</x:v>
      </x:c>
      <x:c r="H6" s="7" t="str">
        <x:v>Z (m)</x:v>
      </x:c>
      <x:c r="I6" s="7" t="str">
        <x:v>Mount</x:v>
      </x:c>
      <x:c r="J6" s="7" t="str">
        <x:v>Visibility</x:v>
      </x:c>
      <x:c r="K6" s="7" t="str">
        <x:v>Command state</x:v>
      </x:c>
      <x:c r="L6" s="7" t="str">
        <x:v>Model envelope (mm)</x:v>
      </x:c>
      <x:c r="M6" s="7" t="str">
        <x:v>Planning specs</x:v>
      </x:c>
      <x:c r="N6" s="7" t="str">
        <x:v>Rated estimate (W)</x:v>
      </x:c>
      <x:c r="O6" s="7" t="str">
        <x:v>Yaw (deg)</x:v>
      </x:c>
      <x:c r="P6" s="7" t="str">
        <x:v>Tilt (deg)</x:v>
      </x:c>
      <x:c r="Q6" s="7" t="str">
        <x:v>Manufacturer</x:v>
      </x:c>
      <x:c r="R6" s="7" t="str">
        <x:v>Product model</x:v>
      </x:c>
      <x:c r="S6" s="7" t="str">
        <x:v>Approved specs</x:v>
      </x:c>
      <x:c r="T6" s="7" t="str">
        <x:v>Datasheet / approval</x:v>
      </x:c>
      <x:c r="U6" s="7" t="str">
        <x:v>Manual control ID</x:v>
      </x:c>
      <x:c r="V6" s="7" t="str">
        <x:v>Control group</x:v>
      </x:c>
      <x:c r="W6" s="7" t="str">
        <x:v>Proposed X (m)</x:v>
      </x:c>
      <x:c r="X6" s="7" t="str">
        <x:v>Proposed Y (m)</x:v>
      </x:c>
      <x:c r="Y6" s="7" t="str">
        <x:v>Proposed Z (m)</x:v>
      </x:c>
      <x:c r="Z6" s="7" t="str">
        <x:v>Engineering notes</x:v>
      </x:c>
      <x:c r="AA6" s="7" t="str">
        <x:v>Record state</x:v>
      </x:c>
      <x:c r="AB6" s="7" t="str">
        <x:v>Route IDs</x:v>
      </x:c>
      <x:c r="AC6" s="7" t="str">
        <x:v>Model parameters</x:v>
      </x:c>
    </x:row>
    <x:row r="7" ht="96" customHeight="1">
      <x:c r="A7" s="8" t="str">
        <x:v>L155</x:v>
      </x:c>
      <x:c r="B7" s="8" t="str">
        <x:v>Exit sign · main doors</x:v>
      </x:c>
      <x:c r="C7" s="8" t="str">
        <x:v>light</x:v>
      </x:c>
      <x:c r="D7" s="8" t="str">
        <x:v>DB1</x:v>
      </x:c>
      <x:c r="E7" s="8" t="str">
        <x:v>E1</x:v>
      </x:c>
      <x:c r="F7" s="11" t="n">
        <x:v>2.65</x:v>
      </x:c>
      <x:c r="G7" s="11" t="n">
        <x:v>6.95</x:v>
      </x:c>
      <x:c r="H7" s="11" t="n">
        <x:v>0</x:v>
      </x:c>
      <x:c r="I7" s="8" t="str">
        <x:v>wall</x:v>
      </x:c>
      <x:c r="J7" s="8" t="str">
        <x:v>Shown</x:v>
      </x:c>
      <x:c r="K7" s="8" t="str">
        <x:v>On</x:v>
      </x:c>
      <x:c r="L7" s="8" t="str">
        <x:v>55 × 170 × 380</x:v>
      </x:c>
      <x:c r="M7" s="8" t="str">
        <x:v>20 lm · 6500 K</x:v>
      </x:c>
      <x:c r="N7" s="11" t="n">
        <x:v>3</x:v>
      </x:c>
      <x:c r="O7" s="11" t="n">
        <x:v>0</x:v>
      </x:c>
      <x:c r="P7" s="11" t="n">
        <x:v>0</x:v>
      </x:c>
      <x:c r="Q7" s="9"/>
      <x:c r="R7" s="9"/>
      <x:c r="S7" s="9"/>
      <x:c r="T7" s="9"/>
      <x:c r="U7" s="9"/>
      <x:c r="V7" s="9"/>
      <x:c r="W7" s="13"/>
      <x:c r="X7" s="13"/>
      <x:c r="Y7" s="13"/>
      <x:c r="Z7" s="9"/>
      <x:c r="AA7" s="8" t="str">
        <x:v>Current</x:v>
      </x:c>
      <x:c r="AB7" s="8" t="str">
        <x:v>drop:LC1:E1:light:-1:L155</x:v>
      </x:c>
      <x:c r="AC7" s="8" t="str">
        <x:v>{"dim":1}</x:v>
      </x:c>
    </x:row>
    <x:row r="8" ht="96" customHeight="1">
      <x:c r="A8" s="8" t="str">
        <x:v>L156</x:v>
      </x:c>
      <x:c r="B8" s="8" t="str">
        <x:v>Exit sign · side door 16.7 · B</x:v>
      </x:c>
      <x:c r="C8" s="8" t="str">
        <x:v>light</x:v>
      </x:c>
      <x:c r="D8" s="8" t="str">
        <x:v>DB1</x:v>
      </x:c>
      <x:c r="E8" s="8" t="str">
        <x:v>E1</x:v>
      </x:c>
      <x:c r="F8" s="11" t="n">
        <x:v>16.725</x:v>
      </x:c>
      <x:c r="G8" s="11" t="n">
        <x:v>4.6</x:v>
      </x:c>
      <x:c r="H8" s="11" t="n">
        <x:v>-7.245</x:v>
      </x:c>
      <x:c r="I8" s="8" t="str">
        <x:v>wall</x:v>
      </x:c>
      <x:c r="J8" s="8" t="str">
        <x:v>Shown</x:v>
      </x:c>
      <x:c r="K8" s="8" t="str">
        <x:v>On</x:v>
      </x:c>
      <x:c r="L8" s="8" t="str">
        <x:v>55 × 170 × 380</x:v>
      </x:c>
      <x:c r="M8" s="8" t="str">
        <x:v>20 lm · 6500 K</x:v>
      </x:c>
      <x:c r="N8" s="11" t="n">
        <x:v>3</x:v>
      </x:c>
      <x:c r="O8" s="11" t="n">
        <x:v>90</x:v>
      </x:c>
      <x:c r="P8" s="11" t="n">
        <x:v>0</x:v>
      </x:c>
      <x:c r="Q8" s="9"/>
      <x:c r="R8" s="9"/>
      <x:c r="S8" s="9"/>
      <x:c r="T8" s="9"/>
      <x:c r="U8" s="9"/>
      <x:c r="V8" s="9"/>
      <x:c r="W8" s="13"/>
      <x:c r="X8" s="13"/>
      <x:c r="Y8" s="13"/>
      <x:c r="Z8" s="9"/>
      <x:c r="AA8" s="8" t="str">
        <x:v>Current</x:v>
      </x:c>
      <x:c r="AB8" s="8" t="str">
        <x:v>drop:LC1:E1:light:-1:L156</x:v>
      </x:c>
      <x:c r="AC8" s="8" t="str">
        <x:v>{"dim":1}</x:v>
      </x:c>
    </x:row>
    <x:row r="9" ht="96" customHeight="1">
      <x:c r="A9" s="8" t="str">
        <x:v>L157</x:v>
      </x:c>
      <x:c r="B9" s="8" t="str">
        <x:v>Exit sign · side door 16.7 · H</x:v>
      </x:c>
      <x:c r="C9" s="8" t="str">
        <x:v>light</x:v>
      </x:c>
      <x:c r="D9" s="8" t="str">
        <x:v>DB1</x:v>
      </x:c>
      <x:c r="E9" s="8" t="str">
        <x:v>E1</x:v>
      </x:c>
      <x:c r="F9" s="11" t="n">
        <x:v>16.725</x:v>
      </x:c>
      <x:c r="G9" s="11" t="n">
        <x:v>4.6</x:v>
      </x:c>
      <x:c r="H9" s="11" t="n">
        <x:v>7.245</x:v>
      </x:c>
      <x:c r="I9" s="8" t="str">
        <x:v>wall</x:v>
      </x:c>
      <x:c r="J9" s="8" t="str">
        <x:v>Shown</x:v>
      </x:c>
      <x:c r="K9" s="8" t="str">
        <x:v>On</x:v>
      </x:c>
      <x:c r="L9" s="8" t="str">
        <x:v>55 × 170 × 380</x:v>
      </x:c>
      <x:c r="M9" s="8" t="str">
        <x:v>20 lm · 6500 K</x:v>
      </x:c>
      <x:c r="N9" s="11" t="n">
        <x:v>3</x:v>
      </x:c>
      <x:c r="O9" s="11" t="n">
        <x:v>-90</x:v>
      </x:c>
      <x:c r="P9" s="11" t="n">
        <x:v>0</x:v>
      </x:c>
      <x:c r="Q9" s="9"/>
      <x:c r="R9" s="9"/>
      <x:c r="S9" s="9"/>
      <x:c r="T9" s="9"/>
      <x:c r="U9" s="9"/>
      <x:c r="V9" s="9"/>
      <x:c r="W9" s="13"/>
      <x:c r="X9" s="13"/>
      <x:c r="Y9" s="13"/>
      <x:c r="Z9" s="9"/>
      <x:c r="AA9" s="8" t="str">
        <x:v>Current</x:v>
      </x:c>
      <x:c r="AB9" s="8" t="str">
        <x:v>drop:LC1:E1:light:1:L157</x:v>
      </x:c>
      <x:c r="AC9" s="8" t="str">
        <x:v>{"dim":1}</x:v>
      </x:c>
    </x:row>
    <x:row r="10" ht="96" customHeight="1">
      <x:c r="A10" s="8" t="str">
        <x:v>L158</x:v>
      </x:c>
      <x:c r="B10" s="8" t="str">
        <x:v>Exit sign · side door 34.7 · B</x:v>
      </x:c>
      <x:c r="C10" s="8" t="str">
        <x:v>light</x:v>
      </x:c>
      <x:c r="D10" s="8" t="str">
        <x:v>DB1</x:v>
      </x:c>
      <x:c r="E10" s="8" t="str">
        <x:v>E1</x:v>
      </x:c>
      <x:c r="F10" s="11" t="n">
        <x:v>34.725</x:v>
      </x:c>
      <x:c r="G10" s="11" t="n">
        <x:v>4.6</x:v>
      </x:c>
      <x:c r="H10" s="11" t="n">
        <x:v>-7.245</x:v>
      </x:c>
      <x:c r="I10" s="8" t="str">
        <x:v>wall</x:v>
      </x:c>
      <x:c r="J10" s="8" t="str">
        <x:v>Shown</x:v>
      </x:c>
      <x:c r="K10" s="8" t="str">
        <x:v>On</x:v>
      </x:c>
      <x:c r="L10" s="8" t="str">
        <x:v>55 × 170 × 380</x:v>
      </x:c>
      <x:c r="M10" s="8" t="str">
        <x:v>20 lm · 6500 K</x:v>
      </x:c>
      <x:c r="N10" s="11" t="n">
        <x:v>3</x:v>
      </x:c>
      <x:c r="O10" s="11" t="n">
        <x:v>90</x:v>
      </x:c>
      <x:c r="P10" s="11" t="n">
        <x:v>0</x:v>
      </x:c>
      <x:c r="Q10" s="9"/>
      <x:c r="R10" s="9"/>
      <x:c r="S10" s="9"/>
      <x:c r="T10" s="9"/>
      <x:c r="U10" s="9"/>
      <x:c r="V10" s="9"/>
      <x:c r="W10" s="13"/>
      <x:c r="X10" s="13"/>
      <x:c r="Y10" s="13"/>
      <x:c r="Z10" s="9"/>
      <x:c r="AA10" s="8" t="str">
        <x:v>Current</x:v>
      </x:c>
      <x:c r="AB10" s="8" t="str">
        <x:v>drop:LC1:E1:light:-1:L158</x:v>
      </x:c>
      <x:c r="AC10" s="8" t="str">
        <x:v>{"dim":1}</x:v>
      </x:c>
    </x:row>
    <x:row r="11" ht="96" customHeight="1">
      <x:c r="A11" s="8" t="str">
        <x:v>L159</x:v>
      </x:c>
      <x:c r="B11" s="8" t="str">
        <x:v>Exit sign · side door 34.7 · H</x:v>
      </x:c>
      <x:c r="C11" s="8" t="str">
        <x:v>light</x:v>
      </x:c>
      <x:c r="D11" s="8" t="str">
        <x:v>DB1</x:v>
      </x:c>
      <x:c r="E11" s="8" t="str">
        <x:v>E1</x:v>
      </x:c>
      <x:c r="F11" s="11" t="n">
        <x:v>34.725</x:v>
      </x:c>
      <x:c r="G11" s="11" t="n">
        <x:v>4.6</x:v>
      </x:c>
      <x:c r="H11" s="11" t="n">
        <x:v>7.245</x:v>
      </x:c>
      <x:c r="I11" s="8" t="str">
        <x:v>wall</x:v>
      </x:c>
      <x:c r="J11" s="8" t="str">
        <x:v>Shown</x:v>
      </x:c>
      <x:c r="K11" s="8" t="str">
        <x:v>On</x:v>
      </x:c>
      <x:c r="L11" s="8" t="str">
        <x:v>55 × 170 × 380</x:v>
      </x:c>
      <x:c r="M11" s="8" t="str">
        <x:v>20 lm · 6500 K</x:v>
      </x:c>
      <x:c r="N11" s="11" t="n">
        <x:v>3</x:v>
      </x:c>
      <x:c r="O11" s="11" t="n">
        <x:v>-90</x:v>
      </x:c>
      <x:c r="P11" s="11" t="n">
        <x:v>0</x:v>
      </x:c>
      <x:c r="Q11" s="9"/>
      <x:c r="R11" s="9"/>
      <x:c r="S11" s="9"/>
      <x:c r="T11" s="9"/>
      <x:c r="U11" s="9"/>
      <x:c r="V11" s="9"/>
      <x:c r="W11" s="13"/>
      <x:c r="X11" s="13"/>
      <x:c r="Y11" s="13"/>
      <x:c r="Z11" s="9"/>
      <x:c r="AA11" s="8" t="str">
        <x:v>Current</x:v>
      </x:c>
      <x:c r="AB11" s="8" t="str">
        <x:v>drop:LC1:E1:light:1:L159</x:v>
      </x:c>
      <x:c r="AC11" s="8" t="str">
        <x:v>{"dim":1}</x:v>
      </x:c>
    </x:row>
  </x:sheetData>
  <x:conditionalFormatting sqref="AA7:AA11">
    <x:cfRule type="containsText" dxfId="0" priority="1" operator="containsText" text="Retired"/>
  </x:conditionalFormatting>
  <x:dataValidations count="3">
    <x:dataValidation type="decimal" operator="between" sqref="W7:W11">
      <x:formula1>-1000</x:formula1>
      <x:formula2>1000</x:formula2>
    </x:dataValidation>
    <x:dataValidation type="decimal" operator="between" sqref="X7:X11">
      <x:formula1>-1000</x:formula1>
      <x:formula2>1000</x:formula2>
    </x:dataValidation>
    <x:dataValidation type="decimal" operator="between" sqref="Y7:Y11">
      <x:formula1>-1000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bd8acb82d96421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50" hidden="0" customWidth="1"/>
    <x:col min="3" max="3" width="18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18" hidden="0" customWidth="1"/>
    <x:col min="14" max="14" width="18" hidden="0" customWidth="1"/>
    <x:col min="15" max="15" width="58" hidden="0" customWidth="1"/>
    <x:col min="16" max="16" width="58" hidden="0" customWidth="1"/>
    <x:col min="17" max="17" width="18" hidden="0" customWidth="1"/>
    <x:col min="18" max="18" width="18" hidden="0" customWidth="1"/>
    <x:col min="19" max="19" width="18" hidden="0" customWidth="1"/>
    <x:col min="20" max="20" width="58" hidden="0" customWidth="1"/>
    <x:col min="21" max="21" width="18" hidden="0" customWidth="1"/>
    <x:col min="22" max="22" width="18" hidden="0" customWidth="1"/>
    <x:col min="23" max="23" width="18" hidden="0" customWidth="1"/>
    <x:col min="24" max="24" width="58" hidden="0" customWidth="1"/>
    <x:col min="25" max="25" width="18" hidden="0" customWidth="1"/>
    <x:col min="26" max="26" width="58" hidden="0" customWidth="1"/>
  </x:cols>
  <x:sheetData>
    <x:row r="1" ht="32" customHeight="1">
      <x:c r="A1" s="3" t="str">
        <x:v>Electrical line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" customHeight="1">
      <x:c r="A3" s="2" t="str">
        <x:v>Lengths are geometric. Blank allowance means installed length is pending. Shared bundles are not extra home-run cable.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7" t="str">
        <x:v>Route ID</x:v>
      </x:c>
      <x:c r="B6" s="7" t="str">
        <x:v>Name</x:v>
      </x:c>
      <x:c r="C6" s="7" t="str">
        <x:v>Source ID</x:v>
      </x:c>
      <x:c r="D6" s="7" t="str">
        <x:v>Destination IDs</x:v>
      </x:c>
      <x:c r="E6" s="7" t="str">
        <x:v>Board</x:v>
      </x:c>
      <x:c r="F6" s="7" t="str">
        <x:v>Circuit</x:v>
      </x:c>
      <x:c r="G6" s="7" t="str">
        <x:v>Kind</x:v>
      </x:c>
      <x:c r="H6" s="7" t="str">
        <x:v>Role</x:v>
      </x:c>
      <x:c r="I6" s="7" t="str">
        <x:v>Route length (m)</x:v>
      </x:c>
      <x:c r="J6" s="7" t="str">
        <x:v>Upstream length (m)</x:v>
      </x:c>
      <x:c r="K6" s="7" t="str">
        <x:v>Full home run (m)</x:v>
      </x:c>
      <x:c r="L6" s="7" t="str">
        <x:v>Length basis</x:v>
      </x:c>
      <x:c r="M6" s="7" t="str">
        <x:v>Allowance (m)</x:v>
      </x:c>
      <x:c r="N6" s="7" t="str">
        <x:v>Planned length (m)</x:v>
      </x:c>
      <x:c r="O6" s="7" t="str">
        <x:v>Planning specification</x:v>
      </x:c>
      <x:c r="P6" s="7" t="str">
        <x:v>Installation proposal</x:v>
      </x:c>
      <x:c r="Q6" s="7" t="str">
        <x:v>Cable designation</x:v>
      </x:c>
      <x:c r="R6" s="7" t="str">
        <x:v>Core count</x:v>
      </x:c>
      <x:c r="S6" s="7" t="str">
        <x:v>Cross-section (mm2)</x:v>
      </x:c>
      <x:c r="T6" s="7" t="str">
        <x:v>Containment specification</x:v>
      </x:c>
      <x:c r="U6" s="7" t="str">
        <x:v>Manufacturer / product</x:v>
      </x:c>
      <x:c r="V6" s="7" t="str">
        <x:v>Control / terminal reference</x:v>
      </x:c>
      <x:c r="W6" s="7" t="str">
        <x:v>Approval reference</x:v>
      </x:c>
      <x:c r="X6" s="7" t="str">
        <x:v>Engineering notes</x:v>
      </x:c>
      <x:c r="Y6" s="7" t="str">
        <x:v>Record state</x:v>
      </x:c>
      <x:c r="Z6" s="7" t="str">
        <x:v>Trunk ID</x:v>
      </x:c>
    </x:row>
    <x:row r="7" ht="90" customHeight="1">
      <x:c r="A7" s="8" t="str">
        <x:v>trunk:LC1:E1:light:-1</x:v>
      </x:c>
      <x:c r="B7" s="8" t="str">
        <x:v>E1 · B · circuit trunk</x:v>
      </x:c>
      <x:c r="C7" s="8" t="str">
        <x:v>LC1</x:v>
      </x:c>
      <x:c r="D7" s="8" t="str">
        <x:v>L155
L156
L158</x:v>
      </x:c>
      <x:c r="E7" s="8" t="str">
        <x:v>DB1</x:v>
      </x:c>
      <x:c r="F7" s="8" t="str">
        <x:v>E1</x:v>
      </x:c>
      <x:c r="G7" s="8" t="str">
        <x:v>light</x:v>
      </x:c>
      <x:c r="H7" s="8" t="str">
        <x:v>trunk</x:v>
      </x:c>
      <x:c r="I7" s="11" t="n">
        <x:f>SUMIF('Route Points'!$A$7:$A$60,A7,'Route Points'!$F$7:$F$60)</x:f>
        <x:v>69.5751303111792</x:v>
      </x:c>
      <x:c r="J7" s="11"/>
      <x:c r="K7" s="11" t="str">
        <x:f>IF(L7="Full home run",I7+J7,"")</x:f>
      </x:c>
      <x:c r="L7" s="8" t="str">
        <x:v>Route segment</x:v>
      </x:c>
      <x:c r="M7" s="13"/>
      <x:c r="N7" s="11" t="str">
        <x:f>IF(AND(ISNUMBER(M7),L7&lt;&gt;"Shared bundle"),IF(L7="Full home run",K7,I7)+M7,"")</x:f>
      </x:c>
      <x:c r="O7" s="8" t="str">
        <x:v>Cable type / conductors / cross-section / conduit: pending electrical design</x:v>
      </x:c>
      <x:c r="P7" s="8" t="str">
        <x:v>Wall bands above openings; concealed finish-matched soffit crossing over the 9–10 wing opening.</x:v>
      </x:c>
      <x:c r="Q7" s="9"/>
      <x:c r="R7" s="9"/>
      <x:c r="S7" s="13"/>
      <x:c r="T7" s="9"/>
      <x:c r="U7" s="9"/>
      <x:c r="V7" s="9"/>
      <x:c r="W7" s="9"/>
      <x:c r="X7" s="9"/>
      <x:c r="Y7" s="8" t="str">
        <x:v>Current</x:v>
      </x:c>
      <x:c r="Z7" s="8"/>
    </x:row>
    <x:row r="8" ht="90" customHeight="1">
      <x:c r="A8" s="8" t="str">
        <x:v>drop:LC1:E1:light:-1:L155</x:v>
      </x:c>
      <x:c r="B8" s="8" t="str">
        <x:v>E1 → Exit sign · main doors</x:v>
      </x:c>
      <x:c r="C8" s="8" t="str">
        <x:v>LC1</x:v>
      </x:c>
      <x:c r="D8" s="8" t="str">
        <x:v>L155</x:v>
      </x:c>
      <x:c r="E8" s="8" t="str">
        <x:v>DB1</x:v>
      </x:c>
      <x:c r="F8" s="8" t="str">
        <x:v>E1</x:v>
      </x:c>
      <x:c r="G8" s="8" t="str">
        <x:v>light</x:v>
      </x:c>
      <x:c r="H8" s="8" t="str">
        <x:v>drop</x:v>
      </x:c>
      <x:c r="I8" s="11" t="n">
        <x:f>SUMIF('Route Points'!$A$7:$A$60,A8,'Route Points'!$F$7:$F$60)</x:f>
        <x:v>10.048858786281436</x:v>
      </x:c>
      <x:c r="J8" s="11"/>
      <x:c r="K8" s="11" t="str">
        <x:f>IF(L8="Full home run",I8+J8,"")</x:f>
      </x:c>
      <x:c r="L8" s="8" t="str">
        <x:v>Route segment</x:v>
      </x:c>
      <x:c r="M8" s="13"/>
      <x:c r="N8" s="11" t="str">
        <x:f>IF(AND(ISNUMBER(M8),L8&lt;&gt;"Shared bundle"),IF(L8="Full home run",K8,I8)+M8,"")</x:f>
      </x:c>
      <x:c r="O8" s="8" t="str">
        <x:v>Cable type / conductors / cross-section / conduit: pending electrical design</x:v>
      </x:c>
      <x:c r="P8" s="8" t="str">
        <x:v>Concealed entrance wall band, solid pier and local termination.</x:v>
      </x:c>
      <x:c r="Q8" s="9"/>
      <x:c r="R8" s="9"/>
      <x:c r="S8" s="13"/>
      <x:c r="T8" s="9"/>
      <x:c r="U8" s="9"/>
      <x:c r="V8" s="9"/>
      <x:c r="W8" s="9"/>
      <x:c r="X8" s="9"/>
      <x:c r="Y8" s="8" t="str">
        <x:v>Current</x:v>
      </x:c>
      <x:c r="Z8" s="8" t="str">
        <x:v>trunk:LC1:E1:light:-1</x:v>
      </x:c>
    </x:row>
    <x:row r="9" ht="90" customHeight="1">
      <x:c r="A9" s="8" t="str">
        <x:v>drop:LC1:E1:light:-1:L156</x:v>
      </x:c>
      <x:c r="B9" s="8" t="str">
        <x:v>E1 → Exit sign · side door 16.7 · B</x:v>
      </x:c>
      <x:c r="C9" s="8" t="str">
        <x:v>LC1</x:v>
      </x:c>
      <x:c r="D9" s="8" t="str">
        <x:v>L156</x:v>
      </x:c>
      <x:c r="E9" s="8" t="str">
        <x:v>DB1</x:v>
      </x:c>
      <x:c r="F9" s="8" t="str">
        <x:v>E1</x:v>
      </x:c>
      <x:c r="G9" s="8" t="str">
        <x:v>light</x:v>
      </x:c>
      <x:c r="H9" s="8" t="str">
        <x:v>drop</x:v>
      </x:c>
      <x:c r="I9" s="11" t="n">
        <x:f>SUMIF('Route Points'!$A$7:$A$60,A9,'Route Points'!$F$7:$F$60)</x:f>
        <x:v>1.503000000000001</x:v>
      </x:c>
      <x:c r="J9" s="11"/>
      <x:c r="K9" s="11" t="str">
        <x:f>IF(L9="Full home run",I9+J9,"")</x:f>
      </x:c>
      <x:c r="L9" s="8" t="str">
        <x:v>Route segment</x:v>
      </x:c>
      <x:c r="M9" s="13"/>
      <x:c r="N9" s="11" t="str">
        <x:f>IF(AND(ISNUMBER(M9),L9&lt;&gt;"Shared bundle"),IF(L9="Full home run",K9,I9)+M9,"")</x:f>
      </x:c>
      <x:c r="O9" s="8" t="str">
        <x:v>Cable type / conductors / cross-section / conduit: pending electrical design</x:v>
      </x:c>
      <x:c r="P9" s="8" t="str">
        <x:v>Concealed solid-pier / wall drop and local termination.</x:v>
      </x:c>
      <x:c r="Q9" s="9"/>
      <x:c r="R9" s="9"/>
      <x:c r="S9" s="13"/>
      <x:c r="T9" s="9"/>
      <x:c r="U9" s="9"/>
      <x:c r="V9" s="9"/>
      <x:c r="W9" s="9"/>
      <x:c r="X9" s="9"/>
      <x:c r="Y9" s="8" t="str">
        <x:v>Current</x:v>
      </x:c>
      <x:c r="Z9" s="8" t="str">
        <x:v>trunk:LC1:E1:light:-1</x:v>
      </x:c>
    </x:row>
    <x:row r="10" ht="90" customHeight="1">
      <x:c r="A10" s="8" t="str">
        <x:v>drop:LC1:E1:light:-1:L158</x:v>
      </x:c>
      <x:c r="B10" s="8" t="str">
        <x:v>E1 → Exit sign · side door 34.7 · B</x:v>
      </x:c>
      <x:c r="C10" s="8" t="str">
        <x:v>LC1</x:v>
      </x:c>
      <x:c r="D10" s="8" t="str">
        <x:v>L158</x:v>
      </x:c>
      <x:c r="E10" s="8" t="str">
        <x:v>DB1</x:v>
      </x:c>
      <x:c r="F10" s="8" t="str">
        <x:v>E1</x:v>
      </x:c>
      <x:c r="G10" s="8" t="str">
        <x:v>light</x:v>
      </x:c>
      <x:c r="H10" s="8" t="str">
        <x:v>drop</x:v>
      </x:c>
      <x:c r="I10" s="11" t="n">
        <x:f>SUMIF('Route Points'!$A$7:$A$60,A10,'Route Points'!$F$7:$F$60)</x:f>
        <x:v>1.503000000000001</x:v>
      </x:c>
      <x:c r="J10" s="11"/>
      <x:c r="K10" s="11" t="str">
        <x:f>IF(L10="Full home run",I10+J10,"")</x:f>
      </x:c>
      <x:c r="L10" s="8" t="str">
        <x:v>Route segment</x:v>
      </x:c>
      <x:c r="M10" s="13"/>
      <x:c r="N10" s="11" t="str">
        <x:f>IF(AND(ISNUMBER(M10),L10&lt;&gt;"Shared bundle"),IF(L10="Full home run",K10,I10)+M10,"")</x:f>
      </x:c>
      <x:c r="O10" s="8" t="str">
        <x:v>Cable type / conductors / cross-section / conduit: pending electrical design</x:v>
      </x:c>
      <x:c r="P10" s="8" t="str">
        <x:v>Concealed solid-pier / wall drop and local termination.</x:v>
      </x:c>
      <x:c r="Q10" s="9"/>
      <x:c r="R10" s="9"/>
      <x:c r="S10" s="13"/>
      <x:c r="T10" s="9"/>
      <x:c r="U10" s="9"/>
      <x:c r="V10" s="9"/>
      <x:c r="W10" s="9"/>
      <x:c r="X10" s="9"/>
      <x:c r="Y10" s="8" t="str">
        <x:v>Current</x:v>
      </x:c>
      <x:c r="Z10" s="8" t="str">
        <x:v>trunk:LC1:E1:light:-1</x:v>
      </x:c>
    </x:row>
    <x:row r="11" ht="90" customHeight="1">
      <x:c r="A11" s="8" t="str">
        <x:v>trunk:LC1:E1:light:1</x:v>
      </x:c>
      <x:c r="B11" s="8" t="str">
        <x:v>E1 · H · circuit trunk</x:v>
      </x:c>
      <x:c r="C11" s="8" t="str">
        <x:v>LC1</x:v>
      </x:c>
      <x:c r="D11" s="8" t="str">
        <x:v>L157
L159</x:v>
      </x:c>
      <x:c r="E11" s="8" t="str">
        <x:v>DB1</x:v>
      </x:c>
      <x:c r="F11" s="8" t="str">
        <x:v>E1</x:v>
      </x:c>
      <x:c r="G11" s="8" t="str">
        <x:v>light</x:v>
      </x:c>
      <x:c r="H11" s="8" t="str">
        <x:v>trunk</x:v>
      </x:c>
      <x:c r="I11" s="11" t="n">
        <x:f>SUMIF('Route Points'!$A$7:$A$60,A11,'Route Points'!$F$7:$F$60)</x:f>
        <x:v>62.10013031117919</x:v>
      </x:c>
      <x:c r="J11" s="11"/>
      <x:c r="K11" s="11" t="str">
        <x:f>IF(L11="Full home run",I11+J11,"")</x:f>
      </x:c>
      <x:c r="L11" s="8" t="str">
        <x:v>Route segment</x:v>
      </x:c>
      <x:c r="M11" s="13"/>
      <x:c r="N11" s="11" t="str">
        <x:f>IF(AND(ISNUMBER(M11),L11&lt;&gt;"Shared bundle"),IF(L11="Full home run",K11,I11)+M11,"")</x:f>
      </x:c>
      <x:c r="O11" s="8" t="str">
        <x:v>Cable type / conductors / cross-section / conduit: pending electrical design</x:v>
      </x:c>
      <x:c r="P11" s="8" t="str">
        <x:v>Wall bands above openings; concealed finish-matched soffit crossing over the 9–10 wing opening.</x:v>
      </x:c>
      <x:c r="Q11" s="9"/>
      <x:c r="R11" s="9"/>
      <x:c r="S11" s="13"/>
      <x:c r="T11" s="9"/>
      <x:c r="U11" s="9"/>
      <x:c r="V11" s="9"/>
      <x:c r="W11" s="9"/>
      <x:c r="X11" s="9"/>
      <x:c r="Y11" s="8" t="str">
        <x:v>Current</x:v>
      </x:c>
      <x:c r="Z11" s="8"/>
    </x:row>
    <x:row r="12" ht="90" customHeight="1">
      <x:c r="A12" s="8" t="str">
        <x:v>drop:LC1:E1:light:1:L157</x:v>
      </x:c>
      <x:c r="B12" s="8" t="str">
        <x:v>E1 → Exit sign · side door 16.7 · H</x:v>
      </x:c>
      <x:c r="C12" s="8" t="str">
        <x:v>LC1</x:v>
      </x:c>
      <x:c r="D12" s="8" t="str">
        <x:v>L157</x:v>
      </x:c>
      <x:c r="E12" s="8" t="str">
        <x:v>DB1</x:v>
      </x:c>
      <x:c r="F12" s="8" t="str">
        <x:v>E1</x:v>
      </x:c>
      <x:c r="G12" s="8" t="str">
        <x:v>light</x:v>
      </x:c>
      <x:c r="H12" s="8" t="str">
        <x:v>drop</x:v>
      </x:c>
      <x:c r="I12" s="11" t="n">
        <x:f>SUMIF('Route Points'!$A$7:$A$60,A12,'Route Points'!$F$7:$F$60)</x:f>
        <x:v>1.503000000000001</x:v>
      </x:c>
      <x:c r="J12" s="11"/>
      <x:c r="K12" s="11" t="str">
        <x:f>IF(L12="Full home run",I12+J12,"")</x:f>
      </x:c>
      <x:c r="L12" s="8" t="str">
        <x:v>Route segment</x:v>
      </x:c>
      <x:c r="M12" s="13"/>
      <x:c r="N12" s="11" t="str">
        <x:f>IF(AND(ISNUMBER(M12),L12&lt;&gt;"Shared bundle"),IF(L12="Full home run",K12,I12)+M12,"")</x:f>
      </x:c>
      <x:c r="O12" s="8" t="str">
        <x:v>Cable type / conductors / cross-section / conduit: pending electrical design</x:v>
      </x:c>
      <x:c r="P12" s="8" t="str">
        <x:v>Concealed solid-pier / wall drop and local termination.</x:v>
      </x:c>
      <x:c r="Q12" s="9"/>
      <x:c r="R12" s="9"/>
      <x:c r="S12" s="13"/>
      <x:c r="T12" s="9"/>
      <x:c r="U12" s="9"/>
      <x:c r="V12" s="9"/>
      <x:c r="W12" s="9"/>
      <x:c r="X12" s="9"/>
      <x:c r="Y12" s="8" t="str">
        <x:v>Current</x:v>
      </x:c>
      <x:c r="Z12" s="8" t="str">
        <x:v>trunk:LC1:E1:light:1</x:v>
      </x:c>
    </x:row>
    <x:row r="13" ht="90" customHeight="1">
      <x:c r="A13" s="8" t="str">
        <x:v>drop:LC1:E1:light:1:L159</x:v>
      </x:c>
      <x:c r="B13" s="8" t="str">
        <x:v>E1 → Exit sign · side door 34.7 · H</x:v>
      </x:c>
      <x:c r="C13" s="8" t="str">
        <x:v>LC1</x:v>
      </x:c>
      <x:c r="D13" s="8" t="str">
        <x:v>L159</x:v>
      </x:c>
      <x:c r="E13" s="8" t="str">
        <x:v>DB1</x:v>
      </x:c>
      <x:c r="F13" s="8" t="str">
        <x:v>E1</x:v>
      </x:c>
      <x:c r="G13" s="8" t="str">
        <x:v>light</x:v>
      </x:c>
      <x:c r="H13" s="8" t="str">
        <x:v>drop</x:v>
      </x:c>
      <x:c r="I13" s="11" t="n">
        <x:f>SUMIF('Route Points'!$A$7:$A$60,A13,'Route Points'!$F$7:$F$60)</x:f>
        <x:v>1.503000000000001</x:v>
      </x:c>
      <x:c r="J13" s="11"/>
      <x:c r="K13" s="11" t="str">
        <x:f>IF(L13="Full home run",I13+J13,"")</x:f>
      </x:c>
      <x:c r="L13" s="8" t="str">
        <x:v>Route segment</x:v>
      </x:c>
      <x:c r="M13" s="13"/>
      <x:c r="N13" s="11" t="str">
        <x:f>IF(AND(ISNUMBER(M13),L13&lt;&gt;"Shared bundle"),IF(L13="Full home run",K13,I13)+M13,"")</x:f>
      </x:c>
      <x:c r="O13" s="8" t="str">
        <x:v>Cable type / conductors / cross-section / conduit: pending electrical design</x:v>
      </x:c>
      <x:c r="P13" s="8" t="str">
        <x:v>Concealed solid-pier / wall drop and local termination.</x:v>
      </x:c>
      <x:c r="Q13" s="9"/>
      <x:c r="R13" s="9"/>
      <x:c r="S13" s="13"/>
      <x:c r="T13" s="9"/>
      <x:c r="U13" s="9"/>
      <x:c r="V13" s="9"/>
      <x:c r="W13" s="9"/>
      <x:c r="X13" s="9"/>
      <x:c r="Y13" s="8" t="str">
        <x:v>Current</x:v>
      </x:c>
      <x:c r="Z13" s="8" t="str">
        <x:v>trunk:LC1:E1:light:1</x:v>
      </x:c>
    </x:row>
  </x:sheetData>
  <x:conditionalFormatting sqref="Y7:Y13">
    <x:cfRule type="containsText" dxfId="1" priority="1" operator="containsText" text="Retired"/>
  </x:conditionalFormatting>
  <x:dataValidations count="3">
    <x:dataValidation type="decimal" operator="greaterThanOrEqual" sqref="M7:M13">
      <x:formula1>0</x:formula1>
    </x:dataValidation>
    <x:dataValidation type="decimal" operator="greaterThanOrEqual" sqref="R7:R13">
      <x:formula1>0</x:formula1>
    </x:dataValidation>
    <x:dataValidation type="decimal" operator="greaterThanOrEqual" sqref="S7:S13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98dbe1c3aa466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3" t="str">
        <x:v>Route vertices in the shared layout</x:v>
      </x:c>
      <x:c r="B1" s="2"/>
      <x:c r="C1" s="2"/>
      <x:c r="D1" s="2"/>
      <x:c r="E1" s="2"/>
      <x:c r="F1" s="2"/>
      <x:c r="G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</x:row>
    <x:row r="3" ht="32" customHeight="1">
      <x:c r="A3" s="2" t="str">
        <x:v>Each route uses these ordered X/Y/Z vertices in metres. Segment lengths are calculated from adjacent vertices.</x:v>
      </x:c>
      <x:c r="B3" s="2"/>
      <x:c r="C3" s="2"/>
      <x:c r="D3" s="2"/>
      <x:c r="E3" s="2"/>
      <x:c r="F3" s="2"/>
      <x:c r="G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</x:row>
    <x:row r="5" ht="32" customHeight="1">
      <x:c r="A5" s="2"/>
      <x:c r="B5" s="2"/>
      <x:c r="C5" s="2"/>
      <x:c r="D5" s="2"/>
      <x:c r="E5" s="2"/>
      <x:c r="F5" s="2"/>
      <x:c r="G5" s="2"/>
    </x:row>
    <x:row r="6" ht="44" customHeight="1">
      <x:c r="A6" s="7" t="str">
        <x:v>Route ID</x:v>
      </x:c>
      <x:c r="B6" s="7" t="str">
        <x:v>Vertex</x:v>
      </x:c>
      <x:c r="C6" s="7" t="str">
        <x:v>X (m)</x:v>
      </x:c>
      <x:c r="D6" s="7" t="str">
        <x:v>Y (m)</x:v>
      </x:c>
      <x:c r="E6" s="7" t="str">
        <x:v>Z (m)</x:v>
      </x:c>
      <x:c r="F6" s="7" t="str">
        <x:v>Segment length (m)</x:v>
      </x:c>
      <x:c r="G6" s="7" t="str">
        <x:v>Record state</x:v>
      </x:c>
    </x:row>
    <x:row r="7" ht="32" customHeight="1">
      <x:c r="A7" s="8" t="str">
        <x:v>trunk:LC1:E1:light:-1</x:v>
      </x:c>
      <x:c r="B7" s="8" t="n">
        <x:v>1</x:v>
      </x:c>
      <x:c r="C7" s="11" t="n">
        <x:v>48.895</x:v>
      </x:c>
      <x:c r="D7" s="11" t="n">
        <x:v>1.85</x:v>
      </x:c>
      <x:c r="E7" s="11" t="n">
        <x:v>-0.55</x:v>
      </x:c>
      <x:c r="F7" s="11" t="n">
        <x:f>0</x:f>
        <x:v>0</x:v>
      </x:c>
      <x:c r="G7" s="8" t="str">
        <x:v>Current</x:v>
      </x:c>
    </x:row>
    <x:row r="8" ht="32" customHeight="1">
      <x:c r="A8" s="8" t="str">
        <x:v>trunk:LC1:E1:light:-1</x:v>
      </x:c>
      <x:c r="B8" s="8" t="n">
        <x:v>2</x:v>
      </x:c>
      <x:c r="C8" s="11" t="n">
        <x:v>48.735</x:v>
      </x:c>
      <x:c r="D8" s="11" t="n">
        <x:v>1.85</x:v>
      </x:c>
      <x:c r="E8" s="11" t="n">
        <x:v>-0.55</x:v>
      </x:c>
      <x:c r="F8" s="11" t="n">
        <x:f>SQRT((C8-C7)^2+(D8-D7)^2+(E8-E7)^2)</x:f>
        <x:v>0.1600000000000037</x:v>
      </x:c>
      <x:c r="G8" s="8" t="str">
        <x:v>Current</x:v>
      </x:c>
    </x:row>
    <x:row r="9" ht="32" customHeight="1">
      <x:c r="A9" s="8" t="str">
        <x:v>trunk:LC1:E1:light:-1</x:v>
      </x:c>
      <x:c r="B9" s="8" t="n">
        <x:v>3</x:v>
      </x:c>
      <x:c r="C9" s="11" t="n">
        <x:v>48.735</x:v>
      </x:c>
      <x:c r="D9" s="11" t="n">
        <x:v>1.85</x:v>
      </x:c>
      <x:c r="E9" s="11" t="n">
        <x:v>-2.24</x:v>
      </x:c>
      <x:c r="F9" s="11" t="n">
        <x:f>SQRT((C9-C8)^2+(D9-D8)^2+(E9-E8)^2)</x:f>
        <x:v>1.6900000000000002</x:v>
      </x:c>
      <x:c r="G9" s="8" t="str">
        <x:v>Current</x:v>
      </x:c>
    </x:row>
    <x:row r="10" ht="32" customHeight="1">
      <x:c r="A10" s="8" t="str">
        <x:v>trunk:LC1:E1:light:-1</x:v>
      </x:c>
      <x:c r="B10" s="8" t="n">
        <x:v>4</x:v>
      </x:c>
      <x:c r="C10" s="11" t="n">
        <x:v>48.735</x:v>
      </x:c>
      <x:c r="D10" s="11" t="n">
        <x:v>4.33</x:v>
      </x:c>
      <x:c r="E10" s="11" t="n">
        <x:v>-2.24</x:v>
      </x:c>
      <x:c r="F10" s="11" t="n">
        <x:f>SQRT((C10-C9)^2+(D10-D9)^2+(E10-E9)^2)</x:f>
        <x:v>2.48</x:v>
      </x:c>
      <x:c r="G10" s="8" t="str">
        <x:v>Current</x:v>
      </x:c>
    </x:row>
    <x:row r="11" ht="32" customHeight="1">
      <x:c r="A11" s="8" t="str">
        <x:v>trunk:LC1:E1:light:-1</x:v>
      </x:c>
      <x:c r="B11" s="8" t="n">
        <x:v>5</x:v>
      </x:c>
      <x:c r="C11" s="11" t="n">
        <x:v>48.735</x:v>
      </x:c>
      <x:c r="D11" s="11" t="n">
        <x:v>4.33</x:v>
      </x:c>
      <x:c r="E11" s="11" t="n">
        <x:v>-3.3</x:v>
      </x:c>
      <x:c r="F11" s="11" t="n">
        <x:f>SQRT((C11-C10)^2+(D11-D10)^2+(E11-E10)^2)</x:f>
        <x:v>1.0599999999999996</x:v>
      </x:c>
      <x:c r="G11" s="8" t="str">
        <x:v>Current</x:v>
      </x:c>
    </x:row>
    <x:row r="12" ht="32" customHeight="1">
      <x:c r="A12" s="8" t="str">
        <x:v>trunk:LC1:E1:light:-1</x:v>
      </x:c>
      <x:c r="B12" s="8" t="n">
        <x:v>6</x:v>
      </x:c>
      <x:c r="C12" s="11" t="n">
        <x:v>53.016</x:v>
      </x:c>
      <x:c r="D12" s="11" t="n">
        <x:v>4.33</x:v>
      </x:c>
      <x:c r="E12" s="11" t="n">
        <x:v>-3.3</x:v>
      </x:c>
      <x:c r="F12" s="11" t="n">
        <x:f>SQRT((C12-C11)^2+(D12-D11)^2+(E12-E11)^2)</x:f>
        <x:v>4.280999999999999</x:v>
      </x:c>
      <x:c r="G12" s="8" t="str">
        <x:v>Current</x:v>
      </x:c>
    </x:row>
    <x:row r="13" ht="32" customHeight="1">
      <x:c r="A13" s="8" t="str">
        <x:v>trunk:LC1:E1:light:-1</x:v>
      </x:c>
      <x:c r="B13" s="8" t="n">
        <x:v>7</x:v>
      </x:c>
      <x:c r="C13" s="11" t="n">
        <x:v>53.016</x:v>
      </x:c>
      <x:c r="D13" s="11" t="n">
        <x:v>5.988</x:v>
      </x:c>
      <x:c r="E13" s="11" t="n">
        <x:v>-3.3</x:v>
      </x:c>
      <x:c r="F13" s="11" t="n">
        <x:f>SQRT((C13-C12)^2+(D13-D12)^2+(E13-E12)^2)</x:f>
        <x:v>1.6580000000000004</x:v>
      </x:c>
      <x:c r="G13" s="8" t="str">
        <x:v>Current</x:v>
      </x:c>
    </x:row>
    <x:row r="14" ht="32" customHeight="1">
      <x:c r="A14" s="8" t="str">
        <x:v>trunk:LC1:E1:light:-1</x:v>
      </x:c>
      <x:c r="B14" s="8" t="n">
        <x:v>8</x:v>
      </x:c>
      <x:c r="C14" s="11" t="n">
        <x:v>53.016</x:v>
      </x:c>
      <x:c r="D14" s="11" t="n">
        <x:v>5.988</x:v>
      </x:c>
      <x:c r="E14" s="11" t="n">
        <x:v>-7.36</x:v>
      </x:c>
      <x:c r="F14" s="11" t="n">
        <x:f>SQRT((C14-C13)^2+(D14-D13)^2+(E14-E13)^2)</x:f>
        <x:v>4.0600000000000005</x:v>
      </x:c>
      <x:c r="G14" s="8" t="str">
        <x:v>Current</x:v>
      </x:c>
    </x:row>
    <x:row r="15" ht="32" customHeight="1">
      <x:c r="A15" s="8" t="str">
        <x:v>trunk:LC1:E1:light:-1</x:v>
      </x:c>
      <x:c r="B15" s="8" t="n">
        <x:v>9</x:v>
      </x:c>
      <x:c r="C15" s="11" t="n">
        <x:v>44.175</x:v>
      </x:c>
      <x:c r="D15" s="11" t="n">
        <x:v>5.988</x:v>
      </x:c>
      <x:c r="E15" s="11" t="n">
        <x:v>-7.36</x:v>
      </x:c>
      <x:c r="F15" s="11" t="n">
        <x:f>SQRT((C15-C14)^2+(D15-D14)^2+(E15-E14)^2)</x:f>
        <x:v>8.841000000000001</x:v>
      </x:c>
      <x:c r="G15" s="8" t="str">
        <x:v>Current</x:v>
      </x:c>
    </x:row>
    <x:row r="16" ht="32" customHeight="1">
      <x:c r="A16" s="8" t="str">
        <x:v>trunk:LC1:E1:light:-1</x:v>
      </x:c>
      <x:c r="B16" s="8" t="n">
        <x:v>10</x:v>
      </x:c>
      <x:c r="C16" s="11" t="n">
        <x:v>44.175</x:v>
      </x:c>
      <x:c r="D16" s="11" t="n">
        <x:v>7.04</x:v>
      </x:c>
      <x:c r="E16" s="11" t="n">
        <x:v>-7.36</x:v>
      </x:c>
      <x:c r="F16" s="11" t="n">
        <x:f>SQRT((C16-C15)^2+(D16-D15)^2+(E16-E15)^2)</x:f>
        <x:v>1.0519999999999996</x:v>
      </x:c>
      <x:c r="G16" s="8" t="str">
        <x:v>Current</x:v>
      </x:c>
    </x:row>
    <x:row r="17" ht="32" customHeight="1">
      <x:c r="A17" s="8" t="str">
        <x:v>trunk:LC1:E1:light:-1</x:v>
      </x:c>
      <x:c r="B17" s="8" t="n">
        <x:v>11</x:v>
      </x:c>
      <x:c r="C17" s="11" t="n">
        <x:v>43.535</x:v>
      </x:c>
      <x:c r="D17" s="11" t="n">
        <x:v>7.04</x:v>
      </x:c>
      <x:c r="E17" s="11" t="n">
        <x:v>-7.36</x:v>
      </x:c>
      <x:c r="F17" s="11" t="n">
        <x:f>SQRT((C17-C16)^2+(D17-D16)^2+(E17-E16)^2)</x:f>
        <x:v>0.6400000000000006</x:v>
      </x:c>
      <x:c r="G17" s="8" t="str">
        <x:v>Current</x:v>
      </x:c>
    </x:row>
    <x:row r="18" ht="32" customHeight="1">
      <x:c r="A18" s="8" t="str">
        <x:v>trunk:LC1:E1:light:-1</x:v>
      </x:c>
      <x:c r="B18" s="8" t="n">
        <x:v>12</x:v>
      </x:c>
      <x:c r="C18" s="11" t="n">
        <x:v>43.455</x:v>
      </x:c>
      <x:c r="D18" s="11" t="n">
        <x:v>6.950412371134024</x:v>
      </x:c>
      <x:c r="E18" s="11" t="n">
        <x:v>-7.36</x:v>
      </x:c>
      <x:c r="F18" s="11" t="n">
        <x:f>SQRT((C18-C17)^2+(D18-D17)^2+(E18-E17)^2)</x:f>
        <x:v>0.12010804821421249</x:v>
      </x:c>
      <x:c r="G18" s="8" t="str">
        <x:v>Current</x:v>
      </x:c>
    </x:row>
    <x:row r="19" ht="32" customHeight="1">
      <x:c r="A19" s="8" t="str">
        <x:v>trunk:LC1:E1:light:-1</x:v>
      </x:c>
      <x:c r="B19" s="8" t="n">
        <x:v>13</x:v>
      </x:c>
      <x:c r="C19" s="11" t="n">
        <x:v>40.574999999999996</x:v>
      </x:c>
      <x:c r="D19" s="11" t="n">
        <x:v>9.269999999999994</x:v>
      </x:c>
      <x:c r="E19" s="11" t="n">
        <x:v>-7.36</x:v>
      </x:c>
      <x:c r="F19" s="11" t="n">
        <x:f>SQRT((C19-C18)^2+(D19-D18)^2+(E19-E18)^2)</x:f>
        <x:v>3.6979571073753776</x:v>
      </x:c>
      <x:c r="G19" s="8" t="str">
        <x:v>Current</x:v>
      </x:c>
    </x:row>
    <x:row r="20" ht="32" customHeight="1">
      <x:c r="A20" s="8" t="str">
        <x:v>trunk:LC1:E1:light:-1</x:v>
      </x:c>
      <x:c r="B20" s="8" t="n">
        <x:v>14</x:v>
      </x:c>
      <x:c r="C20" s="11" t="n">
        <x:v>37.695</x:v>
      </x:c>
      <x:c r="D20" s="11" t="n">
        <x:v>6.950412371134018</x:v>
      </x:c>
      <x:c r="E20" s="11" t="n">
        <x:v>-7.36</x:v>
      </x:c>
      <x:c r="F20" s="11" t="n">
        <x:f>SQRT((C20-C19)^2+(D20-D19)^2+(E20-E19)^2)</x:f>
        <x:v>3.697957107375376</x:v>
      </x:c>
      <x:c r="G20" s="8" t="str">
        <x:v>Current</x:v>
      </x:c>
    </x:row>
    <x:row r="21" ht="32" customHeight="1">
      <x:c r="A21" s="8" t="str">
        <x:v>trunk:LC1:E1:light:-1</x:v>
      </x:c>
      <x:c r="B21" s="8" t="n">
        <x:v>15</x:v>
      </x:c>
      <x:c r="C21" s="11" t="n">
        <x:v>37.615</x:v>
      </x:c>
      <x:c r="D21" s="11" t="n">
        <x:v>7.04</x:v>
      </x:c>
      <x:c r="E21" s="11" t="n">
        <x:v>-7.36</x:v>
      </x:c>
      <x:c r="F21" s="11" t="n">
        <x:f>SQRT((C21-C20)^2+(D21-D20)^2+(E21-E20)^2)</x:f>
        <x:v>0.12010804821421713</x:v>
      </x:c>
      <x:c r="G21" s="8" t="str">
        <x:v>Current</x:v>
      </x:c>
    </x:row>
    <x:row r="22" ht="32" customHeight="1">
      <x:c r="A22" s="8" t="str">
        <x:v>trunk:LC1:E1:light:-1</x:v>
      </x:c>
      <x:c r="B22" s="8" t="n">
        <x:v>16</x:v>
      </x:c>
      <x:c r="C22" s="11" t="n">
        <x:v>36.975</x:v>
      </x:c>
      <x:c r="D22" s="11" t="n">
        <x:v>7.04</x:v>
      </x:c>
      <x:c r="E22" s="11" t="n">
        <x:v>-7.36</x:v>
      </x:c>
      <x:c r="F22" s="11" t="n">
        <x:f>SQRT((C22-C21)^2+(D22-D21)^2+(E22-E21)^2)</x:f>
        <x:v>0.6400000000000006</x:v>
      </x:c>
      <x:c r="G22" s="8" t="str">
        <x:v>Current</x:v>
      </x:c>
    </x:row>
    <x:row r="23" ht="32" customHeight="1">
      <x:c r="A23" s="8" t="str">
        <x:v>trunk:LC1:E1:light:-1</x:v>
      </x:c>
      <x:c r="B23" s="8" t="n">
        <x:v>17</x:v>
      </x:c>
      <x:c r="C23" s="11" t="n">
        <x:v>36.975</x:v>
      </x:c>
      <x:c r="D23" s="11" t="n">
        <x:v>5.988</x:v>
      </x:c>
      <x:c r="E23" s="11" t="n">
        <x:v>-7.36</x:v>
      </x:c>
      <x:c r="F23" s="11" t="n">
        <x:f>SQRT((C23-C22)^2+(D23-D22)^2+(E23-E22)^2)</x:f>
        <x:v>1.0519999999999996</x:v>
      </x:c>
      <x:c r="G23" s="8" t="str">
        <x:v>Current</x:v>
      </x:c>
    </x:row>
    <x:row r="24" ht="32" customHeight="1">
      <x:c r="A24" s="8" t="str">
        <x:v>trunk:LC1:E1:light:-1</x:v>
      </x:c>
      <x:c r="B24" s="8" t="n">
        <x:v>18</x:v>
      </x:c>
      <x:c r="C24" s="11" t="n">
        <x:v>5.475</x:v>
      </x:c>
      <x:c r="D24" s="11" t="n">
        <x:v>5.988</x:v>
      </x:c>
      <x:c r="E24" s="11" t="n">
        <x:v>-7.36</x:v>
      </x:c>
      <x:c r="F24" s="11" t="n">
        <x:f>SQRT((C24-C23)^2+(D24-D23)^2+(E24-E23)^2)</x:f>
        <x:v>31.5</x:v>
      </x:c>
      <x:c r="G24" s="8" t="str">
        <x:v>Current</x:v>
      </x:c>
    </x:row>
    <x:row r="25" ht="32" customHeight="1">
      <x:c r="A25" s="8" t="str">
        <x:v>trunk:LC1:E1:light:-1</x:v>
      </x:c>
      <x:c r="B25" s="8" t="n">
        <x:v>19</x:v>
      </x:c>
      <x:c r="C25" s="11" t="n">
        <x:v>2.65</x:v>
      </x:c>
      <x:c r="D25" s="11" t="n">
        <x:v>5.988</x:v>
      </x:c>
      <x:c r="E25" s="11" t="n">
        <x:v>-7.36</x:v>
      </x:c>
      <x:c r="F25" s="11" t="n">
        <x:f>SQRT((C25-C24)^2+(D25-D24)^2+(E25-E24)^2)</x:f>
        <x:v>2.8249999999999997</x:v>
      </x:c>
      <x:c r="G25" s="8" t="str">
        <x:v>Current</x:v>
      </x:c>
    </x:row>
    <x:row r="26" ht="32" customHeight="1">
      <x:c r="A26" s="8" t="str">
        <x:v>drop:LC1:E1:light:-1:L155</x:v>
      </x:c>
      <x:c r="B26" s="8" t="n">
        <x:v>1</x:v>
      </x:c>
      <x:c r="C26" s="11" t="n">
        <x:v>2.65</x:v>
      </x:c>
      <x:c r="D26" s="11" t="n">
        <x:v>5.988</x:v>
      </x:c>
      <x:c r="E26" s="11" t="n">
        <x:v>-7.36</x:v>
      </x:c>
      <x:c r="F26" s="11" t="n">
        <x:f>0</x:f>
        <x:v>0</x:v>
      </x:c>
      <x:c r="G26" s="8" t="str">
        <x:v>Current</x:v>
      </x:c>
    </x:row>
    <x:row r="27" ht="32" customHeight="1">
      <x:c r="A27" s="8" t="str">
        <x:v>drop:LC1:E1:light:-1:L155</x:v>
      </x:c>
      <x:c r="B27" s="8" t="n">
        <x:v>2</x:v>
      </x:c>
      <x:c r="C27" s="11" t="n">
        <x:v>2.35</x:v>
      </x:c>
      <x:c r="D27" s="11" t="n">
        <x:v>7.65</x:v>
      </x:c>
      <x:c r="E27" s="11" t="n">
        <x:v>-7.36</x:v>
      </x:c>
      <x:c r="F27" s="11" t="n">
        <x:f>SQRT((C27-C26)^2+(D27-D26)^2+(E27-E26)^2)</x:f>
        <x:v>1.6888587862814344</x:v>
      </x:c>
      <x:c r="G27" s="8" t="str">
        <x:v>Current</x:v>
      </x:c>
    </x:row>
    <x:row r="28" ht="32" customHeight="1">
      <x:c r="A28" s="8" t="str">
        <x:v>drop:LC1:E1:light:-1:L155</x:v>
      </x:c>
      <x:c r="B28" s="8" t="n">
        <x:v>3</x:v>
      </x:c>
      <x:c r="C28" s="11" t="n">
        <x:v>2.35</x:v>
      </x:c>
      <x:c r="D28" s="11" t="n">
        <x:v>7.65</x:v>
      </x:c>
      <x:c r="E28" s="11" t="n">
        <x:v>0</x:v>
      </x:c>
      <x:c r="F28" s="11" t="n">
        <x:f>SQRT((C28-C27)^2+(D28-D27)^2+(E28-E27)^2)</x:f>
        <x:v>7.36</x:v>
      </x:c>
      <x:c r="G28" s="8" t="str">
        <x:v>Current</x:v>
      </x:c>
    </x:row>
    <x:row r="29" ht="32" customHeight="1">
      <x:c r="A29" s="8" t="str">
        <x:v>drop:LC1:E1:light:-1:L155</x:v>
      </x:c>
      <x:c r="B29" s="8" t="n">
        <x:v>4</x:v>
      </x:c>
      <x:c r="C29" s="11" t="n">
        <x:v>2.35</x:v>
      </x:c>
      <x:c r="D29" s="11" t="n">
        <x:v>6.95</x:v>
      </x:c>
      <x:c r="E29" s="11" t="n">
        <x:v>0</x:v>
      </x:c>
      <x:c r="F29" s="11" t="n">
        <x:f>SQRT((C29-C28)^2+(D29-D28)^2+(E29-E28)^2)</x:f>
        <x:v>0.7000000000000002</x:v>
      </x:c>
      <x:c r="G29" s="8" t="str">
        <x:v>Current</x:v>
      </x:c>
    </x:row>
    <x:row r="30" ht="32" customHeight="1">
      <x:c r="A30" s="8" t="str">
        <x:v>drop:LC1:E1:light:-1:L155</x:v>
      </x:c>
      <x:c r="B30" s="8" t="n">
        <x:v>5</x:v>
      </x:c>
      <x:c r="C30" s="11" t="n">
        <x:v>2.65</x:v>
      </x:c>
      <x:c r="D30" s="11" t="n">
        <x:v>6.95</x:v>
      </x:c>
      <x:c r="E30" s="11" t="n">
        <x:v>0</x:v>
      </x:c>
      <x:c r="F30" s="11" t="n">
        <x:f>SQRT((C30-C29)^2+(D30-D29)^2+(E30-E29)^2)</x:f>
        <x:v>0.2999999999999998</x:v>
      </x:c>
      <x:c r="G30" s="8" t="str">
        <x:v>Current</x:v>
      </x:c>
    </x:row>
    <x:row r="31" ht="32" customHeight="1">
      <x:c r="A31" s="8" t="str">
        <x:v>drop:LC1:E1:light:-1:L156</x:v>
      </x:c>
      <x:c r="B31" s="8" t="n">
        <x:v>1</x:v>
      </x:c>
      <x:c r="C31" s="11" t="n">
        <x:v>16.725</x:v>
      </x:c>
      <x:c r="D31" s="11" t="n">
        <x:v>5.988</x:v>
      </x:c>
      <x:c r="E31" s="11" t="n">
        <x:v>-7.36</x:v>
      </x:c>
      <x:c r="F31" s="11" t="n">
        <x:f>0</x:f>
        <x:v>0</x:v>
      </x:c>
      <x:c r="G31" s="8" t="str">
        <x:v>Current</x:v>
      </x:c>
    </x:row>
    <x:row r="32" ht="32" customHeight="1">
      <x:c r="A32" s="8" t="str">
        <x:v>drop:LC1:E1:light:-1:L156</x:v>
      </x:c>
      <x:c r="B32" s="8" t="n">
        <x:v>2</x:v>
      </x:c>
      <x:c r="C32" s="11" t="n">
        <x:v>16.725</x:v>
      </x:c>
      <x:c r="D32" s="11" t="n">
        <x:v>4.6</x:v>
      </x:c>
      <x:c r="E32" s="11" t="n">
        <x:v>-7.36</x:v>
      </x:c>
      <x:c r="F32" s="11" t="n">
        <x:f>SQRT((C32-C31)^2+(D32-D31)^2+(E32-E31)^2)</x:f>
        <x:v>1.3880000000000008</x:v>
      </x:c>
      <x:c r="G32" s="8" t="str">
        <x:v>Current</x:v>
      </x:c>
    </x:row>
    <x:row r="33" ht="32" customHeight="1">
      <x:c r="A33" s="8" t="str">
        <x:v>drop:LC1:E1:light:-1:L156</x:v>
      </x:c>
      <x:c r="B33" s="8" t="n">
        <x:v>3</x:v>
      </x:c>
      <x:c r="C33" s="11" t="n">
        <x:v>16.725</x:v>
      </x:c>
      <x:c r="D33" s="11" t="n">
        <x:v>4.6</x:v>
      </x:c>
      <x:c r="E33" s="11" t="n">
        <x:v>-7.245</x:v>
      </x:c>
      <x:c r="F33" s="11" t="n">
        <x:f>SQRT((C33-C32)^2+(D33-D32)^2+(E33-E32)^2)</x:f>
        <x:v>0.11500000000000021</x:v>
      </x:c>
      <x:c r="G33" s="8" t="str">
        <x:v>Current</x:v>
      </x:c>
    </x:row>
    <x:row r="34" ht="32" customHeight="1">
      <x:c r="A34" s="8" t="str">
        <x:v>drop:LC1:E1:light:-1:L158</x:v>
      </x:c>
      <x:c r="B34" s="8" t="n">
        <x:v>1</x:v>
      </x:c>
      <x:c r="C34" s="11" t="n">
        <x:v>34.725</x:v>
      </x:c>
      <x:c r="D34" s="11" t="n">
        <x:v>5.988</x:v>
      </x:c>
      <x:c r="E34" s="11" t="n">
        <x:v>-7.36</x:v>
      </x:c>
      <x:c r="F34" s="11" t="n">
        <x:f>0</x:f>
        <x:v>0</x:v>
      </x:c>
      <x:c r="G34" s="8" t="str">
        <x:v>Current</x:v>
      </x:c>
    </x:row>
    <x:row r="35" ht="32" customHeight="1">
      <x:c r="A35" s="8" t="str">
        <x:v>drop:LC1:E1:light:-1:L158</x:v>
      </x:c>
      <x:c r="B35" s="8" t="n">
        <x:v>2</x:v>
      </x:c>
      <x:c r="C35" s="11" t="n">
        <x:v>34.725</x:v>
      </x:c>
      <x:c r="D35" s="11" t="n">
        <x:v>4.6</x:v>
      </x:c>
      <x:c r="E35" s="11" t="n">
        <x:v>-7.36</x:v>
      </x:c>
      <x:c r="F35" s="11" t="n">
        <x:f>SQRT((C35-C34)^2+(D35-D34)^2+(E35-E34)^2)</x:f>
        <x:v>1.3880000000000008</x:v>
      </x:c>
      <x:c r="G35" s="8" t="str">
        <x:v>Current</x:v>
      </x:c>
    </x:row>
    <x:row r="36" ht="32" customHeight="1">
      <x:c r="A36" s="8" t="str">
        <x:v>drop:LC1:E1:light:-1:L158</x:v>
      </x:c>
      <x:c r="B36" s="8" t="n">
        <x:v>3</x:v>
      </x:c>
      <x:c r="C36" s="11" t="n">
        <x:v>34.725</x:v>
      </x:c>
      <x:c r="D36" s="11" t="n">
        <x:v>4.6</x:v>
      </x:c>
      <x:c r="E36" s="11" t="n">
        <x:v>-7.245</x:v>
      </x:c>
      <x:c r="F36" s="11" t="n">
        <x:f>SQRT((C36-C35)^2+(D36-D35)^2+(E36-E35)^2)</x:f>
        <x:v>0.11500000000000021</x:v>
      </x:c>
      <x:c r="G36" s="8" t="str">
        <x:v>Current</x:v>
      </x:c>
    </x:row>
    <x:row r="37" ht="32" customHeight="1">
      <x:c r="A37" s="8" t="str">
        <x:v>trunk:LC1:E1:light:1</x:v>
      </x:c>
      <x:c r="B37" s="8" t="n">
        <x:v>1</x:v>
      </x:c>
      <x:c r="C37" s="11" t="n">
        <x:v>48.895</x:v>
      </x:c>
      <x:c r="D37" s="11" t="n">
        <x:v>1.85</x:v>
      </x:c>
      <x:c r="E37" s="11" t="n">
        <x:v>-0.55</x:v>
      </x:c>
      <x:c r="F37" s="11" t="n">
        <x:f>0</x:f>
        <x:v>0</x:v>
      </x:c>
      <x:c r="G37" s="8" t="str">
        <x:v>Current</x:v>
      </x:c>
    </x:row>
    <x:row r="38" ht="32" customHeight="1">
      <x:c r="A38" s="8" t="str">
        <x:v>trunk:LC1:E1:light:1</x:v>
      </x:c>
      <x:c r="B38" s="8" t="n">
        <x:v>2</x:v>
      </x:c>
      <x:c r="C38" s="11" t="n">
        <x:v>48.735</x:v>
      </x:c>
      <x:c r="D38" s="11" t="n">
        <x:v>1.85</x:v>
      </x:c>
      <x:c r="E38" s="11" t="n">
        <x:v>-0.55</x:v>
      </x:c>
      <x:c r="F38" s="11" t="n">
        <x:f>SQRT((C38-C37)^2+(D38-D37)^2+(E38-E37)^2)</x:f>
        <x:v>0.1600000000000037</x:v>
      </x:c>
      <x:c r="G38" s="8" t="str">
        <x:v>Current</x:v>
      </x:c>
    </x:row>
    <x:row r="39" ht="32" customHeight="1">
      <x:c r="A39" s="8" t="str">
        <x:v>trunk:LC1:E1:light:1</x:v>
      </x:c>
      <x:c r="B39" s="8" t="n">
        <x:v>3</x:v>
      </x:c>
      <x:c r="C39" s="11" t="n">
        <x:v>48.735</x:v>
      </x:c>
      <x:c r="D39" s="11" t="n">
        <x:v>1.85</x:v>
      </x:c>
      <x:c r="E39" s="11" t="n">
        <x:v>-2.24</x:v>
      </x:c>
      <x:c r="F39" s="11" t="n">
        <x:f>SQRT((C39-C38)^2+(D39-D38)^2+(E39-E38)^2)</x:f>
        <x:v>1.6900000000000002</x:v>
      </x:c>
      <x:c r="G39" s="8" t="str">
        <x:v>Current</x:v>
      </x:c>
    </x:row>
    <x:row r="40" ht="32" customHeight="1">
      <x:c r="A40" s="8" t="str">
        <x:v>trunk:LC1:E1:light:1</x:v>
      </x:c>
      <x:c r="B40" s="8" t="n">
        <x:v>4</x:v>
      </x:c>
      <x:c r="C40" s="11" t="n">
        <x:v>48.735</x:v>
      </x:c>
      <x:c r="D40" s="11" t="n">
        <x:v>4.33</x:v>
      </x:c>
      <x:c r="E40" s="11" t="n">
        <x:v>-2.24</x:v>
      </x:c>
      <x:c r="F40" s="11" t="n">
        <x:f>SQRT((C40-C39)^2+(D40-D39)^2+(E40-E39)^2)</x:f>
        <x:v>2.48</x:v>
      </x:c>
      <x:c r="G40" s="8" t="str">
        <x:v>Current</x:v>
      </x:c>
    </x:row>
    <x:row r="41" ht="32" customHeight="1">
      <x:c r="A41" s="8" t="str">
        <x:v>trunk:LC1:E1:light:1</x:v>
      </x:c>
      <x:c r="B41" s="8" t="n">
        <x:v>5</x:v>
      </x:c>
      <x:c r="C41" s="11" t="n">
        <x:v>48.735</x:v>
      </x:c>
      <x:c r="D41" s="11" t="n">
        <x:v>4.33</x:v>
      </x:c>
      <x:c r="E41" s="11" t="n">
        <x:v>-3.3</x:v>
      </x:c>
      <x:c r="F41" s="11" t="n">
        <x:f>SQRT((C41-C40)^2+(D41-D40)^2+(E41-E40)^2)</x:f>
        <x:v>1.0599999999999996</x:v>
      </x:c>
      <x:c r="G41" s="8" t="str">
        <x:v>Current</x:v>
      </x:c>
    </x:row>
    <x:row r="42" ht="32" customHeight="1">
      <x:c r="A42" s="8" t="str">
        <x:v>trunk:LC1:E1:light:1</x:v>
      </x:c>
      <x:c r="B42" s="8" t="n">
        <x:v>6</x:v>
      </x:c>
      <x:c r="C42" s="11" t="n">
        <x:v>53.016</x:v>
      </x:c>
      <x:c r="D42" s="11" t="n">
        <x:v>4.33</x:v>
      </x:c>
      <x:c r="E42" s="11" t="n">
        <x:v>-3.3</x:v>
      </x:c>
      <x:c r="F42" s="11" t="n">
        <x:f>SQRT((C42-C41)^2+(D42-D41)^2+(E42-E41)^2)</x:f>
        <x:v>4.280999999999999</x:v>
      </x:c>
      <x:c r="G42" s="8" t="str">
        <x:v>Current</x:v>
      </x:c>
    </x:row>
    <x:row r="43" ht="32" customHeight="1">
      <x:c r="A43" s="8" t="str">
        <x:v>trunk:LC1:E1:light:1</x:v>
      </x:c>
      <x:c r="B43" s="8" t="n">
        <x:v>7</x:v>
      </x:c>
      <x:c r="C43" s="11" t="n">
        <x:v>53.016</x:v>
      </x:c>
      <x:c r="D43" s="11" t="n">
        <x:v>5.988</x:v>
      </x:c>
      <x:c r="E43" s="11" t="n">
        <x:v>-3.3</x:v>
      </x:c>
      <x:c r="F43" s="11" t="n">
        <x:f>SQRT((C43-C42)^2+(D43-D42)^2+(E43-E42)^2)</x:f>
        <x:v>1.6580000000000004</x:v>
      </x:c>
      <x:c r="G43" s="8" t="str">
        <x:v>Current</x:v>
      </x:c>
    </x:row>
    <x:row r="44" ht="32" customHeight="1">
      <x:c r="A44" s="8" t="str">
        <x:v>trunk:LC1:E1:light:1</x:v>
      </x:c>
      <x:c r="B44" s="8" t="n">
        <x:v>8</x:v>
      </x:c>
      <x:c r="C44" s="11" t="n">
        <x:v>53.016</x:v>
      </x:c>
      <x:c r="D44" s="11" t="n">
        <x:v>5.988</x:v>
      </x:c>
      <x:c r="E44" s="11" t="n">
        <x:v>7.36</x:v>
      </x:c>
      <x:c r="F44" s="11" t="n">
        <x:f>SQRT((C44-C43)^2+(D44-D43)^2+(E44-E43)^2)</x:f>
        <x:v>10.66</x:v>
      </x:c>
      <x:c r="G44" s="8" t="str">
        <x:v>Current</x:v>
      </x:c>
    </x:row>
    <x:row r="45" ht="32" customHeight="1">
      <x:c r="A45" s="8" t="str">
        <x:v>trunk:LC1:E1:light:1</x:v>
      </x:c>
      <x:c r="B45" s="8" t="n">
        <x:v>9</x:v>
      </x:c>
      <x:c r="C45" s="11" t="n">
        <x:v>44.175</x:v>
      </x:c>
      <x:c r="D45" s="11" t="n">
        <x:v>5.988</x:v>
      </x:c>
      <x:c r="E45" s="11" t="n">
        <x:v>7.36</x:v>
      </x:c>
      <x:c r="F45" s="11" t="n">
        <x:f>SQRT((C45-C44)^2+(D45-D44)^2+(E45-E44)^2)</x:f>
        <x:v>8.841000000000001</x:v>
      </x:c>
      <x:c r="G45" s="8" t="str">
        <x:v>Current</x:v>
      </x:c>
    </x:row>
    <x:row r="46" ht="32" customHeight="1">
      <x:c r="A46" s="8" t="str">
        <x:v>trunk:LC1:E1:light:1</x:v>
      </x:c>
      <x:c r="B46" s="8" t="n">
        <x:v>10</x:v>
      </x:c>
      <x:c r="C46" s="11" t="n">
        <x:v>44.175</x:v>
      </x:c>
      <x:c r="D46" s="11" t="n">
        <x:v>7.04</x:v>
      </x:c>
      <x:c r="E46" s="11" t="n">
        <x:v>7.36</x:v>
      </x:c>
      <x:c r="F46" s="11" t="n">
        <x:f>SQRT((C46-C45)^2+(D46-D45)^2+(E46-E45)^2)</x:f>
        <x:v>1.0519999999999996</x:v>
      </x:c>
      <x:c r="G46" s="8" t="str">
        <x:v>Current</x:v>
      </x:c>
    </x:row>
    <x:row r="47" ht="32" customHeight="1">
      <x:c r="A47" s="8" t="str">
        <x:v>trunk:LC1:E1:light:1</x:v>
      </x:c>
      <x:c r="B47" s="8" t="n">
        <x:v>11</x:v>
      </x:c>
      <x:c r="C47" s="11" t="n">
        <x:v>43.535</x:v>
      </x:c>
      <x:c r="D47" s="11" t="n">
        <x:v>7.04</x:v>
      </x:c>
      <x:c r="E47" s="11" t="n">
        <x:v>7.36</x:v>
      </x:c>
      <x:c r="F47" s="11" t="n">
        <x:f>SQRT((C47-C46)^2+(D47-D46)^2+(E47-E46)^2)</x:f>
        <x:v>0.6400000000000006</x:v>
      </x:c>
      <x:c r="G47" s="8" t="str">
        <x:v>Current</x:v>
      </x:c>
    </x:row>
    <x:row r="48" ht="32" customHeight="1">
      <x:c r="A48" s="8" t="str">
        <x:v>trunk:LC1:E1:light:1</x:v>
      </x:c>
      <x:c r="B48" s="8" t="n">
        <x:v>12</x:v>
      </x:c>
      <x:c r="C48" s="11" t="n">
        <x:v>43.455</x:v>
      </x:c>
      <x:c r="D48" s="11" t="n">
        <x:v>6.950412371134024</x:v>
      </x:c>
      <x:c r="E48" s="11" t="n">
        <x:v>7.36</x:v>
      </x:c>
      <x:c r="F48" s="11" t="n">
        <x:f>SQRT((C48-C47)^2+(D48-D47)^2+(E48-E47)^2)</x:f>
        <x:v>0.12010804821421249</x:v>
      </x:c>
      <x:c r="G48" s="8" t="str">
        <x:v>Current</x:v>
      </x:c>
    </x:row>
    <x:row r="49" ht="32" customHeight="1">
      <x:c r="A49" s="8" t="str">
        <x:v>trunk:LC1:E1:light:1</x:v>
      </x:c>
      <x:c r="B49" s="8" t="n">
        <x:v>13</x:v>
      </x:c>
      <x:c r="C49" s="11" t="n">
        <x:v>40.574999999999996</x:v>
      </x:c>
      <x:c r="D49" s="11" t="n">
        <x:v>9.269999999999994</x:v>
      </x:c>
      <x:c r="E49" s="11" t="n">
        <x:v>7.36</x:v>
      </x:c>
      <x:c r="F49" s="11" t="n">
        <x:f>SQRT((C49-C48)^2+(D49-D48)^2+(E49-E48)^2)</x:f>
        <x:v>3.6979571073753776</x:v>
      </x:c>
      <x:c r="G49" s="8" t="str">
        <x:v>Current</x:v>
      </x:c>
    </x:row>
    <x:row r="50" ht="32" customHeight="1">
      <x:c r="A50" s="8" t="str">
        <x:v>trunk:LC1:E1:light:1</x:v>
      </x:c>
      <x:c r="B50" s="8" t="n">
        <x:v>14</x:v>
      </x:c>
      <x:c r="C50" s="11" t="n">
        <x:v>37.695</x:v>
      </x:c>
      <x:c r="D50" s="11" t="n">
        <x:v>6.950412371134018</x:v>
      </x:c>
      <x:c r="E50" s="11" t="n">
        <x:v>7.36</x:v>
      </x:c>
      <x:c r="F50" s="11" t="n">
        <x:f>SQRT((C50-C49)^2+(D50-D49)^2+(E50-E49)^2)</x:f>
        <x:v>3.697957107375376</x:v>
      </x:c>
      <x:c r="G50" s="8" t="str">
        <x:v>Current</x:v>
      </x:c>
    </x:row>
    <x:row r="51" ht="32" customHeight="1">
      <x:c r="A51" s="8" t="str">
        <x:v>trunk:LC1:E1:light:1</x:v>
      </x:c>
      <x:c r="B51" s="8" t="n">
        <x:v>15</x:v>
      </x:c>
      <x:c r="C51" s="11" t="n">
        <x:v>37.615</x:v>
      </x:c>
      <x:c r="D51" s="11" t="n">
        <x:v>7.04</x:v>
      </x:c>
      <x:c r="E51" s="11" t="n">
        <x:v>7.36</x:v>
      </x:c>
      <x:c r="F51" s="11" t="n">
        <x:f>SQRT((C51-C50)^2+(D51-D50)^2+(E51-E50)^2)</x:f>
        <x:v>0.12010804821421713</x:v>
      </x:c>
      <x:c r="G51" s="8" t="str">
        <x:v>Current</x:v>
      </x:c>
    </x:row>
    <x:row r="52" ht="32" customHeight="1">
      <x:c r="A52" s="8" t="str">
        <x:v>trunk:LC1:E1:light:1</x:v>
      </x:c>
      <x:c r="B52" s="8" t="n">
        <x:v>16</x:v>
      </x:c>
      <x:c r="C52" s="11" t="n">
        <x:v>36.975</x:v>
      </x:c>
      <x:c r="D52" s="11" t="n">
        <x:v>7.04</x:v>
      </x:c>
      <x:c r="E52" s="11" t="n">
        <x:v>7.36</x:v>
      </x:c>
      <x:c r="F52" s="11" t="n">
        <x:f>SQRT((C52-C51)^2+(D52-D51)^2+(E52-E51)^2)</x:f>
        <x:v>0.6400000000000006</x:v>
      </x:c>
      <x:c r="G52" s="8" t="str">
        <x:v>Current</x:v>
      </x:c>
    </x:row>
    <x:row r="53" ht="32" customHeight="1">
      <x:c r="A53" s="8" t="str">
        <x:v>trunk:LC1:E1:light:1</x:v>
      </x:c>
      <x:c r="B53" s="8" t="n">
        <x:v>17</x:v>
      </x:c>
      <x:c r="C53" s="11" t="n">
        <x:v>36.975</x:v>
      </x:c>
      <x:c r="D53" s="11" t="n">
        <x:v>5.988</x:v>
      </x:c>
      <x:c r="E53" s="11" t="n">
        <x:v>7.36</x:v>
      </x:c>
      <x:c r="F53" s="11" t="n">
        <x:f>SQRT((C53-C52)^2+(D53-D52)^2+(E53-E52)^2)</x:f>
        <x:v>1.0519999999999996</x:v>
      </x:c>
      <x:c r="G53" s="8" t="str">
        <x:v>Current</x:v>
      </x:c>
    </x:row>
    <x:row r="54" ht="32" customHeight="1">
      <x:c r="A54" s="8" t="str">
        <x:v>trunk:LC1:E1:light:1</x:v>
      </x:c>
      <x:c r="B54" s="8" t="n">
        <x:v>18</x:v>
      </x:c>
      <x:c r="C54" s="11" t="n">
        <x:v>16.725</x:v>
      </x:c>
      <x:c r="D54" s="11" t="n">
        <x:v>5.988</x:v>
      </x:c>
      <x:c r="E54" s="11" t="n">
        <x:v>7.36</x:v>
      </x:c>
      <x:c r="F54" s="11" t="n">
        <x:f>SQRT((C54-C53)^2+(D54-D53)^2+(E54-E53)^2)</x:f>
        <x:v>20.25</x:v>
      </x:c>
      <x:c r="G54" s="8" t="str">
        <x:v>Current</x:v>
      </x:c>
    </x:row>
    <x:row r="55" ht="32" customHeight="1">
      <x:c r="A55" s="8" t="str">
        <x:v>drop:LC1:E1:light:1:L157</x:v>
      </x:c>
      <x:c r="B55" s="8" t="n">
        <x:v>1</x:v>
      </x:c>
      <x:c r="C55" s="11" t="n">
        <x:v>16.725</x:v>
      </x:c>
      <x:c r="D55" s="11" t="n">
        <x:v>5.988</x:v>
      </x:c>
      <x:c r="E55" s="11" t="n">
        <x:v>7.36</x:v>
      </x:c>
      <x:c r="F55" s="11" t="n">
        <x:f>0</x:f>
        <x:v>0</x:v>
      </x:c>
      <x:c r="G55" s="8" t="str">
        <x:v>Current</x:v>
      </x:c>
    </x:row>
    <x:row r="56" ht="32" customHeight="1">
      <x:c r="A56" s="8" t="str">
        <x:v>drop:LC1:E1:light:1:L157</x:v>
      </x:c>
      <x:c r="B56" s="8" t="n">
        <x:v>2</x:v>
      </x:c>
      <x:c r="C56" s="11" t="n">
        <x:v>16.725</x:v>
      </x:c>
      <x:c r="D56" s="11" t="n">
        <x:v>4.6</x:v>
      </x:c>
      <x:c r="E56" s="11" t="n">
        <x:v>7.36</x:v>
      </x:c>
      <x:c r="F56" s="11" t="n">
        <x:f>SQRT((C56-C55)^2+(D56-D55)^2+(E56-E55)^2)</x:f>
        <x:v>1.3880000000000008</x:v>
      </x:c>
      <x:c r="G56" s="8" t="str">
        <x:v>Current</x:v>
      </x:c>
    </x:row>
    <x:row r="57" ht="32" customHeight="1">
      <x:c r="A57" s="8" t="str">
        <x:v>drop:LC1:E1:light:1:L157</x:v>
      </x:c>
      <x:c r="B57" s="8" t="n">
        <x:v>3</x:v>
      </x:c>
      <x:c r="C57" s="11" t="n">
        <x:v>16.725</x:v>
      </x:c>
      <x:c r="D57" s="11" t="n">
        <x:v>4.6</x:v>
      </x:c>
      <x:c r="E57" s="11" t="n">
        <x:v>7.245</x:v>
      </x:c>
      <x:c r="F57" s="11" t="n">
        <x:f>SQRT((C57-C56)^2+(D57-D56)^2+(E57-E56)^2)</x:f>
        <x:v>0.11500000000000021</x:v>
      </x:c>
      <x:c r="G57" s="8" t="str">
        <x:v>Current</x:v>
      </x:c>
    </x:row>
    <x:row r="58" ht="32" customHeight="1">
      <x:c r="A58" s="8" t="str">
        <x:v>drop:LC1:E1:light:1:L159</x:v>
      </x:c>
      <x:c r="B58" s="8" t="n">
        <x:v>1</x:v>
      </x:c>
      <x:c r="C58" s="11" t="n">
        <x:v>34.725</x:v>
      </x:c>
      <x:c r="D58" s="11" t="n">
        <x:v>5.988</x:v>
      </x:c>
      <x:c r="E58" s="11" t="n">
        <x:v>7.36</x:v>
      </x:c>
      <x:c r="F58" s="11" t="n">
        <x:f>0</x:f>
        <x:v>0</x:v>
      </x:c>
      <x:c r="G58" s="8" t="str">
        <x:v>Current</x:v>
      </x:c>
    </x:row>
    <x:row r="59" ht="32" customHeight="1">
      <x:c r="A59" s="8" t="str">
        <x:v>drop:LC1:E1:light:1:L159</x:v>
      </x:c>
      <x:c r="B59" s="8" t="n">
        <x:v>2</x:v>
      </x:c>
      <x:c r="C59" s="11" t="n">
        <x:v>34.725</x:v>
      </x:c>
      <x:c r="D59" s="11" t="n">
        <x:v>4.6</x:v>
      </x:c>
      <x:c r="E59" s="11" t="n">
        <x:v>7.36</x:v>
      </x:c>
      <x:c r="F59" s="11" t="n">
        <x:f>SQRT((C59-C58)^2+(D59-D58)^2+(E59-E58)^2)</x:f>
        <x:v>1.3880000000000008</x:v>
      </x:c>
      <x:c r="G59" s="8" t="str">
        <x:v>Current</x:v>
      </x:c>
    </x:row>
    <x:row r="60" ht="32" customHeight="1">
      <x:c r="A60" s="8" t="str">
        <x:v>drop:LC1:E1:light:1:L159</x:v>
      </x:c>
      <x:c r="B60" s="8" t="n">
        <x:v>3</x:v>
      </x:c>
      <x:c r="C60" s="11" t="n">
        <x:v>34.725</x:v>
      </x:c>
      <x:c r="D60" s="11" t="n">
        <x:v>4.6</x:v>
      </x:c>
      <x:c r="E60" s="11" t="n">
        <x:v>7.245</x:v>
      </x:c>
      <x:c r="F60" s="11" t="n">
        <x:f>SQRT((C60-C59)^2+(D60-D59)^2+(E60-E59)^2)</x:f>
        <x:v>0.11500000000000021</x:v>
      </x:c>
      <x:c r="G60" s="8" t="str">
        <x:v>Current</x:v>
      </x:c>
    </x:row>
  </x:sheetData>
  <x:conditionalFormatting sqref="G7:G60">
    <x:cfRule type="containsText" dxfId="2" priority="1" operator="containsText" text="Retired"/>
  </x:conditionalFormatting>
  <x:pageMargins left="0.7" right="0.7" top="0.75" bottom="0.75" header="0.3" footer="0.3"/>
  <x:tableParts count="1">
    <x:tablePart xmlns:r="http://schemas.openxmlformats.org/officeDocument/2006/relationships" r:id="R66a585b2e75043d4"/>
  </x:tableParts>
</x:worksheet>
</file>