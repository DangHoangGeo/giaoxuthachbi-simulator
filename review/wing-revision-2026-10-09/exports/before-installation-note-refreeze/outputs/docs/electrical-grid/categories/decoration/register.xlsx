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4e3f36d07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dc8cf27419f4e8f"/>
    <x:sheet xmlns:r="http://schemas.openxmlformats.org/officeDocument/2006/relationships" name="Equipment" sheetId="2" r:id="R9b061218da2b4c00"/>
    <x:sheet xmlns:r="http://schemas.openxmlformats.org/officeDocument/2006/relationships" name="Electrical Lines" sheetId="3" r:id="R6962ae5832944a20"/>
    <x:sheet xmlns:r="http://schemas.openxmlformats.org/officeDocument/2006/relationships" name="Route Points" sheetId="4" r:id="Re0f902dbebfb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0c75584c74f32" /><Relationship Type="http://schemas.openxmlformats.org/officeDocument/2006/relationships/theme" Target="/xl/theme/theme1.xml" Id="R15f285eeb9794962" /><Relationship Type="http://schemas.openxmlformats.org/officeDocument/2006/relationships/sharedStrings" Target="/xl/sharedStrings.xml" Id="R2df7b77b4887418e" /><Relationship Type="http://schemas.openxmlformats.org/officeDocument/2006/relationships/worksheet" Target="/xl/worksheets/sheet1.xml" Id="Redc8cf27419f4e8f" /><Relationship Type="http://schemas.openxmlformats.org/officeDocument/2006/relationships/worksheet" Target="/xl/worksheets/sheet2.xml" Id="R9b061218da2b4c00" /><Relationship Type="http://schemas.openxmlformats.org/officeDocument/2006/relationships/worksheet" Target="/xl/worksheets/sheet3.xml" Id="R6962ae5832944a20" /><Relationship Type="http://schemas.openxmlformats.org/officeDocument/2006/relationships/worksheet" Target="/xl/worksheets/sheet4.xml" Id="Re0f902dbebfb413d" /></Relationships>
</file>

<file path=xl/tables/table1.xml><?xml version="1.0" encoding="utf-8"?>
<x:table xmlns:x="http://schemas.openxmlformats.org/spreadsheetml/2006/main" id="1" name="EquipmentRegister" displayName="EquipmentRegister" ref="A6:AC40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7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7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81640143b440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02363a19f6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5fc39f9f52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Decoration and furnishings: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Decoration and furnishings. Seasonal decorative lighting and non-electrical simulator furnishings. Model snapshot: 2026-10-09T00:46:12.718Z.</x:v>
      </x:c>
    </x:row>
    <x:row r="5" ht="34" customHeight="1">
      <x:c r="A5" s="20" t="str">
        <x:v>Current equipment</x:v>
      </x:c>
      <x:c r="B5" s="16" t="n">
        <x:f>COUNTIFS(Equipment!$AA$7:$AA$40,"Current")</x:f>
        <x:v>34</x:v>
      </x:c>
    </x:row>
    <x:row r="6" ht="34" customHeight="1">
      <x:c r="A6" s="20" t="str">
        <x:v>Current routes</x:v>
      </x:c>
      <x:c r="B6" s="16" t="n">
        <x:f>COUNTIFS('Electrical Lines'!$Y$7:$Y$7,"Current")</x:f>
        <x:v>0</x:v>
      </x:c>
    </x:row>
    <x:row r="7" ht="34" customHeight="1">
      <x:c r="A7" s="20" t="str">
        <x:v>Retired equipment / routes</x:v>
      </x:c>
      <x:c r="B7" s="16" t="n">
        <x:f>COUNTIFS(Equipment!$AA$7:$AA$40,"Retired")+COUNTIFS('Electrical Lines'!$Y$7:$Y$7,"Retired")</x:f>
        <x:v>0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4ae7e1535959a20d2f5749b1ba03c885f39cbcfde41c0856c11d90946754f1c6</x:v>
      </x:c>
    </x:row>
    <x:row r="15" ht="44" customHeight="1">
      <x:c r="A15" s="20" t="str">
        <x:v>Source systems SHA-256</x:v>
      </x:c>
      <x:c r="B15" s="16" t="str">
        <x:v>e2130aeffb518d934149fa35c32d858856db06e804d9cb98aac4f1896cd3b761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Seasonal decorative lighting and non-electrical simulator furnishings.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Decoration and furnishings: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D293</x:v>
      </x:c>
      <x:c r="B7" s="8" t="str">
        <x:v>Statue · Our Lady</x:v>
      </x:c>
      <x:c r="C7" s="8" t="str">
        <x:v>decor</x:v>
      </x:c>
      <x:c r="D7" s="8"/>
      <x:c r="E7" s="8" t="str">
        <x:v>DECOR</x:v>
      </x:c>
      <x:c r="F7" s="11" t="n">
        <x:v>44.275</x:v>
      </x:c>
      <x:c r="G7" s="11" t="n">
        <x:v>2.85</x:v>
      </x:c>
      <x:c r="H7" s="11" t="n">
        <x:v>-5.5</x:v>
      </x:c>
      <x:c r="I7" s="8" t="str">
        <x:v>floor</x:v>
      </x:c>
      <x:c r="J7" s="8" t="str">
        <x:v>Shown</x:v>
      </x:c>
      <x:c r="K7" s="8" t="str">
        <x:v>On</x:v>
      </x:c>
      <x:c r="L7" s="8" t="str">
        <x:v>See model parameters</x:v>
      </x:c>
      <x:c r="M7" s="8" t="str">
        <x:v>Statue · Our Lady (Đức Mẹ)</x:v>
      </x:c>
      <x:c r="N7" s="11"/>
      <x:c r="O7" s="11" t="n">
        <x:v>180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/>
      <x:c r="AC7" s="8" t="str">
        <x:v>{"dim":1}</x:v>
      </x:c>
    </x:row>
    <x:row r="8" ht="96" customHeight="1">
      <x:c r="A8" s="8" t="str">
        <x:v>D294</x:v>
      </x:c>
      <x:c r="B8" s="8" t="str">
        <x:v>Statue · Saint Joseph</x:v>
      </x:c>
      <x:c r="C8" s="8" t="str">
        <x:v>decor</x:v>
      </x:c>
      <x:c r="D8" s="8"/>
      <x:c r="E8" s="8" t="str">
        <x:v>DECOR</x:v>
      </x:c>
      <x:c r="F8" s="11" t="n">
        <x:v>44.275</x:v>
      </x:c>
      <x:c r="G8" s="11" t="n">
        <x:v>2.85</x:v>
      </x:c>
      <x:c r="H8" s="11" t="n">
        <x:v>5.5</x:v>
      </x:c>
      <x:c r="I8" s="8" t="str">
        <x:v>floor</x:v>
      </x:c>
      <x:c r="J8" s="8" t="str">
        <x:v>Shown</x:v>
      </x:c>
      <x:c r="K8" s="8" t="str">
        <x:v>On</x:v>
      </x:c>
      <x:c r="L8" s="8" t="str">
        <x:v>See model parameters</x:v>
      </x:c>
      <x:c r="M8" s="8" t="str">
        <x:v>Statue · Saint Joseph</x:v>
      </x:c>
      <x:c r="N8" s="11"/>
      <x:c r="O8" s="11" t="n">
        <x:v>180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/>
      <x:c r="AC8" s="8" t="str">
        <x:v>{"dim":1}</x:v>
      </x:c>
    </x:row>
    <x:row r="9" ht="96" customHeight="1">
      <x:c r="A9" s="8" t="str">
        <x:v>D295</x:v>
      </x:c>
      <x:c r="B9" s="8" t="str">
        <x:v>Flower stand · tabernacle B</x:v>
      </x:c>
      <x:c r="C9" s="8" t="str">
        <x:v>decor</x:v>
      </x:c>
      <x:c r="D9" s="8"/>
      <x:c r="E9" s="8" t="str">
        <x:v>DECOR</x:v>
      </x:c>
      <x:c r="F9" s="11" t="n">
        <x:v>47.2</x:v>
      </x:c>
      <x:c r="G9" s="11" t="n">
        <x:v>0.75</x:v>
      </x:c>
      <x:c r="H9" s="11" t="n">
        <x:v>-1.15</x:v>
      </x:c>
      <x:c r="I9" s="8" t="str">
        <x:v>floor</x:v>
      </x:c>
      <x:c r="J9" s="8" t="str">
        <x:v>Shown</x:v>
      </x:c>
      <x:c r="K9" s="8" t="str">
        <x:v>On</x:v>
      </x:c>
      <x:c r="L9" s="8" t="str">
        <x:v>See model parameters</x:v>
      </x:c>
      <x:c r="M9" s="8" t="str">
        <x:v>Tall flower stand · white lilies</x:v>
      </x:c>
      <x:c r="N9" s="11"/>
      <x:c r="O9" s="11" t="n">
        <x:v>180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/>
      <x:c r="AC9" s="8" t="str">
        <x:v>{"dim":1}</x:v>
      </x:c>
    </x:row>
    <x:row r="10" ht="96" customHeight="1">
      <x:c r="A10" s="8" t="str">
        <x:v>D296</x:v>
      </x:c>
      <x:c r="B10" s="8" t="str">
        <x:v>Palm · sanctuary B</x:v>
      </x:c>
      <x:c r="C10" s="8" t="str">
        <x:v>decor</x:v>
      </x:c>
      <x:c r="D10" s="8"/>
      <x:c r="E10" s="8" t="str">
        <x:v>DECOR</x:v>
      </x:c>
      <x:c r="F10" s="11" t="n">
        <x:v>45.15</x:v>
      </x:c>
      <x:c r="G10" s="11" t="n">
        <x:v>0.75</x:v>
      </x:c>
      <x:c r="H10" s="11" t="n">
        <x:v>-2.9</x:v>
      </x:c>
      <x:c r="I10" s="8" t="str">
        <x:v>floor</x:v>
      </x:c>
      <x:c r="J10" s="8" t="str">
        <x:v>Shown</x:v>
      </x:c>
      <x:c r="K10" s="8" t="str">
        <x:v>On</x:v>
      </x:c>
      <x:c r="L10" s="8" t="str">
        <x:v>See model parameters</x:v>
      </x:c>
      <x:c r="M10" s="8" t="str">
        <x:v>Potted palm</x:v>
      </x:c>
      <x:c r="N10" s="11"/>
      <x:c r="O10" s="11" t="n">
        <x:v>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/>
      <x:c r="AC10" s="8" t="str">
        <x:v>{"dim":1}</x:v>
      </x:c>
    </x:row>
    <x:row r="11" ht="96" customHeight="1">
      <x:c r="A11" s="8" t="str">
        <x:v>D297</x:v>
      </x:c>
      <x:c r="B11" s="8" t="str">
        <x:v>Shrine flowers · B · outer</x:v>
      </x:c>
      <x:c r="C11" s="8" t="str">
        <x:v>decor</x:v>
      </x:c>
      <x:c r="D11" s="8"/>
      <x:c r="E11" s="8" t="str">
        <x:v>DECOR</x:v>
      </x:c>
      <x:c r="F11" s="11" t="n">
        <x:v>44.225</x:v>
      </x:c>
      <x:c r="G11" s="11" t="n">
        <x:v>2.85</x:v>
      </x:c>
      <x:c r="H11" s="11" t="n">
        <x:v>-6.2</x:v>
      </x:c>
      <x:c r="I11" s="8" t="str">
        <x:v>floor</x:v>
      </x:c>
      <x:c r="J11" s="8" t="str">
        <x:v>Shown</x:v>
      </x:c>
      <x:c r="K11" s="8" t="str">
        <x:v>On</x:v>
      </x:c>
      <x:c r="L11" s="8" t="str">
        <x:v>See model parameters</x:v>
      </x:c>
      <x:c r="M11" s="8" t="str">
        <x:v>Low flower arrangement</x:v>
      </x:c>
      <x:c r="N11" s="11"/>
      <x:c r="O11" s="11" t="n">
        <x:v>180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/>
      <x:c r="AC11" s="8" t="str">
        <x:v>{"dim":1}</x:v>
      </x:c>
    </x:row>
    <x:row r="12" ht="96" customHeight="1">
      <x:c r="A12" s="8" t="str">
        <x:v>D298</x:v>
      </x:c>
      <x:c r="B12" s="8" t="str">
        <x:v>Shrine flowers · B · inner</x:v>
      </x:c>
      <x:c r="C12" s="8" t="str">
        <x:v>decor</x:v>
      </x:c>
      <x:c r="D12" s="8"/>
      <x:c r="E12" s="8" t="str">
        <x:v>DECOR</x:v>
      </x:c>
      <x:c r="F12" s="11" t="n">
        <x:v>44.225</x:v>
      </x:c>
      <x:c r="G12" s="11" t="n">
        <x:v>2.85</x:v>
      </x:c>
      <x:c r="H12" s="11" t="n">
        <x:v>-4.8</x:v>
      </x:c>
      <x:c r="I12" s="8" t="str">
        <x:v>floor</x:v>
      </x:c>
      <x:c r="J12" s="8" t="str">
        <x:v>Shown</x:v>
      </x:c>
      <x:c r="K12" s="8" t="str">
        <x:v>On</x:v>
      </x:c>
      <x:c r="L12" s="8" t="str">
        <x:v>See model parameters</x:v>
      </x:c>
      <x:c r="M12" s="8" t="str">
        <x:v>Low flower arrangement</x:v>
      </x:c>
      <x:c r="N12" s="11"/>
      <x:c r="O12" s="11" t="n">
        <x:v>180</x:v>
      </x:c>
      <x:c r="P12" s="11" t="n">
        <x:v>0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/>
      <x:c r="AC12" s="8" t="str">
        <x:v>{"dim":1}</x:v>
      </x:c>
    </x:row>
    <x:row r="13" ht="96" customHeight="1">
      <x:c r="A13" s="8" t="str">
        <x:v>D299</x:v>
      </x:c>
      <x:c r="B13" s="8" t="str">
        <x:v>Palm · entrance B</x:v>
      </x:c>
      <x:c r="C13" s="8" t="str">
        <x:v>decor</x:v>
      </x:c>
      <x:c r="D13" s="8"/>
      <x:c r="E13" s="8" t="str">
        <x:v>DECOR</x:v>
      </x:c>
      <x:c r="F13" s="11" t="n">
        <x:v>6.3</x:v>
      </x:c>
      <x:c r="G13" s="11" t="n">
        <x:v>0</x:v>
      </x:c>
      <x:c r="H13" s="11" t="n">
        <x:v>-6.55</x:v>
      </x:c>
      <x:c r="I13" s="8" t="str">
        <x:v>floor</x:v>
      </x:c>
      <x:c r="J13" s="8" t="str">
        <x:v>Shown</x:v>
      </x:c>
      <x:c r="K13" s="8" t="str">
        <x:v>On</x:v>
      </x:c>
      <x:c r="L13" s="8" t="str">
        <x:v>See model parameters</x:v>
      </x:c>
      <x:c r="M13" s="8" t="str">
        <x:v>Potted palm</x:v>
      </x:c>
      <x:c r="N13" s="11"/>
      <x:c r="O13" s="11" t="n">
        <x:v>0</x:v>
      </x:c>
      <x:c r="P13" s="11" t="n">
        <x:v>0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/>
      <x:c r="AC13" s="8" t="str">
        <x:v>{"dim":1}</x:v>
      </x:c>
    </x:row>
    <x:row r="14" ht="96" customHeight="1">
      <x:c r="A14" s="8" t="str">
        <x:v>D300</x:v>
      </x:c>
      <x:c r="B14" s="8" t="str">
        <x:v>Banner · axis 9 · B</x:v>
      </x:c>
      <x:c r="C14" s="8" t="str">
        <x:v>decor</x:v>
      </x:c>
      <x:c r="D14" s="8"/>
      <x:c r="E14" s="8" t="str">
        <x:v>DECOR</x:v>
      </x:c>
      <x:c r="F14" s="11" t="n">
        <x:v>36.660000000000004</x:v>
      </x:c>
      <x:c r="G14" s="11" t="n">
        <x:v>6.6</x:v>
      </x:c>
      <x:c r="H14" s="11" t="n">
        <x:v>-3.6</x:v>
      </x:c>
      <x:c r="I14" s="8" t="str">
        <x:v>wall</x:v>
      </x:c>
      <x:c r="J14" s="8" t="str">
        <x:v>Shown</x:v>
      </x:c>
      <x:c r="K14" s="8" t="str">
        <x:v>On</x:v>
      </x:c>
      <x:c r="L14" s="8" t="str">
        <x:v>See model parameters</x:v>
      </x:c>
      <x:c r="M14" s="8" t="str">
        <x:v>Liturgical banner</x:v>
      </x:c>
      <x:c r="N14" s="11"/>
      <x:c r="O14" s="11" t="n">
        <x:v>180</x:v>
      </x:c>
      <x:c r="P14" s="11" t="n">
        <x:v>0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/>
      <x:c r="AC14" s="8" t="str">
        <x:v>{"colour":"fabricWhite","dim":1}</x:v>
      </x:c>
    </x:row>
    <x:row r="15" ht="96" customHeight="1">
      <x:c r="A15" s="8" t="str">
        <x:v>D301</x:v>
      </x:c>
      <x:c r="B15" s="8" t="str">
        <x:v>Flower stand · tabernacle H</x:v>
      </x:c>
      <x:c r="C15" s="8" t="str">
        <x:v>decor</x:v>
      </x:c>
      <x:c r="D15" s="8"/>
      <x:c r="E15" s="8" t="str">
        <x:v>DECOR</x:v>
      </x:c>
      <x:c r="F15" s="11" t="n">
        <x:v>47.2</x:v>
      </x:c>
      <x:c r="G15" s="11" t="n">
        <x:v>0.75</x:v>
      </x:c>
      <x:c r="H15" s="11" t="n">
        <x:v>1.15</x:v>
      </x:c>
      <x:c r="I15" s="8" t="str">
        <x:v>floor</x:v>
      </x:c>
      <x:c r="J15" s="8" t="str">
        <x:v>Shown</x:v>
      </x:c>
      <x:c r="K15" s="8" t="str">
        <x:v>On</x:v>
      </x:c>
      <x:c r="L15" s="8" t="str">
        <x:v>See model parameters</x:v>
      </x:c>
      <x:c r="M15" s="8" t="str">
        <x:v>Tall flower stand · white lilies</x:v>
      </x:c>
      <x:c r="N15" s="11"/>
      <x:c r="O15" s="11" t="n">
        <x:v>180</x:v>
      </x:c>
      <x:c r="P15" s="11" t="n">
        <x:v>0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/>
      <x:c r="AC15" s="8" t="str">
        <x:v>{"dim":1}</x:v>
      </x:c>
    </x:row>
    <x:row r="16" ht="96" customHeight="1">
      <x:c r="A16" s="8" t="str">
        <x:v>D302</x:v>
      </x:c>
      <x:c r="B16" s="8" t="str">
        <x:v>Palm · sanctuary H</x:v>
      </x:c>
      <x:c r="C16" s="8" t="str">
        <x:v>decor</x:v>
      </x:c>
      <x:c r="D16" s="8"/>
      <x:c r="E16" s="8" t="str">
        <x:v>DECOR</x:v>
      </x:c>
      <x:c r="F16" s="11" t="n">
        <x:v>45.15</x:v>
      </x:c>
      <x:c r="G16" s="11" t="n">
        <x:v>0.75</x:v>
      </x:c>
      <x:c r="H16" s="11" t="n">
        <x:v>2.9</x:v>
      </x:c>
      <x:c r="I16" s="8" t="str">
        <x:v>floor</x:v>
      </x:c>
      <x:c r="J16" s="8" t="str">
        <x:v>Shown</x:v>
      </x:c>
      <x:c r="K16" s="8" t="str">
        <x:v>On</x:v>
      </x:c>
      <x:c r="L16" s="8" t="str">
        <x:v>See model parameters</x:v>
      </x:c>
      <x:c r="M16" s="8" t="str">
        <x:v>Potted palm</x:v>
      </x:c>
      <x:c r="N16" s="11"/>
      <x:c r="O16" s="11" t="n">
        <x:v>0</x:v>
      </x:c>
      <x:c r="P16" s="11" t="n">
        <x:v>0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/>
      <x:c r="AC16" s="8" t="str">
        <x:v>{"dim":1}</x:v>
      </x:c>
    </x:row>
    <x:row r="17" ht="96" customHeight="1">
      <x:c r="A17" s="8" t="str">
        <x:v>D303</x:v>
      </x:c>
      <x:c r="B17" s="8" t="str">
        <x:v>Shrine flowers · H · inner</x:v>
      </x:c>
      <x:c r="C17" s="8" t="str">
        <x:v>decor</x:v>
      </x:c>
      <x:c r="D17" s="8"/>
      <x:c r="E17" s="8" t="str">
        <x:v>DECOR</x:v>
      </x:c>
      <x:c r="F17" s="11" t="n">
        <x:v>44.225</x:v>
      </x:c>
      <x:c r="G17" s="11" t="n">
        <x:v>2.85</x:v>
      </x:c>
      <x:c r="H17" s="11" t="n">
        <x:v>4.8</x:v>
      </x:c>
      <x:c r="I17" s="8" t="str">
        <x:v>floor</x:v>
      </x:c>
      <x:c r="J17" s="8" t="str">
        <x:v>Shown</x:v>
      </x:c>
      <x:c r="K17" s="8" t="str">
        <x:v>On</x:v>
      </x:c>
      <x:c r="L17" s="8" t="str">
        <x:v>See model parameters</x:v>
      </x:c>
      <x:c r="M17" s="8" t="str">
        <x:v>Low flower arrangement</x:v>
      </x:c>
      <x:c r="N17" s="11"/>
      <x:c r="O17" s="11" t="n">
        <x:v>180</x:v>
      </x:c>
      <x:c r="P17" s="11" t="n">
        <x:v>0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/>
      <x:c r="AC17" s="8" t="str">
        <x:v>{"dim":1}</x:v>
      </x:c>
    </x:row>
    <x:row r="18" ht="96" customHeight="1">
      <x:c r="A18" s="8" t="str">
        <x:v>D304</x:v>
      </x:c>
      <x:c r="B18" s="8" t="str">
        <x:v>Shrine flowers · H · outer</x:v>
      </x:c>
      <x:c r="C18" s="8" t="str">
        <x:v>decor</x:v>
      </x:c>
      <x:c r="D18" s="8"/>
      <x:c r="E18" s="8" t="str">
        <x:v>DECOR</x:v>
      </x:c>
      <x:c r="F18" s="11" t="n">
        <x:v>44.225</x:v>
      </x:c>
      <x:c r="G18" s="11" t="n">
        <x:v>2.85</x:v>
      </x:c>
      <x:c r="H18" s="11" t="n">
        <x:v>6.2</x:v>
      </x:c>
      <x:c r="I18" s="8" t="str">
        <x:v>floor</x:v>
      </x:c>
      <x:c r="J18" s="8" t="str">
        <x:v>Shown</x:v>
      </x:c>
      <x:c r="K18" s="8" t="str">
        <x:v>On</x:v>
      </x:c>
      <x:c r="L18" s="8" t="str">
        <x:v>See model parameters</x:v>
      </x:c>
      <x:c r="M18" s="8" t="str">
        <x:v>Low flower arrangement</x:v>
      </x:c>
      <x:c r="N18" s="11"/>
      <x:c r="O18" s="11" t="n">
        <x:v>180</x:v>
      </x:c>
      <x:c r="P18" s="11" t="n">
        <x:v>0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/>
      <x:c r="AC18" s="8" t="str">
        <x:v>{"dim":1}</x:v>
      </x:c>
    </x:row>
    <x:row r="19" ht="96" customHeight="1">
      <x:c r="A19" s="8" t="str">
        <x:v>D305</x:v>
      </x:c>
      <x:c r="B19" s="8" t="str">
        <x:v>Palm · entrance H</x:v>
      </x:c>
      <x:c r="C19" s="8" t="str">
        <x:v>decor</x:v>
      </x:c>
      <x:c r="D19" s="8"/>
      <x:c r="E19" s="8" t="str">
        <x:v>DECOR</x:v>
      </x:c>
      <x:c r="F19" s="11" t="n">
        <x:v>6.3</x:v>
      </x:c>
      <x:c r="G19" s="11" t="n">
        <x:v>0</x:v>
      </x:c>
      <x:c r="H19" s="11" t="n">
        <x:v>6.55</x:v>
      </x:c>
      <x:c r="I19" s="8" t="str">
        <x:v>floor</x:v>
      </x:c>
      <x:c r="J19" s="8" t="str">
        <x:v>Shown</x:v>
      </x:c>
      <x:c r="K19" s="8" t="str">
        <x:v>On</x:v>
      </x:c>
      <x:c r="L19" s="8" t="str">
        <x:v>See model parameters</x:v>
      </x:c>
      <x:c r="M19" s="8" t="str">
        <x:v>Potted palm</x:v>
      </x:c>
      <x:c r="N19" s="11"/>
      <x:c r="O19" s="11" t="n">
        <x:v>0</x:v>
      </x:c>
      <x:c r="P19" s="11" t="n">
        <x:v>0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/>
      <x:c r="AC19" s="8" t="str">
        <x:v>{"dim":1}</x:v>
      </x:c>
    </x:row>
    <x:row r="20" ht="96" customHeight="1">
      <x:c r="A20" s="8" t="str">
        <x:v>D306</x:v>
      </x:c>
      <x:c r="B20" s="8" t="str">
        <x:v>Banner · axis 9 · H</x:v>
      </x:c>
      <x:c r="C20" s="8" t="str">
        <x:v>decor</x:v>
      </x:c>
      <x:c r="D20" s="8"/>
      <x:c r="E20" s="8" t="str">
        <x:v>DECOR</x:v>
      </x:c>
      <x:c r="F20" s="11" t="n">
        <x:v>36.660000000000004</x:v>
      </x:c>
      <x:c r="G20" s="11" t="n">
        <x:v>6.6</x:v>
      </x:c>
      <x:c r="H20" s="11" t="n">
        <x:v>3.6</x:v>
      </x:c>
      <x:c r="I20" s="8" t="str">
        <x:v>wall</x:v>
      </x:c>
      <x:c r="J20" s="8" t="str">
        <x:v>Shown</x:v>
      </x:c>
      <x:c r="K20" s="8" t="str">
        <x:v>On</x:v>
      </x:c>
      <x:c r="L20" s="8" t="str">
        <x:v>See model parameters</x:v>
      </x:c>
      <x:c r="M20" s="8" t="str">
        <x:v>Liturgical banner</x:v>
      </x:c>
      <x:c r="N20" s="11"/>
      <x:c r="O20" s="11" t="n">
        <x:v>180</x:v>
      </x:c>
      <x:c r="P20" s="11" t="n">
        <x:v>0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/>
      <x:c r="AC20" s="8" t="str">
        <x:v>{"colour":"fabricWhite","dim":1}</x:v>
      </x:c>
    </x:row>
    <x:row r="21" ht="96" customHeight="1">
      <x:c r="A21" s="8" t="str">
        <x:v>D307</x:v>
      </x:c>
      <x:c r="B21" s="8" t="str">
        <x:v>Paschal candle</x:v>
      </x:c>
      <x:c r="C21" s="8" t="str">
        <x:v>decor</x:v>
      </x:c>
      <x:c r="D21" s="8"/>
      <x:c r="E21" s="8" t="str">
        <x:v>DECOR</x:v>
      </x:c>
      <x:c r="F21" s="11" t="n">
        <x:v>40.769999999999996</x:v>
      </x:c>
      <x:c r="G21" s="11" t="n">
        <x:v>0.75</x:v>
      </x:c>
      <x:c r="H21" s="11" t="n">
        <x:v>-1.55</x:v>
      </x:c>
      <x:c r="I21" s="8" t="str">
        <x:v>floor</x:v>
      </x:c>
      <x:c r="J21" s="8" t="str">
        <x:v>Shown</x:v>
      </x:c>
      <x:c r="K21" s="8" t="str">
        <x:v>On</x:v>
      </x:c>
      <x:c r="L21" s="8" t="str">
        <x:v>See model parameters</x:v>
      </x:c>
      <x:c r="M21" s="8" t="str">
        <x:v>Paschal candle</x:v>
      </x:c>
      <x:c r="N21" s="11"/>
      <x:c r="O21" s="11" t="n">
        <x:v>180</x:v>
      </x:c>
      <x:c r="P21" s="11" t="n">
        <x:v>0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/>
      <x:c r="AC21" s="8" t="str">
        <x:v>{"dim":1}</x:v>
      </x:c>
    </x:row>
    <x:row r="22" ht="96" customHeight="1">
      <x:c r="A22" s="8" t="str">
        <x:v>D308</x:v>
      </x:c>
      <x:c r="B22" s="8" t="str">
        <x:v>Aisle carpet (weddings &amp; feasts)</x:v>
      </x:c>
      <x:c r="C22" s="8" t="str">
        <x:v>decor</x:v>
      </x:c>
      <x:c r="D22" s="8"/>
      <x:c r="E22" s="8" t="str">
        <x:v>DECOR</x:v>
      </x:c>
      <x:c r="F22" s="11" t="n">
        <x:v>6.2</x:v>
      </x:c>
      <x:c r="G22" s="11" t="n">
        <x:v>0</x:v>
      </x:c>
      <x:c r="H22" s="11" t="n">
        <x:v>0</x:v>
      </x:c>
      <x:c r="I22" s="8" t="str">
        <x:v>floor</x:v>
      </x:c>
      <x:c r="J22" s="8" t="str">
        <x:v>Hidden alternative</x:v>
      </x:c>
      <x:c r="K22" s="8" t="str">
        <x:v>On</x:v>
      </x:c>
      <x:c r="L22" s="8" t="str">
        <x:v>See model parameters</x:v>
      </x:c>
      <x:c r="M22" s="8" t="str">
        <x:v>Aisle carpet runner</x:v>
      </x:c>
      <x:c r="N22" s="11"/>
      <x:c r="O22" s="11" t="n">
        <x:v>0</x:v>
      </x:c>
      <x:c r="P22" s="11" t="n">
        <x:v>0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/>
      <x:c r="AC22" s="8" t="str">
        <x:v>{"length":32,"dim":1}</x:v>
      </x:c>
    </x:row>
    <x:row r="23" ht="96" customHeight="1">
      <x:c r="A23" s="8" t="str">
        <x:v>D309</x:v>
      </x:c>
      <x:c r="B23" s="8" t="str">
        <x:v>Christmas tree · front stage</x:v>
      </x:c>
      <x:c r="C23" s="8" t="str">
        <x:v>decor</x:v>
      </x:c>
      <x:c r="D23" s="8" t="str">
        <x:v>DB1</x:v>
      </x:c>
      <x:c r="E23" s="8" t="str">
        <x:v>X1</x:v>
      </x:c>
      <x:c r="F23" s="11" t="n">
        <x:v>-4.2</x:v>
      </x:c>
      <x:c r="G23" s="11" t="n">
        <x:v>-0.48</x:v>
      </x:c>
      <x:c r="H23" s="11" t="n">
        <x:v>-5.6</x:v>
      </x:c>
      <x:c r="I23" s="8" t="str">
        <x:v>floor</x:v>
      </x:c>
      <x:c r="J23" s="8" t="str">
        <x:v>Hidden alternative</x:v>
      </x:c>
      <x:c r="K23" s="8" t="str">
        <x:v>Off</x:v>
      </x:c>
      <x:c r="L23" s="8" t="str">
        <x:v>1871 × 3350 × 1900</x:v>
      </x:c>
      <x:c r="M23" s="8" t="str">
        <x:v>350 lm · 2400 K</x:v>
      </x:c>
      <x:c r="N23" s="11" t="n">
        <x:v>0</x:v>
      </x:c>
      <x:c r="O23" s="11" t="n">
        <x:v>180</x:v>
      </x:c>
      <x:c r="P23" s="11" t="n">
        <x:v>0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/>
      <x:c r="AC23" s="8" t="str">
        <x:v>{"dim":1}</x:v>
      </x:c>
    </x:row>
    <x:row r="24" ht="96" customHeight="1">
      <x:c r="A24" s="8" t="str">
        <x:v>D310</x:v>
      </x:c>
      <x:c r="B24" s="8" t="str">
        <x:v>Nativity grotto (hang đá) · front stage</x:v>
      </x:c>
      <x:c r="C24" s="8" t="str">
        <x:v>decor</x:v>
      </x:c>
      <x:c r="D24" s="8" t="str">
        <x:v>DB1</x:v>
      </x:c>
      <x:c r="E24" s="8" t="str">
        <x:v>X1</x:v>
      </x:c>
      <x:c r="F24" s="11" t="n">
        <x:v>-4.2</x:v>
      </x:c>
      <x:c r="G24" s="11" t="n">
        <x:v>-0.48</x:v>
      </x:c>
      <x:c r="H24" s="11" t="n">
        <x:v>5.6</x:v>
      </x:c>
      <x:c r="I24" s="8" t="str">
        <x:v>floor</x:v>
      </x:c>
      <x:c r="J24" s="8" t="str">
        <x:v>Hidden alternative</x:v>
      </x:c>
      <x:c r="K24" s="8" t="str">
        <x:v>Off</x:v>
      </x:c>
      <x:c r="L24" s="8" t="str">
        <x:v>2005 × 2858 × 3347</x:v>
      </x:c>
      <x:c r="M24" s="8" t="str">
        <x:v>400 lm · 3000 K</x:v>
      </x:c>
      <x:c r="N24" s="11" t="n">
        <x:v>0</x:v>
      </x:c>
      <x:c r="O24" s="11" t="n">
        <x:v>180</x:v>
      </x:c>
      <x:c r="P24" s="11" t="n">
        <x:v>0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/>
      <x:c r="AC24" s="8" t="str">
        <x:v>{"dim":1}</x:v>
      </x:c>
    </x:row>
    <x:row r="25" ht="96" customHeight="1">
      <x:c r="A25" s="8" t="str">
        <x:v>D311</x:v>
      </x:c>
      <x:c r="B25" s="8" t="str">
        <x:v>Star over the crossing</x:v>
      </x:c>
      <x:c r="C25" s="8" t="str">
        <x:v>decor</x:v>
      </x:c>
      <x:c r="D25" s="8" t="str">
        <x:v>DB1</x:v>
      </x:c>
      <x:c r="E25" s="8" t="str">
        <x:v>X1</x:v>
      </x:c>
      <x:c r="F25" s="11" t="n">
        <x:v>40.575</x:v>
      </x:c>
      <x:c r="G25" s="11" t="n">
        <x:v>9.4</x:v>
      </x:c>
      <x:c r="H25" s="11" t="n">
        <x:v>0</x:v>
      </x:c>
      <x:c r="I25" s="8" t="str">
        <x:v>pendant</x:v>
      </x:c>
      <x:c r="J25" s="8" t="str">
        <x:v>Hidden alternative</x:v>
      </x:c>
      <x:c r="K25" s="8" t="str">
        <x:v>Off</x:v>
      </x:c>
      <x:c r="L25" s="8" t="str">
        <x:v>60 × 1595 × 1046</x:v>
      </x:c>
      <x:c r="M25" s="8" t="str">
        <x:v>500 lm · 5000 K</x:v>
      </x:c>
      <x:c r="N25" s="11" t="n">
        <x:v>0</x:v>
      </x:c>
      <x:c r="O25" s="11" t="n">
        <x:v>90</x:v>
      </x:c>
      <x:c r="P25" s="11" t="n">
        <x:v>0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/>
      <x:c r="AC25" s="8" t="str">
        <x:v>{"dim":1,"anchorY":12.152}</x:v>
      </x:c>
    </x:row>
    <x:row r="26" ht="96" customHeight="1">
      <x:c r="A26" s="8" t="str">
        <x:v>D312</x:v>
      </x:c>
      <x:c r="B26" s="8" t="str">
        <x:v>Red lanterns · veranda B · bay 4–5</x:v>
      </x:c>
      <x:c r="C26" s="8" t="str">
        <x:v>decor</x:v>
      </x:c>
      <x:c r="D26" s="8" t="str">
        <x:v>DB1</x:v>
      </x:c>
      <x:c r="E26" s="8" t="str">
        <x:v>X1</x:v>
      </x:c>
      <x:c r="F26" s="11" t="n">
        <x:v>16.725</x:v>
      </x:c>
      <x:c r="G26" s="11" t="n">
        <x:v>5.6</x:v>
      </x:c>
      <x:c r="H26" s="11" t="n">
        <x:v>-8.85</x:v>
      </x:c>
      <x:c r="I26" s="8" t="str">
        <x:v>pendant</x:v>
      </x:c>
      <x:c r="J26" s="8" t="str">
        <x:v>Hidden alternative</x:v>
      </x:c>
      <x:c r="K26" s="8" t="str">
        <x:v>Off</x:v>
      </x:c>
      <x:c r="L26" s="8" t="str">
        <x:v>320 × 1043 × 3405</x:v>
      </x:c>
      <x:c r="M26" s="8" t="str">
        <x:v>240 lm · 2200 K · 3.4 m strand</x:v>
      </x:c>
      <x:c r="N26" s="11" t="n">
        <x:v>0</x:v>
      </x:c>
      <x:c r="O26" s="11" t="n">
        <x:v>90</x:v>
      </x:c>
      <x:c r="P26" s="11" t="n">
        <x:v>0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/>
      <x:c r="AC26" s="8" t="str">
        <x:v>{"length":3.4,"dim":1,"anchorY":6.798875000000001}</x:v>
      </x:c>
    </x:row>
    <x:row r="27" ht="96" customHeight="1">
      <x:c r="A27" s="8" t="str">
        <x:v>D313</x:v>
      </x:c>
      <x:c r="B27" s="8" t="str">
        <x:v>Red lanterns · veranda H · bay 4–5</x:v>
      </x:c>
      <x:c r="C27" s="8" t="str">
        <x:v>decor</x:v>
      </x:c>
      <x:c r="D27" s="8" t="str">
        <x:v>DB1</x:v>
      </x:c>
      <x:c r="E27" s="8" t="str">
        <x:v>X1</x:v>
      </x:c>
      <x:c r="F27" s="11" t="n">
        <x:v>16.725</x:v>
      </x:c>
      <x:c r="G27" s="11" t="n">
        <x:v>5.6</x:v>
      </x:c>
      <x:c r="H27" s="11" t="n">
        <x:v>8.85</x:v>
      </x:c>
      <x:c r="I27" s="8" t="str">
        <x:v>pendant</x:v>
      </x:c>
      <x:c r="J27" s="8" t="str">
        <x:v>Hidden alternative</x:v>
      </x:c>
      <x:c r="K27" s="8" t="str">
        <x:v>Off</x:v>
      </x:c>
      <x:c r="L27" s="8" t="str">
        <x:v>320 × 1043 × 3405</x:v>
      </x:c>
      <x:c r="M27" s="8" t="str">
        <x:v>240 lm · 2200 K · 3.4 m strand</x:v>
      </x:c>
      <x:c r="N27" s="11" t="n">
        <x:v>0</x:v>
      </x:c>
      <x:c r="O27" s="11" t="n">
        <x:v>90</x:v>
      </x:c>
      <x:c r="P27" s="11" t="n">
        <x:v>0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/>
      <x:c r="AC27" s="8" t="str">
        <x:v>{"length":3.4,"dim":1,"anchorY":6.798875000000001}</x:v>
      </x:c>
    </x:row>
    <x:row r="28" ht="96" customHeight="1">
      <x:c r="A28" s="8" t="str">
        <x:v>D314</x:v>
      </x:c>
      <x:c r="B28" s="8" t="str">
        <x:v>Red lanterns · veranda B · bay 5–6</x:v>
      </x:c>
      <x:c r="C28" s="8" t="str">
        <x:v>decor</x:v>
      </x:c>
      <x:c r="D28" s="8" t="str">
        <x:v>DB1</x:v>
      </x:c>
      <x:c r="E28" s="8" t="str">
        <x:v>X1</x:v>
      </x:c>
      <x:c r="F28" s="11" t="n">
        <x:v>21.225</x:v>
      </x:c>
      <x:c r="G28" s="11" t="n">
        <x:v>5.6</x:v>
      </x:c>
      <x:c r="H28" s="11" t="n">
        <x:v>-8.85</x:v>
      </x:c>
      <x:c r="I28" s="8" t="str">
        <x:v>pendant</x:v>
      </x:c>
      <x:c r="J28" s="8" t="str">
        <x:v>Hidden alternative</x:v>
      </x:c>
      <x:c r="K28" s="8" t="str">
        <x:v>Off</x:v>
      </x:c>
      <x:c r="L28" s="8" t="str">
        <x:v>320 × 1043 × 3405</x:v>
      </x:c>
      <x:c r="M28" s="8" t="str">
        <x:v>240 lm · 2200 K · 3.4 m strand</x:v>
      </x:c>
      <x:c r="N28" s="11" t="n">
        <x:v>0</x:v>
      </x:c>
      <x:c r="O28" s="11" t="n">
        <x:v>90</x:v>
      </x:c>
      <x:c r="P28" s="11" t="n">
        <x:v>0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/>
      <x:c r="AC28" s="8" t="str">
        <x:v>{"length":3.4,"dim":1,"anchorY":6.798875000000001}</x:v>
      </x:c>
    </x:row>
    <x:row r="29" ht="96" customHeight="1">
      <x:c r="A29" s="8" t="str">
        <x:v>D315</x:v>
      </x:c>
      <x:c r="B29" s="8" t="str">
        <x:v>Red lanterns · veranda H · bay 5–6</x:v>
      </x:c>
      <x:c r="C29" s="8" t="str">
        <x:v>decor</x:v>
      </x:c>
      <x:c r="D29" s="8" t="str">
        <x:v>DB1</x:v>
      </x:c>
      <x:c r="E29" s="8" t="str">
        <x:v>X1</x:v>
      </x:c>
      <x:c r="F29" s="11" t="n">
        <x:v>21.225</x:v>
      </x:c>
      <x:c r="G29" s="11" t="n">
        <x:v>5.6</x:v>
      </x:c>
      <x:c r="H29" s="11" t="n">
        <x:v>8.85</x:v>
      </x:c>
      <x:c r="I29" s="8" t="str">
        <x:v>pendant</x:v>
      </x:c>
      <x:c r="J29" s="8" t="str">
        <x:v>Hidden alternative</x:v>
      </x:c>
      <x:c r="K29" s="8" t="str">
        <x:v>Off</x:v>
      </x:c>
      <x:c r="L29" s="8" t="str">
        <x:v>320 × 1043 × 3405</x:v>
      </x:c>
      <x:c r="M29" s="8" t="str">
        <x:v>240 lm · 2200 K · 3.4 m strand</x:v>
      </x:c>
      <x:c r="N29" s="11" t="n">
        <x:v>0</x:v>
      </x:c>
      <x:c r="O29" s="11" t="n">
        <x:v>90</x:v>
      </x:c>
      <x:c r="P29" s="11" t="n">
        <x:v>0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/>
      <x:c r="AC29" s="8" t="str">
        <x:v>{"length":3.4,"dim":1,"anchorY":6.798875000000001}</x:v>
      </x:c>
    </x:row>
    <x:row r="30" ht="96" customHeight="1">
      <x:c r="A30" s="8" t="str">
        <x:v>D316</x:v>
      </x:c>
      <x:c r="B30" s="8" t="str">
        <x:v>Red lanterns · veranda B · bay 7–8</x:v>
      </x:c>
      <x:c r="C30" s="8" t="str">
        <x:v>decor</x:v>
      </x:c>
      <x:c r="D30" s="8" t="str">
        <x:v>DB1</x:v>
      </x:c>
      <x:c r="E30" s="8" t="str">
        <x:v>X1</x:v>
      </x:c>
      <x:c r="F30" s="11" t="n">
        <x:v>30.225</x:v>
      </x:c>
      <x:c r="G30" s="11" t="n">
        <x:v>5.6</x:v>
      </x:c>
      <x:c r="H30" s="11" t="n">
        <x:v>-8.85</x:v>
      </x:c>
      <x:c r="I30" s="8" t="str">
        <x:v>pendant</x:v>
      </x:c>
      <x:c r="J30" s="8" t="str">
        <x:v>Hidden alternative</x:v>
      </x:c>
      <x:c r="K30" s="8" t="str">
        <x:v>Off</x:v>
      </x:c>
      <x:c r="L30" s="8" t="str">
        <x:v>320 × 1043 × 3405</x:v>
      </x:c>
      <x:c r="M30" s="8" t="str">
        <x:v>240 lm · 2200 K · 3.4 m strand</x:v>
      </x:c>
      <x:c r="N30" s="11" t="n">
        <x:v>0</x:v>
      </x:c>
      <x:c r="O30" s="11" t="n">
        <x:v>90</x:v>
      </x:c>
      <x:c r="P30" s="11" t="n">
        <x:v>0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/>
      <x:c r="AC30" s="8" t="str">
        <x:v>{"length":3.4,"dim":1,"anchorY":6.798875000000001}</x:v>
      </x:c>
    </x:row>
    <x:row r="31" ht="96" customHeight="1">
      <x:c r="A31" s="8" t="str">
        <x:v>D317</x:v>
      </x:c>
      <x:c r="B31" s="8" t="str">
        <x:v>Red lanterns · veranda H · bay 7–8</x:v>
      </x:c>
      <x:c r="C31" s="8" t="str">
        <x:v>decor</x:v>
      </x:c>
      <x:c r="D31" s="8" t="str">
        <x:v>DB1</x:v>
      </x:c>
      <x:c r="E31" s="8" t="str">
        <x:v>X1</x:v>
      </x:c>
      <x:c r="F31" s="11" t="n">
        <x:v>30.225</x:v>
      </x:c>
      <x:c r="G31" s="11" t="n">
        <x:v>5.6</x:v>
      </x:c>
      <x:c r="H31" s="11" t="n">
        <x:v>8.85</x:v>
      </x:c>
      <x:c r="I31" s="8" t="str">
        <x:v>pendant</x:v>
      </x:c>
      <x:c r="J31" s="8" t="str">
        <x:v>Hidden alternative</x:v>
      </x:c>
      <x:c r="K31" s="8" t="str">
        <x:v>Off</x:v>
      </x:c>
      <x:c r="L31" s="8" t="str">
        <x:v>320 × 1043 × 3405</x:v>
      </x:c>
      <x:c r="M31" s="8" t="str">
        <x:v>240 lm · 2200 K · 3.4 m strand</x:v>
      </x:c>
      <x:c r="N31" s="11" t="n">
        <x:v>0</x:v>
      </x:c>
      <x:c r="O31" s="11" t="n">
        <x:v>90</x:v>
      </x:c>
      <x:c r="P31" s="11" t="n">
        <x:v>0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/>
      <x:c r="AC31" s="8" t="str">
        <x:v>{"length":3.4,"dim":1,"anchorY":6.798875000000001}</x:v>
      </x:c>
    </x:row>
    <x:row r="32" ht="96" customHeight="1">
      <x:c r="A32" s="8" t="str">
        <x:v>D318</x:v>
      </x:c>
      <x:c r="B32" s="8" t="str">
        <x:v>Red lanterns · veranda B · bay 8–9</x:v>
      </x:c>
      <x:c r="C32" s="8" t="str">
        <x:v>decor</x:v>
      </x:c>
      <x:c r="D32" s="8" t="str">
        <x:v>DB1</x:v>
      </x:c>
      <x:c r="E32" s="8" t="str">
        <x:v>X1</x:v>
      </x:c>
      <x:c r="F32" s="11" t="n">
        <x:v>34.725</x:v>
      </x:c>
      <x:c r="G32" s="11" t="n">
        <x:v>5.6</x:v>
      </x:c>
      <x:c r="H32" s="11" t="n">
        <x:v>-8.85</x:v>
      </x:c>
      <x:c r="I32" s="8" t="str">
        <x:v>pendant</x:v>
      </x:c>
      <x:c r="J32" s="8" t="str">
        <x:v>Hidden alternative</x:v>
      </x:c>
      <x:c r="K32" s="8" t="str">
        <x:v>Off</x:v>
      </x:c>
      <x:c r="L32" s="8" t="str">
        <x:v>320 × 1043 × 3405</x:v>
      </x:c>
      <x:c r="M32" s="8" t="str">
        <x:v>240 lm · 2200 K · 3.4 m strand</x:v>
      </x:c>
      <x:c r="N32" s="11" t="n">
        <x:v>0</x:v>
      </x:c>
      <x:c r="O32" s="11" t="n">
        <x:v>90</x:v>
      </x:c>
      <x:c r="P32" s="11" t="n">
        <x:v>0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/>
      <x:c r="AC32" s="8" t="str">
        <x:v>{"length":3.4,"dim":1,"anchorY":6.798875000000001}</x:v>
      </x:c>
    </x:row>
    <x:row r="33" ht="96" customHeight="1">
      <x:c r="A33" s="8" t="str">
        <x:v>D319</x:v>
      </x:c>
      <x:c r="B33" s="8" t="str">
        <x:v>Red lanterns · veranda H · bay 8–9</x:v>
      </x:c>
      <x:c r="C33" s="8" t="str">
        <x:v>decor</x:v>
      </x:c>
      <x:c r="D33" s="8" t="str">
        <x:v>DB1</x:v>
      </x:c>
      <x:c r="E33" s="8" t="str">
        <x:v>X1</x:v>
      </x:c>
      <x:c r="F33" s="11" t="n">
        <x:v>34.725</x:v>
      </x:c>
      <x:c r="G33" s="11" t="n">
        <x:v>5.6</x:v>
      </x:c>
      <x:c r="H33" s="11" t="n">
        <x:v>8.85</x:v>
      </x:c>
      <x:c r="I33" s="8" t="str">
        <x:v>pendant</x:v>
      </x:c>
      <x:c r="J33" s="8" t="str">
        <x:v>Hidden alternative</x:v>
      </x:c>
      <x:c r="K33" s="8" t="str">
        <x:v>Off</x:v>
      </x:c>
      <x:c r="L33" s="8" t="str">
        <x:v>320 × 1043 × 3405</x:v>
      </x:c>
      <x:c r="M33" s="8" t="str">
        <x:v>240 lm · 2200 K · 3.4 m strand</x:v>
      </x:c>
      <x:c r="N33" s="11" t="n">
        <x:v>0</x:v>
      </x:c>
      <x:c r="O33" s="11" t="n">
        <x:v>90</x:v>
      </x:c>
      <x:c r="P33" s="11" t="n">
        <x:v>0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/>
      <x:c r="AC33" s="8" t="str">
        <x:v>{"length":3.4,"dim":1,"anchorY":6.798875000000001}</x:v>
      </x:c>
    </x:row>
    <x:row r="34" ht="96" customHeight="1">
      <x:c r="A34" s="8" t="str">
        <x:v>D320</x:v>
      </x:c>
      <x:c r="B34" s="8" t="str">
        <x:v>Festival pennants · axis 4</x:v>
      </x:c>
      <x:c r="C34" s="8" t="str">
        <x:v>decor</x:v>
      </x:c>
      <x:c r="D34" s="8"/>
      <x:c r="E34" s="8" t="str">
        <x:v>DECOR</x:v>
      </x:c>
      <x:c r="F34" s="11" t="n">
        <x:v>14.475</x:v>
      </x:c>
      <x:c r="G34" s="11" t="n">
        <x:v>7.2</x:v>
      </x:c>
      <x:c r="H34" s="11" t="n">
        <x:v>0</x:v>
      </x:c>
      <x:c r="I34" s="8" t="str">
        <x:v>pendant</x:v>
      </x:c>
      <x:c r="J34" s="8" t="str">
        <x:v>Hidden alternative</x:v>
      </x:c>
      <x:c r="K34" s="8" t="str">
        <x:v>On</x:v>
      </x:c>
      <x:c r="L34" s="8" t="str">
        <x:v>See model parameters</x:v>
      </x:c>
      <x:c r="M34" s="8" t="str">
        <x:v>Festival pennants (cờ đuôi nheo)</x:v>
      </x:c>
      <x:c r="N34" s="11"/>
      <x:c r="O34" s="11" t="n">
        <x:v>0</x:v>
      </x:c>
      <x:c r="P34" s="11" t="n">
        <x:v>0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/>
      <x:c r="AC34" s="8" t="str">
        <x:v>{"length":7,"dim":1,"anchorY":7.2}</x:v>
      </x:c>
    </x:row>
    <x:row r="35" ht="96" customHeight="1">
      <x:c r="A35" s="8" t="str">
        <x:v>D321</x:v>
      </x:c>
      <x:c r="B35" s="8" t="str">
        <x:v>Festival pennants · axis 6</x:v>
      </x:c>
      <x:c r="C35" s="8" t="str">
        <x:v>decor</x:v>
      </x:c>
      <x:c r="D35" s="8"/>
      <x:c r="E35" s="8" t="str">
        <x:v>DECOR</x:v>
      </x:c>
      <x:c r="F35" s="11" t="n">
        <x:v>23.475</x:v>
      </x:c>
      <x:c r="G35" s="11" t="n">
        <x:v>7.2</x:v>
      </x:c>
      <x:c r="H35" s="11" t="n">
        <x:v>0</x:v>
      </x:c>
      <x:c r="I35" s="8" t="str">
        <x:v>pendant</x:v>
      </x:c>
      <x:c r="J35" s="8" t="str">
        <x:v>Hidden alternative</x:v>
      </x:c>
      <x:c r="K35" s="8" t="str">
        <x:v>On</x:v>
      </x:c>
      <x:c r="L35" s="8" t="str">
        <x:v>See model parameters</x:v>
      </x:c>
      <x:c r="M35" s="8" t="str">
        <x:v>Festival pennants (cờ đuôi nheo)</x:v>
      </x:c>
      <x:c r="N35" s="11"/>
      <x:c r="O35" s="11" t="n">
        <x:v>0</x:v>
      </x:c>
      <x:c r="P35" s="11" t="n">
        <x:v>0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/>
      <x:c r="AC35" s="8" t="str">
        <x:v>{"length":7,"dim":1,"anchorY":7.2}</x:v>
      </x:c>
    </x:row>
    <x:row r="36" ht="96" customHeight="1">
      <x:c r="A36" s="8" t="str">
        <x:v>D322</x:v>
      </x:c>
      <x:c r="B36" s="8" t="str">
        <x:v>Festival pennants · axis 8</x:v>
      </x:c>
      <x:c r="C36" s="8" t="str">
        <x:v>decor</x:v>
      </x:c>
      <x:c r="D36" s="8"/>
      <x:c r="E36" s="8" t="str">
        <x:v>DECOR</x:v>
      </x:c>
      <x:c r="F36" s="11" t="n">
        <x:v>32.475</x:v>
      </x:c>
      <x:c r="G36" s="11" t="n">
        <x:v>7.2</x:v>
      </x:c>
      <x:c r="H36" s="11" t="n">
        <x:v>0</x:v>
      </x:c>
      <x:c r="I36" s="8" t="str">
        <x:v>pendant</x:v>
      </x:c>
      <x:c r="J36" s="8" t="str">
        <x:v>Hidden alternative</x:v>
      </x:c>
      <x:c r="K36" s="8" t="str">
        <x:v>On</x:v>
      </x:c>
      <x:c r="L36" s="8" t="str">
        <x:v>See model parameters</x:v>
      </x:c>
      <x:c r="M36" s="8" t="str">
        <x:v>Festival pennants (cờ đuôi nheo)</x:v>
      </x:c>
      <x:c r="N36" s="11"/>
      <x:c r="O36" s="11" t="n">
        <x:v>0</x:v>
      </x:c>
      <x:c r="P36" s="11" t="n">
        <x:v>0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/>
      <x:c r="AC36" s="8" t="str">
        <x:v>{"length":7,"dim":1,"anchorY":7.2}</x:v>
      </x:c>
    </x:row>
    <x:row r="37" ht="96" customHeight="1">
      <x:c r="A37" s="8" t="str">
        <x:v>D-WING-B-PETER</x:v>
      </x:c>
      <x:c r="B37" s="8" t="str">
        <x:v>Saint Peter picture · wing B · concept</x:v>
      </x:c>
      <x:c r="C37" s="8" t="str">
        <x:v>decor</x:v>
      </x:c>
      <x:c r="D37" s="8"/>
      <x:c r="E37" s="8" t="str">
        <x:v>DECOR</x:v>
      </x:c>
      <x:c r="F37" s="11" t="n">
        <x:v>39.7</x:v>
      </x:c>
      <x:c r="G37" s="11" t="n">
        <x:v>2.2</x:v>
      </x:c>
      <x:c r="H37" s="11" t="n">
        <x:v>-13.095</x:v>
      </x:c>
      <x:c r="I37" s="8" t="str">
        <x:v>wall</x:v>
      </x:c>
      <x:c r="J37" s="8" t="str">
        <x:v>Shown</x:v>
      </x:c>
      <x:c r="K37" s="8" t="str">
        <x:v>On</x:v>
      </x:c>
      <x:c r="L37" s="8" t="str">
        <x:v>See model parameters</x:v>
      </x:c>
      <x:c r="M37" s="8" t="str">
        <x:v>Generated devotional concept. Frame proxy 1.12 × 1.62 m; actual size, material, glass, mounting and artwork approval pending. Unpowered.</x:v>
      </x:c>
      <x:c r="N37" s="11"/>
      <x:c r="O37" s="11" t="n">
        <x:v>90</x:v>
      </x:c>
      <x:c r="P37" s="11" t="n">
        <x:v>0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/>
      <x:c r="AC37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38" ht="96" customHeight="1">
      <x:c r="A38" s="8" t="str">
        <x:v>D-WING-B-PAUL</x:v>
      </x:c>
      <x:c r="B38" s="8" t="str">
        <x:v>Saint Paul picture · wing B · concept</x:v>
      </x:c>
      <x:c r="C38" s="8" t="str">
        <x:v>decor</x:v>
      </x:c>
      <x:c r="D38" s="8"/>
      <x:c r="E38" s="8" t="str">
        <x:v>DECOR</x:v>
      </x:c>
      <x:c r="F38" s="11" t="n">
        <x:v>41.45</x:v>
      </x:c>
      <x:c r="G38" s="11" t="n">
        <x:v>2.2</x:v>
      </x:c>
      <x:c r="H38" s="11" t="n">
        <x:v>-13.095</x:v>
      </x:c>
      <x:c r="I38" s="8" t="str">
        <x:v>wall</x:v>
      </x:c>
      <x:c r="J38" s="8" t="str">
        <x:v>Shown</x:v>
      </x:c>
      <x:c r="K38" s="8" t="str">
        <x:v>On</x:v>
      </x:c>
      <x:c r="L38" s="8" t="str">
        <x:v>See model parameters</x:v>
      </x:c>
      <x:c r="M38" s="8" t="str">
        <x:v>Generated devotional concept. Frame proxy 1.12 × 1.62 m; actual size, material, glass, mounting and artwork approval pending. Unpowered.</x:v>
      </x:c>
      <x:c r="N38" s="11"/>
      <x:c r="O38" s="11" t="n">
        <x:v>90</x:v>
      </x:c>
      <x:c r="P38" s="11" t="n">
        <x:v>0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/>
      <x:c r="AC38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39" ht="96" customHeight="1">
      <x:c r="A39" s="8" t="str">
        <x:v>D-WING-H-PETER</x:v>
      </x:c>
      <x:c r="B39" s="8" t="str">
        <x:v>Saint Peter picture · wing H · concept</x:v>
      </x:c>
      <x:c r="C39" s="8" t="str">
        <x:v>decor</x:v>
      </x:c>
      <x:c r="D39" s="8"/>
      <x:c r="E39" s="8" t="str">
        <x:v>DECOR</x:v>
      </x:c>
      <x:c r="F39" s="11" t="n">
        <x:v>39.7</x:v>
      </x:c>
      <x:c r="G39" s="11" t="n">
        <x:v>2.2</x:v>
      </x:c>
      <x:c r="H39" s="11" t="n">
        <x:v>13.095</x:v>
      </x:c>
      <x:c r="I39" s="8" t="str">
        <x:v>wall</x:v>
      </x:c>
      <x:c r="J39" s="8" t="str">
        <x:v>Shown</x:v>
      </x:c>
      <x:c r="K39" s="8" t="str">
        <x:v>On</x:v>
      </x:c>
      <x:c r="L39" s="8" t="str">
        <x:v>See model parameters</x:v>
      </x:c>
      <x:c r="M39" s="8" t="str">
        <x:v>Generated devotional concept. Frame proxy 1.12 × 1.62 m; actual size, material, glass, mounting and artwork approval pending. Unpowered.</x:v>
      </x:c>
      <x:c r="N39" s="11"/>
      <x:c r="O39" s="11" t="n">
        <x:v>-90</x:v>
      </x:c>
      <x:c r="P39" s="11" t="n">
        <x:v>0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/>
      <x:c r="AC39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  <x:row r="40" ht="96" customHeight="1">
      <x:c r="A40" s="8" t="str">
        <x:v>D-WING-H-PAUL</x:v>
      </x:c>
      <x:c r="B40" s="8" t="str">
        <x:v>Saint Paul picture · wing H · concept</x:v>
      </x:c>
      <x:c r="C40" s="8" t="str">
        <x:v>decor</x:v>
      </x:c>
      <x:c r="D40" s="8"/>
      <x:c r="E40" s="8" t="str">
        <x:v>DECOR</x:v>
      </x:c>
      <x:c r="F40" s="11" t="n">
        <x:v>41.45</x:v>
      </x:c>
      <x:c r="G40" s="11" t="n">
        <x:v>2.2</x:v>
      </x:c>
      <x:c r="H40" s="11" t="n">
        <x:v>13.095</x:v>
      </x:c>
      <x:c r="I40" s="8" t="str">
        <x:v>wall</x:v>
      </x:c>
      <x:c r="J40" s="8" t="str">
        <x:v>Shown</x:v>
      </x:c>
      <x:c r="K40" s="8" t="str">
        <x:v>On</x:v>
      </x:c>
      <x:c r="L40" s="8" t="str">
        <x:v>See model parameters</x:v>
      </x:c>
      <x:c r="M40" s="8" t="str">
        <x:v>Generated devotional concept. Frame proxy 1.12 × 1.62 m; actual size, material, glass, mounting and artwork approval pending. Unpowered.</x:v>
      </x:c>
      <x:c r="N40" s="11"/>
      <x:c r="O40" s="11" t="n">
        <x:v>-90</x:v>
      </x:c>
      <x:c r="P40" s="11" t="n">
        <x:v>0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/>
      <x:c r="AC40" s="8" t="str">
        <x:v>{"dim":1,"note":"USER CONFIRMED subjects/location: Peter and Paul between windows in each wing. CONCEPT 1.12 ×1.62 m frame proxy, Y2.20 centre. Actual size, height, substrate, frame, artwork and fixings pending. Unpow"}</x:v>
      </x:c>
    </x:row>
  </x:sheetData>
  <x:conditionalFormatting sqref="AA7:AA40">
    <x:cfRule type="containsText" dxfId="0" priority="1" operator="containsText" text="Retired"/>
  </x:conditionalFormatting>
  <x:dataValidations count="3">
    <x:dataValidation type="decimal" operator="between" sqref="W7:W40">
      <x:formula1>-1000</x:formula1>
      <x:formula2>1000</x:formula2>
    </x:dataValidation>
    <x:dataValidation type="decimal" operator="between" sqref="X7:X40">
      <x:formula1>-1000</x:formula1>
      <x:formula2>1000</x:formula2>
    </x:dataValidation>
    <x:dataValidation type="decimal" operator="between" sqref="Y7:Y40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e81640143b440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No records in this category in the saved layout. The common table structure is retained.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/>
      <x:c r="B7" s="8"/>
      <x:c r="C7" s="8"/>
      <x:c r="D7" s="8"/>
      <x:c r="E7" s="8"/>
      <x:c r="F7" s="8"/>
      <x:c r="G7" s="8"/>
      <x:c r="H7" s="8"/>
      <x:c r="I7" s="11"/>
      <x:c r="J7" s="11"/>
      <x:c r="K7" s="11"/>
      <x:c r="L7" s="8"/>
      <x:c r="M7" s="13"/>
      <x:c r="N7" s="11"/>
      <x:c r="O7" s="8"/>
      <x:c r="P7" s="8"/>
      <x:c r="Q7" s="9"/>
      <x:c r="R7" s="9"/>
      <x:c r="S7" s="13"/>
      <x:c r="T7" s="9"/>
      <x:c r="U7" s="9"/>
      <x:c r="V7" s="9"/>
      <x:c r="W7" s="9"/>
      <x:c r="X7" s="9"/>
      <x:c r="Y7" s="8"/>
      <x:c r="Z7" s="8"/>
    </x:row>
  </x:sheetData>
  <x:conditionalFormatting sqref="Y7:Y7">
    <x:cfRule type="containsText" dxfId="1" priority="1" operator="containsText" text="Retired"/>
  </x:conditionalFormatting>
  <x:dataValidations count="3">
    <x:dataValidation type="decimal" operator="greaterThanOrEqual" sqref="M7">
      <x:formula1>0</x:formula1>
    </x:dataValidation>
    <x:dataValidation type="decimal" operator="greaterThanOrEqual" sqref="R7">
      <x:formula1>0</x:formula1>
    </x:dataValidation>
    <x:dataValidation type="decimal" operator="greaterThanOrEqual" sqref="S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02363a19f64c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No records in this category in the saved layout. The common table structure is retained.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/>
      <x:c r="B7" s="8"/>
      <x:c r="C7" s="11"/>
      <x:c r="D7" s="11"/>
      <x:c r="E7" s="11"/>
      <x:c r="F7" s="11"/>
      <x:c r="G7" s="8"/>
    </x:row>
  </x:sheetData>
  <x:conditionalFormatting sqref="G7:G7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155fc39f9f524001"/>
  </x:tableParts>
</x:worksheet>
</file>