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b44b31e87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87144a7ca3040db"/>
    <x:sheet xmlns:r="http://schemas.openxmlformats.org/officeDocument/2006/relationships" name="Equipment" sheetId="2" r:id="R422ffb1f77ce4793"/>
    <x:sheet xmlns:r="http://schemas.openxmlformats.org/officeDocument/2006/relationships" name="Electrical Lines" sheetId="3" r:id="R9a023f1947ed463d"/>
    <x:sheet xmlns:r="http://schemas.openxmlformats.org/officeDocument/2006/relationships" name="Route Points" sheetId="4" r:id="R5e556e2ef5a2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5f6e6f0e84a2a" /><Relationship Type="http://schemas.openxmlformats.org/officeDocument/2006/relationships/theme" Target="/xl/theme/theme1.xml" Id="R21f55a041e2643d7" /><Relationship Type="http://schemas.openxmlformats.org/officeDocument/2006/relationships/sharedStrings" Target="/xl/sharedStrings.xml" Id="Rc5999ba356da46f1" /><Relationship Type="http://schemas.openxmlformats.org/officeDocument/2006/relationships/worksheet" Target="/xl/worksheets/sheet1.xml" Id="Rb87144a7ca3040db" /><Relationship Type="http://schemas.openxmlformats.org/officeDocument/2006/relationships/worksheet" Target="/xl/worksheets/sheet2.xml" Id="R422ffb1f77ce4793" /><Relationship Type="http://schemas.openxmlformats.org/officeDocument/2006/relationships/worksheet" Target="/xl/worksheets/sheet3.xml" Id="R9a023f1947ed463d" /><Relationship Type="http://schemas.openxmlformats.org/officeDocument/2006/relationships/worksheet" Target="/xl/worksheets/sheet4.xml" Id="R5e556e2ef5a2482f" /></Relationships>
</file>

<file path=xl/tables/table1.xml><?xml version="1.0" encoding="utf-8"?>
<x:table xmlns:x="http://schemas.openxmlformats.org/spreadsheetml/2006/main" id="1" name="EquipmentRegister" displayName="EquipmentRegister" ref="A6:AC11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10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47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b593af8bd46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428f984e504f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99b969623c42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Distribution and controls: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Distribution and controls. DB1, DB2, LC1, FC1 and AV1 enclosures and their shared supply feeders. Model snapshot: 2026-10-09T00:46:12.718Z.</x:v>
      </x:c>
    </x:row>
    <x:row r="5" ht="34" customHeight="1">
      <x:c r="A5" s="20" t="str">
        <x:v>Current equipment</x:v>
      </x:c>
      <x:c r="B5" s="16" t="n">
        <x:f>COUNTIFS(Equipment!$AA$7:$AA$11,"Current")</x:f>
        <x:v>5</x:v>
      </x:c>
    </x:row>
    <x:row r="6" ht="34" customHeight="1">
      <x:c r="A6" s="20" t="str">
        <x:v>Current routes</x:v>
      </x:c>
      <x:c r="B6" s="16" t="n">
        <x:f>COUNTIFS('Electrical Lines'!$Y$7:$Y$10,"Current")</x:f>
        <x:v>4</x:v>
      </x:c>
    </x:row>
    <x:row r="7" ht="34" customHeight="1">
      <x:c r="A7" s="20" t="str">
        <x:v>Retired equipment / routes</x:v>
      </x:c>
      <x:c r="B7" s="16" t="n">
        <x:f>COUNTIFS(Equipment!$AA$7:$AA$11,"Retired")+COUNTIFS('Electrical Lines'!$Y$7:$Y$10,"Retired")</x:f>
        <x:v>0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4ae7e1535959a20d2f5749b1ba03c885f39cbcfde41c0856c11d90946754f1c6</x:v>
      </x:c>
    </x:row>
    <x:row r="15" ht="44" customHeight="1">
      <x:c r="A15" s="20" t="str">
        <x:v>Source systems SHA-256</x:v>
      </x:c>
      <x:c r="B15" s="16" t="str">
        <x:v>e2130aeffb518d934149fa35c32d858856db06e804d9cb98aac4f1896cd3b761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DB1, DB2, LC1, FC1 and AV1 enclosures and their shared supply feeders.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Distribution and controls: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DB1</x:v>
      </x:c>
      <x:c r="B7" s="8" t="str">
        <x:v>DB-1 · Main board</x:v>
      </x:c>
      <x:c r="C7" s="8" t="str">
        <x:v>enclosure</x:v>
      </x:c>
      <x:c r="D7" s="8" t="str">
        <x:v>DB1</x:v>
      </x:c>
      <x:c r="E7" s="8"/>
      <x:c r="F7" s="11" t="n">
        <x:v>48.895</x:v>
      </x:c>
      <x:c r="G7" s="11" t="n">
        <x:v>1.75</x:v>
      </x:c>
      <x:c r="H7" s="11" t="n">
        <x:v>-1.55</x:v>
      </x:c>
      <x:c r="I7" s="8" t="str">
        <x:v>Model enclosure</x:v>
      </x:c>
      <x:c r="J7" s="8" t="str">
        <x:v>Shown</x:v>
      </x:c>
      <x:c r="K7" s="8" t="str">
        <x:v>n.a.</x:v>
      </x:c>
      <x:c r="L7" s="8" t="str">
        <x:v>200 × 1100 × 800</x:v>
      </x:c>
      <x:c r="M7" s="8" t="str">
        <x:v>Service room behind the altar · existing back-wall enclosure. Procedural enclosure; internal arrangement and hardware pending.</x:v>
      </x:c>
      <x:c r="N7" s="11"/>
      <x:c r="O7" s="11"/>
      <x:c r="P7" s="11"/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/>
      <x:c r="AC7" s="8"/>
    </x:row>
    <x:row r="8" ht="96" customHeight="1">
      <x:c r="A8" s="8" t="str">
        <x:v>DB2</x:v>
      </x:c>
      <x:c r="B8" s="8" t="str">
        <x:v>DB-2 · Towers &amp; entrance</x:v>
      </x:c>
      <x:c r="C8" s="8" t="str">
        <x:v>enclosure</x:v>
      </x:c>
      <x:c r="D8" s="8" t="str">
        <x:v>DB2</x:v>
      </x:c>
      <x:c r="E8" s="8"/>
      <x:c r="F8" s="11" t="n">
        <x:v>2.73</x:v>
      </x:c>
      <x:c r="G8" s="11" t="n">
        <x:v>1.5</x:v>
      </x:c>
      <x:c r="H8" s="11" t="n">
        <x:v>-3.3</x:v>
      </x:c>
      <x:c r="I8" s="8" t="str">
        <x:v>Model enclosure</x:v>
      </x:c>
      <x:c r="J8" s="8" t="str">
        <x:v>Shown</x:v>
      </x:c>
      <x:c r="K8" s="8" t="str">
        <x:v>n.a.</x:v>
      </x:c>
      <x:c r="L8" s="8" t="str">
        <x:v>160 × 620 × 460</x:v>
      </x:c>
      <x:c r="M8" s="8" t="str">
        <x:v>Inside the main doors, left of the main door. Procedural enclosure; internal arrangement and hardware pending.</x:v>
      </x:c>
      <x:c r="N8" s="11"/>
      <x:c r="O8" s="11"/>
      <x:c r="P8" s="11"/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/>
      <x:c r="AC8" s="8"/>
    </x:row>
    <x:row r="9" ht="96" customHeight="1">
      <x:c r="A9" s="8" t="str">
        <x:v>LC1</x:v>
      </x:c>
      <x:c r="B9" s="8" t="str">
        <x:v>LC-1 · Lighting &amp; scene controls</x:v>
      </x:c>
      <x:c r="C9" s="8" t="str">
        <x:v>enclosure</x:v>
      </x:c>
      <x:c r="D9" s="8" t="str">
        <x:v>DB1</x:v>
      </x:c>
      <x:c r="E9" s="8"/>
      <x:c r="F9" s="11" t="n">
        <x:v>48.895</x:v>
      </x:c>
      <x:c r="G9" s="11" t="n">
        <x:v>1.85</x:v>
      </x:c>
      <x:c r="H9" s="11" t="n">
        <x:v>-0.55</x:v>
      </x:c>
      <x:c r="I9" s="8" t="str">
        <x:v>Model enclosure</x:v>
      </x:c>
      <x:c r="J9" s="8" t="str">
        <x:v>Shown</x:v>
      </x:c>
      <x:c r="K9" s="8" t="str">
        <x:v>n.a.</x:v>
      </x:c>
      <x:c r="L9" s="8" t="str">
        <x:v>200 × 900 × 800</x:v>
      </x:c>
      <x:c r="M9" s="8" t="str">
        <x:v>Existing service-room lighting enclosure. Procedural enclosure; internal arrangement and hardware pending.</x:v>
      </x:c>
      <x:c r="N9" s="11"/>
      <x:c r="O9" s="11"/>
      <x:c r="P9" s="11"/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/>
      <x:c r="AC9" s="8"/>
    </x:row>
    <x:row r="10" ht="96" customHeight="1">
      <x:c r="A10" s="8" t="str">
        <x:v>FC1</x:v>
      </x:c>
      <x:c r="B10" s="8" t="str">
        <x:v>FC-1 · Fan speed controls</x:v>
      </x:c>
      <x:c r="C10" s="8" t="str">
        <x:v>enclosure</x:v>
      </x:c>
      <x:c r="D10" s="8" t="str">
        <x:v>DB1</x:v>
      </x:c>
      <x:c r="E10" s="8"/>
      <x:c r="F10" s="11" t="n">
        <x:v>48.895</x:v>
      </x:c>
      <x:c r="G10" s="11" t="n">
        <x:v>1.95</x:v>
      </x:c>
      <x:c r="H10" s="11" t="n">
        <x:v>0.4</x:v>
      </x:c>
      <x:c r="I10" s="8" t="str">
        <x:v>Model enclosure</x:v>
      </x:c>
      <x:c r="J10" s="8" t="str">
        <x:v>Shown</x:v>
      </x:c>
      <x:c r="K10" s="8" t="str">
        <x:v>n.a.</x:v>
      </x:c>
      <x:c r="L10" s="8" t="str">
        <x:v>200 × 700 × 600</x:v>
      </x:c>
      <x:c r="M10" s="8" t="str">
        <x:v>Existing service-room fan enclosure. Procedural enclosure; internal arrangement and hardware pending.</x:v>
      </x:c>
      <x:c r="N10" s="11"/>
      <x:c r="O10" s="11"/>
      <x:c r="P10" s="11"/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/>
      <x:c r="AC10" s="8"/>
    </x:row>
    <x:row r="11" ht="96" customHeight="1">
      <x:c r="A11" s="8" t="str">
        <x:v>AV1</x:v>
      </x:c>
      <x:c r="B11" s="8" t="str">
        <x:v>AV-1 · Mixer / amplifier rack</x:v>
      </x:c>
      <x:c r="C11" s="8" t="str">
        <x:v>enclosure</x:v>
      </x:c>
      <x:c r="D11" s="8" t="str">
        <x:v>DB1</x:v>
      </x:c>
      <x:c r="E11" s="8"/>
      <x:c r="F11" s="11" t="n">
        <x:v>49.275</x:v>
      </x:c>
      <x:c r="G11" s="11" t="n">
        <x:v>0.95</x:v>
      </x:c>
      <x:c r="H11" s="11" t="n">
        <x:v>1.4</x:v>
      </x:c>
      <x:c r="I11" s="8" t="str">
        <x:v>Model enclosure</x:v>
      </x:c>
      <x:c r="J11" s="8" t="str">
        <x:v>Shown</x:v>
      </x:c>
      <x:c r="K11" s="8" t="str">
        <x:v>n.a.</x:v>
      </x:c>
      <x:c r="L11" s="8" t="str">
        <x:v>800 × 1600 × 620</x:v>
      </x:c>
      <x:c r="M11" s="8" t="str">
        <x:v>Existing service-room sound rack. Procedural enclosure; internal arrangement and hardware pending.</x:v>
      </x:c>
      <x:c r="N11" s="11"/>
      <x:c r="O11" s="11"/>
      <x:c r="P11" s="11"/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/>
      <x:c r="AC11" s="8"/>
    </x:row>
  </x:sheetData>
  <x:conditionalFormatting sqref="AA7:AA11">
    <x:cfRule type="containsText" dxfId="0" priority="1" operator="containsText" text="Retired"/>
  </x:conditionalFormatting>
  <x:dataValidations count="3">
    <x:dataValidation type="decimal" operator="between" sqref="W7:W11">
      <x:formula1>-1000</x:formula1>
      <x:formula2>1000</x:formula2>
    </x:dataValidation>
    <x:dataValidation type="decimal" operator="between" sqref="X7:X11">
      <x:formula1>-1000</x:formula1>
      <x:formula2>1000</x:formula2>
    </x:dataValidation>
    <x:dataValidation type="decimal" operator="between" sqref="Y7:Y11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31b593af8bd46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90" customHeight="1">
      <x:c r="A7" s="8" t="str">
        <x:v>feeder:DB2</x:v>
      </x:c>
      <x:c r="B7" s="8" t="str">
        <x:v>DB-1 → DB-2 feeder</x:v>
      </x:c>
      <x:c r="C7" s="8" t="str">
        <x:v>DB1</x:v>
      </x:c>
      <x:c r="D7" s="8" t="str"/>
      <x:c r="E7" s="8" t="str">
        <x:v>DB2</x:v>
      </x:c>
      <x:c r="F7" s="8" t="str">
        <x:v>DB2-FEED</x:v>
      </x:c>
      <x:c r="G7" s="8" t="str">
        <x:v>feeder</x:v>
      </x:c>
      <x:c r="H7" s="8" t="str">
        <x:v>feeder</x:v>
      </x:c>
      <x:c r="I7" s="11" t="n">
        <x:f>SUMIF('Route Points'!$A$7:$A$47,A7,'Route Points'!$F$7:$F$47)</x:f>
        <x:v>80.6831303111792</x:v>
      </x:c>
      <x:c r="J7" s="11"/>
      <x:c r="K7" s="11" t="str">
        <x:f>IF(L7="Full home run",I7+J7,"")</x:f>
      </x:c>
      <x:c r="L7" s="8" t="str">
        <x:v>Route segment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bands, covered wing-roof crossing, entrance wall riser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feeder:AV1</x:v>
      </x:c>
      <x:c r="B8" s="8" t="str">
        <x:v>DB-1 → AV1 equipment supply</x:v>
      </x:c>
      <x:c r="C8" s="8" t="str">
        <x:v>DB1</x:v>
      </x:c>
      <x:c r="D8" s="8" t="str"/>
      <x:c r="E8" s="8" t="str">
        <x:v>DB1</x:v>
      </x:c>
      <x:c r="F8" s="8" t="str">
        <x:v>AV1-SUPPLY</x:v>
      </x:c>
      <x:c r="G8" s="8" t="str">
        <x:v>feeder</x:v>
      </x:c>
      <x:c r="H8" s="8" t="str">
        <x:v>feeder</x:v>
      </x:c>
      <x:c r="I8" s="11" t="n">
        <x:f>SUMIF('Route Points'!$A$7:$A$47,A8,'Route Points'!$F$7:$F$47)</x:f>
        <x:v>5.790000000000003</x:v>
      </x:c>
      <x:c r="J8" s="11"/>
      <x:c r="K8" s="11" t="str">
        <x:f>IF(L8="Full home run",I8+J8,"")</x:f>
      </x:c>
      <x:c r="L8" s="8" t="str">
        <x:v>Route segment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Existing service-room wall tray / local equipment connection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/>
    </x:row>
    <x:row r="9" ht="90" customHeight="1">
      <x:c r="A9" s="8" t="str">
        <x:v>feeder:LC1</x:v>
      </x:c>
      <x:c r="B9" s="8" t="str">
        <x:v>DB-1 → LC1 equipment supply</x:v>
      </x:c>
      <x:c r="C9" s="8" t="str">
        <x:v>DB1</x:v>
      </x:c>
      <x:c r="D9" s="8" t="str"/>
      <x:c r="E9" s="8" t="str">
        <x:v>DB1</x:v>
      </x:c>
      <x:c r="F9" s="8" t="str">
        <x:v>LC1-SUPPLY</x:v>
      </x:c>
      <x:c r="G9" s="8" t="str">
        <x:v>feeder</x:v>
      </x:c>
      <x:c r="H9" s="8" t="str">
        <x:v>feeder</x:v>
      </x:c>
      <x:c r="I9" s="11" t="n">
        <x:f>SUMIF('Route Points'!$A$7:$A$47,A9,'Route Points'!$F$7:$F$47)</x:f>
        <x:v>2.560000000000007</x:v>
      </x:c>
      <x:c r="J9" s="11"/>
      <x:c r="K9" s="11" t="str">
        <x:f>IF(L9="Full home run",I9+J9,"")</x:f>
      </x:c>
      <x:c r="L9" s="8" t="str">
        <x:v>Route segment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Existing service-room wall tray / local equipment connection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/>
    </x:row>
    <x:row r="10" ht="90" customHeight="1">
      <x:c r="A10" s="8" t="str">
        <x:v>feeder:FC1</x:v>
      </x:c>
      <x:c r="B10" s="8" t="str">
        <x:v>DB-1 → FC1 equipment supply</x:v>
      </x:c>
      <x:c r="C10" s="8" t="str">
        <x:v>DB1</x:v>
      </x:c>
      <x:c r="D10" s="8" t="str"/>
      <x:c r="E10" s="8" t="str">
        <x:v>DB1</x:v>
      </x:c>
      <x:c r="F10" s="8" t="str">
        <x:v>FC1-SUPPLY</x:v>
      </x:c>
      <x:c r="G10" s="8" t="str">
        <x:v>feeder</x:v>
      </x:c>
      <x:c r="H10" s="8" t="str">
        <x:v>feeder</x:v>
      </x:c>
      <x:c r="I10" s="11" t="n">
        <x:f>SUMIF('Route Points'!$A$7:$A$47,A10,'Route Points'!$F$7:$F$47)</x:f>
        <x:v>3.4100000000000072</x:v>
      </x:c>
      <x:c r="J10" s="11"/>
      <x:c r="K10" s="11" t="str">
        <x:f>IF(L10="Full home run",I10+J10,"")</x:f>
      </x:c>
      <x:c r="L10" s="8" t="str">
        <x:v>Route segment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Existing service-room wall tray / local equipment connection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/>
    </x:row>
  </x:sheetData>
  <x:conditionalFormatting sqref="Y7:Y10">
    <x:cfRule type="containsText" dxfId="1" priority="1" operator="containsText" text="Retired"/>
  </x:conditionalFormatting>
  <x:dataValidations count="3">
    <x:dataValidation type="decimal" operator="greaterThanOrEqual" sqref="M7:M10">
      <x:formula1>0</x:formula1>
    </x:dataValidation>
    <x:dataValidation type="decimal" operator="greaterThanOrEqual" sqref="R7:R10">
      <x:formula1>0</x:formula1>
    </x:dataValidation>
    <x:dataValidation type="decimal" operator="greaterThanOrEqual" sqref="S7:S1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428f984e504f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feeder:DB2</x:v>
      </x:c>
      <x:c r="B7" s="8" t="n">
        <x:v>1</x:v>
      </x:c>
      <x:c r="C7" s="11" t="n">
        <x:v>48.895</x:v>
      </x:c>
      <x:c r="D7" s="11" t="n">
        <x:v>1.75</x:v>
      </x:c>
      <x:c r="E7" s="11" t="n">
        <x:v>-1.55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feeder:DB2</x:v>
      </x:c>
      <x:c r="B8" s="8" t="n">
        <x:v>2</x:v>
      </x:c>
      <x:c r="C8" s="11" t="n">
        <x:v>48.735</x:v>
      </x:c>
      <x:c r="D8" s="11" t="n">
        <x:v>1.75</x:v>
      </x:c>
      <x:c r="E8" s="11" t="n">
        <x:v>-1.55</x:v>
      </x:c>
      <x:c r="F8" s="11" t="n">
        <x:f>SQRT((C8-C7)^2+(D8-D7)^2+(E8-E7)^2)</x:f>
        <x:v>0.1600000000000037</x:v>
      </x:c>
      <x:c r="G8" s="8" t="str">
        <x:v>Current</x:v>
      </x:c>
    </x:row>
    <x:row r="9" ht="32" customHeight="1">
      <x:c r="A9" s="8" t="str">
        <x:v>feeder:DB2</x:v>
      </x:c>
      <x:c r="B9" s="8" t="n">
        <x:v>3</x:v>
      </x:c>
      <x:c r="C9" s="11" t="n">
        <x:v>48.735</x:v>
      </x:c>
      <x:c r="D9" s="11" t="n">
        <x:v>1.75</x:v>
      </x:c>
      <x:c r="E9" s="11" t="n">
        <x:v>-2.24</x:v>
      </x:c>
      <x:c r="F9" s="11" t="n">
        <x:f>SQRT((C9-C8)^2+(D9-D8)^2+(E9-E8)^2)</x:f>
        <x:v>0.6900000000000002</x:v>
      </x:c>
      <x:c r="G9" s="8" t="str">
        <x:v>Current</x:v>
      </x:c>
    </x:row>
    <x:row r="10" ht="32" customHeight="1">
      <x:c r="A10" s="8" t="str">
        <x:v>feeder:DB2</x:v>
      </x:c>
      <x:c r="B10" s="8" t="n">
        <x:v>4</x:v>
      </x:c>
      <x:c r="C10" s="11" t="n">
        <x:v>48.735</x:v>
      </x:c>
      <x:c r="D10" s="11" t="n">
        <x:v>4.33</x:v>
      </x:c>
      <x:c r="E10" s="11" t="n">
        <x:v>-2.24</x:v>
      </x:c>
      <x:c r="F10" s="11" t="n">
        <x:f>SQRT((C10-C9)^2+(D10-D9)^2+(E10-E9)^2)</x:f>
        <x:v>2.58</x:v>
      </x:c>
      <x:c r="G10" s="8" t="str">
        <x:v>Current</x:v>
      </x:c>
    </x:row>
    <x:row r="11" ht="32" customHeight="1">
      <x:c r="A11" s="8" t="str">
        <x:v>feeder:DB2</x:v>
      </x:c>
      <x:c r="B11" s="8" t="n">
        <x:v>5</x:v>
      </x:c>
      <x:c r="C11" s="11" t="n">
        <x:v>48.735</x:v>
      </x:c>
      <x:c r="D11" s="11" t="n">
        <x:v>4.33</x:v>
      </x:c>
      <x:c r="E11" s="11" t="n">
        <x:v>-3.3</x:v>
      </x:c>
      <x:c r="F11" s="11" t="n">
        <x:f>SQRT((C11-C10)^2+(D11-D10)^2+(E11-E10)^2)</x:f>
        <x:v>1.0599999999999996</x:v>
      </x:c>
      <x:c r="G11" s="8" t="str">
        <x:v>Current</x:v>
      </x:c>
    </x:row>
    <x:row r="12" ht="32" customHeight="1">
      <x:c r="A12" s="8" t="str">
        <x:v>feeder:DB2</x:v>
      </x:c>
      <x:c r="B12" s="8" t="n">
        <x:v>6</x:v>
      </x:c>
      <x:c r="C12" s="11" t="n">
        <x:v>53.016</x:v>
      </x:c>
      <x:c r="D12" s="11" t="n">
        <x:v>4.33</x:v>
      </x:c>
      <x:c r="E12" s="11" t="n">
        <x:v>-3.3</x:v>
      </x:c>
      <x:c r="F12" s="11" t="n">
        <x:f>SQRT((C12-C11)^2+(D12-D11)^2+(E12-E11)^2)</x:f>
        <x:v>4.280999999999999</x:v>
      </x:c>
      <x:c r="G12" s="8" t="str">
        <x:v>Current</x:v>
      </x:c>
    </x:row>
    <x:row r="13" ht="32" customHeight="1">
      <x:c r="A13" s="8" t="str">
        <x:v>feeder:DB2</x:v>
      </x:c>
      <x:c r="B13" s="8" t="n">
        <x:v>7</x:v>
      </x:c>
      <x:c r="C13" s="11" t="n">
        <x:v>53.016</x:v>
      </x:c>
      <x:c r="D13" s="11" t="n">
        <x:v>6.26</x:v>
      </x:c>
      <x:c r="E13" s="11" t="n">
        <x:v>-3.3</x:v>
      </x:c>
      <x:c r="F13" s="11" t="n">
        <x:f>SQRT((C13-C12)^2+(D13-D12)^2+(E13-E12)^2)</x:f>
        <x:v>1.9299999999999997</x:v>
      </x:c>
      <x:c r="G13" s="8" t="str">
        <x:v>Current</x:v>
      </x:c>
    </x:row>
    <x:row r="14" ht="32" customHeight="1">
      <x:c r="A14" s="8" t="str">
        <x:v>feeder:DB2</x:v>
      </x:c>
      <x:c r="B14" s="8" t="n">
        <x:v>8</x:v>
      </x:c>
      <x:c r="C14" s="11" t="n">
        <x:v>53.016</x:v>
      </x:c>
      <x:c r="D14" s="11" t="n">
        <x:v>6.26</x:v>
      </x:c>
      <x:c r="E14" s="11" t="n">
        <x:v>-7.36</x:v>
      </x:c>
      <x:c r="F14" s="11" t="n">
        <x:f>SQRT((C14-C13)^2+(D14-D13)^2+(E14-E13)^2)</x:f>
        <x:v>4.0600000000000005</x:v>
      </x:c>
      <x:c r="G14" s="8" t="str">
        <x:v>Current</x:v>
      </x:c>
    </x:row>
    <x:row r="15" ht="32" customHeight="1">
      <x:c r="A15" s="8" t="str">
        <x:v>feeder:DB2</x:v>
      </x:c>
      <x:c r="B15" s="8" t="n">
        <x:v>9</x:v>
      </x:c>
      <x:c r="C15" s="11" t="n">
        <x:v>44.175</x:v>
      </x:c>
      <x:c r="D15" s="11" t="n">
        <x:v>6.26</x:v>
      </x:c>
      <x:c r="E15" s="11" t="n">
        <x:v>-7.36</x:v>
      </x:c>
      <x:c r="F15" s="11" t="n">
        <x:f>SQRT((C15-C14)^2+(D15-D14)^2+(E15-E14)^2)</x:f>
        <x:v>8.841000000000001</x:v>
      </x:c>
      <x:c r="G15" s="8" t="str">
        <x:v>Current</x:v>
      </x:c>
    </x:row>
    <x:row r="16" ht="32" customHeight="1">
      <x:c r="A16" s="8" t="str">
        <x:v>feeder:DB2</x:v>
      </x:c>
      <x:c r="B16" s="8" t="n">
        <x:v>10</x:v>
      </x:c>
      <x:c r="C16" s="11" t="n">
        <x:v>44.175</x:v>
      </x:c>
      <x:c r="D16" s="11" t="n">
        <x:v>7.04</x:v>
      </x:c>
      <x:c r="E16" s="11" t="n">
        <x:v>-7.36</x:v>
      </x:c>
      <x:c r="F16" s="11" t="n">
        <x:f>SQRT((C16-C15)^2+(D16-D15)^2+(E16-E15)^2)</x:f>
        <x:v>0.7800000000000002</x:v>
      </x:c>
      <x:c r="G16" s="8" t="str">
        <x:v>Current</x:v>
      </x:c>
    </x:row>
    <x:row r="17" ht="32" customHeight="1">
      <x:c r="A17" s="8" t="str">
        <x:v>feeder:DB2</x:v>
      </x:c>
      <x:c r="B17" s="8" t="n">
        <x:v>11</x:v>
      </x:c>
      <x:c r="C17" s="11" t="n">
        <x:v>43.535</x:v>
      </x:c>
      <x:c r="D17" s="11" t="n">
        <x:v>7.04</x:v>
      </x:c>
      <x:c r="E17" s="11" t="n">
        <x:v>-7.36</x:v>
      </x:c>
      <x:c r="F17" s="11" t="n">
        <x:f>SQRT((C17-C16)^2+(D17-D16)^2+(E17-E16)^2)</x:f>
        <x:v>0.6400000000000006</x:v>
      </x:c>
      <x:c r="G17" s="8" t="str">
        <x:v>Current</x:v>
      </x:c>
    </x:row>
    <x:row r="18" ht="32" customHeight="1">
      <x:c r="A18" s="8" t="str">
        <x:v>feeder:DB2</x:v>
      </x:c>
      <x:c r="B18" s="8" t="n">
        <x:v>12</x:v>
      </x:c>
      <x:c r="C18" s="11" t="n">
        <x:v>43.455</x:v>
      </x:c>
      <x:c r="D18" s="11" t="n">
        <x:v>6.950412371134024</x:v>
      </x:c>
      <x:c r="E18" s="11" t="n">
        <x:v>-7.36</x:v>
      </x:c>
      <x:c r="F18" s="11" t="n">
        <x:f>SQRT((C18-C17)^2+(D18-D17)^2+(E18-E17)^2)</x:f>
        <x:v>0.12010804821421249</x:v>
      </x:c>
      <x:c r="G18" s="8" t="str">
        <x:v>Current</x:v>
      </x:c>
    </x:row>
    <x:row r="19" ht="32" customHeight="1">
      <x:c r="A19" s="8" t="str">
        <x:v>feeder:DB2</x:v>
      </x:c>
      <x:c r="B19" s="8" t="n">
        <x:v>13</x:v>
      </x:c>
      <x:c r="C19" s="11" t="n">
        <x:v>40.574999999999996</x:v>
      </x:c>
      <x:c r="D19" s="11" t="n">
        <x:v>9.269999999999994</x:v>
      </x:c>
      <x:c r="E19" s="11" t="n">
        <x:v>-7.36</x:v>
      </x:c>
      <x:c r="F19" s="11" t="n">
        <x:f>SQRT((C19-C18)^2+(D19-D18)^2+(E19-E18)^2)</x:f>
        <x:v>3.6979571073753776</x:v>
      </x:c>
      <x:c r="G19" s="8" t="str">
        <x:v>Current</x:v>
      </x:c>
    </x:row>
    <x:row r="20" ht="32" customHeight="1">
      <x:c r="A20" s="8" t="str">
        <x:v>feeder:DB2</x:v>
      </x:c>
      <x:c r="B20" s="8" t="n">
        <x:v>14</x:v>
      </x:c>
      <x:c r="C20" s="11" t="n">
        <x:v>37.695</x:v>
      </x:c>
      <x:c r="D20" s="11" t="n">
        <x:v>6.950412371134018</x:v>
      </x:c>
      <x:c r="E20" s="11" t="n">
        <x:v>-7.36</x:v>
      </x:c>
      <x:c r="F20" s="11" t="n">
        <x:f>SQRT((C20-C19)^2+(D20-D19)^2+(E20-E19)^2)</x:f>
        <x:v>3.697957107375376</x:v>
      </x:c>
      <x:c r="G20" s="8" t="str">
        <x:v>Current</x:v>
      </x:c>
    </x:row>
    <x:row r="21" ht="32" customHeight="1">
      <x:c r="A21" s="8" t="str">
        <x:v>feeder:DB2</x:v>
      </x:c>
      <x:c r="B21" s="8" t="n">
        <x:v>15</x:v>
      </x:c>
      <x:c r="C21" s="11" t="n">
        <x:v>37.615</x:v>
      </x:c>
      <x:c r="D21" s="11" t="n">
        <x:v>7.04</x:v>
      </x:c>
      <x:c r="E21" s="11" t="n">
        <x:v>-7.36</x:v>
      </x:c>
      <x:c r="F21" s="11" t="n">
        <x:f>SQRT((C21-C20)^2+(D21-D20)^2+(E21-E20)^2)</x:f>
        <x:v>0.12010804821421713</x:v>
      </x:c>
      <x:c r="G21" s="8" t="str">
        <x:v>Current</x:v>
      </x:c>
    </x:row>
    <x:row r="22" ht="32" customHeight="1">
      <x:c r="A22" s="8" t="str">
        <x:v>feeder:DB2</x:v>
      </x:c>
      <x:c r="B22" s="8" t="n">
        <x:v>16</x:v>
      </x:c>
      <x:c r="C22" s="11" t="n">
        <x:v>36.975</x:v>
      </x:c>
      <x:c r="D22" s="11" t="n">
        <x:v>7.04</x:v>
      </x:c>
      <x:c r="E22" s="11" t="n">
        <x:v>-7.36</x:v>
      </x:c>
      <x:c r="F22" s="11" t="n">
        <x:f>SQRT((C22-C21)^2+(D22-D21)^2+(E22-E21)^2)</x:f>
        <x:v>0.6400000000000006</x:v>
      </x:c>
      <x:c r="G22" s="8" t="str">
        <x:v>Current</x:v>
      </x:c>
    </x:row>
    <x:row r="23" ht="32" customHeight="1">
      <x:c r="A23" s="8" t="str">
        <x:v>feeder:DB2</x:v>
      </x:c>
      <x:c r="B23" s="8" t="n">
        <x:v>17</x:v>
      </x:c>
      <x:c r="C23" s="11" t="n">
        <x:v>36.975</x:v>
      </x:c>
      <x:c r="D23" s="11" t="n">
        <x:v>6.26</x:v>
      </x:c>
      <x:c r="E23" s="11" t="n">
        <x:v>-7.36</x:v>
      </x:c>
      <x:c r="F23" s="11" t="n">
        <x:f>SQRT((C23-C22)^2+(D23-D22)^2+(E23-E22)^2)</x:f>
        <x:v>0.7800000000000002</x:v>
      </x:c>
      <x:c r="G23" s="8" t="str">
        <x:v>Current</x:v>
      </x:c>
    </x:row>
    <x:row r="24" ht="32" customHeight="1">
      <x:c r="A24" s="8" t="str">
        <x:v>feeder:DB2</x:v>
      </x:c>
      <x:c r="B24" s="8" t="n">
        <x:v>18</x:v>
      </x:c>
      <x:c r="C24" s="11" t="n">
        <x:v>5.475</x:v>
      </x:c>
      <x:c r="D24" s="11" t="n">
        <x:v>6.26</x:v>
      </x:c>
      <x:c r="E24" s="11" t="n">
        <x:v>-7.36</x:v>
      </x:c>
      <x:c r="F24" s="11" t="n">
        <x:f>SQRT((C24-C23)^2+(D24-D23)^2+(E24-E23)^2)</x:f>
        <x:v>31.5</x:v>
      </x:c>
      <x:c r="G24" s="8" t="str">
        <x:v>Current</x:v>
      </x:c>
    </x:row>
    <x:row r="25" ht="32" customHeight="1">
      <x:c r="A25" s="8" t="str">
        <x:v>feeder:DB2</x:v>
      </x:c>
      <x:c r="B25" s="8" t="n">
        <x:v>19</x:v>
      </x:c>
      <x:c r="C25" s="11" t="n">
        <x:v>2.35</x:v>
      </x:c>
      <x:c r="D25" s="11" t="n">
        <x:v>6.26</x:v>
      </x:c>
      <x:c r="E25" s="11" t="n">
        <x:v>-7.36</x:v>
      </x:c>
      <x:c r="F25" s="11" t="n">
        <x:f>SQRT((C25-C24)^2+(D25-D24)^2+(E25-E24)^2)</x:f>
        <x:v>3.1249999999999996</x:v>
      </x:c>
      <x:c r="G25" s="8" t="str">
        <x:v>Current</x:v>
      </x:c>
    </x:row>
    <x:row r="26" ht="32" customHeight="1">
      <x:c r="A26" s="8" t="str">
        <x:v>feeder:DB2</x:v>
      </x:c>
      <x:c r="B26" s="8" t="n">
        <x:v>20</x:v>
      </x:c>
      <x:c r="C26" s="11" t="n">
        <x:v>2.35</x:v>
      </x:c>
      <x:c r="D26" s="11" t="n">
        <x:v>7.65</x:v>
      </x:c>
      <x:c r="E26" s="11" t="n">
        <x:v>-7.36</x:v>
      </x:c>
      <x:c r="F26" s="11" t="n">
        <x:f>SQRT((C26-C25)^2+(D26-D25)^2+(E26-E25)^2)</x:f>
        <x:v>1.3900000000000006</x:v>
      </x:c>
      <x:c r="G26" s="8" t="str">
        <x:v>Current</x:v>
      </x:c>
    </x:row>
    <x:row r="27" ht="32" customHeight="1">
      <x:c r="A27" s="8" t="str">
        <x:v>feeder:DB2</x:v>
      </x:c>
      <x:c r="B27" s="8" t="n">
        <x:v>21</x:v>
      </x:c>
      <x:c r="C27" s="11" t="n">
        <x:v>2.35</x:v>
      </x:c>
      <x:c r="D27" s="11" t="n">
        <x:v>7.65</x:v>
      </x:c>
      <x:c r="E27" s="11" t="n">
        <x:v>-3.3</x:v>
      </x:c>
      <x:c r="F27" s="11" t="n">
        <x:f>SQRT((C27-C26)^2+(D27-D26)^2+(E27-E26)^2)</x:f>
        <x:v>4.0600000000000005</x:v>
      </x:c>
      <x:c r="G27" s="8" t="str">
        <x:v>Current</x:v>
      </x:c>
    </x:row>
    <x:row r="28" ht="32" customHeight="1">
      <x:c r="A28" s="8" t="str">
        <x:v>feeder:DB2</x:v>
      </x:c>
      <x:c r="B28" s="8" t="n">
        <x:v>22</x:v>
      </x:c>
      <x:c r="C28" s="11" t="n">
        <x:v>2.35</x:v>
      </x:c>
      <x:c r="D28" s="11" t="n">
        <x:v>1.5</x:v>
      </x:c>
      <x:c r="E28" s="11" t="n">
        <x:v>-3.3</x:v>
      </x:c>
      <x:c r="F28" s="11" t="n">
        <x:f>SQRT((C28-C27)^2+(D28-D27)^2+(E28-E27)^2)</x:f>
        <x:v>6.15</x:v>
      </x:c>
      <x:c r="G28" s="8" t="str">
        <x:v>Current</x:v>
      </x:c>
    </x:row>
    <x:row r="29" ht="32" customHeight="1">
      <x:c r="A29" s="8" t="str">
        <x:v>feeder:DB2</x:v>
      </x:c>
      <x:c r="B29" s="8" t="n">
        <x:v>23</x:v>
      </x:c>
      <x:c r="C29" s="11" t="n">
        <x:v>2.73</x:v>
      </x:c>
      <x:c r="D29" s="11" t="n">
        <x:v>1.5</x:v>
      </x:c>
      <x:c r="E29" s="11" t="n">
        <x:v>-3.3</x:v>
      </x:c>
      <x:c r="F29" s="11" t="n">
        <x:f>SQRT((C29-C28)^2+(D29-D28)^2+(E29-E28)^2)</x:f>
        <x:v>0.3799999999999999</x:v>
      </x:c>
      <x:c r="G29" s="8" t="str">
        <x:v>Current</x:v>
      </x:c>
    </x:row>
    <x:row r="30" ht="32" customHeight="1">
      <x:c r="A30" s="8" t="str">
        <x:v>feeder:AV1</x:v>
      </x:c>
      <x:c r="B30" s="8" t="n">
        <x:v>1</x:v>
      </x:c>
      <x:c r="C30" s="11" t="n">
        <x:v>48.895</x:v>
      </x:c>
      <x:c r="D30" s="11" t="n">
        <x:v>1.75</x:v>
      </x:c>
      <x:c r="E30" s="11" t="n">
        <x:v>-1.55</x:v>
      </x:c>
      <x:c r="F30" s="11" t="n">
        <x:f>0</x:f>
        <x:v>0</x:v>
      </x:c>
      <x:c r="G30" s="8" t="str">
        <x:v>Current</x:v>
      </x:c>
    </x:row>
    <x:row r="31" ht="32" customHeight="1">
      <x:c r="A31" s="8" t="str">
        <x:v>feeder:AV1</x:v>
      </x:c>
      <x:c r="B31" s="8" t="n">
        <x:v>2</x:v>
      </x:c>
      <x:c r="C31" s="11" t="n">
        <x:v>48.735</x:v>
      </x:c>
      <x:c r="D31" s="11" t="n">
        <x:v>1.75</x:v>
      </x:c>
      <x:c r="E31" s="11" t="n">
        <x:v>-1.55</x:v>
      </x:c>
      <x:c r="F31" s="11" t="n">
        <x:f>SQRT((C31-C30)^2+(D31-D30)^2+(E31-E30)^2)</x:f>
        <x:v>0.1600000000000037</x:v>
      </x:c>
      <x:c r="G31" s="8" t="str">
        <x:v>Current</x:v>
      </x:c>
    </x:row>
    <x:row r="32" ht="32" customHeight="1">
      <x:c r="A32" s="8" t="str">
        <x:v>feeder:AV1</x:v>
      </x:c>
      <x:c r="B32" s="8" t="n">
        <x:v>3</x:v>
      </x:c>
      <x:c r="C32" s="11" t="n">
        <x:v>48.735</x:v>
      </x:c>
      <x:c r="D32" s="11" t="n">
        <x:v>2.42</x:v>
      </x:c>
      <x:c r="E32" s="11" t="n">
        <x:v>-1.55</x:v>
      </x:c>
      <x:c r="F32" s="11" t="n">
        <x:f>SQRT((C32-C31)^2+(D32-D31)^2+(E32-E31)^2)</x:f>
        <x:v>0.6699999999999999</x:v>
      </x:c>
      <x:c r="G32" s="8" t="str">
        <x:v>Current</x:v>
      </x:c>
    </x:row>
    <x:row r="33" ht="32" customHeight="1">
      <x:c r="A33" s="8" t="str">
        <x:v>feeder:AV1</x:v>
      </x:c>
      <x:c r="B33" s="8" t="n">
        <x:v>4</x:v>
      </x:c>
      <x:c r="C33" s="11" t="n">
        <x:v>48.735</x:v>
      </x:c>
      <x:c r="D33" s="11" t="n">
        <x:v>2.42</x:v>
      </x:c>
      <x:c r="E33" s="11" t="n">
        <x:v>1.4</x:v>
      </x:c>
      <x:c r="F33" s="11" t="n">
        <x:f>SQRT((C33-C32)^2+(D33-D32)^2+(E33-E32)^2)</x:f>
        <x:v>2.95</x:v>
      </x:c>
      <x:c r="G33" s="8" t="str">
        <x:v>Current</x:v>
      </x:c>
    </x:row>
    <x:row r="34" ht="32" customHeight="1">
      <x:c r="A34" s="8" t="str">
        <x:v>feeder:AV1</x:v>
      </x:c>
      <x:c r="B34" s="8" t="n">
        <x:v>5</x:v>
      </x:c>
      <x:c r="C34" s="11" t="n">
        <x:v>48.735</x:v>
      </x:c>
      <x:c r="D34" s="11" t="n">
        <x:v>0.95</x:v>
      </x:c>
      <x:c r="E34" s="11" t="n">
        <x:v>1.4</x:v>
      </x:c>
      <x:c r="F34" s="11" t="n">
        <x:f>SQRT((C34-C33)^2+(D34-D33)^2+(E34-E33)^2)</x:f>
        <x:v>1.47</x:v>
      </x:c>
      <x:c r="G34" s="8" t="str">
        <x:v>Current</x:v>
      </x:c>
    </x:row>
    <x:row r="35" ht="32" customHeight="1">
      <x:c r="A35" s="8" t="str">
        <x:v>feeder:AV1</x:v>
      </x:c>
      <x:c r="B35" s="8" t="n">
        <x:v>6</x:v>
      </x:c>
      <x:c r="C35" s="11" t="n">
        <x:v>49.275</x:v>
      </x:c>
      <x:c r="D35" s="11" t="n">
        <x:v>0.95</x:v>
      </x:c>
      <x:c r="E35" s="11" t="n">
        <x:v>1.4</x:v>
      </x:c>
      <x:c r="F35" s="11" t="n">
        <x:f>SQRT((C35-C34)^2+(D35-D34)^2+(E35-E34)^2)</x:f>
        <x:v>0.5399999999999991</x:v>
      </x:c>
      <x:c r="G35" s="8" t="str">
        <x:v>Current</x:v>
      </x:c>
    </x:row>
    <x:row r="36" ht="32" customHeight="1">
      <x:c r="A36" s="8" t="str">
        <x:v>feeder:LC1</x:v>
      </x:c>
      <x:c r="B36" s="8" t="n">
        <x:v>1</x:v>
      </x:c>
      <x:c r="C36" s="11" t="n">
        <x:v>48.895</x:v>
      </x:c>
      <x:c r="D36" s="11" t="n">
        <x:v>1.75</x:v>
      </x:c>
      <x:c r="E36" s="11" t="n">
        <x:v>-1.55</x:v>
      </x:c>
      <x:c r="F36" s="11" t="n">
        <x:f>0</x:f>
        <x:v>0</x:v>
      </x:c>
      <x:c r="G36" s="8" t="str">
        <x:v>Current</x:v>
      </x:c>
    </x:row>
    <x:row r="37" ht="32" customHeight="1">
      <x:c r="A37" s="8" t="str">
        <x:v>feeder:LC1</x:v>
      </x:c>
      <x:c r="B37" s="8" t="n">
        <x:v>2</x:v>
      </x:c>
      <x:c r="C37" s="11" t="n">
        <x:v>48.735</x:v>
      </x:c>
      <x:c r="D37" s="11" t="n">
        <x:v>1.75</x:v>
      </x:c>
      <x:c r="E37" s="11" t="n">
        <x:v>-1.55</x:v>
      </x:c>
      <x:c r="F37" s="11" t="n">
        <x:f>SQRT((C37-C36)^2+(D37-D36)^2+(E37-E36)^2)</x:f>
        <x:v>0.1600000000000037</x:v>
      </x:c>
      <x:c r="G37" s="8" t="str">
        <x:v>Current</x:v>
      </x:c>
    </x:row>
    <x:row r="38" ht="32" customHeight="1">
      <x:c r="A38" s="8" t="str">
        <x:v>feeder:LC1</x:v>
      </x:c>
      <x:c r="B38" s="8" t="n">
        <x:v>3</x:v>
      </x:c>
      <x:c r="C38" s="11" t="n">
        <x:v>48.735</x:v>
      </x:c>
      <x:c r="D38" s="11" t="n">
        <x:v>2.42</x:v>
      </x:c>
      <x:c r="E38" s="11" t="n">
        <x:v>-1.55</x:v>
      </x:c>
      <x:c r="F38" s="11" t="n">
        <x:f>SQRT((C38-C37)^2+(D38-D37)^2+(E38-E37)^2)</x:f>
        <x:v>0.6699999999999999</x:v>
      </x:c>
      <x:c r="G38" s="8" t="str">
        <x:v>Current</x:v>
      </x:c>
    </x:row>
    <x:row r="39" ht="32" customHeight="1">
      <x:c r="A39" s="8" t="str">
        <x:v>feeder:LC1</x:v>
      </x:c>
      <x:c r="B39" s="8" t="n">
        <x:v>4</x:v>
      </x:c>
      <x:c r="C39" s="11" t="n">
        <x:v>48.735</x:v>
      </x:c>
      <x:c r="D39" s="11" t="n">
        <x:v>2.42</x:v>
      </x:c>
      <x:c r="E39" s="11" t="n">
        <x:v>-0.55</x:v>
      </x:c>
      <x:c r="F39" s="11" t="n">
        <x:f>SQRT((C39-C38)^2+(D39-D38)^2+(E39-E38)^2)</x:f>
        <x:v>1</x:v>
      </x:c>
      <x:c r="G39" s="8" t="str">
        <x:v>Current</x:v>
      </x:c>
    </x:row>
    <x:row r="40" ht="32" customHeight="1">
      <x:c r="A40" s="8" t="str">
        <x:v>feeder:LC1</x:v>
      </x:c>
      <x:c r="B40" s="8" t="n">
        <x:v>5</x:v>
      </x:c>
      <x:c r="C40" s="11" t="n">
        <x:v>48.735</x:v>
      </x:c>
      <x:c r="D40" s="11" t="n">
        <x:v>1.85</x:v>
      </x:c>
      <x:c r="E40" s="11" t="n">
        <x:v>-0.55</x:v>
      </x:c>
      <x:c r="F40" s="11" t="n">
        <x:f>SQRT((C40-C39)^2+(D40-D39)^2+(E40-E39)^2)</x:f>
        <x:v>0.5699999999999998</x:v>
      </x:c>
      <x:c r="G40" s="8" t="str">
        <x:v>Current</x:v>
      </x:c>
    </x:row>
    <x:row r="41" ht="32" customHeight="1">
      <x:c r="A41" s="8" t="str">
        <x:v>feeder:LC1</x:v>
      </x:c>
      <x:c r="B41" s="8" t="n">
        <x:v>6</x:v>
      </x:c>
      <x:c r="C41" s="11" t="n">
        <x:v>48.895</x:v>
      </x:c>
      <x:c r="D41" s="11" t="n">
        <x:v>1.85</x:v>
      </x:c>
      <x:c r="E41" s="11" t="n">
        <x:v>-0.55</x:v>
      </x:c>
      <x:c r="F41" s="11" t="n">
        <x:f>SQRT((C41-C40)^2+(D41-D40)^2+(E41-E40)^2)</x:f>
        <x:v>0.1600000000000037</x:v>
      </x:c>
      <x:c r="G41" s="8" t="str">
        <x:v>Current</x:v>
      </x:c>
    </x:row>
    <x:row r="42" ht="32" customHeight="1">
      <x:c r="A42" s="8" t="str">
        <x:v>feeder:FC1</x:v>
      </x:c>
      <x:c r="B42" s="8" t="n">
        <x:v>1</x:v>
      </x:c>
      <x:c r="C42" s="11" t="n">
        <x:v>48.895</x:v>
      </x:c>
      <x:c r="D42" s="11" t="n">
        <x:v>1.75</x:v>
      </x:c>
      <x:c r="E42" s="11" t="n">
        <x:v>-1.55</x:v>
      </x:c>
      <x:c r="F42" s="11" t="n">
        <x:f>0</x:f>
        <x:v>0</x:v>
      </x:c>
      <x:c r="G42" s="8" t="str">
        <x:v>Current</x:v>
      </x:c>
    </x:row>
    <x:row r="43" ht="32" customHeight="1">
      <x:c r="A43" s="8" t="str">
        <x:v>feeder:FC1</x:v>
      </x:c>
      <x:c r="B43" s="8" t="n">
        <x:v>2</x:v>
      </x:c>
      <x:c r="C43" s="11" t="n">
        <x:v>48.735</x:v>
      </x:c>
      <x:c r="D43" s="11" t="n">
        <x:v>1.75</x:v>
      </x:c>
      <x:c r="E43" s="11" t="n">
        <x:v>-1.55</x:v>
      </x:c>
      <x:c r="F43" s="11" t="n">
        <x:f>SQRT((C43-C42)^2+(D43-D42)^2+(E43-E42)^2)</x:f>
        <x:v>0.1600000000000037</x:v>
      </x:c>
      <x:c r="G43" s="8" t="str">
        <x:v>Current</x:v>
      </x:c>
    </x:row>
    <x:row r="44" ht="32" customHeight="1">
      <x:c r="A44" s="8" t="str">
        <x:v>feeder:FC1</x:v>
      </x:c>
      <x:c r="B44" s="8" t="n">
        <x:v>3</x:v>
      </x:c>
      <x:c r="C44" s="11" t="n">
        <x:v>48.735</x:v>
      </x:c>
      <x:c r="D44" s="11" t="n">
        <x:v>2.42</x:v>
      </x:c>
      <x:c r="E44" s="11" t="n">
        <x:v>-1.55</x:v>
      </x:c>
      <x:c r="F44" s="11" t="n">
        <x:f>SQRT((C44-C43)^2+(D44-D43)^2+(E44-E43)^2)</x:f>
        <x:v>0.6699999999999999</x:v>
      </x:c>
      <x:c r="G44" s="8" t="str">
        <x:v>Current</x:v>
      </x:c>
    </x:row>
    <x:row r="45" ht="32" customHeight="1">
      <x:c r="A45" s="8" t="str">
        <x:v>feeder:FC1</x:v>
      </x:c>
      <x:c r="B45" s="8" t="n">
        <x:v>4</x:v>
      </x:c>
      <x:c r="C45" s="11" t="n">
        <x:v>48.735</x:v>
      </x:c>
      <x:c r="D45" s="11" t="n">
        <x:v>2.42</x:v>
      </x:c>
      <x:c r="E45" s="11" t="n">
        <x:v>0.4</x:v>
      </x:c>
      <x:c r="F45" s="11" t="n">
        <x:f>SQRT((C45-C44)^2+(D45-D44)^2+(E45-E44)^2)</x:f>
        <x:v>1.9500000000000002</x:v>
      </x:c>
      <x:c r="G45" s="8" t="str">
        <x:v>Current</x:v>
      </x:c>
    </x:row>
    <x:row r="46" ht="32" customHeight="1">
      <x:c r="A46" s="8" t="str">
        <x:v>feeder:FC1</x:v>
      </x:c>
      <x:c r="B46" s="8" t="n">
        <x:v>5</x:v>
      </x:c>
      <x:c r="C46" s="11" t="n">
        <x:v>48.735</x:v>
      </x:c>
      <x:c r="D46" s="11" t="n">
        <x:v>1.95</x:v>
      </x:c>
      <x:c r="E46" s="11" t="n">
        <x:v>0.4</x:v>
      </x:c>
      <x:c r="F46" s="11" t="n">
        <x:f>SQRT((C46-C45)^2+(D46-D45)^2+(E46-E45)^2)</x:f>
        <x:v>0.47</x:v>
      </x:c>
      <x:c r="G46" s="8" t="str">
        <x:v>Current</x:v>
      </x:c>
    </x:row>
    <x:row r="47" ht="32" customHeight="1">
      <x:c r="A47" s="8" t="str">
        <x:v>feeder:FC1</x:v>
      </x:c>
      <x:c r="B47" s="8" t="n">
        <x:v>6</x:v>
      </x:c>
      <x:c r="C47" s="11" t="n">
        <x:v>48.895</x:v>
      </x:c>
      <x:c r="D47" s="11" t="n">
        <x:v>1.95</x:v>
      </x:c>
      <x:c r="E47" s="11" t="n">
        <x:v>0.4</x:v>
      </x:c>
      <x:c r="F47" s="11" t="n">
        <x:f>SQRT((C47-C46)^2+(D47-D46)^2+(E47-E46)^2)</x:f>
        <x:v>0.1600000000000037</x:v>
      </x:c>
      <x:c r="G47" s="8" t="str">
        <x:v>Current</x:v>
      </x:c>
    </x:row>
  </x:sheetData>
  <x:conditionalFormatting sqref="G7:G47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a299b969623c428a"/>
  </x:tableParts>
</x:worksheet>
</file>